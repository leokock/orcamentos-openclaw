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Drives compartilhados\03 CTN Projetos\2. Projetos em Andamento\_Executivo_IA\thozen-electra\"/>
    </mc:Choice>
  </mc:AlternateContent>
  <xr:revisionPtr revIDLastSave="0" documentId="13_ncr:1_{8A648B68-A7FD-4411-AC06-F70575AC1C77}" xr6:coauthVersionLast="47" xr6:coauthVersionMax="47" xr10:uidLastSave="{00000000-0000-0000-0000-000000000000}"/>
  <bookViews>
    <workbookView xWindow="57480" yWindow="-120" windowWidth="29040" windowHeight="15720" activeTab="1" xr2:uid="{E6DAAFF2-9163-4450-B133-7FD4778E9B32}"/>
  </bookViews>
  <sheets>
    <sheet name="Composições" sheetId="2" r:id="rId1"/>
    <sheet name="Busca" sheetId="3" r:id="rId2"/>
  </sheets>
  <definedNames>
    <definedName name="_xlnm._FilterDatabase" localSheetId="0" hidden="1">Composições!$A$4:$R$963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8" i="3" l="1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O538" i="3"/>
  <c r="N538" i="3"/>
  <c r="M538" i="3"/>
  <c r="L538" i="3"/>
  <c r="O537" i="3"/>
  <c r="N537" i="3"/>
  <c r="M537" i="3"/>
  <c r="L537" i="3"/>
  <c r="O536" i="3"/>
  <c r="N536" i="3"/>
  <c r="M536" i="3"/>
  <c r="L536" i="3"/>
  <c r="O535" i="3"/>
  <c r="N535" i="3"/>
  <c r="M535" i="3"/>
  <c r="L535" i="3"/>
  <c r="O534" i="3"/>
  <c r="N534" i="3"/>
  <c r="M534" i="3"/>
  <c r="L534" i="3"/>
  <c r="O533" i="3"/>
  <c r="N533" i="3"/>
  <c r="M533" i="3"/>
  <c r="L533" i="3"/>
  <c r="O532" i="3"/>
  <c r="N532" i="3"/>
  <c r="M532" i="3"/>
  <c r="L532" i="3"/>
  <c r="O531" i="3"/>
  <c r="N531" i="3"/>
  <c r="M531" i="3"/>
  <c r="L531" i="3"/>
  <c r="O530" i="3"/>
  <c r="N530" i="3"/>
  <c r="M530" i="3"/>
  <c r="L530" i="3"/>
  <c r="O529" i="3"/>
  <c r="N529" i="3"/>
  <c r="M529" i="3"/>
  <c r="L529" i="3"/>
  <c r="O528" i="3"/>
  <c r="N528" i="3"/>
  <c r="M528" i="3"/>
  <c r="L528" i="3"/>
  <c r="O527" i="3"/>
  <c r="N527" i="3"/>
  <c r="M527" i="3"/>
  <c r="L527" i="3"/>
  <c r="O526" i="3"/>
  <c r="N526" i="3"/>
  <c r="M526" i="3"/>
  <c r="L526" i="3"/>
  <c r="O525" i="3"/>
  <c r="N525" i="3"/>
  <c r="M525" i="3"/>
  <c r="L525" i="3"/>
  <c r="O524" i="3"/>
  <c r="N524" i="3"/>
  <c r="M524" i="3"/>
  <c r="L524" i="3"/>
  <c r="O523" i="3"/>
  <c r="N523" i="3"/>
  <c r="M523" i="3"/>
  <c r="L523" i="3"/>
  <c r="O522" i="3"/>
  <c r="N522" i="3"/>
  <c r="M522" i="3"/>
  <c r="L522" i="3"/>
  <c r="O521" i="3"/>
  <c r="N521" i="3"/>
  <c r="M521" i="3"/>
  <c r="L521" i="3"/>
  <c r="O520" i="3"/>
  <c r="N520" i="3"/>
  <c r="M520" i="3"/>
  <c r="L520" i="3"/>
  <c r="O519" i="3"/>
  <c r="N519" i="3"/>
  <c r="M519" i="3"/>
  <c r="L519" i="3"/>
  <c r="O518" i="3"/>
  <c r="N518" i="3"/>
  <c r="M518" i="3"/>
  <c r="L518" i="3"/>
  <c r="O517" i="3"/>
  <c r="N517" i="3"/>
  <c r="M517" i="3"/>
  <c r="L517" i="3"/>
  <c r="O516" i="3"/>
  <c r="N516" i="3"/>
  <c r="M516" i="3"/>
  <c r="L516" i="3"/>
  <c r="O515" i="3"/>
  <c r="N515" i="3"/>
  <c r="M515" i="3"/>
  <c r="L515" i="3"/>
  <c r="O514" i="3"/>
  <c r="N514" i="3"/>
  <c r="M514" i="3"/>
  <c r="L514" i="3"/>
  <c r="O513" i="3"/>
  <c r="N513" i="3"/>
  <c r="M513" i="3"/>
  <c r="L513" i="3"/>
  <c r="O512" i="3"/>
  <c r="N512" i="3"/>
  <c r="M512" i="3"/>
  <c r="L512" i="3"/>
  <c r="O511" i="3"/>
  <c r="N511" i="3"/>
  <c r="M511" i="3"/>
  <c r="L511" i="3"/>
  <c r="O510" i="3"/>
  <c r="N510" i="3"/>
  <c r="M510" i="3"/>
  <c r="L510" i="3"/>
  <c r="O509" i="3"/>
  <c r="N509" i="3"/>
  <c r="M509" i="3"/>
  <c r="L509" i="3"/>
  <c r="O508" i="3"/>
  <c r="N508" i="3"/>
  <c r="M508" i="3"/>
  <c r="L508" i="3"/>
  <c r="O507" i="3"/>
  <c r="N507" i="3"/>
  <c r="M507" i="3"/>
  <c r="L507" i="3"/>
  <c r="O506" i="3"/>
  <c r="N506" i="3"/>
  <c r="M506" i="3"/>
  <c r="L506" i="3"/>
  <c r="O505" i="3"/>
  <c r="N505" i="3"/>
  <c r="M505" i="3"/>
  <c r="L505" i="3"/>
  <c r="O504" i="3"/>
  <c r="N504" i="3"/>
  <c r="M504" i="3"/>
  <c r="L504" i="3"/>
  <c r="O503" i="3"/>
  <c r="N503" i="3"/>
  <c r="M503" i="3"/>
  <c r="L503" i="3"/>
  <c r="O502" i="3"/>
  <c r="N502" i="3"/>
  <c r="M502" i="3"/>
  <c r="L502" i="3"/>
  <c r="O501" i="3"/>
  <c r="N501" i="3"/>
  <c r="M501" i="3"/>
  <c r="L501" i="3"/>
  <c r="O500" i="3"/>
  <c r="N500" i="3"/>
  <c r="M500" i="3"/>
  <c r="L500" i="3"/>
  <c r="O499" i="3"/>
  <c r="N499" i="3"/>
  <c r="M499" i="3"/>
  <c r="L499" i="3"/>
  <c r="O498" i="3"/>
  <c r="N498" i="3"/>
  <c r="M498" i="3"/>
  <c r="L498" i="3"/>
  <c r="O497" i="3"/>
  <c r="N497" i="3"/>
  <c r="M497" i="3"/>
  <c r="L497" i="3"/>
  <c r="O496" i="3"/>
  <c r="N496" i="3"/>
  <c r="M496" i="3"/>
  <c r="L496" i="3"/>
  <c r="O495" i="3"/>
  <c r="N495" i="3"/>
  <c r="M495" i="3"/>
  <c r="L495" i="3"/>
  <c r="O494" i="3"/>
  <c r="N494" i="3"/>
  <c r="M494" i="3"/>
  <c r="L494" i="3"/>
  <c r="O493" i="3"/>
  <c r="N493" i="3"/>
  <c r="M493" i="3"/>
  <c r="L493" i="3"/>
  <c r="O492" i="3"/>
  <c r="N492" i="3"/>
  <c r="M492" i="3"/>
  <c r="L492" i="3"/>
  <c r="O491" i="3"/>
  <c r="N491" i="3"/>
  <c r="M491" i="3"/>
  <c r="L491" i="3"/>
  <c r="O490" i="3"/>
  <c r="N490" i="3"/>
  <c r="M490" i="3"/>
  <c r="L490" i="3"/>
  <c r="O489" i="3"/>
  <c r="N489" i="3"/>
  <c r="M489" i="3"/>
  <c r="L489" i="3"/>
  <c r="O488" i="3"/>
  <c r="N488" i="3"/>
  <c r="M488" i="3"/>
  <c r="L488" i="3"/>
  <c r="O487" i="3"/>
  <c r="N487" i="3"/>
  <c r="M487" i="3"/>
  <c r="L487" i="3"/>
  <c r="O486" i="3"/>
  <c r="N486" i="3"/>
  <c r="M486" i="3"/>
  <c r="L486" i="3"/>
  <c r="O485" i="3"/>
  <c r="N485" i="3"/>
  <c r="M485" i="3"/>
  <c r="L485" i="3"/>
  <c r="O484" i="3"/>
  <c r="N484" i="3"/>
  <c r="M484" i="3"/>
  <c r="L484" i="3"/>
  <c r="O483" i="3"/>
  <c r="N483" i="3"/>
  <c r="M483" i="3"/>
  <c r="L483" i="3"/>
  <c r="O482" i="3"/>
  <c r="N482" i="3"/>
  <c r="M482" i="3"/>
  <c r="L482" i="3"/>
  <c r="O481" i="3"/>
  <c r="N481" i="3"/>
  <c r="M481" i="3"/>
  <c r="L481" i="3"/>
  <c r="O480" i="3"/>
  <c r="N480" i="3"/>
  <c r="M480" i="3"/>
  <c r="L480" i="3"/>
  <c r="O479" i="3"/>
  <c r="N479" i="3"/>
  <c r="M479" i="3"/>
  <c r="L479" i="3"/>
  <c r="O478" i="3"/>
  <c r="N478" i="3"/>
  <c r="M478" i="3"/>
  <c r="L478" i="3"/>
  <c r="O477" i="3"/>
  <c r="N477" i="3"/>
  <c r="M477" i="3"/>
  <c r="L477" i="3"/>
  <c r="O476" i="3"/>
  <c r="N476" i="3"/>
  <c r="M476" i="3"/>
  <c r="L476" i="3"/>
  <c r="O475" i="3"/>
  <c r="N475" i="3"/>
  <c r="M475" i="3"/>
  <c r="L475" i="3"/>
  <c r="O474" i="3"/>
  <c r="N474" i="3"/>
  <c r="M474" i="3"/>
  <c r="L474" i="3"/>
  <c r="O473" i="3"/>
  <c r="N473" i="3"/>
  <c r="M473" i="3"/>
  <c r="L473" i="3"/>
  <c r="O472" i="3"/>
  <c r="N472" i="3"/>
  <c r="M472" i="3"/>
  <c r="L472" i="3"/>
  <c r="O471" i="3"/>
  <c r="N471" i="3"/>
  <c r="M471" i="3"/>
  <c r="L471" i="3"/>
  <c r="O470" i="3"/>
  <c r="N470" i="3"/>
  <c r="M470" i="3"/>
  <c r="L470" i="3"/>
  <c r="O469" i="3"/>
  <c r="N469" i="3"/>
  <c r="M469" i="3"/>
  <c r="L469" i="3"/>
  <c r="O468" i="3"/>
  <c r="N468" i="3"/>
  <c r="M468" i="3"/>
  <c r="L468" i="3"/>
  <c r="O467" i="3"/>
  <c r="N467" i="3"/>
  <c r="M467" i="3"/>
  <c r="L467" i="3"/>
  <c r="O466" i="3"/>
  <c r="N466" i="3"/>
  <c r="M466" i="3"/>
  <c r="L466" i="3"/>
  <c r="O465" i="3"/>
  <c r="N465" i="3"/>
  <c r="M465" i="3"/>
  <c r="L465" i="3"/>
  <c r="O464" i="3"/>
  <c r="N464" i="3"/>
  <c r="M464" i="3"/>
  <c r="L464" i="3"/>
  <c r="O463" i="3"/>
  <c r="N463" i="3"/>
  <c r="M463" i="3"/>
  <c r="L463" i="3"/>
  <c r="O462" i="3"/>
  <c r="N462" i="3"/>
  <c r="M462" i="3"/>
  <c r="L462" i="3"/>
  <c r="O461" i="3"/>
  <c r="N461" i="3"/>
  <c r="M461" i="3"/>
  <c r="L461" i="3"/>
  <c r="O460" i="3"/>
  <c r="N460" i="3"/>
  <c r="M460" i="3"/>
  <c r="L460" i="3"/>
  <c r="O459" i="3"/>
  <c r="N459" i="3"/>
  <c r="M459" i="3"/>
  <c r="L459" i="3"/>
  <c r="O458" i="3"/>
  <c r="N458" i="3"/>
  <c r="M458" i="3"/>
  <c r="L458" i="3"/>
  <c r="O457" i="3"/>
  <c r="N457" i="3"/>
  <c r="M457" i="3"/>
  <c r="L457" i="3"/>
  <c r="O456" i="3"/>
  <c r="N456" i="3"/>
  <c r="M456" i="3"/>
  <c r="L456" i="3"/>
  <c r="O455" i="3"/>
  <c r="N455" i="3"/>
  <c r="M455" i="3"/>
  <c r="L455" i="3"/>
  <c r="O454" i="3"/>
  <c r="N454" i="3"/>
  <c r="M454" i="3"/>
  <c r="L454" i="3"/>
  <c r="O453" i="3"/>
  <c r="N453" i="3"/>
  <c r="M453" i="3"/>
  <c r="L453" i="3"/>
  <c r="O452" i="3"/>
  <c r="N452" i="3"/>
  <c r="M452" i="3"/>
  <c r="L452" i="3"/>
  <c r="O451" i="3"/>
  <c r="N451" i="3"/>
  <c r="M451" i="3"/>
  <c r="L451" i="3"/>
  <c r="O450" i="3"/>
  <c r="N450" i="3"/>
  <c r="M450" i="3"/>
  <c r="L450" i="3"/>
  <c r="O449" i="3"/>
  <c r="N449" i="3"/>
  <c r="M449" i="3"/>
  <c r="L449" i="3"/>
  <c r="O448" i="3"/>
  <c r="N448" i="3"/>
  <c r="M448" i="3"/>
  <c r="L448" i="3"/>
  <c r="O447" i="3"/>
  <c r="N447" i="3"/>
  <c r="M447" i="3"/>
  <c r="L447" i="3"/>
  <c r="O446" i="3"/>
  <c r="N446" i="3"/>
  <c r="M446" i="3"/>
  <c r="L446" i="3"/>
  <c r="O445" i="3"/>
  <c r="N445" i="3"/>
  <c r="M445" i="3"/>
  <c r="L445" i="3"/>
  <c r="O444" i="3"/>
  <c r="N444" i="3"/>
  <c r="M444" i="3"/>
  <c r="L444" i="3"/>
  <c r="O443" i="3"/>
  <c r="N443" i="3"/>
  <c r="M443" i="3"/>
  <c r="L443" i="3"/>
  <c r="O442" i="3"/>
  <c r="N442" i="3"/>
  <c r="M442" i="3"/>
  <c r="L442" i="3"/>
  <c r="O441" i="3"/>
  <c r="N441" i="3"/>
  <c r="M441" i="3"/>
  <c r="L441" i="3"/>
  <c r="O440" i="3"/>
  <c r="N440" i="3"/>
  <c r="M440" i="3"/>
  <c r="L440" i="3"/>
  <c r="O439" i="3"/>
  <c r="N439" i="3"/>
  <c r="M439" i="3"/>
  <c r="L439" i="3"/>
  <c r="O438" i="3"/>
  <c r="N438" i="3"/>
  <c r="M438" i="3"/>
  <c r="L438" i="3"/>
  <c r="O437" i="3"/>
  <c r="N437" i="3"/>
  <c r="M437" i="3"/>
  <c r="L437" i="3"/>
  <c r="O436" i="3"/>
  <c r="N436" i="3"/>
  <c r="M436" i="3"/>
  <c r="L436" i="3"/>
  <c r="O435" i="3"/>
  <c r="N435" i="3"/>
  <c r="M435" i="3"/>
  <c r="L435" i="3"/>
  <c r="O434" i="3"/>
  <c r="N434" i="3"/>
  <c r="M434" i="3"/>
  <c r="L434" i="3"/>
  <c r="O433" i="3"/>
  <c r="N433" i="3"/>
  <c r="M433" i="3"/>
  <c r="L433" i="3"/>
  <c r="O432" i="3"/>
  <c r="N432" i="3"/>
  <c r="M432" i="3"/>
  <c r="L432" i="3"/>
  <c r="O431" i="3"/>
  <c r="N431" i="3"/>
  <c r="M431" i="3"/>
  <c r="L431" i="3"/>
  <c r="O430" i="3"/>
  <c r="N430" i="3"/>
  <c r="M430" i="3"/>
  <c r="L430" i="3"/>
  <c r="O429" i="3"/>
  <c r="N429" i="3"/>
  <c r="M429" i="3"/>
  <c r="L429" i="3"/>
  <c r="O428" i="3"/>
  <c r="N428" i="3"/>
  <c r="M428" i="3"/>
  <c r="L428" i="3"/>
  <c r="O427" i="3"/>
  <c r="N427" i="3"/>
  <c r="M427" i="3"/>
  <c r="L427" i="3"/>
  <c r="O426" i="3"/>
  <c r="N426" i="3"/>
  <c r="M426" i="3"/>
  <c r="L426" i="3"/>
  <c r="O425" i="3"/>
  <c r="N425" i="3"/>
  <c r="M425" i="3"/>
  <c r="L425" i="3"/>
  <c r="O424" i="3"/>
  <c r="N424" i="3"/>
  <c r="M424" i="3"/>
  <c r="L424" i="3"/>
  <c r="O423" i="3"/>
  <c r="N423" i="3"/>
  <c r="M423" i="3"/>
  <c r="L423" i="3"/>
  <c r="O422" i="3"/>
  <c r="N422" i="3"/>
  <c r="M422" i="3"/>
  <c r="L422" i="3"/>
  <c r="O421" i="3"/>
  <c r="N421" i="3"/>
  <c r="M421" i="3"/>
  <c r="L421" i="3"/>
  <c r="O420" i="3"/>
  <c r="N420" i="3"/>
  <c r="M420" i="3"/>
  <c r="L420" i="3"/>
  <c r="O419" i="3"/>
  <c r="N419" i="3"/>
  <c r="M419" i="3"/>
  <c r="L419" i="3"/>
  <c r="O418" i="3"/>
  <c r="N418" i="3"/>
  <c r="M418" i="3"/>
  <c r="L418" i="3"/>
  <c r="O417" i="3"/>
  <c r="N417" i="3"/>
  <c r="M417" i="3"/>
  <c r="L417" i="3"/>
  <c r="O416" i="3"/>
  <c r="N416" i="3"/>
  <c r="M416" i="3"/>
  <c r="L416" i="3"/>
  <c r="O415" i="3"/>
  <c r="N415" i="3"/>
  <c r="M415" i="3"/>
  <c r="L415" i="3"/>
  <c r="O414" i="3"/>
  <c r="N414" i="3"/>
  <c r="M414" i="3"/>
  <c r="L414" i="3"/>
  <c r="O413" i="3"/>
  <c r="N413" i="3"/>
  <c r="M413" i="3"/>
  <c r="L413" i="3"/>
  <c r="O412" i="3"/>
  <c r="N412" i="3"/>
  <c r="M412" i="3"/>
  <c r="L412" i="3"/>
  <c r="O411" i="3"/>
  <c r="N411" i="3"/>
  <c r="M411" i="3"/>
  <c r="L411" i="3"/>
  <c r="O410" i="3"/>
  <c r="N410" i="3"/>
  <c r="M410" i="3"/>
  <c r="L410" i="3"/>
  <c r="O409" i="3"/>
  <c r="N409" i="3"/>
  <c r="M409" i="3"/>
  <c r="L409" i="3"/>
  <c r="O408" i="3"/>
  <c r="N408" i="3"/>
  <c r="M408" i="3"/>
  <c r="L408" i="3"/>
  <c r="O407" i="3"/>
  <c r="N407" i="3"/>
  <c r="M407" i="3"/>
  <c r="L407" i="3"/>
  <c r="O406" i="3"/>
  <c r="N406" i="3"/>
  <c r="M406" i="3"/>
  <c r="L406" i="3"/>
  <c r="O405" i="3"/>
  <c r="N405" i="3"/>
  <c r="M405" i="3"/>
  <c r="L405" i="3"/>
  <c r="O404" i="3"/>
  <c r="N404" i="3"/>
  <c r="M404" i="3"/>
  <c r="L404" i="3"/>
  <c r="O403" i="3"/>
  <c r="N403" i="3"/>
  <c r="M403" i="3"/>
  <c r="L403" i="3"/>
  <c r="O402" i="3"/>
  <c r="N402" i="3"/>
  <c r="M402" i="3"/>
  <c r="L402" i="3"/>
  <c r="O401" i="3"/>
  <c r="N401" i="3"/>
  <c r="M401" i="3"/>
  <c r="L401" i="3"/>
  <c r="O400" i="3"/>
  <c r="N400" i="3"/>
  <c r="M400" i="3"/>
  <c r="L400" i="3"/>
  <c r="O399" i="3"/>
  <c r="N399" i="3"/>
  <c r="M399" i="3"/>
  <c r="L399" i="3"/>
  <c r="O398" i="3"/>
  <c r="N398" i="3"/>
  <c r="M398" i="3"/>
  <c r="L398" i="3"/>
  <c r="O397" i="3"/>
  <c r="N397" i="3"/>
  <c r="M397" i="3"/>
  <c r="L397" i="3"/>
  <c r="O396" i="3"/>
  <c r="N396" i="3"/>
  <c r="M396" i="3"/>
  <c r="L396" i="3"/>
  <c r="O395" i="3"/>
  <c r="N395" i="3"/>
  <c r="M395" i="3"/>
  <c r="L395" i="3"/>
  <c r="O394" i="3"/>
  <c r="N394" i="3"/>
  <c r="M394" i="3"/>
  <c r="L394" i="3"/>
  <c r="O393" i="3"/>
  <c r="N393" i="3"/>
  <c r="M393" i="3"/>
  <c r="L393" i="3"/>
  <c r="O392" i="3"/>
  <c r="N392" i="3"/>
  <c r="M392" i="3"/>
  <c r="L392" i="3"/>
  <c r="O391" i="3"/>
  <c r="N391" i="3"/>
  <c r="M391" i="3"/>
  <c r="L391" i="3"/>
  <c r="O390" i="3"/>
  <c r="N390" i="3"/>
  <c r="M390" i="3"/>
  <c r="L390" i="3"/>
  <c r="O389" i="3"/>
  <c r="N389" i="3"/>
  <c r="M389" i="3"/>
  <c r="L389" i="3"/>
  <c r="O388" i="3"/>
  <c r="N388" i="3"/>
  <c r="M388" i="3"/>
  <c r="L388" i="3"/>
  <c r="O387" i="3"/>
  <c r="N387" i="3"/>
  <c r="M387" i="3"/>
  <c r="L387" i="3"/>
  <c r="O386" i="3"/>
  <c r="N386" i="3"/>
  <c r="M386" i="3"/>
  <c r="L386" i="3"/>
  <c r="O385" i="3"/>
  <c r="N385" i="3"/>
  <c r="M385" i="3"/>
  <c r="L385" i="3"/>
  <c r="O384" i="3"/>
  <c r="N384" i="3"/>
  <c r="M384" i="3"/>
  <c r="L384" i="3"/>
  <c r="O383" i="3"/>
  <c r="N383" i="3"/>
  <c r="M383" i="3"/>
  <c r="L383" i="3"/>
  <c r="O382" i="3"/>
  <c r="N382" i="3"/>
  <c r="M382" i="3"/>
  <c r="L382" i="3"/>
  <c r="O381" i="3"/>
  <c r="N381" i="3"/>
  <c r="M381" i="3"/>
  <c r="L381" i="3"/>
  <c r="O380" i="3"/>
  <c r="N380" i="3"/>
  <c r="M380" i="3"/>
  <c r="L380" i="3"/>
  <c r="O379" i="3"/>
  <c r="N379" i="3"/>
  <c r="M379" i="3"/>
  <c r="L379" i="3"/>
  <c r="O378" i="3"/>
  <c r="N378" i="3"/>
  <c r="M378" i="3"/>
  <c r="L378" i="3"/>
  <c r="O377" i="3"/>
  <c r="N377" i="3"/>
  <c r="M377" i="3"/>
  <c r="L377" i="3"/>
  <c r="O376" i="3"/>
  <c r="N376" i="3"/>
  <c r="M376" i="3"/>
  <c r="L376" i="3"/>
  <c r="O375" i="3"/>
  <c r="N375" i="3"/>
  <c r="M375" i="3"/>
  <c r="L375" i="3"/>
  <c r="O374" i="3"/>
  <c r="N374" i="3"/>
  <c r="M374" i="3"/>
  <c r="L374" i="3"/>
  <c r="O373" i="3"/>
  <c r="N373" i="3"/>
  <c r="M373" i="3"/>
  <c r="L373" i="3"/>
  <c r="O372" i="3"/>
  <c r="N372" i="3"/>
  <c r="M372" i="3"/>
  <c r="L372" i="3"/>
  <c r="O371" i="3"/>
  <c r="N371" i="3"/>
  <c r="M371" i="3"/>
  <c r="L371" i="3"/>
  <c r="O370" i="3"/>
  <c r="N370" i="3"/>
  <c r="M370" i="3"/>
  <c r="L370" i="3"/>
  <c r="O369" i="3"/>
  <c r="N369" i="3"/>
  <c r="M369" i="3"/>
  <c r="L369" i="3"/>
  <c r="O368" i="3"/>
  <c r="N368" i="3"/>
  <c r="M368" i="3"/>
  <c r="L368" i="3"/>
  <c r="O367" i="3"/>
  <c r="N367" i="3"/>
  <c r="M367" i="3"/>
  <c r="L367" i="3"/>
  <c r="O366" i="3"/>
  <c r="N366" i="3"/>
  <c r="M366" i="3"/>
  <c r="L366" i="3"/>
  <c r="O365" i="3"/>
  <c r="N365" i="3"/>
  <c r="M365" i="3"/>
  <c r="L365" i="3"/>
  <c r="O364" i="3"/>
  <c r="N364" i="3"/>
  <c r="M364" i="3"/>
  <c r="L364" i="3"/>
  <c r="O363" i="3"/>
  <c r="N363" i="3"/>
  <c r="M363" i="3"/>
  <c r="L363" i="3"/>
  <c r="O362" i="3"/>
  <c r="N362" i="3"/>
  <c r="M362" i="3"/>
  <c r="L362" i="3"/>
  <c r="O361" i="3"/>
  <c r="N361" i="3"/>
  <c r="M361" i="3"/>
  <c r="L361" i="3"/>
  <c r="O360" i="3"/>
  <c r="N360" i="3"/>
  <c r="M360" i="3"/>
  <c r="L360" i="3"/>
  <c r="O359" i="3"/>
  <c r="N359" i="3"/>
  <c r="M359" i="3"/>
  <c r="L359" i="3"/>
  <c r="O358" i="3"/>
  <c r="N358" i="3"/>
  <c r="M358" i="3"/>
  <c r="L358" i="3"/>
  <c r="O357" i="3"/>
  <c r="N357" i="3"/>
  <c r="M357" i="3"/>
  <c r="L357" i="3"/>
  <c r="O356" i="3"/>
  <c r="N356" i="3"/>
  <c r="M356" i="3"/>
  <c r="L356" i="3"/>
  <c r="O355" i="3"/>
  <c r="N355" i="3"/>
  <c r="M355" i="3"/>
  <c r="L355" i="3"/>
  <c r="O354" i="3"/>
  <c r="N354" i="3"/>
  <c r="M354" i="3"/>
  <c r="L354" i="3"/>
  <c r="O353" i="3"/>
  <c r="N353" i="3"/>
  <c r="M353" i="3"/>
  <c r="L353" i="3"/>
  <c r="O352" i="3"/>
  <c r="N352" i="3"/>
  <c r="M352" i="3"/>
  <c r="L352" i="3"/>
  <c r="O351" i="3"/>
  <c r="N351" i="3"/>
  <c r="M351" i="3"/>
  <c r="L351" i="3"/>
  <c r="O350" i="3"/>
  <c r="N350" i="3"/>
  <c r="M350" i="3"/>
  <c r="L350" i="3"/>
  <c r="O349" i="3"/>
  <c r="N349" i="3"/>
  <c r="M349" i="3"/>
  <c r="L349" i="3"/>
  <c r="O348" i="3"/>
  <c r="N348" i="3"/>
  <c r="M348" i="3"/>
  <c r="L348" i="3"/>
  <c r="O347" i="3"/>
  <c r="N347" i="3"/>
  <c r="M347" i="3"/>
  <c r="L347" i="3"/>
  <c r="O346" i="3"/>
  <c r="N346" i="3"/>
  <c r="M346" i="3"/>
  <c r="L346" i="3"/>
  <c r="O345" i="3"/>
  <c r="N345" i="3"/>
  <c r="M345" i="3"/>
  <c r="L345" i="3"/>
  <c r="O344" i="3"/>
  <c r="N344" i="3"/>
  <c r="M344" i="3"/>
  <c r="L344" i="3"/>
  <c r="O343" i="3"/>
  <c r="N343" i="3"/>
  <c r="M343" i="3"/>
  <c r="L343" i="3"/>
  <c r="O342" i="3"/>
  <c r="N342" i="3"/>
  <c r="M342" i="3"/>
  <c r="L342" i="3"/>
  <c r="O341" i="3"/>
  <c r="N341" i="3"/>
  <c r="M341" i="3"/>
  <c r="L341" i="3"/>
  <c r="O340" i="3"/>
  <c r="N340" i="3"/>
  <c r="M340" i="3"/>
  <c r="L340" i="3"/>
  <c r="O339" i="3"/>
  <c r="N339" i="3"/>
  <c r="M339" i="3"/>
  <c r="L339" i="3"/>
  <c r="O338" i="3"/>
  <c r="N338" i="3"/>
  <c r="M338" i="3"/>
  <c r="L338" i="3"/>
  <c r="O337" i="3"/>
  <c r="N337" i="3"/>
  <c r="M337" i="3"/>
  <c r="L337" i="3"/>
  <c r="O336" i="3"/>
  <c r="N336" i="3"/>
  <c r="M336" i="3"/>
  <c r="L336" i="3"/>
  <c r="O335" i="3"/>
  <c r="N335" i="3"/>
  <c r="M335" i="3"/>
  <c r="L335" i="3"/>
  <c r="O334" i="3"/>
  <c r="N334" i="3"/>
  <c r="M334" i="3"/>
  <c r="L334" i="3"/>
  <c r="O333" i="3"/>
  <c r="N333" i="3"/>
  <c r="M333" i="3"/>
  <c r="L333" i="3"/>
  <c r="O332" i="3"/>
  <c r="N332" i="3"/>
  <c r="M332" i="3"/>
  <c r="L332" i="3"/>
  <c r="O331" i="3"/>
  <c r="N331" i="3"/>
  <c r="M331" i="3"/>
  <c r="L331" i="3"/>
  <c r="O330" i="3"/>
  <c r="N330" i="3"/>
  <c r="M330" i="3"/>
  <c r="L330" i="3"/>
  <c r="O329" i="3"/>
  <c r="N329" i="3"/>
  <c r="M329" i="3"/>
  <c r="L329" i="3"/>
  <c r="O328" i="3"/>
  <c r="N328" i="3"/>
  <c r="M328" i="3"/>
  <c r="L328" i="3"/>
  <c r="O327" i="3"/>
  <c r="N327" i="3"/>
  <c r="M327" i="3"/>
  <c r="L327" i="3"/>
  <c r="O326" i="3"/>
  <c r="N326" i="3"/>
  <c r="M326" i="3"/>
  <c r="L326" i="3"/>
  <c r="O325" i="3"/>
  <c r="N325" i="3"/>
  <c r="M325" i="3"/>
  <c r="L325" i="3"/>
  <c r="O324" i="3"/>
  <c r="N324" i="3"/>
  <c r="M324" i="3"/>
  <c r="L324" i="3"/>
  <c r="O323" i="3"/>
  <c r="N323" i="3"/>
  <c r="M323" i="3"/>
  <c r="L323" i="3"/>
  <c r="O322" i="3"/>
  <c r="N322" i="3"/>
  <c r="M322" i="3"/>
  <c r="L322" i="3"/>
  <c r="O321" i="3"/>
  <c r="N321" i="3"/>
  <c r="M321" i="3"/>
  <c r="L321" i="3"/>
  <c r="O320" i="3"/>
  <c r="N320" i="3"/>
  <c r="M320" i="3"/>
  <c r="L320" i="3"/>
  <c r="O319" i="3"/>
  <c r="N319" i="3"/>
  <c r="M319" i="3"/>
  <c r="L319" i="3"/>
  <c r="O318" i="3"/>
  <c r="N318" i="3"/>
  <c r="M318" i="3"/>
  <c r="L318" i="3"/>
  <c r="O317" i="3"/>
  <c r="N317" i="3"/>
  <c r="M317" i="3"/>
  <c r="L317" i="3"/>
  <c r="O316" i="3"/>
  <c r="N316" i="3"/>
  <c r="M316" i="3"/>
  <c r="L316" i="3"/>
  <c r="O315" i="3"/>
  <c r="N315" i="3"/>
  <c r="M315" i="3"/>
  <c r="L315" i="3"/>
  <c r="O314" i="3"/>
  <c r="N314" i="3"/>
  <c r="M314" i="3"/>
  <c r="L314" i="3"/>
  <c r="O313" i="3"/>
  <c r="N313" i="3"/>
  <c r="M313" i="3"/>
  <c r="L313" i="3"/>
  <c r="O312" i="3"/>
  <c r="N312" i="3"/>
  <c r="M312" i="3"/>
  <c r="L312" i="3"/>
  <c r="O311" i="3"/>
  <c r="N311" i="3"/>
  <c r="M311" i="3"/>
  <c r="L311" i="3"/>
  <c r="O310" i="3"/>
  <c r="N310" i="3"/>
  <c r="M310" i="3"/>
  <c r="L310" i="3"/>
  <c r="O309" i="3"/>
  <c r="N309" i="3"/>
  <c r="M309" i="3"/>
  <c r="L309" i="3"/>
  <c r="O308" i="3"/>
  <c r="N308" i="3"/>
  <c r="M308" i="3"/>
  <c r="L308" i="3"/>
  <c r="O307" i="3"/>
  <c r="N307" i="3"/>
  <c r="M307" i="3"/>
  <c r="L307" i="3"/>
  <c r="O306" i="3"/>
  <c r="N306" i="3"/>
  <c r="M306" i="3"/>
  <c r="L306" i="3"/>
  <c r="O305" i="3"/>
  <c r="N305" i="3"/>
  <c r="M305" i="3"/>
  <c r="L305" i="3"/>
  <c r="O304" i="3"/>
  <c r="N304" i="3"/>
  <c r="M304" i="3"/>
  <c r="L304" i="3"/>
  <c r="O303" i="3"/>
  <c r="N303" i="3"/>
  <c r="M303" i="3"/>
  <c r="L303" i="3"/>
  <c r="O302" i="3"/>
  <c r="N302" i="3"/>
  <c r="M302" i="3"/>
  <c r="L302" i="3"/>
  <c r="O301" i="3"/>
  <c r="N301" i="3"/>
  <c r="M301" i="3"/>
  <c r="L301" i="3"/>
  <c r="O300" i="3"/>
  <c r="N300" i="3"/>
  <c r="M300" i="3"/>
  <c r="L300" i="3"/>
  <c r="O299" i="3"/>
  <c r="N299" i="3"/>
  <c r="M299" i="3"/>
  <c r="L299" i="3"/>
  <c r="O298" i="3"/>
  <c r="N298" i="3"/>
  <c r="M298" i="3"/>
  <c r="L298" i="3"/>
  <c r="O297" i="3"/>
  <c r="N297" i="3"/>
  <c r="M297" i="3"/>
  <c r="L297" i="3"/>
  <c r="O296" i="3"/>
  <c r="N296" i="3"/>
  <c r="M296" i="3"/>
  <c r="L296" i="3"/>
  <c r="O295" i="3"/>
  <c r="N295" i="3"/>
  <c r="M295" i="3"/>
  <c r="L295" i="3"/>
  <c r="O294" i="3"/>
  <c r="N294" i="3"/>
  <c r="M294" i="3"/>
  <c r="L294" i="3"/>
  <c r="O293" i="3"/>
  <c r="N293" i="3"/>
  <c r="M293" i="3"/>
  <c r="L293" i="3"/>
  <c r="O292" i="3"/>
  <c r="N292" i="3"/>
  <c r="M292" i="3"/>
  <c r="L292" i="3"/>
  <c r="O291" i="3"/>
  <c r="N291" i="3"/>
  <c r="M291" i="3"/>
  <c r="L291" i="3"/>
  <c r="O290" i="3"/>
  <c r="N290" i="3"/>
  <c r="M290" i="3"/>
  <c r="L290" i="3"/>
  <c r="O289" i="3"/>
  <c r="N289" i="3"/>
  <c r="M289" i="3"/>
  <c r="L289" i="3"/>
  <c r="O288" i="3"/>
  <c r="N288" i="3"/>
  <c r="M288" i="3"/>
  <c r="L288" i="3"/>
  <c r="O287" i="3"/>
  <c r="N287" i="3"/>
  <c r="M287" i="3"/>
  <c r="L287" i="3"/>
  <c r="O286" i="3"/>
  <c r="N286" i="3"/>
  <c r="M286" i="3"/>
  <c r="L286" i="3"/>
  <c r="O285" i="3"/>
  <c r="N285" i="3"/>
  <c r="M285" i="3"/>
  <c r="L285" i="3"/>
  <c r="O284" i="3"/>
  <c r="N284" i="3"/>
  <c r="M284" i="3"/>
  <c r="L284" i="3"/>
  <c r="O283" i="3"/>
  <c r="N283" i="3"/>
  <c r="M283" i="3"/>
  <c r="L283" i="3"/>
  <c r="O282" i="3"/>
  <c r="N282" i="3"/>
  <c r="M282" i="3"/>
  <c r="L282" i="3"/>
  <c r="O281" i="3"/>
  <c r="N281" i="3"/>
  <c r="M281" i="3"/>
  <c r="L281" i="3"/>
  <c r="O280" i="3"/>
  <c r="N280" i="3"/>
  <c r="M280" i="3"/>
  <c r="L280" i="3"/>
  <c r="O279" i="3"/>
  <c r="N279" i="3"/>
  <c r="M279" i="3"/>
  <c r="L279" i="3"/>
  <c r="O278" i="3"/>
  <c r="N278" i="3"/>
  <c r="M278" i="3"/>
  <c r="L278" i="3"/>
  <c r="O277" i="3"/>
  <c r="N277" i="3"/>
  <c r="M277" i="3"/>
  <c r="L277" i="3"/>
  <c r="O276" i="3"/>
  <c r="N276" i="3"/>
  <c r="M276" i="3"/>
  <c r="L276" i="3"/>
  <c r="O275" i="3"/>
  <c r="N275" i="3"/>
  <c r="M275" i="3"/>
  <c r="L275" i="3"/>
  <c r="O274" i="3"/>
  <c r="N274" i="3"/>
  <c r="M274" i="3"/>
  <c r="L274" i="3"/>
  <c r="O273" i="3"/>
  <c r="N273" i="3"/>
  <c r="M273" i="3"/>
  <c r="L273" i="3"/>
  <c r="O272" i="3"/>
  <c r="N272" i="3"/>
  <c r="M272" i="3"/>
  <c r="L272" i="3"/>
  <c r="O271" i="3"/>
  <c r="N271" i="3"/>
  <c r="M271" i="3"/>
  <c r="L271" i="3"/>
  <c r="O270" i="3"/>
  <c r="N270" i="3"/>
  <c r="M270" i="3"/>
  <c r="L270" i="3"/>
  <c r="O269" i="3"/>
  <c r="N269" i="3"/>
  <c r="M269" i="3"/>
  <c r="L269" i="3"/>
  <c r="O268" i="3"/>
  <c r="N268" i="3"/>
  <c r="M268" i="3"/>
  <c r="L268" i="3"/>
  <c r="O267" i="3"/>
  <c r="N267" i="3"/>
  <c r="M267" i="3"/>
  <c r="L267" i="3"/>
  <c r="O266" i="3"/>
  <c r="N266" i="3"/>
  <c r="M266" i="3"/>
  <c r="L266" i="3"/>
  <c r="O265" i="3"/>
  <c r="N265" i="3"/>
  <c r="M265" i="3"/>
  <c r="L265" i="3"/>
  <c r="O264" i="3"/>
  <c r="N264" i="3"/>
  <c r="M264" i="3"/>
  <c r="L264" i="3"/>
  <c r="O263" i="3"/>
  <c r="N263" i="3"/>
  <c r="M263" i="3"/>
  <c r="L263" i="3"/>
  <c r="O262" i="3"/>
  <c r="N262" i="3"/>
  <c r="M262" i="3"/>
  <c r="L262" i="3"/>
  <c r="O261" i="3"/>
  <c r="N261" i="3"/>
  <c r="M261" i="3"/>
  <c r="L261" i="3"/>
  <c r="O260" i="3"/>
  <c r="N260" i="3"/>
  <c r="M260" i="3"/>
  <c r="L260" i="3"/>
  <c r="O259" i="3"/>
  <c r="N259" i="3"/>
  <c r="M259" i="3"/>
  <c r="L259" i="3"/>
  <c r="O258" i="3"/>
  <c r="N258" i="3"/>
  <c r="M258" i="3"/>
  <c r="L258" i="3"/>
  <c r="O257" i="3"/>
  <c r="N257" i="3"/>
  <c r="M257" i="3"/>
  <c r="L257" i="3"/>
  <c r="O256" i="3"/>
  <c r="N256" i="3"/>
  <c r="M256" i="3"/>
  <c r="L256" i="3"/>
  <c r="O255" i="3"/>
  <c r="N255" i="3"/>
  <c r="M255" i="3"/>
  <c r="L255" i="3"/>
  <c r="O254" i="3"/>
  <c r="N254" i="3"/>
  <c r="M254" i="3"/>
  <c r="L254" i="3"/>
  <c r="O253" i="3"/>
  <c r="N253" i="3"/>
  <c r="M253" i="3"/>
  <c r="L253" i="3"/>
  <c r="O252" i="3"/>
  <c r="N252" i="3"/>
  <c r="M252" i="3"/>
  <c r="L252" i="3"/>
  <c r="O251" i="3"/>
  <c r="N251" i="3"/>
  <c r="M251" i="3"/>
  <c r="L251" i="3"/>
  <c r="O250" i="3"/>
  <c r="N250" i="3"/>
  <c r="M250" i="3"/>
  <c r="L250" i="3"/>
  <c r="O249" i="3"/>
  <c r="N249" i="3"/>
  <c r="M249" i="3"/>
  <c r="L249" i="3"/>
  <c r="O248" i="3"/>
  <c r="N248" i="3"/>
  <c r="M248" i="3"/>
  <c r="L248" i="3"/>
  <c r="O247" i="3"/>
  <c r="N247" i="3"/>
  <c r="M247" i="3"/>
  <c r="L247" i="3"/>
  <c r="O246" i="3"/>
  <c r="N246" i="3"/>
  <c r="M246" i="3"/>
  <c r="L246" i="3"/>
  <c r="O245" i="3"/>
  <c r="N245" i="3"/>
  <c r="M245" i="3"/>
  <c r="L245" i="3"/>
  <c r="O244" i="3"/>
  <c r="N244" i="3"/>
  <c r="M244" i="3"/>
  <c r="L244" i="3"/>
  <c r="O243" i="3"/>
  <c r="N243" i="3"/>
  <c r="M243" i="3"/>
  <c r="L243" i="3"/>
  <c r="O242" i="3"/>
  <c r="N242" i="3"/>
  <c r="M242" i="3"/>
  <c r="L242" i="3"/>
  <c r="O241" i="3"/>
  <c r="N241" i="3"/>
  <c r="M241" i="3"/>
  <c r="L241" i="3"/>
  <c r="O240" i="3"/>
  <c r="N240" i="3"/>
  <c r="M240" i="3"/>
  <c r="L240" i="3"/>
  <c r="O239" i="3"/>
  <c r="N239" i="3"/>
  <c r="M239" i="3"/>
  <c r="L239" i="3"/>
  <c r="O238" i="3"/>
  <c r="N238" i="3"/>
  <c r="M238" i="3"/>
  <c r="L238" i="3"/>
  <c r="O237" i="3"/>
  <c r="N237" i="3"/>
  <c r="M237" i="3"/>
  <c r="L237" i="3"/>
  <c r="O236" i="3"/>
  <c r="N236" i="3"/>
  <c r="M236" i="3"/>
  <c r="L236" i="3"/>
  <c r="O235" i="3"/>
  <c r="N235" i="3"/>
  <c r="M235" i="3"/>
  <c r="L235" i="3"/>
  <c r="O234" i="3"/>
  <c r="N234" i="3"/>
  <c r="M234" i="3"/>
  <c r="L234" i="3"/>
  <c r="O233" i="3"/>
  <c r="N233" i="3"/>
  <c r="M233" i="3"/>
  <c r="L233" i="3"/>
  <c r="O232" i="3"/>
  <c r="N232" i="3"/>
  <c r="M232" i="3"/>
  <c r="L232" i="3"/>
  <c r="O231" i="3"/>
  <c r="N231" i="3"/>
  <c r="M231" i="3"/>
  <c r="L231" i="3"/>
  <c r="O230" i="3"/>
  <c r="N230" i="3"/>
  <c r="M230" i="3"/>
  <c r="L230" i="3"/>
  <c r="O229" i="3"/>
  <c r="N229" i="3"/>
  <c r="M229" i="3"/>
  <c r="L229" i="3"/>
  <c r="O228" i="3"/>
  <c r="N228" i="3"/>
  <c r="M228" i="3"/>
  <c r="L228" i="3"/>
  <c r="O227" i="3"/>
  <c r="N227" i="3"/>
  <c r="M227" i="3"/>
  <c r="L227" i="3"/>
  <c r="O226" i="3"/>
  <c r="N226" i="3"/>
  <c r="M226" i="3"/>
  <c r="L226" i="3"/>
  <c r="O225" i="3"/>
  <c r="N225" i="3"/>
  <c r="M225" i="3"/>
  <c r="L225" i="3"/>
  <c r="O224" i="3"/>
  <c r="N224" i="3"/>
  <c r="M224" i="3"/>
  <c r="L224" i="3"/>
  <c r="O223" i="3"/>
  <c r="N223" i="3"/>
  <c r="M223" i="3"/>
  <c r="L223" i="3"/>
  <c r="O222" i="3"/>
  <c r="N222" i="3"/>
  <c r="M222" i="3"/>
  <c r="L222" i="3"/>
  <c r="O221" i="3"/>
  <c r="N221" i="3"/>
  <c r="M221" i="3"/>
  <c r="L221" i="3"/>
  <c r="O220" i="3"/>
  <c r="N220" i="3"/>
  <c r="M220" i="3"/>
  <c r="L220" i="3"/>
  <c r="O219" i="3"/>
  <c r="N219" i="3"/>
  <c r="M219" i="3"/>
  <c r="L219" i="3"/>
  <c r="O218" i="3"/>
  <c r="N218" i="3"/>
  <c r="M218" i="3"/>
  <c r="L218" i="3"/>
  <c r="O217" i="3"/>
  <c r="N217" i="3"/>
  <c r="M217" i="3"/>
  <c r="L217" i="3"/>
  <c r="O216" i="3"/>
  <c r="N216" i="3"/>
  <c r="M216" i="3"/>
  <c r="L216" i="3"/>
  <c r="O215" i="3"/>
  <c r="N215" i="3"/>
  <c r="M215" i="3"/>
  <c r="L215" i="3"/>
  <c r="O214" i="3"/>
  <c r="N214" i="3"/>
  <c r="M214" i="3"/>
  <c r="L214" i="3"/>
  <c r="O213" i="3"/>
  <c r="N213" i="3"/>
  <c r="M213" i="3"/>
  <c r="L213" i="3"/>
  <c r="O212" i="3"/>
  <c r="N212" i="3"/>
  <c r="M212" i="3"/>
  <c r="L212" i="3"/>
  <c r="O211" i="3"/>
  <c r="N211" i="3"/>
  <c r="M211" i="3"/>
  <c r="L211" i="3"/>
  <c r="O210" i="3"/>
  <c r="N210" i="3"/>
  <c r="M210" i="3"/>
  <c r="L210" i="3"/>
  <c r="O209" i="3"/>
  <c r="N209" i="3"/>
  <c r="M209" i="3"/>
  <c r="L209" i="3"/>
  <c r="O208" i="3"/>
  <c r="N208" i="3"/>
  <c r="M208" i="3"/>
  <c r="L208" i="3"/>
  <c r="O207" i="3"/>
  <c r="N207" i="3"/>
  <c r="M207" i="3"/>
  <c r="L207" i="3"/>
  <c r="O206" i="3"/>
  <c r="N206" i="3"/>
  <c r="M206" i="3"/>
  <c r="L206" i="3"/>
  <c r="O205" i="3"/>
  <c r="N205" i="3"/>
  <c r="M205" i="3"/>
  <c r="L205" i="3"/>
  <c r="O204" i="3"/>
  <c r="N204" i="3"/>
  <c r="M204" i="3"/>
  <c r="L204" i="3"/>
  <c r="O203" i="3"/>
  <c r="N203" i="3"/>
  <c r="M203" i="3"/>
  <c r="L203" i="3"/>
  <c r="O202" i="3"/>
  <c r="N202" i="3"/>
  <c r="M202" i="3"/>
  <c r="L202" i="3"/>
  <c r="O201" i="3"/>
  <c r="N201" i="3"/>
  <c r="M201" i="3"/>
  <c r="L201" i="3"/>
  <c r="O200" i="3"/>
  <c r="N200" i="3"/>
  <c r="M200" i="3"/>
  <c r="L200" i="3"/>
  <c r="O199" i="3"/>
  <c r="N199" i="3"/>
  <c r="M199" i="3"/>
  <c r="L199" i="3"/>
  <c r="O198" i="3"/>
  <c r="N198" i="3"/>
  <c r="M198" i="3"/>
  <c r="L198" i="3"/>
  <c r="O197" i="3"/>
  <c r="N197" i="3"/>
  <c r="M197" i="3"/>
  <c r="L197" i="3"/>
  <c r="O196" i="3"/>
  <c r="N196" i="3"/>
  <c r="M196" i="3"/>
  <c r="L196" i="3"/>
  <c r="O195" i="3"/>
  <c r="N195" i="3"/>
  <c r="M195" i="3"/>
  <c r="L195" i="3"/>
  <c r="O194" i="3"/>
  <c r="N194" i="3"/>
  <c r="M194" i="3"/>
  <c r="L194" i="3"/>
  <c r="O193" i="3"/>
  <c r="N193" i="3"/>
  <c r="M193" i="3"/>
  <c r="L193" i="3"/>
  <c r="O192" i="3"/>
  <c r="N192" i="3"/>
  <c r="M192" i="3"/>
  <c r="L192" i="3"/>
  <c r="O191" i="3"/>
  <c r="N191" i="3"/>
  <c r="M191" i="3"/>
  <c r="L191" i="3"/>
  <c r="O190" i="3"/>
  <c r="N190" i="3"/>
  <c r="M190" i="3"/>
  <c r="L190" i="3"/>
  <c r="O189" i="3"/>
  <c r="N189" i="3"/>
  <c r="M189" i="3"/>
  <c r="L189" i="3"/>
  <c r="O188" i="3"/>
  <c r="N188" i="3"/>
  <c r="M188" i="3"/>
  <c r="L188" i="3"/>
  <c r="O187" i="3"/>
  <c r="N187" i="3"/>
  <c r="M187" i="3"/>
  <c r="L187" i="3"/>
  <c r="O186" i="3"/>
  <c r="N186" i="3"/>
  <c r="M186" i="3"/>
  <c r="L186" i="3"/>
  <c r="O185" i="3"/>
  <c r="N185" i="3"/>
  <c r="M185" i="3"/>
  <c r="L185" i="3"/>
  <c r="O184" i="3"/>
  <c r="N184" i="3"/>
  <c r="M184" i="3"/>
  <c r="L184" i="3"/>
  <c r="O183" i="3"/>
  <c r="N183" i="3"/>
  <c r="M183" i="3"/>
  <c r="L183" i="3"/>
  <c r="O182" i="3"/>
  <c r="N182" i="3"/>
  <c r="M182" i="3"/>
  <c r="L182" i="3"/>
  <c r="O181" i="3"/>
  <c r="N181" i="3"/>
  <c r="M181" i="3"/>
  <c r="L181" i="3"/>
  <c r="O180" i="3"/>
  <c r="N180" i="3"/>
  <c r="M180" i="3"/>
  <c r="L180" i="3"/>
  <c r="O179" i="3"/>
  <c r="N179" i="3"/>
  <c r="M179" i="3"/>
  <c r="L179" i="3"/>
  <c r="O178" i="3"/>
  <c r="N178" i="3"/>
  <c r="M178" i="3"/>
  <c r="L178" i="3"/>
  <c r="O177" i="3"/>
  <c r="N177" i="3"/>
  <c r="M177" i="3"/>
  <c r="L177" i="3"/>
  <c r="O176" i="3"/>
  <c r="N176" i="3"/>
  <c r="M176" i="3"/>
  <c r="L176" i="3"/>
  <c r="O175" i="3"/>
  <c r="N175" i="3"/>
  <c r="M175" i="3"/>
  <c r="L175" i="3"/>
  <c r="O174" i="3"/>
  <c r="N174" i="3"/>
  <c r="M174" i="3"/>
  <c r="L174" i="3"/>
  <c r="O173" i="3"/>
  <c r="N173" i="3"/>
  <c r="M173" i="3"/>
  <c r="L173" i="3"/>
  <c r="O172" i="3"/>
  <c r="N172" i="3"/>
  <c r="M172" i="3"/>
  <c r="L172" i="3"/>
  <c r="O171" i="3"/>
  <c r="N171" i="3"/>
  <c r="M171" i="3"/>
  <c r="L171" i="3"/>
  <c r="O170" i="3"/>
  <c r="N170" i="3"/>
  <c r="M170" i="3"/>
  <c r="L170" i="3"/>
  <c r="O169" i="3"/>
  <c r="N169" i="3"/>
  <c r="M169" i="3"/>
  <c r="L169" i="3"/>
  <c r="O168" i="3"/>
  <c r="N168" i="3"/>
  <c r="M168" i="3"/>
  <c r="L168" i="3"/>
  <c r="O167" i="3"/>
  <c r="N167" i="3"/>
  <c r="M167" i="3"/>
  <c r="L167" i="3"/>
  <c r="O166" i="3"/>
  <c r="N166" i="3"/>
  <c r="M166" i="3"/>
  <c r="L166" i="3"/>
  <c r="O165" i="3"/>
  <c r="N165" i="3"/>
  <c r="M165" i="3"/>
  <c r="L165" i="3"/>
  <c r="O164" i="3"/>
  <c r="N164" i="3"/>
  <c r="M164" i="3"/>
  <c r="L164" i="3"/>
  <c r="O163" i="3"/>
  <c r="N163" i="3"/>
  <c r="M163" i="3"/>
  <c r="L163" i="3"/>
  <c r="O162" i="3"/>
  <c r="N162" i="3"/>
  <c r="M162" i="3"/>
  <c r="L162" i="3"/>
  <c r="O161" i="3"/>
  <c r="N161" i="3"/>
  <c r="M161" i="3"/>
  <c r="L161" i="3"/>
  <c r="O160" i="3"/>
  <c r="N160" i="3"/>
  <c r="M160" i="3"/>
  <c r="L160" i="3"/>
  <c r="O159" i="3"/>
  <c r="N159" i="3"/>
  <c r="M159" i="3"/>
  <c r="L159" i="3"/>
  <c r="O158" i="3"/>
  <c r="N158" i="3"/>
  <c r="M158" i="3"/>
  <c r="L158" i="3"/>
  <c r="O157" i="3"/>
  <c r="N157" i="3"/>
  <c r="M157" i="3"/>
  <c r="L157" i="3"/>
  <c r="O156" i="3"/>
  <c r="N156" i="3"/>
  <c r="M156" i="3"/>
  <c r="L156" i="3"/>
  <c r="O155" i="3"/>
  <c r="N155" i="3"/>
  <c r="M155" i="3"/>
  <c r="L155" i="3"/>
  <c r="O154" i="3"/>
  <c r="N154" i="3"/>
  <c r="M154" i="3"/>
  <c r="L154" i="3"/>
  <c r="O153" i="3"/>
  <c r="N153" i="3"/>
  <c r="M153" i="3"/>
  <c r="L153" i="3"/>
  <c r="O152" i="3"/>
  <c r="N152" i="3"/>
  <c r="M152" i="3"/>
  <c r="L152" i="3"/>
  <c r="O151" i="3"/>
  <c r="N151" i="3"/>
  <c r="M151" i="3"/>
  <c r="L151" i="3"/>
  <c r="O150" i="3"/>
  <c r="N150" i="3"/>
  <c r="M150" i="3"/>
  <c r="L150" i="3"/>
  <c r="O149" i="3"/>
  <c r="N149" i="3"/>
  <c r="M149" i="3"/>
  <c r="L149" i="3"/>
  <c r="O148" i="3"/>
  <c r="N148" i="3"/>
  <c r="M148" i="3"/>
  <c r="L148" i="3"/>
  <c r="O147" i="3"/>
  <c r="N147" i="3"/>
  <c r="M147" i="3"/>
  <c r="L147" i="3"/>
  <c r="O146" i="3"/>
  <c r="N146" i="3"/>
  <c r="M146" i="3"/>
  <c r="L146" i="3"/>
  <c r="O145" i="3"/>
  <c r="N145" i="3"/>
  <c r="M145" i="3"/>
  <c r="L145" i="3"/>
  <c r="O144" i="3"/>
  <c r="N144" i="3"/>
  <c r="M144" i="3"/>
  <c r="L144" i="3"/>
  <c r="O143" i="3"/>
  <c r="N143" i="3"/>
  <c r="M143" i="3"/>
  <c r="L143" i="3"/>
  <c r="O142" i="3"/>
  <c r="N142" i="3"/>
  <c r="M142" i="3"/>
  <c r="L142" i="3"/>
  <c r="O141" i="3"/>
  <c r="N141" i="3"/>
  <c r="M141" i="3"/>
  <c r="L141" i="3"/>
  <c r="O140" i="3"/>
  <c r="N140" i="3"/>
  <c r="M140" i="3"/>
  <c r="L140" i="3"/>
  <c r="O139" i="3"/>
  <c r="N139" i="3"/>
  <c r="M139" i="3"/>
  <c r="L139" i="3"/>
  <c r="O138" i="3"/>
  <c r="N138" i="3"/>
  <c r="M138" i="3"/>
  <c r="L138" i="3"/>
  <c r="O137" i="3"/>
  <c r="N137" i="3"/>
  <c r="M137" i="3"/>
  <c r="L137" i="3"/>
  <c r="O136" i="3"/>
  <c r="N136" i="3"/>
  <c r="M136" i="3"/>
  <c r="L136" i="3"/>
  <c r="O135" i="3"/>
  <c r="N135" i="3"/>
  <c r="M135" i="3"/>
  <c r="L135" i="3"/>
  <c r="O134" i="3"/>
  <c r="N134" i="3"/>
  <c r="M134" i="3"/>
  <c r="L134" i="3"/>
  <c r="O133" i="3"/>
  <c r="N133" i="3"/>
  <c r="M133" i="3"/>
  <c r="L133" i="3"/>
  <c r="O132" i="3"/>
  <c r="N132" i="3"/>
  <c r="M132" i="3"/>
  <c r="L132" i="3"/>
  <c r="O131" i="3"/>
  <c r="N131" i="3"/>
  <c r="M131" i="3"/>
  <c r="L131" i="3"/>
  <c r="O130" i="3"/>
  <c r="N130" i="3"/>
  <c r="M130" i="3"/>
  <c r="L130" i="3"/>
  <c r="O129" i="3"/>
  <c r="N129" i="3"/>
  <c r="M129" i="3"/>
  <c r="L129" i="3"/>
  <c r="O128" i="3"/>
  <c r="N128" i="3"/>
  <c r="M128" i="3"/>
  <c r="L128" i="3"/>
  <c r="O127" i="3"/>
  <c r="N127" i="3"/>
  <c r="M127" i="3"/>
  <c r="L127" i="3"/>
  <c r="O126" i="3"/>
  <c r="N126" i="3"/>
  <c r="M126" i="3"/>
  <c r="L126" i="3"/>
  <c r="O125" i="3"/>
  <c r="N125" i="3"/>
  <c r="M125" i="3"/>
  <c r="L125" i="3"/>
  <c r="O124" i="3"/>
  <c r="N124" i="3"/>
  <c r="M124" i="3"/>
  <c r="L124" i="3"/>
  <c r="O123" i="3"/>
  <c r="N123" i="3"/>
  <c r="M123" i="3"/>
  <c r="L123" i="3"/>
  <c r="O122" i="3"/>
  <c r="N122" i="3"/>
  <c r="M122" i="3"/>
  <c r="L122" i="3"/>
  <c r="O121" i="3"/>
  <c r="N121" i="3"/>
  <c r="M121" i="3"/>
  <c r="L121" i="3"/>
  <c r="O120" i="3"/>
  <c r="N120" i="3"/>
  <c r="M120" i="3"/>
  <c r="L120" i="3"/>
  <c r="O119" i="3"/>
  <c r="N119" i="3"/>
  <c r="M119" i="3"/>
  <c r="L119" i="3"/>
  <c r="O118" i="3"/>
  <c r="N118" i="3"/>
  <c r="M118" i="3"/>
  <c r="L118" i="3"/>
  <c r="O117" i="3"/>
  <c r="N117" i="3"/>
  <c r="M117" i="3"/>
  <c r="L117" i="3"/>
  <c r="O116" i="3"/>
  <c r="N116" i="3"/>
  <c r="M116" i="3"/>
  <c r="L116" i="3"/>
  <c r="O115" i="3"/>
  <c r="N115" i="3"/>
  <c r="M115" i="3"/>
  <c r="L115" i="3"/>
  <c r="O114" i="3"/>
  <c r="N114" i="3"/>
  <c r="M114" i="3"/>
  <c r="L114" i="3"/>
  <c r="O113" i="3"/>
  <c r="N113" i="3"/>
  <c r="M113" i="3"/>
  <c r="L113" i="3"/>
  <c r="O112" i="3"/>
  <c r="N112" i="3"/>
  <c r="M112" i="3"/>
  <c r="L112" i="3"/>
  <c r="O111" i="3"/>
  <c r="N111" i="3"/>
  <c r="M111" i="3"/>
  <c r="L111" i="3"/>
  <c r="O110" i="3"/>
  <c r="N110" i="3"/>
  <c r="M110" i="3"/>
  <c r="L110" i="3"/>
  <c r="O109" i="3"/>
  <c r="N109" i="3"/>
  <c r="M109" i="3"/>
  <c r="L109" i="3"/>
  <c r="O108" i="3"/>
  <c r="N108" i="3"/>
  <c r="M108" i="3"/>
  <c r="L108" i="3"/>
  <c r="O107" i="3"/>
  <c r="N107" i="3"/>
  <c r="M107" i="3"/>
  <c r="L107" i="3"/>
  <c r="O106" i="3"/>
  <c r="N106" i="3"/>
  <c r="M106" i="3"/>
  <c r="L106" i="3"/>
  <c r="O105" i="3"/>
  <c r="N105" i="3"/>
  <c r="M105" i="3"/>
  <c r="L105" i="3"/>
  <c r="O104" i="3"/>
  <c r="N104" i="3"/>
  <c r="M104" i="3"/>
  <c r="L104" i="3"/>
  <c r="O103" i="3"/>
  <c r="N103" i="3"/>
  <c r="M103" i="3"/>
  <c r="L103" i="3"/>
  <c r="O102" i="3"/>
  <c r="N102" i="3"/>
  <c r="M102" i="3"/>
  <c r="L102" i="3"/>
  <c r="O101" i="3"/>
  <c r="N101" i="3"/>
  <c r="M101" i="3"/>
  <c r="L101" i="3"/>
  <c r="O100" i="3"/>
  <c r="N100" i="3"/>
  <c r="M100" i="3"/>
  <c r="L100" i="3"/>
  <c r="O99" i="3"/>
  <c r="N99" i="3"/>
  <c r="M99" i="3"/>
  <c r="L99" i="3"/>
  <c r="O98" i="3"/>
  <c r="N98" i="3"/>
  <c r="M98" i="3"/>
  <c r="L98" i="3"/>
  <c r="O97" i="3"/>
  <c r="N97" i="3"/>
  <c r="M97" i="3"/>
  <c r="L97" i="3"/>
  <c r="O96" i="3"/>
  <c r="N96" i="3"/>
  <c r="M96" i="3"/>
  <c r="L96" i="3"/>
  <c r="O95" i="3"/>
  <c r="N95" i="3"/>
  <c r="M95" i="3"/>
  <c r="L95" i="3"/>
  <c r="O94" i="3"/>
  <c r="N94" i="3"/>
  <c r="M94" i="3"/>
  <c r="L94" i="3"/>
  <c r="O93" i="3"/>
  <c r="N93" i="3"/>
  <c r="M93" i="3"/>
  <c r="L93" i="3"/>
  <c r="O92" i="3"/>
  <c r="N92" i="3"/>
  <c r="M92" i="3"/>
  <c r="L92" i="3"/>
  <c r="O91" i="3"/>
  <c r="N91" i="3"/>
  <c r="M91" i="3"/>
  <c r="L91" i="3"/>
  <c r="O90" i="3"/>
  <c r="N90" i="3"/>
  <c r="M90" i="3"/>
  <c r="L90" i="3"/>
  <c r="O89" i="3"/>
  <c r="N89" i="3"/>
  <c r="M89" i="3"/>
  <c r="L89" i="3"/>
  <c r="O88" i="3"/>
  <c r="N88" i="3"/>
  <c r="M88" i="3"/>
  <c r="L88" i="3"/>
  <c r="O87" i="3"/>
  <c r="N87" i="3"/>
  <c r="M87" i="3"/>
  <c r="L87" i="3"/>
  <c r="O86" i="3"/>
  <c r="N86" i="3"/>
  <c r="M86" i="3"/>
  <c r="L86" i="3"/>
  <c r="O85" i="3"/>
  <c r="N85" i="3"/>
  <c r="M85" i="3"/>
  <c r="L85" i="3"/>
  <c r="O84" i="3"/>
  <c r="N84" i="3"/>
  <c r="M84" i="3"/>
  <c r="L84" i="3"/>
  <c r="O83" i="3"/>
  <c r="N83" i="3"/>
  <c r="M83" i="3"/>
  <c r="L83" i="3"/>
  <c r="O82" i="3"/>
  <c r="N82" i="3"/>
  <c r="M82" i="3"/>
  <c r="L82" i="3"/>
  <c r="O81" i="3"/>
  <c r="N81" i="3"/>
  <c r="M81" i="3"/>
  <c r="L81" i="3"/>
  <c r="O80" i="3"/>
  <c r="N80" i="3"/>
  <c r="M80" i="3"/>
  <c r="L80" i="3"/>
  <c r="O79" i="3"/>
  <c r="N79" i="3"/>
  <c r="M79" i="3"/>
  <c r="L79" i="3"/>
  <c r="O78" i="3"/>
  <c r="N78" i="3"/>
  <c r="M78" i="3"/>
  <c r="L78" i="3"/>
  <c r="O77" i="3"/>
  <c r="N77" i="3"/>
  <c r="M77" i="3"/>
  <c r="L77" i="3"/>
  <c r="O76" i="3"/>
  <c r="N76" i="3"/>
  <c r="M76" i="3"/>
  <c r="L76" i="3"/>
  <c r="O75" i="3"/>
  <c r="N75" i="3"/>
  <c r="M75" i="3"/>
  <c r="L75" i="3"/>
  <c r="O74" i="3"/>
  <c r="N74" i="3"/>
  <c r="M74" i="3"/>
  <c r="L74" i="3"/>
  <c r="O73" i="3"/>
  <c r="N73" i="3"/>
  <c r="M73" i="3"/>
  <c r="L73" i="3"/>
  <c r="O72" i="3"/>
  <c r="N72" i="3"/>
  <c r="M72" i="3"/>
  <c r="L72" i="3"/>
  <c r="O71" i="3"/>
  <c r="N71" i="3"/>
  <c r="M71" i="3"/>
  <c r="L71" i="3"/>
  <c r="O70" i="3"/>
  <c r="N70" i="3"/>
  <c r="M70" i="3"/>
  <c r="L70" i="3"/>
  <c r="O69" i="3"/>
  <c r="N69" i="3"/>
  <c r="M69" i="3"/>
  <c r="L69" i="3"/>
  <c r="O68" i="3"/>
  <c r="N68" i="3"/>
  <c r="M68" i="3"/>
  <c r="L68" i="3"/>
  <c r="O67" i="3"/>
  <c r="N67" i="3"/>
  <c r="M67" i="3"/>
  <c r="L67" i="3"/>
  <c r="O66" i="3"/>
  <c r="N66" i="3"/>
  <c r="M66" i="3"/>
  <c r="L66" i="3"/>
  <c r="O65" i="3"/>
  <c r="N65" i="3"/>
  <c r="M65" i="3"/>
  <c r="L65" i="3"/>
  <c r="O64" i="3"/>
  <c r="N64" i="3"/>
  <c r="M64" i="3"/>
  <c r="L64" i="3"/>
  <c r="O63" i="3"/>
  <c r="N63" i="3"/>
  <c r="M63" i="3"/>
  <c r="L63" i="3"/>
  <c r="O62" i="3"/>
  <c r="N62" i="3"/>
  <c r="M62" i="3"/>
  <c r="L62" i="3"/>
  <c r="O61" i="3"/>
  <c r="N61" i="3"/>
  <c r="M61" i="3"/>
  <c r="L61" i="3"/>
  <c r="O60" i="3"/>
  <c r="N60" i="3"/>
  <c r="M60" i="3"/>
  <c r="L60" i="3"/>
  <c r="O59" i="3"/>
  <c r="N59" i="3"/>
  <c r="M59" i="3"/>
  <c r="L59" i="3"/>
  <c r="O58" i="3"/>
  <c r="N58" i="3"/>
  <c r="M58" i="3"/>
  <c r="L58" i="3"/>
  <c r="O57" i="3"/>
  <c r="N57" i="3"/>
  <c r="M57" i="3"/>
  <c r="L57" i="3"/>
  <c r="O56" i="3"/>
  <c r="N56" i="3"/>
  <c r="M56" i="3"/>
  <c r="L56" i="3"/>
  <c r="O55" i="3"/>
  <c r="N55" i="3"/>
  <c r="M55" i="3"/>
  <c r="L55" i="3"/>
  <c r="O54" i="3"/>
  <c r="N54" i="3"/>
  <c r="M54" i="3"/>
  <c r="L54" i="3"/>
  <c r="O53" i="3"/>
  <c r="N53" i="3"/>
  <c r="M53" i="3"/>
  <c r="L53" i="3"/>
  <c r="O52" i="3"/>
  <c r="N52" i="3"/>
  <c r="M52" i="3"/>
  <c r="L52" i="3"/>
  <c r="O51" i="3"/>
  <c r="N51" i="3"/>
  <c r="M51" i="3"/>
  <c r="L51" i="3"/>
  <c r="O50" i="3"/>
  <c r="N50" i="3"/>
  <c r="M50" i="3"/>
  <c r="L50" i="3"/>
  <c r="O49" i="3"/>
  <c r="N49" i="3"/>
  <c r="M49" i="3"/>
  <c r="L49" i="3"/>
  <c r="O48" i="3"/>
  <c r="N48" i="3"/>
  <c r="M48" i="3"/>
  <c r="L48" i="3"/>
  <c r="O47" i="3"/>
  <c r="N47" i="3"/>
  <c r="M47" i="3"/>
  <c r="L47" i="3"/>
  <c r="O46" i="3"/>
  <c r="N46" i="3"/>
  <c r="M46" i="3"/>
  <c r="L46" i="3"/>
  <c r="O45" i="3"/>
  <c r="N45" i="3"/>
  <c r="M45" i="3"/>
  <c r="L45" i="3"/>
  <c r="O44" i="3"/>
  <c r="N44" i="3"/>
  <c r="M44" i="3"/>
  <c r="L44" i="3"/>
  <c r="O43" i="3"/>
  <c r="N43" i="3"/>
  <c r="M43" i="3"/>
  <c r="L43" i="3"/>
  <c r="O42" i="3"/>
  <c r="N42" i="3"/>
  <c r="M42" i="3"/>
  <c r="L42" i="3"/>
  <c r="O41" i="3"/>
  <c r="N41" i="3"/>
  <c r="M41" i="3"/>
  <c r="L41" i="3"/>
  <c r="O40" i="3"/>
  <c r="N40" i="3"/>
  <c r="M40" i="3"/>
  <c r="L40" i="3"/>
  <c r="O39" i="3"/>
  <c r="N39" i="3"/>
  <c r="M39" i="3"/>
  <c r="L39" i="3"/>
  <c r="O38" i="3"/>
  <c r="N38" i="3"/>
  <c r="M38" i="3"/>
  <c r="L38" i="3"/>
  <c r="O37" i="3"/>
  <c r="N37" i="3"/>
  <c r="M37" i="3"/>
  <c r="L37" i="3"/>
  <c r="O36" i="3"/>
  <c r="N36" i="3"/>
  <c r="M36" i="3"/>
  <c r="L36" i="3"/>
  <c r="O35" i="3"/>
  <c r="N35" i="3"/>
  <c r="M35" i="3"/>
  <c r="L35" i="3"/>
  <c r="O34" i="3"/>
  <c r="N34" i="3"/>
  <c r="M34" i="3"/>
  <c r="L34" i="3"/>
  <c r="O33" i="3"/>
  <c r="N33" i="3"/>
  <c r="M33" i="3"/>
  <c r="L33" i="3"/>
  <c r="O32" i="3"/>
  <c r="N32" i="3"/>
  <c r="M32" i="3"/>
  <c r="L32" i="3"/>
  <c r="O31" i="3"/>
  <c r="N31" i="3"/>
  <c r="M31" i="3"/>
  <c r="L31" i="3"/>
  <c r="O30" i="3"/>
  <c r="N30" i="3"/>
  <c r="M30" i="3"/>
  <c r="L30" i="3"/>
  <c r="O29" i="3"/>
  <c r="N29" i="3"/>
  <c r="M29" i="3"/>
  <c r="L29" i="3"/>
  <c r="O28" i="3"/>
  <c r="N28" i="3"/>
  <c r="M28" i="3"/>
  <c r="L28" i="3"/>
  <c r="O27" i="3"/>
  <c r="N27" i="3"/>
  <c r="M27" i="3"/>
  <c r="L27" i="3"/>
  <c r="O26" i="3"/>
  <c r="N26" i="3"/>
  <c r="M26" i="3"/>
  <c r="L26" i="3"/>
  <c r="O25" i="3"/>
  <c r="N25" i="3"/>
  <c r="M25" i="3"/>
  <c r="L25" i="3"/>
  <c r="O24" i="3"/>
  <c r="N24" i="3"/>
  <c r="M24" i="3"/>
  <c r="L24" i="3"/>
  <c r="O23" i="3"/>
  <c r="N23" i="3"/>
  <c r="M23" i="3"/>
  <c r="L23" i="3"/>
  <c r="O22" i="3"/>
  <c r="N22" i="3"/>
  <c r="M22" i="3"/>
  <c r="L22" i="3"/>
  <c r="O21" i="3"/>
  <c r="N21" i="3"/>
  <c r="M21" i="3"/>
  <c r="L21" i="3"/>
  <c r="O20" i="3"/>
  <c r="N20" i="3"/>
  <c r="M20" i="3"/>
  <c r="L20" i="3"/>
  <c r="O19" i="3"/>
  <c r="N19" i="3"/>
  <c r="M19" i="3"/>
  <c r="L19" i="3"/>
  <c r="O18" i="3"/>
  <c r="N18" i="3"/>
  <c r="M18" i="3"/>
  <c r="L18" i="3"/>
  <c r="O17" i="3"/>
  <c r="N17" i="3"/>
  <c r="M17" i="3"/>
  <c r="L17" i="3"/>
  <c r="O16" i="3"/>
  <c r="N16" i="3"/>
  <c r="M16" i="3"/>
  <c r="L16" i="3"/>
  <c r="O15" i="3"/>
  <c r="N15" i="3"/>
  <c r="M15" i="3"/>
  <c r="L15" i="3"/>
  <c r="O14" i="3"/>
  <c r="N14" i="3"/>
  <c r="M14" i="3"/>
  <c r="L14" i="3"/>
  <c r="O13" i="3"/>
  <c r="N13" i="3"/>
  <c r="M13" i="3"/>
  <c r="L13" i="3"/>
  <c r="O12" i="3"/>
  <c r="N12" i="3"/>
  <c r="M12" i="3"/>
  <c r="L12" i="3"/>
  <c r="O11" i="3"/>
  <c r="N11" i="3"/>
  <c r="M11" i="3"/>
  <c r="L11" i="3"/>
  <c r="O10" i="3"/>
  <c r="N10" i="3"/>
  <c r="M10" i="3"/>
  <c r="L10" i="3"/>
  <c r="O9" i="3"/>
  <c r="N9" i="3"/>
  <c r="M9" i="3"/>
  <c r="L9" i="3"/>
  <c r="O8" i="3"/>
  <c r="N8" i="3"/>
  <c r="M8" i="3"/>
  <c r="L8" i="3"/>
  <c r="O7" i="3"/>
  <c r="N7" i="3"/>
  <c r="M7" i="3"/>
  <c r="L7" i="3"/>
  <c r="O6" i="3"/>
  <c r="N6" i="3"/>
  <c r="M6" i="3"/>
  <c r="L6" i="3"/>
  <c r="O5" i="3"/>
  <c r="N5" i="3"/>
  <c r="M5" i="3"/>
  <c r="L5" i="3"/>
  <c r="O4" i="3"/>
  <c r="N4" i="3"/>
  <c r="M4" i="3"/>
  <c r="L4" i="3"/>
  <c r="O3" i="3"/>
  <c r="N3" i="3"/>
  <c r="M3" i="3"/>
  <c r="L3" i="3"/>
  <c r="O2" i="3"/>
  <c r="N2" i="3"/>
  <c r="M2" i="3"/>
  <c r="L2" i="3"/>
  <c r="P322" i="3" l="1"/>
  <c r="P112" i="3"/>
  <c r="R112" i="3" s="1"/>
  <c r="P384" i="3"/>
  <c r="R384" i="3" s="1"/>
  <c r="P114" i="3"/>
  <c r="R114" i="3" s="1"/>
  <c r="P102" i="3"/>
  <c r="R102" i="3" s="1"/>
  <c r="P202" i="3"/>
  <c r="R202" i="3" s="1"/>
  <c r="P388" i="3"/>
  <c r="R388" i="3" s="1"/>
  <c r="P371" i="3"/>
  <c r="R371" i="3" s="1"/>
  <c r="P109" i="3"/>
  <c r="R109" i="3" s="1"/>
  <c r="P100" i="3"/>
  <c r="R100" i="3" s="1"/>
  <c r="P93" i="3"/>
  <c r="R93" i="3" s="1"/>
  <c r="P469" i="3"/>
  <c r="R469" i="3" s="1"/>
  <c r="P98" i="3"/>
  <c r="R98" i="3" s="1"/>
  <c r="P533" i="3"/>
  <c r="R533" i="3" s="1"/>
  <c r="P55" i="3"/>
  <c r="R55" i="3" s="1"/>
  <c r="P99" i="3"/>
  <c r="R99" i="3" s="1"/>
  <c r="P36" i="3"/>
  <c r="R36" i="3" s="1"/>
  <c r="P28" i="3"/>
  <c r="R28" i="3" s="1"/>
  <c r="P78" i="3"/>
  <c r="R78" i="3" s="1"/>
  <c r="P23" i="3"/>
  <c r="R23" i="3" s="1"/>
  <c r="P538" i="3"/>
  <c r="R538" i="3" s="1"/>
  <c r="P97" i="3"/>
  <c r="R97" i="3" s="1"/>
  <c r="P95" i="3"/>
  <c r="R95" i="3" s="1"/>
  <c r="P104" i="3"/>
  <c r="R104" i="3" s="1"/>
  <c r="P101" i="3"/>
  <c r="R101" i="3" s="1"/>
  <c r="P113" i="3"/>
  <c r="R113" i="3" s="1"/>
  <c r="P96" i="3"/>
  <c r="R96" i="3" s="1"/>
  <c r="P76" i="3"/>
  <c r="R76" i="3" s="1"/>
  <c r="P39" i="3"/>
  <c r="R39" i="3" s="1"/>
  <c r="P64" i="3"/>
  <c r="R64" i="3" s="1"/>
  <c r="P42" i="3"/>
  <c r="R42" i="3" s="1"/>
  <c r="P103" i="3"/>
  <c r="R103" i="3" s="1"/>
  <c r="P177" i="3"/>
  <c r="R177" i="3" s="1"/>
  <c r="P493" i="3"/>
  <c r="R493" i="3" s="1"/>
  <c r="P201" i="3"/>
  <c r="R201" i="3" s="1"/>
  <c r="P71" i="3"/>
  <c r="R71" i="3" s="1"/>
  <c r="P40" i="3"/>
  <c r="R40" i="3" s="1"/>
  <c r="P446" i="3"/>
  <c r="R446" i="3" s="1"/>
  <c r="P521" i="3"/>
  <c r="R521" i="3" s="1"/>
  <c r="P126" i="3"/>
  <c r="R126" i="3" s="1"/>
  <c r="P22" i="3"/>
  <c r="R22" i="3" s="1"/>
  <c r="P188" i="3"/>
  <c r="R188" i="3" s="1"/>
  <c r="P66" i="3"/>
  <c r="R66" i="3" s="1"/>
  <c r="P535" i="3"/>
  <c r="R535" i="3" s="1"/>
  <c r="P526" i="3"/>
  <c r="R526" i="3" s="1"/>
  <c r="P183" i="3"/>
  <c r="R183" i="3" s="1"/>
  <c r="P468" i="3"/>
  <c r="R468" i="3" s="1"/>
  <c r="P105" i="3"/>
  <c r="R105" i="3" s="1"/>
  <c r="P106" i="3"/>
  <c r="R106" i="3" s="1"/>
  <c r="P155" i="3"/>
  <c r="R155" i="3" s="1"/>
  <c r="P149" i="3"/>
  <c r="R149" i="3" s="1"/>
  <c r="P107" i="3"/>
  <c r="R107" i="3" s="1"/>
  <c r="P110" i="3"/>
  <c r="R110" i="3" s="1"/>
  <c r="P2" i="3"/>
  <c r="R2" i="3" s="1"/>
  <c r="P108" i="3"/>
  <c r="R108" i="3" s="1"/>
  <c r="P536" i="3"/>
  <c r="R536" i="3" s="1"/>
  <c r="P67" i="3"/>
  <c r="R67" i="3" s="1"/>
  <c r="P532" i="3"/>
  <c r="R532" i="3" s="1"/>
  <c r="P8" i="3"/>
  <c r="R8" i="3" s="1"/>
  <c r="P537" i="3"/>
  <c r="R537" i="3" s="1"/>
  <c r="P145" i="3"/>
  <c r="R145" i="3" s="1"/>
  <c r="P73" i="3"/>
  <c r="R73" i="3" s="1"/>
  <c r="P53" i="3"/>
  <c r="R53" i="3" s="1"/>
  <c r="P444" i="3"/>
  <c r="R444" i="3" s="1"/>
  <c r="P199" i="3"/>
  <c r="R199" i="3" s="1"/>
  <c r="P196" i="3"/>
  <c r="R196" i="3" s="1"/>
  <c r="P375" i="3"/>
  <c r="R375" i="3" s="1"/>
  <c r="P160" i="3"/>
  <c r="R160" i="3" s="1"/>
  <c r="P389" i="3"/>
  <c r="R389" i="3" s="1"/>
  <c r="P146" i="3"/>
  <c r="R146" i="3" s="1"/>
  <c r="P122" i="3"/>
  <c r="R122" i="3" s="1"/>
  <c r="P363" i="3"/>
  <c r="R363" i="3" s="1"/>
  <c r="P125" i="3"/>
  <c r="R125" i="3" s="1"/>
  <c r="P124" i="3"/>
  <c r="R124" i="3" s="1"/>
  <c r="P117" i="3"/>
  <c r="R117" i="3" s="1"/>
  <c r="P111" i="3"/>
  <c r="R111" i="3" s="1"/>
  <c r="P461" i="3"/>
  <c r="R461" i="3" s="1"/>
  <c r="P440" i="3"/>
  <c r="R440" i="3" s="1"/>
  <c r="P123" i="3"/>
  <c r="R123" i="3" s="1"/>
  <c r="P418" i="3"/>
  <c r="R418" i="3" s="1"/>
  <c r="P398" i="3"/>
  <c r="R398" i="3" s="1"/>
  <c r="P144" i="3"/>
  <c r="R144" i="3" s="1"/>
  <c r="P121" i="3"/>
  <c r="R121" i="3" s="1"/>
  <c r="P27" i="3"/>
  <c r="R27" i="3" s="1"/>
  <c r="P140" i="3"/>
  <c r="R140" i="3" s="1"/>
  <c r="P119" i="3"/>
  <c r="R119" i="3" s="1"/>
  <c r="P195" i="3"/>
  <c r="R195" i="3" s="1"/>
  <c r="P460" i="3"/>
  <c r="R460" i="3" s="1"/>
  <c r="P356" i="3"/>
  <c r="R356" i="3" s="1"/>
  <c r="P354" i="3"/>
  <c r="R354" i="3" s="1"/>
  <c r="P186" i="3"/>
  <c r="R186" i="3" s="1"/>
  <c r="P159" i="3"/>
  <c r="R159" i="3" s="1"/>
  <c r="P154" i="3"/>
  <c r="R154" i="3" s="1"/>
  <c r="P515" i="3"/>
  <c r="R515" i="3" s="1"/>
  <c r="P138" i="3"/>
  <c r="R138" i="3" s="1"/>
  <c r="P234" i="3"/>
  <c r="R234" i="3" s="1"/>
  <c r="P120" i="3"/>
  <c r="R120" i="3" s="1"/>
  <c r="P510" i="3"/>
  <c r="R510" i="3" s="1"/>
  <c r="P518" i="3"/>
  <c r="R518" i="3" s="1"/>
  <c r="P118" i="3"/>
  <c r="R118" i="3" s="1"/>
  <c r="P470" i="3"/>
  <c r="R470" i="3" s="1"/>
  <c r="P142" i="3"/>
  <c r="R142" i="3" s="1"/>
  <c r="P139" i="3"/>
  <c r="R139" i="3" s="1"/>
  <c r="P130" i="3"/>
  <c r="R130" i="3" s="1"/>
  <c r="P115" i="3"/>
  <c r="R115" i="3" s="1"/>
  <c r="P534" i="3"/>
  <c r="R534" i="3" s="1"/>
  <c r="P530" i="3"/>
  <c r="R530" i="3" s="1"/>
  <c r="P116" i="3"/>
  <c r="R116" i="3" s="1"/>
  <c r="P531" i="3"/>
  <c r="R531" i="3" s="1"/>
  <c r="P529" i="3"/>
  <c r="R529" i="3" s="1"/>
  <c r="P408" i="3"/>
  <c r="R408" i="3" s="1"/>
  <c r="P378" i="3"/>
  <c r="R378" i="3" s="1"/>
  <c r="P158" i="3"/>
  <c r="R158" i="3" s="1"/>
  <c r="P128" i="3"/>
  <c r="R128" i="3" s="1"/>
  <c r="P12" i="3"/>
  <c r="R12" i="3" s="1"/>
  <c r="P501" i="3"/>
  <c r="R501" i="3" s="1"/>
  <c r="P496" i="3"/>
  <c r="R496" i="3" s="1"/>
  <c r="P393" i="3"/>
  <c r="R393" i="3" s="1"/>
  <c r="P383" i="3"/>
  <c r="R383" i="3" s="1"/>
  <c r="P136" i="3"/>
  <c r="R136" i="3" s="1"/>
  <c r="P141" i="3"/>
  <c r="R141" i="3" s="1"/>
  <c r="P502" i="3"/>
  <c r="R502" i="3" s="1"/>
  <c r="P313" i="3"/>
  <c r="R313" i="3" s="1"/>
  <c r="P156" i="3"/>
  <c r="R156" i="3" s="1"/>
  <c r="P134" i="3"/>
  <c r="R134" i="3" s="1"/>
  <c r="P129" i="3"/>
  <c r="R129" i="3" s="1"/>
  <c r="P309" i="3"/>
  <c r="R309" i="3" s="1"/>
  <c r="P197" i="3"/>
  <c r="R197" i="3" s="1"/>
  <c r="P133" i="3"/>
  <c r="R133" i="3" s="1"/>
  <c r="P527" i="3"/>
  <c r="R527" i="3" s="1"/>
  <c r="P508" i="3"/>
  <c r="R508" i="3" s="1"/>
  <c r="P152" i="3"/>
  <c r="R152" i="3" s="1"/>
  <c r="P528" i="3"/>
  <c r="R528" i="3" s="1"/>
  <c r="P500" i="3"/>
  <c r="R500" i="3" s="1"/>
  <c r="P475" i="3"/>
  <c r="R475" i="3" s="1"/>
  <c r="P168" i="3"/>
  <c r="R168" i="3" s="1"/>
  <c r="P150" i="3"/>
  <c r="R150" i="3" s="1"/>
  <c r="P131" i="3"/>
  <c r="R131" i="3" s="1"/>
  <c r="P519" i="3"/>
  <c r="R519" i="3" s="1"/>
  <c r="P344" i="3"/>
  <c r="R344" i="3" s="1"/>
  <c r="P163" i="3"/>
  <c r="R163" i="3" s="1"/>
  <c r="P157" i="3"/>
  <c r="R157" i="3" s="1"/>
  <c r="P153" i="3"/>
  <c r="R153" i="3" s="1"/>
  <c r="P147" i="3"/>
  <c r="R147" i="3" s="1"/>
  <c r="P135" i="3"/>
  <c r="R135" i="3" s="1"/>
  <c r="P18" i="3"/>
  <c r="R18" i="3" s="1"/>
  <c r="P520" i="3"/>
  <c r="R520" i="3" s="1"/>
  <c r="P507" i="3"/>
  <c r="R507" i="3" s="1"/>
  <c r="P399" i="3"/>
  <c r="R399" i="3" s="1"/>
  <c r="P148" i="3"/>
  <c r="R148" i="3" s="1"/>
  <c r="P143" i="3"/>
  <c r="R143" i="3" s="1"/>
  <c r="P137" i="3"/>
  <c r="R137" i="3" s="1"/>
  <c r="P132" i="3"/>
  <c r="R132" i="3" s="1"/>
  <c r="P127" i="3"/>
  <c r="R127" i="3" s="1"/>
  <c r="P151" i="3"/>
  <c r="R151" i="3" s="1"/>
  <c r="R322" i="3"/>
  <c r="P523" i="3"/>
  <c r="R523" i="3" s="1"/>
  <c r="P517" i="3"/>
  <c r="R517" i="3" s="1"/>
  <c r="P516" i="3"/>
  <c r="R516" i="3" s="1"/>
  <c r="P514" i="3"/>
  <c r="R514" i="3" s="1"/>
  <c r="P512" i="3"/>
  <c r="R512" i="3" s="1"/>
  <c r="P491" i="3"/>
  <c r="R491" i="3" s="1"/>
  <c r="P471" i="3"/>
  <c r="R471" i="3" s="1"/>
  <c r="P456" i="3"/>
  <c r="R456" i="3" s="1"/>
  <c r="P454" i="3"/>
  <c r="R454" i="3" s="1"/>
  <c r="P449" i="3"/>
  <c r="R449" i="3" s="1"/>
  <c r="P423" i="3"/>
  <c r="R423" i="3" s="1"/>
  <c r="P406" i="3"/>
  <c r="R406" i="3" s="1"/>
  <c r="P373" i="3"/>
  <c r="R373" i="3" s="1"/>
  <c r="P367" i="3"/>
  <c r="R367" i="3" s="1"/>
  <c r="P348" i="3"/>
  <c r="R348" i="3" s="1"/>
  <c r="P343" i="3"/>
  <c r="R343" i="3" s="1"/>
  <c r="P341" i="3"/>
  <c r="R341" i="3" s="1"/>
  <c r="P339" i="3"/>
  <c r="R339" i="3" s="1"/>
  <c r="P307" i="3"/>
  <c r="R307" i="3" s="1"/>
  <c r="P290" i="3"/>
  <c r="R290" i="3" s="1"/>
  <c r="P288" i="3"/>
  <c r="R288" i="3" s="1"/>
  <c r="P285" i="3"/>
  <c r="R285" i="3" s="1"/>
  <c r="P280" i="3"/>
  <c r="R280" i="3" s="1"/>
  <c r="P275" i="3"/>
  <c r="R275" i="3" s="1"/>
  <c r="P273" i="3"/>
  <c r="R273" i="3" s="1"/>
  <c r="P243" i="3"/>
  <c r="R243" i="3" s="1"/>
  <c r="P241" i="3"/>
  <c r="R241" i="3" s="1"/>
  <c r="P236" i="3"/>
  <c r="R236" i="3" s="1"/>
  <c r="P226" i="3"/>
  <c r="R226" i="3" s="1"/>
  <c r="P224" i="3"/>
  <c r="R224" i="3" s="1"/>
  <c r="P200" i="3"/>
  <c r="R200" i="3" s="1"/>
  <c r="P187" i="3"/>
  <c r="R187" i="3" s="1"/>
  <c r="P181" i="3"/>
  <c r="R181" i="3" s="1"/>
  <c r="P173" i="3"/>
  <c r="R173" i="3" s="1"/>
  <c r="P88" i="3"/>
  <c r="R88" i="3" s="1"/>
  <c r="P82" i="3"/>
  <c r="R82" i="3" s="1"/>
  <c r="P60" i="3"/>
  <c r="R60" i="3" s="1"/>
  <c r="P54" i="3"/>
  <c r="R54" i="3" s="1"/>
  <c r="P47" i="3"/>
  <c r="R47" i="3" s="1"/>
  <c r="P45" i="3"/>
  <c r="R45" i="3" s="1"/>
  <c r="P37" i="3"/>
  <c r="R37" i="3" s="1"/>
  <c r="P7" i="3"/>
  <c r="R7" i="3" s="1"/>
  <c r="P92" i="3"/>
  <c r="R92" i="3" s="1"/>
  <c r="P86" i="3"/>
  <c r="R86" i="3" s="1"/>
  <c r="P84" i="3"/>
  <c r="R84" i="3" s="1"/>
  <c r="P30" i="3"/>
  <c r="R30" i="3" s="1"/>
  <c r="P17" i="3"/>
  <c r="R17" i="3" s="1"/>
  <c r="P494" i="3"/>
  <c r="R494" i="3" s="1"/>
  <c r="P488" i="3"/>
  <c r="R488" i="3" s="1"/>
  <c r="P472" i="3"/>
  <c r="R472" i="3" s="1"/>
  <c r="P465" i="3"/>
  <c r="R465" i="3" s="1"/>
  <c r="P455" i="3"/>
  <c r="R455" i="3" s="1"/>
  <c r="P448" i="3"/>
  <c r="R448" i="3" s="1"/>
  <c r="P427" i="3"/>
  <c r="R427" i="3" s="1"/>
  <c r="P425" i="3"/>
  <c r="R425" i="3" s="1"/>
  <c r="P412" i="3"/>
  <c r="R412" i="3" s="1"/>
  <c r="P392" i="3"/>
  <c r="R392" i="3" s="1"/>
  <c r="P390" i="3"/>
  <c r="R390" i="3" s="1"/>
  <c r="P385" i="3"/>
  <c r="R385" i="3" s="1"/>
  <c r="P379" i="3"/>
  <c r="R379" i="3" s="1"/>
  <c r="P377" i="3"/>
  <c r="R377" i="3" s="1"/>
  <c r="P368" i="3"/>
  <c r="R368" i="3" s="1"/>
  <c r="P349" i="3"/>
  <c r="R349" i="3" s="1"/>
  <c r="P318" i="3"/>
  <c r="R318" i="3" s="1"/>
  <c r="P310" i="3"/>
  <c r="R310" i="3" s="1"/>
  <c r="P265" i="3"/>
  <c r="R265" i="3" s="1"/>
  <c r="P260" i="3"/>
  <c r="R260" i="3" s="1"/>
  <c r="P250" i="3"/>
  <c r="R250" i="3" s="1"/>
  <c r="P235" i="3"/>
  <c r="R235" i="3" s="1"/>
  <c r="P233" i="3"/>
  <c r="R233" i="3" s="1"/>
  <c r="P166" i="3"/>
  <c r="R166" i="3" s="1"/>
  <c r="P161" i="3"/>
  <c r="R161" i="3" s="1"/>
  <c r="P77" i="3"/>
  <c r="R77" i="3" s="1"/>
  <c r="P489" i="3"/>
  <c r="R489" i="3" s="1"/>
  <c r="P487" i="3"/>
  <c r="R487" i="3" s="1"/>
  <c r="P485" i="3"/>
  <c r="R485" i="3" s="1"/>
  <c r="P453" i="3"/>
  <c r="R453" i="3" s="1"/>
  <c r="P450" i="3"/>
  <c r="R450" i="3" s="1"/>
  <c r="P441" i="3"/>
  <c r="R441" i="3" s="1"/>
  <c r="P439" i="3"/>
  <c r="R439" i="3" s="1"/>
  <c r="P416" i="3"/>
  <c r="R416" i="3" s="1"/>
  <c r="P411" i="3"/>
  <c r="R411" i="3" s="1"/>
  <c r="P409" i="3"/>
  <c r="R409" i="3" s="1"/>
  <c r="P407" i="3"/>
  <c r="R407" i="3" s="1"/>
  <c r="P382" i="3"/>
  <c r="R382" i="3" s="1"/>
  <c r="P380" i="3"/>
  <c r="R380" i="3" s="1"/>
  <c r="P357" i="3"/>
  <c r="R357" i="3" s="1"/>
  <c r="P355" i="3"/>
  <c r="R355" i="3" s="1"/>
  <c r="P350" i="3"/>
  <c r="R350" i="3" s="1"/>
  <c r="P327" i="3"/>
  <c r="R327" i="3" s="1"/>
  <c r="P325" i="3"/>
  <c r="R325" i="3" s="1"/>
  <c r="P254" i="3"/>
  <c r="R254" i="3" s="1"/>
  <c r="P238" i="3"/>
  <c r="R238" i="3" s="1"/>
  <c r="P232" i="3"/>
  <c r="R232" i="3" s="1"/>
  <c r="P230" i="3"/>
  <c r="R230" i="3" s="1"/>
  <c r="P221" i="3"/>
  <c r="R221" i="3" s="1"/>
  <c r="P219" i="3"/>
  <c r="R219" i="3" s="1"/>
  <c r="P209" i="3"/>
  <c r="R209" i="3" s="1"/>
  <c r="P207" i="3"/>
  <c r="R207" i="3" s="1"/>
  <c r="P205" i="3"/>
  <c r="R205" i="3" s="1"/>
  <c r="P191" i="3"/>
  <c r="R191" i="3" s="1"/>
  <c r="P180" i="3"/>
  <c r="R180" i="3" s="1"/>
  <c r="P171" i="3"/>
  <c r="R171" i="3" s="1"/>
  <c r="P164" i="3"/>
  <c r="R164" i="3" s="1"/>
  <c r="P91" i="3"/>
  <c r="R91" i="3" s="1"/>
  <c r="P81" i="3"/>
  <c r="R81" i="3" s="1"/>
  <c r="P63" i="3"/>
  <c r="R63" i="3" s="1"/>
  <c r="P61" i="3"/>
  <c r="R61" i="3" s="1"/>
  <c r="P59" i="3"/>
  <c r="R59" i="3" s="1"/>
  <c r="P57" i="3"/>
  <c r="R57" i="3" s="1"/>
  <c r="P26" i="3"/>
  <c r="R26" i="3" s="1"/>
  <c r="P24" i="3"/>
  <c r="R24" i="3" s="1"/>
  <c r="P15" i="3"/>
  <c r="R15" i="3" s="1"/>
  <c r="P13" i="3"/>
  <c r="R13" i="3" s="1"/>
  <c r="P478" i="3"/>
  <c r="R478" i="3" s="1"/>
  <c r="P458" i="3"/>
  <c r="R458" i="3" s="1"/>
  <c r="P417" i="3"/>
  <c r="R417" i="3" s="1"/>
  <c r="P365" i="3"/>
  <c r="R365" i="3" s="1"/>
  <c r="P336" i="3"/>
  <c r="R336" i="3" s="1"/>
  <c r="P328" i="3"/>
  <c r="R328" i="3" s="1"/>
  <c r="P294" i="3"/>
  <c r="R294" i="3" s="1"/>
  <c r="P292" i="3"/>
  <c r="R292" i="3" s="1"/>
  <c r="P284" i="3"/>
  <c r="R284" i="3" s="1"/>
  <c r="P279" i="3"/>
  <c r="R279" i="3" s="1"/>
  <c r="P256" i="3"/>
  <c r="R256" i="3" s="1"/>
  <c r="P251" i="3"/>
  <c r="R251" i="3" s="1"/>
  <c r="P215" i="3"/>
  <c r="R215" i="3" s="1"/>
  <c r="P162" i="3"/>
  <c r="R162" i="3" s="1"/>
  <c r="P75" i="3"/>
  <c r="R75" i="3" s="1"/>
  <c r="P56" i="3"/>
  <c r="R56" i="3" s="1"/>
  <c r="P43" i="3"/>
  <c r="R43" i="3" s="1"/>
  <c r="P511" i="3"/>
  <c r="R511" i="3" s="1"/>
  <c r="P504" i="3"/>
  <c r="R504" i="3" s="1"/>
  <c r="P467" i="3"/>
  <c r="R467" i="3" s="1"/>
  <c r="P447" i="3"/>
  <c r="R447" i="3" s="1"/>
  <c r="P442" i="3"/>
  <c r="R442" i="3" s="1"/>
  <c r="P433" i="3"/>
  <c r="R433" i="3" s="1"/>
  <c r="P424" i="3"/>
  <c r="R424" i="3" s="1"/>
  <c r="P422" i="3"/>
  <c r="R422" i="3" s="1"/>
  <c r="P420" i="3"/>
  <c r="R420" i="3" s="1"/>
  <c r="P404" i="3"/>
  <c r="R404" i="3" s="1"/>
  <c r="P402" i="3"/>
  <c r="R402" i="3" s="1"/>
  <c r="P396" i="3"/>
  <c r="R396" i="3" s="1"/>
  <c r="P391" i="3"/>
  <c r="R391" i="3" s="1"/>
  <c r="P193" i="3"/>
  <c r="R193" i="3" s="1"/>
  <c r="P190" i="3"/>
  <c r="R190" i="3" s="1"/>
  <c r="P175" i="3"/>
  <c r="R175" i="3" s="1"/>
  <c r="P167" i="3"/>
  <c r="R167" i="3" s="1"/>
  <c r="P165" i="3"/>
  <c r="R165" i="3" s="1"/>
  <c r="P94" i="3"/>
  <c r="R94" i="3" s="1"/>
  <c r="P51" i="3"/>
  <c r="R51" i="3" s="1"/>
  <c r="P46" i="3"/>
  <c r="R46" i="3" s="1"/>
  <c r="P505" i="3"/>
  <c r="R505" i="3" s="1"/>
  <c r="P497" i="3"/>
  <c r="R497" i="3" s="1"/>
  <c r="P495" i="3"/>
  <c r="R495" i="3" s="1"/>
  <c r="P483" i="3"/>
  <c r="R483" i="3" s="1"/>
  <c r="P481" i="3"/>
  <c r="R481" i="3" s="1"/>
  <c r="P477" i="3"/>
  <c r="R477" i="3" s="1"/>
  <c r="P463" i="3"/>
  <c r="R463" i="3" s="1"/>
  <c r="P459" i="3"/>
  <c r="R459" i="3" s="1"/>
  <c r="P457" i="3"/>
  <c r="R457" i="3" s="1"/>
  <c r="P434" i="3"/>
  <c r="R434" i="3" s="1"/>
  <c r="P430" i="3"/>
  <c r="R430" i="3" s="1"/>
  <c r="P428" i="3"/>
  <c r="R428" i="3" s="1"/>
  <c r="P419" i="3"/>
  <c r="R419" i="3" s="1"/>
  <c r="P410" i="3"/>
  <c r="R410" i="3" s="1"/>
  <c r="P403" i="3"/>
  <c r="R403" i="3" s="1"/>
  <c r="P401" i="3"/>
  <c r="R401" i="3" s="1"/>
  <c r="P369" i="3"/>
  <c r="R369" i="3" s="1"/>
  <c r="P358" i="3"/>
  <c r="R358" i="3" s="1"/>
  <c r="P340" i="3"/>
  <c r="R340" i="3" s="1"/>
  <c r="P335" i="3"/>
  <c r="R335" i="3" s="1"/>
  <c r="P330" i="3"/>
  <c r="R330" i="3" s="1"/>
  <c r="P321" i="3"/>
  <c r="R321" i="3" s="1"/>
  <c r="P316" i="3"/>
  <c r="R316" i="3" s="1"/>
  <c r="P311" i="3"/>
  <c r="R311" i="3" s="1"/>
  <c r="P303" i="3"/>
  <c r="R303" i="3" s="1"/>
  <c r="P301" i="3"/>
  <c r="R301" i="3" s="1"/>
  <c r="P299" i="3"/>
  <c r="R299" i="3" s="1"/>
  <c r="P291" i="3"/>
  <c r="R291" i="3" s="1"/>
  <c r="P281" i="3"/>
  <c r="R281" i="3" s="1"/>
  <c r="P267" i="3"/>
  <c r="R267" i="3" s="1"/>
  <c r="P255" i="3"/>
  <c r="R255" i="3" s="1"/>
  <c r="P253" i="3"/>
  <c r="R253" i="3" s="1"/>
  <c r="P246" i="3"/>
  <c r="R246" i="3" s="1"/>
  <c r="P231" i="3"/>
  <c r="R231" i="3" s="1"/>
  <c r="P229" i="3"/>
  <c r="R229" i="3" s="1"/>
  <c r="P222" i="3"/>
  <c r="R222" i="3" s="1"/>
  <c r="P217" i="3"/>
  <c r="R217" i="3" s="1"/>
  <c r="P213" i="3"/>
  <c r="R213" i="3" s="1"/>
  <c r="P211" i="3"/>
  <c r="R211" i="3" s="1"/>
  <c r="P203" i="3"/>
  <c r="R203" i="3" s="1"/>
  <c r="P198" i="3"/>
  <c r="R198" i="3" s="1"/>
  <c r="P189" i="3"/>
  <c r="R189" i="3" s="1"/>
  <c r="P185" i="3"/>
  <c r="R185" i="3" s="1"/>
  <c r="P89" i="3"/>
  <c r="R89" i="3" s="1"/>
  <c r="P65" i="3"/>
  <c r="R65" i="3" s="1"/>
  <c r="P62" i="3"/>
  <c r="R62" i="3" s="1"/>
  <c r="P31" i="3"/>
  <c r="R31" i="3" s="1"/>
  <c r="P25" i="3"/>
  <c r="R25" i="3" s="1"/>
  <c r="P16" i="3"/>
  <c r="R16" i="3" s="1"/>
  <c r="P499" i="3"/>
  <c r="R499" i="3" s="1"/>
  <c r="P490" i="3"/>
  <c r="R490" i="3" s="1"/>
  <c r="P480" i="3"/>
  <c r="R480" i="3" s="1"/>
  <c r="P473" i="3"/>
  <c r="R473" i="3" s="1"/>
  <c r="P466" i="3"/>
  <c r="R466" i="3" s="1"/>
  <c r="P464" i="3"/>
  <c r="R464" i="3" s="1"/>
  <c r="P445" i="3"/>
  <c r="R445" i="3" s="1"/>
  <c r="P443" i="3"/>
  <c r="R443" i="3" s="1"/>
  <c r="P426" i="3"/>
  <c r="R426" i="3" s="1"/>
  <c r="P421" i="3"/>
  <c r="R421" i="3" s="1"/>
  <c r="P400" i="3"/>
  <c r="R400" i="3" s="1"/>
  <c r="P397" i="3"/>
  <c r="R397" i="3" s="1"/>
  <c r="P395" i="3"/>
  <c r="R395" i="3" s="1"/>
  <c r="P387" i="3"/>
  <c r="R387" i="3" s="1"/>
  <c r="P359" i="3"/>
  <c r="R359" i="3" s="1"/>
  <c r="P346" i="3"/>
  <c r="R346" i="3" s="1"/>
  <c r="P326" i="3"/>
  <c r="R326" i="3" s="1"/>
  <c r="P305" i="3"/>
  <c r="R305" i="3" s="1"/>
  <c r="P297" i="3"/>
  <c r="R297" i="3" s="1"/>
  <c r="P295" i="3"/>
  <c r="R295" i="3" s="1"/>
  <c r="P286" i="3"/>
  <c r="R286" i="3" s="1"/>
  <c r="P283" i="3"/>
  <c r="R283" i="3" s="1"/>
  <c r="P278" i="3"/>
  <c r="R278" i="3" s="1"/>
  <c r="P276" i="3"/>
  <c r="R276" i="3" s="1"/>
  <c r="P244" i="3"/>
  <c r="R244" i="3" s="1"/>
  <c r="P239" i="3"/>
  <c r="R239" i="3" s="1"/>
  <c r="P208" i="3"/>
  <c r="R208" i="3" s="1"/>
  <c r="P206" i="3"/>
  <c r="R206" i="3" s="1"/>
  <c r="P204" i="3"/>
  <c r="R204" i="3" s="1"/>
  <c r="P85" i="3"/>
  <c r="R85" i="3" s="1"/>
  <c r="P79" i="3"/>
  <c r="R79" i="3" s="1"/>
  <c r="P74" i="3"/>
  <c r="R74" i="3" s="1"/>
  <c r="P69" i="3"/>
  <c r="R69" i="3" s="1"/>
  <c r="P34" i="3"/>
  <c r="R34" i="3" s="1"/>
  <c r="P20" i="3"/>
  <c r="R20" i="3" s="1"/>
  <c r="P6" i="3"/>
  <c r="R6" i="3" s="1"/>
  <c r="P524" i="3"/>
  <c r="R524" i="3" s="1"/>
  <c r="P513" i="3"/>
  <c r="R513" i="3" s="1"/>
  <c r="P506" i="3"/>
  <c r="R506" i="3" s="1"/>
  <c r="P492" i="3"/>
  <c r="R492" i="3" s="1"/>
  <c r="P486" i="3"/>
  <c r="R486" i="3" s="1"/>
  <c r="P484" i="3"/>
  <c r="R484" i="3" s="1"/>
  <c r="P482" i="3"/>
  <c r="R482" i="3" s="1"/>
  <c r="P479" i="3"/>
  <c r="R479" i="3" s="1"/>
  <c r="P474" i="3"/>
  <c r="R474" i="3" s="1"/>
  <c r="P452" i="3"/>
  <c r="R452" i="3" s="1"/>
  <c r="P438" i="3"/>
  <c r="R438" i="3" s="1"/>
  <c r="P436" i="3"/>
  <c r="R436" i="3" s="1"/>
  <c r="P405" i="3"/>
  <c r="R405" i="3" s="1"/>
  <c r="P381" i="3"/>
  <c r="R381" i="3" s="1"/>
  <c r="P374" i="3"/>
  <c r="R374" i="3" s="1"/>
  <c r="P361" i="3"/>
  <c r="R361" i="3" s="1"/>
  <c r="P353" i="3"/>
  <c r="R353" i="3" s="1"/>
  <c r="P337" i="3"/>
  <c r="R337" i="3" s="1"/>
  <c r="P323" i="3"/>
  <c r="R323" i="3" s="1"/>
  <c r="P317" i="3"/>
  <c r="R317" i="3" s="1"/>
  <c r="P314" i="3"/>
  <c r="R314" i="3" s="1"/>
  <c r="P312" i="3"/>
  <c r="R312" i="3" s="1"/>
  <c r="P274" i="3"/>
  <c r="R274" i="3" s="1"/>
  <c r="P266" i="3"/>
  <c r="R266" i="3" s="1"/>
  <c r="P258" i="3"/>
  <c r="R258" i="3" s="1"/>
  <c r="P247" i="3"/>
  <c r="R247" i="3" s="1"/>
  <c r="P242" i="3"/>
  <c r="R242" i="3" s="1"/>
  <c r="P223" i="3"/>
  <c r="R223" i="3" s="1"/>
  <c r="P218" i="3"/>
  <c r="R218" i="3" s="1"/>
  <c r="P216" i="3"/>
  <c r="R216" i="3" s="1"/>
  <c r="P214" i="3"/>
  <c r="R214" i="3" s="1"/>
  <c r="P212" i="3"/>
  <c r="R212" i="3" s="1"/>
  <c r="P210" i="3"/>
  <c r="R210" i="3" s="1"/>
  <c r="P194" i="3"/>
  <c r="R194" i="3" s="1"/>
  <c r="P184" i="3"/>
  <c r="R184" i="3" s="1"/>
  <c r="P182" i="3"/>
  <c r="R182" i="3" s="1"/>
  <c r="P169" i="3"/>
  <c r="R169" i="3" s="1"/>
  <c r="P87" i="3"/>
  <c r="R87" i="3" s="1"/>
  <c r="P70" i="3"/>
  <c r="R70" i="3" s="1"/>
  <c r="P52" i="3"/>
  <c r="R52" i="3" s="1"/>
  <c r="P44" i="3"/>
  <c r="R44" i="3" s="1"/>
  <c r="P525" i="3"/>
  <c r="R525" i="3" s="1"/>
  <c r="P522" i="3"/>
  <c r="R522" i="3" s="1"/>
  <c r="P509" i="3"/>
  <c r="R509" i="3" s="1"/>
  <c r="P503" i="3"/>
  <c r="R503" i="3" s="1"/>
  <c r="P476" i="3"/>
  <c r="R476" i="3" s="1"/>
  <c r="P431" i="3"/>
  <c r="R431" i="3" s="1"/>
  <c r="P429" i="3"/>
  <c r="R429" i="3" s="1"/>
  <c r="P415" i="3"/>
  <c r="R415" i="3" s="1"/>
  <c r="P413" i="3"/>
  <c r="R413" i="3" s="1"/>
  <c r="P394" i="3"/>
  <c r="R394" i="3" s="1"/>
  <c r="P386" i="3"/>
  <c r="R386" i="3" s="1"/>
  <c r="P372" i="3"/>
  <c r="R372" i="3" s="1"/>
  <c r="P370" i="3"/>
  <c r="R370" i="3" s="1"/>
  <c r="P352" i="3"/>
  <c r="R352" i="3" s="1"/>
  <c r="P338" i="3"/>
  <c r="R338" i="3" s="1"/>
  <c r="P333" i="3"/>
  <c r="R333" i="3" s="1"/>
  <c r="P319" i="3"/>
  <c r="R319" i="3" s="1"/>
  <c r="P304" i="3"/>
  <c r="R304" i="3" s="1"/>
  <c r="P302" i="3"/>
  <c r="R302" i="3" s="1"/>
  <c r="P296" i="3"/>
  <c r="R296" i="3" s="1"/>
  <c r="P272" i="3"/>
  <c r="R272" i="3" s="1"/>
  <c r="P264" i="3"/>
  <c r="R264" i="3" s="1"/>
  <c r="P249" i="3"/>
  <c r="R249" i="3" s="1"/>
  <c r="P227" i="3"/>
  <c r="R227" i="3" s="1"/>
  <c r="P225" i="3"/>
  <c r="R225" i="3" s="1"/>
  <c r="P179" i="3"/>
  <c r="R179" i="3" s="1"/>
  <c r="P33" i="3"/>
  <c r="R33" i="3" s="1"/>
  <c r="P21" i="3"/>
  <c r="R21" i="3" s="1"/>
  <c r="P10" i="3"/>
  <c r="R10" i="3" s="1"/>
  <c r="P351" i="3"/>
  <c r="R351" i="3" s="1"/>
  <c r="P334" i="3"/>
  <c r="R334" i="3" s="1"/>
  <c r="P332" i="3"/>
  <c r="R332" i="3" s="1"/>
  <c r="P320" i="3"/>
  <c r="R320" i="3" s="1"/>
  <c r="P315" i="3"/>
  <c r="R315" i="3" s="1"/>
  <c r="P298" i="3"/>
  <c r="R298" i="3" s="1"/>
  <c r="P293" i="3"/>
  <c r="R293" i="3" s="1"/>
  <c r="P270" i="3"/>
  <c r="R270" i="3" s="1"/>
  <c r="P268" i="3"/>
  <c r="R268" i="3" s="1"/>
  <c r="P263" i="3"/>
  <c r="R263" i="3" s="1"/>
  <c r="P257" i="3"/>
  <c r="R257" i="3" s="1"/>
  <c r="P245" i="3"/>
  <c r="R245" i="3" s="1"/>
  <c r="P9" i="3"/>
  <c r="R9" i="3" s="1"/>
  <c r="P462" i="3"/>
  <c r="R462" i="3" s="1"/>
  <c r="P451" i="3"/>
  <c r="R451" i="3" s="1"/>
  <c r="P437" i="3"/>
  <c r="R437" i="3" s="1"/>
  <c r="P435" i="3"/>
  <c r="R435" i="3" s="1"/>
  <c r="P432" i="3"/>
  <c r="R432" i="3" s="1"/>
  <c r="P414" i="3"/>
  <c r="R414" i="3" s="1"/>
  <c r="P376" i="3"/>
  <c r="R376" i="3" s="1"/>
  <c r="P366" i="3"/>
  <c r="R366" i="3" s="1"/>
  <c r="P364" i="3"/>
  <c r="R364" i="3" s="1"/>
  <c r="P362" i="3"/>
  <c r="R362" i="3" s="1"/>
  <c r="P360" i="3"/>
  <c r="R360" i="3" s="1"/>
  <c r="P347" i="3"/>
  <c r="R347" i="3" s="1"/>
  <c r="P345" i="3"/>
  <c r="R345" i="3" s="1"/>
  <c r="P331" i="3"/>
  <c r="R331" i="3" s="1"/>
  <c r="P329" i="3"/>
  <c r="R329" i="3" s="1"/>
  <c r="P300" i="3"/>
  <c r="R300" i="3" s="1"/>
  <c r="P289" i="3"/>
  <c r="R289" i="3" s="1"/>
  <c r="P287" i="3"/>
  <c r="R287" i="3" s="1"/>
  <c r="P282" i="3"/>
  <c r="R282" i="3" s="1"/>
  <c r="P277" i="3"/>
  <c r="R277" i="3" s="1"/>
  <c r="P269" i="3"/>
  <c r="R269" i="3" s="1"/>
  <c r="P261" i="3"/>
  <c r="R261" i="3" s="1"/>
  <c r="P248" i="3"/>
  <c r="R248" i="3" s="1"/>
  <c r="P240" i="3"/>
  <c r="R240" i="3" s="1"/>
  <c r="P178" i="3"/>
  <c r="R178" i="3" s="1"/>
  <c r="P90" i="3"/>
  <c r="R90" i="3" s="1"/>
  <c r="P83" i="3"/>
  <c r="R83" i="3" s="1"/>
  <c r="P80" i="3"/>
  <c r="R80" i="3" s="1"/>
  <c r="P58" i="3"/>
  <c r="R58" i="3" s="1"/>
  <c r="P49" i="3"/>
  <c r="R49" i="3" s="1"/>
  <c r="P35" i="3"/>
  <c r="R35" i="3" s="1"/>
  <c r="P19" i="3"/>
  <c r="R19" i="3" s="1"/>
  <c r="P14" i="3"/>
  <c r="R14" i="3" s="1"/>
  <c r="P11" i="3"/>
  <c r="R11" i="3" s="1"/>
  <c r="P5" i="3"/>
  <c r="R5" i="3" s="1"/>
  <c r="P3" i="3"/>
  <c r="R3" i="3" s="1"/>
  <c r="P4" i="3"/>
  <c r="R4" i="3" s="1"/>
  <c r="P498" i="3"/>
  <c r="R498" i="3" s="1"/>
  <c r="P342" i="3"/>
  <c r="R342" i="3" s="1"/>
  <c r="P324" i="3"/>
  <c r="R324" i="3" s="1"/>
  <c r="P308" i="3"/>
  <c r="R308" i="3" s="1"/>
  <c r="P306" i="3"/>
  <c r="R306" i="3" s="1"/>
  <c r="P262" i="3"/>
  <c r="R262" i="3" s="1"/>
  <c r="P252" i="3"/>
  <c r="R252" i="3" s="1"/>
  <c r="P220" i="3"/>
  <c r="R220" i="3" s="1"/>
  <c r="P192" i="3"/>
  <c r="R192" i="3" s="1"/>
  <c r="P174" i="3"/>
  <c r="R174" i="3" s="1"/>
  <c r="P172" i="3"/>
  <c r="R172" i="3" s="1"/>
  <c r="P170" i="3"/>
  <c r="R170" i="3" s="1"/>
  <c r="P72" i="3"/>
  <c r="R72" i="3" s="1"/>
  <c r="P68" i="3"/>
  <c r="R68" i="3" s="1"/>
  <c r="P50" i="3"/>
  <c r="R50" i="3" s="1"/>
  <c r="P48" i="3"/>
  <c r="R48" i="3" s="1"/>
  <c r="P41" i="3"/>
  <c r="R41" i="3" s="1"/>
  <c r="P38" i="3"/>
  <c r="R38" i="3" s="1"/>
  <c r="P32" i="3"/>
  <c r="R32" i="3" s="1"/>
  <c r="P29" i="3"/>
  <c r="R29" i="3" s="1"/>
  <c r="P237" i="3"/>
  <c r="R237" i="3" s="1"/>
  <c r="P228" i="3"/>
  <c r="R228" i="3" s="1"/>
  <c r="P176" i="3"/>
  <c r="R176" i="3" s="1"/>
  <c r="P271" i="3"/>
  <c r="R271" i="3" s="1"/>
  <c r="P259" i="3"/>
  <c r="R259" i="3" s="1"/>
  <c r="D6" i="3" l="1" a="1"/>
  <c r="A6" i="3" a="1"/>
  <c r="B6" i="3" a="1"/>
  <c r="C6" i="3" a="1"/>
  <c r="E6" i="3" a="1"/>
  <c r="C6" i="3" l="1"/>
  <c r="A6" i="3"/>
  <c r="D3" i="3" s="1"/>
  <c r="E6" i="3"/>
  <c r="B6" i="3"/>
  <c r="D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<sst xmlns="http://schemas.openxmlformats.org/spreadsheetml/2006/main" count="11569" uniqueCount="1731">
  <si>
    <t>&lt;codigo&gt;</t>
  </si>
  <si>
    <t>&lt;descricao&gt;</t>
  </si>
  <si>
    <t>&lt;unidade&gt;</t>
  </si>
  <si>
    <t>&lt;referencia&gt;</t>
  </si>
  <si>
    <t>&lt;codigo_referencia&gt;</t>
  </si>
  <si>
    <t>&lt;col_comp_producao_equipe&gt;</t>
  </si>
  <si>
    <t>&lt;col_comp_fator_fic&gt;</t>
  </si>
  <si>
    <t>&lt;col_comp_fator_fit&gt;</t>
  </si>
  <si>
    <t>&lt;grupo_servico&gt;</t>
  </si>
  <si>
    <t>&lt;servico&gt;</t>
  </si>
  <si>
    <t>&lt;codigo_insumo&gt;</t>
  </si>
  <si>
    <t>&lt;multiplicador&gt;</t>
  </si>
  <si>
    <t>&lt;tabela_insumo&gt;</t>
  </si>
  <si>
    <t>&lt;tipo_associacao&gt;</t>
  </si>
  <si>
    <t>Obrigatório</t>
  </si>
  <si>
    <t>Opcional</t>
  </si>
  <si>
    <t>Composição</t>
  </si>
  <si>
    <t>Insumos associados</t>
  </si>
  <si>
    <t>Código</t>
  </si>
  <si>
    <t>Descrição</t>
  </si>
  <si>
    <t>Unidade</t>
  </si>
  <si>
    <t>Referência</t>
  </si>
  <si>
    <t>Cód. Referencia</t>
  </si>
  <si>
    <t>Preço</t>
  </si>
  <si>
    <t>P.E.</t>
  </si>
  <si>
    <t>FIC</t>
  </si>
  <si>
    <t>FIT</t>
  </si>
  <si>
    <t>Macro serviço</t>
  </si>
  <si>
    <t xml:space="preserve">Serviço </t>
  </si>
  <si>
    <t>Multiplicador</t>
  </si>
  <si>
    <t>Tabela</t>
  </si>
  <si>
    <t>Tipo Item</t>
  </si>
  <si>
    <t>90557</t>
  </si>
  <si>
    <t>Pintura com tinta látex em teto, 3 demãos, com fundo preparador a base Oleo, 1 demão, aplicação manual</t>
  </si>
  <si>
    <t>m2</t>
  </si>
  <si>
    <t/>
  </si>
  <si>
    <t>PINTURA INTERNA</t>
  </si>
  <si>
    <t>PINTURA TETO</t>
  </si>
  <si>
    <t>2944</t>
  </si>
  <si>
    <t>INSUMO</t>
  </si>
  <si>
    <t>2186</t>
  </si>
  <si>
    <t>1400</t>
  </si>
  <si>
    <t>48501</t>
  </si>
  <si>
    <t>90556</t>
  </si>
  <si>
    <t>Armação aço CA-60, diâmetro de 5,0 mm para infraestrutura, corte e dobra em indústria</t>
  </si>
  <si>
    <t>kg</t>
  </si>
  <si>
    <t>INFRAESTRUTURA</t>
  </si>
  <si>
    <t>FUNDAÇÃO RASA</t>
  </si>
  <si>
    <t>186</t>
  </si>
  <si>
    <t>1408</t>
  </si>
  <si>
    <t>48336</t>
  </si>
  <si>
    <t>48431</t>
  </si>
  <si>
    <t>90555</t>
  </si>
  <si>
    <t>Serviço de pós-obra</t>
  </si>
  <si>
    <t>vb</t>
  </si>
  <si>
    <t>PÓS-OBRA</t>
  </si>
  <si>
    <t>Geral</t>
  </si>
  <si>
    <t>48498</t>
  </si>
  <si>
    <t>90554</t>
  </si>
  <si>
    <t>Metais e acessórios sanitários</t>
  </si>
  <si>
    <t>LOUÇAS E METAIS</t>
  </si>
  <si>
    <t>48496</t>
  </si>
  <si>
    <t>90553</t>
  </si>
  <si>
    <t>Louças sanitárias</t>
  </si>
  <si>
    <t>48495</t>
  </si>
  <si>
    <t>90552</t>
  </si>
  <si>
    <t>Bicicletário de parede ou teto</t>
  </si>
  <si>
    <t>ESQUADRIAS</t>
  </si>
  <si>
    <t>48490</t>
  </si>
  <si>
    <t>90551</t>
  </si>
  <si>
    <t>Mão de obra para aplicação de textura acrílica em paredes externas, 2 demãos</t>
  </si>
  <si>
    <t>REVESTIMENTOS E ACABAMENTOS EM FACHADA</t>
  </si>
  <si>
    <t>48489</t>
  </si>
  <si>
    <t>90550</t>
  </si>
  <si>
    <t>Moldura de fachada em EPS</t>
  </si>
  <si>
    <t>m</t>
  </si>
  <si>
    <t>CHAPISCO</t>
  </si>
  <si>
    <t>48488</t>
  </si>
  <si>
    <t>90548</t>
  </si>
  <si>
    <t>Mão de obra para pintura de rodapé em parede, 2 demãos</t>
  </si>
  <si>
    <t>48486</t>
  </si>
  <si>
    <t>90547</t>
  </si>
  <si>
    <t>Revestimento interno de piso porcelanato que imita madeira, placa 20x120, aplicação em áreas externas</t>
  </si>
  <si>
    <t>ACABAMENTOS DE PISO</t>
  </si>
  <si>
    <t>193</t>
  </si>
  <si>
    <t>4881</t>
  </si>
  <si>
    <t>2521</t>
  </si>
  <si>
    <t>48485</t>
  </si>
  <si>
    <t>90546</t>
  </si>
  <si>
    <t>Chapisco rolado aplicado em alvenaria externa, com desempenadeira dentada</t>
  </si>
  <si>
    <t>48373</t>
  </si>
  <si>
    <t>90545</t>
  </si>
  <si>
    <t>Mão de obra para colocação de tijolinho em parede externa</t>
  </si>
  <si>
    <t>48484</t>
  </si>
  <si>
    <t>90544</t>
  </si>
  <si>
    <t>Revestimento de fachada em tijolinho</t>
  </si>
  <si>
    <t>48482</t>
  </si>
  <si>
    <t>90542</t>
  </si>
  <si>
    <t>Massa única para paredes externas em argamassa estabilizada, aplicação manual, espessura 3cm, com execução de taliscas</t>
  </si>
  <si>
    <t>REBOCO</t>
  </si>
  <si>
    <t>197</t>
  </si>
  <si>
    <t>90541</t>
  </si>
  <si>
    <t>Chapisco adesivo aplicado em concreto, com desempenadeira dentada</t>
  </si>
  <si>
    <t>48481</t>
  </si>
  <si>
    <t>90540</t>
  </si>
  <si>
    <t>Contra-rufo em aço galvanizado retangular - material e mao de obra</t>
  </si>
  <si>
    <t>COBERTURA</t>
  </si>
  <si>
    <t>48480</t>
  </si>
  <si>
    <t>48479</t>
  </si>
  <si>
    <t>90539</t>
  </si>
  <si>
    <t>Escada marinheiro com proteção, acesso ao reservatório - 6,5m</t>
  </si>
  <si>
    <t>un</t>
  </si>
  <si>
    <t>48478</t>
  </si>
  <si>
    <t>90538</t>
  </si>
  <si>
    <t>Escada marinheiro, acesso ao telhado - 1m</t>
  </si>
  <si>
    <t>48477</t>
  </si>
  <si>
    <t>90537</t>
  </si>
  <si>
    <t>Porta corta fogo em aço galvanizado, 120 x 255cm - fornecimento e instalação, incluindo pintura, dobradiças e maçaneta</t>
  </si>
  <si>
    <t>48476</t>
  </si>
  <si>
    <t>90536</t>
  </si>
  <si>
    <t>Porta corta fogo em aço galvanizado, 90 x 220cm - fornecimento e instalação, incluindo pintura, dobradiças e maçaneta</t>
  </si>
  <si>
    <t>48474</t>
  </si>
  <si>
    <t>90535</t>
  </si>
  <si>
    <t>Porta corta fogo em aço galvanizado, 90 x 250cm - fornecimento e instalação, incluindo pintura, dobradiças e maçaneta</t>
  </si>
  <si>
    <t>48475</t>
  </si>
  <si>
    <t>90534</t>
  </si>
  <si>
    <t>Porta de madeira de correr 80x210cm, fixação com espuma expansiva</t>
  </si>
  <si>
    <t>1421</t>
  </si>
  <si>
    <t>48375</t>
  </si>
  <si>
    <t>48473</t>
  </si>
  <si>
    <t>1238</t>
  </si>
  <si>
    <t>90533</t>
  </si>
  <si>
    <t>Porta de madeira de correr 60x210cm, fixação com espuma expansiva</t>
  </si>
  <si>
    <t>48472</t>
  </si>
  <si>
    <t>90532</t>
  </si>
  <si>
    <t>Gradil metálico ornamentado</t>
  </si>
  <si>
    <t>m²</t>
  </si>
  <si>
    <t>GRADIL</t>
  </si>
  <si>
    <t>48471</t>
  </si>
  <si>
    <t>90531</t>
  </si>
  <si>
    <t>Portão basculante em alumínio com lambris</t>
  </si>
  <si>
    <t>48470</t>
  </si>
  <si>
    <t>90530</t>
  </si>
  <si>
    <t>Quadro fixo com veneziana ventilada</t>
  </si>
  <si>
    <t>48469</t>
  </si>
  <si>
    <t>90529</t>
  </si>
  <si>
    <t>Tela otis aramada malha 4cm</t>
  </si>
  <si>
    <t>48468</t>
  </si>
  <si>
    <t>90528</t>
  </si>
  <si>
    <t>Brise com palhetas verticais</t>
  </si>
  <si>
    <t>48467</t>
  </si>
  <si>
    <t>90527</t>
  </si>
  <si>
    <t>Mão de obra para pintura de faixa de garagem em parede, 2 demãos</t>
  </si>
  <si>
    <t>2133</t>
  </si>
  <si>
    <t>90526</t>
  </si>
  <si>
    <t>Pintura com tinta acrílica em paredes internas, aplicação manual, 2 demãos - aplicação em rodapés</t>
  </si>
  <si>
    <t>PINTURA ACRÍLICA</t>
  </si>
  <si>
    <t>90525</t>
  </si>
  <si>
    <t xml:space="preserve">Pintura com tinta látex em paredes internas, acabamento fosco, aplicação manual, 2 demão, incluindo uma demão de selador látex PVA </t>
  </si>
  <si>
    <t>2553</t>
  </si>
  <si>
    <t>90524</t>
  </si>
  <si>
    <t>Pintura com tinta acrílica em paredes internas, aplicação manual, 2 demãos - aplicação em faixas de garagens</t>
  </si>
  <si>
    <t>90523</t>
  </si>
  <si>
    <t>Pintura acrílica em piso, aplicação manual, 2 demãos, aplicação na áreas tecnicas e escadas</t>
  </si>
  <si>
    <t>PINTURA PISO</t>
  </si>
  <si>
    <t>5019</t>
  </si>
  <si>
    <t>2552</t>
  </si>
  <si>
    <t>2943</t>
  </si>
  <si>
    <t>90522</t>
  </si>
  <si>
    <t>Rodapé em porcelanato, altura 8cm, com placa 90x90</t>
  </si>
  <si>
    <t>48461</t>
  </si>
  <si>
    <t>4880</t>
  </si>
  <si>
    <t>90521</t>
  </si>
  <si>
    <t xml:space="preserve">Rodapé em poliestireno, altura 15cm </t>
  </si>
  <si>
    <t>417</t>
  </si>
  <si>
    <t>738</t>
  </si>
  <si>
    <t>48465</t>
  </si>
  <si>
    <t>90520</t>
  </si>
  <si>
    <t xml:space="preserve">Rodapé em poliestireno, altura 12cm </t>
  </si>
  <si>
    <t>48464</t>
  </si>
  <si>
    <t>90519</t>
  </si>
  <si>
    <t>Rodapé em porcelanato, altura 15cm, com placa 90x90</t>
  </si>
  <si>
    <t>90518</t>
  </si>
  <si>
    <t>Rodapé em porcelanato, altura 12cm, com placa 90x90</t>
  </si>
  <si>
    <t>90517</t>
  </si>
  <si>
    <t>Rodapé em cerâmica, altura 8cm, com placa 60x60</t>
  </si>
  <si>
    <t>48459</t>
  </si>
  <si>
    <t>90516</t>
  </si>
  <si>
    <t>Mão de obra para colocação de ladrilho hidráulico</t>
  </si>
  <si>
    <t>PASTILHA</t>
  </si>
  <si>
    <t>48463</t>
  </si>
  <si>
    <t>90515</t>
  </si>
  <si>
    <t>Aplicação de ladrilho hidráulico em piso</t>
  </si>
  <si>
    <t>48462</t>
  </si>
  <si>
    <t>734</t>
  </si>
  <si>
    <t>90514</t>
  </si>
  <si>
    <t>Revestimento interno de piso porcelanato, placa 90x90, aplicação em áreas externas</t>
  </si>
  <si>
    <t>90513</t>
  </si>
  <si>
    <t>Revestimento interno de piso porcelanato, placa 90x90, aplicação em áreas internas</t>
  </si>
  <si>
    <t>90512</t>
  </si>
  <si>
    <t xml:space="preserve">Mão de obra para colocação de moldura em granito </t>
  </si>
  <si>
    <t>ACABAMENTOS DE PAREDE</t>
  </si>
  <si>
    <t>PEITORIL</t>
  </si>
  <si>
    <t>48460</t>
  </si>
  <si>
    <t>90511</t>
  </si>
  <si>
    <t xml:space="preserve">Acabamentos de elevador em granito, acabamento polido, esp. 2cm </t>
  </si>
  <si>
    <t>1526</t>
  </si>
  <si>
    <t>90510</t>
  </si>
  <si>
    <t>Revestimento em pastilha em porcelana em sauna</t>
  </si>
  <si>
    <t>5018</t>
  </si>
  <si>
    <t>90509</t>
  </si>
  <si>
    <t>Revestimento interno de cerâmica, placa 60x60 - aplicação em piso</t>
  </si>
  <si>
    <t>1412</t>
  </si>
  <si>
    <t>90508</t>
  </si>
  <si>
    <t>Revestimento interno de cerâmica, placa 60x60 - aplicação em parede</t>
  </si>
  <si>
    <t>48458</t>
  </si>
  <si>
    <t>90507</t>
  </si>
  <si>
    <t>Chapisco rolado aplicado em alvenaria, com desempenadeira dentada</t>
  </si>
  <si>
    <t>REVESTIMENTO ARGAMASSADO</t>
  </si>
  <si>
    <t>90502</t>
  </si>
  <si>
    <t>Mão de obra para impermeabilização de moldura em fachada</t>
  </si>
  <si>
    <t>IMPERMEABILIZAÇÃO</t>
  </si>
  <si>
    <t>48455</t>
  </si>
  <si>
    <t>90501</t>
  </si>
  <si>
    <t>Impermeabilização de molduras com Vialastic - Viapol e tela, 3 demãos</t>
  </si>
  <si>
    <t>48453</t>
  </si>
  <si>
    <t>48454</t>
  </si>
  <si>
    <t>90485</t>
  </si>
  <si>
    <t>Mão de obra para vedações internas e externas - assentamento blocos de concreto</t>
  </si>
  <si>
    <t>ALVENARIA|VEDAÇÕES</t>
  </si>
  <si>
    <t>48434</t>
  </si>
  <si>
    <t>90426</t>
  </si>
  <si>
    <t xml:space="preserve">Moldura de ACM em fachada </t>
  </si>
  <si>
    <t>48380</t>
  </si>
  <si>
    <t>90425</t>
  </si>
  <si>
    <t>Porta de madeira de abrir 140x210cm, 2 folhas fixação com espuma expansiva</t>
  </si>
  <si>
    <t>1240</t>
  </si>
  <si>
    <t>48378</t>
  </si>
  <si>
    <t>90424</t>
  </si>
  <si>
    <t>Porta de madeira de abrir 100x210cm, fixação com espuma expansiva</t>
  </si>
  <si>
    <t>48377</t>
  </si>
  <si>
    <t>90423</t>
  </si>
  <si>
    <t>Porta de madeira de abrir 60x210cm, fixação com espuma expansiva</t>
  </si>
  <si>
    <t>48376</t>
  </si>
  <si>
    <t>90422</t>
  </si>
  <si>
    <t>Porta corta fogo em aço galvanizado, 100 x 210cm - fornecimento e instalação, incluindo pintura, dobradiças e maçaneta</t>
  </si>
  <si>
    <t>48374</t>
  </si>
  <si>
    <t>90421</t>
  </si>
  <si>
    <t xml:space="preserve">Gradil metálico </t>
  </si>
  <si>
    <t>1515</t>
  </si>
  <si>
    <t>90420</t>
  </si>
  <si>
    <t>Corrimão metálico - fornecimento e instalação</t>
  </si>
  <si>
    <t>CORRIMÃO</t>
  </si>
  <si>
    <t>961</t>
  </si>
  <si>
    <t>90419</t>
  </si>
  <si>
    <t xml:space="preserve"> Pintura com tinta epóxi em piso para demarcação de faixa de garagem, aplicação manual, 2 demãos</t>
  </si>
  <si>
    <t>4920</t>
  </si>
  <si>
    <t>5020</t>
  </si>
  <si>
    <t>90418</t>
  </si>
  <si>
    <t>Contrapiso comum em argamassa estabilizada, nao aderido, espessura 10cm</t>
  </si>
  <si>
    <t>CONTRAPISO</t>
  </si>
  <si>
    <t>458</t>
  </si>
  <si>
    <t>90417</t>
  </si>
  <si>
    <t>Mão de obra para impermeabilização com manta líquida</t>
  </si>
  <si>
    <t>2164</t>
  </si>
  <si>
    <t>90416</t>
  </si>
  <si>
    <t>Fechamento de drywall 90mm com placa standart-standart</t>
  </si>
  <si>
    <t>48372</t>
  </si>
  <si>
    <t>90415</t>
  </si>
  <si>
    <t>Alvenaria de vedação de blocos de concreto 14x19x39cm (espessura 14cm) com argamassa industrializada de assentamento</t>
  </si>
  <si>
    <t>BLOCOS</t>
  </si>
  <si>
    <t>194</t>
  </si>
  <si>
    <t>48371</t>
  </si>
  <si>
    <t>90414</t>
  </si>
  <si>
    <t>Alvenaria de vedação de blocos sical de 15x30x60cm (espessura 15cm) com argamassa industrializada de assentamento</t>
  </si>
  <si>
    <t>SICAL</t>
  </si>
  <si>
    <t>48370</t>
  </si>
  <si>
    <t>90413</t>
  </si>
  <si>
    <t>Execução de piso intertravado, blco retangular 20x10x10cm</t>
  </si>
  <si>
    <t>SERVIÇOS COMPLEMENTARES EXTERNOS</t>
  </si>
  <si>
    <t>Pavimento Intertravado</t>
  </si>
  <si>
    <t>189</t>
  </si>
  <si>
    <t>48369</t>
  </si>
  <si>
    <t>48491</t>
  </si>
  <si>
    <t>48492</t>
  </si>
  <si>
    <t>90412</t>
  </si>
  <si>
    <t>Ligações definitivas</t>
  </si>
  <si>
    <t>SERVIÇOS COMPLEMENTARES E FINAIS</t>
  </si>
  <si>
    <t>ELÉTRICA</t>
  </si>
  <si>
    <t>48367</t>
  </si>
  <si>
    <t>90411</t>
  </si>
  <si>
    <t>Reforço de rede elétrica</t>
  </si>
  <si>
    <t>48366</t>
  </si>
  <si>
    <t>90410</t>
  </si>
  <si>
    <t>Acabamento de registro de gaveta 3/4''</t>
  </si>
  <si>
    <t>INSTALAÇÕES</t>
  </si>
  <si>
    <t>48365</t>
  </si>
  <si>
    <t>90409</t>
  </si>
  <si>
    <t>Barra de apoio</t>
  </si>
  <si>
    <t>48364</t>
  </si>
  <si>
    <t>90408</t>
  </si>
  <si>
    <t>Lavatório PCD</t>
  </si>
  <si>
    <t>48357</t>
  </si>
  <si>
    <t>48361</t>
  </si>
  <si>
    <t>48362</t>
  </si>
  <si>
    <t>48360</t>
  </si>
  <si>
    <t>48363</t>
  </si>
  <si>
    <t>90407</t>
  </si>
  <si>
    <t>Lavatório embutido</t>
  </si>
  <si>
    <t>48358</t>
  </si>
  <si>
    <t>90406</t>
  </si>
  <si>
    <t>Bacia Sanitária de louça com caixa acoplada</t>
  </si>
  <si>
    <t>48356</t>
  </si>
  <si>
    <t>48359</t>
  </si>
  <si>
    <t>90405</t>
  </si>
  <si>
    <t>Mão de obra para instalação de louças e metais sanitários</t>
  </si>
  <si>
    <t>48355</t>
  </si>
  <si>
    <t>90404</t>
  </si>
  <si>
    <t>Sistema de lógica</t>
  </si>
  <si>
    <t>INSTALAÇÕES COMUNICAÇÃO</t>
  </si>
  <si>
    <t>COMUNICAÇÃO</t>
  </si>
  <si>
    <t>48354</t>
  </si>
  <si>
    <t>90403</t>
  </si>
  <si>
    <t>Instalações do sistema de proteção e aterramento - SPDA</t>
  </si>
  <si>
    <t>INSTALAÇÕES PREVENTIVAS</t>
  </si>
  <si>
    <t>PREVENTIVO</t>
  </si>
  <si>
    <t>48353</t>
  </si>
  <si>
    <t>90402</t>
  </si>
  <si>
    <t>Instalações do sistema preventivo de incêndio</t>
  </si>
  <si>
    <t>48352</t>
  </si>
  <si>
    <t>90401</t>
  </si>
  <si>
    <t>Grupo gerador</t>
  </si>
  <si>
    <t>SISTEMAS E INSTALAÇÕES ELÉTRICAS</t>
  </si>
  <si>
    <t>48351</t>
  </si>
  <si>
    <t>90400</t>
  </si>
  <si>
    <t>Subestação de energia</t>
  </si>
  <si>
    <t>48350</t>
  </si>
  <si>
    <t>90398</t>
  </si>
  <si>
    <t>Luminárias, lâmpadas e acessórios</t>
  </si>
  <si>
    <t>48348</t>
  </si>
  <si>
    <t>90397</t>
  </si>
  <si>
    <t>Pontos de tomada e interruptores</t>
  </si>
  <si>
    <t>48347</t>
  </si>
  <si>
    <t>90396</t>
  </si>
  <si>
    <t>Fios e cabos elétricos</t>
  </si>
  <si>
    <t>48346</t>
  </si>
  <si>
    <t>90395</t>
  </si>
  <si>
    <t>Eletrodutos e eletrocalhas</t>
  </si>
  <si>
    <t>48345</t>
  </si>
  <si>
    <t>90394</t>
  </si>
  <si>
    <t>Quadros e disjuntores elétricos</t>
  </si>
  <si>
    <t>48344</t>
  </si>
  <si>
    <t>90393</t>
  </si>
  <si>
    <t>Instalação pluvial e de esgoto</t>
  </si>
  <si>
    <t>SISTEMAS E INSTALAÇÕES HIDROSSANITÁRIAS E DRENAGEM</t>
  </si>
  <si>
    <t>HIDROSSANITÁRIO</t>
  </si>
  <si>
    <t>48343</t>
  </si>
  <si>
    <t>90391</t>
  </si>
  <si>
    <t>Instalação de água quente</t>
  </si>
  <si>
    <t>48341</t>
  </si>
  <si>
    <t>90390</t>
  </si>
  <si>
    <t>Instalação de água fria</t>
  </si>
  <si>
    <t>48340</t>
  </si>
  <si>
    <t>90388</t>
  </si>
  <si>
    <t>Concreto usinado bombeável fck 25MPa com brita 0 SLUMP = 12 +/- 2 - incluindo serviço de bombeamento</t>
  </si>
  <si>
    <t>m³</t>
  </si>
  <si>
    <t>48337</t>
  </si>
  <si>
    <t>5120</t>
  </si>
  <si>
    <t>90387</t>
  </si>
  <si>
    <t>Armação aço CA-60, diâmetro de 5,0 mm para infraestrutura, corte e dobra em obra</t>
  </si>
  <si>
    <t>90386</t>
  </si>
  <si>
    <t>Movimentação de terra para bota-fora de escavação de blocos de coroamento e baldrames</t>
  </si>
  <si>
    <t>MOVIMENTAÇÃO DE TERRA</t>
  </si>
  <si>
    <t>14406</t>
  </si>
  <si>
    <t>90385</t>
  </si>
  <si>
    <t>Concreto usinado bombeável para estacas fck 30MPa com brita 0 SLUMP = 24 +/- 2 - incluindo serviço de bombeamento</t>
  </si>
  <si>
    <t>48335</t>
  </si>
  <si>
    <t>2561</t>
  </si>
  <si>
    <t>81452</t>
  </si>
  <si>
    <t>Perfuração de estaca em hélice contínua diâmetro 60cm</t>
  </si>
  <si>
    <t>M</t>
  </si>
  <si>
    <t>FUNDAÇÃO PROFUNDA</t>
  </si>
  <si>
    <t>14407</t>
  </si>
  <si>
    <t>81451</t>
  </si>
  <si>
    <t>Perfuração de estaca em hélice contínua diâmetro 50cm</t>
  </si>
  <si>
    <t>15406</t>
  </si>
  <si>
    <t>80400</t>
  </si>
  <si>
    <t xml:space="preserve"> Aluguel compressor e diesel</t>
  </si>
  <si>
    <t>EQUIPAMENTOS</t>
  </si>
  <si>
    <t>5150</t>
  </si>
  <si>
    <t>4824</t>
  </si>
  <si>
    <t xml:space="preserve"> Alvenaria de vedação de blocos cerâmicos furados na horizontal de 09x19x19cm (espessura 09cm) com argamassa industrializada de assentamento</t>
  </si>
  <si>
    <t>244</t>
  </si>
  <si>
    <t>4825</t>
  </si>
  <si>
    <t xml:space="preserve"> Alvenaria de vedação de blocos cerâmicos furados na horizontal de 11,5x19x19cm (espessura 11,5cm) com argamassa industrializada de assentamento</t>
  </si>
  <si>
    <t>228</t>
  </si>
  <si>
    <t>4826</t>
  </si>
  <si>
    <t xml:space="preserve"> Alvenaria de vedação de blocos cerâmicos furados na horizontal de 14x19x19cm (espessura 14cm) com argamassa industrializada de assentamento</t>
  </si>
  <si>
    <t>232</t>
  </si>
  <si>
    <t>4827</t>
  </si>
  <si>
    <t xml:space="preserve"> Alvenaria de vedação de blocos sical de 10x30x60cm (espessura 10cm) com argamassa industrializada de assentamento</t>
  </si>
  <si>
    <t>248</t>
  </si>
  <si>
    <t>80402</t>
  </si>
  <si>
    <t xml:space="preserve"> Alvenaria de vedação de blocos sical de 12,5x30x60cm (espessura 12,5cm) com argamassa industrializada de assentamento</t>
  </si>
  <si>
    <t>249</t>
  </si>
  <si>
    <t>4989</t>
  </si>
  <si>
    <t xml:space="preserve"> Ambientação e mobiliário</t>
  </si>
  <si>
    <t>107</t>
  </si>
  <si>
    <t>80405</t>
  </si>
  <si>
    <t xml:space="preserve"> Aplicação e lixamento de massa látex PVA em paredes externas, 2 demãos</t>
  </si>
  <si>
    <t>REVESTIMENTO EXTERNOS</t>
  </si>
  <si>
    <t>PINTURA EXTERNA</t>
  </si>
  <si>
    <t>1828</t>
  </si>
  <si>
    <t>2185</t>
  </si>
  <si>
    <t>4925</t>
  </si>
  <si>
    <t xml:space="preserve"> Aplicação e lixamento de massa látex PVA em paredes, 2 demãos</t>
  </si>
  <si>
    <t>1827</t>
  </si>
  <si>
    <t>4695</t>
  </si>
  <si>
    <t xml:space="preserve"> Aprovação e legalização água e esgoto</t>
  </si>
  <si>
    <t>SERVIÇOS TECNICOS</t>
  </si>
  <si>
    <t>2677</t>
  </si>
  <si>
    <t>4693</t>
  </si>
  <si>
    <t xml:space="preserve"> Aprovação e legalização ambiental </t>
  </si>
  <si>
    <t>2678</t>
  </si>
  <si>
    <t>4697</t>
  </si>
  <si>
    <t xml:space="preserve"> Aprovação e legalização bombeiros </t>
  </si>
  <si>
    <t>2679</t>
  </si>
  <si>
    <t>4696</t>
  </si>
  <si>
    <t xml:space="preserve"> Aprovação e legalização elétrico</t>
  </si>
  <si>
    <t>2680</t>
  </si>
  <si>
    <t>4694</t>
  </si>
  <si>
    <t xml:space="preserve"> Aprovação e legalização prefeitura </t>
  </si>
  <si>
    <t>2681</t>
  </si>
  <si>
    <t>80415</t>
  </si>
  <si>
    <t xml:space="preserve"> Aquisição de elevador cremalheira</t>
  </si>
  <si>
    <t>5173</t>
  </si>
  <si>
    <t>80360</t>
  </si>
  <si>
    <t xml:space="preserve"> Argamassa para estaca raíz 40 MPa</t>
  </si>
  <si>
    <t>5073</t>
  </si>
  <si>
    <t>5072</t>
  </si>
  <si>
    <t>5071</t>
  </si>
  <si>
    <t>80364</t>
  </si>
  <si>
    <t xml:space="preserve"> Armação aço CA-50, diâmetro de 10,0 mm para infraestrutura, corte e dobra em indústria</t>
  </si>
  <si>
    <t>26</t>
  </si>
  <si>
    <t>90364</t>
  </si>
  <si>
    <t xml:space="preserve"> Armação aço CA-50, diâmetro de 10,0 mm para infraestrutura, corte e dobra em obra</t>
  </si>
  <si>
    <t>4812</t>
  </si>
  <si>
    <t xml:space="preserve"> Armação aço CA-50, diâmetro de 10,0mm para supraestrutura, corte e dobra em indústria</t>
  </si>
  <si>
    <t>SUPRAESTRUTURA</t>
  </si>
  <si>
    <t>ARMAÇÃO</t>
  </si>
  <si>
    <t>9812</t>
  </si>
  <si>
    <t xml:space="preserve"> Armação aço CA-50, diâmetro de 10,0mm para supraestrutura, corte e dobra em obra</t>
  </si>
  <si>
    <t>80365</t>
  </si>
  <si>
    <t xml:space="preserve"> Armação aço CA-50, diâmetro de 12,5 mm para infraestrutura, corte e dobra em indústria</t>
  </si>
  <si>
    <t>27</t>
  </si>
  <si>
    <t>90365</t>
  </si>
  <si>
    <t xml:space="preserve"> Armação aço CA-50, diâmetro de 12,5 mm para infraestrutura, corte e dobra em obra</t>
  </si>
  <si>
    <t>4813</t>
  </si>
  <si>
    <t xml:space="preserve"> Armação aço CA-50, diâmetro de 12,5mm para supraestrutura, corte e dobra em indústria</t>
  </si>
  <si>
    <t>9813</t>
  </si>
  <si>
    <t xml:space="preserve"> Armação aço CA-50, diâmetro de 12,5mm para supraestrutura, corte e dobra em obra</t>
  </si>
  <si>
    <t>80366</t>
  </si>
  <si>
    <t xml:space="preserve"> Armação aço CA-50, diâmetro de 16,0 mm para infraestrutura, corte e dobra em indústria</t>
  </si>
  <si>
    <t>28</t>
  </si>
  <si>
    <t>90366</t>
  </si>
  <si>
    <t xml:space="preserve"> Armação aço CA-50, diâmetro de 16,0 mm para infraestrutura, corte e dobra em obra</t>
  </si>
  <si>
    <t>4814</t>
  </si>
  <si>
    <t xml:space="preserve"> Armação aço CA-50, diâmetro de 16,0mm para supraestrutura, corte e dobra em indústria</t>
  </si>
  <si>
    <t>9814</t>
  </si>
  <si>
    <t xml:space="preserve"> Armação aço CA-50, diâmetro de 16,0mm para supraestrutura, corte e dobra em obra</t>
  </si>
  <si>
    <t>80367</t>
  </si>
  <si>
    <t xml:space="preserve"> Armação aço CA-50, diâmetro de 20,0 mm para infraestrutura, corte e dobra em indústria</t>
  </si>
  <si>
    <t>30</t>
  </si>
  <si>
    <t>90367</t>
  </si>
  <si>
    <t xml:space="preserve"> Armação aço CA-50, diâmetro de 20,0 mm para infraestrutura, corte e dobra em obra</t>
  </si>
  <si>
    <t>4815</t>
  </si>
  <si>
    <t xml:space="preserve"> Armação aço CA-50, diâmetro de 20,0mm para supraestrutura, corte e dobra em indústria</t>
  </si>
  <si>
    <t>9815</t>
  </si>
  <si>
    <t xml:space="preserve"> Armação aço CA-50, diâmetro de 20,0mm para supraestrutura, corte e dobra em obra</t>
  </si>
  <si>
    <t>80368</t>
  </si>
  <si>
    <t xml:space="preserve"> Armação aço CA-50, diâmetro de 25,0 mm para infraestrutura, corte e dobra em indústria</t>
  </si>
  <si>
    <t>31</t>
  </si>
  <si>
    <t>90368</t>
  </si>
  <si>
    <t xml:space="preserve"> Armação aço CA-50, diâmetro de 25,0 mm para infraestrutura, corte e dobra em obra</t>
  </si>
  <si>
    <t>80384</t>
  </si>
  <si>
    <t xml:space="preserve"> Armação aço CA-50, diâmetro de 25,0mm para supraestrutura, corte e dobra em indústria</t>
  </si>
  <si>
    <t>90384</t>
  </si>
  <si>
    <t xml:space="preserve"> Armação aço CA-50, diâmetro de 25,0mm para supraestrutura, corte e dobra em obra</t>
  </si>
  <si>
    <t>80362</t>
  </si>
  <si>
    <t xml:space="preserve"> Armação aço CA-50, diâmetro de 6,3 mm para infraestrutura, corte e dobra em indústria</t>
  </si>
  <si>
    <t>32</t>
  </si>
  <si>
    <t>90362</t>
  </si>
  <si>
    <t xml:space="preserve"> Armação aço CA-50, diâmetro de 6,3 mm para infraestrutura, corte e dobra em obra</t>
  </si>
  <si>
    <t>4810</t>
  </si>
  <si>
    <t xml:space="preserve"> Armação aço CA-50, diâmetro de 6,3 mm para supraestrutura, corte e dobra em indústria</t>
  </si>
  <si>
    <t>9810</t>
  </si>
  <si>
    <t xml:space="preserve"> Armação aço CA-50, diâmetro de 6,3 mm para supraestrutura, corte e dobra em obra</t>
  </si>
  <si>
    <t>80363</t>
  </si>
  <si>
    <t xml:space="preserve"> Armação aço CA-50, diâmetro de 8,0 mm para infraestrutura, corte e dobra em indústria</t>
  </si>
  <si>
    <t>33</t>
  </si>
  <si>
    <t>90363</t>
  </si>
  <si>
    <t xml:space="preserve"> Armação aço CA-50, diâmetro de 8,0 mm para infraestrutura, corte e dobra em obra</t>
  </si>
  <si>
    <t>4811</t>
  </si>
  <si>
    <t xml:space="preserve"> Armação aço CA-50, diâmetro de 8,0mm para supraestrutura, corte e dobra em indústria</t>
  </si>
  <si>
    <t>9811</t>
  </si>
  <si>
    <t xml:space="preserve"> Armação aço CA-50, diâmetro de 8,0mm para supraestrutura, corte e dobra em obra</t>
  </si>
  <si>
    <t>80359</t>
  </si>
  <si>
    <t xml:space="preserve"> Armação estacas raíz</t>
  </si>
  <si>
    <t>5070</t>
  </si>
  <si>
    <t>80352</t>
  </si>
  <si>
    <t xml:space="preserve"> Arrasamento de estacas</t>
  </si>
  <si>
    <t>ESTACAS</t>
  </si>
  <si>
    <t>2147</t>
  </si>
  <si>
    <t>4705</t>
  </si>
  <si>
    <t xml:space="preserve"> As Built</t>
  </si>
  <si>
    <t>209</t>
  </si>
  <si>
    <t>4708</t>
  </si>
  <si>
    <t xml:space="preserve"> Certidão INSS</t>
  </si>
  <si>
    <t>4709</t>
  </si>
  <si>
    <t>4869</t>
  </si>
  <si>
    <t xml:space="preserve"> Chapisco de argamassa preparada em obra de cimento e areia em teto</t>
  </si>
  <si>
    <t>92</t>
  </si>
  <si>
    <t>188</t>
  </si>
  <si>
    <t>4723</t>
  </si>
  <si>
    <t xml:space="preserve"> Cobertura para proteção de pedestres sobre estrutura de andaime</t>
  </si>
  <si>
    <t>PRELIMINARES E INSTALAÇÕES</t>
  </si>
  <si>
    <t>108</t>
  </si>
  <si>
    <t>4985</t>
  </si>
  <si>
    <t>80021</t>
  </si>
  <si>
    <t xml:space="preserve"> Concreto estampado</t>
  </si>
  <si>
    <t>CONCRETO</t>
  </si>
  <si>
    <t>4800</t>
  </si>
  <si>
    <t>5159</t>
  </si>
  <si>
    <t>5160</t>
  </si>
  <si>
    <t>2546</t>
  </si>
  <si>
    <t>80369</t>
  </si>
  <si>
    <t xml:space="preserve"> Concreto usinado bombeável, para infraestrutura, Fck 40MPa, com Brita 1, SLUMP = 16+/-2 incluindo serviço de bombeamento</t>
  </si>
  <si>
    <t>766</t>
  </si>
  <si>
    <t>4819</t>
  </si>
  <si>
    <t xml:space="preserve"> Concreto usinado bombeável, para supraestrutura, Fck 30MPa, com Brita 1,   SLUMP = 16+/-2 incluindo serviço de bombeamento</t>
  </si>
  <si>
    <t>m3</t>
  </si>
  <si>
    <t>4820</t>
  </si>
  <si>
    <t>4817</t>
  </si>
  <si>
    <t xml:space="preserve"> Concreto usinado bombeável, para supraestrutura, Fck 40MPa, com Brita 1,   SLUMP = 16+/-2 incluindo serviço de bombeamento</t>
  </si>
  <si>
    <t>4818</t>
  </si>
  <si>
    <t>4943</t>
  </si>
  <si>
    <t xml:space="preserve"> Contramarco de alumínio, fixação com argamassa</t>
  </si>
  <si>
    <t>CONTRAMARCO</t>
  </si>
  <si>
    <t>949</t>
  </si>
  <si>
    <t>4941</t>
  </si>
  <si>
    <t xml:space="preserve"> Contramarcos de aço galvanizado para portas corta fogo, fixação com argamassa</t>
  </si>
  <si>
    <t>4942</t>
  </si>
  <si>
    <t>80030</t>
  </si>
  <si>
    <t xml:space="preserve"> Contrapiso acústico com argamassa cimento e areia 4cm</t>
  </si>
  <si>
    <t>2098</t>
  </si>
  <si>
    <t>4858</t>
  </si>
  <si>
    <t xml:space="preserve"> Contrapiso acústico com argamassa cimento e areia 5cm</t>
  </si>
  <si>
    <t>4691</t>
  </si>
  <si>
    <t xml:space="preserve"> Controle tecnológico de concreto </t>
  </si>
  <si>
    <t>ENSAIOS</t>
  </si>
  <si>
    <t>953</t>
  </si>
  <si>
    <t>4951</t>
  </si>
  <si>
    <t xml:space="preserve"> Corrimão em madeira - fornecimento e instalação</t>
  </si>
  <si>
    <t>80024</t>
  </si>
  <si>
    <t xml:space="preserve"> Deck de madeira</t>
  </si>
  <si>
    <t>MADEIRA</t>
  </si>
  <si>
    <t>5089</t>
  </si>
  <si>
    <t>80410</t>
  </si>
  <si>
    <t xml:space="preserve"> Demolições</t>
  </si>
  <si>
    <t>DEMOLIÇÕES</t>
  </si>
  <si>
    <t>1229</t>
  </si>
  <si>
    <t>4776</t>
  </si>
  <si>
    <t xml:space="preserve"> Despesa com vizinhos </t>
  </si>
  <si>
    <t>OPERAÇÃO E ORGANIZAÇÃO</t>
  </si>
  <si>
    <t>1231</t>
  </si>
  <si>
    <t>4700</t>
  </si>
  <si>
    <t xml:space="preserve"> Despesas cartório, licenças, certidões e jurídicas</t>
  </si>
  <si>
    <t>4701</t>
  </si>
  <si>
    <t>4759</t>
  </si>
  <si>
    <t xml:space="preserve"> Despesas de consumo - água e esgoto</t>
  </si>
  <si>
    <t>mês</t>
  </si>
  <si>
    <t>1232</t>
  </si>
  <si>
    <t>4772</t>
  </si>
  <si>
    <t xml:space="preserve"> Despesas de consumo - coleta de lixo </t>
  </si>
  <si>
    <t>1233</t>
  </si>
  <si>
    <t>4768</t>
  </si>
  <si>
    <t xml:space="preserve"> Despesas de consumo - energia </t>
  </si>
  <si>
    <t>1235</t>
  </si>
  <si>
    <t>4769</t>
  </si>
  <si>
    <t xml:space="preserve"> Despesas de consumo - internet</t>
  </si>
  <si>
    <t>1234</t>
  </si>
  <si>
    <t>4773</t>
  </si>
  <si>
    <t xml:space="preserve"> Despesas de consumo - material de expediente/escritório </t>
  </si>
  <si>
    <t>4774</t>
  </si>
  <si>
    <t>4775</t>
  </si>
  <si>
    <t xml:space="preserve"> Despesas de consumo - material de higiene e limpeza</t>
  </si>
  <si>
    <t>1237</t>
  </si>
  <si>
    <t>4770</t>
  </si>
  <si>
    <t xml:space="preserve"> Despesas de consumo - telefone</t>
  </si>
  <si>
    <t>4771</t>
  </si>
  <si>
    <t>4692</t>
  </si>
  <si>
    <t xml:space="preserve"> Despesas de seguro de obra</t>
  </si>
  <si>
    <t>1239</t>
  </si>
  <si>
    <t>4738</t>
  </si>
  <si>
    <t xml:space="preserve"> Elaboração do programa de controle médico de saúde ocupacional (PCMSO)</t>
  </si>
  <si>
    <t>SEGURANÇA</t>
  </si>
  <si>
    <t>1316</t>
  </si>
  <si>
    <t>4734</t>
  </si>
  <si>
    <t xml:space="preserve"> Elaboração do programa de gerenciamento de risco (PGR)</t>
  </si>
  <si>
    <t>5166</t>
  </si>
  <si>
    <t>4995</t>
  </si>
  <si>
    <t xml:space="preserve"> Elevador de serviço</t>
  </si>
  <si>
    <t>EQUIPAMENTOS E SISTEMAS ESPECIAIS</t>
  </si>
  <si>
    <t>ELEADOR</t>
  </si>
  <si>
    <t>1366</t>
  </si>
  <si>
    <t>4994</t>
  </si>
  <si>
    <t xml:space="preserve"> Elevador social</t>
  </si>
  <si>
    <t>ELEVADOR</t>
  </si>
  <si>
    <t>1367</t>
  </si>
  <si>
    <t>4828</t>
  </si>
  <si>
    <t xml:space="preserve"> Encunhamento de alvenaria de vedação com argamassa expansiva</t>
  </si>
  <si>
    <t>ENCUNHAMENTO</t>
  </si>
  <si>
    <t>48435</t>
  </si>
  <si>
    <t>4740</t>
  </si>
  <si>
    <t xml:space="preserve"> Engenheiro civil</t>
  </si>
  <si>
    <t>EQUIPE DA OBRA</t>
  </si>
  <si>
    <t>1375</t>
  </si>
  <si>
    <t>4690</t>
  </si>
  <si>
    <t xml:space="preserve"> Ensaio/Laudo desempenho NBR </t>
  </si>
  <si>
    <t>1381</t>
  </si>
  <si>
    <t>4689</t>
  </si>
  <si>
    <t xml:space="preserve"> Ensaio/Laudo fachada</t>
  </si>
  <si>
    <t>1382</t>
  </si>
  <si>
    <t>80289</t>
  </si>
  <si>
    <t xml:space="preserve"> Entrada de energia</t>
  </si>
  <si>
    <t>1383</t>
  </si>
  <si>
    <t>4712</t>
  </si>
  <si>
    <t xml:space="preserve"> Equipamento de proteção individual - EPI </t>
  </si>
  <si>
    <t>1389</t>
  </si>
  <si>
    <t>4999</t>
  </si>
  <si>
    <t xml:space="preserve"> Equipamentos para piscina</t>
  </si>
  <si>
    <t>1393</t>
  </si>
  <si>
    <t>80372</t>
  </si>
  <si>
    <t xml:space="preserve"> Fabricação de forma para cisterna, em chapa de madeira compensada plastificada, 18 mm</t>
  </si>
  <si>
    <t>FORMA</t>
  </si>
  <si>
    <t>4796</t>
  </si>
  <si>
    <t>2324</t>
  </si>
  <si>
    <t>2362</t>
  </si>
  <si>
    <t>4797</t>
  </si>
  <si>
    <t xml:space="preserve"> Fabricação de forma para escadas e rampas, em chapa de madeira compensada plastificada,   18 mm</t>
  </si>
  <si>
    <t>2360</t>
  </si>
  <si>
    <t>2363</t>
  </si>
  <si>
    <t>4823</t>
  </si>
  <si>
    <t xml:space="preserve"> Fabricação de forma para lajes, em chapa de madeira compensada plastificada, 18mm</t>
  </si>
  <si>
    <t>80385</t>
  </si>
  <si>
    <t xml:space="preserve"> Fabricação de forma para pilares, em chapa de madeira compensada plastificada, 18mm</t>
  </si>
  <si>
    <t>4795</t>
  </si>
  <si>
    <t xml:space="preserve"> Fabricação de forma para vigas, em chapa de madeira compensada plastificada, 18mm</t>
  </si>
  <si>
    <t>80358</t>
  </si>
  <si>
    <t xml:space="preserve"> Fabricação, montagem e desmontagem de fôrma para bloco, vigas de transição e baldrames, em tábua de madeira</t>
  </si>
  <si>
    <t>4766</t>
  </si>
  <si>
    <t>1230</t>
  </si>
  <si>
    <t>2359</t>
  </si>
  <si>
    <t>2611</t>
  </si>
  <si>
    <t>80417</t>
  </si>
  <si>
    <t xml:space="preserve"> Fechadura biométrica - entrada dos apartamentos</t>
  </si>
  <si>
    <t>FECHADURAS</t>
  </si>
  <si>
    <t>2579</t>
  </si>
  <si>
    <t>4725</t>
  </si>
  <si>
    <t xml:space="preserve"> Fechamento removível de vão de portas de elevador em madeira</t>
  </si>
  <si>
    <t>4760</t>
  </si>
  <si>
    <t>4786</t>
  </si>
  <si>
    <t xml:space="preserve"> Ferramentas</t>
  </si>
  <si>
    <t>1457</t>
  </si>
  <si>
    <t>4873</t>
  </si>
  <si>
    <t xml:space="preserve"> Forro de gesso acartonado, aplicação em áreas molhadas - material e mão de obra</t>
  </si>
  <si>
    <t>ACABAMENTOS EM TETO</t>
  </si>
  <si>
    <t>FORRO EM GESSO</t>
  </si>
  <si>
    <t>4875</t>
  </si>
  <si>
    <t>1514</t>
  </si>
  <si>
    <t>4872</t>
  </si>
  <si>
    <t xml:space="preserve"> Forro de gesso acartonado, aplicação em áreas secas - material e mão de obra</t>
  </si>
  <si>
    <t>4874</t>
  </si>
  <si>
    <t>80017</t>
  </si>
  <si>
    <t xml:space="preserve"> Forro em madeira</t>
  </si>
  <si>
    <t>FORRO</t>
  </si>
  <si>
    <t>FORRO RM MADEIRA</t>
  </si>
  <si>
    <t>5017</t>
  </si>
  <si>
    <t>4876</t>
  </si>
  <si>
    <t xml:space="preserve"> Gesso negativo - material e mão de obra</t>
  </si>
  <si>
    <t>80293</t>
  </si>
  <si>
    <t xml:space="preserve"> Gradil metálico para área técnica h=110cm</t>
  </si>
  <si>
    <t>80026</t>
  </si>
  <si>
    <t xml:space="preserve"> Grama sintética</t>
  </si>
  <si>
    <t>1516</t>
  </si>
  <si>
    <t>4719</t>
  </si>
  <si>
    <t xml:space="preserve"> Guarda corpo de vãos fixado em forma de madeira, em trama de madeira com tela de polipropileno</t>
  </si>
  <si>
    <t>2613</t>
  </si>
  <si>
    <t>4761</t>
  </si>
  <si>
    <t>4721</t>
  </si>
  <si>
    <t xml:space="preserve"> Guarda corpo em laje pós - desforma com escoras metálicas, travessão em madeira e fechamento em tela de polipropileno</t>
  </si>
  <si>
    <t>80291</t>
  </si>
  <si>
    <t xml:space="preserve"> Guarda-corpo de vidro temperado de sacadas</t>
  </si>
  <si>
    <t>GUARDA-CORPO</t>
  </si>
  <si>
    <t>1530</t>
  </si>
  <si>
    <t>4746</t>
  </si>
  <si>
    <t xml:space="preserve"> Guincheiro</t>
  </si>
  <si>
    <t>4747</t>
  </si>
  <si>
    <t>4842</t>
  </si>
  <si>
    <t xml:space="preserve"> Impermeabilização com argamassa polimérica, 3 demãos</t>
  </si>
  <si>
    <t>202</t>
  </si>
  <si>
    <t>4840</t>
  </si>
  <si>
    <t xml:space="preserve"> Impermeabilização de baldrames com tinta asfáltica</t>
  </si>
  <si>
    <t>2945</t>
  </si>
  <si>
    <t>4841</t>
  </si>
  <si>
    <t xml:space="preserve"> Impermeabilização de superfície com manta asfáltica colada, com asfalto derretido, uma camada, 4mm</t>
  </si>
  <si>
    <t>1512</t>
  </si>
  <si>
    <t>2099</t>
  </si>
  <si>
    <t>2368</t>
  </si>
  <si>
    <t>4993</t>
  </si>
  <si>
    <t xml:space="preserve"> Imprevistos e contingência</t>
  </si>
  <si>
    <t>COMPLEMENTARES</t>
  </si>
  <si>
    <t>1555</t>
  </si>
  <si>
    <t>4702</t>
  </si>
  <si>
    <t xml:space="preserve"> Incorporação </t>
  </si>
  <si>
    <t>1241</t>
  </si>
  <si>
    <t>80409</t>
  </si>
  <si>
    <t xml:space="preserve"> Infraestrutura para carga de carro elétrico</t>
  </si>
  <si>
    <t>1557</t>
  </si>
  <si>
    <t>4996</t>
  </si>
  <si>
    <t xml:space="preserve"> Infraestrutura para instalação de ar condicionado</t>
  </si>
  <si>
    <t>CLIMATIZAÇÃO, EXAUSTÃO MECÂNICA E PRESSURIZAÇÃO</t>
  </si>
  <si>
    <t>1556</t>
  </si>
  <si>
    <t>80418</t>
  </si>
  <si>
    <t xml:space="preserve"> Instalações de proteção e aterramento</t>
  </si>
  <si>
    <t>INSTALAÇÕES SPDA</t>
  </si>
  <si>
    <t>1563</t>
  </si>
  <si>
    <t>4751</t>
  </si>
  <si>
    <t xml:space="preserve"> Instalações provisórias de canteiro </t>
  </si>
  <si>
    <t>1565</t>
  </si>
  <si>
    <t>4753</t>
  </si>
  <si>
    <t xml:space="preserve"> Instalações provisórias: rede elétrica, comunicação e dados </t>
  </si>
  <si>
    <t>1567</t>
  </si>
  <si>
    <t>4752</t>
  </si>
  <si>
    <t xml:space="preserve"> Instalações provisórias: redes de água fria, esgoto e drenagem </t>
  </si>
  <si>
    <t>1566</t>
  </si>
  <si>
    <t>4703</t>
  </si>
  <si>
    <t xml:space="preserve"> IPTU</t>
  </si>
  <si>
    <t>1591</t>
  </si>
  <si>
    <t>4792</t>
  </si>
  <si>
    <t xml:space="preserve"> Lastro de concreto magro, aplicado em blocos, espessura 10 cm</t>
  </si>
  <si>
    <t>302</t>
  </si>
  <si>
    <t>4791</t>
  </si>
  <si>
    <t xml:space="preserve"> Lastro de concreto magro, aplicado em valas, espessura 5 cm </t>
  </si>
  <si>
    <t>4688</t>
  </si>
  <si>
    <t xml:space="preserve"> Laudo preventivo de danos à vizinhança </t>
  </si>
  <si>
    <t>1820</t>
  </si>
  <si>
    <t>4706</t>
  </si>
  <si>
    <t xml:space="preserve"> Laudo técnico de vistoria de entrega </t>
  </si>
  <si>
    <t>1821</t>
  </si>
  <si>
    <t>4673</t>
  </si>
  <si>
    <t xml:space="preserve"> Legalização de incorporação </t>
  </si>
  <si>
    <t>2385</t>
  </si>
  <si>
    <t>4667</t>
  </si>
  <si>
    <t xml:space="preserve"> Levantamento topográfico</t>
  </si>
  <si>
    <t>1439</t>
  </si>
  <si>
    <t>4992</t>
  </si>
  <si>
    <t xml:space="preserve"> Limpeza final de obra</t>
  </si>
  <si>
    <t>1825</t>
  </si>
  <si>
    <t>4748</t>
  </si>
  <si>
    <t xml:space="preserve"> Locação da obra </t>
  </si>
  <si>
    <t>1829</t>
  </si>
  <si>
    <t>4783</t>
  </si>
  <si>
    <t xml:space="preserve"> Locação de balancim suspenso elétrico </t>
  </si>
  <si>
    <t>1831</t>
  </si>
  <si>
    <t>4756</t>
  </si>
  <si>
    <t xml:space="preserve"> Locação de banheiro químico </t>
  </si>
  <si>
    <t>4757</t>
  </si>
  <si>
    <t>4754</t>
  </si>
  <si>
    <t xml:space="preserve"> Locação de conteiner</t>
  </si>
  <si>
    <t>mes</t>
  </si>
  <si>
    <t>1832</t>
  </si>
  <si>
    <t>4806</t>
  </si>
  <si>
    <t xml:space="preserve"> Locação de cubetas</t>
  </si>
  <si>
    <t>5075</t>
  </si>
  <si>
    <t>5076</t>
  </si>
  <si>
    <t>3755</t>
  </si>
  <si>
    <t xml:space="preserve"> Locação de elevador cremalheira</t>
  </si>
  <si>
    <t>1739</t>
  </si>
  <si>
    <t>4804</t>
  </si>
  <si>
    <t xml:space="preserve"> Locação de escoramento metálico</t>
  </si>
  <si>
    <t>4805</t>
  </si>
  <si>
    <t>4965</t>
  </si>
  <si>
    <t xml:space="preserve"> Manta térmica de alumínio para cobertura</t>
  </si>
  <si>
    <t>5008</t>
  </si>
  <si>
    <t>4966</t>
  </si>
  <si>
    <t>4707</t>
  </si>
  <si>
    <t xml:space="preserve"> Manuais técnicos - condomínio/proprietários </t>
  </si>
  <si>
    <t>2105</t>
  </si>
  <si>
    <t>4785</t>
  </si>
  <si>
    <t xml:space="preserve"> Manutenção periódica de balancim</t>
  </si>
  <si>
    <t>2106</t>
  </si>
  <si>
    <t>4788</t>
  </si>
  <si>
    <t xml:space="preserve"> Manutenção periódica para elevador cremalheira</t>
  </si>
  <si>
    <t>4779</t>
  </si>
  <si>
    <t xml:space="preserve"> Manutenção provisória de canteiro </t>
  </si>
  <si>
    <t>2112</t>
  </si>
  <si>
    <t>4782</t>
  </si>
  <si>
    <t xml:space="preserve"> Manutenção provisória de vigilância e acessos </t>
  </si>
  <si>
    <t>2111</t>
  </si>
  <si>
    <t>4780</t>
  </si>
  <si>
    <t xml:space="preserve"> Manutenção provisória elétrica</t>
  </si>
  <si>
    <t>2113</t>
  </si>
  <si>
    <t>4781</t>
  </si>
  <si>
    <t xml:space="preserve"> Manutenção provisória hidrossanitária </t>
  </si>
  <si>
    <t>2114</t>
  </si>
  <si>
    <t>4864</t>
  </si>
  <si>
    <t xml:space="preserve"> Mão de obra de execução contrapiso acústico</t>
  </si>
  <si>
    <t>2156</t>
  </si>
  <si>
    <t>4863</t>
  </si>
  <si>
    <t xml:space="preserve"> Mão de obra de execução contrapiso comum</t>
  </si>
  <si>
    <t>80034</t>
  </si>
  <si>
    <t xml:space="preserve"> Mão de obra de execução de estucamento</t>
  </si>
  <si>
    <t>2153</t>
  </si>
  <si>
    <t>80040</t>
  </si>
  <si>
    <t xml:space="preserve"> Mão de obra para aplicação de textura acrílica em paredes internas, 2 demãos</t>
  </si>
  <si>
    <t>48466</t>
  </si>
  <si>
    <t>4836</t>
  </si>
  <si>
    <t xml:space="preserve"> Mão de obra para assentamento de tijolos refratários</t>
  </si>
  <si>
    <t>2119</t>
  </si>
  <si>
    <t>4917</t>
  </si>
  <si>
    <t xml:space="preserve"> Mão de obra para colocação de peitoril</t>
  </si>
  <si>
    <t>4918</t>
  </si>
  <si>
    <t>4907</t>
  </si>
  <si>
    <t xml:space="preserve"> Mão de obra para colocação de rodapé cerâmico/porcelanato</t>
  </si>
  <si>
    <t>4908</t>
  </si>
  <si>
    <t>4909</t>
  </si>
  <si>
    <t xml:space="preserve"> Mão de obra para colocação de rodapé de poliestireno</t>
  </si>
  <si>
    <t>4910</t>
  </si>
  <si>
    <t>4913</t>
  </si>
  <si>
    <t xml:space="preserve"> Mão de obra para colocação de soleiras em granito</t>
  </si>
  <si>
    <t>4914</t>
  </si>
  <si>
    <t>80393</t>
  </si>
  <si>
    <t xml:space="preserve"> Mão de obra para colocação e rejuntamento de azulejo cerâmico</t>
  </si>
  <si>
    <t>4916</t>
  </si>
  <si>
    <t>80044</t>
  </si>
  <si>
    <t xml:space="preserve"> Mão de obra para colocação e rejuntamento de pastilha em parede externa</t>
  </si>
  <si>
    <t>MÃO DE OBRA EMPREITADA</t>
  </si>
  <si>
    <t>5023</t>
  </si>
  <si>
    <t>80391</t>
  </si>
  <si>
    <t xml:space="preserve"> Mão de obra para colocação e rejuntamento de pastilhas em piscina</t>
  </si>
  <si>
    <t>4906</t>
  </si>
  <si>
    <t xml:space="preserve"> Mão de obra para colocação e rejuntamento de piso cerâmico</t>
  </si>
  <si>
    <t>4822</t>
  </si>
  <si>
    <t>4904</t>
  </si>
  <si>
    <t xml:space="preserve"> Mão de obra para colocação e rejuntamento de piso porcelanato</t>
  </si>
  <si>
    <t>4905</t>
  </si>
  <si>
    <t>4988</t>
  </si>
  <si>
    <t xml:space="preserve"> Mão de obra para colocação e rejuntamento de revestimento cerâmico/porcelanato em parede</t>
  </si>
  <si>
    <t>80361</t>
  </si>
  <si>
    <t xml:space="preserve"> Mão de obra para execução de infraestrutura de concreto armado</t>
  </si>
  <si>
    <t>5074</t>
  </si>
  <si>
    <t>80374</t>
  </si>
  <si>
    <t xml:space="preserve"> Mão de obra para execução de cisterna</t>
  </si>
  <si>
    <t>5078</t>
  </si>
  <si>
    <t>4969</t>
  </si>
  <si>
    <t xml:space="preserve"> Mão de obra para execução de cobertura com estrutura de madeira e telhas de fibrocimento</t>
  </si>
  <si>
    <t>4970</t>
  </si>
  <si>
    <t>4821</t>
  </si>
  <si>
    <t xml:space="preserve"> Mão de obra para execução de concreto armado em supraestrutura</t>
  </si>
  <si>
    <t>2121</t>
  </si>
  <si>
    <t>80381</t>
  </si>
  <si>
    <t xml:space="preserve"> Mão de obra para execução de instalações elétricas</t>
  </si>
  <si>
    <t>2182</t>
  </si>
  <si>
    <t>80382</t>
  </si>
  <si>
    <t xml:space="preserve"> Mão de obra para execução de instalações hidrossanitárias</t>
  </si>
  <si>
    <t>2183</t>
  </si>
  <si>
    <t>80383</t>
  </si>
  <si>
    <t xml:space="preserve"> Mão de obra para execução de instalações preventivas</t>
  </si>
  <si>
    <t>2174</t>
  </si>
  <si>
    <t>80419</t>
  </si>
  <si>
    <t xml:space="preserve"> Mão de obra para execução de instalações SPDA</t>
  </si>
  <si>
    <t>2173</t>
  </si>
  <si>
    <t>4937</t>
  </si>
  <si>
    <t xml:space="preserve"> Mão de obra para pintura acrílica em paredes internas, 3 demãos</t>
  </si>
  <si>
    <t>2134</t>
  </si>
  <si>
    <t>80411</t>
  </si>
  <si>
    <t xml:space="preserve"> Mão de obra para execução de piscina em concreto armado</t>
  </si>
  <si>
    <t>5167</t>
  </si>
  <si>
    <t>80036</t>
  </si>
  <si>
    <t xml:space="preserve"> Mão de obra para execução de piso cimentado</t>
  </si>
  <si>
    <t>5088</t>
  </si>
  <si>
    <t>80403</t>
  </si>
  <si>
    <t xml:space="preserve"> Mão de obra para execução de piso de concreto sobre solo</t>
  </si>
  <si>
    <t>5158</t>
  </si>
  <si>
    <t>80389</t>
  </si>
  <si>
    <t xml:space="preserve"> Mão de obra para execução de piso em concreto alisado</t>
  </si>
  <si>
    <t>2158</t>
  </si>
  <si>
    <t>80390</t>
  </si>
  <si>
    <t xml:space="preserve"> Mão de obra para execução de piso em concreto estampado</t>
  </si>
  <si>
    <t>5086</t>
  </si>
  <si>
    <t>80371</t>
  </si>
  <si>
    <t xml:space="preserve"> Mão de obra para execução de piso zero</t>
  </si>
  <si>
    <t>5077</t>
  </si>
  <si>
    <t>4851</t>
  </si>
  <si>
    <t xml:space="preserve"> Mão de obra para execução de proteção mecânica em superfície impermeabilizada</t>
  </si>
  <si>
    <t>2159</t>
  </si>
  <si>
    <t>4983</t>
  </si>
  <si>
    <t xml:space="preserve"> Mão de obra para execução de reboco externo, inclui chapisco</t>
  </si>
  <si>
    <t>2120</t>
  </si>
  <si>
    <t>4848</t>
  </si>
  <si>
    <t xml:space="preserve"> Mão de obra para impermeabilização com argamassa polimérica</t>
  </si>
  <si>
    <t>2161</t>
  </si>
  <si>
    <t>4849</t>
  </si>
  <si>
    <t xml:space="preserve"> Mão de obra para impermeabilização de baldrames com tinta asfáltica</t>
  </si>
  <si>
    <t>2165</t>
  </si>
  <si>
    <t>4846</t>
  </si>
  <si>
    <t xml:space="preserve"> Mão de obra para impermeabilização de manta asfáltica</t>
  </si>
  <si>
    <t>2166</t>
  </si>
  <si>
    <t>4847</t>
  </si>
  <si>
    <t xml:space="preserve"> Mão de obra para impermeabilização de peítoris</t>
  </si>
  <si>
    <t>4956</t>
  </si>
  <si>
    <t xml:space="preserve"> Mão de obra para instalação de contramarcos </t>
  </si>
  <si>
    <t>4957</t>
  </si>
  <si>
    <t>80392</t>
  </si>
  <si>
    <t xml:space="preserve"> Mão de obra para instalação de piso laminado</t>
  </si>
  <si>
    <t>5087</t>
  </si>
  <si>
    <t>80037</t>
  </si>
  <si>
    <t xml:space="preserve"> Mão de obra para instalação de piso vinílico</t>
  </si>
  <si>
    <t>2175</t>
  </si>
  <si>
    <t>4958</t>
  </si>
  <si>
    <t xml:space="preserve"> Mão de obra para instalação de portas de madeira</t>
  </si>
  <si>
    <t>2169</t>
  </si>
  <si>
    <t>4987</t>
  </si>
  <si>
    <t xml:space="preserve"> Mão de obra para pintura acrílica em parede externas, 3 demãos</t>
  </si>
  <si>
    <t>80042</t>
  </si>
  <si>
    <t xml:space="preserve"> Mão de obra para pintura de faixa de demarcação de garagem</t>
  </si>
  <si>
    <t>4934</t>
  </si>
  <si>
    <t>80043</t>
  </si>
  <si>
    <t xml:space="preserve"> Mão de obra para pintura de fossos e dutos</t>
  </si>
  <si>
    <t>4932</t>
  </si>
  <si>
    <t xml:space="preserve"> Mão de obra para pintura de piso com resina acrílica</t>
  </si>
  <si>
    <t>2131</t>
  </si>
  <si>
    <t>80041</t>
  </si>
  <si>
    <t xml:space="preserve"> Mão de obra para pintura de piso com tinta acrílica, 2 demãos</t>
  </si>
  <si>
    <t>5022</t>
  </si>
  <si>
    <t>4940</t>
  </si>
  <si>
    <t xml:space="preserve"> Mão de obra para pintura em tetos, 3 demãos</t>
  </si>
  <si>
    <t>2136</t>
  </si>
  <si>
    <t>80413</t>
  </si>
  <si>
    <t xml:space="preserve"> Mão de obra para pintura epóxi em parede</t>
  </si>
  <si>
    <t>2132</t>
  </si>
  <si>
    <t>4931</t>
  </si>
  <si>
    <t xml:space="preserve"> Mão de obra para pintura epóxi em piso, 2 demãos</t>
  </si>
  <si>
    <t>5168</t>
  </si>
  <si>
    <t>80035</t>
  </si>
  <si>
    <t xml:space="preserve"> Mão de obra para reboco de teto, inclui chapisco</t>
  </si>
  <si>
    <t>2155</t>
  </si>
  <si>
    <t>4865</t>
  </si>
  <si>
    <t xml:space="preserve"> Mão de obra para reboco interno, incluso chapisco</t>
  </si>
  <si>
    <t>2154</t>
  </si>
  <si>
    <t>4845</t>
  </si>
  <si>
    <t xml:space="preserve"> Mão de obra para regularização de superfície</t>
  </si>
  <si>
    <t>2176</t>
  </si>
  <si>
    <t>4852</t>
  </si>
  <si>
    <t xml:space="preserve"> Mão de obra para tratamento de ralo</t>
  </si>
  <si>
    <t>2178</t>
  </si>
  <si>
    <t>4834</t>
  </si>
  <si>
    <t xml:space="preserve"> Mão de obra para vedações internas e externas - assentamento blocos cerâmico</t>
  </si>
  <si>
    <t>2116</t>
  </si>
  <si>
    <t>4835</t>
  </si>
  <si>
    <t xml:space="preserve"> Mão de obra para vedações internas e externas - assentamento blocos sical</t>
  </si>
  <si>
    <t>2118</t>
  </si>
  <si>
    <t>4871</t>
  </si>
  <si>
    <t xml:space="preserve"> Massa única interna em argamassa estabilizada, aplicação manual em teto, espessura 2cm, com execução de taliscas</t>
  </si>
  <si>
    <t>4973</t>
  </si>
  <si>
    <t xml:space="preserve"> Massa única para paredes externas em argamassa cimento, cal e areia (1:2:8), aplicação manual, espessura de 3cm</t>
  </si>
  <si>
    <t>4861</t>
  </si>
  <si>
    <t xml:space="preserve"> Massa única para paredes internas em argamassa estabilizada, aplicação manual, espessura 2cm, com execução de taliscas</t>
  </si>
  <si>
    <t>4739</t>
  </si>
  <si>
    <t xml:space="preserve"> Medicamentos preventivos e de emergência</t>
  </si>
  <si>
    <t>2190</t>
  </si>
  <si>
    <t>5106</t>
  </si>
  <si>
    <t xml:space="preserve"> Medidor de gás </t>
  </si>
  <si>
    <t>SISTEMA DE GÁS</t>
  </si>
  <si>
    <t>5107</t>
  </si>
  <si>
    <t>5108</t>
  </si>
  <si>
    <t>4750</t>
  </si>
  <si>
    <t xml:space="preserve"> Mobiliário de apoio a obra </t>
  </si>
  <si>
    <t>2202</t>
  </si>
  <si>
    <t>82416</t>
  </si>
  <si>
    <t xml:space="preserve"> Mobilização e despesas de elevador cremalheira</t>
  </si>
  <si>
    <t>5374</t>
  </si>
  <si>
    <t>80401</t>
  </si>
  <si>
    <t xml:space="preserve"> Mobilização e despesas para execução de estacas raíz</t>
  </si>
  <si>
    <t>5151</t>
  </si>
  <si>
    <t>4683</t>
  </si>
  <si>
    <t xml:space="preserve"> Modelagem BIM Arquitetônica </t>
  </si>
  <si>
    <t>4684</t>
  </si>
  <si>
    <t>4687</t>
  </si>
  <si>
    <t xml:space="preserve"> Monitoramento e controle de obra </t>
  </si>
  <si>
    <t>2585</t>
  </si>
  <si>
    <t>81416</t>
  </si>
  <si>
    <t xml:space="preserve"> Montagem e desmontagem de balancim</t>
  </si>
  <si>
    <t>5274</t>
  </si>
  <si>
    <t>80416</t>
  </si>
  <si>
    <t xml:space="preserve"> Montagem e desmontagem de elevador cremalheira</t>
  </si>
  <si>
    <t>5174</t>
  </si>
  <si>
    <t>80373</t>
  </si>
  <si>
    <t xml:space="preserve"> Montagem e desmontagem de forma para cisterna, em chapa de madeira compensada plastificada</t>
  </si>
  <si>
    <t>4803</t>
  </si>
  <si>
    <t xml:space="preserve"> Montagem e desmontagem de forma para escadas e rampas em chapa de madeira compensada plastificada</t>
  </si>
  <si>
    <t>4802</t>
  </si>
  <si>
    <t xml:space="preserve"> Montagem e desmontagem de forma para lajes, em chapa de madeira   compensada plastificada</t>
  </si>
  <si>
    <t>80386</t>
  </si>
  <si>
    <t xml:space="preserve"> Montagem e desmontagem de forma para pilares,  em chapa de madeira compensada plastificada</t>
  </si>
  <si>
    <t>4801</t>
  </si>
  <si>
    <t xml:space="preserve"> Montagem e desmontagem de forma para vigas, em chapa de madeira   compensada plastificada</t>
  </si>
  <si>
    <t>4686</t>
  </si>
  <si>
    <t xml:space="preserve"> Orçamento e planejamento </t>
  </si>
  <si>
    <t>919</t>
  </si>
  <si>
    <t>4991</t>
  </si>
  <si>
    <t xml:space="preserve"> Paisagismo</t>
  </si>
  <si>
    <t>2251</t>
  </si>
  <si>
    <t>80295</t>
  </si>
  <si>
    <t xml:space="preserve"> Parede de vidro fixo</t>
  </si>
  <si>
    <t>5027</t>
  </si>
  <si>
    <t>80033</t>
  </si>
  <si>
    <t xml:space="preserve"> Pastilha 14x14cm para piscina</t>
  </si>
  <si>
    <t>2522</t>
  </si>
  <si>
    <t>4902</t>
  </si>
  <si>
    <t xml:space="preserve"> Peitoril em granito, acabamento polido, esp. 2cm </t>
  </si>
  <si>
    <t>4923</t>
  </si>
  <si>
    <t xml:space="preserve"> Pintura com resina acrílica em piso para demarcação de faixa de garagem, aplicação manual, 2 demãos</t>
  </si>
  <si>
    <t>2526</t>
  </si>
  <si>
    <t>4979</t>
  </si>
  <si>
    <t xml:space="preserve"> Pintura com tinta acrílica em paredes externas, aplicação manual, acabamento fosco, 3 demãos</t>
  </si>
  <si>
    <t>FACHADA</t>
  </si>
  <si>
    <t>4926</t>
  </si>
  <si>
    <t xml:space="preserve"> Pintura com tinta acrílica em paredes internas, aplicação manual, 3 demãos</t>
  </si>
  <si>
    <t>80387</t>
  </si>
  <si>
    <t xml:space="preserve"> Pintura com tinta epoxi em paredes internas, 2 demãos</t>
  </si>
  <si>
    <t>4921</t>
  </si>
  <si>
    <t>4930</t>
  </si>
  <si>
    <t xml:space="preserve"> Pintura com tinta látex em teto, acabamento fosco, aplicação manual, 3 demãos</t>
  </si>
  <si>
    <t>80031</t>
  </si>
  <si>
    <t xml:space="preserve"> Pintura de fossos e dutos - 2 demãos</t>
  </si>
  <si>
    <t>PINTURA FOSSO</t>
  </si>
  <si>
    <t>4922</t>
  </si>
  <si>
    <t xml:space="preserve"> Pintura de piso com resina acrílica</t>
  </si>
  <si>
    <t>80027</t>
  </si>
  <si>
    <t xml:space="preserve"> Pintura com tinta acrílica em piso de escadaria, 2 demãos</t>
  </si>
  <si>
    <t>4919</t>
  </si>
  <si>
    <t xml:space="preserve"> Pintura epóxi em piso, aplicação manual, 2 demãos, aplicação na circulação das garagens</t>
  </si>
  <si>
    <t>80020</t>
  </si>
  <si>
    <t xml:space="preserve"> Piso de concreto alisado</t>
  </si>
  <si>
    <t>759</t>
  </si>
  <si>
    <t>2544</t>
  </si>
  <si>
    <t>80023</t>
  </si>
  <si>
    <t xml:space="preserve"> Piso podotátil direcional</t>
  </si>
  <si>
    <t>2274</t>
  </si>
  <si>
    <t>48494</t>
  </si>
  <si>
    <t>4713</t>
  </si>
  <si>
    <t xml:space="preserve"> Plataforma de proteção primária com estrutura metálica e trama de madeira forrada em painel compensado, 1 montagem por obra </t>
  </si>
  <si>
    <t>2608</t>
  </si>
  <si>
    <t>4715</t>
  </si>
  <si>
    <t xml:space="preserve"> Plataforma de proteção secundária com estrutura metálica e trama de madeira forrada em painel compensado, 3 montagens por obra</t>
  </si>
  <si>
    <t>4717</t>
  </si>
  <si>
    <t xml:space="preserve"> Plataforma de proteção terciaria com estrutura metálica e trama de madeira forrada em painel compensado 3 montagens por obra</t>
  </si>
  <si>
    <t>80294</t>
  </si>
  <si>
    <t xml:space="preserve"> Porta corta fogo em aço galvanizado, 80 x 210cm - fornecimento e instalação, incluindo pintura, dobradiças e maçaneta</t>
  </si>
  <si>
    <t>5026</t>
  </si>
  <si>
    <t>4948</t>
  </si>
  <si>
    <t xml:space="preserve"> Porta corta fogo em aço galvanizado, 90 x 210cm - fornecimento e instalação, incluindo pintura, dobradiças e maçaneta</t>
  </si>
  <si>
    <t>2330</t>
  </si>
  <si>
    <t>4945</t>
  </si>
  <si>
    <t xml:space="preserve"> Porta de madeira de abrir 70x210cm, fixação com espuma expansiva</t>
  </si>
  <si>
    <t>2333</t>
  </si>
  <si>
    <t>80292</t>
  </si>
  <si>
    <t xml:space="preserve"> Porta de madeira de abrir 80x210cm, fixação com espuma expansiva</t>
  </si>
  <si>
    <t>2335</t>
  </si>
  <si>
    <t>4947</t>
  </si>
  <si>
    <t xml:space="preserve"> Porta de madeira de abrir 90x210cm, fixação com espuma expansiva</t>
  </si>
  <si>
    <t>2337</t>
  </si>
  <si>
    <t>4946</t>
  </si>
  <si>
    <t xml:space="preserve"> Porta de madeira de abrir decorada 90x210cm, fixação com espuma expansiva</t>
  </si>
  <si>
    <t>5025</t>
  </si>
  <si>
    <t>80290</t>
  </si>
  <si>
    <t xml:space="preserve"> Portão basculante em alumínio com porta de abrir 90x240cm</t>
  </si>
  <si>
    <t>5024</t>
  </si>
  <si>
    <t>80407</t>
  </si>
  <si>
    <t xml:space="preserve"> Pressurização de escadas</t>
  </si>
  <si>
    <t>5165</t>
  </si>
  <si>
    <t>4675</t>
  </si>
  <si>
    <t xml:space="preserve"> Projeto arquitetônico executivo </t>
  </si>
  <si>
    <t>2371</t>
  </si>
  <si>
    <t>4679</t>
  </si>
  <si>
    <t xml:space="preserve"> Projeto elétrico </t>
  </si>
  <si>
    <t>2378</t>
  </si>
  <si>
    <t>4677</t>
  </si>
  <si>
    <t xml:space="preserve"> Projeto estrutural em concreto armado </t>
  </si>
  <si>
    <t>2379</t>
  </si>
  <si>
    <t>4680</t>
  </si>
  <si>
    <t xml:space="preserve"> Projeto hidrossanitário </t>
  </si>
  <si>
    <t>2382</t>
  </si>
  <si>
    <t>4681</t>
  </si>
  <si>
    <t xml:space="preserve"> Projeto preventivo </t>
  </si>
  <si>
    <t>2389</t>
  </si>
  <si>
    <t>5005</t>
  </si>
  <si>
    <t xml:space="preserve"> Proteção mecânica de superfície com argamassa de cimento e areia, traço 1:3, espessura 4 cm, com camada separadora de polietileno</t>
  </si>
  <si>
    <t>670</t>
  </si>
  <si>
    <t>4731</t>
  </si>
  <si>
    <t xml:space="preserve"> Rede de proteção tipo SLQA</t>
  </si>
  <si>
    <t>4764</t>
  </si>
  <si>
    <t>4765</t>
  </si>
  <si>
    <t>4838</t>
  </si>
  <si>
    <t xml:space="preserve"> Regularização de superfície para impermeabilização</t>
  </si>
  <si>
    <t>4737</t>
  </si>
  <si>
    <t xml:space="preserve"> Remoção e entulhos e residuos</t>
  </si>
  <si>
    <t>48390</t>
  </si>
  <si>
    <t>4982</t>
  </si>
  <si>
    <t xml:space="preserve"> Revestimento de fachada em chapa metálica - material e mão de obra</t>
  </si>
  <si>
    <t>5085</t>
  </si>
  <si>
    <t>4980</t>
  </si>
  <si>
    <t xml:space="preserve"> Revestimento em pastilha em porcelana em parede externa</t>
  </si>
  <si>
    <t>5010</t>
  </si>
  <si>
    <t>4981</t>
  </si>
  <si>
    <t xml:space="preserve"> Revestimento em porcelanato em parede externa </t>
  </si>
  <si>
    <t>2523</t>
  </si>
  <si>
    <t>2530</t>
  </si>
  <si>
    <t>80038</t>
  </si>
  <si>
    <t xml:space="preserve"> Revestimento interno de cerâmica, placa 45x45</t>
  </si>
  <si>
    <t>2264</t>
  </si>
  <si>
    <t>4899</t>
  </si>
  <si>
    <t xml:space="preserve"> Revestimento interno de parede em porcelanato, placa 30x90cm, aplicação em banheiros e cozinhas</t>
  </si>
  <si>
    <t>48500</t>
  </si>
  <si>
    <t>4879</t>
  </si>
  <si>
    <t xml:space="preserve"> Revestimento interno de piso cerâmico, placa 45x45</t>
  </si>
  <si>
    <t>4883</t>
  </si>
  <si>
    <t xml:space="preserve"> Revestimento interno de piso porcelanato, placa 80x80, aplicação em áreas internas</t>
  </si>
  <si>
    <t>4884</t>
  </si>
  <si>
    <t>4885</t>
  </si>
  <si>
    <t xml:space="preserve"> Revestimento interno de piso porcelanato, retificado antiderrapante, placa 60x60</t>
  </si>
  <si>
    <t>2284</t>
  </si>
  <si>
    <t>80018</t>
  </si>
  <si>
    <t xml:space="preserve"> Revestimento interno em piso vinilico</t>
  </si>
  <si>
    <t>737</t>
  </si>
  <si>
    <t>2295</t>
  </si>
  <si>
    <t>4888</t>
  </si>
  <si>
    <t xml:space="preserve"> Revestimento interno piso laminado, aplicação em áreas privativas do apartamento</t>
  </si>
  <si>
    <t>5007</t>
  </si>
  <si>
    <t>2272</t>
  </si>
  <si>
    <t>4892</t>
  </si>
  <si>
    <t xml:space="preserve"> Rodapé em cerâmica, altura 10cm, com placa 45x45</t>
  </si>
  <si>
    <t>4882</t>
  </si>
  <si>
    <t xml:space="preserve"> Rodapé em poliestireno, altura 10cm </t>
  </si>
  <si>
    <t>2538</t>
  </si>
  <si>
    <t>4891</t>
  </si>
  <si>
    <t xml:space="preserve"> Rodapé em porcelanato, altura 10cm, com placa 80x80</t>
  </si>
  <si>
    <t>4977</t>
  </si>
  <si>
    <t xml:space="preserve"> Selador acrílico, aplicação em paredes externas, 1 demão</t>
  </si>
  <si>
    <t>4924</t>
  </si>
  <si>
    <t xml:space="preserve"> Selador látex PVA, 1 demão</t>
  </si>
  <si>
    <t>4749</t>
  </si>
  <si>
    <t xml:space="preserve"> Sinalização geral da obra </t>
  </si>
  <si>
    <t>2577</t>
  </si>
  <si>
    <t>5000</t>
  </si>
  <si>
    <t xml:space="preserve"> Sistemas de bomba de recalque</t>
  </si>
  <si>
    <t>2583</t>
  </si>
  <si>
    <t>4998</t>
  </si>
  <si>
    <t xml:space="preserve"> Sitema de dutos e exaustão para churrasqueiras </t>
  </si>
  <si>
    <t>ESPECIAIS</t>
  </si>
  <si>
    <t>1440</t>
  </si>
  <si>
    <t>80414</t>
  </si>
  <si>
    <t xml:space="preserve"> Sitema de exaustão de dutos e coifas</t>
  </si>
  <si>
    <t>5172</t>
  </si>
  <si>
    <t>4898</t>
  </si>
  <si>
    <t xml:space="preserve"> Soleira de granito, acabamento polido, espessura 2cm </t>
  </si>
  <si>
    <t>4671</t>
  </si>
  <si>
    <t xml:space="preserve"> Sondagem do terreno </t>
  </si>
  <si>
    <t>4672</t>
  </si>
  <si>
    <t>4758</t>
  </si>
  <si>
    <t xml:space="preserve"> Tapume com telha metálica trapezoidal </t>
  </si>
  <si>
    <t>2364</t>
  </si>
  <si>
    <t>2905</t>
  </si>
  <si>
    <t>4704</t>
  </si>
  <si>
    <t xml:space="preserve"> Taxa de Habite-se</t>
  </si>
  <si>
    <t>2676</t>
  </si>
  <si>
    <t>4733</t>
  </si>
  <si>
    <t xml:space="preserve"> Tela fachadeira</t>
  </si>
  <si>
    <t>2903</t>
  </si>
  <si>
    <t>4829</t>
  </si>
  <si>
    <t xml:space="preserve"> Tela soldada para ligação alvenaria/estrutura</t>
  </si>
  <si>
    <t>718</t>
  </si>
  <si>
    <t>2260</t>
  </si>
  <si>
    <t>2901</t>
  </si>
  <si>
    <t>4962</t>
  </si>
  <si>
    <t xml:space="preserve"> Telha fibrocimento ondulada 6mm</t>
  </si>
  <si>
    <t>4964</t>
  </si>
  <si>
    <t>1411</t>
  </si>
  <si>
    <t>1474</t>
  </si>
  <si>
    <t>4963</t>
  </si>
  <si>
    <t>2906</t>
  </si>
  <si>
    <t>4927</t>
  </si>
  <si>
    <t xml:space="preserve"> Textura acrílica branca em paredes internas, acabamento suave, 1 demão</t>
  </si>
  <si>
    <t>2940</t>
  </si>
  <si>
    <t>4959</t>
  </si>
  <si>
    <t xml:space="preserve"> Trama de madeira para cobertura em telhas de fibrocimento</t>
  </si>
  <si>
    <t>4960</t>
  </si>
  <si>
    <t>4961</t>
  </si>
  <si>
    <t>4844</t>
  </si>
  <si>
    <t xml:space="preserve"> Tratamento de ralo com argamassa polimérica com fibras e véu de poliéster</t>
  </si>
  <si>
    <t>1552</t>
  </si>
  <si>
    <t>3397</t>
  </si>
  <si>
    <t>4975</t>
  </si>
  <si>
    <t xml:space="preserve"> Tratamento em juntas de movimentação com tarugo de polietileno, selante e membrana</t>
  </si>
  <si>
    <t>1228</t>
  </si>
  <si>
    <t>2554</t>
  </si>
  <si>
    <t>4727</t>
  </si>
  <si>
    <t xml:space="preserve"> Varal de segurança com cabo de aço</t>
  </si>
  <si>
    <t>5170</t>
  </si>
  <si>
    <t>4763</t>
  </si>
  <si>
    <t>5171</t>
  </si>
  <si>
    <t>5169</t>
  </si>
  <si>
    <t>4997</t>
  </si>
  <si>
    <t>Sistema de exaustão mecânica</t>
  </si>
  <si>
    <t>3395</t>
  </si>
  <si>
    <t>4831</t>
  </si>
  <si>
    <t xml:space="preserve"> Verga/contraverga de concreto, moldada in loco</t>
  </si>
  <si>
    <t>2</t>
  </si>
  <si>
    <t>Alçapão de alumínio 80x80cm</t>
  </si>
  <si>
    <t>UN</t>
  </si>
  <si>
    <t>3</t>
  </si>
  <si>
    <t>Almoxarife</t>
  </si>
  <si>
    <t>4563</t>
  </si>
  <si>
    <t>4</t>
  </si>
  <si>
    <t>Andaime Modular Torre - Locação</t>
  </si>
  <si>
    <t>5582</t>
  </si>
  <si>
    <t>4832</t>
  </si>
  <si>
    <t>Assentamento de tijolos refratários de 2,5x11,4x22,9 com argamassa refratária</t>
  </si>
  <si>
    <t>REFRATÁRIOS</t>
  </si>
  <si>
    <t>205</t>
  </si>
  <si>
    <t>4833</t>
  </si>
  <si>
    <t>3256</t>
  </si>
  <si>
    <t>Assentamento de tijolos refratários de 5,0x11,4x22,9 com argamassa refratária</t>
  </si>
  <si>
    <t>48334</t>
  </si>
  <si>
    <t>11</t>
  </si>
  <si>
    <t>Bandeja de protecao primaria</t>
  </si>
  <si>
    <t>4986</t>
  </si>
  <si>
    <t>611</t>
  </si>
  <si>
    <t>1523</t>
  </si>
  <si>
    <t>18</t>
  </si>
  <si>
    <t>Bandeja de protecao secundaria</t>
  </si>
  <si>
    <t>40</t>
  </si>
  <si>
    <t>Calha quadrada em aço galvanizado retangular - material e mao de obra</t>
  </si>
  <si>
    <t>294</t>
  </si>
  <si>
    <t>5045</t>
  </si>
  <si>
    <t>42</t>
  </si>
  <si>
    <t>Chapisco aplicado em alvenarias externas, com colher de pedreiro, de argamassa estabilizada</t>
  </si>
  <si>
    <t>457</t>
  </si>
  <si>
    <t>43</t>
  </si>
  <si>
    <t>Chapisco aplicado em alvenarias internas, com colher de pedreiro, de argamassa estabilizada</t>
  </si>
  <si>
    <t>56</t>
  </si>
  <si>
    <t>Chapisco rolado aplicado em estruturas de concreto, com desempenadeira dentada</t>
  </si>
  <si>
    <t>45</t>
  </si>
  <si>
    <t>Cobertura com telha metálica</t>
  </si>
  <si>
    <t>M2</t>
  </si>
  <si>
    <t>5473</t>
  </si>
  <si>
    <t>46</t>
  </si>
  <si>
    <t>Compatibilização de projetos BIM</t>
  </si>
  <si>
    <t>VB</t>
  </si>
  <si>
    <t>47</t>
  </si>
  <si>
    <t>Comunicacao visual</t>
  </si>
  <si>
    <t>48</t>
  </si>
  <si>
    <t>Concreto usinado bombeavel, para supraestrutura, Fck 35MPa, com Brita 1, SLUMP = 16+/-2 incluindo serviço de bombeamento</t>
  </si>
  <si>
    <t>5036</t>
  </si>
  <si>
    <t>50</t>
  </si>
  <si>
    <t>Condutor de entulho vertical - Aquisição</t>
  </si>
  <si>
    <t>5580</t>
  </si>
  <si>
    <t>53</t>
  </si>
  <si>
    <t>Contrapiso acústico em argamassa estabilizada - nao aderido - espessura 5cm</t>
  </si>
  <si>
    <t>5484</t>
  </si>
  <si>
    <t>57</t>
  </si>
  <si>
    <t>Contrapiso comum em argamassa estabilizada, nao aderido, espessura 4cm</t>
  </si>
  <si>
    <t>60</t>
  </si>
  <si>
    <t>Contrapiso comum em argamassa estabilizada, nao aderido, espessura 5cm</t>
  </si>
  <si>
    <t>78</t>
  </si>
  <si>
    <t>Desmobilizacao de pessoal, maquinas e equipamentos</t>
  </si>
  <si>
    <t>4574</t>
  </si>
  <si>
    <t>105</t>
  </si>
  <si>
    <t>Equipamento de ar-condicionado</t>
  </si>
  <si>
    <t>48449</t>
  </si>
  <si>
    <t>48448</t>
  </si>
  <si>
    <t>Equipamentos/ Acessorios de Apoio ao Canteiro de Obra</t>
  </si>
  <si>
    <t>Escavacao mecanizada para blocos e baldrames, com previsao de forma</t>
  </si>
  <si>
    <t>5013</t>
  </si>
  <si>
    <t>116</t>
  </si>
  <si>
    <t>Esgotamento de sistema sanitario temporario</t>
  </si>
  <si>
    <t>4972</t>
  </si>
  <si>
    <t>117</t>
  </si>
  <si>
    <t>Esquadrias de Aluminio - Fornecimento e instalacao incluindo vidros</t>
  </si>
  <si>
    <t>4900</t>
  </si>
  <si>
    <t>131</t>
  </si>
  <si>
    <t>Estagiário</t>
  </si>
  <si>
    <t>MÃO DE OBRA PRÓPRIA</t>
  </si>
  <si>
    <t>4567</t>
  </si>
  <si>
    <t>132</t>
  </si>
  <si>
    <t>Estrutura de madeira para cobertura</t>
  </si>
  <si>
    <t>619</t>
  </si>
  <si>
    <t>134</t>
  </si>
  <si>
    <t>Estucamento de estrutura de concreto em pilares e vigas</t>
  </si>
  <si>
    <t>ESTUCAMENTO</t>
  </si>
  <si>
    <t>407</t>
  </si>
  <si>
    <t>1397</t>
  </si>
  <si>
    <t>138</t>
  </si>
  <si>
    <t>Estucamento de estrutura de concreto em teto</t>
  </si>
  <si>
    <t>170</t>
  </si>
  <si>
    <t>Estudo ambiental</t>
  </si>
  <si>
    <t>ESTUDOS</t>
  </si>
  <si>
    <t>5572</t>
  </si>
  <si>
    <t>171</t>
  </si>
  <si>
    <t>Estudo geológico</t>
  </si>
  <si>
    <t>5571</t>
  </si>
  <si>
    <t>172</t>
  </si>
  <si>
    <t>Exaustao das churrasqueiras</t>
  </si>
  <si>
    <t>191</t>
  </si>
  <si>
    <t>Fechadura de embutir com cilindro, externa - fornecimento e instalacao</t>
  </si>
  <si>
    <t>192</t>
  </si>
  <si>
    <t>Fechadura de embutir com cilindro, interna - fornecimento e instalacao</t>
  </si>
  <si>
    <t>196</t>
  </si>
  <si>
    <t>Fechadura de embutir com cilindro, para banheiro - fornecimento e instalaca</t>
  </si>
  <si>
    <t>226</t>
  </si>
  <si>
    <t>Forro de gesso em placa mineral - aplicacao em areas secas - material e mão de obra</t>
  </si>
  <si>
    <t>411</t>
  </si>
  <si>
    <t>231</t>
  </si>
  <si>
    <t>Fundo selador latex acrilico em paredes externas, 1 demao</t>
  </si>
  <si>
    <t>237</t>
  </si>
  <si>
    <t>Fundo selador latex PVA em paredes internas, 1 demao</t>
  </si>
  <si>
    <t>245</t>
  </si>
  <si>
    <t>Fundo selador latex PVA em teto, 1 demao</t>
  </si>
  <si>
    <t>289</t>
  </si>
  <si>
    <t>Impermeabilizacao com manta liquida em peitoris</t>
  </si>
  <si>
    <t>444</t>
  </si>
  <si>
    <t>Impermeabilizacao com tinta asfaltica em baldrames e poco do elevador</t>
  </si>
  <si>
    <t>443</t>
  </si>
  <si>
    <t>295</t>
  </si>
  <si>
    <t>Impermeabilização de junta de dilatação</t>
  </si>
  <si>
    <t>5587</t>
  </si>
  <si>
    <t>364</t>
  </si>
  <si>
    <t>Limpeza mecanizada de camada vegetal</t>
  </si>
  <si>
    <t>73</t>
  </si>
  <si>
    <t>381</t>
  </si>
  <si>
    <t>Mao de obra de apoio civil</t>
  </si>
  <si>
    <t>MES</t>
  </si>
  <si>
    <t>4971</t>
  </si>
  <si>
    <t>382</t>
  </si>
  <si>
    <t>Mao de obra de instalacoes de gas (GLP)</t>
  </si>
  <si>
    <t>INSTALAÇÕES DE GÁS</t>
  </si>
  <si>
    <t>5094</t>
  </si>
  <si>
    <t>435</t>
  </si>
  <si>
    <t>Mao de obra para aplicacao de textura acrilica em teto, 1 demao</t>
  </si>
  <si>
    <t>5101</t>
  </si>
  <si>
    <t>451</t>
  </si>
  <si>
    <t>Mao de obra para colocacao de piso concregrama</t>
  </si>
  <si>
    <t>452</t>
  </si>
  <si>
    <t>Mao de obra para colocacao de piso emborrachado</t>
  </si>
  <si>
    <t>241</t>
  </si>
  <si>
    <t>508</t>
  </si>
  <si>
    <t>Mao de obra para execucao de cobertura telha metálica</t>
  </si>
  <si>
    <t>5474</t>
  </si>
  <si>
    <t>521</t>
  </si>
  <si>
    <t>Mao de obra para execucao de piso de concreto estampado</t>
  </si>
  <si>
    <t>5093</t>
  </si>
  <si>
    <t>642</t>
  </si>
  <si>
    <t>Massa latex PVA em paredes internas 2 demaos</t>
  </si>
  <si>
    <t>MASSA</t>
  </si>
  <si>
    <t>654</t>
  </si>
  <si>
    <t>Massa latex PVA em teto, 2 demaos</t>
  </si>
  <si>
    <t>1377</t>
  </si>
  <si>
    <t>676</t>
  </si>
  <si>
    <t>Memorial descrtivo</t>
  </si>
  <si>
    <t>5570</t>
  </si>
  <si>
    <t>677</t>
  </si>
  <si>
    <t>Mestre de obras</t>
  </si>
  <si>
    <t>4564</t>
  </si>
  <si>
    <t>1136</t>
  </si>
  <si>
    <t>Piso ceramico placa 45x45cm - aplicacao em áreas comuns</t>
  </si>
  <si>
    <t>459</t>
  </si>
  <si>
    <t>465</t>
  </si>
  <si>
    <t>1491</t>
  </si>
  <si>
    <t>1298</t>
  </si>
  <si>
    <t>80019</t>
  </si>
  <si>
    <t>Piso cimentado com argamassa de cimento e areia traço 1:3, espessura 1,5cm</t>
  </si>
  <si>
    <t>1146</t>
  </si>
  <si>
    <t>Piso de concreto estampado</t>
  </si>
  <si>
    <t>5037</t>
  </si>
  <si>
    <t>5091</t>
  </si>
  <si>
    <t>5090</t>
  </si>
  <si>
    <t>5044</t>
  </si>
  <si>
    <t>1164</t>
  </si>
  <si>
    <t>Piso de concreto polido - espessura 5cm</t>
  </si>
  <si>
    <t>1165</t>
  </si>
  <si>
    <t>Piso emborrachado, aplicacao em playground</t>
  </si>
  <si>
    <t>1315</t>
  </si>
  <si>
    <t>1166</t>
  </si>
  <si>
    <t>Piso porcelanato placa 60x60cm - aplicacao em areas sociais do condominio</t>
  </si>
  <si>
    <t>1311</t>
  </si>
  <si>
    <t>1170</t>
  </si>
  <si>
    <t>Piso tipo concregrama</t>
  </si>
  <si>
    <t>1171</t>
  </si>
  <si>
    <t>Plano de Gerenciamento de riscos (PGR)</t>
  </si>
  <si>
    <t>5569</t>
  </si>
  <si>
    <t>1212</t>
  </si>
  <si>
    <t>Projeto de canteiro</t>
  </si>
  <si>
    <t>5573</t>
  </si>
  <si>
    <t>1213</t>
  </si>
  <si>
    <t>Projeto de fundacao</t>
  </si>
  <si>
    <t>9</t>
  </si>
  <si>
    <t>1214</t>
  </si>
  <si>
    <t>Projeto de interiores</t>
  </si>
  <si>
    <t>7</t>
  </si>
  <si>
    <t>1236</t>
  </si>
  <si>
    <t>Reaterro mecanizado para blocos e baldrames, com retroescavadeira</t>
  </si>
  <si>
    <t>1395</t>
  </si>
  <si>
    <t>Rufo em aço galvanizado retangular  - material e mao de obra</t>
  </si>
  <si>
    <t>5046</t>
  </si>
  <si>
    <t>5047</t>
  </si>
  <si>
    <t>Segurança patrimonial</t>
  </si>
  <si>
    <t>5006</t>
  </si>
  <si>
    <t>1398</t>
  </si>
  <si>
    <t>Servico de limpeza e remocao</t>
  </si>
  <si>
    <t>109</t>
  </si>
  <si>
    <t>1399</t>
  </si>
  <si>
    <t>Servico de seguranca do trabalho terceirizado</t>
  </si>
  <si>
    <t>1402</t>
  </si>
  <si>
    <t>Sistema de interfonia e controle de acesso</t>
  </si>
  <si>
    <t>1182</t>
  </si>
  <si>
    <t>1403</t>
  </si>
  <si>
    <t>Sistema de reúso de água pluvial</t>
  </si>
  <si>
    <t>INSTALAÇÕES HIDROSSANITÁRIAS</t>
  </si>
  <si>
    <t>5595</t>
  </si>
  <si>
    <t>1404</t>
  </si>
  <si>
    <t>Sistema de tratamento de esgoto</t>
  </si>
  <si>
    <t>5594</t>
  </si>
  <si>
    <t>1432</t>
  </si>
  <si>
    <t>Taxa de Aprovação Ambiental</t>
  </si>
  <si>
    <t>4538</t>
  </si>
  <si>
    <t>1433</t>
  </si>
  <si>
    <t>Taxas de Aprovação de Projetos e Alvarás (Prefeituras/Bombeiro)</t>
  </si>
  <si>
    <t>5188</t>
  </si>
  <si>
    <t>1434</t>
  </si>
  <si>
    <t>Taxas de ART e RRT</t>
  </si>
  <si>
    <t>5126</t>
  </si>
  <si>
    <t>1463</t>
  </si>
  <si>
    <t>Tela Soldada para Ligacao Alvenaria/Estrutura em Chapisco Externo 7,5x50cm</t>
  </si>
  <si>
    <t>1481</t>
  </si>
  <si>
    <t>Textura acrilica aplicacao em teto, 1 demão, incluindo aplicação de uma demão de fundo selador látex pva</t>
  </si>
  <si>
    <t>1497</t>
  </si>
  <si>
    <t>Textura acrilica em paredes externas, 2 demaos, incluindo aplicação de uma demão de fundo selador acrílico</t>
  </si>
  <si>
    <t>Uniformes e EPI's</t>
  </si>
  <si>
    <t>5133</t>
  </si>
  <si>
    <t>90389</t>
  </si>
  <si>
    <t>Concreto usinado bombeável fck 45MPa com brita 0 SLUMP = 12 +/- 2 - incluindo serviço de bombeamento</t>
  </si>
  <si>
    <t>48339</t>
  </si>
  <si>
    <t>90465</t>
  </si>
  <si>
    <t xml:space="preserve">Acabamento polido para piso de concreto armado </t>
  </si>
  <si>
    <t>48499</t>
  </si>
  <si>
    <t>90464</t>
  </si>
  <si>
    <t>Concreto usinado bombeável para supraestrutura fck 40MPa com brita 0 SLUMP = 12 +/- 2 - incluindo serviço de bombeamento</t>
  </si>
  <si>
    <t>48422</t>
  </si>
  <si>
    <t>90463</t>
  </si>
  <si>
    <t>Armacao tela Q92 para supraestrutura corte e dobra em obra</t>
  </si>
  <si>
    <t>48420</t>
  </si>
  <si>
    <t>48421</t>
  </si>
  <si>
    <t>90462</t>
  </si>
  <si>
    <t>Armação aço CA-60, diâmetro de 5,0 mm para supraestrutura, corte e dobra em obra</t>
  </si>
  <si>
    <t>90461</t>
  </si>
  <si>
    <t>Perfuração de estaca em hélice contínua diâmetro 70cm</t>
  </si>
  <si>
    <t>48419</t>
  </si>
  <si>
    <t>90460</t>
  </si>
  <si>
    <t>Concreto usinado bombeável para estacas fck 40MPa com brita 0 SLUMP = 24 +/- 2 - incluindo serviço de bombeamento</t>
  </si>
  <si>
    <t>48418</t>
  </si>
  <si>
    <t>90459</t>
  </si>
  <si>
    <t>Concreto usinado bombeável para blocos de coroamento e baldrames fck 40MPa com brita 0 SLUMP = 24 +/- 2 - incluindo serviço de bombeamento</t>
  </si>
  <si>
    <t>90458</t>
  </si>
  <si>
    <t>Mobilização e desmobilização de balancim</t>
  </si>
  <si>
    <t>BALANCINS E ANDAIMES</t>
  </si>
  <si>
    <t>48417</t>
  </si>
  <si>
    <t>90457</t>
  </si>
  <si>
    <t xml:space="preserve">Mobilização de andaime tubular - Torre </t>
  </si>
  <si>
    <t>48416</t>
  </si>
  <si>
    <t>90456</t>
  </si>
  <si>
    <t>Montagem e desmontagem de mini grua</t>
  </si>
  <si>
    <t>EQUIPAMENTOS DE OBRA</t>
  </si>
  <si>
    <t>48413</t>
  </si>
  <si>
    <t>90454</t>
  </si>
  <si>
    <t>Mobilização e desmobilização de silo de argamassa</t>
  </si>
  <si>
    <t>48412</t>
  </si>
  <si>
    <t>90453</t>
  </si>
  <si>
    <t>Mobilização e desmobilização de mini grua</t>
  </si>
  <si>
    <t>48411</t>
  </si>
  <si>
    <t>90452</t>
  </si>
  <si>
    <t>Manutenção periódica de mini grua</t>
  </si>
  <si>
    <t>48410</t>
  </si>
  <si>
    <t>90451</t>
  </si>
  <si>
    <t>Locação de silo de argamassa</t>
  </si>
  <si>
    <t>48409</t>
  </si>
  <si>
    <t>90450</t>
  </si>
  <si>
    <t>Aquisição de mini grua</t>
  </si>
  <si>
    <t>48408</t>
  </si>
  <si>
    <t>90449</t>
  </si>
  <si>
    <t>Manutenção periódica de carrinho mini paletes</t>
  </si>
  <si>
    <t>CARGA E TRANSPORTE</t>
  </si>
  <si>
    <t>48405</t>
  </si>
  <si>
    <t>90448</t>
  </si>
  <si>
    <t>Manutenção periódica de carrinho plataforma</t>
  </si>
  <si>
    <t>48403</t>
  </si>
  <si>
    <t>90447</t>
  </si>
  <si>
    <t>Manutenção periódica de carrinho de mão</t>
  </si>
  <si>
    <t>48404</t>
  </si>
  <si>
    <t>90446</t>
  </si>
  <si>
    <t>Manutenção periódica de girica</t>
  </si>
  <si>
    <t>48406</t>
  </si>
  <si>
    <t>90445</t>
  </si>
  <si>
    <t>Aquisição de girica - 90L</t>
  </si>
  <si>
    <t>48401</t>
  </si>
  <si>
    <t>90444</t>
  </si>
  <si>
    <t>Aquisição de carrinho mini paletes</t>
  </si>
  <si>
    <t>48402</t>
  </si>
  <si>
    <t>90443</t>
  </si>
  <si>
    <t>Aquisição de carrinho de mão</t>
  </si>
  <si>
    <t>48400</t>
  </si>
  <si>
    <t>90442</t>
  </si>
  <si>
    <t>Aquisição de carrinho plataforma</t>
  </si>
  <si>
    <t>48399</t>
  </si>
  <si>
    <t>90441</t>
  </si>
  <si>
    <t>Gerencimanto eletrônico</t>
  </si>
  <si>
    <t>CONSUMOS E MANUTENÇÃO</t>
  </si>
  <si>
    <t>48398</t>
  </si>
  <si>
    <t>90440</t>
  </si>
  <si>
    <t>Cópias e plotagens</t>
  </si>
  <si>
    <t>48397</t>
  </si>
  <si>
    <t>90439</t>
  </si>
  <si>
    <t>Fretes</t>
  </si>
  <si>
    <t>48396</t>
  </si>
  <si>
    <t>90438</t>
  </si>
  <si>
    <t>Equipe de apoio</t>
  </si>
  <si>
    <t>48392</t>
  </si>
  <si>
    <t>48393</t>
  </si>
  <si>
    <t>48502</t>
  </si>
  <si>
    <t>90437</t>
  </si>
  <si>
    <t>Técnico de qualidade</t>
  </si>
  <si>
    <t>48394</t>
  </si>
  <si>
    <t>90436</t>
  </si>
  <si>
    <t>Dedetização, desratização e sanitização de ambientes</t>
  </si>
  <si>
    <t>PROTEÇÕES E SERVIÇOS DA SEGURANÇA DO TRABALHO</t>
  </si>
  <si>
    <t>48391</t>
  </si>
  <si>
    <t>90435</t>
  </si>
  <si>
    <t>Aquisição de contêiner</t>
  </si>
  <si>
    <t>INSTALAÇÕES PROVISÓRIAS</t>
  </si>
  <si>
    <t>48389</t>
  </si>
  <si>
    <t>90434</t>
  </si>
  <si>
    <t>Taxas de alvará</t>
  </si>
  <si>
    <t>TAXAS E DOCUMENTOS</t>
  </si>
  <si>
    <t>48388</t>
  </si>
  <si>
    <t>90433</t>
  </si>
  <si>
    <t>Ensaio de prova de carga</t>
  </si>
  <si>
    <t>48387</t>
  </si>
  <si>
    <t>90432</t>
  </si>
  <si>
    <t>Consultorias técnicas diversas</t>
  </si>
  <si>
    <t>CONSULTORIAS</t>
  </si>
  <si>
    <t>48386</t>
  </si>
  <si>
    <t>90431</t>
  </si>
  <si>
    <t>Consultoria técnica de legalização</t>
  </si>
  <si>
    <t>48385</t>
  </si>
  <si>
    <t>90430</t>
  </si>
  <si>
    <t>Consultoria técnica de fachada</t>
  </si>
  <si>
    <t>48384</t>
  </si>
  <si>
    <t>90429</t>
  </si>
  <si>
    <t>Projeto de comunicação e dados</t>
  </si>
  <si>
    <t>PROJETOS</t>
  </si>
  <si>
    <t>48383</t>
  </si>
  <si>
    <t>90428</t>
  </si>
  <si>
    <t>Projeto de exaustão</t>
  </si>
  <si>
    <t>48382</t>
  </si>
  <si>
    <t>90427</t>
  </si>
  <si>
    <t>Projeto arquitetônico legal</t>
  </si>
  <si>
    <t>48381</t>
  </si>
  <si>
    <t>1489</t>
  </si>
  <si>
    <t>Textura acrilica aplicacao em paredes internas, 2 demãos, incluindo aplicação de uma demão de fundo selador látex pva</t>
  </si>
  <si>
    <t>90484</t>
  </si>
  <si>
    <t>Aquisição de equipamento de escoramento metálico</t>
  </si>
  <si>
    <t>48432</t>
  </si>
  <si>
    <t>90483</t>
  </si>
  <si>
    <t xml:space="preserve"> Armação aço CA-60, diâmetro de 5,0 mm para supraestrutura, corte e dobra em indústria</t>
  </si>
  <si>
    <t>90482</t>
  </si>
  <si>
    <t xml:space="preserve"> Armação aço CA-60, diâmetro de 5,0 mm para infraestrutura, corte e dobra em indústria</t>
  </si>
  <si>
    <t>90481</t>
  </si>
  <si>
    <t xml:space="preserve"> Armação aço CA-50, diâmetro de 6,3 mm para estaca, corte e dobra em indústria</t>
  </si>
  <si>
    <t>48430</t>
  </si>
  <si>
    <t>90480</t>
  </si>
  <si>
    <t>Armação aço CA-50, diâmetro de 16,0 mm para estaca, corte e dobra em indústria</t>
  </si>
  <si>
    <t>90479</t>
  </si>
  <si>
    <t>Rebaixamento de lençol freático</t>
  </si>
  <si>
    <t>48429</t>
  </si>
  <si>
    <t>90470</t>
  </si>
  <si>
    <t>Escada fixa provisória de madeira com 1m de largura útil, vencendo altura máxima de 3,7m</t>
  </si>
  <si>
    <t>90469</t>
  </si>
  <si>
    <t>Fechamento de fossos com malha de aço pesada</t>
  </si>
  <si>
    <t>Equipamentos de Proteção Coletiva</t>
  </si>
  <si>
    <t>48424</t>
  </si>
  <si>
    <t>90468</t>
  </si>
  <si>
    <t>Guarda-corpo provisório para escadas com travessões de madeira e tela de prolipopileno</t>
  </si>
  <si>
    <t>48497</t>
  </si>
  <si>
    <t>90467</t>
  </si>
  <si>
    <t>Guarda-corpo em laje pós-desforma com travesões de madeira e tela de prolipopileno</t>
  </si>
  <si>
    <t>90466</t>
  </si>
  <si>
    <t>Treinamento de funcionários</t>
  </si>
  <si>
    <t>48423</t>
  </si>
  <si>
    <t>90478</t>
  </si>
  <si>
    <t xml:space="preserve">Contrapiso comum traço 1:4 com preparo mecânico, espessura de 5cm </t>
  </si>
  <si>
    <t>Contrapiso</t>
  </si>
  <si>
    <t>90477</t>
  </si>
  <si>
    <t xml:space="preserve">Contrapiso comum traço 1:4 com preparo mecânico, espessura de 3cm </t>
  </si>
  <si>
    <t>90475</t>
  </si>
  <si>
    <t>Chapisco rolado aplicado em teto, com desempenadeira dentada</t>
  </si>
  <si>
    <t>90474</t>
  </si>
  <si>
    <t>90473</t>
  </si>
  <si>
    <t>48427</t>
  </si>
  <si>
    <t>90472</t>
  </si>
  <si>
    <t>Alvenaria de vedação de blocos cerâmicos furados na horizontal de 19x19x19cm (espessura 19cm) com argamassa industrializada de assentamento</t>
  </si>
  <si>
    <t>48433</t>
  </si>
  <si>
    <t>90471</t>
  </si>
  <si>
    <t>48425</t>
  </si>
  <si>
    <t>90500</t>
  </si>
  <si>
    <t>Equipamento de spa</t>
  </si>
  <si>
    <t>48451</t>
  </si>
  <si>
    <t>90499</t>
  </si>
  <si>
    <t>Equipamentos para sauna</t>
  </si>
  <si>
    <t>48452</t>
  </si>
  <si>
    <t>90498</t>
  </si>
  <si>
    <t>Banco de trasnferência para piscina PNE</t>
  </si>
  <si>
    <t>48450</t>
  </si>
  <si>
    <t>90497</t>
  </si>
  <si>
    <t>Instalações de rede de gás</t>
  </si>
  <si>
    <t>48447</t>
  </si>
  <si>
    <t>90496</t>
  </si>
  <si>
    <t>Sistemas de instalações preventivas de alarme, sinalizações e extintotres</t>
  </si>
  <si>
    <t>48446</t>
  </si>
  <si>
    <t>90495</t>
  </si>
  <si>
    <t>Sistemas de instalações preventivas de hidrantes</t>
  </si>
  <si>
    <t>48445</t>
  </si>
  <si>
    <t>90494</t>
  </si>
  <si>
    <t>Sistemas de instalações preventivas elétricas</t>
  </si>
  <si>
    <t>48444</t>
  </si>
  <si>
    <t>90493</t>
  </si>
  <si>
    <t>Acabamentos elétricos - torre</t>
  </si>
  <si>
    <t>48443</t>
  </si>
  <si>
    <t>90492</t>
  </si>
  <si>
    <t>Acabamentos elétricos - embasamento</t>
  </si>
  <si>
    <t>48442</t>
  </si>
  <si>
    <t>90491</t>
  </si>
  <si>
    <t>Fios e cabos elétricos - embasamento</t>
  </si>
  <si>
    <t>48441</t>
  </si>
  <si>
    <t>90490</t>
  </si>
  <si>
    <t>Eletrodutos e eletrocalhas - embasamento</t>
  </si>
  <si>
    <t>48440</t>
  </si>
  <si>
    <t>90489</t>
  </si>
  <si>
    <t>Quadros e disjuntores elétricos - embasamento</t>
  </si>
  <si>
    <t>48439</t>
  </si>
  <si>
    <t>90488</t>
  </si>
  <si>
    <t>Instalação pluvial e de esgoto - embasamento</t>
  </si>
  <si>
    <t>48438</t>
  </si>
  <si>
    <t>90487</t>
  </si>
  <si>
    <t>Instalação de água fria - embasamento</t>
  </si>
  <si>
    <t>48436</t>
  </si>
  <si>
    <t>90486</t>
  </si>
  <si>
    <t>Instalação de água quente - embasamento</t>
  </si>
  <si>
    <t>48437</t>
  </si>
  <si>
    <t>90506</t>
  </si>
  <si>
    <t>Fabricação de forma para vigas, em chapa de madeira compensada super resinada, 18mm</t>
  </si>
  <si>
    <t>48456</t>
  </si>
  <si>
    <t>90505</t>
  </si>
  <si>
    <t>Fabricação de forma para pilares, em chapa de madeira compensada super resinada, 18mm</t>
  </si>
  <si>
    <t>90504</t>
  </si>
  <si>
    <t>Fabricação de forma para lajes, em chapa de madeira compensada super resinada, 18mm</t>
  </si>
  <si>
    <t>90503</t>
  </si>
  <si>
    <t>Fabricação de forma para escadas e rampas, em chapa de madeira compensada super resinada,   18 mm</t>
  </si>
  <si>
    <t>4929</t>
  </si>
  <si>
    <t xml:space="preserve"> Aplicação e lixamento de massa látex PVA em teto, 2 demãos</t>
  </si>
  <si>
    <t>4928</t>
  </si>
  <si>
    <t xml:space="preserve"> Selador fundo preparador de superfícies, aplicação em teto, 1 demão</t>
  </si>
  <si>
    <t>90549</t>
  </si>
  <si>
    <t>Bicicletário piso ou parede</t>
  </si>
  <si>
    <t>48487</t>
  </si>
  <si>
    <t>90562</t>
  </si>
  <si>
    <t>Sistemas de instalações preventivas hidráulicas</t>
  </si>
  <si>
    <t>48503</t>
  </si>
  <si>
    <t>90561</t>
  </si>
  <si>
    <t>Pintura com tinta látex em teto, 3 demãos, com fundo preparador a base Oleo, 1 demão, massa PVA, 2 demãos, aplicação manual</t>
  </si>
  <si>
    <t>90560</t>
  </si>
  <si>
    <t>Pintura com tinta acrílica em paredes internas, com massa acrílica, aplicação manual, 3 demãos</t>
  </si>
  <si>
    <t>48483</t>
  </si>
  <si>
    <t>90559</t>
  </si>
  <si>
    <t>Massa latex acrílica em paredes internas 2 demaos</t>
  </si>
  <si>
    <t>90558</t>
  </si>
  <si>
    <t>Massa única para paredes externas em argamassa estabilizada, aplicação com equipamento de projeção, espessura 35cm</t>
  </si>
  <si>
    <t>90564</t>
  </si>
  <si>
    <t>Contraverga em Treliça murfor</t>
  </si>
  <si>
    <t>48506</t>
  </si>
  <si>
    <t>90563</t>
  </si>
  <si>
    <t>Treliça murfor - aplicação na 5º fiada</t>
  </si>
  <si>
    <t>90565</t>
  </si>
  <si>
    <t>Contenção com estacas prancha metálicas com altura de 9m</t>
  </si>
  <si>
    <t>Estrutura de Contenção: Pranchão e Cortina</t>
  </si>
  <si>
    <t>48509</t>
  </si>
  <si>
    <t>Thozen - Electra</t>
  </si>
  <si>
    <t>Macro Serviço</t>
  </si>
  <si>
    <t>Serviço</t>
  </si>
  <si>
    <t>🔍 Busca de Composições</t>
  </si>
  <si>
    <t>Digite sua busca:</t>
  </si>
  <si>
    <t>Busca por múltiplas palavras (até 4) — todas devem estar presentes na descrição, em qualquer ordem:</t>
  </si>
  <si>
    <t>Macro Serviço:</t>
  </si>
  <si>
    <t>w1</t>
  </si>
  <si>
    <t>w2</t>
  </si>
  <si>
    <t>w3</t>
  </si>
  <si>
    <t>w4</t>
  </si>
  <si>
    <t>txtOK</t>
  </si>
  <si>
    <t>macOK</t>
  </si>
  <si>
    <t>filterOK</t>
  </si>
  <si>
    <t>(Todos)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</si>
</sst>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&quot;R$&quot;* #,##0.00_-;\-&quot;R$&quot;* #,##0.00_-;_-&quot;R$&quot;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8"/>
      <color rgb="FF002060"/>
      <name val="Poppins"/>
    </font>
    <font>
      <b/>
      <sz val="11"/>
      <color rgb="FF1F4E79"/>
      <name val="Poppins"/>
    </font>
    <font>
      <b/>
      <sz val="10"/>
      <color rgb="FFFFFFFF"/>
      <name val="Poppins"/>
    </font>
    <font>
      <i/>
      <sz val="9"/>
      <color rgb="FF808080"/>
      <name val="Calibri"/>
      <family val="2"/>
      <scheme val="minor"/>
    </font>
    <font>
      <sz val="9"/>
      <color rgb="FF333333"/>
      <name val="Poppins"/>
    </font>
    <font>
      <b/>
      <sz val="10"/>
      <color rgb="FF1F4E79"/>
      <name val="Poppins"/>
    </font>
  </fonts>
  <fills count="7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rgb="FF1F4E79"/>
      </left>
      <right/>
      <top/>
      <bottom/>
      <diagonal/>
    </border>
  </borders>
  <cellStyleXfs count="3">
    <xf numFmtId="0" fontId="0" fillId="0" borderId="0"/>
    <xf numFmtId="164" fontId="1" fillId="0" borderId="0"/>
    <xf numFmtId="43" fontId="1" fillId="0" borderId="0"/>
  </cellStyleXfs>
  <cellXfs count="3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164" fontId="3" fillId="4" borderId="1" xfId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164" fontId="3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left" vertical="center"/>
    </xf>
    <xf numFmtId="49" fontId="3" fillId="5" borderId="1" xfId="0" applyNumberFormat="1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/>
    <xf numFmtId="43" fontId="3" fillId="4" borderId="1" xfId="2" applyFont="1" applyFill="1" applyBorder="1" applyAlignment="1">
      <alignment horizontal="center" vertical="center"/>
    </xf>
    <xf numFmtId="43" fontId="3" fillId="5" borderId="1" xfId="2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6" borderId="2" xfId="0" applyFont="1" applyFill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0" fillId="0" borderId="0" xfId="0" applyAlignment="1">
      <alignment wrapText="1"/>
    </xf>
    <xf numFmtId="0" fontId="7" fillId="6" borderId="2" xfId="0" applyFont="1" applyFill="1" applyBorder="1" applyAlignment="1">
      <alignment horizontal="center" wrapText="1"/>
    </xf>
    <xf numFmtId="0" fontId="9" fillId="0" borderId="0" xfId="0" applyFont="1" applyAlignment="1">
      <alignment wrapText="1"/>
    </xf>
    <xf numFmtId="0" fontId="0" fillId="0" borderId="3" xfId="0" applyBorder="1" applyAlignment="1">
      <alignment vertical="center"/>
    </xf>
    <xf numFmtId="0" fontId="0" fillId="0" borderId="0" xfId="0"/>
    <xf numFmtId="0" fontId="0" fillId="0" borderId="4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Vírgula" xfId="2" builtinId="3"/>
  </cellStyles>
  <dxfs count="1">
    <dxf>
      <fill>
        <patternFill patternType="solid">
          <fgColor indexed="64"/>
          <bgColor rgb="FFE8F0FE"/>
        </patternFill>
      </fill>
    </dxf>
  </dxfs>
  <tableStyles count="0" defaultTableStyle="TableStyleMedium2" defaultPivotStyle="PivotStyleLight16"/>
  <colors>
    <mruColors>
      <color rgb="FF800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58094A-1721-4645-955C-2BBE914002C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6721ef8-100f-430a-9635-fbf75d1cc44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6F1C-7910-4CD0-8155-C7F7E293EFA2}">
  <sheetPr filterMode="1"/>
  <dimension ref="A1:R976"/>
  <sheetViews>
    <sheetView showGridLines="0" zoomScale="85" zoomScaleNormal="85" workbookViewId="0">
      <selection activeCell="A643" sqref="A643"/>
    </sheetView>
  </sheetViews>
  <sheetFormatPr defaultRowHeight="15" x14ac:dyDescent="0.25"/>
  <cols>
    <col min="1" max="1" width="12.7109375" style="2" bestFit="1" customWidth="1"/>
    <col min="2" max="2" width="67" customWidth="1"/>
    <col min="3" max="3" width="11.5703125" bestFit="1" customWidth="1"/>
    <col min="4" max="4" width="12.42578125" customWidth="1"/>
    <col min="5" max="5" width="14.28515625" bestFit="1" customWidth="1"/>
    <col min="6" max="6" width="13" customWidth="1"/>
    <col min="7" max="7" width="6.85546875" bestFit="1" customWidth="1"/>
    <col min="8" max="9" width="5.85546875" bestFit="1" customWidth="1"/>
    <col min="10" max="10" width="19.28515625" customWidth="1"/>
    <col min="11" max="11" width="20.28515625" customWidth="1"/>
    <col min="12" max="12" width="11.5703125" bestFit="1" customWidth="1"/>
    <col min="13" max="13" width="13.7109375" bestFit="1" customWidth="1"/>
    <col min="14" max="14" width="26.85546875" customWidth="1"/>
    <col min="15" max="16" width="14.85546875" customWidth="1"/>
    <col min="17" max="17" width="31" customWidth="1"/>
    <col min="18" max="18" width="10.42578125" customWidth="1"/>
  </cols>
  <sheetData>
    <row r="1" spans="1:18" x14ac:dyDescent="0.25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/>
      <c r="G1" s="18" t="s">
        <v>5</v>
      </c>
      <c r="H1" s="18" t="s">
        <v>6</v>
      </c>
      <c r="I1" s="18" t="s">
        <v>7</v>
      </c>
      <c r="J1" s="18" t="s">
        <v>8</v>
      </c>
      <c r="K1" s="18" t="s">
        <v>9</v>
      </c>
      <c r="L1" s="18" t="s">
        <v>10</v>
      </c>
      <c r="M1" s="18" t="s">
        <v>11</v>
      </c>
      <c r="N1" s="18" t="s">
        <v>12</v>
      </c>
      <c r="O1" s="18" t="s">
        <v>13</v>
      </c>
      <c r="P1" s="18"/>
      <c r="Q1" s="19"/>
      <c r="R1" s="19"/>
    </row>
    <row r="2" spans="1:18" x14ac:dyDescent="0.25">
      <c r="A2" s="17" t="s">
        <v>14</v>
      </c>
      <c r="B2" s="17" t="s">
        <v>14</v>
      </c>
      <c r="C2" s="17" t="s">
        <v>14</v>
      </c>
      <c r="D2" s="17" t="s">
        <v>15</v>
      </c>
      <c r="E2" s="17" t="s">
        <v>15</v>
      </c>
      <c r="F2" s="17"/>
      <c r="G2" s="17" t="s">
        <v>15</v>
      </c>
      <c r="H2" s="17" t="s">
        <v>15</v>
      </c>
      <c r="I2" s="17" t="s">
        <v>15</v>
      </c>
      <c r="J2" s="17" t="s">
        <v>15</v>
      </c>
      <c r="K2" s="17" t="s">
        <v>15</v>
      </c>
      <c r="L2" s="17" t="s">
        <v>14</v>
      </c>
      <c r="M2" s="17" t="s">
        <v>14</v>
      </c>
      <c r="N2" s="18" t="s">
        <v>15</v>
      </c>
      <c r="O2" s="18" t="s">
        <v>15</v>
      </c>
      <c r="P2" s="18"/>
      <c r="Q2" s="18"/>
      <c r="R2" s="18"/>
    </row>
    <row r="3" spans="1:18" ht="21" customHeight="1" x14ac:dyDescent="0.25">
      <c r="A3" s="36" t="s">
        <v>16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7" t="s">
        <v>17</v>
      </c>
      <c r="M3" s="37"/>
      <c r="N3" s="37"/>
      <c r="O3" s="37"/>
      <c r="P3" s="37"/>
      <c r="Q3" s="37"/>
      <c r="R3" s="37"/>
    </row>
    <row r="4" spans="1:18" s="1" customFormat="1" ht="30" x14ac:dyDescent="0.25">
      <c r="A4" s="4" t="s">
        <v>18</v>
      </c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  <c r="H4" s="4" t="s">
        <v>25</v>
      </c>
      <c r="I4" s="4" t="s">
        <v>26</v>
      </c>
      <c r="J4" s="4" t="s">
        <v>27</v>
      </c>
      <c r="K4" s="4" t="s">
        <v>28</v>
      </c>
      <c r="L4" s="5" t="s">
        <v>18</v>
      </c>
      <c r="M4" s="5" t="s">
        <v>29</v>
      </c>
      <c r="N4" s="6" t="s">
        <v>30</v>
      </c>
      <c r="O4" s="6" t="s">
        <v>31</v>
      </c>
      <c r="P4" s="6" t="s">
        <v>20</v>
      </c>
      <c r="Q4" s="6" t="s">
        <v>19</v>
      </c>
      <c r="R4" s="6" t="s">
        <v>23</v>
      </c>
    </row>
    <row r="5" spans="1:18" s="1" customFormat="1" hidden="1" x14ac:dyDescent="0.25">
      <c r="A5" s="7" t="s">
        <v>32</v>
      </c>
      <c r="B5" s="13" t="s">
        <v>33</v>
      </c>
      <c r="C5" s="7" t="s">
        <v>34</v>
      </c>
      <c r="D5" s="7" t="s">
        <v>35</v>
      </c>
      <c r="E5" s="7" t="s">
        <v>35</v>
      </c>
      <c r="F5" s="8">
        <v>0</v>
      </c>
      <c r="G5" s="20">
        <v>1</v>
      </c>
      <c r="H5" s="20">
        <v>0</v>
      </c>
      <c r="I5" s="20">
        <v>0</v>
      </c>
      <c r="J5" s="13" t="s">
        <v>36</v>
      </c>
      <c r="K5" s="13" t="s">
        <v>37</v>
      </c>
      <c r="L5" s="7" t="s">
        <v>38</v>
      </c>
      <c r="M5" s="7">
        <v>0.3427</v>
      </c>
      <c r="N5" s="9" t="s">
        <v>1716</v>
      </c>
      <c r="O5" s="9" t="s">
        <v>39</v>
      </c>
      <c r="P5" s="9"/>
      <c r="Q5" s="15"/>
      <c r="R5" s="9">
        <v>0</v>
      </c>
    </row>
    <row r="6" spans="1:18" s="1" customFormat="1" hidden="1" x14ac:dyDescent="0.25">
      <c r="A6" s="7" t="s">
        <v>32</v>
      </c>
      <c r="B6" s="13" t="s">
        <v>33</v>
      </c>
      <c r="C6" s="7" t="s">
        <v>34</v>
      </c>
      <c r="D6" s="7" t="s">
        <v>35</v>
      </c>
      <c r="E6" s="7" t="s">
        <v>35</v>
      </c>
      <c r="F6" s="8">
        <v>0</v>
      </c>
      <c r="G6" s="20">
        <v>1</v>
      </c>
      <c r="H6" s="20">
        <v>0</v>
      </c>
      <c r="I6" s="20">
        <v>0</v>
      </c>
      <c r="J6" s="13" t="s">
        <v>36</v>
      </c>
      <c r="K6" s="13" t="s">
        <v>37</v>
      </c>
      <c r="L6" s="7" t="s">
        <v>40</v>
      </c>
      <c r="M6" s="7">
        <v>1.3389</v>
      </c>
      <c r="N6" s="9" t="s">
        <v>1716</v>
      </c>
      <c r="O6" s="9" t="s">
        <v>39</v>
      </c>
      <c r="P6" s="9"/>
      <c r="Q6" s="15"/>
      <c r="R6" s="9">
        <v>0</v>
      </c>
    </row>
    <row r="7" spans="1:18" s="1" customFormat="1" hidden="1" x14ac:dyDescent="0.25">
      <c r="A7" s="7" t="s">
        <v>32</v>
      </c>
      <c r="B7" s="13" t="s">
        <v>33</v>
      </c>
      <c r="C7" s="7" t="s">
        <v>34</v>
      </c>
      <c r="D7" s="7" t="s">
        <v>35</v>
      </c>
      <c r="E7" s="7" t="s">
        <v>35</v>
      </c>
      <c r="F7" s="8">
        <v>0</v>
      </c>
      <c r="G7" s="20">
        <v>1</v>
      </c>
      <c r="H7" s="20">
        <v>0</v>
      </c>
      <c r="I7" s="20">
        <v>0</v>
      </c>
      <c r="J7" s="13" t="s">
        <v>36</v>
      </c>
      <c r="K7" s="13" t="s">
        <v>37</v>
      </c>
      <c r="L7" s="7" t="s">
        <v>41</v>
      </c>
      <c r="M7" s="7">
        <v>8.0199999999999994E-2</v>
      </c>
      <c r="N7" s="9" t="s">
        <v>1716</v>
      </c>
      <c r="O7" s="9" t="s">
        <v>39</v>
      </c>
      <c r="P7" s="9"/>
      <c r="Q7" s="15"/>
      <c r="R7" s="9">
        <v>0</v>
      </c>
    </row>
    <row r="8" spans="1:18" s="1" customFormat="1" hidden="1" x14ac:dyDescent="0.25">
      <c r="A8" s="7" t="s">
        <v>32</v>
      </c>
      <c r="B8" s="13" t="s">
        <v>33</v>
      </c>
      <c r="C8" s="7" t="s">
        <v>34</v>
      </c>
      <c r="D8" s="7" t="s">
        <v>35</v>
      </c>
      <c r="E8" s="7" t="s">
        <v>35</v>
      </c>
      <c r="F8" s="8">
        <v>0</v>
      </c>
      <c r="G8" s="20">
        <v>1</v>
      </c>
      <c r="H8" s="20">
        <v>0</v>
      </c>
      <c r="I8" s="20">
        <v>0</v>
      </c>
      <c r="J8" s="13" t="s">
        <v>36</v>
      </c>
      <c r="K8" s="13" t="s">
        <v>37</v>
      </c>
      <c r="L8" s="7" t="s">
        <v>42</v>
      </c>
      <c r="M8" s="7">
        <v>0.08</v>
      </c>
      <c r="N8" s="9" t="s">
        <v>1716</v>
      </c>
      <c r="O8" s="9" t="s">
        <v>39</v>
      </c>
      <c r="P8" s="9"/>
      <c r="Q8" s="15"/>
      <c r="R8" s="9">
        <v>0</v>
      </c>
    </row>
    <row r="9" spans="1:18" s="1" customFormat="1" hidden="1" x14ac:dyDescent="0.25">
      <c r="A9" s="10" t="s">
        <v>43</v>
      </c>
      <c r="B9" s="14" t="s">
        <v>44</v>
      </c>
      <c r="C9" s="10" t="s">
        <v>45</v>
      </c>
      <c r="D9" s="10" t="s">
        <v>35</v>
      </c>
      <c r="E9" s="10" t="s">
        <v>35</v>
      </c>
      <c r="F9" s="11">
        <v>0</v>
      </c>
      <c r="G9" s="21">
        <v>1</v>
      </c>
      <c r="H9" s="21">
        <v>0</v>
      </c>
      <c r="I9" s="21">
        <v>0</v>
      </c>
      <c r="J9" s="14" t="s">
        <v>46</v>
      </c>
      <c r="K9" s="14" t="s">
        <v>47</v>
      </c>
      <c r="L9" s="10" t="s">
        <v>48</v>
      </c>
      <c r="M9" s="10">
        <v>2.5000000000000001E-2</v>
      </c>
      <c r="N9" s="12" t="s">
        <v>1716</v>
      </c>
      <c r="O9" s="12" t="s">
        <v>39</v>
      </c>
      <c r="P9" s="12"/>
      <c r="Q9" s="16"/>
      <c r="R9" s="12">
        <v>0</v>
      </c>
    </row>
    <row r="10" spans="1:18" s="1" customFormat="1" hidden="1" x14ac:dyDescent="0.25">
      <c r="A10" s="10" t="s">
        <v>43</v>
      </c>
      <c r="B10" s="14" t="s">
        <v>44</v>
      </c>
      <c r="C10" s="10" t="s">
        <v>45</v>
      </c>
      <c r="D10" s="10" t="s">
        <v>35</v>
      </c>
      <c r="E10" s="10" t="s">
        <v>35</v>
      </c>
      <c r="F10" s="11">
        <v>0</v>
      </c>
      <c r="G10" s="21">
        <v>1</v>
      </c>
      <c r="H10" s="21">
        <v>0</v>
      </c>
      <c r="I10" s="21">
        <v>0</v>
      </c>
      <c r="J10" s="14" t="s">
        <v>46</v>
      </c>
      <c r="K10" s="14" t="s">
        <v>47</v>
      </c>
      <c r="L10" s="10" t="s">
        <v>49</v>
      </c>
      <c r="M10" s="10">
        <v>0.26400000000000001</v>
      </c>
      <c r="N10" s="12" t="s">
        <v>1716</v>
      </c>
      <c r="O10" s="12" t="s">
        <v>39</v>
      </c>
      <c r="P10" s="12"/>
      <c r="Q10" s="16"/>
      <c r="R10" s="12">
        <v>0</v>
      </c>
    </row>
    <row r="11" spans="1:18" s="1" customFormat="1" hidden="1" x14ac:dyDescent="0.25">
      <c r="A11" s="10" t="s">
        <v>43</v>
      </c>
      <c r="B11" s="14" t="s">
        <v>44</v>
      </c>
      <c r="C11" s="10" t="s">
        <v>45</v>
      </c>
      <c r="D11" s="10" t="s">
        <v>35</v>
      </c>
      <c r="E11" s="10" t="s">
        <v>35</v>
      </c>
      <c r="F11" s="11">
        <v>0</v>
      </c>
      <c r="G11" s="21">
        <v>1</v>
      </c>
      <c r="H11" s="21">
        <v>0</v>
      </c>
      <c r="I11" s="21">
        <v>0</v>
      </c>
      <c r="J11" s="14" t="s">
        <v>46</v>
      </c>
      <c r="K11" s="14" t="s">
        <v>47</v>
      </c>
      <c r="L11" s="10" t="s">
        <v>50</v>
      </c>
      <c r="M11" s="10">
        <v>1</v>
      </c>
      <c r="N11" s="12" t="s">
        <v>1716</v>
      </c>
      <c r="O11" s="12" t="s">
        <v>39</v>
      </c>
      <c r="P11" s="12"/>
      <c r="Q11" s="16"/>
      <c r="R11" s="12">
        <v>0</v>
      </c>
    </row>
    <row r="12" spans="1:18" s="1" customFormat="1" hidden="1" x14ac:dyDescent="0.25">
      <c r="A12" s="10" t="s">
        <v>43</v>
      </c>
      <c r="B12" s="14" t="s">
        <v>44</v>
      </c>
      <c r="C12" s="10" t="s">
        <v>45</v>
      </c>
      <c r="D12" s="10" t="s">
        <v>35</v>
      </c>
      <c r="E12" s="10" t="s">
        <v>35</v>
      </c>
      <c r="F12" s="11">
        <v>0</v>
      </c>
      <c r="G12" s="21">
        <v>1</v>
      </c>
      <c r="H12" s="21">
        <v>0</v>
      </c>
      <c r="I12" s="21">
        <v>0</v>
      </c>
      <c r="J12" s="14" t="s">
        <v>46</v>
      </c>
      <c r="K12" s="14" t="s">
        <v>47</v>
      </c>
      <c r="L12" s="10" t="s">
        <v>51</v>
      </c>
      <c r="M12" s="10">
        <v>1</v>
      </c>
      <c r="N12" s="12" t="s">
        <v>1716</v>
      </c>
      <c r="O12" s="12" t="s">
        <v>39</v>
      </c>
      <c r="P12" s="12"/>
      <c r="Q12" s="16"/>
      <c r="R12" s="12">
        <v>0</v>
      </c>
    </row>
    <row r="13" spans="1:18" s="1" customFormat="1" hidden="1" x14ac:dyDescent="0.25">
      <c r="A13" s="7" t="s">
        <v>52</v>
      </c>
      <c r="B13" s="13" t="s">
        <v>53</v>
      </c>
      <c r="C13" s="7" t="s">
        <v>54</v>
      </c>
      <c r="D13" s="7" t="s">
        <v>35</v>
      </c>
      <c r="E13" s="7" t="s">
        <v>35</v>
      </c>
      <c r="F13" s="8">
        <v>0</v>
      </c>
      <c r="G13" s="20">
        <v>1</v>
      </c>
      <c r="H13" s="20">
        <v>0</v>
      </c>
      <c r="I13" s="20">
        <v>0</v>
      </c>
      <c r="J13" s="13" t="s">
        <v>55</v>
      </c>
      <c r="K13" s="13" t="s">
        <v>56</v>
      </c>
      <c r="L13" s="7" t="s">
        <v>57</v>
      </c>
      <c r="M13" s="7">
        <v>1</v>
      </c>
      <c r="N13" s="9" t="s">
        <v>1716</v>
      </c>
      <c r="O13" s="9" t="s">
        <v>39</v>
      </c>
      <c r="P13" s="9"/>
      <c r="Q13" s="15"/>
      <c r="R13" s="9">
        <v>0</v>
      </c>
    </row>
    <row r="14" spans="1:18" s="1" customFormat="1" hidden="1" x14ac:dyDescent="0.25">
      <c r="A14" s="10" t="s">
        <v>58</v>
      </c>
      <c r="B14" s="14" t="s">
        <v>59</v>
      </c>
      <c r="C14" s="10" t="s">
        <v>54</v>
      </c>
      <c r="D14" s="10" t="s">
        <v>35</v>
      </c>
      <c r="E14" s="10" t="s">
        <v>35</v>
      </c>
      <c r="F14" s="11">
        <v>0</v>
      </c>
      <c r="G14" s="21">
        <v>1</v>
      </c>
      <c r="H14" s="21">
        <v>0</v>
      </c>
      <c r="I14" s="21">
        <v>0</v>
      </c>
      <c r="J14" s="14" t="s">
        <v>60</v>
      </c>
      <c r="K14" s="14" t="s">
        <v>56</v>
      </c>
      <c r="L14" s="10" t="s">
        <v>61</v>
      </c>
      <c r="M14" s="10">
        <v>1</v>
      </c>
      <c r="N14" s="12" t="s">
        <v>1716</v>
      </c>
      <c r="O14" s="12" t="s">
        <v>39</v>
      </c>
      <c r="P14" s="12"/>
      <c r="Q14" s="16"/>
      <c r="R14" s="12">
        <v>0</v>
      </c>
    </row>
    <row r="15" spans="1:18" s="1" customFormat="1" hidden="1" x14ac:dyDescent="0.25">
      <c r="A15" s="7" t="s">
        <v>62</v>
      </c>
      <c r="B15" s="13" t="s">
        <v>63</v>
      </c>
      <c r="C15" s="7" t="s">
        <v>54</v>
      </c>
      <c r="D15" s="7" t="s">
        <v>35</v>
      </c>
      <c r="E15" s="7" t="s">
        <v>35</v>
      </c>
      <c r="F15" s="8">
        <v>0</v>
      </c>
      <c r="G15" s="20">
        <v>1</v>
      </c>
      <c r="H15" s="20">
        <v>0</v>
      </c>
      <c r="I15" s="20">
        <v>0</v>
      </c>
      <c r="J15" s="13" t="s">
        <v>60</v>
      </c>
      <c r="K15" s="13" t="s">
        <v>56</v>
      </c>
      <c r="L15" s="7" t="s">
        <v>64</v>
      </c>
      <c r="M15" s="7">
        <v>1</v>
      </c>
      <c r="N15" s="9" t="s">
        <v>1716</v>
      </c>
      <c r="O15" s="9" t="s">
        <v>39</v>
      </c>
      <c r="P15" s="9"/>
      <c r="Q15" s="15"/>
      <c r="R15" s="9">
        <v>0</v>
      </c>
    </row>
    <row r="16" spans="1:18" s="1" customFormat="1" hidden="1" x14ac:dyDescent="0.25">
      <c r="A16" s="10" t="s">
        <v>65</v>
      </c>
      <c r="B16" s="14" t="s">
        <v>66</v>
      </c>
      <c r="C16" s="10" t="s">
        <v>54</v>
      </c>
      <c r="D16" s="10" t="s">
        <v>35</v>
      </c>
      <c r="E16" s="10" t="s">
        <v>35</v>
      </c>
      <c r="F16" s="11">
        <v>0</v>
      </c>
      <c r="G16" s="21">
        <v>1</v>
      </c>
      <c r="H16" s="21">
        <v>0</v>
      </c>
      <c r="I16" s="21">
        <v>0</v>
      </c>
      <c r="J16" s="14" t="s">
        <v>67</v>
      </c>
      <c r="K16" s="14" t="s">
        <v>56</v>
      </c>
      <c r="L16" s="10" t="s">
        <v>68</v>
      </c>
      <c r="M16" s="10">
        <v>1</v>
      </c>
      <c r="N16" s="12" t="s">
        <v>1716</v>
      </c>
      <c r="O16" s="12" t="s">
        <v>39</v>
      </c>
      <c r="P16" s="12"/>
      <c r="Q16" s="16"/>
      <c r="R16" s="12">
        <v>0</v>
      </c>
    </row>
    <row r="17" spans="1:18" s="1" customFormat="1" hidden="1" x14ac:dyDescent="0.25">
      <c r="A17" s="7" t="s">
        <v>69</v>
      </c>
      <c r="B17" s="13" t="s">
        <v>70</v>
      </c>
      <c r="C17" s="7" t="s">
        <v>34</v>
      </c>
      <c r="D17" s="7" t="s">
        <v>35</v>
      </c>
      <c r="E17" s="7" t="s">
        <v>35</v>
      </c>
      <c r="F17" s="8">
        <v>0</v>
      </c>
      <c r="G17" s="20">
        <v>1</v>
      </c>
      <c r="H17" s="20">
        <v>0</v>
      </c>
      <c r="I17" s="20">
        <v>0</v>
      </c>
      <c r="J17" s="13" t="s">
        <v>71</v>
      </c>
      <c r="K17" s="13" t="s">
        <v>35</v>
      </c>
      <c r="L17" s="7" t="s">
        <v>72</v>
      </c>
      <c r="M17" s="7">
        <v>1</v>
      </c>
      <c r="N17" s="9" t="s">
        <v>1716</v>
      </c>
      <c r="O17" s="9" t="s">
        <v>39</v>
      </c>
      <c r="P17" s="9"/>
      <c r="Q17" s="15"/>
      <c r="R17" s="9">
        <v>0</v>
      </c>
    </row>
    <row r="18" spans="1:18" s="1" customFormat="1" hidden="1" x14ac:dyDescent="0.25">
      <c r="A18" s="10" t="s">
        <v>73</v>
      </c>
      <c r="B18" s="14" t="s">
        <v>74</v>
      </c>
      <c r="C18" s="10" t="s">
        <v>75</v>
      </c>
      <c r="D18" s="10" t="s">
        <v>35</v>
      </c>
      <c r="E18" s="10" t="s">
        <v>35</v>
      </c>
      <c r="F18" s="11">
        <v>0</v>
      </c>
      <c r="G18" s="21">
        <v>1</v>
      </c>
      <c r="H18" s="21">
        <v>0</v>
      </c>
      <c r="I18" s="21">
        <v>0</v>
      </c>
      <c r="J18" s="14" t="s">
        <v>71</v>
      </c>
      <c r="K18" s="14" t="s">
        <v>76</v>
      </c>
      <c r="L18" s="10" t="s">
        <v>77</v>
      </c>
      <c r="M18" s="10">
        <v>1</v>
      </c>
      <c r="N18" s="12" t="s">
        <v>1716</v>
      </c>
      <c r="O18" s="12" t="s">
        <v>39</v>
      </c>
      <c r="P18" s="12"/>
      <c r="Q18" s="16"/>
      <c r="R18" s="12">
        <v>0</v>
      </c>
    </row>
    <row r="19" spans="1:18" s="1" customFormat="1" hidden="1" x14ac:dyDescent="0.25">
      <c r="A19" s="7" t="s">
        <v>78</v>
      </c>
      <c r="B19" s="13" t="s">
        <v>79</v>
      </c>
      <c r="C19" s="7" t="s">
        <v>75</v>
      </c>
      <c r="D19" s="7" t="s">
        <v>35</v>
      </c>
      <c r="E19" s="7" t="s">
        <v>35</v>
      </c>
      <c r="F19" s="8">
        <v>0</v>
      </c>
      <c r="G19" s="20">
        <v>1</v>
      </c>
      <c r="H19" s="20">
        <v>0</v>
      </c>
      <c r="I19" s="20">
        <v>0</v>
      </c>
      <c r="J19" s="13" t="s">
        <v>36</v>
      </c>
      <c r="K19" s="13" t="s">
        <v>35</v>
      </c>
      <c r="L19" s="7" t="s">
        <v>80</v>
      </c>
      <c r="M19" s="7">
        <v>1</v>
      </c>
      <c r="N19" s="9" t="s">
        <v>1716</v>
      </c>
      <c r="O19" s="9" t="s">
        <v>39</v>
      </c>
      <c r="P19" s="9"/>
      <c r="Q19" s="15"/>
      <c r="R19" s="9">
        <v>0</v>
      </c>
    </row>
    <row r="20" spans="1:18" s="1" customFormat="1" hidden="1" x14ac:dyDescent="0.25">
      <c r="A20" s="10" t="s">
        <v>81</v>
      </c>
      <c r="B20" s="14" t="s">
        <v>82</v>
      </c>
      <c r="C20" s="10" t="s">
        <v>34</v>
      </c>
      <c r="D20" s="10" t="s">
        <v>35</v>
      </c>
      <c r="E20" s="10" t="s">
        <v>35</v>
      </c>
      <c r="F20" s="11">
        <v>0</v>
      </c>
      <c r="G20" s="21">
        <v>1</v>
      </c>
      <c r="H20" s="21">
        <v>0</v>
      </c>
      <c r="I20" s="21">
        <v>0</v>
      </c>
      <c r="J20" s="14" t="s">
        <v>83</v>
      </c>
      <c r="K20" s="14" t="s">
        <v>35</v>
      </c>
      <c r="L20" s="10" t="s">
        <v>84</v>
      </c>
      <c r="M20" s="10">
        <v>9</v>
      </c>
      <c r="N20" s="12" t="s">
        <v>1716</v>
      </c>
      <c r="O20" s="12" t="s">
        <v>39</v>
      </c>
      <c r="P20" s="12"/>
      <c r="Q20" s="16"/>
      <c r="R20" s="12">
        <v>0</v>
      </c>
    </row>
    <row r="21" spans="1:18" s="1" customFormat="1" hidden="1" x14ac:dyDescent="0.25">
      <c r="A21" s="10" t="s">
        <v>81</v>
      </c>
      <c r="B21" s="14" t="s">
        <v>82</v>
      </c>
      <c r="C21" s="10" t="s">
        <v>34</v>
      </c>
      <c r="D21" s="10" t="s">
        <v>35</v>
      </c>
      <c r="E21" s="10" t="s">
        <v>35</v>
      </c>
      <c r="F21" s="11">
        <v>0</v>
      </c>
      <c r="G21" s="21">
        <v>1</v>
      </c>
      <c r="H21" s="21">
        <v>0</v>
      </c>
      <c r="I21" s="21">
        <v>0</v>
      </c>
      <c r="J21" s="14" t="s">
        <v>83</v>
      </c>
      <c r="K21" s="14" t="s">
        <v>35</v>
      </c>
      <c r="L21" s="10" t="s">
        <v>85</v>
      </c>
      <c r="M21" s="10">
        <v>4</v>
      </c>
      <c r="N21" s="12" t="s">
        <v>1716</v>
      </c>
      <c r="O21" s="12" t="s">
        <v>39</v>
      </c>
      <c r="P21" s="12"/>
      <c r="Q21" s="16"/>
      <c r="R21" s="12">
        <v>0</v>
      </c>
    </row>
    <row r="22" spans="1:18" s="1" customFormat="1" hidden="1" x14ac:dyDescent="0.25">
      <c r="A22" s="10" t="s">
        <v>81</v>
      </c>
      <c r="B22" s="14" t="s">
        <v>82</v>
      </c>
      <c r="C22" s="10" t="s">
        <v>34</v>
      </c>
      <c r="D22" s="10" t="s">
        <v>35</v>
      </c>
      <c r="E22" s="10" t="s">
        <v>35</v>
      </c>
      <c r="F22" s="11">
        <v>0</v>
      </c>
      <c r="G22" s="21">
        <v>1</v>
      </c>
      <c r="H22" s="21">
        <v>0</v>
      </c>
      <c r="I22" s="21">
        <v>0</v>
      </c>
      <c r="J22" s="14" t="s">
        <v>83</v>
      </c>
      <c r="K22" s="14" t="s">
        <v>35</v>
      </c>
      <c r="L22" s="10" t="s">
        <v>86</v>
      </c>
      <c r="M22" s="10">
        <v>0.13</v>
      </c>
      <c r="N22" s="12" t="s">
        <v>1716</v>
      </c>
      <c r="O22" s="12" t="s">
        <v>39</v>
      </c>
      <c r="P22" s="12"/>
      <c r="Q22" s="16"/>
      <c r="R22" s="12">
        <v>0</v>
      </c>
    </row>
    <row r="23" spans="1:18" s="1" customFormat="1" hidden="1" x14ac:dyDescent="0.25">
      <c r="A23" s="10" t="s">
        <v>81</v>
      </c>
      <c r="B23" s="14" t="s">
        <v>82</v>
      </c>
      <c r="C23" s="10" t="s">
        <v>34</v>
      </c>
      <c r="D23" s="10" t="s">
        <v>35</v>
      </c>
      <c r="E23" s="10" t="s">
        <v>35</v>
      </c>
      <c r="F23" s="11">
        <v>0</v>
      </c>
      <c r="G23" s="21">
        <v>1</v>
      </c>
      <c r="H23" s="21">
        <v>0</v>
      </c>
      <c r="I23" s="21">
        <v>0</v>
      </c>
      <c r="J23" s="14" t="s">
        <v>83</v>
      </c>
      <c r="K23" s="14" t="s">
        <v>35</v>
      </c>
      <c r="L23" s="10" t="s">
        <v>87</v>
      </c>
      <c r="M23" s="10">
        <v>1.1000000000000001</v>
      </c>
      <c r="N23" s="12" t="s">
        <v>1716</v>
      </c>
      <c r="O23" s="12" t="s">
        <v>39</v>
      </c>
      <c r="P23" s="12"/>
      <c r="Q23" s="16"/>
      <c r="R23" s="12">
        <v>0</v>
      </c>
    </row>
    <row r="24" spans="1:18" s="1" customFormat="1" hidden="1" x14ac:dyDescent="0.25">
      <c r="A24" s="7" t="s">
        <v>88</v>
      </c>
      <c r="B24" s="13" t="s">
        <v>89</v>
      </c>
      <c r="C24" s="7" t="s">
        <v>34</v>
      </c>
      <c r="D24" s="7" t="s">
        <v>35</v>
      </c>
      <c r="E24" s="7" t="s">
        <v>35</v>
      </c>
      <c r="F24" s="8">
        <v>0</v>
      </c>
      <c r="G24" s="20">
        <v>1</v>
      </c>
      <c r="H24" s="20">
        <v>0</v>
      </c>
      <c r="I24" s="20">
        <v>0</v>
      </c>
      <c r="J24" s="13" t="s">
        <v>71</v>
      </c>
      <c r="K24" s="13" t="s">
        <v>76</v>
      </c>
      <c r="L24" s="7" t="s">
        <v>90</v>
      </c>
      <c r="M24" s="7">
        <v>4.2</v>
      </c>
      <c r="N24" s="9" t="s">
        <v>1716</v>
      </c>
      <c r="O24" s="9" t="s">
        <v>39</v>
      </c>
      <c r="P24" s="9"/>
      <c r="Q24" s="15"/>
      <c r="R24" s="9">
        <v>0</v>
      </c>
    </row>
    <row r="25" spans="1:18" s="1" customFormat="1" hidden="1" x14ac:dyDescent="0.25">
      <c r="A25" s="10" t="s">
        <v>91</v>
      </c>
      <c r="B25" s="14" t="s">
        <v>92</v>
      </c>
      <c r="C25" s="10" t="s">
        <v>34</v>
      </c>
      <c r="D25" s="10" t="s">
        <v>35</v>
      </c>
      <c r="E25" s="10" t="s">
        <v>35</v>
      </c>
      <c r="F25" s="11">
        <v>0</v>
      </c>
      <c r="G25" s="21">
        <v>1</v>
      </c>
      <c r="H25" s="21">
        <v>0</v>
      </c>
      <c r="I25" s="21">
        <v>0</v>
      </c>
      <c r="J25" s="14" t="s">
        <v>71</v>
      </c>
      <c r="K25" s="14" t="s">
        <v>35</v>
      </c>
      <c r="L25" s="10" t="s">
        <v>93</v>
      </c>
      <c r="M25" s="10">
        <v>1</v>
      </c>
      <c r="N25" s="12" t="s">
        <v>1716</v>
      </c>
      <c r="O25" s="12" t="s">
        <v>39</v>
      </c>
      <c r="P25" s="12"/>
      <c r="Q25" s="16"/>
      <c r="R25" s="12">
        <v>0</v>
      </c>
    </row>
    <row r="26" spans="1:18" s="1" customFormat="1" hidden="1" x14ac:dyDescent="0.25">
      <c r="A26" s="7" t="s">
        <v>94</v>
      </c>
      <c r="B26" s="13" t="s">
        <v>95</v>
      </c>
      <c r="C26" s="7" t="s">
        <v>34</v>
      </c>
      <c r="D26" s="7" t="s">
        <v>35</v>
      </c>
      <c r="E26" s="7" t="s">
        <v>35</v>
      </c>
      <c r="F26" s="8">
        <v>0</v>
      </c>
      <c r="G26" s="20">
        <v>1</v>
      </c>
      <c r="H26" s="20">
        <v>0</v>
      </c>
      <c r="I26" s="20">
        <v>0</v>
      </c>
      <c r="J26" s="13" t="s">
        <v>71</v>
      </c>
      <c r="K26" s="13" t="s">
        <v>35</v>
      </c>
      <c r="L26" s="7" t="s">
        <v>96</v>
      </c>
      <c r="M26" s="7">
        <v>57</v>
      </c>
      <c r="N26" s="9" t="s">
        <v>1716</v>
      </c>
      <c r="O26" s="9" t="s">
        <v>39</v>
      </c>
      <c r="P26" s="9"/>
      <c r="Q26" s="15"/>
      <c r="R26" s="9">
        <v>0</v>
      </c>
    </row>
    <row r="27" spans="1:18" s="1" customFormat="1" hidden="1" x14ac:dyDescent="0.25">
      <c r="A27" s="7" t="s">
        <v>94</v>
      </c>
      <c r="B27" s="13" t="s">
        <v>95</v>
      </c>
      <c r="C27" s="7" t="s">
        <v>34</v>
      </c>
      <c r="D27" s="7" t="s">
        <v>35</v>
      </c>
      <c r="E27" s="7" t="s">
        <v>35</v>
      </c>
      <c r="F27" s="8">
        <v>0</v>
      </c>
      <c r="G27" s="20">
        <v>1</v>
      </c>
      <c r="H27" s="20">
        <v>0</v>
      </c>
      <c r="I27" s="20">
        <v>0</v>
      </c>
      <c r="J27" s="13" t="s">
        <v>71</v>
      </c>
      <c r="K27" s="13" t="s">
        <v>35</v>
      </c>
      <c r="L27" s="7" t="s">
        <v>84</v>
      </c>
      <c r="M27" s="7">
        <v>9.84</v>
      </c>
      <c r="N27" s="9" t="s">
        <v>1716</v>
      </c>
      <c r="O27" s="9" t="s">
        <v>39</v>
      </c>
      <c r="P27" s="9"/>
      <c r="Q27" s="15"/>
      <c r="R27" s="9">
        <v>0</v>
      </c>
    </row>
    <row r="28" spans="1:18" s="1" customFormat="1" hidden="1" x14ac:dyDescent="0.25">
      <c r="A28" s="10" t="s">
        <v>97</v>
      </c>
      <c r="B28" s="14" t="s">
        <v>98</v>
      </c>
      <c r="C28" s="10" t="s">
        <v>34</v>
      </c>
      <c r="D28" s="10" t="s">
        <v>35</v>
      </c>
      <c r="E28" s="10" t="s">
        <v>35</v>
      </c>
      <c r="F28" s="11">
        <v>0</v>
      </c>
      <c r="G28" s="21">
        <v>1</v>
      </c>
      <c r="H28" s="21">
        <v>0</v>
      </c>
      <c r="I28" s="21">
        <v>0</v>
      </c>
      <c r="J28" s="14" t="s">
        <v>71</v>
      </c>
      <c r="K28" s="14" t="s">
        <v>99</v>
      </c>
      <c r="L28" s="10" t="s">
        <v>100</v>
      </c>
      <c r="M28" s="10">
        <v>5.6399999999999999E-2</v>
      </c>
      <c r="N28" s="12" t="s">
        <v>1716</v>
      </c>
      <c r="O28" s="12" t="s">
        <v>39</v>
      </c>
      <c r="P28" s="12"/>
      <c r="Q28" s="16"/>
      <c r="R28" s="12">
        <v>0</v>
      </c>
    </row>
    <row r="29" spans="1:18" s="1" customFormat="1" hidden="1" x14ac:dyDescent="0.25">
      <c r="A29" s="7" t="s">
        <v>101</v>
      </c>
      <c r="B29" s="13" t="s">
        <v>102</v>
      </c>
      <c r="C29" s="7" t="s">
        <v>34</v>
      </c>
      <c r="D29" s="7" t="s">
        <v>35</v>
      </c>
      <c r="E29" s="7" t="s">
        <v>35</v>
      </c>
      <c r="F29" s="8">
        <v>0</v>
      </c>
      <c r="G29" s="20">
        <v>1</v>
      </c>
      <c r="H29" s="20">
        <v>0</v>
      </c>
      <c r="I29" s="20">
        <v>0</v>
      </c>
      <c r="J29" s="13" t="s">
        <v>71</v>
      </c>
      <c r="K29" s="13" t="s">
        <v>76</v>
      </c>
      <c r="L29" s="7" t="s">
        <v>100</v>
      </c>
      <c r="M29" s="7">
        <v>3.3E-3</v>
      </c>
      <c r="N29" s="9" t="s">
        <v>1716</v>
      </c>
      <c r="O29" s="9" t="s">
        <v>39</v>
      </c>
      <c r="P29" s="9"/>
      <c r="Q29" s="15"/>
      <c r="R29" s="9">
        <v>0</v>
      </c>
    </row>
    <row r="30" spans="1:18" s="1" customFormat="1" hidden="1" x14ac:dyDescent="0.25">
      <c r="A30" s="7" t="s">
        <v>101</v>
      </c>
      <c r="B30" s="13" t="s">
        <v>102</v>
      </c>
      <c r="C30" s="7" t="s">
        <v>34</v>
      </c>
      <c r="D30" s="7" t="s">
        <v>35</v>
      </c>
      <c r="E30" s="7" t="s">
        <v>35</v>
      </c>
      <c r="F30" s="8">
        <v>0</v>
      </c>
      <c r="G30" s="20">
        <v>1</v>
      </c>
      <c r="H30" s="20">
        <v>0</v>
      </c>
      <c r="I30" s="20">
        <v>0</v>
      </c>
      <c r="J30" s="13" t="s">
        <v>71</v>
      </c>
      <c r="K30" s="13" t="s">
        <v>76</v>
      </c>
      <c r="L30" s="7" t="s">
        <v>103</v>
      </c>
      <c r="M30" s="7">
        <v>0.625</v>
      </c>
      <c r="N30" s="9" t="s">
        <v>1716</v>
      </c>
      <c r="O30" s="9" t="s">
        <v>39</v>
      </c>
      <c r="P30" s="9"/>
      <c r="Q30" s="15"/>
      <c r="R30" s="9">
        <v>0</v>
      </c>
    </row>
    <row r="31" spans="1:18" s="1" customFormat="1" hidden="1" x14ac:dyDescent="0.25">
      <c r="A31" s="10" t="s">
        <v>104</v>
      </c>
      <c r="B31" s="14" t="s">
        <v>105</v>
      </c>
      <c r="C31" s="10" t="s">
        <v>75</v>
      </c>
      <c r="D31" s="10" t="s">
        <v>35</v>
      </c>
      <c r="E31" s="10" t="s">
        <v>35</v>
      </c>
      <c r="F31" s="11">
        <v>0</v>
      </c>
      <c r="G31" s="21">
        <v>1</v>
      </c>
      <c r="H31" s="21">
        <v>0</v>
      </c>
      <c r="I31" s="21">
        <v>0</v>
      </c>
      <c r="J31" s="14" t="s">
        <v>106</v>
      </c>
      <c r="K31" s="14" t="s">
        <v>35</v>
      </c>
      <c r="L31" s="10" t="s">
        <v>107</v>
      </c>
      <c r="M31" s="10">
        <v>1</v>
      </c>
      <c r="N31" s="12" t="s">
        <v>1716</v>
      </c>
      <c r="O31" s="12" t="s">
        <v>39</v>
      </c>
      <c r="P31" s="12"/>
      <c r="Q31" s="16"/>
      <c r="R31" s="12">
        <v>0</v>
      </c>
    </row>
    <row r="32" spans="1:18" s="1" customFormat="1" hidden="1" x14ac:dyDescent="0.25">
      <c r="A32" s="10" t="s">
        <v>104</v>
      </c>
      <c r="B32" s="14" t="s">
        <v>105</v>
      </c>
      <c r="C32" s="10" t="s">
        <v>75</v>
      </c>
      <c r="D32" s="10" t="s">
        <v>35</v>
      </c>
      <c r="E32" s="10" t="s">
        <v>35</v>
      </c>
      <c r="F32" s="11">
        <v>0</v>
      </c>
      <c r="G32" s="21">
        <v>1</v>
      </c>
      <c r="H32" s="21">
        <v>0</v>
      </c>
      <c r="I32" s="21">
        <v>0</v>
      </c>
      <c r="J32" s="14" t="s">
        <v>106</v>
      </c>
      <c r="K32" s="14" t="s">
        <v>35</v>
      </c>
      <c r="L32" s="10" t="s">
        <v>108</v>
      </c>
      <c r="M32" s="10">
        <v>1</v>
      </c>
      <c r="N32" s="12" t="s">
        <v>1716</v>
      </c>
      <c r="O32" s="12" t="s">
        <v>39</v>
      </c>
      <c r="P32" s="12"/>
      <c r="Q32" s="16"/>
      <c r="R32" s="12">
        <v>0</v>
      </c>
    </row>
    <row r="33" spans="1:18" s="1" customFormat="1" hidden="1" x14ac:dyDescent="0.25">
      <c r="A33" s="7" t="s">
        <v>109</v>
      </c>
      <c r="B33" s="13" t="s">
        <v>110</v>
      </c>
      <c r="C33" s="7" t="s">
        <v>111</v>
      </c>
      <c r="D33" s="7" t="s">
        <v>35</v>
      </c>
      <c r="E33" s="7" t="s">
        <v>35</v>
      </c>
      <c r="F33" s="8">
        <v>0</v>
      </c>
      <c r="G33" s="20">
        <v>1</v>
      </c>
      <c r="H33" s="20">
        <v>0</v>
      </c>
      <c r="I33" s="20">
        <v>0</v>
      </c>
      <c r="J33" s="13" t="s">
        <v>67</v>
      </c>
      <c r="K33" s="13" t="s">
        <v>56</v>
      </c>
      <c r="L33" s="7" t="s">
        <v>112</v>
      </c>
      <c r="M33" s="7">
        <v>1</v>
      </c>
      <c r="N33" s="9" t="s">
        <v>1716</v>
      </c>
      <c r="O33" s="9" t="s">
        <v>39</v>
      </c>
      <c r="P33" s="9"/>
      <c r="Q33" s="15"/>
      <c r="R33" s="9">
        <v>0</v>
      </c>
    </row>
    <row r="34" spans="1:18" s="1" customFormat="1" hidden="1" x14ac:dyDescent="0.25">
      <c r="A34" s="10" t="s">
        <v>113</v>
      </c>
      <c r="B34" s="14" t="s">
        <v>114</v>
      </c>
      <c r="C34" s="10" t="s">
        <v>111</v>
      </c>
      <c r="D34" s="10" t="s">
        <v>35</v>
      </c>
      <c r="E34" s="10" t="s">
        <v>35</v>
      </c>
      <c r="F34" s="11">
        <v>0</v>
      </c>
      <c r="G34" s="21">
        <v>1</v>
      </c>
      <c r="H34" s="21">
        <v>0</v>
      </c>
      <c r="I34" s="21">
        <v>0</v>
      </c>
      <c r="J34" s="14" t="s">
        <v>67</v>
      </c>
      <c r="K34" s="14" t="s">
        <v>56</v>
      </c>
      <c r="L34" s="10" t="s">
        <v>115</v>
      </c>
      <c r="M34" s="10">
        <v>1</v>
      </c>
      <c r="N34" s="12" t="s">
        <v>1716</v>
      </c>
      <c r="O34" s="12" t="s">
        <v>39</v>
      </c>
      <c r="P34" s="12"/>
      <c r="Q34" s="16"/>
      <c r="R34" s="12">
        <v>0</v>
      </c>
    </row>
    <row r="35" spans="1:18" s="1" customFormat="1" hidden="1" x14ac:dyDescent="0.25">
      <c r="A35" s="7" t="s">
        <v>116</v>
      </c>
      <c r="B35" s="13" t="s">
        <v>117</v>
      </c>
      <c r="C35" s="7" t="s">
        <v>111</v>
      </c>
      <c r="D35" s="7" t="s">
        <v>35</v>
      </c>
      <c r="E35" s="7" t="s">
        <v>35</v>
      </c>
      <c r="F35" s="8">
        <v>0</v>
      </c>
      <c r="G35" s="20">
        <v>1</v>
      </c>
      <c r="H35" s="20">
        <v>0</v>
      </c>
      <c r="I35" s="20">
        <v>0</v>
      </c>
      <c r="J35" s="13" t="s">
        <v>67</v>
      </c>
      <c r="K35" s="13" t="s">
        <v>35</v>
      </c>
      <c r="L35" s="7" t="s">
        <v>118</v>
      </c>
      <c r="M35" s="7">
        <v>1</v>
      </c>
      <c r="N35" s="9" t="s">
        <v>1716</v>
      </c>
      <c r="O35" s="9" t="s">
        <v>39</v>
      </c>
      <c r="P35" s="9"/>
      <c r="Q35" s="15"/>
      <c r="R35" s="9">
        <v>0</v>
      </c>
    </row>
    <row r="36" spans="1:18" s="1" customFormat="1" hidden="1" x14ac:dyDescent="0.25">
      <c r="A36" s="10" t="s">
        <v>119</v>
      </c>
      <c r="B36" s="14" t="s">
        <v>120</v>
      </c>
      <c r="C36" s="10" t="s">
        <v>111</v>
      </c>
      <c r="D36" s="10" t="s">
        <v>35</v>
      </c>
      <c r="E36" s="10" t="s">
        <v>35</v>
      </c>
      <c r="F36" s="11">
        <v>0</v>
      </c>
      <c r="G36" s="21">
        <v>1</v>
      </c>
      <c r="H36" s="21">
        <v>0</v>
      </c>
      <c r="I36" s="21">
        <v>0</v>
      </c>
      <c r="J36" s="14" t="s">
        <v>67</v>
      </c>
      <c r="K36" s="14" t="s">
        <v>35</v>
      </c>
      <c r="L36" s="10" t="s">
        <v>121</v>
      </c>
      <c r="M36" s="10">
        <v>1</v>
      </c>
      <c r="N36" s="12" t="s">
        <v>1716</v>
      </c>
      <c r="O36" s="12" t="s">
        <v>39</v>
      </c>
      <c r="P36" s="12"/>
      <c r="Q36" s="16"/>
      <c r="R36" s="12">
        <v>0</v>
      </c>
    </row>
    <row r="37" spans="1:18" s="1" customFormat="1" hidden="1" x14ac:dyDescent="0.25">
      <c r="A37" s="7" t="s">
        <v>122</v>
      </c>
      <c r="B37" s="13" t="s">
        <v>123</v>
      </c>
      <c r="C37" s="7" t="s">
        <v>111</v>
      </c>
      <c r="D37" s="7" t="s">
        <v>35</v>
      </c>
      <c r="E37" s="7" t="s">
        <v>35</v>
      </c>
      <c r="F37" s="8">
        <v>0</v>
      </c>
      <c r="G37" s="20">
        <v>1</v>
      </c>
      <c r="H37" s="20">
        <v>0</v>
      </c>
      <c r="I37" s="20">
        <v>0</v>
      </c>
      <c r="J37" s="13" t="s">
        <v>67</v>
      </c>
      <c r="K37" s="13" t="s">
        <v>35</v>
      </c>
      <c r="L37" s="7" t="s">
        <v>124</v>
      </c>
      <c r="M37" s="7">
        <v>1</v>
      </c>
      <c r="N37" s="9" t="s">
        <v>1716</v>
      </c>
      <c r="O37" s="9" t="s">
        <v>39</v>
      </c>
      <c r="P37" s="9"/>
      <c r="Q37" s="15"/>
      <c r="R37" s="9">
        <v>0</v>
      </c>
    </row>
    <row r="38" spans="1:18" s="1" customFormat="1" hidden="1" x14ac:dyDescent="0.25">
      <c r="A38" s="10" t="s">
        <v>125</v>
      </c>
      <c r="B38" s="14" t="s">
        <v>126</v>
      </c>
      <c r="C38" s="10" t="s">
        <v>111</v>
      </c>
      <c r="D38" s="10" t="s">
        <v>35</v>
      </c>
      <c r="E38" s="10" t="s">
        <v>35</v>
      </c>
      <c r="F38" s="11">
        <v>0</v>
      </c>
      <c r="G38" s="21">
        <v>1</v>
      </c>
      <c r="H38" s="21">
        <v>0</v>
      </c>
      <c r="I38" s="21">
        <v>0</v>
      </c>
      <c r="J38" s="14" t="s">
        <v>67</v>
      </c>
      <c r="K38" s="14" t="s">
        <v>35</v>
      </c>
      <c r="L38" s="10" t="s">
        <v>127</v>
      </c>
      <c r="M38" s="10">
        <v>0.38600000000000001</v>
      </c>
      <c r="N38" s="12" t="s">
        <v>1716</v>
      </c>
      <c r="O38" s="12" t="s">
        <v>39</v>
      </c>
      <c r="P38" s="12"/>
      <c r="Q38" s="16"/>
      <c r="R38" s="12">
        <v>0</v>
      </c>
    </row>
    <row r="39" spans="1:18" s="1" customFormat="1" hidden="1" x14ac:dyDescent="0.25">
      <c r="A39" s="10" t="s">
        <v>125</v>
      </c>
      <c r="B39" s="14" t="s">
        <v>126</v>
      </c>
      <c r="C39" s="10" t="s">
        <v>111</v>
      </c>
      <c r="D39" s="10" t="s">
        <v>35</v>
      </c>
      <c r="E39" s="10" t="s">
        <v>35</v>
      </c>
      <c r="F39" s="11">
        <v>0</v>
      </c>
      <c r="G39" s="21">
        <v>1</v>
      </c>
      <c r="H39" s="21">
        <v>0</v>
      </c>
      <c r="I39" s="21">
        <v>0</v>
      </c>
      <c r="J39" s="14" t="s">
        <v>67</v>
      </c>
      <c r="K39" s="14" t="s">
        <v>35</v>
      </c>
      <c r="L39" s="10" t="s">
        <v>128</v>
      </c>
      <c r="M39" s="10">
        <v>3</v>
      </c>
      <c r="N39" s="12" t="s">
        <v>1716</v>
      </c>
      <c r="O39" s="12" t="s">
        <v>39</v>
      </c>
      <c r="P39" s="12"/>
      <c r="Q39" s="16"/>
      <c r="R39" s="12">
        <v>0</v>
      </c>
    </row>
    <row r="40" spans="1:18" s="1" customFormat="1" hidden="1" x14ac:dyDescent="0.25">
      <c r="A40" s="10" t="s">
        <v>125</v>
      </c>
      <c r="B40" s="14" t="s">
        <v>126</v>
      </c>
      <c r="C40" s="10" t="s">
        <v>111</v>
      </c>
      <c r="D40" s="10" t="s">
        <v>35</v>
      </c>
      <c r="E40" s="10" t="s">
        <v>35</v>
      </c>
      <c r="F40" s="11">
        <v>0</v>
      </c>
      <c r="G40" s="21">
        <v>1</v>
      </c>
      <c r="H40" s="21">
        <v>0</v>
      </c>
      <c r="I40" s="21">
        <v>0</v>
      </c>
      <c r="J40" s="14" t="s">
        <v>67</v>
      </c>
      <c r="K40" s="14" t="s">
        <v>35</v>
      </c>
      <c r="L40" s="10" t="s">
        <v>129</v>
      </c>
      <c r="M40" s="10">
        <v>1</v>
      </c>
      <c r="N40" s="12" t="s">
        <v>1716</v>
      </c>
      <c r="O40" s="12" t="s">
        <v>39</v>
      </c>
      <c r="P40" s="12"/>
      <c r="Q40" s="16"/>
      <c r="R40" s="12">
        <v>0</v>
      </c>
    </row>
    <row r="41" spans="1:18" s="1" customFormat="1" hidden="1" x14ac:dyDescent="0.25">
      <c r="A41" s="10" t="s">
        <v>125</v>
      </c>
      <c r="B41" s="14" t="s">
        <v>126</v>
      </c>
      <c r="C41" s="10" t="s">
        <v>111</v>
      </c>
      <c r="D41" s="10" t="s">
        <v>35</v>
      </c>
      <c r="E41" s="10" t="s">
        <v>35</v>
      </c>
      <c r="F41" s="11">
        <v>0</v>
      </c>
      <c r="G41" s="21">
        <v>1</v>
      </c>
      <c r="H41" s="21">
        <v>0</v>
      </c>
      <c r="I41" s="21">
        <v>0</v>
      </c>
      <c r="J41" s="14" t="s">
        <v>67</v>
      </c>
      <c r="K41" s="14" t="s">
        <v>35</v>
      </c>
      <c r="L41" s="10" t="s">
        <v>130</v>
      </c>
      <c r="M41" s="10">
        <v>1</v>
      </c>
      <c r="N41" s="12" t="s">
        <v>1716</v>
      </c>
      <c r="O41" s="12" t="s">
        <v>39</v>
      </c>
      <c r="P41" s="12"/>
      <c r="Q41" s="16"/>
      <c r="R41" s="12">
        <v>0</v>
      </c>
    </row>
    <row r="42" spans="1:18" s="1" customFormat="1" hidden="1" x14ac:dyDescent="0.25">
      <c r="A42" s="7" t="s">
        <v>131</v>
      </c>
      <c r="B42" s="13" t="s">
        <v>132</v>
      </c>
      <c r="C42" s="7" t="s">
        <v>111</v>
      </c>
      <c r="D42" s="7" t="s">
        <v>35</v>
      </c>
      <c r="E42" s="7" t="s">
        <v>35</v>
      </c>
      <c r="F42" s="8">
        <v>0</v>
      </c>
      <c r="G42" s="20">
        <v>1</v>
      </c>
      <c r="H42" s="20">
        <v>0</v>
      </c>
      <c r="I42" s="20">
        <v>0</v>
      </c>
      <c r="J42" s="13" t="s">
        <v>67</v>
      </c>
      <c r="K42" s="13" t="s">
        <v>35</v>
      </c>
      <c r="L42" s="7" t="s">
        <v>127</v>
      </c>
      <c r="M42" s="7">
        <v>0.38600000000000001</v>
      </c>
      <c r="N42" s="9" t="s">
        <v>1716</v>
      </c>
      <c r="O42" s="9" t="s">
        <v>39</v>
      </c>
      <c r="P42" s="9"/>
      <c r="Q42" s="15"/>
      <c r="R42" s="9">
        <v>0</v>
      </c>
    </row>
    <row r="43" spans="1:18" s="1" customFormat="1" hidden="1" x14ac:dyDescent="0.25">
      <c r="A43" s="7" t="s">
        <v>131</v>
      </c>
      <c r="B43" s="13" t="s">
        <v>132</v>
      </c>
      <c r="C43" s="7" t="s">
        <v>111</v>
      </c>
      <c r="D43" s="7" t="s">
        <v>35</v>
      </c>
      <c r="E43" s="7" t="s">
        <v>35</v>
      </c>
      <c r="F43" s="8">
        <v>0</v>
      </c>
      <c r="G43" s="20">
        <v>1</v>
      </c>
      <c r="H43" s="20">
        <v>0</v>
      </c>
      <c r="I43" s="20">
        <v>0</v>
      </c>
      <c r="J43" s="13" t="s">
        <v>67</v>
      </c>
      <c r="K43" s="13" t="s">
        <v>35</v>
      </c>
      <c r="L43" s="7" t="s">
        <v>128</v>
      </c>
      <c r="M43" s="7">
        <v>3</v>
      </c>
      <c r="N43" s="9" t="s">
        <v>1716</v>
      </c>
      <c r="O43" s="9" t="s">
        <v>39</v>
      </c>
      <c r="P43" s="9"/>
      <c r="Q43" s="15"/>
      <c r="R43" s="9">
        <v>0</v>
      </c>
    </row>
    <row r="44" spans="1:18" s="1" customFormat="1" hidden="1" x14ac:dyDescent="0.25">
      <c r="A44" s="7" t="s">
        <v>131</v>
      </c>
      <c r="B44" s="13" t="s">
        <v>132</v>
      </c>
      <c r="C44" s="7" t="s">
        <v>111</v>
      </c>
      <c r="D44" s="7" t="s">
        <v>35</v>
      </c>
      <c r="E44" s="7" t="s">
        <v>35</v>
      </c>
      <c r="F44" s="8">
        <v>0</v>
      </c>
      <c r="G44" s="20">
        <v>1</v>
      </c>
      <c r="H44" s="20">
        <v>0</v>
      </c>
      <c r="I44" s="20">
        <v>0</v>
      </c>
      <c r="J44" s="13" t="s">
        <v>67</v>
      </c>
      <c r="K44" s="13" t="s">
        <v>35</v>
      </c>
      <c r="L44" s="7" t="s">
        <v>133</v>
      </c>
      <c r="M44" s="7">
        <v>1</v>
      </c>
      <c r="N44" s="9" t="s">
        <v>1716</v>
      </c>
      <c r="O44" s="9" t="s">
        <v>39</v>
      </c>
      <c r="P44" s="9"/>
      <c r="Q44" s="15"/>
      <c r="R44" s="9">
        <v>0</v>
      </c>
    </row>
    <row r="45" spans="1:18" s="1" customFormat="1" hidden="1" x14ac:dyDescent="0.25">
      <c r="A45" s="7" t="s">
        <v>131</v>
      </c>
      <c r="B45" s="13" t="s">
        <v>132</v>
      </c>
      <c r="C45" s="7" t="s">
        <v>111</v>
      </c>
      <c r="D45" s="7" t="s">
        <v>35</v>
      </c>
      <c r="E45" s="7" t="s">
        <v>35</v>
      </c>
      <c r="F45" s="8">
        <v>0</v>
      </c>
      <c r="G45" s="20">
        <v>1</v>
      </c>
      <c r="H45" s="20">
        <v>0</v>
      </c>
      <c r="I45" s="20">
        <v>0</v>
      </c>
      <c r="J45" s="13" t="s">
        <v>67</v>
      </c>
      <c r="K45" s="13" t="s">
        <v>35</v>
      </c>
      <c r="L45" s="7" t="s">
        <v>130</v>
      </c>
      <c r="M45" s="7">
        <v>1</v>
      </c>
      <c r="N45" s="9" t="s">
        <v>1716</v>
      </c>
      <c r="O45" s="9" t="s">
        <v>39</v>
      </c>
      <c r="P45" s="9"/>
      <c r="Q45" s="15"/>
      <c r="R45" s="9">
        <v>0</v>
      </c>
    </row>
    <row r="46" spans="1:18" s="1" customFormat="1" hidden="1" x14ac:dyDescent="0.25">
      <c r="A46" s="10" t="s">
        <v>134</v>
      </c>
      <c r="B46" s="14" t="s">
        <v>135</v>
      </c>
      <c r="C46" s="10" t="s">
        <v>136</v>
      </c>
      <c r="D46" s="10" t="s">
        <v>35</v>
      </c>
      <c r="E46" s="10" t="s">
        <v>35</v>
      </c>
      <c r="F46" s="11">
        <v>0</v>
      </c>
      <c r="G46" s="21">
        <v>1</v>
      </c>
      <c r="H46" s="21">
        <v>0</v>
      </c>
      <c r="I46" s="21">
        <v>0</v>
      </c>
      <c r="J46" s="14" t="s">
        <v>67</v>
      </c>
      <c r="K46" s="14" t="s">
        <v>137</v>
      </c>
      <c r="L46" s="10" t="s">
        <v>138</v>
      </c>
      <c r="M46" s="10">
        <v>1</v>
      </c>
      <c r="N46" s="12" t="s">
        <v>1716</v>
      </c>
      <c r="O46" s="12" t="s">
        <v>39</v>
      </c>
      <c r="P46" s="12"/>
      <c r="Q46" s="16"/>
      <c r="R46" s="12">
        <v>0</v>
      </c>
    </row>
    <row r="47" spans="1:18" s="1" customFormat="1" hidden="1" x14ac:dyDescent="0.25">
      <c r="A47" s="7" t="s">
        <v>139</v>
      </c>
      <c r="B47" s="13" t="s">
        <v>140</v>
      </c>
      <c r="C47" s="7" t="s">
        <v>136</v>
      </c>
      <c r="D47" s="7" t="s">
        <v>35</v>
      </c>
      <c r="E47" s="7" t="s">
        <v>35</v>
      </c>
      <c r="F47" s="8">
        <v>0</v>
      </c>
      <c r="G47" s="20">
        <v>1</v>
      </c>
      <c r="H47" s="20">
        <v>0</v>
      </c>
      <c r="I47" s="20">
        <v>0</v>
      </c>
      <c r="J47" s="13" t="s">
        <v>67</v>
      </c>
      <c r="K47" s="13" t="s">
        <v>35</v>
      </c>
      <c r="L47" s="7" t="s">
        <v>141</v>
      </c>
      <c r="M47" s="7">
        <v>1</v>
      </c>
      <c r="N47" s="9" t="s">
        <v>1716</v>
      </c>
      <c r="O47" s="9" t="s">
        <v>39</v>
      </c>
      <c r="P47" s="9"/>
      <c r="Q47" s="15"/>
      <c r="R47" s="9">
        <v>0</v>
      </c>
    </row>
    <row r="48" spans="1:18" s="1" customFormat="1" hidden="1" x14ac:dyDescent="0.25">
      <c r="A48" s="10" t="s">
        <v>142</v>
      </c>
      <c r="B48" s="14" t="s">
        <v>143</v>
      </c>
      <c r="C48" s="10" t="s">
        <v>136</v>
      </c>
      <c r="D48" s="10" t="s">
        <v>35</v>
      </c>
      <c r="E48" s="10" t="s">
        <v>35</v>
      </c>
      <c r="F48" s="11">
        <v>0</v>
      </c>
      <c r="G48" s="21">
        <v>1</v>
      </c>
      <c r="H48" s="21">
        <v>0</v>
      </c>
      <c r="I48" s="21">
        <v>0</v>
      </c>
      <c r="J48" s="14" t="s">
        <v>67</v>
      </c>
      <c r="K48" s="14" t="s">
        <v>56</v>
      </c>
      <c r="L48" s="10" t="s">
        <v>144</v>
      </c>
      <c r="M48" s="10">
        <v>1</v>
      </c>
      <c r="N48" s="12" t="s">
        <v>1716</v>
      </c>
      <c r="O48" s="12" t="s">
        <v>39</v>
      </c>
      <c r="P48" s="12"/>
      <c r="Q48" s="16"/>
      <c r="R48" s="12">
        <v>0</v>
      </c>
    </row>
    <row r="49" spans="1:18" s="1" customFormat="1" hidden="1" x14ac:dyDescent="0.25">
      <c r="A49" s="7" t="s">
        <v>145</v>
      </c>
      <c r="B49" s="13" t="s">
        <v>146</v>
      </c>
      <c r="C49" s="7" t="s">
        <v>136</v>
      </c>
      <c r="D49" s="7" t="s">
        <v>35</v>
      </c>
      <c r="E49" s="7" t="s">
        <v>35</v>
      </c>
      <c r="F49" s="8">
        <v>0</v>
      </c>
      <c r="G49" s="20">
        <v>1</v>
      </c>
      <c r="H49" s="20">
        <v>0</v>
      </c>
      <c r="I49" s="20">
        <v>0</v>
      </c>
      <c r="J49" s="13" t="s">
        <v>67</v>
      </c>
      <c r="K49" s="13" t="s">
        <v>56</v>
      </c>
      <c r="L49" s="7" t="s">
        <v>147</v>
      </c>
      <c r="M49" s="7">
        <v>1</v>
      </c>
      <c r="N49" s="9" t="s">
        <v>1716</v>
      </c>
      <c r="O49" s="9" t="s">
        <v>39</v>
      </c>
      <c r="P49" s="9"/>
      <c r="Q49" s="15"/>
      <c r="R49" s="9">
        <v>0</v>
      </c>
    </row>
    <row r="50" spans="1:18" s="1" customFormat="1" hidden="1" x14ac:dyDescent="0.25">
      <c r="A50" s="10" t="s">
        <v>148</v>
      </c>
      <c r="B50" s="14" t="s">
        <v>149</v>
      </c>
      <c r="C50" s="10" t="s">
        <v>136</v>
      </c>
      <c r="D50" s="10" t="s">
        <v>35</v>
      </c>
      <c r="E50" s="10" t="s">
        <v>35</v>
      </c>
      <c r="F50" s="11">
        <v>0</v>
      </c>
      <c r="G50" s="21">
        <v>1</v>
      </c>
      <c r="H50" s="21">
        <v>0</v>
      </c>
      <c r="I50" s="21">
        <v>0</v>
      </c>
      <c r="J50" s="14" t="s">
        <v>67</v>
      </c>
      <c r="K50" s="14" t="s">
        <v>56</v>
      </c>
      <c r="L50" s="10" t="s">
        <v>150</v>
      </c>
      <c r="M50" s="10">
        <v>1</v>
      </c>
      <c r="N50" s="12" t="s">
        <v>1716</v>
      </c>
      <c r="O50" s="12" t="s">
        <v>39</v>
      </c>
      <c r="P50" s="12"/>
      <c r="Q50" s="16"/>
      <c r="R50" s="12">
        <v>0</v>
      </c>
    </row>
    <row r="51" spans="1:18" s="1" customFormat="1" hidden="1" x14ac:dyDescent="0.25">
      <c r="A51" s="7" t="s">
        <v>151</v>
      </c>
      <c r="B51" s="13" t="s">
        <v>152</v>
      </c>
      <c r="C51" s="7" t="s">
        <v>34</v>
      </c>
      <c r="D51" s="7" t="s">
        <v>35</v>
      </c>
      <c r="E51" s="7" t="s">
        <v>35</v>
      </c>
      <c r="F51" s="8">
        <v>0</v>
      </c>
      <c r="G51" s="20">
        <v>1</v>
      </c>
      <c r="H51" s="20">
        <v>0</v>
      </c>
      <c r="I51" s="20">
        <v>0</v>
      </c>
      <c r="J51" s="13" t="s">
        <v>36</v>
      </c>
      <c r="K51" s="13" t="s">
        <v>35</v>
      </c>
      <c r="L51" s="7" t="s">
        <v>153</v>
      </c>
      <c r="M51" s="7">
        <v>1</v>
      </c>
      <c r="N51" s="9" t="s">
        <v>1716</v>
      </c>
      <c r="O51" s="9" t="s">
        <v>39</v>
      </c>
      <c r="P51" s="9"/>
      <c r="Q51" s="15"/>
      <c r="R51" s="9">
        <v>0</v>
      </c>
    </row>
    <row r="52" spans="1:18" s="1" customFormat="1" hidden="1" x14ac:dyDescent="0.25">
      <c r="A52" s="10" t="s">
        <v>154</v>
      </c>
      <c r="B52" s="14" t="s">
        <v>155</v>
      </c>
      <c r="C52" s="10" t="s">
        <v>75</v>
      </c>
      <c r="D52" s="10" t="s">
        <v>35</v>
      </c>
      <c r="E52" s="10" t="s">
        <v>35</v>
      </c>
      <c r="F52" s="11">
        <v>0</v>
      </c>
      <c r="G52" s="21">
        <v>1</v>
      </c>
      <c r="H52" s="21">
        <v>0</v>
      </c>
      <c r="I52" s="21">
        <v>0</v>
      </c>
      <c r="J52" s="14" t="s">
        <v>36</v>
      </c>
      <c r="K52" s="14" t="s">
        <v>156</v>
      </c>
      <c r="L52" s="10" t="s">
        <v>38</v>
      </c>
      <c r="M52" s="10">
        <v>1.8280000000000001E-2</v>
      </c>
      <c r="N52" s="12" t="s">
        <v>1716</v>
      </c>
      <c r="O52" s="12" t="s">
        <v>39</v>
      </c>
      <c r="P52" s="12"/>
      <c r="Q52" s="16"/>
      <c r="R52" s="12">
        <v>0</v>
      </c>
    </row>
    <row r="53" spans="1:18" s="1" customFormat="1" hidden="1" x14ac:dyDescent="0.25">
      <c r="A53" s="7" t="s">
        <v>157</v>
      </c>
      <c r="B53" s="13" t="s">
        <v>158</v>
      </c>
      <c r="C53" s="7" t="s">
        <v>34</v>
      </c>
      <c r="D53" s="7" t="s">
        <v>35</v>
      </c>
      <c r="E53" s="7" t="s">
        <v>35</v>
      </c>
      <c r="F53" s="8">
        <v>0</v>
      </c>
      <c r="G53" s="20">
        <v>1</v>
      </c>
      <c r="H53" s="20">
        <v>0</v>
      </c>
      <c r="I53" s="20">
        <v>0</v>
      </c>
      <c r="J53" s="13" t="s">
        <v>36</v>
      </c>
      <c r="K53" s="13" t="s">
        <v>37</v>
      </c>
      <c r="L53" s="7" t="s">
        <v>38</v>
      </c>
      <c r="M53" s="7">
        <v>0.22850000000000001</v>
      </c>
      <c r="N53" s="9" t="s">
        <v>1716</v>
      </c>
      <c r="O53" s="9" t="s">
        <v>39</v>
      </c>
      <c r="P53" s="9"/>
      <c r="Q53" s="15"/>
      <c r="R53" s="9">
        <v>0</v>
      </c>
    </row>
    <row r="54" spans="1:18" s="1" customFormat="1" hidden="1" x14ac:dyDescent="0.25">
      <c r="A54" s="7" t="s">
        <v>157</v>
      </c>
      <c r="B54" s="13" t="s">
        <v>158</v>
      </c>
      <c r="C54" s="7" t="s">
        <v>34</v>
      </c>
      <c r="D54" s="7" t="s">
        <v>35</v>
      </c>
      <c r="E54" s="7" t="s">
        <v>35</v>
      </c>
      <c r="F54" s="8">
        <v>0</v>
      </c>
      <c r="G54" s="20">
        <v>1</v>
      </c>
      <c r="H54" s="20">
        <v>0</v>
      </c>
      <c r="I54" s="20">
        <v>0</v>
      </c>
      <c r="J54" s="13" t="s">
        <v>36</v>
      </c>
      <c r="K54" s="13" t="s">
        <v>37</v>
      </c>
      <c r="L54" s="7" t="s">
        <v>159</v>
      </c>
      <c r="M54" s="7">
        <v>0.15</v>
      </c>
      <c r="N54" s="9" t="s">
        <v>1716</v>
      </c>
      <c r="O54" s="9" t="s">
        <v>39</v>
      </c>
      <c r="P54" s="9"/>
      <c r="Q54" s="15"/>
      <c r="R54" s="9">
        <v>0</v>
      </c>
    </row>
    <row r="55" spans="1:18" s="1" customFormat="1" hidden="1" x14ac:dyDescent="0.25">
      <c r="A55" s="10" t="s">
        <v>160</v>
      </c>
      <c r="B55" s="14" t="s">
        <v>161</v>
      </c>
      <c r="C55" s="10" t="s">
        <v>34</v>
      </c>
      <c r="D55" s="10" t="s">
        <v>35</v>
      </c>
      <c r="E55" s="10" t="s">
        <v>35</v>
      </c>
      <c r="F55" s="11">
        <v>0</v>
      </c>
      <c r="G55" s="21">
        <v>1</v>
      </c>
      <c r="H55" s="21">
        <v>0</v>
      </c>
      <c r="I55" s="21">
        <v>0</v>
      </c>
      <c r="J55" s="14" t="s">
        <v>36</v>
      </c>
      <c r="K55" s="14" t="s">
        <v>156</v>
      </c>
      <c r="L55" s="10" t="s">
        <v>38</v>
      </c>
      <c r="M55" s="10">
        <v>0.22850000000000001</v>
      </c>
      <c r="N55" s="12" t="s">
        <v>1716</v>
      </c>
      <c r="O55" s="12" t="s">
        <v>39</v>
      </c>
      <c r="P55" s="12"/>
      <c r="Q55" s="16"/>
      <c r="R55" s="12">
        <v>0</v>
      </c>
    </row>
    <row r="56" spans="1:18" s="1" customFormat="1" hidden="1" x14ac:dyDescent="0.25">
      <c r="A56" s="7" t="s">
        <v>162</v>
      </c>
      <c r="B56" s="13" t="s">
        <v>163</v>
      </c>
      <c r="C56" s="7" t="s">
        <v>34</v>
      </c>
      <c r="D56" s="7" t="s">
        <v>35</v>
      </c>
      <c r="E56" s="7" t="s">
        <v>35</v>
      </c>
      <c r="F56" s="8">
        <v>0</v>
      </c>
      <c r="G56" s="20">
        <v>1</v>
      </c>
      <c r="H56" s="20">
        <v>0</v>
      </c>
      <c r="I56" s="20">
        <v>0</v>
      </c>
      <c r="J56" s="13" t="s">
        <v>36</v>
      </c>
      <c r="K56" s="13" t="s">
        <v>164</v>
      </c>
      <c r="L56" s="7" t="s">
        <v>165</v>
      </c>
      <c r="M56" s="7">
        <v>0.01</v>
      </c>
      <c r="N56" s="9" t="s">
        <v>1716</v>
      </c>
      <c r="O56" s="9" t="s">
        <v>39</v>
      </c>
      <c r="P56" s="9"/>
      <c r="Q56" s="15"/>
      <c r="R56" s="9">
        <v>0</v>
      </c>
    </row>
    <row r="57" spans="1:18" s="1" customFormat="1" hidden="1" x14ac:dyDescent="0.25">
      <c r="A57" s="7" t="s">
        <v>162</v>
      </c>
      <c r="B57" s="13" t="s">
        <v>163</v>
      </c>
      <c r="C57" s="7" t="s">
        <v>34</v>
      </c>
      <c r="D57" s="7" t="s">
        <v>35</v>
      </c>
      <c r="E57" s="7" t="s">
        <v>35</v>
      </c>
      <c r="F57" s="8">
        <v>0</v>
      </c>
      <c r="G57" s="20">
        <v>1</v>
      </c>
      <c r="H57" s="20">
        <v>0</v>
      </c>
      <c r="I57" s="20">
        <v>0</v>
      </c>
      <c r="J57" s="13" t="s">
        <v>36</v>
      </c>
      <c r="K57" s="13" t="s">
        <v>164</v>
      </c>
      <c r="L57" s="7" t="s">
        <v>166</v>
      </c>
      <c r="M57" s="7">
        <v>0.16</v>
      </c>
      <c r="N57" s="9" t="s">
        <v>1716</v>
      </c>
      <c r="O57" s="9" t="s">
        <v>39</v>
      </c>
      <c r="P57" s="9"/>
      <c r="Q57" s="15"/>
      <c r="R57" s="9">
        <v>0</v>
      </c>
    </row>
    <row r="58" spans="1:18" s="1" customFormat="1" hidden="1" x14ac:dyDescent="0.25">
      <c r="A58" s="7" t="s">
        <v>162</v>
      </c>
      <c r="B58" s="13" t="s">
        <v>163</v>
      </c>
      <c r="C58" s="7" t="s">
        <v>34</v>
      </c>
      <c r="D58" s="7" t="s">
        <v>35</v>
      </c>
      <c r="E58" s="7" t="s">
        <v>35</v>
      </c>
      <c r="F58" s="8">
        <v>0</v>
      </c>
      <c r="G58" s="20">
        <v>1</v>
      </c>
      <c r="H58" s="20">
        <v>0</v>
      </c>
      <c r="I58" s="20">
        <v>0</v>
      </c>
      <c r="J58" s="13" t="s">
        <v>36</v>
      </c>
      <c r="K58" s="13" t="s">
        <v>164</v>
      </c>
      <c r="L58" s="7" t="s">
        <v>167</v>
      </c>
      <c r="M58" s="7">
        <v>0.42699999999999999</v>
      </c>
      <c r="N58" s="9" t="s">
        <v>1716</v>
      </c>
      <c r="O58" s="9" t="s">
        <v>39</v>
      </c>
      <c r="P58" s="9"/>
      <c r="Q58" s="15"/>
      <c r="R58" s="9">
        <v>0</v>
      </c>
    </row>
    <row r="59" spans="1:18" s="1" customFormat="1" hidden="1" x14ac:dyDescent="0.25">
      <c r="A59" s="10" t="s">
        <v>168</v>
      </c>
      <c r="B59" s="14" t="s">
        <v>169</v>
      </c>
      <c r="C59" s="10" t="s">
        <v>75</v>
      </c>
      <c r="D59" s="10" t="s">
        <v>35</v>
      </c>
      <c r="E59" s="10" t="s">
        <v>35</v>
      </c>
      <c r="F59" s="11">
        <v>0</v>
      </c>
      <c r="G59" s="21">
        <v>1</v>
      </c>
      <c r="H59" s="21">
        <v>0</v>
      </c>
      <c r="I59" s="21">
        <v>0</v>
      </c>
      <c r="J59" s="14" t="s">
        <v>83</v>
      </c>
      <c r="K59" s="14" t="s">
        <v>35</v>
      </c>
      <c r="L59" s="10" t="s">
        <v>84</v>
      </c>
      <c r="M59" s="10">
        <v>0.63919999999999999</v>
      </c>
      <c r="N59" s="12" t="s">
        <v>1716</v>
      </c>
      <c r="O59" s="12" t="s">
        <v>39</v>
      </c>
      <c r="P59" s="12"/>
      <c r="Q59" s="16"/>
      <c r="R59" s="12">
        <v>0</v>
      </c>
    </row>
    <row r="60" spans="1:18" s="1" customFormat="1" hidden="1" x14ac:dyDescent="0.25">
      <c r="A60" s="10" t="s">
        <v>168</v>
      </c>
      <c r="B60" s="14" t="s">
        <v>169</v>
      </c>
      <c r="C60" s="10" t="s">
        <v>75</v>
      </c>
      <c r="D60" s="10" t="s">
        <v>35</v>
      </c>
      <c r="E60" s="10" t="s">
        <v>35</v>
      </c>
      <c r="F60" s="11">
        <v>0</v>
      </c>
      <c r="G60" s="21">
        <v>1</v>
      </c>
      <c r="H60" s="21">
        <v>0</v>
      </c>
      <c r="I60" s="21">
        <v>0</v>
      </c>
      <c r="J60" s="14" t="s">
        <v>83</v>
      </c>
      <c r="K60" s="14" t="s">
        <v>35</v>
      </c>
      <c r="L60" s="10" t="s">
        <v>170</v>
      </c>
      <c r="M60" s="10">
        <v>0.23630000000000001</v>
      </c>
      <c r="N60" s="12" t="s">
        <v>1716</v>
      </c>
      <c r="O60" s="12" t="s">
        <v>39</v>
      </c>
      <c r="P60" s="12"/>
      <c r="Q60" s="16"/>
      <c r="R60" s="12">
        <v>0</v>
      </c>
    </row>
    <row r="61" spans="1:18" s="1" customFormat="1" hidden="1" x14ac:dyDescent="0.25">
      <c r="A61" s="10" t="s">
        <v>168</v>
      </c>
      <c r="B61" s="14" t="s">
        <v>169</v>
      </c>
      <c r="C61" s="10" t="s">
        <v>75</v>
      </c>
      <c r="D61" s="10" t="s">
        <v>35</v>
      </c>
      <c r="E61" s="10" t="s">
        <v>35</v>
      </c>
      <c r="F61" s="11">
        <v>0</v>
      </c>
      <c r="G61" s="21">
        <v>1</v>
      </c>
      <c r="H61" s="21">
        <v>0</v>
      </c>
      <c r="I61" s="21">
        <v>0</v>
      </c>
      <c r="J61" s="14" t="s">
        <v>83</v>
      </c>
      <c r="K61" s="14" t="s">
        <v>35</v>
      </c>
      <c r="L61" s="10" t="s">
        <v>171</v>
      </c>
      <c r="M61" s="10">
        <v>8.7800000000000003E-2</v>
      </c>
      <c r="N61" s="12" t="s">
        <v>1716</v>
      </c>
      <c r="O61" s="12" t="s">
        <v>39</v>
      </c>
      <c r="P61" s="12"/>
      <c r="Q61" s="16"/>
      <c r="R61" s="12">
        <v>0</v>
      </c>
    </row>
    <row r="62" spans="1:18" s="1" customFormat="1" hidden="1" x14ac:dyDescent="0.25">
      <c r="A62" s="7" t="s">
        <v>172</v>
      </c>
      <c r="B62" s="13" t="s">
        <v>173</v>
      </c>
      <c r="C62" s="7" t="s">
        <v>75</v>
      </c>
      <c r="D62" s="7" t="s">
        <v>35</v>
      </c>
      <c r="E62" s="7" t="s">
        <v>35</v>
      </c>
      <c r="F62" s="8">
        <v>0</v>
      </c>
      <c r="G62" s="20">
        <v>1</v>
      </c>
      <c r="H62" s="20">
        <v>0</v>
      </c>
      <c r="I62" s="20">
        <v>0</v>
      </c>
      <c r="J62" s="13" t="s">
        <v>83</v>
      </c>
      <c r="K62" s="13" t="s">
        <v>35</v>
      </c>
      <c r="L62" s="7" t="s">
        <v>174</v>
      </c>
      <c r="M62" s="7">
        <v>2.5</v>
      </c>
      <c r="N62" s="9" t="s">
        <v>1716</v>
      </c>
      <c r="O62" s="9" t="s">
        <v>39</v>
      </c>
      <c r="P62" s="9"/>
      <c r="Q62" s="15"/>
      <c r="R62" s="9">
        <v>0</v>
      </c>
    </row>
    <row r="63" spans="1:18" s="1" customFormat="1" hidden="1" x14ac:dyDescent="0.25">
      <c r="A63" s="7" t="s">
        <v>172</v>
      </c>
      <c r="B63" s="13" t="s">
        <v>173</v>
      </c>
      <c r="C63" s="7" t="s">
        <v>75</v>
      </c>
      <c r="D63" s="7" t="s">
        <v>35</v>
      </c>
      <c r="E63" s="7" t="s">
        <v>35</v>
      </c>
      <c r="F63" s="8">
        <v>0</v>
      </c>
      <c r="G63" s="20">
        <v>1</v>
      </c>
      <c r="H63" s="20">
        <v>0</v>
      </c>
      <c r="I63" s="20">
        <v>0</v>
      </c>
      <c r="J63" s="13" t="s">
        <v>83</v>
      </c>
      <c r="K63" s="13" t="s">
        <v>35</v>
      </c>
      <c r="L63" s="7" t="s">
        <v>175</v>
      </c>
      <c r="M63" s="7">
        <v>6.9400000000000003E-2</v>
      </c>
      <c r="N63" s="9" t="s">
        <v>1716</v>
      </c>
      <c r="O63" s="9" t="s">
        <v>39</v>
      </c>
      <c r="P63" s="9"/>
      <c r="Q63" s="15"/>
      <c r="R63" s="9">
        <v>0</v>
      </c>
    </row>
    <row r="64" spans="1:18" s="1" customFormat="1" hidden="1" x14ac:dyDescent="0.25">
      <c r="A64" s="7" t="s">
        <v>172</v>
      </c>
      <c r="B64" s="13" t="s">
        <v>173</v>
      </c>
      <c r="C64" s="7" t="s">
        <v>75</v>
      </c>
      <c r="D64" s="7" t="s">
        <v>35</v>
      </c>
      <c r="E64" s="7" t="s">
        <v>35</v>
      </c>
      <c r="F64" s="8">
        <v>0</v>
      </c>
      <c r="G64" s="20">
        <v>1</v>
      </c>
      <c r="H64" s="20">
        <v>0</v>
      </c>
      <c r="I64" s="20">
        <v>0</v>
      </c>
      <c r="J64" s="13" t="s">
        <v>83</v>
      </c>
      <c r="K64" s="13" t="s">
        <v>35</v>
      </c>
      <c r="L64" s="7" t="s">
        <v>176</v>
      </c>
      <c r="M64" s="7">
        <v>1.1000000000000001</v>
      </c>
      <c r="N64" s="9" t="s">
        <v>1716</v>
      </c>
      <c r="O64" s="9" t="s">
        <v>39</v>
      </c>
      <c r="P64" s="9"/>
      <c r="Q64" s="15"/>
      <c r="R64" s="9">
        <v>0</v>
      </c>
    </row>
    <row r="65" spans="1:18" s="1" customFormat="1" hidden="1" x14ac:dyDescent="0.25">
      <c r="A65" s="10" t="s">
        <v>177</v>
      </c>
      <c r="B65" s="14" t="s">
        <v>178</v>
      </c>
      <c r="C65" s="10" t="s">
        <v>75</v>
      </c>
      <c r="D65" s="10" t="s">
        <v>35</v>
      </c>
      <c r="E65" s="10" t="s">
        <v>35</v>
      </c>
      <c r="F65" s="11">
        <v>0</v>
      </c>
      <c r="G65" s="21">
        <v>1</v>
      </c>
      <c r="H65" s="21">
        <v>0</v>
      </c>
      <c r="I65" s="21">
        <v>0</v>
      </c>
      <c r="J65" s="14" t="s">
        <v>83</v>
      </c>
      <c r="K65" s="14" t="s">
        <v>35</v>
      </c>
      <c r="L65" s="10" t="s">
        <v>174</v>
      </c>
      <c r="M65" s="10">
        <v>2.5</v>
      </c>
      <c r="N65" s="12" t="s">
        <v>1716</v>
      </c>
      <c r="O65" s="12" t="s">
        <v>39</v>
      </c>
      <c r="P65" s="12"/>
      <c r="Q65" s="16"/>
      <c r="R65" s="12">
        <v>0</v>
      </c>
    </row>
    <row r="66" spans="1:18" s="1" customFormat="1" hidden="1" x14ac:dyDescent="0.25">
      <c r="A66" s="10" t="s">
        <v>177</v>
      </c>
      <c r="B66" s="14" t="s">
        <v>178</v>
      </c>
      <c r="C66" s="10" t="s">
        <v>75</v>
      </c>
      <c r="D66" s="10" t="s">
        <v>35</v>
      </c>
      <c r="E66" s="10" t="s">
        <v>35</v>
      </c>
      <c r="F66" s="11">
        <v>0</v>
      </c>
      <c r="G66" s="21">
        <v>1</v>
      </c>
      <c r="H66" s="21">
        <v>0</v>
      </c>
      <c r="I66" s="21">
        <v>0</v>
      </c>
      <c r="J66" s="14" t="s">
        <v>83</v>
      </c>
      <c r="K66" s="14" t="s">
        <v>35</v>
      </c>
      <c r="L66" s="10" t="s">
        <v>175</v>
      </c>
      <c r="M66" s="10">
        <v>6.9400000000000003E-2</v>
      </c>
      <c r="N66" s="12" t="s">
        <v>1716</v>
      </c>
      <c r="O66" s="12" t="s">
        <v>39</v>
      </c>
      <c r="P66" s="12"/>
      <c r="Q66" s="16"/>
      <c r="R66" s="12">
        <v>0</v>
      </c>
    </row>
    <row r="67" spans="1:18" s="1" customFormat="1" hidden="1" x14ac:dyDescent="0.25">
      <c r="A67" s="10" t="s">
        <v>177</v>
      </c>
      <c r="B67" s="14" t="s">
        <v>178</v>
      </c>
      <c r="C67" s="10" t="s">
        <v>75</v>
      </c>
      <c r="D67" s="10" t="s">
        <v>35</v>
      </c>
      <c r="E67" s="10" t="s">
        <v>35</v>
      </c>
      <c r="F67" s="11">
        <v>0</v>
      </c>
      <c r="G67" s="21">
        <v>1</v>
      </c>
      <c r="H67" s="21">
        <v>0</v>
      </c>
      <c r="I67" s="21">
        <v>0</v>
      </c>
      <c r="J67" s="14" t="s">
        <v>83</v>
      </c>
      <c r="K67" s="14" t="s">
        <v>35</v>
      </c>
      <c r="L67" s="10" t="s">
        <v>179</v>
      </c>
      <c r="M67" s="10">
        <v>1.1000000000000001</v>
      </c>
      <c r="N67" s="12" t="s">
        <v>1716</v>
      </c>
      <c r="O67" s="12" t="s">
        <v>39</v>
      </c>
      <c r="P67" s="12"/>
      <c r="Q67" s="16"/>
      <c r="R67" s="12">
        <v>0</v>
      </c>
    </row>
    <row r="68" spans="1:18" s="1" customFormat="1" hidden="1" x14ac:dyDescent="0.25">
      <c r="A68" s="7" t="s">
        <v>180</v>
      </c>
      <c r="B68" s="13" t="s">
        <v>181</v>
      </c>
      <c r="C68" s="7" t="s">
        <v>75</v>
      </c>
      <c r="D68" s="7" t="s">
        <v>35</v>
      </c>
      <c r="E68" s="7" t="s">
        <v>35</v>
      </c>
      <c r="F68" s="8">
        <v>0</v>
      </c>
      <c r="G68" s="20">
        <v>1</v>
      </c>
      <c r="H68" s="20">
        <v>0</v>
      </c>
      <c r="I68" s="20">
        <v>0</v>
      </c>
      <c r="J68" s="13" t="s">
        <v>83</v>
      </c>
      <c r="K68" s="13" t="s">
        <v>35</v>
      </c>
      <c r="L68" s="7" t="s">
        <v>84</v>
      </c>
      <c r="M68" s="7">
        <v>1.2784</v>
      </c>
      <c r="N68" s="9" t="s">
        <v>1716</v>
      </c>
      <c r="O68" s="9" t="s">
        <v>39</v>
      </c>
      <c r="P68" s="9"/>
      <c r="Q68" s="15"/>
      <c r="R68" s="9">
        <v>0</v>
      </c>
    </row>
    <row r="69" spans="1:18" s="1" customFormat="1" hidden="1" x14ac:dyDescent="0.25">
      <c r="A69" s="7" t="s">
        <v>180</v>
      </c>
      <c r="B69" s="13" t="s">
        <v>181</v>
      </c>
      <c r="C69" s="7" t="s">
        <v>75</v>
      </c>
      <c r="D69" s="7" t="s">
        <v>35</v>
      </c>
      <c r="E69" s="7" t="s">
        <v>35</v>
      </c>
      <c r="F69" s="8">
        <v>0</v>
      </c>
      <c r="G69" s="20">
        <v>1</v>
      </c>
      <c r="H69" s="20">
        <v>0</v>
      </c>
      <c r="I69" s="20">
        <v>0</v>
      </c>
      <c r="J69" s="13" t="s">
        <v>83</v>
      </c>
      <c r="K69" s="13" t="s">
        <v>35</v>
      </c>
      <c r="L69" s="7" t="s">
        <v>171</v>
      </c>
      <c r="M69" s="7">
        <v>0.17560000000000001</v>
      </c>
      <c r="N69" s="9" t="s">
        <v>1716</v>
      </c>
      <c r="O69" s="9" t="s">
        <v>39</v>
      </c>
      <c r="P69" s="9"/>
      <c r="Q69" s="15"/>
      <c r="R69" s="9">
        <v>0</v>
      </c>
    </row>
    <row r="70" spans="1:18" s="1" customFormat="1" hidden="1" x14ac:dyDescent="0.25">
      <c r="A70" s="7" t="s">
        <v>180</v>
      </c>
      <c r="B70" s="13" t="s">
        <v>181</v>
      </c>
      <c r="C70" s="7" t="s">
        <v>75</v>
      </c>
      <c r="D70" s="7" t="s">
        <v>35</v>
      </c>
      <c r="E70" s="7" t="s">
        <v>35</v>
      </c>
      <c r="F70" s="8">
        <v>0</v>
      </c>
      <c r="G70" s="20">
        <v>1</v>
      </c>
      <c r="H70" s="20">
        <v>0</v>
      </c>
      <c r="I70" s="20">
        <v>0</v>
      </c>
      <c r="J70" s="13" t="s">
        <v>83</v>
      </c>
      <c r="K70" s="13" t="s">
        <v>35</v>
      </c>
      <c r="L70" s="7" t="s">
        <v>170</v>
      </c>
      <c r="M70" s="7">
        <v>0.47260000000000002</v>
      </c>
      <c r="N70" s="9" t="s">
        <v>1716</v>
      </c>
      <c r="O70" s="9" t="s">
        <v>39</v>
      </c>
      <c r="P70" s="9"/>
      <c r="Q70" s="15"/>
      <c r="R70" s="9">
        <v>0</v>
      </c>
    </row>
    <row r="71" spans="1:18" s="1" customFormat="1" hidden="1" x14ac:dyDescent="0.25">
      <c r="A71" s="10" t="s">
        <v>182</v>
      </c>
      <c r="B71" s="14" t="s">
        <v>183</v>
      </c>
      <c r="C71" s="10" t="s">
        <v>75</v>
      </c>
      <c r="D71" s="10" t="s">
        <v>35</v>
      </c>
      <c r="E71" s="10" t="s">
        <v>35</v>
      </c>
      <c r="F71" s="11">
        <v>0</v>
      </c>
      <c r="G71" s="21">
        <v>1</v>
      </c>
      <c r="H71" s="21">
        <v>0</v>
      </c>
      <c r="I71" s="21">
        <v>0</v>
      </c>
      <c r="J71" s="14" t="s">
        <v>83</v>
      </c>
      <c r="K71" s="14" t="s">
        <v>35</v>
      </c>
      <c r="L71" s="10" t="s">
        <v>84</v>
      </c>
      <c r="M71" s="10">
        <v>0.85229999999999995</v>
      </c>
      <c r="N71" s="12" t="s">
        <v>1716</v>
      </c>
      <c r="O71" s="12" t="s">
        <v>39</v>
      </c>
      <c r="P71" s="12"/>
      <c r="Q71" s="16"/>
      <c r="R71" s="12">
        <v>0</v>
      </c>
    </row>
    <row r="72" spans="1:18" s="1" customFormat="1" hidden="1" x14ac:dyDescent="0.25">
      <c r="A72" s="10" t="s">
        <v>182</v>
      </c>
      <c r="B72" s="14" t="s">
        <v>183</v>
      </c>
      <c r="C72" s="10" t="s">
        <v>75</v>
      </c>
      <c r="D72" s="10" t="s">
        <v>35</v>
      </c>
      <c r="E72" s="10" t="s">
        <v>35</v>
      </c>
      <c r="F72" s="11">
        <v>0</v>
      </c>
      <c r="G72" s="21">
        <v>1</v>
      </c>
      <c r="H72" s="21">
        <v>0</v>
      </c>
      <c r="I72" s="21">
        <v>0</v>
      </c>
      <c r="J72" s="14" t="s">
        <v>83</v>
      </c>
      <c r="K72" s="14" t="s">
        <v>35</v>
      </c>
      <c r="L72" s="10" t="s">
        <v>171</v>
      </c>
      <c r="M72" s="10">
        <v>0.1171</v>
      </c>
      <c r="N72" s="12" t="s">
        <v>1716</v>
      </c>
      <c r="O72" s="12" t="s">
        <v>39</v>
      </c>
      <c r="P72" s="12"/>
      <c r="Q72" s="16"/>
      <c r="R72" s="12">
        <v>0</v>
      </c>
    </row>
    <row r="73" spans="1:18" s="1" customFormat="1" hidden="1" x14ac:dyDescent="0.25">
      <c r="A73" s="10" t="s">
        <v>182</v>
      </c>
      <c r="B73" s="14" t="s">
        <v>183</v>
      </c>
      <c r="C73" s="10" t="s">
        <v>75</v>
      </c>
      <c r="D73" s="10" t="s">
        <v>35</v>
      </c>
      <c r="E73" s="10" t="s">
        <v>35</v>
      </c>
      <c r="F73" s="11">
        <v>0</v>
      </c>
      <c r="G73" s="21">
        <v>1</v>
      </c>
      <c r="H73" s="21">
        <v>0</v>
      </c>
      <c r="I73" s="21">
        <v>0</v>
      </c>
      <c r="J73" s="14" t="s">
        <v>83</v>
      </c>
      <c r="K73" s="14" t="s">
        <v>35</v>
      </c>
      <c r="L73" s="10" t="s">
        <v>170</v>
      </c>
      <c r="M73" s="10">
        <v>0.315</v>
      </c>
      <c r="N73" s="12" t="s">
        <v>1716</v>
      </c>
      <c r="O73" s="12" t="s">
        <v>39</v>
      </c>
      <c r="P73" s="12"/>
      <c r="Q73" s="16"/>
      <c r="R73" s="12">
        <v>0</v>
      </c>
    </row>
    <row r="74" spans="1:18" s="1" customFormat="1" hidden="1" x14ac:dyDescent="0.25">
      <c r="A74" s="7" t="s">
        <v>184</v>
      </c>
      <c r="B74" s="13" t="s">
        <v>185</v>
      </c>
      <c r="C74" s="7" t="s">
        <v>75</v>
      </c>
      <c r="D74" s="7" t="s">
        <v>35</v>
      </c>
      <c r="E74" s="7" t="s">
        <v>35</v>
      </c>
      <c r="F74" s="8">
        <v>0</v>
      </c>
      <c r="G74" s="20">
        <v>1</v>
      </c>
      <c r="H74" s="20">
        <v>0</v>
      </c>
      <c r="I74" s="20">
        <v>0</v>
      </c>
      <c r="J74" s="13" t="s">
        <v>83</v>
      </c>
      <c r="K74" s="13" t="s">
        <v>35</v>
      </c>
      <c r="L74" s="7" t="s">
        <v>84</v>
      </c>
      <c r="M74" s="7">
        <v>0.63919999999999999</v>
      </c>
      <c r="N74" s="9" t="s">
        <v>1716</v>
      </c>
      <c r="O74" s="9" t="s">
        <v>39</v>
      </c>
      <c r="P74" s="9"/>
      <c r="Q74" s="15"/>
      <c r="R74" s="9">
        <v>0</v>
      </c>
    </row>
    <row r="75" spans="1:18" s="1" customFormat="1" hidden="1" x14ac:dyDescent="0.25">
      <c r="A75" s="7" t="s">
        <v>184</v>
      </c>
      <c r="B75" s="13" t="s">
        <v>185</v>
      </c>
      <c r="C75" s="7" t="s">
        <v>75</v>
      </c>
      <c r="D75" s="7" t="s">
        <v>35</v>
      </c>
      <c r="E75" s="7" t="s">
        <v>35</v>
      </c>
      <c r="F75" s="8">
        <v>0</v>
      </c>
      <c r="G75" s="20">
        <v>1</v>
      </c>
      <c r="H75" s="20">
        <v>0</v>
      </c>
      <c r="I75" s="20">
        <v>0</v>
      </c>
      <c r="J75" s="13" t="s">
        <v>83</v>
      </c>
      <c r="K75" s="13" t="s">
        <v>35</v>
      </c>
      <c r="L75" s="7" t="s">
        <v>171</v>
      </c>
      <c r="M75" s="7">
        <v>8.7800000000000003E-2</v>
      </c>
      <c r="N75" s="9" t="s">
        <v>1716</v>
      </c>
      <c r="O75" s="9" t="s">
        <v>39</v>
      </c>
      <c r="P75" s="9"/>
      <c r="Q75" s="15"/>
      <c r="R75" s="9">
        <v>0</v>
      </c>
    </row>
    <row r="76" spans="1:18" s="1" customFormat="1" hidden="1" x14ac:dyDescent="0.25">
      <c r="A76" s="7" t="s">
        <v>184</v>
      </c>
      <c r="B76" s="13" t="s">
        <v>185</v>
      </c>
      <c r="C76" s="7" t="s">
        <v>75</v>
      </c>
      <c r="D76" s="7" t="s">
        <v>35</v>
      </c>
      <c r="E76" s="7" t="s">
        <v>35</v>
      </c>
      <c r="F76" s="8">
        <v>0</v>
      </c>
      <c r="G76" s="20">
        <v>1</v>
      </c>
      <c r="H76" s="20">
        <v>0</v>
      </c>
      <c r="I76" s="20">
        <v>0</v>
      </c>
      <c r="J76" s="13" t="s">
        <v>83</v>
      </c>
      <c r="K76" s="13" t="s">
        <v>35</v>
      </c>
      <c r="L76" s="7" t="s">
        <v>186</v>
      </c>
      <c r="M76" s="7">
        <v>0.23630000000000001</v>
      </c>
      <c r="N76" s="9" t="s">
        <v>1716</v>
      </c>
      <c r="O76" s="9" t="s">
        <v>39</v>
      </c>
      <c r="P76" s="9"/>
      <c r="Q76" s="15"/>
      <c r="R76" s="9">
        <v>0</v>
      </c>
    </row>
    <row r="77" spans="1:18" s="1" customFormat="1" hidden="1" x14ac:dyDescent="0.25">
      <c r="A77" s="10" t="s">
        <v>187</v>
      </c>
      <c r="B77" s="14" t="s">
        <v>188</v>
      </c>
      <c r="C77" s="10" t="s">
        <v>34</v>
      </c>
      <c r="D77" s="10" t="s">
        <v>35</v>
      </c>
      <c r="E77" s="10" t="s">
        <v>35</v>
      </c>
      <c r="F77" s="11">
        <v>0</v>
      </c>
      <c r="G77" s="21">
        <v>1</v>
      </c>
      <c r="H77" s="21">
        <v>0</v>
      </c>
      <c r="I77" s="21">
        <v>0</v>
      </c>
      <c r="J77" s="14" t="s">
        <v>83</v>
      </c>
      <c r="K77" s="14" t="s">
        <v>189</v>
      </c>
      <c r="L77" s="10" t="s">
        <v>190</v>
      </c>
      <c r="M77" s="10">
        <v>1</v>
      </c>
      <c r="N77" s="12" t="s">
        <v>1716</v>
      </c>
      <c r="O77" s="12" t="s">
        <v>39</v>
      </c>
      <c r="P77" s="12"/>
      <c r="Q77" s="16"/>
      <c r="R77" s="12">
        <v>0</v>
      </c>
    </row>
    <row r="78" spans="1:18" s="1" customFormat="1" hidden="1" x14ac:dyDescent="0.25">
      <c r="A78" s="7" t="s">
        <v>191</v>
      </c>
      <c r="B78" s="13" t="s">
        <v>192</v>
      </c>
      <c r="C78" s="7" t="s">
        <v>136</v>
      </c>
      <c r="D78" s="7" t="s">
        <v>35</v>
      </c>
      <c r="E78" s="7" t="s">
        <v>35</v>
      </c>
      <c r="F78" s="8">
        <v>0</v>
      </c>
      <c r="G78" s="20">
        <v>1</v>
      </c>
      <c r="H78" s="20">
        <v>0</v>
      </c>
      <c r="I78" s="20">
        <v>0</v>
      </c>
      <c r="J78" s="13" t="s">
        <v>83</v>
      </c>
      <c r="K78" s="13" t="s">
        <v>56</v>
      </c>
      <c r="L78" s="7" t="s">
        <v>193</v>
      </c>
      <c r="M78" s="7">
        <v>25</v>
      </c>
      <c r="N78" s="9" t="s">
        <v>1716</v>
      </c>
      <c r="O78" s="9" t="s">
        <v>39</v>
      </c>
      <c r="P78" s="9"/>
      <c r="Q78" s="15"/>
      <c r="R78" s="9">
        <v>0</v>
      </c>
    </row>
    <row r="79" spans="1:18" s="1" customFormat="1" hidden="1" x14ac:dyDescent="0.25">
      <c r="A79" s="7" t="s">
        <v>191</v>
      </c>
      <c r="B79" s="13" t="s">
        <v>192</v>
      </c>
      <c r="C79" s="7" t="s">
        <v>136</v>
      </c>
      <c r="D79" s="7" t="s">
        <v>35</v>
      </c>
      <c r="E79" s="7" t="s">
        <v>35</v>
      </c>
      <c r="F79" s="8">
        <v>0</v>
      </c>
      <c r="G79" s="20">
        <v>1</v>
      </c>
      <c r="H79" s="20">
        <v>0</v>
      </c>
      <c r="I79" s="20">
        <v>0</v>
      </c>
      <c r="J79" s="13" t="s">
        <v>83</v>
      </c>
      <c r="K79" s="13" t="s">
        <v>56</v>
      </c>
      <c r="L79" s="7" t="s">
        <v>84</v>
      </c>
      <c r="M79" s="7">
        <v>8.6199999999999992</v>
      </c>
      <c r="N79" s="9" t="s">
        <v>1716</v>
      </c>
      <c r="O79" s="9" t="s">
        <v>39</v>
      </c>
      <c r="P79" s="9"/>
      <c r="Q79" s="15"/>
      <c r="R79" s="9">
        <v>0</v>
      </c>
    </row>
    <row r="80" spans="1:18" s="1" customFormat="1" hidden="1" x14ac:dyDescent="0.25">
      <c r="A80" s="7" t="s">
        <v>191</v>
      </c>
      <c r="B80" s="13" t="s">
        <v>192</v>
      </c>
      <c r="C80" s="7" t="s">
        <v>136</v>
      </c>
      <c r="D80" s="7" t="s">
        <v>35</v>
      </c>
      <c r="E80" s="7" t="s">
        <v>35</v>
      </c>
      <c r="F80" s="8">
        <v>0</v>
      </c>
      <c r="G80" s="20">
        <v>1</v>
      </c>
      <c r="H80" s="20">
        <v>0</v>
      </c>
      <c r="I80" s="20">
        <v>0</v>
      </c>
      <c r="J80" s="13" t="s">
        <v>83</v>
      </c>
      <c r="K80" s="13" t="s">
        <v>56</v>
      </c>
      <c r="L80" s="7" t="s">
        <v>194</v>
      </c>
      <c r="M80" s="7">
        <v>0.24</v>
      </c>
      <c r="N80" s="9" t="s">
        <v>1716</v>
      </c>
      <c r="O80" s="9" t="s">
        <v>39</v>
      </c>
      <c r="P80" s="9"/>
      <c r="Q80" s="15"/>
      <c r="R80" s="9">
        <v>0</v>
      </c>
    </row>
    <row r="81" spans="1:18" s="1" customFormat="1" hidden="1" x14ac:dyDescent="0.25">
      <c r="A81" s="10" t="s">
        <v>195</v>
      </c>
      <c r="B81" s="14" t="s">
        <v>196</v>
      </c>
      <c r="C81" s="10" t="s">
        <v>34</v>
      </c>
      <c r="D81" s="10" t="s">
        <v>35</v>
      </c>
      <c r="E81" s="10" t="s">
        <v>35</v>
      </c>
      <c r="F81" s="11">
        <v>0</v>
      </c>
      <c r="G81" s="21">
        <v>1</v>
      </c>
      <c r="H81" s="21">
        <v>0</v>
      </c>
      <c r="I81" s="21">
        <v>0</v>
      </c>
      <c r="J81" s="14" t="s">
        <v>83</v>
      </c>
      <c r="K81" s="14" t="s">
        <v>35</v>
      </c>
      <c r="L81" s="10" t="s">
        <v>84</v>
      </c>
      <c r="M81" s="10">
        <v>9</v>
      </c>
      <c r="N81" s="12" t="s">
        <v>1716</v>
      </c>
      <c r="O81" s="12" t="s">
        <v>39</v>
      </c>
      <c r="P81" s="12"/>
      <c r="Q81" s="16"/>
      <c r="R81" s="12">
        <v>0</v>
      </c>
    </row>
    <row r="82" spans="1:18" s="1" customFormat="1" hidden="1" x14ac:dyDescent="0.25">
      <c r="A82" s="10" t="s">
        <v>195</v>
      </c>
      <c r="B82" s="14" t="s">
        <v>196</v>
      </c>
      <c r="C82" s="10" t="s">
        <v>34</v>
      </c>
      <c r="D82" s="10" t="s">
        <v>35</v>
      </c>
      <c r="E82" s="10" t="s">
        <v>35</v>
      </c>
      <c r="F82" s="11">
        <v>0</v>
      </c>
      <c r="G82" s="21">
        <v>1</v>
      </c>
      <c r="H82" s="21">
        <v>0</v>
      </c>
      <c r="I82" s="21">
        <v>0</v>
      </c>
      <c r="J82" s="14" t="s">
        <v>83</v>
      </c>
      <c r="K82" s="14" t="s">
        <v>35</v>
      </c>
      <c r="L82" s="10" t="s">
        <v>85</v>
      </c>
      <c r="M82" s="10">
        <v>4</v>
      </c>
      <c r="N82" s="12" t="s">
        <v>1716</v>
      </c>
      <c r="O82" s="12" t="s">
        <v>39</v>
      </c>
      <c r="P82" s="12"/>
      <c r="Q82" s="16"/>
      <c r="R82" s="12">
        <v>0</v>
      </c>
    </row>
    <row r="83" spans="1:18" s="1" customFormat="1" hidden="1" x14ac:dyDescent="0.25">
      <c r="A83" s="10" t="s">
        <v>195</v>
      </c>
      <c r="B83" s="14" t="s">
        <v>196</v>
      </c>
      <c r="C83" s="10" t="s">
        <v>34</v>
      </c>
      <c r="D83" s="10" t="s">
        <v>35</v>
      </c>
      <c r="E83" s="10" t="s">
        <v>35</v>
      </c>
      <c r="F83" s="11">
        <v>0</v>
      </c>
      <c r="G83" s="21">
        <v>1</v>
      </c>
      <c r="H83" s="21">
        <v>0</v>
      </c>
      <c r="I83" s="21">
        <v>0</v>
      </c>
      <c r="J83" s="14" t="s">
        <v>83</v>
      </c>
      <c r="K83" s="14" t="s">
        <v>35</v>
      </c>
      <c r="L83" s="10" t="s">
        <v>86</v>
      </c>
      <c r="M83" s="10">
        <v>0.13</v>
      </c>
      <c r="N83" s="12" t="s">
        <v>1716</v>
      </c>
      <c r="O83" s="12" t="s">
        <v>39</v>
      </c>
      <c r="P83" s="12"/>
      <c r="Q83" s="16"/>
      <c r="R83" s="12">
        <v>0</v>
      </c>
    </row>
    <row r="84" spans="1:18" s="1" customFormat="1" hidden="1" x14ac:dyDescent="0.25">
      <c r="A84" s="10" t="s">
        <v>195</v>
      </c>
      <c r="B84" s="14" t="s">
        <v>196</v>
      </c>
      <c r="C84" s="10" t="s">
        <v>34</v>
      </c>
      <c r="D84" s="10" t="s">
        <v>35</v>
      </c>
      <c r="E84" s="10" t="s">
        <v>35</v>
      </c>
      <c r="F84" s="11">
        <v>0</v>
      </c>
      <c r="G84" s="21">
        <v>1</v>
      </c>
      <c r="H84" s="21">
        <v>0</v>
      </c>
      <c r="I84" s="21">
        <v>0</v>
      </c>
      <c r="J84" s="14" t="s">
        <v>83</v>
      </c>
      <c r="K84" s="14" t="s">
        <v>35</v>
      </c>
      <c r="L84" s="10" t="s">
        <v>170</v>
      </c>
      <c r="M84" s="10">
        <v>1.1000000000000001</v>
      </c>
      <c r="N84" s="12" t="s">
        <v>1716</v>
      </c>
      <c r="O84" s="12" t="s">
        <v>39</v>
      </c>
      <c r="P84" s="12"/>
      <c r="Q84" s="16"/>
      <c r="R84" s="12">
        <v>0</v>
      </c>
    </row>
    <row r="85" spans="1:18" s="1" customFormat="1" hidden="1" x14ac:dyDescent="0.25">
      <c r="A85" s="7" t="s">
        <v>197</v>
      </c>
      <c r="B85" s="13" t="s">
        <v>198</v>
      </c>
      <c r="C85" s="7" t="s">
        <v>34</v>
      </c>
      <c r="D85" s="7" t="s">
        <v>35</v>
      </c>
      <c r="E85" s="7" t="s">
        <v>35</v>
      </c>
      <c r="F85" s="8">
        <v>0</v>
      </c>
      <c r="G85" s="20">
        <v>1</v>
      </c>
      <c r="H85" s="20">
        <v>0</v>
      </c>
      <c r="I85" s="20">
        <v>0</v>
      </c>
      <c r="J85" s="13" t="s">
        <v>83</v>
      </c>
      <c r="K85" s="13" t="s">
        <v>35</v>
      </c>
      <c r="L85" s="7" t="s">
        <v>84</v>
      </c>
      <c r="M85" s="7">
        <v>9</v>
      </c>
      <c r="N85" s="9" t="s">
        <v>1716</v>
      </c>
      <c r="O85" s="9" t="s">
        <v>39</v>
      </c>
      <c r="P85" s="9"/>
      <c r="Q85" s="15"/>
      <c r="R85" s="9">
        <v>0</v>
      </c>
    </row>
    <row r="86" spans="1:18" s="1" customFormat="1" hidden="1" x14ac:dyDescent="0.25">
      <c r="A86" s="7" t="s">
        <v>197</v>
      </c>
      <c r="B86" s="13" t="s">
        <v>198</v>
      </c>
      <c r="C86" s="7" t="s">
        <v>34</v>
      </c>
      <c r="D86" s="7" t="s">
        <v>35</v>
      </c>
      <c r="E86" s="7" t="s">
        <v>35</v>
      </c>
      <c r="F86" s="8">
        <v>0</v>
      </c>
      <c r="G86" s="20">
        <v>1</v>
      </c>
      <c r="H86" s="20">
        <v>0</v>
      </c>
      <c r="I86" s="20">
        <v>0</v>
      </c>
      <c r="J86" s="13" t="s">
        <v>83</v>
      </c>
      <c r="K86" s="13" t="s">
        <v>35</v>
      </c>
      <c r="L86" s="7" t="s">
        <v>85</v>
      </c>
      <c r="M86" s="7">
        <v>4</v>
      </c>
      <c r="N86" s="9" t="s">
        <v>1716</v>
      </c>
      <c r="O86" s="9" t="s">
        <v>39</v>
      </c>
      <c r="P86" s="9"/>
      <c r="Q86" s="15"/>
      <c r="R86" s="9">
        <v>0</v>
      </c>
    </row>
    <row r="87" spans="1:18" s="1" customFormat="1" hidden="1" x14ac:dyDescent="0.25">
      <c r="A87" s="7" t="s">
        <v>197</v>
      </c>
      <c r="B87" s="13" t="s">
        <v>198</v>
      </c>
      <c r="C87" s="7" t="s">
        <v>34</v>
      </c>
      <c r="D87" s="7" t="s">
        <v>35</v>
      </c>
      <c r="E87" s="7" t="s">
        <v>35</v>
      </c>
      <c r="F87" s="8">
        <v>0</v>
      </c>
      <c r="G87" s="20">
        <v>1</v>
      </c>
      <c r="H87" s="20">
        <v>0</v>
      </c>
      <c r="I87" s="20">
        <v>0</v>
      </c>
      <c r="J87" s="13" t="s">
        <v>83</v>
      </c>
      <c r="K87" s="13" t="s">
        <v>35</v>
      </c>
      <c r="L87" s="7" t="s">
        <v>86</v>
      </c>
      <c r="M87" s="7">
        <v>0.13</v>
      </c>
      <c r="N87" s="9" t="s">
        <v>1716</v>
      </c>
      <c r="O87" s="9" t="s">
        <v>39</v>
      </c>
      <c r="P87" s="9"/>
      <c r="Q87" s="15"/>
      <c r="R87" s="9">
        <v>0</v>
      </c>
    </row>
    <row r="88" spans="1:18" s="1" customFormat="1" hidden="1" x14ac:dyDescent="0.25">
      <c r="A88" s="7" t="s">
        <v>197</v>
      </c>
      <c r="B88" s="13" t="s">
        <v>198</v>
      </c>
      <c r="C88" s="7" t="s">
        <v>34</v>
      </c>
      <c r="D88" s="7" t="s">
        <v>35</v>
      </c>
      <c r="E88" s="7" t="s">
        <v>35</v>
      </c>
      <c r="F88" s="8">
        <v>0</v>
      </c>
      <c r="G88" s="20">
        <v>1</v>
      </c>
      <c r="H88" s="20">
        <v>0</v>
      </c>
      <c r="I88" s="20">
        <v>0</v>
      </c>
      <c r="J88" s="13" t="s">
        <v>83</v>
      </c>
      <c r="K88" s="13" t="s">
        <v>35</v>
      </c>
      <c r="L88" s="7" t="s">
        <v>170</v>
      </c>
      <c r="M88" s="7">
        <v>1.1000000000000001</v>
      </c>
      <c r="N88" s="9" t="s">
        <v>1716</v>
      </c>
      <c r="O88" s="9" t="s">
        <v>39</v>
      </c>
      <c r="P88" s="9"/>
      <c r="Q88" s="15"/>
      <c r="R88" s="9">
        <v>0</v>
      </c>
    </row>
    <row r="89" spans="1:18" s="1" customFormat="1" hidden="1" x14ac:dyDescent="0.25">
      <c r="A89" s="10" t="s">
        <v>199</v>
      </c>
      <c r="B89" s="14" t="s">
        <v>200</v>
      </c>
      <c r="C89" s="10" t="s">
        <v>136</v>
      </c>
      <c r="D89" s="10" t="s">
        <v>35</v>
      </c>
      <c r="E89" s="10" t="s">
        <v>35</v>
      </c>
      <c r="F89" s="11">
        <v>0</v>
      </c>
      <c r="G89" s="21">
        <v>1</v>
      </c>
      <c r="H89" s="21">
        <v>0</v>
      </c>
      <c r="I89" s="21">
        <v>0</v>
      </c>
      <c r="J89" s="14" t="s">
        <v>201</v>
      </c>
      <c r="K89" s="14" t="s">
        <v>202</v>
      </c>
      <c r="L89" s="10" t="s">
        <v>203</v>
      </c>
      <c r="M89" s="10">
        <v>1</v>
      </c>
      <c r="N89" s="12" t="s">
        <v>1716</v>
      </c>
      <c r="O89" s="12" t="s">
        <v>39</v>
      </c>
      <c r="P89" s="12"/>
      <c r="Q89" s="16"/>
      <c r="R89" s="12">
        <v>0</v>
      </c>
    </row>
    <row r="90" spans="1:18" s="1" customFormat="1" hidden="1" x14ac:dyDescent="0.25">
      <c r="A90" s="7" t="s">
        <v>204</v>
      </c>
      <c r="B90" s="13" t="s">
        <v>205</v>
      </c>
      <c r="C90" s="7" t="s">
        <v>136</v>
      </c>
      <c r="D90" s="7" t="s">
        <v>35</v>
      </c>
      <c r="E90" s="7" t="s">
        <v>35</v>
      </c>
      <c r="F90" s="8">
        <v>0</v>
      </c>
      <c r="G90" s="20">
        <v>1</v>
      </c>
      <c r="H90" s="20">
        <v>0</v>
      </c>
      <c r="I90" s="20">
        <v>0</v>
      </c>
      <c r="J90" s="13" t="s">
        <v>201</v>
      </c>
      <c r="K90" s="13" t="s">
        <v>202</v>
      </c>
      <c r="L90" s="7" t="s">
        <v>84</v>
      </c>
      <c r="M90" s="7">
        <v>8.6199999999999992</v>
      </c>
      <c r="N90" s="9" t="s">
        <v>1716</v>
      </c>
      <c r="O90" s="9" t="s">
        <v>39</v>
      </c>
      <c r="P90" s="9"/>
      <c r="Q90" s="15"/>
      <c r="R90" s="9">
        <v>0</v>
      </c>
    </row>
    <row r="91" spans="1:18" s="1" customFormat="1" hidden="1" x14ac:dyDescent="0.25">
      <c r="A91" s="7" t="s">
        <v>204</v>
      </c>
      <c r="B91" s="13" t="s">
        <v>205</v>
      </c>
      <c r="C91" s="7" t="s">
        <v>136</v>
      </c>
      <c r="D91" s="7" t="s">
        <v>35</v>
      </c>
      <c r="E91" s="7" t="s">
        <v>35</v>
      </c>
      <c r="F91" s="8">
        <v>0</v>
      </c>
      <c r="G91" s="20">
        <v>1</v>
      </c>
      <c r="H91" s="20">
        <v>0</v>
      </c>
      <c r="I91" s="20">
        <v>0</v>
      </c>
      <c r="J91" s="13" t="s">
        <v>201</v>
      </c>
      <c r="K91" s="13" t="s">
        <v>202</v>
      </c>
      <c r="L91" s="7" t="s">
        <v>206</v>
      </c>
      <c r="M91" s="7">
        <v>1.1599999999999999</v>
      </c>
      <c r="N91" s="9" t="s">
        <v>1716</v>
      </c>
      <c r="O91" s="9" t="s">
        <v>39</v>
      </c>
      <c r="P91" s="9"/>
      <c r="Q91" s="15"/>
      <c r="R91" s="9">
        <v>0</v>
      </c>
    </row>
    <row r="92" spans="1:18" s="1" customFormat="1" hidden="1" x14ac:dyDescent="0.25">
      <c r="A92" s="10" t="s">
        <v>207</v>
      </c>
      <c r="B92" s="14" t="s">
        <v>208</v>
      </c>
      <c r="C92" s="10" t="s">
        <v>34</v>
      </c>
      <c r="D92" s="10" t="s">
        <v>35</v>
      </c>
      <c r="E92" s="10" t="s">
        <v>35</v>
      </c>
      <c r="F92" s="11">
        <v>0</v>
      </c>
      <c r="G92" s="21">
        <v>1</v>
      </c>
      <c r="H92" s="21">
        <v>0</v>
      </c>
      <c r="I92" s="21">
        <v>0</v>
      </c>
      <c r="J92" s="14" t="s">
        <v>201</v>
      </c>
      <c r="K92" s="14" t="s">
        <v>35</v>
      </c>
      <c r="L92" s="10" t="s">
        <v>84</v>
      </c>
      <c r="M92" s="10">
        <v>9.84</v>
      </c>
      <c r="N92" s="12" t="s">
        <v>1716</v>
      </c>
      <c r="O92" s="12" t="s">
        <v>39</v>
      </c>
      <c r="P92" s="12"/>
      <c r="Q92" s="16"/>
      <c r="R92" s="12">
        <v>0</v>
      </c>
    </row>
    <row r="93" spans="1:18" s="1" customFormat="1" hidden="1" x14ac:dyDescent="0.25">
      <c r="A93" s="10" t="s">
        <v>207</v>
      </c>
      <c r="B93" s="14" t="s">
        <v>208</v>
      </c>
      <c r="C93" s="10" t="s">
        <v>34</v>
      </c>
      <c r="D93" s="10" t="s">
        <v>35</v>
      </c>
      <c r="E93" s="10" t="s">
        <v>35</v>
      </c>
      <c r="F93" s="11">
        <v>0</v>
      </c>
      <c r="G93" s="21">
        <v>1</v>
      </c>
      <c r="H93" s="21">
        <v>0</v>
      </c>
      <c r="I93" s="21">
        <v>0</v>
      </c>
      <c r="J93" s="14" t="s">
        <v>201</v>
      </c>
      <c r="K93" s="14" t="s">
        <v>35</v>
      </c>
      <c r="L93" s="10" t="s">
        <v>171</v>
      </c>
      <c r="M93" s="10">
        <v>0.5</v>
      </c>
      <c r="N93" s="12" t="s">
        <v>1716</v>
      </c>
      <c r="O93" s="12" t="s">
        <v>39</v>
      </c>
      <c r="P93" s="12"/>
      <c r="Q93" s="16"/>
      <c r="R93" s="12">
        <v>0</v>
      </c>
    </row>
    <row r="94" spans="1:18" s="1" customFormat="1" hidden="1" x14ac:dyDescent="0.25">
      <c r="A94" s="10" t="s">
        <v>207</v>
      </c>
      <c r="B94" s="14" t="s">
        <v>208</v>
      </c>
      <c r="C94" s="10" t="s">
        <v>34</v>
      </c>
      <c r="D94" s="10" t="s">
        <v>35</v>
      </c>
      <c r="E94" s="10" t="s">
        <v>35</v>
      </c>
      <c r="F94" s="11">
        <v>0</v>
      </c>
      <c r="G94" s="21">
        <v>1</v>
      </c>
      <c r="H94" s="21">
        <v>0</v>
      </c>
      <c r="I94" s="21">
        <v>0</v>
      </c>
      <c r="J94" s="14" t="s">
        <v>201</v>
      </c>
      <c r="K94" s="14" t="s">
        <v>35</v>
      </c>
      <c r="L94" s="10" t="s">
        <v>209</v>
      </c>
      <c r="M94" s="10">
        <v>1.1599999999999999</v>
      </c>
      <c r="N94" s="12" t="s">
        <v>1716</v>
      </c>
      <c r="O94" s="12" t="s">
        <v>39</v>
      </c>
      <c r="P94" s="12"/>
      <c r="Q94" s="16"/>
      <c r="R94" s="12">
        <v>0</v>
      </c>
    </row>
    <row r="95" spans="1:18" s="1" customFormat="1" hidden="1" x14ac:dyDescent="0.25">
      <c r="A95" s="7" t="s">
        <v>210</v>
      </c>
      <c r="B95" s="13" t="s">
        <v>211</v>
      </c>
      <c r="C95" s="7" t="s">
        <v>34</v>
      </c>
      <c r="D95" s="7" t="s">
        <v>35</v>
      </c>
      <c r="E95" s="7" t="s">
        <v>35</v>
      </c>
      <c r="F95" s="8">
        <v>0</v>
      </c>
      <c r="G95" s="20">
        <v>1</v>
      </c>
      <c r="H95" s="20">
        <v>0</v>
      </c>
      <c r="I95" s="20">
        <v>0</v>
      </c>
      <c r="J95" s="13" t="s">
        <v>83</v>
      </c>
      <c r="K95" s="13" t="s">
        <v>35</v>
      </c>
      <c r="L95" s="7" t="s">
        <v>84</v>
      </c>
      <c r="M95" s="7">
        <v>9</v>
      </c>
      <c r="N95" s="9" t="s">
        <v>1716</v>
      </c>
      <c r="O95" s="9" t="s">
        <v>39</v>
      </c>
      <c r="P95" s="9"/>
      <c r="Q95" s="15"/>
      <c r="R95" s="9">
        <v>0</v>
      </c>
    </row>
    <row r="96" spans="1:18" s="1" customFormat="1" hidden="1" x14ac:dyDescent="0.25">
      <c r="A96" s="7" t="s">
        <v>210</v>
      </c>
      <c r="B96" s="13" t="s">
        <v>211</v>
      </c>
      <c r="C96" s="7" t="s">
        <v>34</v>
      </c>
      <c r="D96" s="7" t="s">
        <v>35</v>
      </c>
      <c r="E96" s="7" t="s">
        <v>35</v>
      </c>
      <c r="F96" s="8">
        <v>0</v>
      </c>
      <c r="G96" s="20">
        <v>1</v>
      </c>
      <c r="H96" s="20">
        <v>0</v>
      </c>
      <c r="I96" s="20">
        <v>0</v>
      </c>
      <c r="J96" s="13" t="s">
        <v>83</v>
      </c>
      <c r="K96" s="13" t="s">
        <v>35</v>
      </c>
      <c r="L96" s="7" t="s">
        <v>212</v>
      </c>
      <c r="M96" s="7">
        <v>7</v>
      </c>
      <c r="N96" s="9" t="s">
        <v>1716</v>
      </c>
      <c r="O96" s="9" t="s">
        <v>39</v>
      </c>
      <c r="P96" s="9"/>
      <c r="Q96" s="15"/>
      <c r="R96" s="9">
        <v>0</v>
      </c>
    </row>
    <row r="97" spans="1:18" s="1" customFormat="1" hidden="1" x14ac:dyDescent="0.25">
      <c r="A97" s="7" t="s">
        <v>210</v>
      </c>
      <c r="B97" s="13" t="s">
        <v>211</v>
      </c>
      <c r="C97" s="7" t="s">
        <v>34</v>
      </c>
      <c r="D97" s="7" t="s">
        <v>35</v>
      </c>
      <c r="E97" s="7" t="s">
        <v>35</v>
      </c>
      <c r="F97" s="8">
        <v>0</v>
      </c>
      <c r="G97" s="20">
        <v>1</v>
      </c>
      <c r="H97" s="20">
        <v>0</v>
      </c>
      <c r="I97" s="20">
        <v>0</v>
      </c>
      <c r="J97" s="13" t="s">
        <v>83</v>
      </c>
      <c r="K97" s="13" t="s">
        <v>35</v>
      </c>
      <c r="L97" s="7" t="s">
        <v>171</v>
      </c>
      <c r="M97" s="7">
        <v>0.13</v>
      </c>
      <c r="N97" s="9" t="s">
        <v>1716</v>
      </c>
      <c r="O97" s="9" t="s">
        <v>39</v>
      </c>
      <c r="P97" s="9"/>
      <c r="Q97" s="15"/>
      <c r="R97" s="9">
        <v>0</v>
      </c>
    </row>
    <row r="98" spans="1:18" s="1" customFormat="1" hidden="1" x14ac:dyDescent="0.25">
      <c r="A98" s="7" t="s">
        <v>210</v>
      </c>
      <c r="B98" s="13" t="s">
        <v>211</v>
      </c>
      <c r="C98" s="7" t="s">
        <v>34</v>
      </c>
      <c r="D98" s="7" t="s">
        <v>35</v>
      </c>
      <c r="E98" s="7" t="s">
        <v>35</v>
      </c>
      <c r="F98" s="8">
        <v>0</v>
      </c>
      <c r="G98" s="20">
        <v>1</v>
      </c>
      <c r="H98" s="20">
        <v>0</v>
      </c>
      <c r="I98" s="20">
        <v>0</v>
      </c>
      <c r="J98" s="13" t="s">
        <v>83</v>
      </c>
      <c r="K98" s="13" t="s">
        <v>35</v>
      </c>
      <c r="L98" s="7" t="s">
        <v>186</v>
      </c>
      <c r="M98" s="7">
        <v>1.1000000000000001</v>
      </c>
      <c r="N98" s="9" t="s">
        <v>1716</v>
      </c>
      <c r="O98" s="9" t="s">
        <v>39</v>
      </c>
      <c r="P98" s="9"/>
      <c r="Q98" s="15"/>
      <c r="R98" s="9">
        <v>0</v>
      </c>
    </row>
    <row r="99" spans="1:18" s="1" customFormat="1" hidden="1" x14ac:dyDescent="0.25">
      <c r="A99" s="10" t="s">
        <v>213</v>
      </c>
      <c r="B99" s="14" t="s">
        <v>214</v>
      </c>
      <c r="C99" s="10" t="s">
        <v>34</v>
      </c>
      <c r="D99" s="10" t="s">
        <v>35</v>
      </c>
      <c r="E99" s="10" t="s">
        <v>35</v>
      </c>
      <c r="F99" s="11">
        <v>0</v>
      </c>
      <c r="G99" s="21">
        <v>1</v>
      </c>
      <c r="H99" s="21">
        <v>0</v>
      </c>
      <c r="I99" s="21">
        <v>0</v>
      </c>
      <c r="J99" s="14" t="s">
        <v>201</v>
      </c>
      <c r="K99" s="14" t="s">
        <v>35</v>
      </c>
      <c r="L99" s="10" t="s">
        <v>84</v>
      </c>
      <c r="M99" s="10">
        <v>9</v>
      </c>
      <c r="N99" s="12" t="s">
        <v>1716</v>
      </c>
      <c r="O99" s="12" t="s">
        <v>39</v>
      </c>
      <c r="P99" s="12"/>
      <c r="Q99" s="16"/>
      <c r="R99" s="12">
        <v>0</v>
      </c>
    </row>
    <row r="100" spans="1:18" s="1" customFormat="1" hidden="1" x14ac:dyDescent="0.25">
      <c r="A100" s="10" t="s">
        <v>213</v>
      </c>
      <c r="B100" s="14" t="s">
        <v>214</v>
      </c>
      <c r="C100" s="10" t="s">
        <v>34</v>
      </c>
      <c r="D100" s="10" t="s">
        <v>35</v>
      </c>
      <c r="E100" s="10" t="s">
        <v>35</v>
      </c>
      <c r="F100" s="11">
        <v>0</v>
      </c>
      <c r="G100" s="21">
        <v>1</v>
      </c>
      <c r="H100" s="21">
        <v>0</v>
      </c>
      <c r="I100" s="21">
        <v>0</v>
      </c>
      <c r="J100" s="14" t="s">
        <v>201</v>
      </c>
      <c r="K100" s="14" t="s">
        <v>35</v>
      </c>
      <c r="L100" s="10" t="s">
        <v>212</v>
      </c>
      <c r="M100" s="10">
        <v>7</v>
      </c>
      <c r="N100" s="12" t="s">
        <v>1716</v>
      </c>
      <c r="O100" s="12" t="s">
        <v>39</v>
      </c>
      <c r="P100" s="12"/>
      <c r="Q100" s="16"/>
      <c r="R100" s="12">
        <v>0</v>
      </c>
    </row>
    <row r="101" spans="1:18" s="1" customFormat="1" hidden="1" x14ac:dyDescent="0.25">
      <c r="A101" s="10" t="s">
        <v>213</v>
      </c>
      <c r="B101" s="14" t="s">
        <v>214</v>
      </c>
      <c r="C101" s="10" t="s">
        <v>34</v>
      </c>
      <c r="D101" s="10" t="s">
        <v>35</v>
      </c>
      <c r="E101" s="10" t="s">
        <v>35</v>
      </c>
      <c r="F101" s="11">
        <v>0</v>
      </c>
      <c r="G101" s="21">
        <v>1</v>
      </c>
      <c r="H101" s="21">
        <v>0</v>
      </c>
      <c r="I101" s="21">
        <v>0</v>
      </c>
      <c r="J101" s="14" t="s">
        <v>201</v>
      </c>
      <c r="K101" s="14" t="s">
        <v>35</v>
      </c>
      <c r="L101" s="10" t="s">
        <v>171</v>
      </c>
      <c r="M101" s="10">
        <v>0.13</v>
      </c>
      <c r="N101" s="12" t="s">
        <v>1716</v>
      </c>
      <c r="O101" s="12" t="s">
        <v>39</v>
      </c>
      <c r="P101" s="12"/>
      <c r="Q101" s="16"/>
      <c r="R101" s="12">
        <v>0</v>
      </c>
    </row>
    <row r="102" spans="1:18" s="1" customFormat="1" hidden="1" x14ac:dyDescent="0.25">
      <c r="A102" s="10" t="s">
        <v>213</v>
      </c>
      <c r="B102" s="14" t="s">
        <v>214</v>
      </c>
      <c r="C102" s="10" t="s">
        <v>34</v>
      </c>
      <c r="D102" s="10" t="s">
        <v>35</v>
      </c>
      <c r="E102" s="10" t="s">
        <v>35</v>
      </c>
      <c r="F102" s="11">
        <v>0</v>
      </c>
      <c r="G102" s="21">
        <v>1</v>
      </c>
      <c r="H102" s="21">
        <v>0</v>
      </c>
      <c r="I102" s="21">
        <v>0</v>
      </c>
      <c r="J102" s="14" t="s">
        <v>201</v>
      </c>
      <c r="K102" s="14" t="s">
        <v>35</v>
      </c>
      <c r="L102" s="10" t="s">
        <v>215</v>
      </c>
      <c r="M102" s="10">
        <v>1.1000000000000001</v>
      </c>
      <c r="N102" s="12" t="s">
        <v>1716</v>
      </c>
      <c r="O102" s="12" t="s">
        <v>39</v>
      </c>
      <c r="P102" s="12"/>
      <c r="Q102" s="16"/>
      <c r="R102" s="12">
        <v>0</v>
      </c>
    </row>
    <row r="103" spans="1:18" s="1" customFormat="1" hidden="1" x14ac:dyDescent="0.25">
      <c r="A103" s="7" t="s">
        <v>216</v>
      </c>
      <c r="B103" s="13" t="s">
        <v>217</v>
      </c>
      <c r="C103" s="7" t="s">
        <v>34</v>
      </c>
      <c r="D103" s="7" t="s">
        <v>35</v>
      </c>
      <c r="E103" s="7" t="s">
        <v>35</v>
      </c>
      <c r="F103" s="8">
        <v>0</v>
      </c>
      <c r="G103" s="20">
        <v>1</v>
      </c>
      <c r="H103" s="20">
        <v>0</v>
      </c>
      <c r="I103" s="20">
        <v>0</v>
      </c>
      <c r="J103" s="13" t="s">
        <v>218</v>
      </c>
      <c r="K103" s="13" t="s">
        <v>76</v>
      </c>
      <c r="L103" s="7" t="s">
        <v>90</v>
      </c>
      <c r="M103" s="7">
        <v>4.2</v>
      </c>
      <c r="N103" s="9" t="s">
        <v>1716</v>
      </c>
      <c r="O103" s="9" t="s">
        <v>39</v>
      </c>
      <c r="P103" s="9"/>
      <c r="Q103" s="15"/>
      <c r="R103" s="9">
        <v>0</v>
      </c>
    </row>
    <row r="104" spans="1:18" s="1" customFormat="1" hidden="1" x14ac:dyDescent="0.25">
      <c r="A104" s="10" t="s">
        <v>219</v>
      </c>
      <c r="B104" s="14" t="s">
        <v>220</v>
      </c>
      <c r="C104" s="10" t="s">
        <v>136</v>
      </c>
      <c r="D104" s="10" t="s">
        <v>35</v>
      </c>
      <c r="E104" s="10" t="s">
        <v>35</v>
      </c>
      <c r="F104" s="11">
        <v>0</v>
      </c>
      <c r="G104" s="21">
        <v>1</v>
      </c>
      <c r="H104" s="21">
        <v>0</v>
      </c>
      <c r="I104" s="21">
        <v>0</v>
      </c>
      <c r="J104" s="14" t="s">
        <v>221</v>
      </c>
      <c r="K104" s="14" t="s">
        <v>35</v>
      </c>
      <c r="L104" s="10" t="s">
        <v>222</v>
      </c>
      <c r="M104" s="10">
        <v>1</v>
      </c>
      <c r="N104" s="12" t="s">
        <v>1716</v>
      </c>
      <c r="O104" s="12" t="s">
        <v>39</v>
      </c>
      <c r="P104" s="12"/>
      <c r="Q104" s="16"/>
      <c r="R104" s="12">
        <v>0</v>
      </c>
    </row>
    <row r="105" spans="1:18" s="1" customFormat="1" hidden="1" x14ac:dyDescent="0.25">
      <c r="A105" s="7" t="s">
        <v>223</v>
      </c>
      <c r="B105" s="13" t="s">
        <v>224</v>
      </c>
      <c r="C105" s="7" t="s">
        <v>136</v>
      </c>
      <c r="D105" s="7" t="s">
        <v>35</v>
      </c>
      <c r="E105" s="7" t="s">
        <v>35</v>
      </c>
      <c r="F105" s="8">
        <v>0</v>
      </c>
      <c r="G105" s="20">
        <v>1</v>
      </c>
      <c r="H105" s="20">
        <v>0</v>
      </c>
      <c r="I105" s="20">
        <v>0</v>
      </c>
      <c r="J105" s="13" t="s">
        <v>221</v>
      </c>
      <c r="K105" s="13" t="s">
        <v>35</v>
      </c>
      <c r="L105" s="7" t="s">
        <v>225</v>
      </c>
      <c r="M105" s="7">
        <v>0.7</v>
      </c>
      <c r="N105" s="9" t="s">
        <v>1716</v>
      </c>
      <c r="O105" s="9" t="s">
        <v>39</v>
      </c>
      <c r="P105" s="9"/>
      <c r="Q105" s="15"/>
      <c r="R105" s="9">
        <v>0</v>
      </c>
    </row>
    <row r="106" spans="1:18" s="1" customFormat="1" hidden="1" x14ac:dyDescent="0.25">
      <c r="A106" s="7" t="s">
        <v>223</v>
      </c>
      <c r="B106" s="13" t="s">
        <v>224</v>
      </c>
      <c r="C106" s="7" t="s">
        <v>136</v>
      </c>
      <c r="D106" s="7" t="s">
        <v>35</v>
      </c>
      <c r="E106" s="7" t="s">
        <v>35</v>
      </c>
      <c r="F106" s="8">
        <v>0</v>
      </c>
      <c r="G106" s="20">
        <v>1</v>
      </c>
      <c r="H106" s="20">
        <v>0</v>
      </c>
      <c r="I106" s="20">
        <v>0</v>
      </c>
      <c r="J106" s="13" t="s">
        <v>221</v>
      </c>
      <c r="K106" s="13" t="s">
        <v>35</v>
      </c>
      <c r="L106" s="7" t="s">
        <v>226</v>
      </c>
      <c r="M106" s="7">
        <v>1.2</v>
      </c>
      <c r="N106" s="9" t="s">
        <v>1716</v>
      </c>
      <c r="O106" s="9" t="s">
        <v>39</v>
      </c>
      <c r="P106" s="9"/>
      <c r="Q106" s="15"/>
      <c r="R106" s="9">
        <v>0</v>
      </c>
    </row>
    <row r="107" spans="1:18" s="1" customFormat="1" hidden="1" x14ac:dyDescent="0.25">
      <c r="A107" s="10" t="s">
        <v>227</v>
      </c>
      <c r="B107" s="14" t="s">
        <v>228</v>
      </c>
      <c r="C107" s="10" t="s">
        <v>34</v>
      </c>
      <c r="D107" s="10" t="s">
        <v>35</v>
      </c>
      <c r="E107" s="10" t="s">
        <v>35</v>
      </c>
      <c r="F107" s="11">
        <v>0</v>
      </c>
      <c r="G107" s="21">
        <v>1</v>
      </c>
      <c r="H107" s="21">
        <v>0</v>
      </c>
      <c r="I107" s="21">
        <v>0</v>
      </c>
      <c r="J107" s="14" t="s">
        <v>229</v>
      </c>
      <c r="K107" s="14" t="s">
        <v>35</v>
      </c>
      <c r="L107" s="10" t="s">
        <v>230</v>
      </c>
      <c r="M107" s="10">
        <v>1</v>
      </c>
      <c r="N107" s="12" t="s">
        <v>1716</v>
      </c>
      <c r="O107" s="12" t="s">
        <v>39</v>
      </c>
      <c r="P107" s="12"/>
      <c r="Q107" s="16"/>
      <c r="R107" s="12">
        <v>0</v>
      </c>
    </row>
    <row r="108" spans="1:18" s="1" customFormat="1" hidden="1" x14ac:dyDescent="0.25">
      <c r="A108" s="7" t="s">
        <v>231</v>
      </c>
      <c r="B108" s="13" t="s">
        <v>232</v>
      </c>
      <c r="C108" s="7" t="s">
        <v>75</v>
      </c>
      <c r="D108" s="7" t="s">
        <v>35</v>
      </c>
      <c r="E108" s="7" t="s">
        <v>35</v>
      </c>
      <c r="F108" s="8">
        <v>0</v>
      </c>
      <c r="G108" s="20">
        <v>1</v>
      </c>
      <c r="H108" s="20">
        <v>0</v>
      </c>
      <c r="I108" s="20">
        <v>0</v>
      </c>
      <c r="J108" s="13" t="s">
        <v>56</v>
      </c>
      <c r="K108" s="13" t="s">
        <v>56</v>
      </c>
      <c r="L108" s="7" t="s">
        <v>233</v>
      </c>
      <c r="M108" s="7">
        <v>0.6</v>
      </c>
      <c r="N108" s="9" t="s">
        <v>1716</v>
      </c>
      <c r="O108" s="9" t="s">
        <v>39</v>
      </c>
      <c r="P108" s="9"/>
      <c r="Q108" s="15"/>
      <c r="R108" s="9">
        <v>0</v>
      </c>
    </row>
    <row r="109" spans="1:18" s="1" customFormat="1" hidden="1" x14ac:dyDescent="0.25">
      <c r="A109" s="10" t="s">
        <v>234</v>
      </c>
      <c r="B109" s="14" t="s">
        <v>235</v>
      </c>
      <c r="C109" s="10" t="s">
        <v>111</v>
      </c>
      <c r="D109" s="10" t="s">
        <v>35</v>
      </c>
      <c r="E109" s="10" t="s">
        <v>35</v>
      </c>
      <c r="F109" s="11">
        <v>0</v>
      </c>
      <c r="G109" s="21">
        <v>1</v>
      </c>
      <c r="H109" s="21">
        <v>0</v>
      </c>
      <c r="I109" s="21">
        <v>0</v>
      </c>
      <c r="J109" s="14" t="s">
        <v>67</v>
      </c>
      <c r="K109" s="14" t="s">
        <v>35</v>
      </c>
      <c r="L109" s="10" t="s">
        <v>127</v>
      </c>
      <c r="M109" s="10">
        <v>0.48599999999999999</v>
      </c>
      <c r="N109" s="12" t="s">
        <v>1716</v>
      </c>
      <c r="O109" s="12" t="s">
        <v>39</v>
      </c>
      <c r="P109" s="12"/>
      <c r="Q109" s="16"/>
      <c r="R109" s="12">
        <v>0</v>
      </c>
    </row>
    <row r="110" spans="1:18" s="1" customFormat="1" hidden="1" x14ac:dyDescent="0.25">
      <c r="A110" s="10" t="s">
        <v>234</v>
      </c>
      <c r="B110" s="14" t="s">
        <v>235</v>
      </c>
      <c r="C110" s="10" t="s">
        <v>111</v>
      </c>
      <c r="D110" s="10" t="s">
        <v>35</v>
      </c>
      <c r="E110" s="10" t="s">
        <v>35</v>
      </c>
      <c r="F110" s="11">
        <v>0</v>
      </c>
      <c r="G110" s="21">
        <v>1</v>
      </c>
      <c r="H110" s="21">
        <v>0</v>
      </c>
      <c r="I110" s="21">
        <v>0</v>
      </c>
      <c r="J110" s="14" t="s">
        <v>67</v>
      </c>
      <c r="K110" s="14" t="s">
        <v>35</v>
      </c>
      <c r="L110" s="10" t="s">
        <v>128</v>
      </c>
      <c r="M110" s="10">
        <v>3</v>
      </c>
      <c r="N110" s="12" t="s">
        <v>1716</v>
      </c>
      <c r="O110" s="12" t="s">
        <v>39</v>
      </c>
      <c r="P110" s="12"/>
      <c r="Q110" s="16"/>
      <c r="R110" s="12">
        <v>0</v>
      </c>
    </row>
    <row r="111" spans="1:18" s="1" customFormat="1" hidden="1" x14ac:dyDescent="0.25">
      <c r="A111" s="10" t="s">
        <v>234</v>
      </c>
      <c r="B111" s="14" t="s">
        <v>235</v>
      </c>
      <c r="C111" s="10" t="s">
        <v>111</v>
      </c>
      <c r="D111" s="10" t="s">
        <v>35</v>
      </c>
      <c r="E111" s="10" t="s">
        <v>35</v>
      </c>
      <c r="F111" s="11">
        <v>0</v>
      </c>
      <c r="G111" s="21">
        <v>1</v>
      </c>
      <c r="H111" s="21">
        <v>0</v>
      </c>
      <c r="I111" s="21">
        <v>0</v>
      </c>
      <c r="J111" s="14" t="s">
        <v>67</v>
      </c>
      <c r="K111" s="14" t="s">
        <v>35</v>
      </c>
      <c r="L111" s="10" t="s">
        <v>236</v>
      </c>
      <c r="M111" s="10">
        <v>1</v>
      </c>
      <c r="N111" s="12" t="s">
        <v>1716</v>
      </c>
      <c r="O111" s="12" t="s">
        <v>39</v>
      </c>
      <c r="P111" s="12"/>
      <c r="Q111" s="16"/>
      <c r="R111" s="12">
        <v>0</v>
      </c>
    </row>
    <row r="112" spans="1:18" s="1" customFormat="1" hidden="1" x14ac:dyDescent="0.25">
      <c r="A112" s="10" t="s">
        <v>234</v>
      </c>
      <c r="B112" s="14" t="s">
        <v>235</v>
      </c>
      <c r="C112" s="10" t="s">
        <v>111</v>
      </c>
      <c r="D112" s="10" t="s">
        <v>35</v>
      </c>
      <c r="E112" s="10" t="s">
        <v>35</v>
      </c>
      <c r="F112" s="11">
        <v>0</v>
      </c>
      <c r="G112" s="21">
        <v>1</v>
      </c>
      <c r="H112" s="21">
        <v>0</v>
      </c>
      <c r="I112" s="21">
        <v>0</v>
      </c>
      <c r="J112" s="14" t="s">
        <v>67</v>
      </c>
      <c r="K112" s="14" t="s">
        <v>35</v>
      </c>
      <c r="L112" s="10" t="s">
        <v>237</v>
      </c>
      <c r="M112" s="10">
        <v>1</v>
      </c>
      <c r="N112" s="12" t="s">
        <v>1716</v>
      </c>
      <c r="O112" s="12" t="s">
        <v>39</v>
      </c>
      <c r="P112" s="12"/>
      <c r="Q112" s="16"/>
      <c r="R112" s="12">
        <v>0</v>
      </c>
    </row>
    <row r="113" spans="1:18" s="1" customFormat="1" hidden="1" x14ac:dyDescent="0.25">
      <c r="A113" s="7" t="s">
        <v>238</v>
      </c>
      <c r="B113" s="13" t="s">
        <v>239</v>
      </c>
      <c r="C113" s="7" t="s">
        <v>111</v>
      </c>
      <c r="D113" s="7" t="s">
        <v>35</v>
      </c>
      <c r="E113" s="7" t="s">
        <v>35</v>
      </c>
      <c r="F113" s="8">
        <v>0</v>
      </c>
      <c r="G113" s="20">
        <v>1</v>
      </c>
      <c r="H113" s="20">
        <v>0</v>
      </c>
      <c r="I113" s="20">
        <v>0</v>
      </c>
      <c r="J113" s="13" t="s">
        <v>67</v>
      </c>
      <c r="K113" s="13" t="s">
        <v>35</v>
      </c>
      <c r="L113" s="7" t="s">
        <v>127</v>
      </c>
      <c r="M113" s="7">
        <v>0.38600000000000001</v>
      </c>
      <c r="N113" s="9" t="s">
        <v>1716</v>
      </c>
      <c r="O113" s="9" t="s">
        <v>39</v>
      </c>
      <c r="P113" s="9"/>
      <c r="Q113" s="15"/>
      <c r="R113" s="9">
        <v>0</v>
      </c>
    </row>
    <row r="114" spans="1:18" s="1" customFormat="1" hidden="1" x14ac:dyDescent="0.25">
      <c r="A114" s="7" t="s">
        <v>238</v>
      </c>
      <c r="B114" s="13" t="s">
        <v>239</v>
      </c>
      <c r="C114" s="7" t="s">
        <v>111</v>
      </c>
      <c r="D114" s="7" t="s">
        <v>35</v>
      </c>
      <c r="E114" s="7" t="s">
        <v>35</v>
      </c>
      <c r="F114" s="8">
        <v>0</v>
      </c>
      <c r="G114" s="20">
        <v>1</v>
      </c>
      <c r="H114" s="20">
        <v>0</v>
      </c>
      <c r="I114" s="20">
        <v>0</v>
      </c>
      <c r="J114" s="13" t="s">
        <v>67</v>
      </c>
      <c r="K114" s="13" t="s">
        <v>35</v>
      </c>
      <c r="L114" s="7" t="s">
        <v>128</v>
      </c>
      <c r="M114" s="7">
        <v>3</v>
      </c>
      <c r="N114" s="9" t="s">
        <v>1716</v>
      </c>
      <c r="O114" s="9" t="s">
        <v>39</v>
      </c>
      <c r="P114" s="9"/>
      <c r="Q114" s="15"/>
      <c r="R114" s="9">
        <v>0</v>
      </c>
    </row>
    <row r="115" spans="1:18" s="1" customFormat="1" hidden="1" x14ac:dyDescent="0.25">
      <c r="A115" s="7" t="s">
        <v>238</v>
      </c>
      <c r="B115" s="13" t="s">
        <v>239</v>
      </c>
      <c r="C115" s="7" t="s">
        <v>111</v>
      </c>
      <c r="D115" s="7" t="s">
        <v>35</v>
      </c>
      <c r="E115" s="7" t="s">
        <v>35</v>
      </c>
      <c r="F115" s="8">
        <v>0</v>
      </c>
      <c r="G115" s="20">
        <v>1</v>
      </c>
      <c r="H115" s="20">
        <v>0</v>
      </c>
      <c r="I115" s="20">
        <v>0</v>
      </c>
      <c r="J115" s="13" t="s">
        <v>67</v>
      </c>
      <c r="K115" s="13" t="s">
        <v>35</v>
      </c>
      <c r="L115" s="7" t="s">
        <v>236</v>
      </c>
      <c r="M115" s="7">
        <v>1</v>
      </c>
      <c r="N115" s="9" t="s">
        <v>1716</v>
      </c>
      <c r="O115" s="9" t="s">
        <v>39</v>
      </c>
      <c r="P115" s="9"/>
      <c r="Q115" s="15"/>
      <c r="R115" s="9">
        <v>0</v>
      </c>
    </row>
    <row r="116" spans="1:18" s="1" customFormat="1" hidden="1" x14ac:dyDescent="0.25">
      <c r="A116" s="7" t="s">
        <v>238</v>
      </c>
      <c r="B116" s="13" t="s">
        <v>239</v>
      </c>
      <c r="C116" s="7" t="s">
        <v>111</v>
      </c>
      <c r="D116" s="7" t="s">
        <v>35</v>
      </c>
      <c r="E116" s="7" t="s">
        <v>35</v>
      </c>
      <c r="F116" s="8">
        <v>0</v>
      </c>
      <c r="G116" s="20">
        <v>1</v>
      </c>
      <c r="H116" s="20">
        <v>0</v>
      </c>
      <c r="I116" s="20">
        <v>0</v>
      </c>
      <c r="J116" s="13" t="s">
        <v>67</v>
      </c>
      <c r="K116" s="13" t="s">
        <v>35</v>
      </c>
      <c r="L116" s="7" t="s">
        <v>240</v>
      </c>
      <c r="M116" s="7">
        <v>1</v>
      </c>
      <c r="N116" s="9" t="s">
        <v>1716</v>
      </c>
      <c r="O116" s="9" t="s">
        <v>39</v>
      </c>
      <c r="P116" s="9"/>
      <c r="Q116" s="15"/>
      <c r="R116" s="9">
        <v>0</v>
      </c>
    </row>
    <row r="117" spans="1:18" s="1" customFormat="1" hidden="1" x14ac:dyDescent="0.25">
      <c r="A117" s="10" t="s">
        <v>241</v>
      </c>
      <c r="B117" s="14" t="s">
        <v>242</v>
      </c>
      <c r="C117" s="10" t="s">
        <v>111</v>
      </c>
      <c r="D117" s="10" t="s">
        <v>35</v>
      </c>
      <c r="E117" s="10" t="s">
        <v>35</v>
      </c>
      <c r="F117" s="11">
        <v>0</v>
      </c>
      <c r="G117" s="21">
        <v>1</v>
      </c>
      <c r="H117" s="21">
        <v>0</v>
      </c>
      <c r="I117" s="21">
        <v>0</v>
      </c>
      <c r="J117" s="14" t="s">
        <v>67</v>
      </c>
      <c r="K117" s="14" t="s">
        <v>35</v>
      </c>
      <c r="L117" s="10" t="s">
        <v>127</v>
      </c>
      <c r="M117" s="10">
        <v>0.38600000000000001</v>
      </c>
      <c r="N117" s="12" t="s">
        <v>1716</v>
      </c>
      <c r="O117" s="12" t="s">
        <v>39</v>
      </c>
      <c r="P117" s="12"/>
      <c r="Q117" s="16"/>
      <c r="R117" s="12">
        <v>0</v>
      </c>
    </row>
    <row r="118" spans="1:18" s="1" customFormat="1" hidden="1" x14ac:dyDescent="0.25">
      <c r="A118" s="10" t="s">
        <v>241</v>
      </c>
      <c r="B118" s="14" t="s">
        <v>242</v>
      </c>
      <c r="C118" s="10" t="s">
        <v>111</v>
      </c>
      <c r="D118" s="10" t="s">
        <v>35</v>
      </c>
      <c r="E118" s="10" t="s">
        <v>35</v>
      </c>
      <c r="F118" s="11">
        <v>0</v>
      </c>
      <c r="G118" s="21">
        <v>1</v>
      </c>
      <c r="H118" s="21">
        <v>0</v>
      </c>
      <c r="I118" s="21">
        <v>0</v>
      </c>
      <c r="J118" s="14" t="s">
        <v>67</v>
      </c>
      <c r="K118" s="14" t="s">
        <v>35</v>
      </c>
      <c r="L118" s="10" t="s">
        <v>128</v>
      </c>
      <c r="M118" s="10">
        <v>3</v>
      </c>
      <c r="N118" s="12" t="s">
        <v>1716</v>
      </c>
      <c r="O118" s="12" t="s">
        <v>39</v>
      </c>
      <c r="P118" s="12"/>
      <c r="Q118" s="16"/>
      <c r="R118" s="12">
        <v>0</v>
      </c>
    </row>
    <row r="119" spans="1:18" s="1" customFormat="1" hidden="1" x14ac:dyDescent="0.25">
      <c r="A119" s="10" t="s">
        <v>241</v>
      </c>
      <c r="B119" s="14" t="s">
        <v>242</v>
      </c>
      <c r="C119" s="10" t="s">
        <v>111</v>
      </c>
      <c r="D119" s="10" t="s">
        <v>35</v>
      </c>
      <c r="E119" s="10" t="s">
        <v>35</v>
      </c>
      <c r="F119" s="11">
        <v>0</v>
      </c>
      <c r="G119" s="21">
        <v>1</v>
      </c>
      <c r="H119" s="21">
        <v>0</v>
      </c>
      <c r="I119" s="21">
        <v>0</v>
      </c>
      <c r="J119" s="14" t="s">
        <v>67</v>
      </c>
      <c r="K119" s="14" t="s">
        <v>35</v>
      </c>
      <c r="L119" s="10" t="s">
        <v>243</v>
      </c>
      <c r="M119" s="10">
        <v>1</v>
      </c>
      <c r="N119" s="12" t="s">
        <v>1716</v>
      </c>
      <c r="O119" s="12" t="s">
        <v>39</v>
      </c>
      <c r="P119" s="12"/>
      <c r="Q119" s="16"/>
      <c r="R119" s="12">
        <v>0</v>
      </c>
    </row>
    <row r="120" spans="1:18" s="1" customFormat="1" hidden="1" x14ac:dyDescent="0.25">
      <c r="A120" s="10" t="s">
        <v>241</v>
      </c>
      <c r="B120" s="14" t="s">
        <v>242</v>
      </c>
      <c r="C120" s="10" t="s">
        <v>111</v>
      </c>
      <c r="D120" s="10" t="s">
        <v>35</v>
      </c>
      <c r="E120" s="10" t="s">
        <v>35</v>
      </c>
      <c r="F120" s="11">
        <v>0</v>
      </c>
      <c r="G120" s="21">
        <v>1</v>
      </c>
      <c r="H120" s="21">
        <v>0</v>
      </c>
      <c r="I120" s="21">
        <v>0</v>
      </c>
      <c r="J120" s="14" t="s">
        <v>67</v>
      </c>
      <c r="K120" s="14" t="s">
        <v>35</v>
      </c>
      <c r="L120" s="10" t="s">
        <v>130</v>
      </c>
      <c r="M120" s="10">
        <v>1</v>
      </c>
      <c r="N120" s="12" t="s">
        <v>1716</v>
      </c>
      <c r="O120" s="12" t="s">
        <v>39</v>
      </c>
      <c r="P120" s="12"/>
      <c r="Q120" s="16"/>
      <c r="R120" s="12">
        <v>0</v>
      </c>
    </row>
    <row r="121" spans="1:18" s="1" customFormat="1" hidden="1" x14ac:dyDescent="0.25">
      <c r="A121" s="7" t="s">
        <v>244</v>
      </c>
      <c r="B121" s="13" t="s">
        <v>245</v>
      </c>
      <c r="C121" s="7" t="s">
        <v>111</v>
      </c>
      <c r="D121" s="7" t="s">
        <v>35</v>
      </c>
      <c r="E121" s="7" t="s">
        <v>35</v>
      </c>
      <c r="F121" s="8">
        <v>0</v>
      </c>
      <c r="G121" s="20">
        <v>1</v>
      </c>
      <c r="H121" s="20">
        <v>0</v>
      </c>
      <c r="I121" s="20">
        <v>0</v>
      </c>
      <c r="J121" s="13" t="s">
        <v>67</v>
      </c>
      <c r="K121" s="13" t="s">
        <v>35</v>
      </c>
      <c r="L121" s="7" t="s">
        <v>246</v>
      </c>
      <c r="M121" s="7">
        <v>1</v>
      </c>
      <c r="N121" s="9" t="s">
        <v>1716</v>
      </c>
      <c r="O121" s="9" t="s">
        <v>39</v>
      </c>
      <c r="P121" s="9"/>
      <c r="Q121" s="15"/>
      <c r="R121" s="9">
        <v>0</v>
      </c>
    </row>
    <row r="122" spans="1:18" s="1" customFormat="1" hidden="1" x14ac:dyDescent="0.25">
      <c r="A122" s="10" t="s">
        <v>247</v>
      </c>
      <c r="B122" s="14" t="s">
        <v>248</v>
      </c>
      <c r="C122" s="10" t="s">
        <v>136</v>
      </c>
      <c r="D122" s="10" t="s">
        <v>35</v>
      </c>
      <c r="E122" s="10" t="s">
        <v>35</v>
      </c>
      <c r="F122" s="11">
        <v>0</v>
      </c>
      <c r="G122" s="21">
        <v>1</v>
      </c>
      <c r="H122" s="21">
        <v>0</v>
      </c>
      <c r="I122" s="21">
        <v>0</v>
      </c>
      <c r="J122" s="14" t="s">
        <v>67</v>
      </c>
      <c r="K122" s="14" t="s">
        <v>137</v>
      </c>
      <c r="L122" s="10" t="s">
        <v>249</v>
      </c>
      <c r="M122" s="10">
        <v>1</v>
      </c>
      <c r="N122" s="12" t="s">
        <v>1716</v>
      </c>
      <c r="O122" s="12" t="s">
        <v>39</v>
      </c>
      <c r="P122" s="12"/>
      <c r="Q122" s="16"/>
      <c r="R122" s="12">
        <v>0</v>
      </c>
    </row>
    <row r="123" spans="1:18" s="1" customFormat="1" hidden="1" x14ac:dyDescent="0.25">
      <c r="A123" s="7" t="s">
        <v>250</v>
      </c>
      <c r="B123" s="13" t="s">
        <v>251</v>
      </c>
      <c r="C123" s="7" t="s">
        <v>75</v>
      </c>
      <c r="D123" s="7" t="s">
        <v>35</v>
      </c>
      <c r="E123" s="7" t="s">
        <v>35</v>
      </c>
      <c r="F123" s="8">
        <v>0</v>
      </c>
      <c r="G123" s="20">
        <v>1</v>
      </c>
      <c r="H123" s="20">
        <v>0</v>
      </c>
      <c r="I123" s="20">
        <v>0</v>
      </c>
      <c r="J123" s="13" t="s">
        <v>67</v>
      </c>
      <c r="K123" s="13" t="s">
        <v>252</v>
      </c>
      <c r="L123" s="7" t="s">
        <v>253</v>
      </c>
      <c r="M123" s="7">
        <v>1</v>
      </c>
      <c r="N123" s="9" t="s">
        <v>1716</v>
      </c>
      <c r="O123" s="9" t="s">
        <v>39</v>
      </c>
      <c r="P123" s="9"/>
      <c r="Q123" s="15"/>
      <c r="R123" s="9">
        <v>0</v>
      </c>
    </row>
    <row r="124" spans="1:18" s="1" customFormat="1" hidden="1" x14ac:dyDescent="0.25">
      <c r="A124" s="10" t="s">
        <v>254</v>
      </c>
      <c r="B124" s="14" t="s">
        <v>255</v>
      </c>
      <c r="C124" s="10" t="s">
        <v>34</v>
      </c>
      <c r="D124" s="10" t="s">
        <v>35</v>
      </c>
      <c r="E124" s="10" t="s">
        <v>35</v>
      </c>
      <c r="F124" s="11">
        <v>0</v>
      </c>
      <c r="G124" s="21">
        <v>1</v>
      </c>
      <c r="H124" s="21">
        <v>0</v>
      </c>
      <c r="I124" s="21">
        <v>0</v>
      </c>
      <c r="J124" s="14" t="s">
        <v>36</v>
      </c>
      <c r="K124" s="14" t="s">
        <v>164</v>
      </c>
      <c r="L124" s="10" t="s">
        <v>256</v>
      </c>
      <c r="M124" s="10">
        <v>0.05</v>
      </c>
      <c r="N124" s="12" t="s">
        <v>1716</v>
      </c>
      <c r="O124" s="12" t="s">
        <v>39</v>
      </c>
      <c r="P124" s="12"/>
      <c r="Q124" s="16"/>
      <c r="R124" s="12">
        <v>0</v>
      </c>
    </row>
    <row r="125" spans="1:18" s="1" customFormat="1" hidden="1" x14ac:dyDescent="0.25">
      <c r="A125" s="10" t="s">
        <v>254</v>
      </c>
      <c r="B125" s="14" t="s">
        <v>255</v>
      </c>
      <c r="C125" s="10" t="s">
        <v>34</v>
      </c>
      <c r="D125" s="10" t="s">
        <v>35</v>
      </c>
      <c r="E125" s="10" t="s">
        <v>35</v>
      </c>
      <c r="F125" s="11">
        <v>0</v>
      </c>
      <c r="G125" s="21">
        <v>1</v>
      </c>
      <c r="H125" s="21">
        <v>0</v>
      </c>
      <c r="I125" s="21">
        <v>0</v>
      </c>
      <c r="J125" s="14" t="s">
        <v>36</v>
      </c>
      <c r="K125" s="14" t="s">
        <v>164</v>
      </c>
      <c r="L125" s="10" t="s">
        <v>257</v>
      </c>
      <c r="M125" s="10">
        <v>5.9999999999999995E-4</v>
      </c>
      <c r="N125" s="12" t="s">
        <v>1716</v>
      </c>
      <c r="O125" s="12" t="s">
        <v>39</v>
      </c>
      <c r="P125" s="12"/>
      <c r="Q125" s="16"/>
      <c r="R125" s="12">
        <v>0</v>
      </c>
    </row>
    <row r="126" spans="1:18" s="1" customFormat="1" hidden="1" x14ac:dyDescent="0.25">
      <c r="A126" s="7" t="s">
        <v>258</v>
      </c>
      <c r="B126" s="13" t="s">
        <v>259</v>
      </c>
      <c r="C126" s="7" t="s">
        <v>34</v>
      </c>
      <c r="D126" s="7" t="s">
        <v>35</v>
      </c>
      <c r="E126" s="7" t="s">
        <v>35</v>
      </c>
      <c r="F126" s="8">
        <v>0</v>
      </c>
      <c r="G126" s="20">
        <v>1</v>
      </c>
      <c r="H126" s="20">
        <v>0</v>
      </c>
      <c r="I126" s="20">
        <v>0</v>
      </c>
      <c r="J126" s="13" t="s">
        <v>218</v>
      </c>
      <c r="K126" s="13" t="s">
        <v>260</v>
      </c>
      <c r="L126" s="7" t="s">
        <v>261</v>
      </c>
      <c r="M126" s="7">
        <v>0.11</v>
      </c>
      <c r="N126" s="9" t="s">
        <v>1716</v>
      </c>
      <c r="O126" s="9" t="s">
        <v>39</v>
      </c>
      <c r="P126" s="9"/>
      <c r="Q126" s="15"/>
      <c r="R126" s="9">
        <v>0</v>
      </c>
    </row>
    <row r="127" spans="1:18" s="1" customFormat="1" hidden="1" x14ac:dyDescent="0.25">
      <c r="A127" s="10" t="s">
        <v>262</v>
      </c>
      <c r="B127" s="14" t="s">
        <v>263</v>
      </c>
      <c r="C127" s="10" t="s">
        <v>34</v>
      </c>
      <c r="D127" s="10" t="s">
        <v>35</v>
      </c>
      <c r="E127" s="10" t="s">
        <v>35</v>
      </c>
      <c r="F127" s="11">
        <v>0</v>
      </c>
      <c r="G127" s="21">
        <v>1</v>
      </c>
      <c r="H127" s="21">
        <v>0</v>
      </c>
      <c r="I127" s="21">
        <v>0</v>
      </c>
      <c r="J127" s="14" t="s">
        <v>221</v>
      </c>
      <c r="K127" s="14" t="s">
        <v>35</v>
      </c>
      <c r="L127" s="10" t="s">
        <v>264</v>
      </c>
      <c r="M127" s="10">
        <v>1</v>
      </c>
      <c r="N127" s="12" t="s">
        <v>1716</v>
      </c>
      <c r="O127" s="12" t="s">
        <v>39</v>
      </c>
      <c r="P127" s="12"/>
      <c r="Q127" s="16"/>
      <c r="R127" s="12">
        <v>0</v>
      </c>
    </row>
    <row r="128" spans="1:18" s="1" customFormat="1" hidden="1" x14ac:dyDescent="0.25">
      <c r="A128" s="7" t="s">
        <v>265</v>
      </c>
      <c r="B128" s="13" t="s">
        <v>266</v>
      </c>
      <c r="C128" s="7" t="s">
        <v>136</v>
      </c>
      <c r="D128" s="7" t="s">
        <v>35</v>
      </c>
      <c r="E128" s="7" t="s">
        <v>35</v>
      </c>
      <c r="F128" s="8">
        <v>0</v>
      </c>
      <c r="G128" s="20">
        <v>1</v>
      </c>
      <c r="H128" s="20">
        <v>0</v>
      </c>
      <c r="I128" s="20">
        <v>0</v>
      </c>
      <c r="J128" s="13" t="s">
        <v>56</v>
      </c>
      <c r="K128" s="13" t="s">
        <v>56</v>
      </c>
      <c r="L128" s="7" t="s">
        <v>267</v>
      </c>
      <c r="M128" s="7">
        <v>1</v>
      </c>
      <c r="N128" s="9" t="s">
        <v>1716</v>
      </c>
      <c r="O128" s="9" t="s">
        <v>39</v>
      </c>
      <c r="P128" s="9"/>
      <c r="Q128" s="15"/>
      <c r="R128" s="9">
        <v>0</v>
      </c>
    </row>
    <row r="129" spans="1:18" s="1" customFormat="1" hidden="1" x14ac:dyDescent="0.25">
      <c r="A129" s="10" t="s">
        <v>268</v>
      </c>
      <c r="B129" s="14" t="s">
        <v>269</v>
      </c>
      <c r="C129" s="10" t="s">
        <v>34</v>
      </c>
      <c r="D129" s="10" t="s">
        <v>35</v>
      </c>
      <c r="E129" s="10" t="s">
        <v>35</v>
      </c>
      <c r="F129" s="11">
        <v>0</v>
      </c>
      <c r="G129" s="21">
        <v>1</v>
      </c>
      <c r="H129" s="21">
        <v>0</v>
      </c>
      <c r="I129" s="21">
        <v>0</v>
      </c>
      <c r="J129" s="14" t="s">
        <v>229</v>
      </c>
      <c r="K129" s="14" t="s">
        <v>270</v>
      </c>
      <c r="L129" s="10" t="s">
        <v>271</v>
      </c>
      <c r="M129" s="10">
        <v>1.1299999999999999E-2</v>
      </c>
      <c r="N129" s="12" t="s">
        <v>1716</v>
      </c>
      <c r="O129" s="12" t="s">
        <v>39</v>
      </c>
      <c r="P129" s="12"/>
      <c r="Q129" s="16"/>
      <c r="R129" s="12">
        <v>0</v>
      </c>
    </row>
    <row r="130" spans="1:18" s="1" customFormat="1" hidden="1" x14ac:dyDescent="0.25">
      <c r="A130" s="10" t="s">
        <v>268</v>
      </c>
      <c r="B130" s="14" t="s">
        <v>269</v>
      </c>
      <c r="C130" s="10" t="s">
        <v>34</v>
      </c>
      <c r="D130" s="10" t="s">
        <v>35</v>
      </c>
      <c r="E130" s="10" t="s">
        <v>35</v>
      </c>
      <c r="F130" s="11">
        <v>0</v>
      </c>
      <c r="G130" s="21">
        <v>1</v>
      </c>
      <c r="H130" s="21">
        <v>0</v>
      </c>
      <c r="I130" s="21">
        <v>0</v>
      </c>
      <c r="J130" s="14" t="s">
        <v>229</v>
      </c>
      <c r="K130" s="14" t="s">
        <v>270</v>
      </c>
      <c r="L130" s="10" t="s">
        <v>272</v>
      </c>
      <c r="M130" s="10">
        <v>11</v>
      </c>
      <c r="N130" s="12" t="s">
        <v>1716</v>
      </c>
      <c r="O130" s="12" t="s">
        <v>39</v>
      </c>
      <c r="P130" s="12"/>
      <c r="Q130" s="16"/>
      <c r="R130" s="12">
        <v>0</v>
      </c>
    </row>
    <row r="131" spans="1:18" s="1" customFormat="1" hidden="1" x14ac:dyDescent="0.25">
      <c r="A131" s="7" t="s">
        <v>273</v>
      </c>
      <c r="B131" s="13" t="s">
        <v>274</v>
      </c>
      <c r="C131" s="7" t="s">
        <v>34</v>
      </c>
      <c r="D131" s="7" t="s">
        <v>35</v>
      </c>
      <c r="E131" s="7" t="s">
        <v>35</v>
      </c>
      <c r="F131" s="8">
        <v>0</v>
      </c>
      <c r="G131" s="20">
        <v>1</v>
      </c>
      <c r="H131" s="20">
        <v>0</v>
      </c>
      <c r="I131" s="20">
        <v>0</v>
      </c>
      <c r="J131" s="13" t="s">
        <v>229</v>
      </c>
      <c r="K131" s="13" t="s">
        <v>275</v>
      </c>
      <c r="L131" s="7" t="s">
        <v>271</v>
      </c>
      <c r="M131" s="7">
        <v>1.6E-2</v>
      </c>
      <c r="N131" s="9" t="s">
        <v>1716</v>
      </c>
      <c r="O131" s="9" t="s">
        <v>39</v>
      </c>
      <c r="P131" s="9"/>
      <c r="Q131" s="15"/>
      <c r="R131" s="9">
        <v>0</v>
      </c>
    </row>
    <row r="132" spans="1:18" s="1" customFormat="1" hidden="1" x14ac:dyDescent="0.25">
      <c r="A132" s="7" t="s">
        <v>273</v>
      </c>
      <c r="B132" s="13" t="s">
        <v>274</v>
      </c>
      <c r="C132" s="7" t="s">
        <v>34</v>
      </c>
      <c r="D132" s="7" t="s">
        <v>35</v>
      </c>
      <c r="E132" s="7" t="s">
        <v>35</v>
      </c>
      <c r="F132" s="8">
        <v>0</v>
      </c>
      <c r="G132" s="20">
        <v>1</v>
      </c>
      <c r="H132" s="20">
        <v>0</v>
      </c>
      <c r="I132" s="20">
        <v>0</v>
      </c>
      <c r="J132" s="13" t="s">
        <v>229</v>
      </c>
      <c r="K132" s="13" t="s">
        <v>275</v>
      </c>
      <c r="L132" s="7" t="s">
        <v>276</v>
      </c>
      <c r="M132" s="7">
        <v>5.6485000000000003</v>
      </c>
      <c r="N132" s="9" t="s">
        <v>1716</v>
      </c>
      <c r="O132" s="9" t="s">
        <v>39</v>
      </c>
      <c r="P132" s="9"/>
      <c r="Q132" s="15"/>
      <c r="R132" s="9">
        <v>0</v>
      </c>
    </row>
    <row r="133" spans="1:18" s="1" customFormat="1" hidden="1" x14ac:dyDescent="0.25">
      <c r="A133" s="10" t="s">
        <v>277</v>
      </c>
      <c r="B133" s="14" t="s">
        <v>278</v>
      </c>
      <c r="C133" s="10" t="s">
        <v>136</v>
      </c>
      <c r="D133" s="10" t="s">
        <v>35</v>
      </c>
      <c r="E133" s="10" t="s">
        <v>35</v>
      </c>
      <c r="F133" s="11">
        <v>0</v>
      </c>
      <c r="G133" s="21">
        <v>1</v>
      </c>
      <c r="H133" s="21">
        <v>0</v>
      </c>
      <c r="I133" s="21">
        <v>0</v>
      </c>
      <c r="J133" s="14" t="s">
        <v>279</v>
      </c>
      <c r="K133" s="14" t="s">
        <v>280</v>
      </c>
      <c r="L133" s="10" t="s">
        <v>281</v>
      </c>
      <c r="M133" s="10">
        <v>5.6800000000000003E-2</v>
      </c>
      <c r="N133" s="12" t="s">
        <v>1716</v>
      </c>
      <c r="O133" s="12" t="s">
        <v>39</v>
      </c>
      <c r="P133" s="12"/>
      <c r="Q133" s="16"/>
      <c r="R133" s="12">
        <v>0</v>
      </c>
    </row>
    <row r="134" spans="1:18" s="1" customFormat="1" hidden="1" x14ac:dyDescent="0.25">
      <c r="A134" s="10" t="s">
        <v>277</v>
      </c>
      <c r="B134" s="14" t="s">
        <v>278</v>
      </c>
      <c r="C134" s="10" t="s">
        <v>136</v>
      </c>
      <c r="D134" s="10" t="s">
        <v>35</v>
      </c>
      <c r="E134" s="10" t="s">
        <v>35</v>
      </c>
      <c r="F134" s="11">
        <v>0</v>
      </c>
      <c r="G134" s="21">
        <v>1</v>
      </c>
      <c r="H134" s="21">
        <v>0</v>
      </c>
      <c r="I134" s="21">
        <v>0</v>
      </c>
      <c r="J134" s="14" t="s">
        <v>279</v>
      </c>
      <c r="K134" s="14" t="s">
        <v>280</v>
      </c>
      <c r="L134" s="10" t="s">
        <v>282</v>
      </c>
      <c r="M134" s="10">
        <v>1.09E-2</v>
      </c>
      <c r="N134" s="12" t="s">
        <v>1716</v>
      </c>
      <c r="O134" s="12" t="s">
        <v>39</v>
      </c>
      <c r="P134" s="12"/>
      <c r="Q134" s="16"/>
      <c r="R134" s="12">
        <v>0</v>
      </c>
    </row>
    <row r="135" spans="1:18" s="1" customFormat="1" hidden="1" x14ac:dyDescent="0.25">
      <c r="A135" s="10" t="s">
        <v>277</v>
      </c>
      <c r="B135" s="14" t="s">
        <v>278</v>
      </c>
      <c r="C135" s="10" t="s">
        <v>136</v>
      </c>
      <c r="D135" s="10" t="s">
        <v>35</v>
      </c>
      <c r="E135" s="10" t="s">
        <v>35</v>
      </c>
      <c r="F135" s="11">
        <v>0</v>
      </c>
      <c r="G135" s="21">
        <v>1</v>
      </c>
      <c r="H135" s="21">
        <v>0</v>
      </c>
      <c r="I135" s="21">
        <v>0</v>
      </c>
      <c r="J135" s="14" t="s">
        <v>279</v>
      </c>
      <c r="K135" s="14" t="s">
        <v>280</v>
      </c>
      <c r="L135" s="10" t="s">
        <v>283</v>
      </c>
      <c r="M135" s="10">
        <v>1.0130999999999999</v>
      </c>
      <c r="N135" s="12" t="s">
        <v>1716</v>
      </c>
      <c r="O135" s="12" t="s">
        <v>39</v>
      </c>
      <c r="P135" s="12"/>
      <c r="Q135" s="16"/>
      <c r="R135" s="12">
        <v>0</v>
      </c>
    </row>
    <row r="136" spans="1:18" s="1" customFormat="1" hidden="1" x14ac:dyDescent="0.25">
      <c r="A136" s="10" t="s">
        <v>277</v>
      </c>
      <c r="B136" s="14" t="s">
        <v>278</v>
      </c>
      <c r="C136" s="10" t="s">
        <v>136</v>
      </c>
      <c r="D136" s="10" t="s">
        <v>35</v>
      </c>
      <c r="E136" s="10" t="s">
        <v>35</v>
      </c>
      <c r="F136" s="11">
        <v>0</v>
      </c>
      <c r="G136" s="21">
        <v>1</v>
      </c>
      <c r="H136" s="21">
        <v>0</v>
      </c>
      <c r="I136" s="21">
        <v>0</v>
      </c>
      <c r="J136" s="14" t="s">
        <v>279</v>
      </c>
      <c r="K136" s="14" t="s">
        <v>280</v>
      </c>
      <c r="L136" s="10" t="s">
        <v>284</v>
      </c>
      <c r="M136" s="10">
        <v>1</v>
      </c>
      <c r="N136" s="12" t="s">
        <v>1716</v>
      </c>
      <c r="O136" s="12" t="s">
        <v>39</v>
      </c>
      <c r="P136" s="12"/>
      <c r="Q136" s="16"/>
      <c r="R136" s="12">
        <v>0</v>
      </c>
    </row>
    <row r="137" spans="1:18" s="1" customFormat="1" hidden="1" x14ac:dyDescent="0.25">
      <c r="A137" s="7" t="s">
        <v>285</v>
      </c>
      <c r="B137" s="13" t="s">
        <v>286</v>
      </c>
      <c r="C137" s="7" t="s">
        <v>54</v>
      </c>
      <c r="D137" s="7" t="s">
        <v>35</v>
      </c>
      <c r="E137" s="7" t="s">
        <v>35</v>
      </c>
      <c r="F137" s="8">
        <v>0</v>
      </c>
      <c r="G137" s="20">
        <v>1</v>
      </c>
      <c r="H137" s="20">
        <v>0</v>
      </c>
      <c r="I137" s="20">
        <v>0</v>
      </c>
      <c r="J137" s="13" t="s">
        <v>287</v>
      </c>
      <c r="K137" s="13" t="s">
        <v>288</v>
      </c>
      <c r="L137" s="7" t="s">
        <v>289</v>
      </c>
      <c r="M137" s="7">
        <v>1</v>
      </c>
      <c r="N137" s="9" t="s">
        <v>1716</v>
      </c>
      <c r="O137" s="9" t="s">
        <v>39</v>
      </c>
      <c r="P137" s="9"/>
      <c r="Q137" s="15"/>
      <c r="R137" s="9">
        <v>0</v>
      </c>
    </row>
    <row r="138" spans="1:18" s="1" customFormat="1" hidden="1" x14ac:dyDescent="0.25">
      <c r="A138" s="10" t="s">
        <v>290</v>
      </c>
      <c r="B138" s="14" t="s">
        <v>291</v>
      </c>
      <c r="C138" s="10" t="s">
        <v>54</v>
      </c>
      <c r="D138" s="10" t="s">
        <v>35</v>
      </c>
      <c r="E138" s="10" t="s">
        <v>35</v>
      </c>
      <c r="F138" s="11">
        <v>0</v>
      </c>
      <c r="G138" s="21">
        <v>1</v>
      </c>
      <c r="H138" s="21">
        <v>0</v>
      </c>
      <c r="I138" s="21">
        <v>0</v>
      </c>
      <c r="J138" s="14" t="s">
        <v>287</v>
      </c>
      <c r="K138" s="14" t="s">
        <v>288</v>
      </c>
      <c r="L138" s="10" t="s">
        <v>292</v>
      </c>
      <c r="M138" s="10">
        <v>1</v>
      </c>
      <c r="N138" s="12" t="s">
        <v>1716</v>
      </c>
      <c r="O138" s="12" t="s">
        <v>39</v>
      </c>
      <c r="P138" s="12"/>
      <c r="Q138" s="16"/>
      <c r="R138" s="12">
        <v>0</v>
      </c>
    </row>
    <row r="139" spans="1:18" s="1" customFormat="1" hidden="1" x14ac:dyDescent="0.25">
      <c r="A139" s="7" t="s">
        <v>293</v>
      </c>
      <c r="B139" s="13" t="s">
        <v>294</v>
      </c>
      <c r="C139" s="7" t="s">
        <v>111</v>
      </c>
      <c r="D139" s="7" t="s">
        <v>35</v>
      </c>
      <c r="E139" s="7" t="s">
        <v>35</v>
      </c>
      <c r="F139" s="8">
        <v>0</v>
      </c>
      <c r="G139" s="20">
        <v>1</v>
      </c>
      <c r="H139" s="20">
        <v>0</v>
      </c>
      <c r="I139" s="20">
        <v>0</v>
      </c>
      <c r="J139" s="13" t="s">
        <v>295</v>
      </c>
      <c r="K139" s="13" t="s">
        <v>60</v>
      </c>
      <c r="L139" s="7" t="s">
        <v>296</v>
      </c>
      <c r="M139" s="7">
        <v>1</v>
      </c>
      <c r="N139" s="9" t="s">
        <v>1716</v>
      </c>
      <c r="O139" s="9" t="s">
        <v>39</v>
      </c>
      <c r="P139" s="9"/>
      <c r="Q139" s="15"/>
      <c r="R139" s="9">
        <v>0</v>
      </c>
    </row>
    <row r="140" spans="1:18" s="1" customFormat="1" hidden="1" x14ac:dyDescent="0.25">
      <c r="A140" s="10" t="s">
        <v>297</v>
      </c>
      <c r="B140" s="14" t="s">
        <v>298</v>
      </c>
      <c r="C140" s="10" t="s">
        <v>111</v>
      </c>
      <c r="D140" s="10" t="s">
        <v>35</v>
      </c>
      <c r="E140" s="10" t="s">
        <v>35</v>
      </c>
      <c r="F140" s="11">
        <v>0</v>
      </c>
      <c r="G140" s="21">
        <v>1</v>
      </c>
      <c r="H140" s="21">
        <v>0</v>
      </c>
      <c r="I140" s="21">
        <v>0</v>
      </c>
      <c r="J140" s="14" t="s">
        <v>295</v>
      </c>
      <c r="K140" s="14" t="s">
        <v>60</v>
      </c>
      <c r="L140" s="10" t="s">
        <v>299</v>
      </c>
      <c r="M140" s="10">
        <v>1</v>
      </c>
      <c r="N140" s="12" t="s">
        <v>1716</v>
      </c>
      <c r="O140" s="12" t="s">
        <v>39</v>
      </c>
      <c r="P140" s="12"/>
      <c r="Q140" s="16"/>
      <c r="R140" s="12">
        <v>0</v>
      </c>
    </row>
    <row r="141" spans="1:18" s="1" customFormat="1" hidden="1" x14ac:dyDescent="0.25">
      <c r="A141" s="7" t="s">
        <v>300</v>
      </c>
      <c r="B141" s="13" t="s">
        <v>301</v>
      </c>
      <c r="C141" s="7" t="s">
        <v>111</v>
      </c>
      <c r="D141" s="7" t="s">
        <v>35</v>
      </c>
      <c r="E141" s="7" t="s">
        <v>35</v>
      </c>
      <c r="F141" s="8">
        <v>0</v>
      </c>
      <c r="G141" s="20">
        <v>1</v>
      </c>
      <c r="H141" s="20">
        <v>0</v>
      </c>
      <c r="I141" s="20">
        <v>0</v>
      </c>
      <c r="J141" s="13" t="s">
        <v>295</v>
      </c>
      <c r="K141" s="13" t="s">
        <v>60</v>
      </c>
      <c r="L141" s="7" t="s">
        <v>302</v>
      </c>
      <c r="M141" s="7">
        <v>1</v>
      </c>
      <c r="N141" s="9" t="s">
        <v>1716</v>
      </c>
      <c r="O141" s="9" t="s">
        <v>39</v>
      </c>
      <c r="P141" s="9"/>
      <c r="Q141" s="15"/>
      <c r="R141" s="9">
        <v>0</v>
      </c>
    </row>
    <row r="142" spans="1:18" s="1" customFormat="1" hidden="1" x14ac:dyDescent="0.25">
      <c r="A142" s="7" t="s">
        <v>300</v>
      </c>
      <c r="B142" s="13" t="s">
        <v>301</v>
      </c>
      <c r="C142" s="7" t="s">
        <v>111</v>
      </c>
      <c r="D142" s="7" t="s">
        <v>35</v>
      </c>
      <c r="E142" s="7" t="s">
        <v>35</v>
      </c>
      <c r="F142" s="8">
        <v>0</v>
      </c>
      <c r="G142" s="20">
        <v>1</v>
      </c>
      <c r="H142" s="20">
        <v>0</v>
      </c>
      <c r="I142" s="20">
        <v>0</v>
      </c>
      <c r="J142" s="13" t="s">
        <v>295</v>
      </c>
      <c r="K142" s="13" t="s">
        <v>60</v>
      </c>
      <c r="L142" s="7" t="s">
        <v>303</v>
      </c>
      <c r="M142" s="7">
        <v>1</v>
      </c>
      <c r="N142" s="9" t="s">
        <v>1716</v>
      </c>
      <c r="O142" s="9" t="s">
        <v>39</v>
      </c>
      <c r="P142" s="9"/>
      <c r="Q142" s="15"/>
      <c r="R142" s="9">
        <v>0</v>
      </c>
    </row>
    <row r="143" spans="1:18" s="1" customFormat="1" hidden="1" x14ac:dyDescent="0.25">
      <c r="A143" s="7" t="s">
        <v>300</v>
      </c>
      <c r="B143" s="13" t="s">
        <v>301</v>
      </c>
      <c r="C143" s="7" t="s">
        <v>111</v>
      </c>
      <c r="D143" s="7" t="s">
        <v>35</v>
      </c>
      <c r="E143" s="7" t="s">
        <v>35</v>
      </c>
      <c r="F143" s="8">
        <v>0</v>
      </c>
      <c r="G143" s="20">
        <v>1</v>
      </c>
      <c r="H143" s="20">
        <v>0</v>
      </c>
      <c r="I143" s="20">
        <v>0</v>
      </c>
      <c r="J143" s="13" t="s">
        <v>295</v>
      </c>
      <c r="K143" s="13" t="s">
        <v>60</v>
      </c>
      <c r="L143" s="7" t="s">
        <v>304</v>
      </c>
      <c r="M143" s="7">
        <v>1</v>
      </c>
      <c r="N143" s="9" t="s">
        <v>1716</v>
      </c>
      <c r="O143" s="9" t="s">
        <v>39</v>
      </c>
      <c r="P143" s="9"/>
      <c r="Q143" s="15"/>
      <c r="R143" s="9">
        <v>0</v>
      </c>
    </row>
    <row r="144" spans="1:18" s="1" customFormat="1" hidden="1" x14ac:dyDescent="0.25">
      <c r="A144" s="7" t="s">
        <v>300</v>
      </c>
      <c r="B144" s="13" t="s">
        <v>301</v>
      </c>
      <c r="C144" s="7" t="s">
        <v>111</v>
      </c>
      <c r="D144" s="7" t="s">
        <v>35</v>
      </c>
      <c r="E144" s="7" t="s">
        <v>35</v>
      </c>
      <c r="F144" s="8">
        <v>0</v>
      </c>
      <c r="G144" s="20">
        <v>1</v>
      </c>
      <c r="H144" s="20">
        <v>0</v>
      </c>
      <c r="I144" s="20">
        <v>0</v>
      </c>
      <c r="J144" s="13" t="s">
        <v>295</v>
      </c>
      <c r="K144" s="13" t="s">
        <v>60</v>
      </c>
      <c r="L144" s="7" t="s">
        <v>305</v>
      </c>
      <c r="M144" s="7">
        <v>1</v>
      </c>
      <c r="N144" s="9" t="s">
        <v>1716</v>
      </c>
      <c r="O144" s="9" t="s">
        <v>39</v>
      </c>
      <c r="P144" s="9"/>
      <c r="Q144" s="15"/>
      <c r="R144" s="9">
        <v>0</v>
      </c>
    </row>
    <row r="145" spans="1:18" s="1" customFormat="1" hidden="1" x14ac:dyDescent="0.25">
      <c r="A145" s="7" t="s">
        <v>300</v>
      </c>
      <c r="B145" s="13" t="s">
        <v>301</v>
      </c>
      <c r="C145" s="7" t="s">
        <v>111</v>
      </c>
      <c r="D145" s="7" t="s">
        <v>35</v>
      </c>
      <c r="E145" s="7" t="s">
        <v>35</v>
      </c>
      <c r="F145" s="8">
        <v>0</v>
      </c>
      <c r="G145" s="20">
        <v>1</v>
      </c>
      <c r="H145" s="20">
        <v>0</v>
      </c>
      <c r="I145" s="20">
        <v>0</v>
      </c>
      <c r="J145" s="13" t="s">
        <v>295</v>
      </c>
      <c r="K145" s="13" t="s">
        <v>60</v>
      </c>
      <c r="L145" s="7" t="s">
        <v>306</v>
      </c>
      <c r="M145" s="7">
        <v>1</v>
      </c>
      <c r="N145" s="9" t="s">
        <v>1716</v>
      </c>
      <c r="O145" s="9" t="s">
        <v>39</v>
      </c>
      <c r="P145" s="9"/>
      <c r="Q145" s="15"/>
      <c r="R145" s="9">
        <v>0</v>
      </c>
    </row>
    <row r="146" spans="1:18" s="1" customFormat="1" hidden="1" x14ac:dyDescent="0.25">
      <c r="A146" s="10" t="s">
        <v>307</v>
      </c>
      <c r="B146" s="14" t="s">
        <v>308</v>
      </c>
      <c r="C146" s="10" t="s">
        <v>111</v>
      </c>
      <c r="D146" s="10" t="s">
        <v>35</v>
      </c>
      <c r="E146" s="10" t="s">
        <v>35</v>
      </c>
      <c r="F146" s="11">
        <v>0</v>
      </c>
      <c r="G146" s="21">
        <v>1</v>
      </c>
      <c r="H146" s="21">
        <v>0</v>
      </c>
      <c r="I146" s="21">
        <v>0</v>
      </c>
      <c r="J146" s="14" t="s">
        <v>295</v>
      </c>
      <c r="K146" s="14" t="s">
        <v>60</v>
      </c>
      <c r="L146" s="10" t="s">
        <v>309</v>
      </c>
      <c r="M146" s="10">
        <v>1</v>
      </c>
      <c r="N146" s="12" t="s">
        <v>1716</v>
      </c>
      <c r="O146" s="12" t="s">
        <v>39</v>
      </c>
      <c r="P146" s="12"/>
      <c r="Q146" s="16"/>
      <c r="R146" s="12">
        <v>0</v>
      </c>
    </row>
    <row r="147" spans="1:18" s="1" customFormat="1" hidden="1" x14ac:dyDescent="0.25">
      <c r="A147" s="10" t="s">
        <v>307</v>
      </c>
      <c r="B147" s="14" t="s">
        <v>308</v>
      </c>
      <c r="C147" s="10" t="s">
        <v>111</v>
      </c>
      <c r="D147" s="10" t="s">
        <v>35</v>
      </c>
      <c r="E147" s="10" t="s">
        <v>35</v>
      </c>
      <c r="F147" s="11">
        <v>0</v>
      </c>
      <c r="G147" s="21">
        <v>1</v>
      </c>
      <c r="H147" s="21">
        <v>0</v>
      </c>
      <c r="I147" s="21">
        <v>0</v>
      </c>
      <c r="J147" s="14" t="s">
        <v>295</v>
      </c>
      <c r="K147" s="14" t="s">
        <v>60</v>
      </c>
      <c r="L147" s="10" t="s">
        <v>305</v>
      </c>
      <c r="M147" s="10">
        <v>1</v>
      </c>
      <c r="N147" s="12" t="s">
        <v>1716</v>
      </c>
      <c r="O147" s="12" t="s">
        <v>39</v>
      </c>
      <c r="P147" s="12"/>
      <c r="Q147" s="16"/>
      <c r="R147" s="12">
        <v>0</v>
      </c>
    </row>
    <row r="148" spans="1:18" s="1" customFormat="1" hidden="1" x14ac:dyDescent="0.25">
      <c r="A148" s="10" t="s">
        <v>307</v>
      </c>
      <c r="B148" s="14" t="s">
        <v>308</v>
      </c>
      <c r="C148" s="10" t="s">
        <v>111</v>
      </c>
      <c r="D148" s="10" t="s">
        <v>35</v>
      </c>
      <c r="E148" s="10" t="s">
        <v>35</v>
      </c>
      <c r="F148" s="11">
        <v>0</v>
      </c>
      <c r="G148" s="21">
        <v>1</v>
      </c>
      <c r="H148" s="21">
        <v>0</v>
      </c>
      <c r="I148" s="21">
        <v>0</v>
      </c>
      <c r="J148" s="14" t="s">
        <v>295</v>
      </c>
      <c r="K148" s="14" t="s">
        <v>60</v>
      </c>
      <c r="L148" s="10" t="s">
        <v>304</v>
      </c>
      <c r="M148" s="10">
        <v>1</v>
      </c>
      <c r="N148" s="12" t="s">
        <v>1716</v>
      </c>
      <c r="O148" s="12" t="s">
        <v>39</v>
      </c>
      <c r="P148" s="12"/>
      <c r="Q148" s="16"/>
      <c r="R148" s="12">
        <v>0</v>
      </c>
    </row>
    <row r="149" spans="1:18" s="1" customFormat="1" hidden="1" x14ac:dyDescent="0.25">
      <c r="A149" s="10" t="s">
        <v>307</v>
      </c>
      <c r="B149" s="14" t="s">
        <v>308</v>
      </c>
      <c r="C149" s="10" t="s">
        <v>111</v>
      </c>
      <c r="D149" s="10" t="s">
        <v>35</v>
      </c>
      <c r="E149" s="10" t="s">
        <v>35</v>
      </c>
      <c r="F149" s="11">
        <v>0</v>
      </c>
      <c r="G149" s="21">
        <v>1</v>
      </c>
      <c r="H149" s="21">
        <v>0</v>
      </c>
      <c r="I149" s="21">
        <v>0</v>
      </c>
      <c r="J149" s="14" t="s">
        <v>295</v>
      </c>
      <c r="K149" s="14" t="s">
        <v>60</v>
      </c>
      <c r="L149" s="10" t="s">
        <v>303</v>
      </c>
      <c r="M149" s="10">
        <v>1</v>
      </c>
      <c r="N149" s="12" t="s">
        <v>1716</v>
      </c>
      <c r="O149" s="12" t="s">
        <v>39</v>
      </c>
      <c r="P149" s="12"/>
      <c r="Q149" s="16"/>
      <c r="R149" s="12">
        <v>0</v>
      </c>
    </row>
    <row r="150" spans="1:18" s="1" customFormat="1" hidden="1" x14ac:dyDescent="0.25">
      <c r="A150" s="10" t="s">
        <v>307</v>
      </c>
      <c r="B150" s="14" t="s">
        <v>308</v>
      </c>
      <c r="C150" s="10" t="s">
        <v>111</v>
      </c>
      <c r="D150" s="10" t="s">
        <v>35</v>
      </c>
      <c r="E150" s="10" t="s">
        <v>35</v>
      </c>
      <c r="F150" s="11">
        <v>0</v>
      </c>
      <c r="G150" s="21">
        <v>1</v>
      </c>
      <c r="H150" s="21">
        <v>0</v>
      </c>
      <c r="I150" s="21">
        <v>0</v>
      </c>
      <c r="J150" s="14" t="s">
        <v>295</v>
      </c>
      <c r="K150" s="14" t="s">
        <v>60</v>
      </c>
      <c r="L150" s="10" t="s">
        <v>306</v>
      </c>
      <c r="M150" s="10">
        <v>1</v>
      </c>
      <c r="N150" s="12" t="s">
        <v>1716</v>
      </c>
      <c r="O150" s="12" t="s">
        <v>39</v>
      </c>
      <c r="P150" s="12"/>
      <c r="Q150" s="16"/>
      <c r="R150" s="12">
        <v>0</v>
      </c>
    </row>
    <row r="151" spans="1:18" s="1" customFormat="1" hidden="1" x14ac:dyDescent="0.25">
      <c r="A151" s="7" t="s">
        <v>310</v>
      </c>
      <c r="B151" s="13" t="s">
        <v>311</v>
      </c>
      <c r="C151" s="7" t="s">
        <v>111</v>
      </c>
      <c r="D151" s="7" t="s">
        <v>35</v>
      </c>
      <c r="E151" s="7" t="s">
        <v>35</v>
      </c>
      <c r="F151" s="8">
        <v>0</v>
      </c>
      <c r="G151" s="20">
        <v>1</v>
      </c>
      <c r="H151" s="20">
        <v>0</v>
      </c>
      <c r="I151" s="20">
        <v>0</v>
      </c>
      <c r="J151" s="13" t="s">
        <v>60</v>
      </c>
      <c r="K151" s="13" t="s">
        <v>60</v>
      </c>
      <c r="L151" s="7" t="s">
        <v>312</v>
      </c>
      <c r="M151" s="7">
        <v>1</v>
      </c>
      <c r="N151" s="9" t="s">
        <v>1716</v>
      </c>
      <c r="O151" s="9" t="s">
        <v>39</v>
      </c>
      <c r="P151" s="9"/>
      <c r="Q151" s="15"/>
      <c r="R151" s="9">
        <v>0</v>
      </c>
    </row>
    <row r="152" spans="1:18" s="1" customFormat="1" hidden="1" x14ac:dyDescent="0.25">
      <c r="A152" s="7" t="s">
        <v>310</v>
      </c>
      <c r="B152" s="13" t="s">
        <v>311</v>
      </c>
      <c r="C152" s="7" t="s">
        <v>111</v>
      </c>
      <c r="D152" s="7" t="s">
        <v>35</v>
      </c>
      <c r="E152" s="7" t="s">
        <v>35</v>
      </c>
      <c r="F152" s="8">
        <v>0</v>
      </c>
      <c r="G152" s="20">
        <v>1</v>
      </c>
      <c r="H152" s="20">
        <v>0</v>
      </c>
      <c r="I152" s="20">
        <v>0</v>
      </c>
      <c r="J152" s="13" t="s">
        <v>60</v>
      </c>
      <c r="K152" s="13" t="s">
        <v>60</v>
      </c>
      <c r="L152" s="7" t="s">
        <v>313</v>
      </c>
      <c r="M152" s="7">
        <v>1</v>
      </c>
      <c r="N152" s="9" t="s">
        <v>1716</v>
      </c>
      <c r="O152" s="9" t="s">
        <v>39</v>
      </c>
      <c r="P152" s="9"/>
      <c r="Q152" s="15"/>
      <c r="R152" s="9">
        <v>0</v>
      </c>
    </row>
    <row r="153" spans="1:18" s="1" customFormat="1" hidden="1" x14ac:dyDescent="0.25">
      <c r="A153" s="10" t="s">
        <v>314</v>
      </c>
      <c r="B153" s="14" t="s">
        <v>315</v>
      </c>
      <c r="C153" s="10" t="s">
        <v>54</v>
      </c>
      <c r="D153" s="10" t="s">
        <v>35</v>
      </c>
      <c r="E153" s="10" t="s">
        <v>35</v>
      </c>
      <c r="F153" s="11">
        <v>0</v>
      </c>
      <c r="G153" s="21">
        <v>1</v>
      </c>
      <c r="H153" s="21">
        <v>0</v>
      </c>
      <c r="I153" s="21">
        <v>0</v>
      </c>
      <c r="J153" s="14" t="s">
        <v>60</v>
      </c>
      <c r="K153" s="14" t="s">
        <v>56</v>
      </c>
      <c r="L153" s="10" t="s">
        <v>316</v>
      </c>
      <c r="M153" s="10">
        <v>1</v>
      </c>
      <c r="N153" s="12" t="s">
        <v>1716</v>
      </c>
      <c r="O153" s="12" t="s">
        <v>39</v>
      </c>
      <c r="P153" s="12"/>
      <c r="Q153" s="16"/>
      <c r="R153" s="12">
        <v>0</v>
      </c>
    </row>
    <row r="154" spans="1:18" s="1" customFormat="1" hidden="1" x14ac:dyDescent="0.25">
      <c r="A154" s="7" t="s">
        <v>317</v>
      </c>
      <c r="B154" s="13" t="s">
        <v>318</v>
      </c>
      <c r="C154" s="7" t="s">
        <v>54</v>
      </c>
      <c r="D154" s="7" t="s">
        <v>35</v>
      </c>
      <c r="E154" s="7" t="s">
        <v>35</v>
      </c>
      <c r="F154" s="8">
        <v>0</v>
      </c>
      <c r="G154" s="20">
        <v>1</v>
      </c>
      <c r="H154" s="20">
        <v>0</v>
      </c>
      <c r="I154" s="20">
        <v>0</v>
      </c>
      <c r="J154" s="13" t="s">
        <v>319</v>
      </c>
      <c r="K154" s="13" t="s">
        <v>320</v>
      </c>
      <c r="L154" s="7" t="s">
        <v>321</v>
      </c>
      <c r="M154" s="7">
        <v>1</v>
      </c>
      <c r="N154" s="9" t="s">
        <v>1716</v>
      </c>
      <c r="O154" s="9" t="s">
        <v>39</v>
      </c>
      <c r="P154" s="9"/>
      <c r="Q154" s="15"/>
      <c r="R154" s="9">
        <v>0</v>
      </c>
    </row>
    <row r="155" spans="1:18" s="1" customFormat="1" hidden="1" x14ac:dyDescent="0.25">
      <c r="A155" s="10" t="s">
        <v>322</v>
      </c>
      <c r="B155" s="14" t="s">
        <v>323</v>
      </c>
      <c r="C155" s="10" t="s">
        <v>54</v>
      </c>
      <c r="D155" s="10" t="s">
        <v>35</v>
      </c>
      <c r="E155" s="10" t="s">
        <v>35</v>
      </c>
      <c r="F155" s="11">
        <v>0</v>
      </c>
      <c r="G155" s="21">
        <v>1</v>
      </c>
      <c r="H155" s="21">
        <v>0</v>
      </c>
      <c r="I155" s="21">
        <v>0</v>
      </c>
      <c r="J155" s="14" t="s">
        <v>324</v>
      </c>
      <c r="K155" s="14" t="s">
        <v>325</v>
      </c>
      <c r="L155" s="10" t="s">
        <v>326</v>
      </c>
      <c r="M155" s="10">
        <v>1</v>
      </c>
      <c r="N155" s="12" t="s">
        <v>1716</v>
      </c>
      <c r="O155" s="12" t="s">
        <v>39</v>
      </c>
      <c r="P155" s="12"/>
      <c r="Q155" s="16"/>
      <c r="R155" s="12">
        <v>0</v>
      </c>
    </row>
    <row r="156" spans="1:18" s="1" customFormat="1" hidden="1" x14ac:dyDescent="0.25">
      <c r="A156" s="7" t="s">
        <v>327</v>
      </c>
      <c r="B156" s="13" t="s">
        <v>328</v>
      </c>
      <c r="C156" s="7" t="s">
        <v>54</v>
      </c>
      <c r="D156" s="7" t="s">
        <v>35</v>
      </c>
      <c r="E156" s="7" t="s">
        <v>35</v>
      </c>
      <c r="F156" s="8">
        <v>0</v>
      </c>
      <c r="G156" s="20">
        <v>1</v>
      </c>
      <c r="H156" s="20">
        <v>0</v>
      </c>
      <c r="I156" s="20">
        <v>0</v>
      </c>
      <c r="J156" s="13" t="s">
        <v>295</v>
      </c>
      <c r="K156" s="13" t="s">
        <v>325</v>
      </c>
      <c r="L156" s="7" t="s">
        <v>329</v>
      </c>
      <c r="M156" s="7">
        <v>1</v>
      </c>
      <c r="N156" s="9" t="s">
        <v>1716</v>
      </c>
      <c r="O156" s="9" t="s">
        <v>39</v>
      </c>
      <c r="P156" s="9"/>
      <c r="Q156" s="15"/>
      <c r="R156" s="9">
        <v>0</v>
      </c>
    </row>
    <row r="157" spans="1:18" s="1" customFormat="1" hidden="1" x14ac:dyDescent="0.25">
      <c r="A157" s="10" t="s">
        <v>330</v>
      </c>
      <c r="B157" s="14" t="s">
        <v>331</v>
      </c>
      <c r="C157" s="10" t="s">
        <v>54</v>
      </c>
      <c r="D157" s="10" t="s">
        <v>35</v>
      </c>
      <c r="E157" s="10" t="s">
        <v>35</v>
      </c>
      <c r="F157" s="11">
        <v>0</v>
      </c>
      <c r="G157" s="21">
        <v>1</v>
      </c>
      <c r="H157" s="21">
        <v>0</v>
      </c>
      <c r="I157" s="21">
        <v>0</v>
      </c>
      <c r="J157" s="14" t="s">
        <v>332</v>
      </c>
      <c r="K157" s="14" t="s">
        <v>288</v>
      </c>
      <c r="L157" s="10" t="s">
        <v>333</v>
      </c>
      <c r="M157" s="10">
        <v>1</v>
      </c>
      <c r="N157" s="12" t="s">
        <v>1716</v>
      </c>
      <c r="O157" s="12" t="s">
        <v>39</v>
      </c>
      <c r="P157" s="12"/>
      <c r="Q157" s="16"/>
      <c r="R157" s="12">
        <v>0</v>
      </c>
    </row>
    <row r="158" spans="1:18" s="1" customFormat="1" hidden="1" x14ac:dyDescent="0.25">
      <c r="A158" s="7" t="s">
        <v>334</v>
      </c>
      <c r="B158" s="13" t="s">
        <v>335</v>
      </c>
      <c r="C158" s="7" t="s">
        <v>54</v>
      </c>
      <c r="D158" s="7" t="s">
        <v>35</v>
      </c>
      <c r="E158" s="7" t="s">
        <v>35</v>
      </c>
      <c r="F158" s="8">
        <v>0</v>
      </c>
      <c r="G158" s="20">
        <v>1</v>
      </c>
      <c r="H158" s="20">
        <v>0</v>
      </c>
      <c r="I158" s="20">
        <v>0</v>
      </c>
      <c r="J158" s="13" t="s">
        <v>295</v>
      </c>
      <c r="K158" s="13" t="s">
        <v>288</v>
      </c>
      <c r="L158" s="7" t="s">
        <v>336</v>
      </c>
      <c r="M158" s="7">
        <v>1</v>
      </c>
      <c r="N158" s="9" t="s">
        <v>1716</v>
      </c>
      <c r="O158" s="9" t="s">
        <v>39</v>
      </c>
      <c r="P158" s="9"/>
      <c r="Q158" s="15"/>
      <c r="R158" s="9">
        <v>0</v>
      </c>
    </row>
    <row r="159" spans="1:18" s="1" customFormat="1" hidden="1" x14ac:dyDescent="0.25">
      <c r="A159" s="10" t="s">
        <v>337</v>
      </c>
      <c r="B159" s="14" t="s">
        <v>338</v>
      </c>
      <c r="C159" s="10" t="s">
        <v>54</v>
      </c>
      <c r="D159" s="10" t="s">
        <v>35</v>
      </c>
      <c r="E159" s="10" t="s">
        <v>35</v>
      </c>
      <c r="F159" s="11">
        <v>0</v>
      </c>
      <c r="G159" s="21">
        <v>1</v>
      </c>
      <c r="H159" s="21">
        <v>0</v>
      </c>
      <c r="I159" s="21">
        <v>0</v>
      </c>
      <c r="J159" s="14" t="s">
        <v>295</v>
      </c>
      <c r="K159" s="14" t="s">
        <v>288</v>
      </c>
      <c r="L159" s="10" t="s">
        <v>339</v>
      </c>
      <c r="M159" s="10">
        <v>1</v>
      </c>
      <c r="N159" s="12" t="s">
        <v>1716</v>
      </c>
      <c r="O159" s="12" t="s">
        <v>39</v>
      </c>
      <c r="P159" s="12"/>
      <c r="Q159" s="16"/>
      <c r="R159" s="12">
        <v>0</v>
      </c>
    </row>
    <row r="160" spans="1:18" s="1" customFormat="1" hidden="1" x14ac:dyDescent="0.25">
      <c r="A160" s="7" t="s">
        <v>340</v>
      </c>
      <c r="B160" s="13" t="s">
        <v>341</v>
      </c>
      <c r="C160" s="7" t="s">
        <v>54</v>
      </c>
      <c r="D160" s="7" t="s">
        <v>35</v>
      </c>
      <c r="E160" s="7" t="s">
        <v>35</v>
      </c>
      <c r="F160" s="8">
        <v>0</v>
      </c>
      <c r="G160" s="20">
        <v>1</v>
      </c>
      <c r="H160" s="20">
        <v>0</v>
      </c>
      <c r="I160" s="20">
        <v>0</v>
      </c>
      <c r="J160" s="13" t="s">
        <v>295</v>
      </c>
      <c r="K160" s="13" t="s">
        <v>288</v>
      </c>
      <c r="L160" s="7" t="s">
        <v>342</v>
      </c>
      <c r="M160" s="7">
        <v>1</v>
      </c>
      <c r="N160" s="9" t="s">
        <v>1716</v>
      </c>
      <c r="O160" s="9" t="s">
        <v>39</v>
      </c>
      <c r="P160" s="9"/>
      <c r="Q160" s="15"/>
      <c r="R160" s="9">
        <v>0</v>
      </c>
    </row>
    <row r="161" spans="1:18" s="1" customFormat="1" hidden="1" x14ac:dyDescent="0.25">
      <c r="A161" s="10" t="s">
        <v>343</v>
      </c>
      <c r="B161" s="14" t="s">
        <v>344</v>
      </c>
      <c r="C161" s="10" t="s">
        <v>54</v>
      </c>
      <c r="D161" s="10" t="s">
        <v>35</v>
      </c>
      <c r="E161" s="10" t="s">
        <v>35</v>
      </c>
      <c r="F161" s="11">
        <v>0</v>
      </c>
      <c r="G161" s="21">
        <v>1</v>
      </c>
      <c r="H161" s="21">
        <v>0</v>
      </c>
      <c r="I161" s="21">
        <v>0</v>
      </c>
      <c r="J161" s="14" t="s">
        <v>332</v>
      </c>
      <c r="K161" s="14" t="s">
        <v>288</v>
      </c>
      <c r="L161" s="10" t="s">
        <v>345</v>
      </c>
      <c r="M161" s="10">
        <v>1</v>
      </c>
      <c r="N161" s="12" t="s">
        <v>1716</v>
      </c>
      <c r="O161" s="12" t="s">
        <v>39</v>
      </c>
      <c r="P161" s="12"/>
      <c r="Q161" s="16"/>
      <c r="R161" s="12">
        <v>0</v>
      </c>
    </row>
    <row r="162" spans="1:18" s="1" customFormat="1" hidden="1" x14ac:dyDescent="0.25">
      <c r="A162" s="7" t="s">
        <v>346</v>
      </c>
      <c r="B162" s="13" t="s">
        <v>347</v>
      </c>
      <c r="C162" s="7" t="s">
        <v>54</v>
      </c>
      <c r="D162" s="7" t="s">
        <v>35</v>
      </c>
      <c r="E162" s="7" t="s">
        <v>35</v>
      </c>
      <c r="F162" s="8">
        <v>0</v>
      </c>
      <c r="G162" s="20">
        <v>1</v>
      </c>
      <c r="H162" s="20">
        <v>0</v>
      </c>
      <c r="I162" s="20">
        <v>0</v>
      </c>
      <c r="J162" s="13" t="s">
        <v>332</v>
      </c>
      <c r="K162" s="13" t="s">
        <v>288</v>
      </c>
      <c r="L162" s="7" t="s">
        <v>348</v>
      </c>
      <c r="M162" s="7">
        <v>1</v>
      </c>
      <c r="N162" s="9" t="s">
        <v>1716</v>
      </c>
      <c r="O162" s="9" t="s">
        <v>39</v>
      </c>
      <c r="P162" s="9"/>
      <c r="Q162" s="15"/>
      <c r="R162" s="9">
        <v>0</v>
      </c>
    </row>
    <row r="163" spans="1:18" s="1" customFormat="1" hidden="1" x14ac:dyDescent="0.25">
      <c r="A163" s="10" t="s">
        <v>349</v>
      </c>
      <c r="B163" s="14" t="s">
        <v>350</v>
      </c>
      <c r="C163" s="10" t="s">
        <v>54</v>
      </c>
      <c r="D163" s="10" t="s">
        <v>35</v>
      </c>
      <c r="E163" s="10" t="s">
        <v>35</v>
      </c>
      <c r="F163" s="11">
        <v>0</v>
      </c>
      <c r="G163" s="21">
        <v>1</v>
      </c>
      <c r="H163" s="21">
        <v>0</v>
      </c>
      <c r="I163" s="21">
        <v>0</v>
      </c>
      <c r="J163" s="14" t="s">
        <v>332</v>
      </c>
      <c r="K163" s="14" t="s">
        <v>288</v>
      </c>
      <c r="L163" s="10" t="s">
        <v>351</v>
      </c>
      <c r="M163" s="10">
        <v>1</v>
      </c>
      <c r="N163" s="12" t="s">
        <v>1716</v>
      </c>
      <c r="O163" s="12" t="s">
        <v>39</v>
      </c>
      <c r="P163" s="12"/>
      <c r="Q163" s="16"/>
      <c r="R163" s="12">
        <v>0</v>
      </c>
    </row>
    <row r="164" spans="1:18" s="1" customFormat="1" hidden="1" x14ac:dyDescent="0.25">
      <c r="A164" s="7" t="s">
        <v>352</v>
      </c>
      <c r="B164" s="13" t="s">
        <v>353</v>
      </c>
      <c r="C164" s="7" t="s">
        <v>54</v>
      </c>
      <c r="D164" s="7" t="s">
        <v>35</v>
      </c>
      <c r="E164" s="7" t="s">
        <v>35</v>
      </c>
      <c r="F164" s="8">
        <v>0</v>
      </c>
      <c r="G164" s="20">
        <v>1</v>
      </c>
      <c r="H164" s="20">
        <v>0</v>
      </c>
      <c r="I164" s="20">
        <v>0</v>
      </c>
      <c r="J164" s="13" t="s">
        <v>354</v>
      </c>
      <c r="K164" s="13" t="s">
        <v>355</v>
      </c>
      <c r="L164" s="7" t="s">
        <v>356</v>
      </c>
      <c r="M164" s="7">
        <v>1</v>
      </c>
      <c r="N164" s="9" t="s">
        <v>1716</v>
      </c>
      <c r="O164" s="9" t="s">
        <v>39</v>
      </c>
      <c r="P164" s="9"/>
      <c r="Q164" s="15"/>
      <c r="R164" s="9">
        <v>0</v>
      </c>
    </row>
    <row r="165" spans="1:18" s="1" customFormat="1" hidden="1" x14ac:dyDescent="0.25">
      <c r="A165" s="10" t="s">
        <v>357</v>
      </c>
      <c r="B165" s="14" t="s">
        <v>358</v>
      </c>
      <c r="C165" s="10" t="s">
        <v>54</v>
      </c>
      <c r="D165" s="10" t="s">
        <v>35</v>
      </c>
      <c r="E165" s="10" t="s">
        <v>35</v>
      </c>
      <c r="F165" s="11">
        <v>0</v>
      </c>
      <c r="G165" s="21">
        <v>1</v>
      </c>
      <c r="H165" s="21">
        <v>0</v>
      </c>
      <c r="I165" s="21">
        <v>0</v>
      </c>
      <c r="J165" s="14" t="s">
        <v>354</v>
      </c>
      <c r="K165" s="14" t="s">
        <v>355</v>
      </c>
      <c r="L165" s="10" t="s">
        <v>359</v>
      </c>
      <c r="M165" s="10">
        <v>1</v>
      </c>
      <c r="N165" s="12" t="s">
        <v>1716</v>
      </c>
      <c r="O165" s="12" t="s">
        <v>39</v>
      </c>
      <c r="P165" s="12"/>
      <c r="Q165" s="16"/>
      <c r="R165" s="12">
        <v>0</v>
      </c>
    </row>
    <row r="166" spans="1:18" s="1" customFormat="1" hidden="1" x14ac:dyDescent="0.25">
      <c r="A166" s="7" t="s">
        <v>360</v>
      </c>
      <c r="B166" s="13" t="s">
        <v>361</v>
      </c>
      <c r="C166" s="7" t="s">
        <v>54</v>
      </c>
      <c r="D166" s="7" t="s">
        <v>35</v>
      </c>
      <c r="E166" s="7" t="s">
        <v>35</v>
      </c>
      <c r="F166" s="8">
        <v>0</v>
      </c>
      <c r="G166" s="20">
        <v>1</v>
      </c>
      <c r="H166" s="20">
        <v>0</v>
      </c>
      <c r="I166" s="20">
        <v>0</v>
      </c>
      <c r="J166" s="13" t="s">
        <v>354</v>
      </c>
      <c r="K166" s="13" t="s">
        <v>355</v>
      </c>
      <c r="L166" s="7" t="s">
        <v>362</v>
      </c>
      <c r="M166" s="7">
        <v>1</v>
      </c>
      <c r="N166" s="9" t="s">
        <v>1716</v>
      </c>
      <c r="O166" s="9" t="s">
        <v>39</v>
      </c>
      <c r="P166" s="9"/>
      <c r="Q166" s="15"/>
      <c r="R166" s="9">
        <v>0</v>
      </c>
    </row>
    <row r="167" spans="1:18" s="1" customFormat="1" hidden="1" x14ac:dyDescent="0.25">
      <c r="A167" s="10" t="s">
        <v>363</v>
      </c>
      <c r="B167" s="14" t="s">
        <v>364</v>
      </c>
      <c r="C167" s="10" t="s">
        <v>365</v>
      </c>
      <c r="D167" s="10" t="s">
        <v>35</v>
      </c>
      <c r="E167" s="10" t="s">
        <v>35</v>
      </c>
      <c r="F167" s="11">
        <v>0</v>
      </c>
      <c r="G167" s="21">
        <v>1</v>
      </c>
      <c r="H167" s="21">
        <v>0</v>
      </c>
      <c r="I167" s="21">
        <v>0</v>
      </c>
      <c r="J167" s="14" t="s">
        <v>56</v>
      </c>
      <c r="K167" s="14" t="s">
        <v>56</v>
      </c>
      <c r="L167" s="10" t="s">
        <v>366</v>
      </c>
      <c r="M167" s="10">
        <v>1.05</v>
      </c>
      <c r="N167" s="12" t="s">
        <v>1716</v>
      </c>
      <c r="O167" s="12" t="s">
        <v>39</v>
      </c>
      <c r="P167" s="12"/>
      <c r="Q167" s="16"/>
      <c r="R167" s="12">
        <v>0</v>
      </c>
    </row>
    <row r="168" spans="1:18" s="1" customFormat="1" hidden="1" x14ac:dyDescent="0.25">
      <c r="A168" s="10" t="s">
        <v>363</v>
      </c>
      <c r="B168" s="14" t="s">
        <v>364</v>
      </c>
      <c r="C168" s="10" t="s">
        <v>365</v>
      </c>
      <c r="D168" s="10" t="s">
        <v>35</v>
      </c>
      <c r="E168" s="10" t="s">
        <v>35</v>
      </c>
      <c r="F168" s="11">
        <v>0</v>
      </c>
      <c r="G168" s="21">
        <v>1</v>
      </c>
      <c r="H168" s="21">
        <v>0</v>
      </c>
      <c r="I168" s="21">
        <v>0</v>
      </c>
      <c r="J168" s="14" t="s">
        <v>56</v>
      </c>
      <c r="K168" s="14" t="s">
        <v>56</v>
      </c>
      <c r="L168" s="10" t="s">
        <v>367</v>
      </c>
      <c r="M168" s="10">
        <v>1</v>
      </c>
      <c r="N168" s="12" t="s">
        <v>1716</v>
      </c>
      <c r="O168" s="12" t="s">
        <v>39</v>
      </c>
      <c r="P168" s="12"/>
      <c r="Q168" s="16"/>
      <c r="R168" s="12">
        <v>0</v>
      </c>
    </row>
    <row r="169" spans="1:18" s="1" customFormat="1" hidden="1" x14ac:dyDescent="0.25">
      <c r="A169" s="7" t="s">
        <v>368</v>
      </c>
      <c r="B169" s="13" t="s">
        <v>369</v>
      </c>
      <c r="C169" s="7" t="s">
        <v>45</v>
      </c>
      <c r="D169" s="7" t="s">
        <v>35</v>
      </c>
      <c r="E169" s="7" t="s">
        <v>35</v>
      </c>
      <c r="F169" s="8">
        <v>0</v>
      </c>
      <c r="G169" s="20">
        <v>1</v>
      </c>
      <c r="H169" s="20">
        <v>0</v>
      </c>
      <c r="I169" s="20">
        <v>0</v>
      </c>
      <c r="J169" s="13" t="s">
        <v>46</v>
      </c>
      <c r="K169" s="13" t="s">
        <v>47</v>
      </c>
      <c r="L169" s="7" t="s">
        <v>48</v>
      </c>
      <c r="M169" s="7">
        <v>2.5000000000000001E-2</v>
      </c>
      <c r="N169" s="9" t="s">
        <v>1716</v>
      </c>
      <c r="O169" s="9" t="s">
        <v>39</v>
      </c>
      <c r="P169" s="9"/>
      <c r="Q169" s="15"/>
      <c r="R169" s="9">
        <v>0</v>
      </c>
    </row>
    <row r="170" spans="1:18" s="1" customFormat="1" hidden="1" x14ac:dyDescent="0.25">
      <c r="A170" s="7" t="s">
        <v>368</v>
      </c>
      <c r="B170" s="13" t="s">
        <v>369</v>
      </c>
      <c r="C170" s="7" t="s">
        <v>45</v>
      </c>
      <c r="D170" s="7" t="s">
        <v>35</v>
      </c>
      <c r="E170" s="7" t="s">
        <v>35</v>
      </c>
      <c r="F170" s="8">
        <v>0</v>
      </c>
      <c r="G170" s="20">
        <v>1</v>
      </c>
      <c r="H170" s="20">
        <v>0</v>
      </c>
      <c r="I170" s="20">
        <v>0</v>
      </c>
      <c r="J170" s="13" t="s">
        <v>46</v>
      </c>
      <c r="K170" s="13" t="s">
        <v>47</v>
      </c>
      <c r="L170" s="7" t="s">
        <v>49</v>
      </c>
      <c r="M170" s="7">
        <v>0.26400000000000001</v>
      </c>
      <c r="N170" s="9" t="s">
        <v>1716</v>
      </c>
      <c r="O170" s="9" t="s">
        <v>39</v>
      </c>
      <c r="P170" s="9"/>
      <c r="Q170" s="15"/>
      <c r="R170" s="9">
        <v>0</v>
      </c>
    </row>
    <row r="171" spans="1:18" s="1" customFormat="1" hidden="1" x14ac:dyDescent="0.25">
      <c r="A171" s="7" t="s">
        <v>368</v>
      </c>
      <c r="B171" s="13" t="s">
        <v>369</v>
      </c>
      <c r="C171" s="7" t="s">
        <v>45</v>
      </c>
      <c r="D171" s="7" t="s">
        <v>35</v>
      </c>
      <c r="E171" s="7" t="s">
        <v>35</v>
      </c>
      <c r="F171" s="8">
        <v>0</v>
      </c>
      <c r="G171" s="20">
        <v>1</v>
      </c>
      <c r="H171" s="20">
        <v>0</v>
      </c>
      <c r="I171" s="20">
        <v>0</v>
      </c>
      <c r="J171" s="13" t="s">
        <v>46</v>
      </c>
      <c r="K171" s="13" t="s">
        <v>47</v>
      </c>
      <c r="L171" s="7" t="s">
        <v>50</v>
      </c>
      <c r="M171" s="7">
        <v>1.1000000000000001</v>
      </c>
      <c r="N171" s="9" t="s">
        <v>1716</v>
      </c>
      <c r="O171" s="9" t="s">
        <v>39</v>
      </c>
      <c r="P171" s="9"/>
      <c r="Q171" s="15"/>
      <c r="R171" s="9">
        <v>0</v>
      </c>
    </row>
    <row r="172" spans="1:18" s="1" customFormat="1" hidden="1" x14ac:dyDescent="0.25">
      <c r="A172" s="10" t="s">
        <v>370</v>
      </c>
      <c r="B172" s="14" t="s">
        <v>371</v>
      </c>
      <c r="C172" s="10" t="s">
        <v>365</v>
      </c>
      <c r="D172" s="10" t="s">
        <v>35</v>
      </c>
      <c r="E172" s="10" t="s">
        <v>35</v>
      </c>
      <c r="F172" s="11">
        <v>0</v>
      </c>
      <c r="G172" s="21">
        <v>1</v>
      </c>
      <c r="H172" s="21">
        <v>0</v>
      </c>
      <c r="I172" s="21">
        <v>0</v>
      </c>
      <c r="J172" s="14" t="s">
        <v>46</v>
      </c>
      <c r="K172" s="14" t="s">
        <v>372</v>
      </c>
      <c r="L172" s="10" t="s">
        <v>373</v>
      </c>
      <c r="M172" s="10">
        <v>1</v>
      </c>
      <c r="N172" s="12" t="s">
        <v>1716</v>
      </c>
      <c r="O172" s="12" t="s">
        <v>39</v>
      </c>
      <c r="P172" s="12"/>
      <c r="Q172" s="16"/>
      <c r="R172" s="12">
        <v>0</v>
      </c>
    </row>
    <row r="173" spans="1:18" s="1" customFormat="1" hidden="1" x14ac:dyDescent="0.25">
      <c r="A173" s="7" t="s">
        <v>374</v>
      </c>
      <c r="B173" s="13" t="s">
        <v>375</v>
      </c>
      <c r="C173" s="7" t="s">
        <v>365</v>
      </c>
      <c r="D173" s="7" t="s">
        <v>35</v>
      </c>
      <c r="E173" s="7" t="s">
        <v>35</v>
      </c>
      <c r="F173" s="8">
        <v>0</v>
      </c>
      <c r="G173" s="20">
        <v>1</v>
      </c>
      <c r="H173" s="20">
        <v>0</v>
      </c>
      <c r="I173" s="20">
        <v>0</v>
      </c>
      <c r="J173" s="13" t="s">
        <v>56</v>
      </c>
      <c r="K173" s="13" t="s">
        <v>56</v>
      </c>
      <c r="L173" s="7" t="s">
        <v>376</v>
      </c>
      <c r="M173" s="7">
        <v>1.2</v>
      </c>
      <c r="N173" s="9" t="s">
        <v>1716</v>
      </c>
      <c r="O173" s="9" t="s">
        <v>39</v>
      </c>
      <c r="P173" s="9"/>
      <c r="Q173" s="15"/>
      <c r="R173" s="9">
        <v>0</v>
      </c>
    </row>
    <row r="174" spans="1:18" s="1" customFormat="1" hidden="1" x14ac:dyDescent="0.25">
      <c r="A174" s="7" t="s">
        <v>374</v>
      </c>
      <c r="B174" s="13" t="s">
        <v>375</v>
      </c>
      <c r="C174" s="7" t="s">
        <v>365</v>
      </c>
      <c r="D174" s="7" t="s">
        <v>35</v>
      </c>
      <c r="E174" s="7" t="s">
        <v>35</v>
      </c>
      <c r="F174" s="8">
        <v>0</v>
      </c>
      <c r="G174" s="20">
        <v>1</v>
      </c>
      <c r="H174" s="20">
        <v>0</v>
      </c>
      <c r="I174" s="20">
        <v>0</v>
      </c>
      <c r="J174" s="13" t="s">
        <v>56</v>
      </c>
      <c r="K174" s="13" t="s">
        <v>56</v>
      </c>
      <c r="L174" s="7" t="s">
        <v>377</v>
      </c>
      <c r="M174" s="7">
        <v>1</v>
      </c>
      <c r="N174" s="9" t="s">
        <v>1716</v>
      </c>
      <c r="O174" s="9" t="s">
        <v>39</v>
      </c>
      <c r="P174" s="9"/>
      <c r="Q174" s="15"/>
      <c r="R174" s="9">
        <v>0</v>
      </c>
    </row>
    <row r="175" spans="1:18" s="1" customFormat="1" hidden="1" x14ac:dyDescent="0.25">
      <c r="A175" s="10" t="s">
        <v>378</v>
      </c>
      <c r="B175" s="14" t="s">
        <v>379</v>
      </c>
      <c r="C175" s="10" t="s">
        <v>380</v>
      </c>
      <c r="D175" s="10" t="s">
        <v>35</v>
      </c>
      <c r="E175" s="10" t="s">
        <v>35</v>
      </c>
      <c r="F175" s="11">
        <v>0</v>
      </c>
      <c r="G175" s="21">
        <v>1</v>
      </c>
      <c r="H175" s="21">
        <v>0</v>
      </c>
      <c r="I175" s="21">
        <v>0</v>
      </c>
      <c r="J175" s="14" t="s">
        <v>46</v>
      </c>
      <c r="K175" s="14" t="s">
        <v>381</v>
      </c>
      <c r="L175" s="10" t="s">
        <v>382</v>
      </c>
      <c r="M175" s="10">
        <v>1</v>
      </c>
      <c r="N175" s="12" t="s">
        <v>1716</v>
      </c>
      <c r="O175" s="12" t="s">
        <v>39</v>
      </c>
      <c r="P175" s="12"/>
      <c r="Q175" s="16"/>
      <c r="R175" s="12">
        <v>0</v>
      </c>
    </row>
    <row r="176" spans="1:18" s="1" customFormat="1" hidden="1" x14ac:dyDescent="0.25">
      <c r="A176" s="7" t="s">
        <v>383</v>
      </c>
      <c r="B176" s="13" t="s">
        <v>384</v>
      </c>
      <c r="C176" s="7" t="s">
        <v>380</v>
      </c>
      <c r="D176" s="7" t="s">
        <v>35</v>
      </c>
      <c r="E176" s="7" t="s">
        <v>35</v>
      </c>
      <c r="F176" s="8">
        <v>0</v>
      </c>
      <c r="G176" s="20">
        <v>1</v>
      </c>
      <c r="H176" s="20">
        <v>0</v>
      </c>
      <c r="I176" s="20">
        <v>0</v>
      </c>
      <c r="J176" s="13" t="s">
        <v>46</v>
      </c>
      <c r="K176" s="13" t="s">
        <v>381</v>
      </c>
      <c r="L176" s="7" t="s">
        <v>385</v>
      </c>
      <c r="M176" s="7">
        <v>1</v>
      </c>
      <c r="N176" s="9" t="s">
        <v>1716</v>
      </c>
      <c r="O176" s="9" t="s">
        <v>39</v>
      </c>
      <c r="P176" s="9"/>
      <c r="Q176" s="15"/>
      <c r="R176" s="9">
        <v>0</v>
      </c>
    </row>
    <row r="177" spans="1:18" s="1" customFormat="1" hidden="1" x14ac:dyDescent="0.25">
      <c r="A177" s="10" t="s">
        <v>386</v>
      </c>
      <c r="B177" s="14" t="s">
        <v>387</v>
      </c>
      <c r="C177" s="10" t="s">
        <v>54</v>
      </c>
      <c r="D177" s="10" t="s">
        <v>35</v>
      </c>
      <c r="E177" s="10" t="s">
        <v>35</v>
      </c>
      <c r="F177" s="11">
        <v>0</v>
      </c>
      <c r="G177" s="21">
        <v>1</v>
      </c>
      <c r="H177" s="21">
        <v>0</v>
      </c>
      <c r="I177" s="21">
        <v>0</v>
      </c>
      <c r="J177" s="14" t="s">
        <v>388</v>
      </c>
      <c r="K177" s="14" t="s">
        <v>35</v>
      </c>
      <c r="L177" s="10" t="s">
        <v>389</v>
      </c>
      <c r="M177" s="10">
        <v>1</v>
      </c>
      <c r="N177" s="12" t="s">
        <v>1716</v>
      </c>
      <c r="O177" s="12" t="s">
        <v>39</v>
      </c>
      <c r="P177" s="12"/>
      <c r="Q177" s="16"/>
      <c r="R177" s="12">
        <v>0</v>
      </c>
    </row>
    <row r="178" spans="1:18" s="1" customFormat="1" hidden="1" x14ac:dyDescent="0.25">
      <c r="A178" s="7" t="s">
        <v>390</v>
      </c>
      <c r="B178" s="13" t="s">
        <v>391</v>
      </c>
      <c r="C178" s="7" t="s">
        <v>34</v>
      </c>
      <c r="D178" s="7" t="s">
        <v>35</v>
      </c>
      <c r="E178" s="7" t="s">
        <v>35</v>
      </c>
      <c r="F178" s="8">
        <v>0</v>
      </c>
      <c r="G178" s="20">
        <v>1</v>
      </c>
      <c r="H178" s="20">
        <v>0</v>
      </c>
      <c r="I178" s="20">
        <v>0</v>
      </c>
      <c r="J178" s="13" t="s">
        <v>229</v>
      </c>
      <c r="K178" s="13" t="s">
        <v>270</v>
      </c>
      <c r="L178" s="7" t="s">
        <v>271</v>
      </c>
      <c r="M178" s="7">
        <v>1.4E-2</v>
      </c>
      <c r="N178" s="9" t="s">
        <v>1716</v>
      </c>
      <c r="O178" s="9" t="s">
        <v>39</v>
      </c>
      <c r="P178" s="9"/>
      <c r="Q178" s="15"/>
      <c r="R178" s="9">
        <v>0</v>
      </c>
    </row>
    <row r="179" spans="1:18" s="1" customFormat="1" hidden="1" x14ac:dyDescent="0.25">
      <c r="A179" s="7" t="s">
        <v>390</v>
      </c>
      <c r="B179" s="13" t="s">
        <v>391</v>
      </c>
      <c r="C179" s="7" t="s">
        <v>34</v>
      </c>
      <c r="D179" s="7" t="s">
        <v>35</v>
      </c>
      <c r="E179" s="7" t="s">
        <v>35</v>
      </c>
      <c r="F179" s="8">
        <v>0</v>
      </c>
      <c r="G179" s="20">
        <v>1</v>
      </c>
      <c r="H179" s="20">
        <v>0</v>
      </c>
      <c r="I179" s="20">
        <v>0</v>
      </c>
      <c r="J179" s="13" t="s">
        <v>229</v>
      </c>
      <c r="K179" s="13" t="s">
        <v>270</v>
      </c>
      <c r="L179" s="7" t="s">
        <v>392</v>
      </c>
      <c r="M179" s="7">
        <v>17.36</v>
      </c>
      <c r="N179" s="9" t="s">
        <v>1716</v>
      </c>
      <c r="O179" s="9" t="s">
        <v>39</v>
      </c>
      <c r="P179" s="9"/>
      <c r="Q179" s="15"/>
      <c r="R179" s="9">
        <v>0</v>
      </c>
    </row>
    <row r="180" spans="1:18" s="1" customFormat="1" hidden="1" x14ac:dyDescent="0.25">
      <c r="A180" s="10" t="s">
        <v>393</v>
      </c>
      <c r="B180" s="14" t="s">
        <v>394</v>
      </c>
      <c r="C180" s="10" t="s">
        <v>34</v>
      </c>
      <c r="D180" s="10" t="s">
        <v>35</v>
      </c>
      <c r="E180" s="10" t="s">
        <v>35</v>
      </c>
      <c r="F180" s="11">
        <v>0</v>
      </c>
      <c r="G180" s="21">
        <v>1</v>
      </c>
      <c r="H180" s="21">
        <v>0</v>
      </c>
      <c r="I180" s="21">
        <v>0</v>
      </c>
      <c r="J180" s="14" t="s">
        <v>229</v>
      </c>
      <c r="K180" s="14" t="s">
        <v>270</v>
      </c>
      <c r="L180" s="10" t="s">
        <v>271</v>
      </c>
      <c r="M180" s="10">
        <v>1.2500000000000001E-2</v>
      </c>
      <c r="N180" s="12" t="s">
        <v>1716</v>
      </c>
      <c r="O180" s="12" t="s">
        <v>39</v>
      </c>
      <c r="P180" s="12"/>
      <c r="Q180" s="16"/>
      <c r="R180" s="12">
        <v>0</v>
      </c>
    </row>
    <row r="181" spans="1:18" s="1" customFormat="1" hidden="1" x14ac:dyDescent="0.25">
      <c r="A181" s="10" t="s">
        <v>393</v>
      </c>
      <c r="B181" s="14" t="s">
        <v>394</v>
      </c>
      <c r="C181" s="10" t="s">
        <v>34</v>
      </c>
      <c r="D181" s="10" t="s">
        <v>35</v>
      </c>
      <c r="E181" s="10" t="s">
        <v>35</v>
      </c>
      <c r="F181" s="11">
        <v>0</v>
      </c>
      <c r="G181" s="21">
        <v>1</v>
      </c>
      <c r="H181" s="21">
        <v>0</v>
      </c>
      <c r="I181" s="21">
        <v>0</v>
      </c>
      <c r="J181" s="14" t="s">
        <v>229</v>
      </c>
      <c r="K181" s="14" t="s">
        <v>270</v>
      </c>
      <c r="L181" s="10" t="s">
        <v>395</v>
      </c>
      <c r="M181" s="10">
        <v>17.36</v>
      </c>
      <c r="N181" s="12" t="s">
        <v>1716</v>
      </c>
      <c r="O181" s="12" t="s">
        <v>39</v>
      </c>
      <c r="P181" s="12"/>
      <c r="Q181" s="16"/>
      <c r="R181" s="12">
        <v>0</v>
      </c>
    </row>
    <row r="182" spans="1:18" s="1" customFormat="1" hidden="1" x14ac:dyDescent="0.25">
      <c r="A182" s="7" t="s">
        <v>396</v>
      </c>
      <c r="B182" s="13" t="s">
        <v>397</v>
      </c>
      <c r="C182" s="7" t="s">
        <v>34</v>
      </c>
      <c r="D182" s="7" t="s">
        <v>35</v>
      </c>
      <c r="E182" s="7" t="s">
        <v>35</v>
      </c>
      <c r="F182" s="8">
        <v>0</v>
      </c>
      <c r="G182" s="20">
        <v>1</v>
      </c>
      <c r="H182" s="20">
        <v>0</v>
      </c>
      <c r="I182" s="20">
        <v>0</v>
      </c>
      <c r="J182" s="13" t="s">
        <v>229</v>
      </c>
      <c r="K182" s="13" t="s">
        <v>270</v>
      </c>
      <c r="L182" s="7" t="s">
        <v>271</v>
      </c>
      <c r="M182" s="7">
        <v>2.1999999999999999E-2</v>
      </c>
      <c r="N182" s="9" t="s">
        <v>1716</v>
      </c>
      <c r="O182" s="9" t="s">
        <v>39</v>
      </c>
      <c r="P182" s="9"/>
      <c r="Q182" s="15"/>
      <c r="R182" s="9">
        <v>0</v>
      </c>
    </row>
    <row r="183" spans="1:18" s="1" customFormat="1" hidden="1" x14ac:dyDescent="0.25">
      <c r="A183" s="7" t="s">
        <v>396</v>
      </c>
      <c r="B183" s="13" t="s">
        <v>397</v>
      </c>
      <c r="C183" s="7" t="s">
        <v>34</v>
      </c>
      <c r="D183" s="7" t="s">
        <v>35</v>
      </c>
      <c r="E183" s="7" t="s">
        <v>35</v>
      </c>
      <c r="F183" s="8">
        <v>0</v>
      </c>
      <c r="G183" s="20">
        <v>1</v>
      </c>
      <c r="H183" s="20">
        <v>0</v>
      </c>
      <c r="I183" s="20">
        <v>0</v>
      </c>
      <c r="J183" s="13" t="s">
        <v>229</v>
      </c>
      <c r="K183" s="13" t="s">
        <v>270</v>
      </c>
      <c r="L183" s="7" t="s">
        <v>398</v>
      </c>
      <c r="M183" s="7">
        <v>17.36</v>
      </c>
      <c r="N183" s="9" t="s">
        <v>1716</v>
      </c>
      <c r="O183" s="9" t="s">
        <v>39</v>
      </c>
      <c r="P183" s="9"/>
      <c r="Q183" s="15"/>
      <c r="R183" s="9">
        <v>0</v>
      </c>
    </row>
    <row r="184" spans="1:18" s="1" customFormat="1" hidden="1" x14ac:dyDescent="0.25">
      <c r="A184" s="10" t="s">
        <v>399</v>
      </c>
      <c r="B184" s="14" t="s">
        <v>400</v>
      </c>
      <c r="C184" s="10" t="s">
        <v>34</v>
      </c>
      <c r="D184" s="10" t="s">
        <v>35</v>
      </c>
      <c r="E184" s="10" t="s">
        <v>35</v>
      </c>
      <c r="F184" s="11">
        <v>0</v>
      </c>
      <c r="G184" s="21">
        <v>1</v>
      </c>
      <c r="H184" s="21">
        <v>0</v>
      </c>
      <c r="I184" s="21">
        <v>0</v>
      </c>
      <c r="J184" s="14" t="s">
        <v>229</v>
      </c>
      <c r="K184" s="14" t="s">
        <v>275</v>
      </c>
      <c r="L184" s="10" t="s">
        <v>271</v>
      </c>
      <c r="M184" s="10">
        <v>0.01</v>
      </c>
      <c r="N184" s="12" t="s">
        <v>1716</v>
      </c>
      <c r="O184" s="12" t="s">
        <v>39</v>
      </c>
      <c r="P184" s="12"/>
      <c r="Q184" s="16"/>
      <c r="R184" s="12">
        <v>0</v>
      </c>
    </row>
    <row r="185" spans="1:18" s="1" customFormat="1" hidden="1" x14ac:dyDescent="0.25">
      <c r="A185" s="10" t="s">
        <v>399</v>
      </c>
      <c r="B185" s="14" t="s">
        <v>400</v>
      </c>
      <c r="C185" s="10" t="s">
        <v>34</v>
      </c>
      <c r="D185" s="10" t="s">
        <v>35</v>
      </c>
      <c r="E185" s="10" t="s">
        <v>35</v>
      </c>
      <c r="F185" s="11">
        <v>0</v>
      </c>
      <c r="G185" s="21">
        <v>1</v>
      </c>
      <c r="H185" s="21">
        <v>0</v>
      </c>
      <c r="I185" s="21">
        <v>0</v>
      </c>
      <c r="J185" s="14" t="s">
        <v>229</v>
      </c>
      <c r="K185" s="14" t="s">
        <v>275</v>
      </c>
      <c r="L185" s="10" t="s">
        <v>401</v>
      </c>
      <c r="M185" s="10">
        <v>6</v>
      </c>
      <c r="N185" s="12" t="s">
        <v>1716</v>
      </c>
      <c r="O185" s="12" t="s">
        <v>39</v>
      </c>
      <c r="P185" s="12"/>
      <c r="Q185" s="16"/>
      <c r="R185" s="12">
        <v>0</v>
      </c>
    </row>
    <row r="186" spans="1:18" s="1" customFormat="1" hidden="1" x14ac:dyDescent="0.25">
      <c r="A186" s="7" t="s">
        <v>402</v>
      </c>
      <c r="B186" s="13" t="s">
        <v>403</v>
      </c>
      <c r="C186" s="7" t="s">
        <v>34</v>
      </c>
      <c r="D186" s="7" t="s">
        <v>35</v>
      </c>
      <c r="E186" s="7" t="s">
        <v>35</v>
      </c>
      <c r="F186" s="8">
        <v>0</v>
      </c>
      <c r="G186" s="20">
        <v>1</v>
      </c>
      <c r="H186" s="20">
        <v>0</v>
      </c>
      <c r="I186" s="20">
        <v>0</v>
      </c>
      <c r="J186" s="13" t="s">
        <v>229</v>
      </c>
      <c r="K186" s="13" t="s">
        <v>275</v>
      </c>
      <c r="L186" s="7" t="s">
        <v>271</v>
      </c>
      <c r="M186" s="7">
        <v>1.2500000000000001E-2</v>
      </c>
      <c r="N186" s="9" t="s">
        <v>1716</v>
      </c>
      <c r="O186" s="9" t="s">
        <v>39</v>
      </c>
      <c r="P186" s="9"/>
      <c r="Q186" s="15"/>
      <c r="R186" s="9">
        <v>0</v>
      </c>
    </row>
    <row r="187" spans="1:18" s="1" customFormat="1" hidden="1" x14ac:dyDescent="0.25">
      <c r="A187" s="7" t="s">
        <v>402</v>
      </c>
      <c r="B187" s="13" t="s">
        <v>403</v>
      </c>
      <c r="C187" s="7" t="s">
        <v>34</v>
      </c>
      <c r="D187" s="7" t="s">
        <v>35</v>
      </c>
      <c r="E187" s="7" t="s">
        <v>35</v>
      </c>
      <c r="F187" s="8">
        <v>0</v>
      </c>
      <c r="G187" s="20">
        <v>1</v>
      </c>
      <c r="H187" s="20">
        <v>0</v>
      </c>
      <c r="I187" s="20">
        <v>0</v>
      </c>
      <c r="J187" s="13" t="s">
        <v>229</v>
      </c>
      <c r="K187" s="13" t="s">
        <v>275</v>
      </c>
      <c r="L187" s="7" t="s">
        <v>404</v>
      </c>
      <c r="M187" s="7">
        <v>6</v>
      </c>
      <c r="N187" s="9" t="s">
        <v>1716</v>
      </c>
      <c r="O187" s="9" t="s">
        <v>39</v>
      </c>
      <c r="P187" s="9"/>
      <c r="Q187" s="15"/>
      <c r="R187" s="9">
        <v>0</v>
      </c>
    </row>
    <row r="188" spans="1:18" s="1" customFormat="1" hidden="1" x14ac:dyDescent="0.25">
      <c r="A188" s="10" t="s">
        <v>405</v>
      </c>
      <c r="B188" s="14" t="s">
        <v>406</v>
      </c>
      <c r="C188" s="10" t="s">
        <v>54</v>
      </c>
      <c r="D188" s="10" t="s">
        <v>35</v>
      </c>
      <c r="E188" s="10" t="s">
        <v>35</v>
      </c>
      <c r="F188" s="11">
        <v>0</v>
      </c>
      <c r="G188" s="21">
        <v>1</v>
      </c>
      <c r="H188" s="21">
        <v>0</v>
      </c>
      <c r="I188" s="21">
        <v>0</v>
      </c>
      <c r="J188" s="14" t="s">
        <v>287</v>
      </c>
      <c r="K188" s="14" t="s">
        <v>35</v>
      </c>
      <c r="L188" s="10" t="s">
        <v>407</v>
      </c>
      <c r="M188" s="10">
        <v>1</v>
      </c>
      <c r="N188" s="12" t="s">
        <v>1716</v>
      </c>
      <c r="O188" s="12" t="s">
        <v>39</v>
      </c>
      <c r="P188" s="12"/>
      <c r="Q188" s="16"/>
      <c r="R188" s="12">
        <v>0</v>
      </c>
    </row>
    <row r="189" spans="1:18" s="1" customFormat="1" hidden="1" x14ac:dyDescent="0.25">
      <c r="A189" s="7" t="s">
        <v>408</v>
      </c>
      <c r="B189" s="13" t="s">
        <v>409</v>
      </c>
      <c r="C189" s="7" t="s">
        <v>34</v>
      </c>
      <c r="D189" s="7" t="s">
        <v>35</v>
      </c>
      <c r="E189" s="7" t="s">
        <v>35</v>
      </c>
      <c r="F189" s="8">
        <v>0</v>
      </c>
      <c r="G189" s="20">
        <v>1</v>
      </c>
      <c r="H189" s="20">
        <v>0</v>
      </c>
      <c r="I189" s="20">
        <v>0</v>
      </c>
      <c r="J189" s="13" t="s">
        <v>410</v>
      </c>
      <c r="K189" s="13" t="s">
        <v>411</v>
      </c>
      <c r="L189" s="7" t="s">
        <v>412</v>
      </c>
      <c r="M189" s="7">
        <v>0.1</v>
      </c>
      <c r="N189" s="9" t="s">
        <v>1716</v>
      </c>
      <c r="O189" s="9" t="s">
        <v>39</v>
      </c>
      <c r="P189" s="9"/>
      <c r="Q189" s="15"/>
      <c r="R189" s="9">
        <v>0</v>
      </c>
    </row>
    <row r="190" spans="1:18" s="1" customFormat="1" hidden="1" x14ac:dyDescent="0.25">
      <c r="A190" s="7" t="s">
        <v>408</v>
      </c>
      <c r="B190" s="13" t="s">
        <v>409</v>
      </c>
      <c r="C190" s="7" t="s">
        <v>34</v>
      </c>
      <c r="D190" s="7" t="s">
        <v>35</v>
      </c>
      <c r="E190" s="7" t="s">
        <v>35</v>
      </c>
      <c r="F190" s="8">
        <v>0</v>
      </c>
      <c r="G190" s="20">
        <v>1</v>
      </c>
      <c r="H190" s="20">
        <v>0</v>
      </c>
      <c r="I190" s="20">
        <v>0</v>
      </c>
      <c r="J190" s="13" t="s">
        <v>410</v>
      </c>
      <c r="K190" s="13" t="s">
        <v>411</v>
      </c>
      <c r="L190" s="7" t="s">
        <v>413</v>
      </c>
      <c r="M190" s="7">
        <v>1.5550200000000001</v>
      </c>
      <c r="N190" s="9" t="s">
        <v>1716</v>
      </c>
      <c r="O190" s="9" t="s">
        <v>39</v>
      </c>
      <c r="P190" s="9"/>
      <c r="Q190" s="15"/>
      <c r="R190" s="9">
        <v>0</v>
      </c>
    </row>
    <row r="191" spans="1:18" s="1" customFormat="1" hidden="1" x14ac:dyDescent="0.25">
      <c r="A191" s="10" t="s">
        <v>414</v>
      </c>
      <c r="B191" s="14" t="s">
        <v>415</v>
      </c>
      <c r="C191" s="10" t="s">
        <v>34</v>
      </c>
      <c r="D191" s="10" t="s">
        <v>35</v>
      </c>
      <c r="E191" s="10" t="s">
        <v>35</v>
      </c>
      <c r="F191" s="11">
        <v>0</v>
      </c>
      <c r="G191" s="21">
        <v>1</v>
      </c>
      <c r="H191" s="21">
        <v>0</v>
      </c>
      <c r="I191" s="21">
        <v>0</v>
      </c>
      <c r="J191" s="14" t="s">
        <v>36</v>
      </c>
      <c r="K191" s="14" t="s">
        <v>35</v>
      </c>
      <c r="L191" s="10" t="s">
        <v>416</v>
      </c>
      <c r="M191" s="10">
        <v>0.1</v>
      </c>
      <c r="N191" s="12" t="s">
        <v>1716</v>
      </c>
      <c r="O191" s="12" t="s">
        <v>39</v>
      </c>
      <c r="P191" s="12"/>
      <c r="Q191" s="16"/>
      <c r="R191" s="12">
        <v>0</v>
      </c>
    </row>
    <row r="192" spans="1:18" s="1" customFormat="1" hidden="1" x14ac:dyDescent="0.25">
      <c r="A192" s="10" t="s">
        <v>414</v>
      </c>
      <c r="B192" s="14" t="s">
        <v>415</v>
      </c>
      <c r="C192" s="10" t="s">
        <v>34</v>
      </c>
      <c r="D192" s="10" t="s">
        <v>35</v>
      </c>
      <c r="E192" s="10" t="s">
        <v>35</v>
      </c>
      <c r="F192" s="11">
        <v>0</v>
      </c>
      <c r="G192" s="21">
        <v>1</v>
      </c>
      <c r="H192" s="21">
        <v>0</v>
      </c>
      <c r="I192" s="21">
        <v>0</v>
      </c>
      <c r="J192" s="14" t="s">
        <v>36</v>
      </c>
      <c r="K192" s="14" t="s">
        <v>35</v>
      </c>
      <c r="L192" s="10" t="s">
        <v>40</v>
      </c>
      <c r="M192" s="10">
        <v>1.5555000000000001</v>
      </c>
      <c r="N192" s="12" t="s">
        <v>1716</v>
      </c>
      <c r="O192" s="12" t="s">
        <v>39</v>
      </c>
      <c r="P192" s="12"/>
      <c r="Q192" s="16"/>
      <c r="R192" s="12">
        <v>0</v>
      </c>
    </row>
    <row r="193" spans="1:18" s="1" customFormat="1" hidden="1" x14ac:dyDescent="0.25">
      <c r="A193" s="7" t="s">
        <v>417</v>
      </c>
      <c r="B193" s="13" t="s">
        <v>418</v>
      </c>
      <c r="C193" s="7" t="s">
        <v>54</v>
      </c>
      <c r="D193" s="7" t="s">
        <v>35</v>
      </c>
      <c r="E193" s="7" t="s">
        <v>35</v>
      </c>
      <c r="F193" s="8">
        <v>0</v>
      </c>
      <c r="G193" s="20">
        <v>1</v>
      </c>
      <c r="H193" s="20">
        <v>0</v>
      </c>
      <c r="I193" s="20">
        <v>0</v>
      </c>
      <c r="J193" s="13" t="s">
        <v>419</v>
      </c>
      <c r="K193" s="13" t="s">
        <v>35</v>
      </c>
      <c r="L193" s="7" t="s">
        <v>420</v>
      </c>
      <c r="M193" s="7">
        <v>1</v>
      </c>
      <c r="N193" s="9" t="s">
        <v>1716</v>
      </c>
      <c r="O193" s="9" t="s">
        <v>39</v>
      </c>
      <c r="P193" s="9"/>
      <c r="Q193" s="15"/>
      <c r="R193" s="9">
        <v>0</v>
      </c>
    </row>
    <row r="194" spans="1:18" s="1" customFormat="1" hidden="1" x14ac:dyDescent="0.25">
      <c r="A194" s="10" t="s">
        <v>421</v>
      </c>
      <c r="B194" s="14" t="s">
        <v>422</v>
      </c>
      <c r="C194" s="10" t="s">
        <v>54</v>
      </c>
      <c r="D194" s="10" t="s">
        <v>35</v>
      </c>
      <c r="E194" s="10" t="s">
        <v>35</v>
      </c>
      <c r="F194" s="11">
        <v>0</v>
      </c>
      <c r="G194" s="21">
        <v>1</v>
      </c>
      <c r="H194" s="21">
        <v>0</v>
      </c>
      <c r="I194" s="21">
        <v>0</v>
      </c>
      <c r="J194" s="14" t="s">
        <v>419</v>
      </c>
      <c r="K194" s="14" t="s">
        <v>35</v>
      </c>
      <c r="L194" s="10" t="s">
        <v>423</v>
      </c>
      <c r="M194" s="10">
        <v>1</v>
      </c>
      <c r="N194" s="12" t="s">
        <v>1716</v>
      </c>
      <c r="O194" s="12" t="s">
        <v>39</v>
      </c>
      <c r="P194" s="12"/>
      <c r="Q194" s="16"/>
      <c r="R194" s="12">
        <v>0</v>
      </c>
    </row>
    <row r="195" spans="1:18" s="1" customFormat="1" hidden="1" x14ac:dyDescent="0.25">
      <c r="A195" s="7" t="s">
        <v>424</v>
      </c>
      <c r="B195" s="13" t="s">
        <v>425</v>
      </c>
      <c r="C195" s="7" t="s">
        <v>54</v>
      </c>
      <c r="D195" s="7" t="s">
        <v>35</v>
      </c>
      <c r="E195" s="7" t="s">
        <v>35</v>
      </c>
      <c r="F195" s="8">
        <v>0</v>
      </c>
      <c r="G195" s="20">
        <v>1</v>
      </c>
      <c r="H195" s="20">
        <v>0</v>
      </c>
      <c r="I195" s="20">
        <v>0</v>
      </c>
      <c r="J195" s="13" t="s">
        <v>419</v>
      </c>
      <c r="K195" s="13" t="s">
        <v>35</v>
      </c>
      <c r="L195" s="7" t="s">
        <v>426</v>
      </c>
      <c r="M195" s="7">
        <v>1</v>
      </c>
      <c r="N195" s="9" t="s">
        <v>1716</v>
      </c>
      <c r="O195" s="9" t="s">
        <v>39</v>
      </c>
      <c r="P195" s="9"/>
      <c r="Q195" s="15"/>
      <c r="R195" s="9">
        <v>0</v>
      </c>
    </row>
    <row r="196" spans="1:18" s="1" customFormat="1" hidden="1" x14ac:dyDescent="0.25">
      <c r="A196" s="10" t="s">
        <v>427</v>
      </c>
      <c r="B196" s="14" t="s">
        <v>428</v>
      </c>
      <c r="C196" s="10" t="s">
        <v>54</v>
      </c>
      <c r="D196" s="10" t="s">
        <v>35</v>
      </c>
      <c r="E196" s="10" t="s">
        <v>35</v>
      </c>
      <c r="F196" s="11">
        <v>0</v>
      </c>
      <c r="G196" s="21">
        <v>1</v>
      </c>
      <c r="H196" s="21">
        <v>0</v>
      </c>
      <c r="I196" s="21">
        <v>0</v>
      </c>
      <c r="J196" s="14" t="s">
        <v>419</v>
      </c>
      <c r="K196" s="14" t="s">
        <v>35</v>
      </c>
      <c r="L196" s="10" t="s">
        <v>429</v>
      </c>
      <c r="M196" s="10">
        <v>1</v>
      </c>
      <c r="N196" s="12" t="s">
        <v>1716</v>
      </c>
      <c r="O196" s="12" t="s">
        <v>39</v>
      </c>
      <c r="P196" s="12"/>
      <c r="Q196" s="16"/>
      <c r="R196" s="12">
        <v>0</v>
      </c>
    </row>
    <row r="197" spans="1:18" s="1" customFormat="1" hidden="1" x14ac:dyDescent="0.25">
      <c r="A197" s="7" t="s">
        <v>430</v>
      </c>
      <c r="B197" s="13" t="s">
        <v>431</v>
      </c>
      <c r="C197" s="7" t="s">
        <v>54</v>
      </c>
      <c r="D197" s="7" t="s">
        <v>35</v>
      </c>
      <c r="E197" s="7" t="s">
        <v>35</v>
      </c>
      <c r="F197" s="8">
        <v>0</v>
      </c>
      <c r="G197" s="20">
        <v>1</v>
      </c>
      <c r="H197" s="20">
        <v>0</v>
      </c>
      <c r="I197" s="20">
        <v>0</v>
      </c>
      <c r="J197" s="13" t="s">
        <v>419</v>
      </c>
      <c r="K197" s="13" t="s">
        <v>35</v>
      </c>
      <c r="L197" s="7" t="s">
        <v>432</v>
      </c>
      <c r="M197" s="7">
        <v>1</v>
      </c>
      <c r="N197" s="9" t="s">
        <v>1716</v>
      </c>
      <c r="O197" s="9" t="s">
        <v>39</v>
      </c>
      <c r="P197" s="9"/>
      <c r="Q197" s="15"/>
      <c r="R197" s="9">
        <v>0</v>
      </c>
    </row>
    <row r="198" spans="1:18" s="1" customFormat="1" hidden="1" x14ac:dyDescent="0.25">
      <c r="A198" s="10" t="s">
        <v>433</v>
      </c>
      <c r="B198" s="14" t="s">
        <v>434</v>
      </c>
      <c r="C198" s="10" t="s">
        <v>111</v>
      </c>
      <c r="D198" s="10" t="s">
        <v>35</v>
      </c>
      <c r="E198" s="10" t="s">
        <v>35</v>
      </c>
      <c r="F198" s="11">
        <v>0</v>
      </c>
      <c r="G198" s="21">
        <v>1</v>
      </c>
      <c r="H198" s="21">
        <v>0</v>
      </c>
      <c r="I198" s="21">
        <v>0</v>
      </c>
      <c r="J198" s="14" t="s">
        <v>388</v>
      </c>
      <c r="K198" s="14" t="s">
        <v>35</v>
      </c>
      <c r="L198" s="10" t="s">
        <v>435</v>
      </c>
      <c r="M198" s="10">
        <v>1</v>
      </c>
      <c r="N198" s="12" t="s">
        <v>1716</v>
      </c>
      <c r="O198" s="12" t="s">
        <v>39</v>
      </c>
      <c r="P198" s="12"/>
      <c r="Q198" s="16"/>
      <c r="R198" s="12">
        <v>0</v>
      </c>
    </row>
    <row r="199" spans="1:18" s="1" customFormat="1" hidden="1" x14ac:dyDescent="0.25">
      <c r="A199" s="7" t="s">
        <v>436</v>
      </c>
      <c r="B199" s="13" t="s">
        <v>437</v>
      </c>
      <c r="C199" s="7" t="s">
        <v>54</v>
      </c>
      <c r="D199" s="7" t="s">
        <v>35</v>
      </c>
      <c r="E199" s="7" t="s">
        <v>35</v>
      </c>
      <c r="F199" s="8">
        <v>0</v>
      </c>
      <c r="G199" s="20">
        <v>1</v>
      </c>
      <c r="H199" s="20">
        <v>0</v>
      </c>
      <c r="I199" s="20">
        <v>0</v>
      </c>
      <c r="J199" s="13" t="s">
        <v>46</v>
      </c>
      <c r="K199" s="13" t="s">
        <v>35</v>
      </c>
      <c r="L199" s="7" t="s">
        <v>438</v>
      </c>
      <c r="M199" s="7">
        <v>1</v>
      </c>
      <c r="N199" s="9" t="s">
        <v>1716</v>
      </c>
      <c r="O199" s="9" t="s">
        <v>39</v>
      </c>
      <c r="P199" s="9"/>
      <c r="Q199" s="15"/>
      <c r="R199" s="9">
        <v>0</v>
      </c>
    </row>
    <row r="200" spans="1:18" s="1" customFormat="1" hidden="1" x14ac:dyDescent="0.25">
      <c r="A200" s="7" t="s">
        <v>436</v>
      </c>
      <c r="B200" s="13" t="s">
        <v>437</v>
      </c>
      <c r="C200" s="7" t="s">
        <v>54</v>
      </c>
      <c r="D200" s="7" t="s">
        <v>35</v>
      </c>
      <c r="E200" s="7" t="s">
        <v>35</v>
      </c>
      <c r="F200" s="8">
        <v>0</v>
      </c>
      <c r="G200" s="20">
        <v>1</v>
      </c>
      <c r="H200" s="20">
        <v>0</v>
      </c>
      <c r="I200" s="20">
        <v>0</v>
      </c>
      <c r="J200" s="13" t="s">
        <v>46</v>
      </c>
      <c r="K200" s="13" t="s">
        <v>35</v>
      </c>
      <c r="L200" s="7" t="s">
        <v>439</v>
      </c>
      <c r="M200" s="7">
        <v>1</v>
      </c>
      <c r="N200" s="9" t="s">
        <v>1716</v>
      </c>
      <c r="O200" s="9" t="s">
        <v>39</v>
      </c>
      <c r="P200" s="9"/>
      <c r="Q200" s="15"/>
      <c r="R200" s="9">
        <v>0</v>
      </c>
    </row>
    <row r="201" spans="1:18" s="1" customFormat="1" hidden="1" x14ac:dyDescent="0.25">
      <c r="A201" s="7" t="s">
        <v>436</v>
      </c>
      <c r="B201" s="13" t="s">
        <v>437</v>
      </c>
      <c r="C201" s="7" t="s">
        <v>54</v>
      </c>
      <c r="D201" s="7" t="s">
        <v>35</v>
      </c>
      <c r="E201" s="7" t="s">
        <v>35</v>
      </c>
      <c r="F201" s="8">
        <v>0</v>
      </c>
      <c r="G201" s="20">
        <v>1</v>
      </c>
      <c r="H201" s="20">
        <v>0</v>
      </c>
      <c r="I201" s="20">
        <v>0</v>
      </c>
      <c r="J201" s="13" t="s">
        <v>46</v>
      </c>
      <c r="K201" s="13" t="s">
        <v>35</v>
      </c>
      <c r="L201" s="7" t="s">
        <v>440</v>
      </c>
      <c r="M201" s="7">
        <v>1</v>
      </c>
      <c r="N201" s="9" t="s">
        <v>1716</v>
      </c>
      <c r="O201" s="9" t="s">
        <v>39</v>
      </c>
      <c r="P201" s="9"/>
      <c r="Q201" s="15"/>
      <c r="R201" s="9">
        <v>0</v>
      </c>
    </row>
    <row r="202" spans="1:18" s="1" customFormat="1" hidden="1" x14ac:dyDescent="0.25">
      <c r="A202" s="10" t="s">
        <v>441</v>
      </c>
      <c r="B202" s="14" t="s">
        <v>442</v>
      </c>
      <c r="C202" s="10" t="s">
        <v>45</v>
      </c>
      <c r="D202" s="10" t="s">
        <v>35</v>
      </c>
      <c r="E202" s="10" t="s">
        <v>35</v>
      </c>
      <c r="F202" s="11">
        <v>0</v>
      </c>
      <c r="G202" s="21">
        <v>1</v>
      </c>
      <c r="H202" s="21">
        <v>0</v>
      </c>
      <c r="I202" s="21">
        <v>0</v>
      </c>
      <c r="J202" s="14" t="s">
        <v>46</v>
      </c>
      <c r="K202" s="14" t="s">
        <v>47</v>
      </c>
      <c r="L202" s="10" t="s">
        <v>48</v>
      </c>
      <c r="M202" s="10">
        <v>2.5000000000000001E-2</v>
      </c>
      <c r="N202" s="12" t="s">
        <v>1716</v>
      </c>
      <c r="O202" s="12" t="s">
        <v>39</v>
      </c>
      <c r="P202" s="12"/>
      <c r="Q202" s="16"/>
      <c r="R202" s="12">
        <v>0</v>
      </c>
    </row>
    <row r="203" spans="1:18" s="1" customFormat="1" hidden="1" x14ac:dyDescent="0.25">
      <c r="A203" s="10" t="s">
        <v>441</v>
      </c>
      <c r="B203" s="14" t="s">
        <v>442</v>
      </c>
      <c r="C203" s="10" t="s">
        <v>45</v>
      </c>
      <c r="D203" s="10" t="s">
        <v>35</v>
      </c>
      <c r="E203" s="10" t="s">
        <v>35</v>
      </c>
      <c r="F203" s="11">
        <v>0</v>
      </c>
      <c r="G203" s="21">
        <v>1</v>
      </c>
      <c r="H203" s="21">
        <v>0</v>
      </c>
      <c r="I203" s="21">
        <v>0</v>
      </c>
      <c r="J203" s="14" t="s">
        <v>46</v>
      </c>
      <c r="K203" s="14" t="s">
        <v>47</v>
      </c>
      <c r="L203" s="10" t="s">
        <v>49</v>
      </c>
      <c r="M203" s="10">
        <v>0.26400000000000001</v>
      </c>
      <c r="N203" s="12" t="s">
        <v>1716</v>
      </c>
      <c r="O203" s="12" t="s">
        <v>39</v>
      </c>
      <c r="P203" s="12"/>
      <c r="Q203" s="16"/>
      <c r="R203" s="12">
        <v>0</v>
      </c>
    </row>
    <row r="204" spans="1:18" s="1" customFormat="1" hidden="1" x14ac:dyDescent="0.25">
      <c r="A204" s="10" t="s">
        <v>441</v>
      </c>
      <c r="B204" s="14" t="s">
        <v>442</v>
      </c>
      <c r="C204" s="10" t="s">
        <v>45</v>
      </c>
      <c r="D204" s="10" t="s">
        <v>35</v>
      </c>
      <c r="E204" s="10" t="s">
        <v>35</v>
      </c>
      <c r="F204" s="11">
        <v>0</v>
      </c>
      <c r="G204" s="21">
        <v>1</v>
      </c>
      <c r="H204" s="21">
        <v>0</v>
      </c>
      <c r="I204" s="21">
        <v>0</v>
      </c>
      <c r="J204" s="14" t="s">
        <v>46</v>
      </c>
      <c r="K204" s="14" t="s">
        <v>47</v>
      </c>
      <c r="L204" s="10" t="s">
        <v>51</v>
      </c>
      <c r="M204" s="10">
        <v>1</v>
      </c>
      <c r="N204" s="12" t="s">
        <v>1716</v>
      </c>
      <c r="O204" s="12" t="s">
        <v>39</v>
      </c>
      <c r="P204" s="12"/>
      <c r="Q204" s="16"/>
      <c r="R204" s="12">
        <v>0</v>
      </c>
    </row>
    <row r="205" spans="1:18" s="1" customFormat="1" hidden="1" x14ac:dyDescent="0.25">
      <c r="A205" s="10" t="s">
        <v>441</v>
      </c>
      <c r="B205" s="14" t="s">
        <v>442</v>
      </c>
      <c r="C205" s="10" t="s">
        <v>45</v>
      </c>
      <c r="D205" s="10" t="s">
        <v>35</v>
      </c>
      <c r="E205" s="10" t="s">
        <v>35</v>
      </c>
      <c r="F205" s="11">
        <v>0</v>
      </c>
      <c r="G205" s="21">
        <v>1</v>
      </c>
      <c r="H205" s="21">
        <v>0</v>
      </c>
      <c r="I205" s="21">
        <v>0</v>
      </c>
      <c r="J205" s="14" t="s">
        <v>46</v>
      </c>
      <c r="K205" s="14" t="s">
        <v>47</v>
      </c>
      <c r="L205" s="10" t="s">
        <v>443</v>
      </c>
      <c r="M205" s="10">
        <v>1</v>
      </c>
      <c r="N205" s="12" t="s">
        <v>1716</v>
      </c>
      <c r="O205" s="12" t="s">
        <v>39</v>
      </c>
      <c r="P205" s="12"/>
      <c r="Q205" s="16"/>
      <c r="R205" s="12">
        <v>0</v>
      </c>
    </row>
    <row r="206" spans="1:18" s="1" customFormat="1" hidden="1" x14ac:dyDescent="0.25">
      <c r="A206" s="7" t="s">
        <v>444</v>
      </c>
      <c r="B206" s="13" t="s">
        <v>445</v>
      </c>
      <c r="C206" s="7" t="s">
        <v>45</v>
      </c>
      <c r="D206" s="7" t="s">
        <v>35</v>
      </c>
      <c r="E206" s="7" t="s">
        <v>35</v>
      </c>
      <c r="F206" s="8">
        <v>0</v>
      </c>
      <c r="G206" s="20">
        <v>1</v>
      </c>
      <c r="H206" s="20">
        <v>0</v>
      </c>
      <c r="I206" s="20">
        <v>0</v>
      </c>
      <c r="J206" s="13" t="s">
        <v>46</v>
      </c>
      <c r="K206" s="13" t="s">
        <v>47</v>
      </c>
      <c r="L206" s="7" t="s">
        <v>443</v>
      </c>
      <c r="M206" s="7">
        <v>1.1000000000000001</v>
      </c>
      <c r="N206" s="9" t="s">
        <v>1716</v>
      </c>
      <c r="O206" s="9" t="s">
        <v>39</v>
      </c>
      <c r="P206" s="9"/>
      <c r="Q206" s="15"/>
      <c r="R206" s="9">
        <v>0</v>
      </c>
    </row>
    <row r="207" spans="1:18" s="1" customFormat="1" hidden="1" x14ac:dyDescent="0.25">
      <c r="A207" s="7" t="s">
        <v>444</v>
      </c>
      <c r="B207" s="13" t="s">
        <v>445</v>
      </c>
      <c r="C207" s="7" t="s">
        <v>45</v>
      </c>
      <c r="D207" s="7" t="s">
        <v>35</v>
      </c>
      <c r="E207" s="7" t="s">
        <v>35</v>
      </c>
      <c r="F207" s="8">
        <v>0</v>
      </c>
      <c r="G207" s="20">
        <v>1</v>
      </c>
      <c r="H207" s="20">
        <v>0</v>
      </c>
      <c r="I207" s="20">
        <v>0</v>
      </c>
      <c r="J207" s="13" t="s">
        <v>46</v>
      </c>
      <c r="K207" s="13" t="s">
        <v>47</v>
      </c>
      <c r="L207" s="7" t="s">
        <v>48</v>
      </c>
      <c r="M207" s="7">
        <v>2.5000000000000001E-2</v>
      </c>
      <c r="N207" s="9" t="s">
        <v>1716</v>
      </c>
      <c r="O207" s="9" t="s">
        <v>39</v>
      </c>
      <c r="P207" s="9"/>
      <c r="Q207" s="15"/>
      <c r="R207" s="9">
        <v>0</v>
      </c>
    </row>
    <row r="208" spans="1:18" s="1" customFormat="1" hidden="1" x14ac:dyDescent="0.25">
      <c r="A208" s="7" t="s">
        <v>444</v>
      </c>
      <c r="B208" s="13" t="s">
        <v>445</v>
      </c>
      <c r="C208" s="7" t="s">
        <v>45</v>
      </c>
      <c r="D208" s="7" t="s">
        <v>35</v>
      </c>
      <c r="E208" s="7" t="s">
        <v>35</v>
      </c>
      <c r="F208" s="8">
        <v>0</v>
      </c>
      <c r="G208" s="20">
        <v>1</v>
      </c>
      <c r="H208" s="20">
        <v>0</v>
      </c>
      <c r="I208" s="20">
        <v>0</v>
      </c>
      <c r="J208" s="13" t="s">
        <v>46</v>
      </c>
      <c r="K208" s="13" t="s">
        <v>47</v>
      </c>
      <c r="L208" s="7" t="s">
        <v>49</v>
      </c>
      <c r="M208" s="7">
        <v>0.26400000000000001</v>
      </c>
      <c r="N208" s="9" t="s">
        <v>1716</v>
      </c>
      <c r="O208" s="9" t="s">
        <v>39</v>
      </c>
      <c r="P208" s="9"/>
      <c r="Q208" s="15"/>
      <c r="R208" s="9">
        <v>0</v>
      </c>
    </row>
    <row r="209" spans="1:18" s="1" customFormat="1" hidden="1" x14ac:dyDescent="0.25">
      <c r="A209" s="10" t="s">
        <v>446</v>
      </c>
      <c r="B209" s="14" t="s">
        <v>447</v>
      </c>
      <c r="C209" s="10" t="s">
        <v>45</v>
      </c>
      <c r="D209" s="10" t="s">
        <v>35</v>
      </c>
      <c r="E209" s="10" t="s">
        <v>35</v>
      </c>
      <c r="F209" s="11">
        <v>0</v>
      </c>
      <c r="G209" s="21">
        <v>1</v>
      </c>
      <c r="H209" s="21">
        <v>0</v>
      </c>
      <c r="I209" s="21">
        <v>0</v>
      </c>
      <c r="J209" s="14" t="s">
        <v>448</v>
      </c>
      <c r="K209" s="14" t="s">
        <v>449</v>
      </c>
      <c r="L209" s="10" t="s">
        <v>48</v>
      </c>
      <c r="M209" s="10">
        <v>2.5000000000000001E-2</v>
      </c>
      <c r="N209" s="12" t="s">
        <v>1716</v>
      </c>
      <c r="O209" s="12" t="s">
        <v>39</v>
      </c>
      <c r="P209" s="12"/>
      <c r="Q209" s="16"/>
      <c r="R209" s="12">
        <v>0</v>
      </c>
    </row>
    <row r="210" spans="1:18" s="1" customFormat="1" hidden="1" x14ac:dyDescent="0.25">
      <c r="A210" s="10" t="s">
        <v>446</v>
      </c>
      <c r="B210" s="14" t="s">
        <v>447</v>
      </c>
      <c r="C210" s="10" t="s">
        <v>45</v>
      </c>
      <c r="D210" s="10" t="s">
        <v>35</v>
      </c>
      <c r="E210" s="10" t="s">
        <v>35</v>
      </c>
      <c r="F210" s="11">
        <v>0</v>
      </c>
      <c r="G210" s="21">
        <v>1</v>
      </c>
      <c r="H210" s="21">
        <v>0</v>
      </c>
      <c r="I210" s="21">
        <v>0</v>
      </c>
      <c r="J210" s="14" t="s">
        <v>448</v>
      </c>
      <c r="K210" s="14" t="s">
        <v>449</v>
      </c>
      <c r="L210" s="10" t="s">
        <v>212</v>
      </c>
      <c r="M210" s="10">
        <v>0.54300000000000004</v>
      </c>
      <c r="N210" s="12" t="s">
        <v>1716</v>
      </c>
      <c r="O210" s="12" t="s">
        <v>39</v>
      </c>
      <c r="P210" s="12"/>
      <c r="Q210" s="16"/>
      <c r="R210" s="12">
        <v>0</v>
      </c>
    </row>
    <row r="211" spans="1:18" s="1" customFormat="1" hidden="1" x14ac:dyDescent="0.25">
      <c r="A211" s="10" t="s">
        <v>446</v>
      </c>
      <c r="B211" s="14" t="s">
        <v>447</v>
      </c>
      <c r="C211" s="10" t="s">
        <v>45</v>
      </c>
      <c r="D211" s="10" t="s">
        <v>35</v>
      </c>
      <c r="E211" s="10" t="s">
        <v>35</v>
      </c>
      <c r="F211" s="11">
        <v>0</v>
      </c>
      <c r="G211" s="21">
        <v>1</v>
      </c>
      <c r="H211" s="21">
        <v>0</v>
      </c>
      <c r="I211" s="21">
        <v>0</v>
      </c>
      <c r="J211" s="14" t="s">
        <v>448</v>
      </c>
      <c r="K211" s="14" t="s">
        <v>449</v>
      </c>
      <c r="L211" s="10" t="s">
        <v>443</v>
      </c>
      <c r="M211" s="10">
        <v>1</v>
      </c>
      <c r="N211" s="12" t="s">
        <v>1716</v>
      </c>
      <c r="O211" s="12" t="s">
        <v>39</v>
      </c>
      <c r="P211" s="12"/>
      <c r="Q211" s="16"/>
      <c r="R211" s="12">
        <v>0</v>
      </c>
    </row>
    <row r="212" spans="1:18" s="1" customFormat="1" hidden="1" x14ac:dyDescent="0.25">
      <c r="A212" s="10" t="s">
        <v>446</v>
      </c>
      <c r="B212" s="14" t="s">
        <v>447</v>
      </c>
      <c r="C212" s="10" t="s">
        <v>45</v>
      </c>
      <c r="D212" s="10" t="s">
        <v>35</v>
      </c>
      <c r="E212" s="10" t="s">
        <v>35</v>
      </c>
      <c r="F212" s="11">
        <v>0</v>
      </c>
      <c r="G212" s="21">
        <v>1</v>
      </c>
      <c r="H212" s="21">
        <v>0</v>
      </c>
      <c r="I212" s="21">
        <v>0</v>
      </c>
      <c r="J212" s="14" t="s">
        <v>448</v>
      </c>
      <c r="K212" s="14" t="s">
        <v>449</v>
      </c>
      <c r="L212" s="10" t="s">
        <v>51</v>
      </c>
      <c r="M212" s="10">
        <v>1</v>
      </c>
      <c r="N212" s="12" t="s">
        <v>1716</v>
      </c>
      <c r="O212" s="12" t="s">
        <v>39</v>
      </c>
      <c r="P212" s="12"/>
      <c r="Q212" s="16"/>
      <c r="R212" s="12">
        <v>0</v>
      </c>
    </row>
    <row r="213" spans="1:18" s="1" customFormat="1" hidden="1" x14ac:dyDescent="0.25">
      <c r="A213" s="7" t="s">
        <v>450</v>
      </c>
      <c r="B213" s="13" t="s">
        <v>451</v>
      </c>
      <c r="C213" s="7" t="s">
        <v>45</v>
      </c>
      <c r="D213" s="7" t="s">
        <v>35</v>
      </c>
      <c r="E213" s="7" t="s">
        <v>35</v>
      </c>
      <c r="F213" s="8">
        <v>0</v>
      </c>
      <c r="G213" s="20">
        <v>1</v>
      </c>
      <c r="H213" s="20">
        <v>0</v>
      </c>
      <c r="I213" s="20">
        <v>0</v>
      </c>
      <c r="J213" s="13" t="s">
        <v>448</v>
      </c>
      <c r="K213" s="13" t="s">
        <v>449</v>
      </c>
      <c r="L213" s="7" t="s">
        <v>443</v>
      </c>
      <c r="M213" s="7">
        <v>1.1000000000000001</v>
      </c>
      <c r="N213" s="9" t="s">
        <v>1716</v>
      </c>
      <c r="O213" s="9" t="s">
        <v>39</v>
      </c>
      <c r="P213" s="9"/>
      <c r="Q213" s="15"/>
      <c r="R213" s="9">
        <v>0</v>
      </c>
    </row>
    <row r="214" spans="1:18" s="1" customFormat="1" hidden="1" x14ac:dyDescent="0.25">
      <c r="A214" s="7" t="s">
        <v>450</v>
      </c>
      <c r="B214" s="13" t="s">
        <v>451</v>
      </c>
      <c r="C214" s="7" t="s">
        <v>45</v>
      </c>
      <c r="D214" s="7" t="s">
        <v>35</v>
      </c>
      <c r="E214" s="7" t="s">
        <v>35</v>
      </c>
      <c r="F214" s="8">
        <v>0</v>
      </c>
      <c r="G214" s="20">
        <v>1</v>
      </c>
      <c r="H214" s="20">
        <v>0</v>
      </c>
      <c r="I214" s="20">
        <v>0</v>
      </c>
      <c r="J214" s="13" t="s">
        <v>448</v>
      </c>
      <c r="K214" s="13" t="s">
        <v>449</v>
      </c>
      <c r="L214" s="7" t="s">
        <v>48</v>
      </c>
      <c r="M214" s="7">
        <v>2.5000000000000001E-2</v>
      </c>
      <c r="N214" s="9" t="s">
        <v>1716</v>
      </c>
      <c r="O214" s="9" t="s">
        <v>39</v>
      </c>
      <c r="P214" s="9"/>
      <c r="Q214" s="15"/>
      <c r="R214" s="9">
        <v>0</v>
      </c>
    </row>
    <row r="215" spans="1:18" s="1" customFormat="1" hidden="1" x14ac:dyDescent="0.25">
      <c r="A215" s="7" t="s">
        <v>450</v>
      </c>
      <c r="B215" s="13" t="s">
        <v>451</v>
      </c>
      <c r="C215" s="7" t="s">
        <v>45</v>
      </c>
      <c r="D215" s="7" t="s">
        <v>35</v>
      </c>
      <c r="E215" s="7" t="s">
        <v>35</v>
      </c>
      <c r="F215" s="8">
        <v>0</v>
      </c>
      <c r="G215" s="20">
        <v>1</v>
      </c>
      <c r="H215" s="20">
        <v>0</v>
      </c>
      <c r="I215" s="20">
        <v>0</v>
      </c>
      <c r="J215" s="13" t="s">
        <v>448</v>
      </c>
      <c r="K215" s="13" t="s">
        <v>449</v>
      </c>
      <c r="L215" s="7" t="s">
        <v>212</v>
      </c>
      <c r="M215" s="7">
        <v>0.54300000000000004</v>
      </c>
      <c r="N215" s="9" t="s">
        <v>1716</v>
      </c>
      <c r="O215" s="9" t="s">
        <v>39</v>
      </c>
      <c r="P215" s="9"/>
      <c r="Q215" s="15"/>
      <c r="R215" s="9">
        <v>0</v>
      </c>
    </row>
    <row r="216" spans="1:18" s="1" customFormat="1" hidden="1" x14ac:dyDescent="0.25">
      <c r="A216" s="10" t="s">
        <v>452</v>
      </c>
      <c r="B216" s="14" t="s">
        <v>453</v>
      </c>
      <c r="C216" s="10" t="s">
        <v>45</v>
      </c>
      <c r="D216" s="10" t="s">
        <v>35</v>
      </c>
      <c r="E216" s="10" t="s">
        <v>35</v>
      </c>
      <c r="F216" s="11">
        <v>0</v>
      </c>
      <c r="G216" s="21">
        <v>1</v>
      </c>
      <c r="H216" s="21">
        <v>0</v>
      </c>
      <c r="I216" s="21">
        <v>0</v>
      </c>
      <c r="J216" s="14" t="s">
        <v>46</v>
      </c>
      <c r="K216" s="14" t="s">
        <v>47</v>
      </c>
      <c r="L216" s="10" t="s">
        <v>48</v>
      </c>
      <c r="M216" s="10">
        <v>2.5000000000000001E-2</v>
      </c>
      <c r="N216" s="12" t="s">
        <v>1716</v>
      </c>
      <c r="O216" s="12" t="s">
        <v>39</v>
      </c>
      <c r="P216" s="12"/>
      <c r="Q216" s="16"/>
      <c r="R216" s="12">
        <v>0</v>
      </c>
    </row>
    <row r="217" spans="1:18" s="1" customFormat="1" hidden="1" x14ac:dyDescent="0.25">
      <c r="A217" s="10" t="s">
        <v>452</v>
      </c>
      <c r="B217" s="14" t="s">
        <v>453</v>
      </c>
      <c r="C217" s="10" t="s">
        <v>45</v>
      </c>
      <c r="D217" s="10" t="s">
        <v>35</v>
      </c>
      <c r="E217" s="10" t="s">
        <v>35</v>
      </c>
      <c r="F217" s="11">
        <v>0</v>
      </c>
      <c r="G217" s="21">
        <v>1</v>
      </c>
      <c r="H217" s="21">
        <v>0</v>
      </c>
      <c r="I217" s="21">
        <v>0</v>
      </c>
      <c r="J217" s="14" t="s">
        <v>46</v>
      </c>
      <c r="K217" s="14" t="s">
        <v>47</v>
      </c>
      <c r="L217" s="10" t="s">
        <v>49</v>
      </c>
      <c r="M217" s="10">
        <v>0.26400000000000001</v>
      </c>
      <c r="N217" s="12" t="s">
        <v>1716</v>
      </c>
      <c r="O217" s="12" t="s">
        <v>39</v>
      </c>
      <c r="P217" s="12"/>
      <c r="Q217" s="16"/>
      <c r="R217" s="12">
        <v>0</v>
      </c>
    </row>
    <row r="218" spans="1:18" s="1" customFormat="1" hidden="1" x14ac:dyDescent="0.25">
      <c r="A218" s="10" t="s">
        <v>452</v>
      </c>
      <c r="B218" s="14" t="s">
        <v>453</v>
      </c>
      <c r="C218" s="10" t="s">
        <v>45</v>
      </c>
      <c r="D218" s="10" t="s">
        <v>35</v>
      </c>
      <c r="E218" s="10" t="s">
        <v>35</v>
      </c>
      <c r="F218" s="11">
        <v>0</v>
      </c>
      <c r="G218" s="21">
        <v>1</v>
      </c>
      <c r="H218" s="21">
        <v>0</v>
      </c>
      <c r="I218" s="21">
        <v>0</v>
      </c>
      <c r="J218" s="14" t="s">
        <v>46</v>
      </c>
      <c r="K218" s="14" t="s">
        <v>47</v>
      </c>
      <c r="L218" s="10" t="s">
        <v>51</v>
      </c>
      <c r="M218" s="10">
        <v>1</v>
      </c>
      <c r="N218" s="12" t="s">
        <v>1716</v>
      </c>
      <c r="O218" s="12" t="s">
        <v>39</v>
      </c>
      <c r="P218" s="12"/>
      <c r="Q218" s="16"/>
      <c r="R218" s="12">
        <v>0</v>
      </c>
    </row>
    <row r="219" spans="1:18" s="1" customFormat="1" hidden="1" x14ac:dyDescent="0.25">
      <c r="A219" s="10" t="s">
        <v>452</v>
      </c>
      <c r="B219" s="14" t="s">
        <v>453</v>
      </c>
      <c r="C219" s="10" t="s">
        <v>45</v>
      </c>
      <c r="D219" s="10" t="s">
        <v>35</v>
      </c>
      <c r="E219" s="10" t="s">
        <v>35</v>
      </c>
      <c r="F219" s="11">
        <v>0</v>
      </c>
      <c r="G219" s="21">
        <v>1</v>
      </c>
      <c r="H219" s="21">
        <v>0</v>
      </c>
      <c r="I219" s="21">
        <v>0</v>
      </c>
      <c r="J219" s="14" t="s">
        <v>46</v>
      </c>
      <c r="K219" s="14" t="s">
        <v>47</v>
      </c>
      <c r="L219" s="10" t="s">
        <v>454</v>
      </c>
      <c r="M219" s="10">
        <v>1</v>
      </c>
      <c r="N219" s="12" t="s">
        <v>1716</v>
      </c>
      <c r="O219" s="12" t="s">
        <v>39</v>
      </c>
      <c r="P219" s="12"/>
      <c r="Q219" s="16"/>
      <c r="R219" s="12">
        <v>0</v>
      </c>
    </row>
    <row r="220" spans="1:18" s="1" customFormat="1" hidden="1" x14ac:dyDescent="0.25">
      <c r="A220" s="7" t="s">
        <v>455</v>
      </c>
      <c r="B220" s="13" t="s">
        <v>456</v>
      </c>
      <c r="C220" s="7" t="s">
        <v>45</v>
      </c>
      <c r="D220" s="7" t="s">
        <v>35</v>
      </c>
      <c r="E220" s="7" t="s">
        <v>35</v>
      </c>
      <c r="F220" s="8">
        <v>0</v>
      </c>
      <c r="G220" s="20">
        <v>1</v>
      </c>
      <c r="H220" s="20">
        <v>0</v>
      </c>
      <c r="I220" s="20">
        <v>0</v>
      </c>
      <c r="J220" s="13" t="s">
        <v>46</v>
      </c>
      <c r="K220" s="13" t="s">
        <v>47</v>
      </c>
      <c r="L220" s="7" t="s">
        <v>454</v>
      </c>
      <c r="M220" s="7">
        <v>1</v>
      </c>
      <c r="N220" s="9" t="s">
        <v>1716</v>
      </c>
      <c r="O220" s="9" t="s">
        <v>39</v>
      </c>
      <c r="P220" s="9"/>
      <c r="Q220" s="15"/>
      <c r="R220" s="9">
        <v>0</v>
      </c>
    </row>
    <row r="221" spans="1:18" s="1" customFormat="1" hidden="1" x14ac:dyDescent="0.25">
      <c r="A221" s="7" t="s">
        <v>455</v>
      </c>
      <c r="B221" s="13" t="s">
        <v>456</v>
      </c>
      <c r="C221" s="7" t="s">
        <v>45</v>
      </c>
      <c r="D221" s="7" t="s">
        <v>35</v>
      </c>
      <c r="E221" s="7" t="s">
        <v>35</v>
      </c>
      <c r="F221" s="8">
        <v>0</v>
      </c>
      <c r="G221" s="20">
        <v>1</v>
      </c>
      <c r="H221" s="20">
        <v>0</v>
      </c>
      <c r="I221" s="20">
        <v>0</v>
      </c>
      <c r="J221" s="13" t="s">
        <v>46</v>
      </c>
      <c r="K221" s="13" t="s">
        <v>47</v>
      </c>
      <c r="L221" s="7" t="s">
        <v>48</v>
      </c>
      <c r="M221" s="7">
        <v>2.5000000000000001E-2</v>
      </c>
      <c r="N221" s="9" t="s">
        <v>1716</v>
      </c>
      <c r="O221" s="9" t="s">
        <v>39</v>
      </c>
      <c r="P221" s="9"/>
      <c r="Q221" s="15"/>
      <c r="R221" s="9">
        <v>0</v>
      </c>
    </row>
    <row r="222" spans="1:18" s="1" customFormat="1" hidden="1" x14ac:dyDescent="0.25">
      <c r="A222" s="7" t="s">
        <v>455</v>
      </c>
      <c r="B222" s="13" t="s">
        <v>456</v>
      </c>
      <c r="C222" s="7" t="s">
        <v>45</v>
      </c>
      <c r="D222" s="7" t="s">
        <v>35</v>
      </c>
      <c r="E222" s="7" t="s">
        <v>35</v>
      </c>
      <c r="F222" s="8">
        <v>0</v>
      </c>
      <c r="G222" s="20">
        <v>1</v>
      </c>
      <c r="H222" s="20">
        <v>0</v>
      </c>
      <c r="I222" s="20">
        <v>0</v>
      </c>
      <c r="J222" s="13" t="s">
        <v>46</v>
      </c>
      <c r="K222" s="13" t="s">
        <v>47</v>
      </c>
      <c r="L222" s="7" t="s">
        <v>49</v>
      </c>
      <c r="M222" s="7">
        <v>0.26400000000000001</v>
      </c>
      <c r="N222" s="9" t="s">
        <v>1716</v>
      </c>
      <c r="O222" s="9" t="s">
        <v>39</v>
      </c>
      <c r="P222" s="9"/>
      <c r="Q222" s="15"/>
      <c r="R222" s="9">
        <v>0</v>
      </c>
    </row>
    <row r="223" spans="1:18" s="1" customFormat="1" hidden="1" x14ac:dyDescent="0.25">
      <c r="A223" s="10" t="s">
        <v>457</v>
      </c>
      <c r="B223" s="14" t="s">
        <v>458</v>
      </c>
      <c r="C223" s="10" t="s">
        <v>45</v>
      </c>
      <c r="D223" s="10" t="s">
        <v>35</v>
      </c>
      <c r="E223" s="10" t="s">
        <v>35</v>
      </c>
      <c r="F223" s="11">
        <v>0</v>
      </c>
      <c r="G223" s="21">
        <v>1</v>
      </c>
      <c r="H223" s="21">
        <v>0</v>
      </c>
      <c r="I223" s="21">
        <v>0</v>
      </c>
      <c r="J223" s="14" t="s">
        <v>448</v>
      </c>
      <c r="K223" s="14" t="s">
        <v>449</v>
      </c>
      <c r="L223" s="10" t="s">
        <v>48</v>
      </c>
      <c r="M223" s="10">
        <v>2.5000000000000001E-2</v>
      </c>
      <c r="N223" s="12" t="s">
        <v>1716</v>
      </c>
      <c r="O223" s="12" t="s">
        <v>39</v>
      </c>
      <c r="P223" s="12"/>
      <c r="Q223" s="16"/>
      <c r="R223" s="12">
        <v>0</v>
      </c>
    </row>
    <row r="224" spans="1:18" s="1" customFormat="1" hidden="1" x14ac:dyDescent="0.25">
      <c r="A224" s="10" t="s">
        <v>457</v>
      </c>
      <c r="B224" s="14" t="s">
        <v>458</v>
      </c>
      <c r="C224" s="10" t="s">
        <v>45</v>
      </c>
      <c r="D224" s="10" t="s">
        <v>35</v>
      </c>
      <c r="E224" s="10" t="s">
        <v>35</v>
      </c>
      <c r="F224" s="11">
        <v>0</v>
      </c>
      <c r="G224" s="21">
        <v>1</v>
      </c>
      <c r="H224" s="21">
        <v>0</v>
      </c>
      <c r="I224" s="21">
        <v>0</v>
      </c>
      <c r="J224" s="14" t="s">
        <v>448</v>
      </c>
      <c r="K224" s="14" t="s">
        <v>449</v>
      </c>
      <c r="L224" s="10" t="s">
        <v>212</v>
      </c>
      <c r="M224" s="10">
        <v>0.36699999999999999</v>
      </c>
      <c r="N224" s="12" t="s">
        <v>1716</v>
      </c>
      <c r="O224" s="12" t="s">
        <v>39</v>
      </c>
      <c r="P224" s="12"/>
      <c r="Q224" s="16"/>
      <c r="R224" s="12">
        <v>0</v>
      </c>
    </row>
    <row r="225" spans="1:18" s="1" customFormat="1" hidden="1" x14ac:dyDescent="0.25">
      <c r="A225" s="10" t="s">
        <v>457</v>
      </c>
      <c r="B225" s="14" t="s">
        <v>458</v>
      </c>
      <c r="C225" s="10" t="s">
        <v>45</v>
      </c>
      <c r="D225" s="10" t="s">
        <v>35</v>
      </c>
      <c r="E225" s="10" t="s">
        <v>35</v>
      </c>
      <c r="F225" s="11">
        <v>0</v>
      </c>
      <c r="G225" s="21">
        <v>1</v>
      </c>
      <c r="H225" s="21">
        <v>0</v>
      </c>
      <c r="I225" s="21">
        <v>0</v>
      </c>
      <c r="J225" s="14" t="s">
        <v>448</v>
      </c>
      <c r="K225" s="14" t="s">
        <v>449</v>
      </c>
      <c r="L225" s="10" t="s">
        <v>51</v>
      </c>
      <c r="M225" s="10">
        <v>1</v>
      </c>
      <c r="N225" s="12" t="s">
        <v>1716</v>
      </c>
      <c r="O225" s="12" t="s">
        <v>39</v>
      </c>
      <c r="P225" s="12"/>
      <c r="Q225" s="16"/>
      <c r="R225" s="12">
        <v>0</v>
      </c>
    </row>
    <row r="226" spans="1:18" s="1" customFormat="1" hidden="1" x14ac:dyDescent="0.25">
      <c r="A226" s="10" t="s">
        <v>457</v>
      </c>
      <c r="B226" s="14" t="s">
        <v>458</v>
      </c>
      <c r="C226" s="10" t="s">
        <v>45</v>
      </c>
      <c r="D226" s="10" t="s">
        <v>35</v>
      </c>
      <c r="E226" s="10" t="s">
        <v>35</v>
      </c>
      <c r="F226" s="11">
        <v>0</v>
      </c>
      <c r="G226" s="21">
        <v>1</v>
      </c>
      <c r="H226" s="21">
        <v>0</v>
      </c>
      <c r="I226" s="21">
        <v>0</v>
      </c>
      <c r="J226" s="14" t="s">
        <v>448</v>
      </c>
      <c r="K226" s="14" t="s">
        <v>449</v>
      </c>
      <c r="L226" s="10" t="s">
        <v>454</v>
      </c>
      <c r="M226" s="10">
        <v>1</v>
      </c>
      <c r="N226" s="12" t="s">
        <v>1716</v>
      </c>
      <c r="O226" s="12" t="s">
        <v>39</v>
      </c>
      <c r="P226" s="12"/>
      <c r="Q226" s="16"/>
      <c r="R226" s="12">
        <v>0</v>
      </c>
    </row>
    <row r="227" spans="1:18" s="1" customFormat="1" hidden="1" x14ac:dyDescent="0.25">
      <c r="A227" s="7" t="s">
        <v>459</v>
      </c>
      <c r="B227" s="13" t="s">
        <v>460</v>
      </c>
      <c r="C227" s="7" t="s">
        <v>45</v>
      </c>
      <c r="D227" s="7" t="s">
        <v>35</v>
      </c>
      <c r="E227" s="7" t="s">
        <v>35</v>
      </c>
      <c r="F227" s="8">
        <v>0</v>
      </c>
      <c r="G227" s="20">
        <v>1</v>
      </c>
      <c r="H227" s="20">
        <v>0</v>
      </c>
      <c r="I227" s="20">
        <v>0</v>
      </c>
      <c r="J227" s="13" t="s">
        <v>448</v>
      </c>
      <c r="K227" s="13" t="s">
        <v>449</v>
      </c>
      <c r="L227" s="7" t="s">
        <v>454</v>
      </c>
      <c r="M227" s="7">
        <v>1.1000000000000001</v>
      </c>
      <c r="N227" s="9" t="s">
        <v>1716</v>
      </c>
      <c r="O227" s="9" t="s">
        <v>39</v>
      </c>
      <c r="P227" s="9"/>
      <c r="Q227" s="15"/>
      <c r="R227" s="9">
        <v>0</v>
      </c>
    </row>
    <row r="228" spans="1:18" s="1" customFormat="1" hidden="1" x14ac:dyDescent="0.25">
      <c r="A228" s="7" t="s">
        <v>459</v>
      </c>
      <c r="B228" s="13" t="s">
        <v>460</v>
      </c>
      <c r="C228" s="7" t="s">
        <v>45</v>
      </c>
      <c r="D228" s="7" t="s">
        <v>35</v>
      </c>
      <c r="E228" s="7" t="s">
        <v>35</v>
      </c>
      <c r="F228" s="8">
        <v>0</v>
      </c>
      <c r="G228" s="20">
        <v>1</v>
      </c>
      <c r="H228" s="20">
        <v>0</v>
      </c>
      <c r="I228" s="20">
        <v>0</v>
      </c>
      <c r="J228" s="13" t="s">
        <v>448</v>
      </c>
      <c r="K228" s="13" t="s">
        <v>449</v>
      </c>
      <c r="L228" s="7" t="s">
        <v>48</v>
      </c>
      <c r="M228" s="7">
        <v>2.5000000000000001E-2</v>
      </c>
      <c r="N228" s="9" t="s">
        <v>1716</v>
      </c>
      <c r="O228" s="9" t="s">
        <v>39</v>
      </c>
      <c r="P228" s="9"/>
      <c r="Q228" s="15"/>
      <c r="R228" s="9">
        <v>0</v>
      </c>
    </row>
    <row r="229" spans="1:18" s="1" customFormat="1" hidden="1" x14ac:dyDescent="0.25">
      <c r="A229" s="7" t="s">
        <v>459</v>
      </c>
      <c r="B229" s="13" t="s">
        <v>460</v>
      </c>
      <c r="C229" s="7" t="s">
        <v>45</v>
      </c>
      <c r="D229" s="7" t="s">
        <v>35</v>
      </c>
      <c r="E229" s="7" t="s">
        <v>35</v>
      </c>
      <c r="F229" s="8">
        <v>0</v>
      </c>
      <c r="G229" s="20">
        <v>1</v>
      </c>
      <c r="H229" s="20">
        <v>0</v>
      </c>
      <c r="I229" s="20">
        <v>0</v>
      </c>
      <c r="J229" s="13" t="s">
        <v>448</v>
      </c>
      <c r="K229" s="13" t="s">
        <v>449</v>
      </c>
      <c r="L229" s="7" t="s">
        <v>212</v>
      </c>
      <c r="M229" s="7">
        <v>0.36699999999999999</v>
      </c>
      <c r="N229" s="9" t="s">
        <v>1716</v>
      </c>
      <c r="O229" s="9" t="s">
        <v>39</v>
      </c>
      <c r="P229" s="9"/>
      <c r="Q229" s="15"/>
      <c r="R229" s="9">
        <v>0</v>
      </c>
    </row>
    <row r="230" spans="1:18" s="1" customFormat="1" hidden="1" x14ac:dyDescent="0.25">
      <c r="A230" s="10" t="s">
        <v>461</v>
      </c>
      <c r="B230" s="14" t="s">
        <v>462</v>
      </c>
      <c r="C230" s="10" t="s">
        <v>45</v>
      </c>
      <c r="D230" s="10" t="s">
        <v>35</v>
      </c>
      <c r="E230" s="10" t="s">
        <v>35</v>
      </c>
      <c r="F230" s="11">
        <v>0</v>
      </c>
      <c r="G230" s="21">
        <v>1</v>
      </c>
      <c r="H230" s="21">
        <v>0</v>
      </c>
      <c r="I230" s="21">
        <v>0</v>
      </c>
      <c r="J230" s="14" t="s">
        <v>46</v>
      </c>
      <c r="K230" s="14" t="s">
        <v>47</v>
      </c>
      <c r="L230" s="10" t="s">
        <v>48</v>
      </c>
      <c r="M230" s="10">
        <v>2.5000000000000001E-2</v>
      </c>
      <c r="N230" s="12" t="s">
        <v>1716</v>
      </c>
      <c r="O230" s="12" t="s">
        <v>39</v>
      </c>
      <c r="P230" s="12"/>
      <c r="Q230" s="16"/>
      <c r="R230" s="12">
        <v>0</v>
      </c>
    </row>
    <row r="231" spans="1:18" s="1" customFormat="1" hidden="1" x14ac:dyDescent="0.25">
      <c r="A231" s="10" t="s">
        <v>461</v>
      </c>
      <c r="B231" s="14" t="s">
        <v>462</v>
      </c>
      <c r="C231" s="10" t="s">
        <v>45</v>
      </c>
      <c r="D231" s="10" t="s">
        <v>35</v>
      </c>
      <c r="E231" s="10" t="s">
        <v>35</v>
      </c>
      <c r="F231" s="11">
        <v>0</v>
      </c>
      <c r="G231" s="21">
        <v>1</v>
      </c>
      <c r="H231" s="21">
        <v>0</v>
      </c>
      <c r="I231" s="21">
        <v>0</v>
      </c>
      <c r="J231" s="14" t="s">
        <v>46</v>
      </c>
      <c r="K231" s="14" t="s">
        <v>47</v>
      </c>
      <c r="L231" s="10" t="s">
        <v>49</v>
      </c>
      <c r="M231" s="10">
        <v>0.26400000000000001</v>
      </c>
      <c r="N231" s="12" t="s">
        <v>1716</v>
      </c>
      <c r="O231" s="12" t="s">
        <v>39</v>
      </c>
      <c r="P231" s="12"/>
      <c r="Q231" s="16"/>
      <c r="R231" s="12">
        <v>0</v>
      </c>
    </row>
    <row r="232" spans="1:18" s="1" customFormat="1" hidden="1" x14ac:dyDescent="0.25">
      <c r="A232" s="10" t="s">
        <v>461</v>
      </c>
      <c r="B232" s="14" t="s">
        <v>462</v>
      </c>
      <c r="C232" s="10" t="s">
        <v>45</v>
      </c>
      <c r="D232" s="10" t="s">
        <v>35</v>
      </c>
      <c r="E232" s="10" t="s">
        <v>35</v>
      </c>
      <c r="F232" s="11">
        <v>0</v>
      </c>
      <c r="G232" s="21">
        <v>1</v>
      </c>
      <c r="H232" s="21">
        <v>0</v>
      </c>
      <c r="I232" s="21">
        <v>0</v>
      </c>
      <c r="J232" s="14" t="s">
        <v>46</v>
      </c>
      <c r="K232" s="14" t="s">
        <v>47</v>
      </c>
      <c r="L232" s="10" t="s">
        <v>51</v>
      </c>
      <c r="M232" s="10">
        <v>1</v>
      </c>
      <c r="N232" s="12" t="s">
        <v>1716</v>
      </c>
      <c r="O232" s="12" t="s">
        <v>39</v>
      </c>
      <c r="P232" s="12"/>
      <c r="Q232" s="16"/>
      <c r="R232" s="12">
        <v>0</v>
      </c>
    </row>
    <row r="233" spans="1:18" s="1" customFormat="1" hidden="1" x14ac:dyDescent="0.25">
      <c r="A233" s="10" t="s">
        <v>461</v>
      </c>
      <c r="B233" s="14" t="s">
        <v>462</v>
      </c>
      <c r="C233" s="10" t="s">
        <v>45</v>
      </c>
      <c r="D233" s="10" t="s">
        <v>35</v>
      </c>
      <c r="E233" s="10" t="s">
        <v>35</v>
      </c>
      <c r="F233" s="11">
        <v>0</v>
      </c>
      <c r="G233" s="21">
        <v>1</v>
      </c>
      <c r="H233" s="21">
        <v>0</v>
      </c>
      <c r="I233" s="21">
        <v>0</v>
      </c>
      <c r="J233" s="14" t="s">
        <v>46</v>
      </c>
      <c r="K233" s="14" t="s">
        <v>47</v>
      </c>
      <c r="L233" s="10" t="s">
        <v>463</v>
      </c>
      <c r="M233" s="10">
        <v>1</v>
      </c>
      <c r="N233" s="12" t="s">
        <v>1716</v>
      </c>
      <c r="O233" s="12" t="s">
        <v>39</v>
      </c>
      <c r="P233" s="12"/>
      <c r="Q233" s="16"/>
      <c r="R233" s="12">
        <v>0</v>
      </c>
    </row>
    <row r="234" spans="1:18" s="1" customFormat="1" hidden="1" x14ac:dyDescent="0.25">
      <c r="A234" s="7" t="s">
        <v>464</v>
      </c>
      <c r="B234" s="13" t="s">
        <v>465</v>
      </c>
      <c r="C234" s="7" t="s">
        <v>45</v>
      </c>
      <c r="D234" s="7" t="s">
        <v>35</v>
      </c>
      <c r="E234" s="7" t="s">
        <v>35</v>
      </c>
      <c r="F234" s="8">
        <v>0</v>
      </c>
      <c r="G234" s="20">
        <v>1</v>
      </c>
      <c r="H234" s="20">
        <v>0</v>
      </c>
      <c r="I234" s="20">
        <v>0</v>
      </c>
      <c r="J234" s="13" t="s">
        <v>46</v>
      </c>
      <c r="K234" s="13" t="s">
        <v>47</v>
      </c>
      <c r="L234" s="7" t="s">
        <v>463</v>
      </c>
      <c r="M234" s="7">
        <v>1.1000000000000001</v>
      </c>
      <c r="N234" s="9" t="s">
        <v>1716</v>
      </c>
      <c r="O234" s="9" t="s">
        <v>39</v>
      </c>
      <c r="P234" s="9"/>
      <c r="Q234" s="15"/>
      <c r="R234" s="9">
        <v>0</v>
      </c>
    </row>
    <row r="235" spans="1:18" s="1" customFormat="1" hidden="1" x14ac:dyDescent="0.25">
      <c r="A235" s="7" t="s">
        <v>464</v>
      </c>
      <c r="B235" s="13" t="s">
        <v>465</v>
      </c>
      <c r="C235" s="7" t="s">
        <v>45</v>
      </c>
      <c r="D235" s="7" t="s">
        <v>35</v>
      </c>
      <c r="E235" s="7" t="s">
        <v>35</v>
      </c>
      <c r="F235" s="8">
        <v>0</v>
      </c>
      <c r="G235" s="20">
        <v>1</v>
      </c>
      <c r="H235" s="20">
        <v>0</v>
      </c>
      <c r="I235" s="20">
        <v>0</v>
      </c>
      <c r="J235" s="13" t="s">
        <v>46</v>
      </c>
      <c r="K235" s="13" t="s">
        <v>47</v>
      </c>
      <c r="L235" s="7" t="s">
        <v>48</v>
      </c>
      <c r="M235" s="7">
        <v>2.5000000000000001E-2</v>
      </c>
      <c r="N235" s="9" t="s">
        <v>1716</v>
      </c>
      <c r="O235" s="9" t="s">
        <v>39</v>
      </c>
      <c r="P235" s="9"/>
      <c r="Q235" s="15"/>
      <c r="R235" s="9">
        <v>0</v>
      </c>
    </row>
    <row r="236" spans="1:18" s="1" customFormat="1" hidden="1" x14ac:dyDescent="0.25">
      <c r="A236" s="7" t="s">
        <v>464</v>
      </c>
      <c r="B236" s="13" t="s">
        <v>465</v>
      </c>
      <c r="C236" s="7" t="s">
        <v>45</v>
      </c>
      <c r="D236" s="7" t="s">
        <v>35</v>
      </c>
      <c r="E236" s="7" t="s">
        <v>35</v>
      </c>
      <c r="F236" s="8">
        <v>0</v>
      </c>
      <c r="G236" s="20">
        <v>1</v>
      </c>
      <c r="H236" s="20">
        <v>0</v>
      </c>
      <c r="I236" s="20">
        <v>0</v>
      </c>
      <c r="J236" s="13" t="s">
        <v>46</v>
      </c>
      <c r="K236" s="13" t="s">
        <v>47</v>
      </c>
      <c r="L236" s="7" t="s">
        <v>49</v>
      </c>
      <c r="M236" s="7">
        <v>0.26400000000000001</v>
      </c>
      <c r="N236" s="9" t="s">
        <v>1716</v>
      </c>
      <c r="O236" s="9" t="s">
        <v>39</v>
      </c>
      <c r="P236" s="9"/>
      <c r="Q236" s="15"/>
      <c r="R236" s="9">
        <v>0</v>
      </c>
    </row>
    <row r="237" spans="1:18" s="1" customFormat="1" hidden="1" x14ac:dyDescent="0.25">
      <c r="A237" s="10" t="s">
        <v>466</v>
      </c>
      <c r="B237" s="14" t="s">
        <v>467</v>
      </c>
      <c r="C237" s="10" t="s">
        <v>45</v>
      </c>
      <c r="D237" s="10" t="s">
        <v>35</v>
      </c>
      <c r="E237" s="10" t="s">
        <v>35</v>
      </c>
      <c r="F237" s="11">
        <v>0</v>
      </c>
      <c r="G237" s="21">
        <v>1</v>
      </c>
      <c r="H237" s="21">
        <v>0</v>
      </c>
      <c r="I237" s="21">
        <v>0</v>
      </c>
      <c r="J237" s="14" t="s">
        <v>448</v>
      </c>
      <c r="K237" s="14" t="s">
        <v>449</v>
      </c>
      <c r="L237" s="10" t="s">
        <v>48</v>
      </c>
      <c r="M237" s="10">
        <v>2.5000000000000001E-2</v>
      </c>
      <c r="N237" s="12" t="s">
        <v>1716</v>
      </c>
      <c r="O237" s="12" t="s">
        <v>39</v>
      </c>
      <c r="P237" s="12"/>
      <c r="Q237" s="16"/>
      <c r="R237" s="12">
        <v>0</v>
      </c>
    </row>
    <row r="238" spans="1:18" s="1" customFormat="1" hidden="1" x14ac:dyDescent="0.25">
      <c r="A238" s="10" t="s">
        <v>466</v>
      </c>
      <c r="B238" s="14" t="s">
        <v>467</v>
      </c>
      <c r="C238" s="10" t="s">
        <v>45</v>
      </c>
      <c r="D238" s="10" t="s">
        <v>35</v>
      </c>
      <c r="E238" s="10" t="s">
        <v>35</v>
      </c>
      <c r="F238" s="11">
        <v>0</v>
      </c>
      <c r="G238" s="21">
        <v>1</v>
      </c>
      <c r="H238" s="21">
        <v>0</v>
      </c>
      <c r="I238" s="21">
        <v>0</v>
      </c>
      <c r="J238" s="14" t="s">
        <v>448</v>
      </c>
      <c r="K238" s="14" t="s">
        <v>449</v>
      </c>
      <c r="L238" s="10" t="s">
        <v>212</v>
      </c>
      <c r="M238" s="10">
        <v>0.21199999999999999</v>
      </c>
      <c r="N238" s="12" t="s">
        <v>1716</v>
      </c>
      <c r="O238" s="12" t="s">
        <v>39</v>
      </c>
      <c r="P238" s="12"/>
      <c r="Q238" s="16"/>
      <c r="R238" s="12">
        <v>0</v>
      </c>
    </row>
    <row r="239" spans="1:18" s="1" customFormat="1" hidden="1" x14ac:dyDescent="0.25">
      <c r="A239" s="10" t="s">
        <v>466</v>
      </c>
      <c r="B239" s="14" t="s">
        <v>467</v>
      </c>
      <c r="C239" s="10" t="s">
        <v>45</v>
      </c>
      <c r="D239" s="10" t="s">
        <v>35</v>
      </c>
      <c r="E239" s="10" t="s">
        <v>35</v>
      </c>
      <c r="F239" s="11">
        <v>0</v>
      </c>
      <c r="G239" s="21">
        <v>1</v>
      </c>
      <c r="H239" s="21">
        <v>0</v>
      </c>
      <c r="I239" s="21">
        <v>0</v>
      </c>
      <c r="J239" s="14" t="s">
        <v>448</v>
      </c>
      <c r="K239" s="14" t="s">
        <v>449</v>
      </c>
      <c r="L239" s="10" t="s">
        <v>51</v>
      </c>
      <c r="M239" s="10">
        <v>1</v>
      </c>
      <c r="N239" s="12" t="s">
        <v>1716</v>
      </c>
      <c r="O239" s="12" t="s">
        <v>39</v>
      </c>
      <c r="P239" s="12"/>
      <c r="Q239" s="16"/>
      <c r="R239" s="12">
        <v>0</v>
      </c>
    </row>
    <row r="240" spans="1:18" s="1" customFormat="1" hidden="1" x14ac:dyDescent="0.25">
      <c r="A240" s="10" t="s">
        <v>466</v>
      </c>
      <c r="B240" s="14" t="s">
        <v>467</v>
      </c>
      <c r="C240" s="10" t="s">
        <v>45</v>
      </c>
      <c r="D240" s="10" t="s">
        <v>35</v>
      </c>
      <c r="E240" s="10" t="s">
        <v>35</v>
      </c>
      <c r="F240" s="11">
        <v>0</v>
      </c>
      <c r="G240" s="21">
        <v>1</v>
      </c>
      <c r="H240" s="21">
        <v>0</v>
      </c>
      <c r="I240" s="21">
        <v>0</v>
      </c>
      <c r="J240" s="14" t="s">
        <v>448</v>
      </c>
      <c r="K240" s="14" t="s">
        <v>449</v>
      </c>
      <c r="L240" s="10" t="s">
        <v>463</v>
      </c>
      <c r="M240" s="10">
        <v>1</v>
      </c>
      <c r="N240" s="12" t="s">
        <v>1716</v>
      </c>
      <c r="O240" s="12" t="s">
        <v>39</v>
      </c>
      <c r="P240" s="12"/>
      <c r="Q240" s="16"/>
      <c r="R240" s="12">
        <v>0</v>
      </c>
    </row>
    <row r="241" spans="1:18" s="1" customFormat="1" hidden="1" x14ac:dyDescent="0.25">
      <c r="A241" s="7" t="s">
        <v>468</v>
      </c>
      <c r="B241" s="13" t="s">
        <v>469</v>
      </c>
      <c r="C241" s="7" t="s">
        <v>45</v>
      </c>
      <c r="D241" s="7" t="s">
        <v>35</v>
      </c>
      <c r="E241" s="7" t="s">
        <v>35</v>
      </c>
      <c r="F241" s="8">
        <v>0</v>
      </c>
      <c r="G241" s="20">
        <v>1</v>
      </c>
      <c r="H241" s="20">
        <v>0</v>
      </c>
      <c r="I241" s="20">
        <v>0</v>
      </c>
      <c r="J241" s="13" t="s">
        <v>448</v>
      </c>
      <c r="K241" s="13" t="s">
        <v>449</v>
      </c>
      <c r="L241" s="7" t="s">
        <v>463</v>
      </c>
      <c r="M241" s="7">
        <v>1.1000000000000001</v>
      </c>
      <c r="N241" s="9" t="s">
        <v>1716</v>
      </c>
      <c r="O241" s="9" t="s">
        <v>39</v>
      </c>
      <c r="P241" s="9"/>
      <c r="Q241" s="15"/>
      <c r="R241" s="9">
        <v>0</v>
      </c>
    </row>
    <row r="242" spans="1:18" s="1" customFormat="1" hidden="1" x14ac:dyDescent="0.25">
      <c r="A242" s="7" t="s">
        <v>468</v>
      </c>
      <c r="B242" s="13" t="s">
        <v>469</v>
      </c>
      <c r="C242" s="7" t="s">
        <v>45</v>
      </c>
      <c r="D242" s="7" t="s">
        <v>35</v>
      </c>
      <c r="E242" s="7" t="s">
        <v>35</v>
      </c>
      <c r="F242" s="8">
        <v>0</v>
      </c>
      <c r="G242" s="20">
        <v>1</v>
      </c>
      <c r="H242" s="20">
        <v>0</v>
      </c>
      <c r="I242" s="20">
        <v>0</v>
      </c>
      <c r="J242" s="13" t="s">
        <v>448</v>
      </c>
      <c r="K242" s="13" t="s">
        <v>449</v>
      </c>
      <c r="L242" s="7" t="s">
        <v>48</v>
      </c>
      <c r="M242" s="7">
        <v>2.5000000000000001E-2</v>
      </c>
      <c r="N242" s="9" t="s">
        <v>1716</v>
      </c>
      <c r="O242" s="9" t="s">
        <v>39</v>
      </c>
      <c r="P242" s="9"/>
      <c r="Q242" s="15"/>
      <c r="R242" s="9">
        <v>0</v>
      </c>
    </row>
    <row r="243" spans="1:18" s="1" customFormat="1" hidden="1" x14ac:dyDescent="0.25">
      <c r="A243" s="7" t="s">
        <v>468</v>
      </c>
      <c r="B243" s="13" t="s">
        <v>469</v>
      </c>
      <c r="C243" s="7" t="s">
        <v>45</v>
      </c>
      <c r="D243" s="7" t="s">
        <v>35</v>
      </c>
      <c r="E243" s="7" t="s">
        <v>35</v>
      </c>
      <c r="F243" s="8">
        <v>0</v>
      </c>
      <c r="G243" s="20">
        <v>1</v>
      </c>
      <c r="H243" s="20">
        <v>0</v>
      </c>
      <c r="I243" s="20">
        <v>0</v>
      </c>
      <c r="J243" s="13" t="s">
        <v>448</v>
      </c>
      <c r="K243" s="13" t="s">
        <v>449</v>
      </c>
      <c r="L243" s="7" t="s">
        <v>212</v>
      </c>
      <c r="M243" s="7">
        <v>0.21199999999999999</v>
      </c>
      <c r="N243" s="9" t="s">
        <v>1716</v>
      </c>
      <c r="O243" s="9" t="s">
        <v>39</v>
      </c>
      <c r="P243" s="9"/>
      <c r="Q243" s="15"/>
      <c r="R243" s="9">
        <v>0</v>
      </c>
    </row>
    <row r="244" spans="1:18" s="1" customFormat="1" hidden="1" x14ac:dyDescent="0.25">
      <c r="A244" s="10" t="s">
        <v>470</v>
      </c>
      <c r="B244" s="14" t="s">
        <v>471</v>
      </c>
      <c r="C244" s="10" t="s">
        <v>45</v>
      </c>
      <c r="D244" s="10" t="s">
        <v>35</v>
      </c>
      <c r="E244" s="10" t="s">
        <v>35</v>
      </c>
      <c r="F244" s="11">
        <v>0</v>
      </c>
      <c r="G244" s="21">
        <v>1</v>
      </c>
      <c r="H244" s="21">
        <v>0</v>
      </c>
      <c r="I244" s="21">
        <v>0</v>
      </c>
      <c r="J244" s="14" t="s">
        <v>46</v>
      </c>
      <c r="K244" s="14" t="s">
        <v>47</v>
      </c>
      <c r="L244" s="10" t="s">
        <v>48</v>
      </c>
      <c r="M244" s="10">
        <v>2.5000000000000001E-2</v>
      </c>
      <c r="N244" s="12" t="s">
        <v>1716</v>
      </c>
      <c r="O244" s="12" t="s">
        <v>39</v>
      </c>
      <c r="P244" s="12"/>
      <c r="Q244" s="16"/>
      <c r="R244" s="12">
        <v>0</v>
      </c>
    </row>
    <row r="245" spans="1:18" s="1" customFormat="1" hidden="1" x14ac:dyDescent="0.25">
      <c r="A245" s="10" t="s">
        <v>470</v>
      </c>
      <c r="B245" s="14" t="s">
        <v>471</v>
      </c>
      <c r="C245" s="10" t="s">
        <v>45</v>
      </c>
      <c r="D245" s="10" t="s">
        <v>35</v>
      </c>
      <c r="E245" s="10" t="s">
        <v>35</v>
      </c>
      <c r="F245" s="11">
        <v>0</v>
      </c>
      <c r="G245" s="21">
        <v>1</v>
      </c>
      <c r="H245" s="21">
        <v>0</v>
      </c>
      <c r="I245" s="21">
        <v>0</v>
      </c>
      <c r="J245" s="14" t="s">
        <v>46</v>
      </c>
      <c r="K245" s="14" t="s">
        <v>47</v>
      </c>
      <c r="L245" s="10" t="s">
        <v>49</v>
      </c>
      <c r="M245" s="10">
        <v>0.26400000000000001</v>
      </c>
      <c r="N245" s="12" t="s">
        <v>1716</v>
      </c>
      <c r="O245" s="12" t="s">
        <v>39</v>
      </c>
      <c r="P245" s="12"/>
      <c r="Q245" s="16"/>
      <c r="R245" s="12">
        <v>0</v>
      </c>
    </row>
    <row r="246" spans="1:18" s="1" customFormat="1" hidden="1" x14ac:dyDescent="0.25">
      <c r="A246" s="10" t="s">
        <v>470</v>
      </c>
      <c r="B246" s="14" t="s">
        <v>471</v>
      </c>
      <c r="C246" s="10" t="s">
        <v>45</v>
      </c>
      <c r="D246" s="10" t="s">
        <v>35</v>
      </c>
      <c r="E246" s="10" t="s">
        <v>35</v>
      </c>
      <c r="F246" s="11">
        <v>0</v>
      </c>
      <c r="G246" s="21">
        <v>1</v>
      </c>
      <c r="H246" s="21">
        <v>0</v>
      </c>
      <c r="I246" s="21">
        <v>0</v>
      </c>
      <c r="J246" s="14" t="s">
        <v>46</v>
      </c>
      <c r="K246" s="14" t="s">
        <v>47</v>
      </c>
      <c r="L246" s="10" t="s">
        <v>51</v>
      </c>
      <c r="M246" s="10">
        <v>1</v>
      </c>
      <c r="N246" s="12" t="s">
        <v>1716</v>
      </c>
      <c r="O246" s="12" t="s">
        <v>39</v>
      </c>
      <c r="P246" s="12"/>
      <c r="Q246" s="16"/>
      <c r="R246" s="12">
        <v>0</v>
      </c>
    </row>
    <row r="247" spans="1:18" s="1" customFormat="1" hidden="1" x14ac:dyDescent="0.25">
      <c r="A247" s="10" t="s">
        <v>470</v>
      </c>
      <c r="B247" s="14" t="s">
        <v>471</v>
      </c>
      <c r="C247" s="10" t="s">
        <v>45</v>
      </c>
      <c r="D247" s="10" t="s">
        <v>35</v>
      </c>
      <c r="E247" s="10" t="s">
        <v>35</v>
      </c>
      <c r="F247" s="11">
        <v>0</v>
      </c>
      <c r="G247" s="21">
        <v>1</v>
      </c>
      <c r="H247" s="21">
        <v>0</v>
      </c>
      <c r="I247" s="21">
        <v>0</v>
      </c>
      <c r="J247" s="14" t="s">
        <v>46</v>
      </c>
      <c r="K247" s="14" t="s">
        <v>47</v>
      </c>
      <c r="L247" s="10" t="s">
        <v>472</v>
      </c>
      <c r="M247" s="10">
        <v>1</v>
      </c>
      <c r="N247" s="12" t="s">
        <v>1716</v>
      </c>
      <c r="O247" s="12" t="s">
        <v>39</v>
      </c>
      <c r="P247" s="12"/>
      <c r="Q247" s="16"/>
      <c r="R247" s="12">
        <v>0</v>
      </c>
    </row>
    <row r="248" spans="1:18" s="1" customFormat="1" hidden="1" x14ac:dyDescent="0.25">
      <c r="A248" s="7" t="s">
        <v>473</v>
      </c>
      <c r="B248" s="13" t="s">
        <v>474</v>
      </c>
      <c r="C248" s="7" t="s">
        <v>45</v>
      </c>
      <c r="D248" s="7" t="s">
        <v>35</v>
      </c>
      <c r="E248" s="7" t="s">
        <v>35</v>
      </c>
      <c r="F248" s="8">
        <v>0</v>
      </c>
      <c r="G248" s="20">
        <v>1</v>
      </c>
      <c r="H248" s="20">
        <v>0</v>
      </c>
      <c r="I248" s="20">
        <v>0</v>
      </c>
      <c r="J248" s="13" t="s">
        <v>46</v>
      </c>
      <c r="K248" s="13" t="s">
        <v>47</v>
      </c>
      <c r="L248" s="7" t="s">
        <v>472</v>
      </c>
      <c r="M248" s="7">
        <v>1.1000000000000001</v>
      </c>
      <c r="N248" s="9" t="s">
        <v>1716</v>
      </c>
      <c r="O248" s="9" t="s">
        <v>39</v>
      </c>
      <c r="P248" s="9"/>
      <c r="Q248" s="15"/>
      <c r="R248" s="9">
        <v>0</v>
      </c>
    </row>
    <row r="249" spans="1:18" s="1" customFormat="1" hidden="1" x14ac:dyDescent="0.25">
      <c r="A249" s="7" t="s">
        <v>473</v>
      </c>
      <c r="B249" s="13" t="s">
        <v>474</v>
      </c>
      <c r="C249" s="7" t="s">
        <v>45</v>
      </c>
      <c r="D249" s="7" t="s">
        <v>35</v>
      </c>
      <c r="E249" s="7" t="s">
        <v>35</v>
      </c>
      <c r="F249" s="8">
        <v>0</v>
      </c>
      <c r="G249" s="20">
        <v>1</v>
      </c>
      <c r="H249" s="20">
        <v>0</v>
      </c>
      <c r="I249" s="20">
        <v>0</v>
      </c>
      <c r="J249" s="13" t="s">
        <v>46</v>
      </c>
      <c r="K249" s="13" t="s">
        <v>47</v>
      </c>
      <c r="L249" s="7" t="s">
        <v>48</v>
      </c>
      <c r="M249" s="7">
        <v>2.5000000000000001E-2</v>
      </c>
      <c r="N249" s="9" t="s">
        <v>1716</v>
      </c>
      <c r="O249" s="9" t="s">
        <v>39</v>
      </c>
      <c r="P249" s="9"/>
      <c r="Q249" s="15"/>
      <c r="R249" s="9">
        <v>0</v>
      </c>
    </row>
    <row r="250" spans="1:18" s="1" customFormat="1" hidden="1" x14ac:dyDescent="0.25">
      <c r="A250" s="7" t="s">
        <v>473</v>
      </c>
      <c r="B250" s="13" t="s">
        <v>474</v>
      </c>
      <c r="C250" s="7" t="s">
        <v>45</v>
      </c>
      <c r="D250" s="7" t="s">
        <v>35</v>
      </c>
      <c r="E250" s="7" t="s">
        <v>35</v>
      </c>
      <c r="F250" s="8">
        <v>0</v>
      </c>
      <c r="G250" s="20">
        <v>1</v>
      </c>
      <c r="H250" s="20">
        <v>0</v>
      </c>
      <c r="I250" s="20">
        <v>0</v>
      </c>
      <c r="J250" s="13" t="s">
        <v>46</v>
      </c>
      <c r="K250" s="13" t="s">
        <v>47</v>
      </c>
      <c r="L250" s="7" t="s">
        <v>49</v>
      </c>
      <c r="M250" s="7">
        <v>0.26400000000000001</v>
      </c>
      <c r="N250" s="9" t="s">
        <v>1716</v>
      </c>
      <c r="O250" s="9" t="s">
        <v>39</v>
      </c>
      <c r="P250" s="9"/>
      <c r="Q250" s="15"/>
      <c r="R250" s="9">
        <v>0</v>
      </c>
    </row>
    <row r="251" spans="1:18" s="1" customFormat="1" hidden="1" x14ac:dyDescent="0.25">
      <c r="A251" s="10" t="s">
        <v>475</v>
      </c>
      <c r="B251" s="14" t="s">
        <v>476</v>
      </c>
      <c r="C251" s="10" t="s">
        <v>45</v>
      </c>
      <c r="D251" s="10" t="s">
        <v>35</v>
      </c>
      <c r="E251" s="10" t="s">
        <v>35</v>
      </c>
      <c r="F251" s="11">
        <v>0</v>
      </c>
      <c r="G251" s="21">
        <v>1</v>
      </c>
      <c r="H251" s="21">
        <v>0</v>
      </c>
      <c r="I251" s="21">
        <v>0</v>
      </c>
      <c r="J251" s="14" t="s">
        <v>448</v>
      </c>
      <c r="K251" s="14" t="s">
        <v>449</v>
      </c>
      <c r="L251" s="10" t="s">
        <v>48</v>
      </c>
      <c r="M251" s="10">
        <v>2.5000000000000001E-2</v>
      </c>
      <c r="N251" s="12" t="s">
        <v>1716</v>
      </c>
      <c r="O251" s="12" t="s">
        <v>39</v>
      </c>
      <c r="P251" s="12"/>
      <c r="Q251" s="16"/>
      <c r="R251" s="12">
        <v>0</v>
      </c>
    </row>
    <row r="252" spans="1:18" s="1" customFormat="1" hidden="1" x14ac:dyDescent="0.25">
      <c r="A252" s="10" t="s">
        <v>475</v>
      </c>
      <c r="B252" s="14" t="s">
        <v>476</v>
      </c>
      <c r="C252" s="10" t="s">
        <v>45</v>
      </c>
      <c r="D252" s="10" t="s">
        <v>35</v>
      </c>
      <c r="E252" s="10" t="s">
        <v>35</v>
      </c>
      <c r="F252" s="11">
        <v>0</v>
      </c>
      <c r="G252" s="21">
        <v>1</v>
      </c>
      <c r="H252" s="21">
        <v>0</v>
      </c>
      <c r="I252" s="21">
        <v>0</v>
      </c>
      <c r="J252" s="14" t="s">
        <v>448</v>
      </c>
      <c r="K252" s="14" t="s">
        <v>449</v>
      </c>
      <c r="L252" s="10" t="s">
        <v>212</v>
      </c>
      <c r="M252" s="10">
        <v>0.13600000000000001</v>
      </c>
      <c r="N252" s="12" t="s">
        <v>1716</v>
      </c>
      <c r="O252" s="12" t="s">
        <v>39</v>
      </c>
      <c r="P252" s="12"/>
      <c r="Q252" s="16"/>
      <c r="R252" s="12">
        <v>0</v>
      </c>
    </row>
    <row r="253" spans="1:18" s="1" customFormat="1" hidden="1" x14ac:dyDescent="0.25">
      <c r="A253" s="10" t="s">
        <v>475</v>
      </c>
      <c r="B253" s="14" t="s">
        <v>476</v>
      </c>
      <c r="C253" s="10" t="s">
        <v>45</v>
      </c>
      <c r="D253" s="10" t="s">
        <v>35</v>
      </c>
      <c r="E253" s="10" t="s">
        <v>35</v>
      </c>
      <c r="F253" s="11">
        <v>0</v>
      </c>
      <c r="G253" s="21">
        <v>1</v>
      </c>
      <c r="H253" s="21">
        <v>0</v>
      </c>
      <c r="I253" s="21">
        <v>0</v>
      </c>
      <c r="J253" s="14" t="s">
        <v>448</v>
      </c>
      <c r="K253" s="14" t="s">
        <v>449</v>
      </c>
      <c r="L253" s="10" t="s">
        <v>51</v>
      </c>
      <c r="M253" s="10">
        <v>1</v>
      </c>
      <c r="N253" s="12" t="s">
        <v>1716</v>
      </c>
      <c r="O253" s="12" t="s">
        <v>39</v>
      </c>
      <c r="P253" s="12"/>
      <c r="Q253" s="16"/>
      <c r="R253" s="12">
        <v>0</v>
      </c>
    </row>
    <row r="254" spans="1:18" s="1" customFormat="1" hidden="1" x14ac:dyDescent="0.25">
      <c r="A254" s="10" t="s">
        <v>475</v>
      </c>
      <c r="B254" s="14" t="s">
        <v>476</v>
      </c>
      <c r="C254" s="10" t="s">
        <v>45</v>
      </c>
      <c r="D254" s="10" t="s">
        <v>35</v>
      </c>
      <c r="E254" s="10" t="s">
        <v>35</v>
      </c>
      <c r="F254" s="11">
        <v>0</v>
      </c>
      <c r="G254" s="21">
        <v>1</v>
      </c>
      <c r="H254" s="21">
        <v>0</v>
      </c>
      <c r="I254" s="21">
        <v>0</v>
      </c>
      <c r="J254" s="14" t="s">
        <v>448</v>
      </c>
      <c r="K254" s="14" t="s">
        <v>449</v>
      </c>
      <c r="L254" s="10" t="s">
        <v>472</v>
      </c>
      <c r="M254" s="10">
        <v>1</v>
      </c>
      <c r="N254" s="12" t="s">
        <v>1716</v>
      </c>
      <c r="O254" s="12" t="s">
        <v>39</v>
      </c>
      <c r="P254" s="12"/>
      <c r="Q254" s="16"/>
      <c r="R254" s="12">
        <v>0</v>
      </c>
    </row>
    <row r="255" spans="1:18" s="1" customFormat="1" hidden="1" x14ac:dyDescent="0.25">
      <c r="A255" s="7" t="s">
        <v>477</v>
      </c>
      <c r="B255" s="13" t="s">
        <v>478</v>
      </c>
      <c r="C255" s="7" t="s">
        <v>45</v>
      </c>
      <c r="D255" s="7" t="s">
        <v>35</v>
      </c>
      <c r="E255" s="7" t="s">
        <v>35</v>
      </c>
      <c r="F255" s="8">
        <v>0</v>
      </c>
      <c r="G255" s="20">
        <v>1</v>
      </c>
      <c r="H255" s="20">
        <v>0</v>
      </c>
      <c r="I255" s="20">
        <v>0</v>
      </c>
      <c r="J255" s="13" t="s">
        <v>448</v>
      </c>
      <c r="K255" s="13" t="s">
        <v>449</v>
      </c>
      <c r="L255" s="7" t="s">
        <v>472</v>
      </c>
      <c r="M255" s="7">
        <v>1.1000000000000001</v>
      </c>
      <c r="N255" s="9" t="s">
        <v>1716</v>
      </c>
      <c r="O255" s="9" t="s">
        <v>39</v>
      </c>
      <c r="P255" s="9"/>
      <c r="Q255" s="15"/>
      <c r="R255" s="9">
        <v>0</v>
      </c>
    </row>
    <row r="256" spans="1:18" s="1" customFormat="1" hidden="1" x14ac:dyDescent="0.25">
      <c r="A256" s="7" t="s">
        <v>477</v>
      </c>
      <c r="B256" s="13" t="s">
        <v>478</v>
      </c>
      <c r="C256" s="7" t="s">
        <v>45</v>
      </c>
      <c r="D256" s="7" t="s">
        <v>35</v>
      </c>
      <c r="E256" s="7" t="s">
        <v>35</v>
      </c>
      <c r="F256" s="8">
        <v>0</v>
      </c>
      <c r="G256" s="20">
        <v>1</v>
      </c>
      <c r="H256" s="20">
        <v>0</v>
      </c>
      <c r="I256" s="20">
        <v>0</v>
      </c>
      <c r="J256" s="13" t="s">
        <v>448</v>
      </c>
      <c r="K256" s="13" t="s">
        <v>449</v>
      </c>
      <c r="L256" s="7" t="s">
        <v>48</v>
      </c>
      <c r="M256" s="7">
        <v>2.5000000000000001E-2</v>
      </c>
      <c r="N256" s="9" t="s">
        <v>1716</v>
      </c>
      <c r="O256" s="9" t="s">
        <v>39</v>
      </c>
      <c r="P256" s="9"/>
      <c r="Q256" s="15"/>
      <c r="R256" s="9">
        <v>0</v>
      </c>
    </row>
    <row r="257" spans="1:18" s="1" customFormat="1" hidden="1" x14ac:dyDescent="0.25">
      <c r="A257" s="7" t="s">
        <v>477</v>
      </c>
      <c r="B257" s="13" t="s">
        <v>478</v>
      </c>
      <c r="C257" s="7" t="s">
        <v>45</v>
      </c>
      <c r="D257" s="7" t="s">
        <v>35</v>
      </c>
      <c r="E257" s="7" t="s">
        <v>35</v>
      </c>
      <c r="F257" s="8">
        <v>0</v>
      </c>
      <c r="G257" s="20">
        <v>1</v>
      </c>
      <c r="H257" s="20">
        <v>0</v>
      </c>
      <c r="I257" s="20">
        <v>0</v>
      </c>
      <c r="J257" s="13" t="s">
        <v>448</v>
      </c>
      <c r="K257" s="13" t="s">
        <v>449</v>
      </c>
      <c r="L257" s="7" t="s">
        <v>212</v>
      </c>
      <c r="M257" s="7">
        <v>0.13600000000000001</v>
      </c>
      <c r="N257" s="9" t="s">
        <v>1716</v>
      </c>
      <c r="O257" s="9" t="s">
        <v>39</v>
      </c>
      <c r="P257" s="9"/>
      <c r="Q257" s="15"/>
      <c r="R257" s="9">
        <v>0</v>
      </c>
    </row>
    <row r="258" spans="1:18" s="1" customFormat="1" hidden="1" x14ac:dyDescent="0.25">
      <c r="A258" s="10" t="s">
        <v>479</v>
      </c>
      <c r="B258" s="14" t="s">
        <v>480</v>
      </c>
      <c r="C258" s="10" t="s">
        <v>45</v>
      </c>
      <c r="D258" s="10" t="s">
        <v>35</v>
      </c>
      <c r="E258" s="10" t="s">
        <v>35</v>
      </c>
      <c r="F258" s="11">
        <v>0</v>
      </c>
      <c r="G258" s="21">
        <v>1</v>
      </c>
      <c r="H258" s="21">
        <v>0</v>
      </c>
      <c r="I258" s="21">
        <v>0</v>
      </c>
      <c r="J258" s="14" t="s">
        <v>46</v>
      </c>
      <c r="K258" s="14" t="s">
        <v>47</v>
      </c>
      <c r="L258" s="10" t="s">
        <v>48</v>
      </c>
      <c r="M258" s="10">
        <v>2.5000000000000001E-2</v>
      </c>
      <c r="N258" s="12" t="s">
        <v>1716</v>
      </c>
      <c r="O258" s="12" t="s">
        <v>39</v>
      </c>
      <c r="P258" s="12"/>
      <c r="Q258" s="16"/>
      <c r="R258" s="12">
        <v>0</v>
      </c>
    </row>
    <row r="259" spans="1:18" s="1" customFormat="1" hidden="1" x14ac:dyDescent="0.25">
      <c r="A259" s="10" t="s">
        <v>479</v>
      </c>
      <c r="B259" s="14" t="s">
        <v>480</v>
      </c>
      <c r="C259" s="10" t="s">
        <v>45</v>
      </c>
      <c r="D259" s="10" t="s">
        <v>35</v>
      </c>
      <c r="E259" s="10" t="s">
        <v>35</v>
      </c>
      <c r="F259" s="11">
        <v>0</v>
      </c>
      <c r="G259" s="21">
        <v>1</v>
      </c>
      <c r="H259" s="21">
        <v>0</v>
      </c>
      <c r="I259" s="21">
        <v>0</v>
      </c>
      <c r="J259" s="14" t="s">
        <v>46</v>
      </c>
      <c r="K259" s="14" t="s">
        <v>47</v>
      </c>
      <c r="L259" s="10" t="s">
        <v>49</v>
      </c>
      <c r="M259" s="10">
        <v>0.26400000000000001</v>
      </c>
      <c r="N259" s="12" t="s">
        <v>1716</v>
      </c>
      <c r="O259" s="12" t="s">
        <v>39</v>
      </c>
      <c r="P259" s="12"/>
      <c r="Q259" s="16"/>
      <c r="R259" s="12">
        <v>0</v>
      </c>
    </row>
    <row r="260" spans="1:18" s="1" customFormat="1" hidden="1" x14ac:dyDescent="0.25">
      <c r="A260" s="10" t="s">
        <v>479</v>
      </c>
      <c r="B260" s="14" t="s">
        <v>480</v>
      </c>
      <c r="C260" s="10" t="s">
        <v>45</v>
      </c>
      <c r="D260" s="10" t="s">
        <v>35</v>
      </c>
      <c r="E260" s="10" t="s">
        <v>35</v>
      </c>
      <c r="F260" s="11">
        <v>0</v>
      </c>
      <c r="G260" s="21">
        <v>1</v>
      </c>
      <c r="H260" s="21">
        <v>0</v>
      </c>
      <c r="I260" s="21">
        <v>0</v>
      </c>
      <c r="J260" s="14" t="s">
        <v>46</v>
      </c>
      <c r="K260" s="14" t="s">
        <v>47</v>
      </c>
      <c r="L260" s="10" t="s">
        <v>51</v>
      </c>
      <c r="M260" s="10">
        <v>1</v>
      </c>
      <c r="N260" s="12" t="s">
        <v>1716</v>
      </c>
      <c r="O260" s="12" t="s">
        <v>39</v>
      </c>
      <c r="P260" s="12"/>
      <c r="Q260" s="16"/>
      <c r="R260" s="12">
        <v>0</v>
      </c>
    </row>
    <row r="261" spans="1:18" s="1" customFormat="1" hidden="1" x14ac:dyDescent="0.25">
      <c r="A261" s="10" t="s">
        <v>479</v>
      </c>
      <c r="B261" s="14" t="s">
        <v>480</v>
      </c>
      <c r="C261" s="10" t="s">
        <v>45</v>
      </c>
      <c r="D261" s="10" t="s">
        <v>35</v>
      </c>
      <c r="E261" s="10" t="s">
        <v>35</v>
      </c>
      <c r="F261" s="11">
        <v>0</v>
      </c>
      <c r="G261" s="21">
        <v>1</v>
      </c>
      <c r="H261" s="21">
        <v>0</v>
      </c>
      <c r="I261" s="21">
        <v>0</v>
      </c>
      <c r="J261" s="14" t="s">
        <v>46</v>
      </c>
      <c r="K261" s="14" t="s">
        <v>47</v>
      </c>
      <c r="L261" s="10" t="s">
        <v>481</v>
      </c>
      <c r="M261" s="10">
        <v>1</v>
      </c>
      <c r="N261" s="12" t="s">
        <v>1716</v>
      </c>
      <c r="O261" s="12" t="s">
        <v>39</v>
      </c>
      <c r="P261" s="12"/>
      <c r="Q261" s="16"/>
      <c r="R261" s="12">
        <v>0</v>
      </c>
    </row>
    <row r="262" spans="1:18" s="1" customFormat="1" hidden="1" x14ac:dyDescent="0.25">
      <c r="A262" s="7" t="s">
        <v>482</v>
      </c>
      <c r="B262" s="13" t="s">
        <v>483</v>
      </c>
      <c r="C262" s="7" t="s">
        <v>45</v>
      </c>
      <c r="D262" s="7" t="s">
        <v>35</v>
      </c>
      <c r="E262" s="7" t="s">
        <v>35</v>
      </c>
      <c r="F262" s="8">
        <v>0</v>
      </c>
      <c r="G262" s="20">
        <v>1</v>
      </c>
      <c r="H262" s="20">
        <v>0</v>
      </c>
      <c r="I262" s="20">
        <v>0</v>
      </c>
      <c r="J262" s="13" t="s">
        <v>46</v>
      </c>
      <c r="K262" s="13" t="s">
        <v>47</v>
      </c>
      <c r="L262" s="7" t="s">
        <v>481</v>
      </c>
      <c r="M262" s="7">
        <v>1.1000000000000001</v>
      </c>
      <c r="N262" s="9" t="s">
        <v>1716</v>
      </c>
      <c r="O262" s="9" t="s">
        <v>39</v>
      </c>
      <c r="P262" s="9"/>
      <c r="Q262" s="15"/>
      <c r="R262" s="9">
        <v>0</v>
      </c>
    </row>
    <row r="263" spans="1:18" s="1" customFormat="1" hidden="1" x14ac:dyDescent="0.25">
      <c r="A263" s="7" t="s">
        <v>482</v>
      </c>
      <c r="B263" s="13" t="s">
        <v>483</v>
      </c>
      <c r="C263" s="7" t="s">
        <v>45</v>
      </c>
      <c r="D263" s="7" t="s">
        <v>35</v>
      </c>
      <c r="E263" s="7" t="s">
        <v>35</v>
      </c>
      <c r="F263" s="8">
        <v>0</v>
      </c>
      <c r="G263" s="20">
        <v>1</v>
      </c>
      <c r="H263" s="20">
        <v>0</v>
      </c>
      <c r="I263" s="20">
        <v>0</v>
      </c>
      <c r="J263" s="13" t="s">
        <v>46</v>
      </c>
      <c r="K263" s="13" t="s">
        <v>47</v>
      </c>
      <c r="L263" s="7" t="s">
        <v>48</v>
      </c>
      <c r="M263" s="7">
        <v>2.5000000000000001E-2</v>
      </c>
      <c r="N263" s="9" t="s">
        <v>1716</v>
      </c>
      <c r="O263" s="9" t="s">
        <v>39</v>
      </c>
      <c r="P263" s="9"/>
      <c r="Q263" s="15"/>
      <c r="R263" s="9">
        <v>0</v>
      </c>
    </row>
    <row r="264" spans="1:18" s="1" customFormat="1" hidden="1" x14ac:dyDescent="0.25">
      <c r="A264" s="7" t="s">
        <v>482</v>
      </c>
      <c r="B264" s="13" t="s">
        <v>483</v>
      </c>
      <c r="C264" s="7" t="s">
        <v>45</v>
      </c>
      <c r="D264" s="7" t="s">
        <v>35</v>
      </c>
      <c r="E264" s="7" t="s">
        <v>35</v>
      </c>
      <c r="F264" s="8">
        <v>0</v>
      </c>
      <c r="G264" s="20">
        <v>1</v>
      </c>
      <c r="H264" s="20">
        <v>0</v>
      </c>
      <c r="I264" s="20">
        <v>0</v>
      </c>
      <c r="J264" s="13" t="s">
        <v>46</v>
      </c>
      <c r="K264" s="13" t="s">
        <v>47</v>
      </c>
      <c r="L264" s="7" t="s">
        <v>49</v>
      </c>
      <c r="M264" s="7">
        <v>0.26400000000000001</v>
      </c>
      <c r="N264" s="9" t="s">
        <v>1716</v>
      </c>
      <c r="O264" s="9" t="s">
        <v>39</v>
      </c>
      <c r="P264" s="9"/>
      <c r="Q264" s="15"/>
      <c r="R264" s="9">
        <v>0</v>
      </c>
    </row>
    <row r="265" spans="1:18" s="1" customFormat="1" hidden="1" x14ac:dyDescent="0.25">
      <c r="A265" s="10" t="s">
        <v>484</v>
      </c>
      <c r="B265" s="14" t="s">
        <v>485</v>
      </c>
      <c r="C265" s="10" t="s">
        <v>45</v>
      </c>
      <c r="D265" s="10" t="s">
        <v>35</v>
      </c>
      <c r="E265" s="10" t="s">
        <v>35</v>
      </c>
      <c r="F265" s="11">
        <v>0</v>
      </c>
      <c r="G265" s="21">
        <v>1</v>
      </c>
      <c r="H265" s="21">
        <v>0</v>
      </c>
      <c r="I265" s="21">
        <v>0</v>
      </c>
      <c r="J265" s="14" t="s">
        <v>448</v>
      </c>
      <c r="K265" s="14" t="s">
        <v>449</v>
      </c>
      <c r="L265" s="10" t="s">
        <v>48</v>
      </c>
      <c r="M265" s="10">
        <v>2.5000000000000001E-2</v>
      </c>
      <c r="N265" s="12" t="s">
        <v>1716</v>
      </c>
      <c r="O265" s="12" t="s">
        <v>39</v>
      </c>
      <c r="P265" s="12"/>
      <c r="Q265" s="16"/>
      <c r="R265" s="12">
        <v>0</v>
      </c>
    </row>
    <row r="266" spans="1:18" s="1" customFormat="1" hidden="1" x14ac:dyDescent="0.25">
      <c r="A266" s="10" t="s">
        <v>484</v>
      </c>
      <c r="B266" s="14" t="s">
        <v>485</v>
      </c>
      <c r="C266" s="10" t="s">
        <v>45</v>
      </c>
      <c r="D266" s="10" t="s">
        <v>35</v>
      </c>
      <c r="E266" s="10" t="s">
        <v>35</v>
      </c>
      <c r="F266" s="11">
        <v>0</v>
      </c>
      <c r="G266" s="21">
        <v>1</v>
      </c>
      <c r="H266" s="21">
        <v>0</v>
      </c>
      <c r="I266" s="21">
        <v>0</v>
      </c>
      <c r="J266" s="14" t="s">
        <v>448</v>
      </c>
      <c r="K266" s="14" t="s">
        <v>449</v>
      </c>
      <c r="L266" s="10" t="s">
        <v>49</v>
      </c>
      <c r="M266" s="10">
        <v>0.26400000000000001</v>
      </c>
      <c r="N266" s="12" t="s">
        <v>1716</v>
      </c>
      <c r="O266" s="12" t="s">
        <v>39</v>
      </c>
      <c r="P266" s="12"/>
      <c r="Q266" s="16"/>
      <c r="R266" s="12">
        <v>0</v>
      </c>
    </row>
    <row r="267" spans="1:18" s="1" customFormat="1" hidden="1" x14ac:dyDescent="0.25">
      <c r="A267" s="10" t="s">
        <v>484</v>
      </c>
      <c r="B267" s="14" t="s">
        <v>485</v>
      </c>
      <c r="C267" s="10" t="s">
        <v>45</v>
      </c>
      <c r="D267" s="10" t="s">
        <v>35</v>
      </c>
      <c r="E267" s="10" t="s">
        <v>35</v>
      </c>
      <c r="F267" s="11">
        <v>0</v>
      </c>
      <c r="G267" s="21">
        <v>1</v>
      </c>
      <c r="H267" s="21">
        <v>0</v>
      </c>
      <c r="I267" s="21">
        <v>0</v>
      </c>
      <c r="J267" s="14" t="s">
        <v>448</v>
      </c>
      <c r="K267" s="14" t="s">
        <v>449</v>
      </c>
      <c r="L267" s="10" t="s">
        <v>51</v>
      </c>
      <c r="M267" s="10">
        <v>1</v>
      </c>
      <c r="N267" s="12" t="s">
        <v>1716</v>
      </c>
      <c r="O267" s="12" t="s">
        <v>39</v>
      </c>
      <c r="P267" s="12"/>
      <c r="Q267" s="16"/>
      <c r="R267" s="12">
        <v>0</v>
      </c>
    </row>
    <row r="268" spans="1:18" s="1" customFormat="1" hidden="1" x14ac:dyDescent="0.25">
      <c r="A268" s="10" t="s">
        <v>484</v>
      </c>
      <c r="B268" s="14" t="s">
        <v>485</v>
      </c>
      <c r="C268" s="10" t="s">
        <v>45</v>
      </c>
      <c r="D268" s="10" t="s">
        <v>35</v>
      </c>
      <c r="E268" s="10" t="s">
        <v>35</v>
      </c>
      <c r="F268" s="11">
        <v>0</v>
      </c>
      <c r="G268" s="21">
        <v>1</v>
      </c>
      <c r="H268" s="21">
        <v>0</v>
      </c>
      <c r="I268" s="21">
        <v>0</v>
      </c>
      <c r="J268" s="14" t="s">
        <v>448</v>
      </c>
      <c r="K268" s="14" t="s">
        <v>449</v>
      </c>
      <c r="L268" s="10" t="s">
        <v>481</v>
      </c>
      <c r="M268" s="10">
        <v>1</v>
      </c>
      <c r="N268" s="12" t="s">
        <v>1716</v>
      </c>
      <c r="O268" s="12" t="s">
        <v>39</v>
      </c>
      <c r="P268" s="12"/>
      <c r="Q268" s="16"/>
      <c r="R268" s="12">
        <v>0</v>
      </c>
    </row>
    <row r="269" spans="1:18" s="1" customFormat="1" hidden="1" x14ac:dyDescent="0.25">
      <c r="A269" s="7" t="s">
        <v>486</v>
      </c>
      <c r="B269" s="13" t="s">
        <v>487</v>
      </c>
      <c r="C269" s="7" t="s">
        <v>45</v>
      </c>
      <c r="D269" s="7" t="s">
        <v>35</v>
      </c>
      <c r="E269" s="7" t="s">
        <v>35</v>
      </c>
      <c r="F269" s="8">
        <v>0</v>
      </c>
      <c r="G269" s="20">
        <v>1</v>
      </c>
      <c r="H269" s="20">
        <v>0</v>
      </c>
      <c r="I269" s="20">
        <v>0</v>
      </c>
      <c r="J269" s="13" t="s">
        <v>448</v>
      </c>
      <c r="K269" s="13" t="s">
        <v>449</v>
      </c>
      <c r="L269" s="7" t="s">
        <v>481</v>
      </c>
      <c r="M269" s="7">
        <v>1.1000000000000001</v>
      </c>
      <c r="N269" s="9" t="s">
        <v>1716</v>
      </c>
      <c r="O269" s="9" t="s">
        <v>39</v>
      </c>
      <c r="P269" s="9"/>
      <c r="Q269" s="15"/>
      <c r="R269" s="9">
        <v>0</v>
      </c>
    </row>
    <row r="270" spans="1:18" s="1" customFormat="1" hidden="1" x14ac:dyDescent="0.25">
      <c r="A270" s="7" t="s">
        <v>486</v>
      </c>
      <c r="B270" s="13" t="s">
        <v>487</v>
      </c>
      <c r="C270" s="7" t="s">
        <v>45</v>
      </c>
      <c r="D270" s="7" t="s">
        <v>35</v>
      </c>
      <c r="E270" s="7" t="s">
        <v>35</v>
      </c>
      <c r="F270" s="8">
        <v>0</v>
      </c>
      <c r="G270" s="20">
        <v>1</v>
      </c>
      <c r="H270" s="20">
        <v>0</v>
      </c>
      <c r="I270" s="20">
        <v>0</v>
      </c>
      <c r="J270" s="13" t="s">
        <v>448</v>
      </c>
      <c r="K270" s="13" t="s">
        <v>449</v>
      </c>
      <c r="L270" s="7" t="s">
        <v>48</v>
      </c>
      <c r="M270" s="7">
        <v>2.5000000000000001E-2</v>
      </c>
      <c r="N270" s="9" t="s">
        <v>1716</v>
      </c>
      <c r="O270" s="9" t="s">
        <v>39</v>
      </c>
      <c r="P270" s="9"/>
      <c r="Q270" s="15"/>
      <c r="R270" s="9">
        <v>0</v>
      </c>
    </row>
    <row r="271" spans="1:18" s="1" customFormat="1" hidden="1" x14ac:dyDescent="0.25">
      <c r="A271" s="7" t="s">
        <v>486</v>
      </c>
      <c r="B271" s="13" t="s">
        <v>487</v>
      </c>
      <c r="C271" s="7" t="s">
        <v>45</v>
      </c>
      <c r="D271" s="7" t="s">
        <v>35</v>
      </c>
      <c r="E271" s="7" t="s">
        <v>35</v>
      </c>
      <c r="F271" s="8">
        <v>0</v>
      </c>
      <c r="G271" s="20">
        <v>1</v>
      </c>
      <c r="H271" s="20">
        <v>0</v>
      </c>
      <c r="I271" s="20">
        <v>0</v>
      </c>
      <c r="J271" s="13" t="s">
        <v>448</v>
      </c>
      <c r="K271" s="13" t="s">
        <v>449</v>
      </c>
      <c r="L271" s="7" t="s">
        <v>49</v>
      </c>
      <c r="M271" s="7">
        <v>0.26400000000000001</v>
      </c>
      <c r="N271" s="9" t="s">
        <v>1716</v>
      </c>
      <c r="O271" s="9" t="s">
        <v>39</v>
      </c>
      <c r="P271" s="9"/>
      <c r="Q271" s="15"/>
      <c r="R271" s="9">
        <v>0</v>
      </c>
    </row>
    <row r="272" spans="1:18" s="1" customFormat="1" hidden="1" x14ac:dyDescent="0.25">
      <c r="A272" s="10" t="s">
        <v>488</v>
      </c>
      <c r="B272" s="14" t="s">
        <v>489</v>
      </c>
      <c r="C272" s="10" t="s">
        <v>45</v>
      </c>
      <c r="D272" s="10" t="s">
        <v>35</v>
      </c>
      <c r="E272" s="10" t="s">
        <v>35</v>
      </c>
      <c r="F272" s="11">
        <v>0</v>
      </c>
      <c r="G272" s="21">
        <v>1</v>
      </c>
      <c r="H272" s="21">
        <v>0</v>
      </c>
      <c r="I272" s="21">
        <v>0</v>
      </c>
      <c r="J272" s="14" t="s">
        <v>46</v>
      </c>
      <c r="K272" s="14" t="s">
        <v>47</v>
      </c>
      <c r="L272" s="10" t="s">
        <v>48</v>
      </c>
      <c r="M272" s="10">
        <v>2.5000000000000001E-2</v>
      </c>
      <c r="N272" s="12" t="s">
        <v>1716</v>
      </c>
      <c r="O272" s="12" t="s">
        <v>39</v>
      </c>
      <c r="P272" s="12"/>
      <c r="Q272" s="16"/>
      <c r="R272" s="12">
        <v>0</v>
      </c>
    </row>
    <row r="273" spans="1:18" s="1" customFormat="1" hidden="1" x14ac:dyDescent="0.25">
      <c r="A273" s="10" t="s">
        <v>488</v>
      </c>
      <c r="B273" s="14" t="s">
        <v>489</v>
      </c>
      <c r="C273" s="10" t="s">
        <v>45</v>
      </c>
      <c r="D273" s="10" t="s">
        <v>35</v>
      </c>
      <c r="E273" s="10" t="s">
        <v>35</v>
      </c>
      <c r="F273" s="11">
        <v>0</v>
      </c>
      <c r="G273" s="21">
        <v>1</v>
      </c>
      <c r="H273" s="21">
        <v>0</v>
      </c>
      <c r="I273" s="21">
        <v>0</v>
      </c>
      <c r="J273" s="14" t="s">
        <v>46</v>
      </c>
      <c r="K273" s="14" t="s">
        <v>47</v>
      </c>
      <c r="L273" s="10" t="s">
        <v>49</v>
      </c>
      <c r="M273" s="10">
        <v>0.26400000000000001</v>
      </c>
      <c r="N273" s="12" t="s">
        <v>1716</v>
      </c>
      <c r="O273" s="12" t="s">
        <v>39</v>
      </c>
      <c r="P273" s="12"/>
      <c r="Q273" s="16"/>
      <c r="R273" s="12">
        <v>0</v>
      </c>
    </row>
    <row r="274" spans="1:18" s="1" customFormat="1" hidden="1" x14ac:dyDescent="0.25">
      <c r="A274" s="10" t="s">
        <v>488</v>
      </c>
      <c r="B274" s="14" t="s">
        <v>489</v>
      </c>
      <c r="C274" s="10" t="s">
        <v>45</v>
      </c>
      <c r="D274" s="10" t="s">
        <v>35</v>
      </c>
      <c r="E274" s="10" t="s">
        <v>35</v>
      </c>
      <c r="F274" s="11">
        <v>0</v>
      </c>
      <c r="G274" s="21">
        <v>1</v>
      </c>
      <c r="H274" s="21">
        <v>0</v>
      </c>
      <c r="I274" s="21">
        <v>0</v>
      </c>
      <c r="J274" s="14" t="s">
        <v>46</v>
      </c>
      <c r="K274" s="14" t="s">
        <v>47</v>
      </c>
      <c r="L274" s="10" t="s">
        <v>51</v>
      </c>
      <c r="M274" s="10">
        <v>1</v>
      </c>
      <c r="N274" s="12" t="s">
        <v>1716</v>
      </c>
      <c r="O274" s="12" t="s">
        <v>39</v>
      </c>
      <c r="P274" s="12"/>
      <c r="Q274" s="16"/>
      <c r="R274" s="12">
        <v>0</v>
      </c>
    </row>
    <row r="275" spans="1:18" s="1" customFormat="1" hidden="1" x14ac:dyDescent="0.25">
      <c r="A275" s="10" t="s">
        <v>488</v>
      </c>
      <c r="B275" s="14" t="s">
        <v>489</v>
      </c>
      <c r="C275" s="10" t="s">
        <v>45</v>
      </c>
      <c r="D275" s="10" t="s">
        <v>35</v>
      </c>
      <c r="E275" s="10" t="s">
        <v>35</v>
      </c>
      <c r="F275" s="11">
        <v>0</v>
      </c>
      <c r="G275" s="21">
        <v>1</v>
      </c>
      <c r="H275" s="21">
        <v>0</v>
      </c>
      <c r="I275" s="21">
        <v>0</v>
      </c>
      <c r="J275" s="14" t="s">
        <v>46</v>
      </c>
      <c r="K275" s="14" t="s">
        <v>47</v>
      </c>
      <c r="L275" s="10" t="s">
        <v>490</v>
      </c>
      <c r="M275" s="10">
        <v>1</v>
      </c>
      <c r="N275" s="12" t="s">
        <v>1716</v>
      </c>
      <c r="O275" s="12" t="s">
        <v>39</v>
      </c>
      <c r="P275" s="12"/>
      <c r="Q275" s="16"/>
      <c r="R275" s="12">
        <v>0</v>
      </c>
    </row>
    <row r="276" spans="1:18" s="1" customFormat="1" hidden="1" x14ac:dyDescent="0.25">
      <c r="A276" s="7" t="s">
        <v>491</v>
      </c>
      <c r="B276" s="13" t="s">
        <v>492</v>
      </c>
      <c r="C276" s="7" t="s">
        <v>45</v>
      </c>
      <c r="D276" s="7" t="s">
        <v>35</v>
      </c>
      <c r="E276" s="7" t="s">
        <v>35</v>
      </c>
      <c r="F276" s="8">
        <v>0</v>
      </c>
      <c r="G276" s="20">
        <v>1</v>
      </c>
      <c r="H276" s="20">
        <v>0</v>
      </c>
      <c r="I276" s="20">
        <v>0</v>
      </c>
      <c r="J276" s="13" t="s">
        <v>46</v>
      </c>
      <c r="K276" s="13" t="s">
        <v>47</v>
      </c>
      <c r="L276" s="7" t="s">
        <v>490</v>
      </c>
      <c r="M276" s="7">
        <v>1</v>
      </c>
      <c r="N276" s="9" t="s">
        <v>1716</v>
      </c>
      <c r="O276" s="9" t="s">
        <v>39</v>
      </c>
      <c r="P276" s="9"/>
      <c r="Q276" s="15"/>
      <c r="R276" s="9">
        <v>0</v>
      </c>
    </row>
    <row r="277" spans="1:18" s="1" customFormat="1" hidden="1" x14ac:dyDescent="0.25">
      <c r="A277" s="7" t="s">
        <v>491</v>
      </c>
      <c r="B277" s="13" t="s">
        <v>492</v>
      </c>
      <c r="C277" s="7" t="s">
        <v>45</v>
      </c>
      <c r="D277" s="7" t="s">
        <v>35</v>
      </c>
      <c r="E277" s="7" t="s">
        <v>35</v>
      </c>
      <c r="F277" s="8">
        <v>0</v>
      </c>
      <c r="G277" s="20">
        <v>1</v>
      </c>
      <c r="H277" s="20">
        <v>0</v>
      </c>
      <c r="I277" s="20">
        <v>0</v>
      </c>
      <c r="J277" s="13" t="s">
        <v>46</v>
      </c>
      <c r="K277" s="13" t="s">
        <v>47</v>
      </c>
      <c r="L277" s="7" t="s">
        <v>48</v>
      </c>
      <c r="M277" s="7">
        <v>2.5000000000000001E-2</v>
      </c>
      <c r="N277" s="9" t="s">
        <v>1716</v>
      </c>
      <c r="O277" s="9" t="s">
        <v>39</v>
      </c>
      <c r="P277" s="9"/>
      <c r="Q277" s="15"/>
      <c r="R277" s="9">
        <v>0</v>
      </c>
    </row>
    <row r="278" spans="1:18" s="1" customFormat="1" hidden="1" x14ac:dyDescent="0.25">
      <c r="A278" s="7" t="s">
        <v>491</v>
      </c>
      <c r="B278" s="13" t="s">
        <v>492</v>
      </c>
      <c r="C278" s="7" t="s">
        <v>45</v>
      </c>
      <c r="D278" s="7" t="s">
        <v>35</v>
      </c>
      <c r="E278" s="7" t="s">
        <v>35</v>
      </c>
      <c r="F278" s="8">
        <v>0</v>
      </c>
      <c r="G278" s="20">
        <v>1</v>
      </c>
      <c r="H278" s="20">
        <v>0</v>
      </c>
      <c r="I278" s="20">
        <v>0</v>
      </c>
      <c r="J278" s="13" t="s">
        <v>46</v>
      </c>
      <c r="K278" s="13" t="s">
        <v>47</v>
      </c>
      <c r="L278" s="7" t="s">
        <v>49</v>
      </c>
      <c r="M278" s="7">
        <v>0.26400000000000001</v>
      </c>
      <c r="N278" s="9" t="s">
        <v>1716</v>
      </c>
      <c r="O278" s="9" t="s">
        <v>39</v>
      </c>
      <c r="P278" s="9"/>
      <c r="Q278" s="15"/>
      <c r="R278" s="9">
        <v>0</v>
      </c>
    </row>
    <row r="279" spans="1:18" s="1" customFormat="1" hidden="1" x14ac:dyDescent="0.25">
      <c r="A279" s="10" t="s">
        <v>493</v>
      </c>
      <c r="B279" s="14" t="s">
        <v>494</v>
      </c>
      <c r="C279" s="10" t="s">
        <v>45</v>
      </c>
      <c r="D279" s="10" t="s">
        <v>35</v>
      </c>
      <c r="E279" s="10" t="s">
        <v>35</v>
      </c>
      <c r="F279" s="11">
        <v>0</v>
      </c>
      <c r="G279" s="21">
        <v>1</v>
      </c>
      <c r="H279" s="21">
        <v>0</v>
      </c>
      <c r="I279" s="21">
        <v>0</v>
      </c>
      <c r="J279" s="14" t="s">
        <v>448</v>
      </c>
      <c r="K279" s="14" t="s">
        <v>449</v>
      </c>
      <c r="L279" s="10" t="s">
        <v>48</v>
      </c>
      <c r="M279" s="10">
        <v>2.5000000000000001E-2</v>
      </c>
      <c r="N279" s="12" t="s">
        <v>1716</v>
      </c>
      <c r="O279" s="12" t="s">
        <v>39</v>
      </c>
      <c r="P279" s="12"/>
      <c r="Q279" s="16"/>
      <c r="R279" s="12">
        <v>0</v>
      </c>
    </row>
    <row r="280" spans="1:18" s="1" customFormat="1" hidden="1" x14ac:dyDescent="0.25">
      <c r="A280" s="10" t="s">
        <v>493</v>
      </c>
      <c r="B280" s="14" t="s">
        <v>494</v>
      </c>
      <c r="C280" s="10" t="s">
        <v>45</v>
      </c>
      <c r="D280" s="10" t="s">
        <v>35</v>
      </c>
      <c r="E280" s="10" t="s">
        <v>35</v>
      </c>
      <c r="F280" s="11">
        <v>0</v>
      </c>
      <c r="G280" s="21">
        <v>1</v>
      </c>
      <c r="H280" s="21">
        <v>0</v>
      </c>
      <c r="I280" s="21">
        <v>0</v>
      </c>
      <c r="J280" s="14" t="s">
        <v>448</v>
      </c>
      <c r="K280" s="14" t="s">
        <v>449</v>
      </c>
      <c r="L280" s="10" t="s">
        <v>212</v>
      </c>
      <c r="M280" s="10">
        <v>1.19</v>
      </c>
      <c r="N280" s="12" t="s">
        <v>1716</v>
      </c>
      <c r="O280" s="12" t="s">
        <v>39</v>
      </c>
      <c r="P280" s="12"/>
      <c r="Q280" s="16"/>
      <c r="R280" s="12">
        <v>0</v>
      </c>
    </row>
    <row r="281" spans="1:18" s="1" customFormat="1" hidden="1" x14ac:dyDescent="0.25">
      <c r="A281" s="10" t="s">
        <v>493</v>
      </c>
      <c r="B281" s="14" t="s">
        <v>494</v>
      </c>
      <c r="C281" s="10" t="s">
        <v>45</v>
      </c>
      <c r="D281" s="10" t="s">
        <v>35</v>
      </c>
      <c r="E281" s="10" t="s">
        <v>35</v>
      </c>
      <c r="F281" s="11">
        <v>0</v>
      </c>
      <c r="G281" s="21">
        <v>1</v>
      </c>
      <c r="H281" s="21">
        <v>0</v>
      </c>
      <c r="I281" s="21">
        <v>0</v>
      </c>
      <c r="J281" s="14" t="s">
        <v>448</v>
      </c>
      <c r="K281" s="14" t="s">
        <v>449</v>
      </c>
      <c r="L281" s="10" t="s">
        <v>51</v>
      </c>
      <c r="M281" s="10">
        <v>1</v>
      </c>
      <c r="N281" s="12" t="s">
        <v>1716</v>
      </c>
      <c r="O281" s="12" t="s">
        <v>39</v>
      </c>
      <c r="P281" s="12"/>
      <c r="Q281" s="16"/>
      <c r="R281" s="12">
        <v>0</v>
      </c>
    </row>
    <row r="282" spans="1:18" s="1" customFormat="1" hidden="1" x14ac:dyDescent="0.25">
      <c r="A282" s="10" t="s">
        <v>493</v>
      </c>
      <c r="B282" s="14" t="s">
        <v>494</v>
      </c>
      <c r="C282" s="10" t="s">
        <v>45</v>
      </c>
      <c r="D282" s="10" t="s">
        <v>35</v>
      </c>
      <c r="E282" s="10" t="s">
        <v>35</v>
      </c>
      <c r="F282" s="11">
        <v>0</v>
      </c>
      <c r="G282" s="21">
        <v>1</v>
      </c>
      <c r="H282" s="21">
        <v>0</v>
      </c>
      <c r="I282" s="21">
        <v>0</v>
      </c>
      <c r="J282" s="14" t="s">
        <v>448</v>
      </c>
      <c r="K282" s="14" t="s">
        <v>449</v>
      </c>
      <c r="L282" s="10" t="s">
        <v>490</v>
      </c>
      <c r="M282" s="10">
        <v>1</v>
      </c>
      <c r="N282" s="12" t="s">
        <v>1716</v>
      </c>
      <c r="O282" s="12" t="s">
        <v>39</v>
      </c>
      <c r="P282" s="12"/>
      <c r="Q282" s="16"/>
      <c r="R282" s="12">
        <v>0</v>
      </c>
    </row>
    <row r="283" spans="1:18" s="1" customFormat="1" hidden="1" x14ac:dyDescent="0.25">
      <c r="A283" s="7" t="s">
        <v>495</v>
      </c>
      <c r="B283" s="13" t="s">
        <v>496</v>
      </c>
      <c r="C283" s="7" t="s">
        <v>45</v>
      </c>
      <c r="D283" s="7" t="s">
        <v>35</v>
      </c>
      <c r="E283" s="7" t="s">
        <v>35</v>
      </c>
      <c r="F283" s="8">
        <v>0</v>
      </c>
      <c r="G283" s="20">
        <v>1</v>
      </c>
      <c r="H283" s="20">
        <v>0</v>
      </c>
      <c r="I283" s="20">
        <v>0</v>
      </c>
      <c r="J283" s="13" t="s">
        <v>448</v>
      </c>
      <c r="K283" s="13" t="s">
        <v>449</v>
      </c>
      <c r="L283" s="7" t="s">
        <v>490</v>
      </c>
      <c r="M283" s="7">
        <v>1.1000000000000001</v>
      </c>
      <c r="N283" s="9" t="s">
        <v>1716</v>
      </c>
      <c r="O283" s="9" t="s">
        <v>39</v>
      </c>
      <c r="P283" s="9"/>
      <c r="Q283" s="15"/>
      <c r="R283" s="9">
        <v>0</v>
      </c>
    </row>
    <row r="284" spans="1:18" s="1" customFormat="1" hidden="1" x14ac:dyDescent="0.25">
      <c r="A284" s="7" t="s">
        <v>495</v>
      </c>
      <c r="B284" s="13" t="s">
        <v>496</v>
      </c>
      <c r="C284" s="7" t="s">
        <v>45</v>
      </c>
      <c r="D284" s="7" t="s">
        <v>35</v>
      </c>
      <c r="E284" s="7" t="s">
        <v>35</v>
      </c>
      <c r="F284" s="8">
        <v>0</v>
      </c>
      <c r="G284" s="20">
        <v>1</v>
      </c>
      <c r="H284" s="20">
        <v>0</v>
      </c>
      <c r="I284" s="20">
        <v>0</v>
      </c>
      <c r="J284" s="13" t="s">
        <v>448</v>
      </c>
      <c r="K284" s="13" t="s">
        <v>449</v>
      </c>
      <c r="L284" s="7" t="s">
        <v>48</v>
      </c>
      <c r="M284" s="7">
        <v>2.5000000000000001E-2</v>
      </c>
      <c r="N284" s="9" t="s">
        <v>1716</v>
      </c>
      <c r="O284" s="9" t="s">
        <v>39</v>
      </c>
      <c r="P284" s="9"/>
      <c r="Q284" s="15"/>
      <c r="R284" s="9">
        <v>0</v>
      </c>
    </row>
    <row r="285" spans="1:18" s="1" customFormat="1" hidden="1" x14ac:dyDescent="0.25">
      <c r="A285" s="7" t="s">
        <v>495</v>
      </c>
      <c r="B285" s="13" t="s">
        <v>496</v>
      </c>
      <c r="C285" s="7" t="s">
        <v>45</v>
      </c>
      <c r="D285" s="7" t="s">
        <v>35</v>
      </c>
      <c r="E285" s="7" t="s">
        <v>35</v>
      </c>
      <c r="F285" s="8">
        <v>0</v>
      </c>
      <c r="G285" s="20">
        <v>1</v>
      </c>
      <c r="H285" s="20">
        <v>0</v>
      </c>
      <c r="I285" s="20">
        <v>0</v>
      </c>
      <c r="J285" s="13" t="s">
        <v>448</v>
      </c>
      <c r="K285" s="13" t="s">
        <v>449</v>
      </c>
      <c r="L285" s="7" t="s">
        <v>212</v>
      </c>
      <c r="M285" s="7">
        <v>1.19</v>
      </c>
      <c r="N285" s="9" t="s">
        <v>1716</v>
      </c>
      <c r="O285" s="9" t="s">
        <v>39</v>
      </c>
      <c r="P285" s="9"/>
      <c r="Q285" s="15"/>
      <c r="R285" s="9">
        <v>0</v>
      </c>
    </row>
    <row r="286" spans="1:18" s="1" customFormat="1" hidden="1" x14ac:dyDescent="0.25">
      <c r="A286" s="10" t="s">
        <v>497</v>
      </c>
      <c r="B286" s="14" t="s">
        <v>498</v>
      </c>
      <c r="C286" s="10" t="s">
        <v>45</v>
      </c>
      <c r="D286" s="10" t="s">
        <v>35</v>
      </c>
      <c r="E286" s="10" t="s">
        <v>35</v>
      </c>
      <c r="F286" s="11">
        <v>0</v>
      </c>
      <c r="G286" s="21">
        <v>1</v>
      </c>
      <c r="H286" s="21">
        <v>0</v>
      </c>
      <c r="I286" s="21">
        <v>0</v>
      </c>
      <c r="J286" s="14" t="s">
        <v>46</v>
      </c>
      <c r="K286" s="14" t="s">
        <v>47</v>
      </c>
      <c r="L286" s="10" t="s">
        <v>48</v>
      </c>
      <c r="M286" s="10">
        <v>2.5000000000000001E-2</v>
      </c>
      <c r="N286" s="12" t="s">
        <v>1716</v>
      </c>
      <c r="O286" s="12" t="s">
        <v>39</v>
      </c>
      <c r="P286" s="12"/>
      <c r="Q286" s="16"/>
      <c r="R286" s="12">
        <v>0</v>
      </c>
    </row>
    <row r="287" spans="1:18" s="1" customFormat="1" hidden="1" x14ac:dyDescent="0.25">
      <c r="A287" s="10" t="s">
        <v>497</v>
      </c>
      <c r="B287" s="14" t="s">
        <v>498</v>
      </c>
      <c r="C287" s="10" t="s">
        <v>45</v>
      </c>
      <c r="D287" s="10" t="s">
        <v>35</v>
      </c>
      <c r="E287" s="10" t="s">
        <v>35</v>
      </c>
      <c r="F287" s="11">
        <v>0</v>
      </c>
      <c r="G287" s="21">
        <v>1</v>
      </c>
      <c r="H287" s="21">
        <v>0</v>
      </c>
      <c r="I287" s="21">
        <v>0</v>
      </c>
      <c r="J287" s="14" t="s">
        <v>46</v>
      </c>
      <c r="K287" s="14" t="s">
        <v>47</v>
      </c>
      <c r="L287" s="10" t="s">
        <v>49</v>
      </c>
      <c r="M287" s="10">
        <v>0.26400000000000001</v>
      </c>
      <c r="N287" s="12" t="s">
        <v>1716</v>
      </c>
      <c r="O287" s="12" t="s">
        <v>39</v>
      </c>
      <c r="P287" s="12"/>
      <c r="Q287" s="16"/>
      <c r="R287" s="12">
        <v>0</v>
      </c>
    </row>
    <row r="288" spans="1:18" s="1" customFormat="1" hidden="1" x14ac:dyDescent="0.25">
      <c r="A288" s="10" t="s">
        <v>497</v>
      </c>
      <c r="B288" s="14" t="s">
        <v>498</v>
      </c>
      <c r="C288" s="10" t="s">
        <v>45</v>
      </c>
      <c r="D288" s="10" t="s">
        <v>35</v>
      </c>
      <c r="E288" s="10" t="s">
        <v>35</v>
      </c>
      <c r="F288" s="11">
        <v>0</v>
      </c>
      <c r="G288" s="21">
        <v>1</v>
      </c>
      <c r="H288" s="21">
        <v>0</v>
      </c>
      <c r="I288" s="21">
        <v>0</v>
      </c>
      <c r="J288" s="14" t="s">
        <v>46</v>
      </c>
      <c r="K288" s="14" t="s">
        <v>47</v>
      </c>
      <c r="L288" s="10" t="s">
        <v>51</v>
      </c>
      <c r="M288" s="10">
        <v>1</v>
      </c>
      <c r="N288" s="12" t="s">
        <v>1716</v>
      </c>
      <c r="O288" s="12" t="s">
        <v>39</v>
      </c>
      <c r="P288" s="12"/>
      <c r="Q288" s="16"/>
      <c r="R288" s="12">
        <v>0</v>
      </c>
    </row>
    <row r="289" spans="1:18" s="1" customFormat="1" hidden="1" x14ac:dyDescent="0.25">
      <c r="A289" s="10" t="s">
        <v>497</v>
      </c>
      <c r="B289" s="14" t="s">
        <v>498</v>
      </c>
      <c r="C289" s="10" t="s">
        <v>45</v>
      </c>
      <c r="D289" s="10" t="s">
        <v>35</v>
      </c>
      <c r="E289" s="10" t="s">
        <v>35</v>
      </c>
      <c r="F289" s="11">
        <v>0</v>
      </c>
      <c r="G289" s="21">
        <v>1</v>
      </c>
      <c r="H289" s="21">
        <v>0</v>
      </c>
      <c r="I289" s="21">
        <v>0</v>
      </c>
      <c r="J289" s="14" t="s">
        <v>46</v>
      </c>
      <c r="K289" s="14" t="s">
        <v>47</v>
      </c>
      <c r="L289" s="10" t="s">
        <v>499</v>
      </c>
      <c r="M289" s="10">
        <v>1</v>
      </c>
      <c r="N289" s="12" t="s">
        <v>1716</v>
      </c>
      <c r="O289" s="12" t="s">
        <v>39</v>
      </c>
      <c r="P289" s="12"/>
      <c r="Q289" s="16"/>
      <c r="R289" s="12">
        <v>0</v>
      </c>
    </row>
    <row r="290" spans="1:18" s="1" customFormat="1" hidden="1" x14ac:dyDescent="0.25">
      <c r="A290" s="7" t="s">
        <v>500</v>
      </c>
      <c r="B290" s="13" t="s">
        <v>501</v>
      </c>
      <c r="C290" s="7" t="s">
        <v>45</v>
      </c>
      <c r="D290" s="7" t="s">
        <v>35</v>
      </c>
      <c r="E290" s="7" t="s">
        <v>35</v>
      </c>
      <c r="F290" s="8">
        <v>0</v>
      </c>
      <c r="G290" s="20">
        <v>1</v>
      </c>
      <c r="H290" s="20">
        <v>0</v>
      </c>
      <c r="I290" s="20">
        <v>0</v>
      </c>
      <c r="J290" s="13" t="s">
        <v>46</v>
      </c>
      <c r="K290" s="13" t="s">
        <v>47</v>
      </c>
      <c r="L290" s="7" t="s">
        <v>499</v>
      </c>
      <c r="M290" s="7">
        <v>1.1000000000000001</v>
      </c>
      <c r="N290" s="9" t="s">
        <v>1716</v>
      </c>
      <c r="O290" s="9" t="s">
        <v>39</v>
      </c>
      <c r="P290" s="9"/>
      <c r="Q290" s="15"/>
      <c r="R290" s="9">
        <v>0</v>
      </c>
    </row>
    <row r="291" spans="1:18" s="1" customFormat="1" hidden="1" x14ac:dyDescent="0.25">
      <c r="A291" s="7" t="s">
        <v>500</v>
      </c>
      <c r="B291" s="13" t="s">
        <v>501</v>
      </c>
      <c r="C291" s="7" t="s">
        <v>45</v>
      </c>
      <c r="D291" s="7" t="s">
        <v>35</v>
      </c>
      <c r="E291" s="7" t="s">
        <v>35</v>
      </c>
      <c r="F291" s="8">
        <v>0</v>
      </c>
      <c r="G291" s="20">
        <v>1</v>
      </c>
      <c r="H291" s="20">
        <v>0</v>
      </c>
      <c r="I291" s="20">
        <v>0</v>
      </c>
      <c r="J291" s="13" t="s">
        <v>46</v>
      </c>
      <c r="K291" s="13" t="s">
        <v>47</v>
      </c>
      <c r="L291" s="7" t="s">
        <v>48</v>
      </c>
      <c r="M291" s="7">
        <v>2.5000000000000001E-2</v>
      </c>
      <c r="N291" s="9" t="s">
        <v>1716</v>
      </c>
      <c r="O291" s="9" t="s">
        <v>39</v>
      </c>
      <c r="P291" s="9"/>
      <c r="Q291" s="15"/>
      <c r="R291" s="9">
        <v>0</v>
      </c>
    </row>
    <row r="292" spans="1:18" s="1" customFormat="1" hidden="1" x14ac:dyDescent="0.25">
      <c r="A292" s="7" t="s">
        <v>500</v>
      </c>
      <c r="B292" s="13" t="s">
        <v>501</v>
      </c>
      <c r="C292" s="7" t="s">
        <v>45</v>
      </c>
      <c r="D292" s="7" t="s">
        <v>35</v>
      </c>
      <c r="E292" s="7" t="s">
        <v>35</v>
      </c>
      <c r="F292" s="8">
        <v>0</v>
      </c>
      <c r="G292" s="20">
        <v>1</v>
      </c>
      <c r="H292" s="20">
        <v>0</v>
      </c>
      <c r="I292" s="20">
        <v>0</v>
      </c>
      <c r="J292" s="13" t="s">
        <v>46</v>
      </c>
      <c r="K292" s="13" t="s">
        <v>47</v>
      </c>
      <c r="L292" s="7" t="s">
        <v>49</v>
      </c>
      <c r="M292" s="7">
        <v>0.26400000000000001</v>
      </c>
      <c r="N292" s="9" t="s">
        <v>1716</v>
      </c>
      <c r="O292" s="9" t="s">
        <v>39</v>
      </c>
      <c r="P292" s="9"/>
      <c r="Q292" s="15"/>
      <c r="R292" s="9">
        <v>0</v>
      </c>
    </row>
    <row r="293" spans="1:18" s="1" customFormat="1" hidden="1" x14ac:dyDescent="0.25">
      <c r="A293" s="10" t="s">
        <v>502</v>
      </c>
      <c r="B293" s="14" t="s">
        <v>503</v>
      </c>
      <c r="C293" s="10" t="s">
        <v>45</v>
      </c>
      <c r="D293" s="10" t="s">
        <v>35</v>
      </c>
      <c r="E293" s="10" t="s">
        <v>35</v>
      </c>
      <c r="F293" s="11">
        <v>0</v>
      </c>
      <c r="G293" s="21">
        <v>1</v>
      </c>
      <c r="H293" s="21">
        <v>0</v>
      </c>
      <c r="I293" s="21">
        <v>0</v>
      </c>
      <c r="J293" s="14" t="s">
        <v>448</v>
      </c>
      <c r="K293" s="14" t="s">
        <v>449</v>
      </c>
      <c r="L293" s="10" t="s">
        <v>48</v>
      </c>
      <c r="M293" s="10">
        <v>2.5000000000000001E-2</v>
      </c>
      <c r="N293" s="12" t="s">
        <v>1716</v>
      </c>
      <c r="O293" s="12" t="s">
        <v>39</v>
      </c>
      <c r="P293" s="12"/>
      <c r="Q293" s="16"/>
      <c r="R293" s="12">
        <v>0</v>
      </c>
    </row>
    <row r="294" spans="1:18" s="1" customFormat="1" hidden="1" x14ac:dyDescent="0.25">
      <c r="A294" s="10" t="s">
        <v>502</v>
      </c>
      <c r="B294" s="14" t="s">
        <v>503</v>
      </c>
      <c r="C294" s="10" t="s">
        <v>45</v>
      </c>
      <c r="D294" s="10" t="s">
        <v>35</v>
      </c>
      <c r="E294" s="10" t="s">
        <v>35</v>
      </c>
      <c r="F294" s="11">
        <v>0</v>
      </c>
      <c r="G294" s="21">
        <v>1</v>
      </c>
      <c r="H294" s="21">
        <v>0</v>
      </c>
      <c r="I294" s="21">
        <v>0</v>
      </c>
      <c r="J294" s="14" t="s">
        <v>448</v>
      </c>
      <c r="K294" s="14" t="s">
        <v>449</v>
      </c>
      <c r="L294" s="10" t="s">
        <v>212</v>
      </c>
      <c r="M294" s="10">
        <v>0.72799999999999998</v>
      </c>
      <c r="N294" s="12" t="s">
        <v>1716</v>
      </c>
      <c r="O294" s="12" t="s">
        <v>39</v>
      </c>
      <c r="P294" s="12"/>
      <c r="Q294" s="16"/>
      <c r="R294" s="12">
        <v>0</v>
      </c>
    </row>
    <row r="295" spans="1:18" s="1" customFormat="1" hidden="1" x14ac:dyDescent="0.25">
      <c r="A295" s="10" t="s">
        <v>502</v>
      </c>
      <c r="B295" s="14" t="s">
        <v>503</v>
      </c>
      <c r="C295" s="10" t="s">
        <v>45</v>
      </c>
      <c r="D295" s="10" t="s">
        <v>35</v>
      </c>
      <c r="E295" s="10" t="s">
        <v>35</v>
      </c>
      <c r="F295" s="11">
        <v>0</v>
      </c>
      <c r="G295" s="21">
        <v>1</v>
      </c>
      <c r="H295" s="21">
        <v>0</v>
      </c>
      <c r="I295" s="21">
        <v>0</v>
      </c>
      <c r="J295" s="14" t="s">
        <v>448</v>
      </c>
      <c r="K295" s="14" t="s">
        <v>449</v>
      </c>
      <c r="L295" s="10" t="s">
        <v>51</v>
      </c>
      <c r="M295" s="10">
        <v>1</v>
      </c>
      <c r="N295" s="12" t="s">
        <v>1716</v>
      </c>
      <c r="O295" s="12" t="s">
        <v>39</v>
      </c>
      <c r="P295" s="12"/>
      <c r="Q295" s="16"/>
      <c r="R295" s="12">
        <v>0</v>
      </c>
    </row>
    <row r="296" spans="1:18" s="1" customFormat="1" hidden="1" x14ac:dyDescent="0.25">
      <c r="A296" s="10" t="s">
        <v>502</v>
      </c>
      <c r="B296" s="14" t="s">
        <v>503</v>
      </c>
      <c r="C296" s="10" t="s">
        <v>45</v>
      </c>
      <c r="D296" s="10" t="s">
        <v>35</v>
      </c>
      <c r="E296" s="10" t="s">
        <v>35</v>
      </c>
      <c r="F296" s="11">
        <v>0</v>
      </c>
      <c r="G296" s="21">
        <v>1</v>
      </c>
      <c r="H296" s="21">
        <v>0</v>
      </c>
      <c r="I296" s="21">
        <v>0</v>
      </c>
      <c r="J296" s="14" t="s">
        <v>448</v>
      </c>
      <c r="K296" s="14" t="s">
        <v>449</v>
      </c>
      <c r="L296" s="10" t="s">
        <v>499</v>
      </c>
      <c r="M296" s="10">
        <v>1</v>
      </c>
      <c r="N296" s="12" t="s">
        <v>1716</v>
      </c>
      <c r="O296" s="12" t="s">
        <v>39</v>
      </c>
      <c r="P296" s="12"/>
      <c r="Q296" s="16"/>
      <c r="R296" s="12">
        <v>0</v>
      </c>
    </row>
    <row r="297" spans="1:18" s="1" customFormat="1" hidden="1" x14ac:dyDescent="0.25">
      <c r="A297" s="7" t="s">
        <v>504</v>
      </c>
      <c r="B297" s="13" t="s">
        <v>505</v>
      </c>
      <c r="C297" s="7" t="s">
        <v>45</v>
      </c>
      <c r="D297" s="7" t="s">
        <v>35</v>
      </c>
      <c r="E297" s="7" t="s">
        <v>35</v>
      </c>
      <c r="F297" s="8">
        <v>0</v>
      </c>
      <c r="G297" s="20">
        <v>1</v>
      </c>
      <c r="H297" s="20">
        <v>0</v>
      </c>
      <c r="I297" s="20">
        <v>0</v>
      </c>
      <c r="J297" s="13" t="s">
        <v>448</v>
      </c>
      <c r="K297" s="13" t="s">
        <v>449</v>
      </c>
      <c r="L297" s="7" t="s">
        <v>499</v>
      </c>
      <c r="M297" s="7">
        <v>1.1000000000000001</v>
      </c>
      <c r="N297" s="9" t="s">
        <v>1716</v>
      </c>
      <c r="O297" s="9" t="s">
        <v>39</v>
      </c>
      <c r="P297" s="9"/>
      <c r="Q297" s="15"/>
      <c r="R297" s="9">
        <v>0</v>
      </c>
    </row>
    <row r="298" spans="1:18" s="1" customFormat="1" hidden="1" x14ac:dyDescent="0.25">
      <c r="A298" s="7" t="s">
        <v>504</v>
      </c>
      <c r="B298" s="13" t="s">
        <v>505</v>
      </c>
      <c r="C298" s="7" t="s">
        <v>45</v>
      </c>
      <c r="D298" s="7" t="s">
        <v>35</v>
      </c>
      <c r="E298" s="7" t="s">
        <v>35</v>
      </c>
      <c r="F298" s="8">
        <v>0</v>
      </c>
      <c r="G298" s="20">
        <v>1</v>
      </c>
      <c r="H298" s="20">
        <v>0</v>
      </c>
      <c r="I298" s="20">
        <v>0</v>
      </c>
      <c r="J298" s="13" t="s">
        <v>448</v>
      </c>
      <c r="K298" s="13" t="s">
        <v>449</v>
      </c>
      <c r="L298" s="7" t="s">
        <v>48</v>
      </c>
      <c r="M298" s="7">
        <v>2.5000000000000001E-2</v>
      </c>
      <c r="N298" s="9" t="s">
        <v>1716</v>
      </c>
      <c r="O298" s="9" t="s">
        <v>39</v>
      </c>
      <c r="P298" s="9"/>
      <c r="Q298" s="15"/>
      <c r="R298" s="9">
        <v>0</v>
      </c>
    </row>
    <row r="299" spans="1:18" s="1" customFormat="1" hidden="1" x14ac:dyDescent="0.25">
      <c r="A299" s="7" t="s">
        <v>504</v>
      </c>
      <c r="B299" s="13" t="s">
        <v>505</v>
      </c>
      <c r="C299" s="7" t="s">
        <v>45</v>
      </c>
      <c r="D299" s="7" t="s">
        <v>35</v>
      </c>
      <c r="E299" s="7" t="s">
        <v>35</v>
      </c>
      <c r="F299" s="8">
        <v>0</v>
      </c>
      <c r="G299" s="20">
        <v>1</v>
      </c>
      <c r="H299" s="20">
        <v>0</v>
      </c>
      <c r="I299" s="20">
        <v>0</v>
      </c>
      <c r="J299" s="13" t="s">
        <v>448</v>
      </c>
      <c r="K299" s="13" t="s">
        <v>449</v>
      </c>
      <c r="L299" s="7" t="s">
        <v>212</v>
      </c>
      <c r="M299" s="7">
        <v>0.72799999999999998</v>
      </c>
      <c r="N299" s="9" t="s">
        <v>1716</v>
      </c>
      <c r="O299" s="9" t="s">
        <v>39</v>
      </c>
      <c r="P299" s="9"/>
      <c r="Q299" s="15"/>
      <c r="R299" s="9">
        <v>0</v>
      </c>
    </row>
    <row r="300" spans="1:18" s="1" customFormat="1" hidden="1" x14ac:dyDescent="0.25">
      <c r="A300" s="10" t="s">
        <v>506</v>
      </c>
      <c r="B300" s="14" t="s">
        <v>507</v>
      </c>
      <c r="C300" s="10" t="s">
        <v>54</v>
      </c>
      <c r="D300" s="10" t="s">
        <v>35</v>
      </c>
      <c r="E300" s="10" t="s">
        <v>35</v>
      </c>
      <c r="F300" s="11">
        <v>0</v>
      </c>
      <c r="G300" s="21">
        <v>1</v>
      </c>
      <c r="H300" s="21">
        <v>0</v>
      </c>
      <c r="I300" s="21">
        <v>0</v>
      </c>
      <c r="J300" s="14" t="s">
        <v>46</v>
      </c>
      <c r="K300" s="14" t="s">
        <v>449</v>
      </c>
      <c r="L300" s="10" t="s">
        <v>508</v>
      </c>
      <c r="M300" s="10">
        <v>1</v>
      </c>
      <c r="N300" s="12" t="s">
        <v>1716</v>
      </c>
      <c r="O300" s="12" t="s">
        <v>39</v>
      </c>
      <c r="P300" s="12"/>
      <c r="Q300" s="16"/>
      <c r="R300" s="12">
        <v>0</v>
      </c>
    </row>
    <row r="301" spans="1:18" s="1" customFormat="1" hidden="1" x14ac:dyDescent="0.25">
      <c r="A301" s="7" t="s">
        <v>509</v>
      </c>
      <c r="B301" s="13" t="s">
        <v>510</v>
      </c>
      <c r="C301" s="7" t="s">
        <v>75</v>
      </c>
      <c r="D301" s="7" t="s">
        <v>35</v>
      </c>
      <c r="E301" s="7" t="s">
        <v>35</v>
      </c>
      <c r="F301" s="8">
        <v>0</v>
      </c>
      <c r="G301" s="20">
        <v>1</v>
      </c>
      <c r="H301" s="20">
        <v>0</v>
      </c>
      <c r="I301" s="20">
        <v>0</v>
      </c>
      <c r="J301" s="13" t="s">
        <v>46</v>
      </c>
      <c r="K301" s="13" t="s">
        <v>511</v>
      </c>
      <c r="L301" s="7" t="s">
        <v>512</v>
      </c>
      <c r="M301" s="7">
        <v>1</v>
      </c>
      <c r="N301" s="9" t="s">
        <v>1716</v>
      </c>
      <c r="O301" s="9" t="s">
        <v>39</v>
      </c>
      <c r="P301" s="9"/>
      <c r="Q301" s="15"/>
      <c r="R301" s="9">
        <v>0</v>
      </c>
    </row>
    <row r="302" spans="1:18" s="1" customFormat="1" hidden="1" x14ac:dyDescent="0.25">
      <c r="A302" s="10" t="s">
        <v>513</v>
      </c>
      <c r="B302" s="14" t="s">
        <v>514</v>
      </c>
      <c r="C302" s="10" t="s">
        <v>54</v>
      </c>
      <c r="D302" s="10" t="s">
        <v>35</v>
      </c>
      <c r="E302" s="10" t="s">
        <v>35</v>
      </c>
      <c r="F302" s="11">
        <v>0</v>
      </c>
      <c r="G302" s="21">
        <v>1</v>
      </c>
      <c r="H302" s="21">
        <v>0</v>
      </c>
      <c r="I302" s="21">
        <v>0</v>
      </c>
      <c r="J302" s="14" t="s">
        <v>419</v>
      </c>
      <c r="K302" s="14" t="s">
        <v>35</v>
      </c>
      <c r="L302" s="10" t="s">
        <v>515</v>
      </c>
      <c r="M302" s="10">
        <v>1</v>
      </c>
      <c r="N302" s="12" t="s">
        <v>1716</v>
      </c>
      <c r="O302" s="12" t="s">
        <v>39</v>
      </c>
      <c r="P302" s="12"/>
      <c r="Q302" s="16"/>
      <c r="R302" s="12">
        <v>0</v>
      </c>
    </row>
    <row r="303" spans="1:18" s="1" customFormat="1" hidden="1" x14ac:dyDescent="0.25">
      <c r="A303" s="7" t="s">
        <v>516</v>
      </c>
      <c r="B303" s="13" t="s">
        <v>517</v>
      </c>
      <c r="C303" s="7" t="s">
        <v>54</v>
      </c>
      <c r="D303" s="7" t="s">
        <v>35</v>
      </c>
      <c r="E303" s="7" t="s">
        <v>35</v>
      </c>
      <c r="F303" s="8">
        <v>0</v>
      </c>
      <c r="G303" s="20">
        <v>1</v>
      </c>
      <c r="H303" s="20">
        <v>0</v>
      </c>
      <c r="I303" s="20">
        <v>0</v>
      </c>
      <c r="J303" s="13" t="s">
        <v>419</v>
      </c>
      <c r="K303" s="13" t="s">
        <v>35</v>
      </c>
      <c r="L303" s="7" t="s">
        <v>518</v>
      </c>
      <c r="M303" s="7">
        <v>1</v>
      </c>
      <c r="N303" s="9" t="s">
        <v>1716</v>
      </c>
      <c r="O303" s="9" t="s">
        <v>39</v>
      </c>
      <c r="P303" s="9"/>
      <c r="Q303" s="15"/>
      <c r="R303" s="9">
        <v>0</v>
      </c>
    </row>
    <row r="304" spans="1:18" s="1" customFormat="1" hidden="1" x14ac:dyDescent="0.25">
      <c r="A304" s="10" t="s">
        <v>519</v>
      </c>
      <c r="B304" s="14" t="s">
        <v>520</v>
      </c>
      <c r="C304" s="10" t="s">
        <v>34</v>
      </c>
      <c r="D304" s="10" t="s">
        <v>35</v>
      </c>
      <c r="E304" s="10" t="s">
        <v>35</v>
      </c>
      <c r="F304" s="11">
        <v>0</v>
      </c>
      <c r="G304" s="21">
        <v>1</v>
      </c>
      <c r="H304" s="21">
        <v>0</v>
      </c>
      <c r="I304" s="21">
        <v>0</v>
      </c>
      <c r="J304" s="14" t="s">
        <v>218</v>
      </c>
      <c r="K304" s="14" t="s">
        <v>76</v>
      </c>
      <c r="L304" s="10" t="s">
        <v>521</v>
      </c>
      <c r="M304" s="10">
        <v>0.28139999999999998</v>
      </c>
      <c r="N304" s="12" t="s">
        <v>1716</v>
      </c>
      <c r="O304" s="12" t="s">
        <v>39</v>
      </c>
      <c r="P304" s="12"/>
      <c r="Q304" s="16"/>
      <c r="R304" s="12">
        <v>0</v>
      </c>
    </row>
    <row r="305" spans="1:18" s="1" customFormat="1" hidden="1" x14ac:dyDescent="0.25">
      <c r="A305" s="10" t="s">
        <v>519</v>
      </c>
      <c r="B305" s="14" t="s">
        <v>520</v>
      </c>
      <c r="C305" s="10" t="s">
        <v>34</v>
      </c>
      <c r="D305" s="10" t="s">
        <v>35</v>
      </c>
      <c r="E305" s="10" t="s">
        <v>35</v>
      </c>
      <c r="F305" s="11">
        <v>0</v>
      </c>
      <c r="G305" s="21">
        <v>1</v>
      </c>
      <c r="H305" s="21">
        <v>0</v>
      </c>
      <c r="I305" s="21">
        <v>0</v>
      </c>
      <c r="J305" s="14" t="s">
        <v>218</v>
      </c>
      <c r="K305" s="14" t="s">
        <v>76</v>
      </c>
      <c r="L305" s="10" t="s">
        <v>522</v>
      </c>
      <c r="M305" s="10">
        <v>1.17E-3</v>
      </c>
      <c r="N305" s="12" t="s">
        <v>1716</v>
      </c>
      <c r="O305" s="12" t="s">
        <v>39</v>
      </c>
      <c r="P305" s="12"/>
      <c r="Q305" s="16"/>
      <c r="R305" s="12">
        <v>0</v>
      </c>
    </row>
    <row r="306" spans="1:18" s="1" customFormat="1" hidden="1" x14ac:dyDescent="0.25">
      <c r="A306" s="10" t="s">
        <v>519</v>
      </c>
      <c r="B306" s="14" t="s">
        <v>520</v>
      </c>
      <c r="C306" s="10" t="s">
        <v>34</v>
      </c>
      <c r="D306" s="10" t="s">
        <v>35</v>
      </c>
      <c r="E306" s="10" t="s">
        <v>35</v>
      </c>
      <c r="F306" s="11">
        <v>0</v>
      </c>
      <c r="G306" s="21">
        <v>1</v>
      </c>
      <c r="H306" s="21">
        <v>0</v>
      </c>
      <c r="I306" s="21">
        <v>0</v>
      </c>
      <c r="J306" s="14" t="s">
        <v>218</v>
      </c>
      <c r="K306" s="14" t="s">
        <v>76</v>
      </c>
      <c r="L306" s="10" t="s">
        <v>194</v>
      </c>
      <c r="M306" s="10">
        <v>0.39595599999999997</v>
      </c>
      <c r="N306" s="12" t="s">
        <v>1716</v>
      </c>
      <c r="O306" s="12" t="s">
        <v>39</v>
      </c>
      <c r="P306" s="12"/>
      <c r="Q306" s="16"/>
      <c r="R306" s="12">
        <v>0</v>
      </c>
    </row>
    <row r="307" spans="1:18" s="1" customFormat="1" hidden="1" x14ac:dyDescent="0.25">
      <c r="A307" s="7" t="s">
        <v>523</v>
      </c>
      <c r="B307" s="13" t="s">
        <v>524</v>
      </c>
      <c r="C307" s="7" t="s">
        <v>34</v>
      </c>
      <c r="D307" s="7" t="s">
        <v>35</v>
      </c>
      <c r="E307" s="7" t="s">
        <v>35</v>
      </c>
      <c r="F307" s="8">
        <v>0</v>
      </c>
      <c r="G307" s="20">
        <v>1</v>
      </c>
      <c r="H307" s="20">
        <v>0</v>
      </c>
      <c r="I307" s="20">
        <v>0</v>
      </c>
      <c r="J307" s="13" t="s">
        <v>525</v>
      </c>
      <c r="K307" s="13" t="s">
        <v>35</v>
      </c>
      <c r="L307" s="7" t="s">
        <v>526</v>
      </c>
      <c r="M307" s="7">
        <v>2.16</v>
      </c>
      <c r="N307" s="9" t="s">
        <v>1716</v>
      </c>
      <c r="O307" s="9" t="s">
        <v>39</v>
      </c>
      <c r="P307" s="9"/>
      <c r="Q307" s="15"/>
      <c r="R307" s="9">
        <v>0</v>
      </c>
    </row>
    <row r="308" spans="1:18" s="1" customFormat="1" hidden="1" x14ac:dyDescent="0.25">
      <c r="A308" s="7" t="s">
        <v>523</v>
      </c>
      <c r="B308" s="13" t="s">
        <v>524</v>
      </c>
      <c r="C308" s="7" t="s">
        <v>34</v>
      </c>
      <c r="D308" s="7" t="s">
        <v>35</v>
      </c>
      <c r="E308" s="7" t="s">
        <v>35</v>
      </c>
      <c r="F308" s="8">
        <v>0</v>
      </c>
      <c r="G308" s="20">
        <v>1</v>
      </c>
      <c r="H308" s="20">
        <v>0</v>
      </c>
      <c r="I308" s="20">
        <v>0</v>
      </c>
      <c r="J308" s="13" t="s">
        <v>525</v>
      </c>
      <c r="K308" s="13" t="s">
        <v>35</v>
      </c>
      <c r="L308" s="7" t="s">
        <v>527</v>
      </c>
      <c r="M308" s="7">
        <v>0.43390000000000001</v>
      </c>
      <c r="N308" s="9" t="s">
        <v>1716</v>
      </c>
      <c r="O308" s="9" t="s">
        <v>39</v>
      </c>
      <c r="P308" s="9"/>
      <c r="Q308" s="15"/>
      <c r="R308" s="9">
        <v>0</v>
      </c>
    </row>
    <row r="309" spans="1:18" s="1" customFormat="1" hidden="1" x14ac:dyDescent="0.25">
      <c r="A309" s="10" t="s">
        <v>528</v>
      </c>
      <c r="B309" s="14" t="s">
        <v>529</v>
      </c>
      <c r="C309" s="10" t="s">
        <v>34</v>
      </c>
      <c r="D309" s="10" t="s">
        <v>35</v>
      </c>
      <c r="E309" s="10" t="s">
        <v>35</v>
      </c>
      <c r="F309" s="11">
        <v>0</v>
      </c>
      <c r="G309" s="21">
        <v>1</v>
      </c>
      <c r="H309" s="21">
        <v>0</v>
      </c>
      <c r="I309" s="21">
        <v>0</v>
      </c>
      <c r="J309" s="14" t="s">
        <v>83</v>
      </c>
      <c r="K309" s="14" t="s">
        <v>530</v>
      </c>
      <c r="L309" s="10" t="s">
        <v>531</v>
      </c>
      <c r="M309" s="10">
        <v>5.45E-2</v>
      </c>
      <c r="N309" s="12" t="s">
        <v>1716</v>
      </c>
      <c r="O309" s="12" t="s">
        <v>39</v>
      </c>
      <c r="P309" s="12"/>
      <c r="Q309" s="16"/>
      <c r="R309" s="12">
        <v>0</v>
      </c>
    </row>
    <row r="310" spans="1:18" s="1" customFormat="1" hidden="1" x14ac:dyDescent="0.25">
      <c r="A310" s="10" t="s">
        <v>528</v>
      </c>
      <c r="B310" s="14" t="s">
        <v>529</v>
      </c>
      <c r="C310" s="10" t="s">
        <v>34</v>
      </c>
      <c r="D310" s="10" t="s">
        <v>35</v>
      </c>
      <c r="E310" s="10" t="s">
        <v>35</v>
      </c>
      <c r="F310" s="11">
        <v>0</v>
      </c>
      <c r="G310" s="21">
        <v>1</v>
      </c>
      <c r="H310" s="21">
        <v>0</v>
      </c>
      <c r="I310" s="21">
        <v>0</v>
      </c>
      <c r="J310" s="14" t="s">
        <v>83</v>
      </c>
      <c r="K310" s="14" t="s">
        <v>530</v>
      </c>
      <c r="L310" s="10" t="s">
        <v>532</v>
      </c>
      <c r="M310" s="10">
        <v>2.5000000000000001E-3</v>
      </c>
      <c r="N310" s="12" t="s">
        <v>1716</v>
      </c>
      <c r="O310" s="12" t="s">
        <v>39</v>
      </c>
      <c r="P310" s="12"/>
      <c r="Q310" s="16"/>
      <c r="R310" s="12">
        <v>0</v>
      </c>
    </row>
    <row r="311" spans="1:18" s="1" customFormat="1" hidden="1" x14ac:dyDescent="0.25">
      <c r="A311" s="10" t="s">
        <v>528</v>
      </c>
      <c r="B311" s="14" t="s">
        <v>529</v>
      </c>
      <c r="C311" s="10" t="s">
        <v>34</v>
      </c>
      <c r="D311" s="10" t="s">
        <v>35</v>
      </c>
      <c r="E311" s="10" t="s">
        <v>35</v>
      </c>
      <c r="F311" s="11">
        <v>0</v>
      </c>
      <c r="G311" s="21">
        <v>1</v>
      </c>
      <c r="H311" s="21">
        <v>0</v>
      </c>
      <c r="I311" s="21">
        <v>0</v>
      </c>
      <c r="J311" s="14" t="s">
        <v>83</v>
      </c>
      <c r="K311" s="14" t="s">
        <v>530</v>
      </c>
      <c r="L311" s="10" t="s">
        <v>533</v>
      </c>
      <c r="M311" s="10">
        <v>1.7909999999999999</v>
      </c>
      <c r="N311" s="12" t="s">
        <v>1716</v>
      </c>
      <c r="O311" s="12" t="s">
        <v>39</v>
      </c>
      <c r="P311" s="12"/>
      <c r="Q311" s="16"/>
      <c r="R311" s="12">
        <v>0</v>
      </c>
    </row>
    <row r="312" spans="1:18" s="1" customFormat="1" hidden="1" x14ac:dyDescent="0.25">
      <c r="A312" s="10" t="s">
        <v>528</v>
      </c>
      <c r="B312" s="14" t="s">
        <v>529</v>
      </c>
      <c r="C312" s="10" t="s">
        <v>34</v>
      </c>
      <c r="D312" s="10" t="s">
        <v>35</v>
      </c>
      <c r="E312" s="10" t="s">
        <v>35</v>
      </c>
      <c r="F312" s="11">
        <v>0</v>
      </c>
      <c r="G312" s="21">
        <v>1</v>
      </c>
      <c r="H312" s="21">
        <v>0</v>
      </c>
      <c r="I312" s="21">
        <v>0</v>
      </c>
      <c r="J312" s="14" t="s">
        <v>83</v>
      </c>
      <c r="K312" s="14" t="s">
        <v>530</v>
      </c>
      <c r="L312" s="10" t="s">
        <v>534</v>
      </c>
      <c r="M312" s="10">
        <v>8.4400000000000002E-4</v>
      </c>
      <c r="N312" s="12" t="s">
        <v>1716</v>
      </c>
      <c r="O312" s="12" t="s">
        <v>39</v>
      </c>
      <c r="P312" s="12"/>
      <c r="Q312" s="16"/>
      <c r="R312" s="12">
        <v>0</v>
      </c>
    </row>
    <row r="313" spans="1:18" s="1" customFormat="1" hidden="1" x14ac:dyDescent="0.25">
      <c r="A313" s="10" t="s">
        <v>528</v>
      </c>
      <c r="B313" s="14" t="s">
        <v>529</v>
      </c>
      <c r="C313" s="10" t="s">
        <v>34</v>
      </c>
      <c r="D313" s="10" t="s">
        <v>35</v>
      </c>
      <c r="E313" s="10" t="s">
        <v>35</v>
      </c>
      <c r="F313" s="11">
        <v>0</v>
      </c>
      <c r="G313" s="21">
        <v>1</v>
      </c>
      <c r="H313" s="21">
        <v>0</v>
      </c>
      <c r="I313" s="21">
        <v>0</v>
      </c>
      <c r="J313" s="14" t="s">
        <v>83</v>
      </c>
      <c r="K313" s="14" t="s">
        <v>530</v>
      </c>
      <c r="L313" s="10" t="s">
        <v>166</v>
      </c>
      <c r="M313" s="10">
        <v>0.1333</v>
      </c>
      <c r="N313" s="12" t="s">
        <v>1716</v>
      </c>
      <c r="O313" s="12" t="s">
        <v>39</v>
      </c>
      <c r="P313" s="12"/>
      <c r="Q313" s="16"/>
      <c r="R313" s="12">
        <v>0</v>
      </c>
    </row>
    <row r="314" spans="1:18" s="1" customFormat="1" hidden="1" x14ac:dyDescent="0.25">
      <c r="A314" s="7" t="s">
        <v>535</v>
      </c>
      <c r="B314" s="13" t="s">
        <v>536</v>
      </c>
      <c r="C314" s="7" t="s">
        <v>365</v>
      </c>
      <c r="D314" s="7" t="s">
        <v>35</v>
      </c>
      <c r="E314" s="7" t="s">
        <v>35</v>
      </c>
      <c r="F314" s="8">
        <v>0</v>
      </c>
      <c r="G314" s="20">
        <v>1</v>
      </c>
      <c r="H314" s="20">
        <v>0</v>
      </c>
      <c r="I314" s="20">
        <v>0</v>
      </c>
      <c r="J314" s="13" t="s">
        <v>46</v>
      </c>
      <c r="K314" s="13" t="s">
        <v>47</v>
      </c>
      <c r="L314" s="7" t="s">
        <v>537</v>
      </c>
      <c r="M314" s="7">
        <v>1.05</v>
      </c>
      <c r="N314" s="9" t="s">
        <v>1716</v>
      </c>
      <c r="O314" s="9" t="s">
        <v>39</v>
      </c>
      <c r="P314" s="9"/>
      <c r="Q314" s="15"/>
      <c r="R314" s="9">
        <v>0</v>
      </c>
    </row>
    <row r="315" spans="1:18" s="1" customFormat="1" hidden="1" x14ac:dyDescent="0.25">
      <c r="A315" s="7" t="s">
        <v>535</v>
      </c>
      <c r="B315" s="13" t="s">
        <v>536</v>
      </c>
      <c r="C315" s="7" t="s">
        <v>365</v>
      </c>
      <c r="D315" s="7" t="s">
        <v>35</v>
      </c>
      <c r="E315" s="7" t="s">
        <v>35</v>
      </c>
      <c r="F315" s="8">
        <v>0</v>
      </c>
      <c r="G315" s="20">
        <v>1</v>
      </c>
      <c r="H315" s="20">
        <v>0</v>
      </c>
      <c r="I315" s="20">
        <v>0</v>
      </c>
      <c r="J315" s="13" t="s">
        <v>46</v>
      </c>
      <c r="K315" s="13" t="s">
        <v>47</v>
      </c>
      <c r="L315" s="7" t="s">
        <v>377</v>
      </c>
      <c r="M315" s="7">
        <v>1</v>
      </c>
      <c r="N315" s="9" t="s">
        <v>1716</v>
      </c>
      <c r="O315" s="9" t="s">
        <v>39</v>
      </c>
      <c r="P315" s="9"/>
      <c r="Q315" s="15"/>
      <c r="R315" s="9">
        <v>0</v>
      </c>
    </row>
    <row r="316" spans="1:18" s="1" customFormat="1" hidden="1" x14ac:dyDescent="0.25">
      <c r="A316" s="10" t="s">
        <v>538</v>
      </c>
      <c r="B316" s="14" t="s">
        <v>539</v>
      </c>
      <c r="C316" s="10" t="s">
        <v>540</v>
      </c>
      <c r="D316" s="10" t="s">
        <v>35</v>
      </c>
      <c r="E316" s="10" t="s">
        <v>35</v>
      </c>
      <c r="F316" s="11">
        <v>0</v>
      </c>
      <c r="G316" s="21">
        <v>1</v>
      </c>
      <c r="H316" s="21">
        <v>0</v>
      </c>
      <c r="I316" s="21">
        <v>0</v>
      </c>
      <c r="J316" s="14" t="s">
        <v>448</v>
      </c>
      <c r="K316" s="14" t="s">
        <v>530</v>
      </c>
      <c r="L316" s="10" t="s">
        <v>541</v>
      </c>
      <c r="M316" s="10">
        <v>1.05</v>
      </c>
      <c r="N316" s="12" t="s">
        <v>1716</v>
      </c>
      <c r="O316" s="12" t="s">
        <v>39</v>
      </c>
      <c r="P316" s="12"/>
      <c r="Q316" s="16"/>
      <c r="R316" s="12">
        <v>0</v>
      </c>
    </row>
    <row r="317" spans="1:18" s="1" customFormat="1" hidden="1" x14ac:dyDescent="0.25">
      <c r="A317" s="10" t="s">
        <v>538</v>
      </c>
      <c r="B317" s="14" t="s">
        <v>539</v>
      </c>
      <c r="C317" s="10" t="s">
        <v>540</v>
      </c>
      <c r="D317" s="10" t="s">
        <v>35</v>
      </c>
      <c r="E317" s="10" t="s">
        <v>35</v>
      </c>
      <c r="F317" s="11">
        <v>0</v>
      </c>
      <c r="G317" s="21">
        <v>1</v>
      </c>
      <c r="H317" s="21">
        <v>0</v>
      </c>
      <c r="I317" s="21">
        <v>0</v>
      </c>
      <c r="J317" s="14" t="s">
        <v>448</v>
      </c>
      <c r="K317" s="14" t="s">
        <v>530</v>
      </c>
      <c r="L317" s="10" t="s">
        <v>367</v>
      </c>
      <c r="M317" s="10">
        <v>1</v>
      </c>
      <c r="N317" s="12" t="s">
        <v>1716</v>
      </c>
      <c r="O317" s="12" t="s">
        <v>39</v>
      </c>
      <c r="P317" s="12"/>
      <c r="Q317" s="16"/>
      <c r="R317" s="12">
        <v>0</v>
      </c>
    </row>
    <row r="318" spans="1:18" s="1" customFormat="1" hidden="1" x14ac:dyDescent="0.25">
      <c r="A318" s="7" t="s">
        <v>542</v>
      </c>
      <c r="B318" s="13" t="s">
        <v>543</v>
      </c>
      <c r="C318" s="7" t="s">
        <v>540</v>
      </c>
      <c r="D318" s="7" t="s">
        <v>35</v>
      </c>
      <c r="E318" s="7" t="s">
        <v>35</v>
      </c>
      <c r="F318" s="8">
        <v>0</v>
      </c>
      <c r="G318" s="20">
        <v>1</v>
      </c>
      <c r="H318" s="20">
        <v>0</v>
      </c>
      <c r="I318" s="20">
        <v>0</v>
      </c>
      <c r="J318" s="13" t="s">
        <v>448</v>
      </c>
      <c r="K318" s="13" t="s">
        <v>530</v>
      </c>
      <c r="L318" s="7" t="s">
        <v>544</v>
      </c>
      <c r="M318" s="7">
        <v>1.05</v>
      </c>
      <c r="N318" s="9" t="s">
        <v>1716</v>
      </c>
      <c r="O318" s="9" t="s">
        <v>39</v>
      </c>
      <c r="P318" s="9"/>
      <c r="Q318" s="15"/>
      <c r="R318" s="9">
        <v>0</v>
      </c>
    </row>
    <row r="319" spans="1:18" s="1" customFormat="1" hidden="1" x14ac:dyDescent="0.25">
      <c r="A319" s="7" t="s">
        <v>542</v>
      </c>
      <c r="B319" s="13" t="s">
        <v>543</v>
      </c>
      <c r="C319" s="7" t="s">
        <v>540</v>
      </c>
      <c r="D319" s="7" t="s">
        <v>35</v>
      </c>
      <c r="E319" s="7" t="s">
        <v>35</v>
      </c>
      <c r="F319" s="8">
        <v>0</v>
      </c>
      <c r="G319" s="20">
        <v>1</v>
      </c>
      <c r="H319" s="20">
        <v>0</v>
      </c>
      <c r="I319" s="20">
        <v>0</v>
      </c>
      <c r="J319" s="13" t="s">
        <v>448</v>
      </c>
      <c r="K319" s="13" t="s">
        <v>530</v>
      </c>
      <c r="L319" s="7" t="s">
        <v>367</v>
      </c>
      <c r="M319" s="7">
        <v>1</v>
      </c>
      <c r="N319" s="9" t="s">
        <v>1716</v>
      </c>
      <c r="O319" s="9" t="s">
        <v>39</v>
      </c>
      <c r="P319" s="9"/>
      <c r="Q319" s="15"/>
      <c r="R319" s="9">
        <v>0</v>
      </c>
    </row>
    <row r="320" spans="1:18" s="1" customFormat="1" hidden="1" x14ac:dyDescent="0.25">
      <c r="A320" s="10" t="s">
        <v>545</v>
      </c>
      <c r="B320" s="14" t="s">
        <v>546</v>
      </c>
      <c r="C320" s="10" t="s">
        <v>75</v>
      </c>
      <c r="D320" s="10" t="s">
        <v>35</v>
      </c>
      <c r="E320" s="10" t="s">
        <v>35</v>
      </c>
      <c r="F320" s="11">
        <v>0</v>
      </c>
      <c r="G320" s="21">
        <v>1</v>
      </c>
      <c r="H320" s="21">
        <v>0</v>
      </c>
      <c r="I320" s="21">
        <v>0</v>
      </c>
      <c r="J320" s="14" t="s">
        <v>67</v>
      </c>
      <c r="K320" s="14" t="s">
        <v>547</v>
      </c>
      <c r="L320" s="10" t="s">
        <v>271</v>
      </c>
      <c r="M320" s="10">
        <v>2E-3</v>
      </c>
      <c r="N320" s="12" t="s">
        <v>1716</v>
      </c>
      <c r="O320" s="12" t="s">
        <v>39</v>
      </c>
      <c r="P320" s="12"/>
      <c r="Q320" s="16"/>
      <c r="R320" s="12">
        <v>0</v>
      </c>
    </row>
    <row r="321" spans="1:18" s="1" customFormat="1" hidden="1" x14ac:dyDescent="0.25">
      <c r="A321" s="10" t="s">
        <v>545</v>
      </c>
      <c r="B321" s="14" t="s">
        <v>546</v>
      </c>
      <c r="C321" s="10" t="s">
        <v>75</v>
      </c>
      <c r="D321" s="10" t="s">
        <v>35</v>
      </c>
      <c r="E321" s="10" t="s">
        <v>35</v>
      </c>
      <c r="F321" s="11">
        <v>0</v>
      </c>
      <c r="G321" s="21">
        <v>1</v>
      </c>
      <c r="H321" s="21">
        <v>0</v>
      </c>
      <c r="I321" s="21">
        <v>0</v>
      </c>
      <c r="J321" s="14" t="s">
        <v>67</v>
      </c>
      <c r="K321" s="14" t="s">
        <v>547</v>
      </c>
      <c r="L321" s="10" t="s">
        <v>548</v>
      </c>
      <c r="M321" s="10">
        <v>1</v>
      </c>
      <c r="N321" s="12" t="s">
        <v>1716</v>
      </c>
      <c r="O321" s="12" t="s">
        <v>39</v>
      </c>
      <c r="P321" s="12"/>
      <c r="Q321" s="16"/>
      <c r="R321" s="12">
        <v>0</v>
      </c>
    </row>
    <row r="322" spans="1:18" s="1" customFormat="1" hidden="1" x14ac:dyDescent="0.25">
      <c r="A322" s="7" t="s">
        <v>549</v>
      </c>
      <c r="B322" s="13" t="s">
        <v>550</v>
      </c>
      <c r="C322" s="7" t="s">
        <v>75</v>
      </c>
      <c r="D322" s="7" t="s">
        <v>35</v>
      </c>
      <c r="E322" s="7" t="s">
        <v>35</v>
      </c>
      <c r="F322" s="8">
        <v>0</v>
      </c>
      <c r="G322" s="20">
        <v>1</v>
      </c>
      <c r="H322" s="20">
        <v>0</v>
      </c>
      <c r="I322" s="20">
        <v>0</v>
      </c>
      <c r="J322" s="13" t="s">
        <v>67</v>
      </c>
      <c r="K322" s="13" t="s">
        <v>547</v>
      </c>
      <c r="L322" s="7" t="s">
        <v>271</v>
      </c>
      <c r="M322" s="7">
        <v>2E-3</v>
      </c>
      <c r="N322" s="9" t="s">
        <v>1716</v>
      </c>
      <c r="O322" s="9" t="s">
        <v>39</v>
      </c>
      <c r="P322" s="9"/>
      <c r="Q322" s="15"/>
      <c r="R322" s="9">
        <v>0</v>
      </c>
    </row>
    <row r="323" spans="1:18" s="1" customFormat="1" hidden="1" x14ac:dyDescent="0.25">
      <c r="A323" s="7" t="s">
        <v>549</v>
      </c>
      <c r="B323" s="13" t="s">
        <v>550</v>
      </c>
      <c r="C323" s="7" t="s">
        <v>75</v>
      </c>
      <c r="D323" s="7" t="s">
        <v>35</v>
      </c>
      <c r="E323" s="7" t="s">
        <v>35</v>
      </c>
      <c r="F323" s="8">
        <v>0</v>
      </c>
      <c r="G323" s="20">
        <v>1</v>
      </c>
      <c r="H323" s="20">
        <v>0</v>
      </c>
      <c r="I323" s="20">
        <v>0</v>
      </c>
      <c r="J323" s="13" t="s">
        <v>67</v>
      </c>
      <c r="K323" s="13" t="s">
        <v>547</v>
      </c>
      <c r="L323" s="7" t="s">
        <v>551</v>
      </c>
      <c r="M323" s="7">
        <v>1</v>
      </c>
      <c r="N323" s="9" t="s">
        <v>1716</v>
      </c>
      <c r="O323" s="9" t="s">
        <v>39</v>
      </c>
      <c r="P323" s="9"/>
      <c r="Q323" s="15"/>
      <c r="R323" s="9">
        <v>0</v>
      </c>
    </row>
    <row r="324" spans="1:18" s="1" customFormat="1" hidden="1" x14ac:dyDescent="0.25">
      <c r="A324" s="10" t="s">
        <v>552</v>
      </c>
      <c r="B324" s="14" t="s">
        <v>553</v>
      </c>
      <c r="C324" s="10" t="s">
        <v>34</v>
      </c>
      <c r="D324" s="10" t="s">
        <v>35</v>
      </c>
      <c r="E324" s="10" t="s">
        <v>35</v>
      </c>
      <c r="F324" s="11">
        <v>0</v>
      </c>
      <c r="G324" s="21">
        <v>1</v>
      </c>
      <c r="H324" s="21">
        <v>0</v>
      </c>
      <c r="I324" s="21">
        <v>0</v>
      </c>
      <c r="J324" s="14" t="s">
        <v>218</v>
      </c>
      <c r="K324" s="14" t="s">
        <v>260</v>
      </c>
      <c r="L324" s="10" t="s">
        <v>521</v>
      </c>
      <c r="M324" s="10">
        <v>0.436</v>
      </c>
      <c r="N324" s="12" t="s">
        <v>1716</v>
      </c>
      <c r="O324" s="12" t="s">
        <v>39</v>
      </c>
      <c r="P324" s="12"/>
      <c r="Q324" s="16"/>
      <c r="R324" s="12">
        <v>0</v>
      </c>
    </row>
    <row r="325" spans="1:18" s="1" customFormat="1" hidden="1" x14ac:dyDescent="0.25">
      <c r="A325" s="10" t="s">
        <v>552</v>
      </c>
      <c r="B325" s="14" t="s">
        <v>553</v>
      </c>
      <c r="C325" s="10" t="s">
        <v>34</v>
      </c>
      <c r="D325" s="10" t="s">
        <v>35</v>
      </c>
      <c r="E325" s="10" t="s">
        <v>35</v>
      </c>
      <c r="F325" s="11">
        <v>0</v>
      </c>
      <c r="G325" s="21">
        <v>1</v>
      </c>
      <c r="H325" s="21">
        <v>0</v>
      </c>
      <c r="I325" s="21">
        <v>0</v>
      </c>
      <c r="J325" s="14" t="s">
        <v>218</v>
      </c>
      <c r="K325" s="14" t="s">
        <v>260</v>
      </c>
      <c r="L325" s="10" t="s">
        <v>281</v>
      </c>
      <c r="M325" s="10">
        <v>7.152E-2</v>
      </c>
      <c r="N325" s="12" t="s">
        <v>1716</v>
      </c>
      <c r="O325" s="12" t="s">
        <v>39</v>
      </c>
      <c r="P325" s="12"/>
      <c r="Q325" s="16"/>
      <c r="R325" s="12">
        <v>0</v>
      </c>
    </row>
    <row r="326" spans="1:18" s="1" customFormat="1" hidden="1" x14ac:dyDescent="0.25">
      <c r="A326" s="10" t="s">
        <v>552</v>
      </c>
      <c r="B326" s="14" t="s">
        <v>553</v>
      </c>
      <c r="C326" s="10" t="s">
        <v>34</v>
      </c>
      <c r="D326" s="10" t="s">
        <v>35</v>
      </c>
      <c r="E326" s="10" t="s">
        <v>35</v>
      </c>
      <c r="F326" s="11">
        <v>0</v>
      </c>
      <c r="G326" s="21">
        <v>1</v>
      </c>
      <c r="H326" s="21">
        <v>0</v>
      </c>
      <c r="I326" s="21">
        <v>0</v>
      </c>
      <c r="J326" s="14" t="s">
        <v>218</v>
      </c>
      <c r="K326" s="14" t="s">
        <v>260</v>
      </c>
      <c r="L326" s="10" t="s">
        <v>194</v>
      </c>
      <c r="M326" s="10">
        <v>24.591999999999999</v>
      </c>
      <c r="N326" s="12" t="s">
        <v>1716</v>
      </c>
      <c r="O326" s="12" t="s">
        <v>39</v>
      </c>
      <c r="P326" s="12"/>
      <c r="Q326" s="16"/>
      <c r="R326" s="12">
        <v>0</v>
      </c>
    </row>
    <row r="327" spans="1:18" s="1" customFormat="1" hidden="1" x14ac:dyDescent="0.25">
      <c r="A327" s="10" t="s">
        <v>552</v>
      </c>
      <c r="B327" s="14" t="s">
        <v>553</v>
      </c>
      <c r="C327" s="10" t="s">
        <v>34</v>
      </c>
      <c r="D327" s="10" t="s">
        <v>35</v>
      </c>
      <c r="E327" s="10" t="s">
        <v>35</v>
      </c>
      <c r="F327" s="11">
        <v>0</v>
      </c>
      <c r="G327" s="21">
        <v>1</v>
      </c>
      <c r="H327" s="21">
        <v>0</v>
      </c>
      <c r="I327" s="21">
        <v>0</v>
      </c>
      <c r="J327" s="14" t="s">
        <v>218</v>
      </c>
      <c r="K327" s="14" t="s">
        <v>260</v>
      </c>
      <c r="L327" s="10" t="s">
        <v>554</v>
      </c>
      <c r="M327" s="10">
        <v>1.05</v>
      </c>
      <c r="N327" s="12" t="s">
        <v>1716</v>
      </c>
      <c r="O327" s="12" t="s">
        <v>39</v>
      </c>
      <c r="P327" s="12"/>
      <c r="Q327" s="16"/>
      <c r="R327" s="12">
        <v>0</v>
      </c>
    </row>
    <row r="328" spans="1:18" s="1" customFormat="1" hidden="1" x14ac:dyDescent="0.25">
      <c r="A328" s="7" t="s">
        <v>555</v>
      </c>
      <c r="B328" s="13" t="s">
        <v>556</v>
      </c>
      <c r="C328" s="7" t="s">
        <v>34</v>
      </c>
      <c r="D328" s="7" t="s">
        <v>35</v>
      </c>
      <c r="E328" s="7" t="s">
        <v>35</v>
      </c>
      <c r="F328" s="8">
        <v>0</v>
      </c>
      <c r="G328" s="20">
        <v>1</v>
      </c>
      <c r="H328" s="20">
        <v>0</v>
      </c>
      <c r="I328" s="20">
        <v>0</v>
      </c>
      <c r="J328" s="13" t="s">
        <v>218</v>
      </c>
      <c r="K328" s="13" t="s">
        <v>260</v>
      </c>
      <c r="L328" s="7" t="s">
        <v>521</v>
      </c>
      <c r="M328" s="7">
        <v>0.436</v>
      </c>
      <c r="N328" s="9" t="s">
        <v>1716</v>
      </c>
      <c r="O328" s="9" t="s">
        <v>39</v>
      </c>
      <c r="P328" s="9"/>
      <c r="Q328" s="15"/>
      <c r="R328" s="9">
        <v>0</v>
      </c>
    </row>
    <row r="329" spans="1:18" s="1" customFormat="1" hidden="1" x14ac:dyDescent="0.25">
      <c r="A329" s="7" t="s">
        <v>555</v>
      </c>
      <c r="B329" s="13" t="s">
        <v>556</v>
      </c>
      <c r="C329" s="7" t="s">
        <v>34</v>
      </c>
      <c r="D329" s="7" t="s">
        <v>35</v>
      </c>
      <c r="E329" s="7" t="s">
        <v>35</v>
      </c>
      <c r="F329" s="8">
        <v>0</v>
      </c>
      <c r="G329" s="20">
        <v>1</v>
      </c>
      <c r="H329" s="20">
        <v>0</v>
      </c>
      <c r="I329" s="20">
        <v>0</v>
      </c>
      <c r="J329" s="13" t="s">
        <v>218</v>
      </c>
      <c r="K329" s="13" t="s">
        <v>260</v>
      </c>
      <c r="L329" s="7" t="s">
        <v>281</v>
      </c>
      <c r="M329" s="7">
        <v>7.4800000000000005E-2</v>
      </c>
      <c r="N329" s="9" t="s">
        <v>1716</v>
      </c>
      <c r="O329" s="9" t="s">
        <v>39</v>
      </c>
      <c r="P329" s="9"/>
      <c r="Q329" s="15"/>
      <c r="R329" s="9">
        <v>0</v>
      </c>
    </row>
    <row r="330" spans="1:18" s="1" customFormat="1" hidden="1" x14ac:dyDescent="0.25">
      <c r="A330" s="7" t="s">
        <v>555</v>
      </c>
      <c r="B330" s="13" t="s">
        <v>556</v>
      </c>
      <c r="C330" s="7" t="s">
        <v>34</v>
      </c>
      <c r="D330" s="7" t="s">
        <v>35</v>
      </c>
      <c r="E330" s="7" t="s">
        <v>35</v>
      </c>
      <c r="F330" s="8">
        <v>0</v>
      </c>
      <c r="G330" s="20">
        <v>1</v>
      </c>
      <c r="H330" s="20">
        <v>0</v>
      </c>
      <c r="I330" s="20">
        <v>0</v>
      </c>
      <c r="J330" s="13" t="s">
        <v>218</v>
      </c>
      <c r="K330" s="13" t="s">
        <v>260</v>
      </c>
      <c r="L330" s="7" t="s">
        <v>194</v>
      </c>
      <c r="M330" s="7">
        <v>25.29</v>
      </c>
      <c r="N330" s="9" t="s">
        <v>1716</v>
      </c>
      <c r="O330" s="9" t="s">
        <v>39</v>
      </c>
      <c r="P330" s="9"/>
      <c r="Q330" s="15"/>
      <c r="R330" s="9">
        <v>0</v>
      </c>
    </row>
    <row r="331" spans="1:18" s="1" customFormat="1" hidden="1" x14ac:dyDescent="0.25">
      <c r="A331" s="7" t="s">
        <v>555</v>
      </c>
      <c r="B331" s="13" t="s">
        <v>556</v>
      </c>
      <c r="C331" s="7" t="s">
        <v>34</v>
      </c>
      <c r="D331" s="7" t="s">
        <v>35</v>
      </c>
      <c r="E331" s="7" t="s">
        <v>35</v>
      </c>
      <c r="F331" s="8">
        <v>0</v>
      </c>
      <c r="G331" s="20">
        <v>1</v>
      </c>
      <c r="H331" s="20">
        <v>0</v>
      </c>
      <c r="I331" s="20">
        <v>0</v>
      </c>
      <c r="J331" s="13" t="s">
        <v>218</v>
      </c>
      <c r="K331" s="13" t="s">
        <v>260</v>
      </c>
      <c r="L331" s="7" t="s">
        <v>554</v>
      </c>
      <c r="M331" s="7">
        <v>1.05</v>
      </c>
      <c r="N331" s="9" t="s">
        <v>1716</v>
      </c>
      <c r="O331" s="9" t="s">
        <v>39</v>
      </c>
      <c r="P331" s="9"/>
      <c r="Q331" s="15"/>
      <c r="R331" s="9">
        <v>0</v>
      </c>
    </row>
    <row r="332" spans="1:18" s="1" customFormat="1" hidden="1" x14ac:dyDescent="0.25">
      <c r="A332" s="10" t="s">
        <v>557</v>
      </c>
      <c r="B332" s="14" t="s">
        <v>558</v>
      </c>
      <c r="C332" s="10" t="s">
        <v>540</v>
      </c>
      <c r="D332" s="10" t="s">
        <v>35</v>
      </c>
      <c r="E332" s="10" t="s">
        <v>35</v>
      </c>
      <c r="F332" s="11">
        <v>0</v>
      </c>
      <c r="G332" s="21">
        <v>1</v>
      </c>
      <c r="H332" s="21">
        <v>0</v>
      </c>
      <c r="I332" s="21">
        <v>0</v>
      </c>
      <c r="J332" s="14" t="s">
        <v>419</v>
      </c>
      <c r="K332" s="14" t="s">
        <v>559</v>
      </c>
      <c r="L332" s="10" t="s">
        <v>560</v>
      </c>
      <c r="M332" s="10">
        <v>1</v>
      </c>
      <c r="N332" s="12" t="s">
        <v>1716</v>
      </c>
      <c r="O332" s="12" t="s">
        <v>39</v>
      </c>
      <c r="P332" s="12"/>
      <c r="Q332" s="16"/>
      <c r="R332" s="12">
        <v>0</v>
      </c>
    </row>
    <row r="333" spans="1:18" s="1" customFormat="1" hidden="1" x14ac:dyDescent="0.25">
      <c r="A333" s="7" t="s">
        <v>561</v>
      </c>
      <c r="B333" s="13" t="s">
        <v>562</v>
      </c>
      <c r="C333" s="7" t="s">
        <v>75</v>
      </c>
      <c r="D333" s="7" t="s">
        <v>35</v>
      </c>
      <c r="E333" s="7" t="s">
        <v>35</v>
      </c>
      <c r="F333" s="8">
        <v>0</v>
      </c>
      <c r="G333" s="20">
        <v>1</v>
      </c>
      <c r="H333" s="20">
        <v>0</v>
      </c>
      <c r="I333" s="20">
        <v>0</v>
      </c>
      <c r="J333" s="13" t="s">
        <v>67</v>
      </c>
      <c r="K333" s="13" t="s">
        <v>252</v>
      </c>
      <c r="L333" s="7" t="s">
        <v>253</v>
      </c>
      <c r="M333" s="7">
        <v>1</v>
      </c>
      <c r="N333" s="9" t="s">
        <v>1716</v>
      </c>
      <c r="O333" s="9" t="s">
        <v>39</v>
      </c>
      <c r="P333" s="9"/>
      <c r="Q333" s="15"/>
      <c r="R333" s="9">
        <v>0</v>
      </c>
    </row>
    <row r="334" spans="1:18" s="1" customFormat="1" hidden="1" x14ac:dyDescent="0.25">
      <c r="A334" s="10" t="s">
        <v>563</v>
      </c>
      <c r="B334" s="14" t="s">
        <v>564</v>
      </c>
      <c r="C334" s="10" t="s">
        <v>34</v>
      </c>
      <c r="D334" s="10" t="s">
        <v>35</v>
      </c>
      <c r="E334" s="10" t="s">
        <v>35</v>
      </c>
      <c r="F334" s="11">
        <v>0</v>
      </c>
      <c r="G334" s="21">
        <v>1</v>
      </c>
      <c r="H334" s="21">
        <v>0</v>
      </c>
      <c r="I334" s="21">
        <v>0</v>
      </c>
      <c r="J334" s="14" t="s">
        <v>83</v>
      </c>
      <c r="K334" s="14" t="s">
        <v>565</v>
      </c>
      <c r="L334" s="10" t="s">
        <v>566</v>
      </c>
      <c r="M334" s="10">
        <v>1</v>
      </c>
      <c r="N334" s="12" t="s">
        <v>1716</v>
      </c>
      <c r="O334" s="12" t="s">
        <v>39</v>
      </c>
      <c r="P334" s="12"/>
      <c r="Q334" s="16"/>
      <c r="R334" s="12">
        <v>0</v>
      </c>
    </row>
    <row r="335" spans="1:18" s="1" customFormat="1" hidden="1" x14ac:dyDescent="0.25">
      <c r="A335" s="7" t="s">
        <v>567</v>
      </c>
      <c r="B335" s="13" t="s">
        <v>568</v>
      </c>
      <c r="C335" s="7" t="s">
        <v>54</v>
      </c>
      <c r="D335" s="7" t="s">
        <v>35</v>
      </c>
      <c r="E335" s="7" t="s">
        <v>35</v>
      </c>
      <c r="F335" s="8">
        <v>0</v>
      </c>
      <c r="G335" s="20">
        <v>1</v>
      </c>
      <c r="H335" s="20">
        <v>0</v>
      </c>
      <c r="I335" s="20">
        <v>0</v>
      </c>
      <c r="J335" s="13" t="s">
        <v>525</v>
      </c>
      <c r="K335" s="13" t="s">
        <v>569</v>
      </c>
      <c r="L335" s="7" t="s">
        <v>570</v>
      </c>
      <c r="M335" s="7">
        <v>1</v>
      </c>
      <c r="N335" s="9" t="s">
        <v>1716</v>
      </c>
      <c r="O335" s="9" t="s">
        <v>39</v>
      </c>
      <c r="P335" s="9"/>
      <c r="Q335" s="15"/>
      <c r="R335" s="9">
        <v>0</v>
      </c>
    </row>
    <row r="336" spans="1:18" s="1" customFormat="1" hidden="1" x14ac:dyDescent="0.25">
      <c r="A336" s="10" t="s">
        <v>571</v>
      </c>
      <c r="B336" s="14" t="s">
        <v>572</v>
      </c>
      <c r="C336" s="10" t="s">
        <v>54</v>
      </c>
      <c r="D336" s="10" t="s">
        <v>35</v>
      </c>
      <c r="E336" s="10" t="s">
        <v>35</v>
      </c>
      <c r="F336" s="11">
        <v>0</v>
      </c>
      <c r="G336" s="21">
        <v>1</v>
      </c>
      <c r="H336" s="21">
        <v>0</v>
      </c>
      <c r="I336" s="21">
        <v>0</v>
      </c>
      <c r="J336" s="14" t="s">
        <v>573</v>
      </c>
      <c r="K336" s="14" t="s">
        <v>35</v>
      </c>
      <c r="L336" s="10" t="s">
        <v>574</v>
      </c>
      <c r="M336" s="10">
        <v>1</v>
      </c>
      <c r="N336" s="12" t="s">
        <v>1716</v>
      </c>
      <c r="O336" s="12" t="s">
        <v>39</v>
      </c>
      <c r="P336" s="12"/>
      <c r="Q336" s="16"/>
      <c r="R336" s="12">
        <v>0</v>
      </c>
    </row>
    <row r="337" spans="1:18" s="1" customFormat="1" hidden="1" x14ac:dyDescent="0.25">
      <c r="A337" s="7" t="s">
        <v>575</v>
      </c>
      <c r="B337" s="13" t="s">
        <v>576</v>
      </c>
      <c r="C337" s="7" t="s">
        <v>54</v>
      </c>
      <c r="D337" s="7" t="s">
        <v>35</v>
      </c>
      <c r="E337" s="7" t="s">
        <v>35</v>
      </c>
      <c r="F337" s="8">
        <v>0</v>
      </c>
      <c r="G337" s="20">
        <v>1</v>
      </c>
      <c r="H337" s="20">
        <v>0</v>
      </c>
      <c r="I337" s="20">
        <v>0</v>
      </c>
      <c r="J337" s="13" t="s">
        <v>419</v>
      </c>
      <c r="K337" s="13" t="s">
        <v>35</v>
      </c>
      <c r="L337" s="7" t="s">
        <v>577</v>
      </c>
      <c r="M337" s="7">
        <v>1</v>
      </c>
      <c r="N337" s="9" t="s">
        <v>1716</v>
      </c>
      <c r="O337" s="9" t="s">
        <v>39</v>
      </c>
      <c r="P337" s="9"/>
      <c r="Q337" s="15"/>
      <c r="R337" s="9">
        <v>0</v>
      </c>
    </row>
    <row r="338" spans="1:18" s="1" customFormat="1" hidden="1" x14ac:dyDescent="0.25">
      <c r="A338" s="10" t="s">
        <v>578</v>
      </c>
      <c r="B338" s="14" t="s">
        <v>579</v>
      </c>
      <c r="C338" s="10" t="s">
        <v>580</v>
      </c>
      <c r="D338" s="10" t="s">
        <v>35</v>
      </c>
      <c r="E338" s="10" t="s">
        <v>35</v>
      </c>
      <c r="F338" s="11">
        <v>0</v>
      </c>
      <c r="G338" s="21">
        <v>1</v>
      </c>
      <c r="H338" s="21">
        <v>0</v>
      </c>
      <c r="I338" s="21">
        <v>0</v>
      </c>
      <c r="J338" s="14" t="s">
        <v>573</v>
      </c>
      <c r="K338" s="14" t="s">
        <v>35</v>
      </c>
      <c r="L338" s="10" t="s">
        <v>581</v>
      </c>
      <c r="M338" s="10">
        <v>1</v>
      </c>
      <c r="N338" s="12" t="s">
        <v>1716</v>
      </c>
      <c r="O338" s="12" t="s">
        <v>39</v>
      </c>
      <c r="P338" s="12"/>
      <c r="Q338" s="16"/>
      <c r="R338" s="12">
        <v>0</v>
      </c>
    </row>
    <row r="339" spans="1:18" s="1" customFormat="1" hidden="1" x14ac:dyDescent="0.25">
      <c r="A339" s="7" t="s">
        <v>582</v>
      </c>
      <c r="B339" s="13" t="s">
        <v>583</v>
      </c>
      <c r="C339" s="7" t="s">
        <v>580</v>
      </c>
      <c r="D339" s="7" t="s">
        <v>35</v>
      </c>
      <c r="E339" s="7" t="s">
        <v>35</v>
      </c>
      <c r="F339" s="8">
        <v>0</v>
      </c>
      <c r="G339" s="20">
        <v>1</v>
      </c>
      <c r="H339" s="20">
        <v>0</v>
      </c>
      <c r="I339" s="20">
        <v>0</v>
      </c>
      <c r="J339" s="13" t="s">
        <v>573</v>
      </c>
      <c r="K339" s="13" t="s">
        <v>35</v>
      </c>
      <c r="L339" s="7" t="s">
        <v>584</v>
      </c>
      <c r="M339" s="7">
        <v>1</v>
      </c>
      <c r="N339" s="9" t="s">
        <v>1716</v>
      </c>
      <c r="O339" s="9" t="s">
        <v>39</v>
      </c>
      <c r="P339" s="9"/>
      <c r="Q339" s="15"/>
      <c r="R339" s="9">
        <v>0</v>
      </c>
    </row>
    <row r="340" spans="1:18" s="1" customFormat="1" hidden="1" x14ac:dyDescent="0.25">
      <c r="A340" s="10" t="s">
        <v>585</v>
      </c>
      <c r="B340" s="14" t="s">
        <v>586</v>
      </c>
      <c r="C340" s="10" t="s">
        <v>580</v>
      </c>
      <c r="D340" s="10" t="s">
        <v>35</v>
      </c>
      <c r="E340" s="10" t="s">
        <v>35</v>
      </c>
      <c r="F340" s="11">
        <v>0</v>
      </c>
      <c r="G340" s="21">
        <v>1</v>
      </c>
      <c r="H340" s="21">
        <v>0</v>
      </c>
      <c r="I340" s="21">
        <v>0</v>
      </c>
      <c r="J340" s="14" t="s">
        <v>573</v>
      </c>
      <c r="K340" s="14" t="s">
        <v>35</v>
      </c>
      <c r="L340" s="10" t="s">
        <v>587</v>
      </c>
      <c r="M340" s="10">
        <v>1</v>
      </c>
      <c r="N340" s="12" t="s">
        <v>1716</v>
      </c>
      <c r="O340" s="12" t="s">
        <v>39</v>
      </c>
      <c r="P340" s="12"/>
      <c r="Q340" s="16"/>
      <c r="R340" s="12">
        <v>0</v>
      </c>
    </row>
    <row r="341" spans="1:18" s="1" customFormat="1" hidden="1" x14ac:dyDescent="0.25">
      <c r="A341" s="7" t="s">
        <v>588</v>
      </c>
      <c r="B341" s="13" t="s">
        <v>589</v>
      </c>
      <c r="C341" s="7" t="s">
        <v>580</v>
      </c>
      <c r="D341" s="7" t="s">
        <v>35</v>
      </c>
      <c r="E341" s="7" t="s">
        <v>35</v>
      </c>
      <c r="F341" s="8">
        <v>0</v>
      </c>
      <c r="G341" s="20">
        <v>1</v>
      </c>
      <c r="H341" s="20">
        <v>0</v>
      </c>
      <c r="I341" s="20">
        <v>0</v>
      </c>
      <c r="J341" s="13" t="s">
        <v>573</v>
      </c>
      <c r="K341" s="13" t="s">
        <v>35</v>
      </c>
      <c r="L341" s="7" t="s">
        <v>590</v>
      </c>
      <c r="M341" s="7">
        <v>1</v>
      </c>
      <c r="N341" s="9" t="s">
        <v>1716</v>
      </c>
      <c r="O341" s="9" t="s">
        <v>39</v>
      </c>
      <c r="P341" s="9"/>
      <c r="Q341" s="15"/>
      <c r="R341" s="9">
        <v>0</v>
      </c>
    </row>
    <row r="342" spans="1:18" s="1" customFormat="1" hidden="1" x14ac:dyDescent="0.25">
      <c r="A342" s="10" t="s">
        <v>591</v>
      </c>
      <c r="B342" s="14" t="s">
        <v>592</v>
      </c>
      <c r="C342" s="10" t="s">
        <v>54</v>
      </c>
      <c r="D342" s="10" t="s">
        <v>35</v>
      </c>
      <c r="E342" s="10" t="s">
        <v>35</v>
      </c>
      <c r="F342" s="11">
        <v>0</v>
      </c>
      <c r="G342" s="21">
        <v>1</v>
      </c>
      <c r="H342" s="21">
        <v>0</v>
      </c>
      <c r="I342" s="21">
        <v>0</v>
      </c>
      <c r="J342" s="14" t="s">
        <v>573</v>
      </c>
      <c r="K342" s="14" t="s">
        <v>35</v>
      </c>
      <c r="L342" s="10" t="s">
        <v>593</v>
      </c>
      <c r="M342" s="10">
        <v>1</v>
      </c>
      <c r="N342" s="12" t="s">
        <v>1716</v>
      </c>
      <c r="O342" s="12" t="s">
        <v>39</v>
      </c>
      <c r="P342" s="12"/>
      <c r="Q342" s="16"/>
      <c r="R342" s="12">
        <v>0</v>
      </c>
    </row>
    <row r="343" spans="1:18" s="1" customFormat="1" hidden="1" x14ac:dyDescent="0.25">
      <c r="A343" s="7" t="s">
        <v>594</v>
      </c>
      <c r="B343" s="13" t="s">
        <v>595</v>
      </c>
      <c r="C343" s="7" t="s">
        <v>54</v>
      </c>
      <c r="D343" s="7" t="s">
        <v>35</v>
      </c>
      <c r="E343" s="7" t="s">
        <v>35</v>
      </c>
      <c r="F343" s="8">
        <v>0</v>
      </c>
      <c r="G343" s="20">
        <v>1</v>
      </c>
      <c r="H343" s="20">
        <v>0</v>
      </c>
      <c r="I343" s="20">
        <v>0</v>
      </c>
      <c r="J343" s="13" t="s">
        <v>573</v>
      </c>
      <c r="K343" s="13" t="s">
        <v>35</v>
      </c>
      <c r="L343" s="7" t="s">
        <v>596</v>
      </c>
      <c r="M343" s="7">
        <v>1</v>
      </c>
      <c r="N343" s="9" t="s">
        <v>1716</v>
      </c>
      <c r="O343" s="9" t="s">
        <v>39</v>
      </c>
      <c r="P343" s="9"/>
      <c r="Q343" s="15"/>
      <c r="R343" s="9">
        <v>0</v>
      </c>
    </row>
    <row r="344" spans="1:18" s="1" customFormat="1" hidden="1" x14ac:dyDescent="0.25">
      <c r="A344" s="10" t="s">
        <v>597</v>
      </c>
      <c r="B344" s="14" t="s">
        <v>598</v>
      </c>
      <c r="C344" s="10" t="s">
        <v>580</v>
      </c>
      <c r="D344" s="10" t="s">
        <v>35</v>
      </c>
      <c r="E344" s="10" t="s">
        <v>35</v>
      </c>
      <c r="F344" s="11">
        <v>0</v>
      </c>
      <c r="G344" s="21">
        <v>1</v>
      </c>
      <c r="H344" s="21">
        <v>0</v>
      </c>
      <c r="I344" s="21">
        <v>0</v>
      </c>
      <c r="J344" s="14" t="s">
        <v>573</v>
      </c>
      <c r="K344" s="14" t="s">
        <v>35</v>
      </c>
      <c r="L344" s="10" t="s">
        <v>599</v>
      </c>
      <c r="M344" s="10">
        <v>1</v>
      </c>
      <c r="N344" s="12" t="s">
        <v>1716</v>
      </c>
      <c r="O344" s="12" t="s">
        <v>39</v>
      </c>
      <c r="P344" s="12"/>
      <c r="Q344" s="16"/>
      <c r="R344" s="12">
        <v>0</v>
      </c>
    </row>
    <row r="345" spans="1:18" s="1" customFormat="1" hidden="1" x14ac:dyDescent="0.25">
      <c r="A345" s="7" t="s">
        <v>600</v>
      </c>
      <c r="B345" s="13" t="s">
        <v>601</v>
      </c>
      <c r="C345" s="7" t="s">
        <v>54</v>
      </c>
      <c r="D345" s="7" t="s">
        <v>35</v>
      </c>
      <c r="E345" s="7" t="s">
        <v>35</v>
      </c>
      <c r="F345" s="8">
        <v>0</v>
      </c>
      <c r="G345" s="20">
        <v>1</v>
      </c>
      <c r="H345" s="20">
        <v>0</v>
      </c>
      <c r="I345" s="20">
        <v>0</v>
      </c>
      <c r="J345" s="13" t="s">
        <v>419</v>
      </c>
      <c r="K345" s="13" t="s">
        <v>35</v>
      </c>
      <c r="L345" s="7" t="s">
        <v>602</v>
      </c>
      <c r="M345" s="7">
        <v>1</v>
      </c>
      <c r="N345" s="9" t="s">
        <v>1716</v>
      </c>
      <c r="O345" s="9" t="s">
        <v>39</v>
      </c>
      <c r="P345" s="9"/>
      <c r="Q345" s="15"/>
      <c r="R345" s="9">
        <v>0</v>
      </c>
    </row>
    <row r="346" spans="1:18" s="1" customFormat="1" hidden="1" x14ac:dyDescent="0.25">
      <c r="A346" s="10" t="s">
        <v>603</v>
      </c>
      <c r="B346" s="14" t="s">
        <v>604</v>
      </c>
      <c r="C346" s="10" t="s">
        <v>54</v>
      </c>
      <c r="D346" s="10" t="s">
        <v>35</v>
      </c>
      <c r="E346" s="10" t="s">
        <v>35</v>
      </c>
      <c r="F346" s="11">
        <v>0</v>
      </c>
      <c r="G346" s="21">
        <v>1</v>
      </c>
      <c r="H346" s="21">
        <v>0</v>
      </c>
      <c r="I346" s="21">
        <v>0</v>
      </c>
      <c r="J346" s="14" t="s">
        <v>525</v>
      </c>
      <c r="K346" s="14" t="s">
        <v>605</v>
      </c>
      <c r="L346" s="10" t="s">
        <v>606</v>
      </c>
      <c r="M346" s="10">
        <v>1</v>
      </c>
      <c r="N346" s="12" t="s">
        <v>1716</v>
      </c>
      <c r="O346" s="12" t="s">
        <v>39</v>
      </c>
      <c r="P346" s="12"/>
      <c r="Q346" s="16"/>
      <c r="R346" s="12">
        <v>0</v>
      </c>
    </row>
    <row r="347" spans="1:18" s="1" customFormat="1" hidden="1" x14ac:dyDescent="0.25">
      <c r="A347" s="7" t="s">
        <v>607</v>
      </c>
      <c r="B347" s="13" t="s">
        <v>608</v>
      </c>
      <c r="C347" s="7" t="s">
        <v>54</v>
      </c>
      <c r="D347" s="7" t="s">
        <v>35</v>
      </c>
      <c r="E347" s="7" t="s">
        <v>35</v>
      </c>
      <c r="F347" s="8">
        <v>0</v>
      </c>
      <c r="G347" s="20">
        <v>1</v>
      </c>
      <c r="H347" s="20">
        <v>0</v>
      </c>
      <c r="I347" s="20">
        <v>0</v>
      </c>
      <c r="J347" s="13" t="s">
        <v>525</v>
      </c>
      <c r="K347" s="13" t="s">
        <v>605</v>
      </c>
      <c r="L347" s="7" t="s">
        <v>609</v>
      </c>
      <c r="M347" s="7">
        <v>1</v>
      </c>
      <c r="N347" s="9" t="s">
        <v>1716</v>
      </c>
      <c r="O347" s="9" t="s">
        <v>39</v>
      </c>
      <c r="P347" s="9"/>
      <c r="Q347" s="15"/>
      <c r="R347" s="9">
        <v>0</v>
      </c>
    </row>
    <row r="348" spans="1:18" s="1" customFormat="1" hidden="1" x14ac:dyDescent="0.25">
      <c r="A348" s="10" t="s">
        <v>610</v>
      </c>
      <c r="B348" s="14" t="s">
        <v>611</v>
      </c>
      <c r="C348" s="10" t="s">
        <v>111</v>
      </c>
      <c r="D348" s="10" t="s">
        <v>35</v>
      </c>
      <c r="E348" s="10" t="s">
        <v>35</v>
      </c>
      <c r="F348" s="11">
        <v>0</v>
      </c>
      <c r="G348" s="21">
        <v>1</v>
      </c>
      <c r="H348" s="21">
        <v>0</v>
      </c>
      <c r="I348" s="21">
        <v>0</v>
      </c>
      <c r="J348" s="14" t="s">
        <v>612</v>
      </c>
      <c r="K348" s="14" t="s">
        <v>613</v>
      </c>
      <c r="L348" s="10" t="s">
        <v>614</v>
      </c>
      <c r="M348" s="10">
        <v>1</v>
      </c>
      <c r="N348" s="12" t="s">
        <v>1716</v>
      </c>
      <c r="O348" s="12" t="s">
        <v>39</v>
      </c>
      <c r="P348" s="12"/>
      <c r="Q348" s="16"/>
      <c r="R348" s="12">
        <v>0</v>
      </c>
    </row>
    <row r="349" spans="1:18" s="1" customFormat="1" hidden="1" x14ac:dyDescent="0.25">
      <c r="A349" s="7" t="s">
        <v>615</v>
      </c>
      <c r="B349" s="13" t="s">
        <v>616</v>
      </c>
      <c r="C349" s="7" t="s">
        <v>111</v>
      </c>
      <c r="D349" s="7" t="s">
        <v>35</v>
      </c>
      <c r="E349" s="7" t="s">
        <v>35</v>
      </c>
      <c r="F349" s="8">
        <v>0</v>
      </c>
      <c r="G349" s="20">
        <v>1</v>
      </c>
      <c r="H349" s="20">
        <v>0</v>
      </c>
      <c r="I349" s="20">
        <v>0</v>
      </c>
      <c r="J349" s="13" t="s">
        <v>612</v>
      </c>
      <c r="K349" s="13" t="s">
        <v>617</v>
      </c>
      <c r="L349" s="7" t="s">
        <v>618</v>
      </c>
      <c r="M349" s="7">
        <v>2</v>
      </c>
      <c r="N349" s="9" t="s">
        <v>1716</v>
      </c>
      <c r="O349" s="9" t="s">
        <v>39</v>
      </c>
      <c r="P349" s="9"/>
      <c r="Q349" s="15"/>
      <c r="R349" s="9">
        <v>0</v>
      </c>
    </row>
    <row r="350" spans="1:18" s="1" customFormat="1" hidden="1" x14ac:dyDescent="0.25">
      <c r="A350" s="10" t="s">
        <v>619</v>
      </c>
      <c r="B350" s="14" t="s">
        <v>620</v>
      </c>
      <c r="C350" s="10" t="s">
        <v>75</v>
      </c>
      <c r="D350" s="10" t="s">
        <v>35</v>
      </c>
      <c r="E350" s="10" t="s">
        <v>35</v>
      </c>
      <c r="F350" s="11">
        <v>0</v>
      </c>
      <c r="G350" s="21">
        <v>1</v>
      </c>
      <c r="H350" s="21">
        <v>0</v>
      </c>
      <c r="I350" s="21">
        <v>0</v>
      </c>
      <c r="J350" s="14" t="s">
        <v>229</v>
      </c>
      <c r="K350" s="14" t="s">
        <v>621</v>
      </c>
      <c r="L350" s="10" t="s">
        <v>622</v>
      </c>
      <c r="M350" s="10">
        <v>0.21540000000000001</v>
      </c>
      <c r="N350" s="12" t="s">
        <v>1716</v>
      </c>
      <c r="O350" s="12" t="s">
        <v>39</v>
      </c>
      <c r="P350" s="12"/>
      <c r="Q350" s="16"/>
      <c r="R350" s="12">
        <v>0</v>
      </c>
    </row>
    <row r="351" spans="1:18" s="1" customFormat="1" hidden="1" x14ac:dyDescent="0.25">
      <c r="A351" s="7" t="s">
        <v>623</v>
      </c>
      <c r="B351" s="13" t="s">
        <v>624</v>
      </c>
      <c r="C351" s="7" t="s">
        <v>580</v>
      </c>
      <c r="D351" s="7" t="s">
        <v>35</v>
      </c>
      <c r="E351" s="7" t="s">
        <v>35</v>
      </c>
      <c r="F351" s="8">
        <v>0</v>
      </c>
      <c r="G351" s="20">
        <v>1</v>
      </c>
      <c r="H351" s="20">
        <v>0</v>
      </c>
      <c r="I351" s="20">
        <v>0</v>
      </c>
      <c r="J351" s="13" t="s">
        <v>573</v>
      </c>
      <c r="K351" s="13" t="s">
        <v>625</v>
      </c>
      <c r="L351" s="7" t="s">
        <v>626</v>
      </c>
      <c r="M351" s="7">
        <v>1</v>
      </c>
      <c r="N351" s="9" t="s">
        <v>1716</v>
      </c>
      <c r="O351" s="9" t="s">
        <v>39</v>
      </c>
      <c r="P351" s="9"/>
      <c r="Q351" s="15"/>
      <c r="R351" s="9">
        <v>0</v>
      </c>
    </row>
    <row r="352" spans="1:18" s="1" customFormat="1" hidden="1" x14ac:dyDescent="0.25">
      <c r="A352" s="10" t="s">
        <v>627</v>
      </c>
      <c r="B352" s="14" t="s">
        <v>628</v>
      </c>
      <c r="C352" s="10" t="s">
        <v>54</v>
      </c>
      <c r="D352" s="10" t="s">
        <v>35</v>
      </c>
      <c r="E352" s="10" t="s">
        <v>35</v>
      </c>
      <c r="F352" s="11">
        <v>0</v>
      </c>
      <c r="G352" s="21">
        <v>1</v>
      </c>
      <c r="H352" s="21">
        <v>0</v>
      </c>
      <c r="I352" s="21">
        <v>0</v>
      </c>
      <c r="J352" s="14" t="s">
        <v>419</v>
      </c>
      <c r="K352" s="14" t="s">
        <v>559</v>
      </c>
      <c r="L352" s="10" t="s">
        <v>629</v>
      </c>
      <c r="M352" s="10">
        <v>1</v>
      </c>
      <c r="N352" s="12" t="s">
        <v>1716</v>
      </c>
      <c r="O352" s="12" t="s">
        <v>39</v>
      </c>
      <c r="P352" s="12"/>
      <c r="Q352" s="16"/>
      <c r="R352" s="12">
        <v>0</v>
      </c>
    </row>
    <row r="353" spans="1:18" s="1" customFormat="1" hidden="1" x14ac:dyDescent="0.25">
      <c r="A353" s="7" t="s">
        <v>630</v>
      </c>
      <c r="B353" s="13" t="s">
        <v>631</v>
      </c>
      <c r="C353" s="7" t="s">
        <v>54</v>
      </c>
      <c r="D353" s="7" t="s">
        <v>35</v>
      </c>
      <c r="E353" s="7" t="s">
        <v>35</v>
      </c>
      <c r="F353" s="8">
        <v>0</v>
      </c>
      <c r="G353" s="20">
        <v>1</v>
      </c>
      <c r="H353" s="20">
        <v>0</v>
      </c>
      <c r="I353" s="20">
        <v>0</v>
      </c>
      <c r="J353" s="13" t="s">
        <v>419</v>
      </c>
      <c r="K353" s="13" t="s">
        <v>559</v>
      </c>
      <c r="L353" s="7" t="s">
        <v>632</v>
      </c>
      <c r="M353" s="7">
        <v>1</v>
      </c>
      <c r="N353" s="9" t="s">
        <v>1716</v>
      </c>
      <c r="O353" s="9" t="s">
        <v>39</v>
      </c>
      <c r="P353" s="9"/>
      <c r="Q353" s="15"/>
      <c r="R353" s="9">
        <v>0</v>
      </c>
    </row>
    <row r="354" spans="1:18" s="1" customFormat="1" hidden="1" x14ac:dyDescent="0.25">
      <c r="A354" s="10" t="s">
        <v>633</v>
      </c>
      <c r="B354" s="14" t="s">
        <v>634</v>
      </c>
      <c r="C354" s="10" t="s">
        <v>54</v>
      </c>
      <c r="D354" s="10" t="s">
        <v>35</v>
      </c>
      <c r="E354" s="10" t="s">
        <v>35</v>
      </c>
      <c r="F354" s="11">
        <v>0</v>
      </c>
      <c r="G354" s="21">
        <v>1</v>
      </c>
      <c r="H354" s="21">
        <v>0</v>
      </c>
      <c r="I354" s="21">
        <v>0</v>
      </c>
      <c r="J354" s="14" t="s">
        <v>332</v>
      </c>
      <c r="K354" s="14" t="s">
        <v>35</v>
      </c>
      <c r="L354" s="10" t="s">
        <v>635</v>
      </c>
      <c r="M354" s="10">
        <v>1</v>
      </c>
      <c r="N354" s="12" t="s">
        <v>1716</v>
      </c>
      <c r="O354" s="12" t="s">
        <v>39</v>
      </c>
      <c r="P354" s="12"/>
      <c r="Q354" s="16"/>
      <c r="R354" s="12">
        <v>0</v>
      </c>
    </row>
    <row r="355" spans="1:18" s="1" customFormat="1" hidden="1" x14ac:dyDescent="0.25">
      <c r="A355" s="7" t="s">
        <v>636</v>
      </c>
      <c r="B355" s="13" t="s">
        <v>637</v>
      </c>
      <c r="C355" s="7" t="s">
        <v>54</v>
      </c>
      <c r="D355" s="7" t="s">
        <v>35</v>
      </c>
      <c r="E355" s="7" t="s">
        <v>35</v>
      </c>
      <c r="F355" s="8">
        <v>0</v>
      </c>
      <c r="G355" s="20">
        <v>1</v>
      </c>
      <c r="H355" s="20">
        <v>0</v>
      </c>
      <c r="I355" s="20">
        <v>0</v>
      </c>
      <c r="J355" s="13" t="s">
        <v>525</v>
      </c>
      <c r="K355" s="13" t="s">
        <v>605</v>
      </c>
      <c r="L355" s="7" t="s">
        <v>638</v>
      </c>
      <c r="M355" s="7">
        <v>1</v>
      </c>
      <c r="N355" s="9" t="s">
        <v>1716</v>
      </c>
      <c r="O355" s="9" t="s">
        <v>39</v>
      </c>
      <c r="P355" s="9"/>
      <c r="Q355" s="15"/>
      <c r="R355" s="9">
        <v>0</v>
      </c>
    </row>
    <row r="356" spans="1:18" s="1" customFormat="1" hidden="1" x14ac:dyDescent="0.25">
      <c r="A356" s="10" t="s">
        <v>639</v>
      </c>
      <c r="B356" s="14" t="s">
        <v>640</v>
      </c>
      <c r="C356" s="10" t="s">
        <v>54</v>
      </c>
      <c r="D356" s="10" t="s">
        <v>35</v>
      </c>
      <c r="E356" s="10" t="s">
        <v>35</v>
      </c>
      <c r="F356" s="11">
        <v>0</v>
      </c>
      <c r="G356" s="21">
        <v>1</v>
      </c>
      <c r="H356" s="21">
        <v>0</v>
      </c>
      <c r="I356" s="21">
        <v>0</v>
      </c>
      <c r="J356" s="14" t="s">
        <v>612</v>
      </c>
      <c r="K356" s="14" t="s">
        <v>35</v>
      </c>
      <c r="L356" s="10" t="s">
        <v>641</v>
      </c>
      <c r="M356" s="10">
        <v>1</v>
      </c>
      <c r="N356" s="12" t="s">
        <v>1716</v>
      </c>
      <c r="O356" s="12" t="s">
        <v>39</v>
      </c>
      <c r="P356" s="12"/>
      <c r="Q356" s="16"/>
      <c r="R356" s="12">
        <v>0</v>
      </c>
    </row>
    <row r="357" spans="1:18" s="1" customFormat="1" hidden="1" x14ac:dyDescent="0.25">
      <c r="A357" s="7" t="s">
        <v>642</v>
      </c>
      <c r="B357" s="13" t="s">
        <v>643</v>
      </c>
      <c r="C357" s="7" t="s">
        <v>34</v>
      </c>
      <c r="D357" s="7" t="s">
        <v>35</v>
      </c>
      <c r="E357" s="7" t="s">
        <v>35</v>
      </c>
      <c r="F357" s="8">
        <v>0</v>
      </c>
      <c r="G357" s="20">
        <v>1</v>
      </c>
      <c r="H357" s="20">
        <v>0</v>
      </c>
      <c r="I357" s="20">
        <v>0</v>
      </c>
      <c r="J357" s="13" t="s">
        <v>46</v>
      </c>
      <c r="K357" s="13" t="s">
        <v>644</v>
      </c>
      <c r="L357" s="7" t="s">
        <v>645</v>
      </c>
      <c r="M357" s="7">
        <v>0.52</v>
      </c>
      <c r="N357" s="9" t="s">
        <v>1716</v>
      </c>
      <c r="O357" s="9" t="s">
        <v>39</v>
      </c>
      <c r="P357" s="9"/>
      <c r="Q357" s="15"/>
      <c r="R357" s="9">
        <v>0</v>
      </c>
    </row>
    <row r="358" spans="1:18" s="1" customFormat="1" hidden="1" x14ac:dyDescent="0.25">
      <c r="A358" s="7" t="s">
        <v>642</v>
      </c>
      <c r="B358" s="13" t="s">
        <v>643</v>
      </c>
      <c r="C358" s="7" t="s">
        <v>34</v>
      </c>
      <c r="D358" s="7" t="s">
        <v>35</v>
      </c>
      <c r="E358" s="7" t="s">
        <v>35</v>
      </c>
      <c r="F358" s="8">
        <v>0</v>
      </c>
      <c r="G358" s="20">
        <v>1</v>
      </c>
      <c r="H358" s="20">
        <v>0</v>
      </c>
      <c r="I358" s="20">
        <v>0</v>
      </c>
      <c r="J358" s="13" t="s">
        <v>46</v>
      </c>
      <c r="K358" s="13" t="s">
        <v>644</v>
      </c>
      <c r="L358" s="7" t="s">
        <v>646</v>
      </c>
      <c r="M358" s="7">
        <v>3.3750000000000002E-2</v>
      </c>
      <c r="N358" s="9" t="s">
        <v>1716</v>
      </c>
      <c r="O358" s="9" t="s">
        <v>39</v>
      </c>
      <c r="P358" s="9"/>
      <c r="Q358" s="15"/>
      <c r="R358" s="9">
        <v>0</v>
      </c>
    </row>
    <row r="359" spans="1:18" s="1" customFormat="1" hidden="1" x14ac:dyDescent="0.25">
      <c r="A359" s="7" t="s">
        <v>642</v>
      </c>
      <c r="B359" s="13" t="s">
        <v>643</v>
      </c>
      <c r="C359" s="7" t="s">
        <v>34</v>
      </c>
      <c r="D359" s="7" t="s">
        <v>35</v>
      </c>
      <c r="E359" s="7" t="s">
        <v>35</v>
      </c>
      <c r="F359" s="8">
        <v>0</v>
      </c>
      <c r="G359" s="20">
        <v>1</v>
      </c>
      <c r="H359" s="20">
        <v>0</v>
      </c>
      <c r="I359" s="20">
        <v>0</v>
      </c>
      <c r="J359" s="13" t="s">
        <v>46</v>
      </c>
      <c r="K359" s="13" t="s">
        <v>644</v>
      </c>
      <c r="L359" s="7" t="s">
        <v>647</v>
      </c>
      <c r="M359" s="7">
        <v>0.2</v>
      </c>
      <c r="N359" s="9" t="s">
        <v>1716</v>
      </c>
      <c r="O359" s="9" t="s">
        <v>39</v>
      </c>
      <c r="P359" s="9"/>
      <c r="Q359" s="15"/>
      <c r="R359" s="9">
        <v>0</v>
      </c>
    </row>
    <row r="360" spans="1:18" s="1" customFormat="1" hidden="1" x14ac:dyDescent="0.25">
      <c r="A360" s="7" t="s">
        <v>642</v>
      </c>
      <c r="B360" s="13" t="s">
        <v>643</v>
      </c>
      <c r="C360" s="7" t="s">
        <v>34</v>
      </c>
      <c r="D360" s="7" t="s">
        <v>35</v>
      </c>
      <c r="E360" s="7" t="s">
        <v>35</v>
      </c>
      <c r="F360" s="8">
        <v>0</v>
      </c>
      <c r="G360" s="20">
        <v>1</v>
      </c>
      <c r="H360" s="20">
        <v>0</v>
      </c>
      <c r="I360" s="20">
        <v>0</v>
      </c>
      <c r="J360" s="13" t="s">
        <v>46</v>
      </c>
      <c r="K360" s="13" t="s">
        <v>644</v>
      </c>
      <c r="L360" s="7" t="s">
        <v>534</v>
      </c>
      <c r="M360" s="7">
        <v>1.546E-2</v>
      </c>
      <c r="N360" s="9" t="s">
        <v>1716</v>
      </c>
      <c r="O360" s="9" t="s">
        <v>39</v>
      </c>
      <c r="P360" s="9"/>
      <c r="Q360" s="15"/>
      <c r="R360" s="9">
        <v>0</v>
      </c>
    </row>
    <row r="361" spans="1:18" s="1" customFormat="1" hidden="1" x14ac:dyDescent="0.25">
      <c r="A361" s="10" t="s">
        <v>648</v>
      </c>
      <c r="B361" s="14" t="s">
        <v>649</v>
      </c>
      <c r="C361" s="10" t="s">
        <v>34</v>
      </c>
      <c r="D361" s="10" t="s">
        <v>35</v>
      </c>
      <c r="E361" s="10" t="s">
        <v>35</v>
      </c>
      <c r="F361" s="11">
        <v>0</v>
      </c>
      <c r="G361" s="21">
        <v>1</v>
      </c>
      <c r="H361" s="21">
        <v>0</v>
      </c>
      <c r="I361" s="21">
        <v>0</v>
      </c>
      <c r="J361" s="14" t="s">
        <v>448</v>
      </c>
      <c r="K361" s="14" t="s">
        <v>644</v>
      </c>
      <c r="L361" s="10" t="s">
        <v>646</v>
      </c>
      <c r="M361" s="10">
        <v>3.7699999999999997E-2</v>
      </c>
      <c r="N361" s="12" t="s">
        <v>1716</v>
      </c>
      <c r="O361" s="12" t="s">
        <v>39</v>
      </c>
      <c r="P361" s="12"/>
      <c r="Q361" s="16"/>
      <c r="R361" s="12">
        <v>0</v>
      </c>
    </row>
    <row r="362" spans="1:18" s="1" customFormat="1" hidden="1" x14ac:dyDescent="0.25">
      <c r="A362" s="10" t="s">
        <v>648</v>
      </c>
      <c r="B362" s="14" t="s">
        <v>649</v>
      </c>
      <c r="C362" s="10" t="s">
        <v>34</v>
      </c>
      <c r="D362" s="10" t="s">
        <v>35</v>
      </c>
      <c r="E362" s="10" t="s">
        <v>35</v>
      </c>
      <c r="F362" s="11">
        <v>0</v>
      </c>
      <c r="G362" s="21">
        <v>1</v>
      </c>
      <c r="H362" s="21">
        <v>0</v>
      </c>
      <c r="I362" s="21">
        <v>0</v>
      </c>
      <c r="J362" s="14" t="s">
        <v>448</v>
      </c>
      <c r="K362" s="14" t="s">
        <v>644</v>
      </c>
      <c r="L362" s="10" t="s">
        <v>650</v>
      </c>
      <c r="M362" s="10">
        <v>3.1E-2</v>
      </c>
      <c r="N362" s="12" t="s">
        <v>1716</v>
      </c>
      <c r="O362" s="12" t="s">
        <v>39</v>
      </c>
      <c r="P362" s="12"/>
      <c r="Q362" s="16"/>
      <c r="R362" s="12">
        <v>0</v>
      </c>
    </row>
    <row r="363" spans="1:18" s="1" customFormat="1" hidden="1" x14ac:dyDescent="0.25">
      <c r="A363" s="10" t="s">
        <v>648</v>
      </c>
      <c r="B363" s="14" t="s">
        <v>649</v>
      </c>
      <c r="C363" s="10" t="s">
        <v>34</v>
      </c>
      <c r="D363" s="10" t="s">
        <v>35</v>
      </c>
      <c r="E363" s="10" t="s">
        <v>35</v>
      </c>
      <c r="F363" s="11">
        <v>0</v>
      </c>
      <c r="G363" s="21">
        <v>1</v>
      </c>
      <c r="H363" s="21">
        <v>0</v>
      </c>
      <c r="I363" s="21">
        <v>0</v>
      </c>
      <c r="J363" s="14" t="s">
        <v>448</v>
      </c>
      <c r="K363" s="14" t="s">
        <v>644</v>
      </c>
      <c r="L363" s="10" t="s">
        <v>651</v>
      </c>
      <c r="M363" s="10">
        <v>7.0999999999999994E-2</v>
      </c>
      <c r="N363" s="12" t="s">
        <v>1716</v>
      </c>
      <c r="O363" s="12" t="s">
        <v>39</v>
      </c>
      <c r="P363" s="12"/>
      <c r="Q363" s="16"/>
      <c r="R363" s="12">
        <v>0</v>
      </c>
    </row>
    <row r="364" spans="1:18" s="1" customFormat="1" hidden="1" x14ac:dyDescent="0.25">
      <c r="A364" s="10" t="s">
        <v>648</v>
      </c>
      <c r="B364" s="14" t="s">
        <v>649</v>
      </c>
      <c r="C364" s="10" t="s">
        <v>34</v>
      </c>
      <c r="D364" s="10" t="s">
        <v>35</v>
      </c>
      <c r="E364" s="10" t="s">
        <v>35</v>
      </c>
      <c r="F364" s="11">
        <v>0</v>
      </c>
      <c r="G364" s="21">
        <v>1</v>
      </c>
      <c r="H364" s="21">
        <v>0</v>
      </c>
      <c r="I364" s="21">
        <v>0</v>
      </c>
      <c r="J364" s="14" t="s">
        <v>448</v>
      </c>
      <c r="K364" s="14" t="s">
        <v>644</v>
      </c>
      <c r="L364" s="10" t="s">
        <v>534</v>
      </c>
      <c r="M364" s="10">
        <v>1.7299999999999999E-2</v>
      </c>
      <c r="N364" s="12" t="s">
        <v>1716</v>
      </c>
      <c r="O364" s="12" t="s">
        <v>39</v>
      </c>
      <c r="P364" s="12"/>
      <c r="Q364" s="16"/>
      <c r="R364" s="12">
        <v>0</v>
      </c>
    </row>
    <row r="365" spans="1:18" s="1" customFormat="1" hidden="1" x14ac:dyDescent="0.25">
      <c r="A365" s="10" t="s">
        <v>648</v>
      </c>
      <c r="B365" s="14" t="s">
        <v>649</v>
      </c>
      <c r="C365" s="10" t="s">
        <v>34</v>
      </c>
      <c r="D365" s="10" t="s">
        <v>35</v>
      </c>
      <c r="E365" s="10" t="s">
        <v>35</v>
      </c>
      <c r="F365" s="11">
        <v>0</v>
      </c>
      <c r="G365" s="21">
        <v>1</v>
      </c>
      <c r="H365" s="21">
        <v>0</v>
      </c>
      <c r="I365" s="21">
        <v>0</v>
      </c>
      <c r="J365" s="14" t="s">
        <v>448</v>
      </c>
      <c r="K365" s="14" t="s">
        <v>644</v>
      </c>
      <c r="L365" s="10" t="s">
        <v>645</v>
      </c>
      <c r="M365" s="10">
        <v>0.495</v>
      </c>
      <c r="N365" s="12" t="s">
        <v>1716</v>
      </c>
      <c r="O365" s="12" t="s">
        <v>39</v>
      </c>
      <c r="P365" s="12"/>
      <c r="Q365" s="16"/>
      <c r="R365" s="12">
        <v>0</v>
      </c>
    </row>
    <row r="366" spans="1:18" s="1" customFormat="1" hidden="1" x14ac:dyDescent="0.25">
      <c r="A366" s="7" t="s">
        <v>652</v>
      </c>
      <c r="B366" s="13" t="s">
        <v>653</v>
      </c>
      <c r="C366" s="7" t="s">
        <v>34</v>
      </c>
      <c r="D366" s="7" t="s">
        <v>35</v>
      </c>
      <c r="E366" s="7" t="s">
        <v>35</v>
      </c>
      <c r="F366" s="8">
        <v>0</v>
      </c>
      <c r="G366" s="20">
        <v>1</v>
      </c>
      <c r="H366" s="20">
        <v>0</v>
      </c>
      <c r="I366" s="20">
        <v>0</v>
      </c>
      <c r="J366" s="13" t="s">
        <v>448</v>
      </c>
      <c r="K366" s="13" t="s">
        <v>644</v>
      </c>
      <c r="L366" s="7" t="s">
        <v>645</v>
      </c>
      <c r="M366" s="7">
        <v>0.43390000000000001</v>
      </c>
      <c r="N366" s="9" t="s">
        <v>1716</v>
      </c>
      <c r="O366" s="9" t="s">
        <v>39</v>
      </c>
      <c r="P366" s="9"/>
      <c r="Q366" s="15"/>
      <c r="R366" s="9">
        <v>0</v>
      </c>
    </row>
    <row r="367" spans="1:18" s="1" customFormat="1" hidden="1" x14ac:dyDescent="0.25">
      <c r="A367" s="10" t="s">
        <v>654</v>
      </c>
      <c r="B367" s="14" t="s">
        <v>655</v>
      </c>
      <c r="C367" s="10" t="s">
        <v>34</v>
      </c>
      <c r="D367" s="10" t="s">
        <v>35</v>
      </c>
      <c r="E367" s="10" t="s">
        <v>35</v>
      </c>
      <c r="F367" s="11">
        <v>0</v>
      </c>
      <c r="G367" s="21">
        <v>1</v>
      </c>
      <c r="H367" s="21">
        <v>0</v>
      </c>
      <c r="I367" s="21">
        <v>0</v>
      </c>
      <c r="J367" s="14" t="s">
        <v>448</v>
      </c>
      <c r="K367" s="14" t="s">
        <v>644</v>
      </c>
      <c r="L367" s="10" t="s">
        <v>646</v>
      </c>
      <c r="M367" s="10">
        <v>3.3750000000000002E-2</v>
      </c>
      <c r="N367" s="12" t="s">
        <v>1716</v>
      </c>
      <c r="O367" s="12" t="s">
        <v>39</v>
      </c>
      <c r="P367" s="12"/>
      <c r="Q367" s="16"/>
      <c r="R367" s="12">
        <v>0</v>
      </c>
    </row>
    <row r="368" spans="1:18" s="1" customFormat="1" hidden="1" x14ac:dyDescent="0.25">
      <c r="A368" s="10" t="s">
        <v>654</v>
      </c>
      <c r="B368" s="14" t="s">
        <v>655</v>
      </c>
      <c r="C368" s="10" t="s">
        <v>34</v>
      </c>
      <c r="D368" s="10" t="s">
        <v>35</v>
      </c>
      <c r="E368" s="10" t="s">
        <v>35</v>
      </c>
      <c r="F368" s="11">
        <v>0</v>
      </c>
      <c r="G368" s="21">
        <v>1</v>
      </c>
      <c r="H368" s="21">
        <v>0</v>
      </c>
      <c r="I368" s="21">
        <v>0</v>
      </c>
      <c r="J368" s="14" t="s">
        <v>448</v>
      </c>
      <c r="K368" s="14" t="s">
        <v>644</v>
      </c>
      <c r="L368" s="10" t="s">
        <v>647</v>
      </c>
      <c r="M368" s="10">
        <v>0.2</v>
      </c>
      <c r="N368" s="12" t="s">
        <v>1716</v>
      </c>
      <c r="O368" s="12" t="s">
        <v>39</v>
      </c>
      <c r="P368" s="12"/>
      <c r="Q368" s="16"/>
      <c r="R368" s="12">
        <v>0</v>
      </c>
    </row>
    <row r="369" spans="1:18" s="1" customFormat="1" hidden="1" x14ac:dyDescent="0.25">
      <c r="A369" s="10" t="s">
        <v>654</v>
      </c>
      <c r="B369" s="14" t="s">
        <v>655</v>
      </c>
      <c r="C369" s="10" t="s">
        <v>34</v>
      </c>
      <c r="D369" s="10" t="s">
        <v>35</v>
      </c>
      <c r="E369" s="10" t="s">
        <v>35</v>
      </c>
      <c r="F369" s="11">
        <v>0</v>
      </c>
      <c r="G369" s="21">
        <v>1</v>
      </c>
      <c r="H369" s="21">
        <v>0</v>
      </c>
      <c r="I369" s="21">
        <v>0</v>
      </c>
      <c r="J369" s="14" t="s">
        <v>448</v>
      </c>
      <c r="K369" s="14" t="s">
        <v>644</v>
      </c>
      <c r="L369" s="10" t="s">
        <v>534</v>
      </c>
      <c r="M369" s="10">
        <v>1.546E-2</v>
      </c>
      <c r="N369" s="12" t="s">
        <v>1716</v>
      </c>
      <c r="O369" s="12" t="s">
        <v>39</v>
      </c>
      <c r="P369" s="12"/>
      <c r="Q369" s="16"/>
      <c r="R369" s="12">
        <v>0</v>
      </c>
    </row>
    <row r="370" spans="1:18" s="1" customFormat="1" hidden="1" x14ac:dyDescent="0.25">
      <c r="A370" s="10" t="s">
        <v>654</v>
      </c>
      <c r="B370" s="14" t="s">
        <v>655</v>
      </c>
      <c r="C370" s="10" t="s">
        <v>34</v>
      </c>
      <c r="D370" s="10" t="s">
        <v>35</v>
      </c>
      <c r="E370" s="10" t="s">
        <v>35</v>
      </c>
      <c r="F370" s="11">
        <v>0</v>
      </c>
      <c r="G370" s="21">
        <v>1</v>
      </c>
      <c r="H370" s="21">
        <v>0</v>
      </c>
      <c r="I370" s="21">
        <v>0</v>
      </c>
      <c r="J370" s="14" t="s">
        <v>448</v>
      </c>
      <c r="K370" s="14" t="s">
        <v>644</v>
      </c>
      <c r="L370" s="10" t="s">
        <v>645</v>
      </c>
      <c r="M370" s="10">
        <v>0.52</v>
      </c>
      <c r="N370" s="12" t="s">
        <v>1716</v>
      </c>
      <c r="O370" s="12" t="s">
        <v>39</v>
      </c>
      <c r="P370" s="12"/>
      <c r="Q370" s="16"/>
      <c r="R370" s="12">
        <v>0</v>
      </c>
    </row>
    <row r="371" spans="1:18" s="1" customFormat="1" hidden="1" x14ac:dyDescent="0.25">
      <c r="A371" s="7" t="s">
        <v>656</v>
      </c>
      <c r="B371" s="13" t="s">
        <v>657</v>
      </c>
      <c r="C371" s="7" t="s">
        <v>34</v>
      </c>
      <c r="D371" s="7" t="s">
        <v>35</v>
      </c>
      <c r="E371" s="7" t="s">
        <v>35</v>
      </c>
      <c r="F371" s="8">
        <v>0</v>
      </c>
      <c r="G371" s="20">
        <v>1</v>
      </c>
      <c r="H371" s="20">
        <v>0</v>
      </c>
      <c r="I371" s="20">
        <v>0</v>
      </c>
      <c r="J371" s="13" t="s">
        <v>448</v>
      </c>
      <c r="K371" s="13" t="s">
        <v>644</v>
      </c>
      <c r="L371" s="7" t="s">
        <v>645</v>
      </c>
      <c r="M371" s="7">
        <v>0.47360000000000002</v>
      </c>
      <c r="N371" s="9" t="s">
        <v>1716</v>
      </c>
      <c r="O371" s="9" t="s">
        <v>39</v>
      </c>
      <c r="P371" s="9"/>
      <c r="Q371" s="15"/>
      <c r="R371" s="9">
        <v>0</v>
      </c>
    </row>
    <row r="372" spans="1:18" s="1" customFormat="1" hidden="1" x14ac:dyDescent="0.25">
      <c r="A372" s="7" t="s">
        <v>656</v>
      </c>
      <c r="B372" s="13" t="s">
        <v>657</v>
      </c>
      <c r="C372" s="7" t="s">
        <v>34</v>
      </c>
      <c r="D372" s="7" t="s">
        <v>35</v>
      </c>
      <c r="E372" s="7" t="s">
        <v>35</v>
      </c>
      <c r="F372" s="8">
        <v>0</v>
      </c>
      <c r="G372" s="20">
        <v>1</v>
      </c>
      <c r="H372" s="20">
        <v>0</v>
      </c>
      <c r="I372" s="20">
        <v>0</v>
      </c>
      <c r="J372" s="13" t="s">
        <v>448</v>
      </c>
      <c r="K372" s="13" t="s">
        <v>644</v>
      </c>
      <c r="L372" s="7" t="s">
        <v>646</v>
      </c>
      <c r="M372" s="7">
        <v>8.9999999999999998E-4</v>
      </c>
      <c r="N372" s="9" t="s">
        <v>1716</v>
      </c>
      <c r="O372" s="9" t="s">
        <v>39</v>
      </c>
      <c r="P372" s="9"/>
      <c r="Q372" s="15"/>
      <c r="R372" s="9">
        <v>0</v>
      </c>
    </row>
    <row r="373" spans="1:18" s="1" customFormat="1" hidden="1" x14ac:dyDescent="0.25">
      <c r="A373" s="7" t="s">
        <v>656</v>
      </c>
      <c r="B373" s="13" t="s">
        <v>657</v>
      </c>
      <c r="C373" s="7" t="s">
        <v>34</v>
      </c>
      <c r="D373" s="7" t="s">
        <v>35</v>
      </c>
      <c r="E373" s="7" t="s">
        <v>35</v>
      </c>
      <c r="F373" s="8">
        <v>0</v>
      </c>
      <c r="G373" s="20">
        <v>1</v>
      </c>
      <c r="H373" s="20">
        <v>0</v>
      </c>
      <c r="I373" s="20">
        <v>0</v>
      </c>
      <c r="J373" s="13" t="s">
        <v>448</v>
      </c>
      <c r="K373" s="13" t="s">
        <v>644</v>
      </c>
      <c r="L373" s="7" t="s">
        <v>647</v>
      </c>
      <c r="M373" s="7">
        <v>0.159</v>
      </c>
      <c r="N373" s="9" t="s">
        <v>1716</v>
      </c>
      <c r="O373" s="9" t="s">
        <v>39</v>
      </c>
      <c r="P373" s="9"/>
      <c r="Q373" s="15"/>
      <c r="R373" s="9">
        <v>0</v>
      </c>
    </row>
    <row r="374" spans="1:18" s="1" customFormat="1" hidden="1" x14ac:dyDescent="0.25">
      <c r="A374" s="7" t="s">
        <v>656</v>
      </c>
      <c r="B374" s="13" t="s">
        <v>657</v>
      </c>
      <c r="C374" s="7" t="s">
        <v>34</v>
      </c>
      <c r="D374" s="7" t="s">
        <v>35</v>
      </c>
      <c r="E374" s="7" t="s">
        <v>35</v>
      </c>
      <c r="F374" s="8">
        <v>0</v>
      </c>
      <c r="G374" s="20">
        <v>1</v>
      </c>
      <c r="H374" s="20">
        <v>0</v>
      </c>
      <c r="I374" s="20">
        <v>0</v>
      </c>
      <c r="J374" s="13" t="s">
        <v>448</v>
      </c>
      <c r="K374" s="13" t="s">
        <v>644</v>
      </c>
      <c r="L374" s="7" t="s">
        <v>534</v>
      </c>
      <c r="M374" s="7">
        <v>1.4500000000000001E-2</v>
      </c>
      <c r="N374" s="9" t="s">
        <v>1716</v>
      </c>
      <c r="O374" s="9" t="s">
        <v>39</v>
      </c>
      <c r="P374" s="9"/>
      <c r="Q374" s="15"/>
      <c r="R374" s="9">
        <v>0</v>
      </c>
    </row>
    <row r="375" spans="1:18" s="1" customFormat="1" hidden="1" x14ac:dyDescent="0.25">
      <c r="A375" s="10" t="s">
        <v>658</v>
      </c>
      <c r="B375" s="14" t="s">
        <v>659</v>
      </c>
      <c r="C375" s="10" t="s">
        <v>34</v>
      </c>
      <c r="D375" s="10" t="s">
        <v>35</v>
      </c>
      <c r="E375" s="10" t="s">
        <v>35</v>
      </c>
      <c r="F375" s="11">
        <v>0</v>
      </c>
      <c r="G375" s="21">
        <v>1</v>
      </c>
      <c r="H375" s="21">
        <v>0</v>
      </c>
      <c r="I375" s="21">
        <v>0</v>
      </c>
      <c r="J375" s="14" t="s">
        <v>46</v>
      </c>
      <c r="K375" s="14" t="s">
        <v>644</v>
      </c>
      <c r="L375" s="10" t="s">
        <v>660</v>
      </c>
      <c r="M375" s="10">
        <v>1.4800000000000001E-2</v>
      </c>
      <c r="N375" s="12" t="s">
        <v>1716</v>
      </c>
      <c r="O375" s="12" t="s">
        <v>39</v>
      </c>
      <c r="P375" s="12"/>
      <c r="Q375" s="16"/>
      <c r="R375" s="12">
        <v>0</v>
      </c>
    </row>
    <row r="376" spans="1:18" s="1" customFormat="1" hidden="1" x14ac:dyDescent="0.25">
      <c r="A376" s="10" t="s">
        <v>658</v>
      </c>
      <c r="B376" s="14" t="s">
        <v>659</v>
      </c>
      <c r="C376" s="10" t="s">
        <v>34</v>
      </c>
      <c r="D376" s="10" t="s">
        <v>35</v>
      </c>
      <c r="E376" s="10" t="s">
        <v>35</v>
      </c>
      <c r="F376" s="11">
        <v>0</v>
      </c>
      <c r="G376" s="21">
        <v>1</v>
      </c>
      <c r="H376" s="21">
        <v>0</v>
      </c>
      <c r="I376" s="21">
        <v>0</v>
      </c>
      <c r="J376" s="14" t="s">
        <v>46</v>
      </c>
      <c r="K376" s="14" t="s">
        <v>644</v>
      </c>
      <c r="L376" s="10" t="s">
        <v>661</v>
      </c>
      <c r="M376" s="10">
        <v>0.02</v>
      </c>
      <c r="N376" s="12" t="s">
        <v>1716</v>
      </c>
      <c r="O376" s="12" t="s">
        <v>39</v>
      </c>
      <c r="P376" s="12"/>
      <c r="Q376" s="16"/>
      <c r="R376" s="12">
        <v>0</v>
      </c>
    </row>
    <row r="377" spans="1:18" s="1" customFormat="1" hidden="1" x14ac:dyDescent="0.25">
      <c r="A377" s="10" t="s">
        <v>658</v>
      </c>
      <c r="B377" s="14" t="s">
        <v>659</v>
      </c>
      <c r="C377" s="10" t="s">
        <v>34</v>
      </c>
      <c r="D377" s="10" t="s">
        <v>35</v>
      </c>
      <c r="E377" s="10" t="s">
        <v>35</v>
      </c>
      <c r="F377" s="11">
        <v>0</v>
      </c>
      <c r="G377" s="21">
        <v>1</v>
      </c>
      <c r="H377" s="21">
        <v>0</v>
      </c>
      <c r="I377" s="21">
        <v>0</v>
      </c>
      <c r="J377" s="14" t="s">
        <v>46</v>
      </c>
      <c r="K377" s="14" t="s">
        <v>644</v>
      </c>
      <c r="L377" s="10" t="s">
        <v>662</v>
      </c>
      <c r="M377" s="10">
        <v>4.3999999999999997E-2</v>
      </c>
      <c r="N377" s="12" t="s">
        <v>1716</v>
      </c>
      <c r="O377" s="12" t="s">
        <v>39</v>
      </c>
      <c r="P377" s="12"/>
      <c r="Q377" s="16"/>
      <c r="R377" s="12">
        <v>0</v>
      </c>
    </row>
    <row r="378" spans="1:18" s="1" customFormat="1" hidden="1" x14ac:dyDescent="0.25">
      <c r="A378" s="10" t="s">
        <v>658</v>
      </c>
      <c r="B378" s="14" t="s">
        <v>659</v>
      </c>
      <c r="C378" s="10" t="s">
        <v>34</v>
      </c>
      <c r="D378" s="10" t="s">
        <v>35</v>
      </c>
      <c r="E378" s="10" t="s">
        <v>35</v>
      </c>
      <c r="F378" s="11">
        <v>0</v>
      </c>
      <c r="G378" s="21">
        <v>1</v>
      </c>
      <c r="H378" s="21">
        <v>0</v>
      </c>
      <c r="I378" s="21">
        <v>0</v>
      </c>
      <c r="J378" s="14" t="s">
        <v>46</v>
      </c>
      <c r="K378" s="14" t="s">
        <v>644</v>
      </c>
      <c r="L378" s="10" t="s">
        <v>534</v>
      </c>
      <c r="M378" s="10">
        <v>6.8999999999999999E-3</v>
      </c>
      <c r="N378" s="12" t="s">
        <v>1716</v>
      </c>
      <c r="O378" s="12" t="s">
        <v>39</v>
      </c>
      <c r="P378" s="12"/>
      <c r="Q378" s="16"/>
      <c r="R378" s="12">
        <v>0</v>
      </c>
    </row>
    <row r="379" spans="1:18" s="1" customFormat="1" hidden="1" x14ac:dyDescent="0.25">
      <c r="A379" s="10" t="s">
        <v>658</v>
      </c>
      <c r="B379" s="14" t="s">
        <v>659</v>
      </c>
      <c r="C379" s="10" t="s">
        <v>34</v>
      </c>
      <c r="D379" s="10" t="s">
        <v>35</v>
      </c>
      <c r="E379" s="10" t="s">
        <v>35</v>
      </c>
      <c r="F379" s="11">
        <v>0</v>
      </c>
      <c r="G379" s="21">
        <v>1</v>
      </c>
      <c r="H379" s="21">
        <v>0</v>
      </c>
      <c r="I379" s="21">
        <v>0</v>
      </c>
      <c r="J379" s="14" t="s">
        <v>46</v>
      </c>
      <c r="K379" s="14" t="s">
        <v>644</v>
      </c>
      <c r="L379" s="10" t="s">
        <v>663</v>
      </c>
      <c r="M379" s="10">
        <v>2.9499999999999998E-2</v>
      </c>
      <c r="N379" s="12" t="s">
        <v>1716</v>
      </c>
      <c r="O379" s="12" t="s">
        <v>39</v>
      </c>
      <c r="P379" s="12"/>
      <c r="Q379" s="16"/>
      <c r="R379" s="12">
        <v>0</v>
      </c>
    </row>
    <row r="380" spans="1:18" s="1" customFormat="1" hidden="1" x14ac:dyDescent="0.25">
      <c r="A380" s="7" t="s">
        <v>664</v>
      </c>
      <c r="B380" s="13" t="s">
        <v>665</v>
      </c>
      <c r="C380" s="7" t="s">
        <v>111</v>
      </c>
      <c r="D380" s="7" t="s">
        <v>35</v>
      </c>
      <c r="E380" s="7" t="s">
        <v>35</v>
      </c>
      <c r="F380" s="8">
        <v>0</v>
      </c>
      <c r="G380" s="20">
        <v>1</v>
      </c>
      <c r="H380" s="20">
        <v>0</v>
      </c>
      <c r="I380" s="20">
        <v>0</v>
      </c>
      <c r="J380" s="13" t="s">
        <v>67</v>
      </c>
      <c r="K380" s="13" t="s">
        <v>666</v>
      </c>
      <c r="L380" s="7" t="s">
        <v>667</v>
      </c>
      <c r="M380" s="7">
        <v>1</v>
      </c>
      <c r="N380" s="9" t="s">
        <v>1716</v>
      </c>
      <c r="O380" s="9" t="s">
        <v>39</v>
      </c>
      <c r="P380" s="9"/>
      <c r="Q380" s="15"/>
      <c r="R380" s="9">
        <v>0</v>
      </c>
    </row>
    <row r="381" spans="1:18" s="1" customFormat="1" hidden="1" x14ac:dyDescent="0.25">
      <c r="A381" s="10" t="s">
        <v>668</v>
      </c>
      <c r="B381" s="14" t="s">
        <v>669</v>
      </c>
      <c r="C381" s="10" t="s">
        <v>34</v>
      </c>
      <c r="D381" s="10" t="s">
        <v>35</v>
      </c>
      <c r="E381" s="10" t="s">
        <v>35</v>
      </c>
      <c r="F381" s="11">
        <v>0</v>
      </c>
      <c r="G381" s="21">
        <v>1</v>
      </c>
      <c r="H381" s="21">
        <v>0</v>
      </c>
      <c r="I381" s="21">
        <v>0</v>
      </c>
      <c r="J381" s="14" t="s">
        <v>525</v>
      </c>
      <c r="K381" s="14" t="s">
        <v>35</v>
      </c>
      <c r="L381" s="10" t="s">
        <v>670</v>
      </c>
      <c r="M381" s="10">
        <v>0.4556</v>
      </c>
      <c r="N381" s="12" t="s">
        <v>1716</v>
      </c>
      <c r="O381" s="12" t="s">
        <v>39</v>
      </c>
      <c r="P381" s="12"/>
      <c r="Q381" s="16"/>
      <c r="R381" s="12">
        <v>0</v>
      </c>
    </row>
    <row r="382" spans="1:18" s="1" customFormat="1" hidden="1" x14ac:dyDescent="0.25">
      <c r="A382" s="10" t="s">
        <v>668</v>
      </c>
      <c r="B382" s="14" t="s">
        <v>669</v>
      </c>
      <c r="C382" s="10" t="s">
        <v>34</v>
      </c>
      <c r="D382" s="10" t="s">
        <v>35</v>
      </c>
      <c r="E382" s="10" t="s">
        <v>35</v>
      </c>
      <c r="F382" s="11">
        <v>0</v>
      </c>
      <c r="G382" s="21">
        <v>1</v>
      </c>
      <c r="H382" s="21">
        <v>0</v>
      </c>
      <c r="I382" s="21">
        <v>0</v>
      </c>
      <c r="J382" s="14" t="s">
        <v>525</v>
      </c>
      <c r="K382" s="14" t="s">
        <v>35</v>
      </c>
      <c r="L382" s="10" t="s">
        <v>647</v>
      </c>
      <c r="M382" s="10">
        <v>6.6699999999999995E-2</v>
      </c>
      <c r="N382" s="12" t="s">
        <v>1716</v>
      </c>
      <c r="O382" s="12" t="s">
        <v>39</v>
      </c>
      <c r="P382" s="12"/>
      <c r="Q382" s="16"/>
      <c r="R382" s="12">
        <v>0</v>
      </c>
    </row>
    <row r="383" spans="1:18" s="1" customFormat="1" hidden="1" x14ac:dyDescent="0.25">
      <c r="A383" s="10" t="s">
        <v>668</v>
      </c>
      <c r="B383" s="14" t="s">
        <v>669</v>
      </c>
      <c r="C383" s="10" t="s">
        <v>34</v>
      </c>
      <c r="D383" s="10" t="s">
        <v>35</v>
      </c>
      <c r="E383" s="10" t="s">
        <v>35</v>
      </c>
      <c r="F383" s="11">
        <v>0</v>
      </c>
      <c r="G383" s="21">
        <v>1</v>
      </c>
      <c r="H383" s="21">
        <v>0</v>
      </c>
      <c r="I383" s="21">
        <v>0</v>
      </c>
      <c r="J383" s="14" t="s">
        <v>525</v>
      </c>
      <c r="K383" s="14" t="s">
        <v>35</v>
      </c>
      <c r="L383" s="10" t="s">
        <v>534</v>
      </c>
      <c r="M383" s="10">
        <v>7.4029999999999999E-3</v>
      </c>
      <c r="N383" s="12" t="s">
        <v>1716</v>
      </c>
      <c r="O383" s="12" t="s">
        <v>39</v>
      </c>
      <c r="P383" s="12"/>
      <c r="Q383" s="16"/>
      <c r="R383" s="12">
        <v>0</v>
      </c>
    </row>
    <row r="384" spans="1:18" s="1" customFormat="1" hidden="1" x14ac:dyDescent="0.25">
      <c r="A384" s="7" t="s">
        <v>671</v>
      </c>
      <c r="B384" s="13" t="s">
        <v>672</v>
      </c>
      <c r="C384" s="7" t="s">
        <v>54</v>
      </c>
      <c r="D384" s="7" t="s">
        <v>35</v>
      </c>
      <c r="E384" s="7" t="s">
        <v>35</v>
      </c>
      <c r="F384" s="8">
        <v>0</v>
      </c>
      <c r="G384" s="20">
        <v>1</v>
      </c>
      <c r="H384" s="20">
        <v>0</v>
      </c>
      <c r="I384" s="20">
        <v>0</v>
      </c>
      <c r="J384" s="13" t="s">
        <v>388</v>
      </c>
      <c r="K384" s="13" t="s">
        <v>35</v>
      </c>
      <c r="L384" s="7" t="s">
        <v>673</v>
      </c>
      <c r="M384" s="7">
        <v>1</v>
      </c>
      <c r="N384" s="9" t="s">
        <v>1716</v>
      </c>
      <c r="O384" s="9" t="s">
        <v>39</v>
      </c>
      <c r="P384" s="9"/>
      <c r="Q384" s="15"/>
      <c r="R384" s="9">
        <v>0</v>
      </c>
    </row>
    <row r="385" spans="1:18" s="1" customFormat="1" hidden="1" x14ac:dyDescent="0.25">
      <c r="A385" s="10" t="s">
        <v>674</v>
      </c>
      <c r="B385" s="14" t="s">
        <v>675</v>
      </c>
      <c r="C385" s="10" t="s">
        <v>34</v>
      </c>
      <c r="D385" s="10" t="s">
        <v>35</v>
      </c>
      <c r="E385" s="10" t="s">
        <v>35</v>
      </c>
      <c r="F385" s="11">
        <v>0</v>
      </c>
      <c r="G385" s="21">
        <v>1</v>
      </c>
      <c r="H385" s="21">
        <v>0</v>
      </c>
      <c r="I385" s="21">
        <v>0</v>
      </c>
      <c r="J385" s="14" t="s">
        <v>676</v>
      </c>
      <c r="K385" s="14" t="s">
        <v>677</v>
      </c>
      <c r="L385" s="10" t="s">
        <v>678</v>
      </c>
      <c r="M385" s="10">
        <v>1</v>
      </c>
      <c r="N385" s="12" t="s">
        <v>1716</v>
      </c>
      <c r="O385" s="12" t="s">
        <v>39</v>
      </c>
      <c r="P385" s="12"/>
      <c r="Q385" s="16"/>
      <c r="R385" s="12">
        <v>0</v>
      </c>
    </row>
    <row r="386" spans="1:18" s="1" customFormat="1" hidden="1" x14ac:dyDescent="0.25">
      <c r="A386" s="10" t="s">
        <v>674</v>
      </c>
      <c r="B386" s="14" t="s">
        <v>675</v>
      </c>
      <c r="C386" s="10" t="s">
        <v>34</v>
      </c>
      <c r="D386" s="10" t="s">
        <v>35</v>
      </c>
      <c r="E386" s="10" t="s">
        <v>35</v>
      </c>
      <c r="F386" s="11">
        <v>0</v>
      </c>
      <c r="G386" s="21">
        <v>1</v>
      </c>
      <c r="H386" s="21">
        <v>0</v>
      </c>
      <c r="I386" s="21">
        <v>0</v>
      </c>
      <c r="J386" s="14" t="s">
        <v>676</v>
      </c>
      <c r="K386" s="14" t="s">
        <v>677</v>
      </c>
      <c r="L386" s="10" t="s">
        <v>679</v>
      </c>
      <c r="M386" s="10">
        <v>1.2</v>
      </c>
      <c r="N386" s="12" t="s">
        <v>1716</v>
      </c>
      <c r="O386" s="12" t="s">
        <v>39</v>
      </c>
      <c r="P386" s="12"/>
      <c r="Q386" s="16"/>
      <c r="R386" s="12">
        <v>0</v>
      </c>
    </row>
    <row r="387" spans="1:18" s="1" customFormat="1" hidden="1" x14ac:dyDescent="0.25">
      <c r="A387" s="7" t="s">
        <v>680</v>
      </c>
      <c r="B387" s="13" t="s">
        <v>681</v>
      </c>
      <c r="C387" s="7" t="s">
        <v>34</v>
      </c>
      <c r="D387" s="7" t="s">
        <v>35</v>
      </c>
      <c r="E387" s="7" t="s">
        <v>35</v>
      </c>
      <c r="F387" s="8">
        <v>0</v>
      </c>
      <c r="G387" s="20">
        <v>1</v>
      </c>
      <c r="H387" s="20">
        <v>0</v>
      </c>
      <c r="I387" s="20">
        <v>0</v>
      </c>
      <c r="J387" s="13" t="s">
        <v>676</v>
      </c>
      <c r="K387" s="13" t="s">
        <v>677</v>
      </c>
      <c r="L387" s="7" t="s">
        <v>682</v>
      </c>
      <c r="M387" s="7">
        <v>1</v>
      </c>
      <c r="N387" s="9" t="s">
        <v>1716</v>
      </c>
      <c r="O387" s="9" t="s">
        <v>39</v>
      </c>
      <c r="P387" s="9"/>
      <c r="Q387" s="15"/>
      <c r="R387" s="9">
        <v>0</v>
      </c>
    </row>
    <row r="388" spans="1:18" s="1" customFormat="1" hidden="1" x14ac:dyDescent="0.25">
      <c r="A388" s="7" t="s">
        <v>680</v>
      </c>
      <c r="B388" s="13" t="s">
        <v>681</v>
      </c>
      <c r="C388" s="7" t="s">
        <v>34</v>
      </c>
      <c r="D388" s="7" t="s">
        <v>35</v>
      </c>
      <c r="E388" s="7" t="s">
        <v>35</v>
      </c>
      <c r="F388" s="8">
        <v>0</v>
      </c>
      <c r="G388" s="20">
        <v>1</v>
      </c>
      <c r="H388" s="20">
        <v>0</v>
      </c>
      <c r="I388" s="20">
        <v>0</v>
      </c>
      <c r="J388" s="13" t="s">
        <v>676</v>
      </c>
      <c r="K388" s="13" t="s">
        <v>677</v>
      </c>
      <c r="L388" s="7" t="s">
        <v>679</v>
      </c>
      <c r="M388" s="7">
        <v>1.2</v>
      </c>
      <c r="N388" s="9" t="s">
        <v>1716</v>
      </c>
      <c r="O388" s="9" t="s">
        <v>39</v>
      </c>
      <c r="P388" s="9"/>
      <c r="Q388" s="15"/>
      <c r="R388" s="9">
        <v>0</v>
      </c>
    </row>
    <row r="389" spans="1:18" s="1" customFormat="1" hidden="1" x14ac:dyDescent="0.25">
      <c r="A389" s="10" t="s">
        <v>683</v>
      </c>
      <c r="B389" s="14" t="s">
        <v>684</v>
      </c>
      <c r="C389" s="10" t="s">
        <v>34</v>
      </c>
      <c r="D389" s="10" t="s">
        <v>35</v>
      </c>
      <c r="E389" s="10" t="s">
        <v>35</v>
      </c>
      <c r="F389" s="11">
        <v>0</v>
      </c>
      <c r="G389" s="21">
        <v>1</v>
      </c>
      <c r="H389" s="21">
        <v>0</v>
      </c>
      <c r="I389" s="21">
        <v>0</v>
      </c>
      <c r="J389" s="14" t="s">
        <v>685</v>
      </c>
      <c r="K389" s="14" t="s">
        <v>686</v>
      </c>
      <c r="L389" s="10" t="s">
        <v>687</v>
      </c>
      <c r="M389" s="10">
        <v>1</v>
      </c>
      <c r="N389" s="12" t="s">
        <v>1716</v>
      </c>
      <c r="O389" s="12" t="s">
        <v>39</v>
      </c>
      <c r="P389" s="12"/>
      <c r="Q389" s="16"/>
      <c r="R389" s="12">
        <v>0</v>
      </c>
    </row>
    <row r="390" spans="1:18" s="1" customFormat="1" hidden="1" x14ac:dyDescent="0.25">
      <c r="A390" s="7" t="s">
        <v>688</v>
      </c>
      <c r="B390" s="13" t="s">
        <v>689</v>
      </c>
      <c r="C390" s="7" t="s">
        <v>75</v>
      </c>
      <c r="D390" s="7" t="s">
        <v>35</v>
      </c>
      <c r="E390" s="7" t="s">
        <v>35</v>
      </c>
      <c r="F390" s="8">
        <v>0</v>
      </c>
      <c r="G390" s="20">
        <v>1</v>
      </c>
      <c r="H390" s="20">
        <v>0</v>
      </c>
      <c r="I390" s="20">
        <v>0</v>
      </c>
      <c r="J390" s="13" t="s">
        <v>676</v>
      </c>
      <c r="K390" s="13" t="s">
        <v>35</v>
      </c>
      <c r="L390" s="7" t="s">
        <v>679</v>
      </c>
      <c r="M390" s="7">
        <v>1</v>
      </c>
      <c r="N390" s="9" t="s">
        <v>1716</v>
      </c>
      <c r="O390" s="9" t="s">
        <v>39</v>
      </c>
      <c r="P390" s="9"/>
      <c r="Q390" s="15"/>
      <c r="R390" s="9">
        <v>0</v>
      </c>
    </row>
    <row r="391" spans="1:18" s="1" customFormat="1" hidden="1" x14ac:dyDescent="0.25">
      <c r="A391" s="10" t="s">
        <v>690</v>
      </c>
      <c r="B391" s="14" t="s">
        <v>691</v>
      </c>
      <c r="C391" s="10" t="s">
        <v>75</v>
      </c>
      <c r="D391" s="10" t="s">
        <v>35</v>
      </c>
      <c r="E391" s="10" t="s">
        <v>35</v>
      </c>
      <c r="F391" s="11">
        <v>0</v>
      </c>
      <c r="G391" s="21">
        <v>1</v>
      </c>
      <c r="H391" s="21">
        <v>0</v>
      </c>
      <c r="I391" s="21">
        <v>0</v>
      </c>
      <c r="J391" s="14" t="s">
        <v>67</v>
      </c>
      <c r="K391" s="14" t="s">
        <v>137</v>
      </c>
      <c r="L391" s="10" t="s">
        <v>249</v>
      </c>
      <c r="M391" s="10">
        <v>1.1000000000000001</v>
      </c>
      <c r="N391" s="12" t="s">
        <v>1716</v>
      </c>
      <c r="O391" s="12" t="s">
        <v>39</v>
      </c>
      <c r="P391" s="12"/>
      <c r="Q391" s="16"/>
      <c r="R391" s="12">
        <v>0</v>
      </c>
    </row>
    <row r="392" spans="1:18" s="1" customFormat="1" hidden="1" x14ac:dyDescent="0.25">
      <c r="A392" s="7" t="s">
        <v>692</v>
      </c>
      <c r="B392" s="13" t="s">
        <v>693</v>
      </c>
      <c r="C392" s="7" t="s">
        <v>34</v>
      </c>
      <c r="D392" s="7" t="s">
        <v>35</v>
      </c>
      <c r="E392" s="7" t="s">
        <v>35</v>
      </c>
      <c r="F392" s="8">
        <v>0</v>
      </c>
      <c r="G392" s="20">
        <v>1</v>
      </c>
      <c r="H392" s="20">
        <v>0</v>
      </c>
      <c r="I392" s="20">
        <v>0</v>
      </c>
      <c r="J392" s="13" t="s">
        <v>83</v>
      </c>
      <c r="K392" s="13" t="s">
        <v>35</v>
      </c>
      <c r="L392" s="7" t="s">
        <v>694</v>
      </c>
      <c r="M392" s="7">
        <v>1.05</v>
      </c>
      <c r="N392" s="9" t="s">
        <v>1716</v>
      </c>
      <c r="O392" s="9" t="s">
        <v>39</v>
      </c>
      <c r="P392" s="9"/>
      <c r="Q392" s="15"/>
      <c r="R392" s="9">
        <v>0</v>
      </c>
    </row>
    <row r="393" spans="1:18" s="1" customFormat="1" hidden="1" x14ac:dyDescent="0.25">
      <c r="A393" s="10" t="s">
        <v>695</v>
      </c>
      <c r="B393" s="14" t="s">
        <v>696</v>
      </c>
      <c r="C393" s="10" t="s">
        <v>75</v>
      </c>
      <c r="D393" s="10" t="s">
        <v>35</v>
      </c>
      <c r="E393" s="10" t="s">
        <v>35</v>
      </c>
      <c r="F393" s="11">
        <v>0</v>
      </c>
      <c r="G393" s="21">
        <v>1</v>
      </c>
      <c r="H393" s="21">
        <v>0</v>
      </c>
      <c r="I393" s="21">
        <v>0</v>
      </c>
      <c r="J393" s="14" t="s">
        <v>525</v>
      </c>
      <c r="K393" s="14" t="s">
        <v>35</v>
      </c>
      <c r="L393" s="10" t="s">
        <v>646</v>
      </c>
      <c r="M393" s="10">
        <v>5.7850000000000002E-3</v>
      </c>
      <c r="N393" s="12" t="s">
        <v>1716</v>
      </c>
      <c r="O393" s="12" t="s">
        <v>39</v>
      </c>
      <c r="P393" s="12"/>
      <c r="Q393" s="16"/>
      <c r="R393" s="12">
        <v>0</v>
      </c>
    </row>
    <row r="394" spans="1:18" s="1" customFormat="1" hidden="1" x14ac:dyDescent="0.25">
      <c r="A394" s="10" t="s">
        <v>695</v>
      </c>
      <c r="B394" s="14" t="s">
        <v>696</v>
      </c>
      <c r="C394" s="10" t="s">
        <v>75</v>
      </c>
      <c r="D394" s="10" t="s">
        <v>35</v>
      </c>
      <c r="E394" s="10" t="s">
        <v>35</v>
      </c>
      <c r="F394" s="11">
        <v>0</v>
      </c>
      <c r="G394" s="21">
        <v>1</v>
      </c>
      <c r="H394" s="21">
        <v>0</v>
      </c>
      <c r="I394" s="21">
        <v>0</v>
      </c>
      <c r="J394" s="14" t="s">
        <v>525</v>
      </c>
      <c r="K394" s="14" t="s">
        <v>35</v>
      </c>
      <c r="L394" s="10" t="s">
        <v>647</v>
      </c>
      <c r="M394" s="10">
        <v>3.8899999999999997E-2</v>
      </c>
      <c r="N394" s="12" t="s">
        <v>1716</v>
      </c>
      <c r="O394" s="12" t="s">
        <v>39</v>
      </c>
      <c r="P394" s="12"/>
      <c r="Q394" s="16"/>
      <c r="R394" s="12">
        <v>0</v>
      </c>
    </row>
    <row r="395" spans="1:18" s="1" customFormat="1" hidden="1" x14ac:dyDescent="0.25">
      <c r="A395" s="10" t="s">
        <v>695</v>
      </c>
      <c r="B395" s="14" t="s">
        <v>696</v>
      </c>
      <c r="C395" s="10" t="s">
        <v>75</v>
      </c>
      <c r="D395" s="10" t="s">
        <v>35</v>
      </c>
      <c r="E395" s="10" t="s">
        <v>35</v>
      </c>
      <c r="F395" s="11">
        <v>0</v>
      </c>
      <c r="G395" s="21">
        <v>1</v>
      </c>
      <c r="H395" s="21">
        <v>0</v>
      </c>
      <c r="I395" s="21">
        <v>0</v>
      </c>
      <c r="J395" s="14" t="s">
        <v>525</v>
      </c>
      <c r="K395" s="14" t="s">
        <v>35</v>
      </c>
      <c r="L395" s="10" t="s">
        <v>697</v>
      </c>
      <c r="M395" s="10">
        <v>6.0530000000000002E-3</v>
      </c>
      <c r="N395" s="12" t="s">
        <v>1716</v>
      </c>
      <c r="O395" s="12" t="s">
        <v>39</v>
      </c>
      <c r="P395" s="12"/>
      <c r="Q395" s="16"/>
      <c r="R395" s="12">
        <v>0</v>
      </c>
    </row>
    <row r="396" spans="1:18" s="1" customFormat="1" hidden="1" x14ac:dyDescent="0.25">
      <c r="A396" s="10" t="s">
        <v>695</v>
      </c>
      <c r="B396" s="14" t="s">
        <v>696</v>
      </c>
      <c r="C396" s="10" t="s">
        <v>75</v>
      </c>
      <c r="D396" s="10" t="s">
        <v>35</v>
      </c>
      <c r="E396" s="10" t="s">
        <v>35</v>
      </c>
      <c r="F396" s="11">
        <v>0</v>
      </c>
      <c r="G396" s="21">
        <v>1</v>
      </c>
      <c r="H396" s="21">
        <v>0</v>
      </c>
      <c r="I396" s="21">
        <v>0</v>
      </c>
      <c r="J396" s="14" t="s">
        <v>525</v>
      </c>
      <c r="K396" s="14" t="s">
        <v>35</v>
      </c>
      <c r="L396" s="10" t="s">
        <v>698</v>
      </c>
      <c r="M396" s="10">
        <v>7.0000000000000001E-3</v>
      </c>
      <c r="N396" s="12" t="s">
        <v>1716</v>
      </c>
      <c r="O396" s="12" t="s">
        <v>39</v>
      </c>
      <c r="P396" s="12"/>
      <c r="Q396" s="16"/>
      <c r="R396" s="12">
        <v>0</v>
      </c>
    </row>
    <row r="397" spans="1:18" s="1" customFormat="1" hidden="1" x14ac:dyDescent="0.25">
      <c r="A397" s="7" t="s">
        <v>699</v>
      </c>
      <c r="B397" s="13" t="s">
        <v>700</v>
      </c>
      <c r="C397" s="7" t="s">
        <v>75</v>
      </c>
      <c r="D397" s="7" t="s">
        <v>35</v>
      </c>
      <c r="E397" s="7" t="s">
        <v>35</v>
      </c>
      <c r="F397" s="8">
        <v>0</v>
      </c>
      <c r="G397" s="20">
        <v>1</v>
      </c>
      <c r="H397" s="20">
        <v>0</v>
      </c>
      <c r="I397" s="20">
        <v>0</v>
      </c>
      <c r="J397" s="13" t="s">
        <v>525</v>
      </c>
      <c r="K397" s="13" t="s">
        <v>35</v>
      </c>
      <c r="L397" s="7" t="s">
        <v>646</v>
      </c>
      <c r="M397" s="7">
        <v>6.1250000000000002E-3</v>
      </c>
      <c r="N397" s="9" t="s">
        <v>1716</v>
      </c>
      <c r="O397" s="9" t="s">
        <v>39</v>
      </c>
      <c r="P397" s="9"/>
      <c r="Q397" s="15"/>
      <c r="R397" s="9">
        <v>0</v>
      </c>
    </row>
    <row r="398" spans="1:18" s="1" customFormat="1" hidden="1" x14ac:dyDescent="0.25">
      <c r="A398" s="7" t="s">
        <v>699</v>
      </c>
      <c r="B398" s="13" t="s">
        <v>700</v>
      </c>
      <c r="C398" s="7" t="s">
        <v>75</v>
      </c>
      <c r="D398" s="7" t="s">
        <v>35</v>
      </c>
      <c r="E398" s="7" t="s">
        <v>35</v>
      </c>
      <c r="F398" s="8">
        <v>0</v>
      </c>
      <c r="G398" s="20">
        <v>1</v>
      </c>
      <c r="H398" s="20">
        <v>0</v>
      </c>
      <c r="I398" s="20">
        <v>0</v>
      </c>
      <c r="J398" s="13" t="s">
        <v>525</v>
      </c>
      <c r="K398" s="13" t="s">
        <v>35</v>
      </c>
      <c r="L398" s="7" t="s">
        <v>647</v>
      </c>
      <c r="M398" s="7">
        <v>3.8899999999999997E-2</v>
      </c>
      <c r="N398" s="9" t="s">
        <v>1716</v>
      </c>
      <c r="O398" s="9" t="s">
        <v>39</v>
      </c>
      <c r="P398" s="9"/>
      <c r="Q398" s="15"/>
      <c r="R398" s="9">
        <v>0</v>
      </c>
    </row>
    <row r="399" spans="1:18" s="1" customFormat="1" hidden="1" x14ac:dyDescent="0.25">
      <c r="A399" s="7" t="s">
        <v>699</v>
      </c>
      <c r="B399" s="13" t="s">
        <v>700</v>
      </c>
      <c r="C399" s="7" t="s">
        <v>75</v>
      </c>
      <c r="D399" s="7" t="s">
        <v>35</v>
      </c>
      <c r="E399" s="7" t="s">
        <v>35</v>
      </c>
      <c r="F399" s="8">
        <v>0</v>
      </c>
      <c r="G399" s="20">
        <v>1</v>
      </c>
      <c r="H399" s="20">
        <v>0</v>
      </c>
      <c r="I399" s="20">
        <v>0</v>
      </c>
      <c r="J399" s="13" t="s">
        <v>525</v>
      </c>
      <c r="K399" s="13" t="s">
        <v>35</v>
      </c>
      <c r="L399" s="7" t="s">
        <v>697</v>
      </c>
      <c r="M399" s="7">
        <v>5.8300000000000001E-3</v>
      </c>
      <c r="N399" s="9" t="s">
        <v>1716</v>
      </c>
      <c r="O399" s="9" t="s">
        <v>39</v>
      </c>
      <c r="P399" s="9"/>
      <c r="Q399" s="15"/>
      <c r="R399" s="9">
        <v>0</v>
      </c>
    </row>
    <row r="400" spans="1:18" s="1" customFormat="1" hidden="1" x14ac:dyDescent="0.25">
      <c r="A400" s="7" t="s">
        <v>699</v>
      </c>
      <c r="B400" s="13" t="s">
        <v>700</v>
      </c>
      <c r="C400" s="7" t="s">
        <v>75</v>
      </c>
      <c r="D400" s="7" t="s">
        <v>35</v>
      </c>
      <c r="E400" s="7" t="s">
        <v>35</v>
      </c>
      <c r="F400" s="8">
        <v>0</v>
      </c>
      <c r="G400" s="20">
        <v>1</v>
      </c>
      <c r="H400" s="20">
        <v>0</v>
      </c>
      <c r="I400" s="20">
        <v>0</v>
      </c>
      <c r="J400" s="13" t="s">
        <v>525</v>
      </c>
      <c r="K400" s="13" t="s">
        <v>35</v>
      </c>
      <c r="L400" s="7" t="s">
        <v>698</v>
      </c>
      <c r="M400" s="7">
        <v>0.6</v>
      </c>
      <c r="N400" s="9" t="s">
        <v>1716</v>
      </c>
      <c r="O400" s="9" t="s">
        <v>39</v>
      </c>
      <c r="P400" s="9"/>
      <c r="Q400" s="15"/>
      <c r="R400" s="9">
        <v>0</v>
      </c>
    </row>
    <row r="401" spans="1:18" s="1" customFormat="1" hidden="1" x14ac:dyDescent="0.25">
      <c r="A401" s="10" t="s">
        <v>701</v>
      </c>
      <c r="B401" s="14" t="s">
        <v>702</v>
      </c>
      <c r="C401" s="10" t="s">
        <v>136</v>
      </c>
      <c r="D401" s="10" t="s">
        <v>35</v>
      </c>
      <c r="E401" s="10" t="s">
        <v>35</v>
      </c>
      <c r="F401" s="11">
        <v>0</v>
      </c>
      <c r="G401" s="21">
        <v>1</v>
      </c>
      <c r="H401" s="21">
        <v>0</v>
      </c>
      <c r="I401" s="21">
        <v>0</v>
      </c>
      <c r="J401" s="14" t="s">
        <v>67</v>
      </c>
      <c r="K401" s="14" t="s">
        <v>703</v>
      </c>
      <c r="L401" s="10" t="s">
        <v>704</v>
      </c>
      <c r="M401" s="10">
        <v>1</v>
      </c>
      <c r="N401" s="12" t="s">
        <v>1716</v>
      </c>
      <c r="O401" s="12" t="s">
        <v>39</v>
      </c>
      <c r="P401" s="12"/>
      <c r="Q401" s="16"/>
      <c r="R401" s="12">
        <v>0</v>
      </c>
    </row>
    <row r="402" spans="1:18" s="1" customFormat="1" hidden="1" x14ac:dyDescent="0.25">
      <c r="A402" s="7" t="s">
        <v>705</v>
      </c>
      <c r="B402" s="13" t="s">
        <v>706</v>
      </c>
      <c r="C402" s="7" t="s">
        <v>580</v>
      </c>
      <c r="D402" s="7" t="s">
        <v>35</v>
      </c>
      <c r="E402" s="7" t="s">
        <v>35</v>
      </c>
      <c r="F402" s="8">
        <v>0</v>
      </c>
      <c r="G402" s="20">
        <v>1</v>
      </c>
      <c r="H402" s="20">
        <v>0</v>
      </c>
      <c r="I402" s="20">
        <v>0</v>
      </c>
      <c r="J402" s="13" t="s">
        <v>573</v>
      </c>
      <c r="K402" s="13" t="s">
        <v>625</v>
      </c>
      <c r="L402" s="7" t="s">
        <v>707</v>
      </c>
      <c r="M402" s="7">
        <v>1</v>
      </c>
      <c r="N402" s="9" t="s">
        <v>1716</v>
      </c>
      <c r="O402" s="9" t="s">
        <v>39</v>
      </c>
      <c r="P402" s="9"/>
      <c r="Q402" s="15"/>
      <c r="R402" s="9">
        <v>0</v>
      </c>
    </row>
    <row r="403" spans="1:18" s="1" customFormat="1" hidden="1" x14ac:dyDescent="0.25">
      <c r="A403" s="10" t="s">
        <v>708</v>
      </c>
      <c r="B403" s="14" t="s">
        <v>709</v>
      </c>
      <c r="C403" s="10" t="s">
        <v>34</v>
      </c>
      <c r="D403" s="10" t="s">
        <v>35</v>
      </c>
      <c r="E403" s="10" t="s">
        <v>35</v>
      </c>
      <c r="F403" s="11">
        <v>0</v>
      </c>
      <c r="G403" s="21">
        <v>1</v>
      </c>
      <c r="H403" s="21">
        <v>0</v>
      </c>
      <c r="I403" s="21">
        <v>0</v>
      </c>
      <c r="J403" s="14" t="s">
        <v>221</v>
      </c>
      <c r="K403" s="14" t="s">
        <v>35</v>
      </c>
      <c r="L403" s="10" t="s">
        <v>710</v>
      </c>
      <c r="M403" s="10">
        <v>3.15</v>
      </c>
      <c r="N403" s="12" t="s">
        <v>1716</v>
      </c>
      <c r="O403" s="12" t="s">
        <v>39</v>
      </c>
      <c r="P403" s="12"/>
      <c r="Q403" s="16"/>
      <c r="R403" s="12">
        <v>0</v>
      </c>
    </row>
    <row r="404" spans="1:18" s="1" customFormat="1" hidden="1" x14ac:dyDescent="0.25">
      <c r="A404" s="7" t="s">
        <v>711</v>
      </c>
      <c r="B404" s="13" t="s">
        <v>712</v>
      </c>
      <c r="C404" s="7" t="s">
        <v>34</v>
      </c>
      <c r="D404" s="7" t="s">
        <v>35</v>
      </c>
      <c r="E404" s="7" t="s">
        <v>35</v>
      </c>
      <c r="F404" s="8">
        <v>0</v>
      </c>
      <c r="G404" s="20">
        <v>1</v>
      </c>
      <c r="H404" s="20">
        <v>0</v>
      </c>
      <c r="I404" s="20">
        <v>0</v>
      </c>
      <c r="J404" s="13" t="s">
        <v>221</v>
      </c>
      <c r="K404" s="13" t="s">
        <v>35</v>
      </c>
      <c r="L404" s="7" t="s">
        <v>713</v>
      </c>
      <c r="M404" s="7">
        <v>0.65</v>
      </c>
      <c r="N404" s="9" t="s">
        <v>1716</v>
      </c>
      <c r="O404" s="9" t="s">
        <v>39</v>
      </c>
      <c r="P404" s="9"/>
      <c r="Q404" s="15"/>
      <c r="R404" s="9">
        <v>0</v>
      </c>
    </row>
    <row r="405" spans="1:18" s="1" customFormat="1" hidden="1" x14ac:dyDescent="0.25">
      <c r="A405" s="10" t="s">
        <v>714</v>
      </c>
      <c r="B405" s="14" t="s">
        <v>715</v>
      </c>
      <c r="C405" s="10" t="s">
        <v>34</v>
      </c>
      <c r="D405" s="10" t="s">
        <v>35</v>
      </c>
      <c r="E405" s="10" t="s">
        <v>35</v>
      </c>
      <c r="F405" s="11">
        <v>0</v>
      </c>
      <c r="G405" s="21">
        <v>1</v>
      </c>
      <c r="H405" s="21">
        <v>0</v>
      </c>
      <c r="I405" s="21">
        <v>0</v>
      </c>
      <c r="J405" s="14" t="s">
        <v>221</v>
      </c>
      <c r="K405" s="14" t="s">
        <v>35</v>
      </c>
      <c r="L405" s="10" t="s">
        <v>716</v>
      </c>
      <c r="M405" s="10">
        <v>0.26</v>
      </c>
      <c r="N405" s="12" t="s">
        <v>1716</v>
      </c>
      <c r="O405" s="12" t="s">
        <v>39</v>
      </c>
      <c r="P405" s="12"/>
      <c r="Q405" s="16"/>
      <c r="R405" s="12">
        <v>0</v>
      </c>
    </row>
    <row r="406" spans="1:18" s="1" customFormat="1" hidden="1" x14ac:dyDescent="0.25">
      <c r="A406" s="10" t="s">
        <v>714</v>
      </c>
      <c r="B406" s="14" t="s">
        <v>715</v>
      </c>
      <c r="C406" s="10" t="s">
        <v>34</v>
      </c>
      <c r="D406" s="10" t="s">
        <v>35</v>
      </c>
      <c r="E406" s="10" t="s">
        <v>35</v>
      </c>
      <c r="F406" s="11">
        <v>0</v>
      </c>
      <c r="G406" s="21">
        <v>1</v>
      </c>
      <c r="H406" s="21">
        <v>0</v>
      </c>
      <c r="I406" s="21">
        <v>0</v>
      </c>
      <c r="J406" s="14" t="s">
        <v>221</v>
      </c>
      <c r="K406" s="14" t="s">
        <v>35</v>
      </c>
      <c r="L406" s="10" t="s">
        <v>717</v>
      </c>
      <c r="M406" s="10">
        <v>1.125</v>
      </c>
      <c r="N406" s="12" t="s">
        <v>1716</v>
      </c>
      <c r="O406" s="12" t="s">
        <v>39</v>
      </c>
      <c r="P406" s="12"/>
      <c r="Q406" s="16"/>
      <c r="R406" s="12">
        <v>0</v>
      </c>
    </row>
    <row r="407" spans="1:18" s="1" customFormat="1" hidden="1" x14ac:dyDescent="0.25">
      <c r="A407" s="10" t="s">
        <v>714</v>
      </c>
      <c r="B407" s="14" t="s">
        <v>715</v>
      </c>
      <c r="C407" s="10" t="s">
        <v>34</v>
      </c>
      <c r="D407" s="10" t="s">
        <v>35</v>
      </c>
      <c r="E407" s="10" t="s">
        <v>35</v>
      </c>
      <c r="F407" s="11">
        <v>0</v>
      </c>
      <c r="G407" s="21">
        <v>1</v>
      </c>
      <c r="H407" s="21">
        <v>0</v>
      </c>
      <c r="I407" s="21">
        <v>0</v>
      </c>
      <c r="J407" s="14" t="s">
        <v>221</v>
      </c>
      <c r="K407" s="14" t="s">
        <v>35</v>
      </c>
      <c r="L407" s="10" t="s">
        <v>718</v>
      </c>
      <c r="M407" s="10">
        <v>0.61499999999999999</v>
      </c>
      <c r="N407" s="12" t="s">
        <v>1716</v>
      </c>
      <c r="O407" s="12" t="s">
        <v>39</v>
      </c>
      <c r="P407" s="12"/>
      <c r="Q407" s="16"/>
      <c r="R407" s="12">
        <v>0</v>
      </c>
    </row>
    <row r="408" spans="1:18" s="1" customFormat="1" hidden="1" x14ac:dyDescent="0.25">
      <c r="A408" s="7" t="s">
        <v>719</v>
      </c>
      <c r="B408" s="13" t="s">
        <v>720</v>
      </c>
      <c r="C408" s="7" t="s">
        <v>54</v>
      </c>
      <c r="D408" s="7" t="s">
        <v>35</v>
      </c>
      <c r="E408" s="7" t="s">
        <v>35</v>
      </c>
      <c r="F408" s="8">
        <v>0</v>
      </c>
      <c r="G408" s="20">
        <v>1</v>
      </c>
      <c r="H408" s="20">
        <v>0</v>
      </c>
      <c r="I408" s="20">
        <v>0</v>
      </c>
      <c r="J408" s="13" t="s">
        <v>721</v>
      </c>
      <c r="K408" s="13" t="s">
        <v>35</v>
      </c>
      <c r="L408" s="7" t="s">
        <v>722</v>
      </c>
      <c r="M408" s="7">
        <v>1</v>
      </c>
      <c r="N408" s="9" t="s">
        <v>1716</v>
      </c>
      <c r="O408" s="9" t="s">
        <v>39</v>
      </c>
      <c r="P408" s="9"/>
      <c r="Q408" s="15"/>
      <c r="R408" s="9">
        <v>0</v>
      </c>
    </row>
    <row r="409" spans="1:18" s="1" customFormat="1" hidden="1" x14ac:dyDescent="0.25">
      <c r="A409" s="10" t="s">
        <v>723</v>
      </c>
      <c r="B409" s="14" t="s">
        <v>724</v>
      </c>
      <c r="C409" s="10" t="s">
        <v>54</v>
      </c>
      <c r="D409" s="10" t="s">
        <v>35</v>
      </c>
      <c r="E409" s="10" t="s">
        <v>35</v>
      </c>
      <c r="F409" s="11">
        <v>0</v>
      </c>
      <c r="G409" s="21">
        <v>1</v>
      </c>
      <c r="H409" s="21">
        <v>0</v>
      </c>
      <c r="I409" s="21">
        <v>0</v>
      </c>
      <c r="J409" s="14" t="s">
        <v>419</v>
      </c>
      <c r="K409" s="14" t="s">
        <v>35</v>
      </c>
      <c r="L409" s="10" t="s">
        <v>725</v>
      </c>
      <c r="M409" s="10">
        <v>1</v>
      </c>
      <c r="N409" s="12" t="s">
        <v>1716</v>
      </c>
      <c r="O409" s="12" t="s">
        <v>39</v>
      </c>
      <c r="P409" s="12"/>
      <c r="Q409" s="16"/>
      <c r="R409" s="12">
        <v>0</v>
      </c>
    </row>
    <row r="410" spans="1:18" s="1" customFormat="1" hidden="1" x14ac:dyDescent="0.25">
      <c r="A410" s="7" t="s">
        <v>726</v>
      </c>
      <c r="B410" s="13" t="s">
        <v>727</v>
      </c>
      <c r="C410" s="7" t="s">
        <v>111</v>
      </c>
      <c r="D410" s="7" t="s">
        <v>35</v>
      </c>
      <c r="E410" s="7" t="s">
        <v>35</v>
      </c>
      <c r="F410" s="8">
        <v>0</v>
      </c>
      <c r="G410" s="20">
        <v>1</v>
      </c>
      <c r="H410" s="20">
        <v>0</v>
      </c>
      <c r="I410" s="20">
        <v>0</v>
      </c>
      <c r="J410" s="13" t="s">
        <v>388</v>
      </c>
      <c r="K410" s="13" t="s">
        <v>35</v>
      </c>
      <c r="L410" s="7" t="s">
        <v>728</v>
      </c>
      <c r="M410" s="7">
        <v>1</v>
      </c>
      <c r="N410" s="9" t="s">
        <v>1716</v>
      </c>
      <c r="O410" s="9" t="s">
        <v>39</v>
      </c>
      <c r="P410" s="9"/>
      <c r="Q410" s="15"/>
      <c r="R410" s="9">
        <v>0</v>
      </c>
    </row>
    <row r="411" spans="1:18" s="1" customFormat="1" hidden="1" x14ac:dyDescent="0.25">
      <c r="A411" s="10" t="s">
        <v>729</v>
      </c>
      <c r="B411" s="14" t="s">
        <v>730</v>
      </c>
      <c r="C411" s="10" t="s">
        <v>54</v>
      </c>
      <c r="D411" s="10" t="s">
        <v>35</v>
      </c>
      <c r="E411" s="10" t="s">
        <v>35</v>
      </c>
      <c r="F411" s="11">
        <v>0</v>
      </c>
      <c r="G411" s="21">
        <v>1</v>
      </c>
      <c r="H411" s="21">
        <v>0</v>
      </c>
      <c r="I411" s="21">
        <v>0</v>
      </c>
      <c r="J411" s="14" t="s">
        <v>731</v>
      </c>
      <c r="K411" s="14" t="s">
        <v>35</v>
      </c>
      <c r="L411" s="10" t="s">
        <v>732</v>
      </c>
      <c r="M411" s="10">
        <v>1</v>
      </c>
      <c r="N411" s="12" t="s">
        <v>1716</v>
      </c>
      <c r="O411" s="12" t="s">
        <v>39</v>
      </c>
      <c r="P411" s="12"/>
      <c r="Q411" s="16"/>
      <c r="R411" s="12">
        <v>0</v>
      </c>
    </row>
    <row r="412" spans="1:18" s="1" customFormat="1" hidden="1" x14ac:dyDescent="0.25">
      <c r="A412" s="7" t="s">
        <v>733</v>
      </c>
      <c r="B412" s="13" t="s">
        <v>734</v>
      </c>
      <c r="C412" s="7" t="s">
        <v>54</v>
      </c>
      <c r="D412" s="7" t="s">
        <v>35</v>
      </c>
      <c r="E412" s="7" t="s">
        <v>35</v>
      </c>
      <c r="F412" s="8">
        <v>0</v>
      </c>
      <c r="G412" s="20">
        <v>1</v>
      </c>
      <c r="H412" s="20">
        <v>0</v>
      </c>
      <c r="I412" s="20">
        <v>0</v>
      </c>
      <c r="J412" s="13" t="s">
        <v>735</v>
      </c>
      <c r="K412" s="13" t="s">
        <v>35</v>
      </c>
      <c r="L412" s="7" t="s">
        <v>736</v>
      </c>
      <c r="M412" s="7">
        <v>1</v>
      </c>
      <c r="N412" s="9" t="s">
        <v>1716</v>
      </c>
      <c r="O412" s="9" t="s">
        <v>39</v>
      </c>
      <c r="P412" s="9"/>
      <c r="Q412" s="15"/>
      <c r="R412" s="9">
        <v>0</v>
      </c>
    </row>
    <row r="413" spans="1:18" s="1" customFormat="1" hidden="1" x14ac:dyDescent="0.25">
      <c r="A413" s="10" t="s">
        <v>737</v>
      </c>
      <c r="B413" s="14" t="s">
        <v>738</v>
      </c>
      <c r="C413" s="10" t="s">
        <v>54</v>
      </c>
      <c r="D413" s="10" t="s">
        <v>35</v>
      </c>
      <c r="E413" s="10" t="s">
        <v>35</v>
      </c>
      <c r="F413" s="11">
        <v>0</v>
      </c>
      <c r="G413" s="21">
        <v>1</v>
      </c>
      <c r="H413" s="21">
        <v>0</v>
      </c>
      <c r="I413" s="21">
        <v>0</v>
      </c>
      <c r="J413" s="14" t="s">
        <v>525</v>
      </c>
      <c r="K413" s="14" t="s">
        <v>35</v>
      </c>
      <c r="L413" s="10" t="s">
        <v>739</v>
      </c>
      <c r="M413" s="10">
        <v>1</v>
      </c>
      <c r="N413" s="12" t="s">
        <v>1716</v>
      </c>
      <c r="O413" s="12" t="s">
        <v>39</v>
      </c>
      <c r="P413" s="12"/>
      <c r="Q413" s="16"/>
      <c r="R413" s="12">
        <v>0</v>
      </c>
    </row>
    <row r="414" spans="1:18" s="1" customFormat="1" hidden="1" x14ac:dyDescent="0.25">
      <c r="A414" s="7" t="s">
        <v>740</v>
      </c>
      <c r="B414" s="13" t="s">
        <v>741</v>
      </c>
      <c r="C414" s="7" t="s">
        <v>54</v>
      </c>
      <c r="D414" s="7" t="s">
        <v>35</v>
      </c>
      <c r="E414" s="7" t="s">
        <v>35</v>
      </c>
      <c r="F414" s="8">
        <v>0</v>
      </c>
      <c r="G414" s="20">
        <v>1</v>
      </c>
      <c r="H414" s="20">
        <v>0</v>
      </c>
      <c r="I414" s="20">
        <v>0</v>
      </c>
      <c r="J414" s="13" t="s">
        <v>525</v>
      </c>
      <c r="K414" s="13" t="s">
        <v>35</v>
      </c>
      <c r="L414" s="7" t="s">
        <v>742</v>
      </c>
      <c r="M414" s="7">
        <v>1</v>
      </c>
      <c r="N414" s="9" t="s">
        <v>1716</v>
      </c>
      <c r="O414" s="9" t="s">
        <v>39</v>
      </c>
      <c r="P414" s="9"/>
      <c r="Q414" s="15"/>
      <c r="R414" s="9">
        <v>0</v>
      </c>
    </row>
    <row r="415" spans="1:18" s="1" customFormat="1" hidden="1" x14ac:dyDescent="0.25">
      <c r="A415" s="10" t="s">
        <v>743</v>
      </c>
      <c r="B415" s="14" t="s">
        <v>744</v>
      </c>
      <c r="C415" s="10" t="s">
        <v>54</v>
      </c>
      <c r="D415" s="10" t="s">
        <v>35</v>
      </c>
      <c r="E415" s="10" t="s">
        <v>35</v>
      </c>
      <c r="F415" s="11">
        <v>0</v>
      </c>
      <c r="G415" s="21">
        <v>1</v>
      </c>
      <c r="H415" s="21">
        <v>0</v>
      </c>
      <c r="I415" s="21">
        <v>0</v>
      </c>
      <c r="J415" s="14" t="s">
        <v>525</v>
      </c>
      <c r="K415" s="14" t="s">
        <v>35</v>
      </c>
      <c r="L415" s="10" t="s">
        <v>745</v>
      </c>
      <c r="M415" s="10">
        <v>1</v>
      </c>
      <c r="N415" s="12" t="s">
        <v>1716</v>
      </c>
      <c r="O415" s="12" t="s">
        <v>39</v>
      </c>
      <c r="P415" s="12"/>
      <c r="Q415" s="16"/>
      <c r="R415" s="12">
        <v>0</v>
      </c>
    </row>
    <row r="416" spans="1:18" s="1" customFormat="1" hidden="1" x14ac:dyDescent="0.25">
      <c r="A416" s="7" t="s">
        <v>746</v>
      </c>
      <c r="B416" s="13" t="s">
        <v>747</v>
      </c>
      <c r="C416" s="7" t="s">
        <v>580</v>
      </c>
      <c r="D416" s="7" t="s">
        <v>35</v>
      </c>
      <c r="E416" s="7" t="s">
        <v>35</v>
      </c>
      <c r="F416" s="8">
        <v>0</v>
      </c>
      <c r="G416" s="20">
        <v>1</v>
      </c>
      <c r="H416" s="20">
        <v>0</v>
      </c>
      <c r="I416" s="20">
        <v>0</v>
      </c>
      <c r="J416" s="13" t="s">
        <v>419</v>
      </c>
      <c r="K416" s="13" t="s">
        <v>35</v>
      </c>
      <c r="L416" s="7" t="s">
        <v>748</v>
      </c>
      <c r="M416" s="7">
        <v>1</v>
      </c>
      <c r="N416" s="9" t="s">
        <v>1716</v>
      </c>
      <c r="O416" s="9" t="s">
        <v>39</v>
      </c>
      <c r="P416" s="9"/>
      <c r="Q416" s="15"/>
      <c r="R416" s="9">
        <v>0</v>
      </c>
    </row>
    <row r="417" spans="1:18" s="1" customFormat="1" hidden="1" x14ac:dyDescent="0.25">
      <c r="A417" s="10" t="s">
        <v>749</v>
      </c>
      <c r="B417" s="14" t="s">
        <v>750</v>
      </c>
      <c r="C417" s="10" t="s">
        <v>34</v>
      </c>
      <c r="D417" s="10" t="s">
        <v>35</v>
      </c>
      <c r="E417" s="10" t="s">
        <v>35</v>
      </c>
      <c r="F417" s="11">
        <v>0</v>
      </c>
      <c r="G417" s="21">
        <v>1</v>
      </c>
      <c r="H417" s="21">
        <v>0</v>
      </c>
      <c r="I417" s="21">
        <v>0</v>
      </c>
      <c r="J417" s="14" t="s">
        <v>46</v>
      </c>
      <c r="K417" s="14" t="s">
        <v>35</v>
      </c>
      <c r="L417" s="10" t="s">
        <v>281</v>
      </c>
      <c r="M417" s="10">
        <v>9.4E-2</v>
      </c>
      <c r="N417" s="12" t="s">
        <v>1716</v>
      </c>
      <c r="O417" s="12" t="s">
        <v>39</v>
      </c>
      <c r="P417" s="12"/>
      <c r="Q417" s="16"/>
      <c r="R417" s="12">
        <v>0</v>
      </c>
    </row>
    <row r="418" spans="1:18" s="1" customFormat="1" hidden="1" x14ac:dyDescent="0.25">
      <c r="A418" s="10" t="s">
        <v>749</v>
      </c>
      <c r="B418" s="14" t="s">
        <v>750</v>
      </c>
      <c r="C418" s="10" t="s">
        <v>34</v>
      </c>
      <c r="D418" s="10" t="s">
        <v>35</v>
      </c>
      <c r="E418" s="10" t="s">
        <v>35</v>
      </c>
      <c r="F418" s="11">
        <v>0</v>
      </c>
      <c r="G418" s="21">
        <v>1</v>
      </c>
      <c r="H418" s="21">
        <v>0</v>
      </c>
      <c r="I418" s="21">
        <v>0</v>
      </c>
      <c r="J418" s="14" t="s">
        <v>46</v>
      </c>
      <c r="K418" s="14" t="s">
        <v>35</v>
      </c>
      <c r="L418" s="10" t="s">
        <v>751</v>
      </c>
      <c r="M418" s="10">
        <v>6.5799999999999997E-2</v>
      </c>
      <c r="N418" s="12" t="s">
        <v>1716</v>
      </c>
      <c r="O418" s="12" t="s">
        <v>39</v>
      </c>
      <c r="P418" s="12"/>
      <c r="Q418" s="16"/>
      <c r="R418" s="12">
        <v>0</v>
      </c>
    </row>
    <row r="419" spans="1:18" s="1" customFormat="1" hidden="1" x14ac:dyDescent="0.25">
      <c r="A419" s="10" t="s">
        <v>749</v>
      </c>
      <c r="B419" s="14" t="s">
        <v>750</v>
      </c>
      <c r="C419" s="10" t="s">
        <v>34</v>
      </c>
      <c r="D419" s="10" t="s">
        <v>35</v>
      </c>
      <c r="E419" s="10" t="s">
        <v>35</v>
      </c>
      <c r="F419" s="11">
        <v>0</v>
      </c>
      <c r="G419" s="21">
        <v>1</v>
      </c>
      <c r="H419" s="21">
        <v>0</v>
      </c>
      <c r="I419" s="21">
        <v>0</v>
      </c>
      <c r="J419" s="14" t="s">
        <v>46</v>
      </c>
      <c r="K419" s="14" t="s">
        <v>35</v>
      </c>
      <c r="L419" s="10" t="s">
        <v>194</v>
      </c>
      <c r="M419" s="10">
        <v>9.6480000000000003E-3</v>
      </c>
      <c r="N419" s="12" t="s">
        <v>1716</v>
      </c>
      <c r="O419" s="12" t="s">
        <v>39</v>
      </c>
      <c r="P419" s="12"/>
      <c r="Q419" s="16"/>
      <c r="R419" s="12">
        <v>0</v>
      </c>
    </row>
    <row r="420" spans="1:18" s="1" customFormat="1" hidden="1" x14ac:dyDescent="0.25">
      <c r="A420" s="7" t="s">
        <v>752</v>
      </c>
      <c r="B420" s="13" t="s">
        <v>753</v>
      </c>
      <c r="C420" s="7" t="s">
        <v>34</v>
      </c>
      <c r="D420" s="7" t="s">
        <v>35</v>
      </c>
      <c r="E420" s="7" t="s">
        <v>35</v>
      </c>
      <c r="F420" s="8">
        <v>0</v>
      </c>
      <c r="G420" s="20">
        <v>1</v>
      </c>
      <c r="H420" s="20">
        <v>0</v>
      </c>
      <c r="I420" s="20">
        <v>0</v>
      </c>
      <c r="J420" s="13" t="s">
        <v>46</v>
      </c>
      <c r="K420" s="13" t="s">
        <v>35</v>
      </c>
      <c r="L420" s="7" t="s">
        <v>281</v>
      </c>
      <c r="M420" s="7">
        <v>4.7E-2</v>
      </c>
      <c r="N420" s="9" t="s">
        <v>1716</v>
      </c>
      <c r="O420" s="9" t="s">
        <v>39</v>
      </c>
      <c r="P420" s="9"/>
      <c r="Q420" s="15"/>
      <c r="R420" s="9">
        <v>0</v>
      </c>
    </row>
    <row r="421" spans="1:18" s="1" customFormat="1" hidden="1" x14ac:dyDescent="0.25">
      <c r="A421" s="7" t="s">
        <v>752</v>
      </c>
      <c r="B421" s="13" t="s">
        <v>753</v>
      </c>
      <c r="C421" s="7" t="s">
        <v>34</v>
      </c>
      <c r="D421" s="7" t="s">
        <v>35</v>
      </c>
      <c r="E421" s="7" t="s">
        <v>35</v>
      </c>
      <c r="F421" s="8">
        <v>0</v>
      </c>
      <c r="G421" s="20">
        <v>1</v>
      </c>
      <c r="H421" s="20">
        <v>0</v>
      </c>
      <c r="I421" s="20">
        <v>0</v>
      </c>
      <c r="J421" s="13" t="s">
        <v>46</v>
      </c>
      <c r="K421" s="13" t="s">
        <v>35</v>
      </c>
      <c r="L421" s="7" t="s">
        <v>751</v>
      </c>
      <c r="M421" s="7">
        <v>3.2899999999999999E-2</v>
      </c>
      <c r="N421" s="9" t="s">
        <v>1716</v>
      </c>
      <c r="O421" s="9" t="s">
        <v>39</v>
      </c>
      <c r="P421" s="9"/>
      <c r="Q421" s="15"/>
      <c r="R421" s="9">
        <v>0</v>
      </c>
    </row>
    <row r="422" spans="1:18" s="1" customFormat="1" hidden="1" x14ac:dyDescent="0.25">
      <c r="A422" s="7" t="s">
        <v>752</v>
      </c>
      <c r="B422" s="13" t="s">
        <v>753</v>
      </c>
      <c r="C422" s="7" t="s">
        <v>34</v>
      </c>
      <c r="D422" s="7" t="s">
        <v>35</v>
      </c>
      <c r="E422" s="7" t="s">
        <v>35</v>
      </c>
      <c r="F422" s="8">
        <v>0</v>
      </c>
      <c r="G422" s="20">
        <v>1</v>
      </c>
      <c r="H422" s="20">
        <v>0</v>
      </c>
      <c r="I422" s="20">
        <v>0</v>
      </c>
      <c r="J422" s="13" t="s">
        <v>46</v>
      </c>
      <c r="K422" s="13" t="s">
        <v>35</v>
      </c>
      <c r="L422" s="7" t="s">
        <v>194</v>
      </c>
      <c r="M422" s="7">
        <v>12.06</v>
      </c>
      <c r="N422" s="9" t="s">
        <v>1716</v>
      </c>
      <c r="O422" s="9" t="s">
        <v>39</v>
      </c>
      <c r="P422" s="9"/>
      <c r="Q422" s="15"/>
      <c r="R422" s="9">
        <v>0</v>
      </c>
    </row>
    <row r="423" spans="1:18" s="1" customFormat="1" hidden="1" x14ac:dyDescent="0.25">
      <c r="A423" s="10" t="s">
        <v>754</v>
      </c>
      <c r="B423" s="14" t="s">
        <v>755</v>
      </c>
      <c r="C423" s="10" t="s">
        <v>54</v>
      </c>
      <c r="D423" s="10" t="s">
        <v>35</v>
      </c>
      <c r="E423" s="10" t="s">
        <v>35</v>
      </c>
      <c r="F423" s="11">
        <v>0</v>
      </c>
      <c r="G423" s="21">
        <v>1</v>
      </c>
      <c r="H423" s="21">
        <v>0</v>
      </c>
      <c r="I423" s="21">
        <v>0</v>
      </c>
      <c r="J423" s="14" t="s">
        <v>419</v>
      </c>
      <c r="K423" s="14" t="s">
        <v>35</v>
      </c>
      <c r="L423" s="10" t="s">
        <v>756</v>
      </c>
      <c r="M423" s="10">
        <v>1</v>
      </c>
      <c r="N423" s="12" t="s">
        <v>1716</v>
      </c>
      <c r="O423" s="12" t="s">
        <v>39</v>
      </c>
      <c r="P423" s="12"/>
      <c r="Q423" s="16"/>
      <c r="R423" s="12">
        <v>0</v>
      </c>
    </row>
    <row r="424" spans="1:18" s="1" customFormat="1" hidden="1" x14ac:dyDescent="0.25">
      <c r="A424" s="7" t="s">
        <v>757</v>
      </c>
      <c r="B424" s="13" t="s">
        <v>758</v>
      </c>
      <c r="C424" s="7" t="s">
        <v>54</v>
      </c>
      <c r="D424" s="7" t="s">
        <v>35</v>
      </c>
      <c r="E424" s="7" t="s">
        <v>35</v>
      </c>
      <c r="F424" s="8">
        <v>0</v>
      </c>
      <c r="G424" s="20">
        <v>1</v>
      </c>
      <c r="H424" s="20">
        <v>0</v>
      </c>
      <c r="I424" s="20">
        <v>0</v>
      </c>
      <c r="J424" s="13" t="s">
        <v>419</v>
      </c>
      <c r="K424" s="13" t="s">
        <v>35</v>
      </c>
      <c r="L424" s="7" t="s">
        <v>759</v>
      </c>
      <c r="M424" s="7">
        <v>1</v>
      </c>
      <c r="N424" s="9" t="s">
        <v>1716</v>
      </c>
      <c r="O424" s="9" t="s">
        <v>39</v>
      </c>
      <c r="P424" s="9"/>
      <c r="Q424" s="15"/>
      <c r="R424" s="9">
        <v>0</v>
      </c>
    </row>
    <row r="425" spans="1:18" s="1" customFormat="1" hidden="1" x14ac:dyDescent="0.25">
      <c r="A425" s="10" t="s">
        <v>760</v>
      </c>
      <c r="B425" s="14" t="s">
        <v>761</v>
      </c>
      <c r="C425" s="10" t="s">
        <v>54</v>
      </c>
      <c r="D425" s="10" t="s">
        <v>35</v>
      </c>
      <c r="E425" s="10" t="s">
        <v>35</v>
      </c>
      <c r="F425" s="11">
        <v>0</v>
      </c>
      <c r="G425" s="21">
        <v>1</v>
      </c>
      <c r="H425" s="21">
        <v>0</v>
      </c>
      <c r="I425" s="21">
        <v>0</v>
      </c>
      <c r="J425" s="14" t="s">
        <v>419</v>
      </c>
      <c r="K425" s="14" t="s">
        <v>35</v>
      </c>
      <c r="L425" s="10" t="s">
        <v>762</v>
      </c>
      <c r="M425" s="10">
        <v>1</v>
      </c>
      <c r="N425" s="12" t="s">
        <v>1716</v>
      </c>
      <c r="O425" s="12" t="s">
        <v>39</v>
      </c>
      <c r="P425" s="12"/>
      <c r="Q425" s="16"/>
      <c r="R425" s="12">
        <v>0</v>
      </c>
    </row>
    <row r="426" spans="1:18" s="1" customFormat="1" hidden="1" x14ac:dyDescent="0.25">
      <c r="A426" s="7" t="s">
        <v>763</v>
      </c>
      <c r="B426" s="13" t="s">
        <v>764</v>
      </c>
      <c r="C426" s="7" t="s">
        <v>54</v>
      </c>
      <c r="D426" s="7" t="s">
        <v>35</v>
      </c>
      <c r="E426" s="7" t="s">
        <v>35</v>
      </c>
      <c r="F426" s="8">
        <v>0</v>
      </c>
      <c r="G426" s="20">
        <v>1</v>
      </c>
      <c r="H426" s="20">
        <v>0</v>
      </c>
      <c r="I426" s="20">
        <v>0</v>
      </c>
      <c r="J426" s="13" t="s">
        <v>419</v>
      </c>
      <c r="K426" s="13" t="s">
        <v>35</v>
      </c>
      <c r="L426" s="7" t="s">
        <v>765</v>
      </c>
      <c r="M426" s="7">
        <v>1</v>
      </c>
      <c r="N426" s="9" t="s">
        <v>1716</v>
      </c>
      <c r="O426" s="9" t="s">
        <v>39</v>
      </c>
      <c r="P426" s="9"/>
      <c r="Q426" s="15"/>
      <c r="R426" s="9">
        <v>0</v>
      </c>
    </row>
    <row r="427" spans="1:18" s="1" customFormat="1" hidden="1" x14ac:dyDescent="0.25">
      <c r="A427" s="10" t="s">
        <v>766</v>
      </c>
      <c r="B427" s="14" t="s">
        <v>767</v>
      </c>
      <c r="C427" s="10" t="s">
        <v>54</v>
      </c>
      <c r="D427" s="10" t="s">
        <v>35</v>
      </c>
      <c r="E427" s="10" t="s">
        <v>35</v>
      </c>
      <c r="F427" s="11">
        <v>0</v>
      </c>
      <c r="G427" s="21">
        <v>1</v>
      </c>
      <c r="H427" s="21">
        <v>0</v>
      </c>
      <c r="I427" s="21">
        <v>0</v>
      </c>
      <c r="J427" s="14" t="s">
        <v>287</v>
      </c>
      <c r="K427" s="14" t="s">
        <v>35</v>
      </c>
      <c r="L427" s="10" t="s">
        <v>768</v>
      </c>
      <c r="M427" s="10">
        <v>1</v>
      </c>
      <c r="N427" s="12" t="s">
        <v>1716</v>
      </c>
      <c r="O427" s="12" t="s">
        <v>39</v>
      </c>
      <c r="P427" s="12"/>
      <c r="Q427" s="16"/>
      <c r="R427" s="12">
        <v>0</v>
      </c>
    </row>
    <row r="428" spans="1:18" s="1" customFormat="1" hidden="1" x14ac:dyDescent="0.25">
      <c r="A428" s="7" t="s">
        <v>769</v>
      </c>
      <c r="B428" s="13" t="s">
        <v>770</v>
      </c>
      <c r="C428" s="7" t="s">
        <v>75</v>
      </c>
      <c r="D428" s="7" t="s">
        <v>35</v>
      </c>
      <c r="E428" s="7" t="s">
        <v>35</v>
      </c>
      <c r="F428" s="8">
        <v>0</v>
      </c>
      <c r="G428" s="20">
        <v>1</v>
      </c>
      <c r="H428" s="20">
        <v>0</v>
      </c>
      <c r="I428" s="20">
        <v>0</v>
      </c>
      <c r="J428" s="13" t="s">
        <v>525</v>
      </c>
      <c r="K428" s="13" t="s">
        <v>35</v>
      </c>
      <c r="L428" s="7" t="s">
        <v>771</v>
      </c>
      <c r="M428" s="7">
        <v>1</v>
      </c>
      <c r="N428" s="9" t="s">
        <v>1716</v>
      </c>
      <c r="O428" s="9" t="s">
        <v>39</v>
      </c>
      <c r="P428" s="9"/>
      <c r="Q428" s="15"/>
      <c r="R428" s="9">
        <v>0</v>
      </c>
    </row>
    <row r="429" spans="1:18" s="1" customFormat="1" hidden="1" x14ac:dyDescent="0.25">
      <c r="A429" s="10" t="s">
        <v>772</v>
      </c>
      <c r="B429" s="14" t="s">
        <v>773</v>
      </c>
      <c r="C429" s="10" t="s">
        <v>580</v>
      </c>
      <c r="D429" s="10" t="s">
        <v>35</v>
      </c>
      <c r="E429" s="10" t="s">
        <v>35</v>
      </c>
      <c r="F429" s="11">
        <v>0</v>
      </c>
      <c r="G429" s="21">
        <v>1</v>
      </c>
      <c r="H429" s="21">
        <v>0</v>
      </c>
      <c r="I429" s="21">
        <v>0</v>
      </c>
      <c r="J429" s="14" t="s">
        <v>388</v>
      </c>
      <c r="K429" s="14" t="s">
        <v>35</v>
      </c>
      <c r="L429" s="10" t="s">
        <v>774</v>
      </c>
      <c r="M429" s="10">
        <v>1</v>
      </c>
      <c r="N429" s="12" t="s">
        <v>1716</v>
      </c>
      <c r="O429" s="12" t="s">
        <v>39</v>
      </c>
      <c r="P429" s="12"/>
      <c r="Q429" s="16"/>
      <c r="R429" s="12">
        <v>0</v>
      </c>
    </row>
    <row r="430" spans="1:18" s="1" customFormat="1" hidden="1" x14ac:dyDescent="0.25">
      <c r="A430" s="7" t="s">
        <v>775</v>
      </c>
      <c r="B430" s="13" t="s">
        <v>776</v>
      </c>
      <c r="C430" s="7" t="s">
        <v>580</v>
      </c>
      <c r="D430" s="7" t="s">
        <v>35</v>
      </c>
      <c r="E430" s="7" t="s">
        <v>35</v>
      </c>
      <c r="F430" s="8">
        <v>0</v>
      </c>
      <c r="G430" s="20">
        <v>1</v>
      </c>
      <c r="H430" s="20">
        <v>0</v>
      </c>
      <c r="I430" s="20">
        <v>0</v>
      </c>
      <c r="J430" s="13" t="s">
        <v>525</v>
      </c>
      <c r="K430" s="13" t="s">
        <v>35</v>
      </c>
      <c r="L430" s="7" t="s">
        <v>777</v>
      </c>
      <c r="M430" s="7">
        <v>1</v>
      </c>
      <c r="N430" s="9" t="s">
        <v>1716</v>
      </c>
      <c r="O430" s="9" t="s">
        <v>39</v>
      </c>
      <c r="P430" s="9"/>
      <c r="Q430" s="15"/>
      <c r="R430" s="9">
        <v>0</v>
      </c>
    </row>
    <row r="431" spans="1:18" s="1" customFormat="1" hidden="1" x14ac:dyDescent="0.25">
      <c r="A431" s="10" t="s">
        <v>778</v>
      </c>
      <c r="B431" s="14" t="s">
        <v>779</v>
      </c>
      <c r="C431" s="10" t="s">
        <v>780</v>
      </c>
      <c r="D431" s="10" t="s">
        <v>35</v>
      </c>
      <c r="E431" s="10" t="s">
        <v>35</v>
      </c>
      <c r="F431" s="11">
        <v>0</v>
      </c>
      <c r="G431" s="21">
        <v>1</v>
      </c>
      <c r="H431" s="21">
        <v>0</v>
      </c>
      <c r="I431" s="21">
        <v>0</v>
      </c>
      <c r="J431" s="14" t="s">
        <v>388</v>
      </c>
      <c r="K431" s="14" t="s">
        <v>35</v>
      </c>
      <c r="L431" s="10" t="s">
        <v>781</v>
      </c>
      <c r="M431" s="10">
        <v>1</v>
      </c>
      <c r="N431" s="12" t="s">
        <v>1716</v>
      </c>
      <c r="O431" s="12" t="s">
        <v>39</v>
      </c>
      <c r="P431" s="12"/>
      <c r="Q431" s="16"/>
      <c r="R431" s="12">
        <v>0</v>
      </c>
    </row>
    <row r="432" spans="1:18" s="1" customFormat="1" hidden="1" x14ac:dyDescent="0.25">
      <c r="A432" s="7" t="s">
        <v>782</v>
      </c>
      <c r="B432" s="13" t="s">
        <v>783</v>
      </c>
      <c r="C432" s="7" t="s">
        <v>580</v>
      </c>
      <c r="D432" s="7" t="s">
        <v>35</v>
      </c>
      <c r="E432" s="7" t="s">
        <v>35</v>
      </c>
      <c r="F432" s="8">
        <v>0</v>
      </c>
      <c r="G432" s="20">
        <v>1</v>
      </c>
      <c r="H432" s="20">
        <v>0</v>
      </c>
      <c r="I432" s="20">
        <v>0</v>
      </c>
      <c r="J432" s="13" t="s">
        <v>448</v>
      </c>
      <c r="K432" s="13" t="s">
        <v>721</v>
      </c>
      <c r="L432" s="7" t="s">
        <v>784</v>
      </c>
      <c r="M432" s="7">
        <v>708</v>
      </c>
      <c r="N432" s="9" t="s">
        <v>1716</v>
      </c>
      <c r="O432" s="9" t="s">
        <v>39</v>
      </c>
      <c r="P432" s="9"/>
      <c r="Q432" s="15"/>
      <c r="R432" s="9">
        <v>0</v>
      </c>
    </row>
    <row r="433" spans="1:18" s="1" customFormat="1" hidden="1" x14ac:dyDescent="0.25">
      <c r="A433" s="7" t="s">
        <v>782</v>
      </c>
      <c r="B433" s="13" t="s">
        <v>783</v>
      </c>
      <c r="C433" s="7" t="s">
        <v>580</v>
      </c>
      <c r="D433" s="7" t="s">
        <v>35</v>
      </c>
      <c r="E433" s="7" t="s">
        <v>35</v>
      </c>
      <c r="F433" s="8">
        <v>0</v>
      </c>
      <c r="G433" s="20">
        <v>1</v>
      </c>
      <c r="H433" s="20">
        <v>0</v>
      </c>
      <c r="I433" s="20">
        <v>0</v>
      </c>
      <c r="J433" s="13" t="s">
        <v>448</v>
      </c>
      <c r="K433" s="13" t="s">
        <v>721</v>
      </c>
      <c r="L433" s="7" t="s">
        <v>785</v>
      </c>
      <c r="M433" s="7">
        <v>123</v>
      </c>
      <c r="N433" s="9" t="s">
        <v>1716</v>
      </c>
      <c r="O433" s="9" t="s">
        <v>39</v>
      </c>
      <c r="P433" s="9"/>
      <c r="Q433" s="15"/>
      <c r="R433" s="9">
        <v>0</v>
      </c>
    </row>
    <row r="434" spans="1:18" s="1" customFormat="1" hidden="1" x14ac:dyDescent="0.25">
      <c r="A434" s="10" t="s">
        <v>786</v>
      </c>
      <c r="B434" s="14" t="s">
        <v>787</v>
      </c>
      <c r="C434" s="10" t="s">
        <v>780</v>
      </c>
      <c r="D434" s="10" t="s">
        <v>35</v>
      </c>
      <c r="E434" s="10" t="s">
        <v>35</v>
      </c>
      <c r="F434" s="11">
        <v>0</v>
      </c>
      <c r="G434" s="21">
        <v>1</v>
      </c>
      <c r="H434" s="21">
        <v>0</v>
      </c>
      <c r="I434" s="21">
        <v>0</v>
      </c>
      <c r="J434" s="14" t="s">
        <v>388</v>
      </c>
      <c r="K434" s="14" t="s">
        <v>35</v>
      </c>
      <c r="L434" s="10" t="s">
        <v>788</v>
      </c>
      <c r="M434" s="10">
        <v>1</v>
      </c>
      <c r="N434" s="12" t="s">
        <v>1716</v>
      </c>
      <c r="O434" s="12" t="s">
        <v>39</v>
      </c>
      <c r="P434" s="12"/>
      <c r="Q434" s="16"/>
      <c r="R434" s="12">
        <v>0</v>
      </c>
    </row>
    <row r="435" spans="1:18" s="1" customFormat="1" hidden="1" x14ac:dyDescent="0.25">
      <c r="A435" s="7" t="s">
        <v>789</v>
      </c>
      <c r="B435" s="13" t="s">
        <v>790</v>
      </c>
      <c r="C435" s="7" t="s">
        <v>580</v>
      </c>
      <c r="D435" s="7" t="s">
        <v>35</v>
      </c>
      <c r="E435" s="7" t="s">
        <v>35</v>
      </c>
      <c r="F435" s="8">
        <v>0</v>
      </c>
      <c r="G435" s="20">
        <v>1</v>
      </c>
      <c r="H435" s="20">
        <v>0</v>
      </c>
      <c r="I435" s="20">
        <v>0</v>
      </c>
      <c r="J435" s="13" t="s">
        <v>448</v>
      </c>
      <c r="K435" s="13" t="s">
        <v>721</v>
      </c>
      <c r="L435" s="7" t="s">
        <v>791</v>
      </c>
      <c r="M435" s="7">
        <v>1</v>
      </c>
      <c r="N435" s="9" t="s">
        <v>1716</v>
      </c>
      <c r="O435" s="9" t="s">
        <v>39</v>
      </c>
      <c r="P435" s="9"/>
      <c r="Q435" s="15"/>
      <c r="R435" s="9">
        <v>0</v>
      </c>
    </row>
    <row r="436" spans="1:18" s="1" customFormat="1" hidden="1" x14ac:dyDescent="0.25">
      <c r="A436" s="10" t="s">
        <v>792</v>
      </c>
      <c r="B436" s="14" t="s">
        <v>793</v>
      </c>
      <c r="C436" s="10" t="s">
        <v>34</v>
      </c>
      <c r="D436" s="10" t="s">
        <v>35</v>
      </c>
      <c r="E436" s="10" t="s">
        <v>35</v>
      </c>
      <c r="F436" s="11">
        <v>0</v>
      </c>
      <c r="G436" s="21">
        <v>1</v>
      </c>
      <c r="H436" s="21">
        <v>0</v>
      </c>
      <c r="I436" s="21">
        <v>0</v>
      </c>
      <c r="J436" s="14" t="s">
        <v>106</v>
      </c>
      <c r="K436" s="14" t="s">
        <v>35</v>
      </c>
      <c r="L436" s="10" t="s">
        <v>794</v>
      </c>
      <c r="M436" s="10">
        <v>0.88</v>
      </c>
      <c r="N436" s="12" t="s">
        <v>1716</v>
      </c>
      <c r="O436" s="12" t="s">
        <v>39</v>
      </c>
      <c r="P436" s="12"/>
      <c r="Q436" s="16"/>
      <c r="R436" s="12">
        <v>0</v>
      </c>
    </row>
    <row r="437" spans="1:18" s="1" customFormat="1" hidden="1" x14ac:dyDescent="0.25">
      <c r="A437" s="10" t="s">
        <v>792</v>
      </c>
      <c r="B437" s="14" t="s">
        <v>793</v>
      </c>
      <c r="C437" s="10" t="s">
        <v>34</v>
      </c>
      <c r="D437" s="10" t="s">
        <v>35</v>
      </c>
      <c r="E437" s="10" t="s">
        <v>35</v>
      </c>
      <c r="F437" s="11">
        <v>0</v>
      </c>
      <c r="G437" s="21">
        <v>1</v>
      </c>
      <c r="H437" s="21">
        <v>0</v>
      </c>
      <c r="I437" s="21">
        <v>0</v>
      </c>
      <c r="J437" s="14" t="s">
        <v>106</v>
      </c>
      <c r="K437" s="14" t="s">
        <v>35</v>
      </c>
      <c r="L437" s="10" t="s">
        <v>795</v>
      </c>
      <c r="M437" s="10">
        <v>1.18</v>
      </c>
      <c r="N437" s="12" t="s">
        <v>1716</v>
      </c>
      <c r="O437" s="12" t="s">
        <v>39</v>
      </c>
      <c r="P437" s="12"/>
      <c r="Q437" s="16"/>
      <c r="R437" s="12">
        <v>0</v>
      </c>
    </row>
    <row r="438" spans="1:18" s="1" customFormat="1" hidden="1" x14ac:dyDescent="0.25">
      <c r="A438" s="7" t="s">
        <v>796</v>
      </c>
      <c r="B438" s="13" t="s">
        <v>797</v>
      </c>
      <c r="C438" s="7" t="s">
        <v>54</v>
      </c>
      <c r="D438" s="7" t="s">
        <v>35</v>
      </c>
      <c r="E438" s="7" t="s">
        <v>35</v>
      </c>
      <c r="F438" s="8">
        <v>0</v>
      </c>
      <c r="G438" s="20">
        <v>1</v>
      </c>
      <c r="H438" s="20">
        <v>0</v>
      </c>
      <c r="I438" s="20">
        <v>0</v>
      </c>
      <c r="J438" s="13" t="s">
        <v>419</v>
      </c>
      <c r="K438" s="13" t="s">
        <v>35</v>
      </c>
      <c r="L438" s="7" t="s">
        <v>798</v>
      </c>
      <c r="M438" s="7">
        <v>1</v>
      </c>
      <c r="N438" s="9" t="s">
        <v>1716</v>
      </c>
      <c r="O438" s="9" t="s">
        <v>39</v>
      </c>
      <c r="P438" s="9"/>
      <c r="Q438" s="15"/>
      <c r="R438" s="9">
        <v>0</v>
      </c>
    </row>
    <row r="439" spans="1:18" s="1" customFormat="1" hidden="1" x14ac:dyDescent="0.25">
      <c r="A439" s="10" t="s">
        <v>799</v>
      </c>
      <c r="B439" s="14" t="s">
        <v>800</v>
      </c>
      <c r="C439" s="10" t="s">
        <v>580</v>
      </c>
      <c r="D439" s="10" t="s">
        <v>35</v>
      </c>
      <c r="E439" s="10" t="s">
        <v>35</v>
      </c>
      <c r="F439" s="11">
        <v>0</v>
      </c>
      <c r="G439" s="21">
        <v>1</v>
      </c>
      <c r="H439" s="21">
        <v>0</v>
      </c>
      <c r="I439" s="21">
        <v>0</v>
      </c>
      <c r="J439" s="14" t="s">
        <v>388</v>
      </c>
      <c r="K439" s="14" t="s">
        <v>35</v>
      </c>
      <c r="L439" s="10" t="s">
        <v>801</v>
      </c>
      <c r="M439" s="10">
        <v>1</v>
      </c>
      <c r="N439" s="12" t="s">
        <v>1716</v>
      </c>
      <c r="O439" s="12" t="s">
        <v>39</v>
      </c>
      <c r="P439" s="12"/>
      <c r="Q439" s="16"/>
      <c r="R439" s="12">
        <v>0</v>
      </c>
    </row>
    <row r="440" spans="1:18" s="1" customFormat="1" hidden="1" x14ac:dyDescent="0.25">
      <c r="A440" s="7" t="s">
        <v>802</v>
      </c>
      <c r="B440" s="13" t="s">
        <v>803</v>
      </c>
      <c r="C440" s="7" t="s">
        <v>580</v>
      </c>
      <c r="D440" s="7" t="s">
        <v>35</v>
      </c>
      <c r="E440" s="7" t="s">
        <v>35</v>
      </c>
      <c r="F440" s="8">
        <v>0</v>
      </c>
      <c r="G440" s="20">
        <v>1</v>
      </c>
      <c r="H440" s="20">
        <v>0</v>
      </c>
      <c r="I440" s="20">
        <v>0</v>
      </c>
      <c r="J440" s="13" t="s">
        <v>388</v>
      </c>
      <c r="K440" s="13" t="s">
        <v>35</v>
      </c>
      <c r="L440" s="7" t="s">
        <v>801</v>
      </c>
      <c r="M440" s="7">
        <v>1</v>
      </c>
      <c r="N440" s="9" t="s">
        <v>1716</v>
      </c>
      <c r="O440" s="9" t="s">
        <v>39</v>
      </c>
      <c r="P440" s="9"/>
      <c r="Q440" s="15"/>
      <c r="R440" s="9">
        <v>0</v>
      </c>
    </row>
    <row r="441" spans="1:18" s="1" customFormat="1" hidden="1" x14ac:dyDescent="0.25">
      <c r="A441" s="10" t="s">
        <v>804</v>
      </c>
      <c r="B441" s="14" t="s">
        <v>805</v>
      </c>
      <c r="C441" s="10" t="s">
        <v>580</v>
      </c>
      <c r="D441" s="10" t="s">
        <v>35</v>
      </c>
      <c r="E441" s="10" t="s">
        <v>35</v>
      </c>
      <c r="F441" s="11">
        <v>0</v>
      </c>
      <c r="G441" s="21">
        <v>1</v>
      </c>
      <c r="H441" s="21">
        <v>0</v>
      </c>
      <c r="I441" s="21">
        <v>0</v>
      </c>
      <c r="J441" s="14" t="s">
        <v>573</v>
      </c>
      <c r="K441" s="14" t="s">
        <v>35</v>
      </c>
      <c r="L441" s="10" t="s">
        <v>806</v>
      </c>
      <c r="M441" s="10">
        <v>1</v>
      </c>
      <c r="N441" s="12" t="s">
        <v>1716</v>
      </c>
      <c r="O441" s="12" t="s">
        <v>39</v>
      </c>
      <c r="P441" s="12"/>
      <c r="Q441" s="16"/>
      <c r="R441" s="12">
        <v>0</v>
      </c>
    </row>
    <row r="442" spans="1:18" s="1" customFormat="1" hidden="1" x14ac:dyDescent="0.25">
      <c r="A442" s="7" t="s">
        <v>807</v>
      </c>
      <c r="B442" s="13" t="s">
        <v>808</v>
      </c>
      <c r="C442" s="7" t="s">
        <v>580</v>
      </c>
      <c r="D442" s="7" t="s">
        <v>35</v>
      </c>
      <c r="E442" s="7" t="s">
        <v>35</v>
      </c>
      <c r="F442" s="8">
        <v>0</v>
      </c>
      <c r="G442" s="20">
        <v>1</v>
      </c>
      <c r="H442" s="20">
        <v>0</v>
      </c>
      <c r="I442" s="20">
        <v>0</v>
      </c>
      <c r="J442" s="13" t="s">
        <v>573</v>
      </c>
      <c r="K442" s="13" t="s">
        <v>35</v>
      </c>
      <c r="L442" s="7" t="s">
        <v>809</v>
      </c>
      <c r="M442" s="7">
        <v>1</v>
      </c>
      <c r="N442" s="9" t="s">
        <v>1716</v>
      </c>
      <c r="O442" s="9" t="s">
        <v>39</v>
      </c>
      <c r="P442" s="9"/>
      <c r="Q442" s="15"/>
      <c r="R442" s="9">
        <v>0</v>
      </c>
    </row>
    <row r="443" spans="1:18" s="1" customFormat="1" hidden="1" x14ac:dyDescent="0.25">
      <c r="A443" s="10" t="s">
        <v>810</v>
      </c>
      <c r="B443" s="14" t="s">
        <v>811</v>
      </c>
      <c r="C443" s="10" t="s">
        <v>580</v>
      </c>
      <c r="D443" s="10" t="s">
        <v>35</v>
      </c>
      <c r="E443" s="10" t="s">
        <v>35</v>
      </c>
      <c r="F443" s="11">
        <v>0</v>
      </c>
      <c r="G443" s="21">
        <v>1</v>
      </c>
      <c r="H443" s="21">
        <v>0</v>
      </c>
      <c r="I443" s="21">
        <v>0</v>
      </c>
      <c r="J443" s="14" t="s">
        <v>573</v>
      </c>
      <c r="K443" s="14" t="s">
        <v>35</v>
      </c>
      <c r="L443" s="10" t="s">
        <v>812</v>
      </c>
      <c r="M443" s="10">
        <v>1</v>
      </c>
      <c r="N443" s="12" t="s">
        <v>1716</v>
      </c>
      <c r="O443" s="12" t="s">
        <v>39</v>
      </c>
      <c r="P443" s="12"/>
      <c r="Q443" s="16"/>
      <c r="R443" s="12">
        <v>0</v>
      </c>
    </row>
    <row r="444" spans="1:18" s="1" customFormat="1" hidden="1" x14ac:dyDescent="0.25">
      <c r="A444" s="7" t="s">
        <v>813</v>
      </c>
      <c r="B444" s="13" t="s">
        <v>814</v>
      </c>
      <c r="C444" s="7" t="s">
        <v>580</v>
      </c>
      <c r="D444" s="7" t="s">
        <v>35</v>
      </c>
      <c r="E444" s="7" t="s">
        <v>35</v>
      </c>
      <c r="F444" s="8">
        <v>0</v>
      </c>
      <c r="G444" s="20">
        <v>1</v>
      </c>
      <c r="H444" s="20">
        <v>0</v>
      </c>
      <c r="I444" s="20">
        <v>0</v>
      </c>
      <c r="J444" s="13" t="s">
        <v>573</v>
      </c>
      <c r="K444" s="13" t="s">
        <v>35</v>
      </c>
      <c r="L444" s="7" t="s">
        <v>815</v>
      </c>
      <c r="M444" s="7">
        <v>1</v>
      </c>
      <c r="N444" s="9" t="s">
        <v>1716</v>
      </c>
      <c r="O444" s="9" t="s">
        <v>39</v>
      </c>
      <c r="P444" s="9"/>
      <c r="Q444" s="15"/>
      <c r="R444" s="9">
        <v>0</v>
      </c>
    </row>
    <row r="445" spans="1:18" s="1" customFormat="1" hidden="1" x14ac:dyDescent="0.25">
      <c r="A445" s="10" t="s">
        <v>816</v>
      </c>
      <c r="B445" s="14" t="s">
        <v>817</v>
      </c>
      <c r="C445" s="10" t="s">
        <v>34</v>
      </c>
      <c r="D445" s="10" t="s">
        <v>35</v>
      </c>
      <c r="E445" s="10" t="s">
        <v>35</v>
      </c>
      <c r="F445" s="11">
        <v>0</v>
      </c>
      <c r="G445" s="21">
        <v>1</v>
      </c>
      <c r="H445" s="21">
        <v>0</v>
      </c>
      <c r="I445" s="21">
        <v>0</v>
      </c>
      <c r="J445" s="14" t="s">
        <v>218</v>
      </c>
      <c r="K445" s="14" t="s">
        <v>35</v>
      </c>
      <c r="L445" s="10" t="s">
        <v>818</v>
      </c>
      <c r="M445" s="10">
        <v>1</v>
      </c>
      <c r="N445" s="12" t="s">
        <v>1716</v>
      </c>
      <c r="O445" s="12" t="s">
        <v>39</v>
      </c>
      <c r="P445" s="12"/>
      <c r="Q445" s="16"/>
      <c r="R445" s="12">
        <v>0</v>
      </c>
    </row>
    <row r="446" spans="1:18" s="1" customFormat="1" hidden="1" x14ac:dyDescent="0.25">
      <c r="A446" s="7" t="s">
        <v>819</v>
      </c>
      <c r="B446" s="13" t="s">
        <v>820</v>
      </c>
      <c r="C446" s="7" t="s">
        <v>34</v>
      </c>
      <c r="D446" s="7" t="s">
        <v>35</v>
      </c>
      <c r="E446" s="7" t="s">
        <v>35</v>
      </c>
      <c r="F446" s="8">
        <v>0</v>
      </c>
      <c r="G446" s="20">
        <v>1</v>
      </c>
      <c r="H446" s="20">
        <v>0</v>
      </c>
      <c r="I446" s="20">
        <v>0</v>
      </c>
      <c r="J446" s="13" t="s">
        <v>218</v>
      </c>
      <c r="K446" s="13" t="s">
        <v>35</v>
      </c>
      <c r="L446" s="7" t="s">
        <v>818</v>
      </c>
      <c r="M446" s="7">
        <v>1</v>
      </c>
      <c r="N446" s="9" t="s">
        <v>1716</v>
      </c>
      <c r="O446" s="9" t="s">
        <v>39</v>
      </c>
      <c r="P446" s="9"/>
      <c r="Q446" s="15"/>
      <c r="R446" s="9">
        <v>0</v>
      </c>
    </row>
    <row r="447" spans="1:18" s="1" customFormat="1" hidden="1" x14ac:dyDescent="0.25">
      <c r="A447" s="10" t="s">
        <v>821</v>
      </c>
      <c r="B447" s="14" t="s">
        <v>822</v>
      </c>
      <c r="C447" s="10" t="s">
        <v>34</v>
      </c>
      <c r="D447" s="10" t="s">
        <v>35</v>
      </c>
      <c r="E447" s="10" t="s">
        <v>35</v>
      </c>
      <c r="F447" s="11">
        <v>0</v>
      </c>
      <c r="G447" s="21">
        <v>1</v>
      </c>
      <c r="H447" s="21">
        <v>0</v>
      </c>
      <c r="I447" s="21">
        <v>0</v>
      </c>
      <c r="J447" s="14" t="s">
        <v>218</v>
      </c>
      <c r="K447" s="14" t="s">
        <v>35</v>
      </c>
      <c r="L447" s="10" t="s">
        <v>823</v>
      </c>
      <c r="M447" s="10">
        <v>1</v>
      </c>
      <c r="N447" s="12" t="s">
        <v>1716</v>
      </c>
      <c r="O447" s="12" t="s">
        <v>39</v>
      </c>
      <c r="P447" s="12"/>
      <c r="Q447" s="16"/>
      <c r="R447" s="12">
        <v>0</v>
      </c>
    </row>
    <row r="448" spans="1:18" s="1" customFormat="1" hidden="1" x14ac:dyDescent="0.25">
      <c r="A448" s="7" t="s">
        <v>824</v>
      </c>
      <c r="B448" s="13" t="s">
        <v>825</v>
      </c>
      <c r="C448" s="7" t="s">
        <v>34</v>
      </c>
      <c r="D448" s="7" t="s">
        <v>35</v>
      </c>
      <c r="E448" s="7" t="s">
        <v>35</v>
      </c>
      <c r="F448" s="8">
        <v>0</v>
      </c>
      <c r="G448" s="20">
        <v>1</v>
      </c>
      <c r="H448" s="20">
        <v>0</v>
      </c>
      <c r="I448" s="20">
        <v>0</v>
      </c>
      <c r="J448" s="13" t="s">
        <v>36</v>
      </c>
      <c r="K448" s="13" t="s">
        <v>35</v>
      </c>
      <c r="L448" s="7" t="s">
        <v>826</v>
      </c>
      <c r="M448" s="7">
        <v>1</v>
      </c>
      <c r="N448" s="9" t="s">
        <v>1716</v>
      </c>
      <c r="O448" s="9" t="s">
        <v>39</v>
      </c>
      <c r="P448" s="9"/>
      <c r="Q448" s="15"/>
      <c r="R448" s="9">
        <v>0</v>
      </c>
    </row>
    <row r="449" spans="1:18" s="1" customFormat="1" hidden="1" x14ac:dyDescent="0.25">
      <c r="A449" s="10" t="s">
        <v>827</v>
      </c>
      <c r="B449" s="14" t="s">
        <v>828</v>
      </c>
      <c r="C449" s="10" t="s">
        <v>34</v>
      </c>
      <c r="D449" s="10" t="s">
        <v>35</v>
      </c>
      <c r="E449" s="10" t="s">
        <v>35</v>
      </c>
      <c r="F449" s="11">
        <v>0</v>
      </c>
      <c r="G449" s="21">
        <v>1</v>
      </c>
      <c r="H449" s="21">
        <v>0</v>
      </c>
      <c r="I449" s="21">
        <v>0</v>
      </c>
      <c r="J449" s="14" t="s">
        <v>229</v>
      </c>
      <c r="K449" s="14" t="s">
        <v>35</v>
      </c>
      <c r="L449" s="10" t="s">
        <v>829</v>
      </c>
      <c r="M449" s="10">
        <v>1</v>
      </c>
      <c r="N449" s="12" t="s">
        <v>1716</v>
      </c>
      <c r="O449" s="12" t="s">
        <v>39</v>
      </c>
      <c r="P449" s="12"/>
      <c r="Q449" s="16"/>
      <c r="R449" s="12">
        <v>0</v>
      </c>
    </row>
    <row r="450" spans="1:18" s="1" customFormat="1" hidden="1" x14ac:dyDescent="0.25">
      <c r="A450" s="7" t="s">
        <v>830</v>
      </c>
      <c r="B450" s="13" t="s">
        <v>831</v>
      </c>
      <c r="C450" s="7" t="s">
        <v>136</v>
      </c>
      <c r="D450" s="7" t="s">
        <v>35</v>
      </c>
      <c r="E450" s="7" t="s">
        <v>35</v>
      </c>
      <c r="F450" s="8">
        <v>0</v>
      </c>
      <c r="G450" s="20">
        <v>1</v>
      </c>
      <c r="H450" s="20">
        <v>0</v>
      </c>
      <c r="I450" s="20">
        <v>0</v>
      </c>
      <c r="J450" s="13" t="s">
        <v>201</v>
      </c>
      <c r="K450" s="13" t="s">
        <v>35</v>
      </c>
      <c r="L450" s="7" t="s">
        <v>832</v>
      </c>
      <c r="M450" s="7">
        <v>1</v>
      </c>
      <c r="N450" s="9" t="s">
        <v>1716</v>
      </c>
      <c r="O450" s="9" t="s">
        <v>39</v>
      </c>
      <c r="P450" s="9"/>
      <c r="Q450" s="15"/>
      <c r="R450" s="9">
        <v>0</v>
      </c>
    </row>
    <row r="451" spans="1:18" s="1" customFormat="1" hidden="1" x14ac:dyDescent="0.25">
      <c r="A451" s="10" t="s">
        <v>833</v>
      </c>
      <c r="B451" s="14" t="s">
        <v>834</v>
      </c>
      <c r="C451" s="10" t="s">
        <v>75</v>
      </c>
      <c r="D451" s="10" t="s">
        <v>35</v>
      </c>
      <c r="E451" s="10" t="s">
        <v>35</v>
      </c>
      <c r="F451" s="11">
        <v>0</v>
      </c>
      <c r="G451" s="21">
        <v>1</v>
      </c>
      <c r="H451" s="21">
        <v>0</v>
      </c>
      <c r="I451" s="21">
        <v>0</v>
      </c>
      <c r="J451" s="14" t="s">
        <v>83</v>
      </c>
      <c r="K451" s="14" t="s">
        <v>35</v>
      </c>
      <c r="L451" s="10" t="s">
        <v>835</v>
      </c>
      <c r="M451" s="10">
        <v>1</v>
      </c>
      <c r="N451" s="12" t="s">
        <v>1716</v>
      </c>
      <c r="O451" s="12" t="s">
        <v>39</v>
      </c>
      <c r="P451" s="12"/>
      <c r="Q451" s="16"/>
      <c r="R451" s="12">
        <v>0</v>
      </c>
    </row>
    <row r="452" spans="1:18" s="1" customFormat="1" hidden="1" x14ac:dyDescent="0.25">
      <c r="A452" s="7" t="s">
        <v>836</v>
      </c>
      <c r="B452" s="13" t="s">
        <v>837</v>
      </c>
      <c r="C452" s="7" t="s">
        <v>75</v>
      </c>
      <c r="D452" s="7" t="s">
        <v>35</v>
      </c>
      <c r="E452" s="7" t="s">
        <v>35</v>
      </c>
      <c r="F452" s="8">
        <v>0</v>
      </c>
      <c r="G452" s="20">
        <v>1</v>
      </c>
      <c r="H452" s="20">
        <v>0</v>
      </c>
      <c r="I452" s="20">
        <v>0</v>
      </c>
      <c r="J452" s="13" t="s">
        <v>83</v>
      </c>
      <c r="K452" s="13" t="s">
        <v>35</v>
      </c>
      <c r="L452" s="7" t="s">
        <v>838</v>
      </c>
      <c r="M452" s="7">
        <v>1</v>
      </c>
      <c r="N452" s="9" t="s">
        <v>1716</v>
      </c>
      <c r="O452" s="9" t="s">
        <v>39</v>
      </c>
      <c r="P452" s="9"/>
      <c r="Q452" s="15"/>
      <c r="R452" s="9">
        <v>0</v>
      </c>
    </row>
    <row r="453" spans="1:18" s="1" customFormat="1" hidden="1" x14ac:dyDescent="0.25">
      <c r="A453" s="10" t="s">
        <v>839</v>
      </c>
      <c r="B453" s="14" t="s">
        <v>840</v>
      </c>
      <c r="C453" s="10" t="s">
        <v>34</v>
      </c>
      <c r="D453" s="10" t="s">
        <v>35</v>
      </c>
      <c r="E453" s="10" t="s">
        <v>35</v>
      </c>
      <c r="F453" s="11">
        <v>0</v>
      </c>
      <c r="G453" s="21">
        <v>1</v>
      </c>
      <c r="H453" s="21">
        <v>0</v>
      </c>
      <c r="I453" s="21">
        <v>0</v>
      </c>
      <c r="J453" s="14" t="s">
        <v>83</v>
      </c>
      <c r="K453" s="14" t="s">
        <v>35</v>
      </c>
      <c r="L453" s="10" t="s">
        <v>841</v>
      </c>
      <c r="M453" s="10">
        <v>1</v>
      </c>
      <c r="N453" s="12" t="s">
        <v>1716</v>
      </c>
      <c r="O453" s="12" t="s">
        <v>39</v>
      </c>
      <c r="P453" s="12"/>
      <c r="Q453" s="16"/>
      <c r="R453" s="12">
        <v>0</v>
      </c>
    </row>
    <row r="454" spans="1:18" s="1" customFormat="1" hidden="1" x14ac:dyDescent="0.25">
      <c r="A454" s="7" t="s">
        <v>842</v>
      </c>
      <c r="B454" s="13" t="s">
        <v>843</v>
      </c>
      <c r="C454" s="7" t="s">
        <v>34</v>
      </c>
      <c r="D454" s="7" t="s">
        <v>35</v>
      </c>
      <c r="E454" s="7" t="s">
        <v>35</v>
      </c>
      <c r="F454" s="8">
        <v>0</v>
      </c>
      <c r="G454" s="20">
        <v>1</v>
      </c>
      <c r="H454" s="20">
        <v>0</v>
      </c>
      <c r="I454" s="20">
        <v>0</v>
      </c>
      <c r="J454" s="13" t="s">
        <v>201</v>
      </c>
      <c r="K454" s="13" t="s">
        <v>35</v>
      </c>
      <c r="L454" s="7" t="s">
        <v>844</v>
      </c>
      <c r="M454" s="7">
        <v>1</v>
      </c>
      <c r="N454" s="9" t="s">
        <v>1716</v>
      </c>
      <c r="O454" s="9" t="s">
        <v>39</v>
      </c>
      <c r="P454" s="9"/>
      <c r="Q454" s="15"/>
      <c r="R454" s="9">
        <v>0</v>
      </c>
    </row>
    <row r="455" spans="1:18" s="1" customFormat="1" hidden="1" x14ac:dyDescent="0.25">
      <c r="A455" s="10" t="s">
        <v>845</v>
      </c>
      <c r="B455" s="14" t="s">
        <v>846</v>
      </c>
      <c r="C455" s="10" t="s">
        <v>34</v>
      </c>
      <c r="D455" s="10" t="s">
        <v>35</v>
      </c>
      <c r="E455" s="10" t="s">
        <v>35</v>
      </c>
      <c r="F455" s="11">
        <v>0</v>
      </c>
      <c r="G455" s="21">
        <v>1</v>
      </c>
      <c r="H455" s="21">
        <v>0</v>
      </c>
      <c r="I455" s="21">
        <v>0</v>
      </c>
      <c r="J455" s="14" t="s">
        <v>847</v>
      </c>
      <c r="K455" s="14" t="s">
        <v>35</v>
      </c>
      <c r="L455" s="10" t="s">
        <v>848</v>
      </c>
      <c r="M455" s="10">
        <v>1</v>
      </c>
      <c r="N455" s="12" t="s">
        <v>1716</v>
      </c>
      <c r="O455" s="12" t="s">
        <v>39</v>
      </c>
      <c r="P455" s="12"/>
      <c r="Q455" s="16"/>
      <c r="R455" s="12">
        <v>0</v>
      </c>
    </row>
    <row r="456" spans="1:18" s="1" customFormat="1" hidden="1" x14ac:dyDescent="0.25">
      <c r="A456" s="7" t="s">
        <v>849</v>
      </c>
      <c r="B456" s="13" t="s">
        <v>850</v>
      </c>
      <c r="C456" s="7" t="s">
        <v>34</v>
      </c>
      <c r="D456" s="7" t="s">
        <v>35</v>
      </c>
      <c r="E456" s="7" t="s">
        <v>35</v>
      </c>
      <c r="F456" s="8">
        <v>0</v>
      </c>
      <c r="G456" s="20">
        <v>1</v>
      </c>
      <c r="H456" s="20">
        <v>0</v>
      </c>
      <c r="I456" s="20">
        <v>0</v>
      </c>
      <c r="J456" s="13" t="s">
        <v>83</v>
      </c>
      <c r="K456" s="13" t="s">
        <v>35</v>
      </c>
      <c r="L456" s="7" t="s">
        <v>848</v>
      </c>
      <c r="M456" s="7">
        <v>1</v>
      </c>
      <c r="N456" s="9" t="s">
        <v>1716</v>
      </c>
      <c r="O456" s="9" t="s">
        <v>39</v>
      </c>
      <c r="P456" s="9"/>
      <c r="Q456" s="15"/>
      <c r="R456" s="9">
        <v>0</v>
      </c>
    </row>
    <row r="457" spans="1:18" s="1" customFormat="1" hidden="1" x14ac:dyDescent="0.25">
      <c r="A457" s="10" t="s">
        <v>851</v>
      </c>
      <c r="B457" s="14" t="s">
        <v>852</v>
      </c>
      <c r="C457" s="10" t="s">
        <v>34</v>
      </c>
      <c r="D457" s="10" t="s">
        <v>35</v>
      </c>
      <c r="E457" s="10" t="s">
        <v>35</v>
      </c>
      <c r="F457" s="11">
        <v>0</v>
      </c>
      <c r="G457" s="21">
        <v>1</v>
      </c>
      <c r="H457" s="21">
        <v>0</v>
      </c>
      <c r="I457" s="21">
        <v>0</v>
      </c>
      <c r="J457" s="14" t="s">
        <v>83</v>
      </c>
      <c r="K457" s="14" t="s">
        <v>35</v>
      </c>
      <c r="L457" s="10" t="s">
        <v>853</v>
      </c>
      <c r="M457" s="10">
        <v>1</v>
      </c>
      <c r="N457" s="12" t="s">
        <v>1716</v>
      </c>
      <c r="O457" s="12" t="s">
        <v>39</v>
      </c>
      <c r="P457" s="12"/>
      <c r="Q457" s="16"/>
      <c r="R457" s="12">
        <v>0</v>
      </c>
    </row>
    <row r="458" spans="1:18" s="1" customFormat="1" hidden="1" x14ac:dyDescent="0.25">
      <c r="A458" s="7" t="s">
        <v>854</v>
      </c>
      <c r="B458" s="13" t="s">
        <v>855</v>
      </c>
      <c r="C458" s="7" t="s">
        <v>34</v>
      </c>
      <c r="D458" s="7" t="s">
        <v>35</v>
      </c>
      <c r="E458" s="7" t="s">
        <v>35</v>
      </c>
      <c r="F458" s="8">
        <v>0</v>
      </c>
      <c r="G458" s="20">
        <v>1</v>
      </c>
      <c r="H458" s="20">
        <v>0</v>
      </c>
      <c r="I458" s="20">
        <v>0</v>
      </c>
      <c r="J458" s="13" t="s">
        <v>83</v>
      </c>
      <c r="K458" s="13" t="s">
        <v>35</v>
      </c>
      <c r="L458" s="7" t="s">
        <v>856</v>
      </c>
      <c r="M458" s="7">
        <v>1</v>
      </c>
      <c r="N458" s="9" t="s">
        <v>1716</v>
      </c>
      <c r="O458" s="9" t="s">
        <v>39</v>
      </c>
      <c r="P458" s="9"/>
      <c r="Q458" s="15"/>
      <c r="R458" s="9">
        <v>0</v>
      </c>
    </row>
    <row r="459" spans="1:18" s="1" customFormat="1" hidden="1" x14ac:dyDescent="0.25">
      <c r="A459" s="10" t="s">
        <v>857</v>
      </c>
      <c r="B459" s="14" t="s">
        <v>858</v>
      </c>
      <c r="C459" s="10" t="s">
        <v>34</v>
      </c>
      <c r="D459" s="10" t="s">
        <v>35</v>
      </c>
      <c r="E459" s="10" t="s">
        <v>35</v>
      </c>
      <c r="F459" s="11">
        <v>0</v>
      </c>
      <c r="G459" s="21">
        <v>1</v>
      </c>
      <c r="H459" s="21">
        <v>0</v>
      </c>
      <c r="I459" s="21">
        <v>0</v>
      </c>
      <c r="J459" s="14" t="s">
        <v>201</v>
      </c>
      <c r="K459" s="14" t="s">
        <v>35</v>
      </c>
      <c r="L459" s="10" t="s">
        <v>844</v>
      </c>
      <c r="M459" s="10">
        <v>1</v>
      </c>
      <c r="N459" s="12" t="s">
        <v>1716</v>
      </c>
      <c r="O459" s="12" t="s">
        <v>39</v>
      </c>
      <c r="P459" s="12"/>
      <c r="Q459" s="16"/>
      <c r="R459" s="12">
        <v>0</v>
      </c>
    </row>
    <row r="460" spans="1:18" s="1" customFormat="1" hidden="1" x14ac:dyDescent="0.25">
      <c r="A460" s="7" t="s">
        <v>859</v>
      </c>
      <c r="B460" s="13" t="s">
        <v>860</v>
      </c>
      <c r="C460" s="7" t="s">
        <v>34</v>
      </c>
      <c r="D460" s="7" t="s">
        <v>35</v>
      </c>
      <c r="E460" s="7" t="s">
        <v>35</v>
      </c>
      <c r="F460" s="8">
        <v>0</v>
      </c>
      <c r="G460" s="20">
        <v>1</v>
      </c>
      <c r="H460" s="20">
        <v>0</v>
      </c>
      <c r="I460" s="20">
        <v>0</v>
      </c>
      <c r="J460" s="13" t="s">
        <v>46</v>
      </c>
      <c r="K460" s="13" t="s">
        <v>47</v>
      </c>
      <c r="L460" s="7" t="s">
        <v>861</v>
      </c>
      <c r="M460" s="7">
        <v>1</v>
      </c>
      <c r="N460" s="9" t="s">
        <v>1716</v>
      </c>
      <c r="O460" s="9" t="s">
        <v>39</v>
      </c>
      <c r="P460" s="9"/>
      <c r="Q460" s="15"/>
      <c r="R460" s="9">
        <v>0</v>
      </c>
    </row>
    <row r="461" spans="1:18" s="1" customFormat="1" hidden="1" x14ac:dyDescent="0.25">
      <c r="A461" s="10" t="s">
        <v>862</v>
      </c>
      <c r="B461" s="14" t="s">
        <v>863</v>
      </c>
      <c r="C461" s="10" t="s">
        <v>54</v>
      </c>
      <c r="D461" s="10" t="s">
        <v>35</v>
      </c>
      <c r="E461" s="10" t="s">
        <v>35</v>
      </c>
      <c r="F461" s="11">
        <v>0</v>
      </c>
      <c r="G461" s="21">
        <v>1</v>
      </c>
      <c r="H461" s="21">
        <v>0</v>
      </c>
      <c r="I461" s="21">
        <v>0</v>
      </c>
      <c r="J461" s="14" t="s">
        <v>847</v>
      </c>
      <c r="K461" s="14" t="s">
        <v>35</v>
      </c>
      <c r="L461" s="10" t="s">
        <v>864</v>
      </c>
      <c r="M461" s="10">
        <v>1</v>
      </c>
      <c r="N461" s="12" t="s">
        <v>1716</v>
      </c>
      <c r="O461" s="12" t="s">
        <v>39</v>
      </c>
      <c r="P461" s="12"/>
      <c r="Q461" s="16"/>
      <c r="R461" s="12">
        <v>0</v>
      </c>
    </row>
    <row r="462" spans="1:18" s="1" customFormat="1" hidden="1" x14ac:dyDescent="0.25">
      <c r="A462" s="7" t="s">
        <v>865</v>
      </c>
      <c r="B462" s="13" t="s">
        <v>866</v>
      </c>
      <c r="C462" s="7" t="s">
        <v>34</v>
      </c>
      <c r="D462" s="7" t="s">
        <v>35</v>
      </c>
      <c r="E462" s="7" t="s">
        <v>35</v>
      </c>
      <c r="F462" s="8">
        <v>0</v>
      </c>
      <c r="G462" s="20">
        <v>1</v>
      </c>
      <c r="H462" s="20">
        <v>0</v>
      </c>
      <c r="I462" s="20">
        <v>0</v>
      </c>
      <c r="J462" s="13" t="s">
        <v>106</v>
      </c>
      <c r="K462" s="13" t="s">
        <v>35</v>
      </c>
      <c r="L462" s="7" t="s">
        <v>867</v>
      </c>
      <c r="M462" s="7">
        <v>1</v>
      </c>
      <c r="N462" s="9" t="s">
        <v>1716</v>
      </c>
      <c r="O462" s="9" t="s">
        <v>39</v>
      </c>
      <c r="P462" s="9"/>
      <c r="Q462" s="15"/>
      <c r="R462" s="9">
        <v>0</v>
      </c>
    </row>
    <row r="463" spans="1:18" s="1" customFormat="1" hidden="1" x14ac:dyDescent="0.25">
      <c r="A463" s="10" t="s">
        <v>868</v>
      </c>
      <c r="B463" s="14" t="s">
        <v>869</v>
      </c>
      <c r="C463" s="10" t="s">
        <v>34</v>
      </c>
      <c r="D463" s="10" t="s">
        <v>35</v>
      </c>
      <c r="E463" s="10" t="s">
        <v>35</v>
      </c>
      <c r="F463" s="11">
        <v>0</v>
      </c>
      <c r="G463" s="21">
        <v>1</v>
      </c>
      <c r="H463" s="21">
        <v>0</v>
      </c>
      <c r="I463" s="21">
        <v>0</v>
      </c>
      <c r="J463" s="14" t="s">
        <v>448</v>
      </c>
      <c r="K463" s="14" t="s">
        <v>35</v>
      </c>
      <c r="L463" s="10" t="s">
        <v>870</v>
      </c>
      <c r="M463" s="10">
        <v>1</v>
      </c>
      <c r="N463" s="12" t="s">
        <v>1716</v>
      </c>
      <c r="O463" s="12" t="s">
        <v>39</v>
      </c>
      <c r="P463" s="12"/>
      <c r="Q463" s="16"/>
      <c r="R463" s="12">
        <v>0</v>
      </c>
    </row>
    <row r="464" spans="1:18" s="1" customFormat="1" hidden="1" x14ac:dyDescent="0.25">
      <c r="A464" s="7" t="s">
        <v>871</v>
      </c>
      <c r="B464" s="13" t="s">
        <v>872</v>
      </c>
      <c r="C464" s="7" t="s">
        <v>34</v>
      </c>
      <c r="D464" s="7" t="s">
        <v>35</v>
      </c>
      <c r="E464" s="7" t="s">
        <v>35</v>
      </c>
      <c r="F464" s="8">
        <v>0</v>
      </c>
      <c r="G464" s="20">
        <v>1</v>
      </c>
      <c r="H464" s="20">
        <v>0</v>
      </c>
      <c r="I464" s="20">
        <v>0</v>
      </c>
      <c r="J464" s="13" t="s">
        <v>332</v>
      </c>
      <c r="K464" s="13" t="s">
        <v>35</v>
      </c>
      <c r="L464" s="7" t="s">
        <v>873</v>
      </c>
      <c r="M464" s="7">
        <v>1</v>
      </c>
      <c r="N464" s="9" t="s">
        <v>1716</v>
      </c>
      <c r="O464" s="9" t="s">
        <v>39</v>
      </c>
      <c r="P464" s="9"/>
      <c r="Q464" s="15"/>
      <c r="R464" s="9">
        <v>0</v>
      </c>
    </row>
    <row r="465" spans="1:18" s="1" customFormat="1" hidden="1" x14ac:dyDescent="0.25">
      <c r="A465" s="10" t="s">
        <v>874</v>
      </c>
      <c r="B465" s="14" t="s">
        <v>875</v>
      </c>
      <c r="C465" s="10" t="s">
        <v>34</v>
      </c>
      <c r="D465" s="10" t="s">
        <v>35</v>
      </c>
      <c r="E465" s="10" t="s">
        <v>35</v>
      </c>
      <c r="F465" s="11">
        <v>0</v>
      </c>
      <c r="G465" s="21">
        <v>1</v>
      </c>
      <c r="H465" s="21">
        <v>0</v>
      </c>
      <c r="I465" s="21">
        <v>0</v>
      </c>
      <c r="J465" s="14" t="s">
        <v>354</v>
      </c>
      <c r="K465" s="14" t="s">
        <v>35</v>
      </c>
      <c r="L465" s="10" t="s">
        <v>876</v>
      </c>
      <c r="M465" s="10">
        <v>1</v>
      </c>
      <c r="N465" s="12" t="s">
        <v>1716</v>
      </c>
      <c r="O465" s="12" t="s">
        <v>39</v>
      </c>
      <c r="P465" s="12"/>
      <c r="Q465" s="16"/>
      <c r="R465" s="12">
        <v>0</v>
      </c>
    </row>
    <row r="466" spans="1:18" s="1" customFormat="1" hidden="1" x14ac:dyDescent="0.25">
      <c r="A466" s="7" t="s">
        <v>877</v>
      </c>
      <c r="B466" s="13" t="s">
        <v>878</v>
      </c>
      <c r="C466" s="7" t="s">
        <v>34</v>
      </c>
      <c r="D466" s="7" t="s">
        <v>35</v>
      </c>
      <c r="E466" s="7" t="s">
        <v>35</v>
      </c>
      <c r="F466" s="8">
        <v>0</v>
      </c>
      <c r="G466" s="20">
        <v>1</v>
      </c>
      <c r="H466" s="20">
        <v>0</v>
      </c>
      <c r="I466" s="20">
        <v>0</v>
      </c>
      <c r="J466" s="13" t="s">
        <v>324</v>
      </c>
      <c r="K466" s="13" t="s">
        <v>35</v>
      </c>
      <c r="L466" s="7" t="s">
        <v>879</v>
      </c>
      <c r="M466" s="7">
        <v>1</v>
      </c>
      <c r="N466" s="9" t="s">
        <v>1716</v>
      </c>
      <c r="O466" s="9" t="s">
        <v>39</v>
      </c>
      <c r="P466" s="9"/>
      <c r="Q466" s="15"/>
      <c r="R466" s="9">
        <v>0</v>
      </c>
    </row>
    <row r="467" spans="1:18" s="1" customFormat="1" hidden="1" x14ac:dyDescent="0.25">
      <c r="A467" s="10" t="s">
        <v>880</v>
      </c>
      <c r="B467" s="14" t="s">
        <v>881</v>
      </c>
      <c r="C467" s="10" t="s">
        <v>34</v>
      </c>
      <c r="D467" s="10" t="s">
        <v>35</v>
      </c>
      <c r="E467" s="10" t="s">
        <v>35</v>
      </c>
      <c r="F467" s="11">
        <v>0</v>
      </c>
      <c r="G467" s="21">
        <v>1</v>
      </c>
      <c r="H467" s="21">
        <v>0</v>
      </c>
      <c r="I467" s="21">
        <v>0</v>
      </c>
      <c r="J467" s="14" t="s">
        <v>324</v>
      </c>
      <c r="K467" s="14" t="s">
        <v>35</v>
      </c>
      <c r="L467" s="10" t="s">
        <v>882</v>
      </c>
      <c r="M467" s="10">
        <v>1</v>
      </c>
      <c r="N467" s="12" t="s">
        <v>1716</v>
      </c>
      <c r="O467" s="12" t="s">
        <v>39</v>
      </c>
      <c r="P467" s="12"/>
      <c r="Q467" s="16"/>
      <c r="R467" s="12">
        <v>0</v>
      </c>
    </row>
    <row r="468" spans="1:18" s="1" customFormat="1" hidden="1" x14ac:dyDescent="0.25">
      <c r="A468" s="7" t="s">
        <v>883</v>
      </c>
      <c r="B468" s="13" t="s">
        <v>884</v>
      </c>
      <c r="C468" s="7" t="s">
        <v>34</v>
      </c>
      <c r="D468" s="7" t="s">
        <v>35</v>
      </c>
      <c r="E468" s="7" t="s">
        <v>35</v>
      </c>
      <c r="F468" s="8">
        <v>0</v>
      </c>
      <c r="G468" s="20">
        <v>1</v>
      </c>
      <c r="H468" s="20">
        <v>0</v>
      </c>
      <c r="I468" s="20">
        <v>0</v>
      </c>
      <c r="J468" s="13" t="s">
        <v>36</v>
      </c>
      <c r="K468" s="13" t="s">
        <v>35</v>
      </c>
      <c r="L468" s="7" t="s">
        <v>885</v>
      </c>
      <c r="M468" s="7">
        <v>1</v>
      </c>
      <c r="N468" s="9" t="s">
        <v>1716</v>
      </c>
      <c r="O468" s="9" t="s">
        <v>39</v>
      </c>
      <c r="P468" s="9"/>
      <c r="Q468" s="15"/>
      <c r="R468" s="9">
        <v>0</v>
      </c>
    </row>
    <row r="469" spans="1:18" s="1" customFormat="1" hidden="1" x14ac:dyDescent="0.25">
      <c r="A469" s="10" t="s">
        <v>886</v>
      </c>
      <c r="B469" s="14" t="s">
        <v>887</v>
      </c>
      <c r="C469" s="10" t="s">
        <v>34</v>
      </c>
      <c r="D469" s="10" t="s">
        <v>35</v>
      </c>
      <c r="E469" s="10" t="s">
        <v>35</v>
      </c>
      <c r="F469" s="11">
        <v>0</v>
      </c>
      <c r="G469" s="21">
        <v>1</v>
      </c>
      <c r="H469" s="21">
        <v>0</v>
      </c>
      <c r="I469" s="21">
        <v>0</v>
      </c>
      <c r="J469" s="14" t="s">
        <v>847</v>
      </c>
      <c r="K469" s="14" t="s">
        <v>35</v>
      </c>
      <c r="L469" s="10" t="s">
        <v>888</v>
      </c>
      <c r="M469" s="10">
        <v>1</v>
      </c>
      <c r="N469" s="12" t="s">
        <v>1716</v>
      </c>
      <c r="O469" s="12" t="s">
        <v>39</v>
      </c>
      <c r="P469" s="12"/>
      <c r="Q469" s="16"/>
      <c r="R469" s="12">
        <v>0</v>
      </c>
    </row>
    <row r="470" spans="1:18" s="1" customFormat="1" hidden="1" x14ac:dyDescent="0.25">
      <c r="A470" s="7" t="s">
        <v>889</v>
      </c>
      <c r="B470" s="13" t="s">
        <v>890</v>
      </c>
      <c r="C470" s="7" t="s">
        <v>34</v>
      </c>
      <c r="D470" s="7" t="s">
        <v>35</v>
      </c>
      <c r="E470" s="7" t="s">
        <v>35</v>
      </c>
      <c r="F470" s="8">
        <v>0</v>
      </c>
      <c r="G470" s="20">
        <v>1</v>
      </c>
      <c r="H470" s="20">
        <v>0</v>
      </c>
      <c r="I470" s="20">
        <v>0</v>
      </c>
      <c r="J470" s="13" t="s">
        <v>83</v>
      </c>
      <c r="K470" s="13" t="s">
        <v>35</v>
      </c>
      <c r="L470" s="7" t="s">
        <v>891</v>
      </c>
      <c r="M470" s="7">
        <v>1</v>
      </c>
      <c r="N470" s="9" t="s">
        <v>1716</v>
      </c>
      <c r="O470" s="9" t="s">
        <v>39</v>
      </c>
      <c r="P470" s="9"/>
      <c r="Q470" s="15"/>
      <c r="R470" s="9">
        <v>0</v>
      </c>
    </row>
    <row r="471" spans="1:18" s="1" customFormat="1" hidden="1" x14ac:dyDescent="0.25">
      <c r="A471" s="10" t="s">
        <v>892</v>
      </c>
      <c r="B471" s="14" t="s">
        <v>893</v>
      </c>
      <c r="C471" s="10" t="s">
        <v>34</v>
      </c>
      <c r="D471" s="10" t="s">
        <v>35</v>
      </c>
      <c r="E471" s="10" t="s">
        <v>35</v>
      </c>
      <c r="F471" s="11">
        <v>0</v>
      </c>
      <c r="G471" s="21">
        <v>1</v>
      </c>
      <c r="H471" s="21">
        <v>0</v>
      </c>
      <c r="I471" s="21">
        <v>0</v>
      </c>
      <c r="J471" s="14" t="s">
        <v>847</v>
      </c>
      <c r="K471" s="14" t="s">
        <v>35</v>
      </c>
      <c r="L471" s="10" t="s">
        <v>894</v>
      </c>
      <c r="M471" s="10">
        <v>1</v>
      </c>
      <c r="N471" s="12" t="s">
        <v>1716</v>
      </c>
      <c r="O471" s="12" t="s">
        <v>39</v>
      </c>
      <c r="P471" s="12"/>
      <c r="Q471" s="16"/>
      <c r="R471" s="12">
        <v>0</v>
      </c>
    </row>
    <row r="472" spans="1:18" s="1" customFormat="1" hidden="1" x14ac:dyDescent="0.25">
      <c r="A472" s="7" t="s">
        <v>895</v>
      </c>
      <c r="B472" s="13" t="s">
        <v>896</v>
      </c>
      <c r="C472" s="7" t="s">
        <v>34</v>
      </c>
      <c r="D472" s="7" t="s">
        <v>35</v>
      </c>
      <c r="E472" s="7" t="s">
        <v>35</v>
      </c>
      <c r="F472" s="8">
        <v>0</v>
      </c>
      <c r="G472" s="20">
        <v>1</v>
      </c>
      <c r="H472" s="20">
        <v>0</v>
      </c>
      <c r="I472" s="20">
        <v>0</v>
      </c>
      <c r="J472" s="13" t="s">
        <v>847</v>
      </c>
      <c r="K472" s="13" t="s">
        <v>35</v>
      </c>
      <c r="L472" s="7" t="s">
        <v>897</v>
      </c>
      <c r="M472" s="7">
        <v>1</v>
      </c>
      <c r="N472" s="9" t="s">
        <v>1716</v>
      </c>
      <c r="O472" s="9" t="s">
        <v>39</v>
      </c>
      <c r="P472" s="9"/>
      <c r="Q472" s="15"/>
      <c r="R472" s="9">
        <v>0</v>
      </c>
    </row>
    <row r="473" spans="1:18" s="1" customFormat="1" hidden="1" x14ac:dyDescent="0.25">
      <c r="A473" s="10" t="s">
        <v>898</v>
      </c>
      <c r="B473" s="14" t="s">
        <v>899</v>
      </c>
      <c r="C473" s="10" t="s">
        <v>34</v>
      </c>
      <c r="D473" s="10" t="s">
        <v>35</v>
      </c>
      <c r="E473" s="10" t="s">
        <v>35</v>
      </c>
      <c r="F473" s="11">
        <v>0</v>
      </c>
      <c r="G473" s="21">
        <v>1</v>
      </c>
      <c r="H473" s="21">
        <v>0</v>
      </c>
      <c r="I473" s="21">
        <v>0</v>
      </c>
      <c r="J473" s="14" t="s">
        <v>847</v>
      </c>
      <c r="K473" s="14" t="s">
        <v>35</v>
      </c>
      <c r="L473" s="10" t="s">
        <v>900</v>
      </c>
      <c r="M473" s="10">
        <v>1</v>
      </c>
      <c r="N473" s="12" t="s">
        <v>1716</v>
      </c>
      <c r="O473" s="12" t="s">
        <v>39</v>
      </c>
      <c r="P473" s="12"/>
      <c r="Q473" s="16"/>
      <c r="R473" s="12">
        <v>0</v>
      </c>
    </row>
    <row r="474" spans="1:18" s="1" customFormat="1" hidden="1" x14ac:dyDescent="0.25">
      <c r="A474" s="7" t="s">
        <v>901</v>
      </c>
      <c r="B474" s="13" t="s">
        <v>902</v>
      </c>
      <c r="C474" s="7" t="s">
        <v>34</v>
      </c>
      <c r="D474" s="7" t="s">
        <v>35</v>
      </c>
      <c r="E474" s="7" t="s">
        <v>35</v>
      </c>
      <c r="F474" s="8">
        <v>0</v>
      </c>
      <c r="G474" s="20">
        <v>1</v>
      </c>
      <c r="H474" s="20">
        <v>0</v>
      </c>
      <c r="I474" s="20">
        <v>0</v>
      </c>
      <c r="J474" s="13" t="s">
        <v>847</v>
      </c>
      <c r="K474" s="13" t="s">
        <v>35</v>
      </c>
      <c r="L474" s="7" t="s">
        <v>903</v>
      </c>
      <c r="M474" s="7">
        <v>1</v>
      </c>
      <c r="N474" s="9" t="s">
        <v>1716</v>
      </c>
      <c r="O474" s="9" t="s">
        <v>39</v>
      </c>
      <c r="P474" s="9"/>
      <c r="Q474" s="15"/>
      <c r="R474" s="9">
        <v>0</v>
      </c>
    </row>
    <row r="475" spans="1:18" s="1" customFormat="1" hidden="1" x14ac:dyDescent="0.25">
      <c r="A475" s="10" t="s">
        <v>904</v>
      </c>
      <c r="B475" s="14" t="s">
        <v>905</v>
      </c>
      <c r="C475" s="10" t="s">
        <v>34</v>
      </c>
      <c r="D475" s="10" t="s">
        <v>35</v>
      </c>
      <c r="E475" s="10" t="s">
        <v>35</v>
      </c>
      <c r="F475" s="11">
        <v>0</v>
      </c>
      <c r="G475" s="21">
        <v>1</v>
      </c>
      <c r="H475" s="21">
        <v>0</v>
      </c>
      <c r="I475" s="21">
        <v>0</v>
      </c>
      <c r="J475" s="14" t="s">
        <v>218</v>
      </c>
      <c r="K475" s="14" t="s">
        <v>35</v>
      </c>
      <c r="L475" s="10" t="s">
        <v>906</v>
      </c>
      <c r="M475" s="10">
        <v>1</v>
      </c>
      <c r="N475" s="12" t="s">
        <v>1716</v>
      </c>
      <c r="O475" s="12" t="s">
        <v>39</v>
      </c>
      <c r="P475" s="12"/>
      <c r="Q475" s="16"/>
      <c r="R475" s="12">
        <v>0</v>
      </c>
    </row>
    <row r="476" spans="1:18" s="1" customFormat="1" hidden="1" x14ac:dyDescent="0.25">
      <c r="A476" s="7" t="s">
        <v>907</v>
      </c>
      <c r="B476" s="13" t="s">
        <v>908</v>
      </c>
      <c r="C476" s="7" t="s">
        <v>34</v>
      </c>
      <c r="D476" s="7" t="s">
        <v>35</v>
      </c>
      <c r="E476" s="7" t="s">
        <v>35</v>
      </c>
      <c r="F476" s="8">
        <v>0</v>
      </c>
      <c r="G476" s="20">
        <v>1</v>
      </c>
      <c r="H476" s="20">
        <v>0</v>
      </c>
      <c r="I476" s="20">
        <v>0</v>
      </c>
      <c r="J476" s="13" t="s">
        <v>71</v>
      </c>
      <c r="K476" s="13" t="s">
        <v>35</v>
      </c>
      <c r="L476" s="7" t="s">
        <v>909</v>
      </c>
      <c r="M476" s="7">
        <v>1</v>
      </c>
      <c r="N476" s="9" t="s">
        <v>1716</v>
      </c>
      <c r="O476" s="9" t="s">
        <v>39</v>
      </c>
      <c r="P476" s="9"/>
      <c r="Q476" s="15"/>
      <c r="R476" s="9">
        <v>0</v>
      </c>
    </row>
    <row r="477" spans="1:18" s="1" customFormat="1" hidden="1" x14ac:dyDescent="0.25">
      <c r="A477" s="10" t="s">
        <v>910</v>
      </c>
      <c r="B477" s="14" t="s">
        <v>911</v>
      </c>
      <c r="C477" s="10" t="s">
        <v>34</v>
      </c>
      <c r="D477" s="10" t="s">
        <v>35</v>
      </c>
      <c r="E477" s="10" t="s">
        <v>35</v>
      </c>
      <c r="F477" s="11">
        <v>0</v>
      </c>
      <c r="G477" s="21">
        <v>1</v>
      </c>
      <c r="H477" s="21">
        <v>0</v>
      </c>
      <c r="I477" s="21">
        <v>0</v>
      </c>
      <c r="J477" s="14" t="s">
        <v>221</v>
      </c>
      <c r="K477" s="14" t="s">
        <v>35</v>
      </c>
      <c r="L477" s="10" t="s">
        <v>912</v>
      </c>
      <c r="M477" s="10">
        <v>1</v>
      </c>
      <c r="N477" s="12" t="s">
        <v>1716</v>
      </c>
      <c r="O477" s="12" t="s">
        <v>39</v>
      </c>
      <c r="P477" s="12"/>
      <c r="Q477" s="16"/>
      <c r="R477" s="12">
        <v>0</v>
      </c>
    </row>
    <row r="478" spans="1:18" s="1" customFormat="1" hidden="1" x14ac:dyDescent="0.25">
      <c r="A478" s="7" t="s">
        <v>913</v>
      </c>
      <c r="B478" s="13" t="s">
        <v>914</v>
      </c>
      <c r="C478" s="7" t="s">
        <v>34</v>
      </c>
      <c r="D478" s="7" t="s">
        <v>35</v>
      </c>
      <c r="E478" s="7" t="s">
        <v>35</v>
      </c>
      <c r="F478" s="8">
        <v>0</v>
      </c>
      <c r="G478" s="20">
        <v>1</v>
      </c>
      <c r="H478" s="20">
        <v>0</v>
      </c>
      <c r="I478" s="20">
        <v>0</v>
      </c>
      <c r="J478" s="13" t="s">
        <v>221</v>
      </c>
      <c r="K478" s="13" t="s">
        <v>35</v>
      </c>
      <c r="L478" s="7" t="s">
        <v>915</v>
      </c>
      <c r="M478" s="7">
        <v>1</v>
      </c>
      <c r="N478" s="9" t="s">
        <v>1716</v>
      </c>
      <c r="O478" s="9" t="s">
        <v>39</v>
      </c>
      <c r="P478" s="9"/>
      <c r="Q478" s="15"/>
      <c r="R478" s="9">
        <v>0</v>
      </c>
    </row>
    <row r="479" spans="1:18" s="1" customFormat="1" hidden="1" x14ac:dyDescent="0.25">
      <c r="A479" s="10" t="s">
        <v>916</v>
      </c>
      <c r="B479" s="14" t="s">
        <v>917</v>
      </c>
      <c r="C479" s="10" t="s">
        <v>34</v>
      </c>
      <c r="D479" s="10" t="s">
        <v>35</v>
      </c>
      <c r="E479" s="10" t="s">
        <v>35</v>
      </c>
      <c r="F479" s="11">
        <v>0</v>
      </c>
      <c r="G479" s="21">
        <v>1</v>
      </c>
      <c r="H479" s="21">
        <v>0</v>
      </c>
      <c r="I479" s="21">
        <v>0</v>
      </c>
      <c r="J479" s="14" t="s">
        <v>221</v>
      </c>
      <c r="K479" s="14" t="s">
        <v>35</v>
      </c>
      <c r="L479" s="10" t="s">
        <v>918</v>
      </c>
      <c r="M479" s="10">
        <v>1</v>
      </c>
      <c r="N479" s="12" t="s">
        <v>1716</v>
      </c>
      <c r="O479" s="12" t="s">
        <v>39</v>
      </c>
      <c r="P479" s="12"/>
      <c r="Q479" s="16"/>
      <c r="R479" s="12">
        <v>0</v>
      </c>
    </row>
    <row r="480" spans="1:18" s="1" customFormat="1" hidden="1" x14ac:dyDescent="0.25">
      <c r="A480" s="7" t="s">
        <v>919</v>
      </c>
      <c r="B480" s="13" t="s">
        <v>920</v>
      </c>
      <c r="C480" s="7" t="s">
        <v>34</v>
      </c>
      <c r="D480" s="7" t="s">
        <v>35</v>
      </c>
      <c r="E480" s="7" t="s">
        <v>35</v>
      </c>
      <c r="F480" s="8">
        <v>0</v>
      </c>
      <c r="G480" s="20">
        <v>1</v>
      </c>
      <c r="H480" s="20">
        <v>0</v>
      </c>
      <c r="I480" s="20">
        <v>0</v>
      </c>
      <c r="J480" s="13" t="s">
        <v>221</v>
      </c>
      <c r="K480" s="13" t="s">
        <v>35</v>
      </c>
      <c r="L480" s="7" t="s">
        <v>264</v>
      </c>
      <c r="M480" s="7">
        <v>1</v>
      </c>
      <c r="N480" s="9" t="s">
        <v>1716</v>
      </c>
      <c r="O480" s="9" t="s">
        <v>39</v>
      </c>
      <c r="P480" s="9"/>
      <c r="Q480" s="15"/>
      <c r="R480" s="9">
        <v>0</v>
      </c>
    </row>
    <row r="481" spans="1:18" s="1" customFormat="1" hidden="1" x14ac:dyDescent="0.25">
      <c r="A481" s="10" t="s">
        <v>921</v>
      </c>
      <c r="B481" s="14" t="s">
        <v>922</v>
      </c>
      <c r="C481" s="10" t="s">
        <v>75</v>
      </c>
      <c r="D481" s="10" t="s">
        <v>35</v>
      </c>
      <c r="E481" s="10" t="s">
        <v>35</v>
      </c>
      <c r="F481" s="11">
        <v>0</v>
      </c>
      <c r="G481" s="21">
        <v>1</v>
      </c>
      <c r="H481" s="21">
        <v>0</v>
      </c>
      <c r="I481" s="21">
        <v>0</v>
      </c>
      <c r="J481" s="14" t="s">
        <v>67</v>
      </c>
      <c r="K481" s="14" t="s">
        <v>35</v>
      </c>
      <c r="L481" s="10" t="s">
        <v>923</v>
      </c>
      <c r="M481" s="10">
        <v>1</v>
      </c>
      <c r="N481" s="12" t="s">
        <v>1716</v>
      </c>
      <c r="O481" s="12" t="s">
        <v>39</v>
      </c>
      <c r="P481" s="12"/>
      <c r="Q481" s="16"/>
      <c r="R481" s="12">
        <v>0</v>
      </c>
    </row>
    <row r="482" spans="1:18" s="1" customFormat="1" hidden="1" x14ac:dyDescent="0.25">
      <c r="A482" s="7" t="s">
        <v>924</v>
      </c>
      <c r="B482" s="13" t="s">
        <v>925</v>
      </c>
      <c r="C482" s="7" t="s">
        <v>34</v>
      </c>
      <c r="D482" s="7" t="s">
        <v>35</v>
      </c>
      <c r="E482" s="7" t="s">
        <v>35</v>
      </c>
      <c r="F482" s="8">
        <v>0</v>
      </c>
      <c r="G482" s="20">
        <v>1</v>
      </c>
      <c r="H482" s="20">
        <v>0</v>
      </c>
      <c r="I482" s="20">
        <v>0</v>
      </c>
      <c r="J482" s="13" t="s">
        <v>847</v>
      </c>
      <c r="K482" s="13" t="s">
        <v>35</v>
      </c>
      <c r="L482" s="7" t="s">
        <v>926</v>
      </c>
      <c r="M482" s="7">
        <v>1</v>
      </c>
      <c r="N482" s="9" t="s">
        <v>1716</v>
      </c>
      <c r="O482" s="9" t="s">
        <v>39</v>
      </c>
      <c r="P482" s="9"/>
      <c r="Q482" s="15"/>
      <c r="R482" s="9">
        <v>0</v>
      </c>
    </row>
    <row r="483" spans="1:18" s="1" customFormat="1" hidden="1" x14ac:dyDescent="0.25">
      <c r="A483" s="10" t="s">
        <v>927</v>
      </c>
      <c r="B483" s="14" t="s">
        <v>928</v>
      </c>
      <c r="C483" s="10" t="s">
        <v>34</v>
      </c>
      <c r="D483" s="10" t="s">
        <v>35</v>
      </c>
      <c r="E483" s="10" t="s">
        <v>35</v>
      </c>
      <c r="F483" s="11">
        <v>0</v>
      </c>
      <c r="G483" s="21">
        <v>1</v>
      </c>
      <c r="H483" s="21">
        <v>0</v>
      </c>
      <c r="I483" s="21">
        <v>0</v>
      </c>
      <c r="J483" s="14" t="s">
        <v>83</v>
      </c>
      <c r="K483" s="14" t="s">
        <v>35</v>
      </c>
      <c r="L483" s="10" t="s">
        <v>929</v>
      </c>
      <c r="M483" s="10">
        <v>1</v>
      </c>
      <c r="N483" s="12" t="s">
        <v>1716</v>
      </c>
      <c r="O483" s="12" t="s">
        <v>39</v>
      </c>
      <c r="P483" s="12"/>
      <c r="Q483" s="16"/>
      <c r="R483" s="12">
        <v>0</v>
      </c>
    </row>
    <row r="484" spans="1:18" s="1" customFormat="1" hidden="1" x14ac:dyDescent="0.25">
      <c r="A484" s="7" t="s">
        <v>930</v>
      </c>
      <c r="B484" s="13" t="s">
        <v>931</v>
      </c>
      <c r="C484" s="7" t="s">
        <v>111</v>
      </c>
      <c r="D484" s="7" t="s">
        <v>35</v>
      </c>
      <c r="E484" s="7" t="s">
        <v>35</v>
      </c>
      <c r="F484" s="8">
        <v>0</v>
      </c>
      <c r="G484" s="20">
        <v>1</v>
      </c>
      <c r="H484" s="20">
        <v>0</v>
      </c>
      <c r="I484" s="20">
        <v>0</v>
      </c>
      <c r="J484" s="13" t="s">
        <v>67</v>
      </c>
      <c r="K484" s="13" t="s">
        <v>35</v>
      </c>
      <c r="L484" s="7" t="s">
        <v>932</v>
      </c>
      <c r="M484" s="7">
        <v>1</v>
      </c>
      <c r="N484" s="9" t="s">
        <v>1716</v>
      </c>
      <c r="O484" s="9" t="s">
        <v>39</v>
      </c>
      <c r="P484" s="9"/>
      <c r="Q484" s="15"/>
      <c r="R484" s="9">
        <v>0</v>
      </c>
    </row>
    <row r="485" spans="1:18" s="1" customFormat="1" hidden="1" x14ac:dyDescent="0.25">
      <c r="A485" s="10" t="s">
        <v>933</v>
      </c>
      <c r="B485" s="14" t="s">
        <v>934</v>
      </c>
      <c r="C485" s="10" t="s">
        <v>34</v>
      </c>
      <c r="D485" s="10" t="s">
        <v>35</v>
      </c>
      <c r="E485" s="10" t="s">
        <v>35</v>
      </c>
      <c r="F485" s="11">
        <v>0</v>
      </c>
      <c r="G485" s="21">
        <v>1</v>
      </c>
      <c r="H485" s="21">
        <v>0</v>
      </c>
      <c r="I485" s="21">
        <v>0</v>
      </c>
      <c r="J485" s="14" t="s">
        <v>847</v>
      </c>
      <c r="K485" s="14" t="s">
        <v>35</v>
      </c>
      <c r="L485" s="10" t="s">
        <v>885</v>
      </c>
      <c r="M485" s="10">
        <v>1</v>
      </c>
      <c r="N485" s="12" t="s">
        <v>1716</v>
      </c>
      <c r="O485" s="12" t="s">
        <v>39</v>
      </c>
      <c r="P485" s="12"/>
      <c r="Q485" s="16"/>
      <c r="R485" s="12">
        <v>0</v>
      </c>
    </row>
    <row r="486" spans="1:18" s="1" customFormat="1" hidden="1" x14ac:dyDescent="0.25">
      <c r="A486" s="7" t="s">
        <v>935</v>
      </c>
      <c r="B486" s="13" t="s">
        <v>936</v>
      </c>
      <c r="C486" s="7" t="s">
        <v>34</v>
      </c>
      <c r="D486" s="7" t="s">
        <v>35</v>
      </c>
      <c r="E486" s="7" t="s">
        <v>35</v>
      </c>
      <c r="F486" s="8">
        <v>0</v>
      </c>
      <c r="G486" s="20">
        <v>1</v>
      </c>
      <c r="H486" s="20">
        <v>0</v>
      </c>
      <c r="I486" s="20">
        <v>0</v>
      </c>
      <c r="J486" s="13" t="s">
        <v>36</v>
      </c>
      <c r="K486" s="13" t="s">
        <v>35</v>
      </c>
      <c r="L486" s="7" t="s">
        <v>937</v>
      </c>
      <c r="M486" s="7">
        <v>1</v>
      </c>
      <c r="N486" s="9" t="s">
        <v>1716</v>
      </c>
      <c r="O486" s="9" t="s">
        <v>39</v>
      </c>
      <c r="P486" s="9"/>
      <c r="Q486" s="15"/>
      <c r="R486" s="9">
        <v>0</v>
      </c>
    </row>
    <row r="487" spans="1:18" s="1" customFormat="1" hidden="1" x14ac:dyDescent="0.25">
      <c r="A487" s="10" t="s">
        <v>938</v>
      </c>
      <c r="B487" s="14" t="s">
        <v>939</v>
      </c>
      <c r="C487" s="10" t="s">
        <v>34</v>
      </c>
      <c r="D487" s="10" t="s">
        <v>35</v>
      </c>
      <c r="E487" s="10" t="s">
        <v>35</v>
      </c>
      <c r="F487" s="11">
        <v>0</v>
      </c>
      <c r="G487" s="21">
        <v>1</v>
      </c>
      <c r="H487" s="21">
        <v>0</v>
      </c>
      <c r="I487" s="21">
        <v>0</v>
      </c>
      <c r="J487" s="14" t="s">
        <v>36</v>
      </c>
      <c r="K487" s="14" t="s">
        <v>35</v>
      </c>
      <c r="L487" s="10" t="s">
        <v>153</v>
      </c>
      <c r="M487" s="10">
        <v>1</v>
      </c>
      <c r="N487" s="12" t="s">
        <v>1716</v>
      </c>
      <c r="O487" s="12" t="s">
        <v>39</v>
      </c>
      <c r="P487" s="12"/>
      <c r="Q487" s="16"/>
      <c r="R487" s="12">
        <v>0</v>
      </c>
    </row>
    <row r="488" spans="1:18" s="1" customFormat="1" hidden="1" x14ac:dyDescent="0.25">
      <c r="A488" s="7" t="s">
        <v>940</v>
      </c>
      <c r="B488" s="13" t="s">
        <v>941</v>
      </c>
      <c r="C488" s="7" t="s">
        <v>34</v>
      </c>
      <c r="D488" s="7" t="s">
        <v>35</v>
      </c>
      <c r="E488" s="7" t="s">
        <v>35</v>
      </c>
      <c r="F488" s="8">
        <v>0</v>
      </c>
      <c r="G488" s="20">
        <v>1</v>
      </c>
      <c r="H488" s="20">
        <v>0</v>
      </c>
      <c r="I488" s="20">
        <v>0</v>
      </c>
      <c r="J488" s="13" t="s">
        <v>36</v>
      </c>
      <c r="K488" s="13" t="s">
        <v>35</v>
      </c>
      <c r="L488" s="7" t="s">
        <v>942</v>
      </c>
      <c r="M488" s="7">
        <v>1</v>
      </c>
      <c r="N488" s="9" t="s">
        <v>1716</v>
      </c>
      <c r="O488" s="9" t="s">
        <v>39</v>
      </c>
      <c r="P488" s="9"/>
      <c r="Q488" s="15"/>
      <c r="R488" s="9">
        <v>0</v>
      </c>
    </row>
    <row r="489" spans="1:18" s="1" customFormat="1" hidden="1" x14ac:dyDescent="0.25">
      <c r="A489" s="10" t="s">
        <v>943</v>
      </c>
      <c r="B489" s="14" t="s">
        <v>944</v>
      </c>
      <c r="C489" s="10" t="s">
        <v>34</v>
      </c>
      <c r="D489" s="10" t="s">
        <v>35</v>
      </c>
      <c r="E489" s="10" t="s">
        <v>35</v>
      </c>
      <c r="F489" s="11">
        <v>0</v>
      </c>
      <c r="G489" s="21">
        <v>1</v>
      </c>
      <c r="H489" s="21">
        <v>0</v>
      </c>
      <c r="I489" s="21">
        <v>0</v>
      </c>
      <c r="J489" s="14" t="s">
        <v>36</v>
      </c>
      <c r="K489" s="14" t="s">
        <v>35</v>
      </c>
      <c r="L489" s="10" t="s">
        <v>945</v>
      </c>
      <c r="M489" s="10">
        <v>1</v>
      </c>
      <c r="N489" s="12" t="s">
        <v>1716</v>
      </c>
      <c r="O489" s="12" t="s">
        <v>39</v>
      </c>
      <c r="P489" s="12"/>
      <c r="Q489" s="16"/>
      <c r="R489" s="12">
        <v>0</v>
      </c>
    </row>
    <row r="490" spans="1:18" s="1" customFormat="1" hidden="1" x14ac:dyDescent="0.25">
      <c r="A490" s="7" t="s">
        <v>946</v>
      </c>
      <c r="B490" s="13" t="s">
        <v>947</v>
      </c>
      <c r="C490" s="7" t="s">
        <v>34</v>
      </c>
      <c r="D490" s="7" t="s">
        <v>35</v>
      </c>
      <c r="E490" s="7" t="s">
        <v>35</v>
      </c>
      <c r="F490" s="8">
        <v>0</v>
      </c>
      <c r="G490" s="20">
        <v>1</v>
      </c>
      <c r="H490" s="20">
        <v>0</v>
      </c>
      <c r="I490" s="20">
        <v>0</v>
      </c>
      <c r="J490" s="13" t="s">
        <v>36</v>
      </c>
      <c r="K490" s="13" t="s">
        <v>35</v>
      </c>
      <c r="L490" s="7" t="s">
        <v>948</v>
      </c>
      <c r="M490" s="7">
        <v>1</v>
      </c>
      <c r="N490" s="9" t="s">
        <v>1716</v>
      </c>
      <c r="O490" s="9" t="s">
        <v>39</v>
      </c>
      <c r="P490" s="9"/>
      <c r="Q490" s="15"/>
      <c r="R490" s="9">
        <v>0</v>
      </c>
    </row>
    <row r="491" spans="1:18" s="1" customFormat="1" hidden="1" x14ac:dyDescent="0.25">
      <c r="A491" s="10" t="s">
        <v>949</v>
      </c>
      <c r="B491" s="14" t="s">
        <v>950</v>
      </c>
      <c r="C491" s="10" t="s">
        <v>34</v>
      </c>
      <c r="D491" s="10" t="s">
        <v>35</v>
      </c>
      <c r="E491" s="10" t="s">
        <v>35</v>
      </c>
      <c r="F491" s="11">
        <v>0</v>
      </c>
      <c r="G491" s="21">
        <v>1</v>
      </c>
      <c r="H491" s="21">
        <v>0</v>
      </c>
      <c r="I491" s="21">
        <v>0</v>
      </c>
      <c r="J491" s="14" t="s">
        <v>36</v>
      </c>
      <c r="K491" s="14" t="s">
        <v>35</v>
      </c>
      <c r="L491" s="10" t="s">
        <v>951</v>
      </c>
      <c r="M491" s="10">
        <v>1</v>
      </c>
      <c r="N491" s="12" t="s">
        <v>1716</v>
      </c>
      <c r="O491" s="12" t="s">
        <v>39</v>
      </c>
      <c r="P491" s="12"/>
      <c r="Q491" s="16"/>
      <c r="R491" s="12">
        <v>0</v>
      </c>
    </row>
    <row r="492" spans="1:18" s="1" customFormat="1" hidden="1" x14ac:dyDescent="0.25">
      <c r="A492" s="7" t="s">
        <v>952</v>
      </c>
      <c r="B492" s="13" t="s">
        <v>953</v>
      </c>
      <c r="C492" s="7" t="s">
        <v>34</v>
      </c>
      <c r="D492" s="7" t="s">
        <v>35</v>
      </c>
      <c r="E492" s="7" t="s">
        <v>35</v>
      </c>
      <c r="F492" s="8">
        <v>0</v>
      </c>
      <c r="G492" s="20">
        <v>1</v>
      </c>
      <c r="H492" s="20">
        <v>0</v>
      </c>
      <c r="I492" s="20">
        <v>0</v>
      </c>
      <c r="J492" s="13" t="s">
        <v>36</v>
      </c>
      <c r="K492" s="13" t="s">
        <v>35</v>
      </c>
      <c r="L492" s="7" t="s">
        <v>954</v>
      </c>
      <c r="M492" s="7">
        <v>1</v>
      </c>
      <c r="N492" s="9" t="s">
        <v>1716</v>
      </c>
      <c r="O492" s="9" t="s">
        <v>39</v>
      </c>
      <c r="P492" s="9"/>
      <c r="Q492" s="15"/>
      <c r="R492" s="9">
        <v>0</v>
      </c>
    </row>
    <row r="493" spans="1:18" s="1" customFormat="1" hidden="1" x14ac:dyDescent="0.25">
      <c r="A493" s="10" t="s">
        <v>955</v>
      </c>
      <c r="B493" s="14" t="s">
        <v>956</v>
      </c>
      <c r="C493" s="10" t="s">
        <v>34</v>
      </c>
      <c r="D493" s="10" t="s">
        <v>35</v>
      </c>
      <c r="E493" s="10" t="s">
        <v>35</v>
      </c>
      <c r="F493" s="11">
        <v>0</v>
      </c>
      <c r="G493" s="21">
        <v>1</v>
      </c>
      <c r="H493" s="21">
        <v>0</v>
      </c>
      <c r="I493" s="21">
        <v>0</v>
      </c>
      <c r="J493" s="14" t="s">
        <v>218</v>
      </c>
      <c r="K493" s="14" t="s">
        <v>35</v>
      </c>
      <c r="L493" s="10" t="s">
        <v>957</v>
      </c>
      <c r="M493" s="10">
        <v>1</v>
      </c>
      <c r="N493" s="12" t="s">
        <v>1716</v>
      </c>
      <c r="O493" s="12" t="s">
        <v>39</v>
      </c>
      <c r="P493" s="12"/>
      <c r="Q493" s="16"/>
      <c r="R493" s="12">
        <v>0</v>
      </c>
    </row>
    <row r="494" spans="1:18" s="1" customFormat="1" hidden="1" x14ac:dyDescent="0.25">
      <c r="A494" s="7" t="s">
        <v>958</v>
      </c>
      <c r="B494" s="13" t="s">
        <v>959</v>
      </c>
      <c r="C494" s="7" t="s">
        <v>34</v>
      </c>
      <c r="D494" s="7" t="s">
        <v>35</v>
      </c>
      <c r="E494" s="7" t="s">
        <v>35</v>
      </c>
      <c r="F494" s="8">
        <v>0</v>
      </c>
      <c r="G494" s="20">
        <v>1</v>
      </c>
      <c r="H494" s="20">
        <v>0</v>
      </c>
      <c r="I494" s="20">
        <v>0</v>
      </c>
      <c r="J494" s="13" t="s">
        <v>218</v>
      </c>
      <c r="K494" s="13" t="s">
        <v>35</v>
      </c>
      <c r="L494" s="7" t="s">
        <v>960</v>
      </c>
      <c r="M494" s="7">
        <v>1</v>
      </c>
      <c r="N494" s="9" t="s">
        <v>1716</v>
      </c>
      <c r="O494" s="9" t="s">
        <v>39</v>
      </c>
      <c r="P494" s="9"/>
      <c r="Q494" s="15"/>
      <c r="R494" s="9">
        <v>0</v>
      </c>
    </row>
    <row r="495" spans="1:18" s="1" customFormat="1" hidden="1" x14ac:dyDescent="0.25">
      <c r="A495" s="10" t="s">
        <v>961</v>
      </c>
      <c r="B495" s="14" t="s">
        <v>962</v>
      </c>
      <c r="C495" s="10" t="s">
        <v>34</v>
      </c>
      <c r="D495" s="10" t="s">
        <v>35</v>
      </c>
      <c r="E495" s="10" t="s">
        <v>35</v>
      </c>
      <c r="F495" s="11">
        <v>0</v>
      </c>
      <c r="G495" s="21">
        <v>1</v>
      </c>
      <c r="H495" s="21">
        <v>0</v>
      </c>
      <c r="I495" s="21">
        <v>0</v>
      </c>
      <c r="J495" s="14" t="s">
        <v>218</v>
      </c>
      <c r="K495" s="14" t="s">
        <v>35</v>
      </c>
      <c r="L495" s="10" t="s">
        <v>963</v>
      </c>
      <c r="M495" s="10">
        <v>1</v>
      </c>
      <c r="N495" s="12" t="s">
        <v>1716</v>
      </c>
      <c r="O495" s="12" t="s">
        <v>39</v>
      </c>
      <c r="P495" s="12"/>
      <c r="Q495" s="16"/>
      <c r="R495" s="12">
        <v>0</v>
      </c>
    </row>
    <row r="496" spans="1:18" s="1" customFormat="1" hidden="1" x14ac:dyDescent="0.25">
      <c r="A496" s="7" t="s">
        <v>964</v>
      </c>
      <c r="B496" s="13" t="s">
        <v>965</v>
      </c>
      <c r="C496" s="7" t="s">
        <v>111</v>
      </c>
      <c r="D496" s="7" t="s">
        <v>35</v>
      </c>
      <c r="E496" s="7" t="s">
        <v>35</v>
      </c>
      <c r="F496" s="8">
        <v>0</v>
      </c>
      <c r="G496" s="20">
        <v>1</v>
      </c>
      <c r="H496" s="20">
        <v>0</v>
      </c>
      <c r="I496" s="20">
        <v>0</v>
      </c>
      <c r="J496" s="13" t="s">
        <v>221</v>
      </c>
      <c r="K496" s="13" t="s">
        <v>35</v>
      </c>
      <c r="L496" s="7" t="s">
        <v>966</v>
      </c>
      <c r="M496" s="7">
        <v>1</v>
      </c>
      <c r="N496" s="9" t="s">
        <v>1716</v>
      </c>
      <c r="O496" s="9" t="s">
        <v>39</v>
      </c>
      <c r="P496" s="9"/>
      <c r="Q496" s="15"/>
      <c r="R496" s="9">
        <v>0</v>
      </c>
    </row>
    <row r="497" spans="1:18" s="1" customFormat="1" hidden="1" x14ac:dyDescent="0.25">
      <c r="A497" s="10" t="s">
        <v>967</v>
      </c>
      <c r="B497" s="14" t="s">
        <v>968</v>
      </c>
      <c r="C497" s="10" t="s">
        <v>34</v>
      </c>
      <c r="D497" s="10" t="s">
        <v>35</v>
      </c>
      <c r="E497" s="10" t="s">
        <v>35</v>
      </c>
      <c r="F497" s="11">
        <v>0</v>
      </c>
      <c r="G497" s="21">
        <v>1</v>
      </c>
      <c r="H497" s="21">
        <v>0</v>
      </c>
      <c r="I497" s="21">
        <v>0</v>
      </c>
      <c r="J497" s="14" t="s">
        <v>229</v>
      </c>
      <c r="K497" s="14" t="s">
        <v>35</v>
      </c>
      <c r="L497" s="10" t="s">
        <v>969</v>
      </c>
      <c r="M497" s="10">
        <v>1</v>
      </c>
      <c r="N497" s="12" t="s">
        <v>1716</v>
      </c>
      <c r="O497" s="12" t="s">
        <v>39</v>
      </c>
      <c r="P497" s="12"/>
      <c r="Q497" s="16"/>
      <c r="R497" s="12">
        <v>0</v>
      </c>
    </row>
    <row r="498" spans="1:18" s="1" customFormat="1" hidden="1" x14ac:dyDescent="0.25">
      <c r="A498" s="7" t="s">
        <v>970</v>
      </c>
      <c r="B498" s="13" t="s">
        <v>971</v>
      </c>
      <c r="C498" s="7" t="s">
        <v>34</v>
      </c>
      <c r="D498" s="7" t="s">
        <v>35</v>
      </c>
      <c r="E498" s="7" t="s">
        <v>35</v>
      </c>
      <c r="F498" s="8">
        <v>0</v>
      </c>
      <c r="G498" s="20">
        <v>1</v>
      </c>
      <c r="H498" s="20">
        <v>0</v>
      </c>
      <c r="I498" s="20">
        <v>0</v>
      </c>
      <c r="J498" s="13" t="s">
        <v>229</v>
      </c>
      <c r="K498" s="13" t="s">
        <v>35</v>
      </c>
      <c r="L498" s="7" t="s">
        <v>972</v>
      </c>
      <c r="M498" s="7">
        <v>1</v>
      </c>
      <c r="N498" s="9" t="s">
        <v>1716</v>
      </c>
      <c r="O498" s="9" t="s">
        <v>39</v>
      </c>
      <c r="P498" s="9"/>
      <c r="Q498" s="15"/>
      <c r="R498" s="9">
        <v>0</v>
      </c>
    </row>
    <row r="499" spans="1:18" s="1" customFormat="1" hidden="1" x14ac:dyDescent="0.25">
      <c r="A499" s="10" t="s">
        <v>973</v>
      </c>
      <c r="B499" s="14" t="s">
        <v>974</v>
      </c>
      <c r="C499" s="10" t="s">
        <v>34</v>
      </c>
      <c r="D499" s="10" t="s">
        <v>35</v>
      </c>
      <c r="E499" s="10" t="s">
        <v>35</v>
      </c>
      <c r="F499" s="11">
        <v>0</v>
      </c>
      <c r="G499" s="21">
        <v>1</v>
      </c>
      <c r="H499" s="21">
        <v>0</v>
      </c>
      <c r="I499" s="21">
        <v>0</v>
      </c>
      <c r="J499" s="14" t="s">
        <v>218</v>
      </c>
      <c r="K499" s="14" t="s">
        <v>99</v>
      </c>
      <c r="L499" s="10" t="s">
        <v>100</v>
      </c>
      <c r="M499" s="10">
        <v>3.7600000000000001E-2</v>
      </c>
      <c r="N499" s="12" t="s">
        <v>1716</v>
      </c>
      <c r="O499" s="12" t="s">
        <v>39</v>
      </c>
      <c r="P499" s="12"/>
      <c r="Q499" s="16"/>
      <c r="R499" s="12">
        <v>0</v>
      </c>
    </row>
    <row r="500" spans="1:18" s="1" customFormat="1" hidden="1" x14ac:dyDescent="0.25">
      <c r="A500" s="7" t="s">
        <v>975</v>
      </c>
      <c r="B500" s="13" t="s">
        <v>976</v>
      </c>
      <c r="C500" s="7" t="s">
        <v>34</v>
      </c>
      <c r="D500" s="7" t="s">
        <v>35</v>
      </c>
      <c r="E500" s="7" t="s">
        <v>35</v>
      </c>
      <c r="F500" s="8">
        <v>0</v>
      </c>
      <c r="G500" s="20">
        <v>1</v>
      </c>
      <c r="H500" s="20">
        <v>0</v>
      </c>
      <c r="I500" s="20">
        <v>0</v>
      </c>
      <c r="J500" s="13" t="s">
        <v>218</v>
      </c>
      <c r="K500" s="13" t="s">
        <v>99</v>
      </c>
      <c r="L500" s="7" t="s">
        <v>281</v>
      </c>
      <c r="M500" s="7">
        <v>5.781E-2</v>
      </c>
      <c r="N500" s="9" t="s">
        <v>1716</v>
      </c>
      <c r="O500" s="9" t="s">
        <v>39</v>
      </c>
      <c r="P500" s="9"/>
      <c r="Q500" s="15"/>
      <c r="R500" s="9">
        <v>0</v>
      </c>
    </row>
    <row r="501" spans="1:18" s="1" customFormat="1" hidden="1" x14ac:dyDescent="0.25">
      <c r="A501" s="7" t="s">
        <v>975</v>
      </c>
      <c r="B501" s="13" t="s">
        <v>976</v>
      </c>
      <c r="C501" s="7" t="s">
        <v>34</v>
      </c>
      <c r="D501" s="7" t="s">
        <v>35</v>
      </c>
      <c r="E501" s="7" t="s">
        <v>35</v>
      </c>
      <c r="F501" s="8">
        <v>0</v>
      </c>
      <c r="G501" s="20">
        <v>1</v>
      </c>
      <c r="H501" s="20">
        <v>0</v>
      </c>
      <c r="I501" s="20">
        <v>0</v>
      </c>
      <c r="J501" s="13" t="s">
        <v>218</v>
      </c>
      <c r="K501" s="13" t="s">
        <v>99</v>
      </c>
      <c r="L501" s="7" t="s">
        <v>194</v>
      </c>
      <c r="M501" s="7">
        <v>16.687000000000001</v>
      </c>
      <c r="N501" s="9" t="s">
        <v>1716</v>
      </c>
      <c r="O501" s="9" t="s">
        <v>39</v>
      </c>
      <c r="P501" s="9"/>
      <c r="Q501" s="15"/>
      <c r="R501" s="9">
        <v>0</v>
      </c>
    </row>
    <row r="502" spans="1:18" s="1" customFormat="1" hidden="1" x14ac:dyDescent="0.25">
      <c r="A502" s="10" t="s">
        <v>977</v>
      </c>
      <c r="B502" s="14" t="s">
        <v>978</v>
      </c>
      <c r="C502" s="10" t="s">
        <v>34</v>
      </c>
      <c r="D502" s="10" t="s">
        <v>35</v>
      </c>
      <c r="E502" s="10" t="s">
        <v>35</v>
      </c>
      <c r="F502" s="11">
        <v>0</v>
      </c>
      <c r="G502" s="21">
        <v>1</v>
      </c>
      <c r="H502" s="21">
        <v>0</v>
      </c>
      <c r="I502" s="21">
        <v>0</v>
      </c>
      <c r="J502" s="14" t="s">
        <v>218</v>
      </c>
      <c r="K502" s="14" t="s">
        <v>99</v>
      </c>
      <c r="L502" s="10" t="s">
        <v>100</v>
      </c>
      <c r="M502" s="10">
        <v>3.7600000000000001E-2</v>
      </c>
      <c r="N502" s="12" t="s">
        <v>1716</v>
      </c>
      <c r="O502" s="12" t="s">
        <v>39</v>
      </c>
      <c r="P502" s="12"/>
      <c r="Q502" s="16"/>
      <c r="R502" s="12">
        <v>0</v>
      </c>
    </row>
    <row r="503" spans="1:18" s="1" customFormat="1" hidden="1" x14ac:dyDescent="0.25">
      <c r="A503" s="7" t="s">
        <v>979</v>
      </c>
      <c r="B503" s="13" t="s">
        <v>980</v>
      </c>
      <c r="C503" s="7" t="s">
        <v>54</v>
      </c>
      <c r="D503" s="7" t="s">
        <v>35</v>
      </c>
      <c r="E503" s="7" t="s">
        <v>35</v>
      </c>
      <c r="F503" s="8">
        <v>0</v>
      </c>
      <c r="G503" s="20">
        <v>1</v>
      </c>
      <c r="H503" s="20">
        <v>0</v>
      </c>
      <c r="I503" s="20">
        <v>0</v>
      </c>
      <c r="J503" s="13" t="s">
        <v>525</v>
      </c>
      <c r="K503" s="13" t="s">
        <v>35</v>
      </c>
      <c r="L503" s="7" t="s">
        <v>981</v>
      </c>
      <c r="M503" s="7">
        <v>1</v>
      </c>
      <c r="N503" s="9" t="s">
        <v>1716</v>
      </c>
      <c r="O503" s="9" t="s">
        <v>39</v>
      </c>
      <c r="P503" s="9"/>
      <c r="Q503" s="15"/>
      <c r="R503" s="9">
        <v>0</v>
      </c>
    </row>
    <row r="504" spans="1:18" s="1" customFormat="1" hidden="1" x14ac:dyDescent="0.25">
      <c r="A504" s="10" t="s">
        <v>982</v>
      </c>
      <c r="B504" s="14" t="s">
        <v>983</v>
      </c>
      <c r="C504" s="10" t="s">
        <v>111</v>
      </c>
      <c r="D504" s="10" t="s">
        <v>35</v>
      </c>
      <c r="E504" s="10" t="s">
        <v>35</v>
      </c>
      <c r="F504" s="11">
        <v>0</v>
      </c>
      <c r="G504" s="21">
        <v>1</v>
      </c>
      <c r="H504" s="21">
        <v>0</v>
      </c>
      <c r="I504" s="21">
        <v>0</v>
      </c>
      <c r="J504" s="14" t="s">
        <v>984</v>
      </c>
      <c r="K504" s="14" t="s">
        <v>35</v>
      </c>
      <c r="L504" s="10" t="s">
        <v>985</v>
      </c>
      <c r="M504" s="10">
        <v>1</v>
      </c>
      <c r="N504" s="12" t="s">
        <v>1716</v>
      </c>
      <c r="O504" s="12" t="s">
        <v>39</v>
      </c>
      <c r="P504" s="12"/>
      <c r="Q504" s="16"/>
      <c r="R504" s="12">
        <v>0</v>
      </c>
    </row>
    <row r="505" spans="1:18" s="1" customFormat="1" hidden="1" x14ac:dyDescent="0.25">
      <c r="A505" s="10" t="s">
        <v>982</v>
      </c>
      <c r="B505" s="14" t="s">
        <v>983</v>
      </c>
      <c r="C505" s="10" t="s">
        <v>111</v>
      </c>
      <c r="D505" s="10" t="s">
        <v>35</v>
      </c>
      <c r="E505" s="10" t="s">
        <v>35</v>
      </c>
      <c r="F505" s="11">
        <v>0</v>
      </c>
      <c r="G505" s="21">
        <v>1</v>
      </c>
      <c r="H505" s="21">
        <v>0</v>
      </c>
      <c r="I505" s="21">
        <v>0</v>
      </c>
      <c r="J505" s="14" t="s">
        <v>984</v>
      </c>
      <c r="K505" s="14" t="s">
        <v>35</v>
      </c>
      <c r="L505" s="10" t="s">
        <v>986</v>
      </c>
      <c r="M505" s="10">
        <v>1</v>
      </c>
      <c r="N505" s="12" t="s">
        <v>1716</v>
      </c>
      <c r="O505" s="12" t="s">
        <v>39</v>
      </c>
      <c r="P505" s="12"/>
      <c r="Q505" s="16"/>
      <c r="R505" s="12">
        <v>0</v>
      </c>
    </row>
    <row r="506" spans="1:18" s="1" customFormat="1" hidden="1" x14ac:dyDescent="0.25">
      <c r="A506" s="7" t="s">
        <v>987</v>
      </c>
      <c r="B506" s="13" t="s">
        <v>988</v>
      </c>
      <c r="C506" s="7" t="s">
        <v>54</v>
      </c>
      <c r="D506" s="7" t="s">
        <v>35</v>
      </c>
      <c r="E506" s="7" t="s">
        <v>35</v>
      </c>
      <c r="F506" s="8">
        <v>0</v>
      </c>
      <c r="G506" s="20">
        <v>1</v>
      </c>
      <c r="H506" s="20">
        <v>0</v>
      </c>
      <c r="I506" s="20">
        <v>0</v>
      </c>
      <c r="J506" s="13" t="s">
        <v>525</v>
      </c>
      <c r="K506" s="13" t="s">
        <v>35</v>
      </c>
      <c r="L506" s="7" t="s">
        <v>989</v>
      </c>
      <c r="M506" s="7">
        <v>1</v>
      </c>
      <c r="N506" s="9" t="s">
        <v>1716</v>
      </c>
      <c r="O506" s="9" t="s">
        <v>39</v>
      </c>
      <c r="P506" s="9"/>
      <c r="Q506" s="15"/>
      <c r="R506" s="9">
        <v>0</v>
      </c>
    </row>
    <row r="507" spans="1:18" s="1" customFormat="1" hidden="1" x14ac:dyDescent="0.25">
      <c r="A507" s="10" t="s">
        <v>990</v>
      </c>
      <c r="B507" s="14" t="s">
        <v>991</v>
      </c>
      <c r="C507" s="10" t="s">
        <v>111</v>
      </c>
      <c r="D507" s="10" t="s">
        <v>35</v>
      </c>
      <c r="E507" s="10" t="s">
        <v>35</v>
      </c>
      <c r="F507" s="11">
        <v>0</v>
      </c>
      <c r="G507" s="21">
        <v>1</v>
      </c>
      <c r="H507" s="21">
        <v>0</v>
      </c>
      <c r="I507" s="21">
        <v>0</v>
      </c>
      <c r="J507" s="14" t="s">
        <v>388</v>
      </c>
      <c r="K507" s="14" t="s">
        <v>35</v>
      </c>
      <c r="L507" s="10" t="s">
        <v>992</v>
      </c>
      <c r="M507" s="10">
        <v>1</v>
      </c>
      <c r="N507" s="12" t="s">
        <v>1716</v>
      </c>
      <c r="O507" s="12" t="s">
        <v>39</v>
      </c>
      <c r="P507" s="12"/>
      <c r="Q507" s="16"/>
      <c r="R507" s="12">
        <v>0</v>
      </c>
    </row>
    <row r="508" spans="1:18" s="1" customFormat="1" hidden="1" x14ac:dyDescent="0.25">
      <c r="A508" s="7" t="s">
        <v>993</v>
      </c>
      <c r="B508" s="13" t="s">
        <v>994</v>
      </c>
      <c r="C508" s="7" t="s">
        <v>54</v>
      </c>
      <c r="D508" s="7" t="s">
        <v>35</v>
      </c>
      <c r="E508" s="7" t="s">
        <v>35</v>
      </c>
      <c r="F508" s="8">
        <v>0</v>
      </c>
      <c r="G508" s="20">
        <v>1</v>
      </c>
      <c r="H508" s="20">
        <v>0</v>
      </c>
      <c r="I508" s="20">
        <v>0</v>
      </c>
      <c r="J508" s="13" t="s">
        <v>388</v>
      </c>
      <c r="K508" s="13" t="s">
        <v>35</v>
      </c>
      <c r="L508" s="7" t="s">
        <v>995</v>
      </c>
      <c r="M508" s="7">
        <v>1</v>
      </c>
      <c r="N508" s="9" t="s">
        <v>1716</v>
      </c>
      <c r="O508" s="9" t="s">
        <v>39</v>
      </c>
      <c r="P508" s="9"/>
      <c r="Q508" s="15"/>
      <c r="R508" s="9">
        <v>0</v>
      </c>
    </row>
    <row r="509" spans="1:18" s="1" customFormat="1" hidden="1" x14ac:dyDescent="0.25">
      <c r="A509" s="10" t="s">
        <v>996</v>
      </c>
      <c r="B509" s="14" t="s">
        <v>997</v>
      </c>
      <c r="C509" s="10" t="s">
        <v>54</v>
      </c>
      <c r="D509" s="10" t="s">
        <v>35</v>
      </c>
      <c r="E509" s="10" t="s">
        <v>35</v>
      </c>
      <c r="F509" s="11">
        <v>0</v>
      </c>
      <c r="G509" s="21">
        <v>1</v>
      </c>
      <c r="H509" s="21">
        <v>0</v>
      </c>
      <c r="I509" s="21">
        <v>0</v>
      </c>
      <c r="J509" s="14" t="s">
        <v>419</v>
      </c>
      <c r="K509" s="14" t="s">
        <v>35</v>
      </c>
      <c r="L509" s="10" t="s">
        <v>998</v>
      </c>
      <c r="M509" s="10">
        <v>1</v>
      </c>
      <c r="N509" s="12" t="s">
        <v>1716</v>
      </c>
      <c r="O509" s="12" t="s">
        <v>39</v>
      </c>
      <c r="P509" s="12"/>
      <c r="Q509" s="16"/>
      <c r="R509" s="12">
        <v>0</v>
      </c>
    </row>
    <row r="510" spans="1:18" s="1" customFormat="1" hidden="1" x14ac:dyDescent="0.25">
      <c r="A510" s="7" t="s">
        <v>999</v>
      </c>
      <c r="B510" s="13" t="s">
        <v>1000</v>
      </c>
      <c r="C510" s="7" t="s">
        <v>780</v>
      </c>
      <c r="D510" s="7" t="s">
        <v>35</v>
      </c>
      <c r="E510" s="7" t="s">
        <v>35</v>
      </c>
      <c r="F510" s="8">
        <v>0</v>
      </c>
      <c r="G510" s="20">
        <v>1</v>
      </c>
      <c r="H510" s="20">
        <v>0</v>
      </c>
      <c r="I510" s="20">
        <v>0</v>
      </c>
      <c r="J510" s="13" t="s">
        <v>419</v>
      </c>
      <c r="K510" s="13" t="s">
        <v>35</v>
      </c>
      <c r="L510" s="7" t="s">
        <v>1001</v>
      </c>
      <c r="M510" s="7">
        <v>1</v>
      </c>
      <c r="N510" s="9" t="s">
        <v>1716</v>
      </c>
      <c r="O510" s="9" t="s">
        <v>39</v>
      </c>
      <c r="P510" s="9"/>
      <c r="Q510" s="15"/>
      <c r="R510" s="9">
        <v>0</v>
      </c>
    </row>
    <row r="511" spans="1:18" s="1" customFormat="1" hidden="1" x14ac:dyDescent="0.25">
      <c r="A511" s="10" t="s">
        <v>1002</v>
      </c>
      <c r="B511" s="14" t="s">
        <v>1003</v>
      </c>
      <c r="C511" s="10" t="s">
        <v>111</v>
      </c>
      <c r="D511" s="10" t="s">
        <v>35</v>
      </c>
      <c r="E511" s="10" t="s">
        <v>35</v>
      </c>
      <c r="F511" s="11">
        <v>0</v>
      </c>
      <c r="G511" s="21">
        <v>1</v>
      </c>
      <c r="H511" s="21">
        <v>0</v>
      </c>
      <c r="I511" s="21">
        <v>0</v>
      </c>
      <c r="J511" s="14" t="s">
        <v>388</v>
      </c>
      <c r="K511" s="14" t="s">
        <v>35</v>
      </c>
      <c r="L511" s="10" t="s">
        <v>1004</v>
      </c>
      <c r="M511" s="10">
        <v>1</v>
      </c>
      <c r="N511" s="12" t="s">
        <v>1716</v>
      </c>
      <c r="O511" s="12" t="s">
        <v>39</v>
      </c>
      <c r="P511" s="12"/>
      <c r="Q511" s="16"/>
      <c r="R511" s="12">
        <v>0</v>
      </c>
    </row>
    <row r="512" spans="1:18" s="1" customFormat="1" hidden="1" x14ac:dyDescent="0.25">
      <c r="A512" s="7" t="s">
        <v>1005</v>
      </c>
      <c r="B512" s="13" t="s">
        <v>1006</v>
      </c>
      <c r="C512" s="7" t="s">
        <v>111</v>
      </c>
      <c r="D512" s="7" t="s">
        <v>35</v>
      </c>
      <c r="E512" s="7" t="s">
        <v>35</v>
      </c>
      <c r="F512" s="8">
        <v>0</v>
      </c>
      <c r="G512" s="20">
        <v>1</v>
      </c>
      <c r="H512" s="20">
        <v>0</v>
      </c>
      <c r="I512" s="20">
        <v>0</v>
      </c>
      <c r="J512" s="13" t="s">
        <v>388</v>
      </c>
      <c r="K512" s="13" t="s">
        <v>35</v>
      </c>
      <c r="L512" s="7" t="s">
        <v>1007</v>
      </c>
      <c r="M512" s="7">
        <v>1</v>
      </c>
      <c r="N512" s="9" t="s">
        <v>1716</v>
      </c>
      <c r="O512" s="9" t="s">
        <v>39</v>
      </c>
      <c r="P512" s="9"/>
      <c r="Q512" s="15"/>
      <c r="R512" s="9">
        <v>0</v>
      </c>
    </row>
    <row r="513" spans="1:18" s="1" customFormat="1" hidden="1" x14ac:dyDescent="0.25">
      <c r="A513" s="10" t="s">
        <v>1008</v>
      </c>
      <c r="B513" s="14" t="s">
        <v>1009</v>
      </c>
      <c r="C513" s="10" t="s">
        <v>34</v>
      </c>
      <c r="D513" s="10" t="s">
        <v>35</v>
      </c>
      <c r="E513" s="10" t="s">
        <v>35</v>
      </c>
      <c r="F513" s="11">
        <v>0</v>
      </c>
      <c r="G513" s="21">
        <v>1</v>
      </c>
      <c r="H513" s="21">
        <v>0</v>
      </c>
      <c r="I513" s="21">
        <v>0</v>
      </c>
      <c r="J513" s="14" t="s">
        <v>448</v>
      </c>
      <c r="K513" s="14" t="s">
        <v>644</v>
      </c>
      <c r="L513" s="10" t="s">
        <v>661</v>
      </c>
      <c r="M513" s="10">
        <v>0.02</v>
      </c>
      <c r="N513" s="12" t="s">
        <v>1716</v>
      </c>
      <c r="O513" s="12" t="s">
        <v>39</v>
      </c>
      <c r="P513" s="12"/>
      <c r="Q513" s="16"/>
      <c r="R513" s="12">
        <v>0</v>
      </c>
    </row>
    <row r="514" spans="1:18" s="1" customFormat="1" hidden="1" x14ac:dyDescent="0.25">
      <c r="A514" s="10" t="s">
        <v>1008</v>
      </c>
      <c r="B514" s="14" t="s">
        <v>1009</v>
      </c>
      <c r="C514" s="10" t="s">
        <v>34</v>
      </c>
      <c r="D514" s="10" t="s">
        <v>35</v>
      </c>
      <c r="E514" s="10" t="s">
        <v>35</v>
      </c>
      <c r="F514" s="11">
        <v>0</v>
      </c>
      <c r="G514" s="21">
        <v>1</v>
      </c>
      <c r="H514" s="21">
        <v>0</v>
      </c>
      <c r="I514" s="21">
        <v>0</v>
      </c>
      <c r="J514" s="14" t="s">
        <v>448</v>
      </c>
      <c r="K514" s="14" t="s">
        <v>644</v>
      </c>
      <c r="L514" s="10" t="s">
        <v>662</v>
      </c>
      <c r="M514" s="10">
        <v>0.1</v>
      </c>
      <c r="N514" s="12" t="s">
        <v>1716</v>
      </c>
      <c r="O514" s="12" t="s">
        <v>39</v>
      </c>
      <c r="P514" s="12"/>
      <c r="Q514" s="16"/>
      <c r="R514" s="12">
        <v>0</v>
      </c>
    </row>
    <row r="515" spans="1:18" s="1" customFormat="1" hidden="1" x14ac:dyDescent="0.25">
      <c r="A515" s="7" t="s">
        <v>1010</v>
      </c>
      <c r="B515" s="13" t="s">
        <v>1011</v>
      </c>
      <c r="C515" s="7" t="s">
        <v>34</v>
      </c>
      <c r="D515" s="7" t="s">
        <v>35</v>
      </c>
      <c r="E515" s="7" t="s">
        <v>35</v>
      </c>
      <c r="F515" s="8">
        <v>0</v>
      </c>
      <c r="G515" s="20">
        <v>1</v>
      </c>
      <c r="H515" s="20">
        <v>0</v>
      </c>
      <c r="I515" s="20">
        <v>0</v>
      </c>
      <c r="J515" s="13" t="s">
        <v>448</v>
      </c>
      <c r="K515" s="13" t="s">
        <v>644</v>
      </c>
      <c r="L515" s="7" t="s">
        <v>531</v>
      </c>
      <c r="M515" s="7">
        <v>0.02</v>
      </c>
      <c r="N515" s="9" t="s">
        <v>1716</v>
      </c>
      <c r="O515" s="9" t="s">
        <v>39</v>
      </c>
      <c r="P515" s="9"/>
      <c r="Q515" s="15"/>
      <c r="R515" s="9">
        <v>0</v>
      </c>
    </row>
    <row r="516" spans="1:18" s="1" customFormat="1" hidden="1" x14ac:dyDescent="0.25">
      <c r="A516" s="7" t="s">
        <v>1010</v>
      </c>
      <c r="B516" s="13" t="s">
        <v>1011</v>
      </c>
      <c r="C516" s="7" t="s">
        <v>34</v>
      </c>
      <c r="D516" s="7" t="s">
        <v>35</v>
      </c>
      <c r="E516" s="7" t="s">
        <v>35</v>
      </c>
      <c r="F516" s="8">
        <v>0</v>
      </c>
      <c r="G516" s="20">
        <v>1</v>
      </c>
      <c r="H516" s="20">
        <v>0</v>
      </c>
      <c r="I516" s="20">
        <v>0</v>
      </c>
      <c r="J516" s="13" t="s">
        <v>448</v>
      </c>
      <c r="K516" s="13" t="s">
        <v>644</v>
      </c>
      <c r="L516" s="7" t="s">
        <v>647</v>
      </c>
      <c r="M516" s="7">
        <v>6.6000000000000003E-2</v>
      </c>
      <c r="N516" s="9" t="s">
        <v>1716</v>
      </c>
      <c r="O516" s="9" t="s">
        <v>39</v>
      </c>
      <c r="P516" s="9"/>
      <c r="Q516" s="15"/>
      <c r="R516" s="9">
        <v>0</v>
      </c>
    </row>
    <row r="517" spans="1:18" s="1" customFormat="1" hidden="1" x14ac:dyDescent="0.25">
      <c r="A517" s="10" t="s">
        <v>1012</v>
      </c>
      <c r="B517" s="14" t="s">
        <v>1013</v>
      </c>
      <c r="C517" s="10" t="s">
        <v>34</v>
      </c>
      <c r="D517" s="10" t="s">
        <v>35</v>
      </c>
      <c r="E517" s="10" t="s">
        <v>35</v>
      </c>
      <c r="F517" s="11">
        <v>0</v>
      </c>
      <c r="G517" s="21">
        <v>1</v>
      </c>
      <c r="H517" s="21">
        <v>0</v>
      </c>
      <c r="I517" s="21">
        <v>0</v>
      </c>
      <c r="J517" s="14" t="s">
        <v>448</v>
      </c>
      <c r="K517" s="14" t="s">
        <v>644</v>
      </c>
      <c r="L517" s="10" t="s">
        <v>531</v>
      </c>
      <c r="M517" s="10">
        <v>0.02</v>
      </c>
      <c r="N517" s="12" t="s">
        <v>1716</v>
      </c>
      <c r="O517" s="12" t="s">
        <v>39</v>
      </c>
      <c r="P517" s="12"/>
      <c r="Q517" s="16"/>
      <c r="R517" s="12">
        <v>0</v>
      </c>
    </row>
    <row r="518" spans="1:18" s="1" customFormat="1" hidden="1" x14ac:dyDescent="0.25">
      <c r="A518" s="7" t="s">
        <v>1014</v>
      </c>
      <c r="B518" s="13" t="s">
        <v>1015</v>
      </c>
      <c r="C518" s="7" t="s">
        <v>34</v>
      </c>
      <c r="D518" s="7" t="s">
        <v>35</v>
      </c>
      <c r="E518" s="7" t="s">
        <v>35</v>
      </c>
      <c r="F518" s="8">
        <v>0</v>
      </c>
      <c r="G518" s="20">
        <v>1</v>
      </c>
      <c r="H518" s="20">
        <v>0</v>
      </c>
      <c r="I518" s="20">
        <v>0</v>
      </c>
      <c r="J518" s="13" t="s">
        <v>448</v>
      </c>
      <c r="K518" s="13" t="s">
        <v>644</v>
      </c>
      <c r="L518" s="7" t="s">
        <v>661</v>
      </c>
      <c r="M518" s="7">
        <v>0.02</v>
      </c>
      <c r="N518" s="9" t="s">
        <v>1716</v>
      </c>
      <c r="O518" s="9" t="s">
        <v>39</v>
      </c>
      <c r="P518" s="9"/>
      <c r="Q518" s="15"/>
      <c r="R518" s="9">
        <v>0</v>
      </c>
    </row>
    <row r="519" spans="1:18" s="1" customFormat="1" hidden="1" x14ac:dyDescent="0.25">
      <c r="A519" s="7" t="s">
        <v>1014</v>
      </c>
      <c r="B519" s="13" t="s">
        <v>1015</v>
      </c>
      <c r="C519" s="7" t="s">
        <v>34</v>
      </c>
      <c r="D519" s="7" t="s">
        <v>35</v>
      </c>
      <c r="E519" s="7" t="s">
        <v>35</v>
      </c>
      <c r="F519" s="8">
        <v>0</v>
      </c>
      <c r="G519" s="20">
        <v>1</v>
      </c>
      <c r="H519" s="20">
        <v>0</v>
      </c>
      <c r="I519" s="20">
        <v>0</v>
      </c>
      <c r="J519" s="13" t="s">
        <v>448</v>
      </c>
      <c r="K519" s="13" t="s">
        <v>644</v>
      </c>
      <c r="L519" s="7" t="s">
        <v>662</v>
      </c>
      <c r="M519" s="7">
        <v>2.7E-2</v>
      </c>
      <c r="N519" s="9" t="s">
        <v>1716</v>
      </c>
      <c r="O519" s="9" t="s">
        <v>39</v>
      </c>
      <c r="P519" s="9"/>
      <c r="Q519" s="15"/>
      <c r="R519" s="9">
        <v>0</v>
      </c>
    </row>
    <row r="520" spans="1:18" s="1" customFormat="1" hidden="1" x14ac:dyDescent="0.25">
      <c r="A520" s="10" t="s">
        <v>1016</v>
      </c>
      <c r="B520" s="14" t="s">
        <v>1017</v>
      </c>
      <c r="C520" s="10" t="s">
        <v>34</v>
      </c>
      <c r="D520" s="10" t="s">
        <v>35</v>
      </c>
      <c r="E520" s="10" t="s">
        <v>35</v>
      </c>
      <c r="F520" s="11">
        <v>0</v>
      </c>
      <c r="G520" s="21">
        <v>1</v>
      </c>
      <c r="H520" s="21">
        <v>0</v>
      </c>
      <c r="I520" s="21">
        <v>0</v>
      </c>
      <c r="J520" s="14" t="s">
        <v>448</v>
      </c>
      <c r="K520" s="14" t="s">
        <v>644</v>
      </c>
      <c r="L520" s="10" t="s">
        <v>531</v>
      </c>
      <c r="M520" s="10">
        <v>0.02</v>
      </c>
      <c r="N520" s="12" t="s">
        <v>1716</v>
      </c>
      <c r="O520" s="12" t="s">
        <v>39</v>
      </c>
      <c r="P520" s="12"/>
      <c r="Q520" s="16"/>
      <c r="R520" s="12">
        <v>0</v>
      </c>
    </row>
    <row r="521" spans="1:18" s="1" customFormat="1" hidden="1" x14ac:dyDescent="0.25">
      <c r="A521" s="10" t="s">
        <v>1016</v>
      </c>
      <c r="B521" s="14" t="s">
        <v>1017</v>
      </c>
      <c r="C521" s="10" t="s">
        <v>34</v>
      </c>
      <c r="D521" s="10" t="s">
        <v>35</v>
      </c>
      <c r="E521" s="10" t="s">
        <v>35</v>
      </c>
      <c r="F521" s="11">
        <v>0</v>
      </c>
      <c r="G521" s="21">
        <v>1</v>
      </c>
      <c r="H521" s="21">
        <v>0</v>
      </c>
      <c r="I521" s="21">
        <v>0</v>
      </c>
      <c r="J521" s="14" t="s">
        <v>448</v>
      </c>
      <c r="K521" s="14" t="s">
        <v>644</v>
      </c>
      <c r="L521" s="10" t="s">
        <v>646</v>
      </c>
      <c r="M521" s="10">
        <v>1.0460000000000001E-3</v>
      </c>
      <c r="N521" s="12" t="s">
        <v>1716</v>
      </c>
      <c r="O521" s="12" t="s">
        <v>39</v>
      </c>
      <c r="P521" s="12"/>
      <c r="Q521" s="16"/>
      <c r="R521" s="12">
        <v>0</v>
      </c>
    </row>
    <row r="522" spans="1:18" s="1" customFormat="1" hidden="1" x14ac:dyDescent="0.25">
      <c r="A522" s="10" t="s">
        <v>1016</v>
      </c>
      <c r="B522" s="14" t="s">
        <v>1017</v>
      </c>
      <c r="C522" s="10" t="s">
        <v>34</v>
      </c>
      <c r="D522" s="10" t="s">
        <v>35</v>
      </c>
      <c r="E522" s="10" t="s">
        <v>35</v>
      </c>
      <c r="F522" s="11">
        <v>0</v>
      </c>
      <c r="G522" s="21">
        <v>1</v>
      </c>
      <c r="H522" s="21">
        <v>0</v>
      </c>
      <c r="I522" s="21">
        <v>0</v>
      </c>
      <c r="J522" s="14" t="s">
        <v>448</v>
      </c>
      <c r="K522" s="14" t="s">
        <v>644</v>
      </c>
      <c r="L522" s="10" t="s">
        <v>647</v>
      </c>
      <c r="M522" s="10">
        <v>0.155</v>
      </c>
      <c r="N522" s="12" t="s">
        <v>1716</v>
      </c>
      <c r="O522" s="12" t="s">
        <v>39</v>
      </c>
      <c r="P522" s="12"/>
      <c r="Q522" s="16"/>
      <c r="R522" s="12">
        <v>0</v>
      </c>
    </row>
    <row r="523" spans="1:18" s="1" customFormat="1" hidden="1" x14ac:dyDescent="0.25">
      <c r="A523" s="7" t="s">
        <v>1018</v>
      </c>
      <c r="B523" s="13" t="s">
        <v>1019</v>
      </c>
      <c r="C523" s="7" t="s">
        <v>54</v>
      </c>
      <c r="D523" s="7" t="s">
        <v>35</v>
      </c>
      <c r="E523" s="7" t="s">
        <v>35</v>
      </c>
      <c r="F523" s="8">
        <v>0</v>
      </c>
      <c r="G523" s="20">
        <v>1</v>
      </c>
      <c r="H523" s="20">
        <v>0</v>
      </c>
      <c r="I523" s="20">
        <v>0</v>
      </c>
      <c r="J523" s="13" t="s">
        <v>419</v>
      </c>
      <c r="K523" s="13" t="s">
        <v>35</v>
      </c>
      <c r="L523" s="7" t="s">
        <v>1020</v>
      </c>
      <c r="M523" s="7">
        <v>1</v>
      </c>
      <c r="N523" s="9" t="s">
        <v>1716</v>
      </c>
      <c r="O523" s="9" t="s">
        <v>39</v>
      </c>
      <c r="P523" s="9"/>
      <c r="Q523" s="15"/>
      <c r="R523" s="9">
        <v>0</v>
      </c>
    </row>
    <row r="524" spans="1:18" s="1" customFormat="1" hidden="1" x14ac:dyDescent="0.25">
      <c r="A524" s="10" t="s">
        <v>1021</v>
      </c>
      <c r="B524" s="14" t="s">
        <v>1022</v>
      </c>
      <c r="C524" s="10" t="s">
        <v>54</v>
      </c>
      <c r="D524" s="10" t="s">
        <v>35</v>
      </c>
      <c r="E524" s="10" t="s">
        <v>35</v>
      </c>
      <c r="F524" s="11">
        <v>0</v>
      </c>
      <c r="G524" s="21">
        <v>1</v>
      </c>
      <c r="H524" s="21">
        <v>0</v>
      </c>
      <c r="I524" s="21">
        <v>0</v>
      </c>
      <c r="J524" s="14" t="s">
        <v>287</v>
      </c>
      <c r="K524" s="14" t="s">
        <v>35</v>
      </c>
      <c r="L524" s="10" t="s">
        <v>1023</v>
      </c>
      <c r="M524" s="10">
        <v>1</v>
      </c>
      <c r="N524" s="12" t="s">
        <v>1716</v>
      </c>
      <c r="O524" s="12" t="s">
        <v>39</v>
      </c>
      <c r="P524" s="12"/>
      <c r="Q524" s="16"/>
      <c r="R524" s="12">
        <v>0</v>
      </c>
    </row>
    <row r="525" spans="1:18" s="1" customFormat="1" hidden="1" x14ac:dyDescent="0.25">
      <c r="A525" s="7" t="s">
        <v>1024</v>
      </c>
      <c r="B525" s="13" t="s">
        <v>1025</v>
      </c>
      <c r="C525" s="7" t="s">
        <v>34</v>
      </c>
      <c r="D525" s="7" t="s">
        <v>35</v>
      </c>
      <c r="E525" s="7" t="s">
        <v>35</v>
      </c>
      <c r="F525" s="8">
        <v>0</v>
      </c>
      <c r="G525" s="20">
        <v>1</v>
      </c>
      <c r="H525" s="20">
        <v>0</v>
      </c>
      <c r="I525" s="20">
        <v>0</v>
      </c>
      <c r="J525" s="13" t="s">
        <v>67</v>
      </c>
      <c r="K525" s="13" t="s">
        <v>35</v>
      </c>
      <c r="L525" s="7" t="s">
        <v>1026</v>
      </c>
      <c r="M525" s="7">
        <v>1</v>
      </c>
      <c r="N525" s="9" t="s">
        <v>1716</v>
      </c>
      <c r="O525" s="9" t="s">
        <v>39</v>
      </c>
      <c r="P525" s="9"/>
      <c r="Q525" s="15"/>
      <c r="R525" s="9">
        <v>0</v>
      </c>
    </row>
    <row r="526" spans="1:18" s="1" customFormat="1" hidden="1" x14ac:dyDescent="0.25">
      <c r="A526" s="10" t="s">
        <v>1027</v>
      </c>
      <c r="B526" s="14" t="s">
        <v>1028</v>
      </c>
      <c r="C526" s="10" t="s">
        <v>34</v>
      </c>
      <c r="D526" s="10" t="s">
        <v>35</v>
      </c>
      <c r="E526" s="10" t="s">
        <v>35</v>
      </c>
      <c r="F526" s="11">
        <v>0</v>
      </c>
      <c r="G526" s="21">
        <v>1</v>
      </c>
      <c r="H526" s="21">
        <v>0</v>
      </c>
      <c r="I526" s="21">
        <v>0</v>
      </c>
      <c r="J526" s="14" t="s">
        <v>83</v>
      </c>
      <c r="K526" s="14" t="s">
        <v>189</v>
      </c>
      <c r="L526" s="10" t="s">
        <v>84</v>
      </c>
      <c r="M526" s="10">
        <v>6</v>
      </c>
      <c r="N526" s="12" t="s">
        <v>1716</v>
      </c>
      <c r="O526" s="12" t="s">
        <v>39</v>
      </c>
      <c r="P526" s="12"/>
      <c r="Q526" s="16"/>
      <c r="R526" s="12">
        <v>0</v>
      </c>
    </row>
    <row r="527" spans="1:18" s="1" customFormat="1" hidden="1" x14ac:dyDescent="0.25">
      <c r="A527" s="10" t="s">
        <v>1027</v>
      </c>
      <c r="B527" s="14" t="s">
        <v>1028</v>
      </c>
      <c r="C527" s="10" t="s">
        <v>34</v>
      </c>
      <c r="D527" s="10" t="s">
        <v>35</v>
      </c>
      <c r="E527" s="10" t="s">
        <v>35</v>
      </c>
      <c r="F527" s="11">
        <v>0</v>
      </c>
      <c r="G527" s="21">
        <v>1</v>
      </c>
      <c r="H527" s="21">
        <v>0</v>
      </c>
      <c r="I527" s="21">
        <v>0</v>
      </c>
      <c r="J527" s="14" t="s">
        <v>83</v>
      </c>
      <c r="K527" s="14" t="s">
        <v>189</v>
      </c>
      <c r="L527" s="10" t="s">
        <v>209</v>
      </c>
      <c r="M527" s="10">
        <v>1.05</v>
      </c>
      <c r="N527" s="12" t="s">
        <v>1716</v>
      </c>
      <c r="O527" s="12" t="s">
        <v>39</v>
      </c>
      <c r="P527" s="12"/>
      <c r="Q527" s="16"/>
      <c r="R527" s="12">
        <v>0</v>
      </c>
    </row>
    <row r="528" spans="1:18" s="1" customFormat="1" hidden="1" x14ac:dyDescent="0.25">
      <c r="A528" s="10" t="s">
        <v>1027</v>
      </c>
      <c r="B528" s="14" t="s">
        <v>1028</v>
      </c>
      <c r="C528" s="10" t="s">
        <v>34</v>
      </c>
      <c r="D528" s="10" t="s">
        <v>35</v>
      </c>
      <c r="E528" s="10" t="s">
        <v>35</v>
      </c>
      <c r="F528" s="11">
        <v>0</v>
      </c>
      <c r="G528" s="21">
        <v>1</v>
      </c>
      <c r="H528" s="21">
        <v>0</v>
      </c>
      <c r="I528" s="21">
        <v>0</v>
      </c>
      <c r="J528" s="14" t="s">
        <v>83</v>
      </c>
      <c r="K528" s="14" t="s">
        <v>189</v>
      </c>
      <c r="L528" s="10" t="s">
        <v>1029</v>
      </c>
      <c r="M528" s="10">
        <v>1.1399999999999999</v>
      </c>
      <c r="N528" s="12" t="s">
        <v>1716</v>
      </c>
      <c r="O528" s="12" t="s">
        <v>39</v>
      </c>
      <c r="P528" s="12"/>
      <c r="Q528" s="16"/>
      <c r="R528" s="12">
        <v>0</v>
      </c>
    </row>
    <row r="529" spans="1:18" s="1" customFormat="1" hidden="1" x14ac:dyDescent="0.25">
      <c r="A529" s="7" t="s">
        <v>1030</v>
      </c>
      <c r="B529" s="13" t="s">
        <v>1031</v>
      </c>
      <c r="C529" s="7" t="s">
        <v>136</v>
      </c>
      <c r="D529" s="7" t="s">
        <v>35</v>
      </c>
      <c r="E529" s="7" t="s">
        <v>35</v>
      </c>
      <c r="F529" s="8">
        <v>0</v>
      </c>
      <c r="G529" s="20">
        <v>1</v>
      </c>
      <c r="H529" s="20">
        <v>0</v>
      </c>
      <c r="I529" s="20">
        <v>0</v>
      </c>
      <c r="J529" s="13" t="s">
        <v>201</v>
      </c>
      <c r="K529" s="13" t="s">
        <v>202</v>
      </c>
      <c r="L529" s="7" t="s">
        <v>84</v>
      </c>
      <c r="M529" s="7">
        <v>8.6199999999999992</v>
      </c>
      <c r="N529" s="9" t="s">
        <v>1716</v>
      </c>
      <c r="O529" s="9" t="s">
        <v>39</v>
      </c>
      <c r="P529" s="9"/>
      <c r="Q529" s="15"/>
      <c r="R529" s="9">
        <v>0</v>
      </c>
    </row>
    <row r="530" spans="1:18" s="1" customFormat="1" hidden="1" x14ac:dyDescent="0.25">
      <c r="A530" s="7" t="s">
        <v>1030</v>
      </c>
      <c r="B530" s="13" t="s">
        <v>1031</v>
      </c>
      <c r="C530" s="7" t="s">
        <v>136</v>
      </c>
      <c r="D530" s="7" t="s">
        <v>35</v>
      </c>
      <c r="E530" s="7" t="s">
        <v>35</v>
      </c>
      <c r="F530" s="8">
        <v>0</v>
      </c>
      <c r="G530" s="20">
        <v>1</v>
      </c>
      <c r="H530" s="20">
        <v>0</v>
      </c>
      <c r="I530" s="20">
        <v>0</v>
      </c>
      <c r="J530" s="13" t="s">
        <v>201</v>
      </c>
      <c r="K530" s="13" t="s">
        <v>202</v>
      </c>
      <c r="L530" s="7" t="s">
        <v>206</v>
      </c>
      <c r="M530" s="7">
        <v>1.1599999999999999</v>
      </c>
      <c r="N530" s="9" t="s">
        <v>1716</v>
      </c>
      <c r="O530" s="9" t="s">
        <v>39</v>
      </c>
      <c r="P530" s="9"/>
      <c r="Q530" s="15"/>
      <c r="R530" s="9">
        <v>0</v>
      </c>
    </row>
    <row r="531" spans="1:18" s="1" customFormat="1" hidden="1" x14ac:dyDescent="0.25">
      <c r="A531" s="10" t="s">
        <v>1032</v>
      </c>
      <c r="B531" s="14" t="s">
        <v>1033</v>
      </c>
      <c r="C531" s="10" t="s">
        <v>34</v>
      </c>
      <c r="D531" s="10" t="s">
        <v>35</v>
      </c>
      <c r="E531" s="10" t="s">
        <v>35</v>
      </c>
      <c r="F531" s="11">
        <v>0</v>
      </c>
      <c r="G531" s="21">
        <v>1</v>
      </c>
      <c r="H531" s="21">
        <v>0</v>
      </c>
      <c r="I531" s="21">
        <v>0</v>
      </c>
      <c r="J531" s="14" t="s">
        <v>36</v>
      </c>
      <c r="K531" s="14" t="s">
        <v>164</v>
      </c>
      <c r="L531" s="10" t="s">
        <v>1034</v>
      </c>
      <c r="M531" s="10">
        <v>0.16</v>
      </c>
      <c r="N531" s="12" t="s">
        <v>1716</v>
      </c>
      <c r="O531" s="12" t="s">
        <v>39</v>
      </c>
      <c r="P531" s="12"/>
      <c r="Q531" s="16"/>
      <c r="R531" s="12">
        <v>0</v>
      </c>
    </row>
    <row r="532" spans="1:18" s="1" customFormat="1" hidden="1" x14ac:dyDescent="0.25">
      <c r="A532" s="7" t="s">
        <v>1035</v>
      </c>
      <c r="B532" s="13" t="s">
        <v>1036</v>
      </c>
      <c r="C532" s="7" t="s">
        <v>34</v>
      </c>
      <c r="D532" s="7" t="s">
        <v>35</v>
      </c>
      <c r="E532" s="7" t="s">
        <v>35</v>
      </c>
      <c r="F532" s="8">
        <v>0</v>
      </c>
      <c r="G532" s="20">
        <v>1</v>
      </c>
      <c r="H532" s="20">
        <v>0</v>
      </c>
      <c r="I532" s="20">
        <v>0</v>
      </c>
      <c r="J532" s="13" t="s">
        <v>1037</v>
      </c>
      <c r="K532" s="13" t="s">
        <v>411</v>
      </c>
      <c r="L532" s="7" t="s">
        <v>38</v>
      </c>
      <c r="M532" s="7">
        <v>0.3</v>
      </c>
      <c r="N532" s="9" t="s">
        <v>1716</v>
      </c>
      <c r="O532" s="9" t="s">
        <v>39</v>
      </c>
      <c r="P532" s="9"/>
      <c r="Q532" s="15"/>
      <c r="R532" s="9">
        <v>0</v>
      </c>
    </row>
    <row r="533" spans="1:18" s="1" customFormat="1" hidden="1" x14ac:dyDescent="0.25">
      <c r="A533" s="7" t="s">
        <v>1035</v>
      </c>
      <c r="B533" s="13" t="s">
        <v>1036</v>
      </c>
      <c r="C533" s="7" t="s">
        <v>34</v>
      </c>
      <c r="D533" s="7" t="s">
        <v>35</v>
      </c>
      <c r="E533" s="7" t="s">
        <v>35</v>
      </c>
      <c r="F533" s="8">
        <v>0</v>
      </c>
      <c r="G533" s="20">
        <v>1</v>
      </c>
      <c r="H533" s="20">
        <v>0</v>
      </c>
      <c r="I533" s="20">
        <v>0</v>
      </c>
      <c r="J533" s="13" t="s">
        <v>1037</v>
      </c>
      <c r="K533" s="13" t="s">
        <v>411</v>
      </c>
      <c r="L533" s="7" t="s">
        <v>159</v>
      </c>
      <c r="M533" s="7">
        <v>8.8999999999999996E-2</v>
      </c>
      <c r="N533" s="9" t="s">
        <v>1716</v>
      </c>
      <c r="O533" s="9" t="s">
        <v>39</v>
      </c>
      <c r="P533" s="9"/>
      <c r="Q533" s="15"/>
      <c r="R533" s="9">
        <v>0</v>
      </c>
    </row>
    <row r="534" spans="1:18" s="1" customFormat="1" hidden="1" x14ac:dyDescent="0.25">
      <c r="A534" s="7" t="s">
        <v>1035</v>
      </c>
      <c r="B534" s="13" t="s">
        <v>1036</v>
      </c>
      <c r="C534" s="7" t="s">
        <v>34</v>
      </c>
      <c r="D534" s="7" t="s">
        <v>35</v>
      </c>
      <c r="E534" s="7" t="s">
        <v>35</v>
      </c>
      <c r="F534" s="8">
        <v>0</v>
      </c>
      <c r="G534" s="20">
        <v>1</v>
      </c>
      <c r="H534" s="20">
        <v>0</v>
      </c>
      <c r="I534" s="20">
        <v>0</v>
      </c>
      <c r="J534" s="13" t="s">
        <v>1037</v>
      </c>
      <c r="K534" s="13" t="s">
        <v>411</v>
      </c>
      <c r="L534" s="7" t="s">
        <v>40</v>
      </c>
      <c r="M534" s="7">
        <v>1.5518000000000001</v>
      </c>
      <c r="N534" s="9" t="s">
        <v>1716</v>
      </c>
      <c r="O534" s="9" t="s">
        <v>39</v>
      </c>
      <c r="P534" s="9"/>
      <c r="Q534" s="15"/>
      <c r="R534" s="9">
        <v>0</v>
      </c>
    </row>
    <row r="535" spans="1:18" s="1" customFormat="1" hidden="1" x14ac:dyDescent="0.25">
      <c r="A535" s="10" t="s">
        <v>1038</v>
      </c>
      <c r="B535" s="14" t="s">
        <v>1039</v>
      </c>
      <c r="C535" s="10" t="s">
        <v>34</v>
      </c>
      <c r="D535" s="10" t="s">
        <v>35</v>
      </c>
      <c r="E535" s="10" t="s">
        <v>35</v>
      </c>
      <c r="F535" s="11">
        <v>0</v>
      </c>
      <c r="G535" s="21">
        <v>1</v>
      </c>
      <c r="H535" s="21">
        <v>0</v>
      </c>
      <c r="I535" s="21">
        <v>0</v>
      </c>
      <c r="J535" s="14" t="s">
        <v>36</v>
      </c>
      <c r="K535" s="14" t="s">
        <v>156</v>
      </c>
      <c r="L535" s="10" t="s">
        <v>38</v>
      </c>
      <c r="M535" s="10">
        <v>0.34275</v>
      </c>
      <c r="N535" s="12" t="s">
        <v>1716</v>
      </c>
      <c r="O535" s="12" t="s">
        <v>39</v>
      </c>
      <c r="P535" s="12"/>
      <c r="Q535" s="16"/>
      <c r="R535" s="12">
        <v>0</v>
      </c>
    </row>
    <row r="536" spans="1:18" s="1" customFormat="1" hidden="1" x14ac:dyDescent="0.25">
      <c r="A536" s="10" t="s">
        <v>1038</v>
      </c>
      <c r="B536" s="14" t="s">
        <v>1039</v>
      </c>
      <c r="C536" s="10" t="s">
        <v>34</v>
      </c>
      <c r="D536" s="10" t="s">
        <v>35</v>
      </c>
      <c r="E536" s="10" t="s">
        <v>35</v>
      </c>
      <c r="F536" s="11">
        <v>0</v>
      </c>
      <c r="G536" s="21">
        <v>1</v>
      </c>
      <c r="H536" s="21">
        <v>0</v>
      </c>
      <c r="I536" s="21">
        <v>0</v>
      </c>
      <c r="J536" s="14" t="s">
        <v>36</v>
      </c>
      <c r="K536" s="14" t="s">
        <v>156</v>
      </c>
      <c r="L536" s="10" t="s">
        <v>40</v>
      </c>
      <c r="M536" s="10">
        <v>1.3389</v>
      </c>
      <c r="N536" s="12" t="s">
        <v>1716</v>
      </c>
      <c r="O536" s="12" t="s">
        <v>39</v>
      </c>
      <c r="P536" s="12"/>
      <c r="Q536" s="16"/>
      <c r="R536" s="12">
        <v>0</v>
      </c>
    </row>
    <row r="537" spans="1:18" s="1" customFormat="1" hidden="1" x14ac:dyDescent="0.25">
      <c r="A537" s="10" t="s">
        <v>1038</v>
      </c>
      <c r="B537" s="14" t="s">
        <v>1039</v>
      </c>
      <c r="C537" s="10" t="s">
        <v>34</v>
      </c>
      <c r="D537" s="10" t="s">
        <v>35</v>
      </c>
      <c r="E537" s="10" t="s">
        <v>35</v>
      </c>
      <c r="F537" s="11">
        <v>0</v>
      </c>
      <c r="G537" s="21">
        <v>1</v>
      </c>
      <c r="H537" s="21">
        <v>0</v>
      </c>
      <c r="I537" s="21">
        <v>0</v>
      </c>
      <c r="J537" s="14" t="s">
        <v>36</v>
      </c>
      <c r="K537" s="14" t="s">
        <v>156</v>
      </c>
      <c r="L537" s="10" t="s">
        <v>159</v>
      </c>
      <c r="M537" s="10">
        <v>0.1666</v>
      </c>
      <c r="N537" s="12" t="s">
        <v>1716</v>
      </c>
      <c r="O537" s="12" t="s">
        <v>39</v>
      </c>
      <c r="P537" s="12"/>
      <c r="Q537" s="16"/>
      <c r="R537" s="12">
        <v>0</v>
      </c>
    </row>
    <row r="538" spans="1:18" s="1" customFormat="1" hidden="1" x14ac:dyDescent="0.25">
      <c r="A538" s="10" t="s">
        <v>1038</v>
      </c>
      <c r="B538" s="14" t="s">
        <v>1039</v>
      </c>
      <c r="C538" s="10" t="s">
        <v>34</v>
      </c>
      <c r="D538" s="10" t="s">
        <v>35</v>
      </c>
      <c r="E538" s="10" t="s">
        <v>35</v>
      </c>
      <c r="F538" s="11">
        <v>0</v>
      </c>
      <c r="G538" s="21">
        <v>1</v>
      </c>
      <c r="H538" s="21">
        <v>0</v>
      </c>
      <c r="I538" s="21">
        <v>0</v>
      </c>
      <c r="J538" s="14" t="s">
        <v>36</v>
      </c>
      <c r="K538" s="14" t="s">
        <v>156</v>
      </c>
      <c r="L538" s="10" t="s">
        <v>41</v>
      </c>
      <c r="M538" s="10">
        <v>8.0199999999999994E-2</v>
      </c>
      <c r="N538" s="12" t="s">
        <v>1716</v>
      </c>
      <c r="O538" s="12" t="s">
        <v>39</v>
      </c>
      <c r="P538" s="12"/>
      <c r="Q538" s="16"/>
      <c r="R538" s="12">
        <v>0</v>
      </c>
    </row>
    <row r="539" spans="1:18" s="1" customFormat="1" hidden="1" x14ac:dyDescent="0.25">
      <c r="A539" s="7" t="s">
        <v>1040</v>
      </c>
      <c r="B539" s="13" t="s">
        <v>1041</v>
      </c>
      <c r="C539" s="7" t="s">
        <v>34</v>
      </c>
      <c r="D539" s="7" t="s">
        <v>35</v>
      </c>
      <c r="E539" s="7" t="s">
        <v>35</v>
      </c>
      <c r="F539" s="8">
        <v>0</v>
      </c>
      <c r="G539" s="20">
        <v>1</v>
      </c>
      <c r="H539" s="20">
        <v>0</v>
      </c>
      <c r="I539" s="20">
        <v>0</v>
      </c>
      <c r="J539" s="13" t="s">
        <v>36</v>
      </c>
      <c r="K539" s="13" t="s">
        <v>164</v>
      </c>
      <c r="L539" s="7" t="s">
        <v>257</v>
      </c>
      <c r="M539" s="7">
        <v>6.4000000000000003E-3</v>
      </c>
      <c r="N539" s="9" t="s">
        <v>1716</v>
      </c>
      <c r="O539" s="9" t="s">
        <v>39</v>
      </c>
      <c r="P539" s="9"/>
      <c r="Q539" s="15"/>
      <c r="R539" s="9">
        <v>0</v>
      </c>
    </row>
    <row r="540" spans="1:18" s="1" customFormat="1" hidden="1" x14ac:dyDescent="0.25">
      <c r="A540" s="7" t="s">
        <v>1040</v>
      </c>
      <c r="B540" s="13" t="s">
        <v>1041</v>
      </c>
      <c r="C540" s="7" t="s">
        <v>34</v>
      </c>
      <c r="D540" s="7" t="s">
        <v>35</v>
      </c>
      <c r="E540" s="7" t="s">
        <v>35</v>
      </c>
      <c r="F540" s="8">
        <v>0</v>
      </c>
      <c r="G540" s="20">
        <v>1</v>
      </c>
      <c r="H540" s="20">
        <v>0</v>
      </c>
      <c r="I540" s="20">
        <v>0</v>
      </c>
      <c r="J540" s="13" t="s">
        <v>36</v>
      </c>
      <c r="K540" s="13" t="s">
        <v>164</v>
      </c>
      <c r="L540" s="7" t="s">
        <v>165</v>
      </c>
      <c r="M540" s="7">
        <v>0.01</v>
      </c>
      <c r="N540" s="9" t="s">
        <v>1716</v>
      </c>
      <c r="O540" s="9" t="s">
        <v>39</v>
      </c>
      <c r="P540" s="9"/>
      <c r="Q540" s="15"/>
      <c r="R540" s="9">
        <v>0</v>
      </c>
    </row>
    <row r="541" spans="1:18" s="1" customFormat="1" hidden="1" x14ac:dyDescent="0.25">
      <c r="A541" s="7" t="s">
        <v>1040</v>
      </c>
      <c r="B541" s="13" t="s">
        <v>1041</v>
      </c>
      <c r="C541" s="7" t="s">
        <v>34</v>
      </c>
      <c r="D541" s="7" t="s">
        <v>35</v>
      </c>
      <c r="E541" s="7" t="s">
        <v>35</v>
      </c>
      <c r="F541" s="8">
        <v>0</v>
      </c>
      <c r="G541" s="20">
        <v>1</v>
      </c>
      <c r="H541" s="20">
        <v>0</v>
      </c>
      <c r="I541" s="20">
        <v>0</v>
      </c>
      <c r="J541" s="13" t="s">
        <v>36</v>
      </c>
      <c r="K541" s="13" t="s">
        <v>164</v>
      </c>
      <c r="L541" s="7" t="s">
        <v>1042</v>
      </c>
      <c r="M541" s="7">
        <v>0.2016</v>
      </c>
      <c r="N541" s="9" t="s">
        <v>1716</v>
      </c>
      <c r="O541" s="9" t="s">
        <v>39</v>
      </c>
      <c r="P541" s="9"/>
      <c r="Q541" s="15"/>
      <c r="R541" s="9">
        <v>0</v>
      </c>
    </row>
    <row r="542" spans="1:18" s="1" customFormat="1" hidden="1" x14ac:dyDescent="0.25">
      <c r="A542" s="7" t="s">
        <v>1040</v>
      </c>
      <c r="B542" s="13" t="s">
        <v>1041</v>
      </c>
      <c r="C542" s="7" t="s">
        <v>34</v>
      </c>
      <c r="D542" s="7" t="s">
        <v>35</v>
      </c>
      <c r="E542" s="7" t="s">
        <v>35</v>
      </c>
      <c r="F542" s="8">
        <v>0</v>
      </c>
      <c r="G542" s="20">
        <v>1</v>
      </c>
      <c r="H542" s="20">
        <v>0</v>
      </c>
      <c r="I542" s="20">
        <v>0</v>
      </c>
      <c r="J542" s="13" t="s">
        <v>36</v>
      </c>
      <c r="K542" s="13" t="s">
        <v>164</v>
      </c>
      <c r="L542" s="7" t="s">
        <v>256</v>
      </c>
      <c r="M542" s="7">
        <v>0.48299999999999998</v>
      </c>
      <c r="N542" s="9" t="s">
        <v>1716</v>
      </c>
      <c r="O542" s="9" t="s">
        <v>39</v>
      </c>
      <c r="P542" s="9"/>
      <c r="Q542" s="15"/>
      <c r="R542" s="9">
        <v>0</v>
      </c>
    </row>
    <row r="543" spans="1:18" s="1" customFormat="1" hidden="1" x14ac:dyDescent="0.25">
      <c r="A543" s="10" t="s">
        <v>1043</v>
      </c>
      <c r="B543" s="14" t="s">
        <v>1044</v>
      </c>
      <c r="C543" s="10" t="s">
        <v>34</v>
      </c>
      <c r="D543" s="10" t="s">
        <v>35</v>
      </c>
      <c r="E543" s="10" t="s">
        <v>35</v>
      </c>
      <c r="F543" s="11">
        <v>0</v>
      </c>
      <c r="G543" s="21">
        <v>1</v>
      </c>
      <c r="H543" s="21">
        <v>0</v>
      </c>
      <c r="I543" s="21">
        <v>0</v>
      </c>
      <c r="J543" s="14" t="s">
        <v>36</v>
      </c>
      <c r="K543" s="14" t="s">
        <v>37</v>
      </c>
      <c r="L543" s="10" t="s">
        <v>38</v>
      </c>
      <c r="M543" s="10">
        <v>0.3427</v>
      </c>
      <c r="N543" s="12" t="s">
        <v>1716</v>
      </c>
      <c r="O543" s="12" t="s">
        <v>39</v>
      </c>
      <c r="P543" s="12"/>
      <c r="Q543" s="16"/>
      <c r="R543" s="12">
        <v>0</v>
      </c>
    </row>
    <row r="544" spans="1:18" s="1" customFormat="1" hidden="1" x14ac:dyDescent="0.25">
      <c r="A544" s="10" t="s">
        <v>1043</v>
      </c>
      <c r="B544" s="14" t="s">
        <v>1044</v>
      </c>
      <c r="C544" s="10" t="s">
        <v>34</v>
      </c>
      <c r="D544" s="10" t="s">
        <v>35</v>
      </c>
      <c r="E544" s="10" t="s">
        <v>35</v>
      </c>
      <c r="F544" s="11">
        <v>0</v>
      </c>
      <c r="G544" s="21">
        <v>1</v>
      </c>
      <c r="H544" s="21">
        <v>0</v>
      </c>
      <c r="I544" s="21">
        <v>0</v>
      </c>
      <c r="J544" s="14" t="s">
        <v>36</v>
      </c>
      <c r="K544" s="14" t="s">
        <v>37</v>
      </c>
      <c r="L544" s="10" t="s">
        <v>40</v>
      </c>
      <c r="M544" s="10">
        <v>1.3389</v>
      </c>
      <c r="N544" s="12" t="s">
        <v>1716</v>
      </c>
      <c r="O544" s="12" t="s">
        <v>39</v>
      </c>
      <c r="P544" s="12"/>
      <c r="Q544" s="16"/>
      <c r="R544" s="12">
        <v>0</v>
      </c>
    </row>
    <row r="545" spans="1:18" s="1" customFormat="1" hidden="1" x14ac:dyDescent="0.25">
      <c r="A545" s="10" t="s">
        <v>1043</v>
      </c>
      <c r="B545" s="14" t="s">
        <v>1044</v>
      </c>
      <c r="C545" s="10" t="s">
        <v>34</v>
      </c>
      <c r="D545" s="10" t="s">
        <v>35</v>
      </c>
      <c r="E545" s="10" t="s">
        <v>35</v>
      </c>
      <c r="F545" s="11">
        <v>0</v>
      </c>
      <c r="G545" s="21">
        <v>1</v>
      </c>
      <c r="H545" s="21">
        <v>0</v>
      </c>
      <c r="I545" s="21">
        <v>0</v>
      </c>
      <c r="J545" s="14" t="s">
        <v>36</v>
      </c>
      <c r="K545" s="14" t="s">
        <v>37</v>
      </c>
      <c r="L545" s="10" t="s">
        <v>159</v>
      </c>
      <c r="M545" s="10">
        <v>0.1666</v>
      </c>
      <c r="N545" s="12" t="s">
        <v>1716</v>
      </c>
      <c r="O545" s="12" t="s">
        <v>39</v>
      </c>
      <c r="P545" s="12"/>
      <c r="Q545" s="16"/>
      <c r="R545" s="12">
        <v>0</v>
      </c>
    </row>
    <row r="546" spans="1:18" s="1" customFormat="1" hidden="1" x14ac:dyDescent="0.25">
      <c r="A546" s="10" t="s">
        <v>1043</v>
      </c>
      <c r="B546" s="14" t="s">
        <v>1044</v>
      </c>
      <c r="C546" s="10" t="s">
        <v>34</v>
      </c>
      <c r="D546" s="10" t="s">
        <v>35</v>
      </c>
      <c r="E546" s="10" t="s">
        <v>35</v>
      </c>
      <c r="F546" s="11">
        <v>0</v>
      </c>
      <c r="G546" s="21">
        <v>1</v>
      </c>
      <c r="H546" s="21">
        <v>0</v>
      </c>
      <c r="I546" s="21">
        <v>0</v>
      </c>
      <c r="J546" s="14" t="s">
        <v>36</v>
      </c>
      <c r="K546" s="14" t="s">
        <v>37</v>
      </c>
      <c r="L546" s="10" t="s">
        <v>41</v>
      </c>
      <c r="M546" s="10">
        <v>8.0199999999999994E-2</v>
      </c>
      <c r="N546" s="12" t="s">
        <v>1716</v>
      </c>
      <c r="O546" s="12" t="s">
        <v>39</v>
      </c>
      <c r="P546" s="12"/>
      <c r="Q546" s="16"/>
      <c r="R546" s="12">
        <v>0</v>
      </c>
    </row>
    <row r="547" spans="1:18" s="1" customFormat="1" hidden="1" x14ac:dyDescent="0.25">
      <c r="A547" s="7" t="s">
        <v>1045</v>
      </c>
      <c r="B547" s="13" t="s">
        <v>1046</v>
      </c>
      <c r="C547" s="7" t="s">
        <v>34</v>
      </c>
      <c r="D547" s="7" t="s">
        <v>35</v>
      </c>
      <c r="E547" s="7" t="s">
        <v>35</v>
      </c>
      <c r="F547" s="8">
        <v>0</v>
      </c>
      <c r="G547" s="20">
        <v>1</v>
      </c>
      <c r="H547" s="20">
        <v>0</v>
      </c>
      <c r="I547" s="20">
        <v>0</v>
      </c>
      <c r="J547" s="13" t="s">
        <v>36</v>
      </c>
      <c r="K547" s="13" t="s">
        <v>1047</v>
      </c>
      <c r="L547" s="7" t="s">
        <v>166</v>
      </c>
      <c r="M547" s="7">
        <v>0.16</v>
      </c>
      <c r="N547" s="9" t="s">
        <v>1716</v>
      </c>
      <c r="O547" s="9" t="s">
        <v>39</v>
      </c>
      <c r="P547" s="9"/>
      <c r="Q547" s="15"/>
      <c r="R547" s="9">
        <v>0</v>
      </c>
    </row>
    <row r="548" spans="1:18" s="1" customFormat="1" hidden="1" x14ac:dyDescent="0.25">
      <c r="A548" s="7" t="s">
        <v>1045</v>
      </c>
      <c r="B548" s="13" t="s">
        <v>1046</v>
      </c>
      <c r="C548" s="7" t="s">
        <v>34</v>
      </c>
      <c r="D548" s="7" t="s">
        <v>35</v>
      </c>
      <c r="E548" s="7" t="s">
        <v>35</v>
      </c>
      <c r="F548" s="8">
        <v>0</v>
      </c>
      <c r="G548" s="20">
        <v>1</v>
      </c>
      <c r="H548" s="20">
        <v>0</v>
      </c>
      <c r="I548" s="20">
        <v>0</v>
      </c>
      <c r="J548" s="13" t="s">
        <v>36</v>
      </c>
      <c r="K548" s="13" t="s">
        <v>1047</v>
      </c>
      <c r="L548" s="7" t="s">
        <v>38</v>
      </c>
      <c r="M548" s="7">
        <v>0.22</v>
      </c>
      <c r="N548" s="9" t="s">
        <v>1716</v>
      </c>
      <c r="O548" s="9" t="s">
        <v>39</v>
      </c>
      <c r="P548" s="9"/>
      <c r="Q548" s="15"/>
      <c r="R548" s="9">
        <v>0</v>
      </c>
    </row>
    <row r="549" spans="1:18" s="1" customFormat="1" hidden="1" x14ac:dyDescent="0.25">
      <c r="A549" s="10" t="s">
        <v>1048</v>
      </c>
      <c r="B549" s="14" t="s">
        <v>1049</v>
      </c>
      <c r="C549" s="10" t="s">
        <v>34</v>
      </c>
      <c r="D549" s="10" t="s">
        <v>35</v>
      </c>
      <c r="E549" s="10" t="s">
        <v>35</v>
      </c>
      <c r="F549" s="11">
        <v>0</v>
      </c>
      <c r="G549" s="21">
        <v>1</v>
      </c>
      <c r="H549" s="21">
        <v>0</v>
      </c>
      <c r="I549" s="21">
        <v>0</v>
      </c>
      <c r="J549" s="14" t="s">
        <v>36</v>
      </c>
      <c r="K549" s="14" t="s">
        <v>164</v>
      </c>
      <c r="L549" s="10" t="s">
        <v>1034</v>
      </c>
      <c r="M549" s="10">
        <v>0.24</v>
      </c>
      <c r="N549" s="12" t="s">
        <v>1716</v>
      </c>
      <c r="O549" s="12" t="s">
        <v>39</v>
      </c>
      <c r="P549" s="12"/>
      <c r="Q549" s="16"/>
      <c r="R549" s="12">
        <v>0</v>
      </c>
    </row>
    <row r="550" spans="1:18" s="1" customFormat="1" hidden="1" x14ac:dyDescent="0.25">
      <c r="A550" s="7" t="s">
        <v>1050</v>
      </c>
      <c r="B550" s="13" t="s">
        <v>1051</v>
      </c>
      <c r="C550" s="7" t="s">
        <v>34</v>
      </c>
      <c r="D550" s="7" t="s">
        <v>35</v>
      </c>
      <c r="E550" s="7" t="s">
        <v>35</v>
      </c>
      <c r="F550" s="8">
        <v>0</v>
      </c>
      <c r="G550" s="20">
        <v>1</v>
      </c>
      <c r="H550" s="20">
        <v>0</v>
      </c>
      <c r="I550" s="20">
        <v>0</v>
      </c>
      <c r="J550" s="13" t="s">
        <v>36</v>
      </c>
      <c r="K550" s="13" t="s">
        <v>164</v>
      </c>
      <c r="L550" s="7" t="s">
        <v>165</v>
      </c>
      <c r="M550" s="7">
        <v>6.0000000000000001E-3</v>
      </c>
      <c r="N550" s="9" t="s">
        <v>1716</v>
      </c>
      <c r="O550" s="9" t="s">
        <v>39</v>
      </c>
      <c r="P550" s="9"/>
      <c r="Q550" s="15"/>
      <c r="R550" s="9">
        <v>0</v>
      </c>
    </row>
    <row r="551" spans="1:18" s="1" customFormat="1" hidden="1" x14ac:dyDescent="0.25">
      <c r="A551" s="7" t="s">
        <v>1050</v>
      </c>
      <c r="B551" s="13" t="s">
        <v>1051</v>
      </c>
      <c r="C551" s="7" t="s">
        <v>34</v>
      </c>
      <c r="D551" s="7" t="s">
        <v>35</v>
      </c>
      <c r="E551" s="7" t="s">
        <v>35</v>
      </c>
      <c r="F551" s="8">
        <v>0</v>
      </c>
      <c r="G551" s="20">
        <v>1</v>
      </c>
      <c r="H551" s="20">
        <v>0</v>
      </c>
      <c r="I551" s="20">
        <v>0</v>
      </c>
      <c r="J551" s="13" t="s">
        <v>36</v>
      </c>
      <c r="K551" s="13" t="s">
        <v>164</v>
      </c>
      <c r="L551" s="7" t="s">
        <v>166</v>
      </c>
      <c r="M551" s="7">
        <v>0.1067</v>
      </c>
      <c r="N551" s="9" t="s">
        <v>1716</v>
      </c>
      <c r="O551" s="9" t="s">
        <v>39</v>
      </c>
      <c r="P551" s="9"/>
      <c r="Q551" s="15"/>
      <c r="R551" s="9">
        <v>0</v>
      </c>
    </row>
    <row r="552" spans="1:18" s="1" customFormat="1" hidden="1" x14ac:dyDescent="0.25">
      <c r="A552" s="7" t="s">
        <v>1050</v>
      </c>
      <c r="B552" s="13" t="s">
        <v>1051</v>
      </c>
      <c r="C552" s="7" t="s">
        <v>34</v>
      </c>
      <c r="D552" s="7" t="s">
        <v>35</v>
      </c>
      <c r="E552" s="7" t="s">
        <v>35</v>
      </c>
      <c r="F552" s="8">
        <v>0</v>
      </c>
      <c r="G552" s="20">
        <v>1</v>
      </c>
      <c r="H552" s="20">
        <v>0</v>
      </c>
      <c r="I552" s="20">
        <v>0</v>
      </c>
      <c r="J552" s="13" t="s">
        <v>36</v>
      </c>
      <c r="K552" s="13" t="s">
        <v>164</v>
      </c>
      <c r="L552" s="7" t="s">
        <v>167</v>
      </c>
      <c r="M552" s="7">
        <v>0.7</v>
      </c>
      <c r="N552" s="9" t="s">
        <v>1716</v>
      </c>
      <c r="O552" s="9" t="s">
        <v>39</v>
      </c>
      <c r="P552" s="9"/>
      <c r="Q552" s="15"/>
      <c r="R552" s="9">
        <v>0</v>
      </c>
    </row>
    <row r="553" spans="1:18" s="1" customFormat="1" hidden="1" x14ac:dyDescent="0.25">
      <c r="A553" s="10" t="s">
        <v>1052</v>
      </c>
      <c r="B553" s="14" t="s">
        <v>1053</v>
      </c>
      <c r="C553" s="10" t="s">
        <v>34</v>
      </c>
      <c r="D553" s="10" t="s">
        <v>35</v>
      </c>
      <c r="E553" s="10" t="s">
        <v>35</v>
      </c>
      <c r="F553" s="11">
        <v>0</v>
      </c>
      <c r="G553" s="21">
        <v>1</v>
      </c>
      <c r="H553" s="21">
        <v>0</v>
      </c>
      <c r="I553" s="21">
        <v>0</v>
      </c>
      <c r="J553" s="14" t="s">
        <v>36</v>
      </c>
      <c r="K553" s="14" t="s">
        <v>164</v>
      </c>
      <c r="L553" s="10" t="s">
        <v>257</v>
      </c>
      <c r="M553" s="10">
        <v>6.4000000000000003E-3</v>
      </c>
      <c r="N553" s="12" t="s">
        <v>1716</v>
      </c>
      <c r="O553" s="12" t="s">
        <v>39</v>
      </c>
      <c r="P553" s="12"/>
      <c r="Q553" s="16"/>
      <c r="R553" s="12">
        <v>0</v>
      </c>
    </row>
    <row r="554" spans="1:18" s="1" customFormat="1" hidden="1" x14ac:dyDescent="0.25">
      <c r="A554" s="10" t="s">
        <v>1052</v>
      </c>
      <c r="B554" s="14" t="s">
        <v>1053</v>
      </c>
      <c r="C554" s="10" t="s">
        <v>34</v>
      </c>
      <c r="D554" s="10" t="s">
        <v>35</v>
      </c>
      <c r="E554" s="10" t="s">
        <v>35</v>
      </c>
      <c r="F554" s="11">
        <v>0</v>
      </c>
      <c r="G554" s="21">
        <v>1</v>
      </c>
      <c r="H554" s="21">
        <v>0</v>
      </c>
      <c r="I554" s="21">
        <v>0</v>
      </c>
      <c r="J554" s="14" t="s">
        <v>36</v>
      </c>
      <c r="K554" s="14" t="s">
        <v>164</v>
      </c>
      <c r="L554" s="10" t="s">
        <v>165</v>
      </c>
      <c r="M554" s="10">
        <v>0.01</v>
      </c>
      <c r="N554" s="12" t="s">
        <v>1716</v>
      </c>
      <c r="O554" s="12" t="s">
        <v>39</v>
      </c>
      <c r="P554" s="12"/>
      <c r="Q554" s="16"/>
      <c r="R554" s="12">
        <v>0</v>
      </c>
    </row>
    <row r="555" spans="1:18" s="1" customFormat="1" hidden="1" x14ac:dyDescent="0.25">
      <c r="A555" s="10" t="s">
        <v>1052</v>
      </c>
      <c r="B555" s="14" t="s">
        <v>1053</v>
      </c>
      <c r="C555" s="10" t="s">
        <v>34</v>
      </c>
      <c r="D555" s="10" t="s">
        <v>35</v>
      </c>
      <c r="E555" s="10" t="s">
        <v>35</v>
      </c>
      <c r="F555" s="11">
        <v>0</v>
      </c>
      <c r="G555" s="21">
        <v>1</v>
      </c>
      <c r="H555" s="21">
        <v>0</v>
      </c>
      <c r="I555" s="21">
        <v>0</v>
      </c>
      <c r="J555" s="14" t="s">
        <v>36</v>
      </c>
      <c r="K555" s="14" t="s">
        <v>164</v>
      </c>
      <c r="L555" s="10" t="s">
        <v>1042</v>
      </c>
      <c r="M555" s="10">
        <v>0.20599999999999999</v>
      </c>
      <c r="N555" s="12" t="s">
        <v>1716</v>
      </c>
      <c r="O555" s="12" t="s">
        <v>39</v>
      </c>
      <c r="P555" s="12"/>
      <c r="Q555" s="16"/>
      <c r="R555" s="12">
        <v>0</v>
      </c>
    </row>
    <row r="556" spans="1:18" s="1" customFormat="1" hidden="1" x14ac:dyDescent="0.25">
      <c r="A556" s="10" t="s">
        <v>1052</v>
      </c>
      <c r="B556" s="14" t="s">
        <v>1053</v>
      </c>
      <c r="C556" s="10" t="s">
        <v>34</v>
      </c>
      <c r="D556" s="10" t="s">
        <v>35</v>
      </c>
      <c r="E556" s="10" t="s">
        <v>35</v>
      </c>
      <c r="F556" s="11">
        <v>0</v>
      </c>
      <c r="G556" s="21">
        <v>1</v>
      </c>
      <c r="H556" s="21">
        <v>0</v>
      </c>
      <c r="I556" s="21">
        <v>0</v>
      </c>
      <c r="J556" s="14" t="s">
        <v>36</v>
      </c>
      <c r="K556" s="14" t="s">
        <v>164</v>
      </c>
      <c r="L556" s="10" t="s">
        <v>256</v>
      </c>
      <c r="M556" s="10">
        <v>0.48299999999999998</v>
      </c>
      <c r="N556" s="12" t="s">
        <v>1716</v>
      </c>
      <c r="O556" s="12" t="s">
        <v>39</v>
      </c>
      <c r="P556" s="12"/>
      <c r="Q556" s="16"/>
      <c r="R556" s="12">
        <v>0</v>
      </c>
    </row>
    <row r="557" spans="1:18" s="1" customFormat="1" hidden="1" x14ac:dyDescent="0.25">
      <c r="A557" s="7" t="s">
        <v>1054</v>
      </c>
      <c r="B557" s="13" t="s">
        <v>1055</v>
      </c>
      <c r="C557" s="7" t="s">
        <v>34</v>
      </c>
      <c r="D557" s="7" t="s">
        <v>35</v>
      </c>
      <c r="E557" s="7" t="s">
        <v>35</v>
      </c>
      <c r="F557" s="8">
        <v>0</v>
      </c>
      <c r="G557" s="20">
        <v>1</v>
      </c>
      <c r="H557" s="20">
        <v>0</v>
      </c>
      <c r="I557" s="20">
        <v>0</v>
      </c>
      <c r="J557" s="13" t="s">
        <v>83</v>
      </c>
      <c r="K557" s="13" t="s">
        <v>35</v>
      </c>
      <c r="L557" s="7" t="s">
        <v>1056</v>
      </c>
      <c r="M557" s="7">
        <v>3.6400000000000002E-2</v>
      </c>
      <c r="N557" s="9" t="s">
        <v>1716</v>
      </c>
      <c r="O557" s="9" t="s">
        <v>39</v>
      </c>
      <c r="P557" s="9"/>
      <c r="Q557" s="15"/>
      <c r="R557" s="9">
        <v>0</v>
      </c>
    </row>
    <row r="558" spans="1:18" s="1" customFormat="1" hidden="1" x14ac:dyDescent="0.25">
      <c r="A558" s="7" t="s">
        <v>1054</v>
      </c>
      <c r="B558" s="13" t="s">
        <v>1055</v>
      </c>
      <c r="C558" s="7" t="s">
        <v>34</v>
      </c>
      <c r="D558" s="7" t="s">
        <v>35</v>
      </c>
      <c r="E558" s="7" t="s">
        <v>35</v>
      </c>
      <c r="F558" s="8">
        <v>0</v>
      </c>
      <c r="G558" s="20">
        <v>1</v>
      </c>
      <c r="H558" s="20">
        <v>0</v>
      </c>
      <c r="I558" s="20">
        <v>0</v>
      </c>
      <c r="J558" s="13" t="s">
        <v>83</v>
      </c>
      <c r="K558" s="13" t="s">
        <v>35</v>
      </c>
      <c r="L558" s="7" t="s">
        <v>1057</v>
      </c>
      <c r="M558" s="7">
        <v>2.0000000000000001E-4</v>
      </c>
      <c r="N558" s="9" t="s">
        <v>1716</v>
      </c>
      <c r="O558" s="9" t="s">
        <v>39</v>
      </c>
      <c r="P558" s="9"/>
      <c r="Q558" s="15"/>
      <c r="R558" s="9">
        <v>0</v>
      </c>
    </row>
    <row r="559" spans="1:18" s="1" customFormat="1" hidden="1" x14ac:dyDescent="0.25">
      <c r="A559" s="7" t="s">
        <v>1054</v>
      </c>
      <c r="B559" s="13" t="s">
        <v>1055</v>
      </c>
      <c r="C559" s="7" t="s">
        <v>34</v>
      </c>
      <c r="D559" s="7" t="s">
        <v>35</v>
      </c>
      <c r="E559" s="7" t="s">
        <v>35</v>
      </c>
      <c r="F559" s="8">
        <v>0</v>
      </c>
      <c r="G559" s="20">
        <v>1</v>
      </c>
      <c r="H559" s="20">
        <v>0</v>
      </c>
      <c r="I559" s="20">
        <v>0</v>
      </c>
      <c r="J559" s="13" t="s">
        <v>83</v>
      </c>
      <c r="K559" s="13" t="s">
        <v>35</v>
      </c>
      <c r="L559" s="7" t="s">
        <v>534</v>
      </c>
      <c r="M559" s="7">
        <v>1E-4</v>
      </c>
      <c r="N559" s="9" t="s">
        <v>1716</v>
      </c>
      <c r="O559" s="9" t="s">
        <v>39</v>
      </c>
      <c r="P559" s="9"/>
      <c r="Q559" s="15"/>
      <c r="R559" s="9">
        <v>0</v>
      </c>
    </row>
    <row r="560" spans="1:18" s="1" customFormat="1" hidden="1" x14ac:dyDescent="0.25">
      <c r="A560" s="10" t="s">
        <v>1058</v>
      </c>
      <c r="B560" s="14" t="s">
        <v>1059</v>
      </c>
      <c r="C560" s="10" t="s">
        <v>34</v>
      </c>
      <c r="D560" s="10" t="s">
        <v>35</v>
      </c>
      <c r="E560" s="10" t="s">
        <v>35</v>
      </c>
      <c r="F560" s="11">
        <v>0</v>
      </c>
      <c r="G560" s="21">
        <v>1</v>
      </c>
      <c r="H560" s="21">
        <v>0</v>
      </c>
      <c r="I560" s="21">
        <v>0</v>
      </c>
      <c r="J560" s="14" t="s">
        <v>279</v>
      </c>
      <c r="K560" s="14" t="s">
        <v>35</v>
      </c>
      <c r="L560" s="10" t="s">
        <v>1060</v>
      </c>
      <c r="M560" s="10">
        <v>1</v>
      </c>
      <c r="N560" s="12" t="s">
        <v>1716</v>
      </c>
      <c r="O560" s="12" t="s">
        <v>39</v>
      </c>
      <c r="P560" s="12"/>
      <c r="Q560" s="16"/>
      <c r="R560" s="12">
        <v>0</v>
      </c>
    </row>
    <row r="561" spans="1:18" s="1" customFormat="1" hidden="1" x14ac:dyDescent="0.25">
      <c r="A561" s="10" t="s">
        <v>1058</v>
      </c>
      <c r="B561" s="14" t="s">
        <v>1059</v>
      </c>
      <c r="C561" s="10" t="s">
        <v>34</v>
      </c>
      <c r="D561" s="10" t="s">
        <v>35</v>
      </c>
      <c r="E561" s="10" t="s">
        <v>35</v>
      </c>
      <c r="F561" s="11">
        <v>0</v>
      </c>
      <c r="G561" s="21">
        <v>1</v>
      </c>
      <c r="H561" s="21">
        <v>0</v>
      </c>
      <c r="I561" s="21">
        <v>0</v>
      </c>
      <c r="J561" s="14" t="s">
        <v>279</v>
      </c>
      <c r="K561" s="14" t="s">
        <v>35</v>
      </c>
      <c r="L561" s="10" t="s">
        <v>1061</v>
      </c>
      <c r="M561" s="10">
        <v>1</v>
      </c>
      <c r="N561" s="12" t="s">
        <v>1716</v>
      </c>
      <c r="O561" s="12" t="s">
        <v>39</v>
      </c>
      <c r="P561" s="12"/>
      <c r="Q561" s="16"/>
      <c r="R561" s="12">
        <v>0</v>
      </c>
    </row>
    <row r="562" spans="1:18" s="1" customFormat="1" hidden="1" x14ac:dyDescent="0.25">
      <c r="A562" s="7" t="s">
        <v>1062</v>
      </c>
      <c r="B562" s="13" t="s">
        <v>1063</v>
      </c>
      <c r="C562" s="7" t="s">
        <v>75</v>
      </c>
      <c r="D562" s="7" t="s">
        <v>35</v>
      </c>
      <c r="E562" s="7" t="s">
        <v>35</v>
      </c>
      <c r="F562" s="8">
        <v>0</v>
      </c>
      <c r="G562" s="20">
        <v>1</v>
      </c>
      <c r="H562" s="20">
        <v>0</v>
      </c>
      <c r="I562" s="20">
        <v>0</v>
      </c>
      <c r="J562" s="13" t="s">
        <v>525</v>
      </c>
      <c r="K562" s="13" t="s">
        <v>35</v>
      </c>
      <c r="L562" s="7" t="s">
        <v>670</v>
      </c>
      <c r="M562" s="7">
        <v>1.6612</v>
      </c>
      <c r="N562" s="9" t="s">
        <v>1716</v>
      </c>
      <c r="O562" s="9" t="s">
        <v>39</v>
      </c>
      <c r="P562" s="9"/>
      <c r="Q562" s="15"/>
      <c r="R562" s="9">
        <v>0</v>
      </c>
    </row>
    <row r="563" spans="1:18" s="1" customFormat="1" hidden="1" x14ac:dyDescent="0.25">
      <c r="A563" s="7" t="s">
        <v>1062</v>
      </c>
      <c r="B563" s="13" t="s">
        <v>1063</v>
      </c>
      <c r="C563" s="7" t="s">
        <v>75</v>
      </c>
      <c r="D563" s="7" t="s">
        <v>35</v>
      </c>
      <c r="E563" s="7" t="s">
        <v>35</v>
      </c>
      <c r="F563" s="8">
        <v>0</v>
      </c>
      <c r="G563" s="20">
        <v>1</v>
      </c>
      <c r="H563" s="20">
        <v>0</v>
      </c>
      <c r="I563" s="20">
        <v>0</v>
      </c>
      <c r="J563" s="13" t="s">
        <v>525</v>
      </c>
      <c r="K563" s="13" t="s">
        <v>35</v>
      </c>
      <c r="L563" s="7" t="s">
        <v>647</v>
      </c>
      <c r="M563" s="7">
        <v>0.12379999999999999</v>
      </c>
      <c r="N563" s="9" t="s">
        <v>1716</v>
      </c>
      <c r="O563" s="9" t="s">
        <v>39</v>
      </c>
      <c r="P563" s="9"/>
      <c r="Q563" s="15"/>
      <c r="R563" s="9">
        <v>0</v>
      </c>
    </row>
    <row r="564" spans="1:18" s="1" customFormat="1" hidden="1" x14ac:dyDescent="0.25">
      <c r="A564" s="7" t="s">
        <v>1062</v>
      </c>
      <c r="B564" s="13" t="s">
        <v>1063</v>
      </c>
      <c r="C564" s="7" t="s">
        <v>75</v>
      </c>
      <c r="D564" s="7" t="s">
        <v>35</v>
      </c>
      <c r="E564" s="7" t="s">
        <v>35</v>
      </c>
      <c r="F564" s="8">
        <v>0</v>
      </c>
      <c r="G564" s="20">
        <v>1</v>
      </c>
      <c r="H564" s="20">
        <v>0</v>
      </c>
      <c r="I564" s="20">
        <v>0</v>
      </c>
      <c r="J564" s="13" t="s">
        <v>525</v>
      </c>
      <c r="K564" s="13" t="s">
        <v>35</v>
      </c>
      <c r="L564" s="7" t="s">
        <v>1064</v>
      </c>
      <c r="M564" s="7">
        <v>0.4</v>
      </c>
      <c r="N564" s="9" t="s">
        <v>1716</v>
      </c>
      <c r="O564" s="9" t="s">
        <v>39</v>
      </c>
      <c r="P564" s="9"/>
      <c r="Q564" s="15"/>
      <c r="R564" s="9">
        <v>0</v>
      </c>
    </row>
    <row r="565" spans="1:18" s="1" customFormat="1" hidden="1" x14ac:dyDescent="0.25">
      <c r="A565" s="7" t="s">
        <v>1062</v>
      </c>
      <c r="B565" s="13" t="s">
        <v>1063</v>
      </c>
      <c r="C565" s="7" t="s">
        <v>75</v>
      </c>
      <c r="D565" s="7" t="s">
        <v>35</v>
      </c>
      <c r="E565" s="7" t="s">
        <v>35</v>
      </c>
      <c r="F565" s="8">
        <v>0</v>
      </c>
      <c r="G565" s="20">
        <v>1</v>
      </c>
      <c r="H565" s="20">
        <v>0</v>
      </c>
      <c r="I565" s="20">
        <v>0</v>
      </c>
      <c r="J565" s="13" t="s">
        <v>525</v>
      </c>
      <c r="K565" s="13" t="s">
        <v>35</v>
      </c>
      <c r="L565" s="7" t="s">
        <v>663</v>
      </c>
      <c r="M565" s="7">
        <v>2.9270000000000001E-2</v>
      </c>
      <c r="N565" s="9" t="s">
        <v>1716</v>
      </c>
      <c r="O565" s="9" t="s">
        <v>39</v>
      </c>
      <c r="P565" s="9"/>
      <c r="Q565" s="15"/>
      <c r="R565" s="9">
        <v>0</v>
      </c>
    </row>
    <row r="566" spans="1:18" s="1" customFormat="1" hidden="1" x14ac:dyDescent="0.25">
      <c r="A566" s="10" t="s">
        <v>1065</v>
      </c>
      <c r="B566" s="14" t="s">
        <v>1066</v>
      </c>
      <c r="C566" s="10" t="s">
        <v>75</v>
      </c>
      <c r="D566" s="10" t="s">
        <v>35</v>
      </c>
      <c r="E566" s="10" t="s">
        <v>35</v>
      </c>
      <c r="F566" s="11">
        <v>0</v>
      </c>
      <c r="G566" s="21">
        <v>1</v>
      </c>
      <c r="H566" s="21">
        <v>0</v>
      </c>
      <c r="I566" s="21">
        <v>0</v>
      </c>
      <c r="J566" s="14" t="s">
        <v>525</v>
      </c>
      <c r="K566" s="14" t="s">
        <v>35</v>
      </c>
      <c r="L566" s="10" t="s">
        <v>670</v>
      </c>
      <c r="M566" s="10">
        <v>1.0615000000000001</v>
      </c>
      <c r="N566" s="12" t="s">
        <v>1716</v>
      </c>
      <c r="O566" s="12" t="s">
        <v>39</v>
      </c>
      <c r="P566" s="12"/>
      <c r="Q566" s="16"/>
      <c r="R566" s="12">
        <v>0</v>
      </c>
    </row>
    <row r="567" spans="1:18" s="1" customFormat="1" hidden="1" x14ac:dyDescent="0.25">
      <c r="A567" s="10" t="s">
        <v>1065</v>
      </c>
      <c r="B567" s="14" t="s">
        <v>1066</v>
      </c>
      <c r="C567" s="10" t="s">
        <v>75</v>
      </c>
      <c r="D567" s="10" t="s">
        <v>35</v>
      </c>
      <c r="E567" s="10" t="s">
        <v>35</v>
      </c>
      <c r="F567" s="11">
        <v>0</v>
      </c>
      <c r="G567" s="21">
        <v>1</v>
      </c>
      <c r="H567" s="21">
        <v>0</v>
      </c>
      <c r="I567" s="21">
        <v>0</v>
      </c>
      <c r="J567" s="14" t="s">
        <v>525</v>
      </c>
      <c r="K567" s="14" t="s">
        <v>35</v>
      </c>
      <c r="L567" s="10" t="s">
        <v>647</v>
      </c>
      <c r="M567" s="10">
        <v>0.1004</v>
      </c>
      <c r="N567" s="12" t="s">
        <v>1716</v>
      </c>
      <c r="O567" s="12" t="s">
        <v>39</v>
      </c>
      <c r="P567" s="12"/>
      <c r="Q567" s="16"/>
      <c r="R567" s="12">
        <v>0</v>
      </c>
    </row>
    <row r="568" spans="1:18" s="1" customFormat="1" hidden="1" x14ac:dyDescent="0.25">
      <c r="A568" s="10" t="s">
        <v>1065</v>
      </c>
      <c r="B568" s="14" t="s">
        <v>1066</v>
      </c>
      <c r="C568" s="10" t="s">
        <v>75</v>
      </c>
      <c r="D568" s="10" t="s">
        <v>35</v>
      </c>
      <c r="E568" s="10" t="s">
        <v>35</v>
      </c>
      <c r="F568" s="11">
        <v>0</v>
      </c>
      <c r="G568" s="21">
        <v>1</v>
      </c>
      <c r="H568" s="21">
        <v>0</v>
      </c>
      <c r="I568" s="21">
        <v>0</v>
      </c>
      <c r="J568" s="14" t="s">
        <v>525</v>
      </c>
      <c r="K568" s="14" t="s">
        <v>35</v>
      </c>
      <c r="L568" s="10" t="s">
        <v>1064</v>
      </c>
      <c r="M568" s="10">
        <v>0.4</v>
      </c>
      <c r="N568" s="12" t="s">
        <v>1716</v>
      </c>
      <c r="O568" s="12" t="s">
        <v>39</v>
      </c>
      <c r="P568" s="12"/>
      <c r="Q568" s="16"/>
      <c r="R568" s="12">
        <v>0</v>
      </c>
    </row>
    <row r="569" spans="1:18" s="1" customFormat="1" hidden="1" x14ac:dyDescent="0.25">
      <c r="A569" s="10" t="s">
        <v>1065</v>
      </c>
      <c r="B569" s="14" t="s">
        <v>1066</v>
      </c>
      <c r="C569" s="10" t="s">
        <v>75</v>
      </c>
      <c r="D569" s="10" t="s">
        <v>35</v>
      </c>
      <c r="E569" s="10" t="s">
        <v>35</v>
      </c>
      <c r="F569" s="11">
        <v>0</v>
      </c>
      <c r="G569" s="21">
        <v>1</v>
      </c>
      <c r="H569" s="21">
        <v>0</v>
      </c>
      <c r="I569" s="21">
        <v>0</v>
      </c>
      <c r="J569" s="14" t="s">
        <v>525</v>
      </c>
      <c r="K569" s="14" t="s">
        <v>35</v>
      </c>
      <c r="L569" s="10" t="s">
        <v>663</v>
      </c>
      <c r="M569" s="10">
        <v>2.8056999999999999E-2</v>
      </c>
      <c r="N569" s="12" t="s">
        <v>1716</v>
      </c>
      <c r="O569" s="12" t="s">
        <v>39</v>
      </c>
      <c r="P569" s="12"/>
      <c r="Q569" s="16"/>
      <c r="R569" s="12">
        <v>0</v>
      </c>
    </row>
    <row r="570" spans="1:18" s="1" customFormat="1" hidden="1" x14ac:dyDescent="0.25">
      <c r="A570" s="7" t="s">
        <v>1067</v>
      </c>
      <c r="B570" s="13" t="s">
        <v>1068</v>
      </c>
      <c r="C570" s="7" t="s">
        <v>75</v>
      </c>
      <c r="D570" s="7" t="s">
        <v>35</v>
      </c>
      <c r="E570" s="7" t="s">
        <v>35</v>
      </c>
      <c r="F570" s="8">
        <v>0</v>
      </c>
      <c r="G570" s="20">
        <v>1</v>
      </c>
      <c r="H570" s="20">
        <v>0</v>
      </c>
      <c r="I570" s="20">
        <v>0</v>
      </c>
      <c r="J570" s="13" t="s">
        <v>525</v>
      </c>
      <c r="K570" s="13" t="s">
        <v>35</v>
      </c>
      <c r="L570" s="7" t="s">
        <v>670</v>
      </c>
      <c r="M570" s="7">
        <v>1.6612</v>
      </c>
      <c r="N570" s="9" t="s">
        <v>1716</v>
      </c>
      <c r="O570" s="9" t="s">
        <v>39</v>
      </c>
      <c r="P570" s="9"/>
      <c r="Q570" s="15"/>
      <c r="R570" s="9">
        <v>0</v>
      </c>
    </row>
    <row r="571" spans="1:18" s="1" customFormat="1" hidden="1" x14ac:dyDescent="0.25">
      <c r="A571" s="7" t="s">
        <v>1067</v>
      </c>
      <c r="B571" s="13" t="s">
        <v>1068</v>
      </c>
      <c r="C571" s="7" t="s">
        <v>75</v>
      </c>
      <c r="D571" s="7" t="s">
        <v>35</v>
      </c>
      <c r="E571" s="7" t="s">
        <v>35</v>
      </c>
      <c r="F571" s="8">
        <v>0</v>
      </c>
      <c r="G571" s="20">
        <v>1</v>
      </c>
      <c r="H571" s="20">
        <v>0</v>
      </c>
      <c r="I571" s="20">
        <v>0</v>
      </c>
      <c r="J571" s="13" t="s">
        <v>525</v>
      </c>
      <c r="K571" s="13" t="s">
        <v>35</v>
      </c>
      <c r="L571" s="7" t="s">
        <v>647</v>
      </c>
      <c r="M571" s="7">
        <v>0.12379999999999999</v>
      </c>
      <c r="N571" s="9" t="s">
        <v>1716</v>
      </c>
      <c r="O571" s="9" t="s">
        <v>39</v>
      </c>
      <c r="P571" s="9"/>
      <c r="Q571" s="15"/>
      <c r="R571" s="9">
        <v>0</v>
      </c>
    </row>
    <row r="572" spans="1:18" s="1" customFormat="1" hidden="1" x14ac:dyDescent="0.25">
      <c r="A572" s="7" t="s">
        <v>1067</v>
      </c>
      <c r="B572" s="13" t="s">
        <v>1068</v>
      </c>
      <c r="C572" s="7" t="s">
        <v>75</v>
      </c>
      <c r="D572" s="7" t="s">
        <v>35</v>
      </c>
      <c r="E572" s="7" t="s">
        <v>35</v>
      </c>
      <c r="F572" s="8">
        <v>0</v>
      </c>
      <c r="G572" s="20">
        <v>1</v>
      </c>
      <c r="H572" s="20">
        <v>0</v>
      </c>
      <c r="I572" s="20">
        <v>0</v>
      </c>
      <c r="J572" s="13" t="s">
        <v>525</v>
      </c>
      <c r="K572" s="13" t="s">
        <v>35</v>
      </c>
      <c r="L572" s="7" t="s">
        <v>1064</v>
      </c>
      <c r="M572" s="7">
        <v>0.4</v>
      </c>
      <c r="N572" s="9" t="s">
        <v>1716</v>
      </c>
      <c r="O572" s="9" t="s">
        <v>39</v>
      </c>
      <c r="P572" s="9"/>
      <c r="Q572" s="15"/>
      <c r="R572" s="9">
        <v>0</v>
      </c>
    </row>
    <row r="573" spans="1:18" s="1" customFormat="1" hidden="1" x14ac:dyDescent="0.25">
      <c r="A573" s="7" t="s">
        <v>1067</v>
      </c>
      <c r="B573" s="13" t="s">
        <v>1068</v>
      </c>
      <c r="C573" s="7" t="s">
        <v>75</v>
      </c>
      <c r="D573" s="7" t="s">
        <v>35</v>
      </c>
      <c r="E573" s="7" t="s">
        <v>35</v>
      </c>
      <c r="F573" s="8">
        <v>0</v>
      </c>
      <c r="G573" s="20">
        <v>1</v>
      </c>
      <c r="H573" s="20">
        <v>0</v>
      </c>
      <c r="I573" s="20">
        <v>0</v>
      </c>
      <c r="J573" s="13" t="s">
        <v>525</v>
      </c>
      <c r="K573" s="13" t="s">
        <v>35</v>
      </c>
      <c r="L573" s="7" t="s">
        <v>663</v>
      </c>
      <c r="M573" s="7">
        <v>2.9271999999999999E-2</v>
      </c>
      <c r="N573" s="9" t="s">
        <v>1716</v>
      </c>
      <c r="O573" s="9" t="s">
        <v>39</v>
      </c>
      <c r="P573" s="9"/>
      <c r="Q573" s="15"/>
      <c r="R573" s="9">
        <v>0</v>
      </c>
    </row>
    <row r="574" spans="1:18" s="1" customFormat="1" hidden="1" x14ac:dyDescent="0.25">
      <c r="A574" s="10" t="s">
        <v>1069</v>
      </c>
      <c r="B574" s="14" t="s">
        <v>1070</v>
      </c>
      <c r="C574" s="10" t="s">
        <v>111</v>
      </c>
      <c r="D574" s="10" t="s">
        <v>35</v>
      </c>
      <c r="E574" s="10" t="s">
        <v>35</v>
      </c>
      <c r="F574" s="11">
        <v>0</v>
      </c>
      <c r="G574" s="21">
        <v>1</v>
      </c>
      <c r="H574" s="21">
        <v>0</v>
      </c>
      <c r="I574" s="21">
        <v>0</v>
      </c>
      <c r="J574" s="14" t="s">
        <v>67</v>
      </c>
      <c r="K574" s="14" t="s">
        <v>35</v>
      </c>
      <c r="L574" s="10" t="s">
        <v>1071</v>
      </c>
      <c r="M574" s="10">
        <v>1</v>
      </c>
      <c r="N574" s="12" t="s">
        <v>1716</v>
      </c>
      <c r="O574" s="12" t="s">
        <v>39</v>
      </c>
      <c r="P574" s="12"/>
      <c r="Q574" s="16"/>
      <c r="R574" s="12">
        <v>0</v>
      </c>
    </row>
    <row r="575" spans="1:18" s="1" customFormat="1" hidden="1" x14ac:dyDescent="0.25">
      <c r="A575" s="7" t="s">
        <v>1072</v>
      </c>
      <c r="B575" s="13" t="s">
        <v>1073</v>
      </c>
      <c r="C575" s="7" t="s">
        <v>111</v>
      </c>
      <c r="D575" s="7" t="s">
        <v>35</v>
      </c>
      <c r="E575" s="7" t="s">
        <v>35</v>
      </c>
      <c r="F575" s="8">
        <v>0</v>
      </c>
      <c r="G575" s="20">
        <v>1</v>
      </c>
      <c r="H575" s="20">
        <v>0</v>
      </c>
      <c r="I575" s="20">
        <v>0</v>
      </c>
      <c r="J575" s="13" t="s">
        <v>67</v>
      </c>
      <c r="K575" s="13" t="s">
        <v>35</v>
      </c>
      <c r="L575" s="7" t="s">
        <v>1074</v>
      </c>
      <c r="M575" s="7">
        <v>1</v>
      </c>
      <c r="N575" s="9" t="s">
        <v>1716</v>
      </c>
      <c r="O575" s="9" t="s">
        <v>39</v>
      </c>
      <c r="P575" s="9"/>
      <c r="Q575" s="15"/>
      <c r="R575" s="9">
        <v>0</v>
      </c>
    </row>
    <row r="576" spans="1:18" s="1" customFormat="1" hidden="1" x14ac:dyDescent="0.25">
      <c r="A576" s="10" t="s">
        <v>1075</v>
      </c>
      <c r="B576" s="14" t="s">
        <v>1076</v>
      </c>
      <c r="C576" s="10" t="s">
        <v>111</v>
      </c>
      <c r="D576" s="10" t="s">
        <v>35</v>
      </c>
      <c r="E576" s="10" t="s">
        <v>35</v>
      </c>
      <c r="F576" s="11">
        <v>0</v>
      </c>
      <c r="G576" s="21">
        <v>1</v>
      </c>
      <c r="H576" s="21">
        <v>0</v>
      </c>
      <c r="I576" s="21">
        <v>0</v>
      </c>
      <c r="J576" s="14" t="s">
        <v>67</v>
      </c>
      <c r="K576" s="14" t="s">
        <v>35</v>
      </c>
      <c r="L576" s="10" t="s">
        <v>127</v>
      </c>
      <c r="M576" s="10">
        <v>0.38600000000000001</v>
      </c>
      <c r="N576" s="12" t="s">
        <v>1716</v>
      </c>
      <c r="O576" s="12" t="s">
        <v>39</v>
      </c>
      <c r="P576" s="12"/>
      <c r="Q576" s="16"/>
      <c r="R576" s="12">
        <v>0</v>
      </c>
    </row>
    <row r="577" spans="1:18" s="1" customFormat="1" hidden="1" x14ac:dyDescent="0.25">
      <c r="A577" s="10" t="s">
        <v>1075</v>
      </c>
      <c r="B577" s="14" t="s">
        <v>1076</v>
      </c>
      <c r="C577" s="10" t="s">
        <v>111</v>
      </c>
      <c r="D577" s="10" t="s">
        <v>35</v>
      </c>
      <c r="E577" s="10" t="s">
        <v>35</v>
      </c>
      <c r="F577" s="11">
        <v>0</v>
      </c>
      <c r="G577" s="21">
        <v>1</v>
      </c>
      <c r="H577" s="21">
        <v>0</v>
      </c>
      <c r="I577" s="21">
        <v>0</v>
      </c>
      <c r="J577" s="14" t="s">
        <v>67</v>
      </c>
      <c r="K577" s="14" t="s">
        <v>35</v>
      </c>
      <c r="L577" s="10" t="s">
        <v>1077</v>
      </c>
      <c r="M577" s="10">
        <v>1</v>
      </c>
      <c r="N577" s="12" t="s">
        <v>1716</v>
      </c>
      <c r="O577" s="12" t="s">
        <v>39</v>
      </c>
      <c r="P577" s="12"/>
      <c r="Q577" s="16"/>
      <c r="R577" s="12">
        <v>0</v>
      </c>
    </row>
    <row r="578" spans="1:18" s="1" customFormat="1" hidden="1" x14ac:dyDescent="0.25">
      <c r="A578" s="10" t="s">
        <v>1075</v>
      </c>
      <c r="B578" s="14" t="s">
        <v>1076</v>
      </c>
      <c r="C578" s="10" t="s">
        <v>111</v>
      </c>
      <c r="D578" s="10" t="s">
        <v>35</v>
      </c>
      <c r="E578" s="10" t="s">
        <v>35</v>
      </c>
      <c r="F578" s="11">
        <v>0</v>
      </c>
      <c r="G578" s="21">
        <v>1</v>
      </c>
      <c r="H578" s="21">
        <v>0</v>
      </c>
      <c r="I578" s="21">
        <v>0</v>
      </c>
      <c r="J578" s="14" t="s">
        <v>67</v>
      </c>
      <c r="K578" s="14" t="s">
        <v>35</v>
      </c>
      <c r="L578" s="10" t="s">
        <v>128</v>
      </c>
      <c r="M578" s="10">
        <v>3</v>
      </c>
      <c r="N578" s="12" t="s">
        <v>1716</v>
      </c>
      <c r="O578" s="12" t="s">
        <v>39</v>
      </c>
      <c r="P578" s="12"/>
      <c r="Q578" s="16"/>
      <c r="R578" s="12">
        <v>0</v>
      </c>
    </row>
    <row r="579" spans="1:18" s="1" customFormat="1" hidden="1" x14ac:dyDescent="0.25">
      <c r="A579" s="10" t="s">
        <v>1075</v>
      </c>
      <c r="B579" s="14" t="s">
        <v>1076</v>
      </c>
      <c r="C579" s="10" t="s">
        <v>111</v>
      </c>
      <c r="D579" s="10" t="s">
        <v>35</v>
      </c>
      <c r="E579" s="10" t="s">
        <v>35</v>
      </c>
      <c r="F579" s="11">
        <v>0</v>
      </c>
      <c r="G579" s="21">
        <v>1</v>
      </c>
      <c r="H579" s="21">
        <v>0</v>
      </c>
      <c r="I579" s="21">
        <v>0</v>
      </c>
      <c r="J579" s="14" t="s">
        <v>67</v>
      </c>
      <c r="K579" s="14" t="s">
        <v>35</v>
      </c>
      <c r="L579" s="10" t="s">
        <v>130</v>
      </c>
      <c r="M579" s="10">
        <v>1</v>
      </c>
      <c r="N579" s="12" t="s">
        <v>1716</v>
      </c>
      <c r="O579" s="12" t="s">
        <v>39</v>
      </c>
      <c r="P579" s="12"/>
      <c r="Q579" s="16"/>
      <c r="R579" s="12">
        <v>0</v>
      </c>
    </row>
    <row r="580" spans="1:18" s="1" customFormat="1" hidden="1" x14ac:dyDescent="0.25">
      <c r="A580" s="7" t="s">
        <v>1078</v>
      </c>
      <c r="B580" s="13" t="s">
        <v>1079</v>
      </c>
      <c r="C580" s="7" t="s">
        <v>111</v>
      </c>
      <c r="D580" s="7" t="s">
        <v>35</v>
      </c>
      <c r="E580" s="7" t="s">
        <v>35</v>
      </c>
      <c r="F580" s="8">
        <v>0</v>
      </c>
      <c r="G580" s="20">
        <v>1</v>
      </c>
      <c r="H580" s="20">
        <v>0</v>
      </c>
      <c r="I580" s="20">
        <v>0</v>
      </c>
      <c r="J580" s="13" t="s">
        <v>67</v>
      </c>
      <c r="K580" s="13" t="s">
        <v>35</v>
      </c>
      <c r="L580" s="7" t="s">
        <v>127</v>
      </c>
      <c r="M580" s="7">
        <v>0.38600000000000001</v>
      </c>
      <c r="N580" s="9" t="s">
        <v>1716</v>
      </c>
      <c r="O580" s="9" t="s">
        <v>39</v>
      </c>
      <c r="P580" s="9"/>
      <c r="Q580" s="15"/>
      <c r="R580" s="9">
        <v>0</v>
      </c>
    </row>
    <row r="581" spans="1:18" s="1" customFormat="1" hidden="1" x14ac:dyDescent="0.25">
      <c r="A581" s="7" t="s">
        <v>1078</v>
      </c>
      <c r="B581" s="13" t="s">
        <v>1079</v>
      </c>
      <c r="C581" s="7" t="s">
        <v>111</v>
      </c>
      <c r="D581" s="7" t="s">
        <v>35</v>
      </c>
      <c r="E581" s="7" t="s">
        <v>35</v>
      </c>
      <c r="F581" s="8">
        <v>0</v>
      </c>
      <c r="G581" s="20">
        <v>1</v>
      </c>
      <c r="H581" s="20">
        <v>0</v>
      </c>
      <c r="I581" s="20">
        <v>0</v>
      </c>
      <c r="J581" s="13" t="s">
        <v>67</v>
      </c>
      <c r="K581" s="13" t="s">
        <v>35</v>
      </c>
      <c r="L581" s="7" t="s">
        <v>1080</v>
      </c>
      <c r="M581" s="7">
        <v>1</v>
      </c>
      <c r="N581" s="9" t="s">
        <v>1716</v>
      </c>
      <c r="O581" s="9" t="s">
        <v>39</v>
      </c>
      <c r="P581" s="9"/>
      <c r="Q581" s="15"/>
      <c r="R581" s="9">
        <v>0</v>
      </c>
    </row>
    <row r="582" spans="1:18" s="1" customFormat="1" hidden="1" x14ac:dyDescent="0.25">
      <c r="A582" s="7" t="s">
        <v>1078</v>
      </c>
      <c r="B582" s="13" t="s">
        <v>1079</v>
      </c>
      <c r="C582" s="7" t="s">
        <v>111</v>
      </c>
      <c r="D582" s="7" t="s">
        <v>35</v>
      </c>
      <c r="E582" s="7" t="s">
        <v>35</v>
      </c>
      <c r="F582" s="8">
        <v>0</v>
      </c>
      <c r="G582" s="20">
        <v>1</v>
      </c>
      <c r="H582" s="20">
        <v>0</v>
      </c>
      <c r="I582" s="20">
        <v>0</v>
      </c>
      <c r="J582" s="13" t="s">
        <v>67</v>
      </c>
      <c r="K582" s="13" t="s">
        <v>35</v>
      </c>
      <c r="L582" s="7" t="s">
        <v>128</v>
      </c>
      <c r="M582" s="7">
        <v>3</v>
      </c>
      <c r="N582" s="9" t="s">
        <v>1716</v>
      </c>
      <c r="O582" s="9" t="s">
        <v>39</v>
      </c>
      <c r="P582" s="9"/>
      <c r="Q582" s="15"/>
      <c r="R582" s="9">
        <v>0</v>
      </c>
    </row>
    <row r="583" spans="1:18" s="1" customFormat="1" hidden="1" x14ac:dyDescent="0.25">
      <c r="A583" s="7" t="s">
        <v>1078</v>
      </c>
      <c r="B583" s="13" t="s">
        <v>1079</v>
      </c>
      <c r="C583" s="7" t="s">
        <v>111</v>
      </c>
      <c r="D583" s="7" t="s">
        <v>35</v>
      </c>
      <c r="E583" s="7" t="s">
        <v>35</v>
      </c>
      <c r="F583" s="8">
        <v>0</v>
      </c>
      <c r="G583" s="20">
        <v>1</v>
      </c>
      <c r="H583" s="20">
        <v>0</v>
      </c>
      <c r="I583" s="20">
        <v>0</v>
      </c>
      <c r="J583" s="13" t="s">
        <v>67</v>
      </c>
      <c r="K583" s="13" t="s">
        <v>35</v>
      </c>
      <c r="L583" s="7" t="s">
        <v>130</v>
      </c>
      <c r="M583" s="7">
        <v>1</v>
      </c>
      <c r="N583" s="9" t="s">
        <v>1716</v>
      </c>
      <c r="O583" s="9" t="s">
        <v>39</v>
      </c>
      <c r="P583" s="9"/>
      <c r="Q583" s="15"/>
      <c r="R583" s="9">
        <v>0</v>
      </c>
    </row>
    <row r="584" spans="1:18" s="1" customFormat="1" hidden="1" x14ac:dyDescent="0.25">
      <c r="A584" s="10" t="s">
        <v>1081</v>
      </c>
      <c r="B584" s="14" t="s">
        <v>1082</v>
      </c>
      <c r="C584" s="10" t="s">
        <v>111</v>
      </c>
      <c r="D584" s="10" t="s">
        <v>35</v>
      </c>
      <c r="E584" s="10" t="s">
        <v>35</v>
      </c>
      <c r="F584" s="11">
        <v>0</v>
      </c>
      <c r="G584" s="21">
        <v>1</v>
      </c>
      <c r="H584" s="21">
        <v>0</v>
      </c>
      <c r="I584" s="21">
        <v>0</v>
      </c>
      <c r="J584" s="14" t="s">
        <v>67</v>
      </c>
      <c r="K584" s="14" t="s">
        <v>35</v>
      </c>
      <c r="L584" s="10" t="s">
        <v>127</v>
      </c>
      <c r="M584" s="10">
        <v>0.38600000000000001</v>
      </c>
      <c r="N584" s="12" t="s">
        <v>1716</v>
      </c>
      <c r="O584" s="12" t="s">
        <v>39</v>
      </c>
      <c r="P584" s="12"/>
      <c r="Q584" s="16"/>
      <c r="R584" s="12">
        <v>0</v>
      </c>
    </row>
    <row r="585" spans="1:18" s="1" customFormat="1" hidden="1" x14ac:dyDescent="0.25">
      <c r="A585" s="10" t="s">
        <v>1081</v>
      </c>
      <c r="B585" s="14" t="s">
        <v>1082</v>
      </c>
      <c r="C585" s="10" t="s">
        <v>111</v>
      </c>
      <c r="D585" s="10" t="s">
        <v>35</v>
      </c>
      <c r="E585" s="10" t="s">
        <v>35</v>
      </c>
      <c r="F585" s="11">
        <v>0</v>
      </c>
      <c r="G585" s="21">
        <v>1</v>
      </c>
      <c r="H585" s="21">
        <v>0</v>
      </c>
      <c r="I585" s="21">
        <v>0</v>
      </c>
      <c r="J585" s="14" t="s">
        <v>67</v>
      </c>
      <c r="K585" s="14" t="s">
        <v>35</v>
      </c>
      <c r="L585" s="10" t="s">
        <v>1083</v>
      </c>
      <c r="M585" s="10">
        <v>1</v>
      </c>
      <c r="N585" s="12" t="s">
        <v>1716</v>
      </c>
      <c r="O585" s="12" t="s">
        <v>39</v>
      </c>
      <c r="P585" s="12"/>
      <c r="Q585" s="16"/>
      <c r="R585" s="12">
        <v>0</v>
      </c>
    </row>
    <row r="586" spans="1:18" s="1" customFormat="1" hidden="1" x14ac:dyDescent="0.25">
      <c r="A586" s="10" t="s">
        <v>1081</v>
      </c>
      <c r="B586" s="14" t="s">
        <v>1082</v>
      </c>
      <c r="C586" s="10" t="s">
        <v>111</v>
      </c>
      <c r="D586" s="10" t="s">
        <v>35</v>
      </c>
      <c r="E586" s="10" t="s">
        <v>35</v>
      </c>
      <c r="F586" s="11">
        <v>0</v>
      </c>
      <c r="G586" s="21">
        <v>1</v>
      </c>
      <c r="H586" s="21">
        <v>0</v>
      </c>
      <c r="I586" s="21">
        <v>0</v>
      </c>
      <c r="J586" s="14" t="s">
        <v>67</v>
      </c>
      <c r="K586" s="14" t="s">
        <v>35</v>
      </c>
      <c r="L586" s="10" t="s">
        <v>130</v>
      </c>
      <c r="M586" s="10">
        <v>1</v>
      </c>
      <c r="N586" s="12" t="s">
        <v>1716</v>
      </c>
      <c r="O586" s="12" t="s">
        <v>39</v>
      </c>
      <c r="P586" s="12"/>
      <c r="Q586" s="16"/>
      <c r="R586" s="12">
        <v>0</v>
      </c>
    </row>
    <row r="587" spans="1:18" s="1" customFormat="1" hidden="1" x14ac:dyDescent="0.25">
      <c r="A587" s="10" t="s">
        <v>1081</v>
      </c>
      <c r="B587" s="14" t="s">
        <v>1082</v>
      </c>
      <c r="C587" s="10" t="s">
        <v>111</v>
      </c>
      <c r="D587" s="10" t="s">
        <v>35</v>
      </c>
      <c r="E587" s="10" t="s">
        <v>35</v>
      </c>
      <c r="F587" s="11">
        <v>0</v>
      </c>
      <c r="G587" s="21">
        <v>1</v>
      </c>
      <c r="H587" s="21">
        <v>0</v>
      </c>
      <c r="I587" s="21">
        <v>0</v>
      </c>
      <c r="J587" s="14" t="s">
        <v>67</v>
      </c>
      <c r="K587" s="14" t="s">
        <v>35</v>
      </c>
      <c r="L587" s="10" t="s">
        <v>128</v>
      </c>
      <c r="M587" s="10">
        <v>3</v>
      </c>
      <c r="N587" s="12" t="s">
        <v>1716</v>
      </c>
      <c r="O587" s="12" t="s">
        <v>39</v>
      </c>
      <c r="P587" s="12"/>
      <c r="Q587" s="16"/>
      <c r="R587" s="12">
        <v>0</v>
      </c>
    </row>
    <row r="588" spans="1:18" s="1" customFormat="1" hidden="1" x14ac:dyDescent="0.25">
      <c r="A588" s="7" t="s">
        <v>1084</v>
      </c>
      <c r="B588" s="13" t="s">
        <v>1085</v>
      </c>
      <c r="C588" s="7" t="s">
        <v>111</v>
      </c>
      <c r="D588" s="7" t="s">
        <v>35</v>
      </c>
      <c r="E588" s="7" t="s">
        <v>35</v>
      </c>
      <c r="F588" s="8">
        <v>0</v>
      </c>
      <c r="G588" s="20">
        <v>1</v>
      </c>
      <c r="H588" s="20">
        <v>0</v>
      </c>
      <c r="I588" s="20">
        <v>0</v>
      </c>
      <c r="J588" s="13" t="s">
        <v>67</v>
      </c>
      <c r="K588" s="13" t="s">
        <v>35</v>
      </c>
      <c r="L588" s="7" t="s">
        <v>127</v>
      </c>
      <c r="M588" s="7">
        <v>0.38600000000000001</v>
      </c>
      <c r="N588" s="9" t="s">
        <v>1716</v>
      </c>
      <c r="O588" s="9" t="s">
        <v>39</v>
      </c>
      <c r="P588" s="9"/>
      <c r="Q588" s="15"/>
      <c r="R588" s="9">
        <v>0</v>
      </c>
    </row>
    <row r="589" spans="1:18" s="1" customFormat="1" hidden="1" x14ac:dyDescent="0.25">
      <c r="A589" s="7" t="s">
        <v>1084</v>
      </c>
      <c r="B589" s="13" t="s">
        <v>1085</v>
      </c>
      <c r="C589" s="7" t="s">
        <v>111</v>
      </c>
      <c r="D589" s="7" t="s">
        <v>35</v>
      </c>
      <c r="E589" s="7" t="s">
        <v>35</v>
      </c>
      <c r="F589" s="8">
        <v>0</v>
      </c>
      <c r="G589" s="20">
        <v>1</v>
      </c>
      <c r="H589" s="20">
        <v>0</v>
      </c>
      <c r="I589" s="20">
        <v>0</v>
      </c>
      <c r="J589" s="13" t="s">
        <v>67</v>
      </c>
      <c r="K589" s="13" t="s">
        <v>35</v>
      </c>
      <c r="L589" s="7" t="s">
        <v>1086</v>
      </c>
      <c r="M589" s="7">
        <v>1</v>
      </c>
      <c r="N589" s="9" t="s">
        <v>1716</v>
      </c>
      <c r="O589" s="9" t="s">
        <v>39</v>
      </c>
      <c r="P589" s="9"/>
      <c r="Q589" s="15"/>
      <c r="R589" s="9">
        <v>0</v>
      </c>
    </row>
    <row r="590" spans="1:18" s="1" customFormat="1" hidden="1" x14ac:dyDescent="0.25">
      <c r="A590" s="10" t="s">
        <v>1087</v>
      </c>
      <c r="B590" s="14" t="s">
        <v>1088</v>
      </c>
      <c r="C590" s="10" t="s">
        <v>111</v>
      </c>
      <c r="D590" s="10" t="s">
        <v>35</v>
      </c>
      <c r="E590" s="10" t="s">
        <v>35</v>
      </c>
      <c r="F590" s="11">
        <v>0</v>
      </c>
      <c r="G590" s="21">
        <v>1</v>
      </c>
      <c r="H590" s="21">
        <v>0</v>
      </c>
      <c r="I590" s="21">
        <v>0</v>
      </c>
      <c r="J590" s="14" t="s">
        <v>67</v>
      </c>
      <c r="K590" s="14" t="s">
        <v>35</v>
      </c>
      <c r="L590" s="10" t="s">
        <v>1089</v>
      </c>
      <c r="M590" s="10">
        <v>1</v>
      </c>
      <c r="N590" s="12" t="s">
        <v>1716</v>
      </c>
      <c r="O590" s="12" t="s">
        <v>39</v>
      </c>
      <c r="P590" s="12"/>
      <c r="Q590" s="16"/>
      <c r="R590" s="12">
        <v>0</v>
      </c>
    </row>
    <row r="591" spans="1:18" s="1" customFormat="1" hidden="1" x14ac:dyDescent="0.25">
      <c r="A591" s="7" t="s">
        <v>1090</v>
      </c>
      <c r="B591" s="13" t="s">
        <v>1091</v>
      </c>
      <c r="C591" s="7" t="s">
        <v>54</v>
      </c>
      <c r="D591" s="7" t="s">
        <v>35</v>
      </c>
      <c r="E591" s="7" t="s">
        <v>35</v>
      </c>
      <c r="F591" s="8">
        <v>0</v>
      </c>
      <c r="G591" s="20">
        <v>1</v>
      </c>
      <c r="H591" s="20">
        <v>0</v>
      </c>
      <c r="I591" s="20">
        <v>0</v>
      </c>
      <c r="J591" s="13" t="s">
        <v>731</v>
      </c>
      <c r="K591" s="13" t="s">
        <v>35</v>
      </c>
      <c r="L591" s="7" t="s">
        <v>1092</v>
      </c>
      <c r="M591" s="7">
        <v>1</v>
      </c>
      <c r="N591" s="9" t="s">
        <v>1716</v>
      </c>
      <c r="O591" s="9" t="s">
        <v>39</v>
      </c>
      <c r="P591" s="9"/>
      <c r="Q591" s="15"/>
      <c r="R591" s="9">
        <v>0</v>
      </c>
    </row>
    <row r="592" spans="1:18" s="1" customFormat="1" hidden="1" x14ac:dyDescent="0.25">
      <c r="A592" s="10" t="s">
        <v>1093</v>
      </c>
      <c r="B592" s="14" t="s">
        <v>1094</v>
      </c>
      <c r="C592" s="10" t="s">
        <v>54</v>
      </c>
      <c r="D592" s="10" t="s">
        <v>35</v>
      </c>
      <c r="E592" s="10" t="s">
        <v>35</v>
      </c>
      <c r="F592" s="11">
        <v>0</v>
      </c>
      <c r="G592" s="21">
        <v>1</v>
      </c>
      <c r="H592" s="21">
        <v>0</v>
      </c>
      <c r="I592" s="21">
        <v>0</v>
      </c>
      <c r="J592" s="14" t="s">
        <v>419</v>
      </c>
      <c r="K592" s="14" t="s">
        <v>35</v>
      </c>
      <c r="L592" s="10" t="s">
        <v>1095</v>
      </c>
      <c r="M592" s="10">
        <v>1</v>
      </c>
      <c r="N592" s="12" t="s">
        <v>1716</v>
      </c>
      <c r="O592" s="12" t="s">
        <v>39</v>
      </c>
      <c r="P592" s="12"/>
      <c r="Q592" s="16"/>
      <c r="R592" s="12">
        <v>0</v>
      </c>
    </row>
    <row r="593" spans="1:18" s="1" customFormat="1" hidden="1" x14ac:dyDescent="0.25">
      <c r="A593" s="7" t="s">
        <v>1096</v>
      </c>
      <c r="B593" s="13" t="s">
        <v>1097</v>
      </c>
      <c r="C593" s="7" t="s">
        <v>54</v>
      </c>
      <c r="D593" s="7" t="s">
        <v>35</v>
      </c>
      <c r="E593" s="7" t="s">
        <v>35</v>
      </c>
      <c r="F593" s="8">
        <v>0</v>
      </c>
      <c r="G593" s="20">
        <v>1</v>
      </c>
      <c r="H593" s="20">
        <v>0</v>
      </c>
      <c r="I593" s="20">
        <v>0</v>
      </c>
      <c r="J593" s="13" t="s">
        <v>419</v>
      </c>
      <c r="K593" s="13" t="s">
        <v>35</v>
      </c>
      <c r="L593" s="7" t="s">
        <v>1098</v>
      </c>
      <c r="M593" s="7">
        <v>1</v>
      </c>
      <c r="N593" s="9" t="s">
        <v>1716</v>
      </c>
      <c r="O593" s="9" t="s">
        <v>39</v>
      </c>
      <c r="P593" s="9"/>
      <c r="Q593" s="15"/>
      <c r="R593" s="9">
        <v>0</v>
      </c>
    </row>
    <row r="594" spans="1:18" s="1" customFormat="1" hidden="1" x14ac:dyDescent="0.25">
      <c r="A594" s="10" t="s">
        <v>1099</v>
      </c>
      <c r="B594" s="14" t="s">
        <v>1100</v>
      </c>
      <c r="C594" s="10" t="s">
        <v>54</v>
      </c>
      <c r="D594" s="10" t="s">
        <v>35</v>
      </c>
      <c r="E594" s="10" t="s">
        <v>35</v>
      </c>
      <c r="F594" s="11">
        <v>0</v>
      </c>
      <c r="G594" s="21">
        <v>1</v>
      </c>
      <c r="H594" s="21">
        <v>0</v>
      </c>
      <c r="I594" s="21">
        <v>0</v>
      </c>
      <c r="J594" s="14" t="s">
        <v>419</v>
      </c>
      <c r="K594" s="14" t="s">
        <v>35</v>
      </c>
      <c r="L594" s="10" t="s">
        <v>1101</v>
      </c>
      <c r="M594" s="10">
        <v>1</v>
      </c>
      <c r="N594" s="12" t="s">
        <v>1716</v>
      </c>
      <c r="O594" s="12" t="s">
        <v>39</v>
      </c>
      <c r="P594" s="12"/>
      <c r="Q594" s="16"/>
      <c r="R594" s="12">
        <v>0</v>
      </c>
    </row>
    <row r="595" spans="1:18" s="1" customFormat="1" hidden="1" x14ac:dyDescent="0.25">
      <c r="A595" s="7" t="s">
        <v>1102</v>
      </c>
      <c r="B595" s="13" t="s">
        <v>1103</v>
      </c>
      <c r="C595" s="7" t="s">
        <v>54</v>
      </c>
      <c r="D595" s="7" t="s">
        <v>35</v>
      </c>
      <c r="E595" s="7" t="s">
        <v>35</v>
      </c>
      <c r="F595" s="8">
        <v>0</v>
      </c>
      <c r="G595" s="20">
        <v>1</v>
      </c>
      <c r="H595" s="20">
        <v>0</v>
      </c>
      <c r="I595" s="20">
        <v>0</v>
      </c>
      <c r="J595" s="13" t="s">
        <v>419</v>
      </c>
      <c r="K595" s="13" t="s">
        <v>35</v>
      </c>
      <c r="L595" s="7" t="s">
        <v>1104</v>
      </c>
      <c r="M595" s="7">
        <v>1</v>
      </c>
      <c r="N595" s="9" t="s">
        <v>1716</v>
      </c>
      <c r="O595" s="9" t="s">
        <v>39</v>
      </c>
      <c r="P595" s="9"/>
      <c r="Q595" s="15"/>
      <c r="R595" s="9">
        <v>0</v>
      </c>
    </row>
    <row r="596" spans="1:18" s="1" customFormat="1" hidden="1" x14ac:dyDescent="0.25">
      <c r="A596" s="10" t="s">
        <v>1105</v>
      </c>
      <c r="B596" s="14" t="s">
        <v>1106</v>
      </c>
      <c r="C596" s="10" t="s">
        <v>54</v>
      </c>
      <c r="D596" s="10" t="s">
        <v>35</v>
      </c>
      <c r="E596" s="10" t="s">
        <v>35</v>
      </c>
      <c r="F596" s="11">
        <v>0</v>
      </c>
      <c r="G596" s="21">
        <v>1</v>
      </c>
      <c r="H596" s="21">
        <v>0</v>
      </c>
      <c r="I596" s="21">
        <v>0</v>
      </c>
      <c r="J596" s="14" t="s">
        <v>419</v>
      </c>
      <c r="K596" s="14" t="s">
        <v>35</v>
      </c>
      <c r="L596" s="10" t="s">
        <v>1107</v>
      </c>
      <c r="M596" s="10">
        <v>1</v>
      </c>
      <c r="N596" s="12" t="s">
        <v>1716</v>
      </c>
      <c r="O596" s="12" t="s">
        <v>39</v>
      </c>
      <c r="P596" s="12"/>
      <c r="Q596" s="16"/>
      <c r="R596" s="12">
        <v>0</v>
      </c>
    </row>
    <row r="597" spans="1:18" s="1" customFormat="1" hidden="1" x14ac:dyDescent="0.25">
      <c r="A597" s="7" t="s">
        <v>1108</v>
      </c>
      <c r="B597" s="13" t="s">
        <v>1109</v>
      </c>
      <c r="C597" s="7" t="s">
        <v>34</v>
      </c>
      <c r="D597" s="7" t="s">
        <v>35</v>
      </c>
      <c r="E597" s="7" t="s">
        <v>35</v>
      </c>
      <c r="F597" s="8">
        <v>0</v>
      </c>
      <c r="G597" s="20">
        <v>1</v>
      </c>
      <c r="H597" s="20">
        <v>0</v>
      </c>
      <c r="I597" s="20">
        <v>0</v>
      </c>
      <c r="J597" s="13" t="s">
        <v>218</v>
      </c>
      <c r="K597" s="13" t="s">
        <v>35</v>
      </c>
      <c r="L597" s="7" t="s">
        <v>281</v>
      </c>
      <c r="M597" s="7">
        <v>6.7500000000000004E-2</v>
      </c>
      <c r="N597" s="9" t="s">
        <v>1716</v>
      </c>
      <c r="O597" s="9" t="s">
        <v>39</v>
      </c>
      <c r="P597" s="9"/>
      <c r="Q597" s="15"/>
      <c r="R597" s="9">
        <v>0</v>
      </c>
    </row>
    <row r="598" spans="1:18" s="1" customFormat="1" hidden="1" x14ac:dyDescent="0.25">
      <c r="A598" s="7" t="s">
        <v>1108</v>
      </c>
      <c r="B598" s="13" t="s">
        <v>1109</v>
      </c>
      <c r="C598" s="7" t="s">
        <v>34</v>
      </c>
      <c r="D598" s="7" t="s">
        <v>35</v>
      </c>
      <c r="E598" s="7" t="s">
        <v>35</v>
      </c>
      <c r="F598" s="8">
        <v>0</v>
      </c>
      <c r="G598" s="20">
        <v>1</v>
      </c>
      <c r="H598" s="20">
        <v>0</v>
      </c>
      <c r="I598" s="20">
        <v>0</v>
      </c>
      <c r="J598" s="13" t="s">
        <v>218</v>
      </c>
      <c r="K598" s="13" t="s">
        <v>35</v>
      </c>
      <c r="L598" s="7" t="s">
        <v>1110</v>
      </c>
      <c r="M598" s="7">
        <v>1.04</v>
      </c>
      <c r="N598" s="9" t="s">
        <v>1716</v>
      </c>
      <c r="O598" s="9" t="s">
        <v>39</v>
      </c>
      <c r="P598" s="9"/>
      <c r="Q598" s="15"/>
      <c r="R598" s="9">
        <v>0</v>
      </c>
    </row>
    <row r="599" spans="1:18" s="1" customFormat="1" hidden="1" x14ac:dyDescent="0.25">
      <c r="A599" s="7" t="s">
        <v>1108</v>
      </c>
      <c r="B599" s="13" t="s">
        <v>1109</v>
      </c>
      <c r="C599" s="7" t="s">
        <v>34</v>
      </c>
      <c r="D599" s="7" t="s">
        <v>35</v>
      </c>
      <c r="E599" s="7" t="s">
        <v>35</v>
      </c>
      <c r="F599" s="8">
        <v>0</v>
      </c>
      <c r="G599" s="20">
        <v>1</v>
      </c>
      <c r="H599" s="20">
        <v>0</v>
      </c>
      <c r="I599" s="20">
        <v>0</v>
      </c>
      <c r="J599" s="13" t="s">
        <v>218</v>
      </c>
      <c r="K599" s="13" t="s">
        <v>35</v>
      </c>
      <c r="L599" s="7" t="s">
        <v>194</v>
      </c>
      <c r="M599" s="7">
        <v>30.43</v>
      </c>
      <c r="N599" s="9" t="s">
        <v>1716</v>
      </c>
      <c r="O599" s="9" t="s">
        <v>39</v>
      </c>
      <c r="P599" s="9"/>
      <c r="Q599" s="15"/>
      <c r="R599" s="9">
        <v>0</v>
      </c>
    </row>
    <row r="600" spans="1:18" s="1" customFormat="1" hidden="1" x14ac:dyDescent="0.25">
      <c r="A600" s="10" t="s">
        <v>1111</v>
      </c>
      <c r="B600" s="14" t="s">
        <v>1112</v>
      </c>
      <c r="C600" s="10" t="s">
        <v>34</v>
      </c>
      <c r="D600" s="10" t="s">
        <v>35</v>
      </c>
      <c r="E600" s="10" t="s">
        <v>35</v>
      </c>
      <c r="F600" s="11">
        <v>0</v>
      </c>
      <c r="G600" s="21">
        <v>1</v>
      </c>
      <c r="H600" s="21">
        <v>0</v>
      </c>
      <c r="I600" s="21">
        <v>0</v>
      </c>
      <c r="J600" s="14" t="s">
        <v>525</v>
      </c>
      <c r="K600" s="14" t="s">
        <v>35</v>
      </c>
      <c r="L600" s="10" t="s">
        <v>1113</v>
      </c>
      <c r="M600" s="10">
        <v>1.4999999999999999E-2</v>
      </c>
      <c r="N600" s="12" t="s">
        <v>1716</v>
      </c>
      <c r="O600" s="12" t="s">
        <v>39</v>
      </c>
      <c r="P600" s="12"/>
      <c r="Q600" s="16"/>
      <c r="R600" s="12">
        <v>0</v>
      </c>
    </row>
    <row r="601" spans="1:18" s="1" customFormat="1" hidden="1" x14ac:dyDescent="0.25">
      <c r="A601" s="10" t="s">
        <v>1111</v>
      </c>
      <c r="B601" s="14" t="s">
        <v>1112</v>
      </c>
      <c r="C601" s="10" t="s">
        <v>34</v>
      </c>
      <c r="D601" s="10" t="s">
        <v>35</v>
      </c>
      <c r="E601" s="10" t="s">
        <v>35</v>
      </c>
      <c r="F601" s="11">
        <v>0</v>
      </c>
      <c r="G601" s="21">
        <v>1</v>
      </c>
      <c r="H601" s="21">
        <v>0</v>
      </c>
      <c r="I601" s="21">
        <v>0</v>
      </c>
      <c r="J601" s="14" t="s">
        <v>525</v>
      </c>
      <c r="K601" s="14" t="s">
        <v>35</v>
      </c>
      <c r="L601" s="10" t="s">
        <v>1114</v>
      </c>
      <c r="M601" s="10">
        <v>4.62</v>
      </c>
      <c r="N601" s="12" t="s">
        <v>1716</v>
      </c>
      <c r="O601" s="12" t="s">
        <v>39</v>
      </c>
      <c r="P601" s="12"/>
      <c r="Q601" s="16"/>
      <c r="R601" s="12">
        <v>0</v>
      </c>
    </row>
    <row r="602" spans="1:18" s="1" customFormat="1" hidden="1" x14ac:dyDescent="0.25">
      <c r="A602" s="7" t="s">
        <v>1115</v>
      </c>
      <c r="B602" s="13" t="s">
        <v>1116</v>
      </c>
      <c r="C602" s="7" t="s">
        <v>34</v>
      </c>
      <c r="D602" s="7" t="s">
        <v>35</v>
      </c>
      <c r="E602" s="7" t="s">
        <v>35</v>
      </c>
      <c r="F602" s="8">
        <v>0</v>
      </c>
      <c r="G602" s="20">
        <v>1</v>
      </c>
      <c r="H602" s="20">
        <v>0</v>
      </c>
      <c r="I602" s="20">
        <v>0</v>
      </c>
      <c r="J602" s="13" t="s">
        <v>218</v>
      </c>
      <c r="K602" s="13" t="s">
        <v>35</v>
      </c>
      <c r="L602" s="7" t="s">
        <v>281</v>
      </c>
      <c r="M602" s="7">
        <v>1.55E-2</v>
      </c>
      <c r="N602" s="9" t="s">
        <v>1716</v>
      </c>
      <c r="O602" s="9" t="s">
        <v>39</v>
      </c>
      <c r="P602" s="9"/>
      <c r="Q602" s="15"/>
      <c r="R602" s="9">
        <v>0</v>
      </c>
    </row>
    <row r="603" spans="1:18" s="1" customFormat="1" hidden="1" x14ac:dyDescent="0.25">
      <c r="A603" s="7" t="s">
        <v>1115</v>
      </c>
      <c r="B603" s="13" t="s">
        <v>1116</v>
      </c>
      <c r="C603" s="7" t="s">
        <v>34</v>
      </c>
      <c r="D603" s="7" t="s">
        <v>35</v>
      </c>
      <c r="E603" s="7" t="s">
        <v>35</v>
      </c>
      <c r="F603" s="8">
        <v>0</v>
      </c>
      <c r="G603" s="20">
        <v>1</v>
      </c>
      <c r="H603" s="20">
        <v>0</v>
      </c>
      <c r="I603" s="20">
        <v>0</v>
      </c>
      <c r="J603" s="13" t="s">
        <v>218</v>
      </c>
      <c r="K603" s="13" t="s">
        <v>35</v>
      </c>
      <c r="L603" s="7" t="s">
        <v>194</v>
      </c>
      <c r="M603" s="7">
        <v>6.3</v>
      </c>
      <c r="N603" s="9" t="s">
        <v>1716</v>
      </c>
      <c r="O603" s="9" t="s">
        <v>39</v>
      </c>
      <c r="P603" s="9"/>
      <c r="Q603" s="15"/>
      <c r="R603" s="9">
        <v>0</v>
      </c>
    </row>
    <row r="604" spans="1:18" s="1" customFormat="1" hidden="1" x14ac:dyDescent="0.25">
      <c r="A604" s="10" t="s">
        <v>1117</v>
      </c>
      <c r="B604" s="14" t="s">
        <v>1118</v>
      </c>
      <c r="C604" s="10" t="s">
        <v>54</v>
      </c>
      <c r="D604" s="10" t="s">
        <v>35</v>
      </c>
      <c r="E604" s="10" t="s">
        <v>35</v>
      </c>
      <c r="F604" s="11">
        <v>0</v>
      </c>
      <c r="G604" s="21">
        <v>1</v>
      </c>
      <c r="H604" s="21">
        <v>0</v>
      </c>
      <c r="I604" s="21">
        <v>0</v>
      </c>
      <c r="J604" s="14" t="s">
        <v>525</v>
      </c>
      <c r="K604" s="14" t="s">
        <v>35</v>
      </c>
      <c r="L604" s="10" t="s">
        <v>1119</v>
      </c>
      <c r="M604" s="10">
        <v>1</v>
      </c>
      <c r="N604" s="12" t="s">
        <v>1716</v>
      </c>
      <c r="O604" s="12" t="s">
        <v>39</v>
      </c>
      <c r="P604" s="12"/>
      <c r="Q604" s="16"/>
      <c r="R604" s="12">
        <v>0</v>
      </c>
    </row>
    <row r="605" spans="1:18" s="1" customFormat="1" hidden="1" x14ac:dyDescent="0.25">
      <c r="A605" s="7" t="s">
        <v>1120</v>
      </c>
      <c r="B605" s="13" t="s">
        <v>1121</v>
      </c>
      <c r="C605" s="7" t="s">
        <v>34</v>
      </c>
      <c r="D605" s="7" t="s">
        <v>35</v>
      </c>
      <c r="E605" s="7" t="s">
        <v>35</v>
      </c>
      <c r="F605" s="8">
        <v>0</v>
      </c>
      <c r="G605" s="20">
        <v>1</v>
      </c>
      <c r="H605" s="20">
        <v>0</v>
      </c>
      <c r="I605" s="20">
        <v>0</v>
      </c>
      <c r="J605" s="13" t="s">
        <v>1037</v>
      </c>
      <c r="K605" s="13" t="s">
        <v>35</v>
      </c>
      <c r="L605" s="7" t="s">
        <v>1122</v>
      </c>
      <c r="M605" s="7">
        <v>1</v>
      </c>
      <c r="N605" s="9" t="s">
        <v>1716</v>
      </c>
      <c r="O605" s="9" t="s">
        <v>39</v>
      </c>
      <c r="P605" s="9"/>
      <c r="Q605" s="15"/>
      <c r="R605" s="9">
        <v>0</v>
      </c>
    </row>
    <row r="606" spans="1:18" s="1" customFormat="1" hidden="1" x14ac:dyDescent="0.25">
      <c r="A606" s="10" t="s">
        <v>1123</v>
      </c>
      <c r="B606" s="14" t="s">
        <v>1124</v>
      </c>
      <c r="C606" s="10" t="s">
        <v>34</v>
      </c>
      <c r="D606" s="10" t="s">
        <v>35</v>
      </c>
      <c r="E606" s="10" t="s">
        <v>35</v>
      </c>
      <c r="F606" s="11">
        <v>0</v>
      </c>
      <c r="G606" s="21">
        <v>1</v>
      </c>
      <c r="H606" s="21">
        <v>0</v>
      </c>
      <c r="I606" s="21">
        <v>0</v>
      </c>
      <c r="J606" s="14" t="s">
        <v>71</v>
      </c>
      <c r="K606" s="14" t="s">
        <v>35</v>
      </c>
      <c r="L606" s="10" t="s">
        <v>84</v>
      </c>
      <c r="M606" s="10">
        <v>9.84</v>
      </c>
      <c r="N606" s="12" t="s">
        <v>1716</v>
      </c>
      <c r="O606" s="12" t="s">
        <v>39</v>
      </c>
      <c r="P606" s="12"/>
      <c r="Q606" s="16"/>
      <c r="R606" s="12">
        <v>0</v>
      </c>
    </row>
    <row r="607" spans="1:18" s="1" customFormat="1" hidden="1" x14ac:dyDescent="0.25">
      <c r="A607" s="10" t="s">
        <v>1123</v>
      </c>
      <c r="B607" s="14" t="s">
        <v>1124</v>
      </c>
      <c r="C607" s="10" t="s">
        <v>34</v>
      </c>
      <c r="D607" s="10" t="s">
        <v>35</v>
      </c>
      <c r="E607" s="10" t="s">
        <v>35</v>
      </c>
      <c r="F607" s="11">
        <v>0</v>
      </c>
      <c r="G607" s="21">
        <v>1</v>
      </c>
      <c r="H607" s="21">
        <v>0</v>
      </c>
      <c r="I607" s="21">
        <v>0</v>
      </c>
      <c r="J607" s="14" t="s">
        <v>71</v>
      </c>
      <c r="K607" s="14" t="s">
        <v>35</v>
      </c>
      <c r="L607" s="10" t="s">
        <v>1125</v>
      </c>
      <c r="M607" s="10">
        <v>1.1599999999999999</v>
      </c>
      <c r="N607" s="12" t="s">
        <v>1716</v>
      </c>
      <c r="O607" s="12" t="s">
        <v>39</v>
      </c>
      <c r="P607" s="12"/>
      <c r="Q607" s="16"/>
      <c r="R607" s="12">
        <v>0</v>
      </c>
    </row>
    <row r="608" spans="1:18" s="1" customFormat="1" hidden="1" x14ac:dyDescent="0.25">
      <c r="A608" s="10" t="s">
        <v>1123</v>
      </c>
      <c r="B608" s="14" t="s">
        <v>1124</v>
      </c>
      <c r="C608" s="10" t="s">
        <v>34</v>
      </c>
      <c r="D608" s="10" t="s">
        <v>35</v>
      </c>
      <c r="E608" s="10" t="s">
        <v>35</v>
      </c>
      <c r="F608" s="11">
        <v>0</v>
      </c>
      <c r="G608" s="21">
        <v>1</v>
      </c>
      <c r="H608" s="21">
        <v>0</v>
      </c>
      <c r="I608" s="21">
        <v>0</v>
      </c>
      <c r="J608" s="14" t="s">
        <v>71</v>
      </c>
      <c r="K608" s="14" t="s">
        <v>35</v>
      </c>
      <c r="L608" s="10" t="s">
        <v>171</v>
      </c>
      <c r="M608" s="10">
        <v>0.5</v>
      </c>
      <c r="N608" s="12" t="s">
        <v>1716</v>
      </c>
      <c r="O608" s="12" t="s">
        <v>39</v>
      </c>
      <c r="P608" s="12"/>
      <c r="Q608" s="16"/>
      <c r="R608" s="12">
        <v>0</v>
      </c>
    </row>
    <row r="609" spans="1:18" s="1" customFormat="1" hidden="1" x14ac:dyDescent="0.25">
      <c r="A609" s="7" t="s">
        <v>1126</v>
      </c>
      <c r="B609" s="13" t="s">
        <v>1127</v>
      </c>
      <c r="C609" s="7" t="s">
        <v>34</v>
      </c>
      <c r="D609" s="7" t="s">
        <v>35</v>
      </c>
      <c r="E609" s="7" t="s">
        <v>35</v>
      </c>
      <c r="F609" s="8">
        <v>0</v>
      </c>
      <c r="G609" s="20">
        <v>1</v>
      </c>
      <c r="H609" s="20">
        <v>0</v>
      </c>
      <c r="I609" s="20">
        <v>0</v>
      </c>
      <c r="J609" s="13" t="s">
        <v>201</v>
      </c>
      <c r="K609" s="13" t="s">
        <v>35</v>
      </c>
      <c r="L609" s="7" t="s">
        <v>84</v>
      </c>
      <c r="M609" s="7">
        <v>9</v>
      </c>
      <c r="N609" s="9" t="s">
        <v>1716</v>
      </c>
      <c r="O609" s="9" t="s">
        <v>39</v>
      </c>
      <c r="P609" s="9"/>
      <c r="Q609" s="15"/>
      <c r="R609" s="9">
        <v>0</v>
      </c>
    </row>
    <row r="610" spans="1:18" s="1" customFormat="1" hidden="1" x14ac:dyDescent="0.25">
      <c r="A610" s="7" t="s">
        <v>1126</v>
      </c>
      <c r="B610" s="13" t="s">
        <v>1127</v>
      </c>
      <c r="C610" s="7" t="s">
        <v>34</v>
      </c>
      <c r="D610" s="7" t="s">
        <v>35</v>
      </c>
      <c r="E610" s="7" t="s">
        <v>35</v>
      </c>
      <c r="F610" s="8">
        <v>0</v>
      </c>
      <c r="G610" s="20">
        <v>1</v>
      </c>
      <c r="H610" s="20">
        <v>0</v>
      </c>
      <c r="I610" s="20">
        <v>0</v>
      </c>
      <c r="J610" s="13" t="s">
        <v>201</v>
      </c>
      <c r="K610" s="13" t="s">
        <v>35</v>
      </c>
      <c r="L610" s="7" t="s">
        <v>85</v>
      </c>
      <c r="M610" s="7">
        <v>4</v>
      </c>
      <c r="N610" s="9" t="s">
        <v>1716</v>
      </c>
      <c r="O610" s="9" t="s">
        <v>39</v>
      </c>
      <c r="P610" s="9"/>
      <c r="Q610" s="15"/>
      <c r="R610" s="9">
        <v>0</v>
      </c>
    </row>
    <row r="611" spans="1:18" s="1" customFormat="1" hidden="1" x14ac:dyDescent="0.25">
      <c r="A611" s="7" t="s">
        <v>1126</v>
      </c>
      <c r="B611" s="13" t="s">
        <v>1127</v>
      </c>
      <c r="C611" s="7" t="s">
        <v>34</v>
      </c>
      <c r="D611" s="7" t="s">
        <v>35</v>
      </c>
      <c r="E611" s="7" t="s">
        <v>35</v>
      </c>
      <c r="F611" s="8">
        <v>0</v>
      </c>
      <c r="G611" s="20">
        <v>1</v>
      </c>
      <c r="H611" s="20">
        <v>0</v>
      </c>
      <c r="I611" s="20">
        <v>0</v>
      </c>
      <c r="J611" s="13" t="s">
        <v>201</v>
      </c>
      <c r="K611" s="13" t="s">
        <v>35</v>
      </c>
      <c r="L611" s="7" t="s">
        <v>1128</v>
      </c>
      <c r="M611" s="7">
        <v>0.25</v>
      </c>
      <c r="N611" s="9" t="s">
        <v>1716</v>
      </c>
      <c r="O611" s="9" t="s">
        <v>39</v>
      </c>
      <c r="P611" s="9"/>
      <c r="Q611" s="15"/>
      <c r="R611" s="9">
        <v>0</v>
      </c>
    </row>
    <row r="612" spans="1:18" s="1" customFormat="1" hidden="1" x14ac:dyDescent="0.25">
      <c r="A612" s="7" t="s">
        <v>1126</v>
      </c>
      <c r="B612" s="13" t="s">
        <v>1127</v>
      </c>
      <c r="C612" s="7" t="s">
        <v>34</v>
      </c>
      <c r="D612" s="7" t="s">
        <v>35</v>
      </c>
      <c r="E612" s="7" t="s">
        <v>35</v>
      </c>
      <c r="F612" s="8">
        <v>0</v>
      </c>
      <c r="G612" s="20">
        <v>1</v>
      </c>
      <c r="H612" s="20">
        <v>0</v>
      </c>
      <c r="I612" s="20">
        <v>0</v>
      </c>
      <c r="J612" s="13" t="s">
        <v>201</v>
      </c>
      <c r="K612" s="13" t="s">
        <v>35</v>
      </c>
      <c r="L612" s="7" t="s">
        <v>1129</v>
      </c>
      <c r="M612" s="7">
        <v>1.1000000000000001</v>
      </c>
      <c r="N612" s="9" t="s">
        <v>1716</v>
      </c>
      <c r="O612" s="9" t="s">
        <v>39</v>
      </c>
      <c r="P612" s="9"/>
      <c r="Q612" s="15"/>
      <c r="R612" s="9">
        <v>0</v>
      </c>
    </row>
    <row r="613" spans="1:18" s="1" customFormat="1" hidden="1" x14ac:dyDescent="0.25">
      <c r="A613" s="10" t="s">
        <v>1130</v>
      </c>
      <c r="B613" s="14" t="s">
        <v>1131</v>
      </c>
      <c r="C613" s="10" t="s">
        <v>34</v>
      </c>
      <c r="D613" s="10" t="s">
        <v>35</v>
      </c>
      <c r="E613" s="10" t="s">
        <v>35</v>
      </c>
      <c r="F613" s="11">
        <v>0</v>
      </c>
      <c r="G613" s="21">
        <v>1</v>
      </c>
      <c r="H613" s="21">
        <v>0</v>
      </c>
      <c r="I613" s="21">
        <v>0</v>
      </c>
      <c r="J613" s="14" t="s">
        <v>83</v>
      </c>
      <c r="K613" s="14" t="s">
        <v>35</v>
      </c>
      <c r="L613" s="10" t="s">
        <v>84</v>
      </c>
      <c r="M613" s="10">
        <v>9</v>
      </c>
      <c r="N613" s="12" t="s">
        <v>1716</v>
      </c>
      <c r="O613" s="12" t="s">
        <v>39</v>
      </c>
      <c r="P613" s="12"/>
      <c r="Q613" s="16"/>
      <c r="R613" s="12">
        <v>0</v>
      </c>
    </row>
    <row r="614" spans="1:18" s="1" customFormat="1" hidden="1" x14ac:dyDescent="0.25">
      <c r="A614" s="10" t="s">
        <v>1130</v>
      </c>
      <c r="B614" s="14" t="s">
        <v>1131</v>
      </c>
      <c r="C614" s="10" t="s">
        <v>34</v>
      </c>
      <c r="D614" s="10" t="s">
        <v>35</v>
      </c>
      <c r="E614" s="10" t="s">
        <v>35</v>
      </c>
      <c r="F614" s="11">
        <v>0</v>
      </c>
      <c r="G614" s="21">
        <v>1</v>
      </c>
      <c r="H614" s="21">
        <v>0</v>
      </c>
      <c r="I614" s="21">
        <v>0</v>
      </c>
      <c r="J614" s="14" t="s">
        <v>83</v>
      </c>
      <c r="K614" s="14" t="s">
        <v>35</v>
      </c>
      <c r="L614" s="10" t="s">
        <v>212</v>
      </c>
      <c r="M614" s="10">
        <v>7</v>
      </c>
      <c r="N614" s="12" t="s">
        <v>1716</v>
      </c>
      <c r="O614" s="12" t="s">
        <v>39</v>
      </c>
      <c r="P614" s="12"/>
      <c r="Q614" s="16"/>
      <c r="R614" s="12">
        <v>0</v>
      </c>
    </row>
    <row r="615" spans="1:18" s="1" customFormat="1" hidden="1" x14ac:dyDescent="0.25">
      <c r="A615" s="10" t="s">
        <v>1130</v>
      </c>
      <c r="B615" s="14" t="s">
        <v>1131</v>
      </c>
      <c r="C615" s="10" t="s">
        <v>34</v>
      </c>
      <c r="D615" s="10" t="s">
        <v>35</v>
      </c>
      <c r="E615" s="10" t="s">
        <v>35</v>
      </c>
      <c r="F615" s="11">
        <v>0</v>
      </c>
      <c r="G615" s="21">
        <v>1</v>
      </c>
      <c r="H615" s="21">
        <v>0</v>
      </c>
      <c r="I615" s="21">
        <v>0</v>
      </c>
      <c r="J615" s="14" t="s">
        <v>83</v>
      </c>
      <c r="K615" s="14" t="s">
        <v>35</v>
      </c>
      <c r="L615" s="10" t="s">
        <v>1132</v>
      </c>
      <c r="M615" s="10">
        <v>1.1000000000000001</v>
      </c>
      <c r="N615" s="12" t="s">
        <v>1716</v>
      </c>
      <c r="O615" s="12" t="s">
        <v>39</v>
      </c>
      <c r="P615" s="12"/>
      <c r="Q615" s="16"/>
      <c r="R615" s="12">
        <v>0</v>
      </c>
    </row>
    <row r="616" spans="1:18" s="1" customFormat="1" hidden="1" x14ac:dyDescent="0.25">
      <c r="A616" s="10" t="s">
        <v>1130</v>
      </c>
      <c r="B616" s="14" t="s">
        <v>1131</v>
      </c>
      <c r="C616" s="10" t="s">
        <v>34</v>
      </c>
      <c r="D616" s="10" t="s">
        <v>35</v>
      </c>
      <c r="E616" s="10" t="s">
        <v>35</v>
      </c>
      <c r="F616" s="11">
        <v>0</v>
      </c>
      <c r="G616" s="21">
        <v>1</v>
      </c>
      <c r="H616" s="21">
        <v>0</v>
      </c>
      <c r="I616" s="21">
        <v>0</v>
      </c>
      <c r="J616" s="14" t="s">
        <v>83</v>
      </c>
      <c r="K616" s="14" t="s">
        <v>35</v>
      </c>
      <c r="L616" s="10" t="s">
        <v>171</v>
      </c>
      <c r="M616" s="10">
        <v>0.13</v>
      </c>
      <c r="N616" s="12" t="s">
        <v>1716</v>
      </c>
      <c r="O616" s="12" t="s">
        <v>39</v>
      </c>
      <c r="P616" s="12"/>
      <c r="Q616" s="16"/>
      <c r="R616" s="12">
        <v>0</v>
      </c>
    </row>
    <row r="617" spans="1:18" s="1" customFormat="1" hidden="1" x14ac:dyDescent="0.25">
      <c r="A617" s="7" t="s">
        <v>1133</v>
      </c>
      <c r="B617" s="13" t="s">
        <v>1134</v>
      </c>
      <c r="C617" s="7" t="s">
        <v>34</v>
      </c>
      <c r="D617" s="7" t="s">
        <v>35</v>
      </c>
      <c r="E617" s="7" t="s">
        <v>35</v>
      </c>
      <c r="F617" s="8">
        <v>0</v>
      </c>
      <c r="G617" s="20">
        <v>1</v>
      </c>
      <c r="H617" s="20">
        <v>0</v>
      </c>
      <c r="I617" s="20">
        <v>0</v>
      </c>
      <c r="J617" s="13" t="s">
        <v>201</v>
      </c>
      <c r="K617" s="13" t="s">
        <v>35</v>
      </c>
      <c r="L617" s="7" t="s">
        <v>84</v>
      </c>
      <c r="M617" s="7">
        <v>9</v>
      </c>
      <c r="N617" s="9" t="s">
        <v>1716</v>
      </c>
      <c r="O617" s="9" t="s">
        <v>39</v>
      </c>
      <c r="P617" s="9"/>
      <c r="Q617" s="15"/>
      <c r="R617" s="9">
        <v>0</v>
      </c>
    </row>
    <row r="618" spans="1:18" s="1" customFormat="1" hidden="1" x14ac:dyDescent="0.25">
      <c r="A618" s="7" t="s">
        <v>1133</v>
      </c>
      <c r="B618" s="13" t="s">
        <v>1134</v>
      </c>
      <c r="C618" s="7" t="s">
        <v>34</v>
      </c>
      <c r="D618" s="7" t="s">
        <v>35</v>
      </c>
      <c r="E618" s="7" t="s">
        <v>35</v>
      </c>
      <c r="F618" s="8">
        <v>0</v>
      </c>
      <c r="G618" s="20">
        <v>1</v>
      </c>
      <c r="H618" s="20">
        <v>0</v>
      </c>
      <c r="I618" s="20">
        <v>0</v>
      </c>
      <c r="J618" s="13" t="s">
        <v>201</v>
      </c>
      <c r="K618" s="13" t="s">
        <v>35</v>
      </c>
      <c r="L618" s="7" t="s">
        <v>85</v>
      </c>
      <c r="M618" s="7">
        <v>4</v>
      </c>
      <c r="N618" s="9" t="s">
        <v>1716</v>
      </c>
      <c r="O618" s="9" t="s">
        <v>39</v>
      </c>
      <c r="P618" s="9"/>
      <c r="Q618" s="15"/>
      <c r="R618" s="9">
        <v>0</v>
      </c>
    </row>
    <row r="619" spans="1:18" s="1" customFormat="1" hidden="1" x14ac:dyDescent="0.25">
      <c r="A619" s="7" t="s">
        <v>1133</v>
      </c>
      <c r="B619" s="13" t="s">
        <v>1134</v>
      </c>
      <c r="C619" s="7" t="s">
        <v>34</v>
      </c>
      <c r="D619" s="7" t="s">
        <v>35</v>
      </c>
      <c r="E619" s="7" t="s">
        <v>35</v>
      </c>
      <c r="F619" s="8">
        <v>0</v>
      </c>
      <c r="G619" s="20">
        <v>1</v>
      </c>
      <c r="H619" s="20">
        <v>0</v>
      </c>
      <c r="I619" s="20">
        <v>0</v>
      </c>
      <c r="J619" s="13" t="s">
        <v>201</v>
      </c>
      <c r="K619" s="13" t="s">
        <v>35</v>
      </c>
      <c r="L619" s="7" t="s">
        <v>171</v>
      </c>
      <c r="M619" s="7">
        <v>0.25</v>
      </c>
      <c r="N619" s="9" t="s">
        <v>1716</v>
      </c>
      <c r="O619" s="9" t="s">
        <v>39</v>
      </c>
      <c r="P619" s="9"/>
      <c r="Q619" s="15"/>
      <c r="R619" s="9">
        <v>0</v>
      </c>
    </row>
    <row r="620" spans="1:18" s="1" customFormat="1" hidden="1" x14ac:dyDescent="0.25">
      <c r="A620" s="7" t="s">
        <v>1133</v>
      </c>
      <c r="B620" s="13" t="s">
        <v>1134</v>
      </c>
      <c r="C620" s="7" t="s">
        <v>34</v>
      </c>
      <c r="D620" s="7" t="s">
        <v>35</v>
      </c>
      <c r="E620" s="7" t="s">
        <v>35</v>
      </c>
      <c r="F620" s="8">
        <v>0</v>
      </c>
      <c r="G620" s="20">
        <v>1</v>
      </c>
      <c r="H620" s="20">
        <v>0</v>
      </c>
      <c r="I620" s="20">
        <v>0</v>
      </c>
      <c r="J620" s="13" t="s">
        <v>201</v>
      </c>
      <c r="K620" s="13" t="s">
        <v>35</v>
      </c>
      <c r="L620" s="7" t="s">
        <v>1135</v>
      </c>
      <c r="M620" s="7">
        <v>1.1000000000000001</v>
      </c>
      <c r="N620" s="9" t="s">
        <v>1716</v>
      </c>
      <c r="O620" s="9" t="s">
        <v>39</v>
      </c>
      <c r="P620" s="9"/>
      <c r="Q620" s="15"/>
      <c r="R620" s="9">
        <v>0</v>
      </c>
    </row>
    <row r="621" spans="1:18" s="1" customFormat="1" hidden="1" x14ac:dyDescent="0.25">
      <c r="A621" s="10" t="s">
        <v>1136</v>
      </c>
      <c r="B621" s="14" t="s">
        <v>1137</v>
      </c>
      <c r="C621" s="10" t="s">
        <v>34</v>
      </c>
      <c r="D621" s="10" t="s">
        <v>35</v>
      </c>
      <c r="E621" s="10" t="s">
        <v>35</v>
      </c>
      <c r="F621" s="11">
        <v>0</v>
      </c>
      <c r="G621" s="21">
        <v>1</v>
      </c>
      <c r="H621" s="21">
        <v>0</v>
      </c>
      <c r="I621" s="21">
        <v>0</v>
      </c>
      <c r="J621" s="14" t="s">
        <v>83</v>
      </c>
      <c r="K621" s="14" t="s">
        <v>35</v>
      </c>
      <c r="L621" s="10" t="s">
        <v>84</v>
      </c>
      <c r="M621" s="10">
        <v>9</v>
      </c>
      <c r="N621" s="12" t="s">
        <v>1716</v>
      </c>
      <c r="O621" s="12" t="s">
        <v>39</v>
      </c>
      <c r="P621" s="12"/>
      <c r="Q621" s="16"/>
      <c r="R621" s="12">
        <v>0</v>
      </c>
    </row>
    <row r="622" spans="1:18" s="1" customFormat="1" hidden="1" x14ac:dyDescent="0.25">
      <c r="A622" s="10" t="s">
        <v>1136</v>
      </c>
      <c r="B622" s="14" t="s">
        <v>1137</v>
      </c>
      <c r="C622" s="10" t="s">
        <v>34</v>
      </c>
      <c r="D622" s="10" t="s">
        <v>35</v>
      </c>
      <c r="E622" s="10" t="s">
        <v>35</v>
      </c>
      <c r="F622" s="11">
        <v>0</v>
      </c>
      <c r="G622" s="21">
        <v>1</v>
      </c>
      <c r="H622" s="21">
        <v>0</v>
      </c>
      <c r="I622" s="21">
        <v>0</v>
      </c>
      <c r="J622" s="14" t="s">
        <v>83</v>
      </c>
      <c r="K622" s="14" t="s">
        <v>35</v>
      </c>
      <c r="L622" s="10" t="s">
        <v>85</v>
      </c>
      <c r="M622" s="10">
        <v>4</v>
      </c>
      <c r="N622" s="12" t="s">
        <v>1716</v>
      </c>
      <c r="O622" s="12" t="s">
        <v>39</v>
      </c>
      <c r="P622" s="12"/>
      <c r="Q622" s="16"/>
      <c r="R622" s="12">
        <v>0</v>
      </c>
    </row>
    <row r="623" spans="1:18" s="1" customFormat="1" hidden="1" x14ac:dyDescent="0.25">
      <c r="A623" s="10" t="s">
        <v>1136</v>
      </c>
      <c r="B623" s="14" t="s">
        <v>1137</v>
      </c>
      <c r="C623" s="10" t="s">
        <v>34</v>
      </c>
      <c r="D623" s="10" t="s">
        <v>35</v>
      </c>
      <c r="E623" s="10" t="s">
        <v>35</v>
      </c>
      <c r="F623" s="11">
        <v>0</v>
      </c>
      <c r="G623" s="21">
        <v>1</v>
      </c>
      <c r="H623" s="21">
        <v>0</v>
      </c>
      <c r="I623" s="21">
        <v>0</v>
      </c>
      <c r="J623" s="14" t="s">
        <v>83</v>
      </c>
      <c r="K623" s="14" t="s">
        <v>35</v>
      </c>
      <c r="L623" s="10" t="s">
        <v>1132</v>
      </c>
      <c r="M623" s="10">
        <v>1.1000000000000001</v>
      </c>
      <c r="N623" s="12" t="s">
        <v>1716</v>
      </c>
      <c r="O623" s="12" t="s">
        <v>39</v>
      </c>
      <c r="P623" s="12"/>
      <c r="Q623" s="16"/>
      <c r="R623" s="12">
        <v>0</v>
      </c>
    </row>
    <row r="624" spans="1:18" s="1" customFormat="1" hidden="1" x14ac:dyDescent="0.25">
      <c r="A624" s="10" t="s">
        <v>1136</v>
      </c>
      <c r="B624" s="14" t="s">
        <v>1137</v>
      </c>
      <c r="C624" s="10" t="s">
        <v>34</v>
      </c>
      <c r="D624" s="10" t="s">
        <v>35</v>
      </c>
      <c r="E624" s="10" t="s">
        <v>35</v>
      </c>
      <c r="F624" s="11">
        <v>0</v>
      </c>
      <c r="G624" s="21">
        <v>1</v>
      </c>
      <c r="H624" s="21">
        <v>0</v>
      </c>
      <c r="I624" s="21">
        <v>0</v>
      </c>
      <c r="J624" s="14" t="s">
        <v>83</v>
      </c>
      <c r="K624" s="14" t="s">
        <v>35</v>
      </c>
      <c r="L624" s="10" t="s">
        <v>1029</v>
      </c>
      <c r="M624" s="10">
        <v>0.25</v>
      </c>
      <c r="N624" s="12" t="s">
        <v>1716</v>
      </c>
      <c r="O624" s="12" t="s">
        <v>39</v>
      </c>
      <c r="P624" s="12"/>
      <c r="Q624" s="16"/>
      <c r="R624" s="12">
        <v>0</v>
      </c>
    </row>
    <row r="625" spans="1:18" s="1" customFormat="1" hidden="1" x14ac:dyDescent="0.25">
      <c r="A625" s="7" t="s">
        <v>1138</v>
      </c>
      <c r="B625" s="13" t="s">
        <v>1139</v>
      </c>
      <c r="C625" s="7" t="s">
        <v>34</v>
      </c>
      <c r="D625" s="7" t="s">
        <v>35</v>
      </c>
      <c r="E625" s="7" t="s">
        <v>35</v>
      </c>
      <c r="F625" s="8">
        <v>0</v>
      </c>
      <c r="G625" s="20">
        <v>1</v>
      </c>
      <c r="H625" s="20">
        <v>0</v>
      </c>
      <c r="I625" s="20">
        <v>0</v>
      </c>
      <c r="J625" s="13" t="s">
        <v>83</v>
      </c>
      <c r="K625" s="13" t="s">
        <v>35</v>
      </c>
      <c r="L625" s="7" t="s">
        <v>84</v>
      </c>
      <c r="M625" s="7">
        <v>9</v>
      </c>
      <c r="N625" s="9" t="s">
        <v>1716</v>
      </c>
      <c r="O625" s="9" t="s">
        <v>39</v>
      </c>
      <c r="P625" s="9"/>
      <c r="Q625" s="15"/>
      <c r="R625" s="9">
        <v>0</v>
      </c>
    </row>
    <row r="626" spans="1:18" s="1" customFormat="1" hidden="1" x14ac:dyDescent="0.25">
      <c r="A626" s="7" t="s">
        <v>1138</v>
      </c>
      <c r="B626" s="13" t="s">
        <v>1139</v>
      </c>
      <c r="C626" s="7" t="s">
        <v>34</v>
      </c>
      <c r="D626" s="7" t="s">
        <v>35</v>
      </c>
      <c r="E626" s="7" t="s">
        <v>35</v>
      </c>
      <c r="F626" s="8">
        <v>0</v>
      </c>
      <c r="G626" s="20">
        <v>1</v>
      </c>
      <c r="H626" s="20">
        <v>0</v>
      </c>
      <c r="I626" s="20">
        <v>0</v>
      </c>
      <c r="J626" s="13" t="s">
        <v>83</v>
      </c>
      <c r="K626" s="13" t="s">
        <v>35</v>
      </c>
      <c r="L626" s="7" t="s">
        <v>85</v>
      </c>
      <c r="M626" s="7">
        <v>4</v>
      </c>
      <c r="N626" s="9" t="s">
        <v>1716</v>
      </c>
      <c r="O626" s="9" t="s">
        <v>39</v>
      </c>
      <c r="P626" s="9"/>
      <c r="Q626" s="15"/>
      <c r="R626" s="9">
        <v>0</v>
      </c>
    </row>
    <row r="627" spans="1:18" s="1" customFormat="1" hidden="1" x14ac:dyDescent="0.25">
      <c r="A627" s="7" t="s">
        <v>1138</v>
      </c>
      <c r="B627" s="13" t="s">
        <v>1139</v>
      </c>
      <c r="C627" s="7" t="s">
        <v>34</v>
      </c>
      <c r="D627" s="7" t="s">
        <v>35</v>
      </c>
      <c r="E627" s="7" t="s">
        <v>35</v>
      </c>
      <c r="F627" s="8">
        <v>0</v>
      </c>
      <c r="G627" s="20">
        <v>1</v>
      </c>
      <c r="H627" s="20">
        <v>0</v>
      </c>
      <c r="I627" s="20">
        <v>0</v>
      </c>
      <c r="J627" s="13" t="s">
        <v>83</v>
      </c>
      <c r="K627" s="13" t="s">
        <v>35</v>
      </c>
      <c r="L627" s="7" t="s">
        <v>1140</v>
      </c>
      <c r="M627" s="7">
        <v>1.1000000000000001</v>
      </c>
      <c r="N627" s="9" t="s">
        <v>1716</v>
      </c>
      <c r="O627" s="9" t="s">
        <v>39</v>
      </c>
      <c r="P627" s="9"/>
      <c r="Q627" s="15"/>
      <c r="R627" s="9">
        <v>0</v>
      </c>
    </row>
    <row r="628" spans="1:18" s="1" customFormat="1" hidden="1" x14ac:dyDescent="0.25">
      <c r="A628" s="7" t="s">
        <v>1138</v>
      </c>
      <c r="B628" s="13" t="s">
        <v>1139</v>
      </c>
      <c r="C628" s="7" t="s">
        <v>34</v>
      </c>
      <c r="D628" s="7" t="s">
        <v>35</v>
      </c>
      <c r="E628" s="7" t="s">
        <v>35</v>
      </c>
      <c r="F628" s="8">
        <v>0</v>
      </c>
      <c r="G628" s="20">
        <v>1</v>
      </c>
      <c r="H628" s="20">
        <v>0</v>
      </c>
      <c r="I628" s="20">
        <v>0</v>
      </c>
      <c r="J628" s="13" t="s">
        <v>83</v>
      </c>
      <c r="K628" s="13" t="s">
        <v>35</v>
      </c>
      <c r="L628" s="7" t="s">
        <v>86</v>
      </c>
      <c r="M628" s="7">
        <v>0.13</v>
      </c>
      <c r="N628" s="9" t="s">
        <v>1716</v>
      </c>
      <c r="O628" s="9" t="s">
        <v>39</v>
      </c>
      <c r="P628" s="9"/>
      <c r="Q628" s="15"/>
      <c r="R628" s="9">
        <v>0</v>
      </c>
    </row>
    <row r="629" spans="1:18" s="1" customFormat="1" hidden="1" x14ac:dyDescent="0.25">
      <c r="A629" s="10" t="s">
        <v>1141</v>
      </c>
      <c r="B629" s="14" t="s">
        <v>1142</v>
      </c>
      <c r="C629" s="10" t="s">
        <v>34</v>
      </c>
      <c r="D629" s="10" t="s">
        <v>35</v>
      </c>
      <c r="E629" s="10" t="s">
        <v>35</v>
      </c>
      <c r="F629" s="11">
        <v>0</v>
      </c>
      <c r="G629" s="21">
        <v>1</v>
      </c>
      <c r="H629" s="21">
        <v>0</v>
      </c>
      <c r="I629" s="21">
        <v>0</v>
      </c>
      <c r="J629" s="14" t="s">
        <v>83</v>
      </c>
      <c r="K629" s="14" t="s">
        <v>35</v>
      </c>
      <c r="L629" s="10" t="s">
        <v>84</v>
      </c>
      <c r="M629" s="10">
        <v>9</v>
      </c>
      <c r="N629" s="12" t="s">
        <v>1716</v>
      </c>
      <c r="O629" s="12" t="s">
        <v>39</v>
      </c>
      <c r="P629" s="12"/>
      <c r="Q629" s="16"/>
      <c r="R629" s="12">
        <v>0</v>
      </c>
    </row>
    <row r="630" spans="1:18" s="1" customFormat="1" hidden="1" x14ac:dyDescent="0.25">
      <c r="A630" s="10" t="s">
        <v>1141</v>
      </c>
      <c r="B630" s="14" t="s">
        <v>1142</v>
      </c>
      <c r="C630" s="10" t="s">
        <v>34</v>
      </c>
      <c r="D630" s="10" t="s">
        <v>35</v>
      </c>
      <c r="E630" s="10" t="s">
        <v>35</v>
      </c>
      <c r="F630" s="11">
        <v>0</v>
      </c>
      <c r="G630" s="21">
        <v>1</v>
      </c>
      <c r="H630" s="21">
        <v>0</v>
      </c>
      <c r="I630" s="21">
        <v>0</v>
      </c>
      <c r="J630" s="14" t="s">
        <v>83</v>
      </c>
      <c r="K630" s="14" t="s">
        <v>35</v>
      </c>
      <c r="L630" s="10" t="s">
        <v>85</v>
      </c>
      <c r="M630" s="10">
        <v>4</v>
      </c>
      <c r="N630" s="12" t="s">
        <v>1716</v>
      </c>
      <c r="O630" s="12" t="s">
        <v>39</v>
      </c>
      <c r="P630" s="12"/>
      <c r="Q630" s="16"/>
      <c r="R630" s="12">
        <v>0</v>
      </c>
    </row>
    <row r="631" spans="1:18" s="1" customFormat="1" hidden="1" x14ac:dyDescent="0.25">
      <c r="A631" s="10" t="s">
        <v>1141</v>
      </c>
      <c r="B631" s="14" t="s">
        <v>1142</v>
      </c>
      <c r="C631" s="10" t="s">
        <v>34</v>
      </c>
      <c r="D631" s="10" t="s">
        <v>35</v>
      </c>
      <c r="E631" s="10" t="s">
        <v>35</v>
      </c>
      <c r="F631" s="11">
        <v>0</v>
      </c>
      <c r="G631" s="21">
        <v>1</v>
      </c>
      <c r="H631" s="21">
        <v>0</v>
      </c>
      <c r="I631" s="21">
        <v>0</v>
      </c>
      <c r="J631" s="14" t="s">
        <v>83</v>
      </c>
      <c r="K631" s="14" t="s">
        <v>35</v>
      </c>
      <c r="L631" s="10" t="s">
        <v>1143</v>
      </c>
      <c r="M631" s="10">
        <v>1.1000000000000001</v>
      </c>
      <c r="N631" s="12" t="s">
        <v>1716</v>
      </c>
      <c r="O631" s="12" t="s">
        <v>39</v>
      </c>
      <c r="P631" s="12"/>
      <c r="Q631" s="16"/>
      <c r="R631" s="12">
        <v>0</v>
      </c>
    </row>
    <row r="632" spans="1:18" s="1" customFormat="1" hidden="1" x14ac:dyDescent="0.25">
      <c r="A632" s="10" t="s">
        <v>1141</v>
      </c>
      <c r="B632" s="14" t="s">
        <v>1142</v>
      </c>
      <c r="C632" s="10" t="s">
        <v>34</v>
      </c>
      <c r="D632" s="10" t="s">
        <v>35</v>
      </c>
      <c r="E632" s="10" t="s">
        <v>35</v>
      </c>
      <c r="F632" s="11">
        <v>0</v>
      </c>
      <c r="G632" s="21">
        <v>1</v>
      </c>
      <c r="H632" s="21">
        <v>0</v>
      </c>
      <c r="I632" s="21">
        <v>0</v>
      </c>
      <c r="J632" s="14" t="s">
        <v>83</v>
      </c>
      <c r="K632" s="14" t="s">
        <v>35</v>
      </c>
      <c r="L632" s="10" t="s">
        <v>86</v>
      </c>
      <c r="M632" s="10">
        <v>0.25</v>
      </c>
      <c r="N632" s="12" t="s">
        <v>1716</v>
      </c>
      <c r="O632" s="12" t="s">
        <v>39</v>
      </c>
      <c r="P632" s="12"/>
      <c r="Q632" s="16"/>
      <c r="R632" s="12">
        <v>0</v>
      </c>
    </row>
    <row r="633" spans="1:18" s="1" customFormat="1" hidden="1" x14ac:dyDescent="0.25">
      <c r="A633" s="7" t="s">
        <v>1144</v>
      </c>
      <c r="B633" s="13" t="s">
        <v>1145</v>
      </c>
      <c r="C633" s="7" t="s">
        <v>34</v>
      </c>
      <c r="D633" s="7" t="s">
        <v>35</v>
      </c>
      <c r="E633" s="7" t="s">
        <v>35</v>
      </c>
      <c r="F633" s="8">
        <v>0</v>
      </c>
      <c r="G633" s="20">
        <v>1</v>
      </c>
      <c r="H633" s="20">
        <v>0</v>
      </c>
      <c r="I633" s="20">
        <v>0</v>
      </c>
      <c r="J633" s="13" t="s">
        <v>83</v>
      </c>
      <c r="K633" s="13" t="s">
        <v>35</v>
      </c>
      <c r="L633" s="7" t="s">
        <v>1146</v>
      </c>
      <c r="M633" s="7">
        <v>9.5000000000000001E-2</v>
      </c>
      <c r="N633" s="9" t="s">
        <v>1716</v>
      </c>
      <c r="O633" s="9" t="s">
        <v>39</v>
      </c>
      <c r="P633" s="9"/>
      <c r="Q633" s="15"/>
      <c r="R633" s="9">
        <v>0</v>
      </c>
    </row>
    <row r="634" spans="1:18" s="1" customFormat="1" hidden="1" x14ac:dyDescent="0.25">
      <c r="A634" s="7" t="s">
        <v>1144</v>
      </c>
      <c r="B634" s="13" t="s">
        <v>1145</v>
      </c>
      <c r="C634" s="7" t="s">
        <v>34</v>
      </c>
      <c r="D634" s="7" t="s">
        <v>35</v>
      </c>
      <c r="E634" s="7" t="s">
        <v>35</v>
      </c>
      <c r="F634" s="8">
        <v>0</v>
      </c>
      <c r="G634" s="20">
        <v>1</v>
      </c>
      <c r="H634" s="20">
        <v>0</v>
      </c>
      <c r="I634" s="20">
        <v>0</v>
      </c>
      <c r="J634" s="13" t="s">
        <v>83</v>
      </c>
      <c r="K634" s="13" t="s">
        <v>35</v>
      </c>
      <c r="L634" s="7" t="s">
        <v>1147</v>
      </c>
      <c r="M634" s="7">
        <v>1.1000000000000001</v>
      </c>
      <c r="N634" s="9" t="s">
        <v>1716</v>
      </c>
      <c r="O634" s="9" t="s">
        <v>39</v>
      </c>
      <c r="P634" s="9"/>
      <c r="Q634" s="15"/>
      <c r="R634" s="9">
        <v>0</v>
      </c>
    </row>
    <row r="635" spans="1:18" s="1" customFormat="1" hidden="1" x14ac:dyDescent="0.25">
      <c r="A635" s="10" t="s">
        <v>1148</v>
      </c>
      <c r="B635" s="14" t="s">
        <v>1149</v>
      </c>
      <c r="C635" s="10" t="s">
        <v>34</v>
      </c>
      <c r="D635" s="10" t="s">
        <v>35</v>
      </c>
      <c r="E635" s="10" t="s">
        <v>35</v>
      </c>
      <c r="F635" s="11">
        <v>0</v>
      </c>
      <c r="G635" s="21">
        <v>1</v>
      </c>
      <c r="H635" s="21">
        <v>0</v>
      </c>
      <c r="I635" s="21">
        <v>0</v>
      </c>
      <c r="J635" s="14" t="s">
        <v>83</v>
      </c>
      <c r="K635" s="14" t="s">
        <v>35</v>
      </c>
      <c r="L635" s="10" t="s">
        <v>1150</v>
      </c>
      <c r="M635" s="10">
        <v>1.33</v>
      </c>
      <c r="N635" s="12" t="s">
        <v>1716</v>
      </c>
      <c r="O635" s="12" t="s">
        <v>39</v>
      </c>
      <c r="P635" s="12"/>
      <c r="Q635" s="16"/>
      <c r="R635" s="12">
        <v>0</v>
      </c>
    </row>
    <row r="636" spans="1:18" s="1" customFormat="1" hidden="1" x14ac:dyDescent="0.25">
      <c r="A636" s="10" t="s">
        <v>1148</v>
      </c>
      <c r="B636" s="14" t="s">
        <v>1149</v>
      </c>
      <c r="C636" s="10" t="s">
        <v>34</v>
      </c>
      <c r="D636" s="10" t="s">
        <v>35</v>
      </c>
      <c r="E636" s="10" t="s">
        <v>35</v>
      </c>
      <c r="F636" s="11">
        <v>0</v>
      </c>
      <c r="G636" s="21">
        <v>1</v>
      </c>
      <c r="H636" s="21">
        <v>0</v>
      </c>
      <c r="I636" s="21">
        <v>0</v>
      </c>
      <c r="J636" s="14" t="s">
        <v>83</v>
      </c>
      <c r="K636" s="14" t="s">
        <v>35</v>
      </c>
      <c r="L636" s="10" t="s">
        <v>1151</v>
      </c>
      <c r="M636" s="10">
        <v>1.01</v>
      </c>
      <c r="N636" s="12" t="s">
        <v>1716</v>
      </c>
      <c r="O636" s="12" t="s">
        <v>39</v>
      </c>
      <c r="P636" s="12"/>
      <c r="Q636" s="16"/>
      <c r="R636" s="12">
        <v>0</v>
      </c>
    </row>
    <row r="637" spans="1:18" s="1" customFormat="1" hidden="1" x14ac:dyDescent="0.25">
      <c r="A637" s="7" t="s">
        <v>1152</v>
      </c>
      <c r="B637" s="13" t="s">
        <v>1153</v>
      </c>
      <c r="C637" s="7" t="s">
        <v>75</v>
      </c>
      <c r="D637" s="7" t="s">
        <v>35</v>
      </c>
      <c r="E637" s="7" t="s">
        <v>35</v>
      </c>
      <c r="F637" s="8">
        <v>0</v>
      </c>
      <c r="G637" s="20">
        <v>1</v>
      </c>
      <c r="H637" s="20">
        <v>0</v>
      </c>
      <c r="I637" s="20">
        <v>0</v>
      </c>
      <c r="J637" s="13" t="s">
        <v>83</v>
      </c>
      <c r="K637" s="13" t="s">
        <v>35</v>
      </c>
      <c r="L637" s="7" t="s">
        <v>84</v>
      </c>
      <c r="M637" s="7">
        <v>0.60299999999999998</v>
      </c>
      <c r="N637" s="9" t="s">
        <v>1716</v>
      </c>
      <c r="O637" s="9" t="s">
        <v>39</v>
      </c>
      <c r="P637" s="9"/>
      <c r="Q637" s="15"/>
      <c r="R637" s="9">
        <v>0</v>
      </c>
    </row>
    <row r="638" spans="1:18" s="1" customFormat="1" hidden="1" x14ac:dyDescent="0.25">
      <c r="A638" s="7" t="s">
        <v>1152</v>
      </c>
      <c r="B638" s="13" t="s">
        <v>1153</v>
      </c>
      <c r="C638" s="7" t="s">
        <v>75</v>
      </c>
      <c r="D638" s="7" t="s">
        <v>35</v>
      </c>
      <c r="E638" s="7" t="s">
        <v>35</v>
      </c>
      <c r="F638" s="8">
        <v>0</v>
      </c>
      <c r="G638" s="20">
        <v>1</v>
      </c>
      <c r="H638" s="20">
        <v>0</v>
      </c>
      <c r="I638" s="20">
        <v>0</v>
      </c>
      <c r="J638" s="13" t="s">
        <v>83</v>
      </c>
      <c r="K638" s="13" t="s">
        <v>35</v>
      </c>
      <c r="L638" s="7" t="s">
        <v>1132</v>
      </c>
      <c r="M638" s="7">
        <v>0.11</v>
      </c>
      <c r="N638" s="9" t="s">
        <v>1716</v>
      </c>
      <c r="O638" s="9" t="s">
        <v>39</v>
      </c>
      <c r="P638" s="9"/>
      <c r="Q638" s="15"/>
      <c r="R638" s="9">
        <v>0</v>
      </c>
    </row>
    <row r="639" spans="1:18" s="1" customFormat="1" hidden="1" x14ac:dyDescent="0.25">
      <c r="A639" s="7" t="s">
        <v>1152</v>
      </c>
      <c r="B639" s="13" t="s">
        <v>1153</v>
      </c>
      <c r="C639" s="7" t="s">
        <v>75</v>
      </c>
      <c r="D639" s="7" t="s">
        <v>35</v>
      </c>
      <c r="E639" s="7" t="s">
        <v>35</v>
      </c>
      <c r="F639" s="8">
        <v>0</v>
      </c>
      <c r="G639" s="20">
        <v>1</v>
      </c>
      <c r="H639" s="20">
        <v>0</v>
      </c>
      <c r="I639" s="20">
        <v>0</v>
      </c>
      <c r="J639" s="13" t="s">
        <v>83</v>
      </c>
      <c r="K639" s="13" t="s">
        <v>35</v>
      </c>
      <c r="L639" s="7" t="s">
        <v>171</v>
      </c>
      <c r="M639" s="7">
        <v>8.4000000000000005E-2</v>
      </c>
      <c r="N639" s="9" t="s">
        <v>1716</v>
      </c>
      <c r="O639" s="9" t="s">
        <v>39</v>
      </c>
      <c r="P639" s="9"/>
      <c r="Q639" s="15"/>
      <c r="R639" s="9">
        <v>0</v>
      </c>
    </row>
    <row r="640" spans="1:18" s="1" customFormat="1" hidden="1" x14ac:dyDescent="0.25">
      <c r="A640" s="10" t="s">
        <v>1154</v>
      </c>
      <c r="B640" s="14" t="s">
        <v>1155</v>
      </c>
      <c r="C640" s="10" t="s">
        <v>75</v>
      </c>
      <c r="D640" s="10" t="s">
        <v>35</v>
      </c>
      <c r="E640" s="10" t="s">
        <v>35</v>
      </c>
      <c r="F640" s="11">
        <v>0</v>
      </c>
      <c r="G640" s="21">
        <v>1</v>
      </c>
      <c r="H640" s="21">
        <v>0</v>
      </c>
      <c r="I640" s="21">
        <v>0</v>
      </c>
      <c r="J640" s="14" t="s">
        <v>83</v>
      </c>
      <c r="K640" s="14" t="s">
        <v>35</v>
      </c>
      <c r="L640" s="10" t="s">
        <v>174</v>
      </c>
      <c r="M640" s="10">
        <v>2.5</v>
      </c>
      <c r="N640" s="12" t="s">
        <v>1716</v>
      </c>
      <c r="O640" s="12" t="s">
        <v>39</v>
      </c>
      <c r="P640" s="12"/>
      <c r="Q640" s="16"/>
      <c r="R640" s="12">
        <v>0</v>
      </c>
    </row>
    <row r="641" spans="1:18" s="1" customFormat="1" hidden="1" x14ac:dyDescent="0.25">
      <c r="A641" s="10" t="s">
        <v>1154</v>
      </c>
      <c r="B641" s="14" t="s">
        <v>1155</v>
      </c>
      <c r="C641" s="10" t="s">
        <v>75</v>
      </c>
      <c r="D641" s="10" t="s">
        <v>35</v>
      </c>
      <c r="E641" s="10" t="s">
        <v>35</v>
      </c>
      <c r="F641" s="11">
        <v>0</v>
      </c>
      <c r="G641" s="21">
        <v>1</v>
      </c>
      <c r="H641" s="21">
        <v>0</v>
      </c>
      <c r="I641" s="21">
        <v>0</v>
      </c>
      <c r="J641" s="14" t="s">
        <v>83</v>
      </c>
      <c r="K641" s="14" t="s">
        <v>35</v>
      </c>
      <c r="L641" s="10" t="s">
        <v>175</v>
      </c>
      <c r="M641" s="10">
        <v>6.9400000000000003E-2</v>
      </c>
      <c r="N641" s="12" t="s">
        <v>1716</v>
      </c>
      <c r="O641" s="12" t="s">
        <v>39</v>
      </c>
      <c r="P641" s="12"/>
      <c r="Q641" s="16"/>
      <c r="R641" s="12">
        <v>0</v>
      </c>
    </row>
    <row r="642" spans="1:18" s="1" customFormat="1" hidden="1" x14ac:dyDescent="0.25">
      <c r="A642" s="10" t="s">
        <v>1154</v>
      </c>
      <c r="B642" s="14" t="s">
        <v>1155</v>
      </c>
      <c r="C642" s="10" t="s">
        <v>75</v>
      </c>
      <c r="D642" s="10" t="s">
        <v>35</v>
      </c>
      <c r="E642" s="10" t="s">
        <v>35</v>
      </c>
      <c r="F642" s="11">
        <v>0</v>
      </c>
      <c r="G642" s="21">
        <v>1</v>
      </c>
      <c r="H642" s="21">
        <v>0</v>
      </c>
      <c r="I642" s="21">
        <v>0</v>
      </c>
      <c r="J642" s="14" t="s">
        <v>83</v>
      </c>
      <c r="K642" s="14" t="s">
        <v>35</v>
      </c>
      <c r="L642" s="10" t="s">
        <v>1156</v>
      </c>
      <c r="M642" s="10">
        <v>1.1000000000000001</v>
      </c>
      <c r="N642" s="12" t="s">
        <v>1716</v>
      </c>
      <c r="O642" s="12" t="s">
        <v>39</v>
      </c>
      <c r="P642" s="12"/>
      <c r="Q642" s="16"/>
      <c r="R642" s="12">
        <v>0</v>
      </c>
    </row>
    <row r="643" spans="1:18" s="1" customFormat="1" x14ac:dyDescent="0.25">
      <c r="A643" s="7" t="s">
        <v>1157</v>
      </c>
      <c r="B643" s="13" t="s">
        <v>1158</v>
      </c>
      <c r="C643" s="7" t="s">
        <v>75</v>
      </c>
      <c r="D643" s="7" t="s">
        <v>35</v>
      </c>
      <c r="E643" s="7" t="s">
        <v>35</v>
      </c>
      <c r="F643" s="8">
        <v>0</v>
      </c>
      <c r="G643" s="20">
        <v>1</v>
      </c>
      <c r="H643" s="20">
        <v>0</v>
      </c>
      <c r="I643" s="20">
        <v>0</v>
      </c>
      <c r="J643" s="13" t="s">
        <v>83</v>
      </c>
      <c r="K643" s="13" t="s">
        <v>35</v>
      </c>
      <c r="L643" s="7" t="s">
        <v>84</v>
      </c>
      <c r="M643" s="7">
        <v>0.9</v>
      </c>
      <c r="N643" s="9" t="s">
        <v>1716</v>
      </c>
      <c r="O643" s="9" t="s">
        <v>39</v>
      </c>
      <c r="P643" s="9"/>
      <c r="Q643" s="15"/>
      <c r="R643" s="9">
        <v>0</v>
      </c>
    </row>
    <row r="644" spans="1:18" s="1" customFormat="1" x14ac:dyDescent="0.25">
      <c r="A644" s="7" t="s">
        <v>1157</v>
      </c>
      <c r="B644" s="13" t="s">
        <v>1158</v>
      </c>
      <c r="C644" s="7" t="s">
        <v>75</v>
      </c>
      <c r="D644" s="7" t="s">
        <v>35</v>
      </c>
      <c r="E644" s="7" t="s">
        <v>35</v>
      </c>
      <c r="F644" s="8">
        <v>0</v>
      </c>
      <c r="G644" s="20">
        <v>1</v>
      </c>
      <c r="H644" s="20">
        <v>0</v>
      </c>
      <c r="I644" s="20">
        <v>0</v>
      </c>
      <c r="J644" s="13" t="s">
        <v>83</v>
      </c>
      <c r="K644" s="13" t="s">
        <v>35</v>
      </c>
      <c r="L644" s="7" t="s">
        <v>212</v>
      </c>
      <c r="M644" s="7">
        <v>2</v>
      </c>
      <c r="N644" s="9" t="s">
        <v>1716</v>
      </c>
      <c r="O644" s="9" t="s">
        <v>39</v>
      </c>
      <c r="P644" s="9"/>
      <c r="Q644" s="15"/>
      <c r="R644" s="9">
        <v>0</v>
      </c>
    </row>
    <row r="645" spans="1:18" s="1" customFormat="1" x14ac:dyDescent="0.25">
      <c r="A645" s="7" t="s">
        <v>1157</v>
      </c>
      <c r="B645" s="13" t="s">
        <v>1158</v>
      </c>
      <c r="C645" s="7" t="s">
        <v>75</v>
      </c>
      <c r="D645" s="7" t="s">
        <v>35</v>
      </c>
      <c r="E645" s="7" t="s">
        <v>35</v>
      </c>
      <c r="F645" s="8">
        <v>0</v>
      </c>
      <c r="G645" s="20">
        <v>1</v>
      </c>
      <c r="H645" s="20">
        <v>0</v>
      </c>
      <c r="I645" s="20">
        <v>0</v>
      </c>
      <c r="J645" s="13" t="s">
        <v>83</v>
      </c>
      <c r="K645" s="13" t="s">
        <v>35</v>
      </c>
      <c r="L645" s="7" t="s">
        <v>1140</v>
      </c>
      <c r="M645" s="7">
        <v>0.11</v>
      </c>
      <c r="N645" s="9" t="s">
        <v>1716</v>
      </c>
      <c r="O645" s="9" t="s">
        <v>39</v>
      </c>
      <c r="P645" s="9"/>
      <c r="Q645" s="15"/>
      <c r="R645" s="9">
        <v>0</v>
      </c>
    </row>
    <row r="646" spans="1:18" s="1" customFormat="1" x14ac:dyDescent="0.25">
      <c r="A646" s="7" t="s">
        <v>1157</v>
      </c>
      <c r="B646" s="13" t="s">
        <v>1158</v>
      </c>
      <c r="C646" s="7" t="s">
        <v>75</v>
      </c>
      <c r="D646" s="7" t="s">
        <v>35</v>
      </c>
      <c r="E646" s="7" t="s">
        <v>35</v>
      </c>
      <c r="F646" s="8">
        <v>0</v>
      </c>
      <c r="G646" s="20">
        <v>1</v>
      </c>
      <c r="H646" s="20">
        <v>0</v>
      </c>
      <c r="I646" s="20">
        <v>0</v>
      </c>
      <c r="J646" s="13" t="s">
        <v>83</v>
      </c>
      <c r="K646" s="13" t="s">
        <v>35</v>
      </c>
      <c r="L646" s="7" t="s">
        <v>171</v>
      </c>
      <c r="M646" s="7">
        <v>8.4000000000000005E-2</v>
      </c>
      <c r="N646" s="9" t="s">
        <v>1716</v>
      </c>
      <c r="O646" s="9" t="s">
        <v>39</v>
      </c>
      <c r="P646" s="9"/>
      <c r="Q646" s="15"/>
      <c r="R646" s="9">
        <v>0</v>
      </c>
    </row>
    <row r="647" spans="1:18" s="1" customFormat="1" hidden="1" x14ac:dyDescent="0.25">
      <c r="A647" s="10" t="s">
        <v>1159</v>
      </c>
      <c r="B647" s="14" t="s">
        <v>1160</v>
      </c>
      <c r="C647" s="10" t="s">
        <v>34</v>
      </c>
      <c r="D647" s="10" t="s">
        <v>35</v>
      </c>
      <c r="E647" s="10" t="s">
        <v>35</v>
      </c>
      <c r="F647" s="11">
        <v>0</v>
      </c>
      <c r="G647" s="21">
        <v>1</v>
      </c>
      <c r="H647" s="21">
        <v>0</v>
      </c>
      <c r="I647" s="21">
        <v>0</v>
      </c>
      <c r="J647" s="14" t="s">
        <v>1037</v>
      </c>
      <c r="K647" s="14" t="s">
        <v>35</v>
      </c>
      <c r="L647" s="10" t="s">
        <v>166</v>
      </c>
      <c r="M647" s="10">
        <v>0.2646</v>
      </c>
      <c r="N647" s="12" t="s">
        <v>1716</v>
      </c>
      <c r="O647" s="12" t="s">
        <v>39</v>
      </c>
      <c r="P647" s="12"/>
      <c r="Q647" s="16"/>
      <c r="R647" s="12">
        <v>0</v>
      </c>
    </row>
    <row r="648" spans="1:18" s="1" customFormat="1" hidden="1" x14ac:dyDescent="0.25">
      <c r="A648" s="7" t="s">
        <v>1161</v>
      </c>
      <c r="B648" s="13" t="s">
        <v>1162</v>
      </c>
      <c r="C648" s="7" t="s">
        <v>34</v>
      </c>
      <c r="D648" s="7" t="s">
        <v>35</v>
      </c>
      <c r="E648" s="7" t="s">
        <v>35</v>
      </c>
      <c r="F648" s="8">
        <v>0</v>
      </c>
      <c r="G648" s="20">
        <v>1</v>
      </c>
      <c r="H648" s="20">
        <v>0</v>
      </c>
      <c r="I648" s="20">
        <v>0</v>
      </c>
      <c r="J648" s="13" t="s">
        <v>36</v>
      </c>
      <c r="K648" s="13" t="s">
        <v>35</v>
      </c>
      <c r="L648" s="7" t="s">
        <v>159</v>
      </c>
      <c r="M648" s="7">
        <v>0.2</v>
      </c>
      <c r="N648" s="9" t="s">
        <v>1716</v>
      </c>
      <c r="O648" s="9" t="s">
        <v>39</v>
      </c>
      <c r="P648" s="9"/>
      <c r="Q648" s="15"/>
      <c r="R648" s="9">
        <v>0</v>
      </c>
    </row>
    <row r="649" spans="1:18" s="1" customFormat="1" hidden="1" x14ac:dyDescent="0.25">
      <c r="A649" s="10" t="s">
        <v>1163</v>
      </c>
      <c r="B649" s="14" t="s">
        <v>1164</v>
      </c>
      <c r="C649" s="10" t="s">
        <v>54</v>
      </c>
      <c r="D649" s="10" t="s">
        <v>35</v>
      </c>
      <c r="E649" s="10" t="s">
        <v>35</v>
      </c>
      <c r="F649" s="11">
        <v>0</v>
      </c>
      <c r="G649" s="21">
        <v>1</v>
      </c>
      <c r="H649" s="21">
        <v>0</v>
      </c>
      <c r="I649" s="21">
        <v>0</v>
      </c>
      <c r="J649" s="14" t="s">
        <v>525</v>
      </c>
      <c r="K649" s="14" t="s">
        <v>35</v>
      </c>
      <c r="L649" s="10" t="s">
        <v>1165</v>
      </c>
      <c r="M649" s="10">
        <v>1</v>
      </c>
      <c r="N649" s="12" t="s">
        <v>1716</v>
      </c>
      <c r="O649" s="12" t="s">
        <v>39</v>
      </c>
      <c r="P649" s="12"/>
      <c r="Q649" s="16"/>
      <c r="R649" s="12">
        <v>0</v>
      </c>
    </row>
    <row r="650" spans="1:18" s="1" customFormat="1" hidden="1" x14ac:dyDescent="0.25">
      <c r="A650" s="7" t="s">
        <v>1166</v>
      </c>
      <c r="B650" s="13" t="s">
        <v>1167</v>
      </c>
      <c r="C650" s="7" t="s">
        <v>54</v>
      </c>
      <c r="D650" s="7" t="s">
        <v>35</v>
      </c>
      <c r="E650" s="7" t="s">
        <v>35</v>
      </c>
      <c r="F650" s="8">
        <v>0</v>
      </c>
      <c r="G650" s="20">
        <v>1</v>
      </c>
      <c r="H650" s="20">
        <v>0</v>
      </c>
      <c r="I650" s="20">
        <v>0</v>
      </c>
      <c r="J650" s="13" t="s">
        <v>354</v>
      </c>
      <c r="K650" s="13" t="s">
        <v>35</v>
      </c>
      <c r="L650" s="7" t="s">
        <v>1168</v>
      </c>
      <c r="M650" s="7">
        <v>1</v>
      </c>
      <c r="N650" s="9" t="s">
        <v>1716</v>
      </c>
      <c r="O650" s="9" t="s">
        <v>39</v>
      </c>
      <c r="P650" s="9"/>
      <c r="Q650" s="15"/>
      <c r="R650" s="9">
        <v>0</v>
      </c>
    </row>
    <row r="651" spans="1:18" s="1" customFormat="1" hidden="1" x14ac:dyDescent="0.25">
      <c r="A651" s="10" t="s">
        <v>1169</v>
      </c>
      <c r="B651" s="14" t="s">
        <v>1170</v>
      </c>
      <c r="C651" s="10" t="s">
        <v>111</v>
      </c>
      <c r="D651" s="10" t="s">
        <v>35</v>
      </c>
      <c r="E651" s="10" t="s">
        <v>35</v>
      </c>
      <c r="F651" s="11">
        <v>0</v>
      </c>
      <c r="G651" s="21">
        <v>1</v>
      </c>
      <c r="H651" s="21">
        <v>0</v>
      </c>
      <c r="I651" s="21">
        <v>0</v>
      </c>
      <c r="J651" s="14" t="s">
        <v>1171</v>
      </c>
      <c r="K651" s="14" t="s">
        <v>35</v>
      </c>
      <c r="L651" s="10" t="s">
        <v>1172</v>
      </c>
      <c r="M651" s="10">
        <v>1</v>
      </c>
      <c r="N651" s="12" t="s">
        <v>1716</v>
      </c>
      <c r="O651" s="12" t="s">
        <v>39</v>
      </c>
      <c r="P651" s="12"/>
      <c r="Q651" s="16"/>
      <c r="R651" s="12">
        <v>0</v>
      </c>
    </row>
    <row r="652" spans="1:18" s="1" customFormat="1" hidden="1" x14ac:dyDescent="0.25">
      <c r="A652" s="7" t="s">
        <v>1173</v>
      </c>
      <c r="B652" s="13" t="s">
        <v>1174</v>
      </c>
      <c r="C652" s="7" t="s">
        <v>111</v>
      </c>
      <c r="D652" s="7" t="s">
        <v>35</v>
      </c>
      <c r="E652" s="7" t="s">
        <v>35</v>
      </c>
      <c r="F652" s="8">
        <v>0</v>
      </c>
      <c r="G652" s="20">
        <v>1</v>
      </c>
      <c r="H652" s="20">
        <v>0</v>
      </c>
      <c r="I652" s="20">
        <v>0</v>
      </c>
      <c r="J652" s="13" t="s">
        <v>1171</v>
      </c>
      <c r="K652" s="13" t="s">
        <v>35</v>
      </c>
      <c r="L652" s="7" t="s">
        <v>1175</v>
      </c>
      <c r="M652" s="7">
        <v>1</v>
      </c>
      <c r="N652" s="9" t="s">
        <v>1716</v>
      </c>
      <c r="O652" s="9" t="s">
        <v>39</v>
      </c>
      <c r="P652" s="9"/>
      <c r="Q652" s="15"/>
      <c r="R652" s="9">
        <v>0</v>
      </c>
    </row>
    <row r="653" spans="1:18" s="1" customFormat="1" hidden="1" x14ac:dyDescent="0.25">
      <c r="A653" s="10" t="s">
        <v>1176</v>
      </c>
      <c r="B653" s="14" t="s">
        <v>1177</v>
      </c>
      <c r="C653" s="10" t="s">
        <v>34</v>
      </c>
      <c r="D653" s="10" t="s">
        <v>35</v>
      </c>
      <c r="E653" s="10" t="s">
        <v>35</v>
      </c>
      <c r="F653" s="11">
        <v>0</v>
      </c>
      <c r="G653" s="21">
        <v>1</v>
      </c>
      <c r="H653" s="21">
        <v>0</v>
      </c>
      <c r="I653" s="21">
        <v>0</v>
      </c>
      <c r="J653" s="14" t="s">
        <v>83</v>
      </c>
      <c r="K653" s="14" t="s">
        <v>35</v>
      </c>
      <c r="L653" s="10" t="s">
        <v>84</v>
      </c>
      <c r="M653" s="10">
        <v>9</v>
      </c>
      <c r="N653" s="12" t="s">
        <v>1716</v>
      </c>
      <c r="O653" s="12" t="s">
        <v>39</v>
      </c>
      <c r="P653" s="12"/>
      <c r="Q653" s="16"/>
      <c r="R653" s="12">
        <v>0</v>
      </c>
    </row>
    <row r="654" spans="1:18" s="1" customFormat="1" hidden="1" x14ac:dyDescent="0.25">
      <c r="A654" s="10" t="s">
        <v>1176</v>
      </c>
      <c r="B654" s="14" t="s">
        <v>1177</v>
      </c>
      <c r="C654" s="10" t="s">
        <v>34</v>
      </c>
      <c r="D654" s="10" t="s">
        <v>35</v>
      </c>
      <c r="E654" s="10" t="s">
        <v>35</v>
      </c>
      <c r="F654" s="11">
        <v>0</v>
      </c>
      <c r="G654" s="21">
        <v>1</v>
      </c>
      <c r="H654" s="21">
        <v>0</v>
      </c>
      <c r="I654" s="21">
        <v>0</v>
      </c>
      <c r="J654" s="14" t="s">
        <v>83</v>
      </c>
      <c r="K654" s="14" t="s">
        <v>35</v>
      </c>
      <c r="L654" s="10" t="s">
        <v>206</v>
      </c>
      <c r="M654" s="10">
        <v>1.1000000000000001</v>
      </c>
      <c r="N654" s="12" t="s">
        <v>1716</v>
      </c>
      <c r="O654" s="12" t="s">
        <v>39</v>
      </c>
      <c r="P654" s="12"/>
      <c r="Q654" s="16"/>
      <c r="R654" s="12">
        <v>0</v>
      </c>
    </row>
    <row r="655" spans="1:18" s="1" customFormat="1" hidden="1" x14ac:dyDescent="0.25">
      <c r="A655" s="10" t="s">
        <v>1176</v>
      </c>
      <c r="B655" s="14" t="s">
        <v>1177</v>
      </c>
      <c r="C655" s="10" t="s">
        <v>34</v>
      </c>
      <c r="D655" s="10" t="s">
        <v>35</v>
      </c>
      <c r="E655" s="10" t="s">
        <v>35</v>
      </c>
      <c r="F655" s="11">
        <v>0</v>
      </c>
      <c r="G655" s="21">
        <v>1</v>
      </c>
      <c r="H655" s="21">
        <v>0</v>
      </c>
      <c r="I655" s="21">
        <v>0</v>
      </c>
      <c r="J655" s="14" t="s">
        <v>83</v>
      </c>
      <c r="K655" s="14" t="s">
        <v>35</v>
      </c>
      <c r="L655" s="10" t="s">
        <v>171</v>
      </c>
      <c r="M655" s="10">
        <v>0.26</v>
      </c>
      <c r="N655" s="12" t="s">
        <v>1716</v>
      </c>
      <c r="O655" s="12" t="s">
        <v>39</v>
      </c>
      <c r="P655" s="12"/>
      <c r="Q655" s="16"/>
      <c r="R655" s="12">
        <v>0</v>
      </c>
    </row>
    <row r="656" spans="1:18" s="1" customFormat="1" hidden="1" x14ac:dyDescent="0.25">
      <c r="A656" s="7" t="s">
        <v>1178</v>
      </c>
      <c r="B656" s="13" t="s">
        <v>1179</v>
      </c>
      <c r="C656" s="7" t="s">
        <v>54</v>
      </c>
      <c r="D656" s="7" t="s">
        <v>35</v>
      </c>
      <c r="E656" s="7" t="s">
        <v>35</v>
      </c>
      <c r="F656" s="8">
        <v>0</v>
      </c>
      <c r="G656" s="20">
        <v>1</v>
      </c>
      <c r="H656" s="20">
        <v>0</v>
      </c>
      <c r="I656" s="20">
        <v>0</v>
      </c>
      <c r="J656" s="13" t="s">
        <v>419</v>
      </c>
      <c r="K656" s="13" t="s">
        <v>35</v>
      </c>
      <c r="L656" s="7" t="s">
        <v>1180</v>
      </c>
      <c r="M656" s="7">
        <v>1</v>
      </c>
      <c r="N656" s="9" t="s">
        <v>1716</v>
      </c>
      <c r="O656" s="9" t="s">
        <v>39</v>
      </c>
      <c r="P656" s="9"/>
      <c r="Q656" s="15"/>
      <c r="R656" s="9">
        <v>0</v>
      </c>
    </row>
    <row r="657" spans="1:18" s="1" customFormat="1" hidden="1" x14ac:dyDescent="0.25">
      <c r="A657" s="10" t="s">
        <v>1181</v>
      </c>
      <c r="B657" s="14" t="s">
        <v>1182</v>
      </c>
      <c r="C657" s="10" t="s">
        <v>34</v>
      </c>
      <c r="D657" s="10" t="s">
        <v>35</v>
      </c>
      <c r="E657" s="10" t="s">
        <v>35</v>
      </c>
      <c r="F657" s="11">
        <v>0</v>
      </c>
      <c r="G657" s="21">
        <v>1</v>
      </c>
      <c r="H657" s="21">
        <v>0</v>
      </c>
      <c r="I657" s="21">
        <v>0</v>
      </c>
      <c r="J657" s="14" t="s">
        <v>525</v>
      </c>
      <c r="K657" s="14" t="s">
        <v>35</v>
      </c>
      <c r="L657" s="10" t="s">
        <v>646</v>
      </c>
      <c r="M657" s="10">
        <v>6.8999999999999999E-3</v>
      </c>
      <c r="N657" s="12" t="s">
        <v>1716</v>
      </c>
      <c r="O657" s="12" t="s">
        <v>39</v>
      </c>
      <c r="P657" s="12"/>
      <c r="Q657" s="16"/>
      <c r="R657" s="12">
        <v>0</v>
      </c>
    </row>
    <row r="658" spans="1:18" s="1" customFormat="1" hidden="1" x14ac:dyDescent="0.25">
      <c r="A658" s="10" t="s">
        <v>1181</v>
      </c>
      <c r="B658" s="14" t="s">
        <v>1182</v>
      </c>
      <c r="C658" s="10" t="s">
        <v>34</v>
      </c>
      <c r="D658" s="10" t="s">
        <v>35</v>
      </c>
      <c r="E658" s="10" t="s">
        <v>35</v>
      </c>
      <c r="F658" s="11">
        <v>0</v>
      </c>
      <c r="G658" s="21">
        <v>1</v>
      </c>
      <c r="H658" s="21">
        <v>0</v>
      </c>
      <c r="I658" s="21">
        <v>0</v>
      </c>
      <c r="J658" s="14" t="s">
        <v>525</v>
      </c>
      <c r="K658" s="14" t="s">
        <v>35</v>
      </c>
      <c r="L658" s="10" t="s">
        <v>1183</v>
      </c>
      <c r="M658" s="10">
        <v>0.42799999999999999</v>
      </c>
      <c r="N658" s="12" t="s">
        <v>1716</v>
      </c>
      <c r="O658" s="12" t="s">
        <v>39</v>
      </c>
      <c r="P658" s="12"/>
      <c r="Q658" s="16"/>
      <c r="R658" s="12">
        <v>0</v>
      </c>
    </row>
    <row r="659" spans="1:18" s="1" customFormat="1" hidden="1" x14ac:dyDescent="0.25">
      <c r="A659" s="10" t="s">
        <v>1181</v>
      </c>
      <c r="B659" s="14" t="s">
        <v>1182</v>
      </c>
      <c r="C659" s="10" t="s">
        <v>34</v>
      </c>
      <c r="D659" s="10" t="s">
        <v>35</v>
      </c>
      <c r="E659" s="10" t="s">
        <v>35</v>
      </c>
      <c r="F659" s="11">
        <v>0</v>
      </c>
      <c r="G659" s="21">
        <v>1</v>
      </c>
      <c r="H659" s="21">
        <v>0</v>
      </c>
      <c r="I659" s="21">
        <v>0</v>
      </c>
      <c r="J659" s="14" t="s">
        <v>525</v>
      </c>
      <c r="K659" s="14" t="s">
        <v>35</v>
      </c>
      <c r="L659" s="10" t="s">
        <v>663</v>
      </c>
      <c r="M659" s="10">
        <v>7.4999999999999997E-3</v>
      </c>
      <c r="N659" s="12" t="s">
        <v>1716</v>
      </c>
      <c r="O659" s="12" t="s">
        <v>39</v>
      </c>
      <c r="P659" s="12"/>
      <c r="Q659" s="16"/>
      <c r="R659" s="12">
        <v>0</v>
      </c>
    </row>
    <row r="660" spans="1:18" s="1" customFormat="1" hidden="1" x14ac:dyDescent="0.25">
      <c r="A660" s="10" t="s">
        <v>1181</v>
      </c>
      <c r="B660" s="14" t="s">
        <v>1182</v>
      </c>
      <c r="C660" s="10" t="s">
        <v>34</v>
      </c>
      <c r="D660" s="10" t="s">
        <v>35</v>
      </c>
      <c r="E660" s="10" t="s">
        <v>35</v>
      </c>
      <c r="F660" s="11">
        <v>0</v>
      </c>
      <c r="G660" s="21">
        <v>1</v>
      </c>
      <c r="H660" s="21">
        <v>0</v>
      </c>
      <c r="I660" s="21">
        <v>0</v>
      </c>
      <c r="J660" s="14" t="s">
        <v>525</v>
      </c>
      <c r="K660" s="14" t="s">
        <v>35</v>
      </c>
      <c r="L660" s="10" t="s">
        <v>1184</v>
      </c>
      <c r="M660" s="10">
        <v>1.05</v>
      </c>
      <c r="N660" s="12" t="s">
        <v>1716</v>
      </c>
      <c r="O660" s="12" t="s">
        <v>39</v>
      </c>
      <c r="P660" s="12"/>
      <c r="Q660" s="16"/>
      <c r="R660" s="12">
        <v>0</v>
      </c>
    </row>
    <row r="661" spans="1:18" s="1" customFormat="1" hidden="1" x14ac:dyDescent="0.25">
      <c r="A661" s="7" t="s">
        <v>1185</v>
      </c>
      <c r="B661" s="13" t="s">
        <v>1186</v>
      </c>
      <c r="C661" s="7" t="s">
        <v>54</v>
      </c>
      <c r="D661" s="7" t="s">
        <v>35</v>
      </c>
      <c r="E661" s="7" t="s">
        <v>35</v>
      </c>
      <c r="F661" s="8">
        <v>0</v>
      </c>
      <c r="G661" s="20">
        <v>1</v>
      </c>
      <c r="H661" s="20">
        <v>0</v>
      </c>
      <c r="I661" s="20">
        <v>0</v>
      </c>
      <c r="J661" s="13" t="s">
        <v>419</v>
      </c>
      <c r="K661" s="13" t="s">
        <v>35</v>
      </c>
      <c r="L661" s="7" t="s">
        <v>1187</v>
      </c>
      <c r="M661" s="7">
        <v>1</v>
      </c>
      <c r="N661" s="9" t="s">
        <v>1716</v>
      </c>
      <c r="O661" s="9" t="s">
        <v>39</v>
      </c>
      <c r="P661" s="9"/>
      <c r="Q661" s="15"/>
      <c r="R661" s="9">
        <v>0</v>
      </c>
    </row>
    <row r="662" spans="1:18" s="1" customFormat="1" hidden="1" x14ac:dyDescent="0.25">
      <c r="A662" s="10" t="s">
        <v>1188</v>
      </c>
      <c r="B662" s="14" t="s">
        <v>1189</v>
      </c>
      <c r="C662" s="10" t="s">
        <v>34</v>
      </c>
      <c r="D662" s="10" t="s">
        <v>35</v>
      </c>
      <c r="E662" s="10" t="s">
        <v>35</v>
      </c>
      <c r="F662" s="11">
        <v>0</v>
      </c>
      <c r="G662" s="21">
        <v>1</v>
      </c>
      <c r="H662" s="21">
        <v>0</v>
      </c>
      <c r="I662" s="21">
        <v>0</v>
      </c>
      <c r="J662" s="14" t="s">
        <v>525</v>
      </c>
      <c r="K662" s="14" t="s">
        <v>35</v>
      </c>
      <c r="L662" s="10" t="s">
        <v>660</v>
      </c>
      <c r="M662" s="10">
        <v>3.8400000000000001E-4</v>
      </c>
      <c r="N662" s="12" t="s">
        <v>1716</v>
      </c>
      <c r="O662" s="12" t="s">
        <v>39</v>
      </c>
      <c r="P662" s="12"/>
      <c r="Q662" s="16"/>
      <c r="R662" s="12">
        <v>0</v>
      </c>
    </row>
    <row r="663" spans="1:18" s="1" customFormat="1" hidden="1" x14ac:dyDescent="0.25">
      <c r="A663" s="10" t="s">
        <v>1188</v>
      </c>
      <c r="B663" s="14" t="s">
        <v>1189</v>
      </c>
      <c r="C663" s="10" t="s">
        <v>34</v>
      </c>
      <c r="D663" s="10" t="s">
        <v>35</v>
      </c>
      <c r="E663" s="10" t="s">
        <v>35</v>
      </c>
      <c r="F663" s="11">
        <v>0</v>
      </c>
      <c r="G663" s="21">
        <v>1</v>
      </c>
      <c r="H663" s="21">
        <v>0</v>
      </c>
      <c r="I663" s="21">
        <v>0</v>
      </c>
      <c r="J663" s="14" t="s">
        <v>525</v>
      </c>
      <c r="K663" s="14" t="s">
        <v>35</v>
      </c>
      <c r="L663" s="10" t="s">
        <v>662</v>
      </c>
      <c r="M663" s="10">
        <v>0.01</v>
      </c>
      <c r="N663" s="12" t="s">
        <v>1716</v>
      </c>
      <c r="O663" s="12" t="s">
        <v>39</v>
      </c>
      <c r="P663" s="12"/>
      <c r="Q663" s="16"/>
      <c r="R663" s="12">
        <v>0</v>
      </c>
    </row>
    <row r="664" spans="1:18" s="1" customFormat="1" hidden="1" x14ac:dyDescent="0.25">
      <c r="A664" s="10" t="s">
        <v>1188</v>
      </c>
      <c r="B664" s="14" t="s">
        <v>1189</v>
      </c>
      <c r="C664" s="10" t="s">
        <v>34</v>
      </c>
      <c r="D664" s="10" t="s">
        <v>35</v>
      </c>
      <c r="E664" s="10" t="s">
        <v>35</v>
      </c>
      <c r="F664" s="11">
        <v>0</v>
      </c>
      <c r="G664" s="21">
        <v>1</v>
      </c>
      <c r="H664" s="21">
        <v>0</v>
      </c>
      <c r="I664" s="21">
        <v>0</v>
      </c>
      <c r="J664" s="14" t="s">
        <v>525</v>
      </c>
      <c r="K664" s="14" t="s">
        <v>35</v>
      </c>
      <c r="L664" s="10" t="s">
        <v>1190</v>
      </c>
      <c r="M664" s="10">
        <v>1.05</v>
      </c>
      <c r="N664" s="12" t="s">
        <v>1716</v>
      </c>
      <c r="O664" s="12" t="s">
        <v>39</v>
      </c>
      <c r="P664" s="12"/>
      <c r="Q664" s="16"/>
      <c r="R664" s="12">
        <v>0</v>
      </c>
    </row>
    <row r="665" spans="1:18" s="1" customFormat="1" hidden="1" x14ac:dyDescent="0.25">
      <c r="A665" s="10" t="s">
        <v>1188</v>
      </c>
      <c r="B665" s="14" t="s">
        <v>1189</v>
      </c>
      <c r="C665" s="10" t="s">
        <v>34</v>
      </c>
      <c r="D665" s="10" t="s">
        <v>35</v>
      </c>
      <c r="E665" s="10" t="s">
        <v>35</v>
      </c>
      <c r="F665" s="11">
        <v>0</v>
      </c>
      <c r="G665" s="21">
        <v>1</v>
      </c>
      <c r="H665" s="21">
        <v>0</v>
      </c>
      <c r="I665" s="21">
        <v>0</v>
      </c>
      <c r="J665" s="14" t="s">
        <v>525</v>
      </c>
      <c r="K665" s="14" t="s">
        <v>35</v>
      </c>
      <c r="L665" s="10" t="s">
        <v>646</v>
      </c>
      <c r="M665" s="10">
        <v>1.9E-3</v>
      </c>
      <c r="N665" s="12" t="s">
        <v>1716</v>
      </c>
      <c r="O665" s="12" t="s">
        <v>39</v>
      </c>
      <c r="P665" s="12"/>
      <c r="Q665" s="16"/>
      <c r="R665" s="12">
        <v>0</v>
      </c>
    </row>
    <row r="666" spans="1:18" s="1" customFormat="1" hidden="1" x14ac:dyDescent="0.25">
      <c r="A666" s="7" t="s">
        <v>1191</v>
      </c>
      <c r="B666" s="13" t="s">
        <v>1192</v>
      </c>
      <c r="C666" s="7" t="s">
        <v>136</v>
      </c>
      <c r="D666" s="7" t="s">
        <v>35</v>
      </c>
      <c r="E666" s="7" t="s">
        <v>35</v>
      </c>
      <c r="F666" s="8">
        <v>0</v>
      </c>
      <c r="G666" s="20">
        <v>1</v>
      </c>
      <c r="H666" s="20">
        <v>0</v>
      </c>
      <c r="I666" s="20">
        <v>0</v>
      </c>
      <c r="J666" s="13" t="s">
        <v>229</v>
      </c>
      <c r="K666" s="13" t="s">
        <v>35</v>
      </c>
      <c r="L666" s="7" t="s">
        <v>1193</v>
      </c>
      <c r="M666" s="7">
        <v>1</v>
      </c>
      <c r="N666" s="9" t="s">
        <v>1716</v>
      </c>
      <c r="O666" s="9" t="s">
        <v>39</v>
      </c>
      <c r="P666" s="9"/>
      <c r="Q666" s="15"/>
      <c r="R666" s="9">
        <v>0</v>
      </c>
    </row>
    <row r="667" spans="1:18" s="1" customFormat="1" hidden="1" x14ac:dyDescent="0.25">
      <c r="A667" s="7" t="s">
        <v>1191</v>
      </c>
      <c r="B667" s="13" t="s">
        <v>1192</v>
      </c>
      <c r="C667" s="7" t="s">
        <v>136</v>
      </c>
      <c r="D667" s="7" t="s">
        <v>35</v>
      </c>
      <c r="E667" s="7" t="s">
        <v>35</v>
      </c>
      <c r="F667" s="8">
        <v>0</v>
      </c>
      <c r="G667" s="20">
        <v>1</v>
      </c>
      <c r="H667" s="20">
        <v>0</v>
      </c>
      <c r="I667" s="20">
        <v>0</v>
      </c>
      <c r="J667" s="13" t="s">
        <v>229</v>
      </c>
      <c r="K667" s="13" t="s">
        <v>35</v>
      </c>
      <c r="L667" s="7" t="s">
        <v>1194</v>
      </c>
      <c r="M667" s="7">
        <v>1</v>
      </c>
      <c r="N667" s="9" t="s">
        <v>1716</v>
      </c>
      <c r="O667" s="9" t="s">
        <v>39</v>
      </c>
      <c r="P667" s="9"/>
      <c r="Q667" s="15"/>
      <c r="R667" s="9">
        <v>0</v>
      </c>
    </row>
    <row r="668" spans="1:18" s="1" customFormat="1" hidden="1" x14ac:dyDescent="0.25">
      <c r="A668" s="7" t="s">
        <v>1191</v>
      </c>
      <c r="B668" s="13" t="s">
        <v>1192</v>
      </c>
      <c r="C668" s="7" t="s">
        <v>136</v>
      </c>
      <c r="D668" s="7" t="s">
        <v>35</v>
      </c>
      <c r="E668" s="7" t="s">
        <v>35</v>
      </c>
      <c r="F668" s="8">
        <v>0</v>
      </c>
      <c r="G668" s="20">
        <v>1</v>
      </c>
      <c r="H668" s="20">
        <v>0</v>
      </c>
      <c r="I668" s="20">
        <v>0</v>
      </c>
      <c r="J668" s="13" t="s">
        <v>229</v>
      </c>
      <c r="K668" s="13" t="s">
        <v>35</v>
      </c>
      <c r="L668" s="7" t="s">
        <v>1195</v>
      </c>
      <c r="M668" s="7">
        <v>0.5</v>
      </c>
      <c r="N668" s="9" t="s">
        <v>1716</v>
      </c>
      <c r="O668" s="9" t="s">
        <v>39</v>
      </c>
      <c r="P668" s="9"/>
      <c r="Q668" s="15"/>
      <c r="R668" s="9">
        <v>0</v>
      </c>
    </row>
    <row r="669" spans="1:18" s="1" customFormat="1" hidden="1" x14ac:dyDescent="0.25">
      <c r="A669" s="10" t="s">
        <v>1196</v>
      </c>
      <c r="B669" s="14" t="s">
        <v>1197</v>
      </c>
      <c r="C669" s="10" t="s">
        <v>34</v>
      </c>
      <c r="D669" s="10" t="s">
        <v>35</v>
      </c>
      <c r="E669" s="10" t="s">
        <v>35</v>
      </c>
      <c r="F669" s="11">
        <v>0</v>
      </c>
      <c r="G669" s="21">
        <v>1</v>
      </c>
      <c r="H669" s="21">
        <v>0</v>
      </c>
      <c r="I669" s="21">
        <v>0</v>
      </c>
      <c r="J669" s="14" t="s">
        <v>106</v>
      </c>
      <c r="K669" s="14" t="s">
        <v>35</v>
      </c>
      <c r="L669" s="10" t="s">
        <v>1198</v>
      </c>
      <c r="M669" s="10">
        <v>1.27</v>
      </c>
      <c r="N669" s="12" t="s">
        <v>1716</v>
      </c>
      <c r="O669" s="12" t="s">
        <v>39</v>
      </c>
      <c r="P669" s="12"/>
      <c r="Q669" s="16"/>
      <c r="R669" s="12">
        <v>0</v>
      </c>
    </row>
    <row r="670" spans="1:18" s="1" customFormat="1" hidden="1" x14ac:dyDescent="0.25">
      <c r="A670" s="10" t="s">
        <v>1196</v>
      </c>
      <c r="B670" s="14" t="s">
        <v>1197</v>
      </c>
      <c r="C670" s="10" t="s">
        <v>34</v>
      </c>
      <c r="D670" s="10" t="s">
        <v>35</v>
      </c>
      <c r="E670" s="10" t="s">
        <v>35</v>
      </c>
      <c r="F670" s="11">
        <v>0</v>
      </c>
      <c r="G670" s="21">
        <v>1</v>
      </c>
      <c r="H670" s="21">
        <v>0</v>
      </c>
      <c r="I670" s="21">
        <v>0</v>
      </c>
      <c r="J670" s="14" t="s">
        <v>106</v>
      </c>
      <c r="K670" s="14" t="s">
        <v>35</v>
      </c>
      <c r="L670" s="10" t="s">
        <v>1199</v>
      </c>
      <c r="M670" s="10">
        <v>0.25</v>
      </c>
      <c r="N670" s="12" t="s">
        <v>1716</v>
      </c>
      <c r="O670" s="12" t="s">
        <v>39</v>
      </c>
      <c r="P670" s="12"/>
      <c r="Q670" s="16"/>
      <c r="R670" s="12">
        <v>0</v>
      </c>
    </row>
    <row r="671" spans="1:18" s="1" customFormat="1" hidden="1" x14ac:dyDescent="0.25">
      <c r="A671" s="10" t="s">
        <v>1196</v>
      </c>
      <c r="B671" s="14" t="s">
        <v>1197</v>
      </c>
      <c r="C671" s="10" t="s">
        <v>34</v>
      </c>
      <c r="D671" s="10" t="s">
        <v>35</v>
      </c>
      <c r="E671" s="10" t="s">
        <v>35</v>
      </c>
      <c r="F671" s="11">
        <v>0</v>
      </c>
      <c r="G671" s="21">
        <v>1</v>
      </c>
      <c r="H671" s="21">
        <v>0</v>
      </c>
      <c r="I671" s="21">
        <v>0</v>
      </c>
      <c r="J671" s="14" t="s">
        <v>106</v>
      </c>
      <c r="K671" s="14" t="s">
        <v>35</v>
      </c>
      <c r="L671" s="10" t="s">
        <v>1200</v>
      </c>
      <c r="M671" s="10">
        <v>0.25</v>
      </c>
      <c r="N671" s="12" t="s">
        <v>1716</v>
      </c>
      <c r="O671" s="12" t="s">
        <v>39</v>
      </c>
      <c r="P671" s="12"/>
      <c r="Q671" s="16"/>
      <c r="R671" s="12">
        <v>0</v>
      </c>
    </row>
    <row r="672" spans="1:18" s="1" customFormat="1" hidden="1" x14ac:dyDescent="0.25">
      <c r="A672" s="10" t="s">
        <v>1196</v>
      </c>
      <c r="B672" s="14" t="s">
        <v>1197</v>
      </c>
      <c r="C672" s="10" t="s">
        <v>34</v>
      </c>
      <c r="D672" s="10" t="s">
        <v>35</v>
      </c>
      <c r="E672" s="10" t="s">
        <v>35</v>
      </c>
      <c r="F672" s="11">
        <v>0</v>
      </c>
      <c r="G672" s="21">
        <v>1</v>
      </c>
      <c r="H672" s="21">
        <v>0</v>
      </c>
      <c r="I672" s="21">
        <v>0</v>
      </c>
      <c r="J672" s="14" t="s">
        <v>106</v>
      </c>
      <c r="K672" s="14" t="s">
        <v>35</v>
      </c>
      <c r="L672" s="10" t="s">
        <v>1201</v>
      </c>
      <c r="M672" s="10">
        <v>1.27</v>
      </c>
      <c r="N672" s="12" t="s">
        <v>1716</v>
      </c>
      <c r="O672" s="12" t="s">
        <v>39</v>
      </c>
      <c r="P672" s="12"/>
      <c r="Q672" s="16"/>
      <c r="R672" s="12">
        <v>0</v>
      </c>
    </row>
    <row r="673" spans="1:18" s="1" customFormat="1" hidden="1" x14ac:dyDescent="0.25">
      <c r="A673" s="10" t="s">
        <v>1196</v>
      </c>
      <c r="B673" s="14" t="s">
        <v>1197</v>
      </c>
      <c r="C673" s="10" t="s">
        <v>34</v>
      </c>
      <c r="D673" s="10" t="s">
        <v>35</v>
      </c>
      <c r="E673" s="10" t="s">
        <v>35</v>
      </c>
      <c r="F673" s="11">
        <v>0</v>
      </c>
      <c r="G673" s="21">
        <v>1</v>
      </c>
      <c r="H673" s="21">
        <v>0</v>
      </c>
      <c r="I673" s="21">
        <v>0</v>
      </c>
      <c r="J673" s="14" t="s">
        <v>106</v>
      </c>
      <c r="K673" s="14" t="s">
        <v>35</v>
      </c>
      <c r="L673" s="10" t="s">
        <v>1202</v>
      </c>
      <c r="M673" s="10">
        <v>1.2749999999999999</v>
      </c>
      <c r="N673" s="12" t="s">
        <v>1716</v>
      </c>
      <c r="O673" s="12" t="s">
        <v>39</v>
      </c>
      <c r="P673" s="12"/>
      <c r="Q673" s="16"/>
      <c r="R673" s="12">
        <v>0</v>
      </c>
    </row>
    <row r="674" spans="1:18" s="1" customFormat="1" hidden="1" x14ac:dyDescent="0.25">
      <c r="A674" s="7" t="s">
        <v>1203</v>
      </c>
      <c r="B674" s="13" t="s">
        <v>1204</v>
      </c>
      <c r="C674" s="7" t="s">
        <v>34</v>
      </c>
      <c r="D674" s="7" t="s">
        <v>35</v>
      </c>
      <c r="E674" s="7" t="s">
        <v>35</v>
      </c>
      <c r="F674" s="8">
        <v>0</v>
      </c>
      <c r="G674" s="20">
        <v>1</v>
      </c>
      <c r="H674" s="20">
        <v>0</v>
      </c>
      <c r="I674" s="20">
        <v>0</v>
      </c>
      <c r="J674" s="13" t="s">
        <v>36</v>
      </c>
      <c r="K674" s="13" t="s">
        <v>35</v>
      </c>
      <c r="L674" s="7" t="s">
        <v>1205</v>
      </c>
      <c r="M674" s="7">
        <v>1.1399999999999999</v>
      </c>
      <c r="N674" s="9" t="s">
        <v>1716</v>
      </c>
      <c r="O674" s="9" t="s">
        <v>39</v>
      </c>
      <c r="P674" s="9"/>
      <c r="Q674" s="15"/>
      <c r="R674" s="9">
        <v>0</v>
      </c>
    </row>
    <row r="675" spans="1:18" s="1" customFormat="1" hidden="1" x14ac:dyDescent="0.25">
      <c r="A675" s="7" t="s">
        <v>1203</v>
      </c>
      <c r="B675" s="13" t="s">
        <v>1204</v>
      </c>
      <c r="C675" s="7" t="s">
        <v>34</v>
      </c>
      <c r="D675" s="7" t="s">
        <v>35</v>
      </c>
      <c r="E675" s="7" t="s">
        <v>35</v>
      </c>
      <c r="F675" s="8">
        <v>0</v>
      </c>
      <c r="G675" s="20">
        <v>1</v>
      </c>
      <c r="H675" s="20">
        <v>0</v>
      </c>
      <c r="I675" s="20">
        <v>0</v>
      </c>
      <c r="J675" s="13" t="s">
        <v>36</v>
      </c>
      <c r="K675" s="13" t="s">
        <v>35</v>
      </c>
      <c r="L675" s="7" t="s">
        <v>159</v>
      </c>
      <c r="M675" s="7">
        <v>0.15</v>
      </c>
      <c r="N675" s="9" t="s">
        <v>1716</v>
      </c>
      <c r="O675" s="9" t="s">
        <v>39</v>
      </c>
      <c r="P675" s="9"/>
      <c r="Q675" s="15"/>
      <c r="R675" s="9">
        <v>0</v>
      </c>
    </row>
    <row r="676" spans="1:18" s="1" customFormat="1" hidden="1" x14ac:dyDescent="0.25">
      <c r="A676" s="10" t="s">
        <v>1206</v>
      </c>
      <c r="B676" s="14" t="s">
        <v>1207</v>
      </c>
      <c r="C676" s="10" t="s">
        <v>34</v>
      </c>
      <c r="D676" s="10" t="s">
        <v>35</v>
      </c>
      <c r="E676" s="10" t="s">
        <v>35</v>
      </c>
      <c r="F676" s="11">
        <v>0</v>
      </c>
      <c r="G676" s="21">
        <v>1</v>
      </c>
      <c r="H676" s="21">
        <v>0</v>
      </c>
      <c r="I676" s="21">
        <v>0</v>
      </c>
      <c r="J676" s="14" t="s">
        <v>106</v>
      </c>
      <c r="K676" s="14" t="s">
        <v>35</v>
      </c>
      <c r="L676" s="10" t="s">
        <v>1208</v>
      </c>
      <c r="M676" s="10">
        <v>0.02</v>
      </c>
      <c r="N676" s="12" t="s">
        <v>1716</v>
      </c>
      <c r="O676" s="12" t="s">
        <v>39</v>
      </c>
      <c r="P676" s="12"/>
      <c r="Q676" s="16"/>
      <c r="R676" s="12">
        <v>0</v>
      </c>
    </row>
    <row r="677" spans="1:18" s="1" customFormat="1" hidden="1" x14ac:dyDescent="0.25">
      <c r="A677" s="10" t="s">
        <v>1206</v>
      </c>
      <c r="B677" s="14" t="s">
        <v>1207</v>
      </c>
      <c r="C677" s="10" t="s">
        <v>34</v>
      </c>
      <c r="D677" s="10" t="s">
        <v>35</v>
      </c>
      <c r="E677" s="10" t="s">
        <v>35</v>
      </c>
      <c r="F677" s="11">
        <v>0</v>
      </c>
      <c r="G677" s="21">
        <v>1</v>
      </c>
      <c r="H677" s="21">
        <v>0</v>
      </c>
      <c r="I677" s="21">
        <v>0</v>
      </c>
      <c r="J677" s="14" t="s">
        <v>106</v>
      </c>
      <c r="K677" s="14" t="s">
        <v>35</v>
      </c>
      <c r="L677" s="10" t="s">
        <v>1209</v>
      </c>
      <c r="M677" s="10">
        <v>0.40600000000000003</v>
      </c>
      <c r="N677" s="12" t="s">
        <v>1716</v>
      </c>
      <c r="O677" s="12" t="s">
        <v>39</v>
      </c>
      <c r="P677" s="12"/>
      <c r="Q677" s="16"/>
      <c r="R677" s="12">
        <v>0</v>
      </c>
    </row>
    <row r="678" spans="1:18" s="1" customFormat="1" hidden="1" x14ac:dyDescent="0.25">
      <c r="A678" s="7" t="s">
        <v>1210</v>
      </c>
      <c r="B678" s="13" t="s">
        <v>1211</v>
      </c>
      <c r="C678" s="7" t="s">
        <v>111</v>
      </c>
      <c r="D678" s="7" t="s">
        <v>35</v>
      </c>
      <c r="E678" s="7" t="s">
        <v>35</v>
      </c>
      <c r="F678" s="8">
        <v>0</v>
      </c>
      <c r="G678" s="20">
        <v>1</v>
      </c>
      <c r="H678" s="20">
        <v>0</v>
      </c>
      <c r="I678" s="20">
        <v>0</v>
      </c>
      <c r="J678" s="13" t="s">
        <v>221</v>
      </c>
      <c r="K678" s="13" t="s">
        <v>35</v>
      </c>
      <c r="L678" s="7" t="s">
        <v>1212</v>
      </c>
      <c r="M678" s="7">
        <v>0.67200000000000004</v>
      </c>
      <c r="N678" s="9" t="s">
        <v>1716</v>
      </c>
      <c r="O678" s="9" t="s">
        <v>39</v>
      </c>
      <c r="P678" s="9"/>
      <c r="Q678" s="15"/>
      <c r="R678" s="9">
        <v>0</v>
      </c>
    </row>
    <row r="679" spans="1:18" s="1" customFormat="1" hidden="1" x14ac:dyDescent="0.25">
      <c r="A679" s="7" t="s">
        <v>1210</v>
      </c>
      <c r="B679" s="13" t="s">
        <v>1211</v>
      </c>
      <c r="C679" s="7" t="s">
        <v>111</v>
      </c>
      <c r="D679" s="7" t="s">
        <v>35</v>
      </c>
      <c r="E679" s="7" t="s">
        <v>35</v>
      </c>
      <c r="F679" s="8">
        <v>0</v>
      </c>
      <c r="G679" s="20">
        <v>1</v>
      </c>
      <c r="H679" s="20">
        <v>0</v>
      </c>
      <c r="I679" s="20">
        <v>0</v>
      </c>
      <c r="J679" s="13" t="s">
        <v>221</v>
      </c>
      <c r="K679" s="13" t="s">
        <v>35</v>
      </c>
      <c r="L679" s="7" t="s">
        <v>1213</v>
      </c>
      <c r="M679" s="7">
        <v>0.26400000000000001</v>
      </c>
      <c r="N679" s="9" t="s">
        <v>1716</v>
      </c>
      <c r="O679" s="9" t="s">
        <v>39</v>
      </c>
      <c r="P679" s="9"/>
      <c r="Q679" s="15"/>
      <c r="R679" s="9">
        <v>0</v>
      </c>
    </row>
    <row r="680" spans="1:18" s="1" customFormat="1" hidden="1" x14ac:dyDescent="0.25">
      <c r="A680" s="10" t="s">
        <v>1214</v>
      </c>
      <c r="B680" s="14" t="s">
        <v>1215</v>
      </c>
      <c r="C680" s="10" t="s">
        <v>75</v>
      </c>
      <c r="D680" s="10" t="s">
        <v>35</v>
      </c>
      <c r="E680" s="10" t="s">
        <v>35</v>
      </c>
      <c r="F680" s="11">
        <v>0</v>
      </c>
      <c r="G680" s="21">
        <v>1</v>
      </c>
      <c r="H680" s="21">
        <v>0</v>
      </c>
      <c r="I680" s="21">
        <v>0</v>
      </c>
      <c r="J680" s="14" t="s">
        <v>221</v>
      </c>
      <c r="K680" s="14" t="s">
        <v>35</v>
      </c>
      <c r="L680" s="10" t="s">
        <v>1216</v>
      </c>
      <c r="M680" s="10">
        <v>1.05</v>
      </c>
      <c r="N680" s="12" t="s">
        <v>1716</v>
      </c>
      <c r="O680" s="12" t="s">
        <v>39</v>
      </c>
      <c r="P680" s="12"/>
      <c r="Q680" s="16"/>
      <c r="R680" s="12">
        <v>0</v>
      </c>
    </row>
    <row r="681" spans="1:18" s="1" customFormat="1" hidden="1" x14ac:dyDescent="0.25">
      <c r="A681" s="10" t="s">
        <v>1214</v>
      </c>
      <c r="B681" s="14" t="s">
        <v>1215</v>
      </c>
      <c r="C681" s="10" t="s">
        <v>75</v>
      </c>
      <c r="D681" s="10" t="s">
        <v>35</v>
      </c>
      <c r="E681" s="10" t="s">
        <v>35</v>
      </c>
      <c r="F681" s="11">
        <v>0</v>
      </c>
      <c r="G681" s="21">
        <v>1</v>
      </c>
      <c r="H681" s="21">
        <v>0</v>
      </c>
      <c r="I681" s="21">
        <v>0</v>
      </c>
      <c r="J681" s="14" t="s">
        <v>221</v>
      </c>
      <c r="K681" s="14" t="s">
        <v>35</v>
      </c>
      <c r="L681" s="10" t="s">
        <v>1217</v>
      </c>
      <c r="M681" s="10">
        <v>0.8</v>
      </c>
      <c r="N681" s="12" t="s">
        <v>1716</v>
      </c>
      <c r="O681" s="12" t="s">
        <v>39</v>
      </c>
      <c r="P681" s="12"/>
      <c r="Q681" s="16"/>
      <c r="R681" s="12">
        <v>0</v>
      </c>
    </row>
    <row r="682" spans="1:18" s="1" customFormat="1" hidden="1" x14ac:dyDescent="0.25">
      <c r="A682" s="7" t="s">
        <v>1218</v>
      </c>
      <c r="B682" s="13" t="s">
        <v>1219</v>
      </c>
      <c r="C682" s="7" t="s">
        <v>75</v>
      </c>
      <c r="D682" s="7" t="s">
        <v>35</v>
      </c>
      <c r="E682" s="7" t="s">
        <v>35</v>
      </c>
      <c r="F682" s="8">
        <v>0</v>
      </c>
      <c r="G682" s="20">
        <v>1</v>
      </c>
      <c r="H682" s="20">
        <v>0</v>
      </c>
      <c r="I682" s="20">
        <v>0</v>
      </c>
      <c r="J682" s="13" t="s">
        <v>525</v>
      </c>
      <c r="K682" s="13" t="s">
        <v>35</v>
      </c>
      <c r="L682" s="7" t="s">
        <v>1220</v>
      </c>
      <c r="M682" s="7">
        <v>0.23930000000000001</v>
      </c>
      <c r="N682" s="9" t="s">
        <v>1716</v>
      </c>
      <c r="O682" s="9" t="s">
        <v>39</v>
      </c>
      <c r="P682" s="9"/>
      <c r="Q682" s="15"/>
      <c r="R682" s="9">
        <v>0</v>
      </c>
    </row>
    <row r="683" spans="1:18" s="1" customFormat="1" hidden="1" x14ac:dyDescent="0.25">
      <c r="A683" s="7" t="s">
        <v>1218</v>
      </c>
      <c r="B683" s="13" t="s">
        <v>1219</v>
      </c>
      <c r="C683" s="7" t="s">
        <v>75</v>
      </c>
      <c r="D683" s="7" t="s">
        <v>35</v>
      </c>
      <c r="E683" s="7" t="s">
        <v>35</v>
      </c>
      <c r="F683" s="8">
        <v>0</v>
      </c>
      <c r="G683" s="20">
        <v>1</v>
      </c>
      <c r="H683" s="20">
        <v>0</v>
      </c>
      <c r="I683" s="20">
        <v>0</v>
      </c>
      <c r="J683" s="13" t="s">
        <v>525</v>
      </c>
      <c r="K683" s="13" t="s">
        <v>35</v>
      </c>
      <c r="L683" s="7" t="s">
        <v>1221</v>
      </c>
      <c r="M683" s="7">
        <v>2.2000000000000002</v>
      </c>
      <c r="N683" s="9" t="s">
        <v>1716</v>
      </c>
      <c r="O683" s="9" t="s">
        <v>39</v>
      </c>
      <c r="P683" s="9"/>
      <c r="Q683" s="15"/>
      <c r="R683" s="9">
        <v>0</v>
      </c>
    </row>
    <row r="684" spans="1:18" s="1" customFormat="1" hidden="1" x14ac:dyDescent="0.25">
      <c r="A684" s="7" t="s">
        <v>1218</v>
      </c>
      <c r="B684" s="13" t="s">
        <v>1219</v>
      </c>
      <c r="C684" s="7" t="s">
        <v>75</v>
      </c>
      <c r="D684" s="7" t="s">
        <v>35</v>
      </c>
      <c r="E684" s="7" t="s">
        <v>35</v>
      </c>
      <c r="F684" s="8">
        <v>0</v>
      </c>
      <c r="G684" s="20">
        <v>1</v>
      </c>
      <c r="H684" s="20">
        <v>0</v>
      </c>
      <c r="I684" s="20">
        <v>0</v>
      </c>
      <c r="J684" s="13" t="s">
        <v>525</v>
      </c>
      <c r="K684" s="13" t="s">
        <v>35</v>
      </c>
      <c r="L684" s="7" t="s">
        <v>1222</v>
      </c>
      <c r="M684" s="7">
        <v>0.71779999999999999</v>
      </c>
      <c r="N684" s="9" t="s">
        <v>1716</v>
      </c>
      <c r="O684" s="9" t="s">
        <v>39</v>
      </c>
      <c r="P684" s="9"/>
      <c r="Q684" s="15"/>
      <c r="R684" s="9">
        <v>0</v>
      </c>
    </row>
    <row r="685" spans="1:18" s="1" customFormat="1" hidden="1" x14ac:dyDescent="0.25">
      <c r="A685" s="7" t="s">
        <v>1218</v>
      </c>
      <c r="B685" s="13" t="s">
        <v>1219</v>
      </c>
      <c r="C685" s="7" t="s">
        <v>75</v>
      </c>
      <c r="D685" s="7" t="s">
        <v>35</v>
      </c>
      <c r="E685" s="7" t="s">
        <v>35</v>
      </c>
      <c r="F685" s="8">
        <v>0</v>
      </c>
      <c r="G685" s="20">
        <v>1</v>
      </c>
      <c r="H685" s="20">
        <v>0</v>
      </c>
      <c r="I685" s="20">
        <v>0</v>
      </c>
      <c r="J685" s="13" t="s">
        <v>525</v>
      </c>
      <c r="K685" s="13" t="s">
        <v>35</v>
      </c>
      <c r="L685" s="7" t="s">
        <v>1223</v>
      </c>
      <c r="M685" s="7">
        <v>0.23930000000000001</v>
      </c>
      <c r="N685" s="9" t="s">
        <v>1716</v>
      </c>
      <c r="O685" s="9" t="s">
        <v>39</v>
      </c>
      <c r="P685" s="9"/>
      <c r="Q685" s="15"/>
      <c r="R685" s="9">
        <v>0</v>
      </c>
    </row>
    <row r="686" spans="1:18" s="1" customFormat="1" hidden="1" x14ac:dyDescent="0.25">
      <c r="A686" s="10" t="s">
        <v>1224</v>
      </c>
      <c r="B686" s="14" t="s">
        <v>1225</v>
      </c>
      <c r="C686" s="10" t="s">
        <v>111</v>
      </c>
      <c r="D686" s="10" t="s">
        <v>35</v>
      </c>
      <c r="E686" s="10" t="s">
        <v>35</v>
      </c>
      <c r="F686" s="11">
        <v>0</v>
      </c>
      <c r="G686" s="21">
        <v>1</v>
      </c>
      <c r="H686" s="21">
        <v>0</v>
      </c>
      <c r="I686" s="21">
        <v>0</v>
      </c>
      <c r="J686" s="14" t="s">
        <v>731</v>
      </c>
      <c r="K686" s="14" t="s">
        <v>35</v>
      </c>
      <c r="L686" s="10" t="s">
        <v>1226</v>
      </c>
      <c r="M686" s="10">
        <v>1</v>
      </c>
      <c r="N686" s="12" t="s">
        <v>1716</v>
      </c>
      <c r="O686" s="12" t="s">
        <v>39</v>
      </c>
      <c r="P686" s="12"/>
      <c r="Q686" s="16"/>
      <c r="R686" s="12">
        <v>0</v>
      </c>
    </row>
    <row r="687" spans="1:18" s="1" customFormat="1" hidden="1" x14ac:dyDescent="0.25">
      <c r="A687" s="7" t="s">
        <v>1227</v>
      </c>
      <c r="B687" s="13" t="s">
        <v>1228</v>
      </c>
      <c r="C687" s="7" t="s">
        <v>75</v>
      </c>
      <c r="D687" s="7" t="s">
        <v>35</v>
      </c>
      <c r="E687" s="7" t="s">
        <v>35</v>
      </c>
      <c r="F687" s="8">
        <v>0</v>
      </c>
      <c r="G687" s="20">
        <v>1</v>
      </c>
      <c r="H687" s="20">
        <v>0</v>
      </c>
      <c r="I687" s="20">
        <v>0</v>
      </c>
      <c r="J687" s="13" t="s">
        <v>229</v>
      </c>
      <c r="K687" s="13" t="s">
        <v>35</v>
      </c>
      <c r="L687" s="7" t="s">
        <v>1056</v>
      </c>
      <c r="M687" s="7">
        <v>2.64E-2</v>
      </c>
      <c r="N687" s="9" t="s">
        <v>1716</v>
      </c>
      <c r="O687" s="9" t="s">
        <v>39</v>
      </c>
      <c r="P687" s="9"/>
      <c r="Q687" s="15"/>
      <c r="R687" s="9">
        <v>0</v>
      </c>
    </row>
    <row r="688" spans="1:18" s="1" customFormat="1" hidden="1" x14ac:dyDescent="0.25">
      <c r="A688" s="7" t="s">
        <v>1227</v>
      </c>
      <c r="B688" s="13" t="s">
        <v>1228</v>
      </c>
      <c r="C688" s="7" t="s">
        <v>75</v>
      </c>
      <c r="D688" s="7" t="s">
        <v>35</v>
      </c>
      <c r="E688" s="7" t="s">
        <v>35</v>
      </c>
      <c r="F688" s="8">
        <v>0</v>
      </c>
      <c r="G688" s="20">
        <v>1</v>
      </c>
      <c r="H688" s="20">
        <v>0</v>
      </c>
      <c r="I688" s="20">
        <v>0</v>
      </c>
      <c r="J688" s="13" t="s">
        <v>229</v>
      </c>
      <c r="K688" s="13" t="s">
        <v>35</v>
      </c>
      <c r="L688" s="7" t="s">
        <v>531</v>
      </c>
      <c r="M688" s="7">
        <v>7.0000000000000001E-3</v>
      </c>
      <c r="N688" s="9" t="s">
        <v>1716</v>
      </c>
      <c r="O688" s="9" t="s">
        <v>39</v>
      </c>
      <c r="P688" s="9"/>
      <c r="Q688" s="15"/>
      <c r="R688" s="9">
        <v>0</v>
      </c>
    </row>
    <row r="689" spans="1:18" s="1" customFormat="1" hidden="1" x14ac:dyDescent="0.25">
      <c r="A689" s="7" t="s">
        <v>1227</v>
      </c>
      <c r="B689" s="13" t="s">
        <v>1228</v>
      </c>
      <c r="C689" s="7" t="s">
        <v>75</v>
      </c>
      <c r="D689" s="7" t="s">
        <v>35</v>
      </c>
      <c r="E689" s="7" t="s">
        <v>35</v>
      </c>
      <c r="F689" s="8">
        <v>0</v>
      </c>
      <c r="G689" s="20">
        <v>1</v>
      </c>
      <c r="H689" s="20">
        <v>0</v>
      </c>
      <c r="I689" s="20">
        <v>0</v>
      </c>
      <c r="J689" s="13" t="s">
        <v>229</v>
      </c>
      <c r="K689" s="13" t="s">
        <v>35</v>
      </c>
      <c r="L689" s="7" t="s">
        <v>212</v>
      </c>
      <c r="M689" s="7">
        <v>6</v>
      </c>
      <c r="N689" s="9" t="s">
        <v>1716</v>
      </c>
      <c r="O689" s="9" t="s">
        <v>39</v>
      </c>
      <c r="P689" s="9"/>
      <c r="Q689" s="15"/>
      <c r="R689" s="9">
        <v>0</v>
      </c>
    </row>
    <row r="690" spans="1:18" s="1" customFormat="1" hidden="1" x14ac:dyDescent="0.25">
      <c r="A690" s="7" t="s">
        <v>1227</v>
      </c>
      <c r="B690" s="13" t="s">
        <v>1228</v>
      </c>
      <c r="C690" s="7" t="s">
        <v>75</v>
      </c>
      <c r="D690" s="7" t="s">
        <v>35</v>
      </c>
      <c r="E690" s="7" t="s">
        <v>35</v>
      </c>
      <c r="F690" s="8">
        <v>0</v>
      </c>
      <c r="G690" s="20">
        <v>1</v>
      </c>
      <c r="H690" s="20">
        <v>0</v>
      </c>
      <c r="I690" s="20">
        <v>0</v>
      </c>
      <c r="J690" s="13" t="s">
        <v>229</v>
      </c>
      <c r="K690" s="13" t="s">
        <v>35</v>
      </c>
      <c r="L690" s="7" t="s">
        <v>646</v>
      </c>
      <c r="M690" s="7">
        <v>1.1999999999999999E-3</v>
      </c>
      <c r="N690" s="9" t="s">
        <v>1716</v>
      </c>
      <c r="O690" s="9" t="s">
        <v>39</v>
      </c>
      <c r="P690" s="9"/>
      <c r="Q690" s="15"/>
      <c r="R690" s="9">
        <v>0</v>
      </c>
    </row>
    <row r="691" spans="1:18" s="1" customFormat="1" hidden="1" x14ac:dyDescent="0.25">
      <c r="A691" s="7" t="s">
        <v>1227</v>
      </c>
      <c r="B691" s="13" t="s">
        <v>1228</v>
      </c>
      <c r="C691" s="7" t="s">
        <v>75</v>
      </c>
      <c r="D691" s="7" t="s">
        <v>35</v>
      </c>
      <c r="E691" s="7" t="s">
        <v>35</v>
      </c>
      <c r="F691" s="8">
        <v>0</v>
      </c>
      <c r="G691" s="20">
        <v>1</v>
      </c>
      <c r="H691" s="20">
        <v>0</v>
      </c>
      <c r="I691" s="20">
        <v>0</v>
      </c>
      <c r="J691" s="13" t="s">
        <v>229</v>
      </c>
      <c r="K691" s="13" t="s">
        <v>35</v>
      </c>
      <c r="L691" s="7" t="s">
        <v>647</v>
      </c>
      <c r="M691" s="7">
        <v>5.1200000000000002E-2</v>
      </c>
      <c r="N691" s="9" t="s">
        <v>1716</v>
      </c>
      <c r="O691" s="9" t="s">
        <v>39</v>
      </c>
      <c r="P691" s="9"/>
      <c r="Q691" s="15"/>
      <c r="R691" s="9">
        <v>0</v>
      </c>
    </row>
    <row r="692" spans="1:18" s="1" customFormat="1" hidden="1" x14ac:dyDescent="0.25">
      <c r="A692" s="7" t="s">
        <v>1227</v>
      </c>
      <c r="B692" s="13" t="s">
        <v>1228</v>
      </c>
      <c r="C692" s="7" t="s">
        <v>75</v>
      </c>
      <c r="D692" s="7" t="s">
        <v>35</v>
      </c>
      <c r="E692" s="7" t="s">
        <v>35</v>
      </c>
      <c r="F692" s="8">
        <v>0</v>
      </c>
      <c r="G692" s="20">
        <v>1</v>
      </c>
      <c r="H692" s="20">
        <v>0</v>
      </c>
      <c r="I692" s="20">
        <v>0</v>
      </c>
      <c r="J692" s="13" t="s">
        <v>229</v>
      </c>
      <c r="K692" s="13" t="s">
        <v>35</v>
      </c>
      <c r="L692" s="7" t="s">
        <v>534</v>
      </c>
      <c r="M692" s="7">
        <v>3.1710000000000002E-3</v>
      </c>
      <c r="N692" s="9" t="s">
        <v>1716</v>
      </c>
      <c r="O692" s="9" t="s">
        <v>39</v>
      </c>
      <c r="P692" s="9"/>
      <c r="Q692" s="15"/>
      <c r="R692" s="9">
        <v>0</v>
      </c>
    </row>
    <row r="693" spans="1:18" s="1" customFormat="1" hidden="1" x14ac:dyDescent="0.25">
      <c r="A693" s="7" t="s">
        <v>1227</v>
      </c>
      <c r="B693" s="13" t="s">
        <v>1228</v>
      </c>
      <c r="C693" s="7" t="s">
        <v>75</v>
      </c>
      <c r="D693" s="7" t="s">
        <v>35</v>
      </c>
      <c r="E693" s="7" t="s">
        <v>35</v>
      </c>
      <c r="F693" s="8">
        <v>0</v>
      </c>
      <c r="G693" s="20">
        <v>1</v>
      </c>
      <c r="H693" s="20">
        <v>0</v>
      </c>
      <c r="I693" s="20">
        <v>0</v>
      </c>
      <c r="J693" s="13" t="s">
        <v>229</v>
      </c>
      <c r="K693" s="13" t="s">
        <v>35</v>
      </c>
      <c r="L693" s="7" t="s">
        <v>663</v>
      </c>
      <c r="M693" s="7">
        <v>1.1676000000000001E-2</v>
      </c>
      <c r="N693" s="9" t="s">
        <v>1716</v>
      </c>
      <c r="O693" s="9" t="s">
        <v>39</v>
      </c>
      <c r="P693" s="9"/>
      <c r="Q693" s="15"/>
      <c r="R693" s="9">
        <v>0</v>
      </c>
    </row>
    <row r="694" spans="1:18" s="1" customFormat="1" hidden="1" x14ac:dyDescent="0.25">
      <c r="A694" s="7" t="s">
        <v>1227</v>
      </c>
      <c r="B694" s="13" t="s">
        <v>1228</v>
      </c>
      <c r="C694" s="7" t="s">
        <v>75</v>
      </c>
      <c r="D694" s="7" t="s">
        <v>35</v>
      </c>
      <c r="E694" s="7" t="s">
        <v>35</v>
      </c>
      <c r="F694" s="8">
        <v>0</v>
      </c>
      <c r="G694" s="20">
        <v>1</v>
      </c>
      <c r="H694" s="20">
        <v>0</v>
      </c>
      <c r="I694" s="20">
        <v>0</v>
      </c>
      <c r="J694" s="13" t="s">
        <v>229</v>
      </c>
      <c r="K694" s="13" t="s">
        <v>35</v>
      </c>
      <c r="L694" s="7" t="s">
        <v>490</v>
      </c>
      <c r="M694" s="7">
        <v>0.52429999999999999</v>
      </c>
      <c r="N694" s="9" t="s">
        <v>1716</v>
      </c>
      <c r="O694" s="9" t="s">
        <v>39</v>
      </c>
      <c r="P694" s="9"/>
      <c r="Q694" s="15"/>
      <c r="R694" s="9">
        <v>0</v>
      </c>
    </row>
    <row r="695" spans="1:18" s="1" customFormat="1" hidden="1" x14ac:dyDescent="0.25">
      <c r="A695" s="10" t="s">
        <v>1229</v>
      </c>
      <c r="B695" s="14" t="s">
        <v>1230</v>
      </c>
      <c r="C695" s="10" t="s">
        <v>1231</v>
      </c>
      <c r="D695" s="10" t="s">
        <v>35</v>
      </c>
      <c r="E695" s="10" t="s">
        <v>35</v>
      </c>
      <c r="F695" s="11">
        <v>0</v>
      </c>
      <c r="G695" s="21">
        <v>1</v>
      </c>
      <c r="H695" s="21">
        <v>0</v>
      </c>
      <c r="I695" s="21">
        <v>0</v>
      </c>
      <c r="J695" s="14" t="s">
        <v>67</v>
      </c>
      <c r="K695" s="14" t="s">
        <v>35</v>
      </c>
      <c r="L695" s="10" t="s">
        <v>1178</v>
      </c>
      <c r="M695" s="10">
        <v>1</v>
      </c>
      <c r="N695" s="12" t="s">
        <v>1716</v>
      </c>
      <c r="O695" s="12" t="s">
        <v>39</v>
      </c>
      <c r="P695" s="12"/>
      <c r="Q695" s="16"/>
      <c r="R695" s="12">
        <v>0</v>
      </c>
    </row>
    <row r="696" spans="1:18" s="1" customFormat="1" hidden="1" x14ac:dyDescent="0.25">
      <c r="A696" s="7" t="s">
        <v>1232</v>
      </c>
      <c r="B696" s="13" t="s">
        <v>1233</v>
      </c>
      <c r="C696" s="7" t="s">
        <v>580</v>
      </c>
      <c r="D696" s="7" t="s">
        <v>35</v>
      </c>
      <c r="E696" s="7" t="s">
        <v>35</v>
      </c>
      <c r="F696" s="8">
        <v>0</v>
      </c>
      <c r="G696" s="20">
        <v>1</v>
      </c>
      <c r="H696" s="20">
        <v>0</v>
      </c>
      <c r="I696" s="20">
        <v>0</v>
      </c>
      <c r="J696" s="13" t="s">
        <v>573</v>
      </c>
      <c r="K696" s="13" t="s">
        <v>625</v>
      </c>
      <c r="L696" s="7" t="s">
        <v>1234</v>
      </c>
      <c r="M696" s="7">
        <v>1</v>
      </c>
      <c r="N696" s="9" t="s">
        <v>1716</v>
      </c>
      <c r="O696" s="9" t="s">
        <v>39</v>
      </c>
      <c r="P696" s="9"/>
      <c r="Q696" s="15"/>
      <c r="R696" s="9">
        <v>0</v>
      </c>
    </row>
    <row r="697" spans="1:18" s="1" customFormat="1" hidden="1" x14ac:dyDescent="0.25">
      <c r="A697" s="10" t="s">
        <v>1235</v>
      </c>
      <c r="B697" s="14" t="s">
        <v>1236</v>
      </c>
      <c r="C697" s="10" t="s">
        <v>580</v>
      </c>
      <c r="D697" s="10" t="s">
        <v>35</v>
      </c>
      <c r="E697" s="10" t="s">
        <v>35</v>
      </c>
      <c r="F697" s="11">
        <v>0</v>
      </c>
      <c r="G697" s="21">
        <v>1</v>
      </c>
      <c r="H697" s="21">
        <v>0</v>
      </c>
      <c r="I697" s="21">
        <v>0</v>
      </c>
      <c r="J697" s="14" t="s">
        <v>388</v>
      </c>
      <c r="K697" s="14" t="s">
        <v>35</v>
      </c>
      <c r="L697" s="10" t="s">
        <v>1237</v>
      </c>
      <c r="M697" s="10">
        <v>1</v>
      </c>
      <c r="N697" s="12" t="s">
        <v>1716</v>
      </c>
      <c r="O697" s="12" t="s">
        <v>39</v>
      </c>
      <c r="P697" s="12"/>
      <c r="Q697" s="16"/>
      <c r="R697" s="12">
        <v>0</v>
      </c>
    </row>
    <row r="698" spans="1:18" s="1" customFormat="1" hidden="1" x14ac:dyDescent="0.25">
      <c r="A698" s="7" t="s">
        <v>1238</v>
      </c>
      <c r="B698" s="13" t="s">
        <v>1239</v>
      </c>
      <c r="C698" s="7" t="s">
        <v>34</v>
      </c>
      <c r="D698" s="7" t="s">
        <v>35</v>
      </c>
      <c r="E698" s="7" t="s">
        <v>35</v>
      </c>
      <c r="F698" s="8">
        <v>0</v>
      </c>
      <c r="G698" s="20">
        <v>1</v>
      </c>
      <c r="H698" s="20">
        <v>0</v>
      </c>
      <c r="I698" s="20">
        <v>0</v>
      </c>
      <c r="J698" s="13" t="s">
        <v>229</v>
      </c>
      <c r="K698" s="13" t="s">
        <v>1240</v>
      </c>
      <c r="L698" s="7" t="s">
        <v>1241</v>
      </c>
      <c r="M698" s="7">
        <v>40</v>
      </c>
      <c r="N698" s="9" t="s">
        <v>1716</v>
      </c>
      <c r="O698" s="9" t="s">
        <v>39</v>
      </c>
      <c r="P698" s="9"/>
      <c r="Q698" s="15"/>
      <c r="R698" s="9">
        <v>0</v>
      </c>
    </row>
    <row r="699" spans="1:18" s="1" customFormat="1" hidden="1" x14ac:dyDescent="0.25">
      <c r="A699" s="7" t="s">
        <v>1238</v>
      </c>
      <c r="B699" s="13" t="s">
        <v>1239</v>
      </c>
      <c r="C699" s="7" t="s">
        <v>34</v>
      </c>
      <c r="D699" s="7" t="s">
        <v>35</v>
      </c>
      <c r="E699" s="7" t="s">
        <v>35</v>
      </c>
      <c r="F699" s="8">
        <v>0</v>
      </c>
      <c r="G699" s="20">
        <v>1</v>
      </c>
      <c r="H699" s="20">
        <v>0</v>
      </c>
      <c r="I699" s="20">
        <v>0</v>
      </c>
      <c r="J699" s="13" t="s">
        <v>229</v>
      </c>
      <c r="K699" s="13" t="s">
        <v>1240</v>
      </c>
      <c r="L699" s="7" t="s">
        <v>1242</v>
      </c>
      <c r="M699" s="7">
        <v>125</v>
      </c>
      <c r="N699" s="9" t="s">
        <v>1716</v>
      </c>
      <c r="O699" s="9" t="s">
        <v>39</v>
      </c>
      <c r="P699" s="9"/>
      <c r="Q699" s="15"/>
      <c r="R699" s="9">
        <v>0</v>
      </c>
    </row>
    <row r="700" spans="1:18" s="1" customFormat="1" hidden="1" x14ac:dyDescent="0.25">
      <c r="A700" s="10" t="s">
        <v>1243</v>
      </c>
      <c r="B700" s="14" t="s">
        <v>1244</v>
      </c>
      <c r="C700" s="10" t="s">
        <v>34</v>
      </c>
      <c r="D700" s="10" t="s">
        <v>35</v>
      </c>
      <c r="E700" s="10" t="s">
        <v>35</v>
      </c>
      <c r="F700" s="11">
        <v>0</v>
      </c>
      <c r="G700" s="21">
        <v>1</v>
      </c>
      <c r="H700" s="21">
        <v>0</v>
      </c>
      <c r="I700" s="21">
        <v>0</v>
      </c>
      <c r="J700" s="14" t="s">
        <v>229</v>
      </c>
      <c r="K700" s="14" t="s">
        <v>1240</v>
      </c>
      <c r="L700" s="10" t="s">
        <v>1241</v>
      </c>
      <c r="M700" s="10">
        <v>40</v>
      </c>
      <c r="N700" s="12" t="s">
        <v>1716</v>
      </c>
      <c r="O700" s="12" t="s">
        <v>39</v>
      </c>
      <c r="P700" s="12"/>
      <c r="Q700" s="16"/>
      <c r="R700" s="12">
        <v>0</v>
      </c>
    </row>
    <row r="701" spans="1:18" s="1" customFormat="1" hidden="1" x14ac:dyDescent="0.25">
      <c r="A701" s="10" t="s">
        <v>1243</v>
      </c>
      <c r="B701" s="14" t="s">
        <v>1244</v>
      </c>
      <c r="C701" s="10" t="s">
        <v>34</v>
      </c>
      <c r="D701" s="10" t="s">
        <v>35</v>
      </c>
      <c r="E701" s="10" t="s">
        <v>35</v>
      </c>
      <c r="F701" s="11">
        <v>0</v>
      </c>
      <c r="G701" s="21">
        <v>1</v>
      </c>
      <c r="H701" s="21">
        <v>0</v>
      </c>
      <c r="I701" s="21">
        <v>0</v>
      </c>
      <c r="J701" s="14" t="s">
        <v>229</v>
      </c>
      <c r="K701" s="14" t="s">
        <v>1240</v>
      </c>
      <c r="L701" s="10" t="s">
        <v>1245</v>
      </c>
      <c r="M701" s="10">
        <v>82</v>
      </c>
      <c r="N701" s="12" t="s">
        <v>1716</v>
      </c>
      <c r="O701" s="12" t="s">
        <v>39</v>
      </c>
      <c r="P701" s="12"/>
      <c r="Q701" s="16"/>
      <c r="R701" s="12">
        <v>0</v>
      </c>
    </row>
    <row r="702" spans="1:18" s="1" customFormat="1" hidden="1" x14ac:dyDescent="0.25">
      <c r="A702" s="7" t="s">
        <v>1246</v>
      </c>
      <c r="B702" s="13" t="s">
        <v>1247</v>
      </c>
      <c r="C702" s="7" t="s">
        <v>75</v>
      </c>
      <c r="D702" s="7" t="s">
        <v>35</v>
      </c>
      <c r="E702" s="7" t="s">
        <v>35</v>
      </c>
      <c r="F702" s="8">
        <v>0</v>
      </c>
      <c r="G702" s="20">
        <v>1</v>
      </c>
      <c r="H702" s="20">
        <v>0</v>
      </c>
      <c r="I702" s="20">
        <v>0</v>
      </c>
      <c r="J702" s="13" t="s">
        <v>525</v>
      </c>
      <c r="K702" s="13" t="s">
        <v>35</v>
      </c>
      <c r="L702" s="7" t="s">
        <v>463</v>
      </c>
      <c r="M702" s="7">
        <v>1.3675999999999999</v>
      </c>
      <c r="N702" s="9" t="s">
        <v>1716</v>
      </c>
      <c r="O702" s="9" t="s">
        <v>39</v>
      </c>
      <c r="P702" s="9"/>
      <c r="Q702" s="15"/>
      <c r="R702" s="9">
        <v>0</v>
      </c>
    </row>
    <row r="703" spans="1:18" s="1" customFormat="1" hidden="1" x14ac:dyDescent="0.25">
      <c r="A703" s="7" t="s">
        <v>1246</v>
      </c>
      <c r="B703" s="13" t="s">
        <v>1247</v>
      </c>
      <c r="C703" s="7" t="s">
        <v>75</v>
      </c>
      <c r="D703" s="7" t="s">
        <v>35</v>
      </c>
      <c r="E703" s="7" t="s">
        <v>35</v>
      </c>
      <c r="F703" s="8">
        <v>0</v>
      </c>
      <c r="G703" s="20">
        <v>1</v>
      </c>
      <c r="H703" s="20">
        <v>0</v>
      </c>
      <c r="I703" s="20">
        <v>0</v>
      </c>
      <c r="J703" s="13" t="s">
        <v>525</v>
      </c>
      <c r="K703" s="13" t="s">
        <v>35</v>
      </c>
      <c r="L703" s="7" t="s">
        <v>1248</v>
      </c>
      <c r="M703" s="7">
        <v>6.7000000000000002E-3</v>
      </c>
      <c r="N703" s="9" t="s">
        <v>1716</v>
      </c>
      <c r="O703" s="9" t="s">
        <v>39</v>
      </c>
      <c r="P703" s="9"/>
      <c r="Q703" s="15"/>
      <c r="R703" s="9">
        <v>0</v>
      </c>
    </row>
    <row r="704" spans="1:18" s="1" customFormat="1" hidden="1" x14ac:dyDescent="0.25">
      <c r="A704" s="7" t="s">
        <v>1246</v>
      </c>
      <c r="B704" s="13" t="s">
        <v>1247</v>
      </c>
      <c r="C704" s="7" t="s">
        <v>75</v>
      </c>
      <c r="D704" s="7" t="s">
        <v>35</v>
      </c>
      <c r="E704" s="7" t="s">
        <v>35</v>
      </c>
      <c r="F704" s="8">
        <v>0</v>
      </c>
      <c r="G704" s="20">
        <v>1</v>
      </c>
      <c r="H704" s="20">
        <v>0</v>
      </c>
      <c r="I704" s="20">
        <v>0</v>
      </c>
      <c r="J704" s="13" t="s">
        <v>525</v>
      </c>
      <c r="K704" s="13" t="s">
        <v>35</v>
      </c>
      <c r="L704" s="7" t="s">
        <v>527</v>
      </c>
      <c r="M704" s="7">
        <v>1.6612</v>
      </c>
      <c r="N704" s="9" t="s">
        <v>1716</v>
      </c>
      <c r="O704" s="9" t="s">
        <v>39</v>
      </c>
      <c r="P704" s="9"/>
      <c r="Q704" s="15"/>
      <c r="R704" s="9">
        <v>0</v>
      </c>
    </row>
    <row r="705" spans="1:18" s="1" customFormat="1" hidden="1" x14ac:dyDescent="0.25">
      <c r="A705" s="7" t="s">
        <v>1246</v>
      </c>
      <c r="B705" s="13" t="s">
        <v>1247</v>
      </c>
      <c r="C705" s="7" t="s">
        <v>75</v>
      </c>
      <c r="D705" s="7" t="s">
        <v>35</v>
      </c>
      <c r="E705" s="7" t="s">
        <v>35</v>
      </c>
      <c r="F705" s="8">
        <v>0</v>
      </c>
      <c r="G705" s="20">
        <v>1</v>
      </c>
      <c r="H705" s="20">
        <v>0</v>
      </c>
      <c r="I705" s="20">
        <v>0</v>
      </c>
      <c r="J705" s="13" t="s">
        <v>525</v>
      </c>
      <c r="K705" s="13" t="s">
        <v>35</v>
      </c>
      <c r="L705" s="7" t="s">
        <v>1249</v>
      </c>
      <c r="M705" s="7">
        <v>0.12379999999999999</v>
      </c>
      <c r="N705" s="9" t="s">
        <v>1716</v>
      </c>
      <c r="O705" s="9" t="s">
        <v>39</v>
      </c>
      <c r="P705" s="9"/>
      <c r="Q705" s="15"/>
      <c r="R705" s="9">
        <v>0</v>
      </c>
    </row>
    <row r="706" spans="1:18" s="1" customFormat="1" hidden="1" x14ac:dyDescent="0.25">
      <c r="A706" s="7" t="s">
        <v>1246</v>
      </c>
      <c r="B706" s="13" t="s">
        <v>1247</v>
      </c>
      <c r="C706" s="7" t="s">
        <v>75</v>
      </c>
      <c r="D706" s="7" t="s">
        <v>35</v>
      </c>
      <c r="E706" s="7" t="s">
        <v>35</v>
      </c>
      <c r="F706" s="8">
        <v>0</v>
      </c>
      <c r="G706" s="20">
        <v>1</v>
      </c>
      <c r="H706" s="20">
        <v>0</v>
      </c>
      <c r="I706" s="20">
        <v>0</v>
      </c>
      <c r="J706" s="13" t="s">
        <v>525</v>
      </c>
      <c r="K706" s="13" t="s">
        <v>35</v>
      </c>
      <c r="L706" s="7" t="s">
        <v>1250</v>
      </c>
      <c r="M706" s="7">
        <v>0.4</v>
      </c>
      <c r="N706" s="9" t="s">
        <v>1716</v>
      </c>
      <c r="O706" s="9" t="s">
        <v>39</v>
      </c>
      <c r="P706" s="9"/>
      <c r="Q706" s="15"/>
      <c r="R706" s="9">
        <v>0</v>
      </c>
    </row>
    <row r="707" spans="1:18" s="1" customFormat="1" hidden="1" x14ac:dyDescent="0.25">
      <c r="A707" s="7" t="s">
        <v>1246</v>
      </c>
      <c r="B707" s="13" t="s">
        <v>1247</v>
      </c>
      <c r="C707" s="7" t="s">
        <v>75</v>
      </c>
      <c r="D707" s="7" t="s">
        <v>35</v>
      </c>
      <c r="E707" s="7" t="s">
        <v>35</v>
      </c>
      <c r="F707" s="8">
        <v>0</v>
      </c>
      <c r="G707" s="20">
        <v>1</v>
      </c>
      <c r="H707" s="20">
        <v>0</v>
      </c>
      <c r="I707" s="20">
        <v>0</v>
      </c>
      <c r="J707" s="13" t="s">
        <v>525</v>
      </c>
      <c r="K707" s="13" t="s">
        <v>35</v>
      </c>
      <c r="L707" s="7" t="s">
        <v>663</v>
      </c>
      <c r="M707" s="7">
        <v>2.93E-2</v>
      </c>
      <c r="N707" s="9" t="s">
        <v>1716</v>
      </c>
      <c r="O707" s="9" t="s">
        <v>39</v>
      </c>
      <c r="P707" s="9"/>
      <c r="Q707" s="15"/>
      <c r="R707" s="9">
        <v>0</v>
      </c>
    </row>
    <row r="708" spans="1:18" s="1" customFormat="1" hidden="1" x14ac:dyDescent="0.25">
      <c r="A708" s="7" t="s">
        <v>1246</v>
      </c>
      <c r="B708" s="13" t="s">
        <v>1247</v>
      </c>
      <c r="C708" s="7" t="s">
        <v>75</v>
      </c>
      <c r="D708" s="7" t="s">
        <v>35</v>
      </c>
      <c r="E708" s="7" t="s">
        <v>35</v>
      </c>
      <c r="F708" s="8">
        <v>0</v>
      </c>
      <c r="G708" s="20">
        <v>1</v>
      </c>
      <c r="H708" s="20">
        <v>0</v>
      </c>
      <c r="I708" s="20">
        <v>0</v>
      </c>
      <c r="J708" s="13" t="s">
        <v>525</v>
      </c>
      <c r="K708" s="13" t="s">
        <v>35</v>
      </c>
      <c r="L708" s="7" t="s">
        <v>697</v>
      </c>
      <c r="M708" s="7">
        <v>6.6E-3</v>
      </c>
      <c r="N708" s="9" t="s">
        <v>1716</v>
      </c>
      <c r="O708" s="9" t="s">
        <v>39</v>
      </c>
      <c r="P708" s="9"/>
      <c r="Q708" s="15"/>
      <c r="R708" s="9">
        <v>0</v>
      </c>
    </row>
    <row r="709" spans="1:18" s="1" customFormat="1" hidden="1" x14ac:dyDescent="0.25">
      <c r="A709" s="10" t="s">
        <v>1251</v>
      </c>
      <c r="B709" s="14" t="s">
        <v>1252</v>
      </c>
      <c r="C709" s="10" t="s">
        <v>75</v>
      </c>
      <c r="D709" s="10" t="s">
        <v>35</v>
      </c>
      <c r="E709" s="10" t="s">
        <v>35</v>
      </c>
      <c r="F709" s="11">
        <v>0</v>
      </c>
      <c r="G709" s="21">
        <v>1</v>
      </c>
      <c r="H709" s="21">
        <v>0</v>
      </c>
      <c r="I709" s="21">
        <v>0</v>
      </c>
      <c r="J709" s="14" t="s">
        <v>525</v>
      </c>
      <c r="K709" s="14" t="s">
        <v>35</v>
      </c>
      <c r="L709" s="10" t="s">
        <v>463</v>
      </c>
      <c r="M709" s="10">
        <v>1.3675999999999999</v>
      </c>
      <c r="N709" s="12" t="s">
        <v>1716</v>
      </c>
      <c r="O709" s="12" t="s">
        <v>39</v>
      </c>
      <c r="P709" s="12"/>
      <c r="Q709" s="16"/>
      <c r="R709" s="12">
        <v>0</v>
      </c>
    </row>
    <row r="710" spans="1:18" s="1" customFormat="1" hidden="1" x14ac:dyDescent="0.25">
      <c r="A710" s="10" t="s">
        <v>1251</v>
      </c>
      <c r="B710" s="14" t="s">
        <v>1252</v>
      </c>
      <c r="C710" s="10" t="s">
        <v>75</v>
      </c>
      <c r="D710" s="10" t="s">
        <v>35</v>
      </c>
      <c r="E710" s="10" t="s">
        <v>35</v>
      </c>
      <c r="F710" s="11">
        <v>0</v>
      </c>
      <c r="G710" s="21">
        <v>1</v>
      </c>
      <c r="H710" s="21">
        <v>0</v>
      </c>
      <c r="I710" s="21">
        <v>0</v>
      </c>
      <c r="J710" s="14" t="s">
        <v>525</v>
      </c>
      <c r="K710" s="14" t="s">
        <v>35</v>
      </c>
      <c r="L710" s="10" t="s">
        <v>1248</v>
      </c>
      <c r="M710" s="10">
        <v>4.4879999999999998E-3</v>
      </c>
      <c r="N710" s="12" t="s">
        <v>1716</v>
      </c>
      <c r="O710" s="12" t="s">
        <v>39</v>
      </c>
      <c r="P710" s="12"/>
      <c r="Q710" s="16"/>
      <c r="R710" s="12">
        <v>0</v>
      </c>
    </row>
    <row r="711" spans="1:18" s="1" customFormat="1" hidden="1" x14ac:dyDescent="0.25">
      <c r="A711" s="10" t="s">
        <v>1251</v>
      </c>
      <c r="B711" s="14" t="s">
        <v>1252</v>
      </c>
      <c r="C711" s="10" t="s">
        <v>75</v>
      </c>
      <c r="D711" s="10" t="s">
        <v>35</v>
      </c>
      <c r="E711" s="10" t="s">
        <v>35</v>
      </c>
      <c r="F711" s="11">
        <v>0</v>
      </c>
      <c r="G711" s="21">
        <v>1</v>
      </c>
      <c r="H711" s="21">
        <v>0</v>
      </c>
      <c r="I711" s="21">
        <v>0</v>
      </c>
      <c r="J711" s="14" t="s">
        <v>525</v>
      </c>
      <c r="K711" s="14" t="s">
        <v>35</v>
      </c>
      <c r="L711" s="10" t="s">
        <v>527</v>
      </c>
      <c r="M711" s="10">
        <v>1.0615000000000001</v>
      </c>
      <c r="N711" s="12" t="s">
        <v>1716</v>
      </c>
      <c r="O711" s="12" t="s">
        <v>39</v>
      </c>
      <c r="P711" s="12"/>
      <c r="Q711" s="16"/>
      <c r="R711" s="12">
        <v>0</v>
      </c>
    </row>
    <row r="712" spans="1:18" s="1" customFormat="1" hidden="1" x14ac:dyDescent="0.25">
      <c r="A712" s="10" t="s">
        <v>1251</v>
      </c>
      <c r="B712" s="14" t="s">
        <v>1252</v>
      </c>
      <c r="C712" s="10" t="s">
        <v>75</v>
      </c>
      <c r="D712" s="10" t="s">
        <v>35</v>
      </c>
      <c r="E712" s="10" t="s">
        <v>35</v>
      </c>
      <c r="F712" s="11">
        <v>0</v>
      </c>
      <c r="G712" s="21">
        <v>1</v>
      </c>
      <c r="H712" s="21">
        <v>0</v>
      </c>
      <c r="I712" s="21">
        <v>0</v>
      </c>
      <c r="J712" s="14" t="s">
        <v>525</v>
      </c>
      <c r="K712" s="14" t="s">
        <v>35</v>
      </c>
      <c r="L712" s="10" t="s">
        <v>1249</v>
      </c>
      <c r="M712" s="10">
        <v>0.1004</v>
      </c>
      <c r="N712" s="12" t="s">
        <v>1716</v>
      </c>
      <c r="O712" s="12" t="s">
        <v>39</v>
      </c>
      <c r="P712" s="12"/>
      <c r="Q712" s="16"/>
      <c r="R712" s="12">
        <v>0</v>
      </c>
    </row>
    <row r="713" spans="1:18" s="1" customFormat="1" hidden="1" x14ac:dyDescent="0.25">
      <c r="A713" s="10" t="s">
        <v>1251</v>
      </c>
      <c r="B713" s="14" t="s">
        <v>1252</v>
      </c>
      <c r="C713" s="10" t="s">
        <v>75</v>
      </c>
      <c r="D713" s="10" t="s">
        <v>35</v>
      </c>
      <c r="E713" s="10" t="s">
        <v>35</v>
      </c>
      <c r="F713" s="11">
        <v>0</v>
      </c>
      <c r="G713" s="21">
        <v>1</v>
      </c>
      <c r="H713" s="21">
        <v>0</v>
      </c>
      <c r="I713" s="21">
        <v>0</v>
      </c>
      <c r="J713" s="14" t="s">
        <v>525</v>
      </c>
      <c r="K713" s="14" t="s">
        <v>35</v>
      </c>
      <c r="L713" s="10" t="s">
        <v>1250</v>
      </c>
      <c r="M713" s="10">
        <v>0.83340000000000003</v>
      </c>
      <c r="N713" s="12" t="s">
        <v>1716</v>
      </c>
      <c r="O713" s="12" t="s">
        <v>39</v>
      </c>
      <c r="P713" s="12"/>
      <c r="Q713" s="16"/>
      <c r="R713" s="12">
        <v>0</v>
      </c>
    </row>
    <row r="714" spans="1:18" s="1" customFormat="1" hidden="1" x14ac:dyDescent="0.25">
      <c r="A714" s="10" t="s">
        <v>1251</v>
      </c>
      <c r="B714" s="14" t="s">
        <v>1252</v>
      </c>
      <c r="C714" s="10" t="s">
        <v>75</v>
      </c>
      <c r="D714" s="10" t="s">
        <v>35</v>
      </c>
      <c r="E714" s="10" t="s">
        <v>35</v>
      </c>
      <c r="F714" s="11">
        <v>0</v>
      </c>
      <c r="G714" s="21">
        <v>1</v>
      </c>
      <c r="H714" s="21">
        <v>0</v>
      </c>
      <c r="I714" s="21">
        <v>0</v>
      </c>
      <c r="J714" s="14" t="s">
        <v>525</v>
      </c>
      <c r="K714" s="14" t="s">
        <v>35</v>
      </c>
      <c r="L714" s="10" t="s">
        <v>663</v>
      </c>
      <c r="M714" s="10">
        <v>2.81E-2</v>
      </c>
      <c r="N714" s="12" t="s">
        <v>1716</v>
      </c>
      <c r="O714" s="12" t="s">
        <v>39</v>
      </c>
      <c r="P714" s="12"/>
      <c r="Q714" s="16"/>
      <c r="R714" s="12">
        <v>0</v>
      </c>
    </row>
    <row r="715" spans="1:18" s="1" customFormat="1" hidden="1" x14ac:dyDescent="0.25">
      <c r="A715" s="10" t="s">
        <v>1251</v>
      </c>
      <c r="B715" s="14" t="s">
        <v>1252</v>
      </c>
      <c r="C715" s="10" t="s">
        <v>75</v>
      </c>
      <c r="D715" s="10" t="s">
        <v>35</v>
      </c>
      <c r="E715" s="10" t="s">
        <v>35</v>
      </c>
      <c r="F715" s="11">
        <v>0</v>
      </c>
      <c r="G715" s="21">
        <v>1</v>
      </c>
      <c r="H715" s="21">
        <v>0</v>
      </c>
      <c r="I715" s="21">
        <v>0</v>
      </c>
      <c r="J715" s="14" t="s">
        <v>525</v>
      </c>
      <c r="K715" s="14" t="s">
        <v>35</v>
      </c>
      <c r="L715" s="10" t="s">
        <v>697</v>
      </c>
      <c r="M715" s="10">
        <v>6.6E-3</v>
      </c>
      <c r="N715" s="12" t="s">
        <v>1716</v>
      </c>
      <c r="O715" s="12" t="s">
        <v>39</v>
      </c>
      <c r="P715" s="12"/>
      <c r="Q715" s="16"/>
      <c r="R715" s="12">
        <v>0</v>
      </c>
    </row>
    <row r="716" spans="1:18" s="1" customFormat="1" hidden="1" x14ac:dyDescent="0.25">
      <c r="A716" s="7" t="s">
        <v>1253</v>
      </c>
      <c r="B716" s="13" t="s">
        <v>1254</v>
      </c>
      <c r="C716" s="7" t="s">
        <v>75</v>
      </c>
      <c r="D716" s="7" t="s">
        <v>35</v>
      </c>
      <c r="E716" s="7" t="s">
        <v>35</v>
      </c>
      <c r="F716" s="8">
        <v>0</v>
      </c>
      <c r="G716" s="20">
        <v>1</v>
      </c>
      <c r="H716" s="20">
        <v>0</v>
      </c>
      <c r="I716" s="20">
        <v>0</v>
      </c>
      <c r="J716" s="13" t="s">
        <v>106</v>
      </c>
      <c r="K716" s="13" t="s">
        <v>35</v>
      </c>
      <c r="L716" s="7" t="s">
        <v>1255</v>
      </c>
      <c r="M716" s="7">
        <v>1</v>
      </c>
      <c r="N716" s="9" t="s">
        <v>1716</v>
      </c>
      <c r="O716" s="9" t="s">
        <v>39</v>
      </c>
      <c r="P716" s="9"/>
      <c r="Q716" s="15"/>
      <c r="R716" s="9">
        <v>0</v>
      </c>
    </row>
    <row r="717" spans="1:18" s="1" customFormat="1" hidden="1" x14ac:dyDescent="0.25">
      <c r="A717" s="7" t="s">
        <v>1253</v>
      </c>
      <c r="B717" s="13" t="s">
        <v>1254</v>
      </c>
      <c r="C717" s="7" t="s">
        <v>75</v>
      </c>
      <c r="D717" s="7" t="s">
        <v>35</v>
      </c>
      <c r="E717" s="7" t="s">
        <v>35</v>
      </c>
      <c r="F717" s="8">
        <v>0</v>
      </c>
      <c r="G717" s="20">
        <v>1</v>
      </c>
      <c r="H717" s="20">
        <v>0</v>
      </c>
      <c r="I717" s="20">
        <v>0</v>
      </c>
      <c r="J717" s="13" t="s">
        <v>106</v>
      </c>
      <c r="K717" s="13" t="s">
        <v>35</v>
      </c>
      <c r="L717" s="7" t="s">
        <v>1256</v>
      </c>
      <c r="M717" s="7">
        <v>1</v>
      </c>
      <c r="N717" s="9" t="s">
        <v>1716</v>
      </c>
      <c r="O717" s="9" t="s">
        <v>39</v>
      </c>
      <c r="P717" s="9"/>
      <c r="Q717" s="15"/>
      <c r="R717" s="9">
        <v>0</v>
      </c>
    </row>
    <row r="718" spans="1:18" s="1" customFormat="1" hidden="1" x14ac:dyDescent="0.25">
      <c r="A718" s="10" t="s">
        <v>1257</v>
      </c>
      <c r="B718" s="14" t="s">
        <v>1258</v>
      </c>
      <c r="C718" s="10" t="s">
        <v>34</v>
      </c>
      <c r="D718" s="10" t="s">
        <v>35</v>
      </c>
      <c r="E718" s="10" t="s">
        <v>35</v>
      </c>
      <c r="F718" s="11">
        <v>0</v>
      </c>
      <c r="G718" s="21">
        <v>1</v>
      </c>
      <c r="H718" s="21">
        <v>0</v>
      </c>
      <c r="I718" s="21">
        <v>0</v>
      </c>
      <c r="J718" s="14" t="s">
        <v>218</v>
      </c>
      <c r="K718" s="14" t="s">
        <v>76</v>
      </c>
      <c r="L718" s="10" t="s">
        <v>1259</v>
      </c>
      <c r="M718" s="10">
        <v>3.3E-3</v>
      </c>
      <c r="N718" s="12" t="s">
        <v>1716</v>
      </c>
      <c r="O718" s="12" t="s">
        <v>39</v>
      </c>
      <c r="P718" s="12"/>
      <c r="Q718" s="16"/>
      <c r="R718" s="12">
        <v>0</v>
      </c>
    </row>
    <row r="719" spans="1:18" s="1" customFormat="1" hidden="1" x14ac:dyDescent="0.25">
      <c r="A719" s="7" t="s">
        <v>1260</v>
      </c>
      <c r="B719" s="13" t="s">
        <v>1261</v>
      </c>
      <c r="C719" s="7" t="s">
        <v>34</v>
      </c>
      <c r="D719" s="7" t="s">
        <v>35</v>
      </c>
      <c r="E719" s="7" t="s">
        <v>35</v>
      </c>
      <c r="F719" s="8">
        <v>0</v>
      </c>
      <c r="G719" s="20">
        <v>1</v>
      </c>
      <c r="H719" s="20">
        <v>0</v>
      </c>
      <c r="I719" s="20">
        <v>0</v>
      </c>
      <c r="J719" s="13" t="s">
        <v>218</v>
      </c>
      <c r="K719" s="13" t="s">
        <v>76</v>
      </c>
      <c r="L719" s="7" t="s">
        <v>1259</v>
      </c>
      <c r="M719" s="7">
        <v>1.4999999999999999E-2</v>
      </c>
      <c r="N719" s="9" t="s">
        <v>1716</v>
      </c>
      <c r="O719" s="9" t="s">
        <v>39</v>
      </c>
      <c r="P719" s="9"/>
      <c r="Q719" s="15"/>
      <c r="R719" s="9">
        <v>0</v>
      </c>
    </row>
    <row r="720" spans="1:18" s="1" customFormat="1" hidden="1" x14ac:dyDescent="0.25">
      <c r="A720" s="10" t="s">
        <v>1262</v>
      </c>
      <c r="B720" s="14" t="s">
        <v>1263</v>
      </c>
      <c r="C720" s="10" t="s">
        <v>34</v>
      </c>
      <c r="D720" s="10" t="s">
        <v>35</v>
      </c>
      <c r="E720" s="10" t="s">
        <v>35</v>
      </c>
      <c r="F720" s="11">
        <v>0</v>
      </c>
      <c r="G720" s="21">
        <v>1</v>
      </c>
      <c r="H720" s="21">
        <v>0</v>
      </c>
      <c r="I720" s="21">
        <v>0</v>
      </c>
      <c r="J720" s="14" t="s">
        <v>218</v>
      </c>
      <c r="K720" s="14" t="s">
        <v>76</v>
      </c>
      <c r="L720" s="10" t="s">
        <v>90</v>
      </c>
      <c r="M720" s="10">
        <v>4.2</v>
      </c>
      <c r="N720" s="12" t="s">
        <v>1716</v>
      </c>
      <c r="O720" s="12" t="s">
        <v>39</v>
      </c>
      <c r="P720" s="12"/>
      <c r="Q720" s="16"/>
      <c r="R720" s="12">
        <v>0</v>
      </c>
    </row>
    <row r="721" spans="1:18" s="1" customFormat="1" hidden="1" x14ac:dyDescent="0.25">
      <c r="A721" s="7" t="s">
        <v>1264</v>
      </c>
      <c r="B721" s="13" t="s">
        <v>1265</v>
      </c>
      <c r="C721" s="7" t="s">
        <v>1266</v>
      </c>
      <c r="D721" s="7" t="s">
        <v>35</v>
      </c>
      <c r="E721" s="7" t="s">
        <v>35</v>
      </c>
      <c r="F721" s="8">
        <v>0</v>
      </c>
      <c r="G721" s="20">
        <v>1</v>
      </c>
      <c r="H721" s="20">
        <v>0</v>
      </c>
      <c r="I721" s="20">
        <v>0</v>
      </c>
      <c r="J721" s="13" t="s">
        <v>106</v>
      </c>
      <c r="K721" s="13" t="s">
        <v>35</v>
      </c>
      <c r="L721" s="7" t="s">
        <v>1267</v>
      </c>
      <c r="M721" s="7">
        <v>1.1659999999999999</v>
      </c>
      <c r="N721" s="9" t="s">
        <v>1716</v>
      </c>
      <c r="O721" s="9" t="s">
        <v>39</v>
      </c>
      <c r="P721" s="9"/>
      <c r="Q721" s="15"/>
      <c r="R721" s="9">
        <v>0</v>
      </c>
    </row>
    <row r="722" spans="1:18" s="1" customFormat="1" hidden="1" x14ac:dyDescent="0.25">
      <c r="A722" s="10" t="s">
        <v>1268</v>
      </c>
      <c r="B722" s="14" t="s">
        <v>1269</v>
      </c>
      <c r="C722" s="10" t="s">
        <v>1270</v>
      </c>
      <c r="D722" s="10" t="s">
        <v>35</v>
      </c>
      <c r="E722" s="10" t="s">
        <v>35</v>
      </c>
      <c r="F722" s="11">
        <v>0</v>
      </c>
      <c r="G722" s="21">
        <v>1</v>
      </c>
      <c r="H722" s="21">
        <v>0</v>
      </c>
      <c r="I722" s="21">
        <v>0</v>
      </c>
      <c r="J722" s="14" t="s">
        <v>419</v>
      </c>
      <c r="K722" s="14" t="s">
        <v>35</v>
      </c>
      <c r="L722" s="10" t="s">
        <v>499</v>
      </c>
      <c r="M722" s="10">
        <v>1</v>
      </c>
      <c r="N722" s="12" t="s">
        <v>1716</v>
      </c>
      <c r="O722" s="12" t="s">
        <v>39</v>
      </c>
      <c r="P722" s="12"/>
      <c r="Q722" s="16"/>
      <c r="R722" s="12">
        <v>0</v>
      </c>
    </row>
    <row r="723" spans="1:18" s="1" customFormat="1" hidden="1" x14ac:dyDescent="0.25">
      <c r="A723" s="7" t="s">
        <v>1271</v>
      </c>
      <c r="B723" s="13" t="s">
        <v>1272</v>
      </c>
      <c r="C723" s="7" t="s">
        <v>54</v>
      </c>
      <c r="D723" s="7" t="s">
        <v>35</v>
      </c>
      <c r="E723" s="7" t="s">
        <v>35</v>
      </c>
      <c r="F723" s="8">
        <v>0</v>
      </c>
      <c r="G723" s="20">
        <v>1</v>
      </c>
      <c r="H723" s="20">
        <v>0</v>
      </c>
      <c r="I723" s="20">
        <v>0</v>
      </c>
      <c r="J723" s="13" t="s">
        <v>721</v>
      </c>
      <c r="K723" s="13" t="s">
        <v>35</v>
      </c>
      <c r="L723" s="7" t="s">
        <v>688</v>
      </c>
      <c r="M723" s="7">
        <v>1</v>
      </c>
      <c r="N723" s="9" t="s">
        <v>1716</v>
      </c>
      <c r="O723" s="9" t="s">
        <v>39</v>
      </c>
      <c r="P723" s="9"/>
      <c r="Q723" s="15"/>
      <c r="R723" s="9">
        <v>0</v>
      </c>
    </row>
    <row r="724" spans="1:18" s="1" customFormat="1" hidden="1" x14ac:dyDescent="0.25">
      <c r="A724" s="10" t="s">
        <v>1273</v>
      </c>
      <c r="B724" s="14" t="s">
        <v>1274</v>
      </c>
      <c r="C724" s="10" t="s">
        <v>540</v>
      </c>
      <c r="D724" s="10" t="s">
        <v>35</v>
      </c>
      <c r="E724" s="10" t="s">
        <v>35</v>
      </c>
      <c r="F724" s="11">
        <v>0</v>
      </c>
      <c r="G724" s="21">
        <v>1</v>
      </c>
      <c r="H724" s="21">
        <v>0</v>
      </c>
      <c r="I724" s="21">
        <v>0</v>
      </c>
      <c r="J724" s="14" t="s">
        <v>448</v>
      </c>
      <c r="K724" s="14" t="s">
        <v>530</v>
      </c>
      <c r="L724" s="10" t="s">
        <v>1275</v>
      </c>
      <c r="M724" s="10">
        <v>1.05</v>
      </c>
      <c r="N724" s="12" t="s">
        <v>1716</v>
      </c>
      <c r="O724" s="12" t="s">
        <v>39</v>
      </c>
      <c r="P724" s="12"/>
      <c r="Q724" s="16"/>
      <c r="R724" s="12">
        <v>0</v>
      </c>
    </row>
    <row r="725" spans="1:18" s="1" customFormat="1" hidden="1" x14ac:dyDescent="0.25">
      <c r="A725" s="10" t="s">
        <v>1273</v>
      </c>
      <c r="B725" s="14" t="s">
        <v>1274</v>
      </c>
      <c r="C725" s="10" t="s">
        <v>540</v>
      </c>
      <c r="D725" s="10" t="s">
        <v>35</v>
      </c>
      <c r="E725" s="10" t="s">
        <v>35</v>
      </c>
      <c r="F725" s="11">
        <v>0</v>
      </c>
      <c r="G725" s="21">
        <v>1</v>
      </c>
      <c r="H725" s="21">
        <v>0</v>
      </c>
      <c r="I725" s="21">
        <v>0</v>
      </c>
      <c r="J725" s="14" t="s">
        <v>448</v>
      </c>
      <c r="K725" s="14" t="s">
        <v>530</v>
      </c>
      <c r="L725" s="10" t="s">
        <v>367</v>
      </c>
      <c r="M725" s="10">
        <v>1</v>
      </c>
      <c r="N725" s="12" t="s">
        <v>1716</v>
      </c>
      <c r="O725" s="12" t="s">
        <v>39</v>
      </c>
      <c r="P725" s="12"/>
      <c r="Q725" s="16"/>
      <c r="R725" s="12">
        <v>0</v>
      </c>
    </row>
    <row r="726" spans="1:18" s="1" customFormat="1" hidden="1" x14ac:dyDescent="0.25">
      <c r="A726" s="7" t="s">
        <v>1276</v>
      </c>
      <c r="B726" s="13" t="s">
        <v>1277</v>
      </c>
      <c r="C726" s="7" t="s">
        <v>54</v>
      </c>
      <c r="D726" s="7" t="s">
        <v>35</v>
      </c>
      <c r="E726" s="7" t="s">
        <v>35</v>
      </c>
      <c r="F726" s="8">
        <v>0</v>
      </c>
      <c r="G726" s="20">
        <v>1</v>
      </c>
      <c r="H726" s="20">
        <v>0</v>
      </c>
      <c r="I726" s="20">
        <v>0</v>
      </c>
      <c r="J726" s="13" t="s">
        <v>388</v>
      </c>
      <c r="K726" s="13" t="s">
        <v>35</v>
      </c>
      <c r="L726" s="7" t="s">
        <v>1278</v>
      </c>
      <c r="M726" s="7">
        <v>1</v>
      </c>
      <c r="N726" s="9" t="s">
        <v>1716</v>
      </c>
      <c r="O726" s="9" t="s">
        <v>39</v>
      </c>
      <c r="P726" s="9"/>
      <c r="Q726" s="15"/>
      <c r="R726" s="9">
        <v>0</v>
      </c>
    </row>
    <row r="727" spans="1:18" s="1" customFormat="1" hidden="1" x14ac:dyDescent="0.25">
      <c r="A727" s="10" t="s">
        <v>1279</v>
      </c>
      <c r="B727" s="14" t="s">
        <v>1280</v>
      </c>
      <c r="C727" s="10" t="s">
        <v>34</v>
      </c>
      <c r="D727" s="10" t="s">
        <v>35</v>
      </c>
      <c r="E727" s="10" t="s">
        <v>35</v>
      </c>
      <c r="F727" s="11">
        <v>0</v>
      </c>
      <c r="G727" s="21">
        <v>1</v>
      </c>
      <c r="H727" s="21">
        <v>0</v>
      </c>
      <c r="I727" s="21">
        <v>0</v>
      </c>
      <c r="J727" s="14" t="s">
        <v>218</v>
      </c>
      <c r="K727" s="14" t="s">
        <v>260</v>
      </c>
      <c r="L727" s="10" t="s">
        <v>261</v>
      </c>
      <c r="M727" s="10">
        <v>5.5E-2</v>
      </c>
      <c r="N727" s="12" t="s">
        <v>1716</v>
      </c>
      <c r="O727" s="12" t="s">
        <v>39</v>
      </c>
      <c r="P727" s="12"/>
      <c r="Q727" s="16"/>
      <c r="R727" s="12">
        <v>0</v>
      </c>
    </row>
    <row r="728" spans="1:18" s="1" customFormat="1" hidden="1" x14ac:dyDescent="0.25">
      <c r="A728" s="10" t="s">
        <v>1279</v>
      </c>
      <c r="B728" s="14" t="s">
        <v>1280</v>
      </c>
      <c r="C728" s="10" t="s">
        <v>34</v>
      </c>
      <c r="D728" s="10" t="s">
        <v>35</v>
      </c>
      <c r="E728" s="10" t="s">
        <v>35</v>
      </c>
      <c r="F728" s="11">
        <v>0</v>
      </c>
      <c r="G728" s="21">
        <v>1</v>
      </c>
      <c r="H728" s="21">
        <v>0</v>
      </c>
      <c r="I728" s="21">
        <v>0</v>
      </c>
      <c r="J728" s="14" t="s">
        <v>218</v>
      </c>
      <c r="K728" s="14" t="s">
        <v>260</v>
      </c>
      <c r="L728" s="10" t="s">
        <v>1281</v>
      </c>
      <c r="M728" s="10">
        <v>1.05</v>
      </c>
      <c r="N728" s="12" t="s">
        <v>1716</v>
      </c>
      <c r="O728" s="12" t="s">
        <v>39</v>
      </c>
      <c r="P728" s="12"/>
      <c r="Q728" s="16"/>
      <c r="R728" s="12">
        <v>0</v>
      </c>
    </row>
    <row r="729" spans="1:18" s="1" customFormat="1" hidden="1" x14ac:dyDescent="0.25">
      <c r="A729" s="7" t="s">
        <v>1282</v>
      </c>
      <c r="B729" s="13" t="s">
        <v>1283</v>
      </c>
      <c r="C729" s="7" t="s">
        <v>34</v>
      </c>
      <c r="D729" s="7" t="s">
        <v>35</v>
      </c>
      <c r="E729" s="7" t="s">
        <v>35</v>
      </c>
      <c r="F729" s="8">
        <v>0</v>
      </c>
      <c r="G729" s="20">
        <v>1</v>
      </c>
      <c r="H729" s="20">
        <v>0</v>
      </c>
      <c r="I729" s="20">
        <v>0</v>
      </c>
      <c r="J729" s="13" t="s">
        <v>218</v>
      </c>
      <c r="K729" s="13" t="s">
        <v>260</v>
      </c>
      <c r="L729" s="7" t="s">
        <v>261</v>
      </c>
      <c r="M729" s="7">
        <v>4.3999999999999997E-2</v>
      </c>
      <c r="N729" s="9" t="s">
        <v>1716</v>
      </c>
      <c r="O729" s="9" t="s">
        <v>39</v>
      </c>
      <c r="P729" s="9"/>
      <c r="Q729" s="15"/>
      <c r="R729" s="9">
        <v>0</v>
      </c>
    </row>
    <row r="730" spans="1:18" s="1" customFormat="1" hidden="1" x14ac:dyDescent="0.25">
      <c r="A730" s="10" t="s">
        <v>1284</v>
      </c>
      <c r="B730" s="14" t="s">
        <v>1285</v>
      </c>
      <c r="C730" s="10" t="s">
        <v>34</v>
      </c>
      <c r="D730" s="10" t="s">
        <v>35</v>
      </c>
      <c r="E730" s="10" t="s">
        <v>35</v>
      </c>
      <c r="F730" s="11">
        <v>0</v>
      </c>
      <c r="G730" s="21">
        <v>1</v>
      </c>
      <c r="H730" s="21">
        <v>0</v>
      </c>
      <c r="I730" s="21">
        <v>0</v>
      </c>
      <c r="J730" s="14" t="s">
        <v>218</v>
      </c>
      <c r="K730" s="14" t="s">
        <v>260</v>
      </c>
      <c r="L730" s="10" t="s">
        <v>261</v>
      </c>
      <c r="M730" s="10">
        <v>5.5E-2</v>
      </c>
      <c r="N730" s="12" t="s">
        <v>1716</v>
      </c>
      <c r="O730" s="12" t="s">
        <v>39</v>
      </c>
      <c r="P730" s="12"/>
      <c r="Q730" s="16"/>
      <c r="R730" s="12">
        <v>0</v>
      </c>
    </row>
    <row r="731" spans="1:18" s="1" customFormat="1" hidden="1" x14ac:dyDescent="0.25">
      <c r="A731" s="7" t="s">
        <v>1286</v>
      </c>
      <c r="B731" s="13" t="s">
        <v>1287</v>
      </c>
      <c r="C731" s="7" t="s">
        <v>54</v>
      </c>
      <c r="D731" s="7" t="s">
        <v>35</v>
      </c>
      <c r="E731" s="7" t="s">
        <v>35</v>
      </c>
      <c r="F731" s="8">
        <v>0</v>
      </c>
      <c r="G731" s="20">
        <v>1</v>
      </c>
      <c r="H731" s="20">
        <v>0</v>
      </c>
      <c r="I731" s="20">
        <v>0</v>
      </c>
      <c r="J731" s="13" t="s">
        <v>287</v>
      </c>
      <c r="K731" s="13" t="s">
        <v>35</v>
      </c>
      <c r="L731" s="7" t="s">
        <v>1288</v>
      </c>
      <c r="M731" s="7">
        <v>1</v>
      </c>
      <c r="N731" s="9" t="s">
        <v>1716</v>
      </c>
      <c r="O731" s="9" t="s">
        <v>39</v>
      </c>
      <c r="P731" s="9"/>
      <c r="Q731" s="15"/>
      <c r="R731" s="9">
        <v>0</v>
      </c>
    </row>
    <row r="732" spans="1:18" s="1" customFormat="1" hidden="1" x14ac:dyDescent="0.25">
      <c r="A732" s="10" t="s">
        <v>1289</v>
      </c>
      <c r="B732" s="14" t="s">
        <v>1290</v>
      </c>
      <c r="C732" s="10" t="s">
        <v>54</v>
      </c>
      <c r="D732" s="10" t="s">
        <v>35</v>
      </c>
      <c r="E732" s="10" t="s">
        <v>35</v>
      </c>
      <c r="F732" s="11">
        <v>0</v>
      </c>
      <c r="G732" s="21">
        <v>1</v>
      </c>
      <c r="H732" s="21">
        <v>0</v>
      </c>
      <c r="I732" s="21">
        <v>0</v>
      </c>
      <c r="J732" s="14" t="s">
        <v>731</v>
      </c>
      <c r="K732" s="14" t="s">
        <v>35</v>
      </c>
      <c r="L732" s="10" t="s">
        <v>1291</v>
      </c>
      <c r="M732" s="10">
        <v>5</v>
      </c>
      <c r="N732" s="12" t="s">
        <v>1716</v>
      </c>
      <c r="O732" s="12" t="s">
        <v>39</v>
      </c>
      <c r="P732" s="12"/>
      <c r="Q732" s="16"/>
      <c r="R732" s="12">
        <v>0</v>
      </c>
    </row>
    <row r="733" spans="1:18" s="1" customFormat="1" hidden="1" x14ac:dyDescent="0.25">
      <c r="A733" s="10" t="s">
        <v>1289</v>
      </c>
      <c r="B733" s="14" t="s">
        <v>1290</v>
      </c>
      <c r="C733" s="10" t="s">
        <v>54</v>
      </c>
      <c r="D733" s="10" t="s">
        <v>35</v>
      </c>
      <c r="E733" s="10" t="s">
        <v>35</v>
      </c>
      <c r="F733" s="11">
        <v>0</v>
      </c>
      <c r="G733" s="21">
        <v>1</v>
      </c>
      <c r="H733" s="21">
        <v>0</v>
      </c>
      <c r="I733" s="21">
        <v>0</v>
      </c>
      <c r="J733" s="14" t="s">
        <v>731</v>
      </c>
      <c r="K733" s="14" t="s">
        <v>35</v>
      </c>
      <c r="L733" s="10" t="s">
        <v>1292</v>
      </c>
      <c r="M733" s="10">
        <v>1</v>
      </c>
      <c r="N733" s="12" t="s">
        <v>1716</v>
      </c>
      <c r="O733" s="12" t="s">
        <v>39</v>
      </c>
      <c r="P733" s="12"/>
      <c r="Q733" s="16"/>
      <c r="R733" s="12">
        <v>0</v>
      </c>
    </row>
    <row r="734" spans="1:18" s="1" customFormat="1" hidden="1" x14ac:dyDescent="0.25">
      <c r="A734" s="7" t="s">
        <v>407</v>
      </c>
      <c r="B734" s="13" t="s">
        <v>1293</v>
      </c>
      <c r="C734" s="7" t="s">
        <v>54</v>
      </c>
      <c r="D734" s="7" t="s">
        <v>35</v>
      </c>
      <c r="E734" s="7" t="s">
        <v>35</v>
      </c>
      <c r="F734" s="8">
        <v>0</v>
      </c>
      <c r="G734" s="20">
        <v>1</v>
      </c>
      <c r="H734" s="20">
        <v>0</v>
      </c>
      <c r="I734" s="20">
        <v>0</v>
      </c>
      <c r="J734" s="13" t="s">
        <v>525</v>
      </c>
      <c r="K734" s="13" t="s">
        <v>35</v>
      </c>
      <c r="L734" s="7" t="s">
        <v>1035</v>
      </c>
      <c r="M734" s="7">
        <v>1</v>
      </c>
      <c r="N734" s="9" t="s">
        <v>1716</v>
      </c>
      <c r="O734" s="9" t="s">
        <v>39</v>
      </c>
      <c r="P734" s="9"/>
      <c r="Q734" s="15"/>
      <c r="R734" s="9">
        <v>0</v>
      </c>
    </row>
    <row r="735" spans="1:18" s="1" customFormat="1" hidden="1" x14ac:dyDescent="0.25">
      <c r="A735" s="10" t="s">
        <v>526</v>
      </c>
      <c r="B735" s="14" t="s">
        <v>1294</v>
      </c>
      <c r="C735" s="10" t="s">
        <v>540</v>
      </c>
      <c r="D735" s="10" t="s">
        <v>35</v>
      </c>
      <c r="E735" s="10" t="s">
        <v>35</v>
      </c>
      <c r="F735" s="11">
        <v>0</v>
      </c>
      <c r="G735" s="21">
        <v>1</v>
      </c>
      <c r="H735" s="21">
        <v>0</v>
      </c>
      <c r="I735" s="21">
        <v>0</v>
      </c>
      <c r="J735" s="14" t="s">
        <v>46</v>
      </c>
      <c r="K735" s="14" t="s">
        <v>372</v>
      </c>
      <c r="L735" s="10" t="s">
        <v>1295</v>
      </c>
      <c r="M735" s="10">
        <v>0.29299999999999998</v>
      </c>
      <c r="N735" s="12" t="s">
        <v>1716</v>
      </c>
      <c r="O735" s="12" t="s">
        <v>39</v>
      </c>
      <c r="P735" s="12"/>
      <c r="Q735" s="16"/>
      <c r="R735" s="12">
        <v>0</v>
      </c>
    </row>
    <row r="736" spans="1:18" s="1" customFormat="1" hidden="1" x14ac:dyDescent="0.25">
      <c r="A736" s="7" t="s">
        <v>1296</v>
      </c>
      <c r="B736" s="13" t="s">
        <v>1297</v>
      </c>
      <c r="C736" s="7" t="s">
        <v>580</v>
      </c>
      <c r="D736" s="7" t="s">
        <v>35</v>
      </c>
      <c r="E736" s="7" t="s">
        <v>35</v>
      </c>
      <c r="F736" s="8">
        <v>0</v>
      </c>
      <c r="G736" s="20">
        <v>1</v>
      </c>
      <c r="H736" s="20">
        <v>0</v>
      </c>
      <c r="I736" s="20">
        <v>0</v>
      </c>
      <c r="J736" s="13" t="s">
        <v>573</v>
      </c>
      <c r="K736" s="13" t="s">
        <v>35</v>
      </c>
      <c r="L736" s="7" t="s">
        <v>1298</v>
      </c>
      <c r="M736" s="7">
        <v>1</v>
      </c>
      <c r="N736" s="9" t="s">
        <v>1716</v>
      </c>
      <c r="O736" s="9" t="s">
        <v>39</v>
      </c>
      <c r="P736" s="9"/>
      <c r="Q736" s="15"/>
      <c r="R736" s="9">
        <v>0</v>
      </c>
    </row>
    <row r="737" spans="1:18" s="1" customFormat="1" hidden="1" x14ac:dyDescent="0.25">
      <c r="A737" s="10" t="s">
        <v>1299</v>
      </c>
      <c r="B737" s="14" t="s">
        <v>1300</v>
      </c>
      <c r="C737" s="10" t="s">
        <v>34</v>
      </c>
      <c r="D737" s="10" t="s">
        <v>35</v>
      </c>
      <c r="E737" s="10" t="s">
        <v>35</v>
      </c>
      <c r="F737" s="11">
        <v>0</v>
      </c>
      <c r="G737" s="21">
        <v>1</v>
      </c>
      <c r="H737" s="21">
        <v>0</v>
      </c>
      <c r="I737" s="21">
        <v>0</v>
      </c>
      <c r="J737" s="14" t="s">
        <v>67</v>
      </c>
      <c r="K737" s="14" t="s">
        <v>35</v>
      </c>
      <c r="L737" s="10" t="s">
        <v>1301</v>
      </c>
      <c r="M737" s="10">
        <v>1</v>
      </c>
      <c r="N737" s="12" t="s">
        <v>1716</v>
      </c>
      <c r="O737" s="12" t="s">
        <v>39</v>
      </c>
      <c r="P737" s="12"/>
      <c r="Q737" s="16"/>
      <c r="R737" s="12">
        <v>0</v>
      </c>
    </row>
    <row r="738" spans="1:18" s="1" customFormat="1" hidden="1" x14ac:dyDescent="0.25">
      <c r="A738" s="7" t="s">
        <v>1302</v>
      </c>
      <c r="B738" s="13" t="s">
        <v>1303</v>
      </c>
      <c r="C738" s="7" t="s">
        <v>780</v>
      </c>
      <c r="D738" s="7" t="s">
        <v>35</v>
      </c>
      <c r="E738" s="7" t="s">
        <v>35</v>
      </c>
      <c r="F738" s="8">
        <v>0</v>
      </c>
      <c r="G738" s="20">
        <v>1</v>
      </c>
      <c r="H738" s="20">
        <v>0</v>
      </c>
      <c r="I738" s="20">
        <v>0</v>
      </c>
      <c r="J738" s="13" t="s">
        <v>1304</v>
      </c>
      <c r="K738" s="13" t="s">
        <v>35</v>
      </c>
      <c r="L738" s="7" t="s">
        <v>1305</v>
      </c>
      <c r="M738" s="7">
        <v>1</v>
      </c>
      <c r="N738" s="9" t="s">
        <v>1716</v>
      </c>
      <c r="O738" s="9" t="s">
        <v>39</v>
      </c>
      <c r="P738" s="9"/>
      <c r="Q738" s="15"/>
      <c r="R738" s="9">
        <v>0</v>
      </c>
    </row>
    <row r="739" spans="1:18" s="1" customFormat="1" hidden="1" x14ac:dyDescent="0.25">
      <c r="A739" s="10" t="s">
        <v>1306</v>
      </c>
      <c r="B739" s="14" t="s">
        <v>1307</v>
      </c>
      <c r="C739" s="10" t="s">
        <v>34</v>
      </c>
      <c r="D739" s="10" t="s">
        <v>35</v>
      </c>
      <c r="E739" s="10" t="s">
        <v>35</v>
      </c>
      <c r="F739" s="11">
        <v>0</v>
      </c>
      <c r="G739" s="21">
        <v>1</v>
      </c>
      <c r="H739" s="21">
        <v>0</v>
      </c>
      <c r="I739" s="21">
        <v>0</v>
      </c>
      <c r="J739" s="14" t="s">
        <v>106</v>
      </c>
      <c r="K739" s="14" t="s">
        <v>35</v>
      </c>
      <c r="L739" s="10" t="s">
        <v>891</v>
      </c>
      <c r="M739" s="10">
        <v>0.40600000000000003</v>
      </c>
      <c r="N739" s="12" t="s">
        <v>1716</v>
      </c>
      <c r="O739" s="12" t="s">
        <v>39</v>
      </c>
      <c r="P739" s="12"/>
      <c r="Q739" s="16"/>
      <c r="R739" s="12">
        <v>0</v>
      </c>
    </row>
    <row r="740" spans="1:18" s="1" customFormat="1" hidden="1" x14ac:dyDescent="0.25">
      <c r="A740" s="10" t="s">
        <v>1306</v>
      </c>
      <c r="B740" s="14" t="s">
        <v>1307</v>
      </c>
      <c r="C740" s="10" t="s">
        <v>34</v>
      </c>
      <c r="D740" s="10" t="s">
        <v>35</v>
      </c>
      <c r="E740" s="10" t="s">
        <v>35</v>
      </c>
      <c r="F740" s="11">
        <v>0</v>
      </c>
      <c r="G740" s="21">
        <v>1</v>
      </c>
      <c r="H740" s="21">
        <v>0</v>
      </c>
      <c r="I740" s="21">
        <v>0</v>
      </c>
      <c r="J740" s="14" t="s">
        <v>106</v>
      </c>
      <c r="K740" s="14" t="s">
        <v>35</v>
      </c>
      <c r="L740" s="10" t="s">
        <v>1308</v>
      </c>
      <c r="M740" s="10">
        <v>0.03</v>
      </c>
      <c r="N740" s="12" t="s">
        <v>1716</v>
      </c>
      <c r="O740" s="12" t="s">
        <v>39</v>
      </c>
      <c r="P740" s="12"/>
      <c r="Q740" s="16"/>
      <c r="R740" s="12">
        <v>0</v>
      </c>
    </row>
    <row r="741" spans="1:18" s="1" customFormat="1" hidden="1" x14ac:dyDescent="0.25">
      <c r="A741" s="7" t="s">
        <v>1309</v>
      </c>
      <c r="B741" s="13" t="s">
        <v>1310</v>
      </c>
      <c r="C741" s="7" t="s">
        <v>34</v>
      </c>
      <c r="D741" s="7" t="s">
        <v>35</v>
      </c>
      <c r="E741" s="7" t="s">
        <v>35</v>
      </c>
      <c r="F741" s="8">
        <v>0</v>
      </c>
      <c r="G741" s="20">
        <v>1</v>
      </c>
      <c r="H741" s="20">
        <v>0</v>
      </c>
      <c r="I741" s="20">
        <v>0</v>
      </c>
      <c r="J741" s="13" t="s">
        <v>218</v>
      </c>
      <c r="K741" s="13" t="s">
        <v>1311</v>
      </c>
      <c r="L741" s="7" t="s">
        <v>1312</v>
      </c>
      <c r="M741" s="7">
        <v>0.3</v>
      </c>
      <c r="N741" s="9" t="s">
        <v>1716</v>
      </c>
      <c r="O741" s="9" t="s">
        <v>39</v>
      </c>
      <c r="P741" s="9"/>
      <c r="Q741" s="15"/>
      <c r="R741" s="9">
        <v>0</v>
      </c>
    </row>
    <row r="742" spans="1:18" s="1" customFormat="1" hidden="1" x14ac:dyDescent="0.25">
      <c r="A742" s="7" t="s">
        <v>1309</v>
      </c>
      <c r="B742" s="13" t="s">
        <v>1310</v>
      </c>
      <c r="C742" s="7" t="s">
        <v>34</v>
      </c>
      <c r="D742" s="7" t="s">
        <v>35</v>
      </c>
      <c r="E742" s="7" t="s">
        <v>35</v>
      </c>
      <c r="F742" s="8">
        <v>0</v>
      </c>
      <c r="G742" s="20">
        <v>1</v>
      </c>
      <c r="H742" s="20">
        <v>0</v>
      </c>
      <c r="I742" s="20">
        <v>0</v>
      </c>
      <c r="J742" s="13" t="s">
        <v>218</v>
      </c>
      <c r="K742" s="13" t="s">
        <v>1311</v>
      </c>
      <c r="L742" s="7" t="s">
        <v>194</v>
      </c>
      <c r="M742" s="7">
        <v>0.6</v>
      </c>
      <c r="N742" s="9" t="s">
        <v>1716</v>
      </c>
      <c r="O742" s="9" t="s">
        <v>39</v>
      </c>
      <c r="P742" s="9"/>
      <c r="Q742" s="15"/>
      <c r="R742" s="9">
        <v>0</v>
      </c>
    </row>
    <row r="743" spans="1:18" s="1" customFormat="1" hidden="1" x14ac:dyDescent="0.25">
      <c r="A743" s="7" t="s">
        <v>1309</v>
      </c>
      <c r="B743" s="13" t="s">
        <v>1310</v>
      </c>
      <c r="C743" s="7" t="s">
        <v>34</v>
      </c>
      <c r="D743" s="7" t="s">
        <v>35</v>
      </c>
      <c r="E743" s="7" t="s">
        <v>35</v>
      </c>
      <c r="F743" s="8">
        <v>0</v>
      </c>
      <c r="G743" s="20">
        <v>1</v>
      </c>
      <c r="H743" s="20">
        <v>0</v>
      </c>
      <c r="I743" s="20">
        <v>0</v>
      </c>
      <c r="J743" s="13" t="s">
        <v>218</v>
      </c>
      <c r="K743" s="13" t="s">
        <v>1311</v>
      </c>
      <c r="L743" s="7" t="s">
        <v>1313</v>
      </c>
      <c r="M743" s="7">
        <v>0.05</v>
      </c>
      <c r="N743" s="9" t="s">
        <v>1716</v>
      </c>
      <c r="O743" s="9" t="s">
        <v>39</v>
      </c>
      <c r="P743" s="9"/>
      <c r="Q743" s="15"/>
      <c r="R743" s="9">
        <v>0</v>
      </c>
    </row>
    <row r="744" spans="1:18" s="1" customFormat="1" hidden="1" x14ac:dyDescent="0.25">
      <c r="A744" s="10" t="s">
        <v>1314</v>
      </c>
      <c r="B744" s="14" t="s">
        <v>1315</v>
      </c>
      <c r="C744" s="10" t="s">
        <v>34</v>
      </c>
      <c r="D744" s="10" t="s">
        <v>35</v>
      </c>
      <c r="E744" s="10" t="s">
        <v>35</v>
      </c>
      <c r="F744" s="11">
        <v>0</v>
      </c>
      <c r="G744" s="21">
        <v>1</v>
      </c>
      <c r="H744" s="21">
        <v>0</v>
      </c>
      <c r="I744" s="21">
        <v>0</v>
      </c>
      <c r="J744" s="14" t="s">
        <v>218</v>
      </c>
      <c r="K744" s="14" t="s">
        <v>1311</v>
      </c>
      <c r="L744" s="10" t="s">
        <v>1312</v>
      </c>
      <c r="M744" s="10">
        <v>0.3</v>
      </c>
      <c r="N744" s="12" t="s">
        <v>1716</v>
      </c>
      <c r="O744" s="12" t="s">
        <v>39</v>
      </c>
      <c r="P744" s="12"/>
      <c r="Q744" s="16"/>
      <c r="R744" s="12">
        <v>0</v>
      </c>
    </row>
    <row r="745" spans="1:18" s="1" customFormat="1" hidden="1" x14ac:dyDescent="0.25">
      <c r="A745" s="10" t="s">
        <v>1314</v>
      </c>
      <c r="B745" s="14" t="s">
        <v>1315</v>
      </c>
      <c r="C745" s="10" t="s">
        <v>34</v>
      </c>
      <c r="D745" s="10" t="s">
        <v>35</v>
      </c>
      <c r="E745" s="10" t="s">
        <v>35</v>
      </c>
      <c r="F745" s="11">
        <v>0</v>
      </c>
      <c r="G745" s="21">
        <v>1</v>
      </c>
      <c r="H745" s="21">
        <v>0</v>
      </c>
      <c r="I745" s="21">
        <v>0</v>
      </c>
      <c r="J745" s="14" t="s">
        <v>218</v>
      </c>
      <c r="K745" s="14" t="s">
        <v>1311</v>
      </c>
      <c r="L745" s="10" t="s">
        <v>194</v>
      </c>
      <c r="M745" s="10">
        <v>0.6</v>
      </c>
      <c r="N745" s="12" t="s">
        <v>1716</v>
      </c>
      <c r="O745" s="12" t="s">
        <v>39</v>
      </c>
      <c r="P745" s="12"/>
      <c r="Q745" s="16"/>
      <c r="R745" s="12">
        <v>0</v>
      </c>
    </row>
    <row r="746" spans="1:18" s="1" customFormat="1" hidden="1" x14ac:dyDescent="0.25">
      <c r="A746" s="10" t="s">
        <v>1314</v>
      </c>
      <c r="B746" s="14" t="s">
        <v>1315</v>
      </c>
      <c r="C746" s="10" t="s">
        <v>34</v>
      </c>
      <c r="D746" s="10" t="s">
        <v>35</v>
      </c>
      <c r="E746" s="10" t="s">
        <v>35</v>
      </c>
      <c r="F746" s="11">
        <v>0</v>
      </c>
      <c r="G746" s="21">
        <v>1</v>
      </c>
      <c r="H746" s="21">
        <v>0</v>
      </c>
      <c r="I746" s="21">
        <v>0</v>
      </c>
      <c r="J746" s="14" t="s">
        <v>218</v>
      </c>
      <c r="K746" s="14" t="s">
        <v>1311</v>
      </c>
      <c r="L746" s="10" t="s">
        <v>1313</v>
      </c>
      <c r="M746" s="10">
        <v>0.05</v>
      </c>
      <c r="N746" s="12" t="s">
        <v>1716</v>
      </c>
      <c r="O746" s="12" t="s">
        <v>39</v>
      </c>
      <c r="P746" s="12"/>
      <c r="Q746" s="16"/>
      <c r="R746" s="12">
        <v>0</v>
      </c>
    </row>
    <row r="747" spans="1:18" s="1" customFormat="1" hidden="1" x14ac:dyDescent="0.25">
      <c r="A747" s="7" t="s">
        <v>1316</v>
      </c>
      <c r="B747" s="13" t="s">
        <v>1317</v>
      </c>
      <c r="C747" s="7" t="s">
        <v>54</v>
      </c>
      <c r="D747" s="7" t="s">
        <v>35</v>
      </c>
      <c r="E747" s="7" t="s">
        <v>35</v>
      </c>
      <c r="F747" s="8">
        <v>0</v>
      </c>
      <c r="G747" s="20">
        <v>1</v>
      </c>
      <c r="H747" s="20">
        <v>0</v>
      </c>
      <c r="I747" s="20">
        <v>0</v>
      </c>
      <c r="J747" s="13" t="s">
        <v>419</v>
      </c>
      <c r="K747" s="13" t="s">
        <v>1318</v>
      </c>
      <c r="L747" s="7" t="s">
        <v>1319</v>
      </c>
      <c r="M747" s="7">
        <v>1</v>
      </c>
      <c r="N747" s="9" t="s">
        <v>1716</v>
      </c>
      <c r="O747" s="9" t="s">
        <v>39</v>
      </c>
      <c r="P747" s="9"/>
      <c r="Q747" s="15"/>
      <c r="R747" s="9">
        <v>0</v>
      </c>
    </row>
    <row r="748" spans="1:18" s="1" customFormat="1" hidden="1" x14ac:dyDescent="0.25">
      <c r="A748" s="10" t="s">
        <v>1320</v>
      </c>
      <c r="B748" s="14" t="s">
        <v>1321</v>
      </c>
      <c r="C748" s="10" t="s">
        <v>54</v>
      </c>
      <c r="D748" s="10" t="s">
        <v>35</v>
      </c>
      <c r="E748" s="10" t="s">
        <v>35</v>
      </c>
      <c r="F748" s="11">
        <v>0</v>
      </c>
      <c r="G748" s="21">
        <v>1</v>
      </c>
      <c r="H748" s="21">
        <v>0</v>
      </c>
      <c r="I748" s="21">
        <v>0</v>
      </c>
      <c r="J748" s="14" t="s">
        <v>419</v>
      </c>
      <c r="K748" s="14" t="s">
        <v>1318</v>
      </c>
      <c r="L748" s="10" t="s">
        <v>1322</v>
      </c>
      <c r="M748" s="10">
        <v>1</v>
      </c>
      <c r="N748" s="12" t="s">
        <v>1716</v>
      </c>
      <c r="O748" s="12" t="s">
        <v>39</v>
      </c>
      <c r="P748" s="12"/>
      <c r="Q748" s="16"/>
      <c r="R748" s="12">
        <v>0</v>
      </c>
    </row>
    <row r="749" spans="1:18" s="1" customFormat="1" hidden="1" x14ac:dyDescent="0.25">
      <c r="A749" s="7" t="s">
        <v>1323</v>
      </c>
      <c r="B749" s="13" t="s">
        <v>1324</v>
      </c>
      <c r="C749" s="7" t="s">
        <v>111</v>
      </c>
      <c r="D749" s="7" t="s">
        <v>35</v>
      </c>
      <c r="E749" s="7" t="s">
        <v>35</v>
      </c>
      <c r="F749" s="8">
        <v>0</v>
      </c>
      <c r="G749" s="20">
        <v>1</v>
      </c>
      <c r="H749" s="20">
        <v>0</v>
      </c>
      <c r="I749" s="20">
        <v>0</v>
      </c>
      <c r="J749" s="13" t="s">
        <v>731</v>
      </c>
      <c r="K749" s="13" t="s">
        <v>35</v>
      </c>
      <c r="L749" s="7" t="s">
        <v>1172</v>
      </c>
      <c r="M749" s="7">
        <v>1</v>
      </c>
      <c r="N749" s="9" t="s">
        <v>1716</v>
      </c>
      <c r="O749" s="9" t="s">
        <v>39</v>
      </c>
      <c r="P749" s="9"/>
      <c r="Q749" s="15"/>
      <c r="R749" s="9">
        <v>0</v>
      </c>
    </row>
    <row r="750" spans="1:18" s="1" customFormat="1" hidden="1" x14ac:dyDescent="0.25">
      <c r="A750" s="10" t="s">
        <v>1325</v>
      </c>
      <c r="B750" s="14" t="s">
        <v>1326</v>
      </c>
      <c r="C750" s="10" t="s">
        <v>111</v>
      </c>
      <c r="D750" s="10" t="s">
        <v>35</v>
      </c>
      <c r="E750" s="10" t="s">
        <v>35</v>
      </c>
      <c r="F750" s="11">
        <v>0</v>
      </c>
      <c r="G750" s="21">
        <v>1</v>
      </c>
      <c r="H750" s="21">
        <v>0</v>
      </c>
      <c r="I750" s="21">
        <v>0</v>
      </c>
      <c r="J750" s="14" t="s">
        <v>67</v>
      </c>
      <c r="K750" s="14" t="s">
        <v>666</v>
      </c>
      <c r="L750" s="10" t="s">
        <v>130</v>
      </c>
      <c r="M750" s="10">
        <v>1</v>
      </c>
      <c r="N750" s="12" t="s">
        <v>1716</v>
      </c>
      <c r="O750" s="12" t="s">
        <v>39</v>
      </c>
      <c r="P750" s="12"/>
      <c r="Q750" s="16"/>
      <c r="R750" s="12">
        <v>0</v>
      </c>
    </row>
    <row r="751" spans="1:18" s="1" customFormat="1" hidden="1" x14ac:dyDescent="0.25">
      <c r="A751" s="7" t="s">
        <v>1327</v>
      </c>
      <c r="B751" s="13" t="s">
        <v>1328</v>
      </c>
      <c r="C751" s="7" t="s">
        <v>111</v>
      </c>
      <c r="D751" s="7" t="s">
        <v>35</v>
      </c>
      <c r="E751" s="7" t="s">
        <v>35</v>
      </c>
      <c r="F751" s="8">
        <v>0</v>
      </c>
      <c r="G751" s="20">
        <v>1</v>
      </c>
      <c r="H751" s="20">
        <v>0</v>
      </c>
      <c r="I751" s="20">
        <v>0</v>
      </c>
      <c r="J751" s="13" t="s">
        <v>67</v>
      </c>
      <c r="K751" s="13" t="s">
        <v>666</v>
      </c>
      <c r="L751" s="7" t="s">
        <v>602</v>
      </c>
      <c r="M751" s="7">
        <v>1</v>
      </c>
      <c r="N751" s="9" t="s">
        <v>1716</v>
      </c>
      <c r="O751" s="9" t="s">
        <v>39</v>
      </c>
      <c r="P751" s="9"/>
      <c r="Q751" s="15"/>
      <c r="R751" s="9">
        <v>0</v>
      </c>
    </row>
    <row r="752" spans="1:18" s="1" customFormat="1" hidden="1" x14ac:dyDescent="0.25">
      <c r="A752" s="10" t="s">
        <v>1329</v>
      </c>
      <c r="B752" s="14" t="s">
        <v>1330</v>
      </c>
      <c r="C752" s="10" t="s">
        <v>111</v>
      </c>
      <c r="D752" s="10" t="s">
        <v>35</v>
      </c>
      <c r="E752" s="10" t="s">
        <v>35</v>
      </c>
      <c r="F752" s="11">
        <v>0</v>
      </c>
      <c r="G752" s="21">
        <v>1</v>
      </c>
      <c r="H752" s="21">
        <v>0</v>
      </c>
      <c r="I752" s="21">
        <v>0</v>
      </c>
      <c r="J752" s="14" t="s">
        <v>67</v>
      </c>
      <c r="K752" s="14" t="s">
        <v>666</v>
      </c>
      <c r="L752" s="10" t="s">
        <v>236</v>
      </c>
      <c r="M752" s="10">
        <v>1</v>
      </c>
      <c r="N752" s="12" t="s">
        <v>1716</v>
      </c>
      <c r="O752" s="12" t="s">
        <v>39</v>
      </c>
      <c r="P752" s="12"/>
      <c r="Q752" s="16"/>
      <c r="R752" s="12">
        <v>0</v>
      </c>
    </row>
    <row r="753" spans="1:18" s="1" customFormat="1" hidden="1" x14ac:dyDescent="0.25">
      <c r="A753" s="7" t="s">
        <v>1331</v>
      </c>
      <c r="B753" s="13" t="s">
        <v>1332</v>
      </c>
      <c r="C753" s="7" t="s">
        <v>34</v>
      </c>
      <c r="D753" s="7" t="s">
        <v>35</v>
      </c>
      <c r="E753" s="7" t="s">
        <v>35</v>
      </c>
      <c r="F753" s="8">
        <v>0</v>
      </c>
      <c r="G753" s="20">
        <v>1</v>
      </c>
      <c r="H753" s="20">
        <v>0</v>
      </c>
      <c r="I753" s="20">
        <v>0</v>
      </c>
      <c r="J753" s="13" t="s">
        <v>676</v>
      </c>
      <c r="K753" s="13" t="s">
        <v>677</v>
      </c>
      <c r="L753" s="7" t="s">
        <v>1333</v>
      </c>
      <c r="M753" s="7">
        <v>1</v>
      </c>
      <c r="N753" s="9" t="s">
        <v>1716</v>
      </c>
      <c r="O753" s="9" t="s">
        <v>39</v>
      </c>
      <c r="P753" s="9"/>
      <c r="Q753" s="15"/>
      <c r="R753" s="9">
        <v>0</v>
      </c>
    </row>
    <row r="754" spans="1:18" s="1" customFormat="1" hidden="1" x14ac:dyDescent="0.25">
      <c r="A754" s="7" t="s">
        <v>1331</v>
      </c>
      <c r="B754" s="13" t="s">
        <v>1332</v>
      </c>
      <c r="C754" s="7" t="s">
        <v>34</v>
      </c>
      <c r="D754" s="7" t="s">
        <v>35</v>
      </c>
      <c r="E754" s="7" t="s">
        <v>35</v>
      </c>
      <c r="F754" s="8">
        <v>0</v>
      </c>
      <c r="G754" s="20">
        <v>1</v>
      </c>
      <c r="H754" s="20">
        <v>0</v>
      </c>
      <c r="I754" s="20">
        <v>0</v>
      </c>
      <c r="J754" s="13" t="s">
        <v>676</v>
      </c>
      <c r="K754" s="13" t="s">
        <v>677</v>
      </c>
      <c r="L754" s="7" t="s">
        <v>679</v>
      </c>
      <c r="M754" s="7">
        <v>1.2</v>
      </c>
      <c r="N754" s="9" t="s">
        <v>1716</v>
      </c>
      <c r="O754" s="9" t="s">
        <v>39</v>
      </c>
      <c r="P754" s="9"/>
      <c r="Q754" s="15"/>
      <c r="R754" s="9">
        <v>0</v>
      </c>
    </row>
    <row r="755" spans="1:18" s="1" customFormat="1" hidden="1" x14ac:dyDescent="0.25">
      <c r="A755" s="10" t="s">
        <v>1334</v>
      </c>
      <c r="B755" s="14" t="s">
        <v>1335</v>
      </c>
      <c r="C755" s="10" t="s">
        <v>34</v>
      </c>
      <c r="D755" s="10" t="s">
        <v>35</v>
      </c>
      <c r="E755" s="10" t="s">
        <v>35</v>
      </c>
      <c r="F755" s="11">
        <v>0</v>
      </c>
      <c r="G755" s="21">
        <v>1</v>
      </c>
      <c r="H755" s="21">
        <v>0</v>
      </c>
      <c r="I755" s="21">
        <v>0</v>
      </c>
      <c r="J755" s="14" t="s">
        <v>410</v>
      </c>
      <c r="K755" s="14" t="s">
        <v>35</v>
      </c>
      <c r="L755" s="10" t="s">
        <v>166</v>
      </c>
      <c r="M755" s="10">
        <v>0.16</v>
      </c>
      <c r="N755" s="12" t="s">
        <v>1716</v>
      </c>
      <c r="O755" s="12" t="s">
        <v>39</v>
      </c>
      <c r="P755" s="12"/>
      <c r="Q755" s="16"/>
      <c r="R755" s="12">
        <v>0</v>
      </c>
    </row>
    <row r="756" spans="1:18" s="1" customFormat="1" hidden="1" x14ac:dyDescent="0.25">
      <c r="A756" s="7" t="s">
        <v>1336</v>
      </c>
      <c r="B756" s="13" t="s">
        <v>1337</v>
      </c>
      <c r="C756" s="7" t="s">
        <v>34</v>
      </c>
      <c r="D756" s="7" t="s">
        <v>35</v>
      </c>
      <c r="E756" s="7" t="s">
        <v>35</v>
      </c>
      <c r="F756" s="8">
        <v>0</v>
      </c>
      <c r="G756" s="20">
        <v>1</v>
      </c>
      <c r="H756" s="20">
        <v>0</v>
      </c>
      <c r="I756" s="20">
        <v>0</v>
      </c>
      <c r="J756" s="13" t="s">
        <v>36</v>
      </c>
      <c r="K756" s="13" t="s">
        <v>35</v>
      </c>
      <c r="L756" s="7" t="s">
        <v>159</v>
      </c>
      <c r="M756" s="7">
        <v>0.16</v>
      </c>
      <c r="N756" s="9" t="s">
        <v>1716</v>
      </c>
      <c r="O756" s="9" t="s">
        <v>39</v>
      </c>
      <c r="P756" s="9"/>
      <c r="Q756" s="15"/>
      <c r="R756" s="9">
        <v>0</v>
      </c>
    </row>
    <row r="757" spans="1:18" s="1" customFormat="1" hidden="1" x14ac:dyDescent="0.25">
      <c r="A757" s="10" t="s">
        <v>1338</v>
      </c>
      <c r="B757" s="14" t="s">
        <v>1339</v>
      </c>
      <c r="C757" s="10" t="s">
        <v>34</v>
      </c>
      <c r="D757" s="10" t="s">
        <v>35</v>
      </c>
      <c r="E757" s="10" t="s">
        <v>35</v>
      </c>
      <c r="F757" s="11">
        <v>0</v>
      </c>
      <c r="G757" s="21">
        <v>1</v>
      </c>
      <c r="H757" s="21">
        <v>0</v>
      </c>
      <c r="I757" s="21">
        <v>0</v>
      </c>
      <c r="J757" s="14" t="s">
        <v>36</v>
      </c>
      <c r="K757" s="14" t="s">
        <v>35</v>
      </c>
      <c r="L757" s="10" t="s">
        <v>159</v>
      </c>
      <c r="M757" s="10">
        <v>0.16</v>
      </c>
      <c r="N757" s="12" t="s">
        <v>1716</v>
      </c>
      <c r="O757" s="12" t="s">
        <v>39</v>
      </c>
      <c r="P757" s="12"/>
      <c r="Q757" s="16"/>
      <c r="R757" s="12">
        <v>0</v>
      </c>
    </row>
    <row r="758" spans="1:18" s="1" customFormat="1" hidden="1" x14ac:dyDescent="0.25">
      <c r="A758" s="7" t="s">
        <v>1340</v>
      </c>
      <c r="B758" s="13" t="s">
        <v>1341</v>
      </c>
      <c r="C758" s="7" t="s">
        <v>34</v>
      </c>
      <c r="D758" s="7" t="s">
        <v>35</v>
      </c>
      <c r="E758" s="7" t="s">
        <v>35</v>
      </c>
      <c r="F758" s="8">
        <v>0</v>
      </c>
      <c r="G758" s="20">
        <v>1</v>
      </c>
      <c r="H758" s="20">
        <v>0</v>
      </c>
      <c r="I758" s="20">
        <v>0</v>
      </c>
      <c r="J758" s="13" t="s">
        <v>221</v>
      </c>
      <c r="K758" s="13" t="s">
        <v>35</v>
      </c>
      <c r="L758" s="7" t="s">
        <v>1342</v>
      </c>
      <c r="M758" s="7">
        <v>1.56</v>
      </c>
      <c r="N758" s="9" t="s">
        <v>1716</v>
      </c>
      <c r="O758" s="9" t="s">
        <v>39</v>
      </c>
      <c r="P758" s="9"/>
      <c r="Q758" s="15"/>
      <c r="R758" s="9">
        <v>0</v>
      </c>
    </row>
    <row r="759" spans="1:18" s="1" customFormat="1" hidden="1" x14ac:dyDescent="0.25">
      <c r="A759" s="10" t="s">
        <v>1255</v>
      </c>
      <c r="B759" s="14" t="s">
        <v>1343</v>
      </c>
      <c r="C759" s="10" t="s">
        <v>34</v>
      </c>
      <c r="D759" s="10" t="s">
        <v>35</v>
      </c>
      <c r="E759" s="10" t="s">
        <v>35</v>
      </c>
      <c r="F759" s="11">
        <v>0</v>
      </c>
      <c r="G759" s="21">
        <v>1</v>
      </c>
      <c r="H759" s="21">
        <v>0</v>
      </c>
      <c r="I759" s="21">
        <v>0</v>
      </c>
      <c r="J759" s="14" t="s">
        <v>221</v>
      </c>
      <c r="K759" s="14" t="s">
        <v>35</v>
      </c>
      <c r="L759" s="10" t="s">
        <v>1344</v>
      </c>
      <c r="M759" s="10">
        <v>1.5</v>
      </c>
      <c r="N759" s="12" t="s">
        <v>1716</v>
      </c>
      <c r="O759" s="12" t="s">
        <v>39</v>
      </c>
      <c r="P759" s="12"/>
      <c r="Q759" s="16"/>
      <c r="R759" s="12">
        <v>0</v>
      </c>
    </row>
    <row r="760" spans="1:18" s="1" customFormat="1" hidden="1" x14ac:dyDescent="0.25">
      <c r="A760" s="7" t="s">
        <v>1345</v>
      </c>
      <c r="B760" s="13" t="s">
        <v>1346</v>
      </c>
      <c r="C760" s="7" t="s">
        <v>75</v>
      </c>
      <c r="D760" s="7" t="s">
        <v>35</v>
      </c>
      <c r="E760" s="7" t="s">
        <v>35</v>
      </c>
      <c r="F760" s="8">
        <v>0</v>
      </c>
      <c r="G760" s="20">
        <v>1</v>
      </c>
      <c r="H760" s="20">
        <v>0</v>
      </c>
      <c r="I760" s="20">
        <v>0</v>
      </c>
      <c r="J760" s="13" t="s">
        <v>221</v>
      </c>
      <c r="K760" s="13" t="s">
        <v>35</v>
      </c>
      <c r="L760" s="7" t="s">
        <v>1347</v>
      </c>
      <c r="M760" s="7">
        <v>1</v>
      </c>
      <c r="N760" s="9" t="s">
        <v>1716</v>
      </c>
      <c r="O760" s="9" t="s">
        <v>39</v>
      </c>
      <c r="P760" s="9"/>
      <c r="Q760" s="15"/>
      <c r="R760" s="9">
        <v>0</v>
      </c>
    </row>
    <row r="761" spans="1:18" s="1" customFormat="1" hidden="1" x14ac:dyDescent="0.25">
      <c r="A761" s="7" t="s">
        <v>1345</v>
      </c>
      <c r="B761" s="13" t="s">
        <v>1346</v>
      </c>
      <c r="C761" s="7" t="s">
        <v>75</v>
      </c>
      <c r="D761" s="7" t="s">
        <v>35</v>
      </c>
      <c r="E761" s="7" t="s">
        <v>35</v>
      </c>
      <c r="F761" s="8">
        <v>0</v>
      </c>
      <c r="G761" s="20">
        <v>1</v>
      </c>
      <c r="H761" s="20">
        <v>0</v>
      </c>
      <c r="I761" s="20">
        <v>0</v>
      </c>
      <c r="J761" s="13" t="s">
        <v>221</v>
      </c>
      <c r="K761" s="13" t="s">
        <v>35</v>
      </c>
      <c r="L761" s="7" t="s">
        <v>1217</v>
      </c>
      <c r="M761" s="7">
        <v>0.5</v>
      </c>
      <c r="N761" s="9" t="s">
        <v>1716</v>
      </c>
      <c r="O761" s="9" t="s">
        <v>39</v>
      </c>
      <c r="P761" s="9"/>
      <c r="Q761" s="15"/>
      <c r="R761" s="9">
        <v>0</v>
      </c>
    </row>
    <row r="762" spans="1:18" s="1" customFormat="1" hidden="1" x14ac:dyDescent="0.25">
      <c r="A762" s="10" t="s">
        <v>1348</v>
      </c>
      <c r="B762" s="14" t="s">
        <v>1349</v>
      </c>
      <c r="C762" s="10" t="s">
        <v>34</v>
      </c>
      <c r="D762" s="10" t="s">
        <v>35</v>
      </c>
      <c r="E762" s="10" t="s">
        <v>35</v>
      </c>
      <c r="F762" s="11">
        <v>0</v>
      </c>
      <c r="G762" s="21">
        <v>1</v>
      </c>
      <c r="H762" s="21">
        <v>0</v>
      </c>
      <c r="I762" s="21">
        <v>0</v>
      </c>
      <c r="J762" s="14" t="s">
        <v>525</v>
      </c>
      <c r="K762" s="14" t="s">
        <v>35</v>
      </c>
      <c r="L762" s="10" t="s">
        <v>1350</v>
      </c>
      <c r="M762" s="10">
        <v>1</v>
      </c>
      <c r="N762" s="12" t="s">
        <v>1716</v>
      </c>
      <c r="O762" s="12" t="s">
        <v>39</v>
      </c>
      <c r="P762" s="12"/>
      <c r="Q762" s="16"/>
      <c r="R762" s="12">
        <v>0</v>
      </c>
    </row>
    <row r="763" spans="1:18" s="1" customFormat="1" hidden="1" x14ac:dyDescent="0.25">
      <c r="A763" s="7" t="s">
        <v>1351</v>
      </c>
      <c r="B763" s="13" t="s">
        <v>1352</v>
      </c>
      <c r="C763" s="7" t="s">
        <v>1353</v>
      </c>
      <c r="D763" s="7" t="s">
        <v>35</v>
      </c>
      <c r="E763" s="7" t="s">
        <v>35</v>
      </c>
      <c r="F763" s="8">
        <v>0</v>
      </c>
      <c r="G763" s="20">
        <v>1</v>
      </c>
      <c r="H763" s="20">
        <v>0</v>
      </c>
      <c r="I763" s="20">
        <v>0</v>
      </c>
      <c r="J763" s="13" t="s">
        <v>1304</v>
      </c>
      <c r="K763" s="13" t="s">
        <v>35</v>
      </c>
      <c r="L763" s="7" t="s">
        <v>1354</v>
      </c>
      <c r="M763" s="7">
        <v>1</v>
      </c>
      <c r="N763" s="9" t="s">
        <v>1716</v>
      </c>
      <c r="O763" s="9" t="s">
        <v>39</v>
      </c>
      <c r="P763" s="9"/>
      <c r="Q763" s="15"/>
      <c r="R763" s="9">
        <v>0</v>
      </c>
    </row>
    <row r="764" spans="1:18" s="1" customFormat="1" hidden="1" x14ac:dyDescent="0.25">
      <c r="A764" s="10" t="s">
        <v>1355</v>
      </c>
      <c r="B764" s="14" t="s">
        <v>1356</v>
      </c>
      <c r="C764" s="10" t="s">
        <v>34</v>
      </c>
      <c r="D764" s="10" t="s">
        <v>35</v>
      </c>
      <c r="E764" s="10" t="s">
        <v>35</v>
      </c>
      <c r="F764" s="11">
        <v>0</v>
      </c>
      <c r="G764" s="21">
        <v>1</v>
      </c>
      <c r="H764" s="21">
        <v>0</v>
      </c>
      <c r="I764" s="21">
        <v>0</v>
      </c>
      <c r="J764" s="14" t="s">
        <v>1357</v>
      </c>
      <c r="K764" s="14" t="s">
        <v>35</v>
      </c>
      <c r="L764" s="10" t="s">
        <v>1358</v>
      </c>
      <c r="M764" s="10">
        <v>1</v>
      </c>
      <c r="N764" s="12" t="s">
        <v>1716</v>
      </c>
      <c r="O764" s="12" t="s">
        <v>39</v>
      </c>
      <c r="P764" s="12"/>
      <c r="Q764" s="16"/>
      <c r="R764" s="12">
        <v>0</v>
      </c>
    </row>
    <row r="765" spans="1:18" s="1" customFormat="1" hidden="1" x14ac:dyDescent="0.25">
      <c r="A765" s="7" t="s">
        <v>1359</v>
      </c>
      <c r="B765" s="13" t="s">
        <v>1360</v>
      </c>
      <c r="C765" s="7" t="s">
        <v>34</v>
      </c>
      <c r="D765" s="7" t="s">
        <v>35</v>
      </c>
      <c r="E765" s="7" t="s">
        <v>35</v>
      </c>
      <c r="F765" s="8">
        <v>0</v>
      </c>
      <c r="G765" s="20">
        <v>1</v>
      </c>
      <c r="H765" s="20">
        <v>0</v>
      </c>
      <c r="I765" s="20">
        <v>0</v>
      </c>
      <c r="J765" s="13" t="s">
        <v>36</v>
      </c>
      <c r="K765" s="13" t="s">
        <v>35</v>
      </c>
      <c r="L765" s="7" t="s">
        <v>1361</v>
      </c>
      <c r="M765" s="7">
        <v>1</v>
      </c>
      <c r="N765" s="9" t="s">
        <v>1716</v>
      </c>
      <c r="O765" s="9" t="s">
        <v>39</v>
      </c>
      <c r="P765" s="9"/>
      <c r="Q765" s="15"/>
      <c r="R765" s="9">
        <v>0</v>
      </c>
    </row>
    <row r="766" spans="1:18" s="1" customFormat="1" hidden="1" x14ac:dyDescent="0.25">
      <c r="A766" s="10" t="s">
        <v>1362</v>
      </c>
      <c r="B766" s="14" t="s">
        <v>1363</v>
      </c>
      <c r="C766" s="10" t="s">
        <v>34</v>
      </c>
      <c r="D766" s="10" t="s">
        <v>35</v>
      </c>
      <c r="E766" s="10" t="s">
        <v>35</v>
      </c>
      <c r="F766" s="11">
        <v>0</v>
      </c>
      <c r="G766" s="21">
        <v>1</v>
      </c>
      <c r="H766" s="21">
        <v>0</v>
      </c>
      <c r="I766" s="21">
        <v>0</v>
      </c>
      <c r="J766" s="14" t="s">
        <v>847</v>
      </c>
      <c r="K766" s="14" t="s">
        <v>35</v>
      </c>
      <c r="L766" s="10" t="s">
        <v>861</v>
      </c>
      <c r="M766" s="10">
        <v>1</v>
      </c>
      <c r="N766" s="12" t="s">
        <v>1716</v>
      </c>
      <c r="O766" s="12" t="s">
        <v>39</v>
      </c>
      <c r="P766" s="12"/>
      <c r="Q766" s="16"/>
      <c r="R766" s="12">
        <v>0</v>
      </c>
    </row>
    <row r="767" spans="1:18" s="1" customFormat="1" hidden="1" x14ac:dyDescent="0.25">
      <c r="A767" s="7" t="s">
        <v>1364</v>
      </c>
      <c r="B767" s="13" t="s">
        <v>1365</v>
      </c>
      <c r="C767" s="7" t="s">
        <v>34</v>
      </c>
      <c r="D767" s="7" t="s">
        <v>35</v>
      </c>
      <c r="E767" s="7" t="s">
        <v>35</v>
      </c>
      <c r="F767" s="8">
        <v>0</v>
      </c>
      <c r="G767" s="20">
        <v>1</v>
      </c>
      <c r="H767" s="20">
        <v>0</v>
      </c>
      <c r="I767" s="20">
        <v>0</v>
      </c>
      <c r="J767" s="13" t="s">
        <v>83</v>
      </c>
      <c r="K767" s="13" t="s">
        <v>35</v>
      </c>
      <c r="L767" s="7" t="s">
        <v>1366</v>
      </c>
      <c r="M767" s="7">
        <v>1</v>
      </c>
      <c r="N767" s="9" t="s">
        <v>1716</v>
      </c>
      <c r="O767" s="9" t="s">
        <v>39</v>
      </c>
      <c r="P767" s="9"/>
      <c r="Q767" s="15"/>
      <c r="R767" s="9">
        <v>0</v>
      </c>
    </row>
    <row r="768" spans="1:18" s="1" customFormat="1" hidden="1" x14ac:dyDescent="0.25">
      <c r="A768" s="10" t="s">
        <v>1367</v>
      </c>
      <c r="B768" s="14" t="s">
        <v>1368</v>
      </c>
      <c r="C768" s="10" t="s">
        <v>34</v>
      </c>
      <c r="D768" s="10" t="s">
        <v>35</v>
      </c>
      <c r="E768" s="10" t="s">
        <v>35</v>
      </c>
      <c r="F768" s="11">
        <v>0</v>
      </c>
      <c r="G768" s="21">
        <v>1</v>
      </c>
      <c r="H768" s="21">
        <v>0</v>
      </c>
      <c r="I768" s="21">
        <v>0</v>
      </c>
      <c r="J768" s="14" t="s">
        <v>106</v>
      </c>
      <c r="K768" s="14" t="s">
        <v>35</v>
      </c>
      <c r="L768" s="10" t="s">
        <v>1369</v>
      </c>
      <c r="M768" s="10">
        <v>1</v>
      </c>
      <c r="N768" s="12" t="s">
        <v>1716</v>
      </c>
      <c r="O768" s="12" t="s">
        <v>39</v>
      </c>
      <c r="P768" s="12"/>
      <c r="Q768" s="16"/>
      <c r="R768" s="12">
        <v>0</v>
      </c>
    </row>
    <row r="769" spans="1:18" s="1" customFormat="1" hidden="1" x14ac:dyDescent="0.25">
      <c r="A769" s="7" t="s">
        <v>1370</v>
      </c>
      <c r="B769" s="13" t="s">
        <v>1371</v>
      </c>
      <c r="C769" s="7" t="s">
        <v>34</v>
      </c>
      <c r="D769" s="7" t="s">
        <v>35</v>
      </c>
      <c r="E769" s="7" t="s">
        <v>35</v>
      </c>
      <c r="F769" s="8">
        <v>0</v>
      </c>
      <c r="G769" s="20">
        <v>1</v>
      </c>
      <c r="H769" s="20">
        <v>0</v>
      </c>
      <c r="I769" s="20">
        <v>0</v>
      </c>
      <c r="J769" s="13" t="s">
        <v>847</v>
      </c>
      <c r="K769" s="13" t="s">
        <v>35</v>
      </c>
      <c r="L769" s="7" t="s">
        <v>1372</v>
      </c>
      <c r="M769" s="7">
        <v>1</v>
      </c>
      <c r="N769" s="9" t="s">
        <v>1716</v>
      </c>
      <c r="O769" s="9" t="s">
        <v>39</v>
      </c>
      <c r="P769" s="9"/>
      <c r="Q769" s="15"/>
      <c r="R769" s="9">
        <v>0</v>
      </c>
    </row>
    <row r="770" spans="1:18" s="1" customFormat="1" hidden="1" x14ac:dyDescent="0.25">
      <c r="A770" s="10" t="s">
        <v>1373</v>
      </c>
      <c r="B770" s="14" t="s">
        <v>1374</v>
      </c>
      <c r="C770" s="10" t="s">
        <v>34</v>
      </c>
      <c r="D770" s="10" t="s">
        <v>35</v>
      </c>
      <c r="E770" s="10" t="s">
        <v>35</v>
      </c>
      <c r="F770" s="11">
        <v>0</v>
      </c>
      <c r="G770" s="21">
        <v>1</v>
      </c>
      <c r="H770" s="21">
        <v>0</v>
      </c>
      <c r="I770" s="21">
        <v>0</v>
      </c>
      <c r="J770" s="14" t="s">
        <v>36</v>
      </c>
      <c r="K770" s="14" t="s">
        <v>1375</v>
      </c>
      <c r="L770" s="10" t="s">
        <v>41</v>
      </c>
      <c r="M770" s="10">
        <v>0.1</v>
      </c>
      <c r="N770" s="12" t="s">
        <v>1716</v>
      </c>
      <c r="O770" s="12" t="s">
        <v>39</v>
      </c>
      <c r="P770" s="12"/>
      <c r="Q770" s="16"/>
      <c r="R770" s="12">
        <v>0</v>
      </c>
    </row>
    <row r="771" spans="1:18" s="1" customFormat="1" hidden="1" x14ac:dyDescent="0.25">
      <c r="A771" s="10" t="s">
        <v>1373</v>
      </c>
      <c r="B771" s="14" t="s">
        <v>1374</v>
      </c>
      <c r="C771" s="10" t="s">
        <v>34</v>
      </c>
      <c r="D771" s="10" t="s">
        <v>35</v>
      </c>
      <c r="E771" s="10" t="s">
        <v>35</v>
      </c>
      <c r="F771" s="11">
        <v>0</v>
      </c>
      <c r="G771" s="21">
        <v>1</v>
      </c>
      <c r="H771" s="21">
        <v>0</v>
      </c>
      <c r="I771" s="21">
        <v>0</v>
      </c>
      <c r="J771" s="14" t="s">
        <v>36</v>
      </c>
      <c r="K771" s="14" t="s">
        <v>1375</v>
      </c>
      <c r="L771" s="10" t="s">
        <v>40</v>
      </c>
      <c r="M771" s="10">
        <v>0.88019999999999998</v>
      </c>
      <c r="N771" s="12" t="s">
        <v>1716</v>
      </c>
      <c r="O771" s="12" t="s">
        <v>39</v>
      </c>
      <c r="P771" s="12"/>
      <c r="Q771" s="16"/>
      <c r="R771" s="12">
        <v>0</v>
      </c>
    </row>
    <row r="772" spans="1:18" s="1" customFormat="1" hidden="1" x14ac:dyDescent="0.25">
      <c r="A772" s="7" t="s">
        <v>1376</v>
      </c>
      <c r="B772" s="13" t="s">
        <v>1377</v>
      </c>
      <c r="C772" s="7" t="s">
        <v>34</v>
      </c>
      <c r="D772" s="7" t="s">
        <v>35</v>
      </c>
      <c r="E772" s="7" t="s">
        <v>35</v>
      </c>
      <c r="F772" s="8">
        <v>0</v>
      </c>
      <c r="G772" s="20">
        <v>1</v>
      </c>
      <c r="H772" s="20">
        <v>0</v>
      </c>
      <c r="I772" s="20">
        <v>0</v>
      </c>
      <c r="J772" s="13" t="s">
        <v>36</v>
      </c>
      <c r="K772" s="13" t="s">
        <v>1375</v>
      </c>
      <c r="L772" s="7" t="s">
        <v>41</v>
      </c>
      <c r="M772" s="7">
        <v>0.1</v>
      </c>
      <c r="N772" s="9" t="s">
        <v>1716</v>
      </c>
      <c r="O772" s="9" t="s">
        <v>39</v>
      </c>
      <c r="P772" s="9"/>
      <c r="Q772" s="15"/>
      <c r="R772" s="9">
        <v>0</v>
      </c>
    </row>
    <row r="773" spans="1:18" s="1" customFormat="1" hidden="1" x14ac:dyDescent="0.25">
      <c r="A773" s="7" t="s">
        <v>1376</v>
      </c>
      <c r="B773" s="13" t="s">
        <v>1377</v>
      </c>
      <c r="C773" s="7" t="s">
        <v>34</v>
      </c>
      <c r="D773" s="7" t="s">
        <v>35</v>
      </c>
      <c r="E773" s="7" t="s">
        <v>35</v>
      </c>
      <c r="F773" s="8">
        <v>0</v>
      </c>
      <c r="G773" s="20">
        <v>1</v>
      </c>
      <c r="H773" s="20">
        <v>0</v>
      </c>
      <c r="I773" s="20">
        <v>0</v>
      </c>
      <c r="J773" s="13" t="s">
        <v>36</v>
      </c>
      <c r="K773" s="13" t="s">
        <v>1375</v>
      </c>
      <c r="L773" s="7" t="s">
        <v>1378</v>
      </c>
      <c r="M773" s="7">
        <v>0.88019999999999998</v>
      </c>
      <c r="N773" s="9" t="s">
        <v>1716</v>
      </c>
      <c r="O773" s="9" t="s">
        <v>39</v>
      </c>
      <c r="P773" s="9"/>
      <c r="Q773" s="15"/>
      <c r="R773" s="9">
        <v>0</v>
      </c>
    </row>
    <row r="774" spans="1:18" s="1" customFormat="1" hidden="1" x14ac:dyDescent="0.25">
      <c r="A774" s="10" t="s">
        <v>1379</v>
      </c>
      <c r="B774" s="14" t="s">
        <v>1380</v>
      </c>
      <c r="C774" s="10" t="s">
        <v>1270</v>
      </c>
      <c r="D774" s="10" t="s">
        <v>35</v>
      </c>
      <c r="E774" s="10" t="s">
        <v>35</v>
      </c>
      <c r="F774" s="11">
        <v>0</v>
      </c>
      <c r="G774" s="21">
        <v>1</v>
      </c>
      <c r="H774" s="21">
        <v>0</v>
      </c>
      <c r="I774" s="21">
        <v>0</v>
      </c>
      <c r="J774" s="14" t="s">
        <v>419</v>
      </c>
      <c r="K774" s="14" t="s">
        <v>35</v>
      </c>
      <c r="L774" s="10" t="s">
        <v>1381</v>
      </c>
      <c r="M774" s="10">
        <v>1</v>
      </c>
      <c r="N774" s="12" t="s">
        <v>1716</v>
      </c>
      <c r="O774" s="12" t="s">
        <v>39</v>
      </c>
      <c r="P774" s="12"/>
      <c r="Q774" s="16"/>
      <c r="R774" s="12">
        <v>0</v>
      </c>
    </row>
    <row r="775" spans="1:18" s="1" customFormat="1" hidden="1" x14ac:dyDescent="0.25">
      <c r="A775" s="7" t="s">
        <v>1382</v>
      </c>
      <c r="B775" s="13" t="s">
        <v>1383</v>
      </c>
      <c r="C775" s="7" t="s">
        <v>580</v>
      </c>
      <c r="D775" s="7" t="s">
        <v>35</v>
      </c>
      <c r="E775" s="7" t="s">
        <v>35</v>
      </c>
      <c r="F775" s="8">
        <v>0</v>
      </c>
      <c r="G775" s="20">
        <v>1</v>
      </c>
      <c r="H775" s="20">
        <v>0</v>
      </c>
      <c r="I775" s="20">
        <v>0</v>
      </c>
      <c r="J775" s="13" t="s">
        <v>573</v>
      </c>
      <c r="K775" s="13" t="s">
        <v>625</v>
      </c>
      <c r="L775" s="7" t="s">
        <v>1384</v>
      </c>
      <c r="M775" s="7">
        <v>1</v>
      </c>
      <c r="N775" s="9" t="s">
        <v>1716</v>
      </c>
      <c r="O775" s="9" t="s">
        <v>39</v>
      </c>
      <c r="P775" s="9"/>
      <c r="Q775" s="15"/>
      <c r="R775" s="9">
        <v>0</v>
      </c>
    </row>
    <row r="776" spans="1:18" s="1" customFormat="1" hidden="1" x14ac:dyDescent="0.25">
      <c r="A776" s="10" t="s">
        <v>1385</v>
      </c>
      <c r="B776" s="14" t="s">
        <v>1386</v>
      </c>
      <c r="C776" s="10" t="s">
        <v>34</v>
      </c>
      <c r="D776" s="10" t="s">
        <v>35</v>
      </c>
      <c r="E776" s="10" t="s">
        <v>35</v>
      </c>
      <c r="F776" s="11">
        <v>0</v>
      </c>
      <c r="G776" s="21">
        <v>1</v>
      </c>
      <c r="H776" s="21">
        <v>0</v>
      </c>
      <c r="I776" s="21">
        <v>0</v>
      </c>
      <c r="J776" s="14" t="s">
        <v>83</v>
      </c>
      <c r="K776" s="14" t="s">
        <v>35</v>
      </c>
      <c r="L776" s="10" t="s">
        <v>1387</v>
      </c>
      <c r="M776" s="10">
        <v>9</v>
      </c>
      <c r="N776" s="12" t="s">
        <v>1716</v>
      </c>
      <c r="O776" s="12" t="s">
        <v>39</v>
      </c>
      <c r="P776" s="12"/>
      <c r="Q776" s="16"/>
      <c r="R776" s="12">
        <v>0</v>
      </c>
    </row>
    <row r="777" spans="1:18" s="1" customFormat="1" hidden="1" x14ac:dyDescent="0.25">
      <c r="A777" s="10" t="s">
        <v>1385</v>
      </c>
      <c r="B777" s="14" t="s">
        <v>1386</v>
      </c>
      <c r="C777" s="10" t="s">
        <v>34</v>
      </c>
      <c r="D777" s="10" t="s">
        <v>35</v>
      </c>
      <c r="E777" s="10" t="s">
        <v>35</v>
      </c>
      <c r="F777" s="11">
        <v>0</v>
      </c>
      <c r="G777" s="21">
        <v>1</v>
      </c>
      <c r="H777" s="21">
        <v>0</v>
      </c>
      <c r="I777" s="21">
        <v>0</v>
      </c>
      <c r="J777" s="14" t="s">
        <v>83</v>
      </c>
      <c r="K777" s="14" t="s">
        <v>35</v>
      </c>
      <c r="L777" s="10" t="s">
        <v>1388</v>
      </c>
      <c r="M777" s="10">
        <v>0.13</v>
      </c>
      <c r="N777" s="12" t="s">
        <v>1716</v>
      </c>
      <c r="O777" s="12" t="s">
        <v>39</v>
      </c>
      <c r="P777" s="12"/>
      <c r="Q777" s="16"/>
      <c r="R777" s="12">
        <v>0</v>
      </c>
    </row>
    <row r="778" spans="1:18" s="1" customFormat="1" hidden="1" x14ac:dyDescent="0.25">
      <c r="A778" s="10" t="s">
        <v>1385</v>
      </c>
      <c r="B778" s="14" t="s">
        <v>1386</v>
      </c>
      <c r="C778" s="10" t="s">
        <v>34</v>
      </c>
      <c r="D778" s="10" t="s">
        <v>35</v>
      </c>
      <c r="E778" s="10" t="s">
        <v>35</v>
      </c>
      <c r="F778" s="11">
        <v>0</v>
      </c>
      <c r="G778" s="21">
        <v>1</v>
      </c>
      <c r="H778" s="21">
        <v>0</v>
      </c>
      <c r="I778" s="21">
        <v>0</v>
      </c>
      <c r="J778" s="14" t="s">
        <v>83</v>
      </c>
      <c r="K778" s="14" t="s">
        <v>35</v>
      </c>
      <c r="L778" s="10" t="s">
        <v>1389</v>
      </c>
      <c r="M778" s="10">
        <v>3</v>
      </c>
      <c r="N778" s="12" t="s">
        <v>1716</v>
      </c>
      <c r="O778" s="12" t="s">
        <v>39</v>
      </c>
      <c r="P778" s="12"/>
      <c r="Q778" s="16"/>
      <c r="R778" s="12">
        <v>0</v>
      </c>
    </row>
    <row r="779" spans="1:18" s="1" customFormat="1" hidden="1" x14ac:dyDescent="0.25">
      <c r="A779" s="10" t="s">
        <v>1385</v>
      </c>
      <c r="B779" s="14" t="s">
        <v>1386</v>
      </c>
      <c r="C779" s="10" t="s">
        <v>34</v>
      </c>
      <c r="D779" s="10" t="s">
        <v>35</v>
      </c>
      <c r="E779" s="10" t="s">
        <v>35</v>
      </c>
      <c r="F779" s="11">
        <v>0</v>
      </c>
      <c r="G779" s="21">
        <v>1</v>
      </c>
      <c r="H779" s="21">
        <v>0</v>
      </c>
      <c r="I779" s="21">
        <v>0</v>
      </c>
      <c r="J779" s="14" t="s">
        <v>83</v>
      </c>
      <c r="K779" s="14" t="s">
        <v>35</v>
      </c>
      <c r="L779" s="10" t="s">
        <v>1390</v>
      </c>
      <c r="M779" s="10">
        <v>1.1000000000000001</v>
      </c>
      <c r="N779" s="12" t="s">
        <v>1716</v>
      </c>
      <c r="O779" s="12" t="s">
        <v>39</v>
      </c>
      <c r="P779" s="12"/>
      <c r="Q779" s="16"/>
      <c r="R779" s="12">
        <v>0</v>
      </c>
    </row>
    <row r="780" spans="1:18" s="1" customFormat="1" hidden="1" x14ac:dyDescent="0.25">
      <c r="A780" s="7" t="s">
        <v>1391</v>
      </c>
      <c r="B780" s="13" t="s">
        <v>1392</v>
      </c>
      <c r="C780" s="7" t="s">
        <v>34</v>
      </c>
      <c r="D780" s="7" t="s">
        <v>35</v>
      </c>
      <c r="E780" s="7" t="s">
        <v>35</v>
      </c>
      <c r="F780" s="8">
        <v>0</v>
      </c>
      <c r="G780" s="20">
        <v>1</v>
      </c>
      <c r="H780" s="20">
        <v>0</v>
      </c>
      <c r="I780" s="20">
        <v>0</v>
      </c>
      <c r="J780" s="13" t="s">
        <v>83</v>
      </c>
      <c r="K780" s="13" t="s">
        <v>35</v>
      </c>
      <c r="L780" s="7" t="s">
        <v>281</v>
      </c>
      <c r="M780" s="7">
        <v>1.83E-2</v>
      </c>
      <c r="N780" s="9" t="s">
        <v>1716</v>
      </c>
      <c r="O780" s="9" t="s">
        <v>39</v>
      </c>
      <c r="P780" s="9"/>
      <c r="Q780" s="15"/>
      <c r="R780" s="9">
        <v>0</v>
      </c>
    </row>
    <row r="781" spans="1:18" s="1" customFormat="1" hidden="1" x14ac:dyDescent="0.25">
      <c r="A781" s="7" t="s">
        <v>1391</v>
      </c>
      <c r="B781" s="13" t="s">
        <v>1392</v>
      </c>
      <c r="C781" s="7" t="s">
        <v>34</v>
      </c>
      <c r="D781" s="7" t="s">
        <v>35</v>
      </c>
      <c r="E781" s="7" t="s">
        <v>35</v>
      </c>
      <c r="F781" s="8">
        <v>0</v>
      </c>
      <c r="G781" s="20">
        <v>1</v>
      </c>
      <c r="H781" s="20">
        <v>0</v>
      </c>
      <c r="I781" s="20">
        <v>0</v>
      </c>
      <c r="J781" s="13" t="s">
        <v>83</v>
      </c>
      <c r="K781" s="13" t="s">
        <v>35</v>
      </c>
      <c r="L781" s="7" t="s">
        <v>194</v>
      </c>
      <c r="M781" s="7">
        <v>5.4749999999999996</v>
      </c>
      <c r="N781" s="9" t="s">
        <v>1716</v>
      </c>
      <c r="O781" s="9" t="s">
        <v>39</v>
      </c>
      <c r="P781" s="9"/>
      <c r="Q781" s="15"/>
      <c r="R781" s="9">
        <v>0</v>
      </c>
    </row>
    <row r="782" spans="1:18" s="1" customFormat="1" hidden="1" x14ac:dyDescent="0.25">
      <c r="A782" s="10" t="s">
        <v>1393</v>
      </c>
      <c r="B782" s="14" t="s">
        <v>1394</v>
      </c>
      <c r="C782" s="10" t="s">
        <v>34</v>
      </c>
      <c r="D782" s="10" t="s">
        <v>35</v>
      </c>
      <c r="E782" s="10" t="s">
        <v>35</v>
      </c>
      <c r="F782" s="11">
        <v>0</v>
      </c>
      <c r="G782" s="21">
        <v>1</v>
      </c>
      <c r="H782" s="21">
        <v>0</v>
      </c>
      <c r="I782" s="21">
        <v>0</v>
      </c>
      <c r="J782" s="14" t="s">
        <v>83</v>
      </c>
      <c r="K782" s="14" t="s">
        <v>35</v>
      </c>
      <c r="L782" s="10" t="s">
        <v>1395</v>
      </c>
      <c r="M782" s="10">
        <v>7.2800000000000004E-2</v>
      </c>
      <c r="N782" s="12" t="s">
        <v>1716</v>
      </c>
      <c r="O782" s="12" t="s">
        <v>39</v>
      </c>
      <c r="P782" s="12"/>
      <c r="Q782" s="16"/>
      <c r="R782" s="12">
        <v>0</v>
      </c>
    </row>
    <row r="783" spans="1:18" s="1" customFormat="1" hidden="1" x14ac:dyDescent="0.25">
      <c r="A783" s="10" t="s">
        <v>1393</v>
      </c>
      <c r="B783" s="14" t="s">
        <v>1394</v>
      </c>
      <c r="C783" s="10" t="s">
        <v>34</v>
      </c>
      <c r="D783" s="10" t="s">
        <v>35</v>
      </c>
      <c r="E783" s="10" t="s">
        <v>35</v>
      </c>
      <c r="F783" s="11">
        <v>0</v>
      </c>
      <c r="G783" s="21">
        <v>1</v>
      </c>
      <c r="H783" s="21">
        <v>0</v>
      </c>
      <c r="I783" s="21">
        <v>0</v>
      </c>
      <c r="J783" s="14" t="s">
        <v>83</v>
      </c>
      <c r="K783" s="14" t="s">
        <v>35</v>
      </c>
      <c r="L783" s="10" t="s">
        <v>531</v>
      </c>
      <c r="M783" s="10">
        <v>5.45E-2</v>
      </c>
      <c r="N783" s="12" t="s">
        <v>1716</v>
      </c>
      <c r="O783" s="12" t="s">
        <v>39</v>
      </c>
      <c r="P783" s="12"/>
      <c r="Q783" s="16"/>
      <c r="R783" s="12">
        <v>0</v>
      </c>
    </row>
    <row r="784" spans="1:18" s="1" customFormat="1" hidden="1" x14ac:dyDescent="0.25">
      <c r="A784" s="10" t="s">
        <v>1393</v>
      </c>
      <c r="B784" s="14" t="s">
        <v>1394</v>
      </c>
      <c r="C784" s="10" t="s">
        <v>34</v>
      </c>
      <c r="D784" s="10" t="s">
        <v>35</v>
      </c>
      <c r="E784" s="10" t="s">
        <v>35</v>
      </c>
      <c r="F784" s="11">
        <v>0</v>
      </c>
      <c r="G784" s="21">
        <v>1</v>
      </c>
      <c r="H784" s="21">
        <v>0</v>
      </c>
      <c r="I784" s="21">
        <v>0</v>
      </c>
      <c r="J784" s="14" t="s">
        <v>83</v>
      </c>
      <c r="K784" s="14" t="s">
        <v>35</v>
      </c>
      <c r="L784" s="10" t="s">
        <v>1396</v>
      </c>
      <c r="M784" s="10">
        <v>2.5000000000000001E-3</v>
      </c>
      <c r="N784" s="12" t="s">
        <v>1716</v>
      </c>
      <c r="O784" s="12" t="s">
        <v>39</v>
      </c>
      <c r="P784" s="12"/>
      <c r="Q784" s="16"/>
      <c r="R784" s="12">
        <v>0</v>
      </c>
    </row>
    <row r="785" spans="1:18" s="1" customFormat="1" hidden="1" x14ac:dyDescent="0.25">
      <c r="A785" s="10" t="s">
        <v>1393</v>
      </c>
      <c r="B785" s="14" t="s">
        <v>1394</v>
      </c>
      <c r="C785" s="10" t="s">
        <v>34</v>
      </c>
      <c r="D785" s="10" t="s">
        <v>35</v>
      </c>
      <c r="E785" s="10" t="s">
        <v>35</v>
      </c>
      <c r="F785" s="11">
        <v>0</v>
      </c>
      <c r="G785" s="21">
        <v>1</v>
      </c>
      <c r="H785" s="21">
        <v>0</v>
      </c>
      <c r="I785" s="21">
        <v>0</v>
      </c>
      <c r="J785" s="14" t="s">
        <v>83</v>
      </c>
      <c r="K785" s="14" t="s">
        <v>35</v>
      </c>
      <c r="L785" s="10" t="s">
        <v>1397</v>
      </c>
      <c r="M785" s="10">
        <v>1.7391000000000001</v>
      </c>
      <c r="N785" s="12" t="s">
        <v>1716</v>
      </c>
      <c r="O785" s="12" t="s">
        <v>39</v>
      </c>
      <c r="P785" s="12"/>
      <c r="Q785" s="16"/>
      <c r="R785" s="12">
        <v>0</v>
      </c>
    </row>
    <row r="786" spans="1:18" s="1" customFormat="1" hidden="1" x14ac:dyDescent="0.25">
      <c r="A786" s="10" t="s">
        <v>1393</v>
      </c>
      <c r="B786" s="14" t="s">
        <v>1394</v>
      </c>
      <c r="C786" s="10" t="s">
        <v>34</v>
      </c>
      <c r="D786" s="10" t="s">
        <v>35</v>
      </c>
      <c r="E786" s="10" t="s">
        <v>35</v>
      </c>
      <c r="F786" s="11">
        <v>0</v>
      </c>
      <c r="G786" s="21">
        <v>1</v>
      </c>
      <c r="H786" s="21">
        <v>0</v>
      </c>
      <c r="I786" s="21">
        <v>0</v>
      </c>
      <c r="J786" s="14" t="s">
        <v>83</v>
      </c>
      <c r="K786" s="14" t="s">
        <v>35</v>
      </c>
      <c r="L786" s="10" t="s">
        <v>534</v>
      </c>
      <c r="M786" s="10">
        <v>7.8700000000000005E-4</v>
      </c>
      <c r="N786" s="12" t="s">
        <v>1716</v>
      </c>
      <c r="O786" s="12" t="s">
        <v>39</v>
      </c>
      <c r="P786" s="12"/>
      <c r="Q786" s="16"/>
      <c r="R786" s="12">
        <v>0</v>
      </c>
    </row>
    <row r="787" spans="1:18" s="1" customFormat="1" hidden="1" x14ac:dyDescent="0.25">
      <c r="A787" s="10" t="s">
        <v>1393</v>
      </c>
      <c r="B787" s="14" t="s">
        <v>1394</v>
      </c>
      <c r="C787" s="10" t="s">
        <v>34</v>
      </c>
      <c r="D787" s="10" t="s">
        <v>35</v>
      </c>
      <c r="E787" s="10" t="s">
        <v>35</v>
      </c>
      <c r="F787" s="11">
        <v>0</v>
      </c>
      <c r="G787" s="21">
        <v>1</v>
      </c>
      <c r="H787" s="21">
        <v>0</v>
      </c>
      <c r="I787" s="21">
        <v>0</v>
      </c>
      <c r="J787" s="14" t="s">
        <v>83</v>
      </c>
      <c r="K787" s="14" t="s">
        <v>35</v>
      </c>
      <c r="L787" s="10" t="s">
        <v>1398</v>
      </c>
      <c r="M787" s="10">
        <v>0.47599999999999998</v>
      </c>
      <c r="N787" s="12" t="s">
        <v>1716</v>
      </c>
      <c r="O787" s="12" t="s">
        <v>39</v>
      </c>
      <c r="P787" s="12"/>
      <c r="Q787" s="16"/>
      <c r="R787" s="12">
        <v>0</v>
      </c>
    </row>
    <row r="788" spans="1:18" s="1" customFormat="1" hidden="1" x14ac:dyDescent="0.25">
      <c r="A788" s="7" t="s">
        <v>1399</v>
      </c>
      <c r="B788" s="13" t="s">
        <v>1400</v>
      </c>
      <c r="C788" s="7" t="s">
        <v>34</v>
      </c>
      <c r="D788" s="7" t="s">
        <v>35</v>
      </c>
      <c r="E788" s="7" t="s">
        <v>35</v>
      </c>
      <c r="F788" s="8">
        <v>0</v>
      </c>
      <c r="G788" s="20">
        <v>1</v>
      </c>
      <c r="H788" s="20">
        <v>0</v>
      </c>
      <c r="I788" s="20">
        <v>0</v>
      </c>
      <c r="J788" s="13" t="s">
        <v>83</v>
      </c>
      <c r="K788" s="13" t="s">
        <v>35</v>
      </c>
      <c r="L788" s="7" t="s">
        <v>1275</v>
      </c>
      <c r="M788" s="7">
        <v>1.05</v>
      </c>
      <c r="N788" s="9" t="s">
        <v>1716</v>
      </c>
      <c r="O788" s="9" t="s">
        <v>39</v>
      </c>
      <c r="P788" s="9"/>
      <c r="Q788" s="15"/>
      <c r="R788" s="9">
        <v>0</v>
      </c>
    </row>
    <row r="789" spans="1:18" s="1" customFormat="1" hidden="1" x14ac:dyDescent="0.25">
      <c r="A789" s="10" t="s">
        <v>1401</v>
      </c>
      <c r="B789" s="14" t="s">
        <v>1402</v>
      </c>
      <c r="C789" s="10" t="s">
        <v>34</v>
      </c>
      <c r="D789" s="10" t="s">
        <v>35</v>
      </c>
      <c r="E789" s="10" t="s">
        <v>35</v>
      </c>
      <c r="F789" s="11">
        <v>0</v>
      </c>
      <c r="G789" s="21">
        <v>1</v>
      </c>
      <c r="H789" s="21">
        <v>0</v>
      </c>
      <c r="I789" s="21">
        <v>0</v>
      </c>
      <c r="J789" s="14" t="s">
        <v>83</v>
      </c>
      <c r="K789" s="14" t="s">
        <v>35</v>
      </c>
      <c r="L789" s="10" t="s">
        <v>1403</v>
      </c>
      <c r="M789" s="10">
        <v>1.05</v>
      </c>
      <c r="N789" s="12" t="s">
        <v>1716</v>
      </c>
      <c r="O789" s="12" t="s">
        <v>39</v>
      </c>
      <c r="P789" s="12"/>
      <c r="Q789" s="16"/>
      <c r="R789" s="12">
        <v>0</v>
      </c>
    </row>
    <row r="790" spans="1:18" s="1" customFormat="1" hidden="1" x14ac:dyDescent="0.25">
      <c r="A790" s="7" t="s">
        <v>1404</v>
      </c>
      <c r="B790" s="13" t="s">
        <v>1405</v>
      </c>
      <c r="C790" s="7" t="s">
        <v>34</v>
      </c>
      <c r="D790" s="7" t="s">
        <v>35</v>
      </c>
      <c r="E790" s="7" t="s">
        <v>35</v>
      </c>
      <c r="F790" s="8">
        <v>0</v>
      </c>
      <c r="G790" s="20">
        <v>1</v>
      </c>
      <c r="H790" s="20">
        <v>0</v>
      </c>
      <c r="I790" s="20">
        <v>0</v>
      </c>
      <c r="J790" s="13" t="s">
        <v>83</v>
      </c>
      <c r="K790" s="13" t="s">
        <v>35</v>
      </c>
      <c r="L790" s="7" t="s">
        <v>1387</v>
      </c>
      <c r="M790" s="7">
        <v>9</v>
      </c>
      <c r="N790" s="9" t="s">
        <v>1716</v>
      </c>
      <c r="O790" s="9" t="s">
        <v>39</v>
      </c>
      <c r="P790" s="9"/>
      <c r="Q790" s="15"/>
      <c r="R790" s="9">
        <v>0</v>
      </c>
    </row>
    <row r="791" spans="1:18" s="1" customFormat="1" hidden="1" x14ac:dyDescent="0.25">
      <c r="A791" s="7" t="s">
        <v>1404</v>
      </c>
      <c r="B791" s="13" t="s">
        <v>1405</v>
      </c>
      <c r="C791" s="7" t="s">
        <v>34</v>
      </c>
      <c r="D791" s="7" t="s">
        <v>35</v>
      </c>
      <c r="E791" s="7" t="s">
        <v>35</v>
      </c>
      <c r="F791" s="8">
        <v>0</v>
      </c>
      <c r="G791" s="20">
        <v>1</v>
      </c>
      <c r="H791" s="20">
        <v>0</v>
      </c>
      <c r="I791" s="20">
        <v>0</v>
      </c>
      <c r="J791" s="13" t="s">
        <v>83</v>
      </c>
      <c r="K791" s="13" t="s">
        <v>35</v>
      </c>
      <c r="L791" s="7" t="s">
        <v>1388</v>
      </c>
      <c r="M791" s="7">
        <v>0.13</v>
      </c>
      <c r="N791" s="9" t="s">
        <v>1716</v>
      </c>
      <c r="O791" s="9" t="s">
        <v>39</v>
      </c>
      <c r="P791" s="9"/>
      <c r="Q791" s="15"/>
      <c r="R791" s="9">
        <v>0</v>
      </c>
    </row>
    <row r="792" spans="1:18" s="1" customFormat="1" hidden="1" x14ac:dyDescent="0.25">
      <c r="A792" s="7" t="s">
        <v>1404</v>
      </c>
      <c r="B792" s="13" t="s">
        <v>1405</v>
      </c>
      <c r="C792" s="7" t="s">
        <v>34</v>
      </c>
      <c r="D792" s="7" t="s">
        <v>35</v>
      </c>
      <c r="E792" s="7" t="s">
        <v>35</v>
      </c>
      <c r="F792" s="8">
        <v>0</v>
      </c>
      <c r="G792" s="20">
        <v>1</v>
      </c>
      <c r="H792" s="20">
        <v>0</v>
      </c>
      <c r="I792" s="20">
        <v>0</v>
      </c>
      <c r="J792" s="13" t="s">
        <v>83</v>
      </c>
      <c r="K792" s="13" t="s">
        <v>35</v>
      </c>
      <c r="L792" s="7" t="s">
        <v>1389</v>
      </c>
      <c r="M792" s="7">
        <v>4</v>
      </c>
      <c r="N792" s="9" t="s">
        <v>1716</v>
      </c>
      <c r="O792" s="9" t="s">
        <v>39</v>
      </c>
      <c r="P792" s="9"/>
      <c r="Q792" s="15"/>
      <c r="R792" s="9">
        <v>0</v>
      </c>
    </row>
    <row r="793" spans="1:18" s="1" customFormat="1" hidden="1" x14ac:dyDescent="0.25">
      <c r="A793" s="7" t="s">
        <v>1404</v>
      </c>
      <c r="B793" s="13" t="s">
        <v>1405</v>
      </c>
      <c r="C793" s="7" t="s">
        <v>34</v>
      </c>
      <c r="D793" s="7" t="s">
        <v>35</v>
      </c>
      <c r="E793" s="7" t="s">
        <v>35</v>
      </c>
      <c r="F793" s="8">
        <v>0</v>
      </c>
      <c r="G793" s="20">
        <v>1</v>
      </c>
      <c r="H793" s="20">
        <v>0</v>
      </c>
      <c r="I793" s="20">
        <v>0</v>
      </c>
      <c r="J793" s="13" t="s">
        <v>83</v>
      </c>
      <c r="K793" s="13" t="s">
        <v>35</v>
      </c>
      <c r="L793" s="7" t="s">
        <v>1406</v>
      </c>
      <c r="M793" s="7">
        <v>1.1000000000000001</v>
      </c>
      <c r="N793" s="9" t="s">
        <v>1716</v>
      </c>
      <c r="O793" s="9" t="s">
        <v>39</v>
      </c>
      <c r="P793" s="9"/>
      <c r="Q793" s="15"/>
      <c r="R793" s="9">
        <v>0</v>
      </c>
    </row>
    <row r="794" spans="1:18" s="1" customFormat="1" hidden="1" x14ac:dyDescent="0.25">
      <c r="A794" s="10" t="s">
        <v>1407</v>
      </c>
      <c r="B794" s="14" t="s">
        <v>1408</v>
      </c>
      <c r="C794" s="10" t="s">
        <v>34</v>
      </c>
      <c r="D794" s="10" t="s">
        <v>35</v>
      </c>
      <c r="E794" s="10" t="s">
        <v>35</v>
      </c>
      <c r="F794" s="11">
        <v>0</v>
      </c>
      <c r="G794" s="21">
        <v>1</v>
      </c>
      <c r="H794" s="21">
        <v>0</v>
      </c>
      <c r="I794" s="21">
        <v>0</v>
      </c>
      <c r="J794" s="14" t="s">
        <v>83</v>
      </c>
      <c r="K794" s="14" t="s">
        <v>35</v>
      </c>
      <c r="L794" s="10" t="s">
        <v>864</v>
      </c>
      <c r="M794" s="10">
        <v>1.1000000000000001</v>
      </c>
      <c r="N794" s="12" t="s">
        <v>1716</v>
      </c>
      <c r="O794" s="12" t="s">
        <v>39</v>
      </c>
      <c r="P794" s="12"/>
      <c r="Q794" s="16"/>
      <c r="R794" s="12">
        <v>0</v>
      </c>
    </row>
    <row r="795" spans="1:18" s="1" customFormat="1" hidden="1" x14ac:dyDescent="0.25">
      <c r="A795" s="7" t="s">
        <v>1409</v>
      </c>
      <c r="B795" s="13" t="s">
        <v>1410</v>
      </c>
      <c r="C795" s="7" t="s">
        <v>54</v>
      </c>
      <c r="D795" s="7" t="s">
        <v>35</v>
      </c>
      <c r="E795" s="7" t="s">
        <v>35</v>
      </c>
      <c r="F795" s="8">
        <v>0</v>
      </c>
      <c r="G795" s="20">
        <v>1</v>
      </c>
      <c r="H795" s="20">
        <v>0</v>
      </c>
      <c r="I795" s="20">
        <v>0</v>
      </c>
      <c r="J795" s="13" t="s">
        <v>525</v>
      </c>
      <c r="K795" s="13" t="s">
        <v>35</v>
      </c>
      <c r="L795" s="7" t="s">
        <v>1411</v>
      </c>
      <c r="M795" s="7">
        <v>1</v>
      </c>
      <c r="N795" s="9" t="s">
        <v>1716</v>
      </c>
      <c r="O795" s="9" t="s">
        <v>39</v>
      </c>
      <c r="P795" s="9"/>
      <c r="Q795" s="15"/>
      <c r="R795" s="9">
        <v>0</v>
      </c>
    </row>
    <row r="796" spans="1:18" s="1" customFormat="1" hidden="1" x14ac:dyDescent="0.25">
      <c r="A796" s="10" t="s">
        <v>1412</v>
      </c>
      <c r="B796" s="14" t="s">
        <v>1413</v>
      </c>
      <c r="C796" s="10" t="s">
        <v>54</v>
      </c>
      <c r="D796" s="10" t="s">
        <v>35</v>
      </c>
      <c r="E796" s="10" t="s">
        <v>35</v>
      </c>
      <c r="F796" s="11">
        <v>0</v>
      </c>
      <c r="G796" s="21">
        <v>1</v>
      </c>
      <c r="H796" s="21">
        <v>0</v>
      </c>
      <c r="I796" s="21">
        <v>0</v>
      </c>
      <c r="J796" s="14" t="s">
        <v>419</v>
      </c>
      <c r="K796" s="14" t="s">
        <v>35</v>
      </c>
      <c r="L796" s="10" t="s">
        <v>1414</v>
      </c>
      <c r="M796" s="10">
        <v>1</v>
      </c>
      <c r="N796" s="12" t="s">
        <v>1716</v>
      </c>
      <c r="O796" s="12" t="s">
        <v>39</v>
      </c>
      <c r="P796" s="12"/>
      <c r="Q796" s="16"/>
      <c r="R796" s="12">
        <v>0</v>
      </c>
    </row>
    <row r="797" spans="1:18" s="1" customFormat="1" hidden="1" x14ac:dyDescent="0.25">
      <c r="A797" s="7" t="s">
        <v>1415</v>
      </c>
      <c r="B797" s="13" t="s">
        <v>1416</v>
      </c>
      <c r="C797" s="7" t="s">
        <v>54</v>
      </c>
      <c r="D797" s="7" t="s">
        <v>35</v>
      </c>
      <c r="E797" s="7" t="s">
        <v>35</v>
      </c>
      <c r="F797" s="8">
        <v>0</v>
      </c>
      <c r="G797" s="20">
        <v>1</v>
      </c>
      <c r="H797" s="20">
        <v>0</v>
      </c>
      <c r="I797" s="20">
        <v>0</v>
      </c>
      <c r="J797" s="13" t="s">
        <v>419</v>
      </c>
      <c r="K797" s="13" t="s">
        <v>35</v>
      </c>
      <c r="L797" s="7" t="s">
        <v>1417</v>
      </c>
      <c r="M797" s="7">
        <v>1</v>
      </c>
      <c r="N797" s="9" t="s">
        <v>1716</v>
      </c>
      <c r="O797" s="9" t="s">
        <v>39</v>
      </c>
      <c r="P797" s="9"/>
      <c r="Q797" s="15"/>
      <c r="R797" s="9">
        <v>0</v>
      </c>
    </row>
    <row r="798" spans="1:18" s="1" customFormat="1" hidden="1" x14ac:dyDescent="0.25">
      <c r="A798" s="10" t="s">
        <v>1418</v>
      </c>
      <c r="B798" s="14" t="s">
        <v>1419</v>
      </c>
      <c r="C798" s="10" t="s">
        <v>54</v>
      </c>
      <c r="D798" s="10" t="s">
        <v>35</v>
      </c>
      <c r="E798" s="10" t="s">
        <v>35</v>
      </c>
      <c r="F798" s="11">
        <v>0</v>
      </c>
      <c r="G798" s="21">
        <v>1</v>
      </c>
      <c r="H798" s="21">
        <v>0</v>
      </c>
      <c r="I798" s="21">
        <v>0</v>
      </c>
      <c r="J798" s="14" t="s">
        <v>419</v>
      </c>
      <c r="K798" s="14" t="s">
        <v>35</v>
      </c>
      <c r="L798" s="10" t="s">
        <v>1420</v>
      </c>
      <c r="M798" s="10">
        <v>1</v>
      </c>
      <c r="N798" s="12" t="s">
        <v>1716</v>
      </c>
      <c r="O798" s="12" t="s">
        <v>39</v>
      </c>
      <c r="P798" s="12"/>
      <c r="Q798" s="16"/>
      <c r="R798" s="12">
        <v>0</v>
      </c>
    </row>
    <row r="799" spans="1:18" s="1" customFormat="1" hidden="1" x14ac:dyDescent="0.25">
      <c r="A799" s="7" t="s">
        <v>1421</v>
      </c>
      <c r="B799" s="13" t="s">
        <v>1422</v>
      </c>
      <c r="C799" s="7" t="s">
        <v>540</v>
      </c>
      <c r="D799" s="7" t="s">
        <v>35</v>
      </c>
      <c r="E799" s="7" t="s">
        <v>35</v>
      </c>
      <c r="F799" s="8">
        <v>0</v>
      </c>
      <c r="G799" s="20">
        <v>1</v>
      </c>
      <c r="H799" s="20">
        <v>0</v>
      </c>
      <c r="I799" s="20">
        <v>0</v>
      </c>
      <c r="J799" s="13" t="s">
        <v>46</v>
      </c>
      <c r="K799" s="13" t="s">
        <v>372</v>
      </c>
      <c r="L799" s="7" t="s">
        <v>1295</v>
      </c>
      <c r="M799" s="7">
        <v>9.0899999999999995E-2</v>
      </c>
      <c r="N799" s="9" t="s">
        <v>1716</v>
      </c>
      <c r="O799" s="9" t="s">
        <v>39</v>
      </c>
      <c r="P799" s="9"/>
      <c r="Q799" s="15"/>
      <c r="R799" s="9">
        <v>0</v>
      </c>
    </row>
    <row r="800" spans="1:18" s="1" customFormat="1" hidden="1" x14ac:dyDescent="0.25">
      <c r="A800" s="10" t="s">
        <v>1423</v>
      </c>
      <c r="B800" s="14" t="s">
        <v>1424</v>
      </c>
      <c r="C800" s="10" t="s">
        <v>75</v>
      </c>
      <c r="D800" s="10" t="s">
        <v>35</v>
      </c>
      <c r="E800" s="10" t="s">
        <v>35</v>
      </c>
      <c r="F800" s="11">
        <v>0</v>
      </c>
      <c r="G800" s="21">
        <v>1</v>
      </c>
      <c r="H800" s="21">
        <v>0</v>
      </c>
      <c r="I800" s="21">
        <v>0</v>
      </c>
      <c r="J800" s="14" t="s">
        <v>106</v>
      </c>
      <c r="K800" s="14" t="s">
        <v>35</v>
      </c>
      <c r="L800" s="10" t="s">
        <v>1425</v>
      </c>
      <c r="M800" s="10">
        <v>1</v>
      </c>
      <c r="N800" s="12" t="s">
        <v>1716</v>
      </c>
      <c r="O800" s="12" t="s">
        <v>39</v>
      </c>
      <c r="P800" s="12"/>
      <c r="Q800" s="16"/>
      <c r="R800" s="12">
        <v>0</v>
      </c>
    </row>
    <row r="801" spans="1:18" s="1" customFormat="1" hidden="1" x14ac:dyDescent="0.25">
      <c r="A801" s="10" t="s">
        <v>1423</v>
      </c>
      <c r="B801" s="14" t="s">
        <v>1424</v>
      </c>
      <c r="C801" s="10" t="s">
        <v>75</v>
      </c>
      <c r="D801" s="10" t="s">
        <v>35</v>
      </c>
      <c r="E801" s="10" t="s">
        <v>35</v>
      </c>
      <c r="F801" s="11">
        <v>0</v>
      </c>
      <c r="G801" s="21">
        <v>1</v>
      </c>
      <c r="H801" s="21">
        <v>0</v>
      </c>
      <c r="I801" s="21">
        <v>0</v>
      </c>
      <c r="J801" s="14" t="s">
        <v>106</v>
      </c>
      <c r="K801" s="14" t="s">
        <v>35</v>
      </c>
      <c r="L801" s="10" t="s">
        <v>1426</v>
      </c>
      <c r="M801" s="10">
        <v>1</v>
      </c>
      <c r="N801" s="12" t="s">
        <v>1716</v>
      </c>
      <c r="O801" s="12" t="s">
        <v>39</v>
      </c>
      <c r="P801" s="12"/>
      <c r="Q801" s="16"/>
      <c r="R801" s="12">
        <v>0</v>
      </c>
    </row>
    <row r="802" spans="1:18" s="1" customFormat="1" hidden="1" x14ac:dyDescent="0.25">
      <c r="A802" s="7" t="s">
        <v>1313</v>
      </c>
      <c r="B802" s="13" t="s">
        <v>1427</v>
      </c>
      <c r="C802" s="7" t="s">
        <v>780</v>
      </c>
      <c r="D802" s="7" t="s">
        <v>35</v>
      </c>
      <c r="E802" s="7" t="s">
        <v>35</v>
      </c>
      <c r="F802" s="8">
        <v>0</v>
      </c>
      <c r="G802" s="20">
        <v>1</v>
      </c>
      <c r="H802" s="20">
        <v>0</v>
      </c>
      <c r="I802" s="20">
        <v>0</v>
      </c>
      <c r="J802" s="13" t="s">
        <v>573</v>
      </c>
      <c r="K802" s="13" t="s">
        <v>35</v>
      </c>
      <c r="L802" s="7" t="s">
        <v>1428</v>
      </c>
      <c r="M802" s="7">
        <v>1</v>
      </c>
      <c r="N802" s="9" t="s">
        <v>1716</v>
      </c>
      <c r="O802" s="9" t="s">
        <v>39</v>
      </c>
      <c r="P802" s="9"/>
      <c r="Q802" s="15"/>
      <c r="R802" s="9">
        <v>0</v>
      </c>
    </row>
    <row r="803" spans="1:18" s="1" customFormat="1" hidden="1" x14ac:dyDescent="0.25">
      <c r="A803" s="10" t="s">
        <v>1429</v>
      </c>
      <c r="B803" s="14" t="s">
        <v>1430</v>
      </c>
      <c r="C803" s="10" t="s">
        <v>540</v>
      </c>
      <c r="D803" s="10" t="s">
        <v>35</v>
      </c>
      <c r="E803" s="10" t="s">
        <v>35</v>
      </c>
      <c r="F803" s="11">
        <v>0</v>
      </c>
      <c r="G803" s="21">
        <v>1</v>
      </c>
      <c r="H803" s="21">
        <v>0</v>
      </c>
      <c r="I803" s="21">
        <v>0</v>
      </c>
      <c r="J803" s="14" t="s">
        <v>525</v>
      </c>
      <c r="K803" s="14" t="s">
        <v>35</v>
      </c>
      <c r="L803" s="10" t="s">
        <v>1431</v>
      </c>
      <c r="M803" s="10">
        <v>1</v>
      </c>
      <c r="N803" s="12" t="s">
        <v>1716</v>
      </c>
      <c r="O803" s="12" t="s">
        <v>39</v>
      </c>
      <c r="P803" s="12"/>
      <c r="Q803" s="16"/>
      <c r="R803" s="12">
        <v>0</v>
      </c>
    </row>
    <row r="804" spans="1:18" s="1" customFormat="1" hidden="1" x14ac:dyDescent="0.25">
      <c r="A804" s="7" t="s">
        <v>1432</v>
      </c>
      <c r="B804" s="13" t="s">
        <v>1433</v>
      </c>
      <c r="C804" s="7" t="s">
        <v>580</v>
      </c>
      <c r="D804" s="7" t="s">
        <v>35</v>
      </c>
      <c r="E804" s="7" t="s">
        <v>35</v>
      </c>
      <c r="F804" s="8">
        <v>0</v>
      </c>
      <c r="G804" s="20">
        <v>1</v>
      </c>
      <c r="H804" s="20">
        <v>0</v>
      </c>
      <c r="I804" s="20">
        <v>0</v>
      </c>
      <c r="J804" s="13" t="s">
        <v>525</v>
      </c>
      <c r="K804" s="13" t="s">
        <v>35</v>
      </c>
      <c r="L804" s="7" t="s">
        <v>405</v>
      </c>
      <c r="M804" s="7">
        <v>1</v>
      </c>
      <c r="N804" s="9" t="s">
        <v>1716</v>
      </c>
      <c r="O804" s="9" t="s">
        <v>39</v>
      </c>
      <c r="P804" s="9"/>
      <c r="Q804" s="15"/>
      <c r="R804" s="9">
        <v>0</v>
      </c>
    </row>
    <row r="805" spans="1:18" s="1" customFormat="1" hidden="1" x14ac:dyDescent="0.25">
      <c r="A805" s="10" t="s">
        <v>1434</v>
      </c>
      <c r="B805" s="14" t="s">
        <v>1435</v>
      </c>
      <c r="C805" s="10" t="s">
        <v>54</v>
      </c>
      <c r="D805" s="10" t="s">
        <v>35</v>
      </c>
      <c r="E805" s="10" t="s">
        <v>35</v>
      </c>
      <c r="F805" s="11">
        <v>0</v>
      </c>
      <c r="G805" s="21">
        <v>1</v>
      </c>
      <c r="H805" s="21">
        <v>0</v>
      </c>
      <c r="I805" s="21">
        <v>0</v>
      </c>
      <c r="J805" s="14" t="s">
        <v>319</v>
      </c>
      <c r="K805" s="14" t="s">
        <v>35</v>
      </c>
      <c r="L805" s="10" t="s">
        <v>1436</v>
      </c>
      <c r="M805" s="10">
        <v>1</v>
      </c>
      <c r="N805" s="12" t="s">
        <v>1716</v>
      </c>
      <c r="O805" s="12" t="s">
        <v>39</v>
      </c>
      <c r="P805" s="12"/>
      <c r="Q805" s="16"/>
      <c r="R805" s="12">
        <v>0</v>
      </c>
    </row>
    <row r="806" spans="1:18" s="1" customFormat="1" hidden="1" x14ac:dyDescent="0.25">
      <c r="A806" s="7" t="s">
        <v>1437</v>
      </c>
      <c r="B806" s="13" t="s">
        <v>1438</v>
      </c>
      <c r="C806" s="7" t="s">
        <v>54</v>
      </c>
      <c r="D806" s="7" t="s">
        <v>35</v>
      </c>
      <c r="E806" s="7" t="s">
        <v>35</v>
      </c>
      <c r="F806" s="8">
        <v>0</v>
      </c>
      <c r="G806" s="20">
        <v>1</v>
      </c>
      <c r="H806" s="20">
        <v>0</v>
      </c>
      <c r="I806" s="20">
        <v>0</v>
      </c>
      <c r="J806" s="13" t="s">
        <v>1439</v>
      </c>
      <c r="K806" s="13" t="s">
        <v>35</v>
      </c>
      <c r="L806" s="7" t="s">
        <v>1440</v>
      </c>
      <c r="M806" s="7">
        <v>1</v>
      </c>
      <c r="N806" s="9" t="s">
        <v>1716</v>
      </c>
      <c r="O806" s="9" t="s">
        <v>39</v>
      </c>
      <c r="P806" s="9"/>
      <c r="Q806" s="15"/>
      <c r="R806" s="9">
        <v>0</v>
      </c>
    </row>
    <row r="807" spans="1:18" s="1" customFormat="1" hidden="1" x14ac:dyDescent="0.25">
      <c r="A807" s="10" t="s">
        <v>1441</v>
      </c>
      <c r="B807" s="14" t="s">
        <v>1442</v>
      </c>
      <c r="C807" s="10" t="s">
        <v>54</v>
      </c>
      <c r="D807" s="10" t="s">
        <v>35</v>
      </c>
      <c r="E807" s="10" t="s">
        <v>35</v>
      </c>
      <c r="F807" s="11">
        <v>0</v>
      </c>
      <c r="G807" s="21">
        <v>1</v>
      </c>
      <c r="H807" s="21">
        <v>0</v>
      </c>
      <c r="I807" s="21">
        <v>0</v>
      </c>
      <c r="J807" s="14" t="s">
        <v>354</v>
      </c>
      <c r="K807" s="14" t="s">
        <v>35</v>
      </c>
      <c r="L807" s="10" t="s">
        <v>1443</v>
      </c>
      <c r="M807" s="10">
        <v>1</v>
      </c>
      <c r="N807" s="12" t="s">
        <v>1716</v>
      </c>
      <c r="O807" s="12" t="s">
        <v>39</v>
      </c>
      <c r="P807" s="12"/>
      <c r="Q807" s="16"/>
      <c r="R807" s="12">
        <v>0</v>
      </c>
    </row>
    <row r="808" spans="1:18" s="1" customFormat="1" hidden="1" x14ac:dyDescent="0.25">
      <c r="A808" s="7" t="s">
        <v>1444</v>
      </c>
      <c r="B808" s="13" t="s">
        <v>1445</v>
      </c>
      <c r="C808" s="7" t="s">
        <v>54</v>
      </c>
      <c r="D808" s="7" t="s">
        <v>35</v>
      </c>
      <c r="E808" s="7" t="s">
        <v>35</v>
      </c>
      <c r="F808" s="8">
        <v>0</v>
      </c>
      <c r="G808" s="20">
        <v>1</v>
      </c>
      <c r="H808" s="20">
        <v>0</v>
      </c>
      <c r="I808" s="20">
        <v>0</v>
      </c>
      <c r="J808" s="13" t="s">
        <v>419</v>
      </c>
      <c r="K808" s="13" t="s">
        <v>35</v>
      </c>
      <c r="L808" s="7" t="s">
        <v>1446</v>
      </c>
      <c r="M808" s="7">
        <v>1</v>
      </c>
      <c r="N808" s="9" t="s">
        <v>1716</v>
      </c>
      <c r="O808" s="9" t="s">
        <v>39</v>
      </c>
      <c r="P808" s="9"/>
      <c r="Q808" s="15"/>
      <c r="R808" s="9">
        <v>0</v>
      </c>
    </row>
    <row r="809" spans="1:18" s="1" customFormat="1" hidden="1" x14ac:dyDescent="0.25">
      <c r="A809" s="10" t="s">
        <v>1447</v>
      </c>
      <c r="B809" s="14" t="s">
        <v>1448</v>
      </c>
      <c r="C809" s="10" t="s">
        <v>54</v>
      </c>
      <c r="D809" s="10" t="s">
        <v>35</v>
      </c>
      <c r="E809" s="10" t="s">
        <v>35</v>
      </c>
      <c r="F809" s="11">
        <v>0</v>
      </c>
      <c r="G809" s="21">
        <v>1</v>
      </c>
      <c r="H809" s="21">
        <v>0</v>
      </c>
      <c r="I809" s="21">
        <v>0</v>
      </c>
      <c r="J809" s="14" t="s">
        <v>419</v>
      </c>
      <c r="K809" s="14" t="s">
        <v>35</v>
      </c>
      <c r="L809" s="10" t="s">
        <v>1449</v>
      </c>
      <c r="M809" s="10">
        <v>1</v>
      </c>
      <c r="N809" s="12" t="s">
        <v>1716</v>
      </c>
      <c r="O809" s="12" t="s">
        <v>39</v>
      </c>
      <c r="P809" s="12"/>
      <c r="Q809" s="16"/>
      <c r="R809" s="12">
        <v>0</v>
      </c>
    </row>
    <row r="810" spans="1:18" s="1" customFormat="1" hidden="1" x14ac:dyDescent="0.25">
      <c r="A810" s="7" t="s">
        <v>1450</v>
      </c>
      <c r="B810" s="13" t="s">
        <v>1451</v>
      </c>
      <c r="C810" s="7" t="s">
        <v>54</v>
      </c>
      <c r="D810" s="7" t="s">
        <v>35</v>
      </c>
      <c r="E810" s="7" t="s">
        <v>35</v>
      </c>
      <c r="F810" s="8">
        <v>0</v>
      </c>
      <c r="G810" s="20">
        <v>1</v>
      </c>
      <c r="H810" s="20">
        <v>0</v>
      </c>
      <c r="I810" s="20">
        <v>0</v>
      </c>
      <c r="J810" s="13" t="s">
        <v>419</v>
      </c>
      <c r="K810" s="13" t="s">
        <v>35</v>
      </c>
      <c r="L810" s="7" t="s">
        <v>1452</v>
      </c>
      <c r="M810" s="7">
        <v>1</v>
      </c>
      <c r="N810" s="9" t="s">
        <v>1716</v>
      </c>
      <c r="O810" s="9" t="s">
        <v>39</v>
      </c>
      <c r="P810" s="9"/>
      <c r="Q810" s="15"/>
      <c r="R810" s="9">
        <v>0</v>
      </c>
    </row>
    <row r="811" spans="1:18" s="1" customFormat="1" hidden="1" x14ac:dyDescent="0.25">
      <c r="A811" s="10" t="s">
        <v>1453</v>
      </c>
      <c r="B811" s="14" t="s">
        <v>1454</v>
      </c>
      <c r="C811" s="10" t="s">
        <v>111</v>
      </c>
      <c r="D811" s="10" t="s">
        <v>35</v>
      </c>
      <c r="E811" s="10" t="s">
        <v>35</v>
      </c>
      <c r="F811" s="11">
        <v>0</v>
      </c>
      <c r="G811" s="21">
        <v>1</v>
      </c>
      <c r="H811" s="21">
        <v>0</v>
      </c>
      <c r="I811" s="21">
        <v>0</v>
      </c>
      <c r="J811" s="14" t="s">
        <v>71</v>
      </c>
      <c r="K811" s="14" t="s">
        <v>35</v>
      </c>
      <c r="L811" s="10" t="s">
        <v>1195</v>
      </c>
      <c r="M811" s="10">
        <v>1</v>
      </c>
      <c r="N811" s="12" t="s">
        <v>1716</v>
      </c>
      <c r="O811" s="12" t="s">
        <v>39</v>
      </c>
      <c r="P811" s="12"/>
      <c r="Q811" s="16"/>
      <c r="R811" s="12">
        <v>0</v>
      </c>
    </row>
    <row r="812" spans="1:18" s="1" customFormat="1" hidden="1" x14ac:dyDescent="0.25">
      <c r="A812" s="7" t="s">
        <v>1455</v>
      </c>
      <c r="B812" s="13" t="s">
        <v>1456</v>
      </c>
      <c r="C812" s="7" t="s">
        <v>34</v>
      </c>
      <c r="D812" s="7" t="s">
        <v>35</v>
      </c>
      <c r="E812" s="7" t="s">
        <v>35</v>
      </c>
      <c r="F812" s="8">
        <v>0</v>
      </c>
      <c r="G812" s="20">
        <v>1</v>
      </c>
      <c r="H812" s="20">
        <v>0</v>
      </c>
      <c r="I812" s="20">
        <v>0</v>
      </c>
      <c r="J812" s="13" t="s">
        <v>36</v>
      </c>
      <c r="K812" s="13" t="s">
        <v>35</v>
      </c>
      <c r="L812" s="7" t="s">
        <v>1205</v>
      </c>
      <c r="M812" s="7">
        <v>1.1073999999999999</v>
      </c>
      <c r="N812" s="9" t="s">
        <v>1716</v>
      </c>
      <c r="O812" s="9" t="s">
        <v>39</v>
      </c>
      <c r="P812" s="9"/>
      <c r="Q812" s="15"/>
      <c r="R812" s="9">
        <v>0</v>
      </c>
    </row>
    <row r="813" spans="1:18" s="1" customFormat="1" hidden="1" x14ac:dyDescent="0.25">
      <c r="A813" s="7" t="s">
        <v>1455</v>
      </c>
      <c r="B813" s="13" t="s">
        <v>1456</v>
      </c>
      <c r="C813" s="7" t="s">
        <v>34</v>
      </c>
      <c r="D813" s="7" t="s">
        <v>35</v>
      </c>
      <c r="E813" s="7" t="s">
        <v>35</v>
      </c>
      <c r="F813" s="8">
        <v>0</v>
      </c>
      <c r="G813" s="20">
        <v>1</v>
      </c>
      <c r="H813" s="20">
        <v>0</v>
      </c>
      <c r="I813" s="20">
        <v>0</v>
      </c>
      <c r="J813" s="13" t="s">
        <v>36</v>
      </c>
      <c r="K813" s="13" t="s">
        <v>35</v>
      </c>
      <c r="L813" s="7" t="s">
        <v>159</v>
      </c>
      <c r="M813" s="7">
        <v>0.1666</v>
      </c>
      <c r="N813" s="9" t="s">
        <v>1716</v>
      </c>
      <c r="O813" s="9" t="s">
        <v>39</v>
      </c>
      <c r="P813" s="9"/>
      <c r="Q813" s="15"/>
      <c r="R813" s="9">
        <v>0</v>
      </c>
    </row>
    <row r="814" spans="1:18" s="1" customFormat="1" hidden="1" x14ac:dyDescent="0.25">
      <c r="A814" s="10" t="s">
        <v>1457</v>
      </c>
      <c r="B814" s="14" t="s">
        <v>1458</v>
      </c>
      <c r="C814" s="10" t="s">
        <v>34</v>
      </c>
      <c r="D814" s="10" t="s">
        <v>35</v>
      </c>
      <c r="E814" s="10" t="s">
        <v>35</v>
      </c>
      <c r="F814" s="11">
        <v>0</v>
      </c>
      <c r="G814" s="21">
        <v>1</v>
      </c>
      <c r="H814" s="21">
        <v>0</v>
      </c>
      <c r="I814" s="21">
        <v>0</v>
      </c>
      <c r="J814" s="14" t="s">
        <v>71</v>
      </c>
      <c r="K814" s="14" t="s">
        <v>35</v>
      </c>
      <c r="L814" s="10" t="s">
        <v>1205</v>
      </c>
      <c r="M814" s="10">
        <v>2.2147999999999999</v>
      </c>
      <c r="N814" s="12" t="s">
        <v>1716</v>
      </c>
      <c r="O814" s="12" t="s">
        <v>39</v>
      </c>
      <c r="P814" s="12"/>
      <c r="Q814" s="16"/>
      <c r="R814" s="12">
        <v>0</v>
      </c>
    </row>
    <row r="815" spans="1:18" s="1" customFormat="1" hidden="1" x14ac:dyDescent="0.25">
      <c r="A815" s="10" t="s">
        <v>1457</v>
      </c>
      <c r="B815" s="14" t="s">
        <v>1458</v>
      </c>
      <c r="C815" s="10" t="s">
        <v>34</v>
      </c>
      <c r="D815" s="10" t="s">
        <v>35</v>
      </c>
      <c r="E815" s="10" t="s">
        <v>35</v>
      </c>
      <c r="F815" s="11">
        <v>0</v>
      </c>
      <c r="G815" s="21">
        <v>1</v>
      </c>
      <c r="H815" s="21">
        <v>0</v>
      </c>
      <c r="I815" s="21">
        <v>0</v>
      </c>
      <c r="J815" s="14" t="s">
        <v>71</v>
      </c>
      <c r="K815" s="14" t="s">
        <v>35</v>
      </c>
      <c r="L815" s="10" t="s">
        <v>166</v>
      </c>
      <c r="M815" s="10">
        <v>0.1666</v>
      </c>
      <c r="N815" s="12" t="s">
        <v>1716</v>
      </c>
      <c r="O815" s="12" t="s">
        <v>39</v>
      </c>
      <c r="P815" s="12"/>
      <c r="Q815" s="16"/>
      <c r="R815" s="12">
        <v>0</v>
      </c>
    </row>
    <row r="816" spans="1:18" s="1" customFormat="1" hidden="1" x14ac:dyDescent="0.25">
      <c r="A816" s="7" t="s">
        <v>679</v>
      </c>
      <c r="B816" s="13" t="s">
        <v>1459</v>
      </c>
      <c r="C816" s="7" t="s">
        <v>54</v>
      </c>
      <c r="D816" s="7" t="s">
        <v>35</v>
      </c>
      <c r="E816" s="7" t="s">
        <v>35</v>
      </c>
      <c r="F816" s="8">
        <v>0</v>
      </c>
      <c r="G816" s="20">
        <v>1</v>
      </c>
      <c r="H816" s="20">
        <v>0</v>
      </c>
      <c r="I816" s="20">
        <v>0</v>
      </c>
      <c r="J816" s="13" t="s">
        <v>525</v>
      </c>
      <c r="K816" s="13" t="s">
        <v>35</v>
      </c>
      <c r="L816" s="7" t="s">
        <v>1460</v>
      </c>
      <c r="M816" s="7">
        <v>1</v>
      </c>
      <c r="N816" s="9" t="s">
        <v>1716</v>
      </c>
      <c r="O816" s="9" t="s">
        <v>39</v>
      </c>
      <c r="P816" s="9"/>
      <c r="Q816" s="15"/>
      <c r="R816" s="9">
        <v>0</v>
      </c>
    </row>
    <row r="817" spans="1:18" s="1" customFormat="1" hidden="1" x14ac:dyDescent="0.25">
      <c r="A817" s="10" t="s">
        <v>1461</v>
      </c>
      <c r="B817" s="14" t="s">
        <v>1462</v>
      </c>
      <c r="C817" s="10" t="s">
        <v>365</v>
      </c>
      <c r="D817" s="10" t="s">
        <v>35</v>
      </c>
      <c r="E817" s="10" t="s">
        <v>35</v>
      </c>
      <c r="F817" s="11">
        <v>0</v>
      </c>
      <c r="G817" s="21">
        <v>1</v>
      </c>
      <c r="H817" s="21">
        <v>0</v>
      </c>
      <c r="I817" s="21">
        <v>0</v>
      </c>
      <c r="J817" s="14" t="s">
        <v>56</v>
      </c>
      <c r="K817" s="14" t="s">
        <v>56</v>
      </c>
      <c r="L817" s="10" t="s">
        <v>367</v>
      </c>
      <c r="M817" s="10">
        <v>1</v>
      </c>
      <c r="N817" s="12" t="s">
        <v>1716</v>
      </c>
      <c r="O817" s="12" t="s">
        <v>39</v>
      </c>
      <c r="P817" s="12"/>
      <c r="Q817" s="16"/>
      <c r="R817" s="12">
        <v>0</v>
      </c>
    </row>
    <row r="818" spans="1:18" s="1" customFormat="1" hidden="1" x14ac:dyDescent="0.25">
      <c r="A818" s="10" t="s">
        <v>1461</v>
      </c>
      <c r="B818" s="14" t="s">
        <v>1462</v>
      </c>
      <c r="C818" s="10" t="s">
        <v>365</v>
      </c>
      <c r="D818" s="10" t="s">
        <v>35</v>
      </c>
      <c r="E818" s="10" t="s">
        <v>35</v>
      </c>
      <c r="F818" s="11">
        <v>0</v>
      </c>
      <c r="G818" s="21">
        <v>1</v>
      </c>
      <c r="H818" s="21">
        <v>0</v>
      </c>
      <c r="I818" s="21">
        <v>0</v>
      </c>
      <c r="J818" s="14" t="s">
        <v>56</v>
      </c>
      <c r="K818" s="14" t="s">
        <v>56</v>
      </c>
      <c r="L818" s="10" t="s">
        <v>1463</v>
      </c>
      <c r="M818" s="10">
        <v>1.05</v>
      </c>
      <c r="N818" s="12" t="s">
        <v>1716</v>
      </c>
      <c r="O818" s="12" t="s">
        <v>39</v>
      </c>
      <c r="P818" s="12"/>
      <c r="Q818" s="16"/>
      <c r="R818" s="12">
        <v>0</v>
      </c>
    </row>
    <row r="819" spans="1:18" s="1" customFormat="1" hidden="1" x14ac:dyDescent="0.25">
      <c r="A819" s="7" t="s">
        <v>1464</v>
      </c>
      <c r="B819" s="13" t="s">
        <v>1465</v>
      </c>
      <c r="C819" s="7" t="s">
        <v>136</v>
      </c>
      <c r="D819" s="7" t="s">
        <v>35</v>
      </c>
      <c r="E819" s="7" t="s">
        <v>35</v>
      </c>
      <c r="F819" s="8">
        <v>0</v>
      </c>
      <c r="G819" s="20">
        <v>1</v>
      </c>
      <c r="H819" s="20">
        <v>0</v>
      </c>
      <c r="I819" s="20">
        <v>0</v>
      </c>
      <c r="J819" s="13" t="s">
        <v>448</v>
      </c>
      <c r="K819" s="13" t="s">
        <v>721</v>
      </c>
      <c r="L819" s="7" t="s">
        <v>533</v>
      </c>
      <c r="M819" s="7">
        <v>4</v>
      </c>
      <c r="N819" s="9" t="s">
        <v>1716</v>
      </c>
      <c r="O819" s="9" t="s">
        <v>39</v>
      </c>
      <c r="P819" s="9"/>
      <c r="Q819" s="15"/>
      <c r="R819" s="9">
        <v>0</v>
      </c>
    </row>
    <row r="820" spans="1:18" s="1" customFormat="1" hidden="1" x14ac:dyDescent="0.25">
      <c r="A820" s="7" t="s">
        <v>1464</v>
      </c>
      <c r="B820" s="13" t="s">
        <v>1465</v>
      </c>
      <c r="C820" s="7" t="s">
        <v>136</v>
      </c>
      <c r="D820" s="7" t="s">
        <v>35</v>
      </c>
      <c r="E820" s="7" t="s">
        <v>35</v>
      </c>
      <c r="F820" s="8">
        <v>0</v>
      </c>
      <c r="G820" s="20">
        <v>1</v>
      </c>
      <c r="H820" s="20">
        <v>0</v>
      </c>
      <c r="I820" s="20">
        <v>0</v>
      </c>
      <c r="J820" s="13" t="s">
        <v>448</v>
      </c>
      <c r="K820" s="13" t="s">
        <v>721</v>
      </c>
      <c r="L820" s="7" t="s">
        <v>1466</v>
      </c>
      <c r="M820" s="7">
        <v>7.0000000000000001E-3</v>
      </c>
      <c r="N820" s="9" t="s">
        <v>1716</v>
      </c>
      <c r="O820" s="9" t="s">
        <v>39</v>
      </c>
      <c r="P820" s="9"/>
      <c r="Q820" s="15"/>
      <c r="R820" s="9">
        <v>0</v>
      </c>
    </row>
    <row r="821" spans="1:18" s="1" customFormat="1" hidden="1" x14ac:dyDescent="0.25">
      <c r="A821" s="10" t="s">
        <v>1467</v>
      </c>
      <c r="B821" s="14" t="s">
        <v>1468</v>
      </c>
      <c r="C821" s="10" t="s">
        <v>365</v>
      </c>
      <c r="D821" s="10" t="s">
        <v>35</v>
      </c>
      <c r="E821" s="10" t="s">
        <v>35</v>
      </c>
      <c r="F821" s="11">
        <v>0</v>
      </c>
      <c r="G821" s="21">
        <v>1</v>
      </c>
      <c r="H821" s="21">
        <v>0</v>
      </c>
      <c r="I821" s="21">
        <v>0</v>
      </c>
      <c r="J821" s="14" t="s">
        <v>448</v>
      </c>
      <c r="K821" s="14" t="s">
        <v>56</v>
      </c>
      <c r="L821" s="10" t="s">
        <v>367</v>
      </c>
      <c r="M821" s="10">
        <v>1</v>
      </c>
      <c r="N821" s="12" t="s">
        <v>1716</v>
      </c>
      <c r="O821" s="12" t="s">
        <v>39</v>
      </c>
      <c r="P821" s="12"/>
      <c r="Q821" s="16"/>
      <c r="R821" s="12">
        <v>0</v>
      </c>
    </row>
    <row r="822" spans="1:18" s="1" customFormat="1" hidden="1" x14ac:dyDescent="0.25">
      <c r="A822" s="10" t="s">
        <v>1467</v>
      </c>
      <c r="B822" s="14" t="s">
        <v>1468</v>
      </c>
      <c r="C822" s="10" t="s">
        <v>365</v>
      </c>
      <c r="D822" s="10" t="s">
        <v>35</v>
      </c>
      <c r="E822" s="10" t="s">
        <v>35</v>
      </c>
      <c r="F822" s="11">
        <v>0</v>
      </c>
      <c r="G822" s="21">
        <v>1</v>
      </c>
      <c r="H822" s="21">
        <v>0</v>
      </c>
      <c r="I822" s="21">
        <v>0</v>
      </c>
      <c r="J822" s="14" t="s">
        <v>448</v>
      </c>
      <c r="K822" s="14" t="s">
        <v>56</v>
      </c>
      <c r="L822" s="10" t="s">
        <v>1469</v>
      </c>
      <c r="M822" s="10">
        <v>1.05</v>
      </c>
      <c r="N822" s="12" t="s">
        <v>1716</v>
      </c>
      <c r="O822" s="12" t="s">
        <v>39</v>
      </c>
      <c r="P822" s="12"/>
      <c r="Q822" s="16"/>
      <c r="R822" s="12">
        <v>0</v>
      </c>
    </row>
    <row r="823" spans="1:18" s="1" customFormat="1" hidden="1" x14ac:dyDescent="0.25">
      <c r="A823" s="7" t="s">
        <v>1470</v>
      </c>
      <c r="B823" s="13" t="s">
        <v>1471</v>
      </c>
      <c r="C823" s="7" t="s">
        <v>45</v>
      </c>
      <c r="D823" s="7" t="s">
        <v>35</v>
      </c>
      <c r="E823" s="7" t="s">
        <v>35</v>
      </c>
      <c r="F823" s="8">
        <v>0</v>
      </c>
      <c r="G823" s="20">
        <v>1</v>
      </c>
      <c r="H823" s="20">
        <v>0</v>
      </c>
      <c r="I823" s="20">
        <v>0</v>
      </c>
      <c r="J823" s="13" t="s">
        <v>448</v>
      </c>
      <c r="K823" s="13" t="s">
        <v>449</v>
      </c>
      <c r="L823" s="7" t="s">
        <v>48</v>
      </c>
      <c r="M823" s="7">
        <v>1.0999999999999999E-2</v>
      </c>
      <c r="N823" s="9" t="s">
        <v>1716</v>
      </c>
      <c r="O823" s="9" t="s">
        <v>39</v>
      </c>
      <c r="P823" s="9"/>
      <c r="Q823" s="15"/>
      <c r="R823" s="9">
        <v>0</v>
      </c>
    </row>
    <row r="824" spans="1:18" s="1" customFormat="1" hidden="1" x14ac:dyDescent="0.25">
      <c r="A824" s="7" t="s">
        <v>1470</v>
      </c>
      <c r="B824" s="13" t="s">
        <v>1471</v>
      </c>
      <c r="C824" s="7" t="s">
        <v>45</v>
      </c>
      <c r="D824" s="7" t="s">
        <v>35</v>
      </c>
      <c r="E824" s="7" t="s">
        <v>35</v>
      </c>
      <c r="F824" s="8">
        <v>0</v>
      </c>
      <c r="G824" s="20">
        <v>1</v>
      </c>
      <c r="H824" s="20">
        <v>0</v>
      </c>
      <c r="I824" s="20">
        <v>0</v>
      </c>
      <c r="J824" s="13" t="s">
        <v>448</v>
      </c>
      <c r="K824" s="13" t="s">
        <v>449</v>
      </c>
      <c r="L824" s="7" t="s">
        <v>1472</v>
      </c>
      <c r="M824" s="7">
        <v>0.82399999999999995</v>
      </c>
      <c r="N824" s="9" t="s">
        <v>1716</v>
      </c>
      <c r="O824" s="9" t="s">
        <v>39</v>
      </c>
      <c r="P824" s="9"/>
      <c r="Q824" s="15"/>
      <c r="R824" s="9">
        <v>0</v>
      </c>
    </row>
    <row r="825" spans="1:18" s="1" customFormat="1" hidden="1" x14ac:dyDescent="0.25">
      <c r="A825" s="7" t="s">
        <v>1470</v>
      </c>
      <c r="B825" s="13" t="s">
        <v>1471</v>
      </c>
      <c r="C825" s="7" t="s">
        <v>45</v>
      </c>
      <c r="D825" s="7" t="s">
        <v>35</v>
      </c>
      <c r="E825" s="7" t="s">
        <v>35</v>
      </c>
      <c r="F825" s="8">
        <v>0</v>
      </c>
      <c r="G825" s="20">
        <v>1</v>
      </c>
      <c r="H825" s="20">
        <v>0</v>
      </c>
      <c r="I825" s="20">
        <v>0</v>
      </c>
      <c r="J825" s="13" t="s">
        <v>448</v>
      </c>
      <c r="K825" s="13" t="s">
        <v>449</v>
      </c>
      <c r="L825" s="7" t="s">
        <v>1473</v>
      </c>
      <c r="M825" s="7">
        <v>0.67600000000000005</v>
      </c>
      <c r="N825" s="9" t="s">
        <v>1716</v>
      </c>
      <c r="O825" s="9" t="s">
        <v>39</v>
      </c>
      <c r="P825" s="9"/>
      <c r="Q825" s="15"/>
      <c r="R825" s="9">
        <v>0</v>
      </c>
    </row>
    <row r="826" spans="1:18" s="1" customFormat="1" hidden="1" x14ac:dyDescent="0.25">
      <c r="A826" s="7" t="s">
        <v>1470</v>
      </c>
      <c r="B826" s="13" t="s">
        <v>1471</v>
      </c>
      <c r="C826" s="7" t="s">
        <v>45</v>
      </c>
      <c r="D826" s="7" t="s">
        <v>35</v>
      </c>
      <c r="E826" s="7" t="s">
        <v>35</v>
      </c>
      <c r="F826" s="8">
        <v>0</v>
      </c>
      <c r="G826" s="20">
        <v>1</v>
      </c>
      <c r="H826" s="20">
        <v>0</v>
      </c>
      <c r="I826" s="20">
        <v>0</v>
      </c>
      <c r="J826" s="13" t="s">
        <v>448</v>
      </c>
      <c r="K826" s="13" t="s">
        <v>449</v>
      </c>
      <c r="L826" s="7" t="s">
        <v>51</v>
      </c>
      <c r="M826" s="7">
        <v>1</v>
      </c>
      <c r="N826" s="9" t="s">
        <v>1716</v>
      </c>
      <c r="O826" s="9" t="s">
        <v>39</v>
      </c>
      <c r="P826" s="9"/>
      <c r="Q826" s="15"/>
      <c r="R826" s="9">
        <v>0</v>
      </c>
    </row>
    <row r="827" spans="1:18" s="1" customFormat="1" hidden="1" x14ac:dyDescent="0.25">
      <c r="A827" s="10" t="s">
        <v>1474</v>
      </c>
      <c r="B827" s="14" t="s">
        <v>1475</v>
      </c>
      <c r="C827" s="10" t="s">
        <v>45</v>
      </c>
      <c r="D827" s="10" t="s">
        <v>35</v>
      </c>
      <c r="E827" s="10" t="s">
        <v>35</v>
      </c>
      <c r="F827" s="11">
        <v>0</v>
      </c>
      <c r="G827" s="21">
        <v>1</v>
      </c>
      <c r="H827" s="21">
        <v>0</v>
      </c>
      <c r="I827" s="21">
        <v>0</v>
      </c>
      <c r="J827" s="14" t="s">
        <v>448</v>
      </c>
      <c r="K827" s="14" t="s">
        <v>449</v>
      </c>
      <c r="L827" s="10" t="s">
        <v>48</v>
      </c>
      <c r="M827" s="10">
        <v>2.5000000000000001E-2</v>
      </c>
      <c r="N827" s="12" t="s">
        <v>1716</v>
      </c>
      <c r="O827" s="12" t="s">
        <v>39</v>
      </c>
      <c r="P827" s="12"/>
      <c r="Q827" s="16"/>
      <c r="R827" s="12">
        <v>0</v>
      </c>
    </row>
    <row r="828" spans="1:18" s="1" customFormat="1" hidden="1" x14ac:dyDescent="0.25">
      <c r="A828" s="10" t="s">
        <v>1474</v>
      </c>
      <c r="B828" s="14" t="s">
        <v>1475</v>
      </c>
      <c r="C828" s="10" t="s">
        <v>45</v>
      </c>
      <c r="D828" s="10" t="s">
        <v>35</v>
      </c>
      <c r="E828" s="10" t="s">
        <v>35</v>
      </c>
      <c r="F828" s="11">
        <v>0</v>
      </c>
      <c r="G828" s="21">
        <v>1</v>
      </c>
      <c r="H828" s="21">
        <v>0</v>
      </c>
      <c r="I828" s="21">
        <v>0</v>
      </c>
      <c r="J828" s="14" t="s">
        <v>448</v>
      </c>
      <c r="K828" s="14" t="s">
        <v>449</v>
      </c>
      <c r="L828" s="10" t="s">
        <v>49</v>
      </c>
      <c r="M828" s="10">
        <v>0.26400000000000001</v>
      </c>
      <c r="N828" s="12" t="s">
        <v>1716</v>
      </c>
      <c r="O828" s="12" t="s">
        <v>39</v>
      </c>
      <c r="P828" s="12"/>
      <c r="Q828" s="16"/>
      <c r="R828" s="12">
        <v>0</v>
      </c>
    </row>
    <row r="829" spans="1:18" s="1" customFormat="1" hidden="1" x14ac:dyDescent="0.25">
      <c r="A829" s="10" t="s">
        <v>1474</v>
      </c>
      <c r="B829" s="14" t="s">
        <v>1475</v>
      </c>
      <c r="C829" s="10" t="s">
        <v>45</v>
      </c>
      <c r="D829" s="10" t="s">
        <v>35</v>
      </c>
      <c r="E829" s="10" t="s">
        <v>35</v>
      </c>
      <c r="F829" s="11">
        <v>0</v>
      </c>
      <c r="G829" s="21">
        <v>1</v>
      </c>
      <c r="H829" s="21">
        <v>0</v>
      </c>
      <c r="I829" s="21">
        <v>0</v>
      </c>
      <c r="J829" s="14" t="s">
        <v>448</v>
      </c>
      <c r="K829" s="14" t="s">
        <v>449</v>
      </c>
      <c r="L829" s="10" t="s">
        <v>50</v>
      </c>
      <c r="M829" s="10">
        <v>1.1000000000000001</v>
      </c>
      <c r="N829" s="12" t="s">
        <v>1716</v>
      </c>
      <c r="O829" s="12" t="s">
        <v>39</v>
      </c>
      <c r="P829" s="12"/>
      <c r="Q829" s="16"/>
      <c r="R829" s="12">
        <v>0</v>
      </c>
    </row>
    <row r="830" spans="1:18" s="1" customFormat="1" hidden="1" x14ac:dyDescent="0.25">
      <c r="A830" s="7" t="s">
        <v>1476</v>
      </c>
      <c r="B830" s="13" t="s">
        <v>1477</v>
      </c>
      <c r="C830" s="7" t="s">
        <v>380</v>
      </c>
      <c r="D830" s="7" t="s">
        <v>35</v>
      </c>
      <c r="E830" s="7" t="s">
        <v>35</v>
      </c>
      <c r="F830" s="8">
        <v>0</v>
      </c>
      <c r="G830" s="20">
        <v>1</v>
      </c>
      <c r="H830" s="20">
        <v>0</v>
      </c>
      <c r="I830" s="20">
        <v>0</v>
      </c>
      <c r="J830" s="13" t="s">
        <v>46</v>
      </c>
      <c r="K830" s="13" t="s">
        <v>381</v>
      </c>
      <c r="L830" s="7" t="s">
        <v>1478</v>
      </c>
      <c r="M830" s="7">
        <v>1</v>
      </c>
      <c r="N830" s="9" t="s">
        <v>1716</v>
      </c>
      <c r="O830" s="9" t="s">
        <v>39</v>
      </c>
      <c r="P830" s="9"/>
      <c r="Q830" s="15"/>
      <c r="R830" s="9">
        <v>0</v>
      </c>
    </row>
    <row r="831" spans="1:18" s="1" customFormat="1" hidden="1" x14ac:dyDescent="0.25">
      <c r="A831" s="10" t="s">
        <v>1479</v>
      </c>
      <c r="B831" s="14" t="s">
        <v>1480</v>
      </c>
      <c r="C831" s="10" t="s">
        <v>365</v>
      </c>
      <c r="D831" s="10" t="s">
        <v>35</v>
      </c>
      <c r="E831" s="10" t="s">
        <v>35</v>
      </c>
      <c r="F831" s="11">
        <v>0</v>
      </c>
      <c r="G831" s="21">
        <v>1</v>
      </c>
      <c r="H831" s="21">
        <v>0</v>
      </c>
      <c r="I831" s="21">
        <v>0</v>
      </c>
      <c r="J831" s="14" t="s">
        <v>46</v>
      </c>
      <c r="K831" s="14" t="s">
        <v>381</v>
      </c>
      <c r="L831" s="10" t="s">
        <v>377</v>
      </c>
      <c r="M831" s="10">
        <v>1</v>
      </c>
      <c r="N831" s="12" t="s">
        <v>1716</v>
      </c>
      <c r="O831" s="12" t="s">
        <v>39</v>
      </c>
      <c r="P831" s="12"/>
      <c r="Q831" s="16"/>
      <c r="R831" s="12">
        <v>0</v>
      </c>
    </row>
    <row r="832" spans="1:18" s="1" customFormat="1" hidden="1" x14ac:dyDescent="0.25">
      <c r="A832" s="10" t="s">
        <v>1479</v>
      </c>
      <c r="B832" s="14" t="s">
        <v>1480</v>
      </c>
      <c r="C832" s="10" t="s">
        <v>365</v>
      </c>
      <c r="D832" s="10" t="s">
        <v>35</v>
      </c>
      <c r="E832" s="10" t="s">
        <v>35</v>
      </c>
      <c r="F832" s="11">
        <v>0</v>
      </c>
      <c r="G832" s="21">
        <v>1</v>
      </c>
      <c r="H832" s="21">
        <v>0</v>
      </c>
      <c r="I832" s="21">
        <v>0</v>
      </c>
      <c r="J832" s="14" t="s">
        <v>46</v>
      </c>
      <c r="K832" s="14" t="s">
        <v>381</v>
      </c>
      <c r="L832" s="10" t="s">
        <v>1481</v>
      </c>
      <c r="M832" s="10">
        <v>1.2</v>
      </c>
      <c r="N832" s="12" t="s">
        <v>1716</v>
      </c>
      <c r="O832" s="12" t="s">
        <v>39</v>
      </c>
      <c r="P832" s="12"/>
      <c r="Q832" s="16"/>
      <c r="R832" s="12">
        <v>0</v>
      </c>
    </row>
    <row r="833" spans="1:18" s="1" customFormat="1" hidden="1" x14ac:dyDescent="0.25">
      <c r="A833" s="7" t="s">
        <v>1482</v>
      </c>
      <c r="B833" s="13" t="s">
        <v>1483</v>
      </c>
      <c r="C833" s="7" t="s">
        <v>365</v>
      </c>
      <c r="D833" s="7" t="s">
        <v>35</v>
      </c>
      <c r="E833" s="7" t="s">
        <v>35</v>
      </c>
      <c r="F833" s="8">
        <v>0</v>
      </c>
      <c r="G833" s="20">
        <v>1</v>
      </c>
      <c r="H833" s="20">
        <v>0</v>
      </c>
      <c r="I833" s="20">
        <v>0</v>
      </c>
      <c r="J833" s="13" t="s">
        <v>46</v>
      </c>
      <c r="K833" s="13" t="s">
        <v>47</v>
      </c>
      <c r="L833" s="7" t="s">
        <v>377</v>
      </c>
      <c r="M833" s="7">
        <v>1</v>
      </c>
      <c r="N833" s="9" t="s">
        <v>1716</v>
      </c>
      <c r="O833" s="9" t="s">
        <v>39</v>
      </c>
      <c r="P833" s="9"/>
      <c r="Q833" s="15"/>
      <c r="R833" s="9">
        <v>0</v>
      </c>
    </row>
    <row r="834" spans="1:18" s="1" customFormat="1" hidden="1" x14ac:dyDescent="0.25">
      <c r="A834" s="7" t="s">
        <v>1482</v>
      </c>
      <c r="B834" s="13" t="s">
        <v>1483</v>
      </c>
      <c r="C834" s="7" t="s">
        <v>365</v>
      </c>
      <c r="D834" s="7" t="s">
        <v>35</v>
      </c>
      <c r="E834" s="7" t="s">
        <v>35</v>
      </c>
      <c r="F834" s="8">
        <v>0</v>
      </c>
      <c r="G834" s="20">
        <v>1</v>
      </c>
      <c r="H834" s="20">
        <v>0</v>
      </c>
      <c r="I834" s="20">
        <v>0</v>
      </c>
      <c r="J834" s="13" t="s">
        <v>46</v>
      </c>
      <c r="K834" s="13" t="s">
        <v>47</v>
      </c>
      <c r="L834" s="7" t="s">
        <v>1481</v>
      </c>
      <c r="M834" s="7">
        <v>1.05</v>
      </c>
      <c r="N834" s="9" t="s">
        <v>1716</v>
      </c>
      <c r="O834" s="9" t="s">
        <v>39</v>
      </c>
      <c r="P834" s="9"/>
      <c r="Q834" s="15"/>
      <c r="R834" s="9">
        <v>0</v>
      </c>
    </row>
    <row r="835" spans="1:18" s="1" customFormat="1" hidden="1" x14ac:dyDescent="0.25">
      <c r="A835" s="10" t="s">
        <v>1484</v>
      </c>
      <c r="B835" s="14" t="s">
        <v>1485</v>
      </c>
      <c r="C835" s="10" t="s">
        <v>111</v>
      </c>
      <c r="D835" s="10" t="s">
        <v>35</v>
      </c>
      <c r="E835" s="10" t="s">
        <v>35</v>
      </c>
      <c r="F835" s="11">
        <v>0</v>
      </c>
      <c r="G835" s="21">
        <v>1</v>
      </c>
      <c r="H835" s="21">
        <v>0</v>
      </c>
      <c r="I835" s="21">
        <v>0</v>
      </c>
      <c r="J835" s="14" t="s">
        <v>388</v>
      </c>
      <c r="K835" s="14" t="s">
        <v>1486</v>
      </c>
      <c r="L835" s="10" t="s">
        <v>1487</v>
      </c>
      <c r="M835" s="10">
        <v>1</v>
      </c>
      <c r="N835" s="12" t="s">
        <v>1716</v>
      </c>
      <c r="O835" s="12" t="s">
        <v>39</v>
      </c>
      <c r="P835" s="12"/>
      <c r="Q835" s="16"/>
      <c r="R835" s="12">
        <v>0</v>
      </c>
    </row>
    <row r="836" spans="1:18" s="1" customFormat="1" hidden="1" x14ac:dyDescent="0.25">
      <c r="A836" s="7" t="s">
        <v>1488</v>
      </c>
      <c r="B836" s="13" t="s">
        <v>1489</v>
      </c>
      <c r="C836" s="7" t="s">
        <v>111</v>
      </c>
      <c r="D836" s="7" t="s">
        <v>35</v>
      </c>
      <c r="E836" s="7" t="s">
        <v>35</v>
      </c>
      <c r="F836" s="8">
        <v>0</v>
      </c>
      <c r="G836" s="20">
        <v>1</v>
      </c>
      <c r="H836" s="20">
        <v>0</v>
      </c>
      <c r="I836" s="20">
        <v>0</v>
      </c>
      <c r="J836" s="13" t="s">
        <v>388</v>
      </c>
      <c r="K836" s="13" t="s">
        <v>1486</v>
      </c>
      <c r="L836" s="7" t="s">
        <v>1490</v>
      </c>
      <c r="M836" s="7">
        <v>1</v>
      </c>
      <c r="N836" s="9" t="s">
        <v>1716</v>
      </c>
      <c r="O836" s="9" t="s">
        <v>39</v>
      </c>
      <c r="P836" s="9"/>
      <c r="Q836" s="15"/>
      <c r="R836" s="9">
        <v>0</v>
      </c>
    </row>
    <row r="837" spans="1:18" s="1" customFormat="1" hidden="1" x14ac:dyDescent="0.25">
      <c r="A837" s="10" t="s">
        <v>1491</v>
      </c>
      <c r="B837" s="14" t="s">
        <v>1492</v>
      </c>
      <c r="C837" s="10" t="s">
        <v>111</v>
      </c>
      <c r="D837" s="10" t="s">
        <v>35</v>
      </c>
      <c r="E837" s="10" t="s">
        <v>35</v>
      </c>
      <c r="F837" s="11">
        <v>0</v>
      </c>
      <c r="G837" s="21">
        <v>1</v>
      </c>
      <c r="H837" s="21">
        <v>0</v>
      </c>
      <c r="I837" s="21">
        <v>0</v>
      </c>
      <c r="J837" s="14" t="s">
        <v>388</v>
      </c>
      <c r="K837" s="14" t="s">
        <v>1493</v>
      </c>
      <c r="L837" s="10" t="s">
        <v>1494</v>
      </c>
      <c r="M837" s="10">
        <v>1</v>
      </c>
      <c r="N837" s="12" t="s">
        <v>1716</v>
      </c>
      <c r="O837" s="12" t="s">
        <v>39</v>
      </c>
      <c r="P837" s="12"/>
      <c r="Q837" s="16"/>
      <c r="R837" s="12">
        <v>0</v>
      </c>
    </row>
    <row r="838" spans="1:18" s="1" customFormat="1" hidden="1" x14ac:dyDescent="0.25">
      <c r="A838" s="7" t="s">
        <v>1495</v>
      </c>
      <c r="B838" s="13" t="s">
        <v>1496</v>
      </c>
      <c r="C838" s="7" t="s">
        <v>111</v>
      </c>
      <c r="D838" s="7" t="s">
        <v>35</v>
      </c>
      <c r="E838" s="7" t="s">
        <v>35</v>
      </c>
      <c r="F838" s="8">
        <v>0</v>
      </c>
      <c r="G838" s="20">
        <v>1</v>
      </c>
      <c r="H838" s="20">
        <v>0</v>
      </c>
      <c r="I838" s="20">
        <v>0</v>
      </c>
      <c r="J838" s="13" t="s">
        <v>388</v>
      </c>
      <c r="K838" s="13" t="s">
        <v>1493</v>
      </c>
      <c r="L838" s="7" t="s">
        <v>1497</v>
      </c>
      <c r="M838" s="7">
        <v>1</v>
      </c>
      <c r="N838" s="9" t="s">
        <v>1716</v>
      </c>
      <c r="O838" s="9" t="s">
        <v>39</v>
      </c>
      <c r="P838" s="9"/>
      <c r="Q838" s="15"/>
      <c r="R838" s="9">
        <v>0</v>
      </c>
    </row>
    <row r="839" spans="1:18" s="1" customFormat="1" hidden="1" x14ac:dyDescent="0.25">
      <c r="A839" s="10" t="s">
        <v>1498</v>
      </c>
      <c r="B839" s="14" t="s">
        <v>1499</v>
      </c>
      <c r="C839" s="10" t="s">
        <v>111</v>
      </c>
      <c r="D839" s="10" t="s">
        <v>35</v>
      </c>
      <c r="E839" s="10" t="s">
        <v>35</v>
      </c>
      <c r="F839" s="11">
        <v>0</v>
      </c>
      <c r="G839" s="21">
        <v>1</v>
      </c>
      <c r="H839" s="21">
        <v>0</v>
      </c>
      <c r="I839" s="21">
        <v>0</v>
      </c>
      <c r="J839" s="14" t="s">
        <v>388</v>
      </c>
      <c r="K839" s="14" t="s">
        <v>1493</v>
      </c>
      <c r="L839" s="10" t="s">
        <v>1500</v>
      </c>
      <c r="M839" s="10">
        <v>1</v>
      </c>
      <c r="N839" s="12" t="s">
        <v>1716</v>
      </c>
      <c r="O839" s="12" t="s">
        <v>39</v>
      </c>
      <c r="P839" s="12"/>
      <c r="Q839" s="16"/>
      <c r="R839" s="12">
        <v>0</v>
      </c>
    </row>
    <row r="840" spans="1:18" s="1" customFormat="1" hidden="1" x14ac:dyDescent="0.25">
      <c r="A840" s="7" t="s">
        <v>1501</v>
      </c>
      <c r="B840" s="13" t="s">
        <v>1502</v>
      </c>
      <c r="C840" s="7" t="s">
        <v>580</v>
      </c>
      <c r="D840" s="7" t="s">
        <v>35</v>
      </c>
      <c r="E840" s="7" t="s">
        <v>35</v>
      </c>
      <c r="F840" s="8">
        <v>0</v>
      </c>
      <c r="G840" s="20">
        <v>1</v>
      </c>
      <c r="H840" s="20">
        <v>0</v>
      </c>
      <c r="I840" s="20">
        <v>0</v>
      </c>
      <c r="J840" s="13" t="s">
        <v>388</v>
      </c>
      <c r="K840" s="13" t="s">
        <v>1493</v>
      </c>
      <c r="L840" s="7" t="s">
        <v>1503</v>
      </c>
      <c r="M840" s="7">
        <v>1</v>
      </c>
      <c r="N840" s="9" t="s">
        <v>1716</v>
      </c>
      <c r="O840" s="9" t="s">
        <v>39</v>
      </c>
      <c r="P840" s="9"/>
      <c r="Q840" s="15"/>
      <c r="R840" s="9">
        <v>0</v>
      </c>
    </row>
    <row r="841" spans="1:18" s="1" customFormat="1" hidden="1" x14ac:dyDescent="0.25">
      <c r="A841" s="10" t="s">
        <v>1504</v>
      </c>
      <c r="B841" s="14" t="s">
        <v>1505</v>
      </c>
      <c r="C841" s="10" t="s">
        <v>580</v>
      </c>
      <c r="D841" s="10" t="s">
        <v>35</v>
      </c>
      <c r="E841" s="10" t="s">
        <v>35</v>
      </c>
      <c r="F841" s="11">
        <v>0</v>
      </c>
      <c r="G841" s="21">
        <v>1</v>
      </c>
      <c r="H841" s="21">
        <v>0</v>
      </c>
      <c r="I841" s="21">
        <v>0</v>
      </c>
      <c r="J841" s="14" t="s">
        <v>388</v>
      </c>
      <c r="K841" s="14" t="s">
        <v>1493</v>
      </c>
      <c r="L841" s="10" t="s">
        <v>1506</v>
      </c>
      <c r="M841" s="10">
        <v>1</v>
      </c>
      <c r="N841" s="12" t="s">
        <v>1716</v>
      </c>
      <c r="O841" s="12" t="s">
        <v>39</v>
      </c>
      <c r="P841" s="12"/>
      <c r="Q841" s="16"/>
      <c r="R841" s="12">
        <v>0</v>
      </c>
    </row>
    <row r="842" spans="1:18" s="1" customFormat="1" hidden="1" x14ac:dyDescent="0.25">
      <c r="A842" s="7" t="s">
        <v>1507</v>
      </c>
      <c r="B842" s="13" t="s">
        <v>1508</v>
      </c>
      <c r="C842" s="7" t="s">
        <v>111</v>
      </c>
      <c r="D842" s="7" t="s">
        <v>35</v>
      </c>
      <c r="E842" s="7" t="s">
        <v>35</v>
      </c>
      <c r="F842" s="8">
        <v>0</v>
      </c>
      <c r="G842" s="20">
        <v>1</v>
      </c>
      <c r="H842" s="20">
        <v>0</v>
      </c>
      <c r="I842" s="20">
        <v>0</v>
      </c>
      <c r="J842" s="13" t="s">
        <v>388</v>
      </c>
      <c r="K842" s="13" t="s">
        <v>1493</v>
      </c>
      <c r="L842" s="7" t="s">
        <v>1509</v>
      </c>
      <c r="M842" s="7">
        <v>1</v>
      </c>
      <c r="N842" s="9" t="s">
        <v>1716</v>
      </c>
      <c r="O842" s="9" t="s">
        <v>39</v>
      </c>
      <c r="P842" s="9"/>
      <c r="Q842" s="15"/>
      <c r="R842" s="9">
        <v>0</v>
      </c>
    </row>
    <row r="843" spans="1:18" s="1" customFormat="1" hidden="1" x14ac:dyDescent="0.25">
      <c r="A843" s="10" t="s">
        <v>1510</v>
      </c>
      <c r="B843" s="14" t="s">
        <v>1511</v>
      </c>
      <c r="C843" s="10" t="s">
        <v>580</v>
      </c>
      <c r="D843" s="10" t="s">
        <v>35</v>
      </c>
      <c r="E843" s="10" t="s">
        <v>35</v>
      </c>
      <c r="F843" s="11">
        <v>0</v>
      </c>
      <c r="G843" s="21">
        <v>1</v>
      </c>
      <c r="H843" s="21">
        <v>0</v>
      </c>
      <c r="I843" s="21">
        <v>0</v>
      </c>
      <c r="J843" s="14" t="s">
        <v>388</v>
      </c>
      <c r="K843" s="14" t="s">
        <v>1512</v>
      </c>
      <c r="L843" s="10" t="s">
        <v>1513</v>
      </c>
      <c r="M843" s="10">
        <v>1</v>
      </c>
      <c r="N843" s="12" t="s">
        <v>1716</v>
      </c>
      <c r="O843" s="12" t="s">
        <v>39</v>
      </c>
      <c r="P843" s="12"/>
      <c r="Q843" s="16"/>
      <c r="R843" s="12">
        <v>0</v>
      </c>
    </row>
    <row r="844" spans="1:18" s="1" customFormat="1" hidden="1" x14ac:dyDescent="0.25">
      <c r="A844" s="7" t="s">
        <v>1514</v>
      </c>
      <c r="B844" s="13" t="s">
        <v>1515</v>
      </c>
      <c r="C844" s="7" t="s">
        <v>580</v>
      </c>
      <c r="D844" s="7" t="s">
        <v>35</v>
      </c>
      <c r="E844" s="7" t="s">
        <v>35</v>
      </c>
      <c r="F844" s="8">
        <v>0</v>
      </c>
      <c r="G844" s="20">
        <v>1</v>
      </c>
      <c r="H844" s="20">
        <v>0</v>
      </c>
      <c r="I844" s="20">
        <v>0</v>
      </c>
      <c r="J844" s="13" t="s">
        <v>388</v>
      </c>
      <c r="K844" s="13" t="s">
        <v>1512</v>
      </c>
      <c r="L844" s="7" t="s">
        <v>1516</v>
      </c>
      <c r="M844" s="7">
        <v>1</v>
      </c>
      <c r="N844" s="9" t="s">
        <v>1716</v>
      </c>
      <c r="O844" s="9" t="s">
        <v>39</v>
      </c>
      <c r="P844" s="9"/>
      <c r="Q844" s="15"/>
      <c r="R844" s="9">
        <v>0</v>
      </c>
    </row>
    <row r="845" spans="1:18" s="1" customFormat="1" hidden="1" x14ac:dyDescent="0.25">
      <c r="A845" s="10" t="s">
        <v>1517</v>
      </c>
      <c r="B845" s="14" t="s">
        <v>1518</v>
      </c>
      <c r="C845" s="10" t="s">
        <v>580</v>
      </c>
      <c r="D845" s="10" t="s">
        <v>35</v>
      </c>
      <c r="E845" s="10" t="s">
        <v>35</v>
      </c>
      <c r="F845" s="11">
        <v>0</v>
      </c>
      <c r="G845" s="21">
        <v>1</v>
      </c>
      <c r="H845" s="21">
        <v>0</v>
      </c>
      <c r="I845" s="21">
        <v>0</v>
      </c>
      <c r="J845" s="14" t="s">
        <v>388</v>
      </c>
      <c r="K845" s="14" t="s">
        <v>1512</v>
      </c>
      <c r="L845" s="10" t="s">
        <v>1519</v>
      </c>
      <c r="M845" s="10">
        <v>1</v>
      </c>
      <c r="N845" s="12" t="s">
        <v>1716</v>
      </c>
      <c r="O845" s="12" t="s">
        <v>39</v>
      </c>
      <c r="P845" s="12"/>
      <c r="Q845" s="16"/>
      <c r="R845" s="12">
        <v>0</v>
      </c>
    </row>
    <row r="846" spans="1:18" s="1" customFormat="1" hidden="1" x14ac:dyDescent="0.25">
      <c r="A846" s="7" t="s">
        <v>1520</v>
      </c>
      <c r="B846" s="13" t="s">
        <v>1521</v>
      </c>
      <c r="C846" s="7" t="s">
        <v>580</v>
      </c>
      <c r="D846" s="7" t="s">
        <v>35</v>
      </c>
      <c r="E846" s="7" t="s">
        <v>35</v>
      </c>
      <c r="F846" s="8">
        <v>0</v>
      </c>
      <c r="G846" s="20">
        <v>1</v>
      </c>
      <c r="H846" s="20">
        <v>0</v>
      </c>
      <c r="I846" s="20">
        <v>0</v>
      </c>
      <c r="J846" s="13" t="s">
        <v>388</v>
      </c>
      <c r="K846" s="13" t="s">
        <v>1512</v>
      </c>
      <c r="L846" s="7" t="s">
        <v>1522</v>
      </c>
      <c r="M846" s="7">
        <v>1</v>
      </c>
      <c r="N846" s="9" t="s">
        <v>1716</v>
      </c>
      <c r="O846" s="9" t="s">
        <v>39</v>
      </c>
      <c r="P846" s="9"/>
      <c r="Q846" s="15"/>
      <c r="R846" s="9">
        <v>0</v>
      </c>
    </row>
    <row r="847" spans="1:18" s="1" customFormat="1" hidden="1" x14ac:dyDescent="0.25">
      <c r="A847" s="10" t="s">
        <v>1523</v>
      </c>
      <c r="B847" s="14" t="s">
        <v>1524</v>
      </c>
      <c r="C847" s="10" t="s">
        <v>111</v>
      </c>
      <c r="D847" s="10" t="s">
        <v>35</v>
      </c>
      <c r="E847" s="10" t="s">
        <v>35</v>
      </c>
      <c r="F847" s="11">
        <v>0</v>
      </c>
      <c r="G847" s="21">
        <v>1</v>
      </c>
      <c r="H847" s="21">
        <v>0</v>
      </c>
      <c r="I847" s="21">
        <v>0</v>
      </c>
      <c r="J847" s="14" t="s">
        <v>388</v>
      </c>
      <c r="K847" s="14" t="s">
        <v>1512</v>
      </c>
      <c r="L847" s="10" t="s">
        <v>1525</v>
      </c>
      <c r="M847" s="10">
        <v>1</v>
      </c>
      <c r="N847" s="12" t="s">
        <v>1716</v>
      </c>
      <c r="O847" s="12" t="s">
        <v>39</v>
      </c>
      <c r="P847" s="12"/>
      <c r="Q847" s="16"/>
      <c r="R847" s="12">
        <v>0</v>
      </c>
    </row>
    <row r="848" spans="1:18" s="1" customFormat="1" hidden="1" x14ac:dyDescent="0.25">
      <c r="A848" s="7" t="s">
        <v>1526</v>
      </c>
      <c r="B848" s="13" t="s">
        <v>1527</v>
      </c>
      <c r="C848" s="7" t="s">
        <v>111</v>
      </c>
      <c r="D848" s="7" t="s">
        <v>35</v>
      </c>
      <c r="E848" s="7" t="s">
        <v>35</v>
      </c>
      <c r="F848" s="8">
        <v>0</v>
      </c>
      <c r="G848" s="20">
        <v>1</v>
      </c>
      <c r="H848" s="20">
        <v>0</v>
      </c>
      <c r="I848" s="20">
        <v>0</v>
      </c>
      <c r="J848" s="13" t="s">
        <v>388</v>
      </c>
      <c r="K848" s="13" t="s">
        <v>1512</v>
      </c>
      <c r="L848" s="7" t="s">
        <v>1528</v>
      </c>
      <c r="M848" s="7">
        <v>1</v>
      </c>
      <c r="N848" s="9" t="s">
        <v>1716</v>
      </c>
      <c r="O848" s="9" t="s">
        <v>39</v>
      </c>
      <c r="P848" s="9"/>
      <c r="Q848" s="15"/>
      <c r="R848" s="9">
        <v>0</v>
      </c>
    </row>
    <row r="849" spans="1:18" s="1" customFormat="1" hidden="1" x14ac:dyDescent="0.25">
      <c r="A849" s="10" t="s">
        <v>1529</v>
      </c>
      <c r="B849" s="14" t="s">
        <v>1530</v>
      </c>
      <c r="C849" s="10" t="s">
        <v>111</v>
      </c>
      <c r="D849" s="10" t="s">
        <v>35</v>
      </c>
      <c r="E849" s="10" t="s">
        <v>35</v>
      </c>
      <c r="F849" s="11">
        <v>0</v>
      </c>
      <c r="G849" s="21">
        <v>1</v>
      </c>
      <c r="H849" s="21">
        <v>0</v>
      </c>
      <c r="I849" s="21">
        <v>0</v>
      </c>
      <c r="J849" s="14" t="s">
        <v>388</v>
      </c>
      <c r="K849" s="14" t="s">
        <v>1512</v>
      </c>
      <c r="L849" s="10" t="s">
        <v>1531</v>
      </c>
      <c r="M849" s="10">
        <v>1</v>
      </c>
      <c r="N849" s="12" t="s">
        <v>1716</v>
      </c>
      <c r="O849" s="12" t="s">
        <v>39</v>
      </c>
      <c r="P849" s="12"/>
      <c r="Q849" s="16"/>
      <c r="R849" s="12">
        <v>0</v>
      </c>
    </row>
    <row r="850" spans="1:18" s="1" customFormat="1" hidden="1" x14ac:dyDescent="0.25">
      <c r="A850" s="7" t="s">
        <v>1532</v>
      </c>
      <c r="B850" s="13" t="s">
        <v>1533</v>
      </c>
      <c r="C850" s="7" t="s">
        <v>111</v>
      </c>
      <c r="D850" s="7" t="s">
        <v>35</v>
      </c>
      <c r="E850" s="7" t="s">
        <v>35</v>
      </c>
      <c r="F850" s="8">
        <v>0</v>
      </c>
      <c r="G850" s="20">
        <v>1</v>
      </c>
      <c r="H850" s="20">
        <v>0</v>
      </c>
      <c r="I850" s="20">
        <v>0</v>
      </c>
      <c r="J850" s="13" t="s">
        <v>388</v>
      </c>
      <c r="K850" s="13" t="s">
        <v>1512</v>
      </c>
      <c r="L850" s="7" t="s">
        <v>1534</v>
      </c>
      <c r="M850" s="7">
        <v>1</v>
      </c>
      <c r="N850" s="9" t="s">
        <v>1716</v>
      </c>
      <c r="O850" s="9" t="s">
        <v>39</v>
      </c>
      <c r="P850" s="9"/>
      <c r="Q850" s="15"/>
      <c r="R850" s="9">
        <v>0</v>
      </c>
    </row>
    <row r="851" spans="1:18" s="1" customFormat="1" hidden="1" x14ac:dyDescent="0.25">
      <c r="A851" s="10" t="s">
        <v>1535</v>
      </c>
      <c r="B851" s="14" t="s">
        <v>1536</v>
      </c>
      <c r="C851" s="10" t="s">
        <v>580</v>
      </c>
      <c r="D851" s="10" t="s">
        <v>35</v>
      </c>
      <c r="E851" s="10" t="s">
        <v>35</v>
      </c>
      <c r="F851" s="11">
        <v>0</v>
      </c>
      <c r="G851" s="21">
        <v>1</v>
      </c>
      <c r="H851" s="21">
        <v>0</v>
      </c>
      <c r="I851" s="21">
        <v>0</v>
      </c>
      <c r="J851" s="14" t="s">
        <v>573</v>
      </c>
      <c r="K851" s="14" t="s">
        <v>1537</v>
      </c>
      <c r="L851" s="10" t="s">
        <v>1538</v>
      </c>
      <c r="M851" s="10">
        <v>1</v>
      </c>
      <c r="N851" s="12" t="s">
        <v>1716</v>
      </c>
      <c r="O851" s="12" t="s">
        <v>39</v>
      </c>
      <c r="P851" s="12"/>
      <c r="Q851" s="16"/>
      <c r="R851" s="12">
        <v>0</v>
      </c>
    </row>
    <row r="852" spans="1:18" s="1" customFormat="1" hidden="1" x14ac:dyDescent="0.25">
      <c r="A852" s="7" t="s">
        <v>1539</v>
      </c>
      <c r="B852" s="13" t="s">
        <v>1540</v>
      </c>
      <c r="C852" s="7" t="s">
        <v>54</v>
      </c>
      <c r="D852" s="7" t="s">
        <v>35</v>
      </c>
      <c r="E852" s="7" t="s">
        <v>35</v>
      </c>
      <c r="F852" s="8">
        <v>0</v>
      </c>
      <c r="G852" s="20">
        <v>1</v>
      </c>
      <c r="H852" s="20">
        <v>0</v>
      </c>
      <c r="I852" s="20">
        <v>0</v>
      </c>
      <c r="J852" s="13" t="s">
        <v>573</v>
      </c>
      <c r="K852" s="13" t="s">
        <v>1537</v>
      </c>
      <c r="L852" s="7" t="s">
        <v>1541</v>
      </c>
      <c r="M852" s="7">
        <v>1</v>
      </c>
      <c r="N852" s="9" t="s">
        <v>1716</v>
      </c>
      <c r="O852" s="9" t="s">
        <v>39</v>
      </c>
      <c r="P852" s="9"/>
      <c r="Q852" s="15"/>
      <c r="R852" s="9">
        <v>0</v>
      </c>
    </row>
    <row r="853" spans="1:18" s="1" customFormat="1" hidden="1" x14ac:dyDescent="0.25">
      <c r="A853" s="10" t="s">
        <v>1542</v>
      </c>
      <c r="B853" s="14" t="s">
        <v>1543</v>
      </c>
      <c r="C853" s="10" t="s">
        <v>54</v>
      </c>
      <c r="D853" s="10" t="s">
        <v>35</v>
      </c>
      <c r="E853" s="10" t="s">
        <v>35</v>
      </c>
      <c r="F853" s="11">
        <v>0</v>
      </c>
      <c r="G853" s="21">
        <v>1</v>
      </c>
      <c r="H853" s="21">
        <v>0</v>
      </c>
      <c r="I853" s="21">
        <v>0</v>
      </c>
      <c r="J853" s="14" t="s">
        <v>573</v>
      </c>
      <c r="K853" s="14" t="s">
        <v>1537</v>
      </c>
      <c r="L853" s="10" t="s">
        <v>1544</v>
      </c>
      <c r="M853" s="10">
        <v>1</v>
      </c>
      <c r="N853" s="12" t="s">
        <v>1716</v>
      </c>
      <c r="O853" s="12" t="s">
        <v>39</v>
      </c>
      <c r="P853" s="12"/>
      <c r="Q853" s="16"/>
      <c r="R853" s="12">
        <v>0</v>
      </c>
    </row>
    <row r="854" spans="1:18" s="1" customFormat="1" hidden="1" x14ac:dyDescent="0.25">
      <c r="A854" s="7" t="s">
        <v>1545</v>
      </c>
      <c r="B854" s="13" t="s">
        <v>1546</v>
      </c>
      <c r="C854" s="7" t="s">
        <v>580</v>
      </c>
      <c r="D854" s="7" t="s">
        <v>35</v>
      </c>
      <c r="E854" s="7" t="s">
        <v>35</v>
      </c>
      <c r="F854" s="8">
        <v>0</v>
      </c>
      <c r="G854" s="20">
        <v>1</v>
      </c>
      <c r="H854" s="20">
        <v>0</v>
      </c>
      <c r="I854" s="20">
        <v>0</v>
      </c>
      <c r="J854" s="13" t="s">
        <v>573</v>
      </c>
      <c r="K854" s="13" t="s">
        <v>625</v>
      </c>
      <c r="L854" s="7" t="s">
        <v>1547</v>
      </c>
      <c r="M854" s="7">
        <v>1</v>
      </c>
      <c r="N854" s="9" t="s">
        <v>1716</v>
      </c>
      <c r="O854" s="9" t="s">
        <v>39</v>
      </c>
      <c r="P854" s="9"/>
      <c r="Q854" s="15"/>
      <c r="R854" s="9">
        <v>0</v>
      </c>
    </row>
    <row r="855" spans="1:18" s="1" customFormat="1" hidden="1" x14ac:dyDescent="0.25">
      <c r="A855" s="7" t="s">
        <v>1545</v>
      </c>
      <c r="B855" s="13" t="s">
        <v>1546</v>
      </c>
      <c r="C855" s="7" t="s">
        <v>580</v>
      </c>
      <c r="D855" s="7" t="s">
        <v>35</v>
      </c>
      <c r="E855" s="7" t="s">
        <v>35</v>
      </c>
      <c r="F855" s="8">
        <v>0</v>
      </c>
      <c r="G855" s="20">
        <v>1</v>
      </c>
      <c r="H855" s="20">
        <v>0</v>
      </c>
      <c r="I855" s="20">
        <v>0</v>
      </c>
      <c r="J855" s="13" t="s">
        <v>573</v>
      </c>
      <c r="K855" s="13" t="s">
        <v>625</v>
      </c>
      <c r="L855" s="7" t="s">
        <v>1548</v>
      </c>
      <c r="M855" s="7">
        <v>4</v>
      </c>
      <c r="N855" s="9" t="s">
        <v>1716</v>
      </c>
      <c r="O855" s="9" t="s">
        <v>39</v>
      </c>
      <c r="P855" s="9"/>
      <c r="Q855" s="15"/>
      <c r="R855" s="9">
        <v>0</v>
      </c>
    </row>
    <row r="856" spans="1:18" s="1" customFormat="1" hidden="1" x14ac:dyDescent="0.25">
      <c r="A856" s="7" t="s">
        <v>1545</v>
      </c>
      <c r="B856" s="13" t="s">
        <v>1546</v>
      </c>
      <c r="C856" s="7" t="s">
        <v>580</v>
      </c>
      <c r="D856" s="7" t="s">
        <v>35</v>
      </c>
      <c r="E856" s="7" t="s">
        <v>35</v>
      </c>
      <c r="F856" s="8">
        <v>0</v>
      </c>
      <c r="G856" s="20">
        <v>1</v>
      </c>
      <c r="H856" s="20">
        <v>0</v>
      </c>
      <c r="I856" s="20">
        <v>0</v>
      </c>
      <c r="J856" s="13" t="s">
        <v>573</v>
      </c>
      <c r="K856" s="13" t="s">
        <v>625</v>
      </c>
      <c r="L856" s="7" t="s">
        <v>1549</v>
      </c>
      <c r="M856" s="7">
        <v>1</v>
      </c>
      <c r="N856" s="9" t="s">
        <v>1716</v>
      </c>
      <c r="O856" s="9" t="s">
        <v>39</v>
      </c>
      <c r="P856" s="9"/>
      <c r="Q856" s="15"/>
      <c r="R856" s="9">
        <v>0</v>
      </c>
    </row>
    <row r="857" spans="1:18" s="1" customFormat="1" hidden="1" x14ac:dyDescent="0.25">
      <c r="A857" s="10" t="s">
        <v>1550</v>
      </c>
      <c r="B857" s="14" t="s">
        <v>1551</v>
      </c>
      <c r="C857" s="10" t="s">
        <v>580</v>
      </c>
      <c r="D857" s="10" t="s">
        <v>35</v>
      </c>
      <c r="E857" s="10" t="s">
        <v>35</v>
      </c>
      <c r="F857" s="11">
        <v>0</v>
      </c>
      <c r="G857" s="21">
        <v>1</v>
      </c>
      <c r="H857" s="21">
        <v>0</v>
      </c>
      <c r="I857" s="21">
        <v>0</v>
      </c>
      <c r="J857" s="14" t="s">
        <v>573</v>
      </c>
      <c r="K857" s="14" t="s">
        <v>625</v>
      </c>
      <c r="L857" s="10" t="s">
        <v>1552</v>
      </c>
      <c r="M857" s="10">
        <v>1</v>
      </c>
      <c r="N857" s="12" t="s">
        <v>1716</v>
      </c>
      <c r="O857" s="12" t="s">
        <v>39</v>
      </c>
      <c r="P857" s="12"/>
      <c r="Q857" s="16"/>
      <c r="R857" s="12">
        <v>0</v>
      </c>
    </row>
    <row r="858" spans="1:18" s="1" customFormat="1" hidden="1" x14ac:dyDescent="0.25">
      <c r="A858" s="7" t="s">
        <v>1553</v>
      </c>
      <c r="B858" s="13" t="s">
        <v>1554</v>
      </c>
      <c r="C858" s="7" t="s">
        <v>54</v>
      </c>
      <c r="D858" s="7" t="s">
        <v>35</v>
      </c>
      <c r="E858" s="7" t="s">
        <v>35</v>
      </c>
      <c r="F858" s="8">
        <v>0</v>
      </c>
      <c r="G858" s="20">
        <v>1</v>
      </c>
      <c r="H858" s="20">
        <v>0</v>
      </c>
      <c r="I858" s="20">
        <v>0</v>
      </c>
      <c r="J858" s="13" t="s">
        <v>525</v>
      </c>
      <c r="K858" s="13" t="s">
        <v>1555</v>
      </c>
      <c r="L858" s="7" t="s">
        <v>1556</v>
      </c>
      <c r="M858" s="7">
        <v>1</v>
      </c>
      <c r="N858" s="9" t="s">
        <v>1716</v>
      </c>
      <c r="O858" s="9" t="s">
        <v>39</v>
      </c>
      <c r="P858" s="9"/>
      <c r="Q858" s="15"/>
      <c r="R858" s="9">
        <v>0</v>
      </c>
    </row>
    <row r="859" spans="1:18" s="1" customFormat="1" hidden="1" x14ac:dyDescent="0.25">
      <c r="A859" s="10" t="s">
        <v>1557</v>
      </c>
      <c r="B859" s="14" t="s">
        <v>1558</v>
      </c>
      <c r="C859" s="10" t="s">
        <v>111</v>
      </c>
      <c r="D859" s="10" t="s">
        <v>35</v>
      </c>
      <c r="E859" s="10" t="s">
        <v>35</v>
      </c>
      <c r="F859" s="11">
        <v>0</v>
      </c>
      <c r="G859" s="21">
        <v>1</v>
      </c>
      <c r="H859" s="21">
        <v>0</v>
      </c>
      <c r="I859" s="21">
        <v>0</v>
      </c>
      <c r="J859" s="14" t="s">
        <v>525</v>
      </c>
      <c r="K859" s="14" t="s">
        <v>1559</v>
      </c>
      <c r="L859" s="10" t="s">
        <v>1560</v>
      </c>
      <c r="M859" s="10">
        <v>1</v>
      </c>
      <c r="N859" s="12" t="s">
        <v>1716</v>
      </c>
      <c r="O859" s="12" t="s">
        <v>39</v>
      </c>
      <c r="P859" s="12"/>
      <c r="Q859" s="16"/>
      <c r="R859" s="12">
        <v>0</v>
      </c>
    </row>
    <row r="860" spans="1:18" s="1" customFormat="1" hidden="1" x14ac:dyDescent="0.25">
      <c r="A860" s="7" t="s">
        <v>1561</v>
      </c>
      <c r="B860" s="13" t="s">
        <v>1562</v>
      </c>
      <c r="C860" s="7" t="s">
        <v>54</v>
      </c>
      <c r="D860" s="7" t="s">
        <v>35</v>
      </c>
      <c r="E860" s="7" t="s">
        <v>35</v>
      </c>
      <c r="F860" s="8">
        <v>0</v>
      </c>
      <c r="G860" s="20">
        <v>1</v>
      </c>
      <c r="H860" s="20">
        <v>0</v>
      </c>
      <c r="I860" s="20">
        <v>0</v>
      </c>
      <c r="J860" s="13" t="s">
        <v>419</v>
      </c>
      <c r="K860" s="13" t="s">
        <v>1563</v>
      </c>
      <c r="L860" s="7" t="s">
        <v>1564</v>
      </c>
      <c r="M860" s="7">
        <v>1</v>
      </c>
      <c r="N860" s="9" t="s">
        <v>1716</v>
      </c>
      <c r="O860" s="9" t="s">
        <v>39</v>
      </c>
      <c r="P860" s="9"/>
      <c r="Q860" s="15"/>
      <c r="R860" s="9">
        <v>0</v>
      </c>
    </row>
    <row r="861" spans="1:18" s="1" customFormat="1" hidden="1" x14ac:dyDescent="0.25">
      <c r="A861" s="10" t="s">
        <v>1565</v>
      </c>
      <c r="B861" s="14" t="s">
        <v>1566</v>
      </c>
      <c r="C861" s="10" t="s">
        <v>54</v>
      </c>
      <c r="D861" s="10" t="s">
        <v>35</v>
      </c>
      <c r="E861" s="10" t="s">
        <v>35</v>
      </c>
      <c r="F861" s="11">
        <v>0</v>
      </c>
      <c r="G861" s="21">
        <v>1</v>
      </c>
      <c r="H861" s="21">
        <v>0</v>
      </c>
      <c r="I861" s="21">
        <v>0</v>
      </c>
      <c r="J861" s="14" t="s">
        <v>419</v>
      </c>
      <c r="K861" s="14" t="s">
        <v>559</v>
      </c>
      <c r="L861" s="10" t="s">
        <v>1567</v>
      </c>
      <c r="M861" s="10">
        <v>1</v>
      </c>
      <c r="N861" s="12" t="s">
        <v>1716</v>
      </c>
      <c r="O861" s="12" t="s">
        <v>39</v>
      </c>
      <c r="P861" s="12"/>
      <c r="Q861" s="16"/>
      <c r="R861" s="12">
        <v>0</v>
      </c>
    </row>
    <row r="862" spans="1:18" s="1" customFormat="1" hidden="1" x14ac:dyDescent="0.25">
      <c r="A862" s="7" t="s">
        <v>1568</v>
      </c>
      <c r="B862" s="13" t="s">
        <v>1569</v>
      </c>
      <c r="C862" s="7" t="s">
        <v>54</v>
      </c>
      <c r="D862" s="7" t="s">
        <v>35</v>
      </c>
      <c r="E862" s="7" t="s">
        <v>35</v>
      </c>
      <c r="F862" s="8">
        <v>0</v>
      </c>
      <c r="G862" s="20">
        <v>1</v>
      </c>
      <c r="H862" s="20">
        <v>0</v>
      </c>
      <c r="I862" s="20">
        <v>0</v>
      </c>
      <c r="J862" s="13" t="s">
        <v>419</v>
      </c>
      <c r="K862" s="13" t="s">
        <v>1570</v>
      </c>
      <c r="L862" s="7" t="s">
        <v>1571</v>
      </c>
      <c r="M862" s="7">
        <v>1</v>
      </c>
      <c r="N862" s="9" t="s">
        <v>1716</v>
      </c>
      <c r="O862" s="9" t="s">
        <v>39</v>
      </c>
      <c r="P862" s="9"/>
      <c r="Q862" s="15"/>
      <c r="R862" s="9">
        <v>0</v>
      </c>
    </row>
    <row r="863" spans="1:18" s="1" customFormat="1" hidden="1" x14ac:dyDescent="0.25">
      <c r="A863" s="10" t="s">
        <v>1572</v>
      </c>
      <c r="B863" s="14" t="s">
        <v>1573</v>
      </c>
      <c r="C863" s="10" t="s">
        <v>54</v>
      </c>
      <c r="D863" s="10" t="s">
        <v>35</v>
      </c>
      <c r="E863" s="10" t="s">
        <v>35</v>
      </c>
      <c r="F863" s="11">
        <v>0</v>
      </c>
      <c r="G863" s="21">
        <v>1</v>
      </c>
      <c r="H863" s="21">
        <v>0</v>
      </c>
      <c r="I863" s="21">
        <v>0</v>
      </c>
      <c r="J863" s="14" t="s">
        <v>419</v>
      </c>
      <c r="K863" s="14" t="s">
        <v>1570</v>
      </c>
      <c r="L863" s="10" t="s">
        <v>1574</v>
      </c>
      <c r="M863" s="10">
        <v>1</v>
      </c>
      <c r="N863" s="12" t="s">
        <v>1716</v>
      </c>
      <c r="O863" s="12" t="s">
        <v>39</v>
      </c>
      <c r="P863" s="12"/>
      <c r="Q863" s="16"/>
      <c r="R863" s="12">
        <v>0</v>
      </c>
    </row>
    <row r="864" spans="1:18" s="1" customFormat="1" hidden="1" x14ac:dyDescent="0.25">
      <c r="A864" s="7" t="s">
        <v>1575</v>
      </c>
      <c r="B864" s="13" t="s">
        <v>1576</v>
      </c>
      <c r="C864" s="7" t="s">
        <v>54</v>
      </c>
      <c r="D864" s="7" t="s">
        <v>35</v>
      </c>
      <c r="E864" s="7" t="s">
        <v>35</v>
      </c>
      <c r="F864" s="8">
        <v>0</v>
      </c>
      <c r="G864" s="20">
        <v>1</v>
      </c>
      <c r="H864" s="20">
        <v>0</v>
      </c>
      <c r="I864" s="20">
        <v>0</v>
      </c>
      <c r="J864" s="13" t="s">
        <v>419</v>
      </c>
      <c r="K864" s="13" t="s">
        <v>1570</v>
      </c>
      <c r="L864" s="7" t="s">
        <v>1577</v>
      </c>
      <c r="M864" s="7">
        <v>1</v>
      </c>
      <c r="N864" s="9" t="s">
        <v>1716</v>
      </c>
      <c r="O864" s="9" t="s">
        <v>39</v>
      </c>
      <c r="P864" s="9"/>
      <c r="Q864" s="15"/>
      <c r="R864" s="9">
        <v>0</v>
      </c>
    </row>
    <row r="865" spans="1:18" s="1" customFormat="1" hidden="1" x14ac:dyDescent="0.25">
      <c r="A865" s="10" t="s">
        <v>1578</v>
      </c>
      <c r="B865" s="14" t="s">
        <v>1579</v>
      </c>
      <c r="C865" s="10" t="s">
        <v>54</v>
      </c>
      <c r="D865" s="10" t="s">
        <v>35</v>
      </c>
      <c r="E865" s="10" t="s">
        <v>35</v>
      </c>
      <c r="F865" s="11">
        <v>0</v>
      </c>
      <c r="G865" s="21">
        <v>1</v>
      </c>
      <c r="H865" s="21">
        <v>0</v>
      </c>
      <c r="I865" s="21">
        <v>0</v>
      </c>
      <c r="J865" s="14" t="s">
        <v>419</v>
      </c>
      <c r="K865" s="14" t="s">
        <v>1580</v>
      </c>
      <c r="L865" s="10" t="s">
        <v>1581</v>
      </c>
      <c r="M865" s="10">
        <v>1</v>
      </c>
      <c r="N865" s="12" t="s">
        <v>1716</v>
      </c>
      <c r="O865" s="12" t="s">
        <v>39</v>
      </c>
      <c r="P865" s="12"/>
      <c r="Q865" s="16"/>
      <c r="R865" s="12">
        <v>0</v>
      </c>
    </row>
    <row r="866" spans="1:18" s="1" customFormat="1" hidden="1" x14ac:dyDescent="0.25">
      <c r="A866" s="7" t="s">
        <v>1582</v>
      </c>
      <c r="B866" s="13" t="s">
        <v>1583</v>
      </c>
      <c r="C866" s="7" t="s">
        <v>54</v>
      </c>
      <c r="D866" s="7" t="s">
        <v>35</v>
      </c>
      <c r="E866" s="7" t="s">
        <v>35</v>
      </c>
      <c r="F866" s="8">
        <v>0</v>
      </c>
      <c r="G866" s="20">
        <v>1</v>
      </c>
      <c r="H866" s="20">
        <v>0</v>
      </c>
      <c r="I866" s="20">
        <v>0</v>
      </c>
      <c r="J866" s="13" t="s">
        <v>419</v>
      </c>
      <c r="K866" s="13" t="s">
        <v>1580</v>
      </c>
      <c r="L866" s="7" t="s">
        <v>1584</v>
      </c>
      <c r="M866" s="7">
        <v>1</v>
      </c>
      <c r="N866" s="9" t="s">
        <v>1716</v>
      </c>
      <c r="O866" s="9" t="s">
        <v>39</v>
      </c>
      <c r="P866" s="9"/>
      <c r="Q866" s="15"/>
      <c r="R866" s="9">
        <v>0</v>
      </c>
    </row>
    <row r="867" spans="1:18" s="1" customFormat="1" hidden="1" x14ac:dyDescent="0.25">
      <c r="A867" s="10" t="s">
        <v>1585</v>
      </c>
      <c r="B867" s="14" t="s">
        <v>1586</v>
      </c>
      <c r="C867" s="10" t="s">
        <v>54</v>
      </c>
      <c r="D867" s="10" t="s">
        <v>35</v>
      </c>
      <c r="E867" s="10" t="s">
        <v>35</v>
      </c>
      <c r="F867" s="11">
        <v>0</v>
      </c>
      <c r="G867" s="21">
        <v>1</v>
      </c>
      <c r="H867" s="21">
        <v>0</v>
      </c>
      <c r="I867" s="21">
        <v>0</v>
      </c>
      <c r="J867" s="14" t="s">
        <v>419</v>
      </c>
      <c r="K867" s="14" t="s">
        <v>1580</v>
      </c>
      <c r="L867" s="10" t="s">
        <v>1587</v>
      </c>
      <c r="M867" s="10">
        <v>1</v>
      </c>
      <c r="N867" s="12" t="s">
        <v>1716</v>
      </c>
      <c r="O867" s="12" t="s">
        <v>39</v>
      </c>
      <c r="P867" s="12"/>
      <c r="Q867" s="16"/>
      <c r="R867" s="12">
        <v>0</v>
      </c>
    </row>
    <row r="868" spans="1:18" s="1" customFormat="1" hidden="1" x14ac:dyDescent="0.25">
      <c r="A868" s="7" t="s">
        <v>1588</v>
      </c>
      <c r="B868" s="13" t="s">
        <v>1589</v>
      </c>
      <c r="C868" s="7" t="s">
        <v>34</v>
      </c>
      <c r="D868" s="7" t="s">
        <v>35</v>
      </c>
      <c r="E868" s="7" t="s">
        <v>35</v>
      </c>
      <c r="F868" s="8">
        <v>0</v>
      </c>
      <c r="G868" s="20">
        <v>1</v>
      </c>
      <c r="H868" s="20">
        <v>0</v>
      </c>
      <c r="I868" s="20">
        <v>0</v>
      </c>
      <c r="J868" s="13" t="s">
        <v>36</v>
      </c>
      <c r="K868" s="13" t="s">
        <v>35</v>
      </c>
      <c r="L868" s="7" t="s">
        <v>159</v>
      </c>
      <c r="M868" s="7">
        <v>0.1666</v>
      </c>
      <c r="N868" s="9" t="s">
        <v>1716</v>
      </c>
      <c r="O868" s="9" t="s">
        <v>39</v>
      </c>
      <c r="P868" s="9"/>
      <c r="Q868" s="15"/>
      <c r="R868" s="9">
        <v>0</v>
      </c>
    </row>
    <row r="869" spans="1:18" s="1" customFormat="1" hidden="1" x14ac:dyDescent="0.25">
      <c r="A869" s="7" t="s">
        <v>1588</v>
      </c>
      <c r="B869" s="13" t="s">
        <v>1589</v>
      </c>
      <c r="C869" s="7" t="s">
        <v>34</v>
      </c>
      <c r="D869" s="7" t="s">
        <v>35</v>
      </c>
      <c r="E869" s="7" t="s">
        <v>35</v>
      </c>
      <c r="F869" s="8">
        <v>0</v>
      </c>
      <c r="G869" s="20">
        <v>1</v>
      </c>
      <c r="H869" s="20">
        <v>0</v>
      </c>
      <c r="I869" s="20">
        <v>0</v>
      </c>
      <c r="J869" s="13" t="s">
        <v>36</v>
      </c>
      <c r="K869" s="13" t="s">
        <v>35</v>
      </c>
      <c r="L869" s="7" t="s">
        <v>1205</v>
      </c>
      <c r="M869" s="7">
        <v>2.2147999999999999</v>
      </c>
      <c r="N869" s="9" t="s">
        <v>1716</v>
      </c>
      <c r="O869" s="9" t="s">
        <v>39</v>
      </c>
      <c r="P869" s="9"/>
      <c r="Q869" s="15"/>
      <c r="R869" s="9">
        <v>0</v>
      </c>
    </row>
    <row r="870" spans="1:18" s="1" customFormat="1" hidden="1" x14ac:dyDescent="0.25">
      <c r="A870" s="10" t="s">
        <v>1590</v>
      </c>
      <c r="B870" s="14" t="s">
        <v>1591</v>
      </c>
      <c r="C870" s="10" t="s">
        <v>54</v>
      </c>
      <c r="D870" s="10" t="s">
        <v>35</v>
      </c>
      <c r="E870" s="10" t="s">
        <v>35</v>
      </c>
      <c r="F870" s="11">
        <v>0</v>
      </c>
      <c r="G870" s="21">
        <v>1</v>
      </c>
      <c r="H870" s="21">
        <v>0</v>
      </c>
      <c r="I870" s="21">
        <v>0</v>
      </c>
      <c r="J870" s="14" t="s">
        <v>448</v>
      </c>
      <c r="K870" s="14" t="s">
        <v>721</v>
      </c>
      <c r="L870" s="10" t="s">
        <v>1592</v>
      </c>
      <c r="M870" s="10">
        <v>1</v>
      </c>
      <c r="N870" s="12" t="s">
        <v>1716</v>
      </c>
      <c r="O870" s="12" t="s">
        <v>39</v>
      </c>
      <c r="P870" s="12"/>
      <c r="Q870" s="16"/>
      <c r="R870" s="12">
        <v>0</v>
      </c>
    </row>
    <row r="871" spans="1:18" s="1" customFormat="1" hidden="1" x14ac:dyDescent="0.25">
      <c r="A871" s="7" t="s">
        <v>1593</v>
      </c>
      <c r="B871" s="13" t="s">
        <v>1594</v>
      </c>
      <c r="C871" s="7" t="s">
        <v>45</v>
      </c>
      <c r="D871" s="7" t="s">
        <v>35</v>
      </c>
      <c r="E871" s="7" t="s">
        <v>35</v>
      </c>
      <c r="F871" s="8">
        <v>0</v>
      </c>
      <c r="G871" s="20">
        <v>1</v>
      </c>
      <c r="H871" s="20">
        <v>0</v>
      </c>
      <c r="I871" s="20">
        <v>0</v>
      </c>
      <c r="J871" s="13" t="s">
        <v>448</v>
      </c>
      <c r="K871" s="13" t="s">
        <v>449</v>
      </c>
      <c r="L871" s="7" t="s">
        <v>48</v>
      </c>
      <c r="M871" s="7">
        <v>2.5000000000000001E-2</v>
      </c>
      <c r="N871" s="9" t="s">
        <v>1716</v>
      </c>
      <c r="O871" s="9" t="s">
        <v>39</v>
      </c>
      <c r="P871" s="9"/>
      <c r="Q871" s="15"/>
      <c r="R871" s="9">
        <v>0</v>
      </c>
    </row>
    <row r="872" spans="1:18" s="1" customFormat="1" hidden="1" x14ac:dyDescent="0.25">
      <c r="A872" s="7" t="s">
        <v>1593</v>
      </c>
      <c r="B872" s="13" t="s">
        <v>1594</v>
      </c>
      <c r="C872" s="7" t="s">
        <v>45</v>
      </c>
      <c r="D872" s="7" t="s">
        <v>35</v>
      </c>
      <c r="E872" s="7" t="s">
        <v>35</v>
      </c>
      <c r="F872" s="8">
        <v>0</v>
      </c>
      <c r="G872" s="20">
        <v>1</v>
      </c>
      <c r="H872" s="20">
        <v>0</v>
      </c>
      <c r="I872" s="20">
        <v>0</v>
      </c>
      <c r="J872" s="13" t="s">
        <v>448</v>
      </c>
      <c r="K872" s="13" t="s">
        <v>449</v>
      </c>
      <c r="L872" s="7" t="s">
        <v>49</v>
      </c>
      <c r="M872" s="7">
        <v>0.26400000000000001</v>
      </c>
      <c r="N872" s="9" t="s">
        <v>1716</v>
      </c>
      <c r="O872" s="9" t="s">
        <v>39</v>
      </c>
      <c r="P872" s="9"/>
      <c r="Q872" s="15"/>
      <c r="R872" s="9">
        <v>0</v>
      </c>
    </row>
    <row r="873" spans="1:18" s="1" customFormat="1" hidden="1" x14ac:dyDescent="0.25">
      <c r="A873" s="7" t="s">
        <v>1593</v>
      </c>
      <c r="B873" s="13" t="s">
        <v>1594</v>
      </c>
      <c r="C873" s="7" t="s">
        <v>45</v>
      </c>
      <c r="D873" s="7" t="s">
        <v>35</v>
      </c>
      <c r="E873" s="7" t="s">
        <v>35</v>
      </c>
      <c r="F873" s="8">
        <v>0</v>
      </c>
      <c r="G873" s="20">
        <v>1</v>
      </c>
      <c r="H873" s="20">
        <v>0</v>
      </c>
      <c r="I873" s="20">
        <v>0</v>
      </c>
      <c r="J873" s="13" t="s">
        <v>448</v>
      </c>
      <c r="K873" s="13" t="s">
        <v>449</v>
      </c>
      <c r="L873" s="7" t="s">
        <v>50</v>
      </c>
      <c r="M873" s="7">
        <v>1</v>
      </c>
      <c r="N873" s="9" t="s">
        <v>1716</v>
      </c>
      <c r="O873" s="9" t="s">
        <v>39</v>
      </c>
      <c r="P873" s="9"/>
      <c r="Q873" s="15"/>
      <c r="R873" s="9">
        <v>0</v>
      </c>
    </row>
    <row r="874" spans="1:18" s="1" customFormat="1" hidden="1" x14ac:dyDescent="0.25">
      <c r="A874" s="7" t="s">
        <v>1593</v>
      </c>
      <c r="B874" s="13" t="s">
        <v>1594</v>
      </c>
      <c r="C874" s="7" t="s">
        <v>45</v>
      </c>
      <c r="D874" s="7" t="s">
        <v>35</v>
      </c>
      <c r="E874" s="7" t="s">
        <v>35</v>
      </c>
      <c r="F874" s="8">
        <v>0</v>
      </c>
      <c r="G874" s="20">
        <v>1</v>
      </c>
      <c r="H874" s="20">
        <v>0</v>
      </c>
      <c r="I874" s="20">
        <v>0</v>
      </c>
      <c r="J874" s="13" t="s">
        <v>448</v>
      </c>
      <c r="K874" s="13" t="s">
        <v>449</v>
      </c>
      <c r="L874" s="7" t="s">
        <v>51</v>
      </c>
      <c r="M874" s="7">
        <v>1</v>
      </c>
      <c r="N874" s="9" t="s">
        <v>1716</v>
      </c>
      <c r="O874" s="9" t="s">
        <v>39</v>
      </c>
      <c r="P874" s="9"/>
      <c r="Q874" s="15"/>
      <c r="R874" s="9">
        <v>0</v>
      </c>
    </row>
    <row r="875" spans="1:18" s="1" customFormat="1" hidden="1" x14ac:dyDescent="0.25">
      <c r="A875" s="10" t="s">
        <v>1595</v>
      </c>
      <c r="B875" s="14" t="s">
        <v>1596</v>
      </c>
      <c r="C875" s="10" t="s">
        <v>45</v>
      </c>
      <c r="D875" s="10" t="s">
        <v>35</v>
      </c>
      <c r="E875" s="10" t="s">
        <v>35</v>
      </c>
      <c r="F875" s="11">
        <v>0</v>
      </c>
      <c r="G875" s="21">
        <v>1</v>
      </c>
      <c r="H875" s="21">
        <v>0</v>
      </c>
      <c r="I875" s="21">
        <v>0</v>
      </c>
      <c r="J875" s="14" t="s">
        <v>46</v>
      </c>
      <c r="K875" s="14" t="s">
        <v>449</v>
      </c>
      <c r="L875" s="10" t="s">
        <v>48</v>
      </c>
      <c r="M875" s="10">
        <v>2.5000000000000001E-2</v>
      </c>
      <c r="N875" s="12" t="s">
        <v>1716</v>
      </c>
      <c r="O875" s="12" t="s">
        <v>39</v>
      </c>
      <c r="P875" s="12"/>
      <c r="Q875" s="16"/>
      <c r="R875" s="12">
        <v>0</v>
      </c>
    </row>
    <row r="876" spans="1:18" s="1" customFormat="1" hidden="1" x14ac:dyDescent="0.25">
      <c r="A876" s="10" t="s">
        <v>1595</v>
      </c>
      <c r="B876" s="14" t="s">
        <v>1596</v>
      </c>
      <c r="C876" s="10" t="s">
        <v>45</v>
      </c>
      <c r="D876" s="10" t="s">
        <v>35</v>
      </c>
      <c r="E876" s="10" t="s">
        <v>35</v>
      </c>
      <c r="F876" s="11">
        <v>0</v>
      </c>
      <c r="G876" s="21">
        <v>1</v>
      </c>
      <c r="H876" s="21">
        <v>0</v>
      </c>
      <c r="I876" s="21">
        <v>0</v>
      </c>
      <c r="J876" s="14" t="s">
        <v>46</v>
      </c>
      <c r="K876" s="14" t="s">
        <v>449</v>
      </c>
      <c r="L876" s="10" t="s">
        <v>49</v>
      </c>
      <c r="M876" s="10">
        <v>0.26400000000000001</v>
      </c>
      <c r="N876" s="12" t="s">
        <v>1716</v>
      </c>
      <c r="O876" s="12" t="s">
        <v>39</v>
      </c>
      <c r="P876" s="12"/>
      <c r="Q876" s="16"/>
      <c r="R876" s="12">
        <v>0</v>
      </c>
    </row>
    <row r="877" spans="1:18" s="1" customFormat="1" hidden="1" x14ac:dyDescent="0.25">
      <c r="A877" s="10" t="s">
        <v>1595</v>
      </c>
      <c r="B877" s="14" t="s">
        <v>1596</v>
      </c>
      <c r="C877" s="10" t="s">
        <v>45</v>
      </c>
      <c r="D877" s="10" t="s">
        <v>35</v>
      </c>
      <c r="E877" s="10" t="s">
        <v>35</v>
      </c>
      <c r="F877" s="11">
        <v>0</v>
      </c>
      <c r="G877" s="21">
        <v>1</v>
      </c>
      <c r="H877" s="21">
        <v>0</v>
      </c>
      <c r="I877" s="21">
        <v>0</v>
      </c>
      <c r="J877" s="14" t="s">
        <v>46</v>
      </c>
      <c r="K877" s="14" t="s">
        <v>449</v>
      </c>
      <c r="L877" s="10" t="s">
        <v>50</v>
      </c>
      <c r="M877" s="10">
        <v>1</v>
      </c>
      <c r="N877" s="12" t="s">
        <v>1716</v>
      </c>
      <c r="O877" s="12" t="s">
        <v>39</v>
      </c>
      <c r="P877" s="12"/>
      <c r="Q877" s="16"/>
      <c r="R877" s="12">
        <v>0</v>
      </c>
    </row>
    <row r="878" spans="1:18" s="1" customFormat="1" hidden="1" x14ac:dyDescent="0.25">
      <c r="A878" s="10" t="s">
        <v>1595</v>
      </c>
      <c r="B878" s="14" t="s">
        <v>1596</v>
      </c>
      <c r="C878" s="10" t="s">
        <v>45</v>
      </c>
      <c r="D878" s="10" t="s">
        <v>35</v>
      </c>
      <c r="E878" s="10" t="s">
        <v>35</v>
      </c>
      <c r="F878" s="11">
        <v>0</v>
      </c>
      <c r="G878" s="21">
        <v>1</v>
      </c>
      <c r="H878" s="21">
        <v>0</v>
      </c>
      <c r="I878" s="21">
        <v>0</v>
      </c>
      <c r="J878" s="14" t="s">
        <v>46</v>
      </c>
      <c r="K878" s="14" t="s">
        <v>449</v>
      </c>
      <c r="L878" s="10" t="s">
        <v>51</v>
      </c>
      <c r="M878" s="10">
        <v>1</v>
      </c>
      <c r="N878" s="12" t="s">
        <v>1716</v>
      </c>
      <c r="O878" s="12" t="s">
        <v>39</v>
      </c>
      <c r="P878" s="12"/>
      <c r="Q878" s="16"/>
      <c r="R878" s="12">
        <v>0</v>
      </c>
    </row>
    <row r="879" spans="1:18" s="1" customFormat="1" hidden="1" x14ac:dyDescent="0.25">
      <c r="A879" s="7" t="s">
        <v>1597</v>
      </c>
      <c r="B879" s="13" t="s">
        <v>1598</v>
      </c>
      <c r="C879" s="7" t="s">
        <v>45</v>
      </c>
      <c r="D879" s="7" t="s">
        <v>35</v>
      </c>
      <c r="E879" s="7" t="s">
        <v>35</v>
      </c>
      <c r="F879" s="8">
        <v>0</v>
      </c>
      <c r="G879" s="20">
        <v>1</v>
      </c>
      <c r="H879" s="20">
        <v>0</v>
      </c>
      <c r="I879" s="20">
        <v>0</v>
      </c>
      <c r="J879" s="13" t="s">
        <v>46</v>
      </c>
      <c r="K879" s="13" t="s">
        <v>381</v>
      </c>
      <c r="L879" s="7" t="s">
        <v>48</v>
      </c>
      <c r="M879" s="7">
        <v>2.5000000000000001E-2</v>
      </c>
      <c r="N879" s="9" t="s">
        <v>1716</v>
      </c>
      <c r="O879" s="9" t="s">
        <v>39</v>
      </c>
      <c r="P879" s="9"/>
      <c r="Q879" s="15"/>
      <c r="R879" s="9">
        <v>0</v>
      </c>
    </row>
    <row r="880" spans="1:18" s="1" customFormat="1" hidden="1" x14ac:dyDescent="0.25">
      <c r="A880" s="7" t="s">
        <v>1597</v>
      </c>
      <c r="B880" s="13" t="s">
        <v>1598</v>
      </c>
      <c r="C880" s="7" t="s">
        <v>45</v>
      </c>
      <c r="D880" s="7" t="s">
        <v>35</v>
      </c>
      <c r="E880" s="7" t="s">
        <v>35</v>
      </c>
      <c r="F880" s="8">
        <v>0</v>
      </c>
      <c r="G880" s="20">
        <v>1</v>
      </c>
      <c r="H880" s="20">
        <v>0</v>
      </c>
      <c r="I880" s="20">
        <v>0</v>
      </c>
      <c r="J880" s="13" t="s">
        <v>46</v>
      </c>
      <c r="K880" s="13" t="s">
        <v>381</v>
      </c>
      <c r="L880" s="7" t="s">
        <v>212</v>
      </c>
      <c r="M880" s="7">
        <v>1.19</v>
      </c>
      <c r="N880" s="9" t="s">
        <v>1716</v>
      </c>
      <c r="O880" s="9" t="s">
        <v>39</v>
      </c>
      <c r="P880" s="9"/>
      <c r="Q880" s="15"/>
      <c r="R880" s="9">
        <v>0</v>
      </c>
    </row>
    <row r="881" spans="1:18" s="1" customFormat="1" hidden="1" x14ac:dyDescent="0.25">
      <c r="A881" s="7" t="s">
        <v>1597</v>
      </c>
      <c r="B881" s="13" t="s">
        <v>1598</v>
      </c>
      <c r="C881" s="7" t="s">
        <v>45</v>
      </c>
      <c r="D881" s="7" t="s">
        <v>35</v>
      </c>
      <c r="E881" s="7" t="s">
        <v>35</v>
      </c>
      <c r="F881" s="8">
        <v>0</v>
      </c>
      <c r="G881" s="20">
        <v>1</v>
      </c>
      <c r="H881" s="20">
        <v>0</v>
      </c>
      <c r="I881" s="20">
        <v>0</v>
      </c>
      <c r="J881" s="13" t="s">
        <v>46</v>
      </c>
      <c r="K881" s="13" t="s">
        <v>381</v>
      </c>
      <c r="L881" s="7" t="s">
        <v>490</v>
      </c>
      <c r="M881" s="7">
        <v>1</v>
      </c>
      <c r="N881" s="9" t="s">
        <v>1716</v>
      </c>
      <c r="O881" s="9" t="s">
        <v>39</v>
      </c>
      <c r="P881" s="9"/>
      <c r="Q881" s="15"/>
      <c r="R881" s="9">
        <v>0</v>
      </c>
    </row>
    <row r="882" spans="1:18" s="1" customFormat="1" hidden="1" x14ac:dyDescent="0.25">
      <c r="A882" s="7" t="s">
        <v>1597</v>
      </c>
      <c r="B882" s="13" t="s">
        <v>1598</v>
      </c>
      <c r="C882" s="7" t="s">
        <v>45</v>
      </c>
      <c r="D882" s="7" t="s">
        <v>35</v>
      </c>
      <c r="E882" s="7" t="s">
        <v>35</v>
      </c>
      <c r="F882" s="8">
        <v>0</v>
      </c>
      <c r="G882" s="20">
        <v>1</v>
      </c>
      <c r="H882" s="20">
        <v>0</v>
      </c>
      <c r="I882" s="20">
        <v>0</v>
      </c>
      <c r="J882" s="13" t="s">
        <v>46</v>
      </c>
      <c r="K882" s="13" t="s">
        <v>381</v>
      </c>
      <c r="L882" s="7" t="s">
        <v>1599</v>
      </c>
      <c r="M882" s="7">
        <v>1</v>
      </c>
      <c r="N882" s="9" t="s">
        <v>1716</v>
      </c>
      <c r="O882" s="9" t="s">
        <v>39</v>
      </c>
      <c r="P882" s="9"/>
      <c r="Q882" s="15"/>
      <c r="R882" s="9">
        <v>0</v>
      </c>
    </row>
    <row r="883" spans="1:18" s="1" customFormat="1" hidden="1" x14ac:dyDescent="0.25">
      <c r="A883" s="10" t="s">
        <v>1600</v>
      </c>
      <c r="B883" s="14" t="s">
        <v>1601</v>
      </c>
      <c r="C883" s="10" t="s">
        <v>45</v>
      </c>
      <c r="D883" s="10" t="s">
        <v>35</v>
      </c>
      <c r="E883" s="10" t="s">
        <v>35</v>
      </c>
      <c r="F883" s="11">
        <v>0</v>
      </c>
      <c r="G883" s="21">
        <v>1</v>
      </c>
      <c r="H883" s="21">
        <v>0</v>
      </c>
      <c r="I883" s="21">
        <v>0</v>
      </c>
      <c r="J883" s="14" t="s">
        <v>46</v>
      </c>
      <c r="K883" s="14" t="s">
        <v>381</v>
      </c>
      <c r="L883" s="10" t="s">
        <v>48</v>
      </c>
      <c r="M883" s="10">
        <v>2.5000000000000001E-2</v>
      </c>
      <c r="N883" s="12" t="s">
        <v>1716</v>
      </c>
      <c r="O883" s="12" t="s">
        <v>39</v>
      </c>
      <c r="P883" s="12"/>
      <c r="Q883" s="16"/>
      <c r="R883" s="12">
        <v>0</v>
      </c>
    </row>
    <row r="884" spans="1:18" s="1" customFormat="1" hidden="1" x14ac:dyDescent="0.25">
      <c r="A884" s="10" t="s">
        <v>1600</v>
      </c>
      <c r="B884" s="14" t="s">
        <v>1601</v>
      </c>
      <c r="C884" s="10" t="s">
        <v>45</v>
      </c>
      <c r="D884" s="10" t="s">
        <v>35</v>
      </c>
      <c r="E884" s="10" t="s">
        <v>35</v>
      </c>
      <c r="F884" s="11">
        <v>0</v>
      </c>
      <c r="G884" s="21">
        <v>1</v>
      </c>
      <c r="H884" s="21">
        <v>0</v>
      </c>
      <c r="I884" s="21">
        <v>0</v>
      </c>
      <c r="J884" s="14" t="s">
        <v>46</v>
      </c>
      <c r="K884" s="14" t="s">
        <v>381</v>
      </c>
      <c r="L884" s="10" t="s">
        <v>49</v>
      </c>
      <c r="M884" s="10">
        <v>0.26400000000000001</v>
      </c>
      <c r="N884" s="12" t="s">
        <v>1716</v>
      </c>
      <c r="O884" s="12" t="s">
        <v>39</v>
      </c>
      <c r="P884" s="12"/>
      <c r="Q884" s="16"/>
      <c r="R884" s="12">
        <v>0</v>
      </c>
    </row>
    <row r="885" spans="1:18" s="1" customFormat="1" hidden="1" x14ac:dyDescent="0.25">
      <c r="A885" s="10" t="s">
        <v>1600</v>
      </c>
      <c r="B885" s="14" t="s">
        <v>1601</v>
      </c>
      <c r="C885" s="10" t="s">
        <v>45</v>
      </c>
      <c r="D885" s="10" t="s">
        <v>35</v>
      </c>
      <c r="E885" s="10" t="s">
        <v>35</v>
      </c>
      <c r="F885" s="11">
        <v>0</v>
      </c>
      <c r="G885" s="21">
        <v>1</v>
      </c>
      <c r="H885" s="21">
        <v>0</v>
      </c>
      <c r="I885" s="21">
        <v>0</v>
      </c>
      <c r="J885" s="14" t="s">
        <v>46</v>
      </c>
      <c r="K885" s="14" t="s">
        <v>381</v>
      </c>
      <c r="L885" s="10" t="s">
        <v>1599</v>
      </c>
      <c r="M885" s="10">
        <v>1</v>
      </c>
      <c r="N885" s="12" t="s">
        <v>1716</v>
      </c>
      <c r="O885" s="12" t="s">
        <v>39</v>
      </c>
      <c r="P885" s="12"/>
      <c r="Q885" s="16"/>
      <c r="R885" s="12">
        <v>0</v>
      </c>
    </row>
    <row r="886" spans="1:18" s="1" customFormat="1" hidden="1" x14ac:dyDescent="0.25">
      <c r="A886" s="10" t="s">
        <v>1600</v>
      </c>
      <c r="B886" s="14" t="s">
        <v>1601</v>
      </c>
      <c r="C886" s="10" t="s">
        <v>45</v>
      </c>
      <c r="D886" s="10" t="s">
        <v>35</v>
      </c>
      <c r="E886" s="10" t="s">
        <v>35</v>
      </c>
      <c r="F886" s="11">
        <v>0</v>
      </c>
      <c r="G886" s="21">
        <v>1</v>
      </c>
      <c r="H886" s="21">
        <v>0</v>
      </c>
      <c r="I886" s="21">
        <v>0</v>
      </c>
      <c r="J886" s="14" t="s">
        <v>46</v>
      </c>
      <c r="K886" s="14" t="s">
        <v>381</v>
      </c>
      <c r="L886" s="10" t="s">
        <v>463</v>
      </c>
      <c r="M886" s="10">
        <v>1</v>
      </c>
      <c r="N886" s="12" t="s">
        <v>1716</v>
      </c>
      <c r="O886" s="12" t="s">
        <v>39</v>
      </c>
      <c r="P886" s="12"/>
      <c r="Q886" s="16"/>
      <c r="R886" s="12">
        <v>0</v>
      </c>
    </row>
    <row r="887" spans="1:18" s="1" customFormat="1" hidden="1" x14ac:dyDescent="0.25">
      <c r="A887" s="7" t="s">
        <v>1602</v>
      </c>
      <c r="B887" s="13" t="s">
        <v>1603</v>
      </c>
      <c r="C887" s="7" t="s">
        <v>54</v>
      </c>
      <c r="D887" s="7" t="s">
        <v>35</v>
      </c>
      <c r="E887" s="7" t="s">
        <v>35</v>
      </c>
      <c r="F887" s="8">
        <v>0</v>
      </c>
      <c r="G887" s="20">
        <v>1</v>
      </c>
      <c r="H887" s="20">
        <v>0</v>
      </c>
      <c r="I887" s="20">
        <v>0</v>
      </c>
      <c r="J887" s="13" t="s">
        <v>46</v>
      </c>
      <c r="K887" s="13" t="s">
        <v>35</v>
      </c>
      <c r="L887" s="7" t="s">
        <v>1604</v>
      </c>
      <c r="M887" s="7">
        <v>1</v>
      </c>
      <c r="N887" s="9" t="s">
        <v>1716</v>
      </c>
      <c r="O887" s="9" t="s">
        <v>39</v>
      </c>
      <c r="P887" s="9"/>
      <c r="Q887" s="15"/>
      <c r="R887" s="9">
        <v>0</v>
      </c>
    </row>
    <row r="888" spans="1:18" s="1" customFormat="1" hidden="1" x14ac:dyDescent="0.25">
      <c r="A888" s="10" t="s">
        <v>1605</v>
      </c>
      <c r="B888" s="14" t="s">
        <v>1606</v>
      </c>
      <c r="C888" s="10" t="s">
        <v>75</v>
      </c>
      <c r="D888" s="10" t="s">
        <v>35</v>
      </c>
      <c r="E888" s="10" t="s">
        <v>35</v>
      </c>
      <c r="F888" s="11">
        <v>0</v>
      </c>
      <c r="G888" s="21">
        <v>1</v>
      </c>
      <c r="H888" s="21">
        <v>0</v>
      </c>
      <c r="I888" s="21">
        <v>0</v>
      </c>
      <c r="J888" s="14" t="s">
        <v>525</v>
      </c>
      <c r="K888" s="14" t="s">
        <v>56</v>
      </c>
      <c r="L888" s="10" t="s">
        <v>857</v>
      </c>
      <c r="M888" s="10">
        <v>3.4000000000000002E-2</v>
      </c>
      <c r="N888" s="12" t="s">
        <v>1716</v>
      </c>
      <c r="O888" s="12" t="s">
        <v>39</v>
      </c>
      <c r="P888" s="12"/>
      <c r="Q888" s="16"/>
      <c r="R888" s="12">
        <v>0</v>
      </c>
    </row>
    <row r="889" spans="1:18" s="1" customFormat="1" hidden="1" x14ac:dyDescent="0.25">
      <c r="A889" s="10" t="s">
        <v>1605</v>
      </c>
      <c r="B889" s="14" t="s">
        <v>1606</v>
      </c>
      <c r="C889" s="10" t="s">
        <v>75</v>
      </c>
      <c r="D889" s="10" t="s">
        <v>35</v>
      </c>
      <c r="E889" s="10" t="s">
        <v>35</v>
      </c>
      <c r="F889" s="11">
        <v>0</v>
      </c>
      <c r="G889" s="21">
        <v>1</v>
      </c>
      <c r="H889" s="21">
        <v>0</v>
      </c>
      <c r="I889" s="21">
        <v>0</v>
      </c>
      <c r="J889" s="14" t="s">
        <v>525</v>
      </c>
      <c r="K889" s="14" t="s">
        <v>56</v>
      </c>
      <c r="L889" s="10" t="s">
        <v>697</v>
      </c>
      <c r="M889" s="10">
        <v>1.2E-2</v>
      </c>
      <c r="N889" s="12" t="s">
        <v>1716</v>
      </c>
      <c r="O889" s="12" t="s">
        <v>39</v>
      </c>
      <c r="P889" s="12"/>
      <c r="Q889" s="16"/>
      <c r="R889" s="12">
        <v>0</v>
      </c>
    </row>
    <row r="890" spans="1:18" s="1" customFormat="1" hidden="1" x14ac:dyDescent="0.25">
      <c r="A890" s="10" t="s">
        <v>1605</v>
      </c>
      <c r="B890" s="14" t="s">
        <v>1606</v>
      </c>
      <c r="C890" s="10" t="s">
        <v>75</v>
      </c>
      <c r="D890" s="10" t="s">
        <v>35</v>
      </c>
      <c r="E890" s="10" t="s">
        <v>35</v>
      </c>
      <c r="F890" s="11">
        <v>0</v>
      </c>
      <c r="G890" s="21">
        <v>1</v>
      </c>
      <c r="H890" s="21">
        <v>0</v>
      </c>
      <c r="I890" s="21">
        <v>0</v>
      </c>
      <c r="J890" s="14" t="s">
        <v>525</v>
      </c>
      <c r="K890" s="14" t="s">
        <v>56</v>
      </c>
      <c r="L890" s="10" t="s">
        <v>646</v>
      </c>
      <c r="M890" s="10">
        <v>8.4899999999999993E-3</v>
      </c>
      <c r="N890" s="12" t="s">
        <v>1716</v>
      </c>
      <c r="O890" s="12" t="s">
        <v>39</v>
      </c>
      <c r="P890" s="12"/>
      <c r="Q890" s="16"/>
      <c r="R890" s="12">
        <v>0</v>
      </c>
    </row>
    <row r="891" spans="1:18" s="1" customFormat="1" hidden="1" x14ac:dyDescent="0.25">
      <c r="A891" s="10" t="s">
        <v>1605</v>
      </c>
      <c r="B891" s="14" t="s">
        <v>1606</v>
      </c>
      <c r="C891" s="10" t="s">
        <v>75</v>
      </c>
      <c r="D891" s="10" t="s">
        <v>35</v>
      </c>
      <c r="E891" s="10" t="s">
        <v>35</v>
      </c>
      <c r="F891" s="11">
        <v>0</v>
      </c>
      <c r="G891" s="21">
        <v>1</v>
      </c>
      <c r="H891" s="21">
        <v>0</v>
      </c>
      <c r="I891" s="21">
        <v>0</v>
      </c>
      <c r="J891" s="14" t="s">
        <v>525</v>
      </c>
      <c r="K891" s="14" t="s">
        <v>56</v>
      </c>
      <c r="L891" s="10" t="s">
        <v>647</v>
      </c>
      <c r="M891" s="10">
        <v>7.6999999999999999E-2</v>
      </c>
      <c r="N891" s="12" t="s">
        <v>1716</v>
      </c>
      <c r="O891" s="12" t="s">
        <v>39</v>
      </c>
      <c r="P891" s="12"/>
      <c r="Q891" s="16"/>
      <c r="R891" s="12">
        <v>0</v>
      </c>
    </row>
    <row r="892" spans="1:18" s="1" customFormat="1" hidden="1" x14ac:dyDescent="0.25">
      <c r="A892" s="7" t="s">
        <v>1607</v>
      </c>
      <c r="B892" s="13" t="s">
        <v>1608</v>
      </c>
      <c r="C892" s="7" t="s">
        <v>136</v>
      </c>
      <c r="D892" s="7" t="s">
        <v>35</v>
      </c>
      <c r="E892" s="7" t="s">
        <v>35</v>
      </c>
      <c r="F892" s="8">
        <v>0</v>
      </c>
      <c r="G892" s="20">
        <v>1</v>
      </c>
      <c r="H892" s="20">
        <v>0</v>
      </c>
      <c r="I892" s="20">
        <v>0</v>
      </c>
      <c r="J892" s="13" t="s">
        <v>525</v>
      </c>
      <c r="K892" s="13" t="s">
        <v>1609</v>
      </c>
      <c r="L892" s="7" t="s">
        <v>1610</v>
      </c>
      <c r="M892" s="7">
        <v>1.05</v>
      </c>
      <c r="N892" s="9" t="s">
        <v>1716</v>
      </c>
      <c r="O892" s="9" t="s">
        <v>39</v>
      </c>
      <c r="P892" s="9"/>
      <c r="Q892" s="15"/>
      <c r="R892" s="9">
        <v>0</v>
      </c>
    </row>
    <row r="893" spans="1:18" s="1" customFormat="1" hidden="1" x14ac:dyDescent="0.25">
      <c r="A893" s="7" t="s">
        <v>1607</v>
      </c>
      <c r="B893" s="13" t="s">
        <v>1608</v>
      </c>
      <c r="C893" s="7" t="s">
        <v>136</v>
      </c>
      <c r="D893" s="7" t="s">
        <v>35</v>
      </c>
      <c r="E893" s="7" t="s">
        <v>35</v>
      </c>
      <c r="F893" s="8">
        <v>0</v>
      </c>
      <c r="G893" s="20">
        <v>1</v>
      </c>
      <c r="H893" s="20">
        <v>0</v>
      </c>
      <c r="I893" s="20">
        <v>0</v>
      </c>
      <c r="J893" s="13" t="s">
        <v>525</v>
      </c>
      <c r="K893" s="13" t="s">
        <v>1609</v>
      </c>
      <c r="L893" s="7" t="s">
        <v>697</v>
      </c>
      <c r="M893" s="7">
        <v>1.4999999999999999E-2</v>
      </c>
      <c r="N893" s="9" t="s">
        <v>1716</v>
      </c>
      <c r="O893" s="9" t="s">
        <v>39</v>
      </c>
      <c r="P893" s="9"/>
      <c r="Q893" s="15"/>
      <c r="R893" s="9">
        <v>0</v>
      </c>
    </row>
    <row r="894" spans="1:18" s="1" customFormat="1" hidden="1" x14ac:dyDescent="0.25">
      <c r="A894" s="10" t="s">
        <v>1611</v>
      </c>
      <c r="B894" s="14" t="s">
        <v>1612</v>
      </c>
      <c r="C894" s="10" t="s">
        <v>75</v>
      </c>
      <c r="D894" s="10" t="s">
        <v>35</v>
      </c>
      <c r="E894" s="10" t="s">
        <v>35</v>
      </c>
      <c r="F894" s="11">
        <v>0</v>
      </c>
      <c r="G894" s="21">
        <v>1</v>
      </c>
      <c r="H894" s="21">
        <v>0</v>
      </c>
      <c r="I894" s="21">
        <v>0</v>
      </c>
      <c r="J894" s="14" t="s">
        <v>525</v>
      </c>
      <c r="K894" s="14" t="s">
        <v>1609</v>
      </c>
      <c r="L894" s="10" t="s">
        <v>647</v>
      </c>
      <c r="M894" s="10">
        <v>3.8899999999999997E-2</v>
      </c>
      <c r="N894" s="12" t="s">
        <v>1716</v>
      </c>
      <c r="O894" s="12" t="s">
        <v>39</v>
      </c>
      <c r="P894" s="12"/>
      <c r="Q894" s="16"/>
      <c r="R894" s="12">
        <v>0</v>
      </c>
    </row>
    <row r="895" spans="1:18" s="1" customFormat="1" hidden="1" x14ac:dyDescent="0.25">
      <c r="A895" s="10" t="s">
        <v>1611</v>
      </c>
      <c r="B895" s="14" t="s">
        <v>1612</v>
      </c>
      <c r="C895" s="10" t="s">
        <v>75</v>
      </c>
      <c r="D895" s="10" t="s">
        <v>35</v>
      </c>
      <c r="E895" s="10" t="s">
        <v>35</v>
      </c>
      <c r="F895" s="11">
        <v>0</v>
      </c>
      <c r="G895" s="21">
        <v>1</v>
      </c>
      <c r="H895" s="21">
        <v>0</v>
      </c>
      <c r="I895" s="21">
        <v>0</v>
      </c>
      <c r="J895" s="14" t="s">
        <v>525</v>
      </c>
      <c r="K895" s="14" t="s">
        <v>1609</v>
      </c>
      <c r="L895" s="10" t="s">
        <v>646</v>
      </c>
      <c r="M895" s="10">
        <v>1.1780000000000001E-2</v>
      </c>
      <c r="N895" s="12" t="s">
        <v>1716</v>
      </c>
      <c r="O895" s="12" t="s">
        <v>39</v>
      </c>
      <c r="P895" s="12"/>
      <c r="Q895" s="16"/>
      <c r="R895" s="12">
        <v>0</v>
      </c>
    </row>
    <row r="896" spans="1:18" s="1" customFormat="1" hidden="1" x14ac:dyDescent="0.25">
      <c r="A896" s="10" t="s">
        <v>1611</v>
      </c>
      <c r="B896" s="14" t="s">
        <v>1612</v>
      </c>
      <c r="C896" s="10" t="s">
        <v>75</v>
      </c>
      <c r="D896" s="10" t="s">
        <v>35</v>
      </c>
      <c r="E896" s="10" t="s">
        <v>35</v>
      </c>
      <c r="F896" s="11">
        <v>0</v>
      </c>
      <c r="G896" s="21">
        <v>1</v>
      </c>
      <c r="H896" s="21">
        <v>0</v>
      </c>
      <c r="I896" s="21">
        <v>0</v>
      </c>
      <c r="J896" s="14" t="s">
        <v>525</v>
      </c>
      <c r="K896" s="14" t="s">
        <v>1609</v>
      </c>
      <c r="L896" s="10" t="s">
        <v>697</v>
      </c>
      <c r="M896" s="10">
        <v>1.1220000000000001E-2</v>
      </c>
      <c r="N896" s="12" t="s">
        <v>1716</v>
      </c>
      <c r="O896" s="12" t="s">
        <v>39</v>
      </c>
      <c r="P896" s="12"/>
      <c r="Q896" s="16"/>
      <c r="R896" s="12">
        <v>0</v>
      </c>
    </row>
    <row r="897" spans="1:18" s="1" customFormat="1" hidden="1" x14ac:dyDescent="0.25">
      <c r="A897" s="10" t="s">
        <v>1611</v>
      </c>
      <c r="B897" s="14" t="s">
        <v>1612</v>
      </c>
      <c r="C897" s="10" t="s">
        <v>75</v>
      </c>
      <c r="D897" s="10" t="s">
        <v>35</v>
      </c>
      <c r="E897" s="10" t="s">
        <v>35</v>
      </c>
      <c r="F897" s="11">
        <v>0</v>
      </c>
      <c r="G897" s="21">
        <v>1</v>
      </c>
      <c r="H897" s="21">
        <v>0</v>
      </c>
      <c r="I897" s="21">
        <v>0</v>
      </c>
      <c r="J897" s="14" t="s">
        <v>525</v>
      </c>
      <c r="K897" s="14" t="s">
        <v>1609</v>
      </c>
      <c r="L897" s="10" t="s">
        <v>1613</v>
      </c>
      <c r="M897" s="10">
        <v>1.1000000000000001</v>
      </c>
      <c r="N897" s="12" t="s">
        <v>1716</v>
      </c>
      <c r="O897" s="12" t="s">
        <v>39</v>
      </c>
      <c r="P897" s="12"/>
      <c r="Q897" s="16"/>
      <c r="R897" s="12">
        <v>0</v>
      </c>
    </row>
    <row r="898" spans="1:18" s="1" customFormat="1" hidden="1" x14ac:dyDescent="0.25">
      <c r="A898" s="7" t="s">
        <v>1614</v>
      </c>
      <c r="B898" s="13" t="s">
        <v>1615</v>
      </c>
      <c r="C898" s="7" t="s">
        <v>75</v>
      </c>
      <c r="D898" s="7" t="s">
        <v>35</v>
      </c>
      <c r="E898" s="7" t="s">
        <v>35</v>
      </c>
      <c r="F898" s="8">
        <v>0</v>
      </c>
      <c r="G898" s="20">
        <v>1</v>
      </c>
      <c r="H898" s="20">
        <v>0</v>
      </c>
      <c r="I898" s="20">
        <v>0</v>
      </c>
      <c r="J898" s="13" t="s">
        <v>525</v>
      </c>
      <c r="K898" s="13" t="s">
        <v>1609</v>
      </c>
      <c r="L898" s="7" t="s">
        <v>647</v>
      </c>
      <c r="M898" s="7">
        <v>3.8899999999999997E-2</v>
      </c>
      <c r="N898" s="9" t="s">
        <v>1716</v>
      </c>
      <c r="O898" s="9" t="s">
        <v>39</v>
      </c>
      <c r="P898" s="9"/>
      <c r="Q898" s="15"/>
      <c r="R898" s="9">
        <v>0</v>
      </c>
    </row>
    <row r="899" spans="1:18" s="1" customFormat="1" hidden="1" x14ac:dyDescent="0.25">
      <c r="A899" s="7" t="s">
        <v>1614</v>
      </c>
      <c r="B899" s="13" t="s">
        <v>1615</v>
      </c>
      <c r="C899" s="7" t="s">
        <v>75</v>
      </c>
      <c r="D899" s="7" t="s">
        <v>35</v>
      </c>
      <c r="E899" s="7" t="s">
        <v>35</v>
      </c>
      <c r="F899" s="8">
        <v>0</v>
      </c>
      <c r="G899" s="20">
        <v>1</v>
      </c>
      <c r="H899" s="20">
        <v>0</v>
      </c>
      <c r="I899" s="20">
        <v>0</v>
      </c>
      <c r="J899" s="13" t="s">
        <v>525</v>
      </c>
      <c r="K899" s="13" t="s">
        <v>1609</v>
      </c>
      <c r="L899" s="7" t="s">
        <v>646</v>
      </c>
      <c r="M899" s="7">
        <v>1.1780000000000001E-2</v>
      </c>
      <c r="N899" s="9" t="s">
        <v>1716</v>
      </c>
      <c r="O899" s="9" t="s">
        <v>39</v>
      </c>
      <c r="P899" s="9"/>
      <c r="Q899" s="15"/>
      <c r="R899" s="9">
        <v>0</v>
      </c>
    </row>
    <row r="900" spans="1:18" s="1" customFormat="1" hidden="1" x14ac:dyDescent="0.25">
      <c r="A900" s="7" t="s">
        <v>1614</v>
      </c>
      <c r="B900" s="13" t="s">
        <v>1615</v>
      </c>
      <c r="C900" s="7" t="s">
        <v>75</v>
      </c>
      <c r="D900" s="7" t="s">
        <v>35</v>
      </c>
      <c r="E900" s="7" t="s">
        <v>35</v>
      </c>
      <c r="F900" s="8">
        <v>0</v>
      </c>
      <c r="G900" s="20">
        <v>1</v>
      </c>
      <c r="H900" s="20">
        <v>0</v>
      </c>
      <c r="I900" s="20">
        <v>0</v>
      </c>
      <c r="J900" s="13" t="s">
        <v>525</v>
      </c>
      <c r="K900" s="13" t="s">
        <v>1609</v>
      </c>
      <c r="L900" s="7" t="s">
        <v>697</v>
      </c>
      <c r="M900" s="7">
        <v>1.1220000000000001E-2</v>
      </c>
      <c r="N900" s="9" t="s">
        <v>1716</v>
      </c>
      <c r="O900" s="9" t="s">
        <v>39</v>
      </c>
      <c r="P900" s="9"/>
      <c r="Q900" s="15"/>
      <c r="R900" s="9">
        <v>0</v>
      </c>
    </row>
    <row r="901" spans="1:18" s="1" customFormat="1" hidden="1" x14ac:dyDescent="0.25">
      <c r="A901" s="7" t="s">
        <v>1614</v>
      </c>
      <c r="B901" s="13" t="s">
        <v>1615</v>
      </c>
      <c r="C901" s="7" t="s">
        <v>75</v>
      </c>
      <c r="D901" s="7" t="s">
        <v>35</v>
      </c>
      <c r="E901" s="7" t="s">
        <v>35</v>
      </c>
      <c r="F901" s="8">
        <v>0</v>
      </c>
      <c r="G901" s="20">
        <v>1</v>
      </c>
      <c r="H901" s="20">
        <v>0</v>
      </c>
      <c r="I901" s="20">
        <v>0</v>
      </c>
      <c r="J901" s="13" t="s">
        <v>525</v>
      </c>
      <c r="K901" s="13" t="s">
        <v>1609</v>
      </c>
      <c r="L901" s="7" t="s">
        <v>1613</v>
      </c>
      <c r="M901" s="7">
        <v>1.1000000000000001</v>
      </c>
      <c r="N901" s="9" t="s">
        <v>1716</v>
      </c>
      <c r="O901" s="9" t="s">
        <v>39</v>
      </c>
      <c r="P901" s="9"/>
      <c r="Q901" s="15"/>
      <c r="R901" s="9">
        <v>0</v>
      </c>
    </row>
    <row r="902" spans="1:18" s="1" customFormat="1" hidden="1" x14ac:dyDescent="0.25">
      <c r="A902" s="10" t="s">
        <v>1616</v>
      </c>
      <c r="B902" s="14" t="s">
        <v>1617</v>
      </c>
      <c r="C902" s="10" t="s">
        <v>54</v>
      </c>
      <c r="D902" s="10" t="s">
        <v>35</v>
      </c>
      <c r="E902" s="10" t="s">
        <v>35</v>
      </c>
      <c r="F902" s="11">
        <v>0</v>
      </c>
      <c r="G902" s="21">
        <v>1</v>
      </c>
      <c r="H902" s="21">
        <v>0</v>
      </c>
      <c r="I902" s="21">
        <v>0</v>
      </c>
      <c r="J902" s="14" t="s">
        <v>525</v>
      </c>
      <c r="K902" s="14" t="s">
        <v>56</v>
      </c>
      <c r="L902" s="10" t="s">
        <v>1618</v>
      </c>
      <c r="M902" s="10">
        <v>74</v>
      </c>
      <c r="N902" s="12" t="s">
        <v>1716</v>
      </c>
      <c r="O902" s="12" t="s">
        <v>39</v>
      </c>
      <c r="P902" s="12"/>
      <c r="Q902" s="16"/>
      <c r="R902" s="12">
        <v>0</v>
      </c>
    </row>
    <row r="903" spans="1:18" s="1" customFormat="1" hidden="1" x14ac:dyDescent="0.25">
      <c r="A903" s="7" t="s">
        <v>1619</v>
      </c>
      <c r="B903" s="13" t="s">
        <v>1620</v>
      </c>
      <c r="C903" s="7" t="s">
        <v>136</v>
      </c>
      <c r="D903" s="7" t="s">
        <v>35</v>
      </c>
      <c r="E903" s="7" t="s">
        <v>35</v>
      </c>
      <c r="F903" s="8">
        <v>0</v>
      </c>
      <c r="G903" s="20">
        <v>1</v>
      </c>
      <c r="H903" s="20">
        <v>0</v>
      </c>
      <c r="I903" s="20">
        <v>0</v>
      </c>
      <c r="J903" s="13" t="s">
        <v>218</v>
      </c>
      <c r="K903" s="13" t="s">
        <v>1621</v>
      </c>
      <c r="L903" s="7" t="s">
        <v>194</v>
      </c>
      <c r="M903" s="7">
        <v>33.865000000000002</v>
      </c>
      <c r="N903" s="9" t="s">
        <v>1716</v>
      </c>
      <c r="O903" s="9" t="s">
        <v>39</v>
      </c>
      <c r="P903" s="9"/>
      <c r="Q903" s="15"/>
      <c r="R903" s="9">
        <v>0</v>
      </c>
    </row>
    <row r="904" spans="1:18" s="1" customFormat="1" hidden="1" x14ac:dyDescent="0.25">
      <c r="A904" s="7" t="s">
        <v>1619</v>
      </c>
      <c r="B904" s="13" t="s">
        <v>1620</v>
      </c>
      <c r="C904" s="7" t="s">
        <v>136</v>
      </c>
      <c r="D904" s="7" t="s">
        <v>35</v>
      </c>
      <c r="E904" s="7" t="s">
        <v>35</v>
      </c>
      <c r="F904" s="8">
        <v>0</v>
      </c>
      <c r="G904" s="20">
        <v>1</v>
      </c>
      <c r="H904" s="20">
        <v>0</v>
      </c>
      <c r="I904" s="20">
        <v>0</v>
      </c>
      <c r="J904" s="13" t="s">
        <v>218</v>
      </c>
      <c r="K904" s="13" t="s">
        <v>1621</v>
      </c>
      <c r="L904" s="7" t="s">
        <v>521</v>
      </c>
      <c r="M904" s="7">
        <v>0.35</v>
      </c>
      <c r="N904" s="9" t="s">
        <v>1716</v>
      </c>
      <c r="O904" s="9" t="s">
        <v>39</v>
      </c>
      <c r="P904" s="9"/>
      <c r="Q904" s="15"/>
      <c r="R904" s="9">
        <v>0</v>
      </c>
    </row>
    <row r="905" spans="1:18" s="1" customFormat="1" hidden="1" x14ac:dyDescent="0.25">
      <c r="A905" s="7" t="s">
        <v>1619</v>
      </c>
      <c r="B905" s="13" t="s">
        <v>1620</v>
      </c>
      <c r="C905" s="7" t="s">
        <v>136</v>
      </c>
      <c r="D905" s="7" t="s">
        <v>35</v>
      </c>
      <c r="E905" s="7" t="s">
        <v>35</v>
      </c>
      <c r="F905" s="8">
        <v>0</v>
      </c>
      <c r="G905" s="20">
        <v>1</v>
      </c>
      <c r="H905" s="20">
        <v>0</v>
      </c>
      <c r="I905" s="20">
        <v>0</v>
      </c>
      <c r="J905" s="13" t="s">
        <v>218</v>
      </c>
      <c r="K905" s="13" t="s">
        <v>1621</v>
      </c>
      <c r="L905" s="7" t="s">
        <v>281</v>
      </c>
      <c r="M905" s="7">
        <v>9.7699999999999995E-2</v>
      </c>
      <c r="N905" s="9" t="s">
        <v>1716</v>
      </c>
      <c r="O905" s="9" t="s">
        <v>39</v>
      </c>
      <c r="P905" s="9"/>
      <c r="Q905" s="15"/>
      <c r="R905" s="9">
        <v>0</v>
      </c>
    </row>
    <row r="906" spans="1:18" s="1" customFormat="1" hidden="1" x14ac:dyDescent="0.25">
      <c r="A906" s="10" t="s">
        <v>1622</v>
      </c>
      <c r="B906" s="14" t="s">
        <v>1623</v>
      </c>
      <c r="C906" s="10" t="s">
        <v>136</v>
      </c>
      <c r="D906" s="10" t="s">
        <v>35</v>
      </c>
      <c r="E906" s="10" t="s">
        <v>35</v>
      </c>
      <c r="F906" s="11">
        <v>0</v>
      </c>
      <c r="G906" s="21">
        <v>1</v>
      </c>
      <c r="H906" s="21">
        <v>0</v>
      </c>
      <c r="I906" s="21">
        <v>0</v>
      </c>
      <c r="J906" s="14" t="s">
        <v>218</v>
      </c>
      <c r="K906" s="14" t="s">
        <v>1621</v>
      </c>
      <c r="L906" s="10" t="s">
        <v>194</v>
      </c>
      <c r="M906" s="10">
        <v>20.318999999999999</v>
      </c>
      <c r="N906" s="12" t="s">
        <v>1716</v>
      </c>
      <c r="O906" s="12" t="s">
        <v>39</v>
      </c>
      <c r="P906" s="12"/>
      <c r="Q906" s="16"/>
      <c r="R906" s="12">
        <v>0</v>
      </c>
    </row>
    <row r="907" spans="1:18" s="1" customFormat="1" hidden="1" x14ac:dyDescent="0.25">
      <c r="A907" s="10" t="s">
        <v>1622</v>
      </c>
      <c r="B907" s="14" t="s">
        <v>1623</v>
      </c>
      <c r="C907" s="10" t="s">
        <v>136</v>
      </c>
      <c r="D907" s="10" t="s">
        <v>35</v>
      </c>
      <c r="E907" s="10" t="s">
        <v>35</v>
      </c>
      <c r="F907" s="11">
        <v>0</v>
      </c>
      <c r="G907" s="21">
        <v>1</v>
      </c>
      <c r="H907" s="21">
        <v>0</v>
      </c>
      <c r="I907" s="21">
        <v>0</v>
      </c>
      <c r="J907" s="14" t="s">
        <v>218</v>
      </c>
      <c r="K907" s="14" t="s">
        <v>1621</v>
      </c>
      <c r="L907" s="10" t="s">
        <v>521</v>
      </c>
      <c r="M907" s="10">
        <v>0.21</v>
      </c>
      <c r="N907" s="12" t="s">
        <v>1716</v>
      </c>
      <c r="O907" s="12" t="s">
        <v>39</v>
      </c>
      <c r="P907" s="12"/>
      <c r="Q907" s="16"/>
      <c r="R907" s="12">
        <v>0</v>
      </c>
    </row>
    <row r="908" spans="1:18" s="1" customFormat="1" hidden="1" x14ac:dyDescent="0.25">
      <c r="A908" s="10" t="s">
        <v>1622</v>
      </c>
      <c r="B908" s="14" t="s">
        <v>1623</v>
      </c>
      <c r="C908" s="10" t="s">
        <v>136</v>
      </c>
      <c r="D908" s="10" t="s">
        <v>35</v>
      </c>
      <c r="E908" s="10" t="s">
        <v>35</v>
      </c>
      <c r="F908" s="11">
        <v>0</v>
      </c>
      <c r="G908" s="21">
        <v>1</v>
      </c>
      <c r="H908" s="21">
        <v>0</v>
      </c>
      <c r="I908" s="21">
        <v>0</v>
      </c>
      <c r="J908" s="14" t="s">
        <v>218</v>
      </c>
      <c r="K908" s="14" t="s">
        <v>1621</v>
      </c>
      <c r="L908" s="10" t="s">
        <v>281</v>
      </c>
      <c r="M908" s="10">
        <v>5.8599999999999999E-2</v>
      </c>
      <c r="N908" s="12" t="s">
        <v>1716</v>
      </c>
      <c r="O908" s="12" t="s">
        <v>39</v>
      </c>
      <c r="P908" s="12"/>
      <c r="Q908" s="16"/>
      <c r="R908" s="12">
        <v>0</v>
      </c>
    </row>
    <row r="909" spans="1:18" s="1" customFormat="1" hidden="1" x14ac:dyDescent="0.25">
      <c r="A909" s="7" t="s">
        <v>1624</v>
      </c>
      <c r="B909" s="13" t="s">
        <v>1625</v>
      </c>
      <c r="C909" s="7" t="s">
        <v>34</v>
      </c>
      <c r="D909" s="7" t="s">
        <v>35</v>
      </c>
      <c r="E909" s="7" t="s">
        <v>35</v>
      </c>
      <c r="F909" s="8">
        <v>0</v>
      </c>
      <c r="G909" s="20">
        <v>1</v>
      </c>
      <c r="H909" s="20">
        <v>0</v>
      </c>
      <c r="I909" s="20">
        <v>0</v>
      </c>
      <c r="J909" s="13" t="s">
        <v>218</v>
      </c>
      <c r="K909" s="13" t="s">
        <v>76</v>
      </c>
      <c r="L909" s="7" t="s">
        <v>90</v>
      </c>
      <c r="M909" s="7">
        <v>4.2</v>
      </c>
      <c r="N909" s="9" t="s">
        <v>1716</v>
      </c>
      <c r="O909" s="9" t="s">
        <v>39</v>
      </c>
      <c r="P909" s="9"/>
      <c r="Q909" s="15"/>
      <c r="R909" s="9">
        <v>0</v>
      </c>
    </row>
    <row r="910" spans="1:18" s="1" customFormat="1" hidden="1" x14ac:dyDescent="0.25">
      <c r="A910" s="10" t="s">
        <v>1626</v>
      </c>
      <c r="B910" s="14" t="s">
        <v>217</v>
      </c>
      <c r="C910" s="10" t="s">
        <v>34</v>
      </c>
      <c r="D910" s="10" t="s">
        <v>35</v>
      </c>
      <c r="E910" s="10" t="s">
        <v>35</v>
      </c>
      <c r="F910" s="11">
        <v>0</v>
      </c>
      <c r="G910" s="21">
        <v>1</v>
      </c>
      <c r="H910" s="21">
        <v>0</v>
      </c>
      <c r="I910" s="21">
        <v>0</v>
      </c>
      <c r="J910" s="14" t="s">
        <v>218</v>
      </c>
      <c r="K910" s="14" t="s">
        <v>76</v>
      </c>
      <c r="L910" s="10" t="s">
        <v>90</v>
      </c>
      <c r="M910" s="10">
        <v>4.2</v>
      </c>
      <c r="N910" s="12" t="s">
        <v>1716</v>
      </c>
      <c r="O910" s="12" t="s">
        <v>39</v>
      </c>
      <c r="P910" s="12"/>
      <c r="Q910" s="16"/>
      <c r="R910" s="12">
        <v>0</v>
      </c>
    </row>
    <row r="911" spans="1:18" s="1" customFormat="1" hidden="1" x14ac:dyDescent="0.25">
      <c r="A911" s="7" t="s">
        <v>1627</v>
      </c>
      <c r="B911" s="13" t="s">
        <v>228</v>
      </c>
      <c r="C911" s="7" t="s">
        <v>34</v>
      </c>
      <c r="D911" s="7" t="s">
        <v>35</v>
      </c>
      <c r="E911" s="7" t="s">
        <v>35</v>
      </c>
      <c r="F911" s="8">
        <v>0</v>
      </c>
      <c r="G911" s="20">
        <v>1</v>
      </c>
      <c r="H911" s="20">
        <v>0</v>
      </c>
      <c r="I911" s="20">
        <v>0</v>
      </c>
      <c r="J911" s="13" t="s">
        <v>847</v>
      </c>
      <c r="K911" s="13" t="s">
        <v>35</v>
      </c>
      <c r="L911" s="7" t="s">
        <v>1628</v>
      </c>
      <c r="M911" s="7">
        <v>1</v>
      </c>
      <c r="N911" s="9" t="s">
        <v>1716</v>
      </c>
      <c r="O911" s="9" t="s">
        <v>39</v>
      </c>
      <c r="P911" s="9"/>
      <c r="Q911" s="15"/>
      <c r="R911" s="9">
        <v>0</v>
      </c>
    </row>
    <row r="912" spans="1:18" s="1" customFormat="1" hidden="1" x14ac:dyDescent="0.25">
      <c r="A912" s="10" t="s">
        <v>1629</v>
      </c>
      <c r="B912" s="14" t="s">
        <v>1630</v>
      </c>
      <c r="C912" s="10" t="s">
        <v>34</v>
      </c>
      <c r="D912" s="10" t="s">
        <v>35</v>
      </c>
      <c r="E912" s="10" t="s">
        <v>35</v>
      </c>
      <c r="F912" s="11">
        <v>0</v>
      </c>
      <c r="G912" s="21">
        <v>1</v>
      </c>
      <c r="H912" s="21">
        <v>0</v>
      </c>
      <c r="I912" s="21">
        <v>0</v>
      </c>
      <c r="J912" s="14" t="s">
        <v>229</v>
      </c>
      <c r="K912" s="14" t="s">
        <v>270</v>
      </c>
      <c r="L912" s="10" t="s">
        <v>271</v>
      </c>
      <c r="M912" s="10">
        <v>0.03</v>
      </c>
      <c r="N912" s="12" t="s">
        <v>1716</v>
      </c>
      <c r="O912" s="12" t="s">
        <v>39</v>
      </c>
      <c r="P912" s="12"/>
      <c r="Q912" s="16"/>
      <c r="R912" s="12">
        <v>0</v>
      </c>
    </row>
    <row r="913" spans="1:18" s="1" customFormat="1" hidden="1" x14ac:dyDescent="0.25">
      <c r="A913" s="10" t="s">
        <v>1629</v>
      </c>
      <c r="B913" s="14" t="s">
        <v>1630</v>
      </c>
      <c r="C913" s="10" t="s">
        <v>34</v>
      </c>
      <c r="D913" s="10" t="s">
        <v>35</v>
      </c>
      <c r="E913" s="10" t="s">
        <v>35</v>
      </c>
      <c r="F913" s="11">
        <v>0</v>
      </c>
      <c r="G913" s="21">
        <v>1</v>
      </c>
      <c r="H913" s="21">
        <v>0</v>
      </c>
      <c r="I913" s="21">
        <v>0</v>
      </c>
      <c r="J913" s="14" t="s">
        <v>229</v>
      </c>
      <c r="K913" s="14" t="s">
        <v>270</v>
      </c>
      <c r="L913" s="10" t="s">
        <v>1631</v>
      </c>
      <c r="M913" s="10">
        <v>17.36</v>
      </c>
      <c r="N913" s="12" t="s">
        <v>1716</v>
      </c>
      <c r="O913" s="12" t="s">
        <v>39</v>
      </c>
      <c r="P913" s="12"/>
      <c r="Q913" s="16"/>
      <c r="R913" s="12">
        <v>0</v>
      </c>
    </row>
    <row r="914" spans="1:18" s="1" customFormat="1" hidden="1" x14ac:dyDescent="0.25">
      <c r="A914" s="7" t="s">
        <v>1632</v>
      </c>
      <c r="B914" s="13" t="s">
        <v>1630</v>
      </c>
      <c r="C914" s="7" t="s">
        <v>34</v>
      </c>
      <c r="D914" s="7" t="s">
        <v>35</v>
      </c>
      <c r="E914" s="7" t="s">
        <v>35</v>
      </c>
      <c r="F914" s="8">
        <v>0</v>
      </c>
      <c r="G914" s="20">
        <v>1</v>
      </c>
      <c r="H914" s="20">
        <v>0</v>
      </c>
      <c r="I914" s="20">
        <v>0</v>
      </c>
      <c r="J914" s="13" t="s">
        <v>229</v>
      </c>
      <c r="K914" s="13" t="s">
        <v>270</v>
      </c>
      <c r="L914" s="7" t="s">
        <v>271</v>
      </c>
      <c r="M914" s="7">
        <v>0.03</v>
      </c>
      <c r="N914" s="9" t="s">
        <v>1716</v>
      </c>
      <c r="O914" s="9" t="s">
        <v>39</v>
      </c>
      <c r="P914" s="9"/>
      <c r="Q914" s="15"/>
      <c r="R914" s="9">
        <v>0</v>
      </c>
    </row>
    <row r="915" spans="1:18" s="1" customFormat="1" hidden="1" x14ac:dyDescent="0.25">
      <c r="A915" s="7" t="s">
        <v>1632</v>
      </c>
      <c r="B915" s="13" t="s">
        <v>1630</v>
      </c>
      <c r="C915" s="7" t="s">
        <v>34</v>
      </c>
      <c r="D915" s="7" t="s">
        <v>35</v>
      </c>
      <c r="E915" s="7" t="s">
        <v>35</v>
      </c>
      <c r="F915" s="8">
        <v>0</v>
      </c>
      <c r="G915" s="20">
        <v>1</v>
      </c>
      <c r="H915" s="20">
        <v>0</v>
      </c>
      <c r="I915" s="20">
        <v>0</v>
      </c>
      <c r="J915" s="13" t="s">
        <v>229</v>
      </c>
      <c r="K915" s="13" t="s">
        <v>270</v>
      </c>
      <c r="L915" s="7" t="s">
        <v>1633</v>
      </c>
      <c r="M915" s="7">
        <v>17.36</v>
      </c>
      <c r="N915" s="9" t="s">
        <v>1716</v>
      </c>
      <c r="O915" s="9" t="s">
        <v>39</v>
      </c>
      <c r="P915" s="9"/>
      <c r="Q915" s="15"/>
      <c r="R915" s="9">
        <v>0</v>
      </c>
    </row>
    <row r="916" spans="1:18" s="1" customFormat="1" hidden="1" x14ac:dyDescent="0.25">
      <c r="A916" s="10" t="s">
        <v>1634</v>
      </c>
      <c r="B916" s="14" t="s">
        <v>1635</v>
      </c>
      <c r="C916" s="10" t="s">
        <v>111</v>
      </c>
      <c r="D916" s="10" t="s">
        <v>35</v>
      </c>
      <c r="E916" s="10" t="s">
        <v>35</v>
      </c>
      <c r="F916" s="11">
        <v>0</v>
      </c>
      <c r="G916" s="21">
        <v>1</v>
      </c>
      <c r="H916" s="21">
        <v>0</v>
      </c>
      <c r="I916" s="21">
        <v>0</v>
      </c>
      <c r="J916" s="14" t="s">
        <v>612</v>
      </c>
      <c r="K916" s="14" t="s">
        <v>35</v>
      </c>
      <c r="L916" s="10" t="s">
        <v>1636</v>
      </c>
      <c r="M916" s="10">
        <v>1</v>
      </c>
      <c r="N916" s="12" t="s">
        <v>1716</v>
      </c>
      <c r="O916" s="12" t="s">
        <v>39</v>
      </c>
      <c r="P916" s="12"/>
      <c r="Q916" s="16"/>
      <c r="R916" s="12">
        <v>0</v>
      </c>
    </row>
    <row r="917" spans="1:18" s="1" customFormat="1" hidden="1" x14ac:dyDescent="0.25">
      <c r="A917" s="7" t="s">
        <v>1637</v>
      </c>
      <c r="B917" s="13" t="s">
        <v>1638</v>
      </c>
      <c r="C917" s="7" t="s">
        <v>111</v>
      </c>
      <c r="D917" s="7" t="s">
        <v>35</v>
      </c>
      <c r="E917" s="7" t="s">
        <v>35</v>
      </c>
      <c r="F917" s="8">
        <v>0</v>
      </c>
      <c r="G917" s="20">
        <v>1</v>
      </c>
      <c r="H917" s="20">
        <v>0</v>
      </c>
      <c r="I917" s="20">
        <v>0</v>
      </c>
      <c r="J917" s="13" t="s">
        <v>612</v>
      </c>
      <c r="K917" s="13" t="s">
        <v>35</v>
      </c>
      <c r="L917" s="7" t="s">
        <v>1639</v>
      </c>
      <c r="M917" s="7">
        <v>1</v>
      </c>
      <c r="N917" s="9" t="s">
        <v>1716</v>
      </c>
      <c r="O917" s="9" t="s">
        <v>39</v>
      </c>
      <c r="P917" s="9"/>
      <c r="Q917" s="15"/>
      <c r="R917" s="9">
        <v>0</v>
      </c>
    </row>
    <row r="918" spans="1:18" s="1" customFormat="1" hidden="1" x14ac:dyDescent="0.25">
      <c r="A918" s="10" t="s">
        <v>1640</v>
      </c>
      <c r="B918" s="14" t="s">
        <v>1641</v>
      </c>
      <c r="C918" s="10" t="s">
        <v>111</v>
      </c>
      <c r="D918" s="10" t="s">
        <v>35</v>
      </c>
      <c r="E918" s="10" t="s">
        <v>35</v>
      </c>
      <c r="F918" s="11">
        <v>0</v>
      </c>
      <c r="G918" s="21">
        <v>1</v>
      </c>
      <c r="H918" s="21">
        <v>0</v>
      </c>
      <c r="I918" s="21">
        <v>0</v>
      </c>
      <c r="J918" s="14" t="s">
        <v>612</v>
      </c>
      <c r="K918" s="14" t="s">
        <v>56</v>
      </c>
      <c r="L918" s="10" t="s">
        <v>1642</v>
      </c>
      <c r="M918" s="10">
        <v>1</v>
      </c>
      <c r="N918" s="12" t="s">
        <v>1716</v>
      </c>
      <c r="O918" s="12" t="s">
        <v>39</v>
      </c>
      <c r="P918" s="12"/>
      <c r="Q918" s="16"/>
      <c r="R918" s="12">
        <v>0</v>
      </c>
    </row>
    <row r="919" spans="1:18" s="1" customFormat="1" hidden="1" x14ac:dyDescent="0.25">
      <c r="A919" s="7" t="s">
        <v>1643</v>
      </c>
      <c r="B919" s="13" t="s">
        <v>1644</v>
      </c>
      <c r="C919" s="7" t="s">
        <v>54</v>
      </c>
      <c r="D919" s="7" t="s">
        <v>35</v>
      </c>
      <c r="E919" s="7" t="s">
        <v>35</v>
      </c>
      <c r="F919" s="8">
        <v>0</v>
      </c>
      <c r="G919" s="20">
        <v>1</v>
      </c>
      <c r="H919" s="20">
        <v>0</v>
      </c>
      <c r="I919" s="20">
        <v>0</v>
      </c>
      <c r="J919" s="13" t="s">
        <v>1357</v>
      </c>
      <c r="K919" s="13" t="s">
        <v>56</v>
      </c>
      <c r="L919" s="7" t="s">
        <v>1645</v>
      </c>
      <c r="M919" s="7">
        <v>1</v>
      </c>
      <c r="N919" s="9" t="s">
        <v>1716</v>
      </c>
      <c r="O919" s="9" t="s">
        <v>39</v>
      </c>
      <c r="P919" s="9"/>
      <c r="Q919" s="15"/>
      <c r="R919" s="9">
        <v>0</v>
      </c>
    </row>
    <row r="920" spans="1:18" s="1" customFormat="1" hidden="1" x14ac:dyDescent="0.25">
      <c r="A920" s="10" t="s">
        <v>1646</v>
      </c>
      <c r="B920" s="14" t="s">
        <v>1647</v>
      </c>
      <c r="C920" s="10" t="s">
        <v>54</v>
      </c>
      <c r="D920" s="10" t="s">
        <v>35</v>
      </c>
      <c r="E920" s="10" t="s">
        <v>35</v>
      </c>
      <c r="F920" s="11">
        <v>0</v>
      </c>
      <c r="G920" s="21">
        <v>1</v>
      </c>
      <c r="H920" s="21">
        <v>0</v>
      </c>
      <c r="I920" s="21">
        <v>0</v>
      </c>
      <c r="J920" s="14" t="s">
        <v>324</v>
      </c>
      <c r="K920" s="14" t="s">
        <v>325</v>
      </c>
      <c r="L920" s="10" t="s">
        <v>1648</v>
      </c>
      <c r="M920" s="10">
        <v>1</v>
      </c>
      <c r="N920" s="12" t="s">
        <v>1716</v>
      </c>
      <c r="O920" s="12" t="s">
        <v>39</v>
      </c>
      <c r="P920" s="12"/>
      <c r="Q920" s="16"/>
      <c r="R920" s="12">
        <v>0</v>
      </c>
    </row>
    <row r="921" spans="1:18" s="1" customFormat="1" hidden="1" x14ac:dyDescent="0.25">
      <c r="A921" s="7" t="s">
        <v>1649</v>
      </c>
      <c r="B921" s="13" t="s">
        <v>1650</v>
      </c>
      <c r="C921" s="7" t="s">
        <v>54</v>
      </c>
      <c r="D921" s="7" t="s">
        <v>35</v>
      </c>
      <c r="E921" s="7" t="s">
        <v>35</v>
      </c>
      <c r="F921" s="8">
        <v>0</v>
      </c>
      <c r="G921" s="20">
        <v>1</v>
      </c>
      <c r="H921" s="20">
        <v>0</v>
      </c>
      <c r="I921" s="20">
        <v>0</v>
      </c>
      <c r="J921" s="13" t="s">
        <v>324</v>
      </c>
      <c r="K921" s="13" t="s">
        <v>325</v>
      </c>
      <c r="L921" s="7" t="s">
        <v>1651</v>
      </c>
      <c r="M921" s="7">
        <v>1</v>
      </c>
      <c r="N921" s="9" t="s">
        <v>1716</v>
      </c>
      <c r="O921" s="9" t="s">
        <v>39</v>
      </c>
      <c r="P921" s="9"/>
      <c r="Q921" s="15"/>
      <c r="R921" s="9">
        <v>0</v>
      </c>
    </row>
    <row r="922" spans="1:18" s="1" customFormat="1" hidden="1" x14ac:dyDescent="0.25">
      <c r="A922" s="10" t="s">
        <v>1652</v>
      </c>
      <c r="B922" s="14" t="s">
        <v>1653</v>
      </c>
      <c r="C922" s="10" t="s">
        <v>54</v>
      </c>
      <c r="D922" s="10" t="s">
        <v>35</v>
      </c>
      <c r="E922" s="10" t="s">
        <v>35</v>
      </c>
      <c r="F922" s="11">
        <v>0</v>
      </c>
      <c r="G922" s="21">
        <v>1</v>
      </c>
      <c r="H922" s="21">
        <v>0</v>
      </c>
      <c r="I922" s="21">
        <v>0</v>
      </c>
      <c r="J922" s="14" t="s">
        <v>324</v>
      </c>
      <c r="K922" s="14" t="s">
        <v>325</v>
      </c>
      <c r="L922" s="10" t="s">
        <v>1654</v>
      </c>
      <c r="M922" s="10">
        <v>1</v>
      </c>
      <c r="N922" s="12" t="s">
        <v>1716</v>
      </c>
      <c r="O922" s="12" t="s">
        <v>39</v>
      </c>
      <c r="P922" s="12"/>
      <c r="Q922" s="16"/>
      <c r="R922" s="12">
        <v>0</v>
      </c>
    </row>
    <row r="923" spans="1:18" s="1" customFormat="1" hidden="1" x14ac:dyDescent="0.25">
      <c r="A923" s="7" t="s">
        <v>1655</v>
      </c>
      <c r="B923" s="13" t="s">
        <v>1656</v>
      </c>
      <c r="C923" s="7" t="s">
        <v>54</v>
      </c>
      <c r="D923" s="7" t="s">
        <v>35</v>
      </c>
      <c r="E923" s="7" t="s">
        <v>35</v>
      </c>
      <c r="F923" s="8">
        <v>0</v>
      </c>
      <c r="G923" s="20">
        <v>1</v>
      </c>
      <c r="H923" s="20">
        <v>0</v>
      </c>
      <c r="I923" s="20">
        <v>0</v>
      </c>
      <c r="J923" s="13" t="s">
        <v>332</v>
      </c>
      <c r="K923" s="13" t="s">
        <v>288</v>
      </c>
      <c r="L923" s="7" t="s">
        <v>1657</v>
      </c>
      <c r="M923" s="7">
        <v>1</v>
      </c>
      <c r="N923" s="9" t="s">
        <v>1716</v>
      </c>
      <c r="O923" s="9" t="s">
        <v>39</v>
      </c>
      <c r="P923" s="9"/>
      <c r="Q923" s="15"/>
      <c r="R923" s="9">
        <v>0</v>
      </c>
    </row>
    <row r="924" spans="1:18" s="1" customFormat="1" hidden="1" x14ac:dyDescent="0.25">
      <c r="A924" s="10" t="s">
        <v>1658</v>
      </c>
      <c r="B924" s="14" t="s">
        <v>1659</v>
      </c>
      <c r="C924" s="10" t="s">
        <v>54</v>
      </c>
      <c r="D924" s="10" t="s">
        <v>35</v>
      </c>
      <c r="E924" s="10" t="s">
        <v>35</v>
      </c>
      <c r="F924" s="11">
        <v>0</v>
      </c>
      <c r="G924" s="21">
        <v>1</v>
      </c>
      <c r="H924" s="21">
        <v>0</v>
      </c>
      <c r="I924" s="21">
        <v>0</v>
      </c>
      <c r="J924" s="14" t="s">
        <v>332</v>
      </c>
      <c r="K924" s="14" t="s">
        <v>288</v>
      </c>
      <c r="L924" s="10" t="s">
        <v>1660</v>
      </c>
      <c r="M924" s="10">
        <v>1</v>
      </c>
      <c r="N924" s="12" t="s">
        <v>1716</v>
      </c>
      <c r="O924" s="12" t="s">
        <v>39</v>
      </c>
      <c r="P924" s="12"/>
      <c r="Q924" s="16"/>
      <c r="R924" s="12">
        <v>0</v>
      </c>
    </row>
    <row r="925" spans="1:18" s="1" customFormat="1" hidden="1" x14ac:dyDescent="0.25">
      <c r="A925" s="7" t="s">
        <v>1661</v>
      </c>
      <c r="B925" s="13" t="s">
        <v>1662</v>
      </c>
      <c r="C925" s="7" t="s">
        <v>54</v>
      </c>
      <c r="D925" s="7" t="s">
        <v>35</v>
      </c>
      <c r="E925" s="7" t="s">
        <v>35</v>
      </c>
      <c r="F925" s="8">
        <v>0</v>
      </c>
      <c r="G925" s="20">
        <v>1</v>
      </c>
      <c r="H925" s="20">
        <v>0</v>
      </c>
      <c r="I925" s="20">
        <v>0</v>
      </c>
      <c r="J925" s="13" t="s">
        <v>332</v>
      </c>
      <c r="K925" s="13" t="s">
        <v>288</v>
      </c>
      <c r="L925" s="7" t="s">
        <v>1663</v>
      </c>
      <c r="M925" s="7">
        <v>1</v>
      </c>
      <c r="N925" s="9" t="s">
        <v>1716</v>
      </c>
      <c r="O925" s="9" t="s">
        <v>39</v>
      </c>
      <c r="P925" s="9"/>
      <c r="Q925" s="15"/>
      <c r="R925" s="9">
        <v>0</v>
      </c>
    </row>
    <row r="926" spans="1:18" s="1" customFormat="1" hidden="1" x14ac:dyDescent="0.25">
      <c r="A926" s="10" t="s">
        <v>1664</v>
      </c>
      <c r="B926" s="14" t="s">
        <v>1665</v>
      </c>
      <c r="C926" s="10" t="s">
        <v>54</v>
      </c>
      <c r="D926" s="10" t="s">
        <v>35</v>
      </c>
      <c r="E926" s="10" t="s">
        <v>35</v>
      </c>
      <c r="F926" s="11">
        <v>0</v>
      </c>
      <c r="G926" s="21">
        <v>1</v>
      </c>
      <c r="H926" s="21">
        <v>0</v>
      </c>
      <c r="I926" s="21">
        <v>0</v>
      </c>
      <c r="J926" s="14" t="s">
        <v>332</v>
      </c>
      <c r="K926" s="14" t="s">
        <v>288</v>
      </c>
      <c r="L926" s="10" t="s">
        <v>1666</v>
      </c>
      <c r="M926" s="10">
        <v>1</v>
      </c>
      <c r="N926" s="12" t="s">
        <v>1716</v>
      </c>
      <c r="O926" s="12" t="s">
        <v>39</v>
      </c>
      <c r="P926" s="12"/>
      <c r="Q926" s="16"/>
      <c r="R926" s="12">
        <v>0</v>
      </c>
    </row>
    <row r="927" spans="1:18" s="1" customFormat="1" hidden="1" x14ac:dyDescent="0.25">
      <c r="A927" s="7" t="s">
        <v>1667</v>
      </c>
      <c r="B927" s="13" t="s">
        <v>1668</v>
      </c>
      <c r="C927" s="7" t="s">
        <v>54</v>
      </c>
      <c r="D927" s="7" t="s">
        <v>35</v>
      </c>
      <c r="E927" s="7" t="s">
        <v>35</v>
      </c>
      <c r="F927" s="8">
        <v>0</v>
      </c>
      <c r="G927" s="20">
        <v>1</v>
      </c>
      <c r="H927" s="20">
        <v>0</v>
      </c>
      <c r="I927" s="20">
        <v>0</v>
      </c>
      <c r="J927" s="13" t="s">
        <v>332</v>
      </c>
      <c r="K927" s="13" t="s">
        <v>288</v>
      </c>
      <c r="L927" s="7" t="s">
        <v>1669</v>
      </c>
      <c r="M927" s="7">
        <v>1</v>
      </c>
      <c r="N927" s="9" t="s">
        <v>1716</v>
      </c>
      <c r="O927" s="9" t="s">
        <v>39</v>
      </c>
      <c r="P927" s="9"/>
      <c r="Q927" s="15"/>
      <c r="R927" s="9">
        <v>0</v>
      </c>
    </row>
    <row r="928" spans="1:18" s="1" customFormat="1" hidden="1" x14ac:dyDescent="0.25">
      <c r="A928" s="10" t="s">
        <v>1670</v>
      </c>
      <c r="B928" s="14" t="s">
        <v>1671</v>
      </c>
      <c r="C928" s="10" t="s">
        <v>54</v>
      </c>
      <c r="D928" s="10" t="s">
        <v>35</v>
      </c>
      <c r="E928" s="10" t="s">
        <v>35</v>
      </c>
      <c r="F928" s="11">
        <v>0</v>
      </c>
      <c r="G928" s="21">
        <v>1</v>
      </c>
      <c r="H928" s="21">
        <v>0</v>
      </c>
      <c r="I928" s="21">
        <v>0</v>
      </c>
      <c r="J928" s="14" t="s">
        <v>354</v>
      </c>
      <c r="K928" s="14" t="s">
        <v>355</v>
      </c>
      <c r="L928" s="10" t="s">
        <v>1672</v>
      </c>
      <c r="M928" s="10">
        <v>1</v>
      </c>
      <c r="N928" s="12" t="s">
        <v>1716</v>
      </c>
      <c r="O928" s="12" t="s">
        <v>39</v>
      </c>
      <c r="P928" s="12"/>
      <c r="Q928" s="16"/>
      <c r="R928" s="12">
        <v>0</v>
      </c>
    </row>
    <row r="929" spans="1:18" s="1" customFormat="1" hidden="1" x14ac:dyDescent="0.25">
      <c r="A929" s="7" t="s">
        <v>1673</v>
      </c>
      <c r="B929" s="13" t="s">
        <v>1674</v>
      </c>
      <c r="C929" s="7" t="s">
        <v>54</v>
      </c>
      <c r="D929" s="7" t="s">
        <v>35</v>
      </c>
      <c r="E929" s="7" t="s">
        <v>35</v>
      </c>
      <c r="F929" s="8">
        <v>0</v>
      </c>
      <c r="G929" s="20">
        <v>1</v>
      </c>
      <c r="H929" s="20">
        <v>0</v>
      </c>
      <c r="I929" s="20">
        <v>0</v>
      </c>
      <c r="J929" s="13" t="s">
        <v>354</v>
      </c>
      <c r="K929" s="13" t="s">
        <v>355</v>
      </c>
      <c r="L929" s="7" t="s">
        <v>1675</v>
      </c>
      <c r="M929" s="7">
        <v>1</v>
      </c>
      <c r="N929" s="9" t="s">
        <v>1716</v>
      </c>
      <c r="O929" s="9" t="s">
        <v>39</v>
      </c>
      <c r="P929" s="9"/>
      <c r="Q929" s="15"/>
      <c r="R929" s="9">
        <v>0</v>
      </c>
    </row>
    <row r="930" spans="1:18" s="1" customFormat="1" hidden="1" x14ac:dyDescent="0.25">
      <c r="A930" s="10" t="s">
        <v>1676</v>
      </c>
      <c r="B930" s="14" t="s">
        <v>1677</v>
      </c>
      <c r="C930" s="10" t="s">
        <v>54</v>
      </c>
      <c r="D930" s="10" t="s">
        <v>35</v>
      </c>
      <c r="E930" s="10" t="s">
        <v>35</v>
      </c>
      <c r="F930" s="11">
        <v>0</v>
      </c>
      <c r="G930" s="21">
        <v>1</v>
      </c>
      <c r="H930" s="21">
        <v>0</v>
      </c>
      <c r="I930" s="21">
        <v>0</v>
      </c>
      <c r="J930" s="14" t="s">
        <v>354</v>
      </c>
      <c r="K930" s="14" t="s">
        <v>355</v>
      </c>
      <c r="L930" s="10" t="s">
        <v>1678</v>
      </c>
      <c r="M930" s="10">
        <v>1</v>
      </c>
      <c r="N930" s="12" t="s">
        <v>1716</v>
      </c>
      <c r="O930" s="12" t="s">
        <v>39</v>
      </c>
      <c r="P930" s="12"/>
      <c r="Q930" s="16"/>
      <c r="R930" s="12">
        <v>0</v>
      </c>
    </row>
    <row r="931" spans="1:18" s="1" customFormat="1" hidden="1" x14ac:dyDescent="0.25">
      <c r="A931" s="7" t="s">
        <v>1679</v>
      </c>
      <c r="B931" s="13" t="s">
        <v>1680</v>
      </c>
      <c r="C931" s="7" t="s">
        <v>34</v>
      </c>
      <c r="D931" s="7" t="s">
        <v>35</v>
      </c>
      <c r="E931" s="7" t="s">
        <v>35</v>
      </c>
      <c r="F931" s="8">
        <v>0</v>
      </c>
      <c r="G931" s="20">
        <v>1</v>
      </c>
      <c r="H931" s="20">
        <v>0</v>
      </c>
      <c r="I931" s="20">
        <v>0</v>
      </c>
      <c r="J931" s="13" t="s">
        <v>448</v>
      </c>
      <c r="K931" s="13" t="s">
        <v>644</v>
      </c>
      <c r="L931" s="7" t="s">
        <v>646</v>
      </c>
      <c r="M931" s="7">
        <v>8.9999999999999998E-4</v>
      </c>
      <c r="N931" s="9" t="s">
        <v>1716</v>
      </c>
      <c r="O931" s="9" t="s">
        <v>39</v>
      </c>
      <c r="P931" s="9"/>
      <c r="Q931" s="15"/>
      <c r="R931" s="9">
        <v>0</v>
      </c>
    </row>
    <row r="932" spans="1:18" s="1" customFormat="1" hidden="1" x14ac:dyDescent="0.25">
      <c r="A932" s="7" t="s">
        <v>1679</v>
      </c>
      <c r="B932" s="13" t="s">
        <v>1680</v>
      </c>
      <c r="C932" s="7" t="s">
        <v>34</v>
      </c>
      <c r="D932" s="7" t="s">
        <v>35</v>
      </c>
      <c r="E932" s="7" t="s">
        <v>35</v>
      </c>
      <c r="F932" s="8">
        <v>0</v>
      </c>
      <c r="G932" s="20">
        <v>1</v>
      </c>
      <c r="H932" s="20">
        <v>0</v>
      </c>
      <c r="I932" s="20">
        <v>0</v>
      </c>
      <c r="J932" s="13" t="s">
        <v>448</v>
      </c>
      <c r="K932" s="13" t="s">
        <v>644</v>
      </c>
      <c r="L932" s="7" t="s">
        <v>647</v>
      </c>
      <c r="M932" s="7">
        <v>0.159</v>
      </c>
      <c r="N932" s="9" t="s">
        <v>1716</v>
      </c>
      <c r="O932" s="9" t="s">
        <v>39</v>
      </c>
      <c r="P932" s="9"/>
      <c r="Q932" s="15"/>
      <c r="R932" s="9">
        <v>0</v>
      </c>
    </row>
    <row r="933" spans="1:18" s="1" customFormat="1" hidden="1" x14ac:dyDescent="0.25">
      <c r="A933" s="7" t="s">
        <v>1679</v>
      </c>
      <c r="B933" s="13" t="s">
        <v>1680</v>
      </c>
      <c r="C933" s="7" t="s">
        <v>34</v>
      </c>
      <c r="D933" s="7" t="s">
        <v>35</v>
      </c>
      <c r="E933" s="7" t="s">
        <v>35</v>
      </c>
      <c r="F933" s="8">
        <v>0</v>
      </c>
      <c r="G933" s="20">
        <v>1</v>
      </c>
      <c r="H933" s="20">
        <v>0</v>
      </c>
      <c r="I933" s="20">
        <v>0</v>
      </c>
      <c r="J933" s="13" t="s">
        <v>448</v>
      </c>
      <c r="K933" s="13" t="s">
        <v>644</v>
      </c>
      <c r="L933" s="7" t="s">
        <v>534</v>
      </c>
      <c r="M933" s="7">
        <v>1.4500000000000001E-2</v>
      </c>
      <c r="N933" s="9" t="s">
        <v>1716</v>
      </c>
      <c r="O933" s="9" t="s">
        <v>39</v>
      </c>
      <c r="P933" s="9"/>
      <c r="Q933" s="15"/>
      <c r="R933" s="9">
        <v>0</v>
      </c>
    </row>
    <row r="934" spans="1:18" s="1" customFormat="1" hidden="1" x14ac:dyDescent="0.25">
      <c r="A934" s="7" t="s">
        <v>1679</v>
      </c>
      <c r="B934" s="13" t="s">
        <v>1680</v>
      </c>
      <c r="C934" s="7" t="s">
        <v>34</v>
      </c>
      <c r="D934" s="7" t="s">
        <v>35</v>
      </c>
      <c r="E934" s="7" t="s">
        <v>35</v>
      </c>
      <c r="F934" s="8">
        <v>0</v>
      </c>
      <c r="G934" s="20">
        <v>1</v>
      </c>
      <c r="H934" s="20">
        <v>0</v>
      </c>
      <c r="I934" s="20">
        <v>0</v>
      </c>
      <c r="J934" s="13" t="s">
        <v>448</v>
      </c>
      <c r="K934" s="13" t="s">
        <v>644</v>
      </c>
      <c r="L934" s="7" t="s">
        <v>1681</v>
      </c>
      <c r="M934" s="7">
        <v>0.47360000000000002</v>
      </c>
      <c r="N934" s="9" t="s">
        <v>1716</v>
      </c>
      <c r="O934" s="9" t="s">
        <v>39</v>
      </c>
      <c r="P934" s="9"/>
      <c r="Q934" s="15"/>
      <c r="R934" s="9">
        <v>0</v>
      </c>
    </row>
    <row r="935" spans="1:18" s="1" customFormat="1" hidden="1" x14ac:dyDescent="0.25">
      <c r="A935" s="10" t="s">
        <v>1682</v>
      </c>
      <c r="B935" s="14" t="s">
        <v>1683</v>
      </c>
      <c r="C935" s="10" t="s">
        <v>34</v>
      </c>
      <c r="D935" s="10" t="s">
        <v>35</v>
      </c>
      <c r="E935" s="10" t="s">
        <v>35</v>
      </c>
      <c r="F935" s="11">
        <v>0</v>
      </c>
      <c r="G935" s="21">
        <v>1</v>
      </c>
      <c r="H935" s="21">
        <v>0</v>
      </c>
      <c r="I935" s="21">
        <v>0</v>
      </c>
      <c r="J935" s="14" t="s">
        <v>448</v>
      </c>
      <c r="K935" s="14" t="s">
        <v>644</v>
      </c>
      <c r="L935" s="10" t="s">
        <v>646</v>
      </c>
      <c r="M935" s="10">
        <v>3.3750000000000002E-2</v>
      </c>
      <c r="N935" s="12" t="s">
        <v>1716</v>
      </c>
      <c r="O935" s="12" t="s">
        <v>39</v>
      </c>
      <c r="P935" s="12"/>
      <c r="Q935" s="16"/>
      <c r="R935" s="12">
        <v>0</v>
      </c>
    </row>
    <row r="936" spans="1:18" s="1" customFormat="1" hidden="1" x14ac:dyDescent="0.25">
      <c r="A936" s="10" t="s">
        <v>1682</v>
      </c>
      <c r="B936" s="14" t="s">
        <v>1683</v>
      </c>
      <c r="C936" s="10" t="s">
        <v>34</v>
      </c>
      <c r="D936" s="10" t="s">
        <v>35</v>
      </c>
      <c r="E936" s="10" t="s">
        <v>35</v>
      </c>
      <c r="F936" s="11">
        <v>0</v>
      </c>
      <c r="G936" s="21">
        <v>1</v>
      </c>
      <c r="H936" s="21">
        <v>0</v>
      </c>
      <c r="I936" s="21">
        <v>0</v>
      </c>
      <c r="J936" s="14" t="s">
        <v>448</v>
      </c>
      <c r="K936" s="14" t="s">
        <v>644</v>
      </c>
      <c r="L936" s="10" t="s">
        <v>647</v>
      </c>
      <c r="M936" s="10">
        <v>0.2</v>
      </c>
      <c r="N936" s="12" t="s">
        <v>1716</v>
      </c>
      <c r="O936" s="12" t="s">
        <v>39</v>
      </c>
      <c r="P936" s="12"/>
      <c r="Q936" s="16"/>
      <c r="R936" s="12">
        <v>0</v>
      </c>
    </row>
    <row r="937" spans="1:18" s="1" customFormat="1" hidden="1" x14ac:dyDescent="0.25">
      <c r="A937" s="10" t="s">
        <v>1682</v>
      </c>
      <c r="B937" s="14" t="s">
        <v>1683</v>
      </c>
      <c r="C937" s="10" t="s">
        <v>34</v>
      </c>
      <c r="D937" s="10" t="s">
        <v>35</v>
      </c>
      <c r="E937" s="10" t="s">
        <v>35</v>
      </c>
      <c r="F937" s="11">
        <v>0</v>
      </c>
      <c r="G937" s="21">
        <v>1</v>
      </c>
      <c r="H937" s="21">
        <v>0</v>
      </c>
      <c r="I937" s="21">
        <v>0</v>
      </c>
      <c r="J937" s="14" t="s">
        <v>448</v>
      </c>
      <c r="K937" s="14" t="s">
        <v>644</v>
      </c>
      <c r="L937" s="10" t="s">
        <v>534</v>
      </c>
      <c r="M937" s="10">
        <v>1.546E-2</v>
      </c>
      <c r="N937" s="12" t="s">
        <v>1716</v>
      </c>
      <c r="O937" s="12" t="s">
        <v>39</v>
      </c>
      <c r="P937" s="12"/>
      <c r="Q937" s="16"/>
      <c r="R937" s="12">
        <v>0</v>
      </c>
    </row>
    <row r="938" spans="1:18" s="1" customFormat="1" hidden="1" x14ac:dyDescent="0.25">
      <c r="A938" s="10" t="s">
        <v>1682</v>
      </c>
      <c r="B938" s="14" t="s">
        <v>1683</v>
      </c>
      <c r="C938" s="10" t="s">
        <v>34</v>
      </c>
      <c r="D938" s="10" t="s">
        <v>35</v>
      </c>
      <c r="E938" s="10" t="s">
        <v>35</v>
      </c>
      <c r="F938" s="11">
        <v>0</v>
      </c>
      <c r="G938" s="21">
        <v>1</v>
      </c>
      <c r="H938" s="21">
        <v>0</v>
      </c>
      <c r="I938" s="21">
        <v>0</v>
      </c>
      <c r="J938" s="14" t="s">
        <v>448</v>
      </c>
      <c r="K938" s="14" t="s">
        <v>644</v>
      </c>
      <c r="L938" s="10" t="s">
        <v>1681</v>
      </c>
      <c r="M938" s="10">
        <v>0.52</v>
      </c>
      <c r="N938" s="12" t="s">
        <v>1716</v>
      </c>
      <c r="O938" s="12" t="s">
        <v>39</v>
      </c>
      <c r="P938" s="12"/>
      <c r="Q938" s="16"/>
      <c r="R938" s="12">
        <v>0</v>
      </c>
    </row>
    <row r="939" spans="1:18" s="1" customFormat="1" hidden="1" x14ac:dyDescent="0.25">
      <c r="A939" s="7" t="s">
        <v>1684</v>
      </c>
      <c r="B939" s="13" t="s">
        <v>1685</v>
      </c>
      <c r="C939" s="7" t="s">
        <v>34</v>
      </c>
      <c r="D939" s="7" t="s">
        <v>35</v>
      </c>
      <c r="E939" s="7" t="s">
        <v>35</v>
      </c>
      <c r="F939" s="8">
        <v>0</v>
      </c>
      <c r="G939" s="20">
        <v>1</v>
      </c>
      <c r="H939" s="20">
        <v>0</v>
      </c>
      <c r="I939" s="20">
        <v>0</v>
      </c>
      <c r="J939" s="13" t="s">
        <v>448</v>
      </c>
      <c r="K939" s="13" t="s">
        <v>644</v>
      </c>
      <c r="L939" s="7" t="s">
        <v>1681</v>
      </c>
      <c r="M939" s="7">
        <v>0.43390000000000001</v>
      </c>
      <c r="N939" s="9" t="s">
        <v>1716</v>
      </c>
      <c r="O939" s="9" t="s">
        <v>39</v>
      </c>
      <c r="P939" s="9"/>
      <c r="Q939" s="15"/>
      <c r="R939" s="9">
        <v>0</v>
      </c>
    </row>
    <row r="940" spans="1:18" s="1" customFormat="1" hidden="1" x14ac:dyDescent="0.25">
      <c r="A940" s="10" t="s">
        <v>1686</v>
      </c>
      <c r="B940" s="14" t="s">
        <v>1687</v>
      </c>
      <c r="C940" s="10" t="s">
        <v>34</v>
      </c>
      <c r="D940" s="10" t="s">
        <v>35</v>
      </c>
      <c r="E940" s="10" t="s">
        <v>35</v>
      </c>
      <c r="F940" s="11">
        <v>0</v>
      </c>
      <c r="G940" s="21">
        <v>1</v>
      </c>
      <c r="H940" s="21">
        <v>0</v>
      </c>
      <c r="I940" s="21">
        <v>0</v>
      </c>
      <c r="J940" s="14" t="s">
        <v>448</v>
      </c>
      <c r="K940" s="14" t="s">
        <v>644</v>
      </c>
      <c r="L940" s="10" t="s">
        <v>646</v>
      </c>
      <c r="M940" s="10">
        <v>3.7699999999999997E-2</v>
      </c>
      <c r="N940" s="12" t="s">
        <v>1716</v>
      </c>
      <c r="O940" s="12" t="s">
        <v>39</v>
      </c>
      <c r="P940" s="12"/>
      <c r="Q940" s="16"/>
      <c r="R940" s="12">
        <v>0</v>
      </c>
    </row>
    <row r="941" spans="1:18" s="1" customFormat="1" hidden="1" x14ac:dyDescent="0.25">
      <c r="A941" s="10" t="s">
        <v>1686</v>
      </c>
      <c r="B941" s="14" t="s">
        <v>1687</v>
      </c>
      <c r="C941" s="10" t="s">
        <v>34</v>
      </c>
      <c r="D941" s="10" t="s">
        <v>35</v>
      </c>
      <c r="E941" s="10" t="s">
        <v>35</v>
      </c>
      <c r="F941" s="11">
        <v>0</v>
      </c>
      <c r="G941" s="21">
        <v>1</v>
      </c>
      <c r="H941" s="21">
        <v>0</v>
      </c>
      <c r="I941" s="21">
        <v>0</v>
      </c>
      <c r="J941" s="14" t="s">
        <v>448</v>
      </c>
      <c r="K941" s="14" t="s">
        <v>644</v>
      </c>
      <c r="L941" s="10" t="s">
        <v>650</v>
      </c>
      <c r="M941" s="10">
        <v>3.1E-2</v>
      </c>
      <c r="N941" s="12" t="s">
        <v>1716</v>
      </c>
      <c r="O941" s="12" t="s">
        <v>39</v>
      </c>
      <c r="P941" s="12"/>
      <c r="Q941" s="16"/>
      <c r="R941" s="12">
        <v>0</v>
      </c>
    </row>
    <row r="942" spans="1:18" s="1" customFormat="1" hidden="1" x14ac:dyDescent="0.25">
      <c r="A942" s="10" t="s">
        <v>1686</v>
      </c>
      <c r="B942" s="14" t="s">
        <v>1687</v>
      </c>
      <c r="C942" s="10" t="s">
        <v>34</v>
      </c>
      <c r="D942" s="10" t="s">
        <v>35</v>
      </c>
      <c r="E942" s="10" t="s">
        <v>35</v>
      </c>
      <c r="F942" s="11">
        <v>0</v>
      </c>
      <c r="G942" s="21">
        <v>1</v>
      </c>
      <c r="H942" s="21">
        <v>0</v>
      </c>
      <c r="I942" s="21">
        <v>0</v>
      </c>
      <c r="J942" s="14" t="s">
        <v>448</v>
      </c>
      <c r="K942" s="14" t="s">
        <v>644</v>
      </c>
      <c r="L942" s="10" t="s">
        <v>651</v>
      </c>
      <c r="M942" s="10">
        <v>7.0999999999999994E-2</v>
      </c>
      <c r="N942" s="12" t="s">
        <v>1716</v>
      </c>
      <c r="O942" s="12" t="s">
        <v>39</v>
      </c>
      <c r="P942" s="12"/>
      <c r="Q942" s="16"/>
      <c r="R942" s="12">
        <v>0</v>
      </c>
    </row>
    <row r="943" spans="1:18" s="1" customFormat="1" hidden="1" x14ac:dyDescent="0.25">
      <c r="A943" s="10" t="s">
        <v>1686</v>
      </c>
      <c r="B943" s="14" t="s">
        <v>1687</v>
      </c>
      <c r="C943" s="10" t="s">
        <v>34</v>
      </c>
      <c r="D943" s="10" t="s">
        <v>35</v>
      </c>
      <c r="E943" s="10" t="s">
        <v>35</v>
      </c>
      <c r="F943" s="11">
        <v>0</v>
      </c>
      <c r="G943" s="21">
        <v>1</v>
      </c>
      <c r="H943" s="21">
        <v>0</v>
      </c>
      <c r="I943" s="21">
        <v>0</v>
      </c>
      <c r="J943" s="14" t="s">
        <v>448</v>
      </c>
      <c r="K943" s="14" t="s">
        <v>644</v>
      </c>
      <c r="L943" s="10" t="s">
        <v>534</v>
      </c>
      <c r="M943" s="10">
        <v>1.7299999999999999E-2</v>
      </c>
      <c r="N943" s="12" t="s">
        <v>1716</v>
      </c>
      <c r="O943" s="12" t="s">
        <v>39</v>
      </c>
      <c r="P943" s="12"/>
      <c r="Q943" s="16"/>
      <c r="R943" s="12">
        <v>0</v>
      </c>
    </row>
    <row r="944" spans="1:18" s="1" customFormat="1" hidden="1" x14ac:dyDescent="0.25">
      <c r="A944" s="10" t="s">
        <v>1686</v>
      </c>
      <c r="B944" s="14" t="s">
        <v>1687</v>
      </c>
      <c r="C944" s="10" t="s">
        <v>34</v>
      </c>
      <c r="D944" s="10" t="s">
        <v>35</v>
      </c>
      <c r="E944" s="10" t="s">
        <v>35</v>
      </c>
      <c r="F944" s="11">
        <v>0</v>
      </c>
      <c r="G944" s="21">
        <v>1</v>
      </c>
      <c r="H944" s="21">
        <v>0</v>
      </c>
      <c r="I944" s="21">
        <v>0</v>
      </c>
      <c r="J944" s="14" t="s">
        <v>448</v>
      </c>
      <c r="K944" s="14" t="s">
        <v>644</v>
      </c>
      <c r="L944" s="10" t="s">
        <v>1681</v>
      </c>
      <c r="M944" s="10">
        <v>0.495</v>
      </c>
      <c r="N944" s="12" t="s">
        <v>1716</v>
      </c>
      <c r="O944" s="12" t="s">
        <v>39</v>
      </c>
      <c r="P944" s="12"/>
      <c r="Q944" s="16"/>
      <c r="R944" s="12">
        <v>0</v>
      </c>
    </row>
    <row r="945" spans="1:18" s="1" customFormat="1" hidden="1" x14ac:dyDescent="0.25">
      <c r="A945" s="7" t="s">
        <v>1688</v>
      </c>
      <c r="B945" s="13" t="s">
        <v>1689</v>
      </c>
      <c r="C945" s="7" t="s">
        <v>34</v>
      </c>
      <c r="D945" s="7" t="s">
        <v>35</v>
      </c>
      <c r="E945" s="7" t="s">
        <v>35</v>
      </c>
      <c r="F945" s="8">
        <v>0</v>
      </c>
      <c r="G945" s="20">
        <v>1</v>
      </c>
      <c r="H945" s="20">
        <v>0</v>
      </c>
      <c r="I945" s="20">
        <v>0</v>
      </c>
      <c r="J945" s="13" t="s">
        <v>36</v>
      </c>
      <c r="K945" s="13" t="s">
        <v>35</v>
      </c>
      <c r="L945" s="7" t="s">
        <v>416</v>
      </c>
      <c r="M945" s="7">
        <v>0.1</v>
      </c>
      <c r="N945" s="9" t="s">
        <v>1716</v>
      </c>
      <c r="O945" s="9" t="s">
        <v>39</v>
      </c>
      <c r="P945" s="9"/>
      <c r="Q945" s="15"/>
      <c r="R945" s="9">
        <v>0</v>
      </c>
    </row>
    <row r="946" spans="1:18" s="1" customFormat="1" hidden="1" x14ac:dyDescent="0.25">
      <c r="A946" s="7" t="s">
        <v>1688</v>
      </c>
      <c r="B946" s="13" t="s">
        <v>1689</v>
      </c>
      <c r="C946" s="7" t="s">
        <v>34</v>
      </c>
      <c r="D946" s="7" t="s">
        <v>35</v>
      </c>
      <c r="E946" s="7" t="s">
        <v>35</v>
      </c>
      <c r="F946" s="8">
        <v>0</v>
      </c>
      <c r="G946" s="20">
        <v>1</v>
      </c>
      <c r="H946" s="20">
        <v>0</v>
      </c>
      <c r="I946" s="20">
        <v>0</v>
      </c>
      <c r="J946" s="13" t="s">
        <v>36</v>
      </c>
      <c r="K946" s="13" t="s">
        <v>35</v>
      </c>
      <c r="L946" s="7" t="s">
        <v>40</v>
      </c>
      <c r="M946" s="7">
        <v>0.7</v>
      </c>
      <c r="N946" s="9" t="s">
        <v>1716</v>
      </c>
      <c r="O946" s="9" t="s">
        <v>39</v>
      </c>
      <c r="P946" s="9"/>
      <c r="Q946" s="15"/>
      <c r="R946" s="9">
        <v>0</v>
      </c>
    </row>
    <row r="947" spans="1:18" s="1" customFormat="1" hidden="1" x14ac:dyDescent="0.25">
      <c r="A947" s="10" t="s">
        <v>1690</v>
      </c>
      <c r="B947" s="14" t="s">
        <v>1691</v>
      </c>
      <c r="C947" s="10" t="s">
        <v>34</v>
      </c>
      <c r="D947" s="10" t="s">
        <v>35</v>
      </c>
      <c r="E947" s="10" t="s">
        <v>35</v>
      </c>
      <c r="F947" s="11">
        <v>0</v>
      </c>
      <c r="G947" s="21">
        <v>1</v>
      </c>
      <c r="H947" s="21">
        <v>0</v>
      </c>
      <c r="I947" s="21">
        <v>0</v>
      </c>
      <c r="J947" s="14" t="s">
        <v>36</v>
      </c>
      <c r="K947" s="14" t="s">
        <v>35</v>
      </c>
      <c r="L947" s="10" t="s">
        <v>166</v>
      </c>
      <c r="M947" s="10">
        <v>0.16</v>
      </c>
      <c r="N947" s="12" t="s">
        <v>1716</v>
      </c>
      <c r="O947" s="12" t="s">
        <v>39</v>
      </c>
      <c r="P947" s="12"/>
      <c r="Q947" s="16"/>
      <c r="R947" s="12">
        <v>0</v>
      </c>
    </row>
    <row r="948" spans="1:18" s="1" customFormat="1" hidden="1" x14ac:dyDescent="0.25">
      <c r="A948" s="7" t="s">
        <v>1692</v>
      </c>
      <c r="B948" s="13" t="s">
        <v>1693</v>
      </c>
      <c r="C948" s="7" t="s">
        <v>111</v>
      </c>
      <c r="D948" s="7" t="s">
        <v>35</v>
      </c>
      <c r="E948" s="7" t="s">
        <v>35</v>
      </c>
      <c r="F948" s="8">
        <v>0</v>
      </c>
      <c r="G948" s="20">
        <v>1</v>
      </c>
      <c r="H948" s="20">
        <v>0</v>
      </c>
      <c r="I948" s="20">
        <v>0</v>
      </c>
      <c r="J948" s="13" t="s">
        <v>67</v>
      </c>
      <c r="K948" s="13" t="s">
        <v>56</v>
      </c>
      <c r="L948" s="7" t="s">
        <v>1694</v>
      </c>
      <c r="M948" s="7">
        <v>1</v>
      </c>
      <c r="N948" s="9" t="s">
        <v>1716</v>
      </c>
      <c r="O948" s="9" t="s">
        <v>39</v>
      </c>
      <c r="P948" s="9"/>
      <c r="Q948" s="15"/>
      <c r="R948" s="9">
        <v>0</v>
      </c>
    </row>
    <row r="949" spans="1:18" s="1" customFormat="1" hidden="1" x14ac:dyDescent="0.25">
      <c r="A949" s="10" t="s">
        <v>1695</v>
      </c>
      <c r="B949" s="14" t="s">
        <v>1696</v>
      </c>
      <c r="C949" s="10" t="s">
        <v>54</v>
      </c>
      <c r="D949" s="10" t="s">
        <v>35</v>
      </c>
      <c r="E949" s="10" t="s">
        <v>35</v>
      </c>
      <c r="F949" s="11">
        <v>0</v>
      </c>
      <c r="G949" s="21">
        <v>1</v>
      </c>
      <c r="H949" s="21">
        <v>0</v>
      </c>
      <c r="I949" s="21">
        <v>0</v>
      </c>
      <c r="J949" s="14" t="s">
        <v>324</v>
      </c>
      <c r="K949" s="14" t="s">
        <v>325</v>
      </c>
      <c r="L949" s="10" t="s">
        <v>1697</v>
      </c>
      <c r="M949" s="10">
        <v>1</v>
      </c>
      <c r="N949" s="12" t="s">
        <v>1716</v>
      </c>
      <c r="O949" s="12" t="s">
        <v>39</v>
      </c>
      <c r="P949" s="12"/>
      <c r="Q949" s="16"/>
      <c r="R949" s="12">
        <v>0</v>
      </c>
    </row>
    <row r="950" spans="1:18" s="1" customFormat="1" hidden="1" x14ac:dyDescent="0.25">
      <c r="A950" s="7" t="s">
        <v>1698</v>
      </c>
      <c r="B950" s="13" t="s">
        <v>1699</v>
      </c>
      <c r="C950" s="7" t="s">
        <v>34</v>
      </c>
      <c r="D950" s="7" t="s">
        <v>35</v>
      </c>
      <c r="E950" s="7" t="s">
        <v>35</v>
      </c>
      <c r="F950" s="8">
        <v>0</v>
      </c>
      <c r="G950" s="20">
        <v>1</v>
      </c>
      <c r="H950" s="20">
        <v>0</v>
      </c>
      <c r="I950" s="20">
        <v>0</v>
      </c>
      <c r="J950" s="13" t="s">
        <v>36</v>
      </c>
      <c r="K950" s="13" t="s">
        <v>37</v>
      </c>
      <c r="L950" s="7" t="s">
        <v>38</v>
      </c>
      <c r="M950" s="7">
        <v>0.3427</v>
      </c>
      <c r="N950" s="9" t="s">
        <v>1716</v>
      </c>
      <c r="O950" s="9" t="s">
        <v>39</v>
      </c>
      <c r="P950" s="9"/>
      <c r="Q950" s="15"/>
      <c r="R950" s="9">
        <v>0</v>
      </c>
    </row>
    <row r="951" spans="1:18" s="1" customFormat="1" hidden="1" x14ac:dyDescent="0.25">
      <c r="A951" s="7" t="s">
        <v>1698</v>
      </c>
      <c r="B951" s="13" t="s">
        <v>1699</v>
      </c>
      <c r="C951" s="7" t="s">
        <v>34</v>
      </c>
      <c r="D951" s="7" t="s">
        <v>35</v>
      </c>
      <c r="E951" s="7" t="s">
        <v>35</v>
      </c>
      <c r="F951" s="8">
        <v>0</v>
      </c>
      <c r="G951" s="20">
        <v>1</v>
      </c>
      <c r="H951" s="20">
        <v>0</v>
      </c>
      <c r="I951" s="20">
        <v>0</v>
      </c>
      <c r="J951" s="13" t="s">
        <v>36</v>
      </c>
      <c r="K951" s="13" t="s">
        <v>37</v>
      </c>
      <c r="L951" s="7" t="s">
        <v>40</v>
      </c>
      <c r="M951" s="7">
        <v>1.3389</v>
      </c>
      <c r="N951" s="9" t="s">
        <v>1716</v>
      </c>
      <c r="O951" s="9" t="s">
        <v>39</v>
      </c>
      <c r="P951" s="9"/>
      <c r="Q951" s="15"/>
      <c r="R951" s="9">
        <v>0</v>
      </c>
    </row>
    <row r="952" spans="1:18" s="1" customFormat="1" hidden="1" x14ac:dyDescent="0.25">
      <c r="A952" s="7" t="s">
        <v>1698</v>
      </c>
      <c r="B952" s="13" t="s">
        <v>1699</v>
      </c>
      <c r="C952" s="7" t="s">
        <v>34</v>
      </c>
      <c r="D952" s="7" t="s">
        <v>35</v>
      </c>
      <c r="E952" s="7" t="s">
        <v>35</v>
      </c>
      <c r="F952" s="8">
        <v>0</v>
      </c>
      <c r="G952" s="20">
        <v>1</v>
      </c>
      <c r="H952" s="20">
        <v>0</v>
      </c>
      <c r="I952" s="20">
        <v>0</v>
      </c>
      <c r="J952" s="13" t="s">
        <v>36</v>
      </c>
      <c r="K952" s="13" t="s">
        <v>37</v>
      </c>
      <c r="L952" s="7" t="s">
        <v>41</v>
      </c>
      <c r="M952" s="7">
        <v>8.0199999999999994E-2</v>
      </c>
      <c r="N952" s="9" t="s">
        <v>1716</v>
      </c>
      <c r="O952" s="9" t="s">
        <v>39</v>
      </c>
      <c r="P952" s="9"/>
      <c r="Q952" s="15"/>
      <c r="R952" s="9">
        <v>0</v>
      </c>
    </row>
    <row r="953" spans="1:18" s="1" customFormat="1" hidden="1" x14ac:dyDescent="0.25">
      <c r="A953" s="7" t="s">
        <v>1698</v>
      </c>
      <c r="B953" s="13" t="s">
        <v>1699</v>
      </c>
      <c r="C953" s="7" t="s">
        <v>34</v>
      </c>
      <c r="D953" s="7" t="s">
        <v>35</v>
      </c>
      <c r="E953" s="7" t="s">
        <v>35</v>
      </c>
      <c r="F953" s="8">
        <v>0</v>
      </c>
      <c r="G953" s="20">
        <v>1</v>
      </c>
      <c r="H953" s="20">
        <v>0</v>
      </c>
      <c r="I953" s="20">
        <v>0</v>
      </c>
      <c r="J953" s="13" t="s">
        <v>36</v>
      </c>
      <c r="K953" s="13" t="s">
        <v>37</v>
      </c>
      <c r="L953" s="7" t="s">
        <v>42</v>
      </c>
      <c r="M953" s="7">
        <v>0.08</v>
      </c>
      <c r="N953" s="9" t="s">
        <v>1716</v>
      </c>
      <c r="O953" s="9" t="s">
        <v>39</v>
      </c>
      <c r="P953" s="9"/>
      <c r="Q953" s="15"/>
      <c r="R953" s="9">
        <v>0</v>
      </c>
    </row>
    <row r="954" spans="1:18" s="1" customFormat="1" hidden="1" x14ac:dyDescent="0.25">
      <c r="A954" s="10" t="s">
        <v>1700</v>
      </c>
      <c r="B954" s="14" t="s">
        <v>1701</v>
      </c>
      <c r="C954" s="10" t="s">
        <v>34</v>
      </c>
      <c r="D954" s="10" t="s">
        <v>35</v>
      </c>
      <c r="E954" s="10" t="s">
        <v>35</v>
      </c>
      <c r="F954" s="11">
        <v>0</v>
      </c>
      <c r="G954" s="21">
        <v>1</v>
      </c>
      <c r="H954" s="21">
        <v>0</v>
      </c>
      <c r="I954" s="21">
        <v>0</v>
      </c>
      <c r="J954" s="14" t="s">
        <v>36</v>
      </c>
      <c r="K954" s="14" t="s">
        <v>156</v>
      </c>
      <c r="L954" s="10" t="s">
        <v>38</v>
      </c>
      <c r="M954" s="10">
        <v>0.34275</v>
      </c>
      <c r="N954" s="12" t="s">
        <v>1716</v>
      </c>
      <c r="O954" s="12" t="s">
        <v>39</v>
      </c>
      <c r="P954" s="12"/>
      <c r="Q954" s="16"/>
      <c r="R954" s="12">
        <v>0</v>
      </c>
    </row>
    <row r="955" spans="1:18" s="1" customFormat="1" hidden="1" x14ac:dyDescent="0.25">
      <c r="A955" s="10" t="s">
        <v>1700</v>
      </c>
      <c r="B955" s="14" t="s">
        <v>1701</v>
      </c>
      <c r="C955" s="10" t="s">
        <v>34</v>
      </c>
      <c r="D955" s="10" t="s">
        <v>35</v>
      </c>
      <c r="E955" s="10" t="s">
        <v>35</v>
      </c>
      <c r="F955" s="11">
        <v>0</v>
      </c>
      <c r="G955" s="21">
        <v>1</v>
      </c>
      <c r="H955" s="21">
        <v>0</v>
      </c>
      <c r="I955" s="21">
        <v>0</v>
      </c>
      <c r="J955" s="14" t="s">
        <v>36</v>
      </c>
      <c r="K955" s="14" t="s">
        <v>156</v>
      </c>
      <c r="L955" s="10" t="s">
        <v>159</v>
      </c>
      <c r="M955" s="10">
        <v>0.1666</v>
      </c>
      <c r="N955" s="12" t="s">
        <v>1716</v>
      </c>
      <c r="O955" s="12" t="s">
        <v>39</v>
      </c>
      <c r="P955" s="12"/>
      <c r="Q955" s="16"/>
      <c r="R955" s="12">
        <v>0</v>
      </c>
    </row>
    <row r="956" spans="1:18" s="1" customFormat="1" hidden="1" x14ac:dyDescent="0.25">
      <c r="A956" s="10" t="s">
        <v>1700</v>
      </c>
      <c r="B956" s="14" t="s">
        <v>1701</v>
      </c>
      <c r="C956" s="10" t="s">
        <v>34</v>
      </c>
      <c r="D956" s="10" t="s">
        <v>35</v>
      </c>
      <c r="E956" s="10" t="s">
        <v>35</v>
      </c>
      <c r="F956" s="11">
        <v>0</v>
      </c>
      <c r="G956" s="21">
        <v>1</v>
      </c>
      <c r="H956" s="21">
        <v>0</v>
      </c>
      <c r="I956" s="21">
        <v>0</v>
      </c>
      <c r="J956" s="14" t="s">
        <v>36</v>
      </c>
      <c r="K956" s="14" t="s">
        <v>156</v>
      </c>
      <c r="L956" s="10" t="s">
        <v>41</v>
      </c>
      <c r="M956" s="10">
        <v>8.0199999999999994E-2</v>
      </c>
      <c r="N956" s="12" t="s">
        <v>1716</v>
      </c>
      <c r="O956" s="12" t="s">
        <v>39</v>
      </c>
      <c r="P956" s="12"/>
      <c r="Q956" s="16"/>
      <c r="R956" s="12">
        <v>0</v>
      </c>
    </row>
    <row r="957" spans="1:18" s="1" customFormat="1" hidden="1" x14ac:dyDescent="0.25">
      <c r="A957" s="10" t="s">
        <v>1700</v>
      </c>
      <c r="B957" s="14" t="s">
        <v>1701</v>
      </c>
      <c r="C957" s="10" t="s">
        <v>34</v>
      </c>
      <c r="D957" s="10" t="s">
        <v>35</v>
      </c>
      <c r="E957" s="10" t="s">
        <v>35</v>
      </c>
      <c r="F957" s="11">
        <v>0</v>
      </c>
      <c r="G957" s="21">
        <v>1</v>
      </c>
      <c r="H957" s="21">
        <v>0</v>
      </c>
      <c r="I957" s="21">
        <v>0</v>
      </c>
      <c r="J957" s="14" t="s">
        <v>36</v>
      </c>
      <c r="K957" s="14" t="s">
        <v>156</v>
      </c>
      <c r="L957" s="10" t="s">
        <v>1702</v>
      </c>
      <c r="M957" s="10">
        <v>1.3389</v>
      </c>
      <c r="N957" s="12" t="s">
        <v>1716</v>
      </c>
      <c r="O957" s="12" t="s">
        <v>39</v>
      </c>
      <c r="P957" s="12"/>
      <c r="Q957" s="16"/>
      <c r="R957" s="12">
        <v>0</v>
      </c>
    </row>
    <row r="958" spans="1:18" s="1" customFormat="1" hidden="1" x14ac:dyDescent="0.25">
      <c r="A958" s="7" t="s">
        <v>1703</v>
      </c>
      <c r="B958" s="13" t="s">
        <v>1704</v>
      </c>
      <c r="C958" s="7" t="s">
        <v>34</v>
      </c>
      <c r="D958" s="7" t="s">
        <v>35</v>
      </c>
      <c r="E958" s="7" t="s">
        <v>35</v>
      </c>
      <c r="F958" s="8">
        <v>0</v>
      </c>
      <c r="G958" s="20">
        <v>1</v>
      </c>
      <c r="H958" s="20">
        <v>0</v>
      </c>
      <c r="I958" s="20">
        <v>0</v>
      </c>
      <c r="J958" s="13" t="s">
        <v>36</v>
      </c>
      <c r="K958" s="13" t="s">
        <v>1375</v>
      </c>
      <c r="L958" s="7" t="s">
        <v>41</v>
      </c>
      <c r="M958" s="7">
        <v>0.1</v>
      </c>
      <c r="N958" s="9" t="s">
        <v>1716</v>
      </c>
      <c r="O958" s="9" t="s">
        <v>39</v>
      </c>
      <c r="P958" s="9"/>
      <c r="Q958" s="15"/>
      <c r="R958" s="9">
        <v>0</v>
      </c>
    </row>
    <row r="959" spans="1:18" s="1" customFormat="1" hidden="1" x14ac:dyDescent="0.25">
      <c r="A959" s="7" t="s">
        <v>1703</v>
      </c>
      <c r="B959" s="13" t="s">
        <v>1704</v>
      </c>
      <c r="C959" s="7" t="s">
        <v>34</v>
      </c>
      <c r="D959" s="7" t="s">
        <v>35</v>
      </c>
      <c r="E959" s="7" t="s">
        <v>35</v>
      </c>
      <c r="F959" s="8">
        <v>0</v>
      </c>
      <c r="G959" s="20">
        <v>1</v>
      </c>
      <c r="H959" s="20">
        <v>0</v>
      </c>
      <c r="I959" s="20">
        <v>0</v>
      </c>
      <c r="J959" s="13" t="s">
        <v>36</v>
      </c>
      <c r="K959" s="13" t="s">
        <v>1375</v>
      </c>
      <c r="L959" s="7" t="s">
        <v>1702</v>
      </c>
      <c r="M959" s="7">
        <v>0.88019999999999998</v>
      </c>
      <c r="N959" s="9" t="s">
        <v>1716</v>
      </c>
      <c r="O959" s="9" t="s">
        <v>39</v>
      </c>
      <c r="P959" s="9"/>
      <c r="Q959" s="15"/>
      <c r="R959" s="9">
        <v>0</v>
      </c>
    </row>
    <row r="960" spans="1:18" s="1" customFormat="1" hidden="1" x14ac:dyDescent="0.25">
      <c r="A960" s="10" t="s">
        <v>1705</v>
      </c>
      <c r="B960" s="14" t="s">
        <v>1706</v>
      </c>
      <c r="C960" s="10" t="s">
        <v>136</v>
      </c>
      <c r="D960" s="10" t="s">
        <v>35</v>
      </c>
      <c r="E960" s="10" t="s">
        <v>35</v>
      </c>
      <c r="F960" s="11">
        <v>0</v>
      </c>
      <c r="G960" s="21">
        <v>1</v>
      </c>
      <c r="H960" s="21">
        <v>0</v>
      </c>
      <c r="I960" s="21">
        <v>0</v>
      </c>
      <c r="J960" s="14" t="s">
        <v>71</v>
      </c>
      <c r="K960" s="14" t="s">
        <v>99</v>
      </c>
      <c r="L960" s="10" t="s">
        <v>100</v>
      </c>
      <c r="M960" s="10">
        <v>4.2099999999999999E-2</v>
      </c>
      <c r="N960" s="12" t="s">
        <v>1716</v>
      </c>
      <c r="O960" s="12" t="s">
        <v>39</v>
      </c>
      <c r="P960" s="12"/>
      <c r="Q960" s="16"/>
      <c r="R960" s="12">
        <v>0</v>
      </c>
    </row>
    <row r="961" spans="1:18" s="1" customFormat="1" hidden="1" x14ac:dyDescent="0.25">
      <c r="A961" s="7" t="s">
        <v>1707</v>
      </c>
      <c r="B961" s="13" t="s">
        <v>1708</v>
      </c>
      <c r="C961" s="7" t="s">
        <v>75</v>
      </c>
      <c r="D961" s="7" t="s">
        <v>35</v>
      </c>
      <c r="E961" s="7" t="s">
        <v>35</v>
      </c>
      <c r="F961" s="8">
        <v>0</v>
      </c>
      <c r="G961" s="20">
        <v>1</v>
      </c>
      <c r="H961" s="20">
        <v>0</v>
      </c>
      <c r="I961" s="20">
        <v>0</v>
      </c>
      <c r="J961" s="13" t="s">
        <v>229</v>
      </c>
      <c r="K961" s="13" t="s">
        <v>56</v>
      </c>
      <c r="L961" s="7" t="s">
        <v>1709</v>
      </c>
      <c r="M961" s="7">
        <v>0.32786999999999999</v>
      </c>
      <c r="N961" s="9" t="s">
        <v>1716</v>
      </c>
      <c r="O961" s="9" t="s">
        <v>39</v>
      </c>
      <c r="P961" s="9"/>
      <c r="Q961" s="15"/>
      <c r="R961" s="9">
        <v>0</v>
      </c>
    </row>
    <row r="962" spans="1:18" s="1" customFormat="1" hidden="1" x14ac:dyDescent="0.25">
      <c r="A962" s="10" t="s">
        <v>1710</v>
      </c>
      <c r="B962" s="14" t="s">
        <v>1711</v>
      </c>
      <c r="C962" s="10" t="s">
        <v>75</v>
      </c>
      <c r="D962" s="10" t="s">
        <v>35</v>
      </c>
      <c r="E962" s="10" t="s">
        <v>35</v>
      </c>
      <c r="F962" s="11">
        <v>0</v>
      </c>
      <c r="G962" s="21">
        <v>1</v>
      </c>
      <c r="H962" s="21">
        <v>0</v>
      </c>
      <c r="I962" s="21">
        <v>0</v>
      </c>
      <c r="J962" s="14" t="s">
        <v>229</v>
      </c>
      <c r="K962" s="14" t="s">
        <v>56</v>
      </c>
      <c r="L962" s="10" t="s">
        <v>1709</v>
      </c>
      <c r="M962" s="10">
        <v>0.32786999999999999</v>
      </c>
      <c r="N962" s="12" t="s">
        <v>1716</v>
      </c>
      <c r="O962" s="12" t="s">
        <v>39</v>
      </c>
      <c r="P962" s="12"/>
      <c r="Q962" s="16"/>
      <c r="R962" s="12">
        <v>0</v>
      </c>
    </row>
    <row r="963" spans="1:18" s="1" customFormat="1" hidden="1" x14ac:dyDescent="0.25">
      <c r="A963" s="7" t="s">
        <v>1712</v>
      </c>
      <c r="B963" s="13" t="s">
        <v>1713</v>
      </c>
      <c r="C963" s="7" t="s">
        <v>136</v>
      </c>
      <c r="D963" s="7" t="s">
        <v>35</v>
      </c>
      <c r="E963" s="7" t="s">
        <v>35</v>
      </c>
      <c r="F963" s="8">
        <v>0</v>
      </c>
      <c r="G963" s="20">
        <v>1</v>
      </c>
      <c r="H963" s="20">
        <v>0</v>
      </c>
      <c r="I963" s="20">
        <v>0</v>
      </c>
      <c r="J963" s="13" t="s">
        <v>46</v>
      </c>
      <c r="K963" s="13" t="s">
        <v>1714</v>
      </c>
      <c r="L963" s="7" t="s">
        <v>1715</v>
      </c>
      <c r="M963" s="7">
        <v>1</v>
      </c>
      <c r="N963" s="9" t="s">
        <v>1716</v>
      </c>
      <c r="O963" s="9" t="s">
        <v>39</v>
      </c>
      <c r="P963" s="9"/>
      <c r="Q963" s="15"/>
      <c r="R963" s="9">
        <v>0</v>
      </c>
    </row>
    <row r="964" spans="1:18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</row>
    <row r="965" spans="1:18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</row>
    <row r="966" spans="1:18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</row>
    <row r="967" spans="1:18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</row>
    <row r="968" spans="1:18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</row>
    <row r="969" spans="1:18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</row>
    <row r="970" spans="1:18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</row>
    <row r="971" spans="1:18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</row>
    <row r="972" spans="1:18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</row>
    <row r="973" spans="1:18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</row>
    <row r="974" spans="1:18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</row>
    <row r="975" spans="1:18" x14ac:dyDescent="0.25">
      <c r="L975" s="3"/>
      <c r="M975" s="3"/>
      <c r="N975" s="3"/>
      <c r="O975" s="3"/>
      <c r="P975" s="3"/>
      <c r="Q975" s="3"/>
      <c r="R975" s="3"/>
    </row>
    <row r="976" spans="1:18" x14ac:dyDescent="0.25">
      <c r="L976" s="3"/>
      <c r="M976" s="3"/>
      <c r="N976" s="3"/>
      <c r="O976" s="3"/>
      <c r="P976" s="3"/>
      <c r="Q976" s="3"/>
      <c r="R976" s="3"/>
    </row>
  </sheetData>
  <autoFilter ref="A4:R963" xr:uid="{03696F1C-7910-4CD0-8155-C7F7E293EFA2}">
    <filterColumn colId="0">
      <filters>
        <filter val="4891"/>
      </filters>
    </filterColumn>
  </autoFilter>
  <mergeCells count="2">
    <mergeCell ref="A3:K3"/>
    <mergeCell ref="L3:R3"/>
  </mergeCells>
  <pageMargins left="0.511811024" right="0.511811024" top="0.78740157499999996" bottom="0.78740157499999996" header="0.31496062000000002" footer="0.31496062000000002"/>
  <pageSetup paperSize="32767" orientation="portrait" horizontalDpi="4000" verticalDpi="40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3F0C2-958E-4119-B714-579BE265F8C3}">
  <dimension ref="A1:R542"/>
  <sheetViews>
    <sheetView tabSelected="1" zoomScale="115" zoomScaleNormal="115" workbookViewId="0">
      <pane ySplit="5" topLeftCell="A6" activePane="bottomLeft" state="frozen"/>
      <selection pane="bottomLeft" activeCell="B6" sqref="B6"/>
    </sheetView>
  </sheetViews>
  <sheetFormatPr defaultRowHeight="15" x14ac:dyDescent="0.25"/>
  <cols>
    <col min="1" max="1" width="15.28515625" customWidth="1"/>
    <col min="2" max="2" width="97" style="29" customWidth="1"/>
    <col min="3" max="3" width="13.28515625" customWidth="1"/>
    <col min="4" max="5" width="38.140625" customWidth="1"/>
    <col min="6" max="18" width="0" hidden="1" customWidth="1"/>
  </cols>
  <sheetData>
    <row r="1" spans="1:18" ht="34.5" x14ac:dyDescent="0.95">
      <c r="A1" s="22" t="s">
        <v>1719</v>
      </c>
      <c r="F1" t="s">
        <v>18</v>
      </c>
      <c r="G1" t="s">
        <v>19</v>
      </c>
      <c r="H1" t="s">
        <v>20</v>
      </c>
      <c r="I1" t="s">
        <v>1717</v>
      </c>
      <c r="J1" t="s">
        <v>1718</v>
      </c>
      <c r="K1" t="s">
        <v>1730</v>
      </c>
      <c r="L1" t="s">
        <v>1723</v>
      </c>
      <c r="M1" t="s">
        <v>1724</v>
      </c>
      <c r="N1" t="s">
        <v>1725</v>
      </c>
      <c r="O1" t="s">
        <v>1726</v>
      </c>
      <c r="P1" t="s">
        <v>1727</v>
      </c>
      <c r="Q1" t="s">
        <v>1728</v>
      </c>
      <c r="R1" t="s">
        <v>1729</v>
      </c>
    </row>
    <row r="2" spans="1:18" ht="27.95" customHeight="1" x14ac:dyDescent="0.6">
      <c r="A2" s="23" t="s">
        <v>1722</v>
      </c>
      <c r="B2" s="34"/>
      <c r="C2" s="35"/>
      <c r="F2">
        <v>90557</v>
      </c>
      <c r="G2" t="s">
        <v>33</v>
      </c>
      <c r="H2" t="s">
        <v>34</v>
      </c>
      <c r="I2" t="s">
        <v>36</v>
      </c>
      <c r="J2" t="s">
        <v>37</v>
      </c>
      <c r="K2" t="s">
        <v>201</v>
      </c>
      <c r="L2" t="b">
        <f>IF(TRIM($B$3)="",TRUE,ISNUMBER(SEARCH(TRIM(MID(SUBSTITUTE($B$3," ",REPT(" ",100)),1,100)),G2)))</f>
        <v>0</v>
      </c>
      <c r="M2" t="b">
        <f>IF(LEN(TRIM($B$3))-LEN(SUBSTITUTE(TRIM($B$3)," ",""))&lt;1,TRUE,ISNUMBER(SEARCH(TRIM(MID(SUBSTITUTE($B$3," ",REPT(" ",100)),101,100)),G2)))</f>
        <v>1</v>
      </c>
      <c r="N2" t="b">
        <f>IF(LEN(TRIM($B$3))-LEN(SUBSTITUTE(TRIM($B$3)," ",""))&lt;2,TRUE,ISNUMBER(SEARCH(TRIM(MID(SUBSTITUTE($B$3," ",REPT(" ",100)),201,100)),G2)))</f>
        <v>0</v>
      </c>
      <c r="O2" t="b">
        <f>IF(LEN(TRIM($B$3))-LEN(SUBSTITUTE(TRIM($B$3)," ",""))&lt;3,TRUE,ISNUMBER(SEARCH(TRIM(MID(SUBSTITUTE($B$3," ",REPT(" ",100)),301,100)),G2)))</f>
        <v>0</v>
      </c>
      <c r="P2">
        <f>L2*M2*N2*O2</f>
        <v>0</v>
      </c>
      <c r="Q2" t="b">
        <f>IF(OR(TRIM($B$2)="",$B$2="(Todos)"),TRUE,EXACT(I2,$B$2))</f>
        <v>1</v>
      </c>
      <c r="R2">
        <f>P2*Q2</f>
        <v>0</v>
      </c>
    </row>
    <row r="3" spans="1:18" ht="30" customHeight="1" x14ac:dyDescent="0.6">
      <c r="A3" s="23" t="s">
        <v>1720</v>
      </c>
      <c r="B3" s="32" t="s">
        <v>149</v>
      </c>
      <c r="C3" s="33"/>
      <c r="D3" s="28" t="str">
        <f>IF(AND(TRIM(B3)="",OR(TRIM(B2)="",B2="(Todos)")),537&amp;" composições",IF(A6="Nenhum resultado","0 resultados",SUM(R2:R538)&amp;" resultado(s)"))</f>
        <v>1 resultado(s)</v>
      </c>
      <c r="F3">
        <v>90556</v>
      </c>
      <c r="G3" t="s">
        <v>44</v>
      </c>
      <c r="H3" t="s">
        <v>45</v>
      </c>
      <c r="I3" t="s">
        <v>46</v>
      </c>
      <c r="J3" t="s">
        <v>47</v>
      </c>
      <c r="K3" t="s">
        <v>83</v>
      </c>
      <c r="L3" t="b">
        <f t="shared" ref="L3:L66" si="0">IF(TRIM($B$3)="",TRUE,ISNUMBER(SEARCH(TRIM(MID(SUBSTITUTE($B$3," ",REPT(" ",100)),1,100)),G3)))</f>
        <v>0</v>
      </c>
      <c r="M3" t="b">
        <f t="shared" ref="M3:M66" si="1">IF(LEN(TRIM($B$3))-LEN(SUBSTITUTE(TRIM($B$3)," ",""))&lt;1,TRUE,ISNUMBER(SEARCH(TRIM(MID(SUBSTITUTE($B$3," ",REPT(" ",100)),101,100)),G3)))</f>
        <v>0</v>
      </c>
      <c r="N3" t="b">
        <f t="shared" ref="N3:N66" si="2">IF(LEN(TRIM($B$3))-LEN(SUBSTITUTE(TRIM($B$3)," ",""))&lt;2,TRUE,ISNUMBER(SEARCH(TRIM(MID(SUBSTITUTE($B$3," ",REPT(" ",100)),201,100)),G3)))</f>
        <v>0</v>
      </c>
      <c r="O3" t="b">
        <f t="shared" ref="O3:O66" si="3">IF(LEN(TRIM($B$3))-LEN(SUBSTITUTE(TRIM($B$3)," ",""))&lt;3,TRUE,ISNUMBER(SEARCH(TRIM(MID(SUBSTITUTE($B$3," ",REPT(" ",100)),301,100)),G3)))</f>
        <v>0</v>
      </c>
      <c r="P3">
        <f t="shared" ref="P3:P66" si="4">L3*M3*N3*O3</f>
        <v>0</v>
      </c>
      <c r="Q3" t="b">
        <f t="shared" ref="Q3:Q66" si="5">IF(OR(TRIM($B$2)="",$B$2="(Todos)"),TRUE,EXACT(I3,$B$2))</f>
        <v>1</v>
      </c>
      <c r="R3">
        <f t="shared" ref="R3:R66" si="6">P3*Q3</f>
        <v>0</v>
      </c>
    </row>
    <row r="4" spans="1:18" x14ac:dyDescent="0.25">
      <c r="A4" s="24" t="s">
        <v>1721</v>
      </c>
      <c r="F4">
        <v>90555</v>
      </c>
      <c r="G4" t="s">
        <v>53</v>
      </c>
      <c r="H4" t="s">
        <v>54</v>
      </c>
      <c r="I4" t="s">
        <v>55</v>
      </c>
      <c r="J4" t="s">
        <v>56</v>
      </c>
      <c r="K4" t="s">
        <v>676</v>
      </c>
      <c r="L4" t="b">
        <f t="shared" si="0"/>
        <v>0</v>
      </c>
      <c r="M4" t="b">
        <f t="shared" si="1"/>
        <v>0</v>
      </c>
      <c r="N4" t="b">
        <f t="shared" si="2"/>
        <v>0</v>
      </c>
      <c r="O4" t="b">
        <f t="shared" si="3"/>
        <v>0</v>
      </c>
      <c r="P4">
        <f t="shared" si="4"/>
        <v>0</v>
      </c>
      <c r="Q4" t="b">
        <f t="shared" si="5"/>
        <v>1</v>
      </c>
      <c r="R4">
        <f t="shared" si="6"/>
        <v>0</v>
      </c>
    </row>
    <row r="5" spans="1:18" ht="20.25" thickBot="1" x14ac:dyDescent="0.6">
      <c r="A5" s="25" t="s">
        <v>18</v>
      </c>
      <c r="B5" s="30" t="s">
        <v>19</v>
      </c>
      <c r="C5" s="25" t="s">
        <v>20</v>
      </c>
      <c r="D5" s="25" t="s">
        <v>1717</v>
      </c>
      <c r="E5" s="25" t="s">
        <v>1718</v>
      </c>
      <c r="F5">
        <v>90554</v>
      </c>
      <c r="G5" t="s">
        <v>59</v>
      </c>
      <c r="H5" t="s">
        <v>54</v>
      </c>
      <c r="I5" t="s">
        <v>60</v>
      </c>
      <c r="J5" t="s">
        <v>56</v>
      </c>
      <c r="K5" t="s">
        <v>229</v>
      </c>
      <c r="L5" t="b">
        <f t="shared" si="0"/>
        <v>0</v>
      </c>
      <c r="M5" t="b">
        <f t="shared" si="1"/>
        <v>0</v>
      </c>
      <c r="N5" t="b">
        <f t="shared" si="2"/>
        <v>0</v>
      </c>
      <c r="O5" t="b">
        <f t="shared" si="3"/>
        <v>0</v>
      </c>
      <c r="P5">
        <f t="shared" si="4"/>
        <v>0</v>
      </c>
      <c r="Q5" t="b">
        <f t="shared" si="5"/>
        <v>1</v>
      </c>
      <c r="R5">
        <f t="shared" si="6"/>
        <v>0</v>
      </c>
    </row>
    <row r="6" spans="1:18" ht="19.5" x14ac:dyDescent="0.55000000000000004">
      <c r="A6" s="27" cm="1">
        <f t="array" ref="A6">IFERROR(_xlfn._xlws.FILTER(F2:F538,R2:R538),"Nenhum resultado")</f>
        <v>90528</v>
      </c>
      <c r="B6" s="31" t="str" cm="1">
        <f t="array" ref="B6">IFERROR(_xlfn._xlws.FILTER(G2:G538,R2:R538),"")</f>
        <v>Brise com palhetas verticais</v>
      </c>
      <c r="C6" s="27" t="str" cm="1">
        <f t="array" ref="C6">IFERROR(_xlfn._xlws.FILTER(H2:H538,R2:R538),"")</f>
        <v>m²</v>
      </c>
      <c r="D6" s="26" t="str" cm="1">
        <f t="array" ref="D6">IFERROR(_xlfn._xlws.FILTER(I2:I538,R2:R538),"")</f>
        <v>ESQUADRIAS</v>
      </c>
      <c r="E6" s="26" t="str" cm="1">
        <f t="array" ref="E6">IFERROR(_xlfn._xlws.FILTER(J2:J538,R2:R538),"")</f>
        <v>Geral</v>
      </c>
      <c r="F6">
        <v>90553</v>
      </c>
      <c r="G6" t="s">
        <v>63</v>
      </c>
      <c r="H6" t="s">
        <v>54</v>
      </c>
      <c r="I6" t="s">
        <v>60</v>
      </c>
      <c r="J6" t="s">
        <v>56</v>
      </c>
      <c r="K6" t="s">
        <v>731</v>
      </c>
      <c r="L6" t="b">
        <f t="shared" si="0"/>
        <v>0</v>
      </c>
      <c r="M6" t="b">
        <f t="shared" si="1"/>
        <v>0</v>
      </c>
      <c r="N6" t="b">
        <f t="shared" si="2"/>
        <v>0</v>
      </c>
      <c r="O6" t="b">
        <f t="shared" si="3"/>
        <v>0</v>
      </c>
      <c r="P6">
        <f t="shared" si="4"/>
        <v>0</v>
      </c>
      <c r="Q6" t="b">
        <f t="shared" si="5"/>
        <v>1</v>
      </c>
      <c r="R6">
        <f t="shared" si="6"/>
        <v>0</v>
      </c>
    </row>
    <row r="7" spans="1:18" ht="19.5" x14ac:dyDescent="0.55000000000000004">
      <c r="A7" s="27"/>
      <c r="B7" s="31"/>
      <c r="C7" s="27"/>
      <c r="D7" s="26"/>
      <c r="E7" s="26"/>
      <c r="F7">
        <v>90552</v>
      </c>
      <c r="G7" t="s">
        <v>66</v>
      </c>
      <c r="H7" t="s">
        <v>54</v>
      </c>
      <c r="I7" t="s">
        <v>67</v>
      </c>
      <c r="J7" t="s">
        <v>56</v>
      </c>
      <c r="K7" t="s">
        <v>106</v>
      </c>
      <c r="L7" t="b">
        <f t="shared" si="0"/>
        <v>0</v>
      </c>
      <c r="M7" t="b">
        <f t="shared" si="1"/>
        <v>0</v>
      </c>
      <c r="N7" t="b">
        <f t="shared" si="2"/>
        <v>0</v>
      </c>
      <c r="O7" t="b">
        <f t="shared" si="3"/>
        <v>0</v>
      </c>
      <c r="P7">
        <f t="shared" si="4"/>
        <v>0</v>
      </c>
      <c r="Q7" t="b">
        <f t="shared" si="5"/>
        <v>1</v>
      </c>
      <c r="R7">
        <f t="shared" si="6"/>
        <v>0</v>
      </c>
    </row>
    <row r="8" spans="1:18" ht="19.5" x14ac:dyDescent="0.55000000000000004">
      <c r="A8" s="27"/>
      <c r="B8" s="31"/>
      <c r="C8" s="27"/>
      <c r="D8" s="26"/>
      <c r="E8" s="26"/>
      <c r="F8">
        <v>90551</v>
      </c>
      <c r="G8" t="s">
        <v>70</v>
      </c>
      <c r="H8" t="s">
        <v>34</v>
      </c>
      <c r="I8" t="s">
        <v>71</v>
      </c>
      <c r="K8" t="s">
        <v>721</v>
      </c>
      <c r="L8" t="b">
        <f t="shared" si="0"/>
        <v>0</v>
      </c>
      <c r="M8" t="b">
        <f t="shared" si="1"/>
        <v>0</v>
      </c>
      <c r="N8" t="b">
        <f t="shared" si="2"/>
        <v>0</v>
      </c>
      <c r="O8" t="b">
        <f t="shared" si="3"/>
        <v>0</v>
      </c>
      <c r="P8">
        <f t="shared" si="4"/>
        <v>0</v>
      </c>
      <c r="Q8" t="b">
        <f t="shared" si="5"/>
        <v>1</v>
      </c>
      <c r="R8">
        <f t="shared" si="6"/>
        <v>0</v>
      </c>
    </row>
    <row r="9" spans="1:18" ht="19.5" x14ac:dyDescent="0.55000000000000004">
      <c r="A9" s="27"/>
      <c r="B9" s="31"/>
      <c r="C9" s="27"/>
      <c r="D9" s="26"/>
      <c r="E9" s="26"/>
      <c r="F9">
        <v>90550</v>
      </c>
      <c r="G9" t="s">
        <v>74</v>
      </c>
      <c r="H9" t="s">
        <v>75</v>
      </c>
      <c r="I9" t="s">
        <v>71</v>
      </c>
      <c r="J9" t="s">
        <v>76</v>
      </c>
      <c r="K9" t="s">
        <v>388</v>
      </c>
      <c r="L9" t="b">
        <f t="shared" si="0"/>
        <v>0</v>
      </c>
      <c r="M9" t="b">
        <f t="shared" si="1"/>
        <v>0</v>
      </c>
      <c r="N9" t="b">
        <f t="shared" si="2"/>
        <v>0</v>
      </c>
      <c r="O9" t="b">
        <f t="shared" si="3"/>
        <v>0</v>
      </c>
      <c r="P9">
        <f t="shared" si="4"/>
        <v>0</v>
      </c>
      <c r="Q9" t="b">
        <f t="shared" si="5"/>
        <v>1</v>
      </c>
      <c r="R9">
        <f t="shared" si="6"/>
        <v>0</v>
      </c>
    </row>
    <row r="10" spans="1:18" ht="19.5" x14ac:dyDescent="0.55000000000000004">
      <c r="A10" s="27"/>
      <c r="B10" s="31"/>
      <c r="C10" s="27"/>
      <c r="D10" s="26"/>
      <c r="E10" s="26"/>
      <c r="F10">
        <v>90548</v>
      </c>
      <c r="G10" t="s">
        <v>79</v>
      </c>
      <c r="H10" t="s">
        <v>75</v>
      </c>
      <c r="I10" t="s">
        <v>36</v>
      </c>
      <c r="K10" t="s">
        <v>612</v>
      </c>
      <c r="L10" t="b">
        <f t="shared" si="0"/>
        <v>0</v>
      </c>
      <c r="M10" t="b">
        <f t="shared" si="1"/>
        <v>0</v>
      </c>
      <c r="N10" t="b">
        <f t="shared" si="2"/>
        <v>0</v>
      </c>
      <c r="O10" t="b">
        <f t="shared" si="3"/>
        <v>0</v>
      </c>
      <c r="P10">
        <f t="shared" si="4"/>
        <v>0</v>
      </c>
      <c r="Q10" t="b">
        <f t="shared" si="5"/>
        <v>1</v>
      </c>
      <c r="R10">
        <f t="shared" si="6"/>
        <v>0</v>
      </c>
    </row>
    <row r="11" spans="1:18" ht="19.5" x14ac:dyDescent="0.55000000000000004">
      <c r="A11" s="27"/>
      <c r="B11" s="31"/>
      <c r="C11" s="27"/>
      <c r="D11" s="26"/>
      <c r="E11" s="26"/>
      <c r="F11">
        <v>90547</v>
      </c>
      <c r="G11" t="s">
        <v>82</v>
      </c>
      <c r="H11" t="s">
        <v>34</v>
      </c>
      <c r="I11" t="s">
        <v>83</v>
      </c>
      <c r="K11" t="s">
        <v>1171</v>
      </c>
      <c r="L11" t="b">
        <f t="shared" si="0"/>
        <v>0</v>
      </c>
      <c r="M11" t="b">
        <f t="shared" si="1"/>
        <v>0</v>
      </c>
      <c r="N11" t="b">
        <f t="shared" si="2"/>
        <v>0</v>
      </c>
      <c r="O11" t="b">
        <f t="shared" si="3"/>
        <v>0</v>
      </c>
      <c r="P11">
        <f t="shared" si="4"/>
        <v>0</v>
      </c>
      <c r="Q11" t="b">
        <f t="shared" si="5"/>
        <v>1</v>
      </c>
      <c r="R11">
        <f t="shared" si="6"/>
        <v>0</v>
      </c>
    </row>
    <row r="12" spans="1:18" ht="19.5" x14ac:dyDescent="0.55000000000000004">
      <c r="A12" s="27"/>
      <c r="B12" s="31"/>
      <c r="C12" s="27"/>
      <c r="D12" s="26"/>
      <c r="E12" s="26"/>
      <c r="F12">
        <v>90546</v>
      </c>
      <c r="G12" t="s">
        <v>89</v>
      </c>
      <c r="H12" t="s">
        <v>34</v>
      </c>
      <c r="I12" t="s">
        <v>71</v>
      </c>
      <c r="J12" t="s">
        <v>76</v>
      </c>
      <c r="K12" t="s">
        <v>67</v>
      </c>
      <c r="L12" t="b">
        <f t="shared" si="0"/>
        <v>0</v>
      </c>
      <c r="M12" t="b">
        <f t="shared" si="1"/>
        <v>1</v>
      </c>
      <c r="N12" t="b">
        <f t="shared" si="2"/>
        <v>0</v>
      </c>
      <c r="O12" t="b">
        <f t="shared" si="3"/>
        <v>0</v>
      </c>
      <c r="P12">
        <f t="shared" si="4"/>
        <v>0</v>
      </c>
      <c r="Q12" t="b">
        <f t="shared" si="5"/>
        <v>1</v>
      </c>
      <c r="R12">
        <f t="shared" si="6"/>
        <v>0</v>
      </c>
    </row>
    <row r="13" spans="1:18" ht="19.5" x14ac:dyDescent="0.55000000000000004">
      <c r="A13" s="27"/>
      <c r="B13" s="31"/>
      <c r="C13" s="27"/>
      <c r="D13" s="26"/>
      <c r="E13" s="26"/>
      <c r="F13">
        <v>90545</v>
      </c>
      <c r="G13" t="s">
        <v>92</v>
      </c>
      <c r="H13" t="s">
        <v>34</v>
      </c>
      <c r="I13" t="s">
        <v>71</v>
      </c>
      <c r="K13" t="s">
        <v>1037</v>
      </c>
      <c r="L13" t="b">
        <f t="shared" si="0"/>
        <v>0</v>
      </c>
      <c r="M13" t="b">
        <f t="shared" si="1"/>
        <v>0</v>
      </c>
      <c r="N13" t="b">
        <f t="shared" si="2"/>
        <v>0</v>
      </c>
      <c r="O13" t="b">
        <f t="shared" si="3"/>
        <v>0</v>
      </c>
      <c r="P13">
        <f t="shared" si="4"/>
        <v>0</v>
      </c>
      <c r="Q13" t="b">
        <f t="shared" si="5"/>
        <v>1</v>
      </c>
      <c r="R13">
        <f t="shared" si="6"/>
        <v>0</v>
      </c>
    </row>
    <row r="14" spans="1:18" ht="19.5" x14ac:dyDescent="0.55000000000000004">
      <c r="A14" s="27"/>
      <c r="B14" s="31"/>
      <c r="C14" s="27"/>
      <c r="D14" s="26"/>
      <c r="E14" s="26"/>
      <c r="F14">
        <v>90544</v>
      </c>
      <c r="G14" t="s">
        <v>95</v>
      </c>
      <c r="H14" t="s">
        <v>34</v>
      </c>
      <c r="I14" t="s">
        <v>71</v>
      </c>
      <c r="K14" t="s">
        <v>685</v>
      </c>
      <c r="L14" t="b">
        <f t="shared" si="0"/>
        <v>0</v>
      </c>
      <c r="M14" t="b">
        <f t="shared" si="1"/>
        <v>0</v>
      </c>
      <c r="N14" t="b">
        <f t="shared" si="2"/>
        <v>0</v>
      </c>
      <c r="O14" t="b">
        <f t="shared" si="3"/>
        <v>0</v>
      </c>
      <c r="P14">
        <f t="shared" si="4"/>
        <v>0</v>
      </c>
      <c r="Q14" t="b">
        <f t="shared" si="5"/>
        <v>1</v>
      </c>
      <c r="R14">
        <f t="shared" si="6"/>
        <v>0</v>
      </c>
    </row>
    <row r="15" spans="1:18" ht="19.5" x14ac:dyDescent="0.55000000000000004">
      <c r="A15" s="27"/>
      <c r="B15" s="31"/>
      <c r="C15" s="27"/>
      <c r="D15" s="26"/>
      <c r="E15" s="26"/>
      <c r="F15">
        <v>90542</v>
      </c>
      <c r="G15" t="s">
        <v>98</v>
      </c>
      <c r="H15" t="s">
        <v>34</v>
      </c>
      <c r="I15" t="s">
        <v>71</v>
      </c>
      <c r="J15" t="s">
        <v>99</v>
      </c>
      <c r="K15" t="s">
        <v>56</v>
      </c>
      <c r="L15" t="b">
        <f t="shared" si="0"/>
        <v>0</v>
      </c>
      <c r="M15" t="b">
        <f t="shared" si="1"/>
        <v>1</v>
      </c>
      <c r="N15" t="b">
        <f t="shared" si="2"/>
        <v>0</v>
      </c>
      <c r="O15" t="b">
        <f t="shared" si="3"/>
        <v>0</v>
      </c>
      <c r="P15">
        <f t="shared" si="4"/>
        <v>0</v>
      </c>
      <c r="Q15" t="b">
        <f t="shared" si="5"/>
        <v>1</v>
      </c>
      <c r="R15">
        <f t="shared" si="6"/>
        <v>0</v>
      </c>
    </row>
    <row r="16" spans="1:18" ht="19.5" x14ac:dyDescent="0.55000000000000004">
      <c r="A16" s="27"/>
      <c r="B16" s="31"/>
      <c r="C16" s="27"/>
      <c r="D16" s="26"/>
      <c r="E16" s="26"/>
      <c r="F16">
        <v>90541</v>
      </c>
      <c r="G16" t="s">
        <v>102</v>
      </c>
      <c r="H16" t="s">
        <v>34</v>
      </c>
      <c r="I16" t="s">
        <v>71</v>
      </c>
      <c r="J16" t="s">
        <v>76</v>
      </c>
      <c r="K16" t="s">
        <v>221</v>
      </c>
      <c r="L16" t="b">
        <f t="shared" si="0"/>
        <v>0</v>
      </c>
      <c r="M16" t="b">
        <f t="shared" si="1"/>
        <v>1</v>
      </c>
      <c r="N16" t="b">
        <f t="shared" si="2"/>
        <v>0</v>
      </c>
      <c r="O16" t="b">
        <f t="shared" si="3"/>
        <v>0</v>
      </c>
      <c r="P16">
        <f t="shared" si="4"/>
        <v>0</v>
      </c>
      <c r="Q16" t="b">
        <f t="shared" si="5"/>
        <v>1</v>
      </c>
      <c r="R16">
        <f t="shared" si="6"/>
        <v>0</v>
      </c>
    </row>
    <row r="17" spans="1:18" ht="19.5" x14ac:dyDescent="0.55000000000000004">
      <c r="A17" s="27"/>
      <c r="B17" s="31"/>
      <c r="C17" s="27"/>
      <c r="D17" s="26"/>
      <c r="E17" s="26"/>
      <c r="F17">
        <v>90540</v>
      </c>
      <c r="G17" t="s">
        <v>105</v>
      </c>
      <c r="H17" t="s">
        <v>75</v>
      </c>
      <c r="I17" t="s">
        <v>106</v>
      </c>
      <c r="K17" t="s">
        <v>46</v>
      </c>
      <c r="L17" t="b">
        <f t="shared" si="0"/>
        <v>0</v>
      </c>
      <c r="M17" t="b">
        <f t="shared" si="1"/>
        <v>0</v>
      </c>
      <c r="N17" t="b">
        <f t="shared" si="2"/>
        <v>0</v>
      </c>
      <c r="O17" t="b">
        <f t="shared" si="3"/>
        <v>0</v>
      </c>
      <c r="P17">
        <f t="shared" si="4"/>
        <v>0</v>
      </c>
      <c r="Q17" t="b">
        <f t="shared" si="5"/>
        <v>1</v>
      </c>
      <c r="R17">
        <f t="shared" si="6"/>
        <v>0</v>
      </c>
    </row>
    <row r="18" spans="1:18" ht="19.5" x14ac:dyDescent="0.55000000000000004">
      <c r="A18" s="27"/>
      <c r="B18" s="31"/>
      <c r="C18" s="27"/>
      <c r="D18" s="26"/>
      <c r="E18" s="26"/>
      <c r="F18">
        <v>90539</v>
      </c>
      <c r="G18" t="s">
        <v>110</v>
      </c>
      <c r="H18" t="s">
        <v>111</v>
      </c>
      <c r="I18" t="s">
        <v>67</v>
      </c>
      <c r="J18" t="s">
        <v>56</v>
      </c>
      <c r="K18" t="s">
        <v>295</v>
      </c>
      <c r="L18" t="b">
        <f t="shared" si="0"/>
        <v>0</v>
      </c>
      <c r="M18" t="b">
        <f t="shared" si="1"/>
        <v>1</v>
      </c>
      <c r="N18" t="b">
        <f t="shared" si="2"/>
        <v>0</v>
      </c>
      <c r="O18" t="b">
        <f t="shared" si="3"/>
        <v>0</v>
      </c>
      <c r="P18">
        <f t="shared" si="4"/>
        <v>0</v>
      </c>
      <c r="Q18" t="b">
        <f t="shared" si="5"/>
        <v>1</v>
      </c>
      <c r="R18">
        <f t="shared" si="6"/>
        <v>0</v>
      </c>
    </row>
    <row r="19" spans="1:18" ht="19.5" x14ac:dyDescent="0.55000000000000004">
      <c r="A19" s="27"/>
      <c r="B19" s="31"/>
      <c r="C19" s="27"/>
      <c r="D19" s="26"/>
      <c r="E19" s="26"/>
      <c r="F19">
        <v>90538</v>
      </c>
      <c r="G19" t="s">
        <v>114</v>
      </c>
      <c r="H19" t="s">
        <v>111</v>
      </c>
      <c r="I19" t="s">
        <v>67</v>
      </c>
      <c r="J19" t="s">
        <v>56</v>
      </c>
      <c r="K19" t="s">
        <v>319</v>
      </c>
      <c r="L19" t="b">
        <f t="shared" si="0"/>
        <v>0</v>
      </c>
      <c r="M19" t="b">
        <f t="shared" si="1"/>
        <v>0</v>
      </c>
      <c r="N19" t="b">
        <f t="shared" si="2"/>
        <v>0</v>
      </c>
      <c r="O19" t="b">
        <f t="shared" si="3"/>
        <v>0</v>
      </c>
      <c r="P19">
        <f t="shared" si="4"/>
        <v>0</v>
      </c>
      <c r="Q19" t="b">
        <f t="shared" si="5"/>
        <v>1</v>
      </c>
      <c r="R19">
        <f t="shared" si="6"/>
        <v>0</v>
      </c>
    </row>
    <row r="20" spans="1:18" ht="19.5" x14ac:dyDescent="0.55000000000000004">
      <c r="A20" s="27"/>
      <c r="B20" s="31"/>
      <c r="C20" s="27"/>
      <c r="D20" s="26"/>
      <c r="E20" s="26"/>
      <c r="F20">
        <v>90537</v>
      </c>
      <c r="G20" t="s">
        <v>117</v>
      </c>
      <c r="H20" t="s">
        <v>111</v>
      </c>
      <c r="I20" t="s">
        <v>67</v>
      </c>
      <c r="K20" t="s">
        <v>1357</v>
      </c>
      <c r="L20" t="b">
        <f t="shared" si="0"/>
        <v>0</v>
      </c>
      <c r="M20" t="b">
        <f t="shared" si="1"/>
        <v>0</v>
      </c>
      <c r="N20" t="b">
        <f t="shared" si="2"/>
        <v>0</v>
      </c>
      <c r="O20" t="b">
        <f t="shared" si="3"/>
        <v>0</v>
      </c>
      <c r="P20">
        <f t="shared" si="4"/>
        <v>0</v>
      </c>
      <c r="Q20" t="b">
        <f t="shared" si="5"/>
        <v>1</v>
      </c>
      <c r="R20">
        <f t="shared" si="6"/>
        <v>0</v>
      </c>
    </row>
    <row r="21" spans="1:18" ht="19.5" x14ac:dyDescent="0.55000000000000004">
      <c r="A21" s="27"/>
      <c r="B21" s="31"/>
      <c r="C21" s="27"/>
      <c r="D21" s="26"/>
      <c r="E21" s="26"/>
      <c r="F21">
        <v>90536</v>
      </c>
      <c r="G21" t="s">
        <v>120</v>
      </c>
      <c r="H21" t="s">
        <v>111</v>
      </c>
      <c r="I21" t="s">
        <v>67</v>
      </c>
      <c r="K21" t="s">
        <v>1439</v>
      </c>
      <c r="L21" t="b">
        <f t="shared" si="0"/>
        <v>0</v>
      </c>
      <c r="M21" t="b">
        <f t="shared" si="1"/>
        <v>0</v>
      </c>
      <c r="N21" t="b">
        <f t="shared" si="2"/>
        <v>0</v>
      </c>
      <c r="O21" t="b">
        <f t="shared" si="3"/>
        <v>0</v>
      </c>
      <c r="P21">
        <f t="shared" si="4"/>
        <v>0</v>
      </c>
      <c r="Q21" t="b">
        <f t="shared" si="5"/>
        <v>1</v>
      </c>
      <c r="R21">
        <f t="shared" si="6"/>
        <v>0</v>
      </c>
    </row>
    <row r="22" spans="1:18" ht="19.5" x14ac:dyDescent="0.55000000000000004">
      <c r="A22" s="27"/>
      <c r="B22" s="31"/>
      <c r="C22" s="27"/>
      <c r="D22" s="26"/>
      <c r="E22" s="26"/>
      <c r="F22">
        <v>90535</v>
      </c>
      <c r="G22" t="s">
        <v>123</v>
      </c>
      <c r="H22" t="s">
        <v>111</v>
      </c>
      <c r="I22" t="s">
        <v>67</v>
      </c>
      <c r="K22" t="s">
        <v>324</v>
      </c>
      <c r="L22" t="b">
        <f t="shared" si="0"/>
        <v>0</v>
      </c>
      <c r="M22" t="b">
        <f t="shared" si="1"/>
        <v>0</v>
      </c>
      <c r="N22" t="b">
        <f t="shared" si="2"/>
        <v>0</v>
      </c>
      <c r="O22" t="b">
        <f t="shared" si="3"/>
        <v>0</v>
      </c>
      <c r="P22">
        <f t="shared" si="4"/>
        <v>0</v>
      </c>
      <c r="Q22" t="b">
        <f t="shared" si="5"/>
        <v>1</v>
      </c>
      <c r="R22">
        <f t="shared" si="6"/>
        <v>0</v>
      </c>
    </row>
    <row r="23" spans="1:18" ht="19.5" x14ac:dyDescent="0.55000000000000004">
      <c r="A23" s="27"/>
      <c r="B23" s="31"/>
      <c r="C23" s="27"/>
      <c r="D23" s="26"/>
      <c r="E23" s="26"/>
      <c r="F23">
        <v>90534</v>
      </c>
      <c r="G23" t="s">
        <v>126</v>
      </c>
      <c r="H23" t="s">
        <v>111</v>
      </c>
      <c r="I23" t="s">
        <v>67</v>
      </c>
      <c r="K23" t="s">
        <v>735</v>
      </c>
      <c r="L23" t="b">
        <f t="shared" si="0"/>
        <v>0</v>
      </c>
      <c r="M23" t="b">
        <f t="shared" si="1"/>
        <v>1</v>
      </c>
      <c r="N23" t="b">
        <f t="shared" si="2"/>
        <v>0</v>
      </c>
      <c r="O23" t="b">
        <f t="shared" si="3"/>
        <v>0</v>
      </c>
      <c r="P23">
        <f t="shared" si="4"/>
        <v>0</v>
      </c>
      <c r="Q23" t="b">
        <f t="shared" si="5"/>
        <v>1</v>
      </c>
      <c r="R23">
        <f t="shared" si="6"/>
        <v>0</v>
      </c>
    </row>
    <row r="24" spans="1:18" ht="19.5" x14ac:dyDescent="0.55000000000000004">
      <c r="A24" s="27"/>
      <c r="B24" s="31"/>
      <c r="C24" s="27"/>
      <c r="D24" s="26"/>
      <c r="E24" s="26"/>
      <c r="F24">
        <v>90533</v>
      </c>
      <c r="G24" t="s">
        <v>132</v>
      </c>
      <c r="H24" t="s">
        <v>111</v>
      </c>
      <c r="I24" t="s">
        <v>67</v>
      </c>
      <c r="K24" t="s">
        <v>60</v>
      </c>
      <c r="L24" t="b">
        <f t="shared" si="0"/>
        <v>0</v>
      </c>
      <c r="M24" t="b">
        <f t="shared" si="1"/>
        <v>1</v>
      </c>
      <c r="N24" t="b">
        <f t="shared" si="2"/>
        <v>0</v>
      </c>
      <c r="O24" t="b">
        <f t="shared" si="3"/>
        <v>0</v>
      </c>
      <c r="P24">
        <f t="shared" si="4"/>
        <v>0</v>
      </c>
      <c r="Q24" t="b">
        <f t="shared" si="5"/>
        <v>1</v>
      </c>
      <c r="R24">
        <f t="shared" si="6"/>
        <v>0</v>
      </c>
    </row>
    <row r="25" spans="1:18" ht="19.5" x14ac:dyDescent="0.55000000000000004">
      <c r="A25" s="27"/>
      <c r="B25" s="31"/>
      <c r="C25" s="27"/>
      <c r="D25" s="26"/>
      <c r="E25" s="26"/>
      <c r="F25">
        <v>90532</v>
      </c>
      <c r="G25" t="s">
        <v>135</v>
      </c>
      <c r="H25" t="s">
        <v>136</v>
      </c>
      <c r="I25" t="s">
        <v>67</v>
      </c>
      <c r="J25" t="s">
        <v>137</v>
      </c>
      <c r="K25" t="s">
        <v>847</v>
      </c>
      <c r="L25" t="b">
        <f t="shared" si="0"/>
        <v>0</v>
      </c>
      <c r="M25" t="b">
        <f t="shared" si="1"/>
        <v>0</v>
      </c>
      <c r="N25" t="b">
        <f t="shared" si="2"/>
        <v>0</v>
      </c>
      <c r="O25" t="b">
        <f t="shared" si="3"/>
        <v>0</v>
      </c>
      <c r="P25">
        <f t="shared" si="4"/>
        <v>0</v>
      </c>
      <c r="Q25" t="b">
        <f t="shared" si="5"/>
        <v>1</v>
      </c>
      <c r="R25">
        <f t="shared" si="6"/>
        <v>0</v>
      </c>
    </row>
    <row r="26" spans="1:18" ht="19.5" x14ac:dyDescent="0.55000000000000004">
      <c r="A26" s="27"/>
      <c r="B26" s="31"/>
      <c r="C26" s="27"/>
      <c r="D26" s="26"/>
      <c r="E26" s="26"/>
      <c r="F26">
        <v>90531</v>
      </c>
      <c r="G26" t="s">
        <v>140</v>
      </c>
      <c r="H26" t="s">
        <v>136</v>
      </c>
      <c r="I26" t="s">
        <v>67</v>
      </c>
      <c r="K26" t="s">
        <v>1304</v>
      </c>
      <c r="L26" t="b">
        <f t="shared" si="0"/>
        <v>0</v>
      </c>
      <c r="M26" t="b">
        <f t="shared" si="1"/>
        <v>1</v>
      </c>
      <c r="N26" t="b">
        <f t="shared" si="2"/>
        <v>0</v>
      </c>
      <c r="O26" t="b">
        <f t="shared" si="3"/>
        <v>0</v>
      </c>
      <c r="P26">
        <f t="shared" si="4"/>
        <v>0</v>
      </c>
      <c r="Q26" t="b">
        <f t="shared" si="5"/>
        <v>1</v>
      </c>
      <c r="R26">
        <f t="shared" si="6"/>
        <v>0</v>
      </c>
    </row>
    <row r="27" spans="1:18" ht="19.5" x14ac:dyDescent="0.55000000000000004">
      <c r="A27" s="27"/>
      <c r="B27" s="31"/>
      <c r="C27" s="27"/>
      <c r="D27" s="26"/>
      <c r="E27" s="26"/>
      <c r="F27">
        <v>90530</v>
      </c>
      <c r="G27" t="s">
        <v>143</v>
      </c>
      <c r="H27" t="s">
        <v>136</v>
      </c>
      <c r="I27" t="s">
        <v>67</v>
      </c>
      <c r="J27" t="s">
        <v>56</v>
      </c>
      <c r="K27" t="s">
        <v>573</v>
      </c>
      <c r="L27" t="b">
        <f t="shared" si="0"/>
        <v>0</v>
      </c>
      <c r="M27" t="b">
        <f t="shared" si="1"/>
        <v>1</v>
      </c>
      <c r="N27" t="b">
        <f t="shared" si="2"/>
        <v>0</v>
      </c>
      <c r="O27" t="b">
        <f t="shared" si="3"/>
        <v>0</v>
      </c>
      <c r="P27">
        <f t="shared" si="4"/>
        <v>0</v>
      </c>
      <c r="Q27" t="b">
        <f t="shared" si="5"/>
        <v>1</v>
      </c>
      <c r="R27">
        <f t="shared" si="6"/>
        <v>0</v>
      </c>
    </row>
    <row r="28" spans="1:18" ht="19.5" x14ac:dyDescent="0.55000000000000004">
      <c r="A28" s="27"/>
      <c r="B28" s="31"/>
      <c r="C28" s="27"/>
      <c r="D28" s="26"/>
      <c r="E28" s="26"/>
      <c r="F28">
        <v>90529</v>
      </c>
      <c r="G28" t="s">
        <v>146</v>
      </c>
      <c r="H28" t="s">
        <v>136</v>
      </c>
      <c r="I28" t="s">
        <v>67</v>
      </c>
      <c r="J28" t="s">
        <v>56</v>
      </c>
      <c r="K28" t="s">
        <v>36</v>
      </c>
      <c r="L28" t="b">
        <f t="shared" si="0"/>
        <v>0</v>
      </c>
      <c r="M28" t="b">
        <f t="shared" si="1"/>
        <v>0</v>
      </c>
      <c r="N28" t="b">
        <f t="shared" si="2"/>
        <v>0</v>
      </c>
      <c r="O28" t="b">
        <f t="shared" si="3"/>
        <v>0</v>
      </c>
      <c r="P28">
        <f t="shared" si="4"/>
        <v>0</v>
      </c>
      <c r="Q28" t="b">
        <f t="shared" si="5"/>
        <v>1</v>
      </c>
      <c r="R28">
        <f t="shared" si="6"/>
        <v>0</v>
      </c>
    </row>
    <row r="29" spans="1:18" ht="19.5" x14ac:dyDescent="0.55000000000000004">
      <c r="A29" s="27"/>
      <c r="B29" s="31"/>
      <c r="C29" s="27"/>
      <c r="D29" s="26"/>
      <c r="E29" s="26"/>
      <c r="F29">
        <v>90528</v>
      </c>
      <c r="G29" t="s">
        <v>149</v>
      </c>
      <c r="H29" t="s">
        <v>136</v>
      </c>
      <c r="I29" t="s">
        <v>67</v>
      </c>
      <c r="J29" t="s">
        <v>56</v>
      </c>
      <c r="K29" t="s">
        <v>525</v>
      </c>
      <c r="L29" t="b">
        <f t="shared" si="0"/>
        <v>1</v>
      </c>
      <c r="M29" t="b">
        <f t="shared" si="1"/>
        <v>1</v>
      </c>
      <c r="N29" t="b">
        <f t="shared" si="2"/>
        <v>1</v>
      </c>
      <c r="O29" t="b">
        <f t="shared" si="3"/>
        <v>1</v>
      </c>
      <c r="P29">
        <f t="shared" si="4"/>
        <v>1</v>
      </c>
      <c r="Q29" t="b">
        <f t="shared" si="5"/>
        <v>1</v>
      </c>
      <c r="R29">
        <f t="shared" si="6"/>
        <v>1</v>
      </c>
    </row>
    <row r="30" spans="1:18" ht="19.5" x14ac:dyDescent="0.55000000000000004">
      <c r="A30" s="27"/>
      <c r="B30" s="31"/>
      <c r="C30" s="27"/>
      <c r="D30" s="26"/>
      <c r="E30" s="26"/>
      <c r="F30">
        <v>90527</v>
      </c>
      <c r="G30" t="s">
        <v>152</v>
      </c>
      <c r="H30" t="s">
        <v>34</v>
      </c>
      <c r="I30" t="s">
        <v>36</v>
      </c>
      <c r="K30" t="s">
        <v>55</v>
      </c>
      <c r="L30" t="b">
        <f t="shared" si="0"/>
        <v>0</v>
      </c>
      <c r="M30" t="b">
        <f t="shared" si="1"/>
        <v>0</v>
      </c>
      <c r="N30" t="b">
        <f t="shared" si="2"/>
        <v>0</v>
      </c>
      <c r="O30" t="b">
        <f t="shared" si="3"/>
        <v>0</v>
      </c>
      <c r="P30">
        <f t="shared" si="4"/>
        <v>0</v>
      </c>
      <c r="Q30" t="b">
        <f t="shared" si="5"/>
        <v>1</v>
      </c>
      <c r="R30">
        <f t="shared" si="6"/>
        <v>0</v>
      </c>
    </row>
    <row r="31" spans="1:18" ht="19.5" x14ac:dyDescent="0.55000000000000004">
      <c r="A31" s="27"/>
      <c r="B31" s="31"/>
      <c r="C31" s="27"/>
      <c r="D31" s="26"/>
      <c r="E31" s="26"/>
      <c r="F31">
        <v>90526</v>
      </c>
      <c r="G31" t="s">
        <v>155</v>
      </c>
      <c r="H31" t="s">
        <v>75</v>
      </c>
      <c r="I31" t="s">
        <v>36</v>
      </c>
      <c r="J31" t="s">
        <v>156</v>
      </c>
      <c r="K31" t="s">
        <v>218</v>
      </c>
      <c r="L31" t="b">
        <f t="shared" si="0"/>
        <v>0</v>
      </c>
      <c r="M31" t="b">
        <f t="shared" si="1"/>
        <v>1</v>
      </c>
      <c r="N31" t="b">
        <f t="shared" si="2"/>
        <v>0</v>
      </c>
      <c r="O31" t="b">
        <f t="shared" si="3"/>
        <v>0</v>
      </c>
      <c r="P31">
        <f t="shared" si="4"/>
        <v>0</v>
      </c>
      <c r="Q31" t="b">
        <f t="shared" si="5"/>
        <v>1</v>
      </c>
      <c r="R31">
        <f t="shared" si="6"/>
        <v>0</v>
      </c>
    </row>
    <row r="32" spans="1:18" ht="19.5" x14ac:dyDescent="0.55000000000000004">
      <c r="A32" s="27"/>
      <c r="B32" s="31"/>
      <c r="C32" s="27"/>
      <c r="D32" s="26"/>
      <c r="E32" s="26"/>
      <c r="F32">
        <v>90525</v>
      </c>
      <c r="G32" t="s">
        <v>158</v>
      </c>
      <c r="H32" t="s">
        <v>34</v>
      </c>
      <c r="I32" t="s">
        <v>36</v>
      </c>
      <c r="J32" t="s">
        <v>37</v>
      </c>
      <c r="K32" t="s">
        <v>410</v>
      </c>
      <c r="L32" t="b">
        <f t="shared" si="0"/>
        <v>0</v>
      </c>
      <c r="M32" t="b">
        <f t="shared" si="1"/>
        <v>1</v>
      </c>
      <c r="N32" t="b">
        <f t="shared" si="2"/>
        <v>0</v>
      </c>
      <c r="O32" t="b">
        <f t="shared" si="3"/>
        <v>0</v>
      </c>
      <c r="P32">
        <f t="shared" si="4"/>
        <v>0</v>
      </c>
      <c r="Q32" t="b">
        <f t="shared" si="5"/>
        <v>1</v>
      </c>
      <c r="R32">
        <f t="shared" si="6"/>
        <v>0</v>
      </c>
    </row>
    <row r="33" spans="1:18" ht="19.5" x14ac:dyDescent="0.55000000000000004">
      <c r="A33" s="27"/>
      <c r="B33" s="31"/>
      <c r="C33" s="27"/>
      <c r="D33" s="26"/>
      <c r="E33" s="26"/>
      <c r="F33">
        <v>90524</v>
      </c>
      <c r="G33" t="s">
        <v>161</v>
      </c>
      <c r="H33" t="s">
        <v>34</v>
      </c>
      <c r="I33" t="s">
        <v>36</v>
      </c>
      <c r="J33" t="s">
        <v>156</v>
      </c>
      <c r="K33" t="s">
        <v>71</v>
      </c>
      <c r="L33" t="b">
        <f t="shared" si="0"/>
        <v>0</v>
      </c>
      <c r="M33" t="b">
        <f t="shared" si="1"/>
        <v>1</v>
      </c>
      <c r="N33" t="b">
        <f t="shared" si="2"/>
        <v>0</v>
      </c>
      <c r="O33" t="b">
        <f t="shared" si="3"/>
        <v>0</v>
      </c>
      <c r="P33">
        <f t="shared" si="4"/>
        <v>0</v>
      </c>
      <c r="Q33" t="b">
        <f t="shared" si="5"/>
        <v>1</v>
      </c>
      <c r="R33">
        <f t="shared" si="6"/>
        <v>0</v>
      </c>
    </row>
    <row r="34" spans="1:18" ht="19.5" x14ac:dyDescent="0.55000000000000004">
      <c r="A34" s="27"/>
      <c r="B34" s="31"/>
      <c r="C34" s="27"/>
      <c r="D34" s="26"/>
      <c r="E34" s="26"/>
      <c r="F34">
        <v>90523</v>
      </c>
      <c r="G34" t="s">
        <v>163</v>
      </c>
      <c r="H34" t="s">
        <v>34</v>
      </c>
      <c r="I34" t="s">
        <v>36</v>
      </c>
      <c r="J34" t="s">
        <v>164</v>
      </c>
      <c r="K34" t="s">
        <v>287</v>
      </c>
      <c r="L34" t="b">
        <f t="shared" si="0"/>
        <v>0</v>
      </c>
      <c r="M34" t="b">
        <f t="shared" si="1"/>
        <v>0</v>
      </c>
      <c r="N34" t="b">
        <f t="shared" si="2"/>
        <v>0</v>
      </c>
      <c r="O34" t="b">
        <f t="shared" si="3"/>
        <v>0</v>
      </c>
      <c r="P34">
        <f t="shared" si="4"/>
        <v>0</v>
      </c>
      <c r="Q34" t="b">
        <f t="shared" si="5"/>
        <v>1</v>
      </c>
      <c r="R34">
        <f t="shared" si="6"/>
        <v>0</v>
      </c>
    </row>
    <row r="35" spans="1:18" ht="19.5" x14ac:dyDescent="0.55000000000000004">
      <c r="A35" s="27"/>
      <c r="B35" s="31"/>
      <c r="C35" s="27"/>
      <c r="D35" s="26"/>
      <c r="E35" s="26"/>
      <c r="F35">
        <v>90522</v>
      </c>
      <c r="G35" t="s">
        <v>169</v>
      </c>
      <c r="H35" t="s">
        <v>75</v>
      </c>
      <c r="I35" t="s">
        <v>83</v>
      </c>
      <c r="K35" t="s">
        <v>279</v>
      </c>
      <c r="L35" t="b">
        <f t="shared" si="0"/>
        <v>0</v>
      </c>
      <c r="M35" t="b">
        <f t="shared" si="1"/>
        <v>1</v>
      </c>
      <c r="N35" t="b">
        <f t="shared" si="2"/>
        <v>0</v>
      </c>
      <c r="O35" t="b">
        <f t="shared" si="3"/>
        <v>0</v>
      </c>
      <c r="P35">
        <f t="shared" si="4"/>
        <v>0</v>
      </c>
      <c r="Q35" t="b">
        <f t="shared" si="5"/>
        <v>1</v>
      </c>
      <c r="R35">
        <f t="shared" si="6"/>
        <v>0</v>
      </c>
    </row>
    <row r="36" spans="1:18" ht="19.5" x14ac:dyDescent="0.55000000000000004">
      <c r="A36" s="27"/>
      <c r="B36" s="31"/>
      <c r="C36" s="27"/>
      <c r="D36" s="26"/>
      <c r="E36" s="26"/>
      <c r="F36">
        <v>90521</v>
      </c>
      <c r="G36" t="s">
        <v>173</v>
      </c>
      <c r="H36" t="s">
        <v>75</v>
      </c>
      <c r="I36" t="s">
        <v>83</v>
      </c>
      <c r="K36" t="s">
        <v>419</v>
      </c>
      <c r="L36" t="b">
        <f t="shared" si="0"/>
        <v>0</v>
      </c>
      <c r="M36" t="b">
        <f t="shared" si="1"/>
        <v>0</v>
      </c>
      <c r="N36" t="b">
        <f t="shared" si="2"/>
        <v>0</v>
      </c>
      <c r="O36" t="b">
        <f t="shared" si="3"/>
        <v>0</v>
      </c>
      <c r="P36">
        <f t="shared" si="4"/>
        <v>0</v>
      </c>
      <c r="Q36" t="b">
        <f t="shared" si="5"/>
        <v>1</v>
      </c>
      <c r="R36">
        <f t="shared" si="6"/>
        <v>0</v>
      </c>
    </row>
    <row r="37" spans="1:18" ht="19.5" x14ac:dyDescent="0.55000000000000004">
      <c r="A37" s="27"/>
      <c r="B37" s="31"/>
      <c r="C37" s="27"/>
      <c r="D37" s="26"/>
      <c r="E37" s="26"/>
      <c r="F37">
        <v>90520</v>
      </c>
      <c r="G37" t="s">
        <v>178</v>
      </c>
      <c r="H37" t="s">
        <v>75</v>
      </c>
      <c r="I37" t="s">
        <v>83</v>
      </c>
      <c r="K37" t="s">
        <v>984</v>
      </c>
      <c r="L37" t="b">
        <f t="shared" si="0"/>
        <v>0</v>
      </c>
      <c r="M37" t="b">
        <f t="shared" si="1"/>
        <v>0</v>
      </c>
      <c r="N37" t="b">
        <f t="shared" si="2"/>
        <v>0</v>
      </c>
      <c r="O37" t="b">
        <f t="shared" si="3"/>
        <v>0</v>
      </c>
      <c r="P37">
        <f t="shared" si="4"/>
        <v>0</v>
      </c>
      <c r="Q37" t="b">
        <f t="shared" si="5"/>
        <v>1</v>
      </c>
      <c r="R37">
        <f t="shared" si="6"/>
        <v>0</v>
      </c>
    </row>
    <row r="38" spans="1:18" ht="19.5" x14ac:dyDescent="0.55000000000000004">
      <c r="A38" s="27"/>
      <c r="B38" s="31"/>
      <c r="C38" s="27"/>
      <c r="D38" s="26"/>
      <c r="E38" s="26"/>
      <c r="F38">
        <v>90519</v>
      </c>
      <c r="G38" t="s">
        <v>181</v>
      </c>
      <c r="H38" t="s">
        <v>75</v>
      </c>
      <c r="I38" t="s">
        <v>83</v>
      </c>
      <c r="K38" t="s">
        <v>332</v>
      </c>
      <c r="L38" t="b">
        <f t="shared" si="0"/>
        <v>0</v>
      </c>
      <c r="M38" t="b">
        <f t="shared" si="1"/>
        <v>1</v>
      </c>
      <c r="N38" t="b">
        <f t="shared" si="2"/>
        <v>0</v>
      </c>
      <c r="O38" t="b">
        <f t="shared" si="3"/>
        <v>0</v>
      </c>
      <c r="P38">
        <f t="shared" si="4"/>
        <v>0</v>
      </c>
      <c r="Q38" t="b">
        <f t="shared" si="5"/>
        <v>1</v>
      </c>
      <c r="R38">
        <f t="shared" si="6"/>
        <v>0</v>
      </c>
    </row>
    <row r="39" spans="1:18" ht="19.5" x14ac:dyDescent="0.55000000000000004">
      <c r="A39" s="27"/>
      <c r="B39" s="31"/>
      <c r="C39" s="27"/>
      <c r="D39" s="26"/>
      <c r="E39" s="26"/>
      <c r="F39">
        <v>90518</v>
      </c>
      <c r="G39" t="s">
        <v>183</v>
      </c>
      <c r="H39" t="s">
        <v>75</v>
      </c>
      <c r="I39" t="s">
        <v>83</v>
      </c>
      <c r="K39" t="s">
        <v>354</v>
      </c>
      <c r="L39" t="b">
        <f t="shared" si="0"/>
        <v>0</v>
      </c>
      <c r="M39" t="b">
        <f t="shared" si="1"/>
        <v>1</v>
      </c>
      <c r="N39" t="b">
        <f t="shared" si="2"/>
        <v>0</v>
      </c>
      <c r="O39" t="b">
        <f t="shared" si="3"/>
        <v>0</v>
      </c>
      <c r="P39">
        <f t="shared" si="4"/>
        <v>0</v>
      </c>
      <c r="Q39" t="b">
        <f t="shared" si="5"/>
        <v>1</v>
      </c>
      <c r="R39">
        <f t="shared" si="6"/>
        <v>0</v>
      </c>
    </row>
    <row r="40" spans="1:18" ht="19.5" x14ac:dyDescent="0.55000000000000004">
      <c r="A40" s="27"/>
      <c r="B40" s="31"/>
      <c r="C40" s="27"/>
      <c r="D40" s="26"/>
      <c r="E40" s="26"/>
      <c r="F40">
        <v>90517</v>
      </c>
      <c r="G40" t="s">
        <v>185</v>
      </c>
      <c r="H40" t="s">
        <v>75</v>
      </c>
      <c r="I40" t="s">
        <v>83</v>
      </c>
      <c r="K40" t="s">
        <v>448</v>
      </c>
      <c r="L40" t="b">
        <f t="shared" si="0"/>
        <v>0</v>
      </c>
      <c r="M40" t="b">
        <f t="shared" si="1"/>
        <v>1</v>
      </c>
      <c r="N40" t="b">
        <f t="shared" si="2"/>
        <v>0</v>
      </c>
      <c r="O40" t="b">
        <f t="shared" si="3"/>
        <v>0</v>
      </c>
      <c r="P40">
        <f t="shared" si="4"/>
        <v>0</v>
      </c>
      <c r="Q40" t="b">
        <f t="shared" si="5"/>
        <v>1</v>
      </c>
      <c r="R40">
        <f t="shared" si="6"/>
        <v>0</v>
      </c>
    </row>
    <row r="41" spans="1:18" ht="19.5" x14ac:dyDescent="0.55000000000000004">
      <c r="A41" s="27"/>
      <c r="B41" s="31"/>
      <c r="C41" s="27"/>
      <c r="D41" s="26"/>
      <c r="E41" s="26"/>
      <c r="F41">
        <v>90516</v>
      </c>
      <c r="G41" t="s">
        <v>188</v>
      </c>
      <c r="H41" t="s">
        <v>34</v>
      </c>
      <c r="I41" t="s">
        <v>83</v>
      </c>
      <c r="J41" t="s">
        <v>189</v>
      </c>
      <c r="L41" t="b">
        <f t="shared" si="0"/>
        <v>0</v>
      </c>
      <c r="M41" t="b">
        <f t="shared" si="1"/>
        <v>0</v>
      </c>
      <c r="N41" t="b">
        <f t="shared" si="2"/>
        <v>0</v>
      </c>
      <c r="O41" t="b">
        <f t="shared" si="3"/>
        <v>0</v>
      </c>
      <c r="P41">
        <f t="shared" si="4"/>
        <v>0</v>
      </c>
      <c r="Q41" t="b">
        <f t="shared" si="5"/>
        <v>1</v>
      </c>
      <c r="R41">
        <f t="shared" si="6"/>
        <v>0</v>
      </c>
    </row>
    <row r="42" spans="1:18" ht="19.5" x14ac:dyDescent="0.55000000000000004">
      <c r="A42" s="27"/>
      <c r="B42" s="31"/>
      <c r="C42" s="27"/>
      <c r="D42" s="26"/>
      <c r="E42" s="26"/>
      <c r="F42">
        <v>90515</v>
      </c>
      <c r="G42" t="s">
        <v>192</v>
      </c>
      <c r="H42" t="s">
        <v>136</v>
      </c>
      <c r="I42" t="s">
        <v>83</v>
      </c>
      <c r="J42" t="s">
        <v>56</v>
      </c>
      <c r="L42" t="b">
        <f t="shared" si="0"/>
        <v>0</v>
      </c>
      <c r="M42" t="b">
        <f t="shared" si="1"/>
        <v>0</v>
      </c>
      <c r="N42" t="b">
        <f t="shared" si="2"/>
        <v>0</v>
      </c>
      <c r="O42" t="b">
        <f t="shared" si="3"/>
        <v>0</v>
      </c>
      <c r="P42">
        <f t="shared" si="4"/>
        <v>0</v>
      </c>
      <c r="Q42" t="b">
        <f t="shared" si="5"/>
        <v>1</v>
      </c>
      <c r="R42">
        <f t="shared" si="6"/>
        <v>0</v>
      </c>
    </row>
    <row r="43" spans="1:18" ht="19.5" x14ac:dyDescent="0.55000000000000004">
      <c r="A43" s="27"/>
      <c r="B43" s="31"/>
      <c r="C43" s="27"/>
      <c r="D43" s="26"/>
      <c r="E43" s="26"/>
      <c r="F43">
        <v>90514</v>
      </c>
      <c r="G43" t="s">
        <v>196</v>
      </c>
      <c r="H43" t="s">
        <v>34</v>
      </c>
      <c r="I43" t="s">
        <v>83</v>
      </c>
      <c r="L43" t="b">
        <f t="shared" si="0"/>
        <v>0</v>
      </c>
      <c r="M43" t="b">
        <f t="shared" si="1"/>
        <v>0</v>
      </c>
      <c r="N43" t="b">
        <f t="shared" si="2"/>
        <v>0</v>
      </c>
      <c r="O43" t="b">
        <f t="shared" si="3"/>
        <v>0</v>
      </c>
      <c r="P43">
        <f t="shared" si="4"/>
        <v>0</v>
      </c>
      <c r="Q43" t="b">
        <f t="shared" si="5"/>
        <v>1</v>
      </c>
      <c r="R43">
        <f t="shared" si="6"/>
        <v>0</v>
      </c>
    </row>
    <row r="44" spans="1:18" ht="19.5" x14ac:dyDescent="0.55000000000000004">
      <c r="A44" s="27"/>
      <c r="B44" s="31"/>
      <c r="C44" s="27"/>
      <c r="D44" s="26"/>
      <c r="E44" s="26"/>
      <c r="F44">
        <v>90513</v>
      </c>
      <c r="G44" t="s">
        <v>198</v>
      </c>
      <c r="H44" t="s">
        <v>34</v>
      </c>
      <c r="I44" t="s">
        <v>83</v>
      </c>
      <c r="L44" t="b">
        <f t="shared" si="0"/>
        <v>0</v>
      </c>
      <c r="M44" t="b">
        <f t="shared" si="1"/>
        <v>0</v>
      </c>
      <c r="N44" t="b">
        <f t="shared" si="2"/>
        <v>0</v>
      </c>
      <c r="O44" t="b">
        <f t="shared" si="3"/>
        <v>0</v>
      </c>
      <c r="P44">
        <f t="shared" si="4"/>
        <v>0</v>
      </c>
      <c r="Q44" t="b">
        <f t="shared" si="5"/>
        <v>1</v>
      </c>
      <c r="R44">
        <f t="shared" si="6"/>
        <v>0</v>
      </c>
    </row>
    <row r="45" spans="1:18" ht="19.5" x14ac:dyDescent="0.55000000000000004">
      <c r="A45" s="27"/>
      <c r="B45" s="31"/>
      <c r="C45" s="27"/>
      <c r="D45" s="26"/>
      <c r="E45" s="26"/>
      <c r="F45">
        <v>90512</v>
      </c>
      <c r="G45" t="s">
        <v>200</v>
      </c>
      <c r="H45" t="s">
        <v>136</v>
      </c>
      <c r="I45" t="s">
        <v>201</v>
      </c>
      <c r="J45" t="s">
        <v>202</v>
      </c>
      <c r="L45" t="b">
        <f t="shared" si="0"/>
        <v>0</v>
      </c>
      <c r="M45" t="b">
        <f t="shared" si="1"/>
        <v>0</v>
      </c>
      <c r="N45" t="b">
        <f t="shared" si="2"/>
        <v>0</v>
      </c>
      <c r="O45" t="b">
        <f t="shared" si="3"/>
        <v>0</v>
      </c>
      <c r="P45">
        <f t="shared" si="4"/>
        <v>0</v>
      </c>
      <c r="Q45" t="b">
        <f t="shared" si="5"/>
        <v>1</v>
      </c>
      <c r="R45">
        <f t="shared" si="6"/>
        <v>0</v>
      </c>
    </row>
    <row r="46" spans="1:18" ht="19.5" x14ac:dyDescent="0.55000000000000004">
      <c r="A46" s="27"/>
      <c r="B46" s="31"/>
      <c r="C46" s="27"/>
      <c r="D46" s="26"/>
      <c r="E46" s="26"/>
      <c r="F46">
        <v>90511</v>
      </c>
      <c r="G46" t="s">
        <v>205</v>
      </c>
      <c r="H46" t="s">
        <v>136</v>
      </c>
      <c r="I46" t="s">
        <v>201</v>
      </c>
      <c r="J46" t="s">
        <v>202</v>
      </c>
      <c r="L46" t="b">
        <f t="shared" si="0"/>
        <v>0</v>
      </c>
      <c r="M46" t="b">
        <f t="shared" si="1"/>
        <v>0</v>
      </c>
      <c r="N46" t="b">
        <f t="shared" si="2"/>
        <v>0</v>
      </c>
      <c r="O46" t="b">
        <f t="shared" si="3"/>
        <v>0</v>
      </c>
      <c r="P46">
        <f t="shared" si="4"/>
        <v>0</v>
      </c>
      <c r="Q46" t="b">
        <f t="shared" si="5"/>
        <v>1</v>
      </c>
      <c r="R46">
        <f t="shared" si="6"/>
        <v>0</v>
      </c>
    </row>
    <row r="47" spans="1:18" ht="19.5" x14ac:dyDescent="0.55000000000000004">
      <c r="A47" s="27"/>
      <c r="B47" s="31"/>
      <c r="C47" s="27"/>
      <c r="D47" s="26"/>
      <c r="E47" s="26"/>
      <c r="F47">
        <v>90510</v>
      </c>
      <c r="G47" t="s">
        <v>208</v>
      </c>
      <c r="H47" t="s">
        <v>34</v>
      </c>
      <c r="I47" t="s">
        <v>201</v>
      </c>
      <c r="L47" t="b">
        <f t="shared" si="0"/>
        <v>0</v>
      </c>
      <c r="M47" t="b">
        <f t="shared" si="1"/>
        <v>0</v>
      </c>
      <c r="N47" t="b">
        <f t="shared" si="2"/>
        <v>0</v>
      </c>
      <c r="O47" t="b">
        <f t="shared" si="3"/>
        <v>0</v>
      </c>
      <c r="P47">
        <f t="shared" si="4"/>
        <v>0</v>
      </c>
      <c r="Q47" t="b">
        <f t="shared" si="5"/>
        <v>1</v>
      </c>
      <c r="R47">
        <f t="shared" si="6"/>
        <v>0</v>
      </c>
    </row>
    <row r="48" spans="1:18" ht="19.5" x14ac:dyDescent="0.55000000000000004">
      <c r="A48" s="27"/>
      <c r="B48" s="31"/>
      <c r="C48" s="27"/>
      <c r="D48" s="26"/>
      <c r="E48" s="26"/>
      <c r="F48">
        <v>90509</v>
      </c>
      <c r="G48" t="s">
        <v>211</v>
      </c>
      <c r="H48" t="s">
        <v>34</v>
      </c>
      <c r="I48" t="s">
        <v>83</v>
      </c>
      <c r="L48" t="b">
        <f t="shared" si="0"/>
        <v>0</v>
      </c>
      <c r="M48" t="b">
        <f t="shared" si="1"/>
        <v>0</v>
      </c>
      <c r="N48" t="b">
        <f t="shared" si="2"/>
        <v>0</v>
      </c>
      <c r="O48" t="b">
        <f t="shared" si="3"/>
        <v>0</v>
      </c>
      <c r="P48">
        <f t="shared" si="4"/>
        <v>0</v>
      </c>
      <c r="Q48" t="b">
        <f t="shared" si="5"/>
        <v>1</v>
      </c>
      <c r="R48">
        <f t="shared" si="6"/>
        <v>0</v>
      </c>
    </row>
    <row r="49" spans="1:18" ht="19.5" x14ac:dyDescent="0.55000000000000004">
      <c r="A49" s="27"/>
      <c r="B49" s="31"/>
      <c r="C49" s="27"/>
      <c r="D49" s="26"/>
      <c r="E49" s="26"/>
      <c r="F49">
        <v>90508</v>
      </c>
      <c r="G49" t="s">
        <v>214</v>
      </c>
      <c r="H49" t="s">
        <v>34</v>
      </c>
      <c r="I49" t="s">
        <v>201</v>
      </c>
      <c r="L49" t="b">
        <f t="shared" si="0"/>
        <v>0</v>
      </c>
      <c r="M49" t="b">
        <f t="shared" si="1"/>
        <v>0</v>
      </c>
      <c r="N49" t="b">
        <f t="shared" si="2"/>
        <v>0</v>
      </c>
      <c r="O49" t="b">
        <f t="shared" si="3"/>
        <v>0</v>
      </c>
      <c r="P49">
        <f t="shared" si="4"/>
        <v>0</v>
      </c>
      <c r="Q49" t="b">
        <f t="shared" si="5"/>
        <v>1</v>
      </c>
      <c r="R49">
        <f t="shared" si="6"/>
        <v>0</v>
      </c>
    </row>
    <row r="50" spans="1:18" ht="19.5" x14ac:dyDescent="0.55000000000000004">
      <c r="A50" s="27"/>
      <c r="B50" s="31"/>
      <c r="C50" s="27"/>
      <c r="D50" s="26"/>
      <c r="E50" s="26"/>
      <c r="F50">
        <v>90507</v>
      </c>
      <c r="G50" t="s">
        <v>217</v>
      </c>
      <c r="H50" t="s">
        <v>34</v>
      </c>
      <c r="I50" t="s">
        <v>218</v>
      </c>
      <c r="J50" t="s">
        <v>76</v>
      </c>
      <c r="L50" t="b">
        <f t="shared" si="0"/>
        <v>0</v>
      </c>
      <c r="M50" t="b">
        <f t="shared" si="1"/>
        <v>1</v>
      </c>
      <c r="N50" t="b">
        <f t="shared" si="2"/>
        <v>0</v>
      </c>
      <c r="O50" t="b">
        <f t="shared" si="3"/>
        <v>0</v>
      </c>
      <c r="P50">
        <f t="shared" si="4"/>
        <v>0</v>
      </c>
      <c r="Q50" t="b">
        <f t="shared" si="5"/>
        <v>1</v>
      </c>
      <c r="R50">
        <f t="shared" si="6"/>
        <v>0</v>
      </c>
    </row>
    <row r="51" spans="1:18" ht="19.5" x14ac:dyDescent="0.55000000000000004">
      <c r="A51" s="27"/>
      <c r="B51" s="31"/>
      <c r="C51" s="27"/>
      <c r="D51" s="26"/>
      <c r="E51" s="26"/>
      <c r="F51">
        <v>90502</v>
      </c>
      <c r="G51" t="s">
        <v>220</v>
      </c>
      <c r="H51" t="s">
        <v>136</v>
      </c>
      <c r="I51" t="s">
        <v>221</v>
      </c>
      <c r="L51" t="b">
        <f t="shared" si="0"/>
        <v>0</v>
      </c>
      <c r="M51" t="b">
        <f t="shared" si="1"/>
        <v>0</v>
      </c>
      <c r="N51" t="b">
        <f t="shared" si="2"/>
        <v>0</v>
      </c>
      <c r="O51" t="b">
        <f t="shared" si="3"/>
        <v>0</v>
      </c>
      <c r="P51">
        <f t="shared" si="4"/>
        <v>0</v>
      </c>
      <c r="Q51" t="b">
        <f t="shared" si="5"/>
        <v>1</v>
      </c>
      <c r="R51">
        <f t="shared" si="6"/>
        <v>0</v>
      </c>
    </row>
    <row r="52" spans="1:18" ht="19.5" x14ac:dyDescent="0.55000000000000004">
      <c r="A52" s="27"/>
      <c r="B52" s="31"/>
      <c r="C52" s="27"/>
      <c r="D52" s="26"/>
      <c r="E52" s="26"/>
      <c r="F52">
        <v>90501</v>
      </c>
      <c r="G52" t="s">
        <v>224</v>
      </c>
      <c r="H52" t="s">
        <v>136</v>
      </c>
      <c r="I52" t="s">
        <v>221</v>
      </c>
      <c r="L52" t="b">
        <f t="shared" si="0"/>
        <v>0</v>
      </c>
      <c r="M52" t="b">
        <f t="shared" si="1"/>
        <v>1</v>
      </c>
      <c r="N52" t="b">
        <f t="shared" si="2"/>
        <v>0</v>
      </c>
      <c r="O52" t="b">
        <f t="shared" si="3"/>
        <v>0</v>
      </c>
      <c r="P52">
        <f t="shared" si="4"/>
        <v>0</v>
      </c>
      <c r="Q52" t="b">
        <f t="shared" si="5"/>
        <v>1</v>
      </c>
      <c r="R52">
        <f t="shared" si="6"/>
        <v>0</v>
      </c>
    </row>
    <row r="53" spans="1:18" ht="19.5" x14ac:dyDescent="0.55000000000000004">
      <c r="A53" s="27"/>
      <c r="B53" s="31"/>
      <c r="C53" s="27"/>
      <c r="D53" s="26"/>
      <c r="E53" s="26"/>
      <c r="F53">
        <v>90485</v>
      </c>
      <c r="G53" t="s">
        <v>228</v>
      </c>
      <c r="H53" t="s">
        <v>34</v>
      </c>
      <c r="I53" t="s">
        <v>229</v>
      </c>
      <c r="L53" t="b">
        <f t="shared" si="0"/>
        <v>0</v>
      </c>
      <c r="M53" t="b">
        <f t="shared" si="1"/>
        <v>0</v>
      </c>
      <c r="N53" t="b">
        <f t="shared" si="2"/>
        <v>0</v>
      </c>
      <c r="O53" t="b">
        <f t="shared" si="3"/>
        <v>0</v>
      </c>
      <c r="P53">
        <f t="shared" si="4"/>
        <v>0</v>
      </c>
      <c r="Q53" t="b">
        <f t="shared" si="5"/>
        <v>1</v>
      </c>
      <c r="R53">
        <f t="shared" si="6"/>
        <v>0</v>
      </c>
    </row>
    <row r="54" spans="1:18" ht="19.5" x14ac:dyDescent="0.55000000000000004">
      <c r="A54" s="27"/>
      <c r="B54" s="31"/>
      <c r="C54" s="27"/>
      <c r="D54" s="26"/>
      <c r="E54" s="26"/>
      <c r="F54">
        <v>90426</v>
      </c>
      <c r="G54" t="s">
        <v>232</v>
      </c>
      <c r="H54" t="s">
        <v>75</v>
      </c>
      <c r="I54" t="s">
        <v>56</v>
      </c>
      <c r="J54" t="s">
        <v>56</v>
      </c>
      <c r="L54" t="b">
        <f t="shared" si="0"/>
        <v>0</v>
      </c>
      <c r="M54" t="b">
        <f t="shared" si="1"/>
        <v>0</v>
      </c>
      <c r="N54" t="b">
        <f t="shared" si="2"/>
        <v>0</v>
      </c>
      <c r="O54" t="b">
        <f t="shared" si="3"/>
        <v>0</v>
      </c>
      <c r="P54">
        <f t="shared" si="4"/>
        <v>0</v>
      </c>
      <c r="Q54" t="b">
        <f t="shared" si="5"/>
        <v>1</v>
      </c>
      <c r="R54">
        <f t="shared" si="6"/>
        <v>0</v>
      </c>
    </row>
    <row r="55" spans="1:18" ht="19.5" x14ac:dyDescent="0.55000000000000004">
      <c r="A55" s="27"/>
      <c r="B55" s="31"/>
      <c r="C55" s="27"/>
      <c r="D55" s="26"/>
      <c r="E55" s="26"/>
      <c r="F55">
        <v>90425</v>
      </c>
      <c r="G55" t="s">
        <v>235</v>
      </c>
      <c r="H55" t="s">
        <v>111</v>
      </c>
      <c r="I55" t="s">
        <v>67</v>
      </c>
      <c r="L55" t="b">
        <f t="shared" si="0"/>
        <v>0</v>
      </c>
      <c r="M55" t="b">
        <f t="shared" si="1"/>
        <v>1</v>
      </c>
      <c r="N55" t="b">
        <f t="shared" si="2"/>
        <v>0</v>
      </c>
      <c r="O55" t="b">
        <f t="shared" si="3"/>
        <v>0</v>
      </c>
      <c r="P55">
        <f t="shared" si="4"/>
        <v>0</v>
      </c>
      <c r="Q55" t="b">
        <f t="shared" si="5"/>
        <v>1</v>
      </c>
      <c r="R55">
        <f t="shared" si="6"/>
        <v>0</v>
      </c>
    </row>
    <row r="56" spans="1:18" ht="19.5" x14ac:dyDescent="0.55000000000000004">
      <c r="A56" s="27"/>
      <c r="B56" s="31"/>
      <c r="C56" s="27"/>
      <c r="D56" s="26"/>
      <c r="E56" s="26"/>
      <c r="F56">
        <v>90424</v>
      </c>
      <c r="G56" t="s">
        <v>239</v>
      </c>
      <c r="H56" t="s">
        <v>111</v>
      </c>
      <c r="I56" t="s">
        <v>67</v>
      </c>
      <c r="L56" t="b">
        <f t="shared" si="0"/>
        <v>0</v>
      </c>
      <c r="M56" t="b">
        <f t="shared" si="1"/>
        <v>1</v>
      </c>
      <c r="N56" t="b">
        <f t="shared" si="2"/>
        <v>0</v>
      </c>
      <c r="O56" t="b">
        <f t="shared" si="3"/>
        <v>0</v>
      </c>
      <c r="P56">
        <f t="shared" si="4"/>
        <v>0</v>
      </c>
      <c r="Q56" t="b">
        <f t="shared" si="5"/>
        <v>1</v>
      </c>
      <c r="R56">
        <f t="shared" si="6"/>
        <v>0</v>
      </c>
    </row>
    <row r="57" spans="1:18" ht="19.5" x14ac:dyDescent="0.55000000000000004">
      <c r="A57" s="27"/>
      <c r="B57" s="31"/>
      <c r="C57" s="27"/>
      <c r="D57" s="26"/>
      <c r="E57" s="26"/>
      <c r="F57">
        <v>90423</v>
      </c>
      <c r="G57" t="s">
        <v>242</v>
      </c>
      <c r="H57" t="s">
        <v>111</v>
      </c>
      <c r="I57" t="s">
        <v>67</v>
      </c>
      <c r="L57" t="b">
        <f t="shared" si="0"/>
        <v>0</v>
      </c>
      <c r="M57" t="b">
        <f t="shared" si="1"/>
        <v>1</v>
      </c>
      <c r="N57" t="b">
        <f t="shared" si="2"/>
        <v>0</v>
      </c>
      <c r="O57" t="b">
        <f t="shared" si="3"/>
        <v>0</v>
      </c>
      <c r="P57">
        <f t="shared" si="4"/>
        <v>0</v>
      </c>
      <c r="Q57" t="b">
        <f t="shared" si="5"/>
        <v>1</v>
      </c>
      <c r="R57">
        <f t="shared" si="6"/>
        <v>0</v>
      </c>
    </row>
    <row r="58" spans="1:18" ht="19.5" x14ac:dyDescent="0.55000000000000004">
      <c r="A58" s="27"/>
      <c r="B58" s="31"/>
      <c r="C58" s="27"/>
      <c r="D58" s="26"/>
      <c r="E58" s="26"/>
      <c r="F58">
        <v>90422</v>
      </c>
      <c r="G58" t="s">
        <v>245</v>
      </c>
      <c r="H58" t="s">
        <v>111</v>
      </c>
      <c r="I58" t="s">
        <v>67</v>
      </c>
      <c r="L58" t="b">
        <f t="shared" si="0"/>
        <v>0</v>
      </c>
      <c r="M58" t="b">
        <f t="shared" si="1"/>
        <v>0</v>
      </c>
      <c r="N58" t="b">
        <f t="shared" si="2"/>
        <v>0</v>
      </c>
      <c r="O58" t="b">
        <f t="shared" si="3"/>
        <v>0</v>
      </c>
      <c r="P58">
        <f t="shared" si="4"/>
        <v>0</v>
      </c>
      <c r="Q58" t="b">
        <f t="shared" si="5"/>
        <v>1</v>
      </c>
      <c r="R58">
        <f t="shared" si="6"/>
        <v>0</v>
      </c>
    </row>
    <row r="59" spans="1:18" ht="19.5" x14ac:dyDescent="0.55000000000000004">
      <c r="A59" s="27"/>
      <c r="B59" s="31"/>
      <c r="C59" s="27"/>
      <c r="D59" s="26"/>
      <c r="E59" s="26"/>
      <c r="F59">
        <v>90421</v>
      </c>
      <c r="G59" t="s">
        <v>248</v>
      </c>
      <c r="H59" t="s">
        <v>136</v>
      </c>
      <c r="I59" t="s">
        <v>67</v>
      </c>
      <c r="J59" t="s">
        <v>137</v>
      </c>
      <c r="L59" t="b">
        <f t="shared" si="0"/>
        <v>0</v>
      </c>
      <c r="M59" t="b">
        <f t="shared" si="1"/>
        <v>0</v>
      </c>
      <c r="N59" t="b">
        <f t="shared" si="2"/>
        <v>0</v>
      </c>
      <c r="O59" t="b">
        <f t="shared" si="3"/>
        <v>0</v>
      </c>
      <c r="P59">
        <f t="shared" si="4"/>
        <v>0</v>
      </c>
      <c r="Q59" t="b">
        <f t="shared" si="5"/>
        <v>1</v>
      </c>
      <c r="R59">
        <f t="shared" si="6"/>
        <v>0</v>
      </c>
    </row>
    <row r="60" spans="1:18" ht="19.5" x14ac:dyDescent="0.55000000000000004">
      <c r="A60" s="27"/>
      <c r="B60" s="31"/>
      <c r="C60" s="27"/>
      <c r="D60" s="26"/>
      <c r="E60" s="26"/>
      <c r="F60">
        <v>90420</v>
      </c>
      <c r="G60" t="s">
        <v>251</v>
      </c>
      <c r="H60" t="s">
        <v>75</v>
      </c>
      <c r="I60" t="s">
        <v>67</v>
      </c>
      <c r="J60" t="s">
        <v>252</v>
      </c>
      <c r="L60" t="b">
        <f t="shared" si="0"/>
        <v>0</v>
      </c>
      <c r="M60" t="b">
        <f t="shared" si="1"/>
        <v>0</v>
      </c>
      <c r="N60" t="b">
        <f t="shared" si="2"/>
        <v>0</v>
      </c>
      <c r="O60" t="b">
        <f t="shared" si="3"/>
        <v>0</v>
      </c>
      <c r="P60">
        <f t="shared" si="4"/>
        <v>0</v>
      </c>
      <c r="Q60" t="b">
        <f t="shared" si="5"/>
        <v>1</v>
      </c>
      <c r="R60">
        <f t="shared" si="6"/>
        <v>0</v>
      </c>
    </row>
    <row r="61" spans="1:18" ht="19.5" x14ac:dyDescent="0.55000000000000004">
      <c r="A61" s="27"/>
      <c r="B61" s="31"/>
      <c r="C61" s="27"/>
      <c r="D61" s="26"/>
      <c r="E61" s="26"/>
      <c r="F61">
        <v>90419</v>
      </c>
      <c r="G61" t="s">
        <v>255</v>
      </c>
      <c r="H61" t="s">
        <v>34</v>
      </c>
      <c r="I61" t="s">
        <v>36</v>
      </c>
      <c r="J61" t="s">
        <v>164</v>
      </c>
      <c r="L61" t="b">
        <f t="shared" si="0"/>
        <v>0</v>
      </c>
      <c r="M61" t="b">
        <f t="shared" si="1"/>
        <v>1</v>
      </c>
      <c r="N61" t="b">
        <f t="shared" si="2"/>
        <v>0</v>
      </c>
      <c r="O61" t="b">
        <f t="shared" si="3"/>
        <v>0</v>
      </c>
      <c r="P61">
        <f t="shared" si="4"/>
        <v>0</v>
      </c>
      <c r="Q61" t="b">
        <f t="shared" si="5"/>
        <v>1</v>
      </c>
      <c r="R61">
        <f t="shared" si="6"/>
        <v>0</v>
      </c>
    </row>
    <row r="62" spans="1:18" ht="19.5" x14ac:dyDescent="0.55000000000000004">
      <c r="A62" s="27"/>
      <c r="B62" s="31"/>
      <c r="C62" s="27"/>
      <c r="D62" s="26"/>
      <c r="E62" s="26"/>
      <c r="F62">
        <v>90418</v>
      </c>
      <c r="G62" t="s">
        <v>259</v>
      </c>
      <c r="H62" t="s">
        <v>34</v>
      </c>
      <c r="I62" t="s">
        <v>218</v>
      </c>
      <c r="J62" t="s">
        <v>260</v>
      </c>
      <c r="L62" t="b">
        <f t="shared" si="0"/>
        <v>0</v>
      </c>
      <c r="M62" t="b">
        <f t="shared" si="1"/>
        <v>1</v>
      </c>
      <c r="N62" t="b">
        <f t="shared" si="2"/>
        <v>0</v>
      </c>
      <c r="O62" t="b">
        <f t="shared" si="3"/>
        <v>0</v>
      </c>
      <c r="P62">
        <f t="shared" si="4"/>
        <v>0</v>
      </c>
      <c r="Q62" t="b">
        <f t="shared" si="5"/>
        <v>1</v>
      </c>
      <c r="R62">
        <f t="shared" si="6"/>
        <v>0</v>
      </c>
    </row>
    <row r="63" spans="1:18" ht="19.5" x14ac:dyDescent="0.55000000000000004">
      <c r="A63" s="27"/>
      <c r="B63" s="31"/>
      <c r="C63" s="27"/>
      <c r="D63" s="26"/>
      <c r="E63" s="26"/>
      <c r="F63">
        <v>90417</v>
      </c>
      <c r="G63" t="s">
        <v>263</v>
      </c>
      <c r="H63" t="s">
        <v>34</v>
      </c>
      <c r="I63" t="s">
        <v>221</v>
      </c>
      <c r="L63" t="b">
        <f t="shared" si="0"/>
        <v>0</v>
      </c>
      <c r="M63" t="b">
        <f t="shared" si="1"/>
        <v>1</v>
      </c>
      <c r="N63" t="b">
        <f t="shared" si="2"/>
        <v>0</v>
      </c>
      <c r="O63" t="b">
        <f t="shared" si="3"/>
        <v>0</v>
      </c>
      <c r="P63">
        <f t="shared" si="4"/>
        <v>0</v>
      </c>
      <c r="Q63" t="b">
        <f t="shared" si="5"/>
        <v>1</v>
      </c>
      <c r="R63">
        <f t="shared" si="6"/>
        <v>0</v>
      </c>
    </row>
    <row r="64" spans="1:18" ht="19.5" x14ac:dyDescent="0.55000000000000004">
      <c r="A64" s="27"/>
      <c r="B64" s="31"/>
      <c r="C64" s="27"/>
      <c r="D64" s="26"/>
      <c r="E64" s="26"/>
      <c r="F64">
        <v>90416</v>
      </c>
      <c r="G64" t="s">
        <v>266</v>
      </c>
      <c r="H64" t="s">
        <v>136</v>
      </c>
      <c r="I64" t="s">
        <v>56</v>
      </c>
      <c r="J64" t="s">
        <v>56</v>
      </c>
      <c r="L64" t="b">
        <f t="shared" si="0"/>
        <v>0</v>
      </c>
      <c r="M64" t="b">
        <f t="shared" si="1"/>
        <v>1</v>
      </c>
      <c r="N64" t="b">
        <f t="shared" si="2"/>
        <v>0</v>
      </c>
      <c r="O64" t="b">
        <f t="shared" si="3"/>
        <v>0</v>
      </c>
      <c r="P64">
        <f t="shared" si="4"/>
        <v>0</v>
      </c>
      <c r="Q64" t="b">
        <f t="shared" si="5"/>
        <v>1</v>
      </c>
      <c r="R64">
        <f t="shared" si="6"/>
        <v>0</v>
      </c>
    </row>
    <row r="65" spans="1:18" ht="19.5" x14ac:dyDescent="0.55000000000000004">
      <c r="A65" s="27"/>
      <c r="B65" s="31"/>
      <c r="C65" s="27"/>
      <c r="D65" s="26"/>
      <c r="E65" s="26"/>
      <c r="F65">
        <v>90415</v>
      </c>
      <c r="G65" t="s">
        <v>269</v>
      </c>
      <c r="H65" t="s">
        <v>34</v>
      </c>
      <c r="I65" t="s">
        <v>229</v>
      </c>
      <c r="J65" t="s">
        <v>270</v>
      </c>
      <c r="L65" t="b">
        <f t="shared" si="0"/>
        <v>0</v>
      </c>
      <c r="M65" t="b">
        <f t="shared" si="1"/>
        <v>1</v>
      </c>
      <c r="N65" t="b">
        <f t="shared" si="2"/>
        <v>0</v>
      </c>
      <c r="O65" t="b">
        <f t="shared" si="3"/>
        <v>0</v>
      </c>
      <c r="P65">
        <f t="shared" si="4"/>
        <v>0</v>
      </c>
      <c r="Q65" t="b">
        <f t="shared" si="5"/>
        <v>1</v>
      </c>
      <c r="R65">
        <f t="shared" si="6"/>
        <v>0</v>
      </c>
    </row>
    <row r="66" spans="1:18" ht="19.5" x14ac:dyDescent="0.55000000000000004">
      <c r="A66" s="27"/>
      <c r="B66" s="31"/>
      <c r="C66" s="27"/>
      <c r="D66" s="26"/>
      <c r="E66" s="26"/>
      <c r="F66">
        <v>90414</v>
      </c>
      <c r="G66" t="s">
        <v>274</v>
      </c>
      <c r="H66" t="s">
        <v>34</v>
      </c>
      <c r="I66" t="s">
        <v>229</v>
      </c>
      <c r="J66" t="s">
        <v>275</v>
      </c>
      <c r="L66" t="b">
        <f t="shared" si="0"/>
        <v>0</v>
      </c>
      <c r="M66" t="b">
        <f t="shared" si="1"/>
        <v>1</v>
      </c>
      <c r="N66" t="b">
        <f t="shared" si="2"/>
        <v>0</v>
      </c>
      <c r="O66" t="b">
        <f t="shared" si="3"/>
        <v>0</v>
      </c>
      <c r="P66">
        <f t="shared" si="4"/>
        <v>0</v>
      </c>
      <c r="Q66" t="b">
        <f t="shared" si="5"/>
        <v>1</v>
      </c>
      <c r="R66">
        <f t="shared" si="6"/>
        <v>0</v>
      </c>
    </row>
    <row r="67" spans="1:18" ht="19.5" x14ac:dyDescent="0.55000000000000004">
      <c r="A67" s="27"/>
      <c r="B67" s="31"/>
      <c r="C67" s="27"/>
      <c r="D67" s="26"/>
      <c r="E67" s="26"/>
      <c r="F67">
        <v>90413</v>
      </c>
      <c r="G67" t="s">
        <v>278</v>
      </c>
      <c r="H67" t="s">
        <v>136</v>
      </c>
      <c r="I67" t="s">
        <v>279</v>
      </c>
      <c r="J67" t="s">
        <v>280</v>
      </c>
      <c r="L67" t="b">
        <f t="shared" ref="L67:L130" si="7">IF(TRIM($B$3)="",TRUE,ISNUMBER(SEARCH(TRIM(MID(SUBSTITUTE($B$3," ",REPT(" ",100)),1,100)),G67)))</f>
        <v>0</v>
      </c>
      <c r="M67" t="b">
        <f t="shared" ref="M67:M130" si="8">IF(LEN(TRIM($B$3))-LEN(SUBSTITUTE(TRIM($B$3)," ",""))&lt;1,TRUE,ISNUMBER(SEARCH(TRIM(MID(SUBSTITUTE($B$3," ",REPT(" ",100)),101,100)),G67)))</f>
        <v>0</v>
      </c>
      <c r="N67" t="b">
        <f t="shared" ref="N67:N130" si="9">IF(LEN(TRIM($B$3))-LEN(SUBSTITUTE(TRIM($B$3)," ",""))&lt;2,TRUE,ISNUMBER(SEARCH(TRIM(MID(SUBSTITUTE($B$3," ",REPT(" ",100)),201,100)),G67)))</f>
        <v>0</v>
      </c>
      <c r="O67" t="b">
        <f t="shared" ref="O67:O130" si="10">IF(LEN(TRIM($B$3))-LEN(SUBSTITUTE(TRIM($B$3)," ",""))&lt;3,TRUE,ISNUMBER(SEARCH(TRIM(MID(SUBSTITUTE($B$3," ",REPT(" ",100)),301,100)),G67)))</f>
        <v>0</v>
      </c>
      <c r="P67">
        <f t="shared" ref="P67:P130" si="11">L67*M67*N67*O67</f>
        <v>0</v>
      </c>
      <c r="Q67" t="b">
        <f t="shared" ref="Q67:Q130" si="12">IF(OR(TRIM($B$2)="",$B$2="(Todos)"),TRUE,EXACT(I67,$B$2))</f>
        <v>1</v>
      </c>
      <c r="R67">
        <f t="shared" ref="R67:R130" si="13">P67*Q67</f>
        <v>0</v>
      </c>
    </row>
    <row r="68" spans="1:18" ht="19.5" x14ac:dyDescent="0.55000000000000004">
      <c r="A68" s="27"/>
      <c r="B68" s="31"/>
      <c r="C68" s="27"/>
      <c r="D68" s="26"/>
      <c r="E68" s="26"/>
      <c r="F68">
        <v>90412</v>
      </c>
      <c r="G68" t="s">
        <v>286</v>
      </c>
      <c r="H68" t="s">
        <v>54</v>
      </c>
      <c r="I68" t="s">
        <v>287</v>
      </c>
      <c r="J68" t="s">
        <v>288</v>
      </c>
      <c r="L68" t="b">
        <f t="shared" si="7"/>
        <v>0</v>
      </c>
      <c r="M68" t="b">
        <f t="shared" si="8"/>
        <v>0</v>
      </c>
      <c r="N68" t="b">
        <f t="shared" si="9"/>
        <v>0</v>
      </c>
      <c r="O68" t="b">
        <f t="shared" si="10"/>
        <v>0</v>
      </c>
      <c r="P68">
        <f t="shared" si="11"/>
        <v>0</v>
      </c>
      <c r="Q68" t="b">
        <f t="shared" si="12"/>
        <v>1</v>
      </c>
      <c r="R68">
        <f t="shared" si="13"/>
        <v>0</v>
      </c>
    </row>
    <row r="69" spans="1:18" ht="19.5" x14ac:dyDescent="0.55000000000000004">
      <c r="A69" s="27"/>
      <c r="B69" s="31"/>
      <c r="C69" s="27"/>
      <c r="D69" s="26"/>
      <c r="E69" s="26"/>
      <c r="F69">
        <v>90411</v>
      </c>
      <c r="G69" t="s">
        <v>291</v>
      </c>
      <c r="H69" t="s">
        <v>54</v>
      </c>
      <c r="I69" t="s">
        <v>287</v>
      </c>
      <c r="J69" t="s">
        <v>288</v>
      </c>
      <c r="L69" t="b">
        <f t="shared" si="7"/>
        <v>0</v>
      </c>
      <c r="M69" t="b">
        <f t="shared" si="8"/>
        <v>0</v>
      </c>
      <c r="N69" t="b">
        <f t="shared" si="9"/>
        <v>0</v>
      </c>
      <c r="O69" t="b">
        <f t="shared" si="10"/>
        <v>0</v>
      </c>
      <c r="P69">
        <f t="shared" si="11"/>
        <v>0</v>
      </c>
      <c r="Q69" t="b">
        <f t="shared" si="12"/>
        <v>1</v>
      </c>
      <c r="R69">
        <f t="shared" si="13"/>
        <v>0</v>
      </c>
    </row>
    <row r="70" spans="1:18" ht="19.5" x14ac:dyDescent="0.55000000000000004">
      <c r="A70" s="27"/>
      <c r="B70" s="31"/>
      <c r="C70" s="27"/>
      <c r="D70" s="26"/>
      <c r="E70" s="26"/>
      <c r="F70">
        <v>90410</v>
      </c>
      <c r="G70" t="s">
        <v>294</v>
      </c>
      <c r="H70" t="s">
        <v>111</v>
      </c>
      <c r="I70" t="s">
        <v>295</v>
      </c>
      <c r="J70" t="s">
        <v>60</v>
      </c>
      <c r="L70" t="b">
        <f t="shared" si="7"/>
        <v>0</v>
      </c>
      <c r="M70" t="b">
        <f t="shared" si="8"/>
        <v>0</v>
      </c>
      <c r="N70" t="b">
        <f t="shared" si="9"/>
        <v>0</v>
      </c>
      <c r="O70" t="b">
        <f t="shared" si="10"/>
        <v>0</v>
      </c>
      <c r="P70">
        <f t="shared" si="11"/>
        <v>0</v>
      </c>
      <c r="Q70" t="b">
        <f t="shared" si="12"/>
        <v>1</v>
      </c>
      <c r="R70">
        <f t="shared" si="13"/>
        <v>0</v>
      </c>
    </row>
    <row r="71" spans="1:18" ht="19.5" x14ac:dyDescent="0.55000000000000004">
      <c r="A71" s="27"/>
      <c r="B71" s="31"/>
      <c r="C71" s="27"/>
      <c r="D71" s="26"/>
      <c r="E71" s="26"/>
      <c r="F71">
        <v>90409</v>
      </c>
      <c r="G71" t="s">
        <v>298</v>
      </c>
      <c r="H71" t="s">
        <v>111</v>
      </c>
      <c r="I71" t="s">
        <v>295</v>
      </c>
      <c r="J71" t="s">
        <v>60</v>
      </c>
      <c r="L71" t="b">
        <f t="shared" si="7"/>
        <v>0</v>
      </c>
      <c r="M71" t="b">
        <f t="shared" si="8"/>
        <v>0</v>
      </c>
      <c r="N71" t="b">
        <f t="shared" si="9"/>
        <v>0</v>
      </c>
      <c r="O71" t="b">
        <f t="shared" si="10"/>
        <v>0</v>
      </c>
      <c r="P71">
        <f t="shared" si="11"/>
        <v>0</v>
      </c>
      <c r="Q71" t="b">
        <f t="shared" si="12"/>
        <v>1</v>
      </c>
      <c r="R71">
        <f t="shared" si="13"/>
        <v>0</v>
      </c>
    </row>
    <row r="72" spans="1:18" ht="19.5" x14ac:dyDescent="0.55000000000000004">
      <c r="A72" s="27"/>
      <c r="B72" s="31"/>
      <c r="C72" s="27"/>
      <c r="D72" s="26"/>
      <c r="E72" s="26"/>
      <c r="F72">
        <v>90408</v>
      </c>
      <c r="G72" t="s">
        <v>301</v>
      </c>
      <c r="H72" t="s">
        <v>111</v>
      </c>
      <c r="I72" t="s">
        <v>295</v>
      </c>
      <c r="J72" t="s">
        <v>60</v>
      </c>
      <c r="L72" t="b">
        <f t="shared" si="7"/>
        <v>0</v>
      </c>
      <c r="M72" t="b">
        <f t="shared" si="8"/>
        <v>0</v>
      </c>
      <c r="N72" t="b">
        <f t="shared" si="9"/>
        <v>0</v>
      </c>
      <c r="O72" t="b">
        <f t="shared" si="10"/>
        <v>0</v>
      </c>
      <c r="P72">
        <f t="shared" si="11"/>
        <v>0</v>
      </c>
      <c r="Q72" t="b">
        <f t="shared" si="12"/>
        <v>1</v>
      </c>
      <c r="R72">
        <f t="shared" si="13"/>
        <v>0</v>
      </c>
    </row>
    <row r="73" spans="1:18" ht="19.5" x14ac:dyDescent="0.55000000000000004">
      <c r="A73" s="27"/>
      <c r="B73" s="31"/>
      <c r="C73" s="27"/>
      <c r="D73" s="26"/>
      <c r="E73" s="26"/>
      <c r="F73">
        <v>90407</v>
      </c>
      <c r="G73" t="s">
        <v>308</v>
      </c>
      <c r="H73" t="s">
        <v>111</v>
      </c>
      <c r="I73" t="s">
        <v>295</v>
      </c>
      <c r="J73" t="s">
        <v>60</v>
      </c>
      <c r="L73" t="b">
        <f t="shared" si="7"/>
        <v>0</v>
      </c>
      <c r="M73" t="b">
        <f t="shared" si="8"/>
        <v>0</v>
      </c>
      <c r="N73" t="b">
        <f t="shared" si="9"/>
        <v>0</v>
      </c>
      <c r="O73" t="b">
        <f t="shared" si="10"/>
        <v>0</v>
      </c>
      <c r="P73">
        <f t="shared" si="11"/>
        <v>0</v>
      </c>
      <c r="Q73" t="b">
        <f t="shared" si="12"/>
        <v>1</v>
      </c>
      <c r="R73">
        <f t="shared" si="13"/>
        <v>0</v>
      </c>
    </row>
    <row r="74" spans="1:18" ht="19.5" x14ac:dyDescent="0.55000000000000004">
      <c r="A74" s="27"/>
      <c r="B74" s="31"/>
      <c r="C74" s="27"/>
      <c r="D74" s="26"/>
      <c r="E74" s="26"/>
      <c r="F74">
        <v>90406</v>
      </c>
      <c r="G74" t="s">
        <v>311</v>
      </c>
      <c r="H74" t="s">
        <v>111</v>
      </c>
      <c r="I74" t="s">
        <v>60</v>
      </c>
      <c r="J74" t="s">
        <v>60</v>
      </c>
      <c r="L74" t="b">
        <f t="shared" si="7"/>
        <v>0</v>
      </c>
      <c r="M74" t="b">
        <f t="shared" si="8"/>
        <v>1</v>
      </c>
      <c r="N74" t="b">
        <f t="shared" si="9"/>
        <v>0</v>
      </c>
      <c r="O74" t="b">
        <f t="shared" si="10"/>
        <v>0</v>
      </c>
      <c r="P74">
        <f t="shared" si="11"/>
        <v>0</v>
      </c>
      <c r="Q74" t="b">
        <f t="shared" si="12"/>
        <v>1</v>
      </c>
      <c r="R74">
        <f t="shared" si="13"/>
        <v>0</v>
      </c>
    </row>
    <row r="75" spans="1:18" ht="19.5" x14ac:dyDescent="0.55000000000000004">
      <c r="A75" s="27"/>
      <c r="B75" s="31"/>
      <c r="C75" s="27"/>
      <c r="D75" s="26"/>
      <c r="E75" s="26"/>
      <c r="F75">
        <v>90405</v>
      </c>
      <c r="G75" t="s">
        <v>315</v>
      </c>
      <c r="H75" t="s">
        <v>54</v>
      </c>
      <c r="I75" t="s">
        <v>60</v>
      </c>
      <c r="J75" t="s">
        <v>56</v>
      </c>
      <c r="L75" t="b">
        <f t="shared" si="7"/>
        <v>0</v>
      </c>
      <c r="M75" t="b">
        <f t="shared" si="8"/>
        <v>0</v>
      </c>
      <c r="N75" t="b">
        <f t="shared" si="9"/>
        <v>0</v>
      </c>
      <c r="O75" t="b">
        <f t="shared" si="10"/>
        <v>0</v>
      </c>
      <c r="P75">
        <f t="shared" si="11"/>
        <v>0</v>
      </c>
      <c r="Q75" t="b">
        <f t="shared" si="12"/>
        <v>1</v>
      </c>
      <c r="R75">
        <f t="shared" si="13"/>
        <v>0</v>
      </c>
    </row>
    <row r="76" spans="1:18" ht="19.5" x14ac:dyDescent="0.55000000000000004">
      <c r="A76" s="27"/>
      <c r="B76" s="31"/>
      <c r="C76" s="27"/>
      <c r="D76" s="26"/>
      <c r="E76" s="26"/>
      <c r="F76">
        <v>90404</v>
      </c>
      <c r="G76" t="s">
        <v>318</v>
      </c>
      <c r="H76" t="s">
        <v>54</v>
      </c>
      <c r="I76" t="s">
        <v>319</v>
      </c>
      <c r="J76" t="s">
        <v>320</v>
      </c>
      <c r="L76" t="b">
        <f t="shared" si="7"/>
        <v>0</v>
      </c>
      <c r="M76" t="b">
        <f t="shared" si="8"/>
        <v>0</v>
      </c>
      <c r="N76" t="b">
        <f t="shared" si="9"/>
        <v>0</v>
      </c>
      <c r="O76" t="b">
        <f t="shared" si="10"/>
        <v>0</v>
      </c>
      <c r="P76">
        <f t="shared" si="11"/>
        <v>0</v>
      </c>
      <c r="Q76" t="b">
        <f t="shared" si="12"/>
        <v>1</v>
      </c>
      <c r="R76">
        <f t="shared" si="13"/>
        <v>0</v>
      </c>
    </row>
    <row r="77" spans="1:18" ht="19.5" x14ac:dyDescent="0.55000000000000004">
      <c r="A77" s="27"/>
      <c r="B77" s="31"/>
      <c r="C77" s="27"/>
      <c r="D77" s="26"/>
      <c r="E77" s="26"/>
      <c r="F77">
        <v>90403</v>
      </c>
      <c r="G77" t="s">
        <v>323</v>
      </c>
      <c r="H77" t="s">
        <v>54</v>
      </c>
      <c r="I77" t="s">
        <v>324</v>
      </c>
      <c r="J77" t="s">
        <v>325</v>
      </c>
      <c r="L77" t="b">
        <f t="shared" si="7"/>
        <v>0</v>
      </c>
      <c r="M77" t="b">
        <f t="shared" si="8"/>
        <v>0</v>
      </c>
      <c r="N77" t="b">
        <f t="shared" si="9"/>
        <v>0</v>
      </c>
      <c r="O77" t="b">
        <f t="shared" si="10"/>
        <v>0</v>
      </c>
      <c r="P77">
        <f t="shared" si="11"/>
        <v>0</v>
      </c>
      <c r="Q77" t="b">
        <f t="shared" si="12"/>
        <v>1</v>
      </c>
      <c r="R77">
        <f t="shared" si="13"/>
        <v>0</v>
      </c>
    </row>
    <row r="78" spans="1:18" ht="19.5" x14ac:dyDescent="0.55000000000000004">
      <c r="A78" s="27"/>
      <c r="B78" s="31"/>
      <c r="C78" s="27"/>
      <c r="D78" s="26"/>
      <c r="E78" s="26"/>
      <c r="F78">
        <v>90402</v>
      </c>
      <c r="G78" t="s">
        <v>328</v>
      </c>
      <c r="H78" t="s">
        <v>54</v>
      </c>
      <c r="I78" t="s">
        <v>295</v>
      </c>
      <c r="J78" t="s">
        <v>325</v>
      </c>
      <c r="L78" t="b">
        <f t="shared" si="7"/>
        <v>0</v>
      </c>
      <c r="M78" t="b">
        <f t="shared" si="8"/>
        <v>0</v>
      </c>
      <c r="N78" t="b">
        <f t="shared" si="9"/>
        <v>0</v>
      </c>
      <c r="O78" t="b">
        <f t="shared" si="10"/>
        <v>0</v>
      </c>
      <c r="P78">
        <f t="shared" si="11"/>
        <v>0</v>
      </c>
      <c r="Q78" t="b">
        <f t="shared" si="12"/>
        <v>1</v>
      </c>
      <c r="R78">
        <f t="shared" si="13"/>
        <v>0</v>
      </c>
    </row>
    <row r="79" spans="1:18" ht="19.5" x14ac:dyDescent="0.55000000000000004">
      <c r="A79" s="27"/>
      <c r="B79" s="31"/>
      <c r="C79" s="27"/>
      <c r="D79" s="26"/>
      <c r="E79" s="26"/>
      <c r="F79">
        <v>90401</v>
      </c>
      <c r="G79" t="s">
        <v>331</v>
      </c>
      <c r="H79" t="s">
        <v>54</v>
      </c>
      <c r="I79" t="s">
        <v>332</v>
      </c>
      <c r="J79" t="s">
        <v>288</v>
      </c>
      <c r="L79" t="b">
        <f t="shared" si="7"/>
        <v>0</v>
      </c>
      <c r="M79" t="b">
        <f t="shared" si="8"/>
        <v>0</v>
      </c>
      <c r="N79" t="b">
        <f t="shared" si="9"/>
        <v>0</v>
      </c>
      <c r="O79" t="b">
        <f t="shared" si="10"/>
        <v>0</v>
      </c>
      <c r="P79">
        <f t="shared" si="11"/>
        <v>0</v>
      </c>
      <c r="Q79" t="b">
        <f t="shared" si="12"/>
        <v>1</v>
      </c>
      <c r="R79">
        <f t="shared" si="13"/>
        <v>0</v>
      </c>
    </row>
    <row r="80" spans="1:18" ht="19.5" x14ac:dyDescent="0.55000000000000004">
      <c r="A80" s="27"/>
      <c r="B80" s="31"/>
      <c r="C80" s="27"/>
      <c r="D80" s="26"/>
      <c r="E80" s="26"/>
      <c r="F80">
        <v>90400</v>
      </c>
      <c r="G80" t="s">
        <v>335</v>
      </c>
      <c r="H80" t="s">
        <v>54</v>
      </c>
      <c r="I80" t="s">
        <v>295</v>
      </c>
      <c r="J80" t="s">
        <v>288</v>
      </c>
      <c r="L80" t="b">
        <f t="shared" si="7"/>
        <v>0</v>
      </c>
      <c r="M80" t="b">
        <f t="shared" si="8"/>
        <v>0</v>
      </c>
      <c r="N80" t="b">
        <f t="shared" si="9"/>
        <v>0</v>
      </c>
      <c r="O80" t="b">
        <f t="shared" si="10"/>
        <v>0</v>
      </c>
      <c r="P80">
        <f t="shared" si="11"/>
        <v>0</v>
      </c>
      <c r="Q80" t="b">
        <f t="shared" si="12"/>
        <v>1</v>
      </c>
      <c r="R80">
        <f t="shared" si="13"/>
        <v>0</v>
      </c>
    </row>
    <row r="81" spans="1:18" ht="19.5" x14ac:dyDescent="0.55000000000000004">
      <c r="A81" s="27"/>
      <c r="B81" s="31"/>
      <c r="C81" s="27"/>
      <c r="D81" s="26"/>
      <c r="E81" s="26"/>
      <c r="F81">
        <v>90398</v>
      </c>
      <c r="G81" t="s">
        <v>338</v>
      </c>
      <c r="H81" t="s">
        <v>54</v>
      </c>
      <c r="I81" t="s">
        <v>295</v>
      </c>
      <c r="J81" t="s">
        <v>288</v>
      </c>
      <c r="L81" t="b">
        <f t="shared" si="7"/>
        <v>0</v>
      </c>
      <c r="M81" t="b">
        <f t="shared" si="8"/>
        <v>0</v>
      </c>
      <c r="N81" t="b">
        <f t="shared" si="9"/>
        <v>0</v>
      </c>
      <c r="O81" t="b">
        <f t="shared" si="10"/>
        <v>0</v>
      </c>
      <c r="P81">
        <f t="shared" si="11"/>
        <v>0</v>
      </c>
      <c r="Q81" t="b">
        <f t="shared" si="12"/>
        <v>1</v>
      </c>
      <c r="R81">
        <f t="shared" si="13"/>
        <v>0</v>
      </c>
    </row>
    <row r="82" spans="1:18" ht="19.5" x14ac:dyDescent="0.55000000000000004">
      <c r="A82" s="27"/>
      <c r="B82" s="31"/>
      <c r="C82" s="27"/>
      <c r="D82" s="26"/>
      <c r="E82" s="26"/>
      <c r="F82">
        <v>90397</v>
      </c>
      <c r="G82" t="s">
        <v>341</v>
      </c>
      <c r="H82" t="s">
        <v>54</v>
      </c>
      <c r="I82" t="s">
        <v>295</v>
      </c>
      <c r="J82" t="s">
        <v>288</v>
      </c>
      <c r="L82" t="b">
        <f t="shared" si="7"/>
        <v>0</v>
      </c>
      <c r="M82" t="b">
        <f t="shared" si="8"/>
        <v>0</v>
      </c>
      <c r="N82" t="b">
        <f t="shared" si="9"/>
        <v>0</v>
      </c>
      <c r="O82" t="b">
        <f t="shared" si="10"/>
        <v>0</v>
      </c>
      <c r="P82">
        <f t="shared" si="11"/>
        <v>0</v>
      </c>
      <c r="Q82" t="b">
        <f t="shared" si="12"/>
        <v>1</v>
      </c>
      <c r="R82">
        <f t="shared" si="13"/>
        <v>0</v>
      </c>
    </row>
    <row r="83" spans="1:18" ht="19.5" x14ac:dyDescent="0.55000000000000004">
      <c r="A83" s="27"/>
      <c r="B83" s="31"/>
      <c r="C83" s="27"/>
      <c r="D83" s="26"/>
      <c r="E83" s="26"/>
      <c r="F83">
        <v>90396</v>
      </c>
      <c r="G83" t="s">
        <v>344</v>
      </c>
      <c r="H83" t="s">
        <v>54</v>
      </c>
      <c r="I83" t="s">
        <v>332</v>
      </c>
      <c r="J83" t="s">
        <v>288</v>
      </c>
      <c r="L83" t="b">
        <f t="shared" si="7"/>
        <v>0</v>
      </c>
      <c r="M83" t="b">
        <f t="shared" si="8"/>
        <v>0</v>
      </c>
      <c r="N83" t="b">
        <f t="shared" si="9"/>
        <v>0</v>
      </c>
      <c r="O83" t="b">
        <f t="shared" si="10"/>
        <v>0</v>
      </c>
      <c r="P83">
        <f t="shared" si="11"/>
        <v>0</v>
      </c>
      <c r="Q83" t="b">
        <f t="shared" si="12"/>
        <v>1</v>
      </c>
      <c r="R83">
        <f t="shared" si="13"/>
        <v>0</v>
      </c>
    </row>
    <row r="84" spans="1:18" ht="19.5" x14ac:dyDescent="0.55000000000000004">
      <c r="A84" s="27"/>
      <c r="B84" s="31"/>
      <c r="C84" s="27"/>
      <c r="D84" s="26"/>
      <c r="E84" s="26"/>
      <c r="F84">
        <v>90395</v>
      </c>
      <c r="G84" t="s">
        <v>347</v>
      </c>
      <c r="H84" t="s">
        <v>54</v>
      </c>
      <c r="I84" t="s">
        <v>332</v>
      </c>
      <c r="J84" t="s">
        <v>288</v>
      </c>
      <c r="L84" t="b">
        <f t="shared" si="7"/>
        <v>0</v>
      </c>
      <c r="M84" t="b">
        <f t="shared" si="8"/>
        <v>0</v>
      </c>
      <c r="N84" t="b">
        <f t="shared" si="9"/>
        <v>0</v>
      </c>
      <c r="O84" t="b">
        <f t="shared" si="10"/>
        <v>0</v>
      </c>
      <c r="P84">
        <f t="shared" si="11"/>
        <v>0</v>
      </c>
      <c r="Q84" t="b">
        <f t="shared" si="12"/>
        <v>1</v>
      </c>
      <c r="R84">
        <f t="shared" si="13"/>
        <v>0</v>
      </c>
    </row>
    <row r="85" spans="1:18" ht="19.5" x14ac:dyDescent="0.55000000000000004">
      <c r="A85" s="27"/>
      <c r="B85" s="31"/>
      <c r="C85" s="27"/>
      <c r="D85" s="26"/>
      <c r="E85" s="26"/>
      <c r="F85">
        <v>90394</v>
      </c>
      <c r="G85" t="s">
        <v>350</v>
      </c>
      <c r="H85" t="s">
        <v>54</v>
      </c>
      <c r="I85" t="s">
        <v>332</v>
      </c>
      <c r="J85" t="s">
        <v>288</v>
      </c>
      <c r="L85" t="b">
        <f t="shared" si="7"/>
        <v>0</v>
      </c>
      <c r="M85" t="b">
        <f t="shared" si="8"/>
        <v>0</v>
      </c>
      <c r="N85" t="b">
        <f t="shared" si="9"/>
        <v>0</v>
      </c>
      <c r="O85" t="b">
        <f t="shared" si="10"/>
        <v>0</v>
      </c>
      <c r="P85">
        <f t="shared" si="11"/>
        <v>0</v>
      </c>
      <c r="Q85" t="b">
        <f t="shared" si="12"/>
        <v>1</v>
      </c>
      <c r="R85">
        <f t="shared" si="13"/>
        <v>0</v>
      </c>
    </row>
    <row r="86" spans="1:18" ht="19.5" x14ac:dyDescent="0.55000000000000004">
      <c r="A86" s="27"/>
      <c r="B86" s="31"/>
      <c r="C86" s="27"/>
      <c r="D86" s="26"/>
      <c r="E86" s="26"/>
      <c r="F86">
        <v>90393</v>
      </c>
      <c r="G86" t="s">
        <v>353</v>
      </c>
      <c r="H86" t="s">
        <v>54</v>
      </c>
      <c r="I86" t="s">
        <v>354</v>
      </c>
      <c r="J86" t="s">
        <v>355</v>
      </c>
      <c r="L86" t="b">
        <f t="shared" si="7"/>
        <v>0</v>
      </c>
      <c r="M86" t="b">
        <f t="shared" si="8"/>
        <v>0</v>
      </c>
      <c r="N86" t="b">
        <f t="shared" si="9"/>
        <v>0</v>
      </c>
      <c r="O86" t="b">
        <f t="shared" si="10"/>
        <v>0</v>
      </c>
      <c r="P86">
        <f t="shared" si="11"/>
        <v>0</v>
      </c>
      <c r="Q86" t="b">
        <f t="shared" si="12"/>
        <v>1</v>
      </c>
      <c r="R86">
        <f t="shared" si="13"/>
        <v>0</v>
      </c>
    </row>
    <row r="87" spans="1:18" ht="19.5" x14ac:dyDescent="0.55000000000000004">
      <c r="A87" s="27"/>
      <c r="B87" s="31"/>
      <c r="C87" s="27"/>
      <c r="D87" s="26"/>
      <c r="E87" s="26"/>
      <c r="F87">
        <v>90391</v>
      </c>
      <c r="G87" t="s">
        <v>358</v>
      </c>
      <c r="H87" t="s">
        <v>54</v>
      </c>
      <c r="I87" t="s">
        <v>354</v>
      </c>
      <c r="J87" t="s">
        <v>355</v>
      </c>
      <c r="L87" t="b">
        <f t="shared" si="7"/>
        <v>0</v>
      </c>
      <c r="M87" t="b">
        <f t="shared" si="8"/>
        <v>0</v>
      </c>
      <c r="N87" t="b">
        <f t="shared" si="9"/>
        <v>0</v>
      </c>
      <c r="O87" t="b">
        <f t="shared" si="10"/>
        <v>0</v>
      </c>
      <c r="P87">
        <f t="shared" si="11"/>
        <v>0</v>
      </c>
      <c r="Q87" t="b">
        <f t="shared" si="12"/>
        <v>1</v>
      </c>
      <c r="R87">
        <f t="shared" si="13"/>
        <v>0</v>
      </c>
    </row>
    <row r="88" spans="1:18" ht="19.5" x14ac:dyDescent="0.55000000000000004">
      <c r="A88" s="27"/>
      <c r="B88" s="31"/>
      <c r="C88" s="27"/>
      <c r="D88" s="26"/>
      <c r="E88" s="26"/>
      <c r="F88">
        <v>90390</v>
      </c>
      <c r="G88" t="s">
        <v>361</v>
      </c>
      <c r="H88" t="s">
        <v>54</v>
      </c>
      <c r="I88" t="s">
        <v>354</v>
      </c>
      <c r="J88" t="s">
        <v>355</v>
      </c>
      <c r="L88" t="b">
        <f t="shared" si="7"/>
        <v>0</v>
      </c>
      <c r="M88" t="b">
        <f t="shared" si="8"/>
        <v>0</v>
      </c>
      <c r="N88" t="b">
        <f t="shared" si="9"/>
        <v>0</v>
      </c>
      <c r="O88" t="b">
        <f t="shared" si="10"/>
        <v>0</v>
      </c>
      <c r="P88">
        <f t="shared" si="11"/>
        <v>0</v>
      </c>
      <c r="Q88" t="b">
        <f t="shared" si="12"/>
        <v>1</v>
      </c>
      <c r="R88">
        <f t="shared" si="13"/>
        <v>0</v>
      </c>
    </row>
    <row r="89" spans="1:18" ht="19.5" x14ac:dyDescent="0.55000000000000004">
      <c r="A89" s="27"/>
      <c r="B89" s="31"/>
      <c r="C89" s="27"/>
      <c r="D89" s="26"/>
      <c r="E89" s="26"/>
      <c r="F89">
        <v>90388</v>
      </c>
      <c r="G89" t="s">
        <v>364</v>
      </c>
      <c r="H89" t="s">
        <v>365</v>
      </c>
      <c r="I89" t="s">
        <v>56</v>
      </c>
      <c r="J89" t="s">
        <v>56</v>
      </c>
      <c r="L89" t="b">
        <f t="shared" si="7"/>
        <v>0</v>
      </c>
      <c r="M89" t="b">
        <f t="shared" si="8"/>
        <v>1</v>
      </c>
      <c r="N89" t="b">
        <f t="shared" si="9"/>
        <v>0</v>
      </c>
      <c r="O89" t="b">
        <f t="shared" si="10"/>
        <v>0</v>
      </c>
      <c r="P89">
        <f t="shared" si="11"/>
        <v>0</v>
      </c>
      <c r="Q89" t="b">
        <f t="shared" si="12"/>
        <v>1</v>
      </c>
      <c r="R89">
        <f t="shared" si="13"/>
        <v>0</v>
      </c>
    </row>
    <row r="90" spans="1:18" ht="19.5" x14ac:dyDescent="0.55000000000000004">
      <c r="A90" s="27"/>
      <c r="B90" s="31"/>
      <c r="C90" s="27"/>
      <c r="D90" s="26"/>
      <c r="E90" s="26"/>
      <c r="F90">
        <v>90387</v>
      </c>
      <c r="G90" t="s">
        <v>369</v>
      </c>
      <c r="H90" t="s">
        <v>45</v>
      </c>
      <c r="I90" t="s">
        <v>46</v>
      </c>
      <c r="J90" t="s">
        <v>47</v>
      </c>
      <c r="L90" t="b">
        <f t="shared" si="7"/>
        <v>0</v>
      </c>
      <c r="M90" t="b">
        <f t="shared" si="8"/>
        <v>0</v>
      </c>
      <c r="N90" t="b">
        <f t="shared" si="9"/>
        <v>0</v>
      </c>
      <c r="O90" t="b">
        <f t="shared" si="10"/>
        <v>0</v>
      </c>
      <c r="P90">
        <f t="shared" si="11"/>
        <v>0</v>
      </c>
      <c r="Q90" t="b">
        <f t="shared" si="12"/>
        <v>1</v>
      </c>
      <c r="R90">
        <f t="shared" si="13"/>
        <v>0</v>
      </c>
    </row>
    <row r="91" spans="1:18" ht="19.5" x14ac:dyDescent="0.55000000000000004">
      <c r="A91" s="27"/>
      <c r="B91" s="31"/>
      <c r="C91" s="27"/>
      <c r="D91" s="26"/>
      <c r="E91" s="26"/>
      <c r="F91">
        <v>90386</v>
      </c>
      <c r="G91" t="s">
        <v>371</v>
      </c>
      <c r="H91" t="s">
        <v>365</v>
      </c>
      <c r="I91" t="s">
        <v>46</v>
      </c>
      <c r="J91" t="s">
        <v>372</v>
      </c>
      <c r="L91" t="b">
        <f t="shared" si="7"/>
        <v>0</v>
      </c>
      <c r="M91" t="b">
        <f t="shared" si="8"/>
        <v>0</v>
      </c>
      <c r="N91" t="b">
        <f t="shared" si="9"/>
        <v>0</v>
      </c>
      <c r="O91" t="b">
        <f t="shared" si="10"/>
        <v>0</v>
      </c>
      <c r="P91">
        <f t="shared" si="11"/>
        <v>0</v>
      </c>
      <c r="Q91" t="b">
        <f t="shared" si="12"/>
        <v>1</v>
      </c>
      <c r="R91">
        <f t="shared" si="13"/>
        <v>0</v>
      </c>
    </row>
    <row r="92" spans="1:18" ht="19.5" x14ac:dyDescent="0.55000000000000004">
      <c r="A92" s="27"/>
      <c r="B92" s="31"/>
      <c r="C92" s="27"/>
      <c r="D92" s="26"/>
      <c r="E92" s="26"/>
      <c r="F92">
        <v>90385</v>
      </c>
      <c r="G92" t="s">
        <v>375</v>
      </c>
      <c r="H92" t="s">
        <v>365</v>
      </c>
      <c r="I92" t="s">
        <v>56</v>
      </c>
      <c r="J92" t="s">
        <v>56</v>
      </c>
      <c r="L92" t="b">
        <f t="shared" si="7"/>
        <v>0</v>
      </c>
      <c r="M92" t="b">
        <f t="shared" si="8"/>
        <v>1</v>
      </c>
      <c r="N92" t="b">
        <f t="shared" si="9"/>
        <v>0</v>
      </c>
      <c r="O92" t="b">
        <f t="shared" si="10"/>
        <v>0</v>
      </c>
      <c r="P92">
        <f t="shared" si="11"/>
        <v>0</v>
      </c>
      <c r="Q92" t="b">
        <f t="shared" si="12"/>
        <v>1</v>
      </c>
      <c r="R92">
        <f t="shared" si="13"/>
        <v>0</v>
      </c>
    </row>
    <row r="93" spans="1:18" ht="19.5" x14ac:dyDescent="0.55000000000000004">
      <c r="A93" s="27"/>
      <c r="B93" s="31"/>
      <c r="C93" s="27"/>
      <c r="D93" s="26"/>
      <c r="E93" s="26"/>
      <c r="F93">
        <v>81452</v>
      </c>
      <c r="G93" t="s">
        <v>379</v>
      </c>
      <c r="H93" t="s">
        <v>380</v>
      </c>
      <c r="I93" t="s">
        <v>46</v>
      </c>
      <c r="J93" t="s">
        <v>381</v>
      </c>
      <c r="L93" t="b">
        <f t="shared" si="7"/>
        <v>0</v>
      </c>
      <c r="M93" t="b">
        <f t="shared" si="8"/>
        <v>0</v>
      </c>
      <c r="N93" t="b">
        <f t="shared" si="9"/>
        <v>0</v>
      </c>
      <c r="O93" t="b">
        <f t="shared" si="10"/>
        <v>0</v>
      </c>
      <c r="P93">
        <f t="shared" si="11"/>
        <v>0</v>
      </c>
      <c r="Q93" t="b">
        <f t="shared" si="12"/>
        <v>1</v>
      </c>
      <c r="R93">
        <f t="shared" si="13"/>
        <v>0</v>
      </c>
    </row>
    <row r="94" spans="1:18" ht="19.5" x14ac:dyDescent="0.55000000000000004">
      <c r="A94" s="27"/>
      <c r="B94" s="31"/>
      <c r="C94" s="27"/>
      <c r="D94" s="26"/>
      <c r="E94" s="26"/>
      <c r="F94">
        <v>81451</v>
      </c>
      <c r="G94" t="s">
        <v>384</v>
      </c>
      <c r="H94" t="s">
        <v>380</v>
      </c>
      <c r="I94" t="s">
        <v>46</v>
      </c>
      <c r="J94" t="s">
        <v>381</v>
      </c>
      <c r="L94" t="b">
        <f t="shared" si="7"/>
        <v>0</v>
      </c>
      <c r="M94" t="b">
        <f t="shared" si="8"/>
        <v>0</v>
      </c>
      <c r="N94" t="b">
        <f t="shared" si="9"/>
        <v>0</v>
      </c>
      <c r="O94" t="b">
        <f t="shared" si="10"/>
        <v>0</v>
      </c>
      <c r="P94">
        <f t="shared" si="11"/>
        <v>0</v>
      </c>
      <c r="Q94" t="b">
        <f t="shared" si="12"/>
        <v>1</v>
      </c>
      <c r="R94">
        <f t="shared" si="13"/>
        <v>0</v>
      </c>
    </row>
    <row r="95" spans="1:18" ht="19.5" x14ac:dyDescent="0.55000000000000004">
      <c r="A95" s="27"/>
      <c r="B95" s="31"/>
      <c r="C95" s="27"/>
      <c r="D95" s="26"/>
      <c r="E95" s="26"/>
      <c r="F95">
        <v>80400</v>
      </c>
      <c r="G95" t="s">
        <v>387</v>
      </c>
      <c r="H95" t="s">
        <v>54</v>
      </c>
      <c r="I95" t="s">
        <v>388</v>
      </c>
      <c r="L95" t="b">
        <f t="shared" si="7"/>
        <v>0</v>
      </c>
      <c r="M95" t="b">
        <f t="shared" si="8"/>
        <v>1</v>
      </c>
      <c r="N95" t="b">
        <f t="shared" si="9"/>
        <v>0</v>
      </c>
      <c r="O95" t="b">
        <f t="shared" si="10"/>
        <v>0</v>
      </c>
      <c r="P95">
        <f t="shared" si="11"/>
        <v>0</v>
      </c>
      <c r="Q95" t="b">
        <f t="shared" si="12"/>
        <v>1</v>
      </c>
      <c r="R95">
        <f t="shared" si="13"/>
        <v>0</v>
      </c>
    </row>
    <row r="96" spans="1:18" ht="19.5" x14ac:dyDescent="0.55000000000000004">
      <c r="A96" s="27"/>
      <c r="B96" s="31"/>
      <c r="C96" s="27"/>
      <c r="D96" s="26"/>
      <c r="E96" s="26"/>
      <c r="F96">
        <v>4824</v>
      </c>
      <c r="G96" t="s">
        <v>391</v>
      </c>
      <c r="H96" t="s">
        <v>34</v>
      </c>
      <c r="I96" t="s">
        <v>229</v>
      </c>
      <c r="J96" t="s">
        <v>270</v>
      </c>
      <c r="L96" t="b">
        <f t="shared" si="7"/>
        <v>0</v>
      </c>
      <c r="M96" t="b">
        <f t="shared" si="8"/>
        <v>1</v>
      </c>
      <c r="N96" t="b">
        <f t="shared" si="9"/>
        <v>0</v>
      </c>
      <c r="O96" t="b">
        <f t="shared" si="10"/>
        <v>0</v>
      </c>
      <c r="P96">
        <f t="shared" si="11"/>
        <v>0</v>
      </c>
      <c r="Q96" t="b">
        <f t="shared" si="12"/>
        <v>1</v>
      </c>
      <c r="R96">
        <f t="shared" si="13"/>
        <v>0</v>
      </c>
    </row>
    <row r="97" spans="1:18" ht="19.5" x14ac:dyDescent="0.55000000000000004">
      <c r="A97" s="27"/>
      <c r="B97" s="31"/>
      <c r="C97" s="27"/>
      <c r="D97" s="26"/>
      <c r="E97" s="26"/>
      <c r="F97">
        <v>4825</v>
      </c>
      <c r="G97" t="s">
        <v>394</v>
      </c>
      <c r="H97" t="s">
        <v>34</v>
      </c>
      <c r="I97" t="s">
        <v>229</v>
      </c>
      <c r="J97" t="s">
        <v>270</v>
      </c>
      <c r="L97" t="b">
        <f t="shared" si="7"/>
        <v>0</v>
      </c>
      <c r="M97" t="b">
        <f t="shared" si="8"/>
        <v>1</v>
      </c>
      <c r="N97" t="b">
        <f t="shared" si="9"/>
        <v>0</v>
      </c>
      <c r="O97" t="b">
        <f t="shared" si="10"/>
        <v>0</v>
      </c>
      <c r="P97">
        <f t="shared" si="11"/>
        <v>0</v>
      </c>
      <c r="Q97" t="b">
        <f t="shared" si="12"/>
        <v>1</v>
      </c>
      <c r="R97">
        <f t="shared" si="13"/>
        <v>0</v>
      </c>
    </row>
    <row r="98" spans="1:18" ht="19.5" x14ac:dyDescent="0.55000000000000004">
      <c r="A98" s="27"/>
      <c r="B98" s="31"/>
      <c r="C98" s="27"/>
      <c r="D98" s="26"/>
      <c r="E98" s="26"/>
      <c r="F98">
        <v>4826</v>
      </c>
      <c r="G98" t="s">
        <v>397</v>
      </c>
      <c r="H98" t="s">
        <v>34</v>
      </c>
      <c r="I98" t="s">
        <v>229</v>
      </c>
      <c r="J98" t="s">
        <v>270</v>
      </c>
      <c r="L98" t="b">
        <f t="shared" si="7"/>
        <v>0</v>
      </c>
      <c r="M98" t="b">
        <f t="shared" si="8"/>
        <v>1</v>
      </c>
      <c r="N98" t="b">
        <f t="shared" si="9"/>
        <v>0</v>
      </c>
      <c r="O98" t="b">
        <f t="shared" si="10"/>
        <v>0</v>
      </c>
      <c r="P98">
        <f t="shared" si="11"/>
        <v>0</v>
      </c>
      <c r="Q98" t="b">
        <f t="shared" si="12"/>
        <v>1</v>
      </c>
      <c r="R98">
        <f t="shared" si="13"/>
        <v>0</v>
      </c>
    </row>
    <row r="99" spans="1:18" ht="19.5" x14ac:dyDescent="0.55000000000000004">
      <c r="A99" s="27"/>
      <c r="B99" s="31"/>
      <c r="C99" s="27"/>
      <c r="D99" s="26"/>
      <c r="E99" s="26"/>
      <c r="F99">
        <v>4827</v>
      </c>
      <c r="G99" t="s">
        <v>400</v>
      </c>
      <c r="H99" t="s">
        <v>34</v>
      </c>
      <c r="I99" t="s">
        <v>229</v>
      </c>
      <c r="J99" t="s">
        <v>275</v>
      </c>
      <c r="L99" t="b">
        <f t="shared" si="7"/>
        <v>0</v>
      </c>
      <c r="M99" t="b">
        <f t="shared" si="8"/>
        <v>1</v>
      </c>
      <c r="N99" t="b">
        <f t="shared" si="9"/>
        <v>0</v>
      </c>
      <c r="O99" t="b">
        <f t="shared" si="10"/>
        <v>0</v>
      </c>
      <c r="P99">
        <f t="shared" si="11"/>
        <v>0</v>
      </c>
      <c r="Q99" t="b">
        <f t="shared" si="12"/>
        <v>1</v>
      </c>
      <c r="R99">
        <f t="shared" si="13"/>
        <v>0</v>
      </c>
    </row>
    <row r="100" spans="1:18" ht="19.5" x14ac:dyDescent="0.55000000000000004">
      <c r="A100" s="27"/>
      <c r="B100" s="31"/>
      <c r="C100" s="27"/>
      <c r="D100" s="26"/>
      <c r="E100" s="26"/>
      <c r="F100">
        <v>80402</v>
      </c>
      <c r="G100" t="s">
        <v>403</v>
      </c>
      <c r="H100" t="s">
        <v>34</v>
      </c>
      <c r="I100" t="s">
        <v>229</v>
      </c>
      <c r="J100" t="s">
        <v>275</v>
      </c>
      <c r="L100" t="b">
        <f t="shared" si="7"/>
        <v>0</v>
      </c>
      <c r="M100" t="b">
        <f t="shared" si="8"/>
        <v>1</v>
      </c>
      <c r="N100" t="b">
        <f t="shared" si="9"/>
        <v>0</v>
      </c>
      <c r="O100" t="b">
        <f t="shared" si="10"/>
        <v>0</v>
      </c>
      <c r="P100">
        <f t="shared" si="11"/>
        <v>0</v>
      </c>
      <c r="Q100" t="b">
        <f t="shared" si="12"/>
        <v>1</v>
      </c>
      <c r="R100">
        <f t="shared" si="13"/>
        <v>0</v>
      </c>
    </row>
    <row r="101" spans="1:18" ht="19.5" x14ac:dyDescent="0.55000000000000004">
      <c r="A101" s="27"/>
      <c r="B101" s="31"/>
      <c r="C101" s="27"/>
      <c r="D101" s="26"/>
      <c r="E101" s="26"/>
      <c r="F101">
        <v>4989</v>
      </c>
      <c r="G101" t="s">
        <v>406</v>
      </c>
      <c r="H101" t="s">
        <v>54</v>
      </c>
      <c r="I101" t="s">
        <v>287</v>
      </c>
      <c r="L101" t="b">
        <f t="shared" si="7"/>
        <v>0</v>
      </c>
      <c r="M101" t="b">
        <f t="shared" si="8"/>
        <v>0</v>
      </c>
      <c r="N101" t="b">
        <f t="shared" si="9"/>
        <v>0</v>
      </c>
      <c r="O101" t="b">
        <f t="shared" si="10"/>
        <v>0</v>
      </c>
      <c r="P101">
        <f t="shared" si="11"/>
        <v>0</v>
      </c>
      <c r="Q101" t="b">
        <f t="shared" si="12"/>
        <v>1</v>
      </c>
      <c r="R101">
        <f t="shared" si="13"/>
        <v>0</v>
      </c>
    </row>
    <row r="102" spans="1:18" ht="19.5" x14ac:dyDescent="0.55000000000000004">
      <c r="A102" s="27"/>
      <c r="B102" s="31"/>
      <c r="C102" s="27"/>
      <c r="D102" s="26"/>
      <c r="E102" s="26"/>
      <c r="F102">
        <v>80405</v>
      </c>
      <c r="G102" t="s">
        <v>409</v>
      </c>
      <c r="H102" t="s">
        <v>34</v>
      </c>
      <c r="I102" t="s">
        <v>410</v>
      </c>
      <c r="J102" t="s">
        <v>411</v>
      </c>
      <c r="L102" t="b">
        <f t="shared" si="7"/>
        <v>0</v>
      </c>
      <c r="M102" t="b">
        <f t="shared" si="8"/>
        <v>0</v>
      </c>
      <c r="N102" t="b">
        <f t="shared" si="9"/>
        <v>0</v>
      </c>
      <c r="O102" t="b">
        <f t="shared" si="10"/>
        <v>0</v>
      </c>
      <c r="P102">
        <f t="shared" si="11"/>
        <v>0</v>
      </c>
      <c r="Q102" t="b">
        <f t="shared" si="12"/>
        <v>1</v>
      </c>
      <c r="R102">
        <f t="shared" si="13"/>
        <v>0</v>
      </c>
    </row>
    <row r="103" spans="1:18" ht="19.5" x14ac:dyDescent="0.55000000000000004">
      <c r="A103" s="27"/>
      <c r="B103" s="31"/>
      <c r="C103" s="27"/>
      <c r="D103" s="26"/>
      <c r="E103" s="26"/>
      <c r="F103">
        <v>4925</v>
      </c>
      <c r="G103" t="s">
        <v>415</v>
      </c>
      <c r="H103" t="s">
        <v>34</v>
      </c>
      <c r="I103" t="s">
        <v>36</v>
      </c>
      <c r="L103" t="b">
        <f t="shared" si="7"/>
        <v>0</v>
      </c>
      <c r="M103" t="b">
        <f t="shared" si="8"/>
        <v>0</v>
      </c>
      <c r="N103" t="b">
        <f t="shared" si="9"/>
        <v>0</v>
      </c>
      <c r="O103" t="b">
        <f t="shared" si="10"/>
        <v>0</v>
      </c>
      <c r="P103">
        <f t="shared" si="11"/>
        <v>0</v>
      </c>
      <c r="Q103" t="b">
        <f t="shared" si="12"/>
        <v>1</v>
      </c>
      <c r="R103">
        <f t="shared" si="13"/>
        <v>0</v>
      </c>
    </row>
    <row r="104" spans="1:18" ht="19.5" x14ac:dyDescent="0.55000000000000004">
      <c r="A104" s="27"/>
      <c r="B104" s="31"/>
      <c r="C104" s="27"/>
      <c r="D104" s="26"/>
      <c r="E104" s="26"/>
      <c r="F104">
        <v>4695</v>
      </c>
      <c r="G104" t="s">
        <v>418</v>
      </c>
      <c r="H104" t="s">
        <v>54</v>
      </c>
      <c r="I104" t="s">
        <v>419</v>
      </c>
      <c r="L104" t="b">
        <f t="shared" si="7"/>
        <v>0</v>
      </c>
      <c r="M104" t="b">
        <f t="shared" si="8"/>
        <v>0</v>
      </c>
      <c r="N104" t="b">
        <f t="shared" si="9"/>
        <v>0</v>
      </c>
      <c r="O104" t="b">
        <f t="shared" si="10"/>
        <v>0</v>
      </c>
      <c r="P104">
        <f t="shared" si="11"/>
        <v>0</v>
      </c>
      <c r="Q104" t="b">
        <f t="shared" si="12"/>
        <v>1</v>
      </c>
      <c r="R104">
        <f t="shared" si="13"/>
        <v>0</v>
      </c>
    </row>
    <row r="105" spans="1:18" ht="19.5" x14ac:dyDescent="0.55000000000000004">
      <c r="A105" s="27"/>
      <c r="B105" s="31"/>
      <c r="C105" s="27"/>
      <c r="D105" s="26"/>
      <c r="E105" s="26"/>
      <c r="F105">
        <v>4693</v>
      </c>
      <c r="G105" t="s">
        <v>422</v>
      </c>
      <c r="H105" t="s">
        <v>54</v>
      </c>
      <c r="I105" t="s">
        <v>419</v>
      </c>
      <c r="L105" t="b">
        <f t="shared" si="7"/>
        <v>0</v>
      </c>
      <c r="M105" t="b">
        <f t="shared" si="8"/>
        <v>0</v>
      </c>
      <c r="N105" t="b">
        <f t="shared" si="9"/>
        <v>0</v>
      </c>
      <c r="O105" t="b">
        <f t="shared" si="10"/>
        <v>0</v>
      </c>
      <c r="P105">
        <f t="shared" si="11"/>
        <v>0</v>
      </c>
      <c r="Q105" t="b">
        <f t="shared" si="12"/>
        <v>1</v>
      </c>
      <c r="R105">
        <f t="shared" si="13"/>
        <v>0</v>
      </c>
    </row>
    <row r="106" spans="1:18" ht="19.5" x14ac:dyDescent="0.55000000000000004">
      <c r="A106" s="27"/>
      <c r="B106" s="31"/>
      <c r="C106" s="27"/>
      <c r="D106" s="26"/>
      <c r="E106" s="26"/>
      <c r="F106">
        <v>4697</v>
      </c>
      <c r="G106" t="s">
        <v>425</v>
      </c>
      <c r="H106" t="s">
        <v>54</v>
      </c>
      <c r="I106" t="s">
        <v>419</v>
      </c>
      <c r="L106" t="b">
        <f t="shared" si="7"/>
        <v>0</v>
      </c>
      <c r="M106" t="b">
        <f t="shared" si="8"/>
        <v>0</v>
      </c>
      <c r="N106" t="b">
        <f t="shared" si="9"/>
        <v>0</v>
      </c>
      <c r="O106" t="b">
        <f t="shared" si="10"/>
        <v>0</v>
      </c>
      <c r="P106">
        <f t="shared" si="11"/>
        <v>0</v>
      </c>
      <c r="Q106" t="b">
        <f t="shared" si="12"/>
        <v>1</v>
      </c>
      <c r="R106">
        <f t="shared" si="13"/>
        <v>0</v>
      </c>
    </row>
    <row r="107" spans="1:18" ht="19.5" x14ac:dyDescent="0.55000000000000004">
      <c r="A107" s="27"/>
      <c r="B107" s="31"/>
      <c r="C107" s="27"/>
      <c r="D107" s="26"/>
      <c r="E107" s="26"/>
      <c r="F107">
        <v>4696</v>
      </c>
      <c r="G107" t="s">
        <v>428</v>
      </c>
      <c r="H107" t="s">
        <v>54</v>
      </c>
      <c r="I107" t="s">
        <v>419</v>
      </c>
      <c r="L107" t="b">
        <f t="shared" si="7"/>
        <v>0</v>
      </c>
      <c r="M107" t="b">
        <f t="shared" si="8"/>
        <v>0</v>
      </c>
      <c r="N107" t="b">
        <f t="shared" si="9"/>
        <v>0</v>
      </c>
      <c r="O107" t="b">
        <f t="shared" si="10"/>
        <v>0</v>
      </c>
      <c r="P107">
        <f t="shared" si="11"/>
        <v>0</v>
      </c>
      <c r="Q107" t="b">
        <f t="shared" si="12"/>
        <v>1</v>
      </c>
      <c r="R107">
        <f t="shared" si="13"/>
        <v>0</v>
      </c>
    </row>
    <row r="108" spans="1:18" ht="19.5" x14ac:dyDescent="0.55000000000000004">
      <c r="A108" s="27"/>
      <c r="B108" s="31"/>
      <c r="C108" s="27"/>
      <c r="D108" s="26"/>
      <c r="E108" s="26"/>
      <c r="F108">
        <v>4694</v>
      </c>
      <c r="G108" t="s">
        <v>431</v>
      </c>
      <c r="H108" t="s">
        <v>54</v>
      </c>
      <c r="I108" t="s">
        <v>419</v>
      </c>
      <c r="L108" t="b">
        <f t="shared" si="7"/>
        <v>0</v>
      </c>
      <c r="M108" t="b">
        <f t="shared" si="8"/>
        <v>0</v>
      </c>
      <c r="N108" t="b">
        <f t="shared" si="9"/>
        <v>0</v>
      </c>
      <c r="O108" t="b">
        <f t="shared" si="10"/>
        <v>0</v>
      </c>
      <c r="P108">
        <f t="shared" si="11"/>
        <v>0</v>
      </c>
      <c r="Q108" t="b">
        <f t="shared" si="12"/>
        <v>1</v>
      </c>
      <c r="R108">
        <f t="shared" si="13"/>
        <v>0</v>
      </c>
    </row>
    <row r="109" spans="1:18" ht="19.5" x14ac:dyDescent="0.55000000000000004">
      <c r="A109" s="27"/>
      <c r="B109" s="31"/>
      <c r="C109" s="27"/>
      <c r="D109" s="26"/>
      <c r="E109" s="26"/>
      <c r="F109">
        <v>80415</v>
      </c>
      <c r="G109" t="s">
        <v>434</v>
      </c>
      <c r="H109" t="s">
        <v>111</v>
      </c>
      <c r="I109" t="s">
        <v>388</v>
      </c>
      <c r="L109" t="b">
        <f t="shared" si="7"/>
        <v>0</v>
      </c>
      <c r="M109" t="b">
        <f t="shared" si="8"/>
        <v>0</v>
      </c>
      <c r="N109" t="b">
        <f t="shared" si="9"/>
        <v>0</v>
      </c>
      <c r="O109" t="b">
        <f t="shared" si="10"/>
        <v>0</v>
      </c>
      <c r="P109">
        <f t="shared" si="11"/>
        <v>0</v>
      </c>
      <c r="Q109" t="b">
        <f t="shared" si="12"/>
        <v>1</v>
      </c>
      <c r="R109">
        <f t="shared" si="13"/>
        <v>0</v>
      </c>
    </row>
    <row r="110" spans="1:18" ht="19.5" x14ac:dyDescent="0.55000000000000004">
      <c r="A110" s="27"/>
      <c r="B110" s="31"/>
      <c r="C110" s="27"/>
      <c r="D110" s="26"/>
      <c r="E110" s="26"/>
      <c r="F110">
        <v>80360</v>
      </c>
      <c r="G110" t="s">
        <v>437</v>
      </c>
      <c r="H110" t="s">
        <v>54</v>
      </c>
      <c r="I110" t="s">
        <v>46</v>
      </c>
      <c r="L110" t="b">
        <f t="shared" si="7"/>
        <v>0</v>
      </c>
      <c r="M110" t="b">
        <f t="shared" si="8"/>
        <v>0</v>
      </c>
      <c r="N110" t="b">
        <f t="shared" si="9"/>
        <v>0</v>
      </c>
      <c r="O110" t="b">
        <f t="shared" si="10"/>
        <v>0</v>
      </c>
      <c r="P110">
        <f t="shared" si="11"/>
        <v>0</v>
      </c>
      <c r="Q110" t="b">
        <f t="shared" si="12"/>
        <v>1</v>
      </c>
      <c r="R110">
        <f t="shared" si="13"/>
        <v>0</v>
      </c>
    </row>
    <row r="111" spans="1:18" ht="19.5" x14ac:dyDescent="0.55000000000000004">
      <c r="A111" s="27"/>
      <c r="B111" s="31"/>
      <c r="C111" s="27"/>
      <c r="D111" s="26"/>
      <c r="E111" s="26"/>
      <c r="F111">
        <v>80364</v>
      </c>
      <c r="G111" t="s">
        <v>442</v>
      </c>
      <c r="H111" t="s">
        <v>45</v>
      </c>
      <c r="I111" t="s">
        <v>46</v>
      </c>
      <c r="J111" t="s">
        <v>47</v>
      </c>
      <c r="L111" t="b">
        <f t="shared" si="7"/>
        <v>0</v>
      </c>
      <c r="M111" t="b">
        <f t="shared" si="8"/>
        <v>0</v>
      </c>
      <c r="N111" t="b">
        <f t="shared" si="9"/>
        <v>0</v>
      </c>
      <c r="O111" t="b">
        <f t="shared" si="10"/>
        <v>0</v>
      </c>
      <c r="P111">
        <f t="shared" si="11"/>
        <v>0</v>
      </c>
      <c r="Q111" t="b">
        <f t="shared" si="12"/>
        <v>1</v>
      </c>
      <c r="R111">
        <f t="shared" si="13"/>
        <v>0</v>
      </c>
    </row>
    <row r="112" spans="1:18" ht="19.5" x14ac:dyDescent="0.55000000000000004">
      <c r="A112" s="27"/>
      <c r="B112" s="31"/>
      <c r="C112" s="27"/>
      <c r="D112" s="26"/>
      <c r="E112" s="26"/>
      <c r="F112">
        <v>90364</v>
      </c>
      <c r="G112" t="s">
        <v>445</v>
      </c>
      <c r="H112" t="s">
        <v>45</v>
      </c>
      <c r="I112" t="s">
        <v>46</v>
      </c>
      <c r="J112" t="s">
        <v>47</v>
      </c>
      <c r="L112" t="b">
        <f t="shared" si="7"/>
        <v>0</v>
      </c>
      <c r="M112" t="b">
        <f t="shared" si="8"/>
        <v>0</v>
      </c>
      <c r="N112" t="b">
        <f t="shared" si="9"/>
        <v>0</v>
      </c>
      <c r="O112" t="b">
        <f t="shared" si="10"/>
        <v>0</v>
      </c>
      <c r="P112">
        <f t="shared" si="11"/>
        <v>0</v>
      </c>
      <c r="Q112" t="b">
        <f t="shared" si="12"/>
        <v>1</v>
      </c>
      <c r="R112">
        <f t="shared" si="13"/>
        <v>0</v>
      </c>
    </row>
    <row r="113" spans="1:18" ht="19.5" x14ac:dyDescent="0.55000000000000004">
      <c r="A113" s="27"/>
      <c r="B113" s="31"/>
      <c r="C113" s="27"/>
      <c r="D113" s="26"/>
      <c r="E113" s="26"/>
      <c r="F113">
        <v>4812</v>
      </c>
      <c r="G113" t="s">
        <v>447</v>
      </c>
      <c r="H113" t="s">
        <v>45</v>
      </c>
      <c r="I113" t="s">
        <v>448</v>
      </c>
      <c r="J113" t="s">
        <v>449</v>
      </c>
      <c r="L113" t="b">
        <f t="shared" si="7"/>
        <v>0</v>
      </c>
      <c r="M113" t="b">
        <f t="shared" si="8"/>
        <v>0</v>
      </c>
      <c r="N113" t="b">
        <f t="shared" si="9"/>
        <v>0</v>
      </c>
      <c r="O113" t="b">
        <f t="shared" si="10"/>
        <v>0</v>
      </c>
      <c r="P113">
        <f t="shared" si="11"/>
        <v>0</v>
      </c>
      <c r="Q113" t="b">
        <f t="shared" si="12"/>
        <v>1</v>
      </c>
      <c r="R113">
        <f t="shared" si="13"/>
        <v>0</v>
      </c>
    </row>
    <row r="114" spans="1:18" ht="19.5" x14ac:dyDescent="0.55000000000000004">
      <c r="A114" s="27"/>
      <c r="B114" s="31"/>
      <c r="C114" s="27"/>
      <c r="D114" s="26"/>
      <c r="E114" s="26"/>
      <c r="F114">
        <v>9812</v>
      </c>
      <c r="G114" t="s">
        <v>451</v>
      </c>
      <c r="H114" t="s">
        <v>45</v>
      </c>
      <c r="I114" t="s">
        <v>448</v>
      </c>
      <c r="J114" t="s">
        <v>449</v>
      </c>
      <c r="L114" t="b">
        <f t="shared" si="7"/>
        <v>0</v>
      </c>
      <c r="M114" t="b">
        <f t="shared" si="8"/>
        <v>0</v>
      </c>
      <c r="N114" t="b">
        <f t="shared" si="9"/>
        <v>0</v>
      </c>
      <c r="O114" t="b">
        <f t="shared" si="10"/>
        <v>0</v>
      </c>
      <c r="P114">
        <f t="shared" si="11"/>
        <v>0</v>
      </c>
      <c r="Q114" t="b">
        <f t="shared" si="12"/>
        <v>1</v>
      </c>
      <c r="R114">
        <f t="shared" si="13"/>
        <v>0</v>
      </c>
    </row>
    <row r="115" spans="1:18" ht="19.5" x14ac:dyDescent="0.55000000000000004">
      <c r="A115" s="27"/>
      <c r="B115" s="31"/>
      <c r="C115" s="27"/>
      <c r="D115" s="26"/>
      <c r="E115" s="26"/>
      <c r="F115">
        <v>80365</v>
      </c>
      <c r="G115" t="s">
        <v>453</v>
      </c>
      <c r="H115" t="s">
        <v>45</v>
      </c>
      <c r="I115" t="s">
        <v>46</v>
      </c>
      <c r="J115" t="s">
        <v>47</v>
      </c>
      <c r="L115" t="b">
        <f t="shared" si="7"/>
        <v>0</v>
      </c>
      <c r="M115" t="b">
        <f t="shared" si="8"/>
        <v>0</v>
      </c>
      <c r="N115" t="b">
        <f t="shared" si="9"/>
        <v>0</v>
      </c>
      <c r="O115" t="b">
        <f t="shared" si="10"/>
        <v>0</v>
      </c>
      <c r="P115">
        <f t="shared" si="11"/>
        <v>0</v>
      </c>
      <c r="Q115" t="b">
        <f t="shared" si="12"/>
        <v>1</v>
      </c>
      <c r="R115">
        <f t="shared" si="13"/>
        <v>0</v>
      </c>
    </row>
    <row r="116" spans="1:18" ht="19.5" x14ac:dyDescent="0.55000000000000004">
      <c r="A116" s="27"/>
      <c r="B116" s="31"/>
      <c r="C116" s="27"/>
      <c r="D116" s="26"/>
      <c r="E116" s="26"/>
      <c r="F116">
        <v>90365</v>
      </c>
      <c r="G116" t="s">
        <v>456</v>
      </c>
      <c r="H116" t="s">
        <v>45</v>
      </c>
      <c r="I116" t="s">
        <v>46</v>
      </c>
      <c r="J116" t="s">
        <v>47</v>
      </c>
      <c r="L116" t="b">
        <f t="shared" si="7"/>
        <v>0</v>
      </c>
      <c r="M116" t="b">
        <f t="shared" si="8"/>
        <v>0</v>
      </c>
      <c r="N116" t="b">
        <f t="shared" si="9"/>
        <v>0</v>
      </c>
      <c r="O116" t="b">
        <f t="shared" si="10"/>
        <v>0</v>
      </c>
      <c r="P116">
        <f t="shared" si="11"/>
        <v>0</v>
      </c>
      <c r="Q116" t="b">
        <f t="shared" si="12"/>
        <v>1</v>
      </c>
      <c r="R116">
        <f t="shared" si="13"/>
        <v>0</v>
      </c>
    </row>
    <row r="117" spans="1:18" ht="19.5" x14ac:dyDescent="0.55000000000000004">
      <c r="A117" s="27"/>
      <c r="B117" s="31"/>
      <c r="C117" s="27"/>
      <c r="D117" s="26"/>
      <c r="E117" s="26"/>
      <c r="F117">
        <v>4813</v>
      </c>
      <c r="G117" t="s">
        <v>458</v>
      </c>
      <c r="H117" t="s">
        <v>45</v>
      </c>
      <c r="I117" t="s">
        <v>448</v>
      </c>
      <c r="J117" t="s">
        <v>449</v>
      </c>
      <c r="L117" t="b">
        <f t="shared" si="7"/>
        <v>0</v>
      </c>
      <c r="M117" t="b">
        <f t="shared" si="8"/>
        <v>0</v>
      </c>
      <c r="N117" t="b">
        <f t="shared" si="9"/>
        <v>0</v>
      </c>
      <c r="O117" t="b">
        <f t="shared" si="10"/>
        <v>0</v>
      </c>
      <c r="P117">
        <f t="shared" si="11"/>
        <v>0</v>
      </c>
      <c r="Q117" t="b">
        <f t="shared" si="12"/>
        <v>1</v>
      </c>
      <c r="R117">
        <f t="shared" si="13"/>
        <v>0</v>
      </c>
    </row>
    <row r="118" spans="1:18" ht="19.5" x14ac:dyDescent="0.55000000000000004">
      <c r="A118" s="27"/>
      <c r="B118" s="31"/>
      <c r="C118" s="27"/>
      <c r="D118" s="26"/>
      <c r="E118" s="26"/>
      <c r="F118">
        <v>9813</v>
      </c>
      <c r="G118" t="s">
        <v>460</v>
      </c>
      <c r="H118" t="s">
        <v>45</v>
      </c>
      <c r="I118" t="s">
        <v>448</v>
      </c>
      <c r="J118" t="s">
        <v>449</v>
      </c>
      <c r="L118" t="b">
        <f t="shared" si="7"/>
        <v>0</v>
      </c>
      <c r="M118" t="b">
        <f t="shared" si="8"/>
        <v>0</v>
      </c>
      <c r="N118" t="b">
        <f t="shared" si="9"/>
        <v>0</v>
      </c>
      <c r="O118" t="b">
        <f t="shared" si="10"/>
        <v>0</v>
      </c>
      <c r="P118">
        <f t="shared" si="11"/>
        <v>0</v>
      </c>
      <c r="Q118" t="b">
        <f t="shared" si="12"/>
        <v>1</v>
      </c>
      <c r="R118">
        <f t="shared" si="13"/>
        <v>0</v>
      </c>
    </row>
    <row r="119" spans="1:18" ht="19.5" x14ac:dyDescent="0.55000000000000004">
      <c r="A119" s="27"/>
      <c r="B119" s="31"/>
      <c r="C119" s="27"/>
      <c r="D119" s="26"/>
      <c r="E119" s="26"/>
      <c r="F119">
        <v>80366</v>
      </c>
      <c r="G119" t="s">
        <v>462</v>
      </c>
      <c r="H119" t="s">
        <v>45</v>
      </c>
      <c r="I119" t="s">
        <v>46</v>
      </c>
      <c r="J119" t="s">
        <v>47</v>
      </c>
      <c r="L119" t="b">
        <f t="shared" si="7"/>
        <v>0</v>
      </c>
      <c r="M119" t="b">
        <f t="shared" si="8"/>
        <v>0</v>
      </c>
      <c r="N119" t="b">
        <f t="shared" si="9"/>
        <v>0</v>
      </c>
      <c r="O119" t="b">
        <f t="shared" si="10"/>
        <v>0</v>
      </c>
      <c r="P119">
        <f t="shared" si="11"/>
        <v>0</v>
      </c>
      <c r="Q119" t="b">
        <f t="shared" si="12"/>
        <v>1</v>
      </c>
      <c r="R119">
        <f t="shared" si="13"/>
        <v>0</v>
      </c>
    </row>
    <row r="120" spans="1:18" ht="19.5" x14ac:dyDescent="0.55000000000000004">
      <c r="A120" s="27"/>
      <c r="B120" s="31"/>
      <c r="C120" s="27"/>
      <c r="D120" s="26"/>
      <c r="E120" s="26"/>
      <c r="F120">
        <v>90366</v>
      </c>
      <c r="G120" t="s">
        <v>465</v>
      </c>
      <c r="H120" t="s">
        <v>45</v>
      </c>
      <c r="I120" t="s">
        <v>46</v>
      </c>
      <c r="J120" t="s">
        <v>47</v>
      </c>
      <c r="L120" t="b">
        <f t="shared" si="7"/>
        <v>0</v>
      </c>
      <c r="M120" t="b">
        <f t="shared" si="8"/>
        <v>0</v>
      </c>
      <c r="N120" t="b">
        <f t="shared" si="9"/>
        <v>0</v>
      </c>
      <c r="O120" t="b">
        <f t="shared" si="10"/>
        <v>0</v>
      </c>
      <c r="P120">
        <f t="shared" si="11"/>
        <v>0</v>
      </c>
      <c r="Q120" t="b">
        <f t="shared" si="12"/>
        <v>1</v>
      </c>
      <c r="R120">
        <f t="shared" si="13"/>
        <v>0</v>
      </c>
    </row>
    <row r="121" spans="1:18" ht="19.5" x14ac:dyDescent="0.55000000000000004">
      <c r="A121" s="27"/>
      <c r="B121" s="31"/>
      <c r="C121" s="27"/>
      <c r="D121" s="26"/>
      <c r="E121" s="26"/>
      <c r="F121">
        <v>4814</v>
      </c>
      <c r="G121" t="s">
        <v>467</v>
      </c>
      <c r="H121" t="s">
        <v>45</v>
      </c>
      <c r="I121" t="s">
        <v>448</v>
      </c>
      <c r="J121" t="s">
        <v>449</v>
      </c>
      <c r="L121" t="b">
        <f t="shared" si="7"/>
        <v>0</v>
      </c>
      <c r="M121" t="b">
        <f t="shared" si="8"/>
        <v>0</v>
      </c>
      <c r="N121" t="b">
        <f t="shared" si="9"/>
        <v>0</v>
      </c>
      <c r="O121" t="b">
        <f t="shared" si="10"/>
        <v>0</v>
      </c>
      <c r="P121">
        <f t="shared" si="11"/>
        <v>0</v>
      </c>
      <c r="Q121" t="b">
        <f t="shared" si="12"/>
        <v>1</v>
      </c>
      <c r="R121">
        <f t="shared" si="13"/>
        <v>0</v>
      </c>
    </row>
    <row r="122" spans="1:18" ht="19.5" x14ac:dyDescent="0.55000000000000004">
      <c r="A122" s="27"/>
      <c r="B122" s="31"/>
      <c r="C122" s="27"/>
      <c r="D122" s="26"/>
      <c r="E122" s="26"/>
      <c r="F122">
        <v>9814</v>
      </c>
      <c r="G122" t="s">
        <v>469</v>
      </c>
      <c r="H122" t="s">
        <v>45</v>
      </c>
      <c r="I122" t="s">
        <v>448</v>
      </c>
      <c r="J122" t="s">
        <v>449</v>
      </c>
      <c r="L122" t="b">
        <f t="shared" si="7"/>
        <v>0</v>
      </c>
      <c r="M122" t="b">
        <f t="shared" si="8"/>
        <v>0</v>
      </c>
      <c r="N122" t="b">
        <f t="shared" si="9"/>
        <v>0</v>
      </c>
      <c r="O122" t="b">
        <f t="shared" si="10"/>
        <v>0</v>
      </c>
      <c r="P122">
        <f t="shared" si="11"/>
        <v>0</v>
      </c>
      <c r="Q122" t="b">
        <f t="shared" si="12"/>
        <v>1</v>
      </c>
      <c r="R122">
        <f t="shared" si="13"/>
        <v>0</v>
      </c>
    </row>
    <row r="123" spans="1:18" ht="19.5" x14ac:dyDescent="0.55000000000000004">
      <c r="A123" s="27"/>
      <c r="B123" s="31"/>
      <c r="C123" s="27"/>
      <c r="D123" s="26"/>
      <c r="E123" s="26"/>
      <c r="F123">
        <v>80367</v>
      </c>
      <c r="G123" t="s">
        <v>471</v>
      </c>
      <c r="H123" t="s">
        <v>45</v>
      </c>
      <c r="I123" t="s">
        <v>46</v>
      </c>
      <c r="J123" t="s">
        <v>47</v>
      </c>
      <c r="L123" t="b">
        <f t="shared" si="7"/>
        <v>0</v>
      </c>
      <c r="M123" t="b">
        <f t="shared" si="8"/>
        <v>0</v>
      </c>
      <c r="N123" t="b">
        <f t="shared" si="9"/>
        <v>0</v>
      </c>
      <c r="O123" t="b">
        <f t="shared" si="10"/>
        <v>0</v>
      </c>
      <c r="P123">
        <f t="shared" si="11"/>
        <v>0</v>
      </c>
      <c r="Q123" t="b">
        <f t="shared" si="12"/>
        <v>1</v>
      </c>
      <c r="R123">
        <f t="shared" si="13"/>
        <v>0</v>
      </c>
    </row>
    <row r="124" spans="1:18" ht="19.5" x14ac:dyDescent="0.55000000000000004">
      <c r="A124" s="27"/>
      <c r="B124" s="31"/>
      <c r="C124" s="27"/>
      <c r="D124" s="26"/>
      <c r="E124" s="26"/>
      <c r="F124">
        <v>90367</v>
      </c>
      <c r="G124" t="s">
        <v>474</v>
      </c>
      <c r="H124" t="s">
        <v>45</v>
      </c>
      <c r="I124" t="s">
        <v>46</v>
      </c>
      <c r="J124" t="s">
        <v>47</v>
      </c>
      <c r="L124" t="b">
        <f t="shared" si="7"/>
        <v>0</v>
      </c>
      <c r="M124" t="b">
        <f t="shared" si="8"/>
        <v>0</v>
      </c>
      <c r="N124" t="b">
        <f t="shared" si="9"/>
        <v>0</v>
      </c>
      <c r="O124" t="b">
        <f t="shared" si="10"/>
        <v>0</v>
      </c>
      <c r="P124">
        <f t="shared" si="11"/>
        <v>0</v>
      </c>
      <c r="Q124" t="b">
        <f t="shared" si="12"/>
        <v>1</v>
      </c>
      <c r="R124">
        <f t="shared" si="13"/>
        <v>0</v>
      </c>
    </row>
    <row r="125" spans="1:18" ht="19.5" x14ac:dyDescent="0.55000000000000004">
      <c r="A125" s="27"/>
      <c r="B125" s="31"/>
      <c r="C125" s="27"/>
      <c r="D125" s="26"/>
      <c r="E125" s="26"/>
      <c r="F125">
        <v>4815</v>
      </c>
      <c r="G125" t="s">
        <v>476</v>
      </c>
      <c r="H125" t="s">
        <v>45</v>
      </c>
      <c r="I125" t="s">
        <v>448</v>
      </c>
      <c r="J125" t="s">
        <v>449</v>
      </c>
      <c r="L125" t="b">
        <f t="shared" si="7"/>
        <v>0</v>
      </c>
      <c r="M125" t="b">
        <f t="shared" si="8"/>
        <v>0</v>
      </c>
      <c r="N125" t="b">
        <f t="shared" si="9"/>
        <v>0</v>
      </c>
      <c r="O125" t="b">
        <f t="shared" si="10"/>
        <v>0</v>
      </c>
      <c r="P125">
        <f t="shared" si="11"/>
        <v>0</v>
      </c>
      <c r="Q125" t="b">
        <f t="shared" si="12"/>
        <v>1</v>
      </c>
      <c r="R125">
        <f t="shared" si="13"/>
        <v>0</v>
      </c>
    </row>
    <row r="126" spans="1:18" ht="19.5" x14ac:dyDescent="0.55000000000000004">
      <c r="A126" s="27"/>
      <c r="B126" s="31"/>
      <c r="C126" s="27"/>
      <c r="D126" s="26"/>
      <c r="E126" s="26"/>
      <c r="F126">
        <v>9815</v>
      </c>
      <c r="G126" t="s">
        <v>478</v>
      </c>
      <c r="H126" t="s">
        <v>45</v>
      </c>
      <c r="I126" t="s">
        <v>448</v>
      </c>
      <c r="J126" t="s">
        <v>449</v>
      </c>
      <c r="L126" t="b">
        <f t="shared" si="7"/>
        <v>0</v>
      </c>
      <c r="M126" t="b">
        <f t="shared" si="8"/>
        <v>0</v>
      </c>
      <c r="N126" t="b">
        <f t="shared" si="9"/>
        <v>0</v>
      </c>
      <c r="O126" t="b">
        <f t="shared" si="10"/>
        <v>0</v>
      </c>
      <c r="P126">
        <f t="shared" si="11"/>
        <v>0</v>
      </c>
      <c r="Q126" t="b">
        <f t="shared" si="12"/>
        <v>1</v>
      </c>
      <c r="R126">
        <f t="shared" si="13"/>
        <v>0</v>
      </c>
    </row>
    <row r="127" spans="1:18" ht="19.5" x14ac:dyDescent="0.55000000000000004">
      <c r="A127" s="27"/>
      <c r="B127" s="31"/>
      <c r="C127" s="27"/>
      <c r="D127" s="26"/>
      <c r="E127" s="26"/>
      <c r="F127">
        <v>80368</v>
      </c>
      <c r="G127" t="s">
        <v>480</v>
      </c>
      <c r="H127" t="s">
        <v>45</v>
      </c>
      <c r="I127" t="s">
        <v>46</v>
      </c>
      <c r="J127" t="s">
        <v>47</v>
      </c>
      <c r="L127" t="b">
        <f t="shared" si="7"/>
        <v>0</v>
      </c>
      <c r="M127" t="b">
        <f t="shared" si="8"/>
        <v>0</v>
      </c>
      <c r="N127" t="b">
        <f t="shared" si="9"/>
        <v>0</v>
      </c>
      <c r="O127" t="b">
        <f t="shared" si="10"/>
        <v>0</v>
      </c>
      <c r="P127">
        <f t="shared" si="11"/>
        <v>0</v>
      </c>
      <c r="Q127" t="b">
        <f t="shared" si="12"/>
        <v>1</v>
      </c>
      <c r="R127">
        <f t="shared" si="13"/>
        <v>0</v>
      </c>
    </row>
    <row r="128" spans="1:18" ht="19.5" x14ac:dyDescent="0.55000000000000004">
      <c r="A128" s="27"/>
      <c r="B128" s="31"/>
      <c r="C128" s="27"/>
      <c r="D128" s="26"/>
      <c r="E128" s="26"/>
      <c r="F128">
        <v>90368</v>
      </c>
      <c r="G128" t="s">
        <v>483</v>
      </c>
      <c r="H128" t="s">
        <v>45</v>
      </c>
      <c r="I128" t="s">
        <v>46</v>
      </c>
      <c r="J128" t="s">
        <v>47</v>
      </c>
      <c r="L128" t="b">
        <f t="shared" si="7"/>
        <v>0</v>
      </c>
      <c r="M128" t="b">
        <f t="shared" si="8"/>
        <v>0</v>
      </c>
      <c r="N128" t="b">
        <f t="shared" si="9"/>
        <v>0</v>
      </c>
      <c r="O128" t="b">
        <f t="shared" si="10"/>
        <v>0</v>
      </c>
      <c r="P128">
        <f t="shared" si="11"/>
        <v>0</v>
      </c>
      <c r="Q128" t="b">
        <f t="shared" si="12"/>
        <v>1</v>
      </c>
      <c r="R128">
        <f t="shared" si="13"/>
        <v>0</v>
      </c>
    </row>
    <row r="129" spans="1:18" ht="19.5" x14ac:dyDescent="0.55000000000000004">
      <c r="A129" s="27"/>
      <c r="B129" s="31"/>
      <c r="C129" s="27"/>
      <c r="D129" s="26"/>
      <c r="E129" s="26"/>
      <c r="F129">
        <v>80384</v>
      </c>
      <c r="G129" t="s">
        <v>485</v>
      </c>
      <c r="H129" t="s">
        <v>45</v>
      </c>
      <c r="I129" t="s">
        <v>448</v>
      </c>
      <c r="J129" t="s">
        <v>449</v>
      </c>
      <c r="L129" t="b">
        <f t="shared" si="7"/>
        <v>0</v>
      </c>
      <c r="M129" t="b">
        <f t="shared" si="8"/>
        <v>0</v>
      </c>
      <c r="N129" t="b">
        <f t="shared" si="9"/>
        <v>0</v>
      </c>
      <c r="O129" t="b">
        <f t="shared" si="10"/>
        <v>0</v>
      </c>
      <c r="P129">
        <f t="shared" si="11"/>
        <v>0</v>
      </c>
      <c r="Q129" t="b">
        <f t="shared" si="12"/>
        <v>1</v>
      </c>
      <c r="R129">
        <f t="shared" si="13"/>
        <v>0</v>
      </c>
    </row>
    <row r="130" spans="1:18" ht="19.5" x14ac:dyDescent="0.55000000000000004">
      <c r="A130" s="27"/>
      <c r="B130" s="31"/>
      <c r="C130" s="27"/>
      <c r="D130" s="26"/>
      <c r="E130" s="26"/>
      <c r="F130">
        <v>90384</v>
      </c>
      <c r="G130" t="s">
        <v>487</v>
      </c>
      <c r="H130" t="s">
        <v>45</v>
      </c>
      <c r="I130" t="s">
        <v>448</v>
      </c>
      <c r="J130" t="s">
        <v>449</v>
      </c>
      <c r="L130" t="b">
        <f t="shared" si="7"/>
        <v>0</v>
      </c>
      <c r="M130" t="b">
        <f t="shared" si="8"/>
        <v>0</v>
      </c>
      <c r="N130" t="b">
        <f t="shared" si="9"/>
        <v>0</v>
      </c>
      <c r="O130" t="b">
        <f t="shared" si="10"/>
        <v>0</v>
      </c>
      <c r="P130">
        <f t="shared" si="11"/>
        <v>0</v>
      </c>
      <c r="Q130" t="b">
        <f t="shared" si="12"/>
        <v>1</v>
      </c>
      <c r="R130">
        <f t="shared" si="13"/>
        <v>0</v>
      </c>
    </row>
    <row r="131" spans="1:18" ht="19.5" x14ac:dyDescent="0.55000000000000004">
      <c r="A131" s="27"/>
      <c r="B131" s="31"/>
      <c r="C131" s="27"/>
      <c r="D131" s="26"/>
      <c r="E131" s="26"/>
      <c r="F131">
        <v>80362</v>
      </c>
      <c r="G131" t="s">
        <v>489</v>
      </c>
      <c r="H131" t="s">
        <v>45</v>
      </c>
      <c r="I131" t="s">
        <v>46</v>
      </c>
      <c r="J131" t="s">
        <v>47</v>
      </c>
      <c r="L131" t="b">
        <f t="shared" ref="L131:L194" si="14">IF(TRIM($B$3)="",TRUE,ISNUMBER(SEARCH(TRIM(MID(SUBSTITUTE($B$3," ",REPT(" ",100)),1,100)),G131)))</f>
        <v>0</v>
      </c>
      <c r="M131" t="b">
        <f t="shared" ref="M131:M194" si="15">IF(LEN(TRIM($B$3))-LEN(SUBSTITUTE(TRIM($B$3)," ",""))&lt;1,TRUE,ISNUMBER(SEARCH(TRIM(MID(SUBSTITUTE($B$3," ",REPT(" ",100)),101,100)),G131)))</f>
        <v>0</v>
      </c>
      <c r="N131" t="b">
        <f t="shared" ref="N131:N194" si="16">IF(LEN(TRIM($B$3))-LEN(SUBSTITUTE(TRIM($B$3)," ",""))&lt;2,TRUE,ISNUMBER(SEARCH(TRIM(MID(SUBSTITUTE($B$3," ",REPT(" ",100)),201,100)),G131)))</f>
        <v>0</v>
      </c>
      <c r="O131" t="b">
        <f t="shared" ref="O131:O194" si="17">IF(LEN(TRIM($B$3))-LEN(SUBSTITUTE(TRIM($B$3)," ",""))&lt;3,TRUE,ISNUMBER(SEARCH(TRIM(MID(SUBSTITUTE($B$3," ",REPT(" ",100)),301,100)),G131)))</f>
        <v>0</v>
      </c>
      <c r="P131">
        <f t="shared" ref="P131:P194" si="18">L131*M131*N131*O131</f>
        <v>0</v>
      </c>
      <c r="Q131" t="b">
        <f t="shared" ref="Q131:Q194" si="19">IF(OR(TRIM($B$2)="",$B$2="(Todos)"),TRUE,EXACT(I131,$B$2))</f>
        <v>1</v>
      </c>
      <c r="R131">
        <f t="shared" ref="R131:R194" si="20">P131*Q131</f>
        <v>0</v>
      </c>
    </row>
    <row r="132" spans="1:18" ht="19.5" x14ac:dyDescent="0.55000000000000004">
      <c r="A132" s="27"/>
      <c r="B132" s="31"/>
      <c r="C132" s="27"/>
      <c r="D132" s="26"/>
      <c r="E132" s="26"/>
      <c r="F132">
        <v>90362</v>
      </c>
      <c r="G132" t="s">
        <v>492</v>
      </c>
      <c r="H132" t="s">
        <v>45</v>
      </c>
      <c r="I132" t="s">
        <v>46</v>
      </c>
      <c r="J132" t="s">
        <v>47</v>
      </c>
      <c r="L132" t="b">
        <f t="shared" si="14"/>
        <v>0</v>
      </c>
      <c r="M132" t="b">
        <f t="shared" si="15"/>
        <v>0</v>
      </c>
      <c r="N132" t="b">
        <f t="shared" si="16"/>
        <v>0</v>
      </c>
      <c r="O132" t="b">
        <f t="shared" si="17"/>
        <v>0</v>
      </c>
      <c r="P132">
        <f t="shared" si="18"/>
        <v>0</v>
      </c>
      <c r="Q132" t="b">
        <f t="shared" si="19"/>
        <v>1</v>
      </c>
      <c r="R132">
        <f t="shared" si="20"/>
        <v>0</v>
      </c>
    </row>
    <row r="133" spans="1:18" ht="19.5" x14ac:dyDescent="0.55000000000000004">
      <c r="A133" s="27"/>
      <c r="B133" s="31"/>
      <c r="C133" s="27"/>
      <c r="D133" s="26"/>
      <c r="E133" s="26"/>
      <c r="F133">
        <v>4810</v>
      </c>
      <c r="G133" t="s">
        <v>494</v>
      </c>
      <c r="H133" t="s">
        <v>45</v>
      </c>
      <c r="I133" t="s">
        <v>448</v>
      </c>
      <c r="J133" t="s">
        <v>449</v>
      </c>
      <c r="L133" t="b">
        <f t="shared" si="14"/>
        <v>0</v>
      </c>
      <c r="M133" t="b">
        <f t="shared" si="15"/>
        <v>0</v>
      </c>
      <c r="N133" t="b">
        <f t="shared" si="16"/>
        <v>0</v>
      </c>
      <c r="O133" t="b">
        <f t="shared" si="17"/>
        <v>0</v>
      </c>
      <c r="P133">
        <f t="shared" si="18"/>
        <v>0</v>
      </c>
      <c r="Q133" t="b">
        <f t="shared" si="19"/>
        <v>1</v>
      </c>
      <c r="R133">
        <f t="shared" si="20"/>
        <v>0</v>
      </c>
    </row>
    <row r="134" spans="1:18" ht="19.5" x14ac:dyDescent="0.55000000000000004">
      <c r="A134" s="27"/>
      <c r="B134" s="31"/>
      <c r="C134" s="27"/>
      <c r="D134" s="26"/>
      <c r="E134" s="26"/>
      <c r="F134">
        <v>9810</v>
      </c>
      <c r="G134" t="s">
        <v>496</v>
      </c>
      <c r="H134" t="s">
        <v>45</v>
      </c>
      <c r="I134" t="s">
        <v>448</v>
      </c>
      <c r="J134" t="s">
        <v>449</v>
      </c>
      <c r="L134" t="b">
        <f t="shared" si="14"/>
        <v>0</v>
      </c>
      <c r="M134" t="b">
        <f t="shared" si="15"/>
        <v>0</v>
      </c>
      <c r="N134" t="b">
        <f t="shared" si="16"/>
        <v>0</v>
      </c>
      <c r="O134" t="b">
        <f t="shared" si="17"/>
        <v>0</v>
      </c>
      <c r="P134">
        <f t="shared" si="18"/>
        <v>0</v>
      </c>
      <c r="Q134" t="b">
        <f t="shared" si="19"/>
        <v>1</v>
      </c>
      <c r="R134">
        <f t="shared" si="20"/>
        <v>0</v>
      </c>
    </row>
    <row r="135" spans="1:18" ht="19.5" x14ac:dyDescent="0.55000000000000004">
      <c r="A135" s="27"/>
      <c r="B135" s="31"/>
      <c r="C135" s="27"/>
      <c r="D135" s="26"/>
      <c r="E135" s="26"/>
      <c r="F135">
        <v>80363</v>
      </c>
      <c r="G135" t="s">
        <v>498</v>
      </c>
      <c r="H135" t="s">
        <v>45</v>
      </c>
      <c r="I135" t="s">
        <v>46</v>
      </c>
      <c r="J135" t="s">
        <v>47</v>
      </c>
      <c r="L135" t="b">
        <f t="shared" si="14"/>
        <v>0</v>
      </c>
      <c r="M135" t="b">
        <f t="shared" si="15"/>
        <v>0</v>
      </c>
      <c r="N135" t="b">
        <f t="shared" si="16"/>
        <v>0</v>
      </c>
      <c r="O135" t="b">
        <f t="shared" si="17"/>
        <v>0</v>
      </c>
      <c r="P135">
        <f t="shared" si="18"/>
        <v>0</v>
      </c>
      <c r="Q135" t="b">
        <f t="shared" si="19"/>
        <v>1</v>
      </c>
      <c r="R135">
        <f t="shared" si="20"/>
        <v>0</v>
      </c>
    </row>
    <row r="136" spans="1:18" ht="19.5" x14ac:dyDescent="0.55000000000000004">
      <c r="A136" s="27"/>
      <c r="B136" s="31"/>
      <c r="C136" s="27"/>
      <c r="D136" s="26"/>
      <c r="E136" s="26"/>
      <c r="F136">
        <v>90363</v>
      </c>
      <c r="G136" t="s">
        <v>501</v>
      </c>
      <c r="H136" t="s">
        <v>45</v>
      </c>
      <c r="I136" t="s">
        <v>46</v>
      </c>
      <c r="J136" t="s">
        <v>47</v>
      </c>
      <c r="L136" t="b">
        <f t="shared" si="14"/>
        <v>0</v>
      </c>
      <c r="M136" t="b">
        <f t="shared" si="15"/>
        <v>0</v>
      </c>
      <c r="N136" t="b">
        <f t="shared" si="16"/>
        <v>0</v>
      </c>
      <c r="O136" t="b">
        <f t="shared" si="17"/>
        <v>0</v>
      </c>
      <c r="P136">
        <f t="shared" si="18"/>
        <v>0</v>
      </c>
      <c r="Q136" t="b">
        <f t="shared" si="19"/>
        <v>1</v>
      </c>
      <c r="R136">
        <f t="shared" si="20"/>
        <v>0</v>
      </c>
    </row>
    <row r="137" spans="1:18" ht="19.5" x14ac:dyDescent="0.55000000000000004">
      <c r="A137" s="27"/>
      <c r="B137" s="31"/>
      <c r="C137" s="27"/>
      <c r="D137" s="26"/>
      <c r="E137" s="26"/>
      <c r="F137">
        <v>4811</v>
      </c>
      <c r="G137" t="s">
        <v>503</v>
      </c>
      <c r="H137" t="s">
        <v>45</v>
      </c>
      <c r="I137" t="s">
        <v>448</v>
      </c>
      <c r="J137" t="s">
        <v>449</v>
      </c>
      <c r="L137" t="b">
        <f t="shared" si="14"/>
        <v>0</v>
      </c>
      <c r="M137" t="b">
        <f t="shared" si="15"/>
        <v>0</v>
      </c>
      <c r="N137" t="b">
        <f t="shared" si="16"/>
        <v>0</v>
      </c>
      <c r="O137" t="b">
        <f t="shared" si="17"/>
        <v>0</v>
      </c>
      <c r="P137">
        <f t="shared" si="18"/>
        <v>0</v>
      </c>
      <c r="Q137" t="b">
        <f t="shared" si="19"/>
        <v>1</v>
      </c>
      <c r="R137">
        <f t="shared" si="20"/>
        <v>0</v>
      </c>
    </row>
    <row r="138" spans="1:18" ht="19.5" x14ac:dyDescent="0.55000000000000004">
      <c r="A138" s="27"/>
      <c r="B138" s="31"/>
      <c r="C138" s="27"/>
      <c r="D138" s="26"/>
      <c r="E138" s="26"/>
      <c r="F138">
        <v>9811</v>
      </c>
      <c r="G138" t="s">
        <v>505</v>
      </c>
      <c r="H138" t="s">
        <v>45</v>
      </c>
      <c r="I138" t="s">
        <v>448</v>
      </c>
      <c r="J138" t="s">
        <v>449</v>
      </c>
      <c r="L138" t="b">
        <f t="shared" si="14"/>
        <v>0</v>
      </c>
      <c r="M138" t="b">
        <f t="shared" si="15"/>
        <v>0</v>
      </c>
      <c r="N138" t="b">
        <f t="shared" si="16"/>
        <v>0</v>
      </c>
      <c r="O138" t="b">
        <f t="shared" si="17"/>
        <v>0</v>
      </c>
      <c r="P138">
        <f t="shared" si="18"/>
        <v>0</v>
      </c>
      <c r="Q138" t="b">
        <f t="shared" si="19"/>
        <v>1</v>
      </c>
      <c r="R138">
        <f t="shared" si="20"/>
        <v>0</v>
      </c>
    </row>
    <row r="139" spans="1:18" ht="19.5" x14ac:dyDescent="0.55000000000000004">
      <c r="A139" s="27"/>
      <c r="B139" s="31"/>
      <c r="C139" s="27"/>
      <c r="D139" s="26"/>
      <c r="E139" s="26"/>
      <c r="F139">
        <v>80359</v>
      </c>
      <c r="G139" t="s">
        <v>507</v>
      </c>
      <c r="H139" t="s">
        <v>54</v>
      </c>
      <c r="I139" t="s">
        <v>46</v>
      </c>
      <c r="J139" t="s">
        <v>449</v>
      </c>
      <c r="L139" t="b">
        <f t="shared" si="14"/>
        <v>0</v>
      </c>
      <c r="M139" t="b">
        <f t="shared" si="15"/>
        <v>0</v>
      </c>
      <c r="N139" t="b">
        <f t="shared" si="16"/>
        <v>0</v>
      </c>
      <c r="O139" t="b">
        <f t="shared" si="17"/>
        <v>0</v>
      </c>
      <c r="P139">
        <f t="shared" si="18"/>
        <v>0</v>
      </c>
      <c r="Q139" t="b">
        <f t="shared" si="19"/>
        <v>1</v>
      </c>
      <c r="R139">
        <f t="shared" si="20"/>
        <v>0</v>
      </c>
    </row>
    <row r="140" spans="1:18" ht="19.5" x14ac:dyDescent="0.55000000000000004">
      <c r="A140" s="27"/>
      <c r="B140" s="31"/>
      <c r="C140" s="27"/>
      <c r="D140" s="26"/>
      <c r="E140" s="26"/>
      <c r="F140">
        <v>80352</v>
      </c>
      <c r="G140" t="s">
        <v>510</v>
      </c>
      <c r="H140" t="s">
        <v>75</v>
      </c>
      <c r="I140" t="s">
        <v>46</v>
      </c>
      <c r="J140" t="s">
        <v>511</v>
      </c>
      <c r="L140" t="b">
        <f t="shared" si="14"/>
        <v>0</v>
      </c>
      <c r="M140" t="b">
        <f t="shared" si="15"/>
        <v>0</v>
      </c>
      <c r="N140" t="b">
        <f t="shared" si="16"/>
        <v>0</v>
      </c>
      <c r="O140" t="b">
        <f t="shared" si="17"/>
        <v>0</v>
      </c>
      <c r="P140">
        <f t="shared" si="18"/>
        <v>0</v>
      </c>
      <c r="Q140" t="b">
        <f t="shared" si="19"/>
        <v>1</v>
      </c>
      <c r="R140">
        <f t="shared" si="20"/>
        <v>0</v>
      </c>
    </row>
    <row r="141" spans="1:18" ht="19.5" x14ac:dyDescent="0.55000000000000004">
      <c r="A141" s="27"/>
      <c r="B141" s="31"/>
      <c r="C141" s="27"/>
      <c r="D141" s="26"/>
      <c r="E141" s="26"/>
      <c r="F141">
        <v>4705</v>
      </c>
      <c r="G141" t="s">
        <v>514</v>
      </c>
      <c r="H141" t="s">
        <v>54</v>
      </c>
      <c r="I141" t="s">
        <v>419</v>
      </c>
      <c r="L141" t="b">
        <f t="shared" si="14"/>
        <v>0</v>
      </c>
      <c r="M141" t="b">
        <f t="shared" si="15"/>
        <v>0</v>
      </c>
      <c r="N141" t="b">
        <f t="shared" si="16"/>
        <v>0</v>
      </c>
      <c r="O141" t="b">
        <f t="shared" si="17"/>
        <v>0</v>
      </c>
      <c r="P141">
        <f t="shared" si="18"/>
        <v>0</v>
      </c>
      <c r="Q141" t="b">
        <f t="shared" si="19"/>
        <v>1</v>
      </c>
      <c r="R141">
        <f t="shared" si="20"/>
        <v>0</v>
      </c>
    </row>
    <row r="142" spans="1:18" ht="19.5" x14ac:dyDescent="0.55000000000000004">
      <c r="A142" s="27"/>
      <c r="B142" s="31"/>
      <c r="C142" s="27"/>
      <c r="D142" s="26"/>
      <c r="E142" s="26"/>
      <c r="F142">
        <v>4708</v>
      </c>
      <c r="G142" t="s">
        <v>517</v>
      </c>
      <c r="H142" t="s">
        <v>54</v>
      </c>
      <c r="I142" t="s">
        <v>419</v>
      </c>
      <c r="L142" t="b">
        <f t="shared" si="14"/>
        <v>0</v>
      </c>
      <c r="M142" t="b">
        <f t="shared" si="15"/>
        <v>0</v>
      </c>
      <c r="N142" t="b">
        <f t="shared" si="16"/>
        <v>0</v>
      </c>
      <c r="O142" t="b">
        <f t="shared" si="17"/>
        <v>0</v>
      </c>
      <c r="P142">
        <f t="shared" si="18"/>
        <v>0</v>
      </c>
      <c r="Q142" t="b">
        <f t="shared" si="19"/>
        <v>1</v>
      </c>
      <c r="R142">
        <f t="shared" si="20"/>
        <v>0</v>
      </c>
    </row>
    <row r="143" spans="1:18" ht="19.5" x14ac:dyDescent="0.55000000000000004">
      <c r="A143" s="27"/>
      <c r="B143" s="31"/>
      <c r="C143" s="27"/>
      <c r="D143" s="26"/>
      <c r="E143" s="26"/>
      <c r="F143">
        <v>4869</v>
      </c>
      <c r="G143" t="s">
        <v>520</v>
      </c>
      <c r="H143" t="s">
        <v>34</v>
      </c>
      <c r="I143" t="s">
        <v>218</v>
      </c>
      <c r="J143" t="s">
        <v>76</v>
      </c>
      <c r="L143" t="b">
        <f t="shared" si="14"/>
        <v>0</v>
      </c>
      <c r="M143" t="b">
        <f t="shared" si="15"/>
        <v>0</v>
      </c>
      <c r="N143" t="b">
        <f t="shared" si="16"/>
        <v>0</v>
      </c>
      <c r="O143" t="b">
        <f t="shared" si="17"/>
        <v>0</v>
      </c>
      <c r="P143">
        <f t="shared" si="18"/>
        <v>0</v>
      </c>
      <c r="Q143" t="b">
        <f t="shared" si="19"/>
        <v>1</v>
      </c>
      <c r="R143">
        <f t="shared" si="20"/>
        <v>0</v>
      </c>
    </row>
    <row r="144" spans="1:18" ht="19.5" x14ac:dyDescent="0.55000000000000004">
      <c r="A144" s="27"/>
      <c r="B144" s="31"/>
      <c r="C144" s="27"/>
      <c r="D144" s="26"/>
      <c r="E144" s="26"/>
      <c r="F144">
        <v>4723</v>
      </c>
      <c r="G144" t="s">
        <v>524</v>
      </c>
      <c r="H144" t="s">
        <v>34</v>
      </c>
      <c r="I144" t="s">
        <v>525</v>
      </c>
      <c r="L144" t="b">
        <f t="shared" si="14"/>
        <v>0</v>
      </c>
      <c r="M144" t="b">
        <f t="shared" si="15"/>
        <v>0</v>
      </c>
      <c r="N144" t="b">
        <f t="shared" si="16"/>
        <v>0</v>
      </c>
      <c r="O144" t="b">
        <f t="shared" si="17"/>
        <v>0</v>
      </c>
      <c r="P144">
        <f t="shared" si="18"/>
        <v>0</v>
      </c>
      <c r="Q144" t="b">
        <f t="shared" si="19"/>
        <v>1</v>
      </c>
      <c r="R144">
        <f t="shared" si="20"/>
        <v>0</v>
      </c>
    </row>
    <row r="145" spans="1:18" ht="19.5" x14ac:dyDescent="0.55000000000000004">
      <c r="A145" s="27"/>
      <c r="B145" s="31"/>
      <c r="C145" s="27"/>
      <c r="D145" s="26"/>
      <c r="E145" s="26"/>
      <c r="F145">
        <v>80021</v>
      </c>
      <c r="G145" t="s">
        <v>529</v>
      </c>
      <c r="H145" t="s">
        <v>34</v>
      </c>
      <c r="I145" t="s">
        <v>83</v>
      </c>
      <c r="J145" t="s">
        <v>530</v>
      </c>
      <c r="L145" t="b">
        <f t="shared" si="14"/>
        <v>0</v>
      </c>
      <c r="M145" t="b">
        <f t="shared" si="15"/>
        <v>0</v>
      </c>
      <c r="N145" t="b">
        <f t="shared" si="16"/>
        <v>0</v>
      </c>
      <c r="O145" t="b">
        <f t="shared" si="17"/>
        <v>0</v>
      </c>
      <c r="P145">
        <f t="shared" si="18"/>
        <v>0</v>
      </c>
      <c r="Q145" t="b">
        <f t="shared" si="19"/>
        <v>1</v>
      </c>
      <c r="R145">
        <f t="shared" si="20"/>
        <v>0</v>
      </c>
    </row>
    <row r="146" spans="1:18" ht="19.5" x14ac:dyDescent="0.55000000000000004">
      <c r="A146" s="27"/>
      <c r="B146" s="31"/>
      <c r="C146" s="27"/>
      <c r="D146" s="26"/>
      <c r="E146" s="26"/>
      <c r="F146">
        <v>80369</v>
      </c>
      <c r="G146" t="s">
        <v>536</v>
      </c>
      <c r="H146" t="s">
        <v>365</v>
      </c>
      <c r="I146" t="s">
        <v>46</v>
      </c>
      <c r="J146" t="s">
        <v>47</v>
      </c>
      <c r="L146" t="b">
        <f t="shared" si="14"/>
        <v>0</v>
      </c>
      <c r="M146" t="b">
        <f t="shared" si="15"/>
        <v>1</v>
      </c>
      <c r="N146" t="b">
        <f t="shared" si="16"/>
        <v>0</v>
      </c>
      <c r="O146" t="b">
        <f t="shared" si="17"/>
        <v>0</v>
      </c>
      <c r="P146">
        <f t="shared" si="18"/>
        <v>0</v>
      </c>
      <c r="Q146" t="b">
        <f t="shared" si="19"/>
        <v>1</v>
      </c>
      <c r="R146">
        <f t="shared" si="20"/>
        <v>0</v>
      </c>
    </row>
    <row r="147" spans="1:18" ht="19.5" x14ac:dyDescent="0.55000000000000004">
      <c r="A147" s="27"/>
      <c r="B147" s="31"/>
      <c r="C147" s="27"/>
      <c r="D147" s="26"/>
      <c r="E147" s="26"/>
      <c r="F147">
        <v>4819</v>
      </c>
      <c r="G147" t="s">
        <v>539</v>
      </c>
      <c r="H147" t="s">
        <v>540</v>
      </c>
      <c r="I147" t="s">
        <v>448</v>
      </c>
      <c r="J147" t="s">
        <v>530</v>
      </c>
      <c r="L147" t="b">
        <f t="shared" si="14"/>
        <v>0</v>
      </c>
      <c r="M147" t="b">
        <f t="shared" si="15"/>
        <v>1</v>
      </c>
      <c r="N147" t="b">
        <f t="shared" si="16"/>
        <v>0</v>
      </c>
      <c r="O147" t="b">
        <f t="shared" si="17"/>
        <v>0</v>
      </c>
      <c r="P147">
        <f t="shared" si="18"/>
        <v>0</v>
      </c>
      <c r="Q147" t="b">
        <f t="shared" si="19"/>
        <v>1</v>
      </c>
      <c r="R147">
        <f t="shared" si="20"/>
        <v>0</v>
      </c>
    </row>
    <row r="148" spans="1:18" ht="19.5" x14ac:dyDescent="0.55000000000000004">
      <c r="A148" s="27"/>
      <c r="B148" s="31"/>
      <c r="C148" s="27"/>
      <c r="D148" s="26"/>
      <c r="E148" s="26"/>
      <c r="F148">
        <v>4817</v>
      </c>
      <c r="G148" t="s">
        <v>543</v>
      </c>
      <c r="H148" t="s">
        <v>540</v>
      </c>
      <c r="I148" t="s">
        <v>448</v>
      </c>
      <c r="J148" t="s">
        <v>530</v>
      </c>
      <c r="L148" t="b">
        <f t="shared" si="14"/>
        <v>0</v>
      </c>
      <c r="M148" t="b">
        <f t="shared" si="15"/>
        <v>1</v>
      </c>
      <c r="N148" t="b">
        <f t="shared" si="16"/>
        <v>0</v>
      </c>
      <c r="O148" t="b">
        <f t="shared" si="17"/>
        <v>0</v>
      </c>
      <c r="P148">
        <f t="shared" si="18"/>
        <v>0</v>
      </c>
      <c r="Q148" t="b">
        <f t="shared" si="19"/>
        <v>1</v>
      </c>
      <c r="R148">
        <f t="shared" si="20"/>
        <v>0</v>
      </c>
    </row>
    <row r="149" spans="1:18" ht="19.5" x14ac:dyDescent="0.55000000000000004">
      <c r="A149" s="27"/>
      <c r="B149" s="31"/>
      <c r="C149" s="27"/>
      <c r="D149" s="26"/>
      <c r="E149" s="26"/>
      <c r="F149">
        <v>4943</v>
      </c>
      <c r="G149" t="s">
        <v>546</v>
      </c>
      <c r="H149" t="s">
        <v>75</v>
      </c>
      <c r="I149" t="s">
        <v>67</v>
      </c>
      <c r="J149" t="s">
        <v>547</v>
      </c>
      <c r="L149" t="b">
        <f t="shared" si="14"/>
        <v>0</v>
      </c>
      <c r="M149" t="b">
        <f t="shared" si="15"/>
        <v>1</v>
      </c>
      <c r="N149" t="b">
        <f t="shared" si="16"/>
        <v>0</v>
      </c>
      <c r="O149" t="b">
        <f t="shared" si="17"/>
        <v>0</v>
      </c>
      <c r="P149">
        <f t="shared" si="18"/>
        <v>0</v>
      </c>
      <c r="Q149" t="b">
        <f t="shared" si="19"/>
        <v>1</v>
      </c>
      <c r="R149">
        <f t="shared" si="20"/>
        <v>0</v>
      </c>
    </row>
    <row r="150" spans="1:18" ht="19.5" x14ac:dyDescent="0.55000000000000004">
      <c r="A150" s="27"/>
      <c r="B150" s="31"/>
      <c r="C150" s="27"/>
      <c r="D150" s="26"/>
      <c r="E150" s="26"/>
      <c r="F150">
        <v>4941</v>
      </c>
      <c r="G150" t="s">
        <v>550</v>
      </c>
      <c r="H150" t="s">
        <v>75</v>
      </c>
      <c r="I150" t="s">
        <v>67</v>
      </c>
      <c r="J150" t="s">
        <v>547</v>
      </c>
      <c r="L150" t="b">
        <f t="shared" si="14"/>
        <v>0</v>
      </c>
      <c r="M150" t="b">
        <f t="shared" si="15"/>
        <v>1</v>
      </c>
      <c r="N150" t="b">
        <f t="shared" si="16"/>
        <v>0</v>
      </c>
      <c r="O150" t="b">
        <f t="shared" si="17"/>
        <v>0</v>
      </c>
      <c r="P150">
        <f t="shared" si="18"/>
        <v>0</v>
      </c>
      <c r="Q150" t="b">
        <f t="shared" si="19"/>
        <v>1</v>
      </c>
      <c r="R150">
        <f t="shared" si="20"/>
        <v>0</v>
      </c>
    </row>
    <row r="151" spans="1:18" ht="19.5" x14ac:dyDescent="0.55000000000000004">
      <c r="A151" s="27"/>
      <c r="B151" s="31"/>
      <c r="C151" s="27"/>
      <c r="D151" s="26"/>
      <c r="E151" s="26"/>
      <c r="F151">
        <v>80030</v>
      </c>
      <c r="G151" t="s">
        <v>553</v>
      </c>
      <c r="H151" t="s">
        <v>34</v>
      </c>
      <c r="I151" t="s">
        <v>218</v>
      </c>
      <c r="J151" t="s">
        <v>260</v>
      </c>
      <c r="L151" t="b">
        <f t="shared" si="14"/>
        <v>0</v>
      </c>
      <c r="M151" t="b">
        <f t="shared" si="15"/>
        <v>1</v>
      </c>
      <c r="N151" t="b">
        <f t="shared" si="16"/>
        <v>0</v>
      </c>
      <c r="O151" t="b">
        <f t="shared" si="17"/>
        <v>0</v>
      </c>
      <c r="P151">
        <f t="shared" si="18"/>
        <v>0</v>
      </c>
      <c r="Q151" t="b">
        <f t="shared" si="19"/>
        <v>1</v>
      </c>
      <c r="R151">
        <f t="shared" si="20"/>
        <v>0</v>
      </c>
    </row>
    <row r="152" spans="1:18" ht="19.5" x14ac:dyDescent="0.55000000000000004">
      <c r="A152" s="27"/>
      <c r="B152" s="31"/>
      <c r="C152" s="27"/>
      <c r="D152" s="26"/>
      <c r="E152" s="26"/>
      <c r="F152">
        <v>4858</v>
      </c>
      <c r="G152" t="s">
        <v>556</v>
      </c>
      <c r="H152" t="s">
        <v>34</v>
      </c>
      <c r="I152" t="s">
        <v>218</v>
      </c>
      <c r="J152" t="s">
        <v>260</v>
      </c>
      <c r="L152" t="b">
        <f t="shared" si="14"/>
        <v>0</v>
      </c>
      <c r="M152" t="b">
        <f t="shared" si="15"/>
        <v>1</v>
      </c>
      <c r="N152" t="b">
        <f t="shared" si="16"/>
        <v>0</v>
      </c>
      <c r="O152" t="b">
        <f t="shared" si="17"/>
        <v>0</v>
      </c>
      <c r="P152">
        <f t="shared" si="18"/>
        <v>0</v>
      </c>
      <c r="Q152" t="b">
        <f t="shared" si="19"/>
        <v>1</v>
      </c>
      <c r="R152">
        <f t="shared" si="20"/>
        <v>0</v>
      </c>
    </row>
    <row r="153" spans="1:18" ht="19.5" x14ac:dyDescent="0.55000000000000004">
      <c r="A153" s="27"/>
      <c r="B153" s="31"/>
      <c r="C153" s="27"/>
      <c r="D153" s="26"/>
      <c r="E153" s="26"/>
      <c r="F153">
        <v>4691</v>
      </c>
      <c r="G153" t="s">
        <v>558</v>
      </c>
      <c r="H153" t="s">
        <v>540</v>
      </c>
      <c r="I153" t="s">
        <v>419</v>
      </c>
      <c r="J153" t="s">
        <v>559</v>
      </c>
      <c r="L153" t="b">
        <f t="shared" si="14"/>
        <v>0</v>
      </c>
      <c r="M153" t="b">
        <f t="shared" si="15"/>
        <v>0</v>
      </c>
      <c r="N153" t="b">
        <f t="shared" si="16"/>
        <v>0</v>
      </c>
      <c r="O153" t="b">
        <f t="shared" si="17"/>
        <v>0</v>
      </c>
      <c r="P153">
        <f t="shared" si="18"/>
        <v>0</v>
      </c>
      <c r="Q153" t="b">
        <f t="shared" si="19"/>
        <v>1</v>
      </c>
      <c r="R153">
        <f t="shared" si="20"/>
        <v>0</v>
      </c>
    </row>
    <row r="154" spans="1:18" ht="19.5" x14ac:dyDescent="0.55000000000000004">
      <c r="A154" s="27"/>
      <c r="B154" s="31"/>
      <c r="C154" s="27"/>
      <c r="D154" s="26"/>
      <c r="E154" s="26"/>
      <c r="F154">
        <v>4951</v>
      </c>
      <c r="G154" t="s">
        <v>562</v>
      </c>
      <c r="H154" t="s">
        <v>75</v>
      </c>
      <c r="I154" t="s">
        <v>67</v>
      </c>
      <c r="J154" t="s">
        <v>252</v>
      </c>
      <c r="L154" t="b">
        <f t="shared" si="14"/>
        <v>0</v>
      </c>
      <c r="M154" t="b">
        <f t="shared" si="15"/>
        <v>0</v>
      </c>
      <c r="N154" t="b">
        <f t="shared" si="16"/>
        <v>0</v>
      </c>
      <c r="O154" t="b">
        <f t="shared" si="17"/>
        <v>0</v>
      </c>
      <c r="P154">
        <f t="shared" si="18"/>
        <v>0</v>
      </c>
      <c r="Q154" t="b">
        <f t="shared" si="19"/>
        <v>1</v>
      </c>
      <c r="R154">
        <f t="shared" si="20"/>
        <v>0</v>
      </c>
    </row>
    <row r="155" spans="1:18" ht="19.5" x14ac:dyDescent="0.55000000000000004">
      <c r="A155" s="27"/>
      <c r="B155" s="31"/>
      <c r="C155" s="27"/>
      <c r="D155" s="26"/>
      <c r="E155" s="26"/>
      <c r="F155">
        <v>80024</v>
      </c>
      <c r="G155" t="s">
        <v>564</v>
      </c>
      <c r="H155" t="s">
        <v>34</v>
      </c>
      <c r="I155" t="s">
        <v>83</v>
      </c>
      <c r="J155" t="s">
        <v>565</v>
      </c>
      <c r="L155" t="b">
        <f t="shared" si="14"/>
        <v>0</v>
      </c>
      <c r="M155" t="b">
        <f t="shared" si="15"/>
        <v>0</v>
      </c>
      <c r="N155" t="b">
        <f t="shared" si="16"/>
        <v>0</v>
      </c>
      <c r="O155" t="b">
        <f t="shared" si="17"/>
        <v>0</v>
      </c>
      <c r="P155">
        <f t="shared" si="18"/>
        <v>0</v>
      </c>
      <c r="Q155" t="b">
        <f t="shared" si="19"/>
        <v>1</v>
      </c>
      <c r="R155">
        <f t="shared" si="20"/>
        <v>0</v>
      </c>
    </row>
    <row r="156" spans="1:18" ht="19.5" x14ac:dyDescent="0.55000000000000004">
      <c r="A156" s="27"/>
      <c r="B156" s="31"/>
      <c r="C156" s="27"/>
      <c r="D156" s="26"/>
      <c r="E156" s="26"/>
      <c r="F156">
        <v>80410</v>
      </c>
      <c r="G156" t="s">
        <v>568</v>
      </c>
      <c r="H156" t="s">
        <v>54</v>
      </c>
      <c r="I156" t="s">
        <v>525</v>
      </c>
      <c r="J156" t="s">
        <v>569</v>
      </c>
      <c r="L156" t="b">
        <f t="shared" si="14"/>
        <v>0</v>
      </c>
      <c r="M156" t="b">
        <f t="shared" si="15"/>
        <v>0</v>
      </c>
      <c r="N156" t="b">
        <f t="shared" si="16"/>
        <v>0</v>
      </c>
      <c r="O156" t="b">
        <f t="shared" si="17"/>
        <v>0</v>
      </c>
      <c r="P156">
        <f t="shared" si="18"/>
        <v>0</v>
      </c>
      <c r="Q156" t="b">
        <f t="shared" si="19"/>
        <v>1</v>
      </c>
      <c r="R156">
        <f t="shared" si="20"/>
        <v>0</v>
      </c>
    </row>
    <row r="157" spans="1:18" ht="19.5" x14ac:dyDescent="0.55000000000000004">
      <c r="A157" s="27"/>
      <c r="B157" s="31"/>
      <c r="C157" s="27"/>
      <c r="D157" s="26"/>
      <c r="E157" s="26"/>
      <c r="F157">
        <v>4776</v>
      </c>
      <c r="G157" t="s">
        <v>572</v>
      </c>
      <c r="H157" t="s">
        <v>54</v>
      </c>
      <c r="I157" t="s">
        <v>573</v>
      </c>
      <c r="L157" t="b">
        <f t="shared" si="14"/>
        <v>0</v>
      </c>
      <c r="M157" t="b">
        <f t="shared" si="15"/>
        <v>1</v>
      </c>
      <c r="N157" t="b">
        <f t="shared" si="16"/>
        <v>0</v>
      </c>
      <c r="O157" t="b">
        <f t="shared" si="17"/>
        <v>0</v>
      </c>
      <c r="P157">
        <f t="shared" si="18"/>
        <v>0</v>
      </c>
      <c r="Q157" t="b">
        <f t="shared" si="19"/>
        <v>1</v>
      </c>
      <c r="R157">
        <f t="shared" si="20"/>
        <v>0</v>
      </c>
    </row>
    <row r="158" spans="1:18" ht="19.5" x14ac:dyDescent="0.55000000000000004">
      <c r="A158" s="27"/>
      <c r="B158" s="31"/>
      <c r="C158" s="27"/>
      <c r="D158" s="26"/>
      <c r="E158" s="26"/>
      <c r="F158">
        <v>4700</v>
      </c>
      <c r="G158" t="s">
        <v>576</v>
      </c>
      <c r="H158" t="s">
        <v>54</v>
      </c>
      <c r="I158" t="s">
        <v>419</v>
      </c>
      <c r="L158" t="b">
        <f t="shared" si="14"/>
        <v>0</v>
      </c>
      <c r="M158" t="b">
        <f t="shared" si="15"/>
        <v>0</v>
      </c>
      <c r="N158" t="b">
        <f t="shared" si="16"/>
        <v>0</v>
      </c>
      <c r="O158" t="b">
        <f t="shared" si="17"/>
        <v>0</v>
      </c>
      <c r="P158">
        <f t="shared" si="18"/>
        <v>0</v>
      </c>
      <c r="Q158" t="b">
        <f t="shared" si="19"/>
        <v>1</v>
      </c>
      <c r="R158">
        <f t="shared" si="20"/>
        <v>0</v>
      </c>
    </row>
    <row r="159" spans="1:18" ht="19.5" x14ac:dyDescent="0.55000000000000004">
      <c r="A159" s="27"/>
      <c r="B159" s="31"/>
      <c r="C159" s="27"/>
      <c r="D159" s="26"/>
      <c r="E159" s="26"/>
      <c r="F159">
        <v>4759</v>
      </c>
      <c r="G159" t="s">
        <v>579</v>
      </c>
      <c r="H159" t="s">
        <v>580</v>
      </c>
      <c r="I159" t="s">
        <v>573</v>
      </c>
      <c r="L159" t="b">
        <f t="shared" si="14"/>
        <v>0</v>
      </c>
      <c r="M159" t="b">
        <f t="shared" si="15"/>
        <v>0</v>
      </c>
      <c r="N159" t="b">
        <f t="shared" si="16"/>
        <v>0</v>
      </c>
      <c r="O159" t="b">
        <f t="shared" si="17"/>
        <v>0</v>
      </c>
      <c r="P159">
        <f t="shared" si="18"/>
        <v>0</v>
      </c>
      <c r="Q159" t="b">
        <f t="shared" si="19"/>
        <v>1</v>
      </c>
      <c r="R159">
        <f t="shared" si="20"/>
        <v>0</v>
      </c>
    </row>
    <row r="160" spans="1:18" ht="19.5" x14ac:dyDescent="0.55000000000000004">
      <c r="A160" s="27"/>
      <c r="B160" s="31"/>
      <c r="C160" s="27"/>
      <c r="D160" s="26"/>
      <c r="E160" s="26"/>
      <c r="F160">
        <v>4772</v>
      </c>
      <c r="G160" t="s">
        <v>583</v>
      </c>
      <c r="H160" t="s">
        <v>580</v>
      </c>
      <c r="I160" t="s">
        <v>573</v>
      </c>
      <c r="L160" t="b">
        <f t="shared" si="14"/>
        <v>0</v>
      </c>
      <c r="M160" t="b">
        <f t="shared" si="15"/>
        <v>0</v>
      </c>
      <c r="N160" t="b">
        <f t="shared" si="16"/>
        <v>0</v>
      </c>
      <c r="O160" t="b">
        <f t="shared" si="17"/>
        <v>0</v>
      </c>
      <c r="P160">
        <f t="shared" si="18"/>
        <v>0</v>
      </c>
      <c r="Q160" t="b">
        <f t="shared" si="19"/>
        <v>1</v>
      </c>
      <c r="R160">
        <f t="shared" si="20"/>
        <v>0</v>
      </c>
    </row>
    <row r="161" spans="1:18" ht="19.5" x14ac:dyDescent="0.55000000000000004">
      <c r="A161" s="27"/>
      <c r="B161" s="31"/>
      <c r="C161" s="27"/>
      <c r="D161" s="26"/>
      <c r="E161" s="26"/>
      <c r="F161">
        <v>4768</v>
      </c>
      <c r="G161" t="s">
        <v>586</v>
      </c>
      <c r="H161" t="s">
        <v>580</v>
      </c>
      <c r="I161" t="s">
        <v>573</v>
      </c>
      <c r="L161" t="b">
        <f t="shared" si="14"/>
        <v>0</v>
      </c>
      <c r="M161" t="b">
        <f t="shared" si="15"/>
        <v>0</v>
      </c>
      <c r="N161" t="b">
        <f t="shared" si="16"/>
        <v>0</v>
      </c>
      <c r="O161" t="b">
        <f t="shared" si="17"/>
        <v>0</v>
      </c>
      <c r="P161">
        <f t="shared" si="18"/>
        <v>0</v>
      </c>
      <c r="Q161" t="b">
        <f t="shared" si="19"/>
        <v>1</v>
      </c>
      <c r="R161">
        <f t="shared" si="20"/>
        <v>0</v>
      </c>
    </row>
    <row r="162" spans="1:18" ht="19.5" x14ac:dyDescent="0.55000000000000004">
      <c r="A162" s="27"/>
      <c r="B162" s="31"/>
      <c r="C162" s="27"/>
      <c r="D162" s="26"/>
      <c r="E162" s="26"/>
      <c r="F162">
        <v>4769</v>
      </c>
      <c r="G162" t="s">
        <v>589</v>
      </c>
      <c r="H162" t="s">
        <v>580</v>
      </c>
      <c r="I162" t="s">
        <v>573</v>
      </c>
      <c r="L162" t="b">
        <f t="shared" si="14"/>
        <v>0</v>
      </c>
      <c r="M162" t="b">
        <f t="shared" si="15"/>
        <v>0</v>
      </c>
      <c r="N162" t="b">
        <f t="shared" si="16"/>
        <v>0</v>
      </c>
      <c r="O162" t="b">
        <f t="shared" si="17"/>
        <v>0</v>
      </c>
      <c r="P162">
        <f t="shared" si="18"/>
        <v>0</v>
      </c>
      <c r="Q162" t="b">
        <f t="shared" si="19"/>
        <v>1</v>
      </c>
      <c r="R162">
        <f t="shared" si="20"/>
        <v>0</v>
      </c>
    </row>
    <row r="163" spans="1:18" ht="19.5" x14ac:dyDescent="0.55000000000000004">
      <c r="A163" s="27"/>
      <c r="B163" s="31"/>
      <c r="C163" s="27"/>
      <c r="D163" s="26"/>
      <c r="E163" s="26"/>
      <c r="F163">
        <v>4773</v>
      </c>
      <c r="G163" t="s">
        <v>592</v>
      </c>
      <c r="H163" t="s">
        <v>54</v>
      </c>
      <c r="I163" t="s">
        <v>573</v>
      </c>
      <c r="L163" t="b">
        <f t="shared" si="14"/>
        <v>0</v>
      </c>
      <c r="M163" t="b">
        <f t="shared" si="15"/>
        <v>0</v>
      </c>
      <c r="N163" t="b">
        <f t="shared" si="16"/>
        <v>0</v>
      </c>
      <c r="O163" t="b">
        <f t="shared" si="17"/>
        <v>0</v>
      </c>
      <c r="P163">
        <f t="shared" si="18"/>
        <v>0</v>
      </c>
      <c r="Q163" t="b">
        <f t="shared" si="19"/>
        <v>1</v>
      </c>
      <c r="R163">
        <f t="shared" si="20"/>
        <v>0</v>
      </c>
    </row>
    <row r="164" spans="1:18" ht="19.5" x14ac:dyDescent="0.55000000000000004">
      <c r="A164" s="27"/>
      <c r="B164" s="31"/>
      <c r="C164" s="27"/>
      <c r="D164" s="26"/>
      <c r="E164" s="26"/>
      <c r="F164">
        <v>4775</v>
      </c>
      <c r="G164" t="s">
        <v>595</v>
      </c>
      <c r="H164" t="s">
        <v>54</v>
      </c>
      <c r="I164" t="s">
        <v>573</v>
      </c>
      <c r="L164" t="b">
        <f t="shared" si="14"/>
        <v>0</v>
      </c>
      <c r="M164" t="b">
        <f t="shared" si="15"/>
        <v>0</v>
      </c>
      <c r="N164" t="b">
        <f t="shared" si="16"/>
        <v>0</v>
      </c>
      <c r="O164" t="b">
        <f t="shared" si="17"/>
        <v>0</v>
      </c>
      <c r="P164">
        <f t="shared" si="18"/>
        <v>0</v>
      </c>
      <c r="Q164" t="b">
        <f t="shared" si="19"/>
        <v>1</v>
      </c>
      <c r="R164">
        <f t="shared" si="20"/>
        <v>0</v>
      </c>
    </row>
    <row r="165" spans="1:18" ht="19.5" x14ac:dyDescent="0.55000000000000004">
      <c r="A165" s="27"/>
      <c r="B165" s="31"/>
      <c r="C165" s="27"/>
      <c r="D165" s="26"/>
      <c r="E165" s="26"/>
      <c r="F165">
        <v>4770</v>
      </c>
      <c r="G165" t="s">
        <v>598</v>
      </c>
      <c r="H165" t="s">
        <v>580</v>
      </c>
      <c r="I165" t="s">
        <v>573</v>
      </c>
      <c r="L165" t="b">
        <f t="shared" si="14"/>
        <v>0</v>
      </c>
      <c r="M165" t="b">
        <f t="shared" si="15"/>
        <v>0</v>
      </c>
      <c r="N165" t="b">
        <f t="shared" si="16"/>
        <v>0</v>
      </c>
      <c r="O165" t="b">
        <f t="shared" si="17"/>
        <v>0</v>
      </c>
      <c r="P165">
        <f t="shared" si="18"/>
        <v>0</v>
      </c>
      <c r="Q165" t="b">
        <f t="shared" si="19"/>
        <v>1</v>
      </c>
      <c r="R165">
        <f t="shared" si="20"/>
        <v>0</v>
      </c>
    </row>
    <row r="166" spans="1:18" ht="19.5" x14ac:dyDescent="0.55000000000000004">
      <c r="A166" s="27"/>
      <c r="B166" s="31"/>
      <c r="C166" s="27"/>
      <c r="D166" s="26"/>
      <c r="E166" s="26"/>
      <c r="F166">
        <v>4692</v>
      </c>
      <c r="G166" t="s">
        <v>601</v>
      </c>
      <c r="H166" t="s">
        <v>54</v>
      </c>
      <c r="I166" t="s">
        <v>419</v>
      </c>
      <c r="L166" t="b">
        <f t="shared" si="14"/>
        <v>0</v>
      </c>
      <c r="M166" t="b">
        <f t="shared" si="15"/>
        <v>0</v>
      </c>
      <c r="N166" t="b">
        <f t="shared" si="16"/>
        <v>0</v>
      </c>
      <c r="O166" t="b">
        <f t="shared" si="17"/>
        <v>0</v>
      </c>
      <c r="P166">
        <f t="shared" si="18"/>
        <v>0</v>
      </c>
      <c r="Q166" t="b">
        <f t="shared" si="19"/>
        <v>1</v>
      </c>
      <c r="R166">
        <f t="shared" si="20"/>
        <v>0</v>
      </c>
    </row>
    <row r="167" spans="1:18" ht="19.5" x14ac:dyDescent="0.55000000000000004">
      <c r="A167" s="27"/>
      <c r="B167" s="31"/>
      <c r="C167" s="27"/>
      <c r="D167" s="26"/>
      <c r="E167" s="26"/>
      <c r="F167">
        <v>4738</v>
      </c>
      <c r="G167" t="s">
        <v>604</v>
      </c>
      <c r="H167" t="s">
        <v>54</v>
      </c>
      <c r="I167" t="s">
        <v>525</v>
      </c>
      <c r="J167" t="s">
        <v>605</v>
      </c>
      <c r="L167" t="b">
        <f t="shared" si="14"/>
        <v>0</v>
      </c>
      <c r="M167" t="b">
        <f t="shared" si="15"/>
        <v>0</v>
      </c>
      <c r="N167" t="b">
        <f t="shared" si="16"/>
        <v>0</v>
      </c>
      <c r="O167" t="b">
        <f t="shared" si="17"/>
        <v>0</v>
      </c>
      <c r="P167">
        <f t="shared" si="18"/>
        <v>0</v>
      </c>
      <c r="Q167" t="b">
        <f t="shared" si="19"/>
        <v>1</v>
      </c>
      <c r="R167">
        <f t="shared" si="20"/>
        <v>0</v>
      </c>
    </row>
    <row r="168" spans="1:18" ht="19.5" x14ac:dyDescent="0.55000000000000004">
      <c r="A168" s="27"/>
      <c r="B168" s="31"/>
      <c r="C168" s="27"/>
      <c r="D168" s="26"/>
      <c r="E168" s="26"/>
      <c r="F168">
        <v>4734</v>
      </c>
      <c r="G168" t="s">
        <v>608</v>
      </c>
      <c r="H168" t="s">
        <v>54</v>
      </c>
      <c r="I168" t="s">
        <v>525</v>
      </c>
      <c r="J168" t="s">
        <v>605</v>
      </c>
      <c r="L168" t="b">
        <f t="shared" si="14"/>
        <v>0</v>
      </c>
      <c r="M168" t="b">
        <f t="shared" si="15"/>
        <v>0</v>
      </c>
      <c r="N168" t="b">
        <f t="shared" si="16"/>
        <v>0</v>
      </c>
      <c r="O168" t="b">
        <f t="shared" si="17"/>
        <v>0</v>
      </c>
      <c r="P168">
        <f t="shared" si="18"/>
        <v>0</v>
      </c>
      <c r="Q168" t="b">
        <f t="shared" si="19"/>
        <v>1</v>
      </c>
      <c r="R168">
        <f t="shared" si="20"/>
        <v>0</v>
      </c>
    </row>
    <row r="169" spans="1:18" ht="19.5" x14ac:dyDescent="0.55000000000000004">
      <c r="A169" s="27"/>
      <c r="B169" s="31"/>
      <c r="C169" s="27"/>
      <c r="D169" s="26"/>
      <c r="E169" s="26"/>
      <c r="F169">
        <v>4995</v>
      </c>
      <c r="G169" t="s">
        <v>611</v>
      </c>
      <c r="H169" t="s">
        <v>111</v>
      </c>
      <c r="I169" t="s">
        <v>612</v>
      </c>
      <c r="J169" t="s">
        <v>613</v>
      </c>
      <c r="L169" t="b">
        <f t="shared" si="14"/>
        <v>0</v>
      </c>
      <c r="M169" t="b">
        <f t="shared" si="15"/>
        <v>0</v>
      </c>
      <c r="N169" t="b">
        <f t="shared" si="16"/>
        <v>0</v>
      </c>
      <c r="O169" t="b">
        <f t="shared" si="17"/>
        <v>0</v>
      </c>
      <c r="P169">
        <f t="shared" si="18"/>
        <v>0</v>
      </c>
      <c r="Q169" t="b">
        <f t="shared" si="19"/>
        <v>1</v>
      </c>
      <c r="R169">
        <f t="shared" si="20"/>
        <v>0</v>
      </c>
    </row>
    <row r="170" spans="1:18" ht="19.5" x14ac:dyDescent="0.55000000000000004">
      <c r="A170" s="27"/>
      <c r="B170" s="31"/>
      <c r="C170" s="27"/>
      <c r="D170" s="26"/>
      <c r="E170" s="26"/>
      <c r="F170">
        <v>4994</v>
      </c>
      <c r="G170" t="s">
        <v>616</v>
      </c>
      <c r="H170" t="s">
        <v>111</v>
      </c>
      <c r="I170" t="s">
        <v>612</v>
      </c>
      <c r="J170" t="s">
        <v>617</v>
      </c>
      <c r="L170" t="b">
        <f t="shared" si="14"/>
        <v>0</v>
      </c>
      <c r="M170" t="b">
        <f t="shared" si="15"/>
        <v>0</v>
      </c>
      <c r="N170" t="b">
        <f t="shared" si="16"/>
        <v>0</v>
      </c>
      <c r="O170" t="b">
        <f t="shared" si="17"/>
        <v>0</v>
      </c>
      <c r="P170">
        <f t="shared" si="18"/>
        <v>0</v>
      </c>
      <c r="Q170" t="b">
        <f t="shared" si="19"/>
        <v>1</v>
      </c>
      <c r="R170">
        <f t="shared" si="20"/>
        <v>0</v>
      </c>
    </row>
    <row r="171" spans="1:18" ht="19.5" x14ac:dyDescent="0.55000000000000004">
      <c r="A171" s="27"/>
      <c r="B171" s="31"/>
      <c r="C171" s="27"/>
      <c r="D171" s="26"/>
      <c r="E171" s="26"/>
      <c r="F171">
        <v>4828</v>
      </c>
      <c r="G171" t="s">
        <v>620</v>
      </c>
      <c r="H171" t="s">
        <v>75</v>
      </c>
      <c r="I171" t="s">
        <v>229</v>
      </c>
      <c r="J171" t="s">
        <v>621</v>
      </c>
      <c r="L171" t="b">
        <f t="shared" si="14"/>
        <v>0</v>
      </c>
      <c r="M171" t="b">
        <f t="shared" si="15"/>
        <v>1</v>
      </c>
      <c r="N171" t="b">
        <f t="shared" si="16"/>
        <v>0</v>
      </c>
      <c r="O171" t="b">
        <f t="shared" si="17"/>
        <v>0</v>
      </c>
      <c r="P171">
        <f t="shared" si="18"/>
        <v>0</v>
      </c>
      <c r="Q171" t="b">
        <f t="shared" si="19"/>
        <v>1</v>
      </c>
      <c r="R171">
        <f t="shared" si="20"/>
        <v>0</v>
      </c>
    </row>
    <row r="172" spans="1:18" ht="19.5" x14ac:dyDescent="0.55000000000000004">
      <c r="A172" s="27"/>
      <c r="B172" s="31"/>
      <c r="C172" s="27"/>
      <c r="D172" s="26"/>
      <c r="E172" s="26"/>
      <c r="F172">
        <v>4740</v>
      </c>
      <c r="G172" t="s">
        <v>624</v>
      </c>
      <c r="H172" t="s">
        <v>580</v>
      </c>
      <c r="I172" t="s">
        <v>573</v>
      </c>
      <c r="J172" t="s">
        <v>625</v>
      </c>
      <c r="L172" t="b">
        <f t="shared" si="14"/>
        <v>0</v>
      </c>
      <c r="M172" t="b">
        <f t="shared" si="15"/>
        <v>0</v>
      </c>
      <c r="N172" t="b">
        <f t="shared" si="16"/>
        <v>0</v>
      </c>
      <c r="O172" t="b">
        <f t="shared" si="17"/>
        <v>0</v>
      </c>
      <c r="P172">
        <f t="shared" si="18"/>
        <v>0</v>
      </c>
      <c r="Q172" t="b">
        <f t="shared" si="19"/>
        <v>1</v>
      </c>
      <c r="R172">
        <f t="shared" si="20"/>
        <v>0</v>
      </c>
    </row>
    <row r="173" spans="1:18" ht="19.5" x14ac:dyDescent="0.55000000000000004">
      <c r="A173" s="27"/>
      <c r="B173" s="31"/>
      <c r="C173" s="27"/>
      <c r="D173" s="26"/>
      <c r="E173" s="26"/>
      <c r="F173">
        <v>4690</v>
      </c>
      <c r="G173" t="s">
        <v>628</v>
      </c>
      <c r="H173" t="s">
        <v>54</v>
      </c>
      <c r="I173" t="s">
        <v>419</v>
      </c>
      <c r="J173" t="s">
        <v>559</v>
      </c>
      <c r="L173" t="b">
        <f t="shared" si="14"/>
        <v>0</v>
      </c>
      <c r="M173" t="b">
        <f t="shared" si="15"/>
        <v>0</v>
      </c>
      <c r="N173" t="b">
        <f t="shared" si="16"/>
        <v>0</v>
      </c>
      <c r="O173" t="b">
        <f t="shared" si="17"/>
        <v>0</v>
      </c>
      <c r="P173">
        <f t="shared" si="18"/>
        <v>0</v>
      </c>
      <c r="Q173" t="b">
        <f t="shared" si="19"/>
        <v>1</v>
      </c>
      <c r="R173">
        <f t="shared" si="20"/>
        <v>0</v>
      </c>
    </row>
    <row r="174" spans="1:18" ht="19.5" x14ac:dyDescent="0.55000000000000004">
      <c r="A174" s="27"/>
      <c r="B174" s="31"/>
      <c r="C174" s="27"/>
      <c r="D174" s="26"/>
      <c r="E174" s="26"/>
      <c r="F174">
        <v>4689</v>
      </c>
      <c r="G174" t="s">
        <v>631</v>
      </c>
      <c r="H174" t="s">
        <v>54</v>
      </c>
      <c r="I174" t="s">
        <v>419</v>
      </c>
      <c r="J174" t="s">
        <v>559</v>
      </c>
      <c r="L174" t="b">
        <f t="shared" si="14"/>
        <v>0</v>
      </c>
      <c r="M174" t="b">
        <f t="shared" si="15"/>
        <v>0</v>
      </c>
      <c r="N174" t="b">
        <f t="shared" si="16"/>
        <v>0</v>
      </c>
      <c r="O174" t="b">
        <f t="shared" si="17"/>
        <v>0</v>
      </c>
      <c r="P174">
        <f t="shared" si="18"/>
        <v>0</v>
      </c>
      <c r="Q174" t="b">
        <f t="shared" si="19"/>
        <v>1</v>
      </c>
      <c r="R174">
        <f t="shared" si="20"/>
        <v>0</v>
      </c>
    </row>
    <row r="175" spans="1:18" ht="19.5" x14ac:dyDescent="0.55000000000000004">
      <c r="A175" s="27"/>
      <c r="B175" s="31"/>
      <c r="C175" s="27"/>
      <c r="D175" s="26"/>
      <c r="E175" s="26"/>
      <c r="F175">
        <v>80289</v>
      </c>
      <c r="G175" t="s">
        <v>634</v>
      </c>
      <c r="H175" t="s">
        <v>54</v>
      </c>
      <c r="I175" t="s">
        <v>332</v>
      </c>
      <c r="L175" t="b">
        <f t="shared" si="14"/>
        <v>0</v>
      </c>
      <c r="M175" t="b">
        <f t="shared" si="15"/>
        <v>0</v>
      </c>
      <c r="N175" t="b">
        <f t="shared" si="16"/>
        <v>0</v>
      </c>
      <c r="O175" t="b">
        <f t="shared" si="17"/>
        <v>0</v>
      </c>
      <c r="P175">
        <f t="shared" si="18"/>
        <v>0</v>
      </c>
      <c r="Q175" t="b">
        <f t="shared" si="19"/>
        <v>1</v>
      </c>
      <c r="R175">
        <f t="shared" si="20"/>
        <v>0</v>
      </c>
    </row>
    <row r="176" spans="1:18" ht="19.5" x14ac:dyDescent="0.55000000000000004">
      <c r="A176" s="27"/>
      <c r="B176" s="31"/>
      <c r="C176" s="27"/>
      <c r="D176" s="26"/>
      <c r="E176" s="26"/>
      <c r="F176">
        <v>4712</v>
      </c>
      <c r="G176" t="s">
        <v>637</v>
      </c>
      <c r="H176" t="s">
        <v>54</v>
      </c>
      <c r="I176" t="s">
        <v>525</v>
      </c>
      <c r="J176" t="s">
        <v>605</v>
      </c>
      <c r="L176" t="b">
        <f t="shared" si="14"/>
        <v>0</v>
      </c>
      <c r="M176" t="b">
        <f t="shared" si="15"/>
        <v>0</v>
      </c>
      <c r="N176" t="b">
        <f t="shared" si="16"/>
        <v>0</v>
      </c>
      <c r="O176" t="b">
        <f t="shared" si="17"/>
        <v>0</v>
      </c>
      <c r="P176">
        <f t="shared" si="18"/>
        <v>0</v>
      </c>
      <c r="Q176" t="b">
        <f t="shared" si="19"/>
        <v>1</v>
      </c>
      <c r="R176">
        <f t="shared" si="20"/>
        <v>0</v>
      </c>
    </row>
    <row r="177" spans="1:18" ht="19.5" x14ac:dyDescent="0.55000000000000004">
      <c r="A177" s="27"/>
      <c r="B177" s="31"/>
      <c r="C177" s="27"/>
      <c r="D177" s="26"/>
      <c r="E177" s="26"/>
      <c r="F177">
        <v>4999</v>
      </c>
      <c r="G177" t="s">
        <v>640</v>
      </c>
      <c r="H177" t="s">
        <v>54</v>
      </c>
      <c r="I177" t="s">
        <v>612</v>
      </c>
      <c r="L177" t="b">
        <f t="shared" si="14"/>
        <v>0</v>
      </c>
      <c r="M177" t="b">
        <f t="shared" si="15"/>
        <v>0</v>
      </c>
      <c r="N177" t="b">
        <f t="shared" si="16"/>
        <v>0</v>
      </c>
      <c r="O177" t="b">
        <f t="shared" si="17"/>
        <v>0</v>
      </c>
      <c r="P177">
        <f t="shared" si="18"/>
        <v>0</v>
      </c>
      <c r="Q177" t="b">
        <f t="shared" si="19"/>
        <v>1</v>
      </c>
      <c r="R177">
        <f t="shared" si="20"/>
        <v>0</v>
      </c>
    </row>
    <row r="178" spans="1:18" ht="19.5" x14ac:dyDescent="0.55000000000000004">
      <c r="A178" s="27"/>
      <c r="B178" s="31"/>
      <c r="C178" s="27"/>
      <c r="D178" s="26"/>
      <c r="E178" s="26"/>
      <c r="F178">
        <v>80372</v>
      </c>
      <c r="G178" t="s">
        <v>643</v>
      </c>
      <c r="H178" t="s">
        <v>34</v>
      </c>
      <c r="I178" t="s">
        <v>46</v>
      </c>
      <c r="J178" t="s">
        <v>644</v>
      </c>
      <c r="L178" t="b">
        <f t="shared" si="14"/>
        <v>0</v>
      </c>
      <c r="M178" t="b">
        <f t="shared" si="15"/>
        <v>1</v>
      </c>
      <c r="N178" t="b">
        <f t="shared" si="16"/>
        <v>0</v>
      </c>
      <c r="O178" t="b">
        <f t="shared" si="17"/>
        <v>0</v>
      </c>
      <c r="P178">
        <f t="shared" si="18"/>
        <v>0</v>
      </c>
      <c r="Q178" t="b">
        <f t="shared" si="19"/>
        <v>1</v>
      </c>
      <c r="R178">
        <f t="shared" si="20"/>
        <v>0</v>
      </c>
    </row>
    <row r="179" spans="1:18" ht="19.5" x14ac:dyDescent="0.55000000000000004">
      <c r="A179" s="27"/>
      <c r="B179" s="31"/>
      <c r="C179" s="27"/>
      <c r="D179" s="26"/>
      <c r="E179" s="26"/>
      <c r="F179">
        <v>4797</v>
      </c>
      <c r="G179" t="s">
        <v>649</v>
      </c>
      <c r="H179" t="s">
        <v>34</v>
      </c>
      <c r="I179" t="s">
        <v>448</v>
      </c>
      <c r="J179" t="s">
        <v>644</v>
      </c>
      <c r="L179" t="b">
        <f t="shared" si="14"/>
        <v>0</v>
      </c>
      <c r="M179" t="b">
        <f t="shared" si="15"/>
        <v>1</v>
      </c>
      <c r="N179" t="b">
        <f t="shared" si="16"/>
        <v>0</v>
      </c>
      <c r="O179" t="b">
        <f t="shared" si="17"/>
        <v>0</v>
      </c>
      <c r="P179">
        <f t="shared" si="18"/>
        <v>0</v>
      </c>
      <c r="Q179" t="b">
        <f t="shared" si="19"/>
        <v>1</v>
      </c>
      <c r="R179">
        <f t="shared" si="20"/>
        <v>0</v>
      </c>
    </row>
    <row r="180" spans="1:18" ht="19.5" x14ac:dyDescent="0.55000000000000004">
      <c r="A180" s="27"/>
      <c r="B180" s="31"/>
      <c r="C180" s="27"/>
      <c r="D180" s="26"/>
      <c r="E180" s="26"/>
      <c r="F180">
        <v>4823</v>
      </c>
      <c r="G180" t="s">
        <v>653</v>
      </c>
      <c r="H180" t="s">
        <v>34</v>
      </c>
      <c r="I180" t="s">
        <v>448</v>
      </c>
      <c r="J180" t="s">
        <v>644</v>
      </c>
      <c r="L180" t="b">
        <f t="shared" si="14"/>
        <v>0</v>
      </c>
      <c r="M180" t="b">
        <f t="shared" si="15"/>
        <v>1</v>
      </c>
      <c r="N180" t="b">
        <f t="shared" si="16"/>
        <v>0</v>
      </c>
      <c r="O180" t="b">
        <f t="shared" si="17"/>
        <v>0</v>
      </c>
      <c r="P180">
        <f t="shared" si="18"/>
        <v>0</v>
      </c>
      <c r="Q180" t="b">
        <f t="shared" si="19"/>
        <v>1</v>
      </c>
      <c r="R180">
        <f t="shared" si="20"/>
        <v>0</v>
      </c>
    </row>
    <row r="181" spans="1:18" ht="19.5" x14ac:dyDescent="0.55000000000000004">
      <c r="A181" s="27"/>
      <c r="B181" s="31"/>
      <c r="C181" s="27"/>
      <c r="D181" s="26"/>
      <c r="E181" s="26"/>
      <c r="F181">
        <v>80385</v>
      </c>
      <c r="G181" t="s">
        <v>655</v>
      </c>
      <c r="H181" t="s">
        <v>34</v>
      </c>
      <c r="I181" t="s">
        <v>448</v>
      </c>
      <c r="J181" t="s">
        <v>644</v>
      </c>
      <c r="L181" t="b">
        <f t="shared" si="14"/>
        <v>0</v>
      </c>
      <c r="M181" t="b">
        <f t="shared" si="15"/>
        <v>1</v>
      </c>
      <c r="N181" t="b">
        <f t="shared" si="16"/>
        <v>0</v>
      </c>
      <c r="O181" t="b">
        <f t="shared" si="17"/>
        <v>0</v>
      </c>
      <c r="P181">
        <f t="shared" si="18"/>
        <v>0</v>
      </c>
      <c r="Q181" t="b">
        <f t="shared" si="19"/>
        <v>1</v>
      </c>
      <c r="R181">
        <f t="shared" si="20"/>
        <v>0</v>
      </c>
    </row>
    <row r="182" spans="1:18" ht="19.5" x14ac:dyDescent="0.55000000000000004">
      <c r="A182" s="27"/>
      <c r="B182" s="31"/>
      <c r="C182" s="27"/>
      <c r="D182" s="26"/>
      <c r="E182" s="26"/>
      <c r="F182">
        <v>4795</v>
      </c>
      <c r="G182" t="s">
        <v>657</v>
      </c>
      <c r="H182" t="s">
        <v>34</v>
      </c>
      <c r="I182" t="s">
        <v>448</v>
      </c>
      <c r="J182" t="s">
        <v>644</v>
      </c>
      <c r="L182" t="b">
        <f t="shared" si="14"/>
        <v>0</v>
      </c>
      <c r="M182" t="b">
        <f t="shared" si="15"/>
        <v>1</v>
      </c>
      <c r="N182" t="b">
        <f t="shared" si="16"/>
        <v>0</v>
      </c>
      <c r="O182" t="b">
        <f t="shared" si="17"/>
        <v>0</v>
      </c>
      <c r="P182">
        <f t="shared" si="18"/>
        <v>0</v>
      </c>
      <c r="Q182" t="b">
        <f t="shared" si="19"/>
        <v>1</v>
      </c>
      <c r="R182">
        <f t="shared" si="20"/>
        <v>0</v>
      </c>
    </row>
    <row r="183" spans="1:18" ht="19.5" x14ac:dyDescent="0.55000000000000004">
      <c r="A183" s="27"/>
      <c r="B183" s="31"/>
      <c r="C183" s="27"/>
      <c r="D183" s="26"/>
      <c r="E183" s="26"/>
      <c r="F183">
        <v>80358</v>
      </c>
      <c r="G183" t="s">
        <v>659</v>
      </c>
      <c r="H183" t="s">
        <v>34</v>
      </c>
      <c r="I183" t="s">
        <v>46</v>
      </c>
      <c r="J183" t="s">
        <v>644</v>
      </c>
      <c r="L183" t="b">
        <f t="shared" si="14"/>
        <v>0</v>
      </c>
      <c r="M183" t="b">
        <f t="shared" si="15"/>
        <v>0</v>
      </c>
      <c r="N183" t="b">
        <f t="shared" si="16"/>
        <v>0</v>
      </c>
      <c r="O183" t="b">
        <f t="shared" si="17"/>
        <v>0</v>
      </c>
      <c r="P183">
        <f t="shared" si="18"/>
        <v>0</v>
      </c>
      <c r="Q183" t="b">
        <f t="shared" si="19"/>
        <v>1</v>
      </c>
      <c r="R183">
        <f t="shared" si="20"/>
        <v>0</v>
      </c>
    </row>
    <row r="184" spans="1:18" ht="19.5" x14ac:dyDescent="0.55000000000000004">
      <c r="A184" s="27"/>
      <c r="B184" s="31"/>
      <c r="C184" s="27"/>
      <c r="D184" s="26"/>
      <c r="E184" s="26"/>
      <c r="F184">
        <v>80417</v>
      </c>
      <c r="G184" t="s">
        <v>665</v>
      </c>
      <c r="H184" t="s">
        <v>111</v>
      </c>
      <c r="I184" t="s">
        <v>67</v>
      </c>
      <c r="J184" t="s">
        <v>666</v>
      </c>
      <c r="L184" t="b">
        <f t="shared" si="14"/>
        <v>0</v>
      </c>
      <c r="M184" t="b">
        <f t="shared" si="15"/>
        <v>0</v>
      </c>
      <c r="N184" t="b">
        <f t="shared" si="16"/>
        <v>0</v>
      </c>
      <c r="O184" t="b">
        <f t="shared" si="17"/>
        <v>0</v>
      </c>
      <c r="P184">
        <f t="shared" si="18"/>
        <v>0</v>
      </c>
      <c r="Q184" t="b">
        <f t="shared" si="19"/>
        <v>1</v>
      </c>
      <c r="R184">
        <f t="shared" si="20"/>
        <v>0</v>
      </c>
    </row>
    <row r="185" spans="1:18" ht="19.5" x14ac:dyDescent="0.55000000000000004">
      <c r="A185" s="27"/>
      <c r="B185" s="31"/>
      <c r="C185" s="27"/>
      <c r="D185" s="26"/>
      <c r="E185" s="26"/>
      <c r="F185">
        <v>4725</v>
      </c>
      <c r="G185" t="s">
        <v>669</v>
      </c>
      <c r="H185" t="s">
        <v>34</v>
      </c>
      <c r="I185" t="s">
        <v>525</v>
      </c>
      <c r="L185" t="b">
        <f t="shared" si="14"/>
        <v>0</v>
      </c>
      <c r="M185" t="b">
        <f t="shared" si="15"/>
        <v>0</v>
      </c>
      <c r="N185" t="b">
        <f t="shared" si="16"/>
        <v>0</v>
      </c>
      <c r="O185" t="b">
        <f t="shared" si="17"/>
        <v>0</v>
      </c>
      <c r="P185">
        <f t="shared" si="18"/>
        <v>0</v>
      </c>
      <c r="Q185" t="b">
        <f t="shared" si="19"/>
        <v>1</v>
      </c>
      <c r="R185">
        <f t="shared" si="20"/>
        <v>0</v>
      </c>
    </row>
    <row r="186" spans="1:18" ht="19.5" x14ac:dyDescent="0.55000000000000004">
      <c r="A186" s="27"/>
      <c r="B186" s="31"/>
      <c r="C186" s="27"/>
      <c r="D186" s="26"/>
      <c r="E186" s="26"/>
      <c r="F186">
        <v>4786</v>
      </c>
      <c r="G186" t="s">
        <v>672</v>
      </c>
      <c r="H186" t="s">
        <v>54</v>
      </c>
      <c r="I186" t="s">
        <v>388</v>
      </c>
      <c r="L186" t="b">
        <f t="shared" si="14"/>
        <v>0</v>
      </c>
      <c r="M186" t="b">
        <f t="shared" si="15"/>
        <v>0</v>
      </c>
      <c r="N186" t="b">
        <f t="shared" si="16"/>
        <v>0</v>
      </c>
      <c r="O186" t="b">
        <f t="shared" si="17"/>
        <v>0</v>
      </c>
      <c r="P186">
        <f t="shared" si="18"/>
        <v>0</v>
      </c>
      <c r="Q186" t="b">
        <f t="shared" si="19"/>
        <v>1</v>
      </c>
      <c r="R186">
        <f t="shared" si="20"/>
        <v>0</v>
      </c>
    </row>
    <row r="187" spans="1:18" ht="19.5" x14ac:dyDescent="0.55000000000000004">
      <c r="A187" s="27"/>
      <c r="B187" s="31"/>
      <c r="C187" s="27"/>
      <c r="D187" s="26"/>
      <c r="E187" s="26"/>
      <c r="F187">
        <v>4873</v>
      </c>
      <c r="G187" t="s">
        <v>675</v>
      </c>
      <c r="H187" t="s">
        <v>34</v>
      </c>
      <c r="I187" t="s">
        <v>676</v>
      </c>
      <c r="J187" t="s">
        <v>677</v>
      </c>
      <c r="L187" t="b">
        <f t="shared" si="14"/>
        <v>0</v>
      </c>
      <c r="M187" t="b">
        <f t="shared" si="15"/>
        <v>0</v>
      </c>
      <c r="N187" t="b">
        <f t="shared" si="16"/>
        <v>0</v>
      </c>
      <c r="O187" t="b">
        <f t="shared" si="17"/>
        <v>0</v>
      </c>
      <c r="P187">
        <f t="shared" si="18"/>
        <v>0</v>
      </c>
      <c r="Q187" t="b">
        <f t="shared" si="19"/>
        <v>1</v>
      </c>
      <c r="R187">
        <f t="shared" si="20"/>
        <v>0</v>
      </c>
    </row>
    <row r="188" spans="1:18" ht="19.5" x14ac:dyDescent="0.55000000000000004">
      <c r="A188" s="27"/>
      <c r="B188" s="31"/>
      <c r="C188" s="27"/>
      <c r="D188" s="26"/>
      <c r="E188" s="26"/>
      <c r="F188">
        <v>4872</v>
      </c>
      <c r="G188" t="s">
        <v>681</v>
      </c>
      <c r="H188" t="s">
        <v>34</v>
      </c>
      <c r="I188" t="s">
        <v>676</v>
      </c>
      <c r="J188" t="s">
        <v>677</v>
      </c>
      <c r="L188" t="b">
        <f t="shared" si="14"/>
        <v>0</v>
      </c>
      <c r="M188" t="b">
        <f t="shared" si="15"/>
        <v>0</v>
      </c>
      <c r="N188" t="b">
        <f t="shared" si="16"/>
        <v>0</v>
      </c>
      <c r="O188" t="b">
        <f t="shared" si="17"/>
        <v>0</v>
      </c>
      <c r="P188">
        <f t="shared" si="18"/>
        <v>0</v>
      </c>
      <c r="Q188" t="b">
        <f t="shared" si="19"/>
        <v>1</v>
      </c>
      <c r="R188">
        <f t="shared" si="20"/>
        <v>0</v>
      </c>
    </row>
    <row r="189" spans="1:18" ht="19.5" x14ac:dyDescent="0.55000000000000004">
      <c r="A189" s="27"/>
      <c r="B189" s="31"/>
      <c r="C189" s="27"/>
      <c r="D189" s="26"/>
      <c r="E189" s="26"/>
      <c r="F189">
        <v>80017</v>
      </c>
      <c r="G189" t="s">
        <v>684</v>
      </c>
      <c r="H189" t="s">
        <v>34</v>
      </c>
      <c r="I189" t="s">
        <v>685</v>
      </c>
      <c r="J189" t="s">
        <v>686</v>
      </c>
      <c r="L189" t="b">
        <f t="shared" si="14"/>
        <v>0</v>
      </c>
      <c r="M189" t="b">
        <f t="shared" si="15"/>
        <v>0</v>
      </c>
      <c r="N189" t="b">
        <f t="shared" si="16"/>
        <v>0</v>
      </c>
      <c r="O189" t="b">
        <f t="shared" si="17"/>
        <v>0</v>
      </c>
      <c r="P189">
        <f t="shared" si="18"/>
        <v>0</v>
      </c>
      <c r="Q189" t="b">
        <f t="shared" si="19"/>
        <v>1</v>
      </c>
      <c r="R189">
        <f t="shared" si="20"/>
        <v>0</v>
      </c>
    </row>
    <row r="190" spans="1:18" ht="19.5" x14ac:dyDescent="0.55000000000000004">
      <c r="A190" s="27"/>
      <c r="B190" s="31"/>
      <c r="C190" s="27"/>
      <c r="D190" s="26"/>
      <c r="E190" s="26"/>
      <c r="F190">
        <v>4876</v>
      </c>
      <c r="G190" t="s">
        <v>689</v>
      </c>
      <c r="H190" t="s">
        <v>75</v>
      </c>
      <c r="I190" t="s">
        <v>676</v>
      </c>
      <c r="L190" t="b">
        <f t="shared" si="14"/>
        <v>0</v>
      </c>
      <c r="M190" t="b">
        <f t="shared" si="15"/>
        <v>0</v>
      </c>
      <c r="N190" t="b">
        <f t="shared" si="16"/>
        <v>0</v>
      </c>
      <c r="O190" t="b">
        <f t="shared" si="17"/>
        <v>0</v>
      </c>
      <c r="P190">
        <f t="shared" si="18"/>
        <v>0</v>
      </c>
      <c r="Q190" t="b">
        <f t="shared" si="19"/>
        <v>1</v>
      </c>
      <c r="R190">
        <f t="shared" si="20"/>
        <v>0</v>
      </c>
    </row>
    <row r="191" spans="1:18" ht="19.5" x14ac:dyDescent="0.55000000000000004">
      <c r="A191" s="27"/>
      <c r="B191" s="31"/>
      <c r="C191" s="27"/>
      <c r="D191" s="26"/>
      <c r="E191" s="26"/>
      <c r="F191">
        <v>80293</v>
      </c>
      <c r="G191" t="s">
        <v>691</v>
      </c>
      <c r="H191" t="s">
        <v>75</v>
      </c>
      <c r="I191" t="s">
        <v>67</v>
      </c>
      <c r="J191" t="s">
        <v>137</v>
      </c>
      <c r="L191" t="b">
        <f t="shared" si="14"/>
        <v>0</v>
      </c>
      <c r="M191" t="b">
        <f t="shared" si="15"/>
        <v>0</v>
      </c>
      <c r="N191" t="b">
        <f t="shared" si="16"/>
        <v>0</v>
      </c>
      <c r="O191" t="b">
        <f t="shared" si="17"/>
        <v>0</v>
      </c>
      <c r="P191">
        <f t="shared" si="18"/>
        <v>0</v>
      </c>
      <c r="Q191" t="b">
        <f t="shared" si="19"/>
        <v>1</v>
      </c>
      <c r="R191">
        <f t="shared" si="20"/>
        <v>0</v>
      </c>
    </row>
    <row r="192" spans="1:18" ht="19.5" x14ac:dyDescent="0.55000000000000004">
      <c r="A192" s="27"/>
      <c r="B192" s="31"/>
      <c r="C192" s="27"/>
      <c r="D192" s="26"/>
      <c r="E192" s="26"/>
      <c r="F192">
        <v>80026</v>
      </c>
      <c r="G192" t="s">
        <v>693</v>
      </c>
      <c r="H192" t="s">
        <v>34</v>
      </c>
      <c r="I192" t="s">
        <v>83</v>
      </c>
      <c r="L192" t="b">
        <f t="shared" si="14"/>
        <v>0</v>
      </c>
      <c r="M192" t="b">
        <f t="shared" si="15"/>
        <v>0</v>
      </c>
      <c r="N192" t="b">
        <f t="shared" si="16"/>
        <v>0</v>
      </c>
      <c r="O192" t="b">
        <f t="shared" si="17"/>
        <v>0</v>
      </c>
      <c r="P192">
        <f t="shared" si="18"/>
        <v>0</v>
      </c>
      <c r="Q192" t="b">
        <f t="shared" si="19"/>
        <v>1</v>
      </c>
      <c r="R192">
        <f t="shared" si="20"/>
        <v>0</v>
      </c>
    </row>
    <row r="193" spans="1:18" ht="19.5" x14ac:dyDescent="0.55000000000000004">
      <c r="A193" s="27"/>
      <c r="B193" s="31"/>
      <c r="C193" s="27"/>
      <c r="D193" s="26"/>
      <c r="E193" s="26"/>
      <c r="F193">
        <v>4719</v>
      </c>
      <c r="G193" t="s">
        <v>696</v>
      </c>
      <c r="H193" t="s">
        <v>75</v>
      </c>
      <c r="I193" t="s">
        <v>525</v>
      </c>
      <c r="L193" t="b">
        <f t="shared" si="14"/>
        <v>0</v>
      </c>
      <c r="M193" t="b">
        <f t="shared" si="15"/>
        <v>1</v>
      </c>
      <c r="N193" t="b">
        <f t="shared" si="16"/>
        <v>0</v>
      </c>
      <c r="O193" t="b">
        <f t="shared" si="17"/>
        <v>0</v>
      </c>
      <c r="P193">
        <f t="shared" si="18"/>
        <v>0</v>
      </c>
      <c r="Q193" t="b">
        <f t="shared" si="19"/>
        <v>1</v>
      </c>
      <c r="R193">
        <f t="shared" si="20"/>
        <v>0</v>
      </c>
    </row>
    <row r="194" spans="1:18" ht="19.5" x14ac:dyDescent="0.55000000000000004">
      <c r="A194" s="27"/>
      <c r="B194" s="31"/>
      <c r="C194" s="27"/>
      <c r="D194" s="26"/>
      <c r="E194" s="26"/>
      <c r="F194">
        <v>4721</v>
      </c>
      <c r="G194" t="s">
        <v>700</v>
      </c>
      <c r="H194" t="s">
        <v>75</v>
      </c>
      <c r="I194" t="s">
        <v>525</v>
      </c>
      <c r="L194" t="b">
        <f t="shared" si="14"/>
        <v>0</v>
      </c>
      <c r="M194" t="b">
        <f t="shared" si="15"/>
        <v>1</v>
      </c>
      <c r="N194" t="b">
        <f t="shared" si="16"/>
        <v>0</v>
      </c>
      <c r="O194" t="b">
        <f t="shared" si="17"/>
        <v>0</v>
      </c>
      <c r="P194">
        <f t="shared" si="18"/>
        <v>0</v>
      </c>
      <c r="Q194" t="b">
        <f t="shared" si="19"/>
        <v>1</v>
      </c>
      <c r="R194">
        <f t="shared" si="20"/>
        <v>0</v>
      </c>
    </row>
    <row r="195" spans="1:18" ht="19.5" x14ac:dyDescent="0.55000000000000004">
      <c r="A195" s="27"/>
      <c r="B195" s="31"/>
      <c r="C195" s="27"/>
      <c r="D195" s="26"/>
      <c r="E195" s="26"/>
      <c r="F195">
        <v>80291</v>
      </c>
      <c r="G195" t="s">
        <v>702</v>
      </c>
      <c r="H195" t="s">
        <v>136</v>
      </c>
      <c r="I195" t="s">
        <v>67</v>
      </c>
      <c r="J195" t="s">
        <v>703</v>
      </c>
      <c r="L195" t="b">
        <f t="shared" ref="L195:L258" si="21">IF(TRIM($B$3)="",TRUE,ISNUMBER(SEARCH(TRIM(MID(SUBSTITUTE($B$3," ",REPT(" ",100)),1,100)),G195)))</f>
        <v>0</v>
      </c>
      <c r="M195" t="b">
        <f t="shared" ref="M195:M258" si="22">IF(LEN(TRIM($B$3))-LEN(SUBSTITUTE(TRIM($B$3)," ",""))&lt;1,TRUE,ISNUMBER(SEARCH(TRIM(MID(SUBSTITUTE($B$3," ",REPT(" ",100)),101,100)),G195)))</f>
        <v>0</v>
      </c>
      <c r="N195" t="b">
        <f t="shared" ref="N195:N258" si="23">IF(LEN(TRIM($B$3))-LEN(SUBSTITUTE(TRIM($B$3)," ",""))&lt;2,TRUE,ISNUMBER(SEARCH(TRIM(MID(SUBSTITUTE($B$3," ",REPT(" ",100)),201,100)),G195)))</f>
        <v>0</v>
      </c>
      <c r="O195" t="b">
        <f t="shared" ref="O195:O258" si="24">IF(LEN(TRIM($B$3))-LEN(SUBSTITUTE(TRIM($B$3)," ",""))&lt;3,TRUE,ISNUMBER(SEARCH(TRIM(MID(SUBSTITUTE($B$3," ",REPT(" ",100)),301,100)),G195)))</f>
        <v>0</v>
      </c>
      <c r="P195">
        <f t="shared" ref="P195:P258" si="25">L195*M195*N195*O195</f>
        <v>0</v>
      </c>
      <c r="Q195" t="b">
        <f t="shared" ref="Q195:Q258" si="26">IF(OR(TRIM($B$2)="",$B$2="(Todos)"),TRUE,EXACT(I195,$B$2))</f>
        <v>1</v>
      </c>
      <c r="R195">
        <f t="shared" ref="R195:R258" si="27">P195*Q195</f>
        <v>0</v>
      </c>
    </row>
    <row r="196" spans="1:18" ht="19.5" x14ac:dyDescent="0.55000000000000004">
      <c r="A196" s="27"/>
      <c r="B196" s="31"/>
      <c r="C196" s="27"/>
      <c r="D196" s="26"/>
      <c r="E196" s="26"/>
      <c r="F196">
        <v>4746</v>
      </c>
      <c r="G196" t="s">
        <v>706</v>
      </c>
      <c r="H196" t="s">
        <v>580</v>
      </c>
      <c r="I196" t="s">
        <v>573</v>
      </c>
      <c r="J196" t="s">
        <v>625</v>
      </c>
      <c r="L196" t="b">
        <f t="shared" si="21"/>
        <v>0</v>
      </c>
      <c r="M196" t="b">
        <f t="shared" si="22"/>
        <v>0</v>
      </c>
      <c r="N196" t="b">
        <f t="shared" si="23"/>
        <v>0</v>
      </c>
      <c r="O196" t="b">
        <f t="shared" si="24"/>
        <v>0</v>
      </c>
      <c r="P196">
        <f t="shared" si="25"/>
        <v>0</v>
      </c>
      <c r="Q196" t="b">
        <f t="shared" si="26"/>
        <v>1</v>
      </c>
      <c r="R196">
        <f t="shared" si="27"/>
        <v>0</v>
      </c>
    </row>
    <row r="197" spans="1:18" ht="19.5" x14ac:dyDescent="0.55000000000000004">
      <c r="A197" s="27"/>
      <c r="B197" s="31"/>
      <c r="C197" s="27"/>
      <c r="D197" s="26"/>
      <c r="E197" s="26"/>
      <c r="F197">
        <v>4842</v>
      </c>
      <c r="G197" t="s">
        <v>709</v>
      </c>
      <c r="H197" t="s">
        <v>34</v>
      </c>
      <c r="I197" t="s">
        <v>221</v>
      </c>
      <c r="L197" t="b">
        <f t="shared" si="21"/>
        <v>0</v>
      </c>
      <c r="M197" t="b">
        <f t="shared" si="22"/>
        <v>1</v>
      </c>
      <c r="N197" t="b">
        <f t="shared" si="23"/>
        <v>0</v>
      </c>
      <c r="O197" t="b">
        <f t="shared" si="24"/>
        <v>0</v>
      </c>
      <c r="P197">
        <f t="shared" si="25"/>
        <v>0</v>
      </c>
      <c r="Q197" t="b">
        <f t="shared" si="26"/>
        <v>1</v>
      </c>
      <c r="R197">
        <f t="shared" si="27"/>
        <v>0</v>
      </c>
    </row>
    <row r="198" spans="1:18" ht="19.5" x14ac:dyDescent="0.55000000000000004">
      <c r="A198" s="27"/>
      <c r="B198" s="31"/>
      <c r="C198" s="27"/>
      <c r="D198" s="26"/>
      <c r="E198" s="26"/>
      <c r="F198">
        <v>4840</v>
      </c>
      <c r="G198" t="s">
        <v>712</v>
      </c>
      <c r="H198" t="s">
        <v>34</v>
      </c>
      <c r="I198" t="s">
        <v>221</v>
      </c>
      <c r="L198" t="b">
        <f t="shared" si="21"/>
        <v>0</v>
      </c>
      <c r="M198" t="b">
        <f t="shared" si="22"/>
        <v>1</v>
      </c>
      <c r="N198" t="b">
        <f t="shared" si="23"/>
        <v>0</v>
      </c>
      <c r="O198" t="b">
        <f t="shared" si="24"/>
        <v>0</v>
      </c>
      <c r="P198">
        <f t="shared" si="25"/>
        <v>0</v>
      </c>
      <c r="Q198" t="b">
        <f t="shared" si="26"/>
        <v>1</v>
      </c>
      <c r="R198">
        <f t="shared" si="27"/>
        <v>0</v>
      </c>
    </row>
    <row r="199" spans="1:18" ht="19.5" x14ac:dyDescent="0.55000000000000004">
      <c r="A199" s="27"/>
      <c r="B199" s="31"/>
      <c r="C199" s="27"/>
      <c r="D199" s="26"/>
      <c r="E199" s="26"/>
      <c r="F199">
        <v>4841</v>
      </c>
      <c r="G199" t="s">
        <v>715</v>
      </c>
      <c r="H199" t="s">
        <v>34</v>
      </c>
      <c r="I199" t="s">
        <v>221</v>
      </c>
      <c r="L199" t="b">
        <f t="shared" si="21"/>
        <v>0</v>
      </c>
      <c r="M199" t="b">
        <f t="shared" si="22"/>
        <v>1</v>
      </c>
      <c r="N199" t="b">
        <f t="shared" si="23"/>
        <v>0</v>
      </c>
      <c r="O199" t="b">
        <f t="shared" si="24"/>
        <v>0</v>
      </c>
      <c r="P199">
        <f t="shared" si="25"/>
        <v>0</v>
      </c>
      <c r="Q199" t="b">
        <f t="shared" si="26"/>
        <v>1</v>
      </c>
      <c r="R199">
        <f t="shared" si="27"/>
        <v>0</v>
      </c>
    </row>
    <row r="200" spans="1:18" ht="19.5" x14ac:dyDescent="0.55000000000000004">
      <c r="A200" s="27"/>
      <c r="B200" s="31"/>
      <c r="C200" s="27"/>
      <c r="D200" s="26"/>
      <c r="E200" s="26"/>
      <c r="F200">
        <v>4993</v>
      </c>
      <c r="G200" t="s">
        <v>720</v>
      </c>
      <c r="H200" t="s">
        <v>54</v>
      </c>
      <c r="I200" t="s">
        <v>721</v>
      </c>
      <c r="L200" t="b">
        <f t="shared" si="21"/>
        <v>0</v>
      </c>
      <c r="M200" t="b">
        <f t="shared" si="22"/>
        <v>0</v>
      </c>
      <c r="N200" t="b">
        <f t="shared" si="23"/>
        <v>0</v>
      </c>
      <c r="O200" t="b">
        <f t="shared" si="24"/>
        <v>0</v>
      </c>
      <c r="P200">
        <f t="shared" si="25"/>
        <v>0</v>
      </c>
      <c r="Q200" t="b">
        <f t="shared" si="26"/>
        <v>1</v>
      </c>
      <c r="R200">
        <f t="shared" si="27"/>
        <v>0</v>
      </c>
    </row>
    <row r="201" spans="1:18" ht="19.5" x14ac:dyDescent="0.55000000000000004">
      <c r="A201" s="27"/>
      <c r="B201" s="31"/>
      <c r="C201" s="27"/>
      <c r="D201" s="26"/>
      <c r="E201" s="26"/>
      <c r="F201">
        <v>4702</v>
      </c>
      <c r="G201" t="s">
        <v>724</v>
      </c>
      <c r="H201" t="s">
        <v>54</v>
      </c>
      <c r="I201" t="s">
        <v>419</v>
      </c>
      <c r="L201" t="b">
        <f t="shared" si="21"/>
        <v>0</v>
      </c>
      <c r="M201" t="b">
        <f t="shared" si="22"/>
        <v>0</v>
      </c>
      <c r="N201" t="b">
        <f t="shared" si="23"/>
        <v>0</v>
      </c>
      <c r="O201" t="b">
        <f t="shared" si="24"/>
        <v>0</v>
      </c>
      <c r="P201">
        <f t="shared" si="25"/>
        <v>0</v>
      </c>
      <c r="Q201" t="b">
        <f t="shared" si="26"/>
        <v>1</v>
      </c>
      <c r="R201">
        <f t="shared" si="27"/>
        <v>0</v>
      </c>
    </row>
    <row r="202" spans="1:18" ht="19.5" x14ac:dyDescent="0.55000000000000004">
      <c r="A202" s="27"/>
      <c r="B202" s="31"/>
      <c r="C202" s="27"/>
      <c r="D202" s="26"/>
      <c r="E202" s="26"/>
      <c r="F202">
        <v>80409</v>
      </c>
      <c r="G202" t="s">
        <v>727</v>
      </c>
      <c r="H202" t="s">
        <v>111</v>
      </c>
      <c r="I202" t="s">
        <v>388</v>
      </c>
      <c r="L202" t="b">
        <f t="shared" si="21"/>
        <v>0</v>
      </c>
      <c r="M202" t="b">
        <f t="shared" si="22"/>
        <v>0</v>
      </c>
      <c r="N202" t="b">
        <f t="shared" si="23"/>
        <v>0</v>
      </c>
      <c r="O202" t="b">
        <f t="shared" si="24"/>
        <v>0</v>
      </c>
      <c r="P202">
        <f t="shared" si="25"/>
        <v>0</v>
      </c>
      <c r="Q202" t="b">
        <f t="shared" si="26"/>
        <v>1</v>
      </c>
      <c r="R202">
        <f t="shared" si="27"/>
        <v>0</v>
      </c>
    </row>
    <row r="203" spans="1:18" ht="19.5" x14ac:dyDescent="0.55000000000000004">
      <c r="A203" s="27"/>
      <c r="B203" s="31"/>
      <c r="C203" s="27"/>
      <c r="D203" s="26"/>
      <c r="E203" s="26"/>
      <c r="F203">
        <v>4996</v>
      </c>
      <c r="G203" t="s">
        <v>730</v>
      </c>
      <c r="H203" t="s">
        <v>54</v>
      </c>
      <c r="I203" t="s">
        <v>731</v>
      </c>
      <c r="L203" t="b">
        <f t="shared" si="21"/>
        <v>0</v>
      </c>
      <c r="M203" t="b">
        <f t="shared" si="22"/>
        <v>0</v>
      </c>
      <c r="N203" t="b">
        <f t="shared" si="23"/>
        <v>0</v>
      </c>
      <c r="O203" t="b">
        <f t="shared" si="24"/>
        <v>0</v>
      </c>
      <c r="P203">
        <f t="shared" si="25"/>
        <v>0</v>
      </c>
      <c r="Q203" t="b">
        <f t="shared" si="26"/>
        <v>1</v>
      </c>
      <c r="R203">
        <f t="shared" si="27"/>
        <v>0</v>
      </c>
    </row>
    <row r="204" spans="1:18" ht="19.5" x14ac:dyDescent="0.55000000000000004">
      <c r="A204" s="27"/>
      <c r="B204" s="31"/>
      <c r="C204" s="27"/>
      <c r="D204" s="26"/>
      <c r="E204" s="26"/>
      <c r="F204">
        <v>80418</v>
      </c>
      <c r="G204" t="s">
        <v>734</v>
      </c>
      <c r="H204" t="s">
        <v>54</v>
      </c>
      <c r="I204" t="s">
        <v>735</v>
      </c>
      <c r="L204" t="b">
        <f t="shared" si="21"/>
        <v>0</v>
      </c>
      <c r="M204" t="b">
        <f t="shared" si="22"/>
        <v>0</v>
      </c>
      <c r="N204" t="b">
        <f t="shared" si="23"/>
        <v>0</v>
      </c>
      <c r="O204" t="b">
        <f t="shared" si="24"/>
        <v>0</v>
      </c>
      <c r="P204">
        <f t="shared" si="25"/>
        <v>0</v>
      </c>
      <c r="Q204" t="b">
        <f t="shared" si="26"/>
        <v>1</v>
      </c>
      <c r="R204">
        <f t="shared" si="27"/>
        <v>0</v>
      </c>
    </row>
    <row r="205" spans="1:18" ht="19.5" x14ac:dyDescent="0.55000000000000004">
      <c r="A205" s="27"/>
      <c r="B205" s="31"/>
      <c r="C205" s="27"/>
      <c r="D205" s="26"/>
      <c r="E205" s="26"/>
      <c r="F205">
        <v>4751</v>
      </c>
      <c r="G205" t="s">
        <v>738</v>
      </c>
      <c r="H205" t="s">
        <v>54</v>
      </c>
      <c r="I205" t="s">
        <v>525</v>
      </c>
      <c r="L205" t="b">
        <f t="shared" si="21"/>
        <v>0</v>
      </c>
      <c r="M205" t="b">
        <f t="shared" si="22"/>
        <v>0</v>
      </c>
      <c r="N205" t="b">
        <f t="shared" si="23"/>
        <v>0</v>
      </c>
      <c r="O205" t="b">
        <f t="shared" si="24"/>
        <v>0</v>
      </c>
      <c r="P205">
        <f t="shared" si="25"/>
        <v>0</v>
      </c>
      <c r="Q205" t="b">
        <f t="shared" si="26"/>
        <v>1</v>
      </c>
      <c r="R205">
        <f t="shared" si="27"/>
        <v>0</v>
      </c>
    </row>
    <row r="206" spans="1:18" ht="19.5" x14ac:dyDescent="0.55000000000000004">
      <c r="A206" s="27"/>
      <c r="B206" s="31"/>
      <c r="C206" s="27"/>
      <c r="D206" s="26"/>
      <c r="E206" s="26"/>
      <c r="F206">
        <v>4753</v>
      </c>
      <c r="G206" t="s">
        <v>741</v>
      </c>
      <c r="H206" t="s">
        <v>54</v>
      </c>
      <c r="I206" t="s">
        <v>525</v>
      </c>
      <c r="L206" t="b">
        <f t="shared" si="21"/>
        <v>0</v>
      </c>
      <c r="M206" t="b">
        <f t="shared" si="22"/>
        <v>1</v>
      </c>
      <c r="N206" t="b">
        <f t="shared" si="23"/>
        <v>0</v>
      </c>
      <c r="O206" t="b">
        <f t="shared" si="24"/>
        <v>0</v>
      </c>
      <c r="P206">
        <f t="shared" si="25"/>
        <v>0</v>
      </c>
      <c r="Q206" t="b">
        <f t="shared" si="26"/>
        <v>1</v>
      </c>
      <c r="R206">
        <f t="shared" si="27"/>
        <v>0</v>
      </c>
    </row>
    <row r="207" spans="1:18" ht="19.5" x14ac:dyDescent="0.55000000000000004">
      <c r="A207" s="27"/>
      <c r="B207" s="31"/>
      <c r="C207" s="27"/>
      <c r="D207" s="26"/>
      <c r="E207" s="26"/>
      <c r="F207">
        <v>4752</v>
      </c>
      <c r="G207" t="s">
        <v>744</v>
      </c>
      <c r="H207" t="s">
        <v>54</v>
      </c>
      <c r="I207" t="s">
        <v>525</v>
      </c>
      <c r="L207" t="b">
        <f t="shared" si="21"/>
        <v>0</v>
      </c>
      <c r="M207" t="b">
        <f t="shared" si="22"/>
        <v>0</v>
      </c>
      <c r="N207" t="b">
        <f t="shared" si="23"/>
        <v>0</v>
      </c>
      <c r="O207" t="b">
        <f t="shared" si="24"/>
        <v>0</v>
      </c>
      <c r="P207">
        <f t="shared" si="25"/>
        <v>0</v>
      </c>
      <c r="Q207" t="b">
        <f t="shared" si="26"/>
        <v>1</v>
      </c>
      <c r="R207">
        <f t="shared" si="27"/>
        <v>0</v>
      </c>
    </row>
    <row r="208" spans="1:18" ht="19.5" x14ac:dyDescent="0.55000000000000004">
      <c r="A208" s="27"/>
      <c r="B208" s="31"/>
      <c r="C208" s="27"/>
      <c r="D208" s="26"/>
      <c r="E208" s="26"/>
      <c r="F208">
        <v>4703</v>
      </c>
      <c r="G208" t="s">
        <v>747</v>
      </c>
      <c r="H208" t="s">
        <v>580</v>
      </c>
      <c r="I208" t="s">
        <v>419</v>
      </c>
      <c r="L208" t="b">
        <f t="shared" si="21"/>
        <v>0</v>
      </c>
      <c r="M208" t="b">
        <f t="shared" si="22"/>
        <v>0</v>
      </c>
      <c r="N208" t="b">
        <f t="shared" si="23"/>
        <v>0</v>
      </c>
      <c r="O208" t="b">
        <f t="shared" si="24"/>
        <v>0</v>
      </c>
      <c r="P208">
        <f t="shared" si="25"/>
        <v>0</v>
      </c>
      <c r="Q208" t="b">
        <f t="shared" si="26"/>
        <v>1</v>
      </c>
      <c r="R208">
        <f t="shared" si="27"/>
        <v>0</v>
      </c>
    </row>
    <row r="209" spans="1:18" ht="19.5" x14ac:dyDescent="0.55000000000000004">
      <c r="A209" s="27"/>
      <c r="B209" s="31"/>
      <c r="C209" s="27"/>
      <c r="D209" s="26"/>
      <c r="E209" s="26"/>
      <c r="F209">
        <v>4792</v>
      </c>
      <c r="G209" t="s">
        <v>750</v>
      </c>
      <c r="H209" t="s">
        <v>34</v>
      </c>
      <c r="I209" t="s">
        <v>46</v>
      </c>
      <c r="L209" t="b">
        <f t="shared" si="21"/>
        <v>0</v>
      </c>
      <c r="M209" t="b">
        <f t="shared" si="22"/>
        <v>0</v>
      </c>
      <c r="N209" t="b">
        <f t="shared" si="23"/>
        <v>0</v>
      </c>
      <c r="O209" t="b">
        <f t="shared" si="24"/>
        <v>0</v>
      </c>
      <c r="P209">
        <f t="shared" si="25"/>
        <v>0</v>
      </c>
      <c r="Q209" t="b">
        <f t="shared" si="26"/>
        <v>1</v>
      </c>
      <c r="R209">
        <f t="shared" si="27"/>
        <v>0</v>
      </c>
    </row>
    <row r="210" spans="1:18" ht="19.5" x14ac:dyDescent="0.55000000000000004">
      <c r="A210" s="27"/>
      <c r="B210" s="31"/>
      <c r="C210" s="27"/>
      <c r="D210" s="26"/>
      <c r="E210" s="26"/>
      <c r="F210">
        <v>4791</v>
      </c>
      <c r="G210" t="s">
        <v>753</v>
      </c>
      <c r="H210" t="s">
        <v>34</v>
      </c>
      <c r="I210" t="s">
        <v>46</v>
      </c>
      <c r="L210" t="b">
        <f t="shared" si="21"/>
        <v>0</v>
      </c>
      <c r="M210" t="b">
        <f t="shared" si="22"/>
        <v>0</v>
      </c>
      <c r="N210" t="b">
        <f t="shared" si="23"/>
        <v>0</v>
      </c>
      <c r="O210" t="b">
        <f t="shared" si="24"/>
        <v>0</v>
      </c>
      <c r="P210">
        <f t="shared" si="25"/>
        <v>0</v>
      </c>
      <c r="Q210" t="b">
        <f t="shared" si="26"/>
        <v>1</v>
      </c>
      <c r="R210">
        <f t="shared" si="27"/>
        <v>0</v>
      </c>
    </row>
    <row r="211" spans="1:18" ht="19.5" x14ac:dyDescent="0.55000000000000004">
      <c r="A211" s="27"/>
      <c r="B211" s="31"/>
      <c r="C211" s="27"/>
      <c r="D211" s="26"/>
      <c r="E211" s="26"/>
      <c r="F211">
        <v>4688</v>
      </c>
      <c r="G211" t="s">
        <v>755</v>
      </c>
      <c r="H211" t="s">
        <v>54</v>
      </c>
      <c r="I211" t="s">
        <v>419</v>
      </c>
      <c r="L211" t="b">
        <f t="shared" si="21"/>
        <v>0</v>
      </c>
      <c r="M211" t="b">
        <f t="shared" si="22"/>
        <v>0</v>
      </c>
      <c r="N211" t="b">
        <f t="shared" si="23"/>
        <v>0</v>
      </c>
      <c r="O211" t="b">
        <f t="shared" si="24"/>
        <v>0</v>
      </c>
      <c r="P211">
        <f t="shared" si="25"/>
        <v>0</v>
      </c>
      <c r="Q211" t="b">
        <f t="shared" si="26"/>
        <v>1</v>
      </c>
      <c r="R211">
        <f t="shared" si="27"/>
        <v>0</v>
      </c>
    </row>
    <row r="212" spans="1:18" ht="19.5" x14ac:dyDescent="0.55000000000000004">
      <c r="A212" s="27"/>
      <c r="B212" s="31"/>
      <c r="C212" s="27"/>
      <c r="D212" s="26"/>
      <c r="E212" s="26"/>
      <c r="F212">
        <v>4706</v>
      </c>
      <c r="G212" t="s">
        <v>758</v>
      </c>
      <c r="H212" t="s">
        <v>54</v>
      </c>
      <c r="I212" t="s">
        <v>419</v>
      </c>
      <c r="L212" t="b">
        <f t="shared" si="21"/>
        <v>0</v>
      </c>
      <c r="M212" t="b">
        <f t="shared" si="22"/>
        <v>0</v>
      </c>
      <c r="N212" t="b">
        <f t="shared" si="23"/>
        <v>0</v>
      </c>
      <c r="O212" t="b">
        <f t="shared" si="24"/>
        <v>0</v>
      </c>
      <c r="P212">
        <f t="shared" si="25"/>
        <v>0</v>
      </c>
      <c r="Q212" t="b">
        <f t="shared" si="26"/>
        <v>1</v>
      </c>
      <c r="R212">
        <f t="shared" si="27"/>
        <v>0</v>
      </c>
    </row>
    <row r="213" spans="1:18" ht="19.5" x14ac:dyDescent="0.55000000000000004">
      <c r="A213" s="27"/>
      <c r="B213" s="31"/>
      <c r="C213" s="27"/>
      <c r="D213" s="26"/>
      <c r="E213" s="26"/>
      <c r="F213">
        <v>4673</v>
      </c>
      <c r="G213" t="s">
        <v>761</v>
      </c>
      <c r="H213" t="s">
        <v>54</v>
      </c>
      <c r="I213" t="s">
        <v>419</v>
      </c>
      <c r="L213" t="b">
        <f t="shared" si="21"/>
        <v>0</v>
      </c>
      <c r="M213" t="b">
        <f t="shared" si="22"/>
        <v>0</v>
      </c>
      <c r="N213" t="b">
        <f t="shared" si="23"/>
        <v>0</v>
      </c>
      <c r="O213" t="b">
        <f t="shared" si="24"/>
        <v>0</v>
      </c>
      <c r="P213">
        <f t="shared" si="25"/>
        <v>0</v>
      </c>
      <c r="Q213" t="b">
        <f t="shared" si="26"/>
        <v>1</v>
      </c>
      <c r="R213">
        <f t="shared" si="27"/>
        <v>0</v>
      </c>
    </row>
    <row r="214" spans="1:18" ht="19.5" x14ac:dyDescent="0.55000000000000004">
      <c r="A214" s="27"/>
      <c r="B214" s="31"/>
      <c r="C214" s="27"/>
      <c r="D214" s="26"/>
      <c r="E214" s="26"/>
      <c r="F214">
        <v>4667</v>
      </c>
      <c r="G214" t="s">
        <v>764</v>
      </c>
      <c r="H214" t="s">
        <v>54</v>
      </c>
      <c r="I214" t="s">
        <v>419</v>
      </c>
      <c r="L214" t="b">
        <f t="shared" si="21"/>
        <v>0</v>
      </c>
      <c r="M214" t="b">
        <f t="shared" si="22"/>
        <v>0</v>
      </c>
      <c r="N214" t="b">
        <f t="shared" si="23"/>
        <v>0</v>
      </c>
      <c r="O214" t="b">
        <f t="shared" si="24"/>
        <v>0</v>
      </c>
      <c r="P214">
        <f t="shared" si="25"/>
        <v>0</v>
      </c>
      <c r="Q214" t="b">
        <f t="shared" si="26"/>
        <v>1</v>
      </c>
      <c r="R214">
        <f t="shared" si="27"/>
        <v>0</v>
      </c>
    </row>
    <row r="215" spans="1:18" ht="19.5" x14ac:dyDescent="0.55000000000000004">
      <c r="A215" s="27"/>
      <c r="B215" s="31"/>
      <c r="C215" s="27"/>
      <c r="D215" s="26"/>
      <c r="E215" s="26"/>
      <c r="F215">
        <v>4992</v>
      </c>
      <c r="G215" t="s">
        <v>767</v>
      </c>
      <c r="H215" t="s">
        <v>54</v>
      </c>
      <c r="I215" t="s">
        <v>287</v>
      </c>
      <c r="L215" t="b">
        <f t="shared" si="21"/>
        <v>0</v>
      </c>
      <c r="M215" t="b">
        <f t="shared" si="22"/>
        <v>0</v>
      </c>
      <c r="N215" t="b">
        <f t="shared" si="23"/>
        <v>0</v>
      </c>
      <c r="O215" t="b">
        <f t="shared" si="24"/>
        <v>0</v>
      </c>
      <c r="P215">
        <f t="shared" si="25"/>
        <v>0</v>
      </c>
      <c r="Q215" t="b">
        <f t="shared" si="26"/>
        <v>1</v>
      </c>
      <c r="R215">
        <f t="shared" si="27"/>
        <v>0</v>
      </c>
    </row>
    <row r="216" spans="1:18" ht="19.5" x14ac:dyDescent="0.55000000000000004">
      <c r="A216" s="27"/>
      <c r="B216" s="31"/>
      <c r="C216" s="27"/>
      <c r="D216" s="26"/>
      <c r="E216" s="26"/>
      <c r="F216">
        <v>4748</v>
      </c>
      <c r="G216" t="s">
        <v>770</v>
      </c>
      <c r="H216" t="s">
        <v>75</v>
      </c>
      <c r="I216" t="s">
        <v>525</v>
      </c>
      <c r="L216" t="b">
        <f t="shared" si="21"/>
        <v>0</v>
      </c>
      <c r="M216" t="b">
        <f t="shared" si="22"/>
        <v>0</v>
      </c>
      <c r="N216" t="b">
        <f t="shared" si="23"/>
        <v>0</v>
      </c>
      <c r="O216" t="b">
        <f t="shared" si="24"/>
        <v>0</v>
      </c>
      <c r="P216">
        <f t="shared" si="25"/>
        <v>0</v>
      </c>
      <c r="Q216" t="b">
        <f t="shared" si="26"/>
        <v>1</v>
      </c>
      <c r="R216">
        <f t="shared" si="27"/>
        <v>0</v>
      </c>
    </row>
    <row r="217" spans="1:18" ht="19.5" x14ac:dyDescent="0.55000000000000004">
      <c r="A217" s="27"/>
      <c r="B217" s="31"/>
      <c r="C217" s="27"/>
      <c r="D217" s="26"/>
      <c r="E217" s="26"/>
      <c r="F217">
        <v>4783</v>
      </c>
      <c r="G217" t="s">
        <v>773</v>
      </c>
      <c r="H217" t="s">
        <v>580</v>
      </c>
      <c r="I217" t="s">
        <v>388</v>
      </c>
      <c r="L217" t="b">
        <f t="shared" si="21"/>
        <v>0</v>
      </c>
      <c r="M217" t="b">
        <f t="shared" si="22"/>
        <v>0</v>
      </c>
      <c r="N217" t="b">
        <f t="shared" si="23"/>
        <v>0</v>
      </c>
      <c r="O217" t="b">
        <f t="shared" si="24"/>
        <v>0</v>
      </c>
      <c r="P217">
        <f t="shared" si="25"/>
        <v>0</v>
      </c>
      <c r="Q217" t="b">
        <f t="shared" si="26"/>
        <v>1</v>
      </c>
      <c r="R217">
        <f t="shared" si="27"/>
        <v>0</v>
      </c>
    </row>
    <row r="218" spans="1:18" ht="19.5" x14ac:dyDescent="0.55000000000000004">
      <c r="A218" s="27"/>
      <c r="B218" s="31"/>
      <c r="C218" s="27"/>
      <c r="D218" s="26"/>
      <c r="E218" s="26"/>
      <c r="F218">
        <v>4756</v>
      </c>
      <c r="G218" t="s">
        <v>776</v>
      </c>
      <c r="H218" t="s">
        <v>580</v>
      </c>
      <c r="I218" t="s">
        <v>525</v>
      </c>
      <c r="L218" t="b">
        <f t="shared" si="21"/>
        <v>0</v>
      </c>
      <c r="M218" t="b">
        <f t="shared" si="22"/>
        <v>0</v>
      </c>
      <c r="N218" t="b">
        <f t="shared" si="23"/>
        <v>0</v>
      </c>
      <c r="O218" t="b">
        <f t="shared" si="24"/>
        <v>0</v>
      </c>
      <c r="P218">
        <f t="shared" si="25"/>
        <v>0</v>
      </c>
      <c r="Q218" t="b">
        <f t="shared" si="26"/>
        <v>1</v>
      </c>
      <c r="R218">
        <f t="shared" si="27"/>
        <v>0</v>
      </c>
    </row>
    <row r="219" spans="1:18" ht="19.5" x14ac:dyDescent="0.55000000000000004">
      <c r="A219" s="27"/>
      <c r="B219" s="31"/>
      <c r="C219" s="27"/>
      <c r="D219" s="26"/>
      <c r="E219" s="26"/>
      <c r="F219">
        <v>4754</v>
      </c>
      <c r="G219" t="s">
        <v>779</v>
      </c>
      <c r="H219" t="s">
        <v>780</v>
      </c>
      <c r="I219" t="s">
        <v>388</v>
      </c>
      <c r="L219" t="b">
        <f t="shared" si="21"/>
        <v>0</v>
      </c>
      <c r="M219" t="b">
        <f t="shared" si="22"/>
        <v>0</v>
      </c>
      <c r="N219" t="b">
        <f t="shared" si="23"/>
        <v>0</v>
      </c>
      <c r="O219" t="b">
        <f t="shared" si="24"/>
        <v>0</v>
      </c>
      <c r="P219">
        <f t="shared" si="25"/>
        <v>0</v>
      </c>
      <c r="Q219" t="b">
        <f t="shared" si="26"/>
        <v>1</v>
      </c>
      <c r="R219">
        <f t="shared" si="27"/>
        <v>0</v>
      </c>
    </row>
    <row r="220" spans="1:18" ht="19.5" x14ac:dyDescent="0.55000000000000004">
      <c r="A220" s="27"/>
      <c r="B220" s="31"/>
      <c r="C220" s="27"/>
      <c r="D220" s="26"/>
      <c r="E220" s="26"/>
      <c r="F220">
        <v>4806</v>
      </c>
      <c r="G220" t="s">
        <v>783</v>
      </c>
      <c r="H220" t="s">
        <v>580</v>
      </c>
      <c r="I220" t="s">
        <v>448</v>
      </c>
      <c r="J220" t="s">
        <v>721</v>
      </c>
      <c r="L220" t="b">
        <f t="shared" si="21"/>
        <v>0</v>
      </c>
      <c r="M220" t="b">
        <f t="shared" si="22"/>
        <v>0</v>
      </c>
      <c r="N220" t="b">
        <f t="shared" si="23"/>
        <v>0</v>
      </c>
      <c r="O220" t="b">
        <f t="shared" si="24"/>
        <v>0</v>
      </c>
      <c r="P220">
        <f t="shared" si="25"/>
        <v>0</v>
      </c>
      <c r="Q220" t="b">
        <f t="shared" si="26"/>
        <v>1</v>
      </c>
      <c r="R220">
        <f t="shared" si="27"/>
        <v>0</v>
      </c>
    </row>
    <row r="221" spans="1:18" ht="19.5" x14ac:dyDescent="0.55000000000000004">
      <c r="A221" s="27"/>
      <c r="B221" s="31"/>
      <c r="C221" s="27"/>
      <c r="D221" s="26"/>
      <c r="E221" s="26"/>
      <c r="F221">
        <v>3755</v>
      </c>
      <c r="G221" t="s">
        <v>787</v>
      </c>
      <c r="H221" t="s">
        <v>780</v>
      </c>
      <c r="I221" t="s">
        <v>388</v>
      </c>
      <c r="L221" t="b">
        <f t="shared" si="21"/>
        <v>0</v>
      </c>
      <c r="M221" t="b">
        <f t="shared" si="22"/>
        <v>0</v>
      </c>
      <c r="N221" t="b">
        <f t="shared" si="23"/>
        <v>0</v>
      </c>
      <c r="O221" t="b">
        <f t="shared" si="24"/>
        <v>0</v>
      </c>
      <c r="P221">
        <f t="shared" si="25"/>
        <v>0</v>
      </c>
      <c r="Q221" t="b">
        <f t="shared" si="26"/>
        <v>1</v>
      </c>
      <c r="R221">
        <f t="shared" si="27"/>
        <v>0</v>
      </c>
    </row>
    <row r="222" spans="1:18" ht="19.5" x14ac:dyDescent="0.55000000000000004">
      <c r="A222" s="27"/>
      <c r="B222" s="31"/>
      <c r="C222" s="27"/>
      <c r="D222" s="26"/>
      <c r="E222" s="26"/>
      <c r="F222">
        <v>4804</v>
      </c>
      <c r="G222" t="s">
        <v>790</v>
      </c>
      <c r="H222" t="s">
        <v>580</v>
      </c>
      <c r="I222" t="s">
        <v>448</v>
      </c>
      <c r="J222" t="s">
        <v>721</v>
      </c>
      <c r="L222" t="b">
        <f t="shared" si="21"/>
        <v>0</v>
      </c>
      <c r="M222" t="b">
        <f t="shared" si="22"/>
        <v>0</v>
      </c>
      <c r="N222" t="b">
        <f t="shared" si="23"/>
        <v>0</v>
      </c>
      <c r="O222" t="b">
        <f t="shared" si="24"/>
        <v>0</v>
      </c>
      <c r="P222">
        <f t="shared" si="25"/>
        <v>0</v>
      </c>
      <c r="Q222" t="b">
        <f t="shared" si="26"/>
        <v>1</v>
      </c>
      <c r="R222">
        <f t="shared" si="27"/>
        <v>0</v>
      </c>
    </row>
    <row r="223" spans="1:18" ht="19.5" x14ac:dyDescent="0.55000000000000004">
      <c r="A223" s="27"/>
      <c r="B223" s="31"/>
      <c r="C223" s="27"/>
      <c r="D223" s="26"/>
      <c r="E223" s="26"/>
      <c r="F223">
        <v>4965</v>
      </c>
      <c r="G223" t="s">
        <v>793</v>
      </c>
      <c r="H223" t="s">
        <v>34</v>
      </c>
      <c r="I223" t="s">
        <v>106</v>
      </c>
      <c r="L223" t="b">
        <f t="shared" si="21"/>
        <v>0</v>
      </c>
      <c r="M223" t="b">
        <f t="shared" si="22"/>
        <v>0</v>
      </c>
      <c r="N223" t="b">
        <f t="shared" si="23"/>
        <v>0</v>
      </c>
      <c r="O223" t="b">
        <f t="shared" si="24"/>
        <v>0</v>
      </c>
      <c r="P223">
        <f t="shared" si="25"/>
        <v>0</v>
      </c>
      <c r="Q223" t="b">
        <f t="shared" si="26"/>
        <v>1</v>
      </c>
      <c r="R223">
        <f t="shared" si="27"/>
        <v>0</v>
      </c>
    </row>
    <row r="224" spans="1:18" ht="19.5" x14ac:dyDescent="0.55000000000000004">
      <c r="A224" s="27"/>
      <c r="B224" s="31"/>
      <c r="C224" s="27"/>
      <c r="D224" s="26"/>
      <c r="E224" s="26"/>
      <c r="F224">
        <v>4707</v>
      </c>
      <c r="G224" t="s">
        <v>797</v>
      </c>
      <c r="H224" t="s">
        <v>54</v>
      </c>
      <c r="I224" t="s">
        <v>419</v>
      </c>
      <c r="L224" t="b">
        <f t="shared" si="21"/>
        <v>0</v>
      </c>
      <c r="M224" t="b">
        <f t="shared" si="22"/>
        <v>0</v>
      </c>
      <c r="N224" t="b">
        <f t="shared" si="23"/>
        <v>0</v>
      </c>
      <c r="O224" t="b">
        <f t="shared" si="24"/>
        <v>0</v>
      </c>
      <c r="P224">
        <f t="shared" si="25"/>
        <v>0</v>
      </c>
      <c r="Q224" t="b">
        <f t="shared" si="26"/>
        <v>1</v>
      </c>
      <c r="R224">
        <f t="shared" si="27"/>
        <v>0</v>
      </c>
    </row>
    <row r="225" spans="1:18" ht="19.5" x14ac:dyDescent="0.55000000000000004">
      <c r="A225" s="27"/>
      <c r="B225" s="31"/>
      <c r="C225" s="27"/>
      <c r="D225" s="26"/>
      <c r="E225" s="26"/>
      <c r="F225">
        <v>4785</v>
      </c>
      <c r="G225" t="s">
        <v>800</v>
      </c>
      <c r="H225" t="s">
        <v>580</v>
      </c>
      <c r="I225" t="s">
        <v>388</v>
      </c>
      <c r="L225" t="b">
        <f t="shared" si="21"/>
        <v>0</v>
      </c>
      <c r="M225" t="b">
        <f t="shared" si="22"/>
        <v>0</v>
      </c>
      <c r="N225" t="b">
        <f t="shared" si="23"/>
        <v>0</v>
      </c>
      <c r="O225" t="b">
        <f t="shared" si="24"/>
        <v>0</v>
      </c>
      <c r="P225">
        <f t="shared" si="25"/>
        <v>0</v>
      </c>
      <c r="Q225" t="b">
        <f t="shared" si="26"/>
        <v>1</v>
      </c>
      <c r="R225">
        <f t="shared" si="27"/>
        <v>0</v>
      </c>
    </row>
    <row r="226" spans="1:18" ht="19.5" x14ac:dyDescent="0.55000000000000004">
      <c r="A226" s="27"/>
      <c r="B226" s="31"/>
      <c r="C226" s="27"/>
      <c r="D226" s="26"/>
      <c r="E226" s="26"/>
      <c r="F226">
        <v>4788</v>
      </c>
      <c r="G226" t="s">
        <v>803</v>
      </c>
      <c r="H226" t="s">
        <v>580</v>
      </c>
      <c r="I226" t="s">
        <v>388</v>
      </c>
      <c r="L226" t="b">
        <f t="shared" si="21"/>
        <v>0</v>
      </c>
      <c r="M226" t="b">
        <f t="shared" si="22"/>
        <v>0</v>
      </c>
      <c r="N226" t="b">
        <f t="shared" si="23"/>
        <v>0</v>
      </c>
      <c r="O226" t="b">
        <f t="shared" si="24"/>
        <v>0</v>
      </c>
      <c r="P226">
        <f t="shared" si="25"/>
        <v>0</v>
      </c>
      <c r="Q226" t="b">
        <f t="shared" si="26"/>
        <v>1</v>
      </c>
      <c r="R226">
        <f t="shared" si="27"/>
        <v>0</v>
      </c>
    </row>
    <row r="227" spans="1:18" ht="19.5" x14ac:dyDescent="0.55000000000000004">
      <c r="A227" s="27"/>
      <c r="B227" s="31"/>
      <c r="C227" s="27"/>
      <c r="D227" s="26"/>
      <c r="E227" s="26"/>
      <c r="F227">
        <v>4779</v>
      </c>
      <c r="G227" t="s">
        <v>805</v>
      </c>
      <c r="H227" t="s">
        <v>580</v>
      </c>
      <c r="I227" t="s">
        <v>573</v>
      </c>
      <c r="L227" t="b">
        <f t="shared" si="21"/>
        <v>0</v>
      </c>
      <c r="M227" t="b">
        <f t="shared" si="22"/>
        <v>0</v>
      </c>
      <c r="N227" t="b">
        <f t="shared" si="23"/>
        <v>0</v>
      </c>
      <c r="O227" t="b">
        <f t="shared" si="24"/>
        <v>0</v>
      </c>
      <c r="P227">
        <f t="shared" si="25"/>
        <v>0</v>
      </c>
      <c r="Q227" t="b">
        <f t="shared" si="26"/>
        <v>1</v>
      </c>
      <c r="R227">
        <f t="shared" si="27"/>
        <v>0</v>
      </c>
    </row>
    <row r="228" spans="1:18" ht="19.5" x14ac:dyDescent="0.55000000000000004">
      <c r="A228" s="27"/>
      <c r="B228" s="31"/>
      <c r="C228" s="27"/>
      <c r="D228" s="26"/>
      <c r="E228" s="26"/>
      <c r="F228">
        <v>4782</v>
      </c>
      <c r="G228" t="s">
        <v>808</v>
      </c>
      <c r="H228" t="s">
        <v>580</v>
      </c>
      <c r="I228" t="s">
        <v>573</v>
      </c>
      <c r="L228" t="b">
        <f t="shared" si="21"/>
        <v>0</v>
      </c>
      <c r="M228" t="b">
        <f t="shared" si="22"/>
        <v>0</v>
      </c>
      <c r="N228" t="b">
        <f t="shared" si="23"/>
        <v>0</v>
      </c>
      <c r="O228" t="b">
        <f t="shared" si="24"/>
        <v>0</v>
      </c>
      <c r="P228">
        <f t="shared" si="25"/>
        <v>0</v>
      </c>
      <c r="Q228" t="b">
        <f t="shared" si="26"/>
        <v>1</v>
      </c>
      <c r="R228">
        <f t="shared" si="27"/>
        <v>0</v>
      </c>
    </row>
    <row r="229" spans="1:18" ht="19.5" x14ac:dyDescent="0.55000000000000004">
      <c r="A229" s="27"/>
      <c r="B229" s="31"/>
      <c r="C229" s="27"/>
      <c r="D229" s="26"/>
      <c r="E229" s="26"/>
      <c r="F229">
        <v>4780</v>
      </c>
      <c r="G229" t="s">
        <v>811</v>
      </c>
      <c r="H229" t="s">
        <v>580</v>
      </c>
      <c r="I229" t="s">
        <v>573</v>
      </c>
      <c r="L229" t="b">
        <f t="shared" si="21"/>
        <v>0</v>
      </c>
      <c r="M229" t="b">
        <f t="shared" si="22"/>
        <v>0</v>
      </c>
      <c r="N229" t="b">
        <f t="shared" si="23"/>
        <v>0</v>
      </c>
      <c r="O229" t="b">
        <f t="shared" si="24"/>
        <v>0</v>
      </c>
      <c r="P229">
        <f t="shared" si="25"/>
        <v>0</v>
      </c>
      <c r="Q229" t="b">
        <f t="shared" si="26"/>
        <v>1</v>
      </c>
      <c r="R229">
        <f t="shared" si="27"/>
        <v>0</v>
      </c>
    </row>
    <row r="230" spans="1:18" ht="19.5" x14ac:dyDescent="0.55000000000000004">
      <c r="A230" s="27"/>
      <c r="B230" s="31"/>
      <c r="C230" s="27"/>
      <c r="D230" s="26"/>
      <c r="E230" s="26"/>
      <c r="F230">
        <v>4781</v>
      </c>
      <c r="G230" t="s">
        <v>814</v>
      </c>
      <c r="H230" t="s">
        <v>580</v>
      </c>
      <c r="I230" t="s">
        <v>573</v>
      </c>
      <c r="L230" t="b">
        <f t="shared" si="21"/>
        <v>0</v>
      </c>
      <c r="M230" t="b">
        <f t="shared" si="22"/>
        <v>0</v>
      </c>
      <c r="N230" t="b">
        <f t="shared" si="23"/>
        <v>0</v>
      </c>
      <c r="O230" t="b">
        <f t="shared" si="24"/>
        <v>0</v>
      </c>
      <c r="P230">
        <f t="shared" si="25"/>
        <v>0</v>
      </c>
      <c r="Q230" t="b">
        <f t="shared" si="26"/>
        <v>1</v>
      </c>
      <c r="R230">
        <f t="shared" si="27"/>
        <v>0</v>
      </c>
    </row>
    <row r="231" spans="1:18" ht="19.5" x14ac:dyDescent="0.55000000000000004">
      <c r="A231" s="27"/>
      <c r="B231" s="31"/>
      <c r="C231" s="27"/>
      <c r="D231" s="26"/>
      <c r="E231" s="26"/>
      <c r="F231">
        <v>4864</v>
      </c>
      <c r="G231" t="s">
        <v>817</v>
      </c>
      <c r="H231" t="s">
        <v>34</v>
      </c>
      <c r="I231" t="s">
        <v>218</v>
      </c>
      <c r="L231" t="b">
        <f t="shared" si="21"/>
        <v>0</v>
      </c>
      <c r="M231" t="b">
        <f t="shared" si="22"/>
        <v>0</v>
      </c>
      <c r="N231" t="b">
        <f t="shared" si="23"/>
        <v>0</v>
      </c>
      <c r="O231" t="b">
        <f t="shared" si="24"/>
        <v>0</v>
      </c>
      <c r="P231">
        <f t="shared" si="25"/>
        <v>0</v>
      </c>
      <c r="Q231" t="b">
        <f t="shared" si="26"/>
        <v>1</v>
      </c>
      <c r="R231">
        <f t="shared" si="27"/>
        <v>0</v>
      </c>
    </row>
    <row r="232" spans="1:18" ht="19.5" x14ac:dyDescent="0.55000000000000004">
      <c r="A232" s="27"/>
      <c r="B232" s="31"/>
      <c r="C232" s="27"/>
      <c r="D232" s="26"/>
      <c r="E232" s="26"/>
      <c r="F232">
        <v>4863</v>
      </c>
      <c r="G232" t="s">
        <v>820</v>
      </c>
      <c r="H232" t="s">
        <v>34</v>
      </c>
      <c r="I232" t="s">
        <v>218</v>
      </c>
      <c r="L232" t="b">
        <f t="shared" si="21"/>
        <v>0</v>
      </c>
      <c r="M232" t="b">
        <f t="shared" si="22"/>
        <v>1</v>
      </c>
      <c r="N232" t="b">
        <f t="shared" si="23"/>
        <v>0</v>
      </c>
      <c r="O232" t="b">
        <f t="shared" si="24"/>
        <v>0</v>
      </c>
      <c r="P232">
        <f t="shared" si="25"/>
        <v>0</v>
      </c>
      <c r="Q232" t="b">
        <f t="shared" si="26"/>
        <v>1</v>
      </c>
      <c r="R232">
        <f t="shared" si="27"/>
        <v>0</v>
      </c>
    </row>
    <row r="233" spans="1:18" ht="19.5" x14ac:dyDescent="0.55000000000000004">
      <c r="A233" s="27"/>
      <c r="B233" s="31"/>
      <c r="C233" s="27"/>
      <c r="D233" s="26"/>
      <c r="E233" s="26"/>
      <c r="F233">
        <v>80034</v>
      </c>
      <c r="G233" t="s">
        <v>822</v>
      </c>
      <c r="H233" t="s">
        <v>34</v>
      </c>
      <c r="I233" t="s">
        <v>218</v>
      </c>
      <c r="L233" t="b">
        <f t="shared" si="21"/>
        <v>0</v>
      </c>
      <c r="M233" t="b">
        <f t="shared" si="22"/>
        <v>0</v>
      </c>
      <c r="N233" t="b">
        <f t="shared" si="23"/>
        <v>0</v>
      </c>
      <c r="O233" t="b">
        <f t="shared" si="24"/>
        <v>0</v>
      </c>
      <c r="P233">
        <f t="shared" si="25"/>
        <v>0</v>
      </c>
      <c r="Q233" t="b">
        <f t="shared" si="26"/>
        <v>1</v>
      </c>
      <c r="R233">
        <f t="shared" si="27"/>
        <v>0</v>
      </c>
    </row>
    <row r="234" spans="1:18" ht="19.5" x14ac:dyDescent="0.55000000000000004">
      <c r="A234" s="27"/>
      <c r="B234" s="31"/>
      <c r="C234" s="27"/>
      <c r="D234" s="26"/>
      <c r="E234" s="26"/>
      <c r="F234">
        <v>80040</v>
      </c>
      <c r="G234" t="s">
        <v>825</v>
      </c>
      <c r="H234" t="s">
        <v>34</v>
      </c>
      <c r="I234" t="s">
        <v>36</v>
      </c>
      <c r="L234" t="b">
        <f t="shared" si="21"/>
        <v>0</v>
      </c>
      <c r="M234" t="b">
        <f t="shared" si="22"/>
        <v>0</v>
      </c>
      <c r="N234" t="b">
        <f t="shared" si="23"/>
        <v>0</v>
      </c>
      <c r="O234" t="b">
        <f t="shared" si="24"/>
        <v>0</v>
      </c>
      <c r="P234">
        <f t="shared" si="25"/>
        <v>0</v>
      </c>
      <c r="Q234" t="b">
        <f t="shared" si="26"/>
        <v>1</v>
      </c>
      <c r="R234">
        <f t="shared" si="27"/>
        <v>0</v>
      </c>
    </row>
    <row r="235" spans="1:18" ht="19.5" x14ac:dyDescent="0.55000000000000004">
      <c r="A235" s="27"/>
      <c r="B235" s="31"/>
      <c r="C235" s="27"/>
      <c r="D235" s="26"/>
      <c r="E235" s="26"/>
      <c r="F235">
        <v>4836</v>
      </c>
      <c r="G235" t="s">
        <v>828</v>
      </c>
      <c r="H235" t="s">
        <v>34</v>
      </c>
      <c r="I235" t="s">
        <v>229</v>
      </c>
      <c r="L235" t="b">
        <f t="shared" si="21"/>
        <v>0</v>
      </c>
      <c r="M235" t="b">
        <f t="shared" si="22"/>
        <v>0</v>
      </c>
      <c r="N235" t="b">
        <f t="shared" si="23"/>
        <v>0</v>
      </c>
      <c r="O235" t="b">
        <f t="shared" si="24"/>
        <v>0</v>
      </c>
      <c r="P235">
        <f t="shared" si="25"/>
        <v>0</v>
      </c>
      <c r="Q235" t="b">
        <f t="shared" si="26"/>
        <v>1</v>
      </c>
      <c r="R235">
        <f t="shared" si="27"/>
        <v>0</v>
      </c>
    </row>
    <row r="236" spans="1:18" ht="19.5" x14ac:dyDescent="0.55000000000000004">
      <c r="A236" s="27"/>
      <c r="B236" s="31"/>
      <c r="C236" s="27"/>
      <c r="D236" s="26"/>
      <c r="E236" s="26"/>
      <c r="F236">
        <v>4917</v>
      </c>
      <c r="G236" t="s">
        <v>831</v>
      </c>
      <c r="H236" t="s">
        <v>136</v>
      </c>
      <c r="I236" t="s">
        <v>201</v>
      </c>
      <c r="L236" t="b">
        <f t="shared" si="21"/>
        <v>0</v>
      </c>
      <c r="M236" t="b">
        <f t="shared" si="22"/>
        <v>0</v>
      </c>
      <c r="N236" t="b">
        <f t="shared" si="23"/>
        <v>0</v>
      </c>
      <c r="O236" t="b">
        <f t="shared" si="24"/>
        <v>0</v>
      </c>
      <c r="P236">
        <f t="shared" si="25"/>
        <v>0</v>
      </c>
      <c r="Q236" t="b">
        <f t="shared" si="26"/>
        <v>1</v>
      </c>
      <c r="R236">
        <f t="shared" si="27"/>
        <v>0</v>
      </c>
    </row>
    <row r="237" spans="1:18" ht="19.5" x14ac:dyDescent="0.55000000000000004">
      <c r="A237" s="27"/>
      <c r="B237" s="31"/>
      <c r="C237" s="27"/>
      <c r="D237" s="26"/>
      <c r="E237" s="26"/>
      <c r="F237">
        <v>4907</v>
      </c>
      <c r="G237" t="s">
        <v>834</v>
      </c>
      <c r="H237" t="s">
        <v>75</v>
      </c>
      <c r="I237" t="s">
        <v>83</v>
      </c>
      <c r="L237" t="b">
        <f t="shared" si="21"/>
        <v>0</v>
      </c>
      <c r="M237" t="b">
        <f t="shared" si="22"/>
        <v>0</v>
      </c>
      <c r="N237" t="b">
        <f t="shared" si="23"/>
        <v>0</v>
      </c>
      <c r="O237" t="b">
        <f t="shared" si="24"/>
        <v>0</v>
      </c>
      <c r="P237">
        <f t="shared" si="25"/>
        <v>0</v>
      </c>
      <c r="Q237" t="b">
        <f t="shared" si="26"/>
        <v>1</v>
      </c>
      <c r="R237">
        <f t="shared" si="27"/>
        <v>0</v>
      </c>
    </row>
    <row r="238" spans="1:18" ht="19.5" x14ac:dyDescent="0.55000000000000004">
      <c r="A238" s="27"/>
      <c r="B238" s="31"/>
      <c r="C238" s="27"/>
      <c r="D238" s="26"/>
      <c r="E238" s="26"/>
      <c r="F238">
        <v>4909</v>
      </c>
      <c r="G238" t="s">
        <v>837</v>
      </c>
      <c r="H238" t="s">
        <v>75</v>
      </c>
      <c r="I238" t="s">
        <v>83</v>
      </c>
      <c r="L238" t="b">
        <f t="shared" si="21"/>
        <v>0</v>
      </c>
      <c r="M238" t="b">
        <f t="shared" si="22"/>
        <v>0</v>
      </c>
      <c r="N238" t="b">
        <f t="shared" si="23"/>
        <v>0</v>
      </c>
      <c r="O238" t="b">
        <f t="shared" si="24"/>
        <v>0</v>
      </c>
      <c r="P238">
        <f t="shared" si="25"/>
        <v>0</v>
      </c>
      <c r="Q238" t="b">
        <f t="shared" si="26"/>
        <v>1</v>
      </c>
      <c r="R238">
        <f t="shared" si="27"/>
        <v>0</v>
      </c>
    </row>
    <row r="239" spans="1:18" ht="19.5" x14ac:dyDescent="0.55000000000000004">
      <c r="A239" s="27"/>
      <c r="B239" s="31"/>
      <c r="C239" s="27"/>
      <c r="D239" s="26"/>
      <c r="E239" s="26"/>
      <c r="F239">
        <v>4913</v>
      </c>
      <c r="G239" t="s">
        <v>840</v>
      </c>
      <c r="H239" t="s">
        <v>34</v>
      </c>
      <c r="I239" t="s">
        <v>83</v>
      </c>
      <c r="L239" t="b">
        <f t="shared" si="21"/>
        <v>0</v>
      </c>
      <c r="M239" t="b">
        <f t="shared" si="22"/>
        <v>0</v>
      </c>
      <c r="N239" t="b">
        <f t="shared" si="23"/>
        <v>0</v>
      </c>
      <c r="O239" t="b">
        <f t="shared" si="24"/>
        <v>0</v>
      </c>
      <c r="P239">
        <f t="shared" si="25"/>
        <v>0</v>
      </c>
      <c r="Q239" t="b">
        <f t="shared" si="26"/>
        <v>1</v>
      </c>
      <c r="R239">
        <f t="shared" si="27"/>
        <v>0</v>
      </c>
    </row>
    <row r="240" spans="1:18" ht="19.5" x14ac:dyDescent="0.55000000000000004">
      <c r="A240" s="27"/>
      <c r="B240" s="31"/>
      <c r="C240" s="27"/>
      <c r="D240" s="26"/>
      <c r="E240" s="26"/>
      <c r="F240">
        <v>80393</v>
      </c>
      <c r="G240" t="s">
        <v>843</v>
      </c>
      <c r="H240" t="s">
        <v>34</v>
      </c>
      <c r="I240" t="s">
        <v>201</v>
      </c>
      <c r="L240" t="b">
        <f t="shared" si="21"/>
        <v>0</v>
      </c>
      <c r="M240" t="b">
        <f t="shared" si="22"/>
        <v>0</v>
      </c>
      <c r="N240" t="b">
        <f t="shared" si="23"/>
        <v>0</v>
      </c>
      <c r="O240" t="b">
        <f t="shared" si="24"/>
        <v>0</v>
      </c>
      <c r="P240">
        <f t="shared" si="25"/>
        <v>0</v>
      </c>
      <c r="Q240" t="b">
        <f t="shared" si="26"/>
        <v>1</v>
      </c>
      <c r="R240">
        <f t="shared" si="27"/>
        <v>0</v>
      </c>
    </row>
    <row r="241" spans="1:18" ht="19.5" x14ac:dyDescent="0.55000000000000004">
      <c r="A241" s="27"/>
      <c r="B241" s="31"/>
      <c r="C241" s="27"/>
      <c r="D241" s="26"/>
      <c r="E241" s="26"/>
      <c r="F241">
        <v>80044</v>
      </c>
      <c r="G241" t="s">
        <v>846</v>
      </c>
      <c r="H241" t="s">
        <v>34</v>
      </c>
      <c r="I241" t="s">
        <v>847</v>
      </c>
      <c r="L241" t="b">
        <f t="shared" si="21"/>
        <v>0</v>
      </c>
      <c r="M241" t="b">
        <f t="shared" si="22"/>
        <v>0</v>
      </c>
      <c r="N241" t="b">
        <f t="shared" si="23"/>
        <v>0</v>
      </c>
      <c r="O241" t="b">
        <f t="shared" si="24"/>
        <v>0</v>
      </c>
      <c r="P241">
        <f t="shared" si="25"/>
        <v>0</v>
      </c>
      <c r="Q241" t="b">
        <f t="shared" si="26"/>
        <v>1</v>
      </c>
      <c r="R241">
        <f t="shared" si="27"/>
        <v>0</v>
      </c>
    </row>
    <row r="242" spans="1:18" ht="19.5" x14ac:dyDescent="0.55000000000000004">
      <c r="A242" s="27"/>
      <c r="B242" s="31"/>
      <c r="C242" s="27"/>
      <c r="D242" s="26"/>
      <c r="E242" s="26"/>
      <c r="F242">
        <v>80391</v>
      </c>
      <c r="G242" t="s">
        <v>850</v>
      </c>
      <c r="H242" t="s">
        <v>34</v>
      </c>
      <c r="I242" t="s">
        <v>83</v>
      </c>
      <c r="L242" t="b">
        <f t="shared" si="21"/>
        <v>0</v>
      </c>
      <c r="M242" t="b">
        <f t="shared" si="22"/>
        <v>0</v>
      </c>
      <c r="N242" t="b">
        <f t="shared" si="23"/>
        <v>0</v>
      </c>
      <c r="O242" t="b">
        <f t="shared" si="24"/>
        <v>0</v>
      </c>
      <c r="P242">
        <f t="shared" si="25"/>
        <v>0</v>
      </c>
      <c r="Q242" t="b">
        <f t="shared" si="26"/>
        <v>1</v>
      </c>
      <c r="R242">
        <f t="shared" si="27"/>
        <v>0</v>
      </c>
    </row>
    <row r="243" spans="1:18" ht="19.5" x14ac:dyDescent="0.55000000000000004">
      <c r="A243" s="27"/>
      <c r="B243" s="31"/>
      <c r="C243" s="27"/>
      <c r="D243" s="26"/>
      <c r="E243" s="26"/>
      <c r="F243">
        <v>4906</v>
      </c>
      <c r="G243" t="s">
        <v>852</v>
      </c>
      <c r="H243" t="s">
        <v>34</v>
      </c>
      <c r="I243" t="s">
        <v>83</v>
      </c>
      <c r="L243" t="b">
        <f t="shared" si="21"/>
        <v>0</v>
      </c>
      <c r="M243" t="b">
        <f t="shared" si="22"/>
        <v>0</v>
      </c>
      <c r="N243" t="b">
        <f t="shared" si="23"/>
        <v>0</v>
      </c>
      <c r="O243" t="b">
        <f t="shared" si="24"/>
        <v>0</v>
      </c>
      <c r="P243">
        <f t="shared" si="25"/>
        <v>0</v>
      </c>
      <c r="Q243" t="b">
        <f t="shared" si="26"/>
        <v>1</v>
      </c>
      <c r="R243">
        <f t="shared" si="27"/>
        <v>0</v>
      </c>
    </row>
    <row r="244" spans="1:18" ht="19.5" x14ac:dyDescent="0.55000000000000004">
      <c r="A244" s="27"/>
      <c r="B244" s="31"/>
      <c r="C244" s="27"/>
      <c r="D244" s="26"/>
      <c r="E244" s="26"/>
      <c r="F244">
        <v>4904</v>
      </c>
      <c r="G244" t="s">
        <v>855</v>
      </c>
      <c r="H244" t="s">
        <v>34</v>
      </c>
      <c r="I244" t="s">
        <v>83</v>
      </c>
      <c r="L244" t="b">
        <f t="shared" si="21"/>
        <v>0</v>
      </c>
      <c r="M244" t="b">
        <f t="shared" si="22"/>
        <v>0</v>
      </c>
      <c r="N244" t="b">
        <f t="shared" si="23"/>
        <v>0</v>
      </c>
      <c r="O244" t="b">
        <f t="shared" si="24"/>
        <v>0</v>
      </c>
      <c r="P244">
        <f t="shared" si="25"/>
        <v>0</v>
      </c>
      <c r="Q244" t="b">
        <f t="shared" si="26"/>
        <v>1</v>
      </c>
      <c r="R244">
        <f t="shared" si="27"/>
        <v>0</v>
      </c>
    </row>
    <row r="245" spans="1:18" ht="19.5" x14ac:dyDescent="0.55000000000000004">
      <c r="A245" s="27"/>
      <c r="B245" s="31"/>
      <c r="C245" s="27"/>
      <c r="D245" s="26"/>
      <c r="E245" s="26"/>
      <c r="F245">
        <v>4988</v>
      </c>
      <c r="G245" t="s">
        <v>858</v>
      </c>
      <c r="H245" t="s">
        <v>34</v>
      </c>
      <c r="I245" t="s">
        <v>201</v>
      </c>
      <c r="L245" t="b">
        <f t="shared" si="21"/>
        <v>0</v>
      </c>
      <c r="M245" t="b">
        <f t="shared" si="22"/>
        <v>0</v>
      </c>
      <c r="N245" t="b">
        <f t="shared" si="23"/>
        <v>0</v>
      </c>
      <c r="O245" t="b">
        <f t="shared" si="24"/>
        <v>0</v>
      </c>
      <c r="P245">
        <f t="shared" si="25"/>
        <v>0</v>
      </c>
      <c r="Q245" t="b">
        <f t="shared" si="26"/>
        <v>1</v>
      </c>
      <c r="R245">
        <f t="shared" si="27"/>
        <v>0</v>
      </c>
    </row>
    <row r="246" spans="1:18" ht="19.5" x14ac:dyDescent="0.55000000000000004">
      <c r="A246" s="27"/>
      <c r="B246" s="31"/>
      <c r="C246" s="27"/>
      <c r="D246" s="26"/>
      <c r="E246" s="26"/>
      <c r="F246">
        <v>80361</v>
      </c>
      <c r="G246" t="s">
        <v>860</v>
      </c>
      <c r="H246" t="s">
        <v>34</v>
      </c>
      <c r="I246" t="s">
        <v>46</v>
      </c>
      <c r="J246" t="s">
        <v>47</v>
      </c>
      <c r="L246" t="b">
        <f t="shared" si="21"/>
        <v>0</v>
      </c>
      <c r="M246" t="b">
        <f t="shared" si="22"/>
        <v>0</v>
      </c>
      <c r="N246" t="b">
        <f t="shared" si="23"/>
        <v>0</v>
      </c>
      <c r="O246" t="b">
        <f t="shared" si="24"/>
        <v>0</v>
      </c>
      <c r="P246">
        <f t="shared" si="25"/>
        <v>0</v>
      </c>
      <c r="Q246" t="b">
        <f t="shared" si="26"/>
        <v>1</v>
      </c>
      <c r="R246">
        <f t="shared" si="27"/>
        <v>0</v>
      </c>
    </row>
    <row r="247" spans="1:18" ht="19.5" x14ac:dyDescent="0.55000000000000004">
      <c r="A247" s="27"/>
      <c r="B247" s="31"/>
      <c r="C247" s="27"/>
      <c r="D247" s="26"/>
      <c r="E247" s="26"/>
      <c r="F247">
        <v>80374</v>
      </c>
      <c r="G247" t="s">
        <v>863</v>
      </c>
      <c r="H247" t="s">
        <v>54</v>
      </c>
      <c r="I247" t="s">
        <v>847</v>
      </c>
      <c r="L247" t="b">
        <f t="shared" si="21"/>
        <v>0</v>
      </c>
      <c r="M247" t="b">
        <f t="shared" si="22"/>
        <v>0</v>
      </c>
      <c r="N247" t="b">
        <f t="shared" si="23"/>
        <v>0</v>
      </c>
      <c r="O247" t="b">
        <f t="shared" si="24"/>
        <v>0</v>
      </c>
      <c r="P247">
        <f t="shared" si="25"/>
        <v>0</v>
      </c>
      <c r="Q247" t="b">
        <f t="shared" si="26"/>
        <v>1</v>
      </c>
      <c r="R247">
        <f t="shared" si="27"/>
        <v>0</v>
      </c>
    </row>
    <row r="248" spans="1:18" ht="19.5" x14ac:dyDescent="0.55000000000000004">
      <c r="A248" s="27"/>
      <c r="B248" s="31"/>
      <c r="C248" s="27"/>
      <c r="D248" s="26"/>
      <c r="E248" s="26"/>
      <c r="F248">
        <v>4969</v>
      </c>
      <c r="G248" t="s">
        <v>866</v>
      </c>
      <c r="H248" t="s">
        <v>34</v>
      </c>
      <c r="I248" t="s">
        <v>106</v>
      </c>
      <c r="L248" t="b">
        <f t="shared" si="21"/>
        <v>0</v>
      </c>
      <c r="M248" t="b">
        <f t="shared" si="22"/>
        <v>1</v>
      </c>
      <c r="N248" t="b">
        <f t="shared" si="23"/>
        <v>0</v>
      </c>
      <c r="O248" t="b">
        <f t="shared" si="24"/>
        <v>0</v>
      </c>
      <c r="P248">
        <f t="shared" si="25"/>
        <v>0</v>
      </c>
      <c r="Q248" t="b">
        <f t="shared" si="26"/>
        <v>1</v>
      </c>
      <c r="R248">
        <f t="shared" si="27"/>
        <v>0</v>
      </c>
    </row>
    <row r="249" spans="1:18" ht="19.5" x14ac:dyDescent="0.55000000000000004">
      <c r="A249" s="27"/>
      <c r="B249" s="31"/>
      <c r="C249" s="27"/>
      <c r="D249" s="26"/>
      <c r="E249" s="26"/>
      <c r="F249">
        <v>4821</v>
      </c>
      <c r="G249" t="s">
        <v>869</v>
      </c>
      <c r="H249" t="s">
        <v>34</v>
      </c>
      <c r="I249" t="s">
        <v>448</v>
      </c>
      <c r="L249" t="b">
        <f t="shared" si="21"/>
        <v>0</v>
      </c>
      <c r="M249" t="b">
        <f t="shared" si="22"/>
        <v>0</v>
      </c>
      <c r="N249" t="b">
        <f t="shared" si="23"/>
        <v>0</v>
      </c>
      <c r="O249" t="b">
        <f t="shared" si="24"/>
        <v>0</v>
      </c>
      <c r="P249">
        <f t="shared" si="25"/>
        <v>0</v>
      </c>
      <c r="Q249" t="b">
        <f t="shared" si="26"/>
        <v>1</v>
      </c>
      <c r="R249">
        <f t="shared" si="27"/>
        <v>0</v>
      </c>
    </row>
    <row r="250" spans="1:18" ht="19.5" x14ac:dyDescent="0.55000000000000004">
      <c r="A250" s="27"/>
      <c r="B250" s="31"/>
      <c r="C250" s="27"/>
      <c r="D250" s="26"/>
      <c r="E250" s="26"/>
      <c r="F250">
        <v>80381</v>
      </c>
      <c r="G250" t="s">
        <v>872</v>
      </c>
      <c r="H250" t="s">
        <v>34</v>
      </c>
      <c r="I250" t="s">
        <v>332</v>
      </c>
      <c r="L250" t="b">
        <f t="shared" si="21"/>
        <v>0</v>
      </c>
      <c r="M250" t="b">
        <f t="shared" si="22"/>
        <v>0</v>
      </c>
      <c r="N250" t="b">
        <f t="shared" si="23"/>
        <v>0</v>
      </c>
      <c r="O250" t="b">
        <f t="shared" si="24"/>
        <v>0</v>
      </c>
      <c r="P250">
        <f t="shared" si="25"/>
        <v>0</v>
      </c>
      <c r="Q250" t="b">
        <f t="shared" si="26"/>
        <v>1</v>
      </c>
      <c r="R250">
        <f t="shared" si="27"/>
        <v>0</v>
      </c>
    </row>
    <row r="251" spans="1:18" ht="19.5" x14ac:dyDescent="0.55000000000000004">
      <c r="A251" s="27"/>
      <c r="B251" s="31"/>
      <c r="C251" s="27"/>
      <c r="D251" s="26"/>
      <c r="E251" s="26"/>
      <c r="F251">
        <v>80382</v>
      </c>
      <c r="G251" t="s">
        <v>875</v>
      </c>
      <c r="H251" t="s">
        <v>34</v>
      </c>
      <c r="I251" t="s">
        <v>354</v>
      </c>
      <c r="L251" t="b">
        <f t="shared" si="21"/>
        <v>0</v>
      </c>
      <c r="M251" t="b">
        <f t="shared" si="22"/>
        <v>0</v>
      </c>
      <c r="N251" t="b">
        <f t="shared" si="23"/>
        <v>0</v>
      </c>
      <c r="O251" t="b">
        <f t="shared" si="24"/>
        <v>0</v>
      </c>
      <c r="P251">
        <f t="shared" si="25"/>
        <v>0</v>
      </c>
      <c r="Q251" t="b">
        <f t="shared" si="26"/>
        <v>1</v>
      </c>
      <c r="R251">
        <f t="shared" si="27"/>
        <v>0</v>
      </c>
    </row>
    <row r="252" spans="1:18" ht="19.5" x14ac:dyDescent="0.55000000000000004">
      <c r="A252" s="27"/>
      <c r="B252" s="31"/>
      <c r="C252" s="27"/>
      <c r="D252" s="26"/>
      <c r="E252" s="26"/>
      <c r="F252">
        <v>80383</v>
      </c>
      <c r="G252" t="s">
        <v>878</v>
      </c>
      <c r="H252" t="s">
        <v>34</v>
      </c>
      <c r="I252" t="s">
        <v>324</v>
      </c>
      <c r="L252" t="b">
        <f t="shared" si="21"/>
        <v>0</v>
      </c>
      <c r="M252" t="b">
        <f t="shared" si="22"/>
        <v>0</v>
      </c>
      <c r="N252" t="b">
        <f t="shared" si="23"/>
        <v>0</v>
      </c>
      <c r="O252" t="b">
        <f t="shared" si="24"/>
        <v>0</v>
      </c>
      <c r="P252">
        <f t="shared" si="25"/>
        <v>0</v>
      </c>
      <c r="Q252" t="b">
        <f t="shared" si="26"/>
        <v>1</v>
      </c>
      <c r="R252">
        <f t="shared" si="27"/>
        <v>0</v>
      </c>
    </row>
    <row r="253" spans="1:18" ht="19.5" x14ac:dyDescent="0.55000000000000004">
      <c r="A253" s="27"/>
      <c r="B253" s="31"/>
      <c r="C253" s="27"/>
      <c r="D253" s="26"/>
      <c r="E253" s="26"/>
      <c r="F253">
        <v>80419</v>
      </c>
      <c r="G253" t="s">
        <v>881</v>
      </c>
      <c r="H253" t="s">
        <v>34</v>
      </c>
      <c r="I253" t="s">
        <v>324</v>
      </c>
      <c r="L253" t="b">
        <f t="shared" si="21"/>
        <v>0</v>
      </c>
      <c r="M253" t="b">
        <f t="shared" si="22"/>
        <v>0</v>
      </c>
      <c r="N253" t="b">
        <f t="shared" si="23"/>
        <v>0</v>
      </c>
      <c r="O253" t="b">
        <f t="shared" si="24"/>
        <v>0</v>
      </c>
      <c r="P253">
        <f t="shared" si="25"/>
        <v>0</v>
      </c>
      <c r="Q253" t="b">
        <f t="shared" si="26"/>
        <v>1</v>
      </c>
      <c r="R253">
        <f t="shared" si="27"/>
        <v>0</v>
      </c>
    </row>
    <row r="254" spans="1:18" ht="19.5" x14ac:dyDescent="0.55000000000000004">
      <c r="A254" s="27"/>
      <c r="B254" s="31"/>
      <c r="C254" s="27"/>
      <c r="D254" s="26"/>
      <c r="E254" s="26"/>
      <c r="F254">
        <v>4937</v>
      </c>
      <c r="G254" t="s">
        <v>884</v>
      </c>
      <c r="H254" t="s">
        <v>34</v>
      </c>
      <c r="I254" t="s">
        <v>36</v>
      </c>
      <c r="L254" t="b">
        <f t="shared" si="21"/>
        <v>0</v>
      </c>
      <c r="M254" t="b">
        <f t="shared" si="22"/>
        <v>0</v>
      </c>
      <c r="N254" t="b">
        <f t="shared" si="23"/>
        <v>0</v>
      </c>
      <c r="O254" t="b">
        <f t="shared" si="24"/>
        <v>0</v>
      </c>
      <c r="P254">
        <f t="shared" si="25"/>
        <v>0</v>
      </c>
      <c r="Q254" t="b">
        <f t="shared" si="26"/>
        <v>1</v>
      </c>
      <c r="R254">
        <f t="shared" si="27"/>
        <v>0</v>
      </c>
    </row>
    <row r="255" spans="1:18" ht="19.5" x14ac:dyDescent="0.55000000000000004">
      <c r="A255" s="27"/>
      <c r="B255" s="31"/>
      <c r="C255" s="27"/>
      <c r="D255" s="26"/>
      <c r="E255" s="26"/>
      <c r="F255">
        <v>80411</v>
      </c>
      <c r="G255" t="s">
        <v>887</v>
      </c>
      <c r="H255" t="s">
        <v>34</v>
      </c>
      <c r="I255" t="s">
        <v>847</v>
      </c>
      <c r="L255" t="b">
        <f t="shared" si="21"/>
        <v>0</v>
      </c>
      <c r="M255" t="b">
        <f t="shared" si="22"/>
        <v>0</v>
      </c>
      <c r="N255" t="b">
        <f t="shared" si="23"/>
        <v>0</v>
      </c>
      <c r="O255" t="b">
        <f t="shared" si="24"/>
        <v>0</v>
      </c>
      <c r="P255">
        <f t="shared" si="25"/>
        <v>0</v>
      </c>
      <c r="Q255" t="b">
        <f t="shared" si="26"/>
        <v>1</v>
      </c>
      <c r="R255">
        <f t="shared" si="27"/>
        <v>0</v>
      </c>
    </row>
    <row r="256" spans="1:18" ht="19.5" x14ac:dyDescent="0.55000000000000004">
      <c r="A256" s="27"/>
      <c r="B256" s="31"/>
      <c r="C256" s="27"/>
      <c r="D256" s="26"/>
      <c r="E256" s="26"/>
      <c r="F256">
        <v>80036</v>
      </c>
      <c r="G256" t="s">
        <v>890</v>
      </c>
      <c r="H256" t="s">
        <v>34</v>
      </c>
      <c r="I256" t="s">
        <v>83</v>
      </c>
      <c r="L256" t="b">
        <f t="shared" si="21"/>
        <v>0</v>
      </c>
      <c r="M256" t="b">
        <f t="shared" si="22"/>
        <v>0</v>
      </c>
      <c r="N256" t="b">
        <f t="shared" si="23"/>
        <v>0</v>
      </c>
      <c r="O256" t="b">
        <f t="shared" si="24"/>
        <v>0</v>
      </c>
      <c r="P256">
        <f t="shared" si="25"/>
        <v>0</v>
      </c>
      <c r="Q256" t="b">
        <f t="shared" si="26"/>
        <v>1</v>
      </c>
      <c r="R256">
        <f t="shared" si="27"/>
        <v>0</v>
      </c>
    </row>
    <row r="257" spans="1:18" ht="19.5" x14ac:dyDescent="0.55000000000000004">
      <c r="A257" s="27"/>
      <c r="B257" s="31"/>
      <c r="C257" s="27"/>
      <c r="D257" s="26"/>
      <c r="E257" s="26"/>
      <c r="F257">
        <v>80403</v>
      </c>
      <c r="G257" t="s">
        <v>893</v>
      </c>
      <c r="H257" t="s">
        <v>34</v>
      </c>
      <c r="I257" t="s">
        <v>847</v>
      </c>
      <c r="L257" t="b">
        <f t="shared" si="21"/>
        <v>0</v>
      </c>
      <c r="M257" t="b">
        <f t="shared" si="22"/>
        <v>0</v>
      </c>
      <c r="N257" t="b">
        <f t="shared" si="23"/>
        <v>0</v>
      </c>
      <c r="O257" t="b">
        <f t="shared" si="24"/>
        <v>0</v>
      </c>
      <c r="P257">
        <f t="shared" si="25"/>
        <v>0</v>
      </c>
      <c r="Q257" t="b">
        <f t="shared" si="26"/>
        <v>1</v>
      </c>
      <c r="R257">
        <f t="shared" si="27"/>
        <v>0</v>
      </c>
    </row>
    <row r="258" spans="1:18" ht="19.5" x14ac:dyDescent="0.55000000000000004">
      <c r="A258" s="27"/>
      <c r="B258" s="31"/>
      <c r="C258" s="27"/>
      <c r="D258" s="26"/>
      <c r="E258" s="26"/>
      <c r="F258">
        <v>80389</v>
      </c>
      <c r="G258" t="s">
        <v>896</v>
      </c>
      <c r="H258" t="s">
        <v>34</v>
      </c>
      <c r="I258" t="s">
        <v>847</v>
      </c>
      <c r="L258" t="b">
        <f t="shared" si="21"/>
        <v>0</v>
      </c>
      <c r="M258" t="b">
        <f t="shared" si="22"/>
        <v>0</v>
      </c>
      <c r="N258" t="b">
        <f t="shared" si="23"/>
        <v>0</v>
      </c>
      <c r="O258" t="b">
        <f t="shared" si="24"/>
        <v>0</v>
      </c>
      <c r="P258">
        <f t="shared" si="25"/>
        <v>0</v>
      </c>
      <c r="Q258" t="b">
        <f t="shared" si="26"/>
        <v>1</v>
      </c>
      <c r="R258">
        <f t="shared" si="27"/>
        <v>0</v>
      </c>
    </row>
    <row r="259" spans="1:18" ht="19.5" x14ac:dyDescent="0.55000000000000004">
      <c r="A259" s="27"/>
      <c r="B259" s="31"/>
      <c r="C259" s="27"/>
      <c r="D259" s="26"/>
      <c r="E259" s="26"/>
      <c r="F259">
        <v>80390</v>
      </c>
      <c r="G259" t="s">
        <v>899</v>
      </c>
      <c r="H259" t="s">
        <v>34</v>
      </c>
      <c r="I259" t="s">
        <v>847</v>
      </c>
      <c r="L259" t="b">
        <f t="shared" ref="L259:L322" si="28">IF(TRIM($B$3)="",TRUE,ISNUMBER(SEARCH(TRIM(MID(SUBSTITUTE($B$3," ",REPT(" ",100)),1,100)),G259)))</f>
        <v>0</v>
      </c>
      <c r="M259" t="b">
        <f t="shared" ref="M259:M322" si="29">IF(LEN(TRIM($B$3))-LEN(SUBSTITUTE(TRIM($B$3)," ",""))&lt;1,TRUE,ISNUMBER(SEARCH(TRIM(MID(SUBSTITUTE($B$3," ",REPT(" ",100)),101,100)),G259)))</f>
        <v>0</v>
      </c>
      <c r="N259" t="b">
        <f t="shared" ref="N259:N322" si="30">IF(LEN(TRIM($B$3))-LEN(SUBSTITUTE(TRIM($B$3)," ",""))&lt;2,TRUE,ISNUMBER(SEARCH(TRIM(MID(SUBSTITUTE($B$3," ",REPT(" ",100)),201,100)),G259)))</f>
        <v>0</v>
      </c>
      <c r="O259" t="b">
        <f t="shared" ref="O259:O322" si="31">IF(LEN(TRIM($B$3))-LEN(SUBSTITUTE(TRIM($B$3)," ",""))&lt;3,TRUE,ISNUMBER(SEARCH(TRIM(MID(SUBSTITUTE($B$3," ",REPT(" ",100)),301,100)),G259)))</f>
        <v>0</v>
      </c>
      <c r="P259">
        <f t="shared" ref="P259:P322" si="32">L259*M259*N259*O259</f>
        <v>0</v>
      </c>
      <c r="Q259" t="b">
        <f t="shared" ref="Q259:Q322" si="33">IF(OR(TRIM($B$2)="",$B$2="(Todos)"),TRUE,EXACT(I259,$B$2))</f>
        <v>1</v>
      </c>
      <c r="R259">
        <f t="shared" ref="R259:R322" si="34">P259*Q259</f>
        <v>0</v>
      </c>
    </row>
    <row r="260" spans="1:18" ht="19.5" x14ac:dyDescent="0.55000000000000004">
      <c r="A260" s="27"/>
      <c r="B260" s="31"/>
      <c r="C260" s="27"/>
      <c r="D260" s="26"/>
      <c r="E260" s="26"/>
      <c r="F260">
        <v>80371</v>
      </c>
      <c r="G260" t="s">
        <v>902</v>
      </c>
      <c r="H260" t="s">
        <v>34</v>
      </c>
      <c r="I260" t="s">
        <v>847</v>
      </c>
      <c r="L260" t="b">
        <f t="shared" si="28"/>
        <v>0</v>
      </c>
      <c r="M260" t="b">
        <f t="shared" si="29"/>
        <v>0</v>
      </c>
      <c r="N260" t="b">
        <f t="shared" si="30"/>
        <v>0</v>
      </c>
      <c r="O260" t="b">
        <f t="shared" si="31"/>
        <v>0</v>
      </c>
      <c r="P260">
        <f t="shared" si="32"/>
        <v>0</v>
      </c>
      <c r="Q260" t="b">
        <f t="shared" si="33"/>
        <v>1</v>
      </c>
      <c r="R260">
        <f t="shared" si="34"/>
        <v>0</v>
      </c>
    </row>
    <row r="261" spans="1:18" ht="19.5" x14ac:dyDescent="0.55000000000000004">
      <c r="A261" s="27"/>
      <c r="B261" s="31"/>
      <c r="C261" s="27"/>
      <c r="D261" s="26"/>
      <c r="E261" s="26"/>
      <c r="F261">
        <v>4851</v>
      </c>
      <c r="G261" t="s">
        <v>905</v>
      </c>
      <c r="H261" t="s">
        <v>34</v>
      </c>
      <c r="I261" t="s">
        <v>218</v>
      </c>
      <c r="L261" t="b">
        <f t="shared" si="28"/>
        <v>0</v>
      </c>
      <c r="M261" t="b">
        <f t="shared" si="29"/>
        <v>0</v>
      </c>
      <c r="N261" t="b">
        <f t="shared" si="30"/>
        <v>0</v>
      </c>
      <c r="O261" t="b">
        <f t="shared" si="31"/>
        <v>0</v>
      </c>
      <c r="P261">
        <f t="shared" si="32"/>
        <v>0</v>
      </c>
      <c r="Q261" t="b">
        <f t="shared" si="33"/>
        <v>1</v>
      </c>
      <c r="R261">
        <f t="shared" si="34"/>
        <v>0</v>
      </c>
    </row>
    <row r="262" spans="1:18" ht="19.5" x14ac:dyDescent="0.55000000000000004">
      <c r="A262" s="27"/>
      <c r="B262" s="31"/>
      <c r="C262" s="27"/>
      <c r="D262" s="26"/>
      <c r="E262" s="26"/>
      <c r="F262">
        <v>4983</v>
      </c>
      <c r="G262" t="s">
        <v>908</v>
      </c>
      <c r="H262" t="s">
        <v>34</v>
      </c>
      <c r="I262" t="s">
        <v>71</v>
      </c>
      <c r="L262" t="b">
        <f t="shared" si="28"/>
        <v>0</v>
      </c>
      <c r="M262" t="b">
        <f t="shared" si="29"/>
        <v>0</v>
      </c>
      <c r="N262" t="b">
        <f t="shared" si="30"/>
        <v>0</v>
      </c>
      <c r="O262" t="b">
        <f t="shared" si="31"/>
        <v>0</v>
      </c>
      <c r="P262">
        <f t="shared" si="32"/>
        <v>0</v>
      </c>
      <c r="Q262" t="b">
        <f t="shared" si="33"/>
        <v>1</v>
      </c>
      <c r="R262">
        <f t="shared" si="34"/>
        <v>0</v>
      </c>
    </row>
    <row r="263" spans="1:18" ht="19.5" x14ac:dyDescent="0.55000000000000004">
      <c r="A263" s="27"/>
      <c r="B263" s="31"/>
      <c r="C263" s="27"/>
      <c r="D263" s="26"/>
      <c r="E263" s="26"/>
      <c r="F263">
        <v>4848</v>
      </c>
      <c r="G263" t="s">
        <v>911</v>
      </c>
      <c r="H263" t="s">
        <v>34</v>
      </c>
      <c r="I263" t="s">
        <v>221</v>
      </c>
      <c r="L263" t="b">
        <f t="shared" si="28"/>
        <v>0</v>
      </c>
      <c r="M263" t="b">
        <f t="shared" si="29"/>
        <v>1</v>
      </c>
      <c r="N263" t="b">
        <f t="shared" si="30"/>
        <v>0</v>
      </c>
      <c r="O263" t="b">
        <f t="shared" si="31"/>
        <v>0</v>
      </c>
      <c r="P263">
        <f t="shared" si="32"/>
        <v>0</v>
      </c>
      <c r="Q263" t="b">
        <f t="shared" si="33"/>
        <v>1</v>
      </c>
      <c r="R263">
        <f t="shared" si="34"/>
        <v>0</v>
      </c>
    </row>
    <row r="264" spans="1:18" ht="19.5" x14ac:dyDescent="0.55000000000000004">
      <c r="A264" s="27"/>
      <c r="B264" s="31"/>
      <c r="C264" s="27"/>
      <c r="D264" s="26"/>
      <c r="E264" s="26"/>
      <c r="F264">
        <v>4849</v>
      </c>
      <c r="G264" t="s">
        <v>914</v>
      </c>
      <c r="H264" t="s">
        <v>34</v>
      </c>
      <c r="I264" t="s">
        <v>221</v>
      </c>
      <c r="L264" t="b">
        <f t="shared" si="28"/>
        <v>0</v>
      </c>
      <c r="M264" t="b">
        <f t="shared" si="29"/>
        <v>1</v>
      </c>
      <c r="N264" t="b">
        <f t="shared" si="30"/>
        <v>0</v>
      </c>
      <c r="O264" t="b">
        <f t="shared" si="31"/>
        <v>0</v>
      </c>
      <c r="P264">
        <f t="shared" si="32"/>
        <v>0</v>
      </c>
      <c r="Q264" t="b">
        <f t="shared" si="33"/>
        <v>1</v>
      </c>
      <c r="R264">
        <f t="shared" si="34"/>
        <v>0</v>
      </c>
    </row>
    <row r="265" spans="1:18" ht="19.5" x14ac:dyDescent="0.55000000000000004">
      <c r="A265" s="27"/>
      <c r="B265" s="31"/>
      <c r="C265" s="27"/>
      <c r="D265" s="26"/>
      <c r="E265" s="26"/>
      <c r="F265">
        <v>4846</v>
      </c>
      <c r="G265" t="s">
        <v>917</v>
      </c>
      <c r="H265" t="s">
        <v>34</v>
      </c>
      <c r="I265" t="s">
        <v>221</v>
      </c>
      <c r="L265" t="b">
        <f t="shared" si="28"/>
        <v>0</v>
      </c>
      <c r="M265" t="b">
        <f t="shared" si="29"/>
        <v>0</v>
      </c>
      <c r="N265" t="b">
        <f t="shared" si="30"/>
        <v>0</v>
      </c>
      <c r="O265" t="b">
        <f t="shared" si="31"/>
        <v>0</v>
      </c>
      <c r="P265">
        <f t="shared" si="32"/>
        <v>0</v>
      </c>
      <c r="Q265" t="b">
        <f t="shared" si="33"/>
        <v>1</v>
      </c>
      <c r="R265">
        <f t="shared" si="34"/>
        <v>0</v>
      </c>
    </row>
    <row r="266" spans="1:18" ht="19.5" x14ac:dyDescent="0.55000000000000004">
      <c r="A266" s="27"/>
      <c r="B266" s="31"/>
      <c r="C266" s="27"/>
      <c r="D266" s="26"/>
      <c r="E266" s="26"/>
      <c r="F266">
        <v>4847</v>
      </c>
      <c r="G266" t="s">
        <v>920</v>
      </c>
      <c r="H266" t="s">
        <v>34</v>
      </c>
      <c r="I266" t="s">
        <v>221</v>
      </c>
      <c r="L266" t="b">
        <f t="shared" si="28"/>
        <v>0</v>
      </c>
      <c r="M266" t="b">
        <f t="shared" si="29"/>
        <v>0</v>
      </c>
      <c r="N266" t="b">
        <f t="shared" si="30"/>
        <v>0</v>
      </c>
      <c r="O266" t="b">
        <f t="shared" si="31"/>
        <v>0</v>
      </c>
      <c r="P266">
        <f t="shared" si="32"/>
        <v>0</v>
      </c>
      <c r="Q266" t="b">
        <f t="shared" si="33"/>
        <v>1</v>
      </c>
      <c r="R266">
        <f t="shared" si="34"/>
        <v>0</v>
      </c>
    </row>
    <row r="267" spans="1:18" ht="19.5" x14ac:dyDescent="0.55000000000000004">
      <c r="A267" s="27"/>
      <c r="B267" s="31"/>
      <c r="C267" s="27"/>
      <c r="D267" s="26"/>
      <c r="E267" s="26"/>
      <c r="F267">
        <v>4956</v>
      </c>
      <c r="G267" t="s">
        <v>922</v>
      </c>
      <c r="H267" t="s">
        <v>75</v>
      </c>
      <c r="I267" t="s">
        <v>67</v>
      </c>
      <c r="L267" t="b">
        <f t="shared" si="28"/>
        <v>0</v>
      </c>
      <c r="M267" t="b">
        <f t="shared" si="29"/>
        <v>0</v>
      </c>
      <c r="N267" t="b">
        <f t="shared" si="30"/>
        <v>0</v>
      </c>
      <c r="O267" t="b">
        <f t="shared" si="31"/>
        <v>0</v>
      </c>
      <c r="P267">
        <f t="shared" si="32"/>
        <v>0</v>
      </c>
      <c r="Q267" t="b">
        <f t="shared" si="33"/>
        <v>1</v>
      </c>
      <c r="R267">
        <f t="shared" si="34"/>
        <v>0</v>
      </c>
    </row>
    <row r="268" spans="1:18" ht="19.5" x14ac:dyDescent="0.55000000000000004">
      <c r="A268" s="27"/>
      <c r="B268" s="31"/>
      <c r="C268" s="27"/>
      <c r="D268" s="26"/>
      <c r="E268" s="26"/>
      <c r="F268">
        <v>80392</v>
      </c>
      <c r="G268" t="s">
        <v>925</v>
      </c>
      <c r="H268" t="s">
        <v>34</v>
      </c>
      <c r="I268" t="s">
        <v>847</v>
      </c>
      <c r="L268" t="b">
        <f t="shared" si="28"/>
        <v>0</v>
      </c>
      <c r="M268" t="b">
        <f t="shared" si="29"/>
        <v>0</v>
      </c>
      <c r="N268" t="b">
        <f t="shared" si="30"/>
        <v>0</v>
      </c>
      <c r="O268" t="b">
        <f t="shared" si="31"/>
        <v>0</v>
      </c>
      <c r="P268">
        <f t="shared" si="32"/>
        <v>0</v>
      </c>
      <c r="Q268" t="b">
        <f t="shared" si="33"/>
        <v>1</v>
      </c>
      <c r="R268">
        <f t="shared" si="34"/>
        <v>0</v>
      </c>
    </row>
    <row r="269" spans="1:18" ht="19.5" x14ac:dyDescent="0.55000000000000004">
      <c r="A269" s="27"/>
      <c r="B269" s="31"/>
      <c r="C269" s="27"/>
      <c r="D269" s="26"/>
      <c r="E269" s="26"/>
      <c r="F269">
        <v>80037</v>
      </c>
      <c r="G269" t="s">
        <v>928</v>
      </c>
      <c r="H269" t="s">
        <v>34</v>
      </c>
      <c r="I269" t="s">
        <v>83</v>
      </c>
      <c r="L269" t="b">
        <f t="shared" si="28"/>
        <v>0</v>
      </c>
      <c r="M269" t="b">
        <f t="shared" si="29"/>
        <v>0</v>
      </c>
      <c r="N269" t="b">
        <f t="shared" si="30"/>
        <v>0</v>
      </c>
      <c r="O269" t="b">
        <f t="shared" si="31"/>
        <v>0</v>
      </c>
      <c r="P269">
        <f t="shared" si="32"/>
        <v>0</v>
      </c>
      <c r="Q269" t="b">
        <f t="shared" si="33"/>
        <v>1</v>
      </c>
      <c r="R269">
        <f t="shared" si="34"/>
        <v>0</v>
      </c>
    </row>
    <row r="270" spans="1:18" ht="19.5" x14ac:dyDescent="0.55000000000000004">
      <c r="A270" s="27"/>
      <c r="B270" s="31"/>
      <c r="C270" s="27"/>
      <c r="D270" s="26"/>
      <c r="E270" s="26"/>
      <c r="F270">
        <v>4958</v>
      </c>
      <c r="G270" t="s">
        <v>931</v>
      </c>
      <c r="H270" t="s">
        <v>111</v>
      </c>
      <c r="I270" t="s">
        <v>67</v>
      </c>
      <c r="L270" t="b">
        <f t="shared" si="28"/>
        <v>0</v>
      </c>
      <c r="M270" t="b">
        <f t="shared" si="29"/>
        <v>0</v>
      </c>
      <c r="N270" t="b">
        <f t="shared" si="30"/>
        <v>0</v>
      </c>
      <c r="O270" t="b">
        <f t="shared" si="31"/>
        <v>0</v>
      </c>
      <c r="P270">
        <f t="shared" si="32"/>
        <v>0</v>
      </c>
      <c r="Q270" t="b">
        <f t="shared" si="33"/>
        <v>1</v>
      </c>
      <c r="R270">
        <f t="shared" si="34"/>
        <v>0</v>
      </c>
    </row>
    <row r="271" spans="1:18" ht="19.5" x14ac:dyDescent="0.55000000000000004">
      <c r="A271" s="27"/>
      <c r="B271" s="31"/>
      <c r="C271" s="27"/>
      <c r="D271" s="26"/>
      <c r="E271" s="26"/>
      <c r="F271">
        <v>4987</v>
      </c>
      <c r="G271" t="s">
        <v>934</v>
      </c>
      <c r="H271" t="s">
        <v>34</v>
      </c>
      <c r="I271" t="s">
        <v>847</v>
      </c>
      <c r="L271" t="b">
        <f t="shared" si="28"/>
        <v>0</v>
      </c>
      <c r="M271" t="b">
        <f t="shared" si="29"/>
        <v>0</v>
      </c>
      <c r="N271" t="b">
        <f t="shared" si="30"/>
        <v>0</v>
      </c>
      <c r="O271" t="b">
        <f t="shared" si="31"/>
        <v>0</v>
      </c>
      <c r="P271">
        <f t="shared" si="32"/>
        <v>0</v>
      </c>
      <c r="Q271" t="b">
        <f t="shared" si="33"/>
        <v>1</v>
      </c>
      <c r="R271">
        <f t="shared" si="34"/>
        <v>0</v>
      </c>
    </row>
    <row r="272" spans="1:18" ht="19.5" x14ac:dyDescent="0.55000000000000004">
      <c r="A272" s="27"/>
      <c r="B272" s="31"/>
      <c r="C272" s="27"/>
      <c r="D272" s="26"/>
      <c r="E272" s="26"/>
      <c r="F272">
        <v>80042</v>
      </c>
      <c r="G272" t="s">
        <v>936</v>
      </c>
      <c r="H272" t="s">
        <v>34</v>
      </c>
      <c r="I272" t="s">
        <v>36</v>
      </c>
      <c r="L272" t="b">
        <f t="shared" si="28"/>
        <v>0</v>
      </c>
      <c r="M272" t="b">
        <f t="shared" si="29"/>
        <v>0</v>
      </c>
      <c r="N272" t="b">
        <f t="shared" si="30"/>
        <v>0</v>
      </c>
      <c r="O272" t="b">
        <f t="shared" si="31"/>
        <v>0</v>
      </c>
      <c r="P272">
        <f t="shared" si="32"/>
        <v>0</v>
      </c>
      <c r="Q272" t="b">
        <f t="shared" si="33"/>
        <v>1</v>
      </c>
      <c r="R272">
        <f t="shared" si="34"/>
        <v>0</v>
      </c>
    </row>
    <row r="273" spans="1:18" ht="19.5" x14ac:dyDescent="0.55000000000000004">
      <c r="A273" s="27"/>
      <c r="B273" s="31"/>
      <c r="C273" s="27"/>
      <c r="D273" s="26"/>
      <c r="E273" s="26"/>
      <c r="F273">
        <v>80043</v>
      </c>
      <c r="G273" t="s">
        <v>939</v>
      </c>
      <c r="H273" t="s">
        <v>34</v>
      </c>
      <c r="I273" t="s">
        <v>36</v>
      </c>
      <c r="L273" t="b">
        <f t="shared" si="28"/>
        <v>0</v>
      </c>
      <c r="M273" t="b">
        <f t="shared" si="29"/>
        <v>0</v>
      </c>
      <c r="N273" t="b">
        <f t="shared" si="30"/>
        <v>0</v>
      </c>
      <c r="O273" t="b">
        <f t="shared" si="31"/>
        <v>0</v>
      </c>
      <c r="P273">
        <f t="shared" si="32"/>
        <v>0</v>
      </c>
      <c r="Q273" t="b">
        <f t="shared" si="33"/>
        <v>1</v>
      </c>
      <c r="R273">
        <f t="shared" si="34"/>
        <v>0</v>
      </c>
    </row>
    <row r="274" spans="1:18" ht="19.5" x14ac:dyDescent="0.55000000000000004">
      <c r="A274" s="27"/>
      <c r="B274" s="31"/>
      <c r="C274" s="27"/>
      <c r="D274" s="26"/>
      <c r="E274" s="26"/>
      <c r="F274">
        <v>4932</v>
      </c>
      <c r="G274" t="s">
        <v>941</v>
      </c>
      <c r="H274" t="s">
        <v>34</v>
      </c>
      <c r="I274" t="s">
        <v>36</v>
      </c>
      <c r="L274" t="b">
        <f t="shared" si="28"/>
        <v>0</v>
      </c>
      <c r="M274" t="b">
        <f t="shared" si="29"/>
        <v>1</v>
      </c>
      <c r="N274" t="b">
        <f t="shared" si="30"/>
        <v>0</v>
      </c>
      <c r="O274" t="b">
        <f t="shared" si="31"/>
        <v>0</v>
      </c>
      <c r="P274">
        <f t="shared" si="32"/>
        <v>0</v>
      </c>
      <c r="Q274" t="b">
        <f t="shared" si="33"/>
        <v>1</v>
      </c>
      <c r="R274">
        <f t="shared" si="34"/>
        <v>0</v>
      </c>
    </row>
    <row r="275" spans="1:18" ht="19.5" x14ac:dyDescent="0.55000000000000004">
      <c r="A275" s="27"/>
      <c r="B275" s="31"/>
      <c r="C275" s="27"/>
      <c r="D275" s="26"/>
      <c r="E275" s="26"/>
      <c r="F275">
        <v>80041</v>
      </c>
      <c r="G275" t="s">
        <v>944</v>
      </c>
      <c r="H275" t="s">
        <v>34</v>
      </c>
      <c r="I275" t="s">
        <v>36</v>
      </c>
      <c r="L275" t="b">
        <f t="shared" si="28"/>
        <v>0</v>
      </c>
      <c r="M275" t="b">
        <f t="shared" si="29"/>
        <v>1</v>
      </c>
      <c r="N275" t="b">
        <f t="shared" si="30"/>
        <v>0</v>
      </c>
      <c r="O275" t="b">
        <f t="shared" si="31"/>
        <v>0</v>
      </c>
      <c r="P275">
        <f t="shared" si="32"/>
        <v>0</v>
      </c>
      <c r="Q275" t="b">
        <f t="shared" si="33"/>
        <v>1</v>
      </c>
      <c r="R275">
        <f t="shared" si="34"/>
        <v>0</v>
      </c>
    </row>
    <row r="276" spans="1:18" ht="19.5" x14ac:dyDescent="0.55000000000000004">
      <c r="A276" s="27"/>
      <c r="B276" s="31"/>
      <c r="C276" s="27"/>
      <c r="D276" s="26"/>
      <c r="E276" s="26"/>
      <c r="F276">
        <v>4940</v>
      </c>
      <c r="G276" t="s">
        <v>947</v>
      </c>
      <c r="H276" t="s">
        <v>34</v>
      </c>
      <c r="I276" t="s">
        <v>36</v>
      </c>
      <c r="L276" t="b">
        <f t="shared" si="28"/>
        <v>0</v>
      </c>
      <c r="M276" t="b">
        <f t="shared" si="29"/>
        <v>0</v>
      </c>
      <c r="N276" t="b">
        <f t="shared" si="30"/>
        <v>0</v>
      </c>
      <c r="O276" t="b">
        <f t="shared" si="31"/>
        <v>0</v>
      </c>
      <c r="P276">
        <f t="shared" si="32"/>
        <v>0</v>
      </c>
      <c r="Q276" t="b">
        <f t="shared" si="33"/>
        <v>1</v>
      </c>
      <c r="R276">
        <f t="shared" si="34"/>
        <v>0</v>
      </c>
    </row>
    <row r="277" spans="1:18" ht="19.5" x14ac:dyDescent="0.55000000000000004">
      <c r="A277" s="27"/>
      <c r="B277" s="31"/>
      <c r="C277" s="27"/>
      <c r="D277" s="26"/>
      <c r="E277" s="26"/>
      <c r="F277">
        <v>80413</v>
      </c>
      <c r="G277" t="s">
        <v>950</v>
      </c>
      <c r="H277" t="s">
        <v>34</v>
      </c>
      <c r="I277" t="s">
        <v>36</v>
      </c>
      <c r="L277" t="b">
        <f t="shared" si="28"/>
        <v>0</v>
      </c>
      <c r="M277" t="b">
        <f t="shared" si="29"/>
        <v>0</v>
      </c>
      <c r="N277" t="b">
        <f t="shared" si="30"/>
        <v>0</v>
      </c>
      <c r="O277" t="b">
        <f t="shared" si="31"/>
        <v>0</v>
      </c>
      <c r="P277">
        <f t="shared" si="32"/>
        <v>0</v>
      </c>
      <c r="Q277" t="b">
        <f t="shared" si="33"/>
        <v>1</v>
      </c>
      <c r="R277">
        <f t="shared" si="34"/>
        <v>0</v>
      </c>
    </row>
    <row r="278" spans="1:18" ht="19.5" x14ac:dyDescent="0.55000000000000004">
      <c r="A278" s="27"/>
      <c r="B278" s="31"/>
      <c r="C278" s="27"/>
      <c r="D278" s="26"/>
      <c r="E278" s="26"/>
      <c r="F278">
        <v>4931</v>
      </c>
      <c r="G278" t="s">
        <v>953</v>
      </c>
      <c r="H278" t="s">
        <v>34</v>
      </c>
      <c r="I278" t="s">
        <v>36</v>
      </c>
      <c r="L278" t="b">
        <f t="shared" si="28"/>
        <v>0</v>
      </c>
      <c r="M278" t="b">
        <f t="shared" si="29"/>
        <v>0</v>
      </c>
      <c r="N278" t="b">
        <f t="shared" si="30"/>
        <v>0</v>
      </c>
      <c r="O278" t="b">
        <f t="shared" si="31"/>
        <v>0</v>
      </c>
      <c r="P278">
        <f t="shared" si="32"/>
        <v>0</v>
      </c>
      <c r="Q278" t="b">
        <f t="shared" si="33"/>
        <v>1</v>
      </c>
      <c r="R278">
        <f t="shared" si="34"/>
        <v>0</v>
      </c>
    </row>
    <row r="279" spans="1:18" ht="19.5" x14ac:dyDescent="0.55000000000000004">
      <c r="A279" s="27"/>
      <c r="B279" s="31"/>
      <c r="C279" s="27"/>
      <c r="D279" s="26"/>
      <c r="E279" s="26"/>
      <c r="F279">
        <v>80035</v>
      </c>
      <c r="G279" t="s">
        <v>956</v>
      </c>
      <c r="H279" t="s">
        <v>34</v>
      </c>
      <c r="I279" t="s">
        <v>218</v>
      </c>
      <c r="L279" t="b">
        <f t="shared" si="28"/>
        <v>0</v>
      </c>
      <c r="M279" t="b">
        <f t="shared" si="29"/>
        <v>0</v>
      </c>
      <c r="N279" t="b">
        <f t="shared" si="30"/>
        <v>0</v>
      </c>
      <c r="O279" t="b">
        <f t="shared" si="31"/>
        <v>0</v>
      </c>
      <c r="P279">
        <f t="shared" si="32"/>
        <v>0</v>
      </c>
      <c r="Q279" t="b">
        <f t="shared" si="33"/>
        <v>1</v>
      </c>
      <c r="R279">
        <f t="shared" si="34"/>
        <v>0</v>
      </c>
    </row>
    <row r="280" spans="1:18" ht="19.5" x14ac:dyDescent="0.55000000000000004">
      <c r="A280" s="27"/>
      <c r="B280" s="31"/>
      <c r="C280" s="27"/>
      <c r="D280" s="26"/>
      <c r="E280" s="26"/>
      <c r="F280">
        <v>4865</v>
      </c>
      <c r="G280" t="s">
        <v>959</v>
      </c>
      <c r="H280" t="s">
        <v>34</v>
      </c>
      <c r="I280" t="s">
        <v>218</v>
      </c>
      <c r="L280" t="b">
        <f t="shared" si="28"/>
        <v>0</v>
      </c>
      <c r="M280" t="b">
        <f t="shared" si="29"/>
        <v>0</v>
      </c>
      <c r="N280" t="b">
        <f t="shared" si="30"/>
        <v>0</v>
      </c>
      <c r="O280" t="b">
        <f t="shared" si="31"/>
        <v>0</v>
      </c>
      <c r="P280">
        <f t="shared" si="32"/>
        <v>0</v>
      </c>
      <c r="Q280" t="b">
        <f t="shared" si="33"/>
        <v>1</v>
      </c>
      <c r="R280">
        <f t="shared" si="34"/>
        <v>0</v>
      </c>
    </row>
    <row r="281" spans="1:18" ht="19.5" x14ac:dyDescent="0.55000000000000004">
      <c r="A281" s="27"/>
      <c r="B281" s="31"/>
      <c r="C281" s="27"/>
      <c r="D281" s="26"/>
      <c r="E281" s="26"/>
      <c r="F281">
        <v>4845</v>
      </c>
      <c r="G281" t="s">
        <v>962</v>
      </c>
      <c r="H281" t="s">
        <v>34</v>
      </c>
      <c r="I281" t="s">
        <v>218</v>
      </c>
      <c r="L281" t="b">
        <f t="shared" si="28"/>
        <v>0</v>
      </c>
      <c r="M281" t="b">
        <f t="shared" si="29"/>
        <v>0</v>
      </c>
      <c r="N281" t="b">
        <f t="shared" si="30"/>
        <v>0</v>
      </c>
      <c r="O281" t="b">
        <f t="shared" si="31"/>
        <v>0</v>
      </c>
      <c r="P281">
        <f t="shared" si="32"/>
        <v>0</v>
      </c>
      <c r="Q281" t="b">
        <f t="shared" si="33"/>
        <v>1</v>
      </c>
      <c r="R281">
        <f t="shared" si="34"/>
        <v>0</v>
      </c>
    </row>
    <row r="282" spans="1:18" ht="19.5" x14ac:dyDescent="0.55000000000000004">
      <c r="A282" s="27"/>
      <c r="B282" s="31"/>
      <c r="C282" s="27"/>
      <c r="D282" s="26"/>
      <c r="E282" s="26"/>
      <c r="F282">
        <v>4852</v>
      </c>
      <c r="G282" t="s">
        <v>965</v>
      </c>
      <c r="H282" t="s">
        <v>111</v>
      </c>
      <c r="I282" t="s">
        <v>221</v>
      </c>
      <c r="L282" t="b">
        <f t="shared" si="28"/>
        <v>0</v>
      </c>
      <c r="M282" t="b">
        <f t="shared" si="29"/>
        <v>0</v>
      </c>
      <c r="N282" t="b">
        <f t="shared" si="30"/>
        <v>0</v>
      </c>
      <c r="O282" t="b">
        <f t="shared" si="31"/>
        <v>0</v>
      </c>
      <c r="P282">
        <f t="shared" si="32"/>
        <v>0</v>
      </c>
      <c r="Q282" t="b">
        <f t="shared" si="33"/>
        <v>1</v>
      </c>
      <c r="R282">
        <f t="shared" si="34"/>
        <v>0</v>
      </c>
    </row>
    <row r="283" spans="1:18" ht="19.5" x14ac:dyDescent="0.55000000000000004">
      <c r="A283" s="27"/>
      <c r="B283" s="31"/>
      <c r="C283" s="27"/>
      <c r="D283" s="26"/>
      <c r="E283" s="26"/>
      <c r="F283">
        <v>4834</v>
      </c>
      <c r="G283" t="s">
        <v>968</v>
      </c>
      <c r="H283" t="s">
        <v>34</v>
      </c>
      <c r="I283" t="s">
        <v>229</v>
      </c>
      <c r="L283" t="b">
        <f t="shared" si="28"/>
        <v>0</v>
      </c>
      <c r="M283" t="b">
        <f t="shared" si="29"/>
        <v>0</v>
      </c>
      <c r="N283" t="b">
        <f t="shared" si="30"/>
        <v>0</v>
      </c>
      <c r="O283" t="b">
        <f t="shared" si="31"/>
        <v>0</v>
      </c>
      <c r="P283">
        <f t="shared" si="32"/>
        <v>0</v>
      </c>
      <c r="Q283" t="b">
        <f t="shared" si="33"/>
        <v>1</v>
      </c>
      <c r="R283">
        <f t="shared" si="34"/>
        <v>0</v>
      </c>
    </row>
    <row r="284" spans="1:18" ht="19.5" x14ac:dyDescent="0.55000000000000004">
      <c r="A284" s="27"/>
      <c r="B284" s="31"/>
      <c r="C284" s="27"/>
      <c r="D284" s="26"/>
      <c r="E284" s="26"/>
      <c r="F284">
        <v>4835</v>
      </c>
      <c r="G284" t="s">
        <v>971</v>
      </c>
      <c r="H284" t="s">
        <v>34</v>
      </c>
      <c r="I284" t="s">
        <v>229</v>
      </c>
      <c r="L284" t="b">
        <f t="shared" si="28"/>
        <v>0</v>
      </c>
      <c r="M284" t="b">
        <f t="shared" si="29"/>
        <v>0</v>
      </c>
      <c r="N284" t="b">
        <f t="shared" si="30"/>
        <v>0</v>
      </c>
      <c r="O284" t="b">
        <f t="shared" si="31"/>
        <v>0</v>
      </c>
      <c r="P284">
        <f t="shared" si="32"/>
        <v>0</v>
      </c>
      <c r="Q284" t="b">
        <f t="shared" si="33"/>
        <v>1</v>
      </c>
      <c r="R284">
        <f t="shared" si="34"/>
        <v>0</v>
      </c>
    </row>
    <row r="285" spans="1:18" ht="19.5" x14ac:dyDescent="0.55000000000000004">
      <c r="A285" s="27"/>
      <c r="B285" s="31"/>
      <c r="C285" s="27"/>
      <c r="D285" s="26"/>
      <c r="E285" s="26"/>
      <c r="F285">
        <v>4871</v>
      </c>
      <c r="G285" t="s">
        <v>974</v>
      </c>
      <c r="H285" t="s">
        <v>34</v>
      </c>
      <c r="I285" t="s">
        <v>218</v>
      </c>
      <c r="J285" t="s">
        <v>99</v>
      </c>
      <c r="L285" t="b">
        <f t="shared" si="28"/>
        <v>0</v>
      </c>
      <c r="M285" t="b">
        <f t="shared" si="29"/>
        <v>1</v>
      </c>
      <c r="N285" t="b">
        <f t="shared" si="30"/>
        <v>0</v>
      </c>
      <c r="O285" t="b">
        <f t="shared" si="31"/>
        <v>0</v>
      </c>
      <c r="P285">
        <f t="shared" si="32"/>
        <v>0</v>
      </c>
      <c r="Q285" t="b">
        <f t="shared" si="33"/>
        <v>1</v>
      </c>
      <c r="R285">
        <f t="shared" si="34"/>
        <v>0</v>
      </c>
    </row>
    <row r="286" spans="1:18" ht="19.5" x14ac:dyDescent="0.55000000000000004">
      <c r="A286" s="27"/>
      <c r="B286" s="31"/>
      <c r="C286" s="27"/>
      <c r="D286" s="26"/>
      <c r="E286" s="26"/>
      <c r="F286">
        <v>4973</v>
      </c>
      <c r="G286" t="s">
        <v>976</v>
      </c>
      <c r="H286" t="s">
        <v>34</v>
      </c>
      <c r="I286" t="s">
        <v>218</v>
      </c>
      <c r="J286" t="s">
        <v>99</v>
      </c>
      <c r="L286" t="b">
        <f t="shared" si="28"/>
        <v>0</v>
      </c>
      <c r="M286" t="b">
        <f t="shared" si="29"/>
        <v>0</v>
      </c>
      <c r="N286" t="b">
        <f t="shared" si="30"/>
        <v>0</v>
      </c>
      <c r="O286" t="b">
        <f t="shared" si="31"/>
        <v>0</v>
      </c>
      <c r="P286">
        <f t="shared" si="32"/>
        <v>0</v>
      </c>
      <c r="Q286" t="b">
        <f t="shared" si="33"/>
        <v>1</v>
      </c>
      <c r="R286">
        <f t="shared" si="34"/>
        <v>0</v>
      </c>
    </row>
    <row r="287" spans="1:18" ht="19.5" x14ac:dyDescent="0.55000000000000004">
      <c r="A287" s="27"/>
      <c r="B287" s="31"/>
      <c r="C287" s="27"/>
      <c r="D287" s="26"/>
      <c r="E287" s="26"/>
      <c r="F287">
        <v>4861</v>
      </c>
      <c r="G287" t="s">
        <v>978</v>
      </c>
      <c r="H287" t="s">
        <v>34</v>
      </c>
      <c r="I287" t="s">
        <v>218</v>
      </c>
      <c r="J287" t="s">
        <v>99</v>
      </c>
      <c r="L287" t="b">
        <f t="shared" si="28"/>
        <v>0</v>
      </c>
      <c r="M287" t="b">
        <f t="shared" si="29"/>
        <v>1</v>
      </c>
      <c r="N287" t="b">
        <f t="shared" si="30"/>
        <v>0</v>
      </c>
      <c r="O287" t="b">
        <f t="shared" si="31"/>
        <v>0</v>
      </c>
      <c r="P287">
        <f t="shared" si="32"/>
        <v>0</v>
      </c>
      <c r="Q287" t="b">
        <f t="shared" si="33"/>
        <v>1</v>
      </c>
      <c r="R287">
        <f t="shared" si="34"/>
        <v>0</v>
      </c>
    </row>
    <row r="288" spans="1:18" ht="19.5" x14ac:dyDescent="0.55000000000000004">
      <c r="A288" s="27"/>
      <c r="B288" s="31"/>
      <c r="C288" s="27"/>
      <c r="D288" s="26"/>
      <c r="E288" s="26"/>
      <c r="F288">
        <v>4739</v>
      </c>
      <c r="G288" t="s">
        <v>980</v>
      </c>
      <c r="H288" t="s">
        <v>54</v>
      </c>
      <c r="I288" t="s">
        <v>525</v>
      </c>
      <c r="L288" t="b">
        <f t="shared" si="28"/>
        <v>0</v>
      </c>
      <c r="M288" t="b">
        <f t="shared" si="29"/>
        <v>0</v>
      </c>
      <c r="N288" t="b">
        <f t="shared" si="30"/>
        <v>0</v>
      </c>
      <c r="O288" t="b">
        <f t="shared" si="31"/>
        <v>0</v>
      </c>
      <c r="P288">
        <f t="shared" si="32"/>
        <v>0</v>
      </c>
      <c r="Q288" t="b">
        <f t="shared" si="33"/>
        <v>1</v>
      </c>
      <c r="R288">
        <f t="shared" si="34"/>
        <v>0</v>
      </c>
    </row>
    <row r="289" spans="1:18" ht="19.5" x14ac:dyDescent="0.55000000000000004">
      <c r="A289" s="27"/>
      <c r="B289" s="31"/>
      <c r="C289" s="27"/>
      <c r="D289" s="26"/>
      <c r="E289" s="26"/>
      <c r="F289">
        <v>5106</v>
      </c>
      <c r="G289" t="s">
        <v>983</v>
      </c>
      <c r="H289" t="s">
        <v>111</v>
      </c>
      <c r="I289" t="s">
        <v>984</v>
      </c>
      <c r="L289" t="b">
        <f t="shared" si="28"/>
        <v>0</v>
      </c>
      <c r="M289" t="b">
        <f t="shared" si="29"/>
        <v>0</v>
      </c>
      <c r="N289" t="b">
        <f t="shared" si="30"/>
        <v>0</v>
      </c>
      <c r="O289" t="b">
        <f t="shared" si="31"/>
        <v>0</v>
      </c>
      <c r="P289">
        <f t="shared" si="32"/>
        <v>0</v>
      </c>
      <c r="Q289" t="b">
        <f t="shared" si="33"/>
        <v>1</v>
      </c>
      <c r="R289">
        <f t="shared" si="34"/>
        <v>0</v>
      </c>
    </row>
    <row r="290" spans="1:18" ht="19.5" x14ac:dyDescent="0.55000000000000004">
      <c r="A290" s="27"/>
      <c r="B290" s="31"/>
      <c r="C290" s="27"/>
      <c r="D290" s="26"/>
      <c r="E290" s="26"/>
      <c r="F290">
        <v>4750</v>
      </c>
      <c r="G290" t="s">
        <v>988</v>
      </c>
      <c r="H290" t="s">
        <v>54</v>
      </c>
      <c r="I290" t="s">
        <v>525</v>
      </c>
      <c r="L290" t="b">
        <f t="shared" si="28"/>
        <v>0</v>
      </c>
      <c r="M290" t="b">
        <f t="shared" si="29"/>
        <v>0</v>
      </c>
      <c r="N290" t="b">
        <f t="shared" si="30"/>
        <v>0</v>
      </c>
      <c r="O290" t="b">
        <f t="shared" si="31"/>
        <v>0</v>
      </c>
      <c r="P290">
        <f t="shared" si="32"/>
        <v>0</v>
      </c>
      <c r="Q290" t="b">
        <f t="shared" si="33"/>
        <v>1</v>
      </c>
      <c r="R290">
        <f t="shared" si="34"/>
        <v>0</v>
      </c>
    </row>
    <row r="291" spans="1:18" ht="19.5" x14ac:dyDescent="0.55000000000000004">
      <c r="A291" s="27"/>
      <c r="B291" s="31"/>
      <c r="C291" s="27"/>
      <c r="D291" s="26"/>
      <c r="E291" s="26"/>
      <c r="F291">
        <v>82416</v>
      </c>
      <c r="G291" t="s">
        <v>991</v>
      </c>
      <c r="H291" t="s">
        <v>111</v>
      </c>
      <c r="I291" t="s">
        <v>388</v>
      </c>
      <c r="L291" t="b">
        <f t="shared" si="28"/>
        <v>0</v>
      </c>
      <c r="M291" t="b">
        <f t="shared" si="29"/>
        <v>0</v>
      </c>
      <c r="N291" t="b">
        <f t="shared" si="30"/>
        <v>0</v>
      </c>
      <c r="O291" t="b">
        <f t="shared" si="31"/>
        <v>0</v>
      </c>
      <c r="P291">
        <f t="shared" si="32"/>
        <v>0</v>
      </c>
      <c r="Q291" t="b">
        <f t="shared" si="33"/>
        <v>1</v>
      </c>
      <c r="R291">
        <f t="shared" si="34"/>
        <v>0</v>
      </c>
    </row>
    <row r="292" spans="1:18" ht="19.5" x14ac:dyDescent="0.55000000000000004">
      <c r="A292" s="27"/>
      <c r="B292" s="31"/>
      <c r="C292" s="27"/>
      <c r="D292" s="26"/>
      <c r="E292" s="26"/>
      <c r="F292">
        <v>80401</v>
      </c>
      <c r="G292" t="s">
        <v>994</v>
      </c>
      <c r="H292" t="s">
        <v>54</v>
      </c>
      <c r="I292" t="s">
        <v>388</v>
      </c>
      <c r="L292" t="b">
        <f t="shared" si="28"/>
        <v>0</v>
      </c>
      <c r="M292" t="b">
        <f t="shared" si="29"/>
        <v>0</v>
      </c>
      <c r="N292" t="b">
        <f t="shared" si="30"/>
        <v>0</v>
      </c>
      <c r="O292" t="b">
        <f t="shared" si="31"/>
        <v>0</v>
      </c>
      <c r="P292">
        <f t="shared" si="32"/>
        <v>0</v>
      </c>
      <c r="Q292" t="b">
        <f t="shared" si="33"/>
        <v>1</v>
      </c>
      <c r="R292">
        <f t="shared" si="34"/>
        <v>0</v>
      </c>
    </row>
    <row r="293" spans="1:18" ht="19.5" x14ac:dyDescent="0.55000000000000004">
      <c r="A293" s="27"/>
      <c r="B293" s="31"/>
      <c r="C293" s="27"/>
      <c r="D293" s="26"/>
      <c r="E293" s="26"/>
      <c r="F293">
        <v>4683</v>
      </c>
      <c r="G293" t="s">
        <v>997</v>
      </c>
      <c r="H293" t="s">
        <v>54</v>
      </c>
      <c r="I293" t="s">
        <v>419</v>
      </c>
      <c r="L293" t="b">
        <f t="shared" si="28"/>
        <v>0</v>
      </c>
      <c r="M293" t="b">
        <f t="shared" si="29"/>
        <v>0</v>
      </c>
      <c r="N293" t="b">
        <f t="shared" si="30"/>
        <v>0</v>
      </c>
      <c r="O293" t="b">
        <f t="shared" si="31"/>
        <v>0</v>
      </c>
      <c r="P293">
        <f t="shared" si="32"/>
        <v>0</v>
      </c>
      <c r="Q293" t="b">
        <f t="shared" si="33"/>
        <v>1</v>
      </c>
      <c r="R293">
        <f t="shared" si="34"/>
        <v>0</v>
      </c>
    </row>
    <row r="294" spans="1:18" ht="19.5" x14ac:dyDescent="0.55000000000000004">
      <c r="A294" s="27"/>
      <c r="B294" s="31"/>
      <c r="C294" s="27"/>
      <c r="D294" s="26"/>
      <c r="E294" s="26"/>
      <c r="F294">
        <v>4687</v>
      </c>
      <c r="G294" t="s">
        <v>1000</v>
      </c>
      <c r="H294" t="s">
        <v>780</v>
      </c>
      <c r="I294" t="s">
        <v>419</v>
      </c>
      <c r="L294" t="b">
        <f t="shared" si="28"/>
        <v>0</v>
      </c>
      <c r="M294" t="b">
        <f t="shared" si="29"/>
        <v>0</v>
      </c>
      <c r="N294" t="b">
        <f t="shared" si="30"/>
        <v>0</v>
      </c>
      <c r="O294" t="b">
        <f t="shared" si="31"/>
        <v>0</v>
      </c>
      <c r="P294">
        <f t="shared" si="32"/>
        <v>0</v>
      </c>
      <c r="Q294" t="b">
        <f t="shared" si="33"/>
        <v>1</v>
      </c>
      <c r="R294">
        <f t="shared" si="34"/>
        <v>0</v>
      </c>
    </row>
    <row r="295" spans="1:18" ht="19.5" x14ac:dyDescent="0.55000000000000004">
      <c r="A295" s="27"/>
      <c r="B295" s="31"/>
      <c r="C295" s="27"/>
      <c r="D295" s="26"/>
      <c r="E295" s="26"/>
      <c r="F295">
        <v>81416</v>
      </c>
      <c r="G295" t="s">
        <v>1003</v>
      </c>
      <c r="H295" t="s">
        <v>111</v>
      </c>
      <c r="I295" t="s">
        <v>388</v>
      </c>
      <c r="L295" t="b">
        <f t="shared" si="28"/>
        <v>0</v>
      </c>
      <c r="M295" t="b">
        <f t="shared" si="29"/>
        <v>0</v>
      </c>
      <c r="N295" t="b">
        <f t="shared" si="30"/>
        <v>0</v>
      </c>
      <c r="O295" t="b">
        <f t="shared" si="31"/>
        <v>0</v>
      </c>
      <c r="P295">
        <f t="shared" si="32"/>
        <v>0</v>
      </c>
      <c r="Q295" t="b">
        <f t="shared" si="33"/>
        <v>1</v>
      </c>
      <c r="R295">
        <f t="shared" si="34"/>
        <v>0</v>
      </c>
    </row>
    <row r="296" spans="1:18" ht="19.5" x14ac:dyDescent="0.55000000000000004">
      <c r="A296" s="27"/>
      <c r="B296" s="31"/>
      <c r="C296" s="27"/>
      <c r="D296" s="26"/>
      <c r="E296" s="26"/>
      <c r="F296">
        <v>80416</v>
      </c>
      <c r="G296" t="s">
        <v>1006</v>
      </c>
      <c r="H296" t="s">
        <v>111</v>
      </c>
      <c r="I296" t="s">
        <v>388</v>
      </c>
      <c r="L296" t="b">
        <f t="shared" si="28"/>
        <v>0</v>
      </c>
      <c r="M296" t="b">
        <f t="shared" si="29"/>
        <v>0</v>
      </c>
      <c r="N296" t="b">
        <f t="shared" si="30"/>
        <v>0</v>
      </c>
      <c r="O296" t="b">
        <f t="shared" si="31"/>
        <v>0</v>
      </c>
      <c r="P296">
        <f t="shared" si="32"/>
        <v>0</v>
      </c>
      <c r="Q296" t="b">
        <f t="shared" si="33"/>
        <v>1</v>
      </c>
      <c r="R296">
        <f t="shared" si="34"/>
        <v>0</v>
      </c>
    </row>
    <row r="297" spans="1:18" ht="19.5" x14ac:dyDescent="0.55000000000000004">
      <c r="A297" s="27"/>
      <c r="B297" s="31"/>
      <c r="C297" s="27"/>
      <c r="D297" s="26"/>
      <c r="E297" s="26"/>
      <c r="F297">
        <v>80373</v>
      </c>
      <c r="G297" t="s">
        <v>1009</v>
      </c>
      <c r="H297" t="s">
        <v>34</v>
      </c>
      <c r="I297" t="s">
        <v>448</v>
      </c>
      <c r="J297" t="s">
        <v>644</v>
      </c>
      <c r="L297" t="b">
        <f t="shared" si="28"/>
        <v>0</v>
      </c>
      <c r="M297" t="b">
        <f t="shared" si="29"/>
        <v>1</v>
      </c>
      <c r="N297" t="b">
        <f t="shared" si="30"/>
        <v>0</v>
      </c>
      <c r="O297" t="b">
        <f t="shared" si="31"/>
        <v>0</v>
      </c>
      <c r="P297">
        <f t="shared" si="32"/>
        <v>0</v>
      </c>
      <c r="Q297" t="b">
        <f t="shared" si="33"/>
        <v>1</v>
      </c>
      <c r="R297">
        <f t="shared" si="34"/>
        <v>0</v>
      </c>
    </row>
    <row r="298" spans="1:18" ht="19.5" x14ac:dyDescent="0.55000000000000004">
      <c r="A298" s="27"/>
      <c r="B298" s="31"/>
      <c r="C298" s="27"/>
      <c r="D298" s="26"/>
      <c r="E298" s="26"/>
      <c r="F298">
        <v>4803</v>
      </c>
      <c r="G298" t="s">
        <v>1011</v>
      </c>
      <c r="H298" t="s">
        <v>34</v>
      </c>
      <c r="I298" t="s">
        <v>448</v>
      </c>
      <c r="J298" t="s">
        <v>644</v>
      </c>
      <c r="L298" t="b">
        <f t="shared" si="28"/>
        <v>0</v>
      </c>
      <c r="M298" t="b">
        <f t="shared" si="29"/>
        <v>1</v>
      </c>
      <c r="N298" t="b">
        <f t="shared" si="30"/>
        <v>0</v>
      </c>
      <c r="O298" t="b">
        <f t="shared" si="31"/>
        <v>0</v>
      </c>
      <c r="P298">
        <f t="shared" si="32"/>
        <v>0</v>
      </c>
      <c r="Q298" t="b">
        <f t="shared" si="33"/>
        <v>1</v>
      </c>
      <c r="R298">
        <f t="shared" si="34"/>
        <v>0</v>
      </c>
    </row>
    <row r="299" spans="1:18" ht="19.5" x14ac:dyDescent="0.55000000000000004">
      <c r="A299" s="27"/>
      <c r="B299" s="31"/>
      <c r="C299" s="27"/>
      <c r="D299" s="26"/>
      <c r="E299" s="26"/>
      <c r="F299">
        <v>4802</v>
      </c>
      <c r="G299" t="s">
        <v>1013</v>
      </c>
      <c r="H299" t="s">
        <v>34</v>
      </c>
      <c r="I299" t="s">
        <v>448</v>
      </c>
      <c r="J299" t="s">
        <v>644</v>
      </c>
      <c r="L299" t="b">
        <f t="shared" si="28"/>
        <v>0</v>
      </c>
      <c r="M299" t="b">
        <f t="shared" si="29"/>
        <v>1</v>
      </c>
      <c r="N299" t="b">
        <f t="shared" si="30"/>
        <v>0</v>
      </c>
      <c r="O299" t="b">
        <f t="shared" si="31"/>
        <v>0</v>
      </c>
      <c r="P299">
        <f t="shared" si="32"/>
        <v>0</v>
      </c>
      <c r="Q299" t="b">
        <f t="shared" si="33"/>
        <v>1</v>
      </c>
      <c r="R299">
        <f t="shared" si="34"/>
        <v>0</v>
      </c>
    </row>
    <row r="300" spans="1:18" ht="19.5" x14ac:dyDescent="0.55000000000000004">
      <c r="A300" s="27"/>
      <c r="B300" s="31"/>
      <c r="C300" s="27"/>
      <c r="D300" s="26"/>
      <c r="E300" s="26"/>
      <c r="F300">
        <v>80386</v>
      </c>
      <c r="G300" t="s">
        <v>1015</v>
      </c>
      <c r="H300" t="s">
        <v>34</v>
      </c>
      <c r="I300" t="s">
        <v>448</v>
      </c>
      <c r="J300" t="s">
        <v>644</v>
      </c>
      <c r="L300" t="b">
        <f t="shared" si="28"/>
        <v>0</v>
      </c>
      <c r="M300" t="b">
        <f t="shared" si="29"/>
        <v>1</v>
      </c>
      <c r="N300" t="b">
        <f t="shared" si="30"/>
        <v>0</v>
      </c>
      <c r="O300" t="b">
        <f t="shared" si="31"/>
        <v>0</v>
      </c>
      <c r="P300">
        <f t="shared" si="32"/>
        <v>0</v>
      </c>
      <c r="Q300" t="b">
        <f t="shared" si="33"/>
        <v>1</v>
      </c>
      <c r="R300">
        <f t="shared" si="34"/>
        <v>0</v>
      </c>
    </row>
    <row r="301" spans="1:18" ht="19.5" x14ac:dyDescent="0.55000000000000004">
      <c r="A301" s="27"/>
      <c r="B301" s="31"/>
      <c r="C301" s="27"/>
      <c r="D301" s="26"/>
      <c r="E301" s="26"/>
      <c r="F301">
        <v>4801</v>
      </c>
      <c r="G301" t="s">
        <v>1017</v>
      </c>
      <c r="H301" t="s">
        <v>34</v>
      </c>
      <c r="I301" t="s">
        <v>448</v>
      </c>
      <c r="J301" t="s">
        <v>644</v>
      </c>
      <c r="L301" t="b">
        <f t="shared" si="28"/>
        <v>0</v>
      </c>
      <c r="M301" t="b">
        <f t="shared" si="29"/>
        <v>1</v>
      </c>
      <c r="N301" t="b">
        <f t="shared" si="30"/>
        <v>0</v>
      </c>
      <c r="O301" t="b">
        <f t="shared" si="31"/>
        <v>0</v>
      </c>
      <c r="P301">
        <f t="shared" si="32"/>
        <v>0</v>
      </c>
      <c r="Q301" t="b">
        <f t="shared" si="33"/>
        <v>1</v>
      </c>
      <c r="R301">
        <f t="shared" si="34"/>
        <v>0</v>
      </c>
    </row>
    <row r="302" spans="1:18" ht="19.5" x14ac:dyDescent="0.55000000000000004">
      <c r="A302" s="27"/>
      <c r="B302" s="31"/>
      <c r="C302" s="27"/>
      <c r="D302" s="26"/>
      <c r="E302" s="26"/>
      <c r="F302">
        <v>4686</v>
      </c>
      <c r="G302" t="s">
        <v>1019</v>
      </c>
      <c r="H302" t="s">
        <v>54</v>
      </c>
      <c r="I302" t="s">
        <v>419</v>
      </c>
      <c r="L302" t="b">
        <f t="shared" si="28"/>
        <v>0</v>
      </c>
      <c r="M302" t="b">
        <f t="shared" si="29"/>
        <v>0</v>
      </c>
      <c r="N302" t="b">
        <f t="shared" si="30"/>
        <v>0</v>
      </c>
      <c r="O302" t="b">
        <f t="shared" si="31"/>
        <v>0</v>
      </c>
      <c r="P302">
        <f t="shared" si="32"/>
        <v>0</v>
      </c>
      <c r="Q302" t="b">
        <f t="shared" si="33"/>
        <v>1</v>
      </c>
      <c r="R302">
        <f t="shared" si="34"/>
        <v>0</v>
      </c>
    </row>
    <row r="303" spans="1:18" ht="19.5" x14ac:dyDescent="0.55000000000000004">
      <c r="A303" s="27"/>
      <c r="B303" s="31"/>
      <c r="C303" s="27"/>
      <c r="D303" s="26"/>
      <c r="E303" s="26"/>
      <c r="F303">
        <v>4991</v>
      </c>
      <c r="G303" t="s">
        <v>1022</v>
      </c>
      <c r="H303" t="s">
        <v>54</v>
      </c>
      <c r="I303" t="s">
        <v>287</v>
      </c>
      <c r="L303" t="b">
        <f t="shared" si="28"/>
        <v>0</v>
      </c>
      <c r="M303" t="b">
        <f t="shared" si="29"/>
        <v>0</v>
      </c>
      <c r="N303" t="b">
        <f t="shared" si="30"/>
        <v>0</v>
      </c>
      <c r="O303" t="b">
        <f t="shared" si="31"/>
        <v>0</v>
      </c>
      <c r="P303">
        <f t="shared" si="32"/>
        <v>0</v>
      </c>
      <c r="Q303" t="b">
        <f t="shared" si="33"/>
        <v>1</v>
      </c>
      <c r="R303">
        <f t="shared" si="34"/>
        <v>0</v>
      </c>
    </row>
    <row r="304" spans="1:18" ht="19.5" x14ac:dyDescent="0.55000000000000004">
      <c r="A304" s="27"/>
      <c r="B304" s="31"/>
      <c r="C304" s="27"/>
      <c r="D304" s="26"/>
      <c r="E304" s="26"/>
      <c r="F304">
        <v>80295</v>
      </c>
      <c r="G304" t="s">
        <v>1025</v>
      </c>
      <c r="H304" t="s">
        <v>34</v>
      </c>
      <c r="I304" t="s">
        <v>67</v>
      </c>
      <c r="L304" t="b">
        <f t="shared" si="28"/>
        <v>0</v>
      </c>
      <c r="M304" t="b">
        <f t="shared" si="29"/>
        <v>0</v>
      </c>
      <c r="N304" t="b">
        <f t="shared" si="30"/>
        <v>0</v>
      </c>
      <c r="O304" t="b">
        <f t="shared" si="31"/>
        <v>0</v>
      </c>
      <c r="P304">
        <f t="shared" si="32"/>
        <v>0</v>
      </c>
      <c r="Q304" t="b">
        <f t="shared" si="33"/>
        <v>1</v>
      </c>
      <c r="R304">
        <f t="shared" si="34"/>
        <v>0</v>
      </c>
    </row>
    <row r="305" spans="1:18" ht="19.5" x14ac:dyDescent="0.55000000000000004">
      <c r="A305" s="27"/>
      <c r="B305" s="31"/>
      <c r="C305" s="27"/>
      <c r="D305" s="26"/>
      <c r="E305" s="26"/>
      <c r="F305">
        <v>80033</v>
      </c>
      <c r="G305" t="s">
        <v>1028</v>
      </c>
      <c r="H305" t="s">
        <v>34</v>
      </c>
      <c r="I305" t="s">
        <v>83</v>
      </c>
      <c r="J305" t="s">
        <v>189</v>
      </c>
      <c r="L305" t="b">
        <f t="shared" si="28"/>
        <v>0</v>
      </c>
      <c r="M305" t="b">
        <f t="shared" si="29"/>
        <v>0</v>
      </c>
      <c r="N305" t="b">
        <f t="shared" si="30"/>
        <v>0</v>
      </c>
      <c r="O305" t="b">
        <f t="shared" si="31"/>
        <v>0</v>
      </c>
      <c r="P305">
        <f t="shared" si="32"/>
        <v>0</v>
      </c>
      <c r="Q305" t="b">
        <f t="shared" si="33"/>
        <v>1</v>
      </c>
      <c r="R305">
        <f t="shared" si="34"/>
        <v>0</v>
      </c>
    </row>
    <row r="306" spans="1:18" ht="19.5" x14ac:dyDescent="0.55000000000000004">
      <c r="A306" s="27"/>
      <c r="B306" s="31"/>
      <c r="C306" s="27"/>
      <c r="D306" s="26"/>
      <c r="E306" s="26"/>
      <c r="F306">
        <v>4902</v>
      </c>
      <c r="G306" t="s">
        <v>1031</v>
      </c>
      <c r="H306" t="s">
        <v>136</v>
      </c>
      <c r="I306" t="s">
        <v>201</v>
      </c>
      <c r="J306" t="s">
        <v>202</v>
      </c>
      <c r="L306" t="b">
        <f t="shared" si="28"/>
        <v>0</v>
      </c>
      <c r="M306" t="b">
        <f t="shared" si="29"/>
        <v>0</v>
      </c>
      <c r="N306" t="b">
        <f t="shared" si="30"/>
        <v>0</v>
      </c>
      <c r="O306" t="b">
        <f t="shared" si="31"/>
        <v>0</v>
      </c>
      <c r="P306">
        <f t="shared" si="32"/>
        <v>0</v>
      </c>
      <c r="Q306" t="b">
        <f t="shared" si="33"/>
        <v>1</v>
      </c>
      <c r="R306">
        <f t="shared" si="34"/>
        <v>0</v>
      </c>
    </row>
    <row r="307" spans="1:18" ht="19.5" x14ac:dyDescent="0.55000000000000004">
      <c r="A307" s="27"/>
      <c r="B307" s="31"/>
      <c r="C307" s="27"/>
      <c r="D307" s="26"/>
      <c r="E307" s="26"/>
      <c r="F307">
        <v>4923</v>
      </c>
      <c r="G307" t="s">
        <v>1033</v>
      </c>
      <c r="H307" t="s">
        <v>34</v>
      </c>
      <c r="I307" t="s">
        <v>36</v>
      </c>
      <c r="J307" t="s">
        <v>164</v>
      </c>
      <c r="L307" t="b">
        <f t="shared" si="28"/>
        <v>0</v>
      </c>
      <c r="M307" t="b">
        <f t="shared" si="29"/>
        <v>1</v>
      </c>
      <c r="N307" t="b">
        <f t="shared" si="30"/>
        <v>0</v>
      </c>
      <c r="O307" t="b">
        <f t="shared" si="31"/>
        <v>0</v>
      </c>
      <c r="P307">
        <f t="shared" si="32"/>
        <v>0</v>
      </c>
      <c r="Q307" t="b">
        <f t="shared" si="33"/>
        <v>1</v>
      </c>
      <c r="R307">
        <f t="shared" si="34"/>
        <v>0</v>
      </c>
    </row>
    <row r="308" spans="1:18" ht="19.5" x14ac:dyDescent="0.55000000000000004">
      <c r="A308" s="27"/>
      <c r="B308" s="31"/>
      <c r="C308" s="27"/>
      <c r="D308" s="26"/>
      <c r="E308" s="26"/>
      <c r="F308">
        <v>4979</v>
      </c>
      <c r="G308" t="s">
        <v>1036</v>
      </c>
      <c r="H308" t="s">
        <v>34</v>
      </c>
      <c r="I308" t="s">
        <v>1037</v>
      </c>
      <c r="J308" t="s">
        <v>411</v>
      </c>
      <c r="L308" t="b">
        <f t="shared" si="28"/>
        <v>0</v>
      </c>
      <c r="M308" t="b">
        <f t="shared" si="29"/>
        <v>1</v>
      </c>
      <c r="N308" t="b">
        <f t="shared" si="30"/>
        <v>0</v>
      </c>
      <c r="O308" t="b">
        <f t="shared" si="31"/>
        <v>0</v>
      </c>
      <c r="P308">
        <f t="shared" si="32"/>
        <v>0</v>
      </c>
      <c r="Q308" t="b">
        <f t="shared" si="33"/>
        <v>1</v>
      </c>
      <c r="R308">
        <f t="shared" si="34"/>
        <v>0</v>
      </c>
    </row>
    <row r="309" spans="1:18" ht="19.5" x14ac:dyDescent="0.55000000000000004">
      <c r="A309" s="27"/>
      <c r="B309" s="31"/>
      <c r="C309" s="27"/>
      <c r="D309" s="26"/>
      <c r="E309" s="26"/>
      <c r="F309">
        <v>4926</v>
      </c>
      <c r="G309" t="s">
        <v>1039</v>
      </c>
      <c r="H309" t="s">
        <v>34</v>
      </c>
      <c r="I309" t="s">
        <v>36</v>
      </c>
      <c r="J309" t="s">
        <v>156</v>
      </c>
      <c r="L309" t="b">
        <f t="shared" si="28"/>
        <v>0</v>
      </c>
      <c r="M309" t="b">
        <f t="shared" si="29"/>
        <v>1</v>
      </c>
      <c r="N309" t="b">
        <f t="shared" si="30"/>
        <v>0</v>
      </c>
      <c r="O309" t="b">
        <f t="shared" si="31"/>
        <v>0</v>
      </c>
      <c r="P309">
        <f t="shared" si="32"/>
        <v>0</v>
      </c>
      <c r="Q309" t="b">
        <f t="shared" si="33"/>
        <v>1</v>
      </c>
      <c r="R309">
        <f t="shared" si="34"/>
        <v>0</v>
      </c>
    </row>
    <row r="310" spans="1:18" ht="19.5" x14ac:dyDescent="0.55000000000000004">
      <c r="A310" s="27"/>
      <c r="B310" s="31"/>
      <c r="C310" s="27"/>
      <c r="D310" s="26"/>
      <c r="E310" s="26"/>
      <c r="F310">
        <v>80387</v>
      </c>
      <c r="G310" t="s">
        <v>1041</v>
      </c>
      <c r="H310" t="s">
        <v>34</v>
      </c>
      <c r="I310" t="s">
        <v>36</v>
      </c>
      <c r="J310" t="s">
        <v>164</v>
      </c>
      <c r="L310" t="b">
        <f t="shared" si="28"/>
        <v>0</v>
      </c>
      <c r="M310" t="b">
        <f t="shared" si="29"/>
        <v>1</v>
      </c>
      <c r="N310" t="b">
        <f t="shared" si="30"/>
        <v>0</v>
      </c>
      <c r="O310" t="b">
        <f t="shared" si="31"/>
        <v>0</v>
      </c>
      <c r="P310">
        <f t="shared" si="32"/>
        <v>0</v>
      </c>
      <c r="Q310" t="b">
        <f t="shared" si="33"/>
        <v>1</v>
      </c>
      <c r="R310">
        <f t="shared" si="34"/>
        <v>0</v>
      </c>
    </row>
    <row r="311" spans="1:18" ht="19.5" x14ac:dyDescent="0.55000000000000004">
      <c r="A311" s="27"/>
      <c r="B311" s="31"/>
      <c r="C311" s="27"/>
      <c r="D311" s="26"/>
      <c r="E311" s="26"/>
      <c r="F311">
        <v>4930</v>
      </c>
      <c r="G311" t="s">
        <v>1044</v>
      </c>
      <c r="H311" t="s">
        <v>34</v>
      </c>
      <c r="I311" t="s">
        <v>36</v>
      </c>
      <c r="J311" t="s">
        <v>37</v>
      </c>
      <c r="L311" t="b">
        <f t="shared" si="28"/>
        <v>0</v>
      </c>
      <c r="M311" t="b">
        <f t="shared" si="29"/>
        <v>1</v>
      </c>
      <c r="N311" t="b">
        <f t="shared" si="30"/>
        <v>0</v>
      </c>
      <c r="O311" t="b">
        <f t="shared" si="31"/>
        <v>0</v>
      </c>
      <c r="P311">
        <f t="shared" si="32"/>
        <v>0</v>
      </c>
      <c r="Q311" t="b">
        <f t="shared" si="33"/>
        <v>1</v>
      </c>
      <c r="R311">
        <f t="shared" si="34"/>
        <v>0</v>
      </c>
    </row>
    <row r="312" spans="1:18" ht="19.5" x14ac:dyDescent="0.55000000000000004">
      <c r="A312" s="27"/>
      <c r="B312" s="31"/>
      <c r="C312" s="27"/>
      <c r="D312" s="26"/>
      <c r="E312" s="26"/>
      <c r="F312">
        <v>80031</v>
      </c>
      <c r="G312" t="s">
        <v>1046</v>
      </c>
      <c r="H312" t="s">
        <v>34</v>
      </c>
      <c r="I312" t="s">
        <v>36</v>
      </c>
      <c r="J312" t="s">
        <v>1047</v>
      </c>
      <c r="L312" t="b">
        <f t="shared" si="28"/>
        <v>0</v>
      </c>
      <c r="M312" t="b">
        <f t="shared" si="29"/>
        <v>0</v>
      </c>
      <c r="N312" t="b">
        <f t="shared" si="30"/>
        <v>0</v>
      </c>
      <c r="O312" t="b">
        <f t="shared" si="31"/>
        <v>0</v>
      </c>
      <c r="P312">
        <f t="shared" si="32"/>
        <v>0</v>
      </c>
      <c r="Q312" t="b">
        <f t="shared" si="33"/>
        <v>1</v>
      </c>
      <c r="R312">
        <f t="shared" si="34"/>
        <v>0</v>
      </c>
    </row>
    <row r="313" spans="1:18" ht="19.5" x14ac:dyDescent="0.55000000000000004">
      <c r="A313" s="27"/>
      <c r="B313" s="31"/>
      <c r="C313" s="27"/>
      <c r="D313" s="26"/>
      <c r="E313" s="26"/>
      <c r="F313">
        <v>4922</v>
      </c>
      <c r="G313" t="s">
        <v>1049</v>
      </c>
      <c r="H313" t="s">
        <v>34</v>
      </c>
      <c r="I313" t="s">
        <v>36</v>
      </c>
      <c r="J313" t="s">
        <v>164</v>
      </c>
      <c r="L313" t="b">
        <f t="shared" si="28"/>
        <v>0</v>
      </c>
      <c r="M313" t="b">
        <f t="shared" si="29"/>
        <v>1</v>
      </c>
      <c r="N313" t="b">
        <f t="shared" si="30"/>
        <v>0</v>
      </c>
      <c r="O313" t="b">
        <f t="shared" si="31"/>
        <v>0</v>
      </c>
      <c r="P313">
        <f t="shared" si="32"/>
        <v>0</v>
      </c>
      <c r="Q313" t="b">
        <f t="shared" si="33"/>
        <v>1</v>
      </c>
      <c r="R313">
        <f t="shared" si="34"/>
        <v>0</v>
      </c>
    </row>
    <row r="314" spans="1:18" ht="19.5" x14ac:dyDescent="0.55000000000000004">
      <c r="A314" s="27"/>
      <c r="B314" s="31"/>
      <c r="C314" s="27"/>
      <c r="D314" s="26"/>
      <c r="E314" s="26"/>
      <c r="F314">
        <v>80027</v>
      </c>
      <c r="G314" t="s">
        <v>1051</v>
      </c>
      <c r="H314" t="s">
        <v>34</v>
      </c>
      <c r="I314" t="s">
        <v>36</v>
      </c>
      <c r="J314" t="s">
        <v>164</v>
      </c>
      <c r="L314" t="b">
        <f t="shared" si="28"/>
        <v>0</v>
      </c>
      <c r="M314" t="b">
        <f t="shared" si="29"/>
        <v>1</v>
      </c>
      <c r="N314" t="b">
        <f t="shared" si="30"/>
        <v>0</v>
      </c>
      <c r="O314" t="b">
        <f t="shared" si="31"/>
        <v>0</v>
      </c>
      <c r="P314">
        <f t="shared" si="32"/>
        <v>0</v>
      </c>
      <c r="Q314" t="b">
        <f t="shared" si="33"/>
        <v>1</v>
      </c>
      <c r="R314">
        <f t="shared" si="34"/>
        <v>0</v>
      </c>
    </row>
    <row r="315" spans="1:18" ht="19.5" x14ac:dyDescent="0.55000000000000004">
      <c r="A315" s="27"/>
      <c r="B315" s="31"/>
      <c r="C315" s="27"/>
      <c r="D315" s="26"/>
      <c r="E315" s="26"/>
      <c r="F315">
        <v>4919</v>
      </c>
      <c r="G315" t="s">
        <v>1053</v>
      </c>
      <c r="H315" t="s">
        <v>34</v>
      </c>
      <c r="I315" t="s">
        <v>36</v>
      </c>
      <c r="J315" t="s">
        <v>164</v>
      </c>
      <c r="L315" t="b">
        <f t="shared" si="28"/>
        <v>0</v>
      </c>
      <c r="M315" t="b">
        <f t="shared" si="29"/>
        <v>0</v>
      </c>
      <c r="N315" t="b">
        <f t="shared" si="30"/>
        <v>0</v>
      </c>
      <c r="O315" t="b">
        <f t="shared" si="31"/>
        <v>0</v>
      </c>
      <c r="P315">
        <f t="shared" si="32"/>
        <v>0</v>
      </c>
      <c r="Q315" t="b">
        <f t="shared" si="33"/>
        <v>1</v>
      </c>
      <c r="R315">
        <f t="shared" si="34"/>
        <v>0</v>
      </c>
    </row>
    <row r="316" spans="1:18" ht="19.5" x14ac:dyDescent="0.55000000000000004">
      <c r="A316" s="27"/>
      <c r="B316" s="31"/>
      <c r="C316" s="27"/>
      <c r="D316" s="26"/>
      <c r="E316" s="26"/>
      <c r="F316">
        <v>80020</v>
      </c>
      <c r="G316" t="s">
        <v>1055</v>
      </c>
      <c r="H316" t="s">
        <v>34</v>
      </c>
      <c r="I316" t="s">
        <v>83</v>
      </c>
      <c r="L316" t="b">
        <f t="shared" si="28"/>
        <v>0</v>
      </c>
      <c r="M316" t="b">
        <f t="shared" si="29"/>
        <v>0</v>
      </c>
      <c r="N316" t="b">
        <f t="shared" si="30"/>
        <v>0</v>
      </c>
      <c r="O316" t="b">
        <f t="shared" si="31"/>
        <v>0</v>
      </c>
      <c r="P316">
        <f t="shared" si="32"/>
        <v>0</v>
      </c>
      <c r="Q316" t="b">
        <f t="shared" si="33"/>
        <v>1</v>
      </c>
      <c r="R316">
        <f t="shared" si="34"/>
        <v>0</v>
      </c>
    </row>
    <row r="317" spans="1:18" ht="19.5" x14ac:dyDescent="0.55000000000000004">
      <c r="A317" s="27"/>
      <c r="B317" s="31"/>
      <c r="C317" s="27"/>
      <c r="D317" s="26"/>
      <c r="E317" s="26"/>
      <c r="F317">
        <v>80023</v>
      </c>
      <c r="G317" t="s">
        <v>1059</v>
      </c>
      <c r="H317" t="s">
        <v>34</v>
      </c>
      <c r="I317" t="s">
        <v>279</v>
      </c>
      <c r="L317" t="b">
        <f t="shared" si="28"/>
        <v>0</v>
      </c>
      <c r="M317" t="b">
        <f t="shared" si="29"/>
        <v>0</v>
      </c>
      <c r="N317" t="b">
        <f t="shared" si="30"/>
        <v>0</v>
      </c>
      <c r="O317" t="b">
        <f t="shared" si="31"/>
        <v>0</v>
      </c>
      <c r="P317">
        <f t="shared" si="32"/>
        <v>0</v>
      </c>
      <c r="Q317" t="b">
        <f t="shared" si="33"/>
        <v>1</v>
      </c>
      <c r="R317">
        <f t="shared" si="34"/>
        <v>0</v>
      </c>
    </row>
    <row r="318" spans="1:18" ht="19.5" x14ac:dyDescent="0.55000000000000004">
      <c r="A318" s="27"/>
      <c r="B318" s="31"/>
      <c r="C318" s="27"/>
      <c r="D318" s="26"/>
      <c r="E318" s="26"/>
      <c r="F318">
        <v>4713</v>
      </c>
      <c r="G318" t="s">
        <v>1063</v>
      </c>
      <c r="H318" t="s">
        <v>75</v>
      </c>
      <c r="I318" t="s">
        <v>525</v>
      </c>
      <c r="L318" t="b">
        <f t="shared" si="28"/>
        <v>0</v>
      </c>
      <c r="M318" t="b">
        <f t="shared" si="29"/>
        <v>1</v>
      </c>
      <c r="N318" t="b">
        <f t="shared" si="30"/>
        <v>0</v>
      </c>
      <c r="O318" t="b">
        <f t="shared" si="31"/>
        <v>0</v>
      </c>
      <c r="P318">
        <f t="shared" si="32"/>
        <v>0</v>
      </c>
      <c r="Q318" t="b">
        <f t="shared" si="33"/>
        <v>1</v>
      </c>
      <c r="R318">
        <f t="shared" si="34"/>
        <v>0</v>
      </c>
    </row>
    <row r="319" spans="1:18" ht="19.5" x14ac:dyDescent="0.55000000000000004">
      <c r="A319" s="27"/>
      <c r="B319" s="31"/>
      <c r="C319" s="27"/>
      <c r="D319" s="26"/>
      <c r="E319" s="26"/>
      <c r="F319">
        <v>4715</v>
      </c>
      <c r="G319" t="s">
        <v>1066</v>
      </c>
      <c r="H319" t="s">
        <v>75</v>
      </c>
      <c r="I319" t="s">
        <v>525</v>
      </c>
      <c r="L319" t="b">
        <f t="shared" si="28"/>
        <v>0</v>
      </c>
      <c r="M319" t="b">
        <f t="shared" si="29"/>
        <v>1</v>
      </c>
      <c r="N319" t="b">
        <f t="shared" si="30"/>
        <v>0</v>
      </c>
      <c r="O319" t="b">
        <f t="shared" si="31"/>
        <v>0</v>
      </c>
      <c r="P319">
        <f t="shared" si="32"/>
        <v>0</v>
      </c>
      <c r="Q319" t="b">
        <f t="shared" si="33"/>
        <v>1</v>
      </c>
      <c r="R319">
        <f t="shared" si="34"/>
        <v>0</v>
      </c>
    </row>
    <row r="320" spans="1:18" ht="19.5" x14ac:dyDescent="0.55000000000000004">
      <c r="A320" s="27"/>
      <c r="B320" s="31"/>
      <c r="C320" s="27"/>
      <c r="D320" s="26"/>
      <c r="E320" s="26"/>
      <c r="F320">
        <v>4717</v>
      </c>
      <c r="G320" t="s">
        <v>1068</v>
      </c>
      <c r="H320" t="s">
        <v>75</v>
      </c>
      <c r="I320" t="s">
        <v>525</v>
      </c>
      <c r="L320" t="b">
        <f t="shared" si="28"/>
        <v>0</v>
      </c>
      <c r="M320" t="b">
        <f t="shared" si="29"/>
        <v>1</v>
      </c>
      <c r="N320" t="b">
        <f t="shared" si="30"/>
        <v>0</v>
      </c>
      <c r="O320" t="b">
        <f t="shared" si="31"/>
        <v>0</v>
      </c>
      <c r="P320">
        <f t="shared" si="32"/>
        <v>0</v>
      </c>
      <c r="Q320" t="b">
        <f t="shared" si="33"/>
        <v>1</v>
      </c>
      <c r="R320">
        <f t="shared" si="34"/>
        <v>0</v>
      </c>
    </row>
    <row r="321" spans="1:18" ht="19.5" x14ac:dyDescent="0.55000000000000004">
      <c r="A321" s="27"/>
      <c r="B321" s="31"/>
      <c r="C321" s="27"/>
      <c r="D321" s="26"/>
      <c r="E321" s="26"/>
      <c r="F321">
        <v>80294</v>
      </c>
      <c r="G321" t="s">
        <v>1070</v>
      </c>
      <c r="H321" t="s">
        <v>111</v>
      </c>
      <c r="I321" t="s">
        <v>67</v>
      </c>
      <c r="L321" t="b">
        <f t="shared" si="28"/>
        <v>0</v>
      </c>
      <c r="M321" t="b">
        <f t="shared" si="29"/>
        <v>0</v>
      </c>
      <c r="N321" t="b">
        <f t="shared" si="30"/>
        <v>0</v>
      </c>
      <c r="O321" t="b">
        <f t="shared" si="31"/>
        <v>0</v>
      </c>
      <c r="P321">
        <f t="shared" si="32"/>
        <v>0</v>
      </c>
      <c r="Q321" t="b">
        <f t="shared" si="33"/>
        <v>1</v>
      </c>
      <c r="R321">
        <f t="shared" si="34"/>
        <v>0</v>
      </c>
    </row>
    <row r="322" spans="1:18" ht="19.5" x14ac:dyDescent="0.55000000000000004">
      <c r="A322" s="27"/>
      <c r="B322" s="31"/>
      <c r="C322" s="27"/>
      <c r="D322" s="26"/>
      <c r="E322" s="26"/>
      <c r="F322">
        <v>4948</v>
      </c>
      <c r="G322" t="s">
        <v>1073</v>
      </c>
      <c r="H322" t="s">
        <v>111</v>
      </c>
      <c r="I322" t="s">
        <v>67</v>
      </c>
      <c r="L322" t="b">
        <f t="shared" si="28"/>
        <v>0</v>
      </c>
      <c r="M322" t="b">
        <f t="shared" si="29"/>
        <v>0</v>
      </c>
      <c r="N322" t="b">
        <f t="shared" si="30"/>
        <v>0</v>
      </c>
      <c r="O322" t="b">
        <f t="shared" si="31"/>
        <v>0</v>
      </c>
      <c r="P322">
        <f t="shared" si="32"/>
        <v>0</v>
      </c>
      <c r="Q322" t="b">
        <f t="shared" si="33"/>
        <v>1</v>
      </c>
      <c r="R322">
        <f t="shared" si="34"/>
        <v>0</v>
      </c>
    </row>
    <row r="323" spans="1:18" ht="19.5" x14ac:dyDescent="0.55000000000000004">
      <c r="A323" s="27"/>
      <c r="B323" s="31"/>
      <c r="C323" s="27"/>
      <c r="D323" s="26"/>
      <c r="E323" s="26"/>
      <c r="F323">
        <v>4945</v>
      </c>
      <c r="G323" t="s">
        <v>1076</v>
      </c>
      <c r="H323" t="s">
        <v>111</v>
      </c>
      <c r="I323" t="s">
        <v>67</v>
      </c>
      <c r="L323" t="b">
        <f t="shared" ref="L323:L386" si="35">IF(TRIM($B$3)="",TRUE,ISNUMBER(SEARCH(TRIM(MID(SUBSTITUTE($B$3," ",REPT(" ",100)),1,100)),G323)))</f>
        <v>0</v>
      </c>
      <c r="M323" t="b">
        <f t="shared" ref="M323:M386" si="36">IF(LEN(TRIM($B$3))-LEN(SUBSTITUTE(TRIM($B$3)," ",""))&lt;1,TRUE,ISNUMBER(SEARCH(TRIM(MID(SUBSTITUTE($B$3," ",REPT(" ",100)),101,100)),G323)))</f>
        <v>1</v>
      </c>
      <c r="N323" t="b">
        <f t="shared" ref="N323:N386" si="37">IF(LEN(TRIM($B$3))-LEN(SUBSTITUTE(TRIM($B$3)," ",""))&lt;2,TRUE,ISNUMBER(SEARCH(TRIM(MID(SUBSTITUTE($B$3," ",REPT(" ",100)),201,100)),G323)))</f>
        <v>0</v>
      </c>
      <c r="O323" t="b">
        <f t="shared" ref="O323:O386" si="38">IF(LEN(TRIM($B$3))-LEN(SUBSTITUTE(TRIM($B$3)," ",""))&lt;3,TRUE,ISNUMBER(SEARCH(TRIM(MID(SUBSTITUTE($B$3," ",REPT(" ",100)),301,100)),G323)))</f>
        <v>0</v>
      </c>
      <c r="P323">
        <f t="shared" ref="P323:P386" si="39">L323*M323*N323*O323</f>
        <v>0</v>
      </c>
      <c r="Q323" t="b">
        <f t="shared" ref="Q323:Q386" si="40">IF(OR(TRIM($B$2)="",$B$2="(Todos)"),TRUE,EXACT(I323,$B$2))</f>
        <v>1</v>
      </c>
      <c r="R323">
        <f t="shared" ref="R323:R386" si="41">P323*Q323</f>
        <v>0</v>
      </c>
    </row>
    <row r="324" spans="1:18" ht="19.5" x14ac:dyDescent="0.55000000000000004">
      <c r="A324" s="27"/>
      <c r="B324" s="31"/>
      <c r="C324" s="27"/>
      <c r="D324" s="26"/>
      <c r="E324" s="26"/>
      <c r="F324">
        <v>80292</v>
      </c>
      <c r="G324" t="s">
        <v>1079</v>
      </c>
      <c r="H324" t="s">
        <v>111</v>
      </c>
      <c r="I324" t="s">
        <v>67</v>
      </c>
      <c r="L324" t="b">
        <f t="shared" si="35"/>
        <v>0</v>
      </c>
      <c r="M324" t="b">
        <f t="shared" si="36"/>
        <v>1</v>
      </c>
      <c r="N324" t="b">
        <f t="shared" si="37"/>
        <v>0</v>
      </c>
      <c r="O324" t="b">
        <f t="shared" si="38"/>
        <v>0</v>
      </c>
      <c r="P324">
        <f t="shared" si="39"/>
        <v>0</v>
      </c>
      <c r="Q324" t="b">
        <f t="shared" si="40"/>
        <v>1</v>
      </c>
      <c r="R324">
        <f t="shared" si="41"/>
        <v>0</v>
      </c>
    </row>
    <row r="325" spans="1:18" ht="19.5" x14ac:dyDescent="0.55000000000000004">
      <c r="A325" s="27"/>
      <c r="B325" s="31"/>
      <c r="C325" s="27"/>
      <c r="D325" s="26"/>
      <c r="E325" s="26"/>
      <c r="F325">
        <v>4947</v>
      </c>
      <c r="G325" t="s">
        <v>1082</v>
      </c>
      <c r="H325" t="s">
        <v>111</v>
      </c>
      <c r="I325" t="s">
        <v>67</v>
      </c>
      <c r="L325" t="b">
        <f t="shared" si="35"/>
        <v>0</v>
      </c>
      <c r="M325" t="b">
        <f t="shared" si="36"/>
        <v>1</v>
      </c>
      <c r="N325" t="b">
        <f t="shared" si="37"/>
        <v>0</v>
      </c>
      <c r="O325" t="b">
        <f t="shared" si="38"/>
        <v>0</v>
      </c>
      <c r="P325">
        <f t="shared" si="39"/>
        <v>0</v>
      </c>
      <c r="Q325" t="b">
        <f t="shared" si="40"/>
        <v>1</v>
      </c>
      <c r="R325">
        <f t="shared" si="41"/>
        <v>0</v>
      </c>
    </row>
    <row r="326" spans="1:18" ht="19.5" x14ac:dyDescent="0.55000000000000004">
      <c r="A326" s="27"/>
      <c r="B326" s="31"/>
      <c r="C326" s="27"/>
      <c r="D326" s="26"/>
      <c r="E326" s="26"/>
      <c r="F326">
        <v>4946</v>
      </c>
      <c r="G326" t="s">
        <v>1085</v>
      </c>
      <c r="H326" t="s">
        <v>111</v>
      </c>
      <c r="I326" t="s">
        <v>67</v>
      </c>
      <c r="L326" t="b">
        <f t="shared" si="35"/>
        <v>0</v>
      </c>
      <c r="M326" t="b">
        <f t="shared" si="36"/>
        <v>1</v>
      </c>
      <c r="N326" t="b">
        <f t="shared" si="37"/>
        <v>0</v>
      </c>
      <c r="O326" t="b">
        <f t="shared" si="38"/>
        <v>0</v>
      </c>
      <c r="P326">
        <f t="shared" si="39"/>
        <v>0</v>
      </c>
      <c r="Q326" t="b">
        <f t="shared" si="40"/>
        <v>1</v>
      </c>
      <c r="R326">
        <f t="shared" si="41"/>
        <v>0</v>
      </c>
    </row>
    <row r="327" spans="1:18" ht="19.5" x14ac:dyDescent="0.55000000000000004">
      <c r="A327" s="27"/>
      <c r="B327" s="31"/>
      <c r="C327" s="27"/>
      <c r="D327" s="26"/>
      <c r="E327" s="26"/>
      <c r="F327">
        <v>80290</v>
      </c>
      <c r="G327" t="s">
        <v>1088</v>
      </c>
      <c r="H327" t="s">
        <v>111</v>
      </c>
      <c r="I327" t="s">
        <v>67</v>
      </c>
      <c r="L327" t="b">
        <f t="shared" si="35"/>
        <v>0</v>
      </c>
      <c r="M327" t="b">
        <f t="shared" si="36"/>
        <v>1</v>
      </c>
      <c r="N327" t="b">
        <f t="shared" si="37"/>
        <v>0</v>
      </c>
      <c r="O327" t="b">
        <f t="shared" si="38"/>
        <v>0</v>
      </c>
      <c r="P327">
        <f t="shared" si="39"/>
        <v>0</v>
      </c>
      <c r="Q327" t="b">
        <f t="shared" si="40"/>
        <v>1</v>
      </c>
      <c r="R327">
        <f t="shared" si="41"/>
        <v>0</v>
      </c>
    </row>
    <row r="328" spans="1:18" ht="19.5" x14ac:dyDescent="0.55000000000000004">
      <c r="A328" s="27"/>
      <c r="B328" s="31"/>
      <c r="C328" s="27"/>
      <c r="D328" s="26"/>
      <c r="E328" s="26"/>
      <c r="F328">
        <v>80407</v>
      </c>
      <c r="G328" t="s">
        <v>1091</v>
      </c>
      <c r="H328" t="s">
        <v>54</v>
      </c>
      <c r="I328" t="s">
        <v>731</v>
      </c>
      <c r="L328" t="b">
        <f t="shared" si="35"/>
        <v>0</v>
      </c>
      <c r="M328" t="b">
        <f t="shared" si="36"/>
        <v>0</v>
      </c>
      <c r="N328" t="b">
        <f t="shared" si="37"/>
        <v>0</v>
      </c>
      <c r="O328" t="b">
        <f t="shared" si="38"/>
        <v>0</v>
      </c>
      <c r="P328">
        <f t="shared" si="39"/>
        <v>0</v>
      </c>
      <c r="Q328" t="b">
        <f t="shared" si="40"/>
        <v>1</v>
      </c>
      <c r="R328">
        <f t="shared" si="41"/>
        <v>0</v>
      </c>
    </row>
    <row r="329" spans="1:18" ht="19.5" x14ac:dyDescent="0.55000000000000004">
      <c r="A329" s="27"/>
      <c r="B329" s="31"/>
      <c r="C329" s="27"/>
      <c r="D329" s="26"/>
      <c r="E329" s="26"/>
      <c r="F329">
        <v>4675</v>
      </c>
      <c r="G329" t="s">
        <v>1094</v>
      </c>
      <c r="H329" t="s">
        <v>54</v>
      </c>
      <c r="I329" t="s">
        <v>419</v>
      </c>
      <c r="L329" t="b">
        <f t="shared" si="35"/>
        <v>0</v>
      </c>
      <c r="M329" t="b">
        <f t="shared" si="36"/>
        <v>0</v>
      </c>
      <c r="N329" t="b">
        <f t="shared" si="37"/>
        <v>0</v>
      </c>
      <c r="O329" t="b">
        <f t="shared" si="38"/>
        <v>0</v>
      </c>
      <c r="P329">
        <f t="shared" si="39"/>
        <v>0</v>
      </c>
      <c r="Q329" t="b">
        <f t="shared" si="40"/>
        <v>1</v>
      </c>
      <c r="R329">
        <f t="shared" si="41"/>
        <v>0</v>
      </c>
    </row>
    <row r="330" spans="1:18" ht="19.5" x14ac:dyDescent="0.55000000000000004">
      <c r="A330" s="27"/>
      <c r="B330" s="31"/>
      <c r="C330" s="27"/>
      <c r="D330" s="26"/>
      <c r="E330" s="26"/>
      <c r="F330">
        <v>4679</v>
      </c>
      <c r="G330" t="s">
        <v>1097</v>
      </c>
      <c r="H330" t="s">
        <v>54</v>
      </c>
      <c r="I330" t="s">
        <v>419</v>
      </c>
      <c r="L330" t="b">
        <f t="shared" si="35"/>
        <v>0</v>
      </c>
      <c r="M330" t="b">
        <f t="shared" si="36"/>
        <v>0</v>
      </c>
      <c r="N330" t="b">
        <f t="shared" si="37"/>
        <v>0</v>
      </c>
      <c r="O330" t="b">
        <f t="shared" si="38"/>
        <v>0</v>
      </c>
      <c r="P330">
        <f t="shared" si="39"/>
        <v>0</v>
      </c>
      <c r="Q330" t="b">
        <f t="shared" si="40"/>
        <v>1</v>
      </c>
      <c r="R330">
        <f t="shared" si="41"/>
        <v>0</v>
      </c>
    </row>
    <row r="331" spans="1:18" ht="19.5" x14ac:dyDescent="0.55000000000000004">
      <c r="A331" s="27"/>
      <c r="B331" s="31"/>
      <c r="C331" s="27"/>
      <c r="D331" s="26"/>
      <c r="E331" s="26"/>
      <c r="F331">
        <v>4677</v>
      </c>
      <c r="G331" t="s">
        <v>1100</v>
      </c>
      <c r="H331" t="s">
        <v>54</v>
      </c>
      <c r="I331" t="s">
        <v>419</v>
      </c>
      <c r="L331" t="b">
        <f t="shared" si="35"/>
        <v>0</v>
      </c>
      <c r="M331" t="b">
        <f t="shared" si="36"/>
        <v>0</v>
      </c>
      <c r="N331" t="b">
        <f t="shared" si="37"/>
        <v>0</v>
      </c>
      <c r="O331" t="b">
        <f t="shared" si="38"/>
        <v>0</v>
      </c>
      <c r="P331">
        <f t="shared" si="39"/>
        <v>0</v>
      </c>
      <c r="Q331" t="b">
        <f t="shared" si="40"/>
        <v>1</v>
      </c>
      <c r="R331">
        <f t="shared" si="41"/>
        <v>0</v>
      </c>
    </row>
    <row r="332" spans="1:18" ht="19.5" x14ac:dyDescent="0.55000000000000004">
      <c r="A332" s="27"/>
      <c r="B332" s="31"/>
      <c r="C332" s="27"/>
      <c r="D332" s="26"/>
      <c r="E332" s="26"/>
      <c r="F332">
        <v>4680</v>
      </c>
      <c r="G332" t="s">
        <v>1103</v>
      </c>
      <c r="H332" t="s">
        <v>54</v>
      </c>
      <c r="I332" t="s">
        <v>419</v>
      </c>
      <c r="L332" t="b">
        <f t="shared" si="35"/>
        <v>0</v>
      </c>
      <c r="M332" t="b">
        <f t="shared" si="36"/>
        <v>0</v>
      </c>
      <c r="N332" t="b">
        <f t="shared" si="37"/>
        <v>0</v>
      </c>
      <c r="O332" t="b">
        <f t="shared" si="38"/>
        <v>0</v>
      </c>
      <c r="P332">
        <f t="shared" si="39"/>
        <v>0</v>
      </c>
      <c r="Q332" t="b">
        <f t="shared" si="40"/>
        <v>1</v>
      </c>
      <c r="R332">
        <f t="shared" si="41"/>
        <v>0</v>
      </c>
    </row>
    <row r="333" spans="1:18" ht="19.5" x14ac:dyDescent="0.55000000000000004">
      <c r="A333" s="27"/>
      <c r="B333" s="31"/>
      <c r="C333" s="27"/>
      <c r="D333" s="26"/>
      <c r="E333" s="26"/>
      <c r="F333">
        <v>4681</v>
      </c>
      <c r="G333" t="s">
        <v>1106</v>
      </c>
      <c r="H333" t="s">
        <v>54</v>
      </c>
      <c r="I333" t="s">
        <v>419</v>
      </c>
      <c r="L333" t="b">
        <f t="shared" si="35"/>
        <v>0</v>
      </c>
      <c r="M333" t="b">
        <f t="shared" si="36"/>
        <v>0</v>
      </c>
      <c r="N333" t="b">
        <f t="shared" si="37"/>
        <v>0</v>
      </c>
      <c r="O333" t="b">
        <f t="shared" si="38"/>
        <v>0</v>
      </c>
      <c r="P333">
        <f t="shared" si="39"/>
        <v>0</v>
      </c>
      <c r="Q333" t="b">
        <f t="shared" si="40"/>
        <v>1</v>
      </c>
      <c r="R333">
        <f t="shared" si="41"/>
        <v>0</v>
      </c>
    </row>
    <row r="334" spans="1:18" ht="19.5" x14ac:dyDescent="0.55000000000000004">
      <c r="A334" s="27"/>
      <c r="B334" s="31"/>
      <c r="C334" s="27"/>
      <c r="D334" s="26"/>
      <c r="E334" s="26"/>
      <c r="F334">
        <v>5005</v>
      </c>
      <c r="G334" t="s">
        <v>1109</v>
      </c>
      <c r="H334" t="s">
        <v>34</v>
      </c>
      <c r="I334" t="s">
        <v>218</v>
      </c>
      <c r="L334" t="b">
        <f t="shared" si="35"/>
        <v>0</v>
      </c>
      <c r="M334" t="b">
        <f t="shared" si="36"/>
        <v>1</v>
      </c>
      <c r="N334" t="b">
        <f t="shared" si="37"/>
        <v>0</v>
      </c>
      <c r="O334" t="b">
        <f t="shared" si="38"/>
        <v>0</v>
      </c>
      <c r="P334">
        <f t="shared" si="39"/>
        <v>0</v>
      </c>
      <c r="Q334" t="b">
        <f t="shared" si="40"/>
        <v>1</v>
      </c>
      <c r="R334">
        <f t="shared" si="41"/>
        <v>0</v>
      </c>
    </row>
    <row r="335" spans="1:18" ht="19.5" x14ac:dyDescent="0.55000000000000004">
      <c r="A335" s="27"/>
      <c r="B335" s="31"/>
      <c r="C335" s="27"/>
      <c r="D335" s="26"/>
      <c r="E335" s="26"/>
      <c r="F335">
        <v>4731</v>
      </c>
      <c r="G335" t="s">
        <v>1112</v>
      </c>
      <c r="H335" t="s">
        <v>34</v>
      </c>
      <c r="I335" t="s">
        <v>525</v>
      </c>
      <c r="L335" t="b">
        <f t="shared" si="35"/>
        <v>0</v>
      </c>
      <c r="M335" t="b">
        <f t="shared" si="36"/>
        <v>0</v>
      </c>
      <c r="N335" t="b">
        <f t="shared" si="37"/>
        <v>0</v>
      </c>
      <c r="O335" t="b">
        <f t="shared" si="38"/>
        <v>0</v>
      </c>
      <c r="P335">
        <f t="shared" si="39"/>
        <v>0</v>
      </c>
      <c r="Q335" t="b">
        <f t="shared" si="40"/>
        <v>1</v>
      </c>
      <c r="R335">
        <f t="shared" si="41"/>
        <v>0</v>
      </c>
    </row>
    <row r="336" spans="1:18" ht="19.5" x14ac:dyDescent="0.55000000000000004">
      <c r="A336" s="27"/>
      <c r="B336" s="31"/>
      <c r="C336" s="27"/>
      <c r="D336" s="26"/>
      <c r="E336" s="26"/>
      <c r="F336">
        <v>4838</v>
      </c>
      <c r="G336" t="s">
        <v>1116</v>
      </c>
      <c r="H336" t="s">
        <v>34</v>
      </c>
      <c r="I336" t="s">
        <v>218</v>
      </c>
      <c r="L336" t="b">
        <f t="shared" si="35"/>
        <v>0</v>
      </c>
      <c r="M336" t="b">
        <f t="shared" si="36"/>
        <v>0</v>
      </c>
      <c r="N336" t="b">
        <f t="shared" si="37"/>
        <v>0</v>
      </c>
      <c r="O336" t="b">
        <f t="shared" si="38"/>
        <v>0</v>
      </c>
      <c r="P336">
        <f t="shared" si="39"/>
        <v>0</v>
      </c>
      <c r="Q336" t="b">
        <f t="shared" si="40"/>
        <v>1</v>
      </c>
      <c r="R336">
        <f t="shared" si="41"/>
        <v>0</v>
      </c>
    </row>
    <row r="337" spans="1:18" ht="19.5" x14ac:dyDescent="0.55000000000000004">
      <c r="A337" s="27"/>
      <c r="B337" s="31"/>
      <c r="C337" s="27"/>
      <c r="D337" s="26"/>
      <c r="E337" s="26"/>
      <c r="F337">
        <v>4737</v>
      </c>
      <c r="G337" t="s">
        <v>1118</v>
      </c>
      <c r="H337" t="s">
        <v>54</v>
      </c>
      <c r="I337" t="s">
        <v>525</v>
      </c>
      <c r="L337" t="b">
        <f t="shared" si="35"/>
        <v>0</v>
      </c>
      <c r="M337" t="b">
        <f t="shared" si="36"/>
        <v>0</v>
      </c>
      <c r="N337" t="b">
        <f t="shared" si="37"/>
        <v>0</v>
      </c>
      <c r="O337" t="b">
        <f t="shared" si="38"/>
        <v>0</v>
      </c>
      <c r="P337">
        <f t="shared" si="39"/>
        <v>0</v>
      </c>
      <c r="Q337" t="b">
        <f t="shared" si="40"/>
        <v>1</v>
      </c>
      <c r="R337">
        <f t="shared" si="41"/>
        <v>0</v>
      </c>
    </row>
    <row r="338" spans="1:18" ht="19.5" x14ac:dyDescent="0.55000000000000004">
      <c r="A338" s="27"/>
      <c r="B338" s="31"/>
      <c r="C338" s="27"/>
      <c r="D338" s="26"/>
      <c r="E338" s="26"/>
      <c r="F338">
        <v>4982</v>
      </c>
      <c r="G338" t="s">
        <v>1121</v>
      </c>
      <c r="H338" t="s">
        <v>34</v>
      </c>
      <c r="I338" t="s">
        <v>1037</v>
      </c>
      <c r="L338" t="b">
        <f t="shared" si="35"/>
        <v>0</v>
      </c>
      <c r="M338" t="b">
        <f t="shared" si="36"/>
        <v>0</v>
      </c>
      <c r="N338" t="b">
        <f t="shared" si="37"/>
        <v>0</v>
      </c>
      <c r="O338" t="b">
        <f t="shared" si="38"/>
        <v>0</v>
      </c>
      <c r="P338">
        <f t="shared" si="39"/>
        <v>0</v>
      </c>
      <c r="Q338" t="b">
        <f t="shared" si="40"/>
        <v>1</v>
      </c>
      <c r="R338">
        <f t="shared" si="41"/>
        <v>0</v>
      </c>
    </row>
    <row r="339" spans="1:18" ht="19.5" x14ac:dyDescent="0.55000000000000004">
      <c r="A339" s="27"/>
      <c r="B339" s="31"/>
      <c r="C339" s="27"/>
      <c r="D339" s="26"/>
      <c r="E339" s="26"/>
      <c r="F339">
        <v>4980</v>
      </c>
      <c r="G339" t="s">
        <v>1124</v>
      </c>
      <c r="H339" t="s">
        <v>34</v>
      </c>
      <c r="I339" t="s">
        <v>71</v>
      </c>
      <c r="L339" t="b">
        <f t="shared" si="35"/>
        <v>0</v>
      </c>
      <c r="M339" t="b">
        <f t="shared" si="36"/>
        <v>0</v>
      </c>
      <c r="N339" t="b">
        <f t="shared" si="37"/>
        <v>0</v>
      </c>
      <c r="O339" t="b">
        <f t="shared" si="38"/>
        <v>0</v>
      </c>
      <c r="P339">
        <f t="shared" si="39"/>
        <v>0</v>
      </c>
      <c r="Q339" t="b">
        <f t="shared" si="40"/>
        <v>1</v>
      </c>
      <c r="R339">
        <f t="shared" si="41"/>
        <v>0</v>
      </c>
    </row>
    <row r="340" spans="1:18" ht="19.5" x14ac:dyDescent="0.55000000000000004">
      <c r="A340" s="27"/>
      <c r="B340" s="31"/>
      <c r="C340" s="27"/>
      <c r="D340" s="26"/>
      <c r="E340" s="26"/>
      <c r="F340">
        <v>4981</v>
      </c>
      <c r="G340" t="s">
        <v>1127</v>
      </c>
      <c r="H340" t="s">
        <v>34</v>
      </c>
      <c r="I340" t="s">
        <v>201</v>
      </c>
      <c r="L340" t="b">
        <f t="shared" si="35"/>
        <v>0</v>
      </c>
      <c r="M340" t="b">
        <f t="shared" si="36"/>
        <v>0</v>
      </c>
      <c r="N340" t="b">
        <f t="shared" si="37"/>
        <v>0</v>
      </c>
      <c r="O340" t="b">
        <f t="shared" si="38"/>
        <v>0</v>
      </c>
      <c r="P340">
        <f t="shared" si="39"/>
        <v>0</v>
      </c>
      <c r="Q340" t="b">
        <f t="shared" si="40"/>
        <v>1</v>
      </c>
      <c r="R340">
        <f t="shared" si="41"/>
        <v>0</v>
      </c>
    </row>
    <row r="341" spans="1:18" ht="19.5" x14ac:dyDescent="0.55000000000000004">
      <c r="A341" s="27"/>
      <c r="B341" s="31"/>
      <c r="C341" s="27"/>
      <c r="D341" s="26"/>
      <c r="E341" s="26"/>
      <c r="F341">
        <v>80038</v>
      </c>
      <c r="G341" t="s">
        <v>1131</v>
      </c>
      <c r="H341" t="s">
        <v>34</v>
      </c>
      <c r="I341" t="s">
        <v>83</v>
      </c>
      <c r="L341" t="b">
        <f t="shared" si="35"/>
        <v>0</v>
      </c>
      <c r="M341" t="b">
        <f t="shared" si="36"/>
        <v>0</v>
      </c>
      <c r="N341" t="b">
        <f t="shared" si="37"/>
        <v>0</v>
      </c>
      <c r="O341" t="b">
        <f t="shared" si="38"/>
        <v>0</v>
      </c>
      <c r="P341">
        <f t="shared" si="39"/>
        <v>0</v>
      </c>
      <c r="Q341" t="b">
        <f t="shared" si="40"/>
        <v>1</v>
      </c>
      <c r="R341">
        <f t="shared" si="41"/>
        <v>0</v>
      </c>
    </row>
    <row r="342" spans="1:18" ht="19.5" x14ac:dyDescent="0.55000000000000004">
      <c r="A342" s="27"/>
      <c r="B342" s="31"/>
      <c r="C342" s="27"/>
      <c r="D342" s="26"/>
      <c r="E342" s="26"/>
      <c r="F342">
        <v>4899</v>
      </c>
      <c r="G342" t="s">
        <v>1134</v>
      </c>
      <c r="H342" t="s">
        <v>34</v>
      </c>
      <c r="I342" t="s">
        <v>201</v>
      </c>
      <c r="L342" t="b">
        <f t="shared" si="35"/>
        <v>0</v>
      </c>
      <c r="M342" t="b">
        <f t="shared" si="36"/>
        <v>0</v>
      </c>
      <c r="N342" t="b">
        <f t="shared" si="37"/>
        <v>0</v>
      </c>
      <c r="O342" t="b">
        <f t="shared" si="38"/>
        <v>0</v>
      </c>
      <c r="P342">
        <f t="shared" si="39"/>
        <v>0</v>
      </c>
      <c r="Q342" t="b">
        <f t="shared" si="40"/>
        <v>1</v>
      </c>
      <c r="R342">
        <f t="shared" si="41"/>
        <v>0</v>
      </c>
    </row>
    <row r="343" spans="1:18" ht="19.5" x14ac:dyDescent="0.55000000000000004">
      <c r="A343" s="27"/>
      <c r="B343" s="31"/>
      <c r="C343" s="27"/>
      <c r="D343" s="26"/>
      <c r="E343" s="26"/>
      <c r="F343">
        <v>4879</v>
      </c>
      <c r="G343" t="s">
        <v>1137</v>
      </c>
      <c r="H343" t="s">
        <v>34</v>
      </c>
      <c r="I343" t="s">
        <v>83</v>
      </c>
      <c r="L343" t="b">
        <f t="shared" si="35"/>
        <v>0</v>
      </c>
      <c r="M343" t="b">
        <f t="shared" si="36"/>
        <v>0</v>
      </c>
      <c r="N343" t="b">
        <f t="shared" si="37"/>
        <v>0</v>
      </c>
      <c r="O343" t="b">
        <f t="shared" si="38"/>
        <v>0</v>
      </c>
      <c r="P343">
        <f t="shared" si="39"/>
        <v>0</v>
      </c>
      <c r="Q343" t="b">
        <f t="shared" si="40"/>
        <v>1</v>
      </c>
      <c r="R343">
        <f t="shared" si="41"/>
        <v>0</v>
      </c>
    </row>
    <row r="344" spans="1:18" ht="19.5" x14ac:dyDescent="0.55000000000000004">
      <c r="A344" s="27"/>
      <c r="B344" s="31"/>
      <c r="C344" s="27"/>
      <c r="D344" s="26"/>
      <c r="E344" s="26"/>
      <c r="F344">
        <v>4883</v>
      </c>
      <c r="G344" t="s">
        <v>1139</v>
      </c>
      <c r="H344" t="s">
        <v>34</v>
      </c>
      <c r="I344" t="s">
        <v>83</v>
      </c>
      <c r="L344" t="b">
        <f t="shared" si="35"/>
        <v>0</v>
      </c>
      <c r="M344" t="b">
        <f t="shared" si="36"/>
        <v>0</v>
      </c>
      <c r="N344" t="b">
        <f t="shared" si="37"/>
        <v>0</v>
      </c>
      <c r="O344" t="b">
        <f t="shared" si="38"/>
        <v>0</v>
      </c>
      <c r="P344">
        <f t="shared" si="39"/>
        <v>0</v>
      </c>
      <c r="Q344" t="b">
        <f t="shared" si="40"/>
        <v>1</v>
      </c>
      <c r="R344">
        <f t="shared" si="41"/>
        <v>0</v>
      </c>
    </row>
    <row r="345" spans="1:18" ht="19.5" x14ac:dyDescent="0.55000000000000004">
      <c r="A345" s="27"/>
      <c r="B345" s="31"/>
      <c r="C345" s="27"/>
      <c r="D345" s="26"/>
      <c r="E345" s="26"/>
      <c r="F345">
        <v>4885</v>
      </c>
      <c r="G345" t="s">
        <v>1142</v>
      </c>
      <c r="H345" t="s">
        <v>34</v>
      </c>
      <c r="I345" t="s">
        <v>83</v>
      </c>
      <c r="L345" t="b">
        <f t="shared" si="35"/>
        <v>0</v>
      </c>
      <c r="M345" t="b">
        <f t="shared" si="36"/>
        <v>0</v>
      </c>
      <c r="N345" t="b">
        <f t="shared" si="37"/>
        <v>0</v>
      </c>
      <c r="O345" t="b">
        <f t="shared" si="38"/>
        <v>0</v>
      </c>
      <c r="P345">
        <f t="shared" si="39"/>
        <v>0</v>
      </c>
      <c r="Q345" t="b">
        <f t="shared" si="40"/>
        <v>1</v>
      </c>
      <c r="R345">
        <f t="shared" si="41"/>
        <v>0</v>
      </c>
    </row>
    <row r="346" spans="1:18" ht="19.5" x14ac:dyDescent="0.55000000000000004">
      <c r="A346" s="27"/>
      <c r="B346" s="31"/>
      <c r="C346" s="27"/>
      <c r="D346" s="26"/>
      <c r="E346" s="26"/>
      <c r="F346">
        <v>80018</v>
      </c>
      <c r="G346" t="s">
        <v>1145</v>
      </c>
      <c r="H346" t="s">
        <v>34</v>
      </c>
      <c r="I346" t="s">
        <v>83</v>
      </c>
      <c r="L346" t="b">
        <f t="shared" si="35"/>
        <v>0</v>
      </c>
      <c r="M346" t="b">
        <f t="shared" si="36"/>
        <v>0</v>
      </c>
      <c r="N346" t="b">
        <f t="shared" si="37"/>
        <v>0</v>
      </c>
      <c r="O346" t="b">
        <f t="shared" si="38"/>
        <v>0</v>
      </c>
      <c r="P346">
        <f t="shared" si="39"/>
        <v>0</v>
      </c>
      <c r="Q346" t="b">
        <f t="shared" si="40"/>
        <v>1</v>
      </c>
      <c r="R346">
        <f t="shared" si="41"/>
        <v>0</v>
      </c>
    </row>
    <row r="347" spans="1:18" ht="19.5" x14ac:dyDescent="0.55000000000000004">
      <c r="A347" s="27"/>
      <c r="B347" s="31"/>
      <c r="C347" s="27"/>
      <c r="D347" s="26"/>
      <c r="E347" s="26"/>
      <c r="F347">
        <v>4888</v>
      </c>
      <c r="G347" t="s">
        <v>1149</v>
      </c>
      <c r="H347" t="s">
        <v>34</v>
      </c>
      <c r="I347" t="s">
        <v>83</v>
      </c>
      <c r="L347" t="b">
        <f t="shared" si="35"/>
        <v>0</v>
      </c>
      <c r="M347" t="b">
        <f t="shared" si="36"/>
        <v>0</v>
      </c>
      <c r="N347" t="b">
        <f t="shared" si="37"/>
        <v>0</v>
      </c>
      <c r="O347" t="b">
        <f t="shared" si="38"/>
        <v>0</v>
      </c>
      <c r="P347">
        <f t="shared" si="39"/>
        <v>0</v>
      </c>
      <c r="Q347" t="b">
        <f t="shared" si="40"/>
        <v>1</v>
      </c>
      <c r="R347">
        <f t="shared" si="41"/>
        <v>0</v>
      </c>
    </row>
    <row r="348" spans="1:18" ht="19.5" x14ac:dyDescent="0.55000000000000004">
      <c r="A348" s="27"/>
      <c r="B348" s="31"/>
      <c r="C348" s="27"/>
      <c r="D348" s="26"/>
      <c r="E348" s="26"/>
      <c r="F348">
        <v>4892</v>
      </c>
      <c r="G348" t="s">
        <v>1153</v>
      </c>
      <c r="H348" t="s">
        <v>75</v>
      </c>
      <c r="I348" t="s">
        <v>83</v>
      </c>
      <c r="L348" t="b">
        <f t="shared" si="35"/>
        <v>0</v>
      </c>
      <c r="M348" t="b">
        <f t="shared" si="36"/>
        <v>1</v>
      </c>
      <c r="N348" t="b">
        <f t="shared" si="37"/>
        <v>0</v>
      </c>
      <c r="O348" t="b">
        <f t="shared" si="38"/>
        <v>0</v>
      </c>
      <c r="P348">
        <f t="shared" si="39"/>
        <v>0</v>
      </c>
      <c r="Q348" t="b">
        <f t="shared" si="40"/>
        <v>1</v>
      </c>
      <c r="R348">
        <f t="shared" si="41"/>
        <v>0</v>
      </c>
    </row>
    <row r="349" spans="1:18" ht="19.5" x14ac:dyDescent="0.55000000000000004">
      <c r="A349" s="27"/>
      <c r="B349" s="31"/>
      <c r="C349" s="27"/>
      <c r="D349" s="26"/>
      <c r="E349" s="26"/>
      <c r="F349">
        <v>4882</v>
      </c>
      <c r="G349" t="s">
        <v>1155</v>
      </c>
      <c r="H349" t="s">
        <v>75</v>
      </c>
      <c r="I349" t="s">
        <v>83</v>
      </c>
      <c r="L349" t="b">
        <f t="shared" si="35"/>
        <v>0</v>
      </c>
      <c r="M349" t="b">
        <f t="shared" si="36"/>
        <v>0</v>
      </c>
      <c r="N349" t="b">
        <f t="shared" si="37"/>
        <v>0</v>
      </c>
      <c r="O349" t="b">
        <f t="shared" si="38"/>
        <v>0</v>
      </c>
      <c r="P349">
        <f t="shared" si="39"/>
        <v>0</v>
      </c>
      <c r="Q349" t="b">
        <f t="shared" si="40"/>
        <v>1</v>
      </c>
      <c r="R349">
        <f t="shared" si="41"/>
        <v>0</v>
      </c>
    </row>
    <row r="350" spans="1:18" ht="19.5" x14ac:dyDescent="0.55000000000000004">
      <c r="A350" s="27"/>
      <c r="B350" s="31"/>
      <c r="C350" s="27"/>
      <c r="D350" s="26"/>
      <c r="E350" s="26"/>
      <c r="F350">
        <v>4891</v>
      </c>
      <c r="G350" t="s">
        <v>1158</v>
      </c>
      <c r="H350" t="s">
        <v>75</v>
      </c>
      <c r="I350" t="s">
        <v>83</v>
      </c>
      <c r="L350" t="b">
        <f t="shared" si="35"/>
        <v>0</v>
      </c>
      <c r="M350" t="b">
        <f t="shared" si="36"/>
        <v>1</v>
      </c>
      <c r="N350" t="b">
        <f t="shared" si="37"/>
        <v>0</v>
      </c>
      <c r="O350" t="b">
        <f t="shared" si="38"/>
        <v>0</v>
      </c>
      <c r="P350">
        <f t="shared" si="39"/>
        <v>0</v>
      </c>
      <c r="Q350" t="b">
        <f t="shared" si="40"/>
        <v>1</v>
      </c>
      <c r="R350">
        <f t="shared" si="41"/>
        <v>0</v>
      </c>
    </row>
    <row r="351" spans="1:18" ht="19.5" x14ac:dyDescent="0.55000000000000004">
      <c r="A351" s="27"/>
      <c r="B351" s="31"/>
      <c r="C351" s="27"/>
      <c r="D351" s="26"/>
      <c r="E351" s="26"/>
      <c r="F351">
        <v>4977</v>
      </c>
      <c r="G351" t="s">
        <v>1160</v>
      </c>
      <c r="H351" t="s">
        <v>34</v>
      </c>
      <c r="I351" t="s">
        <v>1037</v>
      </c>
      <c r="L351" t="b">
        <f t="shared" si="35"/>
        <v>0</v>
      </c>
      <c r="M351" t="b">
        <f t="shared" si="36"/>
        <v>0</v>
      </c>
      <c r="N351" t="b">
        <f t="shared" si="37"/>
        <v>0</v>
      </c>
      <c r="O351" t="b">
        <f t="shared" si="38"/>
        <v>0</v>
      </c>
      <c r="P351">
        <f t="shared" si="39"/>
        <v>0</v>
      </c>
      <c r="Q351" t="b">
        <f t="shared" si="40"/>
        <v>1</v>
      </c>
      <c r="R351">
        <f t="shared" si="41"/>
        <v>0</v>
      </c>
    </row>
    <row r="352" spans="1:18" ht="19.5" x14ac:dyDescent="0.55000000000000004">
      <c r="A352" s="27"/>
      <c r="B352" s="31"/>
      <c r="C352" s="27"/>
      <c r="D352" s="26"/>
      <c r="E352" s="26"/>
      <c r="F352">
        <v>4924</v>
      </c>
      <c r="G352" t="s">
        <v>1162</v>
      </c>
      <c r="H352" t="s">
        <v>34</v>
      </c>
      <c r="I352" t="s">
        <v>36</v>
      </c>
      <c r="L352" t="b">
        <f t="shared" si="35"/>
        <v>0</v>
      </c>
      <c r="M352" t="b">
        <f t="shared" si="36"/>
        <v>0</v>
      </c>
      <c r="N352" t="b">
        <f t="shared" si="37"/>
        <v>0</v>
      </c>
      <c r="O352" t="b">
        <f t="shared" si="38"/>
        <v>0</v>
      </c>
      <c r="P352">
        <f t="shared" si="39"/>
        <v>0</v>
      </c>
      <c r="Q352" t="b">
        <f t="shared" si="40"/>
        <v>1</v>
      </c>
      <c r="R352">
        <f t="shared" si="41"/>
        <v>0</v>
      </c>
    </row>
    <row r="353" spans="1:18" ht="19.5" x14ac:dyDescent="0.55000000000000004">
      <c r="A353" s="27"/>
      <c r="B353" s="31"/>
      <c r="C353" s="27"/>
      <c r="D353" s="26"/>
      <c r="E353" s="26"/>
      <c r="F353">
        <v>4749</v>
      </c>
      <c r="G353" t="s">
        <v>1164</v>
      </c>
      <c r="H353" t="s">
        <v>54</v>
      </c>
      <c r="I353" t="s">
        <v>525</v>
      </c>
      <c r="L353" t="b">
        <f t="shared" si="35"/>
        <v>0</v>
      </c>
      <c r="M353" t="b">
        <f t="shared" si="36"/>
        <v>0</v>
      </c>
      <c r="N353" t="b">
        <f t="shared" si="37"/>
        <v>0</v>
      </c>
      <c r="O353" t="b">
        <f t="shared" si="38"/>
        <v>0</v>
      </c>
      <c r="P353">
        <f t="shared" si="39"/>
        <v>0</v>
      </c>
      <c r="Q353" t="b">
        <f t="shared" si="40"/>
        <v>1</v>
      </c>
      <c r="R353">
        <f t="shared" si="41"/>
        <v>0</v>
      </c>
    </row>
    <row r="354" spans="1:18" ht="19.5" x14ac:dyDescent="0.55000000000000004">
      <c r="A354" s="27"/>
      <c r="B354" s="31"/>
      <c r="C354" s="27"/>
      <c r="D354" s="26"/>
      <c r="E354" s="26"/>
      <c r="F354">
        <v>5000</v>
      </c>
      <c r="G354" t="s">
        <v>1167</v>
      </c>
      <c r="H354" t="s">
        <v>54</v>
      </c>
      <c r="I354" t="s">
        <v>354</v>
      </c>
      <c r="L354" t="b">
        <f t="shared" si="35"/>
        <v>0</v>
      </c>
      <c r="M354" t="b">
        <f t="shared" si="36"/>
        <v>0</v>
      </c>
      <c r="N354" t="b">
        <f t="shared" si="37"/>
        <v>0</v>
      </c>
      <c r="O354" t="b">
        <f t="shared" si="38"/>
        <v>0</v>
      </c>
      <c r="P354">
        <f t="shared" si="39"/>
        <v>0</v>
      </c>
      <c r="Q354" t="b">
        <f t="shared" si="40"/>
        <v>1</v>
      </c>
      <c r="R354">
        <f t="shared" si="41"/>
        <v>0</v>
      </c>
    </row>
    <row r="355" spans="1:18" ht="19.5" x14ac:dyDescent="0.55000000000000004">
      <c r="A355" s="27"/>
      <c r="B355" s="31"/>
      <c r="C355" s="27"/>
      <c r="D355" s="26"/>
      <c r="E355" s="26"/>
      <c r="F355">
        <v>4998</v>
      </c>
      <c r="G355" t="s">
        <v>1170</v>
      </c>
      <c r="H355" t="s">
        <v>111</v>
      </c>
      <c r="I355" t="s">
        <v>1171</v>
      </c>
      <c r="L355" t="b">
        <f t="shared" si="35"/>
        <v>0</v>
      </c>
      <c r="M355" t="b">
        <f t="shared" si="36"/>
        <v>0</v>
      </c>
      <c r="N355" t="b">
        <f t="shared" si="37"/>
        <v>0</v>
      </c>
      <c r="O355" t="b">
        <f t="shared" si="38"/>
        <v>0</v>
      </c>
      <c r="P355">
        <f t="shared" si="39"/>
        <v>0</v>
      </c>
      <c r="Q355" t="b">
        <f t="shared" si="40"/>
        <v>1</v>
      </c>
      <c r="R355">
        <f t="shared" si="41"/>
        <v>0</v>
      </c>
    </row>
    <row r="356" spans="1:18" ht="19.5" x14ac:dyDescent="0.55000000000000004">
      <c r="A356" s="27"/>
      <c r="B356" s="31"/>
      <c r="C356" s="27"/>
      <c r="D356" s="26"/>
      <c r="E356" s="26"/>
      <c r="F356">
        <v>80414</v>
      </c>
      <c r="G356" t="s">
        <v>1174</v>
      </c>
      <c r="H356" t="s">
        <v>111</v>
      </c>
      <c r="I356" t="s">
        <v>1171</v>
      </c>
      <c r="L356" t="b">
        <f t="shared" si="35"/>
        <v>0</v>
      </c>
      <c r="M356" t="b">
        <f t="shared" si="36"/>
        <v>0</v>
      </c>
      <c r="N356" t="b">
        <f t="shared" si="37"/>
        <v>0</v>
      </c>
      <c r="O356" t="b">
        <f t="shared" si="38"/>
        <v>0</v>
      </c>
      <c r="P356">
        <f t="shared" si="39"/>
        <v>0</v>
      </c>
      <c r="Q356" t="b">
        <f t="shared" si="40"/>
        <v>1</v>
      </c>
      <c r="R356">
        <f t="shared" si="41"/>
        <v>0</v>
      </c>
    </row>
    <row r="357" spans="1:18" ht="19.5" x14ac:dyDescent="0.55000000000000004">
      <c r="A357" s="27"/>
      <c r="B357" s="31"/>
      <c r="C357" s="27"/>
      <c r="D357" s="26"/>
      <c r="E357" s="26"/>
      <c r="F357">
        <v>4898</v>
      </c>
      <c r="G357" t="s">
        <v>1177</v>
      </c>
      <c r="H357" t="s">
        <v>34</v>
      </c>
      <c r="I357" t="s">
        <v>83</v>
      </c>
      <c r="L357" t="b">
        <f t="shared" si="35"/>
        <v>0</v>
      </c>
      <c r="M357" t="b">
        <f t="shared" si="36"/>
        <v>0</v>
      </c>
      <c r="N357" t="b">
        <f t="shared" si="37"/>
        <v>0</v>
      </c>
      <c r="O357" t="b">
        <f t="shared" si="38"/>
        <v>0</v>
      </c>
      <c r="P357">
        <f t="shared" si="39"/>
        <v>0</v>
      </c>
      <c r="Q357" t="b">
        <f t="shared" si="40"/>
        <v>1</v>
      </c>
      <c r="R357">
        <f t="shared" si="41"/>
        <v>0</v>
      </c>
    </row>
    <row r="358" spans="1:18" ht="19.5" x14ac:dyDescent="0.55000000000000004">
      <c r="A358" s="27"/>
      <c r="B358" s="31"/>
      <c r="C358" s="27"/>
      <c r="D358" s="26"/>
      <c r="E358" s="26"/>
      <c r="F358">
        <v>4671</v>
      </c>
      <c r="G358" t="s">
        <v>1179</v>
      </c>
      <c r="H358" t="s">
        <v>54</v>
      </c>
      <c r="I358" t="s">
        <v>419</v>
      </c>
      <c r="L358" t="b">
        <f t="shared" si="35"/>
        <v>0</v>
      </c>
      <c r="M358" t="b">
        <f t="shared" si="36"/>
        <v>0</v>
      </c>
      <c r="N358" t="b">
        <f t="shared" si="37"/>
        <v>0</v>
      </c>
      <c r="O358" t="b">
        <f t="shared" si="38"/>
        <v>0</v>
      </c>
      <c r="P358">
        <f t="shared" si="39"/>
        <v>0</v>
      </c>
      <c r="Q358" t="b">
        <f t="shared" si="40"/>
        <v>1</v>
      </c>
      <c r="R358">
        <f t="shared" si="41"/>
        <v>0</v>
      </c>
    </row>
    <row r="359" spans="1:18" ht="19.5" x14ac:dyDescent="0.55000000000000004">
      <c r="A359" s="27"/>
      <c r="B359" s="31"/>
      <c r="C359" s="27"/>
      <c r="D359" s="26"/>
      <c r="E359" s="26"/>
      <c r="F359">
        <v>4758</v>
      </c>
      <c r="G359" t="s">
        <v>1182</v>
      </c>
      <c r="H359" t="s">
        <v>34</v>
      </c>
      <c r="I359" t="s">
        <v>525</v>
      </c>
      <c r="L359" t="b">
        <f t="shared" si="35"/>
        <v>0</v>
      </c>
      <c r="M359" t="b">
        <f t="shared" si="36"/>
        <v>1</v>
      </c>
      <c r="N359" t="b">
        <f t="shared" si="37"/>
        <v>0</v>
      </c>
      <c r="O359" t="b">
        <f t="shared" si="38"/>
        <v>0</v>
      </c>
      <c r="P359">
        <f t="shared" si="39"/>
        <v>0</v>
      </c>
      <c r="Q359" t="b">
        <f t="shared" si="40"/>
        <v>1</v>
      </c>
      <c r="R359">
        <f t="shared" si="41"/>
        <v>0</v>
      </c>
    </row>
    <row r="360" spans="1:18" ht="19.5" x14ac:dyDescent="0.55000000000000004">
      <c r="A360" s="27"/>
      <c r="B360" s="31"/>
      <c r="C360" s="27"/>
      <c r="D360" s="26"/>
      <c r="E360" s="26"/>
      <c r="F360">
        <v>4704</v>
      </c>
      <c r="G360" t="s">
        <v>1186</v>
      </c>
      <c r="H360" t="s">
        <v>54</v>
      </c>
      <c r="I360" t="s">
        <v>419</v>
      </c>
      <c r="L360" t="b">
        <f t="shared" si="35"/>
        <v>0</v>
      </c>
      <c r="M360" t="b">
        <f t="shared" si="36"/>
        <v>0</v>
      </c>
      <c r="N360" t="b">
        <f t="shared" si="37"/>
        <v>0</v>
      </c>
      <c r="O360" t="b">
        <f t="shared" si="38"/>
        <v>0</v>
      </c>
      <c r="P360">
        <f t="shared" si="39"/>
        <v>0</v>
      </c>
      <c r="Q360" t="b">
        <f t="shared" si="40"/>
        <v>1</v>
      </c>
      <c r="R360">
        <f t="shared" si="41"/>
        <v>0</v>
      </c>
    </row>
    <row r="361" spans="1:18" ht="19.5" x14ac:dyDescent="0.55000000000000004">
      <c r="A361" s="27"/>
      <c r="B361" s="31"/>
      <c r="C361" s="27"/>
      <c r="D361" s="26"/>
      <c r="E361" s="26"/>
      <c r="F361">
        <v>4733</v>
      </c>
      <c r="G361" t="s">
        <v>1189</v>
      </c>
      <c r="H361" t="s">
        <v>34</v>
      </c>
      <c r="I361" t="s">
        <v>525</v>
      </c>
      <c r="L361" t="b">
        <f t="shared" si="35"/>
        <v>0</v>
      </c>
      <c r="M361" t="b">
        <f t="shared" si="36"/>
        <v>0</v>
      </c>
      <c r="N361" t="b">
        <f t="shared" si="37"/>
        <v>0</v>
      </c>
      <c r="O361" t="b">
        <f t="shared" si="38"/>
        <v>0</v>
      </c>
      <c r="P361">
        <f t="shared" si="39"/>
        <v>0</v>
      </c>
      <c r="Q361" t="b">
        <f t="shared" si="40"/>
        <v>1</v>
      </c>
      <c r="R361">
        <f t="shared" si="41"/>
        <v>0</v>
      </c>
    </row>
    <row r="362" spans="1:18" ht="19.5" x14ac:dyDescent="0.55000000000000004">
      <c r="A362" s="27"/>
      <c r="B362" s="31"/>
      <c r="C362" s="27"/>
      <c r="D362" s="26"/>
      <c r="E362" s="26"/>
      <c r="F362">
        <v>4829</v>
      </c>
      <c r="G362" t="s">
        <v>1192</v>
      </c>
      <c r="H362" t="s">
        <v>136</v>
      </c>
      <c r="I362" t="s">
        <v>229</v>
      </c>
      <c r="L362" t="b">
        <f t="shared" si="35"/>
        <v>0</v>
      </c>
      <c r="M362" t="b">
        <f t="shared" si="36"/>
        <v>0</v>
      </c>
      <c r="N362" t="b">
        <f t="shared" si="37"/>
        <v>0</v>
      </c>
      <c r="O362" t="b">
        <f t="shared" si="38"/>
        <v>0</v>
      </c>
      <c r="P362">
        <f t="shared" si="39"/>
        <v>0</v>
      </c>
      <c r="Q362" t="b">
        <f t="shared" si="40"/>
        <v>1</v>
      </c>
      <c r="R362">
        <f t="shared" si="41"/>
        <v>0</v>
      </c>
    </row>
    <row r="363" spans="1:18" ht="19.5" x14ac:dyDescent="0.55000000000000004">
      <c r="A363" s="27"/>
      <c r="B363" s="31"/>
      <c r="C363" s="27"/>
      <c r="D363" s="26"/>
      <c r="E363" s="26"/>
      <c r="F363">
        <v>4962</v>
      </c>
      <c r="G363" t="s">
        <v>1197</v>
      </c>
      <c r="H363" t="s">
        <v>34</v>
      </c>
      <c r="I363" t="s">
        <v>106</v>
      </c>
      <c r="L363" t="b">
        <f t="shared" si="35"/>
        <v>0</v>
      </c>
      <c r="M363" t="b">
        <f t="shared" si="36"/>
        <v>0</v>
      </c>
      <c r="N363" t="b">
        <f t="shared" si="37"/>
        <v>0</v>
      </c>
      <c r="O363" t="b">
        <f t="shared" si="38"/>
        <v>0</v>
      </c>
      <c r="P363">
        <f t="shared" si="39"/>
        <v>0</v>
      </c>
      <c r="Q363" t="b">
        <f t="shared" si="40"/>
        <v>1</v>
      </c>
      <c r="R363">
        <f t="shared" si="41"/>
        <v>0</v>
      </c>
    </row>
    <row r="364" spans="1:18" ht="19.5" x14ac:dyDescent="0.55000000000000004">
      <c r="A364" s="27"/>
      <c r="B364" s="31"/>
      <c r="C364" s="27"/>
      <c r="D364" s="26"/>
      <c r="E364" s="26"/>
      <c r="F364">
        <v>4927</v>
      </c>
      <c r="G364" t="s">
        <v>1204</v>
      </c>
      <c r="H364" t="s">
        <v>34</v>
      </c>
      <c r="I364" t="s">
        <v>36</v>
      </c>
      <c r="L364" t="b">
        <f t="shared" si="35"/>
        <v>0</v>
      </c>
      <c r="M364" t="b">
        <f t="shared" si="36"/>
        <v>0</v>
      </c>
      <c r="N364" t="b">
        <f t="shared" si="37"/>
        <v>0</v>
      </c>
      <c r="O364" t="b">
        <f t="shared" si="38"/>
        <v>0</v>
      </c>
      <c r="P364">
        <f t="shared" si="39"/>
        <v>0</v>
      </c>
      <c r="Q364" t="b">
        <f t="shared" si="40"/>
        <v>1</v>
      </c>
      <c r="R364">
        <f t="shared" si="41"/>
        <v>0</v>
      </c>
    </row>
    <row r="365" spans="1:18" ht="19.5" x14ac:dyDescent="0.55000000000000004">
      <c r="A365" s="27"/>
      <c r="B365" s="31"/>
      <c r="C365" s="27"/>
      <c r="D365" s="26"/>
      <c r="E365" s="26"/>
      <c r="F365">
        <v>4959</v>
      </c>
      <c r="G365" t="s">
        <v>1207</v>
      </c>
      <c r="H365" t="s">
        <v>34</v>
      </c>
      <c r="I365" t="s">
        <v>106</v>
      </c>
      <c r="L365" t="b">
        <f t="shared" si="35"/>
        <v>0</v>
      </c>
      <c r="M365" t="b">
        <f t="shared" si="36"/>
        <v>0</v>
      </c>
      <c r="N365" t="b">
        <f t="shared" si="37"/>
        <v>0</v>
      </c>
      <c r="O365" t="b">
        <f t="shared" si="38"/>
        <v>0</v>
      </c>
      <c r="P365">
        <f t="shared" si="39"/>
        <v>0</v>
      </c>
      <c r="Q365" t="b">
        <f t="shared" si="40"/>
        <v>1</v>
      </c>
      <c r="R365">
        <f t="shared" si="41"/>
        <v>0</v>
      </c>
    </row>
    <row r="366" spans="1:18" ht="19.5" x14ac:dyDescent="0.55000000000000004">
      <c r="A366" s="27"/>
      <c r="B366" s="31"/>
      <c r="C366" s="27"/>
      <c r="D366" s="26"/>
      <c r="E366" s="26"/>
      <c r="F366">
        <v>4844</v>
      </c>
      <c r="G366" t="s">
        <v>1211</v>
      </c>
      <c r="H366" t="s">
        <v>111</v>
      </c>
      <c r="I366" t="s">
        <v>221</v>
      </c>
      <c r="L366" t="b">
        <f t="shared" si="35"/>
        <v>0</v>
      </c>
      <c r="M366" t="b">
        <f t="shared" si="36"/>
        <v>1</v>
      </c>
      <c r="N366" t="b">
        <f t="shared" si="37"/>
        <v>0</v>
      </c>
      <c r="O366" t="b">
        <f t="shared" si="38"/>
        <v>0</v>
      </c>
      <c r="P366">
        <f t="shared" si="39"/>
        <v>0</v>
      </c>
      <c r="Q366" t="b">
        <f t="shared" si="40"/>
        <v>1</v>
      </c>
      <c r="R366">
        <f t="shared" si="41"/>
        <v>0</v>
      </c>
    </row>
    <row r="367" spans="1:18" ht="19.5" x14ac:dyDescent="0.55000000000000004">
      <c r="A367" s="27"/>
      <c r="B367" s="31"/>
      <c r="C367" s="27"/>
      <c r="D367" s="26"/>
      <c r="E367" s="26"/>
      <c r="F367">
        <v>4975</v>
      </c>
      <c r="G367" t="s">
        <v>1215</v>
      </c>
      <c r="H367" t="s">
        <v>75</v>
      </c>
      <c r="I367" t="s">
        <v>221</v>
      </c>
      <c r="L367" t="b">
        <f t="shared" si="35"/>
        <v>0</v>
      </c>
      <c r="M367" t="b">
        <f t="shared" si="36"/>
        <v>1</v>
      </c>
      <c r="N367" t="b">
        <f t="shared" si="37"/>
        <v>0</v>
      </c>
      <c r="O367" t="b">
        <f t="shared" si="38"/>
        <v>0</v>
      </c>
      <c r="P367">
        <f t="shared" si="39"/>
        <v>0</v>
      </c>
      <c r="Q367" t="b">
        <f t="shared" si="40"/>
        <v>1</v>
      </c>
      <c r="R367">
        <f t="shared" si="41"/>
        <v>0</v>
      </c>
    </row>
    <row r="368" spans="1:18" ht="19.5" x14ac:dyDescent="0.55000000000000004">
      <c r="A368" s="27"/>
      <c r="B368" s="31"/>
      <c r="C368" s="27"/>
      <c r="D368" s="26"/>
      <c r="E368" s="26"/>
      <c r="F368">
        <v>4727</v>
      </c>
      <c r="G368" t="s">
        <v>1219</v>
      </c>
      <c r="H368" t="s">
        <v>75</v>
      </c>
      <c r="I368" t="s">
        <v>525</v>
      </c>
      <c r="L368" t="b">
        <f t="shared" si="35"/>
        <v>0</v>
      </c>
      <c r="M368" t="b">
        <f t="shared" si="36"/>
        <v>1</v>
      </c>
      <c r="N368" t="b">
        <f t="shared" si="37"/>
        <v>0</v>
      </c>
      <c r="O368" t="b">
        <f t="shared" si="38"/>
        <v>0</v>
      </c>
      <c r="P368">
        <f t="shared" si="39"/>
        <v>0</v>
      </c>
      <c r="Q368" t="b">
        <f t="shared" si="40"/>
        <v>1</v>
      </c>
      <c r="R368">
        <f t="shared" si="41"/>
        <v>0</v>
      </c>
    </row>
    <row r="369" spans="1:18" ht="19.5" x14ac:dyDescent="0.55000000000000004">
      <c r="A369" s="27"/>
      <c r="B369" s="31"/>
      <c r="C369" s="27"/>
      <c r="D369" s="26"/>
      <c r="E369" s="26"/>
      <c r="F369">
        <v>4997</v>
      </c>
      <c r="G369" t="s">
        <v>1225</v>
      </c>
      <c r="H369" t="s">
        <v>111</v>
      </c>
      <c r="I369" t="s">
        <v>731</v>
      </c>
      <c r="L369" t="b">
        <f t="shared" si="35"/>
        <v>0</v>
      </c>
      <c r="M369" t="b">
        <f t="shared" si="36"/>
        <v>0</v>
      </c>
      <c r="N369" t="b">
        <f t="shared" si="37"/>
        <v>0</v>
      </c>
      <c r="O369" t="b">
        <f t="shared" si="38"/>
        <v>0</v>
      </c>
      <c r="P369">
        <f t="shared" si="39"/>
        <v>0</v>
      </c>
      <c r="Q369" t="b">
        <f t="shared" si="40"/>
        <v>1</v>
      </c>
      <c r="R369">
        <f t="shared" si="41"/>
        <v>0</v>
      </c>
    </row>
    <row r="370" spans="1:18" ht="19.5" x14ac:dyDescent="0.55000000000000004">
      <c r="A370" s="27"/>
      <c r="B370" s="31"/>
      <c r="C370" s="27"/>
      <c r="D370" s="26"/>
      <c r="E370" s="26"/>
      <c r="F370">
        <v>4831</v>
      </c>
      <c r="G370" t="s">
        <v>1228</v>
      </c>
      <c r="H370" t="s">
        <v>75</v>
      </c>
      <c r="I370" t="s">
        <v>229</v>
      </c>
      <c r="L370" t="b">
        <f t="shared" si="35"/>
        <v>0</v>
      </c>
      <c r="M370" t="b">
        <f t="shared" si="36"/>
        <v>0</v>
      </c>
      <c r="N370" t="b">
        <f t="shared" si="37"/>
        <v>0</v>
      </c>
      <c r="O370" t="b">
        <f t="shared" si="38"/>
        <v>0</v>
      </c>
      <c r="P370">
        <f t="shared" si="39"/>
        <v>0</v>
      </c>
      <c r="Q370" t="b">
        <f t="shared" si="40"/>
        <v>1</v>
      </c>
      <c r="R370">
        <f t="shared" si="41"/>
        <v>0</v>
      </c>
    </row>
    <row r="371" spans="1:18" ht="19.5" x14ac:dyDescent="0.55000000000000004">
      <c r="A371" s="27"/>
      <c r="B371" s="31"/>
      <c r="C371" s="27"/>
      <c r="D371" s="26"/>
      <c r="E371" s="26"/>
      <c r="F371">
        <v>2</v>
      </c>
      <c r="G371" t="s">
        <v>1230</v>
      </c>
      <c r="H371" t="s">
        <v>1231</v>
      </c>
      <c r="I371" t="s">
        <v>67</v>
      </c>
      <c r="L371" t="b">
        <f t="shared" si="35"/>
        <v>0</v>
      </c>
      <c r="M371" t="b">
        <f t="shared" si="36"/>
        <v>0</v>
      </c>
      <c r="N371" t="b">
        <f t="shared" si="37"/>
        <v>0</v>
      </c>
      <c r="O371" t="b">
        <f t="shared" si="38"/>
        <v>0</v>
      </c>
      <c r="P371">
        <f t="shared" si="39"/>
        <v>0</v>
      </c>
      <c r="Q371" t="b">
        <f t="shared" si="40"/>
        <v>1</v>
      </c>
      <c r="R371">
        <f t="shared" si="41"/>
        <v>0</v>
      </c>
    </row>
    <row r="372" spans="1:18" ht="19.5" x14ac:dyDescent="0.55000000000000004">
      <c r="A372" s="27"/>
      <c r="B372" s="31"/>
      <c r="C372" s="27"/>
      <c r="D372" s="26"/>
      <c r="E372" s="26"/>
      <c r="F372">
        <v>3</v>
      </c>
      <c r="G372" t="s">
        <v>1233</v>
      </c>
      <c r="H372" t="s">
        <v>580</v>
      </c>
      <c r="I372" t="s">
        <v>573</v>
      </c>
      <c r="J372" t="s">
        <v>625</v>
      </c>
      <c r="L372" t="b">
        <f t="shared" si="35"/>
        <v>0</v>
      </c>
      <c r="M372" t="b">
        <f t="shared" si="36"/>
        <v>0</v>
      </c>
      <c r="N372" t="b">
        <f t="shared" si="37"/>
        <v>0</v>
      </c>
      <c r="O372" t="b">
        <f t="shared" si="38"/>
        <v>0</v>
      </c>
      <c r="P372">
        <f t="shared" si="39"/>
        <v>0</v>
      </c>
      <c r="Q372" t="b">
        <f t="shared" si="40"/>
        <v>1</v>
      </c>
      <c r="R372">
        <f t="shared" si="41"/>
        <v>0</v>
      </c>
    </row>
    <row r="373" spans="1:18" ht="19.5" x14ac:dyDescent="0.55000000000000004">
      <c r="A373" s="27"/>
      <c r="B373" s="31"/>
      <c r="C373" s="27"/>
      <c r="D373" s="26"/>
      <c r="E373" s="26"/>
      <c r="F373">
        <v>4</v>
      </c>
      <c r="G373" t="s">
        <v>1236</v>
      </c>
      <c r="H373" t="s">
        <v>580</v>
      </c>
      <c r="I373" t="s">
        <v>388</v>
      </c>
      <c r="L373" t="b">
        <f t="shared" si="35"/>
        <v>0</v>
      </c>
      <c r="M373" t="b">
        <f t="shared" si="36"/>
        <v>0</v>
      </c>
      <c r="N373" t="b">
        <f t="shared" si="37"/>
        <v>0</v>
      </c>
      <c r="O373" t="b">
        <f t="shared" si="38"/>
        <v>0</v>
      </c>
      <c r="P373">
        <f t="shared" si="39"/>
        <v>0</v>
      </c>
      <c r="Q373" t="b">
        <f t="shared" si="40"/>
        <v>1</v>
      </c>
      <c r="R373">
        <f t="shared" si="41"/>
        <v>0</v>
      </c>
    </row>
    <row r="374" spans="1:18" ht="19.5" x14ac:dyDescent="0.55000000000000004">
      <c r="A374" s="27"/>
      <c r="B374" s="31"/>
      <c r="C374" s="27"/>
      <c r="D374" s="26"/>
      <c r="E374" s="26"/>
      <c r="F374">
        <v>4832</v>
      </c>
      <c r="G374" t="s">
        <v>1239</v>
      </c>
      <c r="H374" t="s">
        <v>34</v>
      </c>
      <c r="I374" t="s">
        <v>229</v>
      </c>
      <c r="J374" t="s">
        <v>1240</v>
      </c>
      <c r="L374" t="b">
        <f t="shared" si="35"/>
        <v>0</v>
      </c>
      <c r="M374" t="b">
        <f t="shared" si="36"/>
        <v>1</v>
      </c>
      <c r="N374" t="b">
        <f t="shared" si="37"/>
        <v>0</v>
      </c>
      <c r="O374" t="b">
        <f t="shared" si="38"/>
        <v>0</v>
      </c>
      <c r="P374">
        <f t="shared" si="39"/>
        <v>0</v>
      </c>
      <c r="Q374" t="b">
        <f t="shared" si="40"/>
        <v>1</v>
      </c>
      <c r="R374">
        <f t="shared" si="41"/>
        <v>0</v>
      </c>
    </row>
    <row r="375" spans="1:18" ht="19.5" x14ac:dyDescent="0.55000000000000004">
      <c r="A375" s="27"/>
      <c r="B375" s="31"/>
      <c r="C375" s="27"/>
      <c r="D375" s="26"/>
      <c r="E375" s="26"/>
      <c r="F375">
        <v>3256</v>
      </c>
      <c r="G375" t="s">
        <v>1244</v>
      </c>
      <c r="H375" t="s">
        <v>34</v>
      </c>
      <c r="I375" t="s">
        <v>229</v>
      </c>
      <c r="J375" t="s">
        <v>1240</v>
      </c>
      <c r="L375" t="b">
        <f t="shared" si="35"/>
        <v>0</v>
      </c>
      <c r="M375" t="b">
        <f t="shared" si="36"/>
        <v>1</v>
      </c>
      <c r="N375" t="b">
        <f t="shared" si="37"/>
        <v>0</v>
      </c>
      <c r="O375" t="b">
        <f t="shared" si="38"/>
        <v>0</v>
      </c>
      <c r="P375">
        <f t="shared" si="39"/>
        <v>0</v>
      </c>
      <c r="Q375" t="b">
        <f t="shared" si="40"/>
        <v>1</v>
      </c>
      <c r="R375">
        <f t="shared" si="41"/>
        <v>0</v>
      </c>
    </row>
    <row r="376" spans="1:18" ht="19.5" x14ac:dyDescent="0.55000000000000004">
      <c r="A376" s="27"/>
      <c r="B376" s="31"/>
      <c r="C376" s="27"/>
      <c r="D376" s="26"/>
      <c r="E376" s="26"/>
      <c r="F376">
        <v>11</v>
      </c>
      <c r="G376" t="s">
        <v>1247</v>
      </c>
      <c r="H376" t="s">
        <v>75</v>
      </c>
      <c r="I376" t="s">
        <v>525</v>
      </c>
      <c r="L376" t="b">
        <f t="shared" si="35"/>
        <v>0</v>
      </c>
      <c r="M376" t="b">
        <f t="shared" si="36"/>
        <v>0</v>
      </c>
      <c r="N376" t="b">
        <f t="shared" si="37"/>
        <v>0</v>
      </c>
      <c r="O376" t="b">
        <f t="shared" si="38"/>
        <v>0</v>
      </c>
      <c r="P376">
        <f t="shared" si="39"/>
        <v>0</v>
      </c>
      <c r="Q376" t="b">
        <f t="shared" si="40"/>
        <v>1</v>
      </c>
      <c r="R376">
        <f t="shared" si="41"/>
        <v>0</v>
      </c>
    </row>
    <row r="377" spans="1:18" ht="19.5" x14ac:dyDescent="0.55000000000000004">
      <c r="A377" s="27"/>
      <c r="B377" s="31"/>
      <c r="C377" s="27"/>
      <c r="D377" s="26"/>
      <c r="E377" s="26"/>
      <c r="F377">
        <v>18</v>
      </c>
      <c r="G377" t="s">
        <v>1252</v>
      </c>
      <c r="H377" t="s">
        <v>75</v>
      </c>
      <c r="I377" t="s">
        <v>525</v>
      </c>
      <c r="L377" t="b">
        <f t="shared" si="35"/>
        <v>0</v>
      </c>
      <c r="M377" t="b">
        <f t="shared" si="36"/>
        <v>0</v>
      </c>
      <c r="N377" t="b">
        <f t="shared" si="37"/>
        <v>0</v>
      </c>
      <c r="O377" t="b">
        <f t="shared" si="38"/>
        <v>0</v>
      </c>
      <c r="P377">
        <f t="shared" si="39"/>
        <v>0</v>
      </c>
      <c r="Q377" t="b">
        <f t="shared" si="40"/>
        <v>1</v>
      </c>
      <c r="R377">
        <f t="shared" si="41"/>
        <v>0</v>
      </c>
    </row>
    <row r="378" spans="1:18" ht="19.5" x14ac:dyDescent="0.55000000000000004">
      <c r="A378" s="27"/>
      <c r="B378" s="31"/>
      <c r="C378" s="27"/>
      <c r="D378" s="26"/>
      <c r="E378" s="26"/>
      <c r="F378">
        <v>40</v>
      </c>
      <c r="G378" t="s">
        <v>1254</v>
      </c>
      <c r="H378" t="s">
        <v>75</v>
      </c>
      <c r="I378" t="s">
        <v>106</v>
      </c>
      <c r="L378" t="b">
        <f t="shared" si="35"/>
        <v>0</v>
      </c>
      <c r="M378" t="b">
        <f t="shared" si="36"/>
        <v>0</v>
      </c>
      <c r="N378" t="b">
        <f t="shared" si="37"/>
        <v>0</v>
      </c>
      <c r="O378" t="b">
        <f t="shared" si="38"/>
        <v>0</v>
      </c>
      <c r="P378">
        <f t="shared" si="39"/>
        <v>0</v>
      </c>
      <c r="Q378" t="b">
        <f t="shared" si="40"/>
        <v>1</v>
      </c>
      <c r="R378">
        <f t="shared" si="41"/>
        <v>0</v>
      </c>
    </row>
    <row r="379" spans="1:18" ht="19.5" x14ac:dyDescent="0.55000000000000004">
      <c r="A379" s="27"/>
      <c r="B379" s="31"/>
      <c r="C379" s="27"/>
      <c r="D379" s="26"/>
      <c r="E379" s="26"/>
      <c r="F379">
        <v>42</v>
      </c>
      <c r="G379" t="s">
        <v>1258</v>
      </c>
      <c r="H379" t="s">
        <v>34</v>
      </c>
      <c r="I379" t="s">
        <v>218</v>
      </c>
      <c r="J379" t="s">
        <v>76</v>
      </c>
      <c r="L379" t="b">
        <f t="shared" si="35"/>
        <v>0</v>
      </c>
      <c r="M379" t="b">
        <f t="shared" si="36"/>
        <v>1</v>
      </c>
      <c r="N379" t="b">
        <f t="shared" si="37"/>
        <v>0</v>
      </c>
      <c r="O379" t="b">
        <f t="shared" si="38"/>
        <v>0</v>
      </c>
      <c r="P379">
        <f t="shared" si="39"/>
        <v>0</v>
      </c>
      <c r="Q379" t="b">
        <f t="shared" si="40"/>
        <v>1</v>
      </c>
      <c r="R379">
        <f t="shared" si="41"/>
        <v>0</v>
      </c>
    </row>
    <row r="380" spans="1:18" ht="19.5" x14ac:dyDescent="0.55000000000000004">
      <c r="A380" s="27"/>
      <c r="B380" s="31"/>
      <c r="C380" s="27"/>
      <c r="D380" s="26"/>
      <c r="E380" s="26"/>
      <c r="F380">
        <v>43</v>
      </c>
      <c r="G380" t="s">
        <v>1261</v>
      </c>
      <c r="H380" t="s">
        <v>34</v>
      </c>
      <c r="I380" t="s">
        <v>218</v>
      </c>
      <c r="J380" t="s">
        <v>76</v>
      </c>
      <c r="L380" t="b">
        <f t="shared" si="35"/>
        <v>0</v>
      </c>
      <c r="M380" t="b">
        <f t="shared" si="36"/>
        <v>1</v>
      </c>
      <c r="N380" t="b">
        <f t="shared" si="37"/>
        <v>0</v>
      </c>
      <c r="O380" t="b">
        <f t="shared" si="38"/>
        <v>0</v>
      </c>
      <c r="P380">
        <f t="shared" si="39"/>
        <v>0</v>
      </c>
      <c r="Q380" t="b">
        <f t="shared" si="40"/>
        <v>1</v>
      </c>
      <c r="R380">
        <f t="shared" si="41"/>
        <v>0</v>
      </c>
    </row>
    <row r="381" spans="1:18" ht="19.5" x14ac:dyDescent="0.55000000000000004">
      <c r="A381" s="27"/>
      <c r="B381" s="31"/>
      <c r="C381" s="27"/>
      <c r="D381" s="26"/>
      <c r="E381" s="26"/>
      <c r="F381">
        <v>56</v>
      </c>
      <c r="G381" t="s">
        <v>1263</v>
      </c>
      <c r="H381" t="s">
        <v>34</v>
      </c>
      <c r="I381" t="s">
        <v>218</v>
      </c>
      <c r="J381" t="s">
        <v>76</v>
      </c>
      <c r="L381" t="b">
        <f t="shared" si="35"/>
        <v>0</v>
      </c>
      <c r="M381" t="b">
        <f t="shared" si="36"/>
        <v>1</v>
      </c>
      <c r="N381" t="b">
        <f t="shared" si="37"/>
        <v>0</v>
      </c>
      <c r="O381" t="b">
        <f t="shared" si="38"/>
        <v>0</v>
      </c>
      <c r="P381">
        <f t="shared" si="39"/>
        <v>0</v>
      </c>
      <c r="Q381" t="b">
        <f t="shared" si="40"/>
        <v>1</v>
      </c>
      <c r="R381">
        <f t="shared" si="41"/>
        <v>0</v>
      </c>
    </row>
    <row r="382" spans="1:18" ht="19.5" x14ac:dyDescent="0.55000000000000004">
      <c r="A382" s="27"/>
      <c r="B382" s="31"/>
      <c r="C382" s="27"/>
      <c r="D382" s="26"/>
      <c r="E382" s="26"/>
      <c r="F382">
        <v>45</v>
      </c>
      <c r="G382" t="s">
        <v>1265</v>
      </c>
      <c r="H382" t="s">
        <v>1266</v>
      </c>
      <c r="I382" t="s">
        <v>106</v>
      </c>
      <c r="L382" t="b">
        <f t="shared" si="35"/>
        <v>0</v>
      </c>
      <c r="M382" t="b">
        <f t="shared" si="36"/>
        <v>1</v>
      </c>
      <c r="N382" t="b">
        <f t="shared" si="37"/>
        <v>0</v>
      </c>
      <c r="O382" t="b">
        <f t="shared" si="38"/>
        <v>0</v>
      </c>
      <c r="P382">
        <f t="shared" si="39"/>
        <v>0</v>
      </c>
      <c r="Q382" t="b">
        <f t="shared" si="40"/>
        <v>1</v>
      </c>
      <c r="R382">
        <f t="shared" si="41"/>
        <v>0</v>
      </c>
    </row>
    <row r="383" spans="1:18" ht="19.5" x14ac:dyDescent="0.55000000000000004">
      <c r="A383" s="27"/>
      <c r="B383" s="31"/>
      <c r="C383" s="27"/>
      <c r="D383" s="26"/>
      <c r="E383" s="26"/>
      <c r="F383">
        <v>46</v>
      </c>
      <c r="G383" t="s">
        <v>1269</v>
      </c>
      <c r="H383" t="s">
        <v>1270</v>
      </c>
      <c r="I383" t="s">
        <v>419</v>
      </c>
      <c r="L383" t="b">
        <f t="shared" si="35"/>
        <v>0</v>
      </c>
      <c r="M383" t="b">
        <f t="shared" si="36"/>
        <v>1</v>
      </c>
      <c r="N383" t="b">
        <f t="shared" si="37"/>
        <v>0</v>
      </c>
      <c r="O383" t="b">
        <f t="shared" si="38"/>
        <v>0</v>
      </c>
      <c r="P383">
        <f t="shared" si="39"/>
        <v>0</v>
      </c>
      <c r="Q383" t="b">
        <f t="shared" si="40"/>
        <v>1</v>
      </c>
      <c r="R383">
        <f t="shared" si="41"/>
        <v>0</v>
      </c>
    </row>
    <row r="384" spans="1:18" ht="19.5" x14ac:dyDescent="0.55000000000000004">
      <c r="A384" s="27"/>
      <c r="B384" s="31"/>
      <c r="C384" s="27"/>
      <c r="D384" s="26"/>
      <c r="E384" s="26"/>
      <c r="F384">
        <v>47</v>
      </c>
      <c r="G384" t="s">
        <v>1272</v>
      </c>
      <c r="H384" t="s">
        <v>54</v>
      </c>
      <c r="I384" t="s">
        <v>721</v>
      </c>
      <c r="L384" t="b">
        <f t="shared" si="35"/>
        <v>0</v>
      </c>
      <c r="M384" t="b">
        <f t="shared" si="36"/>
        <v>1</v>
      </c>
      <c r="N384" t="b">
        <f t="shared" si="37"/>
        <v>0</v>
      </c>
      <c r="O384" t="b">
        <f t="shared" si="38"/>
        <v>0</v>
      </c>
      <c r="P384">
        <f t="shared" si="39"/>
        <v>0</v>
      </c>
      <c r="Q384" t="b">
        <f t="shared" si="40"/>
        <v>1</v>
      </c>
      <c r="R384">
        <f t="shared" si="41"/>
        <v>0</v>
      </c>
    </row>
    <row r="385" spans="1:18" ht="19.5" x14ac:dyDescent="0.55000000000000004">
      <c r="A385" s="27"/>
      <c r="B385" s="31"/>
      <c r="C385" s="27"/>
      <c r="D385" s="26"/>
      <c r="E385" s="26"/>
      <c r="F385">
        <v>48</v>
      </c>
      <c r="G385" t="s">
        <v>1274</v>
      </c>
      <c r="H385" t="s">
        <v>540</v>
      </c>
      <c r="I385" t="s">
        <v>448</v>
      </c>
      <c r="J385" t="s">
        <v>530</v>
      </c>
      <c r="L385" t="b">
        <f t="shared" si="35"/>
        <v>0</v>
      </c>
      <c r="M385" t="b">
        <f t="shared" si="36"/>
        <v>1</v>
      </c>
      <c r="N385" t="b">
        <f t="shared" si="37"/>
        <v>0</v>
      </c>
      <c r="O385" t="b">
        <f t="shared" si="38"/>
        <v>0</v>
      </c>
      <c r="P385">
        <f t="shared" si="39"/>
        <v>0</v>
      </c>
      <c r="Q385" t="b">
        <f t="shared" si="40"/>
        <v>1</v>
      </c>
      <c r="R385">
        <f t="shared" si="41"/>
        <v>0</v>
      </c>
    </row>
    <row r="386" spans="1:18" ht="19.5" x14ac:dyDescent="0.55000000000000004">
      <c r="A386" s="27"/>
      <c r="B386" s="31"/>
      <c r="C386" s="27"/>
      <c r="D386" s="26"/>
      <c r="E386" s="26"/>
      <c r="F386">
        <v>50</v>
      </c>
      <c r="G386" t="s">
        <v>1277</v>
      </c>
      <c r="H386" t="s">
        <v>54</v>
      </c>
      <c r="I386" t="s">
        <v>388</v>
      </c>
      <c r="L386" t="b">
        <f t="shared" si="35"/>
        <v>0</v>
      </c>
      <c r="M386" t="b">
        <f t="shared" si="36"/>
        <v>0</v>
      </c>
      <c r="N386" t="b">
        <f t="shared" si="37"/>
        <v>0</v>
      </c>
      <c r="O386" t="b">
        <f t="shared" si="38"/>
        <v>0</v>
      </c>
      <c r="P386">
        <f t="shared" si="39"/>
        <v>0</v>
      </c>
      <c r="Q386" t="b">
        <f t="shared" si="40"/>
        <v>1</v>
      </c>
      <c r="R386">
        <f t="shared" si="41"/>
        <v>0</v>
      </c>
    </row>
    <row r="387" spans="1:18" ht="19.5" x14ac:dyDescent="0.55000000000000004">
      <c r="A387" s="27"/>
      <c r="B387" s="31"/>
      <c r="C387" s="27"/>
      <c r="D387" s="26"/>
      <c r="E387" s="26"/>
      <c r="F387">
        <v>53</v>
      </c>
      <c r="G387" t="s">
        <v>1280</v>
      </c>
      <c r="H387" t="s">
        <v>34</v>
      </c>
      <c r="I387" t="s">
        <v>218</v>
      </c>
      <c r="J387" t="s">
        <v>260</v>
      </c>
      <c r="L387" t="b">
        <f t="shared" ref="L387:L450" si="42">IF(TRIM($B$3)="",TRUE,ISNUMBER(SEARCH(TRIM(MID(SUBSTITUTE($B$3," ",REPT(" ",100)),1,100)),G387)))</f>
        <v>0</v>
      </c>
      <c r="M387" t="b">
        <f t="shared" ref="M387:M450" si="43">IF(LEN(TRIM($B$3))-LEN(SUBSTITUTE(TRIM($B$3)," ",""))&lt;1,TRUE,ISNUMBER(SEARCH(TRIM(MID(SUBSTITUTE($B$3," ",REPT(" ",100)),101,100)),G387)))</f>
        <v>0</v>
      </c>
      <c r="N387" t="b">
        <f t="shared" ref="N387:N450" si="44">IF(LEN(TRIM($B$3))-LEN(SUBSTITUTE(TRIM($B$3)," ",""))&lt;2,TRUE,ISNUMBER(SEARCH(TRIM(MID(SUBSTITUTE($B$3," ",REPT(" ",100)),201,100)),G387)))</f>
        <v>0</v>
      </c>
      <c r="O387" t="b">
        <f t="shared" ref="O387:O450" si="45">IF(LEN(TRIM($B$3))-LEN(SUBSTITUTE(TRIM($B$3)," ",""))&lt;3,TRUE,ISNUMBER(SEARCH(TRIM(MID(SUBSTITUTE($B$3," ",REPT(" ",100)),301,100)),G387)))</f>
        <v>0</v>
      </c>
      <c r="P387">
        <f t="shared" ref="P387:P450" si="46">L387*M387*N387*O387</f>
        <v>0</v>
      </c>
      <c r="Q387" t="b">
        <f t="shared" ref="Q387:Q450" si="47">IF(OR(TRIM($B$2)="",$B$2="(Todos)"),TRUE,EXACT(I387,$B$2))</f>
        <v>1</v>
      </c>
      <c r="R387">
        <f t="shared" ref="R387:R450" si="48">P387*Q387</f>
        <v>0</v>
      </c>
    </row>
    <row r="388" spans="1:18" ht="19.5" x14ac:dyDescent="0.55000000000000004">
      <c r="A388" s="27"/>
      <c r="B388" s="31"/>
      <c r="C388" s="27"/>
      <c r="D388" s="26"/>
      <c r="E388" s="26"/>
      <c r="F388">
        <v>57</v>
      </c>
      <c r="G388" t="s">
        <v>1283</v>
      </c>
      <c r="H388" t="s">
        <v>34</v>
      </c>
      <c r="I388" t="s">
        <v>218</v>
      </c>
      <c r="J388" t="s">
        <v>260</v>
      </c>
      <c r="L388" t="b">
        <f t="shared" si="42"/>
        <v>0</v>
      </c>
      <c r="M388" t="b">
        <f t="shared" si="43"/>
        <v>1</v>
      </c>
      <c r="N388" t="b">
        <f t="shared" si="44"/>
        <v>0</v>
      </c>
      <c r="O388" t="b">
        <f t="shared" si="45"/>
        <v>0</v>
      </c>
      <c r="P388">
        <f t="shared" si="46"/>
        <v>0</v>
      </c>
      <c r="Q388" t="b">
        <f t="shared" si="47"/>
        <v>1</v>
      </c>
      <c r="R388">
        <f t="shared" si="48"/>
        <v>0</v>
      </c>
    </row>
    <row r="389" spans="1:18" ht="19.5" x14ac:dyDescent="0.55000000000000004">
      <c r="A389" s="27"/>
      <c r="B389" s="31"/>
      <c r="C389" s="27"/>
      <c r="D389" s="26"/>
      <c r="E389" s="26"/>
      <c r="F389">
        <v>60</v>
      </c>
      <c r="G389" t="s">
        <v>1285</v>
      </c>
      <c r="H389" t="s">
        <v>34</v>
      </c>
      <c r="I389" t="s">
        <v>218</v>
      </c>
      <c r="J389" t="s">
        <v>260</v>
      </c>
      <c r="L389" t="b">
        <f t="shared" si="42"/>
        <v>0</v>
      </c>
      <c r="M389" t="b">
        <f t="shared" si="43"/>
        <v>1</v>
      </c>
      <c r="N389" t="b">
        <f t="shared" si="44"/>
        <v>0</v>
      </c>
      <c r="O389" t="b">
        <f t="shared" si="45"/>
        <v>0</v>
      </c>
      <c r="P389">
        <f t="shared" si="46"/>
        <v>0</v>
      </c>
      <c r="Q389" t="b">
        <f t="shared" si="47"/>
        <v>1</v>
      </c>
      <c r="R389">
        <f t="shared" si="48"/>
        <v>0</v>
      </c>
    </row>
    <row r="390" spans="1:18" ht="19.5" x14ac:dyDescent="0.55000000000000004">
      <c r="A390" s="27"/>
      <c r="B390" s="31"/>
      <c r="C390" s="27"/>
      <c r="D390" s="26"/>
      <c r="E390" s="26"/>
      <c r="F390">
        <v>78</v>
      </c>
      <c r="G390" t="s">
        <v>1287</v>
      </c>
      <c r="H390" t="s">
        <v>54</v>
      </c>
      <c r="I390" t="s">
        <v>287</v>
      </c>
      <c r="L390" t="b">
        <f t="shared" si="42"/>
        <v>0</v>
      </c>
      <c r="M390" t="b">
        <f t="shared" si="43"/>
        <v>0</v>
      </c>
      <c r="N390" t="b">
        <f t="shared" si="44"/>
        <v>0</v>
      </c>
      <c r="O390" t="b">
        <f t="shared" si="45"/>
        <v>0</v>
      </c>
      <c r="P390">
        <f t="shared" si="46"/>
        <v>0</v>
      </c>
      <c r="Q390" t="b">
        <f t="shared" si="47"/>
        <v>1</v>
      </c>
      <c r="R390">
        <f t="shared" si="48"/>
        <v>0</v>
      </c>
    </row>
    <row r="391" spans="1:18" ht="19.5" x14ac:dyDescent="0.55000000000000004">
      <c r="A391" s="27"/>
      <c r="B391" s="31"/>
      <c r="C391" s="27"/>
      <c r="D391" s="26"/>
      <c r="E391" s="26"/>
      <c r="F391">
        <v>105</v>
      </c>
      <c r="G391" t="s">
        <v>1290</v>
      </c>
      <c r="H391" t="s">
        <v>54</v>
      </c>
      <c r="I391" t="s">
        <v>731</v>
      </c>
      <c r="L391" t="b">
        <f t="shared" si="42"/>
        <v>0</v>
      </c>
      <c r="M391" t="b">
        <f t="shared" si="43"/>
        <v>0</v>
      </c>
      <c r="N391" t="b">
        <f t="shared" si="44"/>
        <v>0</v>
      </c>
      <c r="O391" t="b">
        <f t="shared" si="45"/>
        <v>0</v>
      </c>
      <c r="P391">
        <f t="shared" si="46"/>
        <v>0</v>
      </c>
      <c r="Q391" t="b">
        <f t="shared" si="47"/>
        <v>1</v>
      </c>
      <c r="R391">
        <f t="shared" si="48"/>
        <v>0</v>
      </c>
    </row>
    <row r="392" spans="1:18" ht="19.5" x14ac:dyDescent="0.55000000000000004">
      <c r="A392" s="27"/>
      <c r="B392" s="31"/>
      <c r="C392" s="27"/>
      <c r="D392" s="26"/>
      <c r="E392" s="26"/>
      <c r="F392">
        <v>107</v>
      </c>
      <c r="G392" t="s">
        <v>1293</v>
      </c>
      <c r="H392" t="s">
        <v>54</v>
      </c>
      <c r="I392" t="s">
        <v>525</v>
      </c>
      <c r="L392" t="b">
        <f t="shared" si="42"/>
        <v>0</v>
      </c>
      <c r="M392" t="b">
        <f t="shared" si="43"/>
        <v>0</v>
      </c>
      <c r="N392" t="b">
        <f t="shared" si="44"/>
        <v>0</v>
      </c>
      <c r="O392" t="b">
        <f t="shared" si="45"/>
        <v>0</v>
      </c>
      <c r="P392">
        <f t="shared" si="46"/>
        <v>0</v>
      </c>
      <c r="Q392" t="b">
        <f t="shared" si="47"/>
        <v>1</v>
      </c>
      <c r="R392">
        <f t="shared" si="48"/>
        <v>0</v>
      </c>
    </row>
    <row r="393" spans="1:18" ht="19.5" x14ac:dyDescent="0.55000000000000004">
      <c r="A393" s="27"/>
      <c r="B393" s="31"/>
      <c r="C393" s="27"/>
      <c r="D393" s="26"/>
      <c r="E393" s="26"/>
      <c r="F393">
        <v>108</v>
      </c>
      <c r="G393" t="s">
        <v>1294</v>
      </c>
      <c r="H393" t="s">
        <v>540</v>
      </c>
      <c r="I393" t="s">
        <v>46</v>
      </c>
      <c r="J393" t="s">
        <v>372</v>
      </c>
      <c r="L393" t="b">
        <f t="shared" si="42"/>
        <v>0</v>
      </c>
      <c r="M393" t="b">
        <f t="shared" si="43"/>
        <v>1</v>
      </c>
      <c r="N393" t="b">
        <f t="shared" si="44"/>
        <v>0</v>
      </c>
      <c r="O393" t="b">
        <f t="shared" si="45"/>
        <v>0</v>
      </c>
      <c r="P393">
        <f t="shared" si="46"/>
        <v>0</v>
      </c>
      <c r="Q393" t="b">
        <f t="shared" si="47"/>
        <v>1</v>
      </c>
      <c r="R393">
        <f t="shared" si="48"/>
        <v>0</v>
      </c>
    </row>
    <row r="394" spans="1:18" ht="19.5" x14ac:dyDescent="0.55000000000000004">
      <c r="A394" s="27"/>
      <c r="B394" s="31"/>
      <c r="C394" s="27"/>
      <c r="D394" s="26"/>
      <c r="E394" s="26"/>
      <c r="F394">
        <v>116</v>
      </c>
      <c r="G394" t="s">
        <v>1297</v>
      </c>
      <c r="H394" t="s">
        <v>580</v>
      </c>
      <c r="I394" t="s">
        <v>573</v>
      </c>
      <c r="L394" t="b">
        <f t="shared" si="42"/>
        <v>0</v>
      </c>
      <c r="M394" t="b">
        <f t="shared" si="43"/>
        <v>0</v>
      </c>
      <c r="N394" t="b">
        <f t="shared" si="44"/>
        <v>0</v>
      </c>
      <c r="O394" t="b">
        <f t="shared" si="45"/>
        <v>0</v>
      </c>
      <c r="P394">
        <f t="shared" si="46"/>
        <v>0</v>
      </c>
      <c r="Q394" t="b">
        <f t="shared" si="47"/>
        <v>1</v>
      </c>
      <c r="R394">
        <f t="shared" si="48"/>
        <v>0</v>
      </c>
    </row>
    <row r="395" spans="1:18" ht="19.5" x14ac:dyDescent="0.55000000000000004">
      <c r="A395" s="27"/>
      <c r="B395" s="31"/>
      <c r="C395" s="27"/>
      <c r="D395" s="26"/>
      <c r="E395" s="26"/>
      <c r="F395">
        <v>117</v>
      </c>
      <c r="G395" t="s">
        <v>1300</v>
      </c>
      <c r="H395" t="s">
        <v>34</v>
      </c>
      <c r="I395" t="s">
        <v>67</v>
      </c>
      <c r="L395" t="b">
        <f t="shared" si="42"/>
        <v>0</v>
      </c>
      <c r="M395" t="b">
        <f t="shared" si="43"/>
        <v>0</v>
      </c>
      <c r="N395" t="b">
        <f t="shared" si="44"/>
        <v>0</v>
      </c>
      <c r="O395" t="b">
        <f t="shared" si="45"/>
        <v>0</v>
      </c>
      <c r="P395">
        <f t="shared" si="46"/>
        <v>0</v>
      </c>
      <c r="Q395" t="b">
        <f t="shared" si="47"/>
        <v>1</v>
      </c>
      <c r="R395">
        <f t="shared" si="48"/>
        <v>0</v>
      </c>
    </row>
    <row r="396" spans="1:18" ht="19.5" x14ac:dyDescent="0.55000000000000004">
      <c r="A396" s="27"/>
      <c r="B396" s="31"/>
      <c r="C396" s="27"/>
      <c r="D396" s="26"/>
      <c r="E396" s="26"/>
      <c r="F396">
        <v>131</v>
      </c>
      <c r="G396" t="s">
        <v>1303</v>
      </c>
      <c r="H396" t="s">
        <v>780</v>
      </c>
      <c r="I396" t="s">
        <v>1304</v>
      </c>
      <c r="L396" t="b">
        <f t="shared" si="42"/>
        <v>0</v>
      </c>
      <c r="M396" t="b">
        <f t="shared" si="43"/>
        <v>0</v>
      </c>
      <c r="N396" t="b">
        <f t="shared" si="44"/>
        <v>0</v>
      </c>
      <c r="O396" t="b">
        <f t="shared" si="45"/>
        <v>0</v>
      </c>
      <c r="P396">
        <f t="shared" si="46"/>
        <v>0</v>
      </c>
      <c r="Q396" t="b">
        <f t="shared" si="47"/>
        <v>1</v>
      </c>
      <c r="R396">
        <f t="shared" si="48"/>
        <v>0</v>
      </c>
    </row>
    <row r="397" spans="1:18" ht="19.5" x14ac:dyDescent="0.55000000000000004">
      <c r="A397" s="27"/>
      <c r="B397" s="31"/>
      <c r="C397" s="27"/>
      <c r="D397" s="26"/>
      <c r="E397" s="26"/>
      <c r="F397">
        <v>132</v>
      </c>
      <c r="G397" t="s">
        <v>1307</v>
      </c>
      <c r="H397" t="s">
        <v>34</v>
      </c>
      <c r="I397" t="s">
        <v>106</v>
      </c>
      <c r="L397" t="b">
        <f t="shared" si="42"/>
        <v>0</v>
      </c>
      <c r="M397" t="b">
        <f t="shared" si="43"/>
        <v>0</v>
      </c>
      <c r="N397" t="b">
        <f t="shared" si="44"/>
        <v>0</v>
      </c>
      <c r="O397" t="b">
        <f t="shared" si="45"/>
        <v>0</v>
      </c>
      <c r="P397">
        <f t="shared" si="46"/>
        <v>0</v>
      </c>
      <c r="Q397" t="b">
        <f t="shared" si="47"/>
        <v>1</v>
      </c>
      <c r="R397">
        <f t="shared" si="48"/>
        <v>0</v>
      </c>
    </row>
    <row r="398" spans="1:18" ht="19.5" x14ac:dyDescent="0.55000000000000004">
      <c r="A398" s="27"/>
      <c r="B398" s="31"/>
      <c r="C398" s="27"/>
      <c r="D398" s="26"/>
      <c r="E398" s="26"/>
      <c r="F398">
        <v>134</v>
      </c>
      <c r="G398" t="s">
        <v>1310</v>
      </c>
      <c r="H398" t="s">
        <v>34</v>
      </c>
      <c r="I398" t="s">
        <v>218</v>
      </c>
      <c r="J398" t="s">
        <v>1311</v>
      </c>
      <c r="L398" t="b">
        <f t="shared" si="42"/>
        <v>0</v>
      </c>
      <c r="M398" t="b">
        <f t="shared" si="43"/>
        <v>0</v>
      </c>
      <c r="N398" t="b">
        <f t="shared" si="44"/>
        <v>0</v>
      </c>
      <c r="O398" t="b">
        <f t="shared" si="45"/>
        <v>0</v>
      </c>
      <c r="P398">
        <f t="shared" si="46"/>
        <v>0</v>
      </c>
      <c r="Q398" t="b">
        <f t="shared" si="47"/>
        <v>1</v>
      </c>
      <c r="R398">
        <f t="shared" si="48"/>
        <v>0</v>
      </c>
    </row>
    <row r="399" spans="1:18" ht="19.5" x14ac:dyDescent="0.55000000000000004">
      <c r="A399" s="27"/>
      <c r="B399" s="31"/>
      <c r="C399" s="27"/>
      <c r="D399" s="26"/>
      <c r="E399" s="26"/>
      <c r="F399">
        <v>138</v>
      </c>
      <c r="G399" t="s">
        <v>1315</v>
      </c>
      <c r="H399" t="s">
        <v>34</v>
      </c>
      <c r="I399" t="s">
        <v>218</v>
      </c>
      <c r="J399" t="s">
        <v>1311</v>
      </c>
      <c r="L399" t="b">
        <f t="shared" si="42"/>
        <v>0</v>
      </c>
      <c r="M399" t="b">
        <f t="shared" si="43"/>
        <v>0</v>
      </c>
      <c r="N399" t="b">
        <f t="shared" si="44"/>
        <v>0</v>
      </c>
      <c r="O399" t="b">
        <f t="shared" si="45"/>
        <v>0</v>
      </c>
      <c r="P399">
        <f t="shared" si="46"/>
        <v>0</v>
      </c>
      <c r="Q399" t="b">
        <f t="shared" si="47"/>
        <v>1</v>
      </c>
      <c r="R399">
        <f t="shared" si="48"/>
        <v>0</v>
      </c>
    </row>
    <row r="400" spans="1:18" ht="19.5" x14ac:dyDescent="0.55000000000000004">
      <c r="A400" s="27"/>
      <c r="B400" s="31"/>
      <c r="C400" s="27"/>
      <c r="D400" s="26"/>
      <c r="E400" s="26"/>
      <c r="F400">
        <v>170</v>
      </c>
      <c r="G400" t="s">
        <v>1317</v>
      </c>
      <c r="H400" t="s">
        <v>54</v>
      </c>
      <c r="I400" t="s">
        <v>419</v>
      </c>
      <c r="J400" t="s">
        <v>1318</v>
      </c>
      <c r="L400" t="b">
        <f t="shared" si="42"/>
        <v>0</v>
      </c>
      <c r="M400" t="b">
        <f t="shared" si="43"/>
        <v>0</v>
      </c>
      <c r="N400" t="b">
        <f t="shared" si="44"/>
        <v>0</v>
      </c>
      <c r="O400" t="b">
        <f t="shared" si="45"/>
        <v>0</v>
      </c>
      <c r="P400">
        <f t="shared" si="46"/>
        <v>0</v>
      </c>
      <c r="Q400" t="b">
        <f t="shared" si="47"/>
        <v>1</v>
      </c>
      <c r="R400">
        <f t="shared" si="48"/>
        <v>0</v>
      </c>
    </row>
    <row r="401" spans="1:18" ht="19.5" x14ac:dyDescent="0.55000000000000004">
      <c r="A401" s="27"/>
      <c r="B401" s="31"/>
      <c r="C401" s="27"/>
      <c r="D401" s="26"/>
      <c r="E401" s="26"/>
      <c r="F401">
        <v>171</v>
      </c>
      <c r="G401" t="s">
        <v>1321</v>
      </c>
      <c r="H401" t="s">
        <v>54</v>
      </c>
      <c r="I401" t="s">
        <v>419</v>
      </c>
      <c r="J401" t="s">
        <v>1318</v>
      </c>
      <c r="L401" t="b">
        <f t="shared" si="42"/>
        <v>0</v>
      </c>
      <c r="M401" t="b">
        <f t="shared" si="43"/>
        <v>0</v>
      </c>
      <c r="N401" t="b">
        <f t="shared" si="44"/>
        <v>0</v>
      </c>
      <c r="O401" t="b">
        <f t="shared" si="45"/>
        <v>0</v>
      </c>
      <c r="P401">
        <f t="shared" si="46"/>
        <v>0</v>
      </c>
      <c r="Q401" t="b">
        <f t="shared" si="47"/>
        <v>1</v>
      </c>
      <c r="R401">
        <f t="shared" si="48"/>
        <v>0</v>
      </c>
    </row>
    <row r="402" spans="1:18" ht="19.5" x14ac:dyDescent="0.55000000000000004">
      <c r="A402" s="27"/>
      <c r="B402" s="31"/>
      <c r="C402" s="27"/>
      <c r="D402" s="26"/>
      <c r="E402" s="26"/>
      <c r="F402">
        <v>172</v>
      </c>
      <c r="G402" t="s">
        <v>1324</v>
      </c>
      <c r="H402" t="s">
        <v>111</v>
      </c>
      <c r="I402" t="s">
        <v>731</v>
      </c>
      <c r="L402" t="b">
        <f t="shared" si="42"/>
        <v>0</v>
      </c>
      <c r="M402" t="b">
        <f t="shared" si="43"/>
        <v>0</v>
      </c>
      <c r="N402" t="b">
        <f t="shared" si="44"/>
        <v>0</v>
      </c>
      <c r="O402" t="b">
        <f t="shared" si="45"/>
        <v>0</v>
      </c>
      <c r="P402">
        <f t="shared" si="46"/>
        <v>0</v>
      </c>
      <c r="Q402" t="b">
        <f t="shared" si="47"/>
        <v>1</v>
      </c>
      <c r="R402">
        <f t="shared" si="48"/>
        <v>0</v>
      </c>
    </row>
    <row r="403" spans="1:18" ht="19.5" x14ac:dyDescent="0.55000000000000004">
      <c r="A403" s="27"/>
      <c r="B403" s="31"/>
      <c r="C403" s="27"/>
      <c r="D403" s="26"/>
      <c r="E403" s="26"/>
      <c r="F403">
        <v>191</v>
      </c>
      <c r="G403" t="s">
        <v>1326</v>
      </c>
      <c r="H403" t="s">
        <v>111</v>
      </c>
      <c r="I403" t="s">
        <v>67</v>
      </c>
      <c r="J403" t="s">
        <v>666</v>
      </c>
      <c r="L403" t="b">
        <f t="shared" si="42"/>
        <v>0</v>
      </c>
      <c r="M403" t="b">
        <f t="shared" si="43"/>
        <v>1</v>
      </c>
      <c r="N403" t="b">
        <f t="shared" si="44"/>
        <v>0</v>
      </c>
      <c r="O403" t="b">
        <f t="shared" si="45"/>
        <v>0</v>
      </c>
      <c r="P403">
        <f t="shared" si="46"/>
        <v>0</v>
      </c>
      <c r="Q403" t="b">
        <f t="shared" si="47"/>
        <v>1</v>
      </c>
      <c r="R403">
        <f t="shared" si="48"/>
        <v>0</v>
      </c>
    </row>
    <row r="404" spans="1:18" ht="19.5" x14ac:dyDescent="0.55000000000000004">
      <c r="A404" s="27"/>
      <c r="B404" s="31"/>
      <c r="C404" s="27"/>
      <c r="D404" s="26"/>
      <c r="E404" s="26"/>
      <c r="F404">
        <v>192</v>
      </c>
      <c r="G404" t="s">
        <v>1328</v>
      </c>
      <c r="H404" t="s">
        <v>111</v>
      </c>
      <c r="I404" t="s">
        <v>67</v>
      </c>
      <c r="J404" t="s">
        <v>666</v>
      </c>
      <c r="L404" t="b">
        <f t="shared" si="42"/>
        <v>0</v>
      </c>
      <c r="M404" t="b">
        <f t="shared" si="43"/>
        <v>1</v>
      </c>
      <c r="N404" t="b">
        <f t="shared" si="44"/>
        <v>0</v>
      </c>
      <c r="O404" t="b">
        <f t="shared" si="45"/>
        <v>0</v>
      </c>
      <c r="P404">
        <f t="shared" si="46"/>
        <v>0</v>
      </c>
      <c r="Q404" t="b">
        <f t="shared" si="47"/>
        <v>1</v>
      </c>
      <c r="R404">
        <f t="shared" si="48"/>
        <v>0</v>
      </c>
    </row>
    <row r="405" spans="1:18" ht="19.5" x14ac:dyDescent="0.55000000000000004">
      <c r="A405" s="27"/>
      <c r="B405" s="31"/>
      <c r="C405" s="27"/>
      <c r="D405" s="26"/>
      <c r="E405" s="26"/>
      <c r="F405">
        <v>196</v>
      </c>
      <c r="G405" t="s">
        <v>1330</v>
      </c>
      <c r="H405" t="s">
        <v>111</v>
      </c>
      <c r="I405" t="s">
        <v>67</v>
      </c>
      <c r="J405" t="s">
        <v>666</v>
      </c>
      <c r="L405" t="b">
        <f t="shared" si="42"/>
        <v>0</v>
      </c>
      <c r="M405" t="b">
        <f t="shared" si="43"/>
        <v>1</v>
      </c>
      <c r="N405" t="b">
        <f t="shared" si="44"/>
        <v>0</v>
      </c>
      <c r="O405" t="b">
        <f t="shared" si="45"/>
        <v>0</v>
      </c>
      <c r="P405">
        <f t="shared" si="46"/>
        <v>0</v>
      </c>
      <c r="Q405" t="b">
        <f t="shared" si="47"/>
        <v>1</v>
      </c>
      <c r="R405">
        <f t="shared" si="48"/>
        <v>0</v>
      </c>
    </row>
    <row r="406" spans="1:18" ht="19.5" x14ac:dyDescent="0.55000000000000004">
      <c r="A406" s="27"/>
      <c r="B406" s="31"/>
      <c r="C406" s="27"/>
      <c r="D406" s="26"/>
      <c r="E406" s="26"/>
      <c r="F406">
        <v>226</v>
      </c>
      <c r="G406" t="s">
        <v>1332</v>
      </c>
      <c r="H406" t="s">
        <v>34</v>
      </c>
      <c r="I406" t="s">
        <v>676</v>
      </c>
      <c r="J406" t="s">
        <v>677</v>
      </c>
      <c r="L406" t="b">
        <f t="shared" si="42"/>
        <v>0</v>
      </c>
      <c r="M406" t="b">
        <f t="shared" si="43"/>
        <v>0</v>
      </c>
      <c r="N406" t="b">
        <f t="shared" si="44"/>
        <v>0</v>
      </c>
      <c r="O406" t="b">
        <f t="shared" si="45"/>
        <v>0</v>
      </c>
      <c r="P406">
        <f t="shared" si="46"/>
        <v>0</v>
      </c>
      <c r="Q406" t="b">
        <f t="shared" si="47"/>
        <v>1</v>
      </c>
      <c r="R406">
        <f t="shared" si="48"/>
        <v>0</v>
      </c>
    </row>
    <row r="407" spans="1:18" ht="19.5" x14ac:dyDescent="0.55000000000000004">
      <c r="A407" s="27"/>
      <c r="B407" s="31"/>
      <c r="C407" s="27"/>
      <c r="D407" s="26"/>
      <c r="E407" s="26"/>
      <c r="F407">
        <v>231</v>
      </c>
      <c r="G407" t="s">
        <v>1335</v>
      </c>
      <c r="H407" t="s">
        <v>34</v>
      </c>
      <c r="I407" t="s">
        <v>410</v>
      </c>
      <c r="L407" t="b">
        <f t="shared" si="42"/>
        <v>0</v>
      </c>
      <c r="M407" t="b">
        <f t="shared" si="43"/>
        <v>0</v>
      </c>
      <c r="N407" t="b">
        <f t="shared" si="44"/>
        <v>0</v>
      </c>
      <c r="O407" t="b">
        <f t="shared" si="45"/>
        <v>0</v>
      </c>
      <c r="P407">
        <f t="shared" si="46"/>
        <v>0</v>
      </c>
      <c r="Q407" t="b">
        <f t="shared" si="47"/>
        <v>1</v>
      </c>
      <c r="R407">
        <f t="shared" si="48"/>
        <v>0</v>
      </c>
    </row>
    <row r="408" spans="1:18" ht="19.5" x14ac:dyDescent="0.55000000000000004">
      <c r="A408" s="27"/>
      <c r="B408" s="31"/>
      <c r="C408" s="27"/>
      <c r="D408" s="26"/>
      <c r="E408" s="26"/>
      <c r="F408">
        <v>237</v>
      </c>
      <c r="G408" t="s">
        <v>1337</v>
      </c>
      <c r="H408" t="s">
        <v>34</v>
      </c>
      <c r="I408" t="s">
        <v>36</v>
      </c>
      <c r="L408" t="b">
        <f t="shared" si="42"/>
        <v>0</v>
      </c>
      <c r="M408" t="b">
        <f t="shared" si="43"/>
        <v>0</v>
      </c>
      <c r="N408" t="b">
        <f t="shared" si="44"/>
        <v>0</v>
      </c>
      <c r="O408" t="b">
        <f t="shared" si="45"/>
        <v>0</v>
      </c>
      <c r="P408">
        <f t="shared" si="46"/>
        <v>0</v>
      </c>
      <c r="Q408" t="b">
        <f t="shared" si="47"/>
        <v>1</v>
      </c>
      <c r="R408">
        <f t="shared" si="48"/>
        <v>0</v>
      </c>
    </row>
    <row r="409" spans="1:18" ht="19.5" x14ac:dyDescent="0.55000000000000004">
      <c r="A409" s="27"/>
      <c r="B409" s="31"/>
      <c r="C409" s="27"/>
      <c r="D409" s="26"/>
      <c r="E409" s="26"/>
      <c r="F409">
        <v>245</v>
      </c>
      <c r="G409" t="s">
        <v>1339</v>
      </c>
      <c r="H409" t="s">
        <v>34</v>
      </c>
      <c r="I409" t="s">
        <v>36</v>
      </c>
      <c r="L409" t="b">
        <f t="shared" si="42"/>
        <v>0</v>
      </c>
      <c r="M409" t="b">
        <f t="shared" si="43"/>
        <v>0</v>
      </c>
      <c r="N409" t="b">
        <f t="shared" si="44"/>
        <v>0</v>
      </c>
      <c r="O409" t="b">
        <f t="shared" si="45"/>
        <v>0</v>
      </c>
      <c r="P409">
        <f t="shared" si="46"/>
        <v>0</v>
      </c>
      <c r="Q409" t="b">
        <f t="shared" si="47"/>
        <v>1</v>
      </c>
      <c r="R409">
        <f t="shared" si="48"/>
        <v>0</v>
      </c>
    </row>
    <row r="410" spans="1:18" ht="19.5" x14ac:dyDescent="0.55000000000000004">
      <c r="A410" s="27"/>
      <c r="B410" s="31"/>
      <c r="C410" s="27"/>
      <c r="D410" s="26"/>
      <c r="E410" s="26"/>
      <c r="F410">
        <v>289</v>
      </c>
      <c r="G410" t="s">
        <v>1341</v>
      </c>
      <c r="H410" t="s">
        <v>34</v>
      </c>
      <c r="I410" t="s">
        <v>221</v>
      </c>
      <c r="L410" t="b">
        <f t="shared" si="42"/>
        <v>0</v>
      </c>
      <c r="M410" t="b">
        <f t="shared" si="43"/>
        <v>1</v>
      </c>
      <c r="N410" t="b">
        <f t="shared" si="44"/>
        <v>0</v>
      </c>
      <c r="O410" t="b">
        <f t="shared" si="45"/>
        <v>0</v>
      </c>
      <c r="P410">
        <f t="shared" si="46"/>
        <v>0</v>
      </c>
      <c r="Q410" t="b">
        <f t="shared" si="47"/>
        <v>1</v>
      </c>
      <c r="R410">
        <f t="shared" si="48"/>
        <v>0</v>
      </c>
    </row>
    <row r="411" spans="1:18" ht="19.5" x14ac:dyDescent="0.55000000000000004">
      <c r="A411" s="27"/>
      <c r="B411" s="31"/>
      <c r="C411" s="27"/>
      <c r="D411" s="26"/>
      <c r="E411" s="26"/>
      <c r="F411">
        <v>294</v>
      </c>
      <c r="G411" t="s">
        <v>1343</v>
      </c>
      <c r="H411" t="s">
        <v>34</v>
      </c>
      <c r="I411" t="s">
        <v>221</v>
      </c>
      <c r="L411" t="b">
        <f t="shared" si="42"/>
        <v>0</v>
      </c>
      <c r="M411" t="b">
        <f t="shared" si="43"/>
        <v>1</v>
      </c>
      <c r="N411" t="b">
        <f t="shared" si="44"/>
        <v>0</v>
      </c>
      <c r="O411" t="b">
        <f t="shared" si="45"/>
        <v>0</v>
      </c>
      <c r="P411">
        <f t="shared" si="46"/>
        <v>0</v>
      </c>
      <c r="Q411" t="b">
        <f t="shared" si="47"/>
        <v>1</v>
      </c>
      <c r="R411">
        <f t="shared" si="48"/>
        <v>0</v>
      </c>
    </row>
    <row r="412" spans="1:18" ht="19.5" x14ac:dyDescent="0.55000000000000004">
      <c r="A412" s="27"/>
      <c r="B412" s="31"/>
      <c r="C412" s="27"/>
      <c r="D412" s="26"/>
      <c r="E412" s="26"/>
      <c r="F412">
        <v>295</v>
      </c>
      <c r="G412" t="s">
        <v>1346</v>
      </c>
      <c r="H412" t="s">
        <v>75</v>
      </c>
      <c r="I412" t="s">
        <v>221</v>
      </c>
      <c r="L412" t="b">
        <f t="shared" si="42"/>
        <v>0</v>
      </c>
      <c r="M412" t="b">
        <f t="shared" si="43"/>
        <v>0</v>
      </c>
      <c r="N412" t="b">
        <f t="shared" si="44"/>
        <v>0</v>
      </c>
      <c r="O412" t="b">
        <f t="shared" si="45"/>
        <v>0</v>
      </c>
      <c r="P412">
        <f t="shared" si="46"/>
        <v>0</v>
      </c>
      <c r="Q412" t="b">
        <f t="shared" si="47"/>
        <v>1</v>
      </c>
      <c r="R412">
        <f t="shared" si="48"/>
        <v>0</v>
      </c>
    </row>
    <row r="413" spans="1:18" ht="19.5" x14ac:dyDescent="0.55000000000000004">
      <c r="A413" s="27"/>
      <c r="B413" s="31"/>
      <c r="C413" s="27"/>
      <c r="D413" s="26"/>
      <c r="E413" s="26"/>
      <c r="F413">
        <v>364</v>
      </c>
      <c r="G413" t="s">
        <v>1349</v>
      </c>
      <c r="H413" t="s">
        <v>34</v>
      </c>
      <c r="I413" t="s">
        <v>525</v>
      </c>
      <c r="L413" t="b">
        <f t="shared" si="42"/>
        <v>0</v>
      </c>
      <c r="M413" t="b">
        <f t="shared" si="43"/>
        <v>0</v>
      </c>
      <c r="N413" t="b">
        <f t="shared" si="44"/>
        <v>0</v>
      </c>
      <c r="O413" t="b">
        <f t="shared" si="45"/>
        <v>0</v>
      </c>
      <c r="P413">
        <f t="shared" si="46"/>
        <v>0</v>
      </c>
      <c r="Q413" t="b">
        <f t="shared" si="47"/>
        <v>1</v>
      </c>
      <c r="R413">
        <f t="shared" si="48"/>
        <v>0</v>
      </c>
    </row>
    <row r="414" spans="1:18" ht="19.5" x14ac:dyDescent="0.55000000000000004">
      <c r="A414" s="27"/>
      <c r="B414" s="31"/>
      <c r="C414" s="27"/>
      <c r="D414" s="26"/>
      <c r="E414" s="26"/>
      <c r="F414">
        <v>381</v>
      </c>
      <c r="G414" t="s">
        <v>1352</v>
      </c>
      <c r="H414" t="s">
        <v>1353</v>
      </c>
      <c r="I414" t="s">
        <v>1304</v>
      </c>
      <c r="L414" t="b">
        <f t="shared" si="42"/>
        <v>0</v>
      </c>
      <c r="M414" t="b">
        <f t="shared" si="43"/>
        <v>0</v>
      </c>
      <c r="N414" t="b">
        <f t="shared" si="44"/>
        <v>0</v>
      </c>
      <c r="O414" t="b">
        <f t="shared" si="45"/>
        <v>0</v>
      </c>
      <c r="P414">
        <f t="shared" si="46"/>
        <v>0</v>
      </c>
      <c r="Q414" t="b">
        <f t="shared" si="47"/>
        <v>1</v>
      </c>
      <c r="R414">
        <f t="shared" si="48"/>
        <v>0</v>
      </c>
    </row>
    <row r="415" spans="1:18" ht="19.5" x14ac:dyDescent="0.55000000000000004">
      <c r="A415" s="27"/>
      <c r="B415" s="31"/>
      <c r="C415" s="27"/>
      <c r="D415" s="26"/>
      <c r="E415" s="26"/>
      <c r="F415">
        <v>382</v>
      </c>
      <c r="G415" t="s">
        <v>1356</v>
      </c>
      <c r="H415" t="s">
        <v>34</v>
      </c>
      <c r="I415" t="s">
        <v>1357</v>
      </c>
      <c r="L415" t="b">
        <f t="shared" si="42"/>
        <v>0</v>
      </c>
      <c r="M415" t="b">
        <f t="shared" si="43"/>
        <v>0</v>
      </c>
      <c r="N415" t="b">
        <f t="shared" si="44"/>
        <v>0</v>
      </c>
      <c r="O415" t="b">
        <f t="shared" si="45"/>
        <v>0</v>
      </c>
      <c r="P415">
        <f t="shared" si="46"/>
        <v>0</v>
      </c>
      <c r="Q415" t="b">
        <f t="shared" si="47"/>
        <v>1</v>
      </c>
      <c r="R415">
        <f t="shared" si="48"/>
        <v>0</v>
      </c>
    </row>
    <row r="416" spans="1:18" ht="19.5" x14ac:dyDescent="0.55000000000000004">
      <c r="A416" s="27"/>
      <c r="B416" s="31"/>
      <c r="C416" s="27"/>
      <c r="D416" s="26"/>
      <c r="E416" s="26"/>
      <c r="F416">
        <v>435</v>
      </c>
      <c r="G416" t="s">
        <v>1360</v>
      </c>
      <c r="H416" t="s">
        <v>34</v>
      </c>
      <c r="I416" t="s">
        <v>36</v>
      </c>
      <c r="L416" t="b">
        <f t="shared" si="42"/>
        <v>0</v>
      </c>
      <c r="M416" t="b">
        <f t="shared" si="43"/>
        <v>0</v>
      </c>
      <c r="N416" t="b">
        <f t="shared" si="44"/>
        <v>0</v>
      </c>
      <c r="O416" t="b">
        <f t="shared" si="45"/>
        <v>0</v>
      </c>
      <c r="P416">
        <f t="shared" si="46"/>
        <v>0</v>
      </c>
      <c r="Q416" t="b">
        <f t="shared" si="47"/>
        <v>1</v>
      </c>
      <c r="R416">
        <f t="shared" si="48"/>
        <v>0</v>
      </c>
    </row>
    <row r="417" spans="1:18" ht="19.5" x14ac:dyDescent="0.55000000000000004">
      <c r="A417" s="27"/>
      <c r="B417" s="31"/>
      <c r="C417" s="27"/>
      <c r="D417" s="26"/>
      <c r="E417" s="26"/>
      <c r="F417">
        <v>451</v>
      </c>
      <c r="G417" t="s">
        <v>1363</v>
      </c>
      <c r="H417" t="s">
        <v>34</v>
      </c>
      <c r="I417" t="s">
        <v>847</v>
      </c>
      <c r="L417" t="b">
        <f t="shared" si="42"/>
        <v>0</v>
      </c>
      <c r="M417" t="b">
        <f t="shared" si="43"/>
        <v>0</v>
      </c>
      <c r="N417" t="b">
        <f t="shared" si="44"/>
        <v>0</v>
      </c>
      <c r="O417" t="b">
        <f t="shared" si="45"/>
        <v>0</v>
      </c>
      <c r="P417">
        <f t="shared" si="46"/>
        <v>0</v>
      </c>
      <c r="Q417" t="b">
        <f t="shared" si="47"/>
        <v>1</v>
      </c>
      <c r="R417">
        <f t="shared" si="48"/>
        <v>0</v>
      </c>
    </row>
    <row r="418" spans="1:18" ht="19.5" x14ac:dyDescent="0.55000000000000004">
      <c r="A418" s="27"/>
      <c r="B418" s="31"/>
      <c r="C418" s="27"/>
      <c r="D418" s="26"/>
      <c r="E418" s="26"/>
      <c r="F418">
        <v>452</v>
      </c>
      <c r="G418" t="s">
        <v>1365</v>
      </c>
      <c r="H418" t="s">
        <v>34</v>
      </c>
      <c r="I418" t="s">
        <v>83</v>
      </c>
      <c r="L418" t="b">
        <f t="shared" si="42"/>
        <v>0</v>
      </c>
      <c r="M418" t="b">
        <f t="shared" si="43"/>
        <v>0</v>
      </c>
      <c r="N418" t="b">
        <f t="shared" si="44"/>
        <v>0</v>
      </c>
      <c r="O418" t="b">
        <f t="shared" si="45"/>
        <v>0</v>
      </c>
      <c r="P418">
        <f t="shared" si="46"/>
        <v>0</v>
      </c>
      <c r="Q418" t="b">
        <f t="shared" si="47"/>
        <v>1</v>
      </c>
      <c r="R418">
        <f t="shared" si="48"/>
        <v>0</v>
      </c>
    </row>
    <row r="419" spans="1:18" ht="19.5" x14ac:dyDescent="0.55000000000000004">
      <c r="A419" s="27"/>
      <c r="B419" s="31"/>
      <c r="C419" s="27"/>
      <c r="D419" s="26"/>
      <c r="E419" s="26"/>
      <c r="F419">
        <v>508</v>
      </c>
      <c r="G419" t="s">
        <v>1368</v>
      </c>
      <c r="H419" t="s">
        <v>34</v>
      </c>
      <c r="I419" t="s">
        <v>106</v>
      </c>
      <c r="L419" t="b">
        <f t="shared" si="42"/>
        <v>0</v>
      </c>
      <c r="M419" t="b">
        <f t="shared" si="43"/>
        <v>0</v>
      </c>
      <c r="N419" t="b">
        <f t="shared" si="44"/>
        <v>0</v>
      </c>
      <c r="O419" t="b">
        <f t="shared" si="45"/>
        <v>0</v>
      </c>
      <c r="P419">
        <f t="shared" si="46"/>
        <v>0</v>
      </c>
      <c r="Q419" t="b">
        <f t="shared" si="47"/>
        <v>1</v>
      </c>
      <c r="R419">
        <f t="shared" si="48"/>
        <v>0</v>
      </c>
    </row>
    <row r="420" spans="1:18" ht="19.5" x14ac:dyDescent="0.55000000000000004">
      <c r="A420" s="27"/>
      <c r="B420" s="31"/>
      <c r="C420" s="27"/>
      <c r="D420" s="26"/>
      <c r="E420" s="26"/>
      <c r="F420">
        <v>521</v>
      </c>
      <c r="G420" t="s">
        <v>1371</v>
      </c>
      <c r="H420" t="s">
        <v>34</v>
      </c>
      <c r="I420" t="s">
        <v>847</v>
      </c>
      <c r="L420" t="b">
        <f t="shared" si="42"/>
        <v>0</v>
      </c>
      <c r="M420" t="b">
        <f t="shared" si="43"/>
        <v>0</v>
      </c>
      <c r="N420" t="b">
        <f t="shared" si="44"/>
        <v>0</v>
      </c>
      <c r="O420" t="b">
        <f t="shared" si="45"/>
        <v>0</v>
      </c>
      <c r="P420">
        <f t="shared" si="46"/>
        <v>0</v>
      </c>
      <c r="Q420" t="b">
        <f t="shared" si="47"/>
        <v>1</v>
      </c>
      <c r="R420">
        <f t="shared" si="48"/>
        <v>0</v>
      </c>
    </row>
    <row r="421" spans="1:18" ht="19.5" x14ac:dyDescent="0.55000000000000004">
      <c r="A421" s="27"/>
      <c r="B421" s="31"/>
      <c r="C421" s="27"/>
      <c r="D421" s="26"/>
      <c r="E421" s="26"/>
      <c r="F421">
        <v>642</v>
      </c>
      <c r="G421" t="s">
        <v>1374</v>
      </c>
      <c r="H421" t="s">
        <v>34</v>
      </c>
      <c r="I421" t="s">
        <v>36</v>
      </c>
      <c r="J421" t="s">
        <v>1375</v>
      </c>
      <c r="L421" t="b">
        <f t="shared" si="42"/>
        <v>0</v>
      </c>
      <c r="M421" t="b">
        <f t="shared" si="43"/>
        <v>0</v>
      </c>
      <c r="N421" t="b">
        <f t="shared" si="44"/>
        <v>0</v>
      </c>
      <c r="O421" t="b">
        <f t="shared" si="45"/>
        <v>0</v>
      </c>
      <c r="P421">
        <f t="shared" si="46"/>
        <v>0</v>
      </c>
      <c r="Q421" t="b">
        <f t="shared" si="47"/>
        <v>1</v>
      </c>
      <c r="R421">
        <f t="shared" si="48"/>
        <v>0</v>
      </c>
    </row>
    <row r="422" spans="1:18" ht="19.5" x14ac:dyDescent="0.55000000000000004">
      <c r="A422" s="27"/>
      <c r="B422" s="31"/>
      <c r="C422" s="27"/>
      <c r="D422" s="26"/>
      <c r="E422" s="26"/>
      <c r="F422">
        <v>654</v>
      </c>
      <c r="G422" t="s">
        <v>1377</v>
      </c>
      <c r="H422" t="s">
        <v>34</v>
      </c>
      <c r="I422" t="s">
        <v>36</v>
      </c>
      <c r="J422" t="s">
        <v>1375</v>
      </c>
      <c r="L422" t="b">
        <f t="shared" si="42"/>
        <v>0</v>
      </c>
      <c r="M422" t="b">
        <f t="shared" si="43"/>
        <v>0</v>
      </c>
      <c r="N422" t="b">
        <f t="shared" si="44"/>
        <v>0</v>
      </c>
      <c r="O422" t="b">
        <f t="shared" si="45"/>
        <v>0</v>
      </c>
      <c r="P422">
        <f t="shared" si="46"/>
        <v>0</v>
      </c>
      <c r="Q422" t="b">
        <f t="shared" si="47"/>
        <v>1</v>
      </c>
      <c r="R422">
        <f t="shared" si="48"/>
        <v>0</v>
      </c>
    </row>
    <row r="423" spans="1:18" ht="19.5" x14ac:dyDescent="0.55000000000000004">
      <c r="A423" s="27"/>
      <c r="B423" s="31"/>
      <c r="C423" s="27"/>
      <c r="D423" s="26"/>
      <c r="E423" s="26"/>
      <c r="F423">
        <v>676</v>
      </c>
      <c r="G423" t="s">
        <v>1380</v>
      </c>
      <c r="H423" t="s">
        <v>1270</v>
      </c>
      <c r="I423" t="s">
        <v>419</v>
      </c>
      <c r="L423" t="b">
        <f t="shared" si="42"/>
        <v>0</v>
      </c>
      <c r="M423" t="b">
        <f t="shared" si="43"/>
        <v>0</v>
      </c>
      <c r="N423" t="b">
        <f t="shared" si="44"/>
        <v>0</v>
      </c>
      <c r="O423" t="b">
        <f t="shared" si="45"/>
        <v>0</v>
      </c>
      <c r="P423">
        <f t="shared" si="46"/>
        <v>0</v>
      </c>
      <c r="Q423" t="b">
        <f t="shared" si="47"/>
        <v>1</v>
      </c>
      <c r="R423">
        <f t="shared" si="48"/>
        <v>0</v>
      </c>
    </row>
    <row r="424" spans="1:18" ht="19.5" x14ac:dyDescent="0.55000000000000004">
      <c r="A424" s="27"/>
      <c r="B424" s="31"/>
      <c r="C424" s="27"/>
      <c r="D424" s="26"/>
      <c r="E424" s="26"/>
      <c r="F424">
        <v>677</v>
      </c>
      <c r="G424" t="s">
        <v>1383</v>
      </c>
      <c r="H424" t="s">
        <v>580</v>
      </c>
      <c r="I424" t="s">
        <v>573</v>
      </c>
      <c r="J424" t="s">
        <v>625</v>
      </c>
      <c r="L424" t="b">
        <f t="shared" si="42"/>
        <v>0</v>
      </c>
      <c r="M424" t="b">
        <f t="shared" si="43"/>
        <v>0</v>
      </c>
      <c r="N424" t="b">
        <f t="shared" si="44"/>
        <v>0</v>
      </c>
      <c r="O424" t="b">
        <f t="shared" si="45"/>
        <v>0</v>
      </c>
      <c r="P424">
        <f t="shared" si="46"/>
        <v>0</v>
      </c>
      <c r="Q424" t="b">
        <f t="shared" si="47"/>
        <v>1</v>
      </c>
      <c r="R424">
        <f t="shared" si="48"/>
        <v>0</v>
      </c>
    </row>
    <row r="425" spans="1:18" ht="19.5" x14ac:dyDescent="0.55000000000000004">
      <c r="A425" s="27"/>
      <c r="B425" s="31"/>
      <c r="C425" s="27"/>
      <c r="D425" s="26"/>
      <c r="E425" s="26"/>
      <c r="F425">
        <v>1136</v>
      </c>
      <c r="G425" t="s">
        <v>1386</v>
      </c>
      <c r="H425" t="s">
        <v>34</v>
      </c>
      <c r="I425" t="s">
        <v>83</v>
      </c>
      <c r="L425" t="b">
        <f t="shared" si="42"/>
        <v>0</v>
      </c>
      <c r="M425" t="b">
        <f t="shared" si="43"/>
        <v>1</v>
      </c>
      <c r="N425" t="b">
        <f t="shared" si="44"/>
        <v>0</v>
      </c>
      <c r="O425" t="b">
        <f t="shared" si="45"/>
        <v>0</v>
      </c>
      <c r="P425">
        <f t="shared" si="46"/>
        <v>0</v>
      </c>
      <c r="Q425" t="b">
        <f t="shared" si="47"/>
        <v>1</v>
      </c>
      <c r="R425">
        <f t="shared" si="48"/>
        <v>0</v>
      </c>
    </row>
    <row r="426" spans="1:18" ht="19.5" x14ac:dyDescent="0.55000000000000004">
      <c r="A426" s="27"/>
      <c r="B426" s="31"/>
      <c r="C426" s="27"/>
      <c r="D426" s="26"/>
      <c r="E426" s="26"/>
      <c r="F426">
        <v>80019</v>
      </c>
      <c r="G426" t="s">
        <v>1392</v>
      </c>
      <c r="H426" t="s">
        <v>34</v>
      </c>
      <c r="I426" t="s">
        <v>83</v>
      </c>
      <c r="L426" t="b">
        <f t="shared" si="42"/>
        <v>0</v>
      </c>
      <c r="M426" t="b">
        <f t="shared" si="43"/>
        <v>1</v>
      </c>
      <c r="N426" t="b">
        <f t="shared" si="44"/>
        <v>0</v>
      </c>
      <c r="O426" t="b">
        <f t="shared" si="45"/>
        <v>0</v>
      </c>
      <c r="P426">
        <f t="shared" si="46"/>
        <v>0</v>
      </c>
      <c r="Q426" t="b">
        <f t="shared" si="47"/>
        <v>1</v>
      </c>
      <c r="R426">
        <f t="shared" si="48"/>
        <v>0</v>
      </c>
    </row>
    <row r="427" spans="1:18" ht="19.5" x14ac:dyDescent="0.55000000000000004">
      <c r="A427" s="27"/>
      <c r="B427" s="31"/>
      <c r="C427" s="27"/>
      <c r="D427" s="26"/>
      <c r="E427" s="26"/>
      <c r="F427">
        <v>1146</v>
      </c>
      <c r="G427" t="s">
        <v>1394</v>
      </c>
      <c r="H427" t="s">
        <v>34</v>
      </c>
      <c r="I427" t="s">
        <v>83</v>
      </c>
      <c r="L427" t="b">
        <f t="shared" si="42"/>
        <v>0</v>
      </c>
      <c r="M427" t="b">
        <f t="shared" si="43"/>
        <v>0</v>
      </c>
      <c r="N427" t="b">
        <f t="shared" si="44"/>
        <v>0</v>
      </c>
      <c r="O427" t="b">
        <f t="shared" si="45"/>
        <v>0</v>
      </c>
      <c r="P427">
        <f t="shared" si="46"/>
        <v>0</v>
      </c>
      <c r="Q427" t="b">
        <f t="shared" si="47"/>
        <v>1</v>
      </c>
      <c r="R427">
        <f t="shared" si="48"/>
        <v>0</v>
      </c>
    </row>
    <row r="428" spans="1:18" ht="19.5" x14ac:dyDescent="0.55000000000000004">
      <c r="A428" s="27"/>
      <c r="B428" s="31"/>
      <c r="C428" s="27"/>
      <c r="D428" s="26"/>
      <c r="E428" s="26"/>
      <c r="F428">
        <v>1164</v>
      </c>
      <c r="G428" t="s">
        <v>1400</v>
      </c>
      <c r="H428" t="s">
        <v>34</v>
      </c>
      <c r="I428" t="s">
        <v>83</v>
      </c>
      <c r="L428" t="b">
        <f t="shared" si="42"/>
        <v>0</v>
      </c>
      <c r="M428" t="b">
        <f t="shared" si="43"/>
        <v>0</v>
      </c>
      <c r="N428" t="b">
        <f t="shared" si="44"/>
        <v>0</v>
      </c>
      <c r="O428" t="b">
        <f t="shared" si="45"/>
        <v>0</v>
      </c>
      <c r="P428">
        <f t="shared" si="46"/>
        <v>0</v>
      </c>
      <c r="Q428" t="b">
        <f t="shared" si="47"/>
        <v>1</v>
      </c>
      <c r="R428">
        <f t="shared" si="48"/>
        <v>0</v>
      </c>
    </row>
    <row r="429" spans="1:18" ht="19.5" x14ac:dyDescent="0.55000000000000004">
      <c r="A429" s="27"/>
      <c r="B429" s="31"/>
      <c r="C429" s="27"/>
      <c r="D429" s="26"/>
      <c r="E429" s="26"/>
      <c r="F429">
        <v>1165</v>
      </c>
      <c r="G429" t="s">
        <v>1402</v>
      </c>
      <c r="H429" t="s">
        <v>34</v>
      </c>
      <c r="I429" t="s">
        <v>83</v>
      </c>
      <c r="L429" t="b">
        <f t="shared" si="42"/>
        <v>0</v>
      </c>
      <c r="M429" t="b">
        <f t="shared" si="43"/>
        <v>0</v>
      </c>
      <c r="N429" t="b">
        <f t="shared" si="44"/>
        <v>0</v>
      </c>
      <c r="O429" t="b">
        <f t="shared" si="45"/>
        <v>0</v>
      </c>
      <c r="P429">
        <f t="shared" si="46"/>
        <v>0</v>
      </c>
      <c r="Q429" t="b">
        <f t="shared" si="47"/>
        <v>1</v>
      </c>
      <c r="R429">
        <f t="shared" si="48"/>
        <v>0</v>
      </c>
    </row>
    <row r="430" spans="1:18" ht="19.5" x14ac:dyDescent="0.55000000000000004">
      <c r="A430" s="27"/>
      <c r="B430" s="31"/>
      <c r="C430" s="27"/>
      <c r="D430" s="26"/>
      <c r="E430" s="26"/>
      <c r="F430">
        <v>1166</v>
      </c>
      <c r="G430" t="s">
        <v>1405</v>
      </c>
      <c r="H430" t="s">
        <v>34</v>
      </c>
      <c r="I430" t="s">
        <v>83</v>
      </c>
      <c r="L430" t="b">
        <f t="shared" si="42"/>
        <v>0</v>
      </c>
      <c r="M430" t="b">
        <f t="shared" si="43"/>
        <v>0</v>
      </c>
      <c r="N430" t="b">
        <f t="shared" si="44"/>
        <v>0</v>
      </c>
      <c r="O430" t="b">
        <f t="shared" si="45"/>
        <v>0</v>
      </c>
      <c r="P430">
        <f t="shared" si="46"/>
        <v>0</v>
      </c>
      <c r="Q430" t="b">
        <f t="shared" si="47"/>
        <v>1</v>
      </c>
      <c r="R430">
        <f t="shared" si="48"/>
        <v>0</v>
      </c>
    </row>
    <row r="431" spans="1:18" ht="19.5" x14ac:dyDescent="0.55000000000000004">
      <c r="A431" s="27"/>
      <c r="B431" s="31"/>
      <c r="C431" s="27"/>
      <c r="D431" s="26"/>
      <c r="E431" s="26"/>
      <c r="F431">
        <v>1170</v>
      </c>
      <c r="G431" t="s">
        <v>1408</v>
      </c>
      <c r="H431" t="s">
        <v>34</v>
      </c>
      <c r="I431" t="s">
        <v>83</v>
      </c>
      <c r="L431" t="b">
        <f t="shared" si="42"/>
        <v>0</v>
      </c>
      <c r="M431" t="b">
        <f t="shared" si="43"/>
        <v>0</v>
      </c>
      <c r="N431" t="b">
        <f t="shared" si="44"/>
        <v>0</v>
      </c>
      <c r="O431" t="b">
        <f t="shared" si="45"/>
        <v>0</v>
      </c>
      <c r="P431">
        <f t="shared" si="46"/>
        <v>0</v>
      </c>
      <c r="Q431" t="b">
        <f t="shared" si="47"/>
        <v>1</v>
      </c>
      <c r="R431">
        <f t="shared" si="48"/>
        <v>0</v>
      </c>
    </row>
    <row r="432" spans="1:18" ht="19.5" x14ac:dyDescent="0.55000000000000004">
      <c r="A432" s="27"/>
      <c r="B432" s="31"/>
      <c r="C432" s="27"/>
      <c r="D432" s="26"/>
      <c r="E432" s="26"/>
      <c r="F432">
        <v>1171</v>
      </c>
      <c r="G432" t="s">
        <v>1410</v>
      </c>
      <c r="H432" t="s">
        <v>54</v>
      </c>
      <c r="I432" t="s">
        <v>525</v>
      </c>
      <c r="L432" t="b">
        <f t="shared" si="42"/>
        <v>0</v>
      </c>
      <c r="M432" t="b">
        <f t="shared" si="43"/>
        <v>0</v>
      </c>
      <c r="N432" t="b">
        <f t="shared" si="44"/>
        <v>0</v>
      </c>
      <c r="O432" t="b">
        <f t="shared" si="45"/>
        <v>0</v>
      </c>
      <c r="P432">
        <f t="shared" si="46"/>
        <v>0</v>
      </c>
      <c r="Q432" t="b">
        <f t="shared" si="47"/>
        <v>1</v>
      </c>
      <c r="R432">
        <f t="shared" si="48"/>
        <v>0</v>
      </c>
    </row>
    <row r="433" spans="1:18" ht="19.5" x14ac:dyDescent="0.55000000000000004">
      <c r="A433" s="27"/>
      <c r="B433" s="31"/>
      <c r="C433" s="27"/>
      <c r="D433" s="26"/>
      <c r="E433" s="26"/>
      <c r="F433">
        <v>1212</v>
      </c>
      <c r="G433" t="s">
        <v>1413</v>
      </c>
      <c r="H433" t="s">
        <v>54</v>
      </c>
      <c r="I433" t="s">
        <v>419</v>
      </c>
      <c r="L433" t="b">
        <f t="shared" si="42"/>
        <v>0</v>
      </c>
      <c r="M433" t="b">
        <f t="shared" si="43"/>
        <v>0</v>
      </c>
      <c r="N433" t="b">
        <f t="shared" si="44"/>
        <v>0</v>
      </c>
      <c r="O433" t="b">
        <f t="shared" si="45"/>
        <v>0</v>
      </c>
      <c r="P433">
        <f t="shared" si="46"/>
        <v>0</v>
      </c>
      <c r="Q433" t="b">
        <f t="shared" si="47"/>
        <v>1</v>
      </c>
      <c r="R433">
        <f t="shared" si="48"/>
        <v>0</v>
      </c>
    </row>
    <row r="434" spans="1:18" ht="19.5" x14ac:dyDescent="0.55000000000000004">
      <c r="A434" s="27"/>
      <c r="B434" s="31"/>
      <c r="C434" s="27"/>
      <c r="D434" s="26"/>
      <c r="E434" s="26"/>
      <c r="F434">
        <v>1213</v>
      </c>
      <c r="G434" t="s">
        <v>1416</v>
      </c>
      <c r="H434" t="s">
        <v>54</v>
      </c>
      <c r="I434" t="s">
        <v>419</v>
      </c>
      <c r="L434" t="b">
        <f t="shared" si="42"/>
        <v>0</v>
      </c>
      <c r="M434" t="b">
        <f t="shared" si="43"/>
        <v>0</v>
      </c>
      <c r="N434" t="b">
        <f t="shared" si="44"/>
        <v>0</v>
      </c>
      <c r="O434" t="b">
        <f t="shared" si="45"/>
        <v>0</v>
      </c>
      <c r="P434">
        <f t="shared" si="46"/>
        <v>0</v>
      </c>
      <c r="Q434" t="b">
        <f t="shared" si="47"/>
        <v>1</v>
      </c>
      <c r="R434">
        <f t="shared" si="48"/>
        <v>0</v>
      </c>
    </row>
    <row r="435" spans="1:18" ht="19.5" x14ac:dyDescent="0.55000000000000004">
      <c r="A435" s="27"/>
      <c r="B435" s="31"/>
      <c r="C435" s="27"/>
      <c r="D435" s="26"/>
      <c r="E435" s="26"/>
      <c r="F435">
        <v>1214</v>
      </c>
      <c r="G435" t="s">
        <v>1419</v>
      </c>
      <c r="H435" t="s">
        <v>54</v>
      </c>
      <c r="I435" t="s">
        <v>419</v>
      </c>
      <c r="L435" t="b">
        <f t="shared" si="42"/>
        <v>0</v>
      </c>
      <c r="M435" t="b">
        <f t="shared" si="43"/>
        <v>0</v>
      </c>
      <c r="N435" t="b">
        <f t="shared" si="44"/>
        <v>0</v>
      </c>
      <c r="O435" t="b">
        <f t="shared" si="45"/>
        <v>0</v>
      </c>
      <c r="P435">
        <f t="shared" si="46"/>
        <v>0</v>
      </c>
      <c r="Q435" t="b">
        <f t="shared" si="47"/>
        <v>1</v>
      </c>
      <c r="R435">
        <f t="shared" si="48"/>
        <v>0</v>
      </c>
    </row>
    <row r="436" spans="1:18" ht="19.5" x14ac:dyDescent="0.55000000000000004">
      <c r="A436" s="27"/>
      <c r="B436" s="31"/>
      <c r="C436" s="27"/>
      <c r="D436" s="26"/>
      <c r="E436" s="26"/>
      <c r="F436">
        <v>1236</v>
      </c>
      <c r="G436" t="s">
        <v>1422</v>
      </c>
      <c r="H436" t="s">
        <v>540</v>
      </c>
      <c r="I436" t="s">
        <v>46</v>
      </c>
      <c r="J436" t="s">
        <v>372</v>
      </c>
      <c r="L436" t="b">
        <f t="shared" si="42"/>
        <v>0</v>
      </c>
      <c r="M436" t="b">
        <f t="shared" si="43"/>
        <v>1</v>
      </c>
      <c r="N436" t="b">
        <f t="shared" si="44"/>
        <v>0</v>
      </c>
      <c r="O436" t="b">
        <f t="shared" si="45"/>
        <v>0</v>
      </c>
      <c r="P436">
        <f t="shared" si="46"/>
        <v>0</v>
      </c>
      <c r="Q436" t="b">
        <f t="shared" si="47"/>
        <v>1</v>
      </c>
      <c r="R436">
        <f t="shared" si="48"/>
        <v>0</v>
      </c>
    </row>
    <row r="437" spans="1:18" ht="19.5" x14ac:dyDescent="0.55000000000000004">
      <c r="A437" s="27"/>
      <c r="B437" s="31"/>
      <c r="C437" s="27"/>
      <c r="D437" s="26"/>
      <c r="E437" s="26"/>
      <c r="F437">
        <v>1395</v>
      </c>
      <c r="G437" t="s">
        <v>1424</v>
      </c>
      <c r="H437" t="s">
        <v>75</v>
      </c>
      <c r="I437" t="s">
        <v>106</v>
      </c>
      <c r="L437" t="b">
        <f t="shared" si="42"/>
        <v>0</v>
      </c>
      <c r="M437" t="b">
        <f t="shared" si="43"/>
        <v>0</v>
      </c>
      <c r="N437" t="b">
        <f t="shared" si="44"/>
        <v>0</v>
      </c>
      <c r="O437" t="b">
        <f t="shared" si="45"/>
        <v>0</v>
      </c>
      <c r="P437">
        <f t="shared" si="46"/>
        <v>0</v>
      </c>
      <c r="Q437" t="b">
        <f t="shared" si="47"/>
        <v>1</v>
      </c>
      <c r="R437">
        <f t="shared" si="48"/>
        <v>0</v>
      </c>
    </row>
    <row r="438" spans="1:18" ht="19.5" x14ac:dyDescent="0.55000000000000004">
      <c r="A438" s="27"/>
      <c r="B438" s="31"/>
      <c r="C438" s="27"/>
      <c r="D438" s="26"/>
      <c r="E438" s="26"/>
      <c r="F438">
        <v>1397</v>
      </c>
      <c r="G438" t="s">
        <v>1427</v>
      </c>
      <c r="H438" t="s">
        <v>780</v>
      </c>
      <c r="I438" t="s">
        <v>573</v>
      </c>
      <c r="L438" t="b">
        <f t="shared" si="42"/>
        <v>0</v>
      </c>
      <c r="M438" t="b">
        <f t="shared" si="43"/>
        <v>0</v>
      </c>
      <c r="N438" t="b">
        <f t="shared" si="44"/>
        <v>0</v>
      </c>
      <c r="O438" t="b">
        <f t="shared" si="45"/>
        <v>0</v>
      </c>
      <c r="P438">
        <f t="shared" si="46"/>
        <v>0</v>
      </c>
      <c r="Q438" t="b">
        <f t="shared" si="47"/>
        <v>1</v>
      </c>
      <c r="R438">
        <f t="shared" si="48"/>
        <v>0</v>
      </c>
    </row>
    <row r="439" spans="1:18" ht="19.5" x14ac:dyDescent="0.55000000000000004">
      <c r="A439" s="27"/>
      <c r="B439" s="31"/>
      <c r="C439" s="27"/>
      <c r="D439" s="26"/>
      <c r="E439" s="26"/>
      <c r="F439">
        <v>1398</v>
      </c>
      <c r="G439" t="s">
        <v>1430</v>
      </c>
      <c r="H439" t="s">
        <v>540</v>
      </c>
      <c r="I439" t="s">
        <v>525</v>
      </c>
      <c r="L439" t="b">
        <f t="shared" si="42"/>
        <v>0</v>
      </c>
      <c r="M439" t="b">
        <f t="shared" si="43"/>
        <v>0</v>
      </c>
      <c r="N439" t="b">
        <f t="shared" si="44"/>
        <v>0</v>
      </c>
      <c r="O439" t="b">
        <f t="shared" si="45"/>
        <v>0</v>
      </c>
      <c r="P439">
        <f t="shared" si="46"/>
        <v>0</v>
      </c>
      <c r="Q439" t="b">
        <f t="shared" si="47"/>
        <v>1</v>
      </c>
      <c r="R439">
        <f t="shared" si="48"/>
        <v>0</v>
      </c>
    </row>
    <row r="440" spans="1:18" ht="19.5" x14ac:dyDescent="0.55000000000000004">
      <c r="A440" s="27"/>
      <c r="B440" s="31"/>
      <c r="C440" s="27"/>
      <c r="D440" s="26"/>
      <c r="E440" s="26"/>
      <c r="F440">
        <v>1399</v>
      </c>
      <c r="G440" t="s">
        <v>1433</v>
      </c>
      <c r="H440" t="s">
        <v>580</v>
      </c>
      <c r="I440" t="s">
        <v>525</v>
      </c>
      <c r="L440" t="b">
        <f t="shared" si="42"/>
        <v>0</v>
      </c>
      <c r="M440" t="b">
        <f t="shared" si="43"/>
        <v>0</v>
      </c>
      <c r="N440" t="b">
        <f t="shared" si="44"/>
        <v>0</v>
      </c>
      <c r="O440" t="b">
        <f t="shared" si="45"/>
        <v>0</v>
      </c>
      <c r="P440">
        <f t="shared" si="46"/>
        <v>0</v>
      </c>
      <c r="Q440" t="b">
        <f t="shared" si="47"/>
        <v>1</v>
      </c>
      <c r="R440">
        <f t="shared" si="48"/>
        <v>0</v>
      </c>
    </row>
    <row r="441" spans="1:18" ht="19.5" x14ac:dyDescent="0.55000000000000004">
      <c r="A441" s="27"/>
      <c r="B441" s="31"/>
      <c r="C441" s="27"/>
      <c r="D441" s="26"/>
      <c r="E441" s="26"/>
      <c r="F441">
        <v>1402</v>
      </c>
      <c r="G441" t="s">
        <v>1435</v>
      </c>
      <c r="H441" t="s">
        <v>54</v>
      </c>
      <c r="I441" t="s">
        <v>319</v>
      </c>
      <c r="L441" t="b">
        <f t="shared" si="42"/>
        <v>0</v>
      </c>
      <c r="M441" t="b">
        <f t="shared" si="43"/>
        <v>0</v>
      </c>
      <c r="N441" t="b">
        <f t="shared" si="44"/>
        <v>0</v>
      </c>
      <c r="O441" t="b">
        <f t="shared" si="45"/>
        <v>0</v>
      </c>
      <c r="P441">
        <f t="shared" si="46"/>
        <v>0</v>
      </c>
      <c r="Q441" t="b">
        <f t="shared" si="47"/>
        <v>1</v>
      </c>
      <c r="R441">
        <f t="shared" si="48"/>
        <v>0</v>
      </c>
    </row>
    <row r="442" spans="1:18" ht="19.5" x14ac:dyDescent="0.55000000000000004">
      <c r="A442" s="27"/>
      <c r="B442" s="31"/>
      <c r="C442" s="27"/>
      <c r="D442" s="26"/>
      <c r="E442" s="26"/>
      <c r="F442">
        <v>1403</v>
      </c>
      <c r="G442" t="s">
        <v>1438</v>
      </c>
      <c r="H442" t="s">
        <v>54</v>
      </c>
      <c r="I442" t="s">
        <v>1439</v>
      </c>
      <c r="L442" t="b">
        <f t="shared" si="42"/>
        <v>0</v>
      </c>
      <c r="M442" t="b">
        <f t="shared" si="43"/>
        <v>0</v>
      </c>
      <c r="N442" t="b">
        <f t="shared" si="44"/>
        <v>0</v>
      </c>
      <c r="O442" t="b">
        <f t="shared" si="45"/>
        <v>0</v>
      </c>
      <c r="P442">
        <f t="shared" si="46"/>
        <v>0</v>
      </c>
      <c r="Q442" t="b">
        <f t="shared" si="47"/>
        <v>1</v>
      </c>
      <c r="R442">
        <f t="shared" si="48"/>
        <v>0</v>
      </c>
    </row>
    <row r="443" spans="1:18" ht="19.5" x14ac:dyDescent="0.55000000000000004">
      <c r="A443" s="27"/>
      <c r="B443" s="31"/>
      <c r="C443" s="27"/>
      <c r="D443" s="26"/>
      <c r="E443" s="26"/>
      <c r="F443">
        <v>1404</v>
      </c>
      <c r="G443" t="s">
        <v>1442</v>
      </c>
      <c r="H443" t="s">
        <v>54</v>
      </c>
      <c r="I443" t="s">
        <v>354</v>
      </c>
      <c r="L443" t="b">
        <f t="shared" si="42"/>
        <v>0</v>
      </c>
      <c r="M443" t="b">
        <f t="shared" si="43"/>
        <v>0</v>
      </c>
      <c r="N443" t="b">
        <f t="shared" si="44"/>
        <v>0</v>
      </c>
      <c r="O443" t="b">
        <f t="shared" si="45"/>
        <v>0</v>
      </c>
      <c r="P443">
        <f t="shared" si="46"/>
        <v>0</v>
      </c>
      <c r="Q443" t="b">
        <f t="shared" si="47"/>
        <v>1</v>
      </c>
      <c r="R443">
        <f t="shared" si="48"/>
        <v>0</v>
      </c>
    </row>
    <row r="444" spans="1:18" ht="19.5" x14ac:dyDescent="0.55000000000000004">
      <c r="A444" s="27"/>
      <c r="B444" s="31"/>
      <c r="C444" s="27"/>
      <c r="D444" s="26"/>
      <c r="E444" s="26"/>
      <c r="F444">
        <v>1432</v>
      </c>
      <c r="G444" t="s">
        <v>1445</v>
      </c>
      <c r="H444" t="s">
        <v>54</v>
      </c>
      <c r="I444" t="s">
        <v>419</v>
      </c>
      <c r="L444" t="b">
        <f t="shared" si="42"/>
        <v>0</v>
      </c>
      <c r="M444" t="b">
        <f t="shared" si="43"/>
        <v>0</v>
      </c>
      <c r="N444" t="b">
        <f t="shared" si="44"/>
        <v>0</v>
      </c>
      <c r="O444" t="b">
        <f t="shared" si="45"/>
        <v>0</v>
      </c>
      <c r="P444">
        <f t="shared" si="46"/>
        <v>0</v>
      </c>
      <c r="Q444" t="b">
        <f t="shared" si="47"/>
        <v>1</v>
      </c>
      <c r="R444">
        <f t="shared" si="48"/>
        <v>0</v>
      </c>
    </row>
    <row r="445" spans="1:18" ht="19.5" x14ac:dyDescent="0.55000000000000004">
      <c r="A445" s="27"/>
      <c r="B445" s="31"/>
      <c r="C445" s="27"/>
      <c r="D445" s="26"/>
      <c r="E445" s="26"/>
      <c r="F445">
        <v>1433</v>
      </c>
      <c r="G445" t="s">
        <v>1448</v>
      </c>
      <c r="H445" t="s">
        <v>54</v>
      </c>
      <c r="I445" t="s">
        <v>419</v>
      </c>
      <c r="L445" t="b">
        <f t="shared" si="42"/>
        <v>0</v>
      </c>
      <c r="M445" t="b">
        <f t="shared" si="43"/>
        <v>0</v>
      </c>
      <c r="N445" t="b">
        <f t="shared" si="44"/>
        <v>0</v>
      </c>
      <c r="O445" t="b">
        <f t="shared" si="45"/>
        <v>0</v>
      </c>
      <c r="P445">
        <f t="shared" si="46"/>
        <v>0</v>
      </c>
      <c r="Q445" t="b">
        <f t="shared" si="47"/>
        <v>1</v>
      </c>
      <c r="R445">
        <f t="shared" si="48"/>
        <v>0</v>
      </c>
    </row>
    <row r="446" spans="1:18" ht="19.5" x14ac:dyDescent="0.55000000000000004">
      <c r="A446" s="27"/>
      <c r="B446" s="31"/>
      <c r="C446" s="27"/>
      <c r="D446" s="26"/>
      <c r="E446" s="26"/>
      <c r="F446">
        <v>1434</v>
      </c>
      <c r="G446" t="s">
        <v>1451</v>
      </c>
      <c r="H446" t="s">
        <v>54</v>
      </c>
      <c r="I446" t="s">
        <v>419</v>
      </c>
      <c r="L446" t="b">
        <f t="shared" si="42"/>
        <v>0</v>
      </c>
      <c r="M446" t="b">
        <f t="shared" si="43"/>
        <v>0</v>
      </c>
      <c r="N446" t="b">
        <f t="shared" si="44"/>
        <v>0</v>
      </c>
      <c r="O446" t="b">
        <f t="shared" si="45"/>
        <v>0</v>
      </c>
      <c r="P446">
        <f t="shared" si="46"/>
        <v>0</v>
      </c>
      <c r="Q446" t="b">
        <f t="shared" si="47"/>
        <v>1</v>
      </c>
      <c r="R446">
        <f t="shared" si="48"/>
        <v>0</v>
      </c>
    </row>
    <row r="447" spans="1:18" ht="19.5" x14ac:dyDescent="0.55000000000000004">
      <c r="A447" s="27"/>
      <c r="B447" s="31"/>
      <c r="C447" s="27"/>
      <c r="D447" s="26"/>
      <c r="E447" s="26"/>
      <c r="F447">
        <v>1463</v>
      </c>
      <c r="G447" t="s">
        <v>1454</v>
      </c>
      <c r="H447" t="s">
        <v>111</v>
      </c>
      <c r="I447" t="s">
        <v>71</v>
      </c>
      <c r="L447" t="b">
        <f t="shared" si="42"/>
        <v>0</v>
      </c>
      <c r="M447" t="b">
        <f t="shared" si="43"/>
        <v>0</v>
      </c>
      <c r="N447" t="b">
        <f t="shared" si="44"/>
        <v>0</v>
      </c>
      <c r="O447" t="b">
        <f t="shared" si="45"/>
        <v>0</v>
      </c>
      <c r="P447">
        <f t="shared" si="46"/>
        <v>0</v>
      </c>
      <c r="Q447" t="b">
        <f t="shared" si="47"/>
        <v>1</v>
      </c>
      <c r="R447">
        <f t="shared" si="48"/>
        <v>0</v>
      </c>
    </row>
    <row r="448" spans="1:18" ht="19.5" x14ac:dyDescent="0.55000000000000004">
      <c r="A448" s="27"/>
      <c r="B448" s="31"/>
      <c r="C448" s="27"/>
      <c r="D448" s="26"/>
      <c r="E448" s="26"/>
      <c r="F448">
        <v>1481</v>
      </c>
      <c r="G448" t="s">
        <v>1456</v>
      </c>
      <c r="H448" t="s">
        <v>34</v>
      </c>
      <c r="I448" t="s">
        <v>36</v>
      </c>
      <c r="L448" t="b">
        <f t="shared" si="42"/>
        <v>0</v>
      </c>
      <c r="M448" t="b">
        <f t="shared" si="43"/>
        <v>0</v>
      </c>
      <c r="N448" t="b">
        <f t="shared" si="44"/>
        <v>0</v>
      </c>
      <c r="O448" t="b">
        <f t="shared" si="45"/>
        <v>0</v>
      </c>
      <c r="P448">
        <f t="shared" si="46"/>
        <v>0</v>
      </c>
      <c r="Q448" t="b">
        <f t="shared" si="47"/>
        <v>1</v>
      </c>
      <c r="R448">
        <f t="shared" si="48"/>
        <v>0</v>
      </c>
    </row>
    <row r="449" spans="1:18" ht="19.5" x14ac:dyDescent="0.55000000000000004">
      <c r="A449" s="27"/>
      <c r="B449" s="31"/>
      <c r="C449" s="27"/>
      <c r="D449" s="26"/>
      <c r="E449" s="26"/>
      <c r="F449">
        <v>1497</v>
      </c>
      <c r="G449" t="s">
        <v>1458</v>
      </c>
      <c r="H449" t="s">
        <v>34</v>
      </c>
      <c r="I449" t="s">
        <v>71</v>
      </c>
      <c r="L449" t="b">
        <f t="shared" si="42"/>
        <v>0</v>
      </c>
      <c r="M449" t="b">
        <f t="shared" si="43"/>
        <v>0</v>
      </c>
      <c r="N449" t="b">
        <f t="shared" si="44"/>
        <v>0</v>
      </c>
      <c r="O449" t="b">
        <f t="shared" si="45"/>
        <v>0</v>
      </c>
      <c r="P449">
        <f t="shared" si="46"/>
        <v>0</v>
      </c>
      <c r="Q449" t="b">
        <f t="shared" si="47"/>
        <v>1</v>
      </c>
      <c r="R449">
        <f t="shared" si="48"/>
        <v>0</v>
      </c>
    </row>
    <row r="450" spans="1:18" ht="19.5" x14ac:dyDescent="0.55000000000000004">
      <c r="A450" s="27"/>
      <c r="B450" s="31"/>
      <c r="C450" s="27"/>
      <c r="D450" s="26"/>
      <c r="E450" s="26"/>
      <c r="F450">
        <v>1514</v>
      </c>
      <c r="G450" t="s">
        <v>1459</v>
      </c>
      <c r="H450" t="s">
        <v>54</v>
      </c>
      <c r="I450" t="s">
        <v>525</v>
      </c>
      <c r="L450" t="b">
        <f t="shared" si="42"/>
        <v>0</v>
      </c>
      <c r="M450" t="b">
        <f t="shared" si="43"/>
        <v>0</v>
      </c>
      <c r="N450" t="b">
        <f t="shared" si="44"/>
        <v>0</v>
      </c>
      <c r="O450" t="b">
        <f t="shared" si="45"/>
        <v>0</v>
      </c>
      <c r="P450">
        <f t="shared" si="46"/>
        <v>0</v>
      </c>
      <c r="Q450" t="b">
        <f t="shared" si="47"/>
        <v>1</v>
      </c>
      <c r="R450">
        <f t="shared" si="48"/>
        <v>0</v>
      </c>
    </row>
    <row r="451" spans="1:18" ht="19.5" x14ac:dyDescent="0.55000000000000004">
      <c r="A451" s="27"/>
      <c r="B451" s="31"/>
      <c r="C451" s="27"/>
      <c r="D451" s="26"/>
      <c r="E451" s="26"/>
      <c r="F451">
        <v>90389</v>
      </c>
      <c r="G451" t="s">
        <v>1462</v>
      </c>
      <c r="H451" t="s">
        <v>365</v>
      </c>
      <c r="I451" t="s">
        <v>56</v>
      </c>
      <c r="J451" t="s">
        <v>56</v>
      </c>
      <c r="L451" t="b">
        <f t="shared" ref="L451:L514" si="49">IF(TRIM($B$3)="",TRUE,ISNUMBER(SEARCH(TRIM(MID(SUBSTITUTE($B$3," ",REPT(" ",100)),1,100)),G451)))</f>
        <v>0</v>
      </c>
      <c r="M451" t="b">
        <f t="shared" ref="M451:M514" si="50">IF(LEN(TRIM($B$3))-LEN(SUBSTITUTE(TRIM($B$3)," ",""))&lt;1,TRUE,ISNUMBER(SEARCH(TRIM(MID(SUBSTITUTE($B$3," ",REPT(" ",100)),101,100)),G451)))</f>
        <v>1</v>
      </c>
      <c r="N451" t="b">
        <f t="shared" ref="N451:N514" si="51">IF(LEN(TRIM($B$3))-LEN(SUBSTITUTE(TRIM($B$3)," ",""))&lt;2,TRUE,ISNUMBER(SEARCH(TRIM(MID(SUBSTITUTE($B$3," ",REPT(" ",100)),201,100)),G451)))</f>
        <v>0</v>
      </c>
      <c r="O451" t="b">
        <f t="shared" ref="O451:O514" si="52">IF(LEN(TRIM($B$3))-LEN(SUBSTITUTE(TRIM($B$3)," ",""))&lt;3,TRUE,ISNUMBER(SEARCH(TRIM(MID(SUBSTITUTE($B$3," ",REPT(" ",100)),301,100)),G451)))</f>
        <v>0</v>
      </c>
      <c r="P451">
        <f t="shared" ref="P451:P514" si="53">L451*M451*N451*O451</f>
        <v>0</v>
      </c>
      <c r="Q451" t="b">
        <f t="shared" ref="Q451:Q514" si="54">IF(OR(TRIM($B$2)="",$B$2="(Todos)"),TRUE,EXACT(I451,$B$2))</f>
        <v>1</v>
      </c>
      <c r="R451">
        <f t="shared" ref="R451:R514" si="55">P451*Q451</f>
        <v>0</v>
      </c>
    </row>
    <row r="452" spans="1:18" ht="19.5" x14ac:dyDescent="0.55000000000000004">
      <c r="A452" s="27"/>
      <c r="B452" s="31"/>
      <c r="C452" s="27"/>
      <c r="D452" s="26"/>
      <c r="E452" s="26"/>
      <c r="F452">
        <v>90465</v>
      </c>
      <c r="G452" t="s">
        <v>1465</v>
      </c>
      <c r="H452" t="s">
        <v>136</v>
      </c>
      <c r="I452" t="s">
        <v>448</v>
      </c>
      <c r="J452" t="s">
        <v>721</v>
      </c>
      <c r="L452" t="b">
        <f t="shared" si="49"/>
        <v>0</v>
      </c>
      <c r="M452" t="b">
        <f t="shared" si="50"/>
        <v>0</v>
      </c>
      <c r="N452" t="b">
        <f t="shared" si="51"/>
        <v>0</v>
      </c>
      <c r="O452" t="b">
        <f t="shared" si="52"/>
        <v>0</v>
      </c>
      <c r="P452">
        <f t="shared" si="53"/>
        <v>0</v>
      </c>
      <c r="Q452" t="b">
        <f t="shared" si="54"/>
        <v>1</v>
      </c>
      <c r="R452">
        <f t="shared" si="55"/>
        <v>0</v>
      </c>
    </row>
    <row r="453" spans="1:18" ht="19.5" x14ac:dyDescent="0.55000000000000004">
      <c r="A453" s="27"/>
      <c r="B453" s="31"/>
      <c r="C453" s="27"/>
      <c r="D453" s="26"/>
      <c r="E453" s="26"/>
      <c r="F453">
        <v>90464</v>
      </c>
      <c r="G453" t="s">
        <v>1468</v>
      </c>
      <c r="H453" t="s">
        <v>365</v>
      </c>
      <c r="I453" t="s">
        <v>448</v>
      </c>
      <c r="J453" t="s">
        <v>56</v>
      </c>
      <c r="L453" t="b">
        <f t="shared" si="49"/>
        <v>0</v>
      </c>
      <c r="M453" t="b">
        <f t="shared" si="50"/>
        <v>1</v>
      </c>
      <c r="N453" t="b">
        <f t="shared" si="51"/>
        <v>0</v>
      </c>
      <c r="O453" t="b">
        <f t="shared" si="52"/>
        <v>0</v>
      </c>
      <c r="P453">
        <f t="shared" si="53"/>
        <v>0</v>
      </c>
      <c r="Q453" t="b">
        <f t="shared" si="54"/>
        <v>1</v>
      </c>
      <c r="R453">
        <f t="shared" si="55"/>
        <v>0</v>
      </c>
    </row>
    <row r="454" spans="1:18" ht="19.5" x14ac:dyDescent="0.55000000000000004">
      <c r="A454" s="27"/>
      <c r="B454" s="31"/>
      <c r="C454" s="27"/>
      <c r="D454" s="26"/>
      <c r="E454" s="26"/>
      <c r="F454">
        <v>90463</v>
      </c>
      <c r="G454" t="s">
        <v>1471</v>
      </c>
      <c r="H454" t="s">
        <v>45</v>
      </c>
      <c r="I454" t="s">
        <v>448</v>
      </c>
      <c r="J454" t="s">
        <v>449</v>
      </c>
      <c r="L454" t="b">
        <f t="shared" si="49"/>
        <v>0</v>
      </c>
      <c r="M454" t="b">
        <f t="shared" si="50"/>
        <v>0</v>
      </c>
      <c r="N454" t="b">
        <f t="shared" si="51"/>
        <v>0</v>
      </c>
      <c r="O454" t="b">
        <f t="shared" si="52"/>
        <v>0</v>
      </c>
      <c r="P454">
        <f t="shared" si="53"/>
        <v>0</v>
      </c>
      <c r="Q454" t="b">
        <f t="shared" si="54"/>
        <v>1</v>
      </c>
      <c r="R454">
        <f t="shared" si="55"/>
        <v>0</v>
      </c>
    </row>
    <row r="455" spans="1:18" ht="19.5" x14ac:dyDescent="0.55000000000000004">
      <c r="A455" s="27"/>
      <c r="B455" s="31"/>
      <c r="C455" s="27"/>
      <c r="D455" s="26"/>
      <c r="E455" s="26"/>
      <c r="F455">
        <v>90462</v>
      </c>
      <c r="G455" t="s">
        <v>1475</v>
      </c>
      <c r="H455" t="s">
        <v>45</v>
      </c>
      <c r="I455" t="s">
        <v>448</v>
      </c>
      <c r="J455" t="s">
        <v>449</v>
      </c>
      <c r="L455" t="b">
        <f t="shared" si="49"/>
        <v>0</v>
      </c>
      <c r="M455" t="b">
        <f t="shared" si="50"/>
        <v>0</v>
      </c>
      <c r="N455" t="b">
        <f t="shared" si="51"/>
        <v>0</v>
      </c>
      <c r="O455" t="b">
        <f t="shared" si="52"/>
        <v>0</v>
      </c>
      <c r="P455">
        <f t="shared" si="53"/>
        <v>0</v>
      </c>
      <c r="Q455" t="b">
        <f t="shared" si="54"/>
        <v>1</v>
      </c>
      <c r="R455">
        <f t="shared" si="55"/>
        <v>0</v>
      </c>
    </row>
    <row r="456" spans="1:18" ht="19.5" x14ac:dyDescent="0.55000000000000004">
      <c r="A456" s="27"/>
      <c r="B456" s="31"/>
      <c r="C456" s="27"/>
      <c r="D456" s="26"/>
      <c r="E456" s="26"/>
      <c r="F456">
        <v>90461</v>
      </c>
      <c r="G456" t="s">
        <v>1477</v>
      </c>
      <c r="H456" t="s">
        <v>380</v>
      </c>
      <c r="I456" t="s">
        <v>46</v>
      </c>
      <c r="J456" t="s">
        <v>381</v>
      </c>
      <c r="L456" t="b">
        <f t="shared" si="49"/>
        <v>0</v>
      </c>
      <c r="M456" t="b">
        <f t="shared" si="50"/>
        <v>0</v>
      </c>
      <c r="N456" t="b">
        <f t="shared" si="51"/>
        <v>0</v>
      </c>
      <c r="O456" t="b">
        <f t="shared" si="52"/>
        <v>0</v>
      </c>
      <c r="P456">
        <f t="shared" si="53"/>
        <v>0</v>
      </c>
      <c r="Q456" t="b">
        <f t="shared" si="54"/>
        <v>1</v>
      </c>
      <c r="R456">
        <f t="shared" si="55"/>
        <v>0</v>
      </c>
    </row>
    <row r="457" spans="1:18" ht="19.5" x14ac:dyDescent="0.55000000000000004">
      <c r="A457" s="27"/>
      <c r="B457" s="31"/>
      <c r="C457" s="27"/>
      <c r="D457" s="26"/>
      <c r="E457" s="26"/>
      <c r="F457">
        <v>90460</v>
      </c>
      <c r="G457" t="s">
        <v>1480</v>
      </c>
      <c r="H457" t="s">
        <v>365</v>
      </c>
      <c r="I457" t="s">
        <v>46</v>
      </c>
      <c r="J457" t="s">
        <v>381</v>
      </c>
      <c r="L457" t="b">
        <f t="shared" si="49"/>
        <v>0</v>
      </c>
      <c r="M457" t="b">
        <f t="shared" si="50"/>
        <v>1</v>
      </c>
      <c r="N457" t="b">
        <f t="shared" si="51"/>
        <v>0</v>
      </c>
      <c r="O457" t="b">
        <f t="shared" si="52"/>
        <v>0</v>
      </c>
      <c r="P457">
        <f t="shared" si="53"/>
        <v>0</v>
      </c>
      <c r="Q457" t="b">
        <f t="shared" si="54"/>
        <v>1</v>
      </c>
      <c r="R457">
        <f t="shared" si="55"/>
        <v>0</v>
      </c>
    </row>
    <row r="458" spans="1:18" ht="19.5" x14ac:dyDescent="0.55000000000000004">
      <c r="A458" s="27"/>
      <c r="B458" s="31"/>
      <c r="C458" s="27"/>
      <c r="D458" s="26"/>
      <c r="E458" s="26"/>
      <c r="F458">
        <v>90459</v>
      </c>
      <c r="G458" t="s">
        <v>1483</v>
      </c>
      <c r="H458" t="s">
        <v>365</v>
      </c>
      <c r="I458" t="s">
        <v>46</v>
      </c>
      <c r="J458" t="s">
        <v>47</v>
      </c>
      <c r="L458" t="b">
        <f t="shared" si="49"/>
        <v>0</v>
      </c>
      <c r="M458" t="b">
        <f t="shared" si="50"/>
        <v>1</v>
      </c>
      <c r="N458" t="b">
        <f t="shared" si="51"/>
        <v>0</v>
      </c>
      <c r="O458" t="b">
        <f t="shared" si="52"/>
        <v>0</v>
      </c>
      <c r="P458">
        <f t="shared" si="53"/>
        <v>0</v>
      </c>
      <c r="Q458" t="b">
        <f t="shared" si="54"/>
        <v>1</v>
      </c>
      <c r="R458">
        <f t="shared" si="55"/>
        <v>0</v>
      </c>
    </row>
    <row r="459" spans="1:18" ht="19.5" x14ac:dyDescent="0.55000000000000004">
      <c r="A459" s="27"/>
      <c r="B459" s="31"/>
      <c r="C459" s="27"/>
      <c r="D459" s="26"/>
      <c r="E459" s="26"/>
      <c r="F459">
        <v>90458</v>
      </c>
      <c r="G459" t="s">
        <v>1485</v>
      </c>
      <c r="H459" t="s">
        <v>111</v>
      </c>
      <c r="I459" t="s">
        <v>388</v>
      </c>
      <c r="J459" t="s">
        <v>1486</v>
      </c>
      <c r="L459" t="b">
        <f t="shared" si="49"/>
        <v>0</v>
      </c>
      <c r="M459" t="b">
        <f t="shared" si="50"/>
        <v>0</v>
      </c>
      <c r="N459" t="b">
        <f t="shared" si="51"/>
        <v>0</v>
      </c>
      <c r="O459" t="b">
        <f t="shared" si="52"/>
        <v>0</v>
      </c>
      <c r="P459">
        <f t="shared" si="53"/>
        <v>0</v>
      </c>
      <c r="Q459" t="b">
        <f t="shared" si="54"/>
        <v>1</v>
      </c>
      <c r="R459">
        <f t="shared" si="55"/>
        <v>0</v>
      </c>
    </row>
    <row r="460" spans="1:18" ht="19.5" x14ac:dyDescent="0.55000000000000004">
      <c r="A460" s="27"/>
      <c r="B460" s="31"/>
      <c r="C460" s="27"/>
      <c r="D460" s="26"/>
      <c r="E460" s="26"/>
      <c r="F460">
        <v>90457</v>
      </c>
      <c r="G460" t="s">
        <v>1489</v>
      </c>
      <c r="H460" t="s">
        <v>111</v>
      </c>
      <c r="I460" t="s">
        <v>388</v>
      </c>
      <c r="J460" t="s">
        <v>1486</v>
      </c>
      <c r="L460" t="b">
        <f t="shared" si="49"/>
        <v>0</v>
      </c>
      <c r="M460" t="b">
        <f t="shared" si="50"/>
        <v>0</v>
      </c>
      <c r="N460" t="b">
        <f t="shared" si="51"/>
        <v>0</v>
      </c>
      <c r="O460" t="b">
        <f t="shared" si="52"/>
        <v>0</v>
      </c>
      <c r="P460">
        <f t="shared" si="53"/>
        <v>0</v>
      </c>
      <c r="Q460" t="b">
        <f t="shared" si="54"/>
        <v>1</v>
      </c>
      <c r="R460">
        <f t="shared" si="55"/>
        <v>0</v>
      </c>
    </row>
    <row r="461" spans="1:18" ht="19.5" x14ac:dyDescent="0.55000000000000004">
      <c r="A461" s="27"/>
      <c r="B461" s="31"/>
      <c r="C461" s="27"/>
      <c r="D461" s="26"/>
      <c r="E461" s="26"/>
      <c r="F461">
        <v>90456</v>
      </c>
      <c r="G461" t="s">
        <v>1492</v>
      </c>
      <c r="H461" t="s">
        <v>111</v>
      </c>
      <c r="I461" t="s">
        <v>388</v>
      </c>
      <c r="J461" t="s">
        <v>1493</v>
      </c>
      <c r="L461" t="b">
        <f t="shared" si="49"/>
        <v>0</v>
      </c>
      <c r="M461" t="b">
        <f t="shared" si="50"/>
        <v>0</v>
      </c>
      <c r="N461" t="b">
        <f t="shared" si="51"/>
        <v>0</v>
      </c>
      <c r="O461" t="b">
        <f t="shared" si="52"/>
        <v>0</v>
      </c>
      <c r="P461">
        <f t="shared" si="53"/>
        <v>0</v>
      </c>
      <c r="Q461" t="b">
        <f t="shared" si="54"/>
        <v>1</v>
      </c>
      <c r="R461">
        <f t="shared" si="55"/>
        <v>0</v>
      </c>
    </row>
    <row r="462" spans="1:18" ht="19.5" x14ac:dyDescent="0.55000000000000004">
      <c r="A462" s="27"/>
      <c r="B462" s="31"/>
      <c r="C462" s="27"/>
      <c r="D462" s="26"/>
      <c r="E462" s="26"/>
      <c r="F462">
        <v>90454</v>
      </c>
      <c r="G462" t="s">
        <v>1496</v>
      </c>
      <c r="H462" t="s">
        <v>111</v>
      </c>
      <c r="I462" t="s">
        <v>388</v>
      </c>
      <c r="J462" t="s">
        <v>1493</v>
      </c>
      <c r="L462" t="b">
        <f t="shared" si="49"/>
        <v>0</v>
      </c>
      <c r="M462" t="b">
        <f t="shared" si="50"/>
        <v>0</v>
      </c>
      <c r="N462" t="b">
        <f t="shared" si="51"/>
        <v>0</v>
      </c>
      <c r="O462" t="b">
        <f t="shared" si="52"/>
        <v>0</v>
      </c>
      <c r="P462">
        <f t="shared" si="53"/>
        <v>0</v>
      </c>
      <c r="Q462" t="b">
        <f t="shared" si="54"/>
        <v>1</v>
      </c>
      <c r="R462">
        <f t="shared" si="55"/>
        <v>0</v>
      </c>
    </row>
    <row r="463" spans="1:18" ht="19.5" x14ac:dyDescent="0.55000000000000004">
      <c r="A463" s="27"/>
      <c r="B463" s="31"/>
      <c r="C463" s="27"/>
      <c r="D463" s="26"/>
      <c r="E463" s="26"/>
      <c r="F463">
        <v>90453</v>
      </c>
      <c r="G463" t="s">
        <v>1499</v>
      </c>
      <c r="H463" t="s">
        <v>111</v>
      </c>
      <c r="I463" t="s">
        <v>388</v>
      </c>
      <c r="J463" t="s">
        <v>1493</v>
      </c>
      <c r="L463" t="b">
        <f t="shared" si="49"/>
        <v>0</v>
      </c>
      <c r="M463" t="b">
        <f t="shared" si="50"/>
        <v>0</v>
      </c>
      <c r="N463" t="b">
        <f t="shared" si="51"/>
        <v>0</v>
      </c>
      <c r="O463" t="b">
        <f t="shared" si="52"/>
        <v>0</v>
      </c>
      <c r="P463">
        <f t="shared" si="53"/>
        <v>0</v>
      </c>
      <c r="Q463" t="b">
        <f t="shared" si="54"/>
        <v>1</v>
      </c>
      <c r="R463">
        <f t="shared" si="55"/>
        <v>0</v>
      </c>
    </row>
    <row r="464" spans="1:18" ht="19.5" x14ac:dyDescent="0.55000000000000004">
      <c r="A464" s="27"/>
      <c r="B464" s="31"/>
      <c r="C464" s="27"/>
      <c r="D464" s="26"/>
      <c r="E464" s="26"/>
      <c r="F464">
        <v>90452</v>
      </c>
      <c r="G464" t="s">
        <v>1502</v>
      </c>
      <c r="H464" t="s">
        <v>580</v>
      </c>
      <c r="I464" t="s">
        <v>388</v>
      </c>
      <c r="J464" t="s">
        <v>1493</v>
      </c>
      <c r="L464" t="b">
        <f t="shared" si="49"/>
        <v>0</v>
      </c>
      <c r="M464" t="b">
        <f t="shared" si="50"/>
        <v>0</v>
      </c>
      <c r="N464" t="b">
        <f t="shared" si="51"/>
        <v>0</v>
      </c>
      <c r="O464" t="b">
        <f t="shared" si="52"/>
        <v>0</v>
      </c>
      <c r="P464">
        <f t="shared" si="53"/>
        <v>0</v>
      </c>
      <c r="Q464" t="b">
        <f t="shared" si="54"/>
        <v>1</v>
      </c>
      <c r="R464">
        <f t="shared" si="55"/>
        <v>0</v>
      </c>
    </row>
    <row r="465" spans="1:18" ht="19.5" x14ac:dyDescent="0.55000000000000004">
      <c r="A465" s="27"/>
      <c r="B465" s="31"/>
      <c r="C465" s="27"/>
      <c r="D465" s="26"/>
      <c r="E465" s="26"/>
      <c r="F465">
        <v>90451</v>
      </c>
      <c r="G465" t="s">
        <v>1505</v>
      </c>
      <c r="H465" t="s">
        <v>580</v>
      </c>
      <c r="I465" t="s">
        <v>388</v>
      </c>
      <c r="J465" t="s">
        <v>1493</v>
      </c>
      <c r="L465" t="b">
        <f t="shared" si="49"/>
        <v>0</v>
      </c>
      <c r="M465" t="b">
        <f t="shared" si="50"/>
        <v>0</v>
      </c>
      <c r="N465" t="b">
        <f t="shared" si="51"/>
        <v>0</v>
      </c>
      <c r="O465" t="b">
        <f t="shared" si="52"/>
        <v>0</v>
      </c>
      <c r="P465">
        <f t="shared" si="53"/>
        <v>0</v>
      </c>
      <c r="Q465" t="b">
        <f t="shared" si="54"/>
        <v>1</v>
      </c>
      <c r="R465">
        <f t="shared" si="55"/>
        <v>0</v>
      </c>
    </row>
    <row r="466" spans="1:18" ht="19.5" x14ac:dyDescent="0.55000000000000004">
      <c r="A466" s="27"/>
      <c r="B466" s="31"/>
      <c r="C466" s="27"/>
      <c r="D466" s="26"/>
      <c r="E466" s="26"/>
      <c r="F466">
        <v>90450</v>
      </c>
      <c r="G466" t="s">
        <v>1508</v>
      </c>
      <c r="H466" t="s">
        <v>111</v>
      </c>
      <c r="I466" t="s">
        <v>388</v>
      </c>
      <c r="J466" t="s">
        <v>1493</v>
      </c>
      <c r="L466" t="b">
        <f t="shared" si="49"/>
        <v>0</v>
      </c>
      <c r="M466" t="b">
        <f t="shared" si="50"/>
        <v>0</v>
      </c>
      <c r="N466" t="b">
        <f t="shared" si="51"/>
        <v>0</v>
      </c>
      <c r="O466" t="b">
        <f t="shared" si="52"/>
        <v>0</v>
      </c>
      <c r="P466">
        <f t="shared" si="53"/>
        <v>0</v>
      </c>
      <c r="Q466" t="b">
        <f t="shared" si="54"/>
        <v>1</v>
      </c>
      <c r="R466">
        <f t="shared" si="55"/>
        <v>0</v>
      </c>
    </row>
    <row r="467" spans="1:18" ht="19.5" x14ac:dyDescent="0.55000000000000004">
      <c r="A467" s="27"/>
      <c r="B467" s="31"/>
      <c r="C467" s="27"/>
      <c r="D467" s="26"/>
      <c r="E467" s="26"/>
      <c r="F467">
        <v>90449</v>
      </c>
      <c r="G467" t="s">
        <v>1511</v>
      </c>
      <c r="H467" t="s">
        <v>580</v>
      </c>
      <c r="I467" t="s">
        <v>388</v>
      </c>
      <c r="J467" t="s">
        <v>1512</v>
      </c>
      <c r="L467" t="b">
        <f t="shared" si="49"/>
        <v>0</v>
      </c>
      <c r="M467" t="b">
        <f t="shared" si="50"/>
        <v>0</v>
      </c>
      <c r="N467" t="b">
        <f t="shared" si="51"/>
        <v>0</v>
      </c>
      <c r="O467" t="b">
        <f t="shared" si="52"/>
        <v>0</v>
      </c>
      <c r="P467">
        <f t="shared" si="53"/>
        <v>0</v>
      </c>
      <c r="Q467" t="b">
        <f t="shared" si="54"/>
        <v>1</v>
      </c>
      <c r="R467">
        <f t="shared" si="55"/>
        <v>0</v>
      </c>
    </row>
    <row r="468" spans="1:18" ht="19.5" x14ac:dyDescent="0.55000000000000004">
      <c r="A468" s="27"/>
      <c r="B468" s="31"/>
      <c r="C468" s="27"/>
      <c r="D468" s="26"/>
      <c r="E468" s="26"/>
      <c r="F468">
        <v>90448</v>
      </c>
      <c r="G468" t="s">
        <v>1515</v>
      </c>
      <c r="H468" t="s">
        <v>580</v>
      </c>
      <c r="I468" t="s">
        <v>388</v>
      </c>
      <c r="J468" t="s">
        <v>1512</v>
      </c>
      <c r="L468" t="b">
        <f t="shared" si="49"/>
        <v>0</v>
      </c>
      <c r="M468" t="b">
        <f t="shared" si="50"/>
        <v>0</v>
      </c>
      <c r="N468" t="b">
        <f t="shared" si="51"/>
        <v>0</v>
      </c>
      <c r="O468" t="b">
        <f t="shared" si="52"/>
        <v>0</v>
      </c>
      <c r="P468">
        <f t="shared" si="53"/>
        <v>0</v>
      </c>
      <c r="Q468" t="b">
        <f t="shared" si="54"/>
        <v>1</v>
      </c>
      <c r="R468">
        <f t="shared" si="55"/>
        <v>0</v>
      </c>
    </row>
    <row r="469" spans="1:18" ht="19.5" x14ac:dyDescent="0.55000000000000004">
      <c r="A469" s="27"/>
      <c r="B469" s="31"/>
      <c r="C469" s="27"/>
      <c r="D469" s="26"/>
      <c r="E469" s="26"/>
      <c r="F469">
        <v>90447</v>
      </c>
      <c r="G469" t="s">
        <v>1518</v>
      </c>
      <c r="H469" t="s">
        <v>580</v>
      </c>
      <c r="I469" t="s">
        <v>388</v>
      </c>
      <c r="J469" t="s">
        <v>1512</v>
      </c>
      <c r="L469" t="b">
        <f t="shared" si="49"/>
        <v>0</v>
      </c>
      <c r="M469" t="b">
        <f t="shared" si="50"/>
        <v>0</v>
      </c>
      <c r="N469" t="b">
        <f t="shared" si="51"/>
        <v>0</v>
      </c>
      <c r="O469" t="b">
        <f t="shared" si="52"/>
        <v>0</v>
      </c>
      <c r="P469">
        <f t="shared" si="53"/>
        <v>0</v>
      </c>
      <c r="Q469" t="b">
        <f t="shared" si="54"/>
        <v>1</v>
      </c>
      <c r="R469">
        <f t="shared" si="55"/>
        <v>0</v>
      </c>
    </row>
    <row r="470" spans="1:18" ht="19.5" x14ac:dyDescent="0.55000000000000004">
      <c r="A470" s="27"/>
      <c r="B470" s="31"/>
      <c r="C470" s="27"/>
      <c r="D470" s="26"/>
      <c r="E470" s="26"/>
      <c r="F470">
        <v>90446</v>
      </c>
      <c r="G470" t="s">
        <v>1521</v>
      </c>
      <c r="H470" t="s">
        <v>580</v>
      </c>
      <c r="I470" t="s">
        <v>388</v>
      </c>
      <c r="J470" t="s">
        <v>1512</v>
      </c>
      <c r="L470" t="b">
        <f t="shared" si="49"/>
        <v>0</v>
      </c>
      <c r="M470" t="b">
        <f t="shared" si="50"/>
        <v>0</v>
      </c>
      <c r="N470" t="b">
        <f t="shared" si="51"/>
        <v>0</v>
      </c>
      <c r="O470" t="b">
        <f t="shared" si="52"/>
        <v>0</v>
      </c>
      <c r="P470">
        <f t="shared" si="53"/>
        <v>0</v>
      </c>
      <c r="Q470" t="b">
        <f t="shared" si="54"/>
        <v>1</v>
      </c>
      <c r="R470">
        <f t="shared" si="55"/>
        <v>0</v>
      </c>
    </row>
    <row r="471" spans="1:18" ht="19.5" x14ac:dyDescent="0.55000000000000004">
      <c r="A471" s="27"/>
      <c r="B471" s="31"/>
      <c r="C471" s="27"/>
      <c r="D471" s="26"/>
      <c r="E471" s="26"/>
      <c r="F471">
        <v>90445</v>
      </c>
      <c r="G471" t="s">
        <v>1524</v>
      </c>
      <c r="H471" t="s">
        <v>111</v>
      </c>
      <c r="I471" t="s">
        <v>388</v>
      </c>
      <c r="J471" t="s">
        <v>1512</v>
      </c>
      <c r="L471" t="b">
        <f t="shared" si="49"/>
        <v>0</v>
      </c>
      <c r="M471" t="b">
        <f t="shared" si="50"/>
        <v>0</v>
      </c>
      <c r="N471" t="b">
        <f t="shared" si="51"/>
        <v>0</v>
      </c>
      <c r="O471" t="b">
        <f t="shared" si="52"/>
        <v>0</v>
      </c>
      <c r="P471">
        <f t="shared" si="53"/>
        <v>0</v>
      </c>
      <c r="Q471" t="b">
        <f t="shared" si="54"/>
        <v>1</v>
      </c>
      <c r="R471">
        <f t="shared" si="55"/>
        <v>0</v>
      </c>
    </row>
    <row r="472" spans="1:18" ht="19.5" x14ac:dyDescent="0.55000000000000004">
      <c r="A472" s="27"/>
      <c r="B472" s="31"/>
      <c r="C472" s="27"/>
      <c r="D472" s="26"/>
      <c r="E472" s="26"/>
      <c r="F472">
        <v>90444</v>
      </c>
      <c r="G472" t="s">
        <v>1527</v>
      </c>
      <c r="H472" t="s">
        <v>111</v>
      </c>
      <c r="I472" t="s">
        <v>388</v>
      </c>
      <c r="J472" t="s">
        <v>1512</v>
      </c>
      <c r="L472" t="b">
        <f t="shared" si="49"/>
        <v>0</v>
      </c>
      <c r="M472" t="b">
        <f t="shared" si="50"/>
        <v>0</v>
      </c>
      <c r="N472" t="b">
        <f t="shared" si="51"/>
        <v>0</v>
      </c>
      <c r="O472" t="b">
        <f t="shared" si="52"/>
        <v>0</v>
      </c>
      <c r="P472">
        <f t="shared" si="53"/>
        <v>0</v>
      </c>
      <c r="Q472" t="b">
        <f t="shared" si="54"/>
        <v>1</v>
      </c>
      <c r="R472">
        <f t="shared" si="55"/>
        <v>0</v>
      </c>
    </row>
    <row r="473" spans="1:18" ht="19.5" x14ac:dyDescent="0.55000000000000004">
      <c r="A473" s="27"/>
      <c r="B473" s="31"/>
      <c r="C473" s="27"/>
      <c r="D473" s="26"/>
      <c r="E473" s="26"/>
      <c r="F473">
        <v>90443</v>
      </c>
      <c r="G473" t="s">
        <v>1530</v>
      </c>
      <c r="H473" t="s">
        <v>111</v>
      </c>
      <c r="I473" t="s">
        <v>388</v>
      </c>
      <c r="J473" t="s">
        <v>1512</v>
      </c>
      <c r="L473" t="b">
        <f t="shared" si="49"/>
        <v>0</v>
      </c>
      <c r="M473" t="b">
        <f t="shared" si="50"/>
        <v>0</v>
      </c>
      <c r="N473" t="b">
        <f t="shared" si="51"/>
        <v>0</v>
      </c>
      <c r="O473" t="b">
        <f t="shared" si="52"/>
        <v>0</v>
      </c>
      <c r="P473">
        <f t="shared" si="53"/>
        <v>0</v>
      </c>
      <c r="Q473" t="b">
        <f t="shared" si="54"/>
        <v>1</v>
      </c>
      <c r="R473">
        <f t="shared" si="55"/>
        <v>0</v>
      </c>
    </row>
    <row r="474" spans="1:18" ht="19.5" x14ac:dyDescent="0.55000000000000004">
      <c r="A474" s="27"/>
      <c r="B474" s="31"/>
      <c r="C474" s="27"/>
      <c r="D474" s="26"/>
      <c r="E474" s="26"/>
      <c r="F474">
        <v>90442</v>
      </c>
      <c r="G474" t="s">
        <v>1533</v>
      </c>
      <c r="H474" t="s">
        <v>111</v>
      </c>
      <c r="I474" t="s">
        <v>388</v>
      </c>
      <c r="J474" t="s">
        <v>1512</v>
      </c>
      <c r="L474" t="b">
        <f t="shared" si="49"/>
        <v>0</v>
      </c>
      <c r="M474" t="b">
        <f t="shared" si="50"/>
        <v>0</v>
      </c>
      <c r="N474" t="b">
        <f t="shared" si="51"/>
        <v>0</v>
      </c>
      <c r="O474" t="b">
        <f t="shared" si="52"/>
        <v>0</v>
      </c>
      <c r="P474">
        <f t="shared" si="53"/>
        <v>0</v>
      </c>
      <c r="Q474" t="b">
        <f t="shared" si="54"/>
        <v>1</v>
      </c>
      <c r="R474">
        <f t="shared" si="55"/>
        <v>0</v>
      </c>
    </row>
    <row r="475" spans="1:18" ht="19.5" x14ac:dyDescent="0.55000000000000004">
      <c r="A475" s="27"/>
      <c r="B475" s="31"/>
      <c r="C475" s="27"/>
      <c r="D475" s="26"/>
      <c r="E475" s="26"/>
      <c r="F475">
        <v>90441</v>
      </c>
      <c r="G475" t="s">
        <v>1536</v>
      </c>
      <c r="H475" t="s">
        <v>580</v>
      </c>
      <c r="I475" t="s">
        <v>573</v>
      </c>
      <c r="J475" t="s">
        <v>1537</v>
      </c>
      <c r="L475" t="b">
        <f t="shared" si="49"/>
        <v>0</v>
      </c>
      <c r="M475" t="b">
        <f t="shared" si="50"/>
        <v>0</v>
      </c>
      <c r="N475" t="b">
        <f t="shared" si="51"/>
        <v>0</v>
      </c>
      <c r="O475" t="b">
        <f t="shared" si="52"/>
        <v>0</v>
      </c>
      <c r="P475">
        <f t="shared" si="53"/>
        <v>0</v>
      </c>
      <c r="Q475" t="b">
        <f t="shared" si="54"/>
        <v>1</v>
      </c>
      <c r="R475">
        <f t="shared" si="55"/>
        <v>0</v>
      </c>
    </row>
    <row r="476" spans="1:18" ht="19.5" x14ac:dyDescent="0.55000000000000004">
      <c r="A476" s="27"/>
      <c r="B476" s="31"/>
      <c r="C476" s="27"/>
      <c r="D476" s="26"/>
      <c r="E476" s="26"/>
      <c r="F476">
        <v>90440</v>
      </c>
      <c r="G476" t="s">
        <v>1540</v>
      </c>
      <c r="H476" t="s">
        <v>54</v>
      </c>
      <c r="I476" t="s">
        <v>573</v>
      </c>
      <c r="J476" t="s">
        <v>1537</v>
      </c>
      <c r="L476" t="b">
        <f t="shared" si="49"/>
        <v>0</v>
      </c>
      <c r="M476" t="b">
        <f t="shared" si="50"/>
        <v>0</v>
      </c>
      <c r="N476" t="b">
        <f t="shared" si="51"/>
        <v>0</v>
      </c>
      <c r="O476" t="b">
        <f t="shared" si="52"/>
        <v>0</v>
      </c>
      <c r="P476">
        <f t="shared" si="53"/>
        <v>0</v>
      </c>
      <c r="Q476" t="b">
        <f t="shared" si="54"/>
        <v>1</v>
      </c>
      <c r="R476">
        <f t="shared" si="55"/>
        <v>0</v>
      </c>
    </row>
    <row r="477" spans="1:18" ht="19.5" x14ac:dyDescent="0.55000000000000004">
      <c r="A477" s="27"/>
      <c r="B477" s="31"/>
      <c r="C477" s="27"/>
      <c r="D477" s="26"/>
      <c r="E477" s="26"/>
      <c r="F477">
        <v>90439</v>
      </c>
      <c r="G477" t="s">
        <v>1543</v>
      </c>
      <c r="H477" t="s">
        <v>54</v>
      </c>
      <c r="I477" t="s">
        <v>573</v>
      </c>
      <c r="J477" t="s">
        <v>1537</v>
      </c>
      <c r="L477" t="b">
        <f t="shared" si="49"/>
        <v>0</v>
      </c>
      <c r="M477" t="b">
        <f t="shared" si="50"/>
        <v>0</v>
      </c>
      <c r="N477" t="b">
        <f t="shared" si="51"/>
        <v>0</v>
      </c>
      <c r="O477" t="b">
        <f t="shared" si="52"/>
        <v>0</v>
      </c>
      <c r="P477">
        <f t="shared" si="53"/>
        <v>0</v>
      </c>
      <c r="Q477" t="b">
        <f t="shared" si="54"/>
        <v>1</v>
      </c>
      <c r="R477">
        <f t="shared" si="55"/>
        <v>0</v>
      </c>
    </row>
    <row r="478" spans="1:18" ht="19.5" x14ac:dyDescent="0.55000000000000004">
      <c r="A478" s="27"/>
      <c r="B478" s="31"/>
      <c r="C478" s="27"/>
      <c r="D478" s="26"/>
      <c r="E478" s="26"/>
      <c r="F478">
        <v>90438</v>
      </c>
      <c r="G478" t="s">
        <v>1546</v>
      </c>
      <c r="H478" t="s">
        <v>580</v>
      </c>
      <c r="I478" t="s">
        <v>573</v>
      </c>
      <c r="J478" t="s">
        <v>625</v>
      </c>
      <c r="L478" t="b">
        <f t="shared" si="49"/>
        <v>0</v>
      </c>
      <c r="M478" t="b">
        <f t="shared" si="50"/>
        <v>0</v>
      </c>
      <c r="N478" t="b">
        <f t="shared" si="51"/>
        <v>0</v>
      </c>
      <c r="O478" t="b">
        <f t="shared" si="52"/>
        <v>0</v>
      </c>
      <c r="P478">
        <f t="shared" si="53"/>
        <v>0</v>
      </c>
      <c r="Q478" t="b">
        <f t="shared" si="54"/>
        <v>1</v>
      </c>
      <c r="R478">
        <f t="shared" si="55"/>
        <v>0</v>
      </c>
    </row>
    <row r="479" spans="1:18" ht="19.5" x14ac:dyDescent="0.55000000000000004">
      <c r="A479" s="27"/>
      <c r="B479" s="31"/>
      <c r="C479" s="27"/>
      <c r="D479" s="26"/>
      <c r="E479" s="26"/>
      <c r="F479">
        <v>90437</v>
      </c>
      <c r="G479" t="s">
        <v>1551</v>
      </c>
      <c r="H479" t="s">
        <v>580</v>
      </c>
      <c r="I479" t="s">
        <v>573</v>
      </c>
      <c r="J479" t="s">
        <v>625</v>
      </c>
      <c r="L479" t="b">
        <f t="shared" si="49"/>
        <v>0</v>
      </c>
      <c r="M479" t="b">
        <f t="shared" si="50"/>
        <v>0</v>
      </c>
      <c r="N479" t="b">
        <f t="shared" si="51"/>
        <v>0</v>
      </c>
      <c r="O479" t="b">
        <f t="shared" si="52"/>
        <v>0</v>
      </c>
      <c r="P479">
        <f t="shared" si="53"/>
        <v>0</v>
      </c>
      <c r="Q479" t="b">
        <f t="shared" si="54"/>
        <v>1</v>
      </c>
      <c r="R479">
        <f t="shared" si="55"/>
        <v>0</v>
      </c>
    </row>
    <row r="480" spans="1:18" ht="19.5" x14ac:dyDescent="0.55000000000000004">
      <c r="A480" s="27"/>
      <c r="B480" s="31"/>
      <c r="C480" s="27"/>
      <c r="D480" s="26"/>
      <c r="E480" s="26"/>
      <c r="F480">
        <v>90436</v>
      </c>
      <c r="G480" t="s">
        <v>1554</v>
      </c>
      <c r="H480" t="s">
        <v>54</v>
      </c>
      <c r="I480" t="s">
        <v>525</v>
      </c>
      <c r="J480" t="s">
        <v>1555</v>
      </c>
      <c r="L480" t="b">
        <f t="shared" si="49"/>
        <v>0</v>
      </c>
      <c r="M480" t="b">
        <f t="shared" si="50"/>
        <v>0</v>
      </c>
      <c r="N480" t="b">
        <f t="shared" si="51"/>
        <v>0</v>
      </c>
      <c r="O480" t="b">
        <f t="shared" si="52"/>
        <v>0</v>
      </c>
      <c r="P480">
        <f t="shared" si="53"/>
        <v>0</v>
      </c>
      <c r="Q480" t="b">
        <f t="shared" si="54"/>
        <v>1</v>
      </c>
      <c r="R480">
        <f t="shared" si="55"/>
        <v>0</v>
      </c>
    </row>
    <row r="481" spans="1:18" ht="19.5" x14ac:dyDescent="0.55000000000000004">
      <c r="A481" s="27"/>
      <c r="B481" s="31"/>
      <c r="C481" s="27"/>
      <c r="D481" s="26"/>
      <c r="E481" s="26"/>
      <c r="F481">
        <v>90435</v>
      </c>
      <c r="G481" t="s">
        <v>1558</v>
      </c>
      <c r="H481" t="s">
        <v>111</v>
      </c>
      <c r="I481" t="s">
        <v>525</v>
      </c>
      <c r="J481" t="s">
        <v>1559</v>
      </c>
      <c r="L481" t="b">
        <f t="shared" si="49"/>
        <v>0</v>
      </c>
      <c r="M481" t="b">
        <f t="shared" si="50"/>
        <v>0</v>
      </c>
      <c r="N481" t="b">
        <f t="shared" si="51"/>
        <v>0</v>
      </c>
      <c r="O481" t="b">
        <f t="shared" si="52"/>
        <v>0</v>
      </c>
      <c r="P481">
        <f t="shared" si="53"/>
        <v>0</v>
      </c>
      <c r="Q481" t="b">
        <f t="shared" si="54"/>
        <v>1</v>
      </c>
      <c r="R481">
        <f t="shared" si="55"/>
        <v>0</v>
      </c>
    </row>
    <row r="482" spans="1:18" ht="19.5" x14ac:dyDescent="0.55000000000000004">
      <c r="A482" s="27"/>
      <c r="B482" s="31"/>
      <c r="C482" s="27"/>
      <c r="D482" s="26"/>
      <c r="E482" s="26"/>
      <c r="F482">
        <v>90434</v>
      </c>
      <c r="G482" t="s">
        <v>1562</v>
      </c>
      <c r="H482" t="s">
        <v>54</v>
      </c>
      <c r="I482" t="s">
        <v>419</v>
      </c>
      <c r="J482" t="s">
        <v>1563</v>
      </c>
      <c r="L482" t="b">
        <f t="shared" si="49"/>
        <v>0</v>
      </c>
      <c r="M482" t="b">
        <f t="shared" si="50"/>
        <v>0</v>
      </c>
      <c r="N482" t="b">
        <f t="shared" si="51"/>
        <v>0</v>
      </c>
      <c r="O482" t="b">
        <f t="shared" si="52"/>
        <v>0</v>
      </c>
      <c r="P482">
        <f t="shared" si="53"/>
        <v>0</v>
      </c>
      <c r="Q482" t="b">
        <f t="shared" si="54"/>
        <v>1</v>
      </c>
      <c r="R482">
        <f t="shared" si="55"/>
        <v>0</v>
      </c>
    </row>
    <row r="483" spans="1:18" ht="19.5" x14ac:dyDescent="0.55000000000000004">
      <c r="A483" s="27"/>
      <c r="B483" s="31"/>
      <c r="C483" s="27"/>
      <c r="D483" s="26"/>
      <c r="E483" s="26"/>
      <c r="F483">
        <v>90433</v>
      </c>
      <c r="G483" t="s">
        <v>1566</v>
      </c>
      <c r="H483" t="s">
        <v>54</v>
      </c>
      <c r="I483" t="s">
        <v>419</v>
      </c>
      <c r="J483" t="s">
        <v>559</v>
      </c>
      <c r="L483" t="b">
        <f t="shared" si="49"/>
        <v>0</v>
      </c>
      <c r="M483" t="b">
        <f t="shared" si="50"/>
        <v>0</v>
      </c>
      <c r="N483" t="b">
        <f t="shared" si="51"/>
        <v>0</v>
      </c>
      <c r="O483" t="b">
        <f t="shared" si="52"/>
        <v>0</v>
      </c>
      <c r="P483">
        <f t="shared" si="53"/>
        <v>0</v>
      </c>
      <c r="Q483" t="b">
        <f t="shared" si="54"/>
        <v>1</v>
      </c>
      <c r="R483">
        <f t="shared" si="55"/>
        <v>0</v>
      </c>
    </row>
    <row r="484" spans="1:18" ht="19.5" x14ac:dyDescent="0.55000000000000004">
      <c r="A484" s="27"/>
      <c r="B484" s="31"/>
      <c r="C484" s="27"/>
      <c r="D484" s="26"/>
      <c r="E484" s="26"/>
      <c r="F484">
        <v>90432</v>
      </c>
      <c r="G484" t="s">
        <v>1569</v>
      </c>
      <c r="H484" t="s">
        <v>54</v>
      </c>
      <c r="I484" t="s">
        <v>419</v>
      </c>
      <c r="J484" t="s">
        <v>1570</v>
      </c>
      <c r="L484" t="b">
        <f t="shared" si="49"/>
        <v>0</v>
      </c>
      <c r="M484" t="b">
        <f t="shared" si="50"/>
        <v>0</v>
      </c>
      <c r="N484" t="b">
        <f t="shared" si="51"/>
        <v>0</v>
      </c>
      <c r="O484" t="b">
        <f t="shared" si="52"/>
        <v>0</v>
      </c>
      <c r="P484">
        <f t="shared" si="53"/>
        <v>0</v>
      </c>
      <c r="Q484" t="b">
        <f t="shared" si="54"/>
        <v>1</v>
      </c>
      <c r="R484">
        <f t="shared" si="55"/>
        <v>0</v>
      </c>
    </row>
    <row r="485" spans="1:18" ht="19.5" x14ac:dyDescent="0.55000000000000004">
      <c r="A485" s="27"/>
      <c r="B485" s="31"/>
      <c r="C485" s="27"/>
      <c r="D485" s="26"/>
      <c r="E485" s="26"/>
      <c r="F485">
        <v>90431</v>
      </c>
      <c r="G485" t="s">
        <v>1573</v>
      </c>
      <c r="H485" t="s">
        <v>54</v>
      </c>
      <c r="I485" t="s">
        <v>419</v>
      </c>
      <c r="J485" t="s">
        <v>1570</v>
      </c>
      <c r="L485" t="b">
        <f t="shared" si="49"/>
        <v>0</v>
      </c>
      <c r="M485" t="b">
        <f t="shared" si="50"/>
        <v>0</v>
      </c>
      <c r="N485" t="b">
        <f t="shared" si="51"/>
        <v>0</v>
      </c>
      <c r="O485" t="b">
        <f t="shared" si="52"/>
        <v>0</v>
      </c>
      <c r="P485">
        <f t="shared" si="53"/>
        <v>0</v>
      </c>
      <c r="Q485" t="b">
        <f t="shared" si="54"/>
        <v>1</v>
      </c>
      <c r="R485">
        <f t="shared" si="55"/>
        <v>0</v>
      </c>
    </row>
    <row r="486" spans="1:18" ht="19.5" x14ac:dyDescent="0.55000000000000004">
      <c r="A486" s="27"/>
      <c r="B486" s="31"/>
      <c r="C486" s="27"/>
      <c r="D486" s="26"/>
      <c r="E486" s="26"/>
      <c r="F486">
        <v>90430</v>
      </c>
      <c r="G486" t="s">
        <v>1576</v>
      </c>
      <c r="H486" t="s">
        <v>54</v>
      </c>
      <c r="I486" t="s">
        <v>419</v>
      </c>
      <c r="J486" t="s">
        <v>1570</v>
      </c>
      <c r="L486" t="b">
        <f t="shared" si="49"/>
        <v>0</v>
      </c>
      <c r="M486" t="b">
        <f t="shared" si="50"/>
        <v>0</v>
      </c>
      <c r="N486" t="b">
        <f t="shared" si="51"/>
        <v>0</v>
      </c>
      <c r="O486" t="b">
        <f t="shared" si="52"/>
        <v>0</v>
      </c>
      <c r="P486">
        <f t="shared" si="53"/>
        <v>0</v>
      </c>
      <c r="Q486" t="b">
        <f t="shared" si="54"/>
        <v>1</v>
      </c>
      <c r="R486">
        <f t="shared" si="55"/>
        <v>0</v>
      </c>
    </row>
    <row r="487" spans="1:18" ht="19.5" x14ac:dyDescent="0.55000000000000004">
      <c r="A487" s="27"/>
      <c r="B487" s="31"/>
      <c r="C487" s="27"/>
      <c r="D487" s="26"/>
      <c r="E487" s="26"/>
      <c r="F487">
        <v>90429</v>
      </c>
      <c r="G487" t="s">
        <v>1579</v>
      </c>
      <c r="H487" t="s">
        <v>54</v>
      </c>
      <c r="I487" t="s">
        <v>419</v>
      </c>
      <c r="J487" t="s">
        <v>1580</v>
      </c>
      <c r="L487" t="b">
        <f t="shared" si="49"/>
        <v>0</v>
      </c>
      <c r="M487" t="b">
        <f t="shared" si="50"/>
        <v>1</v>
      </c>
      <c r="N487" t="b">
        <f t="shared" si="51"/>
        <v>0</v>
      </c>
      <c r="O487" t="b">
        <f t="shared" si="52"/>
        <v>0</v>
      </c>
      <c r="P487">
        <f t="shared" si="53"/>
        <v>0</v>
      </c>
      <c r="Q487" t="b">
        <f t="shared" si="54"/>
        <v>1</v>
      </c>
      <c r="R487">
        <f t="shared" si="55"/>
        <v>0</v>
      </c>
    </row>
    <row r="488" spans="1:18" ht="19.5" x14ac:dyDescent="0.55000000000000004">
      <c r="A488" s="27"/>
      <c r="B488" s="31"/>
      <c r="C488" s="27"/>
      <c r="D488" s="26"/>
      <c r="E488" s="26"/>
      <c r="F488">
        <v>90428</v>
      </c>
      <c r="G488" t="s">
        <v>1583</v>
      </c>
      <c r="H488" t="s">
        <v>54</v>
      </c>
      <c r="I488" t="s">
        <v>419</v>
      </c>
      <c r="J488" t="s">
        <v>1580</v>
      </c>
      <c r="L488" t="b">
        <f t="shared" si="49"/>
        <v>0</v>
      </c>
      <c r="M488" t="b">
        <f t="shared" si="50"/>
        <v>0</v>
      </c>
      <c r="N488" t="b">
        <f t="shared" si="51"/>
        <v>0</v>
      </c>
      <c r="O488" t="b">
        <f t="shared" si="52"/>
        <v>0</v>
      </c>
      <c r="P488">
        <f t="shared" si="53"/>
        <v>0</v>
      </c>
      <c r="Q488" t="b">
        <f t="shared" si="54"/>
        <v>1</v>
      </c>
      <c r="R488">
        <f t="shared" si="55"/>
        <v>0</v>
      </c>
    </row>
    <row r="489" spans="1:18" ht="19.5" x14ac:dyDescent="0.55000000000000004">
      <c r="A489" s="27"/>
      <c r="B489" s="31"/>
      <c r="C489" s="27"/>
      <c r="D489" s="26"/>
      <c r="E489" s="26"/>
      <c r="F489">
        <v>90427</v>
      </c>
      <c r="G489" t="s">
        <v>1586</v>
      </c>
      <c r="H489" t="s">
        <v>54</v>
      </c>
      <c r="I489" t="s">
        <v>419</v>
      </c>
      <c r="J489" t="s">
        <v>1580</v>
      </c>
      <c r="L489" t="b">
        <f t="shared" si="49"/>
        <v>0</v>
      </c>
      <c r="M489" t="b">
        <f t="shared" si="50"/>
        <v>0</v>
      </c>
      <c r="N489" t="b">
        <f t="shared" si="51"/>
        <v>0</v>
      </c>
      <c r="O489" t="b">
        <f t="shared" si="52"/>
        <v>0</v>
      </c>
      <c r="P489">
        <f t="shared" si="53"/>
        <v>0</v>
      </c>
      <c r="Q489" t="b">
        <f t="shared" si="54"/>
        <v>1</v>
      </c>
      <c r="R489">
        <f t="shared" si="55"/>
        <v>0</v>
      </c>
    </row>
    <row r="490" spans="1:18" ht="19.5" x14ac:dyDescent="0.55000000000000004">
      <c r="A490" s="27"/>
      <c r="B490" s="31"/>
      <c r="C490" s="27"/>
      <c r="D490" s="26"/>
      <c r="E490" s="26"/>
      <c r="F490">
        <v>1489</v>
      </c>
      <c r="G490" t="s">
        <v>1589</v>
      </c>
      <c r="H490" t="s">
        <v>34</v>
      </c>
      <c r="I490" t="s">
        <v>36</v>
      </c>
      <c r="L490" t="b">
        <f t="shared" si="49"/>
        <v>0</v>
      </c>
      <c r="M490" t="b">
        <f t="shared" si="50"/>
        <v>0</v>
      </c>
      <c r="N490" t="b">
        <f t="shared" si="51"/>
        <v>0</v>
      </c>
      <c r="O490" t="b">
        <f t="shared" si="52"/>
        <v>0</v>
      </c>
      <c r="P490">
        <f t="shared" si="53"/>
        <v>0</v>
      </c>
      <c r="Q490" t="b">
        <f t="shared" si="54"/>
        <v>1</v>
      </c>
      <c r="R490">
        <f t="shared" si="55"/>
        <v>0</v>
      </c>
    </row>
    <row r="491" spans="1:18" ht="19.5" x14ac:dyDescent="0.55000000000000004">
      <c r="A491" s="27"/>
      <c r="B491" s="31"/>
      <c r="C491" s="27"/>
      <c r="D491" s="26"/>
      <c r="E491" s="26"/>
      <c r="F491">
        <v>90484</v>
      </c>
      <c r="G491" t="s">
        <v>1591</v>
      </c>
      <c r="H491" t="s">
        <v>54</v>
      </c>
      <c r="I491" t="s">
        <v>448</v>
      </c>
      <c r="J491" t="s">
        <v>721</v>
      </c>
      <c r="L491" t="b">
        <f t="shared" si="49"/>
        <v>0</v>
      </c>
      <c r="M491" t="b">
        <f t="shared" si="50"/>
        <v>0</v>
      </c>
      <c r="N491" t="b">
        <f t="shared" si="51"/>
        <v>0</v>
      </c>
      <c r="O491" t="b">
        <f t="shared" si="52"/>
        <v>0</v>
      </c>
      <c r="P491">
        <f t="shared" si="53"/>
        <v>0</v>
      </c>
      <c r="Q491" t="b">
        <f t="shared" si="54"/>
        <v>1</v>
      </c>
      <c r="R491">
        <f t="shared" si="55"/>
        <v>0</v>
      </c>
    </row>
    <row r="492" spans="1:18" ht="19.5" x14ac:dyDescent="0.55000000000000004">
      <c r="A492" s="27"/>
      <c r="B492" s="31"/>
      <c r="C492" s="27"/>
      <c r="D492" s="26"/>
      <c r="E492" s="26"/>
      <c r="F492">
        <v>90483</v>
      </c>
      <c r="G492" t="s">
        <v>1594</v>
      </c>
      <c r="H492" t="s">
        <v>45</v>
      </c>
      <c r="I492" t="s">
        <v>448</v>
      </c>
      <c r="J492" t="s">
        <v>449</v>
      </c>
      <c r="L492" t="b">
        <f t="shared" si="49"/>
        <v>0</v>
      </c>
      <c r="M492" t="b">
        <f t="shared" si="50"/>
        <v>0</v>
      </c>
      <c r="N492" t="b">
        <f t="shared" si="51"/>
        <v>0</v>
      </c>
      <c r="O492" t="b">
        <f t="shared" si="52"/>
        <v>0</v>
      </c>
      <c r="P492">
        <f t="shared" si="53"/>
        <v>0</v>
      </c>
      <c r="Q492" t="b">
        <f t="shared" si="54"/>
        <v>1</v>
      </c>
      <c r="R492">
        <f t="shared" si="55"/>
        <v>0</v>
      </c>
    </row>
    <row r="493" spans="1:18" ht="19.5" x14ac:dyDescent="0.55000000000000004">
      <c r="A493" s="27"/>
      <c r="B493" s="31"/>
      <c r="C493" s="27"/>
      <c r="D493" s="26"/>
      <c r="E493" s="26"/>
      <c r="F493">
        <v>90482</v>
      </c>
      <c r="G493" t="s">
        <v>1596</v>
      </c>
      <c r="H493" t="s">
        <v>45</v>
      </c>
      <c r="I493" t="s">
        <v>46</v>
      </c>
      <c r="J493" t="s">
        <v>449</v>
      </c>
      <c r="L493" t="b">
        <f t="shared" si="49"/>
        <v>0</v>
      </c>
      <c r="M493" t="b">
        <f t="shared" si="50"/>
        <v>0</v>
      </c>
      <c r="N493" t="b">
        <f t="shared" si="51"/>
        <v>0</v>
      </c>
      <c r="O493" t="b">
        <f t="shared" si="52"/>
        <v>0</v>
      </c>
      <c r="P493">
        <f t="shared" si="53"/>
        <v>0</v>
      </c>
      <c r="Q493" t="b">
        <f t="shared" si="54"/>
        <v>1</v>
      </c>
      <c r="R493">
        <f t="shared" si="55"/>
        <v>0</v>
      </c>
    </row>
    <row r="494" spans="1:18" ht="19.5" x14ac:dyDescent="0.55000000000000004">
      <c r="A494" s="27"/>
      <c r="B494" s="31"/>
      <c r="C494" s="27"/>
      <c r="D494" s="26"/>
      <c r="E494" s="26"/>
      <c r="F494">
        <v>90481</v>
      </c>
      <c r="G494" t="s">
        <v>1598</v>
      </c>
      <c r="H494" t="s">
        <v>45</v>
      </c>
      <c r="I494" t="s">
        <v>46</v>
      </c>
      <c r="J494" t="s">
        <v>381</v>
      </c>
      <c r="L494" t="b">
        <f t="shared" si="49"/>
        <v>0</v>
      </c>
      <c r="M494" t="b">
        <f t="shared" si="50"/>
        <v>0</v>
      </c>
      <c r="N494" t="b">
        <f t="shared" si="51"/>
        <v>0</v>
      </c>
      <c r="O494" t="b">
        <f t="shared" si="52"/>
        <v>0</v>
      </c>
      <c r="P494">
        <f t="shared" si="53"/>
        <v>0</v>
      </c>
      <c r="Q494" t="b">
        <f t="shared" si="54"/>
        <v>1</v>
      </c>
      <c r="R494">
        <f t="shared" si="55"/>
        <v>0</v>
      </c>
    </row>
    <row r="495" spans="1:18" ht="19.5" x14ac:dyDescent="0.55000000000000004">
      <c r="A495" s="27"/>
      <c r="B495" s="31"/>
      <c r="C495" s="27"/>
      <c r="D495" s="26"/>
      <c r="E495" s="26"/>
      <c r="F495">
        <v>90480</v>
      </c>
      <c r="G495" t="s">
        <v>1601</v>
      </c>
      <c r="H495" t="s">
        <v>45</v>
      </c>
      <c r="I495" t="s">
        <v>46</v>
      </c>
      <c r="J495" t="s">
        <v>381</v>
      </c>
      <c r="L495" t="b">
        <f t="shared" si="49"/>
        <v>0</v>
      </c>
      <c r="M495" t="b">
        <f t="shared" si="50"/>
        <v>0</v>
      </c>
      <c r="N495" t="b">
        <f t="shared" si="51"/>
        <v>0</v>
      </c>
      <c r="O495" t="b">
        <f t="shared" si="52"/>
        <v>0</v>
      </c>
      <c r="P495">
        <f t="shared" si="53"/>
        <v>0</v>
      </c>
      <c r="Q495" t="b">
        <f t="shared" si="54"/>
        <v>1</v>
      </c>
      <c r="R495">
        <f t="shared" si="55"/>
        <v>0</v>
      </c>
    </row>
    <row r="496" spans="1:18" ht="19.5" x14ac:dyDescent="0.55000000000000004">
      <c r="A496" s="27"/>
      <c r="B496" s="31"/>
      <c r="C496" s="27"/>
      <c r="D496" s="26"/>
      <c r="E496" s="26"/>
      <c r="F496">
        <v>90479</v>
      </c>
      <c r="G496" t="s">
        <v>1603</v>
      </c>
      <c r="H496" t="s">
        <v>54</v>
      </c>
      <c r="I496" t="s">
        <v>46</v>
      </c>
      <c r="L496" t="b">
        <f t="shared" si="49"/>
        <v>0</v>
      </c>
      <c r="M496" t="b">
        <f t="shared" si="50"/>
        <v>0</v>
      </c>
      <c r="N496" t="b">
        <f t="shared" si="51"/>
        <v>0</v>
      </c>
      <c r="O496" t="b">
        <f t="shared" si="52"/>
        <v>0</v>
      </c>
      <c r="P496">
        <f t="shared" si="53"/>
        <v>0</v>
      </c>
      <c r="Q496" t="b">
        <f t="shared" si="54"/>
        <v>1</v>
      </c>
      <c r="R496">
        <f t="shared" si="55"/>
        <v>0</v>
      </c>
    </row>
    <row r="497" spans="1:18" ht="19.5" x14ac:dyDescent="0.55000000000000004">
      <c r="A497" s="27"/>
      <c r="B497" s="31"/>
      <c r="C497" s="27"/>
      <c r="D497" s="26"/>
      <c r="E497" s="26"/>
      <c r="F497">
        <v>90470</v>
      </c>
      <c r="G497" t="s">
        <v>1606</v>
      </c>
      <c r="H497" t="s">
        <v>75</v>
      </c>
      <c r="I497" t="s">
        <v>525</v>
      </c>
      <c r="J497" t="s">
        <v>56</v>
      </c>
      <c r="L497" t="b">
        <f t="shared" si="49"/>
        <v>0</v>
      </c>
      <c r="M497" t="b">
        <f t="shared" si="50"/>
        <v>1</v>
      </c>
      <c r="N497" t="b">
        <f t="shared" si="51"/>
        <v>0</v>
      </c>
      <c r="O497" t="b">
        <f t="shared" si="52"/>
        <v>0</v>
      </c>
      <c r="P497">
        <f t="shared" si="53"/>
        <v>0</v>
      </c>
      <c r="Q497" t="b">
        <f t="shared" si="54"/>
        <v>1</v>
      </c>
      <c r="R497">
        <f t="shared" si="55"/>
        <v>0</v>
      </c>
    </row>
    <row r="498" spans="1:18" ht="19.5" x14ac:dyDescent="0.55000000000000004">
      <c r="A498" s="27"/>
      <c r="B498" s="31"/>
      <c r="C498" s="27"/>
      <c r="D498" s="26"/>
      <c r="E498" s="26"/>
      <c r="F498">
        <v>90469</v>
      </c>
      <c r="G498" t="s">
        <v>1608</v>
      </c>
      <c r="H498" t="s">
        <v>136</v>
      </c>
      <c r="I498" t="s">
        <v>525</v>
      </c>
      <c r="J498" t="s">
        <v>1609</v>
      </c>
      <c r="L498" t="b">
        <f t="shared" si="49"/>
        <v>0</v>
      </c>
      <c r="M498" t="b">
        <f t="shared" si="50"/>
        <v>1</v>
      </c>
      <c r="N498" t="b">
        <f t="shared" si="51"/>
        <v>0</v>
      </c>
      <c r="O498" t="b">
        <f t="shared" si="52"/>
        <v>0</v>
      </c>
      <c r="P498">
        <f t="shared" si="53"/>
        <v>0</v>
      </c>
      <c r="Q498" t="b">
        <f t="shared" si="54"/>
        <v>1</v>
      </c>
      <c r="R498">
        <f t="shared" si="55"/>
        <v>0</v>
      </c>
    </row>
    <row r="499" spans="1:18" ht="19.5" x14ac:dyDescent="0.55000000000000004">
      <c r="A499" s="27"/>
      <c r="B499" s="31"/>
      <c r="C499" s="27"/>
      <c r="D499" s="26"/>
      <c r="E499" s="26"/>
      <c r="F499">
        <v>90468</v>
      </c>
      <c r="G499" t="s">
        <v>1612</v>
      </c>
      <c r="H499" t="s">
        <v>75</v>
      </c>
      <c r="I499" t="s">
        <v>525</v>
      </c>
      <c r="J499" t="s">
        <v>1609</v>
      </c>
      <c r="L499" t="b">
        <f t="shared" si="49"/>
        <v>0</v>
      </c>
      <c r="M499" t="b">
        <f t="shared" si="50"/>
        <v>1</v>
      </c>
      <c r="N499" t="b">
        <f t="shared" si="51"/>
        <v>0</v>
      </c>
      <c r="O499" t="b">
        <f t="shared" si="52"/>
        <v>0</v>
      </c>
      <c r="P499">
        <f t="shared" si="53"/>
        <v>0</v>
      </c>
      <c r="Q499" t="b">
        <f t="shared" si="54"/>
        <v>1</v>
      </c>
      <c r="R499">
        <f t="shared" si="55"/>
        <v>0</v>
      </c>
    </row>
    <row r="500" spans="1:18" ht="19.5" x14ac:dyDescent="0.55000000000000004">
      <c r="A500" s="27"/>
      <c r="B500" s="31"/>
      <c r="C500" s="27"/>
      <c r="D500" s="26"/>
      <c r="E500" s="26"/>
      <c r="F500">
        <v>90467</v>
      </c>
      <c r="G500" t="s">
        <v>1615</v>
      </c>
      <c r="H500" t="s">
        <v>75</v>
      </c>
      <c r="I500" t="s">
        <v>525</v>
      </c>
      <c r="J500" t="s">
        <v>1609</v>
      </c>
      <c r="L500" t="b">
        <f t="shared" si="49"/>
        <v>0</v>
      </c>
      <c r="M500" t="b">
        <f t="shared" si="50"/>
        <v>1</v>
      </c>
      <c r="N500" t="b">
        <f t="shared" si="51"/>
        <v>0</v>
      </c>
      <c r="O500" t="b">
        <f t="shared" si="52"/>
        <v>0</v>
      </c>
      <c r="P500">
        <f t="shared" si="53"/>
        <v>0</v>
      </c>
      <c r="Q500" t="b">
        <f t="shared" si="54"/>
        <v>1</v>
      </c>
      <c r="R500">
        <f t="shared" si="55"/>
        <v>0</v>
      </c>
    </row>
    <row r="501" spans="1:18" ht="19.5" x14ac:dyDescent="0.55000000000000004">
      <c r="A501" s="27"/>
      <c r="B501" s="31"/>
      <c r="C501" s="27"/>
      <c r="D501" s="26"/>
      <c r="E501" s="26"/>
      <c r="F501">
        <v>90466</v>
      </c>
      <c r="G501" t="s">
        <v>1617</v>
      </c>
      <c r="H501" t="s">
        <v>54</v>
      </c>
      <c r="I501" t="s">
        <v>525</v>
      </c>
      <c r="J501" t="s">
        <v>56</v>
      </c>
      <c r="L501" t="b">
        <f t="shared" si="49"/>
        <v>0</v>
      </c>
      <c r="M501" t="b">
        <f t="shared" si="50"/>
        <v>0</v>
      </c>
      <c r="N501" t="b">
        <f t="shared" si="51"/>
        <v>0</v>
      </c>
      <c r="O501" t="b">
        <f t="shared" si="52"/>
        <v>0</v>
      </c>
      <c r="P501">
        <f t="shared" si="53"/>
        <v>0</v>
      </c>
      <c r="Q501" t="b">
        <f t="shared" si="54"/>
        <v>1</v>
      </c>
      <c r="R501">
        <f t="shared" si="55"/>
        <v>0</v>
      </c>
    </row>
    <row r="502" spans="1:18" ht="19.5" x14ac:dyDescent="0.55000000000000004">
      <c r="A502" s="27"/>
      <c r="B502" s="31"/>
      <c r="C502" s="27"/>
      <c r="D502" s="26"/>
      <c r="E502" s="26"/>
      <c r="F502">
        <v>90478</v>
      </c>
      <c r="G502" t="s">
        <v>1620</v>
      </c>
      <c r="H502" t="s">
        <v>136</v>
      </c>
      <c r="I502" t="s">
        <v>218</v>
      </c>
      <c r="J502" t="s">
        <v>1621</v>
      </c>
      <c r="L502" t="b">
        <f t="shared" si="49"/>
        <v>0</v>
      </c>
      <c r="M502" t="b">
        <f t="shared" si="50"/>
        <v>1</v>
      </c>
      <c r="N502" t="b">
        <f t="shared" si="51"/>
        <v>0</v>
      </c>
      <c r="O502" t="b">
        <f t="shared" si="52"/>
        <v>0</v>
      </c>
      <c r="P502">
        <f t="shared" si="53"/>
        <v>0</v>
      </c>
      <c r="Q502" t="b">
        <f t="shared" si="54"/>
        <v>1</v>
      </c>
      <c r="R502">
        <f t="shared" si="55"/>
        <v>0</v>
      </c>
    </row>
    <row r="503" spans="1:18" ht="19.5" x14ac:dyDescent="0.55000000000000004">
      <c r="A503" s="27"/>
      <c r="B503" s="31"/>
      <c r="C503" s="27"/>
      <c r="D503" s="26"/>
      <c r="E503" s="26"/>
      <c r="F503">
        <v>90477</v>
      </c>
      <c r="G503" t="s">
        <v>1623</v>
      </c>
      <c r="H503" t="s">
        <v>136</v>
      </c>
      <c r="I503" t="s">
        <v>218</v>
      </c>
      <c r="J503" t="s">
        <v>1621</v>
      </c>
      <c r="L503" t="b">
        <f t="shared" si="49"/>
        <v>0</v>
      </c>
      <c r="M503" t="b">
        <f t="shared" si="50"/>
        <v>1</v>
      </c>
      <c r="N503" t="b">
        <f t="shared" si="51"/>
        <v>0</v>
      </c>
      <c r="O503" t="b">
        <f t="shared" si="52"/>
        <v>0</v>
      </c>
      <c r="P503">
        <f t="shared" si="53"/>
        <v>0</v>
      </c>
      <c r="Q503" t="b">
        <f t="shared" si="54"/>
        <v>1</v>
      </c>
      <c r="R503">
        <f t="shared" si="55"/>
        <v>0</v>
      </c>
    </row>
    <row r="504" spans="1:18" ht="19.5" x14ac:dyDescent="0.55000000000000004">
      <c r="A504" s="27"/>
      <c r="B504" s="31"/>
      <c r="C504" s="27"/>
      <c r="D504" s="26"/>
      <c r="E504" s="26"/>
      <c r="F504">
        <v>90475</v>
      </c>
      <c r="G504" t="s">
        <v>1625</v>
      </c>
      <c r="H504" t="s">
        <v>34</v>
      </c>
      <c r="I504" t="s">
        <v>218</v>
      </c>
      <c r="J504" t="s">
        <v>76</v>
      </c>
      <c r="L504" t="b">
        <f t="shared" si="49"/>
        <v>0</v>
      </c>
      <c r="M504" t="b">
        <f t="shared" si="50"/>
        <v>1</v>
      </c>
      <c r="N504" t="b">
        <f t="shared" si="51"/>
        <v>0</v>
      </c>
      <c r="O504" t="b">
        <f t="shared" si="52"/>
        <v>0</v>
      </c>
      <c r="P504">
        <f t="shared" si="53"/>
        <v>0</v>
      </c>
      <c r="Q504" t="b">
        <f t="shared" si="54"/>
        <v>1</v>
      </c>
      <c r="R504">
        <f t="shared" si="55"/>
        <v>0</v>
      </c>
    </row>
    <row r="505" spans="1:18" ht="19.5" x14ac:dyDescent="0.55000000000000004">
      <c r="A505" s="27"/>
      <c r="B505" s="31"/>
      <c r="C505" s="27"/>
      <c r="D505" s="26"/>
      <c r="E505" s="26"/>
      <c r="F505">
        <v>90474</v>
      </c>
      <c r="G505" t="s">
        <v>217</v>
      </c>
      <c r="H505" t="s">
        <v>34</v>
      </c>
      <c r="I505" t="s">
        <v>218</v>
      </c>
      <c r="J505" t="s">
        <v>76</v>
      </c>
      <c r="L505" t="b">
        <f t="shared" si="49"/>
        <v>0</v>
      </c>
      <c r="M505" t="b">
        <f t="shared" si="50"/>
        <v>1</v>
      </c>
      <c r="N505" t="b">
        <f t="shared" si="51"/>
        <v>0</v>
      </c>
      <c r="O505" t="b">
        <f t="shared" si="52"/>
        <v>0</v>
      </c>
      <c r="P505">
        <f t="shared" si="53"/>
        <v>0</v>
      </c>
      <c r="Q505" t="b">
        <f t="shared" si="54"/>
        <v>1</v>
      </c>
      <c r="R505">
        <f t="shared" si="55"/>
        <v>0</v>
      </c>
    </row>
    <row r="506" spans="1:18" ht="19.5" x14ac:dyDescent="0.55000000000000004">
      <c r="A506" s="27"/>
      <c r="B506" s="31"/>
      <c r="C506" s="27"/>
      <c r="D506" s="26"/>
      <c r="E506" s="26"/>
      <c r="F506">
        <v>90473</v>
      </c>
      <c r="G506" t="s">
        <v>228</v>
      </c>
      <c r="H506" t="s">
        <v>34</v>
      </c>
      <c r="I506" t="s">
        <v>847</v>
      </c>
      <c r="L506" t="b">
        <f t="shared" si="49"/>
        <v>0</v>
      </c>
      <c r="M506" t="b">
        <f t="shared" si="50"/>
        <v>0</v>
      </c>
      <c r="N506" t="b">
        <f t="shared" si="51"/>
        <v>0</v>
      </c>
      <c r="O506" t="b">
        <f t="shared" si="52"/>
        <v>0</v>
      </c>
      <c r="P506">
        <f t="shared" si="53"/>
        <v>0</v>
      </c>
      <c r="Q506" t="b">
        <f t="shared" si="54"/>
        <v>1</v>
      </c>
      <c r="R506">
        <f t="shared" si="55"/>
        <v>0</v>
      </c>
    </row>
    <row r="507" spans="1:18" ht="19.5" x14ac:dyDescent="0.55000000000000004">
      <c r="A507" s="27"/>
      <c r="B507" s="31"/>
      <c r="C507" s="27"/>
      <c r="D507" s="26"/>
      <c r="E507" s="26"/>
      <c r="F507">
        <v>90472</v>
      </c>
      <c r="G507" t="s">
        <v>1630</v>
      </c>
      <c r="H507" t="s">
        <v>34</v>
      </c>
      <c r="I507" t="s">
        <v>229</v>
      </c>
      <c r="J507" t="s">
        <v>270</v>
      </c>
      <c r="L507" t="b">
        <f t="shared" si="49"/>
        <v>0</v>
      </c>
      <c r="M507" t="b">
        <f t="shared" si="50"/>
        <v>1</v>
      </c>
      <c r="N507" t="b">
        <f t="shared" si="51"/>
        <v>0</v>
      </c>
      <c r="O507" t="b">
        <f t="shared" si="52"/>
        <v>0</v>
      </c>
      <c r="P507">
        <f t="shared" si="53"/>
        <v>0</v>
      </c>
      <c r="Q507" t="b">
        <f t="shared" si="54"/>
        <v>1</v>
      </c>
      <c r="R507">
        <f t="shared" si="55"/>
        <v>0</v>
      </c>
    </row>
    <row r="508" spans="1:18" ht="19.5" x14ac:dyDescent="0.55000000000000004">
      <c r="A508" s="27"/>
      <c r="B508" s="31"/>
      <c r="C508" s="27"/>
      <c r="D508" s="26"/>
      <c r="E508" s="26"/>
      <c r="F508">
        <v>90471</v>
      </c>
      <c r="G508" t="s">
        <v>1630</v>
      </c>
      <c r="H508" t="s">
        <v>34</v>
      </c>
      <c r="I508" t="s">
        <v>229</v>
      </c>
      <c r="J508" t="s">
        <v>270</v>
      </c>
      <c r="L508" t="b">
        <f t="shared" si="49"/>
        <v>0</v>
      </c>
      <c r="M508" t="b">
        <f t="shared" si="50"/>
        <v>1</v>
      </c>
      <c r="N508" t="b">
        <f t="shared" si="51"/>
        <v>0</v>
      </c>
      <c r="O508" t="b">
        <f t="shared" si="52"/>
        <v>0</v>
      </c>
      <c r="P508">
        <f t="shared" si="53"/>
        <v>0</v>
      </c>
      <c r="Q508" t="b">
        <f t="shared" si="54"/>
        <v>1</v>
      </c>
      <c r="R508">
        <f t="shared" si="55"/>
        <v>0</v>
      </c>
    </row>
    <row r="509" spans="1:18" ht="19.5" x14ac:dyDescent="0.55000000000000004">
      <c r="A509" s="27"/>
      <c r="B509" s="31"/>
      <c r="C509" s="27"/>
      <c r="D509" s="26"/>
      <c r="E509" s="26"/>
      <c r="F509">
        <v>90500</v>
      </c>
      <c r="G509" t="s">
        <v>1635</v>
      </c>
      <c r="H509" t="s">
        <v>111</v>
      </c>
      <c r="I509" t="s">
        <v>612</v>
      </c>
      <c r="L509" t="b">
        <f t="shared" si="49"/>
        <v>0</v>
      </c>
      <c r="M509" t="b">
        <f t="shared" si="50"/>
        <v>0</v>
      </c>
      <c r="N509" t="b">
        <f t="shared" si="51"/>
        <v>0</v>
      </c>
      <c r="O509" t="b">
        <f t="shared" si="52"/>
        <v>0</v>
      </c>
      <c r="P509">
        <f t="shared" si="53"/>
        <v>0</v>
      </c>
      <c r="Q509" t="b">
        <f t="shared" si="54"/>
        <v>1</v>
      </c>
      <c r="R509">
        <f t="shared" si="55"/>
        <v>0</v>
      </c>
    </row>
    <row r="510" spans="1:18" ht="19.5" x14ac:dyDescent="0.55000000000000004">
      <c r="A510" s="27"/>
      <c r="B510" s="31"/>
      <c r="C510" s="27"/>
      <c r="D510" s="26"/>
      <c r="E510" s="26"/>
      <c r="F510">
        <v>90499</v>
      </c>
      <c r="G510" t="s">
        <v>1638</v>
      </c>
      <c r="H510" t="s">
        <v>111</v>
      </c>
      <c r="I510" t="s">
        <v>612</v>
      </c>
      <c r="L510" t="b">
        <f t="shared" si="49"/>
        <v>0</v>
      </c>
      <c r="M510" t="b">
        <f t="shared" si="50"/>
        <v>0</v>
      </c>
      <c r="N510" t="b">
        <f t="shared" si="51"/>
        <v>0</v>
      </c>
      <c r="O510" t="b">
        <f t="shared" si="52"/>
        <v>0</v>
      </c>
      <c r="P510">
        <f t="shared" si="53"/>
        <v>0</v>
      </c>
      <c r="Q510" t="b">
        <f t="shared" si="54"/>
        <v>1</v>
      </c>
      <c r="R510">
        <f t="shared" si="55"/>
        <v>0</v>
      </c>
    </row>
    <row r="511" spans="1:18" ht="19.5" x14ac:dyDescent="0.55000000000000004">
      <c r="A511" s="27"/>
      <c r="B511" s="31"/>
      <c r="C511" s="27"/>
      <c r="D511" s="26"/>
      <c r="E511" s="26"/>
      <c r="F511">
        <v>90498</v>
      </c>
      <c r="G511" t="s">
        <v>1641</v>
      </c>
      <c r="H511" t="s">
        <v>111</v>
      </c>
      <c r="I511" t="s">
        <v>612</v>
      </c>
      <c r="J511" t="s">
        <v>56</v>
      </c>
      <c r="L511" t="b">
        <f t="shared" si="49"/>
        <v>0</v>
      </c>
      <c r="M511" t="b">
        <f t="shared" si="50"/>
        <v>0</v>
      </c>
      <c r="N511" t="b">
        <f t="shared" si="51"/>
        <v>0</v>
      </c>
      <c r="O511" t="b">
        <f t="shared" si="52"/>
        <v>0</v>
      </c>
      <c r="P511">
        <f t="shared" si="53"/>
        <v>0</v>
      </c>
      <c r="Q511" t="b">
        <f t="shared" si="54"/>
        <v>1</v>
      </c>
      <c r="R511">
        <f t="shared" si="55"/>
        <v>0</v>
      </c>
    </row>
    <row r="512" spans="1:18" ht="19.5" x14ac:dyDescent="0.55000000000000004">
      <c r="A512" s="27"/>
      <c r="B512" s="31"/>
      <c r="C512" s="27"/>
      <c r="D512" s="26"/>
      <c r="E512" s="26"/>
      <c r="F512">
        <v>90497</v>
      </c>
      <c r="G512" t="s">
        <v>1644</v>
      </c>
      <c r="H512" t="s">
        <v>54</v>
      </c>
      <c r="I512" t="s">
        <v>1357</v>
      </c>
      <c r="J512" t="s">
        <v>56</v>
      </c>
      <c r="L512" t="b">
        <f t="shared" si="49"/>
        <v>0</v>
      </c>
      <c r="M512" t="b">
        <f t="shared" si="50"/>
        <v>0</v>
      </c>
      <c r="N512" t="b">
        <f t="shared" si="51"/>
        <v>0</v>
      </c>
      <c r="O512" t="b">
        <f t="shared" si="52"/>
        <v>0</v>
      </c>
      <c r="P512">
        <f t="shared" si="53"/>
        <v>0</v>
      </c>
      <c r="Q512" t="b">
        <f t="shared" si="54"/>
        <v>1</v>
      </c>
      <c r="R512">
        <f t="shared" si="55"/>
        <v>0</v>
      </c>
    </row>
    <row r="513" spans="1:18" ht="19.5" x14ac:dyDescent="0.55000000000000004">
      <c r="A513" s="27"/>
      <c r="B513" s="31"/>
      <c r="C513" s="27"/>
      <c r="D513" s="26"/>
      <c r="E513" s="26"/>
      <c r="F513">
        <v>90496</v>
      </c>
      <c r="G513" t="s">
        <v>1647</v>
      </c>
      <c r="H513" t="s">
        <v>54</v>
      </c>
      <c r="I513" t="s">
        <v>324</v>
      </c>
      <c r="J513" t="s">
        <v>325</v>
      </c>
      <c r="L513" t="b">
        <f t="shared" si="49"/>
        <v>0</v>
      </c>
      <c r="M513" t="b">
        <f t="shared" si="50"/>
        <v>0</v>
      </c>
      <c r="N513" t="b">
        <f t="shared" si="51"/>
        <v>0</v>
      </c>
      <c r="O513" t="b">
        <f t="shared" si="52"/>
        <v>0</v>
      </c>
      <c r="P513">
        <f t="shared" si="53"/>
        <v>0</v>
      </c>
      <c r="Q513" t="b">
        <f t="shared" si="54"/>
        <v>1</v>
      </c>
      <c r="R513">
        <f t="shared" si="55"/>
        <v>0</v>
      </c>
    </row>
    <row r="514" spans="1:18" ht="19.5" x14ac:dyDescent="0.55000000000000004">
      <c r="A514" s="27"/>
      <c r="B514" s="31"/>
      <c r="C514" s="27"/>
      <c r="D514" s="26"/>
      <c r="E514" s="26"/>
      <c r="F514">
        <v>90495</v>
      </c>
      <c r="G514" t="s">
        <v>1650</v>
      </c>
      <c r="H514" t="s">
        <v>54</v>
      </c>
      <c r="I514" t="s">
        <v>324</v>
      </c>
      <c r="J514" t="s">
        <v>325</v>
      </c>
      <c r="L514" t="b">
        <f t="shared" si="49"/>
        <v>0</v>
      </c>
      <c r="M514" t="b">
        <f t="shared" si="50"/>
        <v>0</v>
      </c>
      <c r="N514" t="b">
        <f t="shared" si="51"/>
        <v>0</v>
      </c>
      <c r="O514" t="b">
        <f t="shared" si="52"/>
        <v>0</v>
      </c>
      <c r="P514">
        <f t="shared" si="53"/>
        <v>0</v>
      </c>
      <c r="Q514" t="b">
        <f t="shared" si="54"/>
        <v>1</v>
      </c>
      <c r="R514">
        <f t="shared" si="55"/>
        <v>0</v>
      </c>
    </row>
    <row r="515" spans="1:18" ht="19.5" x14ac:dyDescent="0.55000000000000004">
      <c r="A515" s="27"/>
      <c r="B515" s="31"/>
      <c r="C515" s="27"/>
      <c r="D515" s="26"/>
      <c r="E515" s="26"/>
      <c r="F515">
        <v>90494</v>
      </c>
      <c r="G515" t="s">
        <v>1653</v>
      </c>
      <c r="H515" t="s">
        <v>54</v>
      </c>
      <c r="I515" t="s">
        <v>324</v>
      </c>
      <c r="J515" t="s">
        <v>325</v>
      </c>
      <c r="L515" t="b">
        <f t="shared" ref="L515:L538" si="56">IF(TRIM($B$3)="",TRUE,ISNUMBER(SEARCH(TRIM(MID(SUBSTITUTE($B$3," ",REPT(" ",100)),1,100)),G515)))</f>
        <v>0</v>
      </c>
      <c r="M515" t="b">
        <f t="shared" ref="M515:M538" si="57">IF(LEN(TRIM($B$3))-LEN(SUBSTITUTE(TRIM($B$3)," ",""))&lt;1,TRUE,ISNUMBER(SEARCH(TRIM(MID(SUBSTITUTE($B$3," ",REPT(" ",100)),101,100)),G515)))</f>
        <v>0</v>
      </c>
      <c r="N515" t="b">
        <f t="shared" ref="N515:N538" si="58">IF(LEN(TRIM($B$3))-LEN(SUBSTITUTE(TRIM($B$3)," ",""))&lt;2,TRUE,ISNUMBER(SEARCH(TRIM(MID(SUBSTITUTE($B$3," ",REPT(" ",100)),201,100)),G515)))</f>
        <v>0</v>
      </c>
      <c r="O515" t="b">
        <f t="shared" ref="O515:O538" si="59">IF(LEN(TRIM($B$3))-LEN(SUBSTITUTE(TRIM($B$3)," ",""))&lt;3,TRUE,ISNUMBER(SEARCH(TRIM(MID(SUBSTITUTE($B$3," ",REPT(" ",100)),301,100)),G515)))</f>
        <v>0</v>
      </c>
      <c r="P515">
        <f t="shared" ref="P515:P538" si="60">L515*M515*N515*O515</f>
        <v>0</v>
      </c>
      <c r="Q515" t="b">
        <f t="shared" ref="Q515:Q538" si="61">IF(OR(TRIM($B$2)="",$B$2="(Todos)"),TRUE,EXACT(I515,$B$2))</f>
        <v>1</v>
      </c>
      <c r="R515">
        <f t="shared" ref="R515:R538" si="62">P515*Q515</f>
        <v>0</v>
      </c>
    </row>
    <row r="516" spans="1:18" ht="19.5" x14ac:dyDescent="0.55000000000000004">
      <c r="A516" s="27"/>
      <c r="B516" s="31"/>
      <c r="C516" s="27"/>
      <c r="D516" s="26"/>
      <c r="E516" s="26"/>
      <c r="F516">
        <v>90493</v>
      </c>
      <c r="G516" t="s">
        <v>1656</v>
      </c>
      <c r="H516" t="s">
        <v>54</v>
      </c>
      <c r="I516" t="s">
        <v>332</v>
      </c>
      <c r="J516" t="s">
        <v>288</v>
      </c>
      <c r="L516" t="b">
        <f t="shared" si="56"/>
        <v>0</v>
      </c>
      <c r="M516" t="b">
        <f t="shared" si="57"/>
        <v>0</v>
      </c>
      <c r="N516" t="b">
        <f t="shared" si="58"/>
        <v>0</v>
      </c>
      <c r="O516" t="b">
        <f t="shared" si="59"/>
        <v>0</v>
      </c>
      <c r="P516">
        <f t="shared" si="60"/>
        <v>0</v>
      </c>
      <c r="Q516" t="b">
        <f t="shared" si="61"/>
        <v>1</v>
      </c>
      <c r="R516">
        <f t="shared" si="62"/>
        <v>0</v>
      </c>
    </row>
    <row r="517" spans="1:18" ht="19.5" x14ac:dyDescent="0.55000000000000004">
      <c r="A517" s="27"/>
      <c r="B517" s="31"/>
      <c r="C517" s="27"/>
      <c r="D517" s="26"/>
      <c r="E517" s="26"/>
      <c r="F517">
        <v>90492</v>
      </c>
      <c r="G517" t="s">
        <v>1659</v>
      </c>
      <c r="H517" t="s">
        <v>54</v>
      </c>
      <c r="I517" t="s">
        <v>332</v>
      </c>
      <c r="J517" t="s">
        <v>288</v>
      </c>
      <c r="L517" t="b">
        <f t="shared" si="56"/>
        <v>0</v>
      </c>
      <c r="M517" t="b">
        <f t="shared" si="57"/>
        <v>0</v>
      </c>
      <c r="N517" t="b">
        <f t="shared" si="58"/>
        <v>0</v>
      </c>
      <c r="O517" t="b">
        <f t="shared" si="59"/>
        <v>0</v>
      </c>
      <c r="P517">
        <f t="shared" si="60"/>
        <v>0</v>
      </c>
      <c r="Q517" t="b">
        <f t="shared" si="61"/>
        <v>1</v>
      </c>
      <c r="R517">
        <f t="shared" si="62"/>
        <v>0</v>
      </c>
    </row>
    <row r="518" spans="1:18" ht="19.5" x14ac:dyDescent="0.55000000000000004">
      <c r="A518" s="27"/>
      <c r="B518" s="31"/>
      <c r="C518" s="27"/>
      <c r="D518" s="26"/>
      <c r="E518" s="26"/>
      <c r="F518">
        <v>90491</v>
      </c>
      <c r="G518" t="s">
        <v>1662</v>
      </c>
      <c r="H518" t="s">
        <v>54</v>
      </c>
      <c r="I518" t="s">
        <v>332</v>
      </c>
      <c r="J518" t="s">
        <v>288</v>
      </c>
      <c r="L518" t="b">
        <f t="shared" si="56"/>
        <v>0</v>
      </c>
      <c r="M518" t="b">
        <f t="shared" si="57"/>
        <v>0</v>
      </c>
      <c r="N518" t="b">
        <f t="shared" si="58"/>
        <v>0</v>
      </c>
      <c r="O518" t="b">
        <f t="shared" si="59"/>
        <v>0</v>
      </c>
      <c r="P518">
        <f t="shared" si="60"/>
        <v>0</v>
      </c>
      <c r="Q518" t="b">
        <f t="shared" si="61"/>
        <v>1</v>
      </c>
      <c r="R518">
        <f t="shared" si="62"/>
        <v>0</v>
      </c>
    </row>
    <row r="519" spans="1:18" ht="19.5" x14ac:dyDescent="0.55000000000000004">
      <c r="A519" s="27"/>
      <c r="B519" s="31"/>
      <c r="C519" s="27"/>
      <c r="D519" s="26"/>
      <c r="E519" s="26"/>
      <c r="F519">
        <v>90490</v>
      </c>
      <c r="G519" t="s">
        <v>1665</v>
      </c>
      <c r="H519" t="s">
        <v>54</v>
      </c>
      <c r="I519" t="s">
        <v>332</v>
      </c>
      <c r="J519" t="s">
        <v>288</v>
      </c>
      <c r="L519" t="b">
        <f t="shared" si="56"/>
        <v>0</v>
      </c>
      <c r="M519" t="b">
        <f t="shared" si="57"/>
        <v>0</v>
      </c>
      <c r="N519" t="b">
        <f t="shared" si="58"/>
        <v>0</v>
      </c>
      <c r="O519" t="b">
        <f t="shared" si="59"/>
        <v>0</v>
      </c>
      <c r="P519">
        <f t="shared" si="60"/>
        <v>0</v>
      </c>
      <c r="Q519" t="b">
        <f t="shared" si="61"/>
        <v>1</v>
      </c>
      <c r="R519">
        <f t="shared" si="62"/>
        <v>0</v>
      </c>
    </row>
    <row r="520" spans="1:18" ht="19.5" x14ac:dyDescent="0.55000000000000004">
      <c r="A520" s="27"/>
      <c r="B520" s="31"/>
      <c r="C520" s="27"/>
      <c r="D520" s="26"/>
      <c r="E520" s="26"/>
      <c r="F520">
        <v>90489</v>
      </c>
      <c r="G520" t="s">
        <v>1668</v>
      </c>
      <c r="H520" t="s">
        <v>54</v>
      </c>
      <c r="I520" t="s">
        <v>332</v>
      </c>
      <c r="J520" t="s">
        <v>288</v>
      </c>
      <c r="L520" t="b">
        <f t="shared" si="56"/>
        <v>0</v>
      </c>
      <c r="M520" t="b">
        <f t="shared" si="57"/>
        <v>0</v>
      </c>
      <c r="N520" t="b">
        <f t="shared" si="58"/>
        <v>0</v>
      </c>
      <c r="O520" t="b">
        <f t="shared" si="59"/>
        <v>0</v>
      </c>
      <c r="P520">
        <f t="shared" si="60"/>
        <v>0</v>
      </c>
      <c r="Q520" t="b">
        <f t="shared" si="61"/>
        <v>1</v>
      </c>
      <c r="R520">
        <f t="shared" si="62"/>
        <v>0</v>
      </c>
    </row>
    <row r="521" spans="1:18" ht="19.5" x14ac:dyDescent="0.55000000000000004">
      <c r="A521" s="27"/>
      <c r="B521" s="31"/>
      <c r="C521" s="27"/>
      <c r="D521" s="26"/>
      <c r="E521" s="26"/>
      <c r="F521">
        <v>90488</v>
      </c>
      <c r="G521" t="s">
        <v>1671</v>
      </c>
      <c r="H521" t="s">
        <v>54</v>
      </c>
      <c r="I521" t="s">
        <v>354</v>
      </c>
      <c r="J521" t="s">
        <v>355</v>
      </c>
      <c r="L521" t="b">
        <f t="shared" si="56"/>
        <v>0</v>
      </c>
      <c r="M521" t="b">
        <f t="shared" si="57"/>
        <v>0</v>
      </c>
      <c r="N521" t="b">
        <f t="shared" si="58"/>
        <v>0</v>
      </c>
      <c r="O521" t="b">
        <f t="shared" si="59"/>
        <v>0</v>
      </c>
      <c r="P521">
        <f t="shared" si="60"/>
        <v>0</v>
      </c>
      <c r="Q521" t="b">
        <f t="shared" si="61"/>
        <v>1</v>
      </c>
      <c r="R521">
        <f t="shared" si="62"/>
        <v>0</v>
      </c>
    </row>
    <row r="522" spans="1:18" ht="19.5" x14ac:dyDescent="0.55000000000000004">
      <c r="A522" s="27"/>
      <c r="B522" s="31"/>
      <c r="C522" s="27"/>
      <c r="D522" s="26"/>
      <c r="E522" s="26"/>
      <c r="F522">
        <v>90487</v>
      </c>
      <c r="G522" t="s">
        <v>1674</v>
      </c>
      <c r="H522" t="s">
        <v>54</v>
      </c>
      <c r="I522" t="s">
        <v>354</v>
      </c>
      <c r="J522" t="s">
        <v>355</v>
      </c>
      <c r="L522" t="b">
        <f t="shared" si="56"/>
        <v>0</v>
      </c>
      <c r="M522" t="b">
        <f t="shared" si="57"/>
        <v>0</v>
      </c>
      <c r="N522" t="b">
        <f t="shared" si="58"/>
        <v>0</v>
      </c>
      <c r="O522" t="b">
        <f t="shared" si="59"/>
        <v>0</v>
      </c>
      <c r="P522">
        <f t="shared" si="60"/>
        <v>0</v>
      </c>
      <c r="Q522" t="b">
        <f t="shared" si="61"/>
        <v>1</v>
      </c>
      <c r="R522">
        <f t="shared" si="62"/>
        <v>0</v>
      </c>
    </row>
    <row r="523" spans="1:18" ht="19.5" x14ac:dyDescent="0.55000000000000004">
      <c r="A523" s="27"/>
      <c r="B523" s="31"/>
      <c r="C523" s="27"/>
      <c r="D523" s="26"/>
      <c r="E523" s="26"/>
      <c r="F523">
        <v>90486</v>
      </c>
      <c r="G523" t="s">
        <v>1677</v>
      </c>
      <c r="H523" t="s">
        <v>54</v>
      </c>
      <c r="I523" t="s">
        <v>354</v>
      </c>
      <c r="J523" t="s">
        <v>355</v>
      </c>
      <c r="L523" t="b">
        <f t="shared" si="56"/>
        <v>0</v>
      </c>
      <c r="M523" t="b">
        <f t="shared" si="57"/>
        <v>0</v>
      </c>
      <c r="N523" t="b">
        <f t="shared" si="58"/>
        <v>0</v>
      </c>
      <c r="O523" t="b">
        <f t="shared" si="59"/>
        <v>0</v>
      </c>
      <c r="P523">
        <f t="shared" si="60"/>
        <v>0</v>
      </c>
      <c r="Q523" t="b">
        <f t="shared" si="61"/>
        <v>1</v>
      </c>
      <c r="R523">
        <f t="shared" si="62"/>
        <v>0</v>
      </c>
    </row>
    <row r="524" spans="1:18" ht="19.5" x14ac:dyDescent="0.55000000000000004">
      <c r="A524" s="27"/>
      <c r="B524" s="31"/>
      <c r="C524" s="27"/>
      <c r="D524" s="26"/>
      <c r="E524" s="26"/>
      <c r="F524">
        <v>90506</v>
      </c>
      <c r="G524" t="s">
        <v>1680</v>
      </c>
      <c r="H524" t="s">
        <v>34</v>
      </c>
      <c r="I524" t="s">
        <v>448</v>
      </c>
      <c r="J524" t="s">
        <v>644</v>
      </c>
      <c r="L524" t="b">
        <f t="shared" si="56"/>
        <v>0</v>
      </c>
      <c r="M524" t="b">
        <f t="shared" si="57"/>
        <v>1</v>
      </c>
      <c r="N524" t="b">
        <f t="shared" si="58"/>
        <v>0</v>
      </c>
      <c r="O524" t="b">
        <f t="shared" si="59"/>
        <v>0</v>
      </c>
      <c r="P524">
        <f t="shared" si="60"/>
        <v>0</v>
      </c>
      <c r="Q524" t="b">
        <f t="shared" si="61"/>
        <v>1</v>
      </c>
      <c r="R524">
        <f t="shared" si="62"/>
        <v>0</v>
      </c>
    </row>
    <row r="525" spans="1:18" ht="19.5" x14ac:dyDescent="0.55000000000000004">
      <c r="A525" s="27"/>
      <c r="B525" s="31"/>
      <c r="C525" s="27"/>
      <c r="D525" s="26"/>
      <c r="E525" s="26"/>
      <c r="F525">
        <v>90505</v>
      </c>
      <c r="G525" t="s">
        <v>1683</v>
      </c>
      <c r="H525" t="s">
        <v>34</v>
      </c>
      <c r="I525" t="s">
        <v>448</v>
      </c>
      <c r="J525" t="s">
        <v>644</v>
      </c>
      <c r="L525" t="b">
        <f t="shared" si="56"/>
        <v>0</v>
      </c>
      <c r="M525" t="b">
        <f t="shared" si="57"/>
        <v>1</v>
      </c>
      <c r="N525" t="b">
        <f t="shared" si="58"/>
        <v>0</v>
      </c>
      <c r="O525" t="b">
        <f t="shared" si="59"/>
        <v>0</v>
      </c>
      <c r="P525">
        <f t="shared" si="60"/>
        <v>0</v>
      </c>
      <c r="Q525" t="b">
        <f t="shared" si="61"/>
        <v>1</v>
      </c>
      <c r="R525">
        <f t="shared" si="62"/>
        <v>0</v>
      </c>
    </row>
    <row r="526" spans="1:18" ht="19.5" x14ac:dyDescent="0.55000000000000004">
      <c r="A526" s="27"/>
      <c r="B526" s="31"/>
      <c r="C526" s="27"/>
      <c r="D526" s="26"/>
      <c r="E526" s="26"/>
      <c r="F526">
        <v>90504</v>
      </c>
      <c r="G526" t="s">
        <v>1685</v>
      </c>
      <c r="H526" t="s">
        <v>34</v>
      </c>
      <c r="I526" t="s">
        <v>448</v>
      </c>
      <c r="J526" t="s">
        <v>644</v>
      </c>
      <c r="L526" t="b">
        <f t="shared" si="56"/>
        <v>0</v>
      </c>
      <c r="M526" t="b">
        <f t="shared" si="57"/>
        <v>1</v>
      </c>
      <c r="N526" t="b">
        <f t="shared" si="58"/>
        <v>0</v>
      </c>
      <c r="O526" t="b">
        <f t="shared" si="59"/>
        <v>0</v>
      </c>
      <c r="P526">
        <f t="shared" si="60"/>
        <v>0</v>
      </c>
      <c r="Q526" t="b">
        <f t="shared" si="61"/>
        <v>1</v>
      </c>
      <c r="R526">
        <f t="shared" si="62"/>
        <v>0</v>
      </c>
    </row>
    <row r="527" spans="1:18" ht="19.5" x14ac:dyDescent="0.55000000000000004">
      <c r="A527" s="27"/>
      <c r="B527" s="31"/>
      <c r="C527" s="27"/>
      <c r="D527" s="26"/>
      <c r="E527" s="26"/>
      <c r="F527">
        <v>90503</v>
      </c>
      <c r="G527" t="s">
        <v>1687</v>
      </c>
      <c r="H527" t="s">
        <v>34</v>
      </c>
      <c r="I527" t="s">
        <v>448</v>
      </c>
      <c r="J527" t="s">
        <v>644</v>
      </c>
      <c r="L527" t="b">
        <f t="shared" si="56"/>
        <v>0</v>
      </c>
      <c r="M527" t="b">
        <f t="shared" si="57"/>
        <v>1</v>
      </c>
      <c r="N527" t="b">
        <f t="shared" si="58"/>
        <v>0</v>
      </c>
      <c r="O527" t="b">
        <f t="shared" si="59"/>
        <v>0</v>
      </c>
      <c r="P527">
        <f t="shared" si="60"/>
        <v>0</v>
      </c>
      <c r="Q527" t="b">
        <f t="shared" si="61"/>
        <v>1</v>
      </c>
      <c r="R527">
        <f t="shared" si="62"/>
        <v>0</v>
      </c>
    </row>
    <row r="528" spans="1:18" ht="19.5" x14ac:dyDescent="0.55000000000000004">
      <c r="A528" s="27"/>
      <c r="B528" s="31"/>
      <c r="C528" s="27"/>
      <c r="D528" s="26"/>
      <c r="E528" s="26"/>
      <c r="F528">
        <v>4929</v>
      </c>
      <c r="G528" t="s">
        <v>1689</v>
      </c>
      <c r="H528" t="s">
        <v>34</v>
      </c>
      <c r="I528" t="s">
        <v>36</v>
      </c>
      <c r="L528" t="b">
        <f t="shared" si="56"/>
        <v>0</v>
      </c>
      <c r="M528" t="b">
        <f t="shared" si="57"/>
        <v>0</v>
      </c>
      <c r="N528" t="b">
        <f t="shared" si="58"/>
        <v>0</v>
      </c>
      <c r="O528" t="b">
        <f t="shared" si="59"/>
        <v>0</v>
      </c>
      <c r="P528">
        <f t="shared" si="60"/>
        <v>0</v>
      </c>
      <c r="Q528" t="b">
        <f t="shared" si="61"/>
        <v>1</v>
      </c>
      <c r="R528">
        <f t="shared" si="62"/>
        <v>0</v>
      </c>
    </row>
    <row r="529" spans="1:18" ht="19.5" x14ac:dyDescent="0.55000000000000004">
      <c r="A529" s="27"/>
      <c r="B529" s="31"/>
      <c r="C529" s="27"/>
      <c r="D529" s="26"/>
      <c r="E529" s="26"/>
      <c r="F529">
        <v>4928</v>
      </c>
      <c r="G529" t="s">
        <v>1691</v>
      </c>
      <c r="H529" t="s">
        <v>34</v>
      </c>
      <c r="I529" t="s">
        <v>36</v>
      </c>
      <c r="L529" t="b">
        <f t="shared" si="56"/>
        <v>0</v>
      </c>
      <c r="M529" t="b">
        <f t="shared" si="57"/>
        <v>0</v>
      </c>
      <c r="N529" t="b">
        <f t="shared" si="58"/>
        <v>0</v>
      </c>
      <c r="O529" t="b">
        <f t="shared" si="59"/>
        <v>0</v>
      </c>
      <c r="P529">
        <f t="shared" si="60"/>
        <v>0</v>
      </c>
      <c r="Q529" t="b">
        <f t="shared" si="61"/>
        <v>1</v>
      </c>
      <c r="R529">
        <f t="shared" si="62"/>
        <v>0</v>
      </c>
    </row>
    <row r="530" spans="1:18" ht="19.5" x14ac:dyDescent="0.55000000000000004">
      <c r="A530" s="27"/>
      <c r="B530" s="31"/>
      <c r="C530" s="27"/>
      <c r="D530" s="26"/>
      <c r="E530" s="26"/>
      <c r="F530">
        <v>90549</v>
      </c>
      <c r="G530" t="s">
        <v>1693</v>
      </c>
      <c r="H530" t="s">
        <v>111</v>
      </c>
      <c r="I530" t="s">
        <v>67</v>
      </c>
      <c r="J530" t="s">
        <v>56</v>
      </c>
      <c r="L530" t="b">
        <f t="shared" si="56"/>
        <v>0</v>
      </c>
      <c r="M530" t="b">
        <f t="shared" si="57"/>
        <v>0</v>
      </c>
      <c r="N530" t="b">
        <f t="shared" si="58"/>
        <v>0</v>
      </c>
      <c r="O530" t="b">
        <f t="shared" si="59"/>
        <v>0</v>
      </c>
      <c r="P530">
        <f t="shared" si="60"/>
        <v>0</v>
      </c>
      <c r="Q530" t="b">
        <f t="shared" si="61"/>
        <v>1</v>
      </c>
      <c r="R530">
        <f t="shared" si="62"/>
        <v>0</v>
      </c>
    </row>
    <row r="531" spans="1:18" ht="19.5" x14ac:dyDescent="0.55000000000000004">
      <c r="A531" s="27"/>
      <c r="B531" s="31"/>
      <c r="C531" s="27"/>
      <c r="D531" s="26"/>
      <c r="E531" s="26"/>
      <c r="F531">
        <v>90562</v>
      </c>
      <c r="G531" t="s">
        <v>1696</v>
      </c>
      <c r="H531" t="s">
        <v>54</v>
      </c>
      <c r="I531" t="s">
        <v>324</v>
      </c>
      <c r="J531" t="s">
        <v>325</v>
      </c>
      <c r="L531" t="b">
        <f t="shared" si="56"/>
        <v>0</v>
      </c>
      <c r="M531" t="b">
        <f t="shared" si="57"/>
        <v>0</v>
      </c>
      <c r="N531" t="b">
        <f t="shared" si="58"/>
        <v>0</v>
      </c>
      <c r="O531" t="b">
        <f t="shared" si="59"/>
        <v>0</v>
      </c>
      <c r="P531">
        <f t="shared" si="60"/>
        <v>0</v>
      </c>
      <c r="Q531" t="b">
        <f t="shared" si="61"/>
        <v>1</v>
      </c>
      <c r="R531">
        <f t="shared" si="62"/>
        <v>0</v>
      </c>
    </row>
    <row r="532" spans="1:18" ht="19.5" x14ac:dyDescent="0.55000000000000004">
      <c r="A532" s="27"/>
      <c r="B532" s="31"/>
      <c r="C532" s="27"/>
      <c r="D532" s="26"/>
      <c r="E532" s="26"/>
      <c r="F532">
        <v>90561</v>
      </c>
      <c r="G532" t="s">
        <v>1699</v>
      </c>
      <c r="H532" t="s">
        <v>34</v>
      </c>
      <c r="I532" t="s">
        <v>36</v>
      </c>
      <c r="J532" t="s">
        <v>37</v>
      </c>
      <c r="L532" t="b">
        <f t="shared" si="56"/>
        <v>0</v>
      </c>
      <c r="M532" t="b">
        <f t="shared" si="57"/>
        <v>1</v>
      </c>
      <c r="N532" t="b">
        <f t="shared" si="58"/>
        <v>0</v>
      </c>
      <c r="O532" t="b">
        <f t="shared" si="59"/>
        <v>0</v>
      </c>
      <c r="P532">
        <f t="shared" si="60"/>
        <v>0</v>
      </c>
      <c r="Q532" t="b">
        <f t="shared" si="61"/>
        <v>1</v>
      </c>
      <c r="R532">
        <f t="shared" si="62"/>
        <v>0</v>
      </c>
    </row>
    <row r="533" spans="1:18" ht="19.5" x14ac:dyDescent="0.55000000000000004">
      <c r="A533" s="27"/>
      <c r="B533" s="31"/>
      <c r="C533" s="27"/>
      <c r="D533" s="26"/>
      <c r="E533" s="26"/>
      <c r="F533">
        <v>90560</v>
      </c>
      <c r="G533" t="s">
        <v>1701</v>
      </c>
      <c r="H533" t="s">
        <v>34</v>
      </c>
      <c r="I533" t="s">
        <v>36</v>
      </c>
      <c r="J533" t="s">
        <v>156</v>
      </c>
      <c r="L533" t="b">
        <f t="shared" si="56"/>
        <v>0</v>
      </c>
      <c r="M533" t="b">
        <f t="shared" si="57"/>
        <v>1</v>
      </c>
      <c r="N533" t="b">
        <f t="shared" si="58"/>
        <v>0</v>
      </c>
      <c r="O533" t="b">
        <f t="shared" si="59"/>
        <v>0</v>
      </c>
      <c r="P533">
        <f t="shared" si="60"/>
        <v>0</v>
      </c>
      <c r="Q533" t="b">
        <f t="shared" si="61"/>
        <v>1</v>
      </c>
      <c r="R533">
        <f t="shared" si="62"/>
        <v>0</v>
      </c>
    </row>
    <row r="534" spans="1:18" ht="19.5" x14ac:dyDescent="0.55000000000000004">
      <c r="A534" s="27"/>
      <c r="B534" s="31"/>
      <c r="C534" s="27"/>
      <c r="D534" s="26"/>
      <c r="E534" s="26"/>
      <c r="F534">
        <v>90559</v>
      </c>
      <c r="G534" t="s">
        <v>1704</v>
      </c>
      <c r="H534" t="s">
        <v>34</v>
      </c>
      <c r="I534" t="s">
        <v>36</v>
      </c>
      <c r="J534" t="s">
        <v>1375</v>
      </c>
      <c r="L534" t="b">
        <f t="shared" si="56"/>
        <v>0</v>
      </c>
      <c r="M534" t="b">
        <f t="shared" si="57"/>
        <v>0</v>
      </c>
      <c r="N534" t="b">
        <f t="shared" si="58"/>
        <v>0</v>
      </c>
      <c r="O534" t="b">
        <f t="shared" si="59"/>
        <v>0</v>
      </c>
      <c r="P534">
        <f t="shared" si="60"/>
        <v>0</v>
      </c>
      <c r="Q534" t="b">
        <f t="shared" si="61"/>
        <v>1</v>
      </c>
      <c r="R534">
        <f t="shared" si="62"/>
        <v>0</v>
      </c>
    </row>
    <row r="535" spans="1:18" ht="19.5" x14ac:dyDescent="0.55000000000000004">
      <c r="A535" s="27"/>
      <c r="B535" s="31"/>
      <c r="C535" s="27"/>
      <c r="D535" s="26"/>
      <c r="E535" s="26"/>
      <c r="F535">
        <v>90558</v>
      </c>
      <c r="G535" t="s">
        <v>1706</v>
      </c>
      <c r="H535" t="s">
        <v>136</v>
      </c>
      <c r="I535" t="s">
        <v>71</v>
      </c>
      <c r="J535" t="s">
        <v>99</v>
      </c>
      <c r="L535" t="b">
        <f t="shared" si="56"/>
        <v>0</v>
      </c>
      <c r="M535" t="b">
        <f t="shared" si="57"/>
        <v>1</v>
      </c>
      <c r="N535" t="b">
        <f t="shared" si="58"/>
        <v>0</v>
      </c>
      <c r="O535" t="b">
        <f t="shared" si="59"/>
        <v>0</v>
      </c>
      <c r="P535">
        <f t="shared" si="60"/>
        <v>0</v>
      </c>
      <c r="Q535" t="b">
        <f t="shared" si="61"/>
        <v>1</v>
      </c>
      <c r="R535">
        <f t="shared" si="62"/>
        <v>0</v>
      </c>
    </row>
    <row r="536" spans="1:18" ht="19.5" x14ac:dyDescent="0.55000000000000004">
      <c r="A536" s="27"/>
      <c r="B536" s="31"/>
      <c r="C536" s="27"/>
      <c r="D536" s="26"/>
      <c r="E536" s="26"/>
      <c r="F536">
        <v>90564</v>
      </c>
      <c r="G536" t="s">
        <v>1708</v>
      </c>
      <c r="H536" t="s">
        <v>75</v>
      </c>
      <c r="I536" t="s">
        <v>229</v>
      </c>
      <c r="J536" t="s">
        <v>56</v>
      </c>
      <c r="L536" t="b">
        <f t="shared" si="56"/>
        <v>0</v>
      </c>
      <c r="M536" t="b">
        <f t="shared" si="57"/>
        <v>0</v>
      </c>
      <c r="N536" t="b">
        <f t="shared" si="58"/>
        <v>0</v>
      </c>
      <c r="O536" t="b">
        <f t="shared" si="59"/>
        <v>0</v>
      </c>
      <c r="P536">
        <f t="shared" si="60"/>
        <v>0</v>
      </c>
      <c r="Q536" t="b">
        <f t="shared" si="61"/>
        <v>1</v>
      </c>
      <c r="R536">
        <f t="shared" si="62"/>
        <v>0</v>
      </c>
    </row>
    <row r="537" spans="1:18" ht="19.5" x14ac:dyDescent="0.55000000000000004">
      <c r="A537" s="27"/>
      <c r="B537" s="31"/>
      <c r="C537" s="27"/>
      <c r="D537" s="26"/>
      <c r="E537" s="26"/>
      <c r="F537">
        <v>90563</v>
      </c>
      <c r="G537" t="s">
        <v>1711</v>
      </c>
      <c r="H537" t="s">
        <v>75</v>
      </c>
      <c r="I537" t="s">
        <v>229</v>
      </c>
      <c r="J537" t="s">
        <v>56</v>
      </c>
      <c r="L537" t="b">
        <f t="shared" si="56"/>
        <v>0</v>
      </c>
      <c r="M537" t="b">
        <f t="shared" si="57"/>
        <v>0</v>
      </c>
      <c r="N537" t="b">
        <f t="shared" si="58"/>
        <v>0</v>
      </c>
      <c r="O537" t="b">
        <f t="shared" si="59"/>
        <v>0</v>
      </c>
      <c r="P537">
        <f t="shared" si="60"/>
        <v>0</v>
      </c>
      <c r="Q537" t="b">
        <f t="shared" si="61"/>
        <v>1</v>
      </c>
      <c r="R537">
        <f t="shared" si="62"/>
        <v>0</v>
      </c>
    </row>
    <row r="538" spans="1:18" ht="19.5" x14ac:dyDescent="0.55000000000000004">
      <c r="A538" s="27"/>
      <c r="B538" s="31"/>
      <c r="C538" s="27"/>
      <c r="D538" s="26"/>
      <c r="E538" s="26"/>
      <c r="F538">
        <v>90565</v>
      </c>
      <c r="G538" t="s">
        <v>1713</v>
      </c>
      <c r="H538" t="s">
        <v>136</v>
      </c>
      <c r="I538" t="s">
        <v>46</v>
      </c>
      <c r="J538" t="s">
        <v>1714</v>
      </c>
      <c r="L538" t="b">
        <f t="shared" si="56"/>
        <v>0</v>
      </c>
      <c r="M538" t="b">
        <f t="shared" si="57"/>
        <v>1</v>
      </c>
      <c r="N538" t="b">
        <f t="shared" si="58"/>
        <v>0</v>
      </c>
      <c r="O538" t="b">
        <f t="shared" si="59"/>
        <v>0</v>
      </c>
      <c r="P538">
        <f t="shared" si="60"/>
        <v>0</v>
      </c>
      <c r="Q538" t="b">
        <f t="shared" si="61"/>
        <v>1</v>
      </c>
      <c r="R538">
        <f t="shared" si="62"/>
        <v>0</v>
      </c>
    </row>
    <row r="539" spans="1:18" ht="19.5" x14ac:dyDescent="0.55000000000000004">
      <c r="A539" s="27"/>
      <c r="B539" s="31"/>
      <c r="C539" s="27"/>
      <c r="D539" s="26"/>
      <c r="E539" s="26"/>
    </row>
    <row r="540" spans="1:18" ht="19.5" x14ac:dyDescent="0.55000000000000004">
      <c r="A540" s="27"/>
      <c r="B540" s="31"/>
      <c r="C540" s="27"/>
      <c r="D540" s="26"/>
      <c r="E540" s="26"/>
    </row>
    <row r="541" spans="1:18" ht="19.5" x14ac:dyDescent="0.55000000000000004">
      <c r="A541" s="27"/>
      <c r="B541" s="31"/>
      <c r="C541" s="27"/>
      <c r="D541" s="26"/>
      <c r="E541" s="26"/>
    </row>
    <row r="542" spans="1:18" ht="19.5" x14ac:dyDescent="0.55000000000000004">
      <c r="A542" s="27"/>
      <c r="B542" s="31"/>
      <c r="C542" s="27"/>
      <c r="D542" s="26"/>
      <c r="E542" s="26"/>
    </row>
  </sheetData>
  <mergeCells count="2">
    <mergeCell ref="B3:C3"/>
    <mergeCell ref="B2:C2"/>
  </mergeCells>
  <conditionalFormatting sqref="A6:E542">
    <cfRule type="expression" dxfId="0" priority="1">
      <formula>MOD(ROW(),2)=0</formula>
    </cfRule>
  </conditionalFormatting>
  <dataValidations disablePrompts="1" count="1">
    <dataValidation type="list" allowBlank="1" showInputMessage="1" showErrorMessage="1" sqref="B2" xr:uid="{1548533F-29D7-4083-A7CE-8C028384CFBA}">
      <formula1>$K$1:$K$40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Composições</vt:lpstr>
      <vt:lpstr>Busca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Edvanio Teixeira</dc:creator>
  <cp:lastModifiedBy>Leonardo Cartesian</cp:lastModifiedBy>
  <dcterms:created xsi:type="dcterms:W3CDTF">2020-06-01T02:07:05Z</dcterms:created>
  <dcterms:modified xsi:type="dcterms:W3CDTF">2026-04-21T02:58:55Z</dcterms:modified>
</cp:coreProperties>
</file>