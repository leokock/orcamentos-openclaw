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Ger_Tec e Adm" sheetId="1" state="visible" r:id="rId1"/>
  </sheets>
  <externalReferences>
    <externalReference xmlns:r="http://schemas.openxmlformats.org/officeDocument/2006/relationships" r:id="rId2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Adm'!$A$7:$R$787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;@"/>
    <numFmt numFmtId="165" formatCode="0#"/>
    <numFmt numFmtId="166" formatCode="00#"/>
    <numFmt numFmtId="167" formatCode="#,##0.00000000"/>
    <numFmt numFmtId="168" formatCode="_-&quot;R$&quot;\ * #,##0.00_-;\-&quot;R$&quot;\ * #,##0.00_-;_-&quot;R$&quot;\ * &quot;-&quot;??_-;_-@_-"/>
    <numFmt numFmtId="169" formatCode="_-* #,##0.00_-;\-* #,##0.00_-;_-* &quot;-&quot;??_-;_-@_-"/>
  </numFmts>
  <fonts count="22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8"/>
    </font>
    <font>
      <name val="Arial"/>
      <family val="2"/>
      <sz val="9.5"/>
      <scheme val="minor"/>
    </font>
    <font>
      <name val="Arial"/>
      <family val="2"/>
      <b val="1"/>
      <sz val="9"/>
      <scheme val="minor"/>
    </font>
    <font>
      <name val="Arial"/>
      <family val="2"/>
      <sz val="9"/>
      <scheme val="minor"/>
    </font>
    <font>
      <name val="Arial"/>
      <family val="2"/>
      <b val="1"/>
      <sz val="9.5"/>
      <scheme val="minor"/>
    </font>
    <font>
      <name val="Arial"/>
      <family val="2"/>
      <color theme="0" tint="-0.499984740745262"/>
      <sz val="8"/>
      <scheme val="minor"/>
    </font>
    <font>
      <name val="Arial"/>
      <family val="2"/>
      <b val="1"/>
      <color theme="0"/>
      <sz val="10"/>
      <scheme val="minor"/>
    </font>
    <font>
      <name val="Arial"/>
      <family val="2"/>
      <sz val="8"/>
      <scheme val="minor"/>
    </font>
    <font>
      <name val="Arial"/>
      <family val="2"/>
      <color theme="0" tint="-0.499984740745262"/>
      <sz val="8"/>
    </font>
    <font>
      <name val="Arial"/>
      <family val="2"/>
      <sz val="10"/>
      <scheme val="minor"/>
    </font>
    <font>
      <name val="Arial"/>
      <family val="2"/>
      <b val="1"/>
      <color theme="0"/>
      <sz val="8"/>
      <scheme val="minor"/>
    </font>
    <font>
      <name val="Arial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Arial"/>
      <family val="2"/>
      <color rgb="FFFF0000"/>
      <sz val="8"/>
      <scheme val="minor"/>
    </font>
    <font>
      <name val="Arial"/>
      <family val="2"/>
      <b val="1"/>
      <sz val="8"/>
      <scheme val="minor"/>
    </font>
    <font>
      <name val="Arial"/>
      <family val="2"/>
      <b val="1"/>
      <sz val="8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43" fontId="1" fillId="0" borderId="0"/>
    <xf numFmtId="0" fontId="1" fillId="0" borderId="0"/>
    <xf numFmtId="43" fontId="1" fillId="0" borderId="0"/>
    <xf numFmtId="0" fontId="16" fillId="0" borderId="0"/>
    <xf numFmtId="44" fontId="1" fillId="0" borderId="0"/>
  </cellStyleXfs>
  <cellXfs count="106">
    <xf numFmtId="0" fontId="0" fillId="0" borderId="0" pivotButton="0" quotePrefix="0" xfId="0"/>
    <xf numFmtId="0" fontId="1" fillId="0" borderId="0" pivotButton="0" quotePrefix="0" xfId="1"/>
    <xf numFmtId="49" fontId="1" fillId="0" borderId="1" pivotButton="0" quotePrefix="0" xfId="1"/>
    <xf numFmtId="0" fontId="1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center" vertical="center"/>
    </xf>
    <xf numFmtId="0" fontId="1" fillId="0" borderId="1" pivotButton="0" quotePrefix="0" xfId="1"/>
    <xf numFmtId="0" fontId="1" fillId="0" borderId="1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1" fillId="0" borderId="2" applyAlignment="1" pivotButton="0" quotePrefix="0" xfId="1">
      <alignment vertical="center"/>
    </xf>
    <xf numFmtId="0" fontId="1" fillId="0" borderId="3" applyAlignment="1" pivotButton="0" quotePrefix="0" xfId="1">
      <alignment vertical="center"/>
    </xf>
    <xf numFmtId="0" fontId="1" fillId="0" borderId="3" applyAlignment="1" pivotButton="0" quotePrefix="0" xfId="1">
      <alignment horizontal="left"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right" vertical="center"/>
    </xf>
    <xf numFmtId="0" fontId="3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1" fillId="0" borderId="6" applyAlignment="1" pivotButton="0" quotePrefix="0" xfId="1">
      <alignment vertical="center"/>
    </xf>
    <xf numFmtId="0" fontId="1" fillId="0" borderId="6" applyAlignment="1" pivotButton="0" quotePrefix="0" xfId="1">
      <alignment horizontal="left" vertical="center"/>
    </xf>
    <xf numFmtId="0" fontId="2" fillId="0" borderId="6" applyAlignment="1" pivotButton="0" quotePrefix="0" xfId="1">
      <alignment vertical="center"/>
    </xf>
    <xf numFmtId="0" fontId="2" fillId="0" borderId="6" applyAlignment="1" pivotButton="0" quotePrefix="0" xfId="1">
      <alignment horizontal="right" vertical="center"/>
    </xf>
    <xf numFmtId="0" fontId="3" fillId="0" borderId="6" applyAlignment="1" pivotButton="0" quotePrefix="0" xfId="1">
      <alignment horizontal="center" vertical="center"/>
    </xf>
    <xf numFmtId="0" fontId="1" fillId="0" borderId="7" applyAlignment="1" pivotButton="0" quotePrefix="0" xfId="1">
      <alignment vertical="center"/>
    </xf>
    <xf numFmtId="0" fontId="5" fillId="0" borderId="0" pivotButton="0" quotePrefix="0" xfId="2"/>
    <xf numFmtId="0" fontId="6" fillId="0" borderId="8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164" fontId="6" fillId="0" borderId="9" applyAlignment="1" pivotButton="0" quotePrefix="1" xfId="3">
      <alignment horizontal="left" vertical="center"/>
    </xf>
    <xf numFmtId="0" fontId="5" fillId="0" borderId="0" applyAlignment="1" pivotButton="0" quotePrefix="0" xfId="2">
      <alignment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17" fontId="7" fillId="0" borderId="0" applyAlignment="1" pivotButton="0" quotePrefix="0" xfId="2">
      <alignment vertical="center"/>
    </xf>
    <xf numFmtId="164" fontId="7" fillId="0" borderId="9" applyAlignment="1" pivotButton="0" quotePrefix="1" xfId="3">
      <alignment horizontal="left" vertical="center"/>
    </xf>
    <xf numFmtId="0" fontId="9" fillId="0" borderId="0" pivotButton="0" quotePrefix="0" xfId="1"/>
    <xf numFmtId="49" fontId="10" fillId="2" borderId="10" applyAlignment="1" pivotButton="0" quotePrefix="0" xfId="1">
      <alignment horizontal="center" vertical="center" wrapText="1"/>
    </xf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11" applyAlignment="1" pivotButton="0" quotePrefix="0" xfId="1">
      <alignment horizontal="center" vertical="center" wrapText="1"/>
    </xf>
    <xf numFmtId="49" fontId="14" fillId="3" borderId="11" applyAlignment="1" pivotButton="0" quotePrefix="0" xfId="1">
      <alignment horizontal="center" vertical="center"/>
    </xf>
    <xf numFmtId="49" fontId="15" fillId="3" borderId="11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10" applyAlignment="1" pivotButton="0" quotePrefix="0" xfId="1">
      <alignment horizontal="center" vertical="center" wrapText="1"/>
    </xf>
    <xf numFmtId="0" fontId="15" fillId="3" borderId="12" applyAlignment="1" pivotButton="0" quotePrefix="0" xfId="5">
      <alignment horizontal="center" vertical="center" wrapText="1"/>
    </xf>
    <xf numFmtId="0" fontId="15" fillId="3" borderId="3" applyAlignment="1" pivotButton="0" quotePrefix="0" xfId="5">
      <alignment horizontal="center" vertical="center" wrapText="1"/>
    </xf>
    <xf numFmtId="0" fontId="15" fillId="3" borderId="4" applyAlignment="1" pivotButton="0" quotePrefix="0" xfId="5">
      <alignment horizontal="center" vertical="center" wrapText="1"/>
    </xf>
    <xf numFmtId="49" fontId="11" fillId="0" borderId="13" applyAlignment="1" pivotButton="0" quotePrefix="0" xfId="1">
      <alignment horizontal="left" vertical="center" wrapText="1"/>
    </xf>
    <xf numFmtId="49" fontId="11" fillId="0" borderId="14" applyAlignment="1" pivotButton="0" quotePrefix="0" xfId="1">
      <alignment horizontal="left" vertical="center"/>
    </xf>
    <xf numFmtId="49" fontId="11" fillId="0" borderId="14" applyAlignment="1" pivotButton="0" quotePrefix="1" xfId="1">
      <alignment horizontal="left" vertical="center" wrapText="1"/>
    </xf>
    <xf numFmtId="0" fontId="11" fillId="0" borderId="14" applyAlignment="1" pivotButton="0" quotePrefix="0" xfId="1">
      <alignment horizontal="left" vertical="center"/>
    </xf>
    <xf numFmtId="0" fontId="11" fillId="0" borderId="14" applyAlignment="1" pivotButton="0" quotePrefix="0" xfId="1">
      <alignment horizontal="center" vertical="center" wrapText="1"/>
    </xf>
    <xf numFmtId="4" fontId="11" fillId="0" borderId="14" applyAlignment="1" pivotButton="0" quotePrefix="0" xfId="5">
      <alignment horizontal="center" vertical="center" wrapText="1"/>
    </xf>
    <xf numFmtId="4" fontId="11" fillId="0" borderId="14" applyAlignment="1" pivotButton="0" quotePrefix="0" xfId="5">
      <alignment horizontal="right" vertical="center" wrapText="1"/>
    </xf>
    <xf numFmtId="4" fontId="11" fillId="0" borderId="14" applyAlignment="1" pivotButton="0" quotePrefix="0" xfId="5">
      <alignment horizontal="left" vertical="center"/>
    </xf>
    <xf numFmtId="4" fontId="11" fillId="0" borderId="15" applyAlignment="1" pivotButton="0" quotePrefix="0" xfId="1">
      <alignment horizontal="center" vertical="center" wrapText="1"/>
    </xf>
    <xf numFmtId="4" fontId="11" fillId="0" borderId="0" applyAlignment="1" pivotButton="0" quotePrefix="0" xfId="1">
      <alignment vertical="center"/>
    </xf>
    <xf numFmtId="0" fontId="11" fillId="0" borderId="14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4" applyAlignment="1" pivotButton="0" quotePrefix="1" xfId="1">
      <alignment horizontal="left" vertical="center" wrapText="1"/>
    </xf>
    <xf numFmtId="4" fontId="17" fillId="0" borderId="14" applyAlignment="1" pivotButton="0" quotePrefix="0" xfId="6">
      <alignment horizontal="center" vertical="center"/>
    </xf>
    <xf numFmtId="4" fontId="18" fillId="0" borderId="14" applyAlignment="1" pivotButton="0" quotePrefix="0" xfId="5">
      <alignment horizontal="center" vertical="center" wrapText="1"/>
    </xf>
    <xf numFmtId="167" fontId="11" fillId="0" borderId="0" applyAlignment="1" pivotButton="0" quotePrefix="0" xfId="1">
      <alignment vertical="center"/>
    </xf>
    <xf numFmtId="0" fontId="18" fillId="0" borderId="14" applyAlignment="1" pivotButton="0" quotePrefix="0" xfId="1">
      <alignment horizontal="left" vertical="center"/>
    </xf>
    <xf numFmtId="0" fontId="18" fillId="0" borderId="14" applyAlignment="1" pivotButton="0" quotePrefix="0" xfId="1">
      <alignment horizontal="center" vertical="center" wrapText="1"/>
    </xf>
    <xf numFmtId="4" fontId="18" fillId="0" borderId="14" applyAlignment="1" pivotButton="0" quotePrefix="0" xfId="5">
      <alignment horizontal="right" vertical="center" wrapText="1"/>
    </xf>
    <xf numFmtId="0" fontId="19" fillId="0" borderId="0" applyAlignment="1" pivotButton="0" quotePrefix="0" xfId="1">
      <alignment vertical="center"/>
    </xf>
    <xf numFmtId="49" fontId="14" fillId="4" borderId="0" applyAlignment="1" pivotButton="0" quotePrefix="0" xfId="1">
      <alignment vertical="center"/>
    </xf>
    <xf numFmtId="0" fontId="14" fillId="4" borderId="0" applyAlignment="1" pivotButton="0" quotePrefix="0" xfId="1">
      <alignment horizontal="left" vertical="center"/>
    </xf>
    <xf numFmtId="0" fontId="14" fillId="4" borderId="0" applyAlignment="1" pivotButton="0" quotePrefix="0" xfId="1">
      <alignment horizontal="center" vertical="center"/>
    </xf>
    <xf numFmtId="0" fontId="14" fillId="4" borderId="0" applyAlignment="1" pivotButton="0" quotePrefix="0" xfId="5">
      <alignment vertical="center"/>
    </xf>
    <xf numFmtId="168" fontId="14" fillId="4" borderId="0" applyAlignment="1" pivotButton="0" quotePrefix="0" xfId="7">
      <alignment vertical="center"/>
    </xf>
    <xf numFmtId="49" fontId="19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20" fillId="0" borderId="0" applyAlignment="1" pivotButton="0" quotePrefix="0" xfId="5">
      <alignment vertical="center"/>
    </xf>
    <xf numFmtId="43" fontId="20" fillId="0" borderId="0" applyAlignment="1" pivotButton="0" quotePrefix="0" xfId="5">
      <alignment vertical="center"/>
    </xf>
    <xf numFmtId="0" fontId="20" fillId="0" borderId="0" applyAlignment="1" pivotButton="0" quotePrefix="0" xfId="5">
      <alignment horizontal="left" vertical="center"/>
    </xf>
    <xf numFmtId="0" fontId="4" fillId="0" borderId="0" applyAlignment="1" pivotButton="0" quotePrefix="0" xfId="5">
      <alignment vertical="center"/>
    </xf>
    <xf numFmtId="0" fontId="20" fillId="0" borderId="0" applyAlignment="1" pivotButton="0" quotePrefix="0" xfId="1">
      <alignment horizontal="center" vertical="center"/>
    </xf>
    <xf numFmtId="169" fontId="4" fillId="0" borderId="0" applyAlignment="1" pivotButton="0" quotePrefix="0" xfId="1">
      <alignment horizontal="left" vertical="center"/>
    </xf>
    <xf numFmtId="2" fontId="4" fillId="0" borderId="0" applyAlignment="1" pivotButton="0" quotePrefix="0" xfId="7">
      <alignment horizontal="left" vertical="center"/>
    </xf>
    <xf numFmtId="168" fontId="20" fillId="0" borderId="0" applyAlignment="1" pivotButton="0" quotePrefix="0" xfId="5">
      <alignment vertical="center"/>
    </xf>
    <xf numFmtId="0" fontId="20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164" fontId="6" fillId="0" borderId="9" applyAlignment="1" pivotButton="0" quotePrefix="1" xfId="3">
      <alignment horizontal="left"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64" fontId="7" fillId="0" borderId="9" applyAlignment="1" pivotButton="0" quotePrefix="1" xfId="3">
      <alignment horizontal="left" vertical="center"/>
    </xf>
    <xf numFmtId="0" fontId="0" fillId="0" borderId="16" pivotButton="0" quotePrefix="0" xfId="0"/>
    <xf numFmtId="0" fontId="0" fillId="0" borderId="12" pivotButton="0" quotePrefix="0" xfId="0"/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4" fontId="21" fillId="5" borderId="14" applyAlignment="1" pivotButton="0" quotePrefix="0" xfId="5">
      <alignment horizontal="center" vertical="center" wrapText="1"/>
    </xf>
    <xf numFmtId="4" fontId="21" fillId="5" borderId="14" applyAlignment="1" pivotButton="0" quotePrefix="0" xfId="5">
      <alignment horizontal="right" vertical="center" wrapText="1"/>
    </xf>
    <xf numFmtId="167" fontId="11" fillId="0" borderId="0" applyAlignment="1" pivotButton="0" quotePrefix="0" xfId="1">
      <alignment vertical="center"/>
    </xf>
    <xf numFmtId="168" fontId="14" fillId="4" borderId="0" applyAlignment="1" pivotButton="0" quotePrefix="0" xfId="7">
      <alignment vertical="center"/>
    </xf>
    <xf numFmtId="43" fontId="20" fillId="0" borderId="0" applyAlignment="1" pivotButton="0" quotePrefix="0" xfId="5">
      <alignment vertical="center"/>
    </xf>
    <xf numFmtId="169" fontId="4" fillId="0" borderId="0" applyAlignment="1" pivotButton="0" quotePrefix="0" xfId="1">
      <alignment horizontal="left" vertical="center"/>
    </xf>
    <xf numFmtId="168" fontId="20" fillId="0" borderId="0" applyAlignment="1" pivotButton="0" quotePrefix="0" xfId="5">
      <alignment vertical="center"/>
    </xf>
  </cellXfs>
  <cellStyles count="8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</cellStyles>
  <dxfs count="235"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5270" y="253365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ed3fbc9d20652ac8/&#193;rea%20de%20Trabalho/CTN-TZN_ELT%20-%20Or&#231;amento%20Executivo_R00_Le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EAP"/>
      <sheetName val="PROJETOS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>
        <row r="2">
          <cell r="C2" t="str">
            <v>Elizabeth II Royal Home</v>
          </cell>
        </row>
        <row r="3">
          <cell r="C3" t="str">
            <v>Gessele</v>
          </cell>
        </row>
        <row r="4">
          <cell r="C4" t="str">
            <v xml:space="preserve">R00 </v>
          </cell>
        </row>
        <row r="10">
          <cell r="C10">
            <v>16749.670000000002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D1" t="str">
            <v>Descrição</v>
          </cell>
          <cell r="H1" t="str">
            <v>Custo Total.</v>
          </cell>
        </row>
        <row r="2">
          <cell r="D2" t="str">
            <v>CUSTOS INDIRETOS</v>
          </cell>
          <cell r="H2">
            <v>0</v>
          </cell>
        </row>
        <row r="3">
          <cell r="D3" t="str">
            <v>INSTALAÇÕES PROVISÓRIAS</v>
          </cell>
          <cell r="H3">
            <v>0</v>
          </cell>
        </row>
        <row r="4">
          <cell r="D4" t="str">
            <v>Central de aço</v>
          </cell>
          <cell r="H4">
            <v>118.10449999999999</v>
          </cell>
        </row>
        <row r="5">
          <cell r="D5" t="str">
            <v>LONA PLASTICA 120 MICRAS 4X100M PRETA</v>
          </cell>
          <cell r="H5">
            <v>1.25</v>
          </cell>
        </row>
        <row r="6">
          <cell r="D6" t="str">
            <v>TELHA METALICA GALVANIZADA TRAPEZOIDAL 0,43MM NBR 14514</v>
          </cell>
          <cell r="H6">
            <v>31</v>
          </cell>
        </row>
        <row r="7">
          <cell r="D7" t="str">
            <v>Concreto Usinado bombeável 20MPa Convencional</v>
          </cell>
          <cell r="H7">
            <v>36.26</v>
          </cell>
        </row>
        <row r="8">
          <cell r="D8" t="str">
            <v>PREGO GALVANIZADO LISO S/CABECA 17X21 NBR 6627</v>
          </cell>
          <cell r="H8">
            <v>1.5044999999999999</v>
          </cell>
        </row>
        <row r="9">
          <cell r="D9" t="str">
            <v>BLOCO CONCRETO ESTRUTURAL 03MPA 14X19X39CM NBR 6136</v>
          </cell>
          <cell r="H9">
            <v>26.55</v>
          </cell>
        </row>
        <row r="10">
          <cell r="D10" t="str">
            <v>ARGAMASSA ENSACADA P/ASSENTAMENTO BLOCO 04MPA NBR 13281</v>
          </cell>
          <cell r="H10">
            <v>11.040000000000001</v>
          </cell>
        </row>
        <row r="11">
          <cell r="D11" t="str">
            <v>SERVICO EMP. - INST. PROVISORIA - CONFECCAO BAIA P/MATERIAL</v>
          </cell>
          <cell r="H11">
            <v>10.5</v>
          </cell>
        </row>
        <row r="12">
          <cell r="D12" t="str">
            <v>Central de fôrmas</v>
          </cell>
          <cell r="H12">
            <v>118.10449999999999</v>
          </cell>
        </row>
        <row r="13">
          <cell r="D13" t="str">
            <v>LONA PLASTICA 120 MICRAS 4X100M PRETA</v>
          </cell>
          <cell r="H13">
            <v>1.25</v>
          </cell>
        </row>
        <row r="14">
          <cell r="D14" t="str">
            <v>TELHA METALICA GALVANIZADA TRAPEZOIDAL 0,43MM NBR 14514</v>
          </cell>
          <cell r="H14">
            <v>31</v>
          </cell>
        </row>
        <row r="15">
          <cell r="D15" t="str">
            <v>Concreto Usinado bombeável 20MPa Convencional</v>
          </cell>
          <cell r="H15">
            <v>36.26</v>
          </cell>
        </row>
        <row r="16">
          <cell r="D16" t="str">
            <v>PREGO GALVANIZADO LISO S/CABECA 17X21 NBR 6627</v>
          </cell>
          <cell r="H16">
            <v>1.5044999999999999</v>
          </cell>
        </row>
        <row r="17">
          <cell r="D17" t="str">
            <v>BLOCO CONCRETO ESTRUTURAL 03MPA 14X19X39CM NBR 6136</v>
          </cell>
          <cell r="H17">
            <v>26.55</v>
          </cell>
        </row>
        <row r="18">
          <cell r="D18" t="str">
            <v>ARGAMASSA ENSACADA P/ASSENTAMENTO BLOCO 04MPA NBR 13281</v>
          </cell>
          <cell r="H18">
            <v>11.040000000000001</v>
          </cell>
        </row>
        <row r="19">
          <cell r="D19" t="str">
            <v>SERVICO EMP. - INST. PROVISORIA - CONFECCAO BAIA P/MATERIAL</v>
          </cell>
          <cell r="H19">
            <v>10.5</v>
          </cell>
        </row>
        <row r="20">
          <cell r="D20" t="str">
            <v>Central de Argamassa</v>
          </cell>
          <cell r="H20">
            <v>118.10449999999999</v>
          </cell>
        </row>
        <row r="21">
          <cell r="D21" t="str">
            <v>LONA PLASTICA 120 MICRAS 4X100M PRETA</v>
          </cell>
          <cell r="H21">
            <v>1.25</v>
          </cell>
        </row>
        <row r="22">
          <cell r="D22" t="str">
            <v>TELHA METALICA GALVANIZADA TRAPEZOIDAL 0,43MM NBR 14514</v>
          </cell>
          <cell r="H22">
            <v>31</v>
          </cell>
        </row>
        <row r="23">
          <cell r="D23" t="str">
            <v>Concreto Usinado bombeável 20MPa Convencional</v>
          </cell>
          <cell r="H23">
            <v>36.26</v>
          </cell>
        </row>
        <row r="24">
          <cell r="D24" t="str">
            <v>PREGO GALVANIZADO LISO S/CABECA 17X21 NBR 6627</v>
          </cell>
          <cell r="H24">
            <v>1.5044999999999999</v>
          </cell>
        </row>
        <row r="25">
          <cell r="D25" t="str">
            <v>BLOCO CONCRETO ESTRUTURAL 03MPA 14X19X39CM NBR 6136</v>
          </cell>
          <cell r="H25">
            <v>26.55</v>
          </cell>
        </row>
        <row r="26">
          <cell r="D26" t="str">
            <v>ARGAMASSA ENSACADA P/ASSENTAMENTO BLOCO 04MPA NBR 13281</v>
          </cell>
          <cell r="H26">
            <v>11.040000000000001</v>
          </cell>
        </row>
        <row r="27">
          <cell r="D27" t="str">
            <v>SERVICO EMP. - INST. PROVISORIA - CONFECCAO BAIA P/MATERIAL</v>
          </cell>
          <cell r="H27">
            <v>10.5</v>
          </cell>
        </row>
        <row r="28">
          <cell r="D28" t="str">
            <v>Armazenamento de cerâmicas*</v>
          </cell>
          <cell r="H28">
            <v>382.10489000000001</v>
          </cell>
        </row>
        <row r="29">
          <cell r="D29" t="str">
            <v>MADEIRA PINUS/SIMILAR - TABUA PINUS 200X20MM NBR 11700</v>
          </cell>
          <cell r="H29">
            <v>27.481499999999997</v>
          </cell>
        </row>
        <row r="30">
          <cell r="D30" t="str">
            <v>COMPENSADO MADEIRA TIPO RESINADO COLA FENOLICA 2440X1220X10MM</v>
          </cell>
          <cell r="H30">
            <v>23.617840000000001</v>
          </cell>
        </row>
        <row r="31">
          <cell r="D31" t="str">
            <v>MADEIRA PINUS/SIMILAR - PONTALETE 75X75MM NBR 11700/15696</v>
          </cell>
          <cell r="H31">
            <v>30.729999999999997</v>
          </cell>
        </row>
        <row r="32">
          <cell r="D32" t="str">
            <v>MADEIRA PINUS/SIMILAR - SARRAFO PINUS 50X20MM NBR 11700/15696</v>
          </cell>
          <cell r="H32">
            <v>6.9749999999999996</v>
          </cell>
        </row>
        <row r="33">
          <cell r="D33" t="str">
            <v>MADEIRA PINUS/SIMILAR - SARRAFO PINUS 50X10MM NBR 11700</v>
          </cell>
          <cell r="H33">
            <v>7.3900000000000006</v>
          </cell>
        </row>
        <row r="34">
          <cell r="D34" t="str">
            <v>PREGO DE ACO POLIDO COM CABECA 17 X 21 (2 X 11)</v>
          </cell>
          <cell r="H34">
            <v>18.13</v>
          </cell>
        </row>
        <row r="35">
          <cell r="D35" t="str">
            <v>EXTINTOR INCENDIO PO QUIMICO 06KG CLASSE ABC (COMPLETO) NBR 15808</v>
          </cell>
          <cell r="H35">
            <v>2.7805499999999999</v>
          </cell>
        </row>
        <row r="36">
          <cell r="D36" t="str">
            <v>MATERIAL PARA INSTALAÇÃO ELÉTRICA</v>
          </cell>
          <cell r="H36">
            <v>215</v>
          </cell>
        </row>
        <row r="37">
          <cell r="D37" t="str">
            <v>SERVICO INSTALAÇÃO BARRACAO ALMOXARIFADO</v>
          </cell>
          <cell r="H37">
            <v>50</v>
          </cell>
        </row>
        <row r="38">
          <cell r="D38" t="str">
            <v>Armazenamento de placas degesso*</v>
          </cell>
          <cell r="H38">
            <v>382.10489000000001</v>
          </cell>
        </row>
        <row r="39">
          <cell r="D39" t="str">
            <v>MADEIRA PINUS/SIMILAR - TABUA PINUS 200X20MM NBR 11700</v>
          </cell>
          <cell r="H39">
            <v>27.481499999999997</v>
          </cell>
        </row>
        <row r="40">
          <cell r="D40" t="str">
            <v>COMPENSADO MADEIRA TIPO RESINADO COLA FENOLICA 2440X1220X10MM</v>
          </cell>
          <cell r="H40">
            <v>23.617840000000001</v>
          </cell>
        </row>
        <row r="41">
          <cell r="D41" t="str">
            <v>MADEIRA PINUS/SIMILAR - PONTALETE 75X75MM NBR 11700/15696</v>
          </cell>
          <cell r="H41">
            <v>30.729999999999997</v>
          </cell>
        </row>
        <row r="42">
          <cell r="D42" t="str">
            <v>MADEIRA PINUS/SIMILAR - SARRAFO PINUS 50X20MM NBR 11700/15696</v>
          </cell>
          <cell r="H42">
            <v>6.9749999999999996</v>
          </cell>
        </row>
        <row r="43">
          <cell r="D43" t="str">
            <v>MADEIRA PINUS/SIMILAR - SARRAFO PINUS 50X10MM NBR 11700</v>
          </cell>
          <cell r="H43">
            <v>7.3900000000000006</v>
          </cell>
        </row>
        <row r="44">
          <cell r="D44" t="str">
            <v>PREGO DE ACO POLIDO COM CABECA 17 X 21 (2 X 11)</v>
          </cell>
          <cell r="H44">
            <v>18.13</v>
          </cell>
        </row>
        <row r="45">
          <cell r="D45" t="str">
            <v>EXTINTOR INCENDIO PO QUIMICO 06KG CLASSE ABC (COMPLETO) NBR 15808</v>
          </cell>
          <cell r="H45">
            <v>2.7805499999999999</v>
          </cell>
        </row>
        <row r="46">
          <cell r="D46" t="str">
            <v>MATERIAL PARA INSTALAÇÃO ELÉTRICA</v>
          </cell>
          <cell r="H46">
            <v>215</v>
          </cell>
        </row>
        <row r="47">
          <cell r="D47" t="str">
            <v>SERVICO INSTALAÇÃO BARRACAO ALMOXARIFADO</v>
          </cell>
          <cell r="H47">
            <v>50</v>
          </cell>
        </row>
        <row r="48">
          <cell r="D48" t="str">
            <v>Armazenamento de blocos*</v>
          </cell>
          <cell r="H48">
            <v>382.10489000000001</v>
          </cell>
        </row>
        <row r="49">
          <cell r="D49" t="str">
            <v>MADEIRA PINUS/SIMILAR - TABUA PINUS 200X20MM NBR 11700</v>
          </cell>
          <cell r="H49">
            <v>27.481499999999997</v>
          </cell>
        </row>
        <row r="50">
          <cell r="D50" t="str">
            <v>COMPENSADO MADEIRA TIPO RESINADO COLA FENOLICA 2440X1220X10MM</v>
          </cell>
          <cell r="H50">
            <v>23.617840000000001</v>
          </cell>
        </row>
        <row r="51">
          <cell r="D51" t="str">
            <v>MADEIRA PINUS/SIMILAR - PONTALETE 75X75MM NBR 11700/15696</v>
          </cell>
          <cell r="H51">
            <v>30.729999999999997</v>
          </cell>
        </row>
        <row r="52">
          <cell r="D52" t="str">
            <v>MADEIRA PINUS/SIMILAR - SARRAFO PINUS 50X20MM NBR 11700/15696</v>
          </cell>
          <cell r="H52">
            <v>6.9749999999999996</v>
          </cell>
        </row>
        <row r="53">
          <cell r="D53" t="str">
            <v>MADEIRA PINUS/SIMILAR - SARRAFO PINUS 50X10MM NBR 11700</v>
          </cell>
          <cell r="H53">
            <v>7.3900000000000006</v>
          </cell>
        </row>
        <row r="54">
          <cell r="D54" t="str">
            <v>PREGO DE ACO POLIDO COM CABECA 17 X 21 (2 X 11)</v>
          </cell>
          <cell r="H54">
            <v>18.13</v>
          </cell>
        </row>
        <row r="55">
          <cell r="D55" t="str">
            <v>EXTINTOR INCENDIO PO QUIMICO 06KG CLASSE ABC (COMPLETO) NBR 15808</v>
          </cell>
          <cell r="H55">
            <v>2.7805499999999999</v>
          </cell>
        </row>
        <row r="56">
          <cell r="D56" t="str">
            <v>MATERIAL PARA INSTALAÇÃO ELÉTRICA</v>
          </cell>
          <cell r="H56">
            <v>215</v>
          </cell>
        </row>
        <row r="57">
          <cell r="D57" t="str">
            <v>SERVICO INSTALAÇÃO BARRACAO ALMOXARIFADO</v>
          </cell>
          <cell r="H57">
            <v>50</v>
          </cell>
        </row>
        <row r="58">
          <cell r="D58" t="str">
            <v>Armazenamento de contramarcos*</v>
          </cell>
          <cell r="H58">
            <v>382.10489000000001</v>
          </cell>
        </row>
        <row r="59">
          <cell r="D59" t="str">
            <v>MADEIRA PINUS/SIMILAR - TABUA PINUS 200X20MM NBR 11700</v>
          </cell>
          <cell r="H59">
            <v>27.481499999999997</v>
          </cell>
        </row>
        <row r="60">
          <cell r="D60" t="str">
            <v>COMPENSADO MADEIRA TIPO RESINADO COLA FENOLICA 2440X1220X10MM</v>
          </cell>
          <cell r="H60">
            <v>23.617840000000001</v>
          </cell>
        </row>
        <row r="61">
          <cell r="D61" t="str">
            <v>MADEIRA PINUS/SIMILAR - PONTALETE 75X75MM NBR 11700/15696</v>
          </cell>
          <cell r="H61">
            <v>30.729999999999997</v>
          </cell>
        </row>
        <row r="62">
          <cell r="D62" t="str">
            <v>MADEIRA PINUS/SIMILAR - SARRAFO PINUS 50X20MM NBR 11700/15696</v>
          </cell>
          <cell r="H62">
            <v>6.9749999999999996</v>
          </cell>
        </row>
        <row r="63">
          <cell r="D63" t="str">
            <v>MADEIRA PINUS/SIMILAR - SARRAFO PINUS 50X10MM NBR 11700</v>
          </cell>
          <cell r="H63">
            <v>7.3900000000000006</v>
          </cell>
        </row>
        <row r="64">
          <cell r="D64" t="str">
            <v>PREGO DE ACO POLIDO COM CABECA 17 X 21 (2 X 11)</v>
          </cell>
          <cell r="H64">
            <v>18.13</v>
          </cell>
        </row>
        <row r="65">
          <cell r="D65" t="str">
            <v>EXTINTOR INCENDIO PO QUIMICO 06KG CLASSE ABC (COMPLETO) NBR 15808</v>
          </cell>
          <cell r="H65">
            <v>2.7805499999999999</v>
          </cell>
        </row>
        <row r="66">
          <cell r="D66" t="str">
            <v>MATERIAL PARA INSTALAÇÃO ELÉTRICA</v>
          </cell>
          <cell r="H66">
            <v>215</v>
          </cell>
        </row>
        <row r="67">
          <cell r="D67" t="str">
            <v>SERVICO INSTALAÇÃO BARRACAO ALMOXARIFADO</v>
          </cell>
          <cell r="H67">
            <v>50</v>
          </cell>
        </row>
        <row r="68">
          <cell r="D68" t="str">
            <v>Armazenamento de portas e rodapés*</v>
          </cell>
          <cell r="H68">
            <v>382.10489000000001</v>
          </cell>
        </row>
        <row r="69">
          <cell r="D69" t="str">
            <v>MADEIRA PINUS/SIMILAR - TABUA PINUS 200X20MM NBR 11700</v>
          </cell>
          <cell r="H69">
            <v>27.481499999999997</v>
          </cell>
        </row>
        <row r="70">
          <cell r="D70" t="str">
            <v>COMPENSADO MADEIRA TIPO RESINADO COLA FENOLICA 2440X1220X10MM</v>
          </cell>
          <cell r="H70">
            <v>23.617840000000001</v>
          </cell>
        </row>
        <row r="71">
          <cell r="D71" t="str">
            <v>MADEIRA PINUS/SIMILAR - PONTALETE 75X75MM NBR 11700/15696</v>
          </cell>
          <cell r="H71">
            <v>30.729999999999997</v>
          </cell>
        </row>
        <row r="72">
          <cell r="D72" t="str">
            <v>MADEIRA PINUS/SIMILAR - SARRAFO PINUS 50X20MM NBR 11700/15696</v>
          </cell>
          <cell r="H72">
            <v>6.9749999999999996</v>
          </cell>
        </row>
        <row r="73">
          <cell r="D73" t="str">
            <v>MADEIRA PINUS/SIMILAR - SARRAFO PINUS 50X10MM NBR 11700</v>
          </cell>
          <cell r="H73">
            <v>7.3900000000000006</v>
          </cell>
        </row>
        <row r="74">
          <cell r="D74" t="str">
            <v>PREGO DE ACO POLIDO COM CABECA 17 X 21 (2 X 11)</v>
          </cell>
          <cell r="H74">
            <v>18.13</v>
          </cell>
        </row>
        <row r="75">
          <cell r="D75" t="str">
            <v>EXTINTOR INCENDIO PO QUIMICO 06KG CLASSE ABC (COMPLETO) NBR 15808</v>
          </cell>
          <cell r="H75">
            <v>2.7805499999999999</v>
          </cell>
        </row>
        <row r="76">
          <cell r="D76" t="str">
            <v>MATERIAL PARA INSTALAÇÃO ELÉTRICA</v>
          </cell>
          <cell r="H76">
            <v>215</v>
          </cell>
        </row>
        <row r="77">
          <cell r="D77" t="str">
            <v>SERVICO INSTALAÇÃO BARRACAO ALMOXARIFADO</v>
          </cell>
          <cell r="H77">
            <v>50</v>
          </cell>
        </row>
        <row r="78">
          <cell r="D78" t="str">
            <v>Armazenamento de esquadrias*</v>
          </cell>
          <cell r="H78">
            <v>382.10489000000001</v>
          </cell>
        </row>
        <row r="79">
          <cell r="D79" t="str">
            <v>MADEIRA PINUS/SIMILAR - TABUA PINUS 200X20MM NBR 11700</v>
          </cell>
          <cell r="H79">
            <v>27.481499999999997</v>
          </cell>
        </row>
        <row r="80">
          <cell r="D80" t="str">
            <v>COMPENSADO MADEIRA TIPO RESINADO COLA FENOLICA 2440X1220X10MM</v>
          </cell>
          <cell r="H80">
            <v>23.617840000000001</v>
          </cell>
        </row>
        <row r="81">
          <cell r="D81" t="str">
            <v>MADEIRA PINUS/SIMILAR - PONTALETE 75X75MM NBR 11700/15696</v>
          </cell>
          <cell r="H81">
            <v>30.729999999999997</v>
          </cell>
        </row>
        <row r="82">
          <cell r="D82" t="str">
            <v>MADEIRA PINUS/SIMILAR - SARRAFO PINUS 50X20MM NBR 11700/15696</v>
          </cell>
          <cell r="H82">
            <v>6.9749999999999996</v>
          </cell>
        </row>
        <row r="83">
          <cell r="D83" t="str">
            <v>MADEIRA PINUS/SIMILAR - SARRAFO PINUS 50X10MM NBR 11700</v>
          </cell>
          <cell r="H83">
            <v>7.3900000000000006</v>
          </cell>
        </row>
        <row r="84">
          <cell r="D84" t="str">
            <v>PREGO DE ACO POLIDO COM CABECA 17 X 21 (2 X 11)</v>
          </cell>
          <cell r="H84">
            <v>18.13</v>
          </cell>
        </row>
        <row r="85">
          <cell r="D85" t="str">
            <v>EXTINTOR INCENDIO PO QUIMICO 06KG CLASSE ABC (COMPLETO) NBR 15808</v>
          </cell>
          <cell r="H85">
            <v>2.7805499999999999</v>
          </cell>
        </row>
        <row r="86">
          <cell r="D86" t="str">
            <v>MATERIAL PARA INSTALAÇÃO ELÉTRICA</v>
          </cell>
          <cell r="H86">
            <v>215</v>
          </cell>
        </row>
        <row r="87">
          <cell r="D87" t="str">
            <v>SERVICO INSTALAÇÃO BARRACAO ALMOXARIFADO</v>
          </cell>
          <cell r="H87">
            <v>50</v>
          </cell>
        </row>
        <row r="88">
          <cell r="D88" t="str">
            <v>Armazenamento de instalações complementares*</v>
          </cell>
          <cell r="H88">
            <v>382.10489000000001</v>
          </cell>
        </row>
        <row r="89">
          <cell r="D89" t="str">
            <v>MADEIRA PINUS/SIMILAR - TABUA PINUS 200X20MM NBR 11700</v>
          </cell>
          <cell r="H89">
            <v>27.481499999999997</v>
          </cell>
        </row>
        <row r="90">
          <cell r="D90" t="str">
            <v>COMPENSADO MADEIRA TIPO RESINADO COLA FENOLICA 2440X1220X10MM</v>
          </cell>
          <cell r="H90">
            <v>23.617840000000001</v>
          </cell>
        </row>
        <row r="91">
          <cell r="D91" t="str">
            <v>MADEIRA PINUS/SIMILAR - PONTALETE 75X75MM NBR 11700/15696</v>
          </cell>
          <cell r="H91">
            <v>30.729999999999997</v>
          </cell>
        </row>
        <row r="92">
          <cell r="D92" t="str">
            <v>MADEIRA PINUS/SIMILAR - SARRAFO PINUS 50X20MM NBR 11700/15696</v>
          </cell>
          <cell r="H92">
            <v>6.9749999999999996</v>
          </cell>
        </row>
        <row r="93">
          <cell r="D93" t="str">
            <v>MADEIRA PINUS/SIMILAR - SARRAFO PINUS 50X10MM NBR 11700</v>
          </cell>
          <cell r="H93">
            <v>7.3900000000000006</v>
          </cell>
        </row>
        <row r="94">
          <cell r="D94" t="str">
            <v>PREGO DE ACO POLIDO COM CABECA 17 X 21 (2 X 11)</v>
          </cell>
          <cell r="H94">
            <v>18.13</v>
          </cell>
        </row>
        <row r="95">
          <cell r="D95" t="str">
            <v>EXTINTOR INCENDIO PO QUIMICO 06KG CLASSE ABC (COMPLETO) NBR 15808</v>
          </cell>
          <cell r="H95">
            <v>2.7805499999999999</v>
          </cell>
        </row>
        <row r="96">
          <cell r="D96" t="str">
            <v>MATERIAL PARA INSTALAÇÃO ELÉTRICA</v>
          </cell>
          <cell r="H96">
            <v>215</v>
          </cell>
        </row>
        <row r="97">
          <cell r="D97" t="str">
            <v>SERVICO INSTALAÇÃO BARRACAO ALMOXARIFADO</v>
          </cell>
          <cell r="H97">
            <v>50</v>
          </cell>
        </row>
        <row r="98">
          <cell r="D98" t="str">
            <v>Armazenamento para estoque geral*</v>
          </cell>
          <cell r="H98">
            <v>382.10489000000001</v>
          </cell>
        </row>
        <row r="99">
          <cell r="D99" t="str">
            <v>MADEIRA PINUS/SIMILAR - TABUA PINUS 200X20MM NBR 11700</v>
          </cell>
          <cell r="H99">
            <v>27.481499999999997</v>
          </cell>
        </row>
        <row r="100">
          <cell r="D100" t="str">
            <v>COMPENSADO MADEIRA TIPO RESINADO COLA FENOLICA 2440X1220X10MM</v>
          </cell>
          <cell r="H100">
            <v>23.617840000000001</v>
          </cell>
        </row>
        <row r="101">
          <cell r="D101" t="str">
            <v>MADEIRA PINUS/SIMILAR - PONTALETE 75X75MM NBR 11700/15696</v>
          </cell>
          <cell r="H101">
            <v>30.729999999999997</v>
          </cell>
        </row>
        <row r="102">
          <cell r="D102" t="str">
            <v>MADEIRA PINUS/SIMILAR - SARRAFO PINUS 50X20MM NBR 11700/15696</v>
          </cell>
          <cell r="H102">
            <v>6.9749999999999996</v>
          </cell>
        </row>
        <row r="103">
          <cell r="D103" t="str">
            <v>MADEIRA PINUS/SIMILAR - SARRAFO PINUS 50X10MM NBR 11700</v>
          </cell>
          <cell r="H103">
            <v>7.3900000000000006</v>
          </cell>
        </row>
        <row r="104">
          <cell r="D104" t="str">
            <v>PREGO DE ACO POLIDO COM CABECA 17 X 21 (2 X 11)</v>
          </cell>
          <cell r="H104">
            <v>18.13</v>
          </cell>
        </row>
        <row r="105">
          <cell r="D105" t="str">
            <v>EXTINTOR INCENDIO PO QUIMICO 06KG CLASSE ABC (COMPLETO) NBR 15808</v>
          </cell>
          <cell r="H105">
            <v>2.7805499999999999</v>
          </cell>
        </row>
        <row r="106">
          <cell r="D106" t="str">
            <v>MATERIAL PARA INSTALAÇÃO ELÉTRICA</v>
          </cell>
          <cell r="H106">
            <v>215</v>
          </cell>
        </row>
        <row r="107">
          <cell r="D107" t="str">
            <v>SERVICO INSTALAÇÃO BARRACAO ALMOXARIFADO</v>
          </cell>
          <cell r="H107">
            <v>50</v>
          </cell>
        </row>
        <row r="108">
          <cell r="D108" t="str">
            <v>Construções temporárias</v>
          </cell>
          <cell r="H108">
            <v>454.54489999999998</v>
          </cell>
        </row>
        <row r="109">
          <cell r="D109" t="str">
            <v>MADEIRA PINUS/SIMILAR - TABUA PINUS 200X20MM NBR 11700</v>
          </cell>
          <cell r="H109">
            <v>27.481499999999997</v>
          </cell>
        </row>
        <row r="110">
          <cell r="D110" t="str">
            <v>COMPENSADO MADEIRA TIPO RESINADO COLA FENOLICA 2440X1220X10MM</v>
          </cell>
          <cell r="H110">
            <v>23.617840000000001</v>
          </cell>
        </row>
        <row r="111">
          <cell r="D111" t="str">
            <v>MADEIRA PINUS/SIMILAR - PONTALETE 75X75MM NBR 11700/15696</v>
          </cell>
          <cell r="H111">
            <v>30.729999999999997</v>
          </cell>
        </row>
        <row r="112">
          <cell r="D112" t="str">
            <v>MADEIRA PINUS/SIMILAR - SARRAFO PINUS 50X20MM NBR 11700/15696</v>
          </cell>
          <cell r="H112">
            <v>6.9749999999999996</v>
          </cell>
        </row>
        <row r="113">
          <cell r="D113" t="str">
            <v>MADEIRA PINUS/SIMILAR - SARRAFO PINUS 50X10MM NBR 11700</v>
          </cell>
          <cell r="H113">
            <v>7.3900000000000006</v>
          </cell>
        </row>
        <row r="114">
          <cell r="D114" t="str">
            <v>PREGO DE ACO POLIDO COM CABECA 17 X 21 (2 X 11)</v>
          </cell>
          <cell r="H114">
            <v>18.13</v>
          </cell>
        </row>
        <row r="115">
          <cell r="D115" t="str">
            <v>Concreto Usinado bombeável 20MPa Convencional</v>
          </cell>
          <cell r="H115">
            <v>36.26</v>
          </cell>
        </row>
        <row r="116">
          <cell r="D116" t="str">
            <v>TELA ACO CARBONO CA60 M.150X150MM F.03,4MM 245X600CM Q61 (14,26KG/UN)</v>
          </cell>
          <cell r="H116">
            <v>8.1373999999999977</v>
          </cell>
        </row>
        <row r="117">
          <cell r="D117" t="str">
            <v>TELHA FIBROCIMENTO NATURAL S/AMIANTO 06X1100X1530MM NBR 7581/15210</v>
          </cell>
          <cell r="H117">
            <v>25.358899999999998</v>
          </cell>
        </row>
        <row r="118">
          <cell r="D118" t="str">
            <v>TINTA LATEX ACRILICO FOSCO INT./EXT. PREMIUM PLUS BRANCO NBR 14942</v>
          </cell>
          <cell r="H118">
            <v>1.53</v>
          </cell>
        </row>
        <row r="119">
          <cell r="D119" t="str">
            <v>TINTA ESMALTE ACETINADO BASE SOLVENTE BRANCO NBR 15299</v>
          </cell>
          <cell r="H119">
            <v>0.6</v>
          </cell>
        </row>
        <row r="120">
          <cell r="D120" t="str">
            <v>SOLVENTE BASE THINNER P/TINTA NBR 14725</v>
          </cell>
          <cell r="H120">
            <v>0.48</v>
          </cell>
        </row>
        <row r="121">
          <cell r="D121" t="str">
            <v>LIXA DAGUA 225X275MM GR100</v>
          </cell>
          <cell r="H121">
            <v>7.3709999999999998E-2</v>
          </cell>
        </row>
        <row r="122">
          <cell r="D122" t="str">
            <v>EXTINTOR INCENDIO PO QUIMICO 06KG CLASSE ABC (COMPLETO) NBR 15808</v>
          </cell>
          <cell r="H122">
            <v>2.7805499999999999</v>
          </cell>
        </row>
        <row r="123">
          <cell r="D123" t="str">
            <v>MATERIAL PARA INSTALAÇÃO ELÉTRICA</v>
          </cell>
          <cell r="H123">
            <v>215</v>
          </cell>
        </row>
        <row r="124">
          <cell r="D124" t="str">
            <v>SERVICO INSTALAÇÃO BARRACAO ALMOXARIFADO</v>
          </cell>
          <cell r="H124">
            <v>50</v>
          </cell>
        </row>
        <row r="125">
          <cell r="D125" t="str">
            <v>Almoxarifado geral</v>
          </cell>
          <cell r="H125">
            <v>454.54489999999998</v>
          </cell>
        </row>
        <row r="126">
          <cell r="D126" t="str">
            <v>MADEIRA PINUS/SIMILAR - TABUA PINUS 200X20MM NBR 11700</v>
          </cell>
          <cell r="H126">
            <v>27.481499999999997</v>
          </cell>
        </row>
        <row r="127">
          <cell r="D127" t="str">
            <v>COMPENSADO MADEIRA TIPO RESINADO COLA FENOLICA 2440X1220X10MM</v>
          </cell>
          <cell r="H127">
            <v>23.617840000000001</v>
          </cell>
        </row>
        <row r="128">
          <cell r="D128" t="str">
            <v>MADEIRA PINUS/SIMILAR - PONTALETE 75X75MM NBR 11700/15696</v>
          </cell>
          <cell r="H128">
            <v>30.729999999999997</v>
          </cell>
        </row>
        <row r="129">
          <cell r="D129" t="str">
            <v>MADEIRA PINUS/SIMILAR - SARRAFO PINUS 50X20MM NBR 11700/15696</v>
          </cell>
          <cell r="H129">
            <v>6.9749999999999996</v>
          </cell>
        </row>
        <row r="130">
          <cell r="D130" t="str">
            <v>MADEIRA PINUS/SIMILAR - SARRAFO PINUS 50X10MM NBR 11700</v>
          </cell>
          <cell r="H130">
            <v>7.3900000000000006</v>
          </cell>
        </row>
        <row r="131">
          <cell r="D131" t="str">
            <v>PREGO DE ACO POLIDO COM CABECA 17 X 21 (2 X 11)</v>
          </cell>
          <cell r="H131">
            <v>18.13</v>
          </cell>
        </row>
        <row r="132">
          <cell r="D132" t="str">
            <v>Concreto Usinado bombeável 20MPa Convencional</v>
          </cell>
          <cell r="H132">
            <v>36.26</v>
          </cell>
        </row>
        <row r="133">
          <cell r="D133" t="str">
            <v>TELA ACO CARBONO CA60 M.150X150MM F.03,4MM 245X600CM Q61 (14,26KG/UN)</v>
          </cell>
          <cell r="H133">
            <v>8.1373999999999977</v>
          </cell>
        </row>
        <row r="134">
          <cell r="D134" t="str">
            <v>TELHA FIBROCIMENTO NATURAL S/AMIANTO 06X1100X1530MM NBR 7581/15210</v>
          </cell>
          <cell r="H134">
            <v>25.358899999999998</v>
          </cell>
        </row>
        <row r="135">
          <cell r="D135" t="str">
            <v>TINTA LATEX ACRILICO FOSCO INT./EXT. PREMIUM PLUS BRANCO NBR 14942</v>
          </cell>
          <cell r="H135">
            <v>1.53</v>
          </cell>
        </row>
        <row r="136">
          <cell r="D136" t="str">
            <v>TINTA ESMALTE ACETINADO BASE SOLVENTE BRANCO NBR 15299</v>
          </cell>
          <cell r="H136">
            <v>0.6</v>
          </cell>
        </row>
        <row r="137">
          <cell r="D137" t="str">
            <v>SOLVENTE BASE THINNER P/TINTA NBR 14725</v>
          </cell>
          <cell r="H137">
            <v>0.48</v>
          </cell>
        </row>
        <row r="138">
          <cell r="D138" t="str">
            <v>LIXA DAGUA 225X275MM GR100</v>
          </cell>
          <cell r="H138">
            <v>7.3709999999999998E-2</v>
          </cell>
        </row>
        <row r="139">
          <cell r="D139" t="str">
            <v>EXTINTOR INCENDIO PO QUIMICO 06KG CLASSE ABC (COMPLETO) NBR 15808</v>
          </cell>
          <cell r="H139">
            <v>2.7805499999999999</v>
          </cell>
        </row>
        <row r="140">
          <cell r="D140" t="str">
            <v>MATERIAL PARA INSTALAÇÃO ELÉTRICA</v>
          </cell>
          <cell r="H140">
            <v>215</v>
          </cell>
        </row>
        <row r="141">
          <cell r="D141" t="str">
            <v>SERVICO INSTALAÇÃO BARRACAO ALMOXARIFADO</v>
          </cell>
          <cell r="H141">
            <v>50</v>
          </cell>
        </row>
        <row r="142">
          <cell r="D142" t="str">
            <v>Placa indicativa fixada na estrutura por pregos</v>
          </cell>
          <cell r="H142">
            <v>7891.02</v>
          </cell>
        </row>
        <row r="143">
          <cell r="D143" t="str">
            <v>BANNER LONA VINILICA</v>
          </cell>
          <cell r="H143">
            <v>3156.33</v>
          </cell>
        </row>
        <row r="144">
          <cell r="D144" t="str">
            <v xml:space="preserve">PLACA SINALIZACAO PVC C/ADESIVO </v>
          </cell>
          <cell r="H144">
            <v>1609.59</v>
          </cell>
        </row>
        <row r="145">
          <cell r="D145" t="str">
            <v>SUPORTE ACO CARBONO P/PLACA - REQ. CANTONEIRA 1.1/4"X1/8" 160X250CM</v>
          </cell>
          <cell r="H145">
            <v>3125.1000000000004</v>
          </cell>
        </row>
        <row r="146">
          <cell r="D146" t="str">
            <v>Locação da obra</v>
          </cell>
          <cell r="H146">
            <v>25.226263333333328</v>
          </cell>
        </row>
        <row r="147">
          <cell r="D147" t="str">
            <v>TINTA ACRILICA A BASE DE SOLVENTE</v>
          </cell>
          <cell r="H147">
            <v>0.85333333333333339</v>
          </cell>
        </row>
        <row r="148">
          <cell r="D148" t="str">
            <v>MADEIRA PINUS/SIMILAR - TABUA PINUS 200X20MM NBR 11700</v>
          </cell>
          <cell r="H148">
            <v>5.2079999999999993</v>
          </cell>
        </row>
        <row r="149">
          <cell r="D149" t="str">
            <v>PREGO DE ACO POLIDO COM CABECA 17 X 21 (2 X 11)</v>
          </cell>
          <cell r="H149">
            <v>2.0124299999999997</v>
          </cell>
        </row>
        <row r="150">
          <cell r="D150" t="str">
            <v>MADEIRA PINUS/SIMILAR - SARRAFO PINUS 50X20MM NBR 11700/15696</v>
          </cell>
          <cell r="H150">
            <v>6.9749999999999996</v>
          </cell>
        </row>
        <row r="151">
          <cell r="D151" t="str">
            <v>CAIBRO NAO APARELHADO *5 X 6* CM, EM MACARANDUBA/MASSARANDUBA, ANGELIM OU EQUIVALENTE DA REGIAO - BRUTA</v>
          </cell>
          <cell r="H151">
            <v>10.177499999999998</v>
          </cell>
        </row>
        <row r="152">
          <cell r="D152" t="str">
            <v>EPC'S</v>
          </cell>
          <cell r="H152">
            <v>0</v>
          </cell>
        </row>
        <row r="153">
          <cell r="D153" t="str">
            <v>Bandeja de proteção primária</v>
          </cell>
          <cell r="H153">
            <v>243.95614637281909</v>
          </cell>
        </row>
        <row r="154">
          <cell r="D154" t="str">
            <v>PREGO DE ACO POLIDO COM CABECA 16 X 24 (2 1/4 X 12)</v>
          </cell>
          <cell r="H154">
            <v>2.2236000000000002</v>
          </cell>
        </row>
        <row r="155">
          <cell r="D155" t="str">
            <v>CHAPA/PAINEL DE MADEIRA COMPENSADA PLASTIFICADA, DE 2200 X 1100 MM, E = 14 MM</v>
          </cell>
          <cell r="H155">
            <v>117.1455463728191</v>
          </cell>
        </row>
        <row r="156">
          <cell r="D156" t="str">
            <v>CHUMBADOR PARABOLT ACO CARBONO CBA 1/2"X75MM</v>
          </cell>
          <cell r="H156">
            <v>17.966999999999999</v>
          </cell>
        </row>
        <row r="157">
          <cell r="D157" t="str">
            <v>PERFIL METALICO BANDEJA PRIMARIA 2,50M</v>
          </cell>
          <cell r="H157">
            <v>50.849999999999994</v>
          </cell>
        </row>
        <row r="158">
          <cell r="D158" t="str">
            <v>PONTALETE *7,5 X 7,5* CM EM PINUS, MISTA OU EQUIVALENTE DA REGIAO - BRUTA</v>
          </cell>
          <cell r="H158">
            <v>55.77</v>
          </cell>
        </row>
        <row r="159">
          <cell r="D159" t="str">
            <v>Bandeja de proteção secundária</v>
          </cell>
          <cell r="H159">
            <v>230.09614637281908</v>
          </cell>
        </row>
        <row r="160">
          <cell r="D160" t="str">
            <v>PREGO DE ACO POLIDO COM CABECA 16 X 24 (2 1/4 X 12)</v>
          </cell>
          <cell r="H160">
            <v>2.2236000000000002</v>
          </cell>
        </row>
        <row r="161">
          <cell r="D161" t="str">
            <v>CHAPA/PAINEL DE MADEIRA COMPENSADA PLASTIFICADA, DE 2200 X 1100 MM, E = 14 MM</v>
          </cell>
          <cell r="H161">
            <v>117.1455463728191</v>
          </cell>
        </row>
        <row r="162">
          <cell r="D162" t="str">
            <v>CHUMBADOR PARABOLT ACO CARBONO CBA 1/2"X75MM</v>
          </cell>
          <cell r="H162">
            <v>17.966999999999999</v>
          </cell>
        </row>
        <row r="163">
          <cell r="D163" t="str">
            <v>PERFIL METALICO BANDEJA PRIMARIA 2,50M</v>
          </cell>
          <cell r="H163">
            <v>50.849999999999994</v>
          </cell>
        </row>
        <row r="164">
          <cell r="D164" t="str">
            <v>PONTALETE *7,5 X 7,5* CM EM PINUS, MISTA OU EQUIVALENTE DA REGIAO - BRUTA</v>
          </cell>
          <cell r="H164">
            <v>41.910000000000004</v>
          </cell>
        </row>
        <row r="165">
          <cell r="D165" t="str">
            <v>Guarda-corpo de vãos, fixado em fôrma de madeira, em trama de madeira com tela de polipropileno</v>
          </cell>
          <cell r="H165">
            <v>38.622647000000001</v>
          </cell>
        </row>
        <row r="166">
          <cell r="D166" t="str">
            <v>PREGO DE ACO POLIDO COM CABECA 17 X 21 (2 X 11)</v>
          </cell>
          <cell r="H166">
            <v>0.70525699999999991</v>
          </cell>
        </row>
        <row r="167">
          <cell r="D167" t="str">
            <v>TABUA *2,5 X 15 CM EM PINUS, MISTA OU EQUIVALENTE DA REGIAO - BRUTA</v>
          </cell>
          <cell r="H167">
            <v>30.104139999999997</v>
          </cell>
        </row>
        <row r="168">
          <cell r="D168" t="str">
            <v>TELA PLASTICA TECIDA LISTRADA BRANCA E LARANJA, EM POLIETILENO MONOFILADO</v>
          </cell>
          <cell r="H168">
            <v>1.4332500000000001</v>
          </cell>
        </row>
        <row r="169">
          <cell r="D169" t="str">
            <v>PONTALETE *7,5 X 7,5* CM EM PINUS, MISTA OU EQUIVALENTE DA REGIAO - BRUTA</v>
          </cell>
          <cell r="H169">
            <v>6.38</v>
          </cell>
        </row>
        <row r="170">
          <cell r="D170" t="str">
            <v>Guarda-corpo em laje pós-desforma com Escora metálica, travessões e tela</v>
          </cell>
          <cell r="H170">
            <v>42.431057000000003</v>
          </cell>
        </row>
        <row r="171">
          <cell r="D171" t="str">
            <v>PREGO DE ACO POLIDO COM CABECA 17 X 21 (2 X 11)</v>
          </cell>
          <cell r="H171">
            <v>0.70525699999999991</v>
          </cell>
        </row>
        <row r="172">
          <cell r="D172" t="str">
            <v>TABUA *2,5 X 15 CM EM PINUS, MISTA OU EQUIVALENTE DA REGIAO - BRUTA</v>
          </cell>
          <cell r="H172">
            <v>29.9343</v>
          </cell>
        </row>
        <row r="173">
          <cell r="D173" t="str">
            <v>ESCORA METALICA TELESCOPICA, COM ALTURA REGULAVEL DE *1,80* A *3,20* M, INCLUSO TRIPE E FORCADO</v>
          </cell>
          <cell r="H173">
            <v>3.29</v>
          </cell>
        </row>
        <row r="174">
          <cell r="D174" t="str">
            <v>TELA PLASTICA TECIDA LISTRADA BRANCA E LARANJA, EM POLIETILENO MONOFILADO</v>
          </cell>
          <cell r="H174">
            <v>1.5015000000000001</v>
          </cell>
        </row>
        <row r="175">
          <cell r="D175" t="str">
            <v>Travessão metálico 2"</v>
          </cell>
          <cell r="H175">
            <v>7</v>
          </cell>
        </row>
        <row r="176">
          <cell r="D176" t="str">
            <v>Guarda-corpo em laje pós-desforma com pontalete de madeira, travessões e tela</v>
          </cell>
          <cell r="H176">
            <v>41.811057000000005</v>
          </cell>
        </row>
        <row r="177">
          <cell r="D177" t="str">
            <v>PREGO DE ACO POLIDO COM CABECA 17 X 21 (2 X 11)</v>
          </cell>
          <cell r="H177">
            <v>0.70525699999999991</v>
          </cell>
        </row>
        <row r="178">
          <cell r="D178" t="str">
            <v>TABUA *2,5 X 15 CM EM PINUS, MISTA OU EQUIVALENTE DA REGIAO - BRUTA</v>
          </cell>
          <cell r="H178">
            <v>29.9343</v>
          </cell>
        </row>
        <row r="179">
          <cell r="D179" t="str">
            <v>ESCORA METALICA TELESCOPICA, COM ALTURA REGULAVEL DE *1,80* A *3,20* M, INCLUSO TRIPE E FORCADO</v>
          </cell>
          <cell r="H179">
            <v>3.29</v>
          </cell>
        </row>
        <row r="180">
          <cell r="D180" t="str">
            <v>TELA PLASTICA TECIDA LISTRADA BRANCA E LARANJA, EM POLIETILENO MONOFILADO</v>
          </cell>
          <cell r="H180">
            <v>1.5015000000000001</v>
          </cell>
        </row>
        <row r="181">
          <cell r="D181" t="str">
            <v>PONTALETE *7,5 X 7,5* CM EM PINUS, MISTA OU EQUIVALENTE DA REGIAO - BRUTA</v>
          </cell>
          <cell r="H181">
            <v>6.38</v>
          </cell>
        </row>
        <row r="182">
          <cell r="D182" t="str">
            <v>Tela fachadeira</v>
          </cell>
          <cell r="H182">
            <v>8.5113000000000003</v>
          </cell>
        </row>
        <row r="183">
          <cell r="D183" t="str">
            <v>PREGO DE ACO POLIDO COM CABECA 17 X 21 (2 X 11)</v>
          </cell>
          <cell r="H183">
            <v>0.18129999999999999</v>
          </cell>
        </row>
        <row r="184">
          <cell r="D184" t="str">
            <v>TELA FACHADEIRA POLIETILENO MALHA 1,5X1,5MM</v>
          </cell>
          <cell r="H184">
            <v>3.6750000000000003</v>
          </cell>
        </row>
        <row r="185">
          <cell r="D185" t="str">
            <v>PONTALETE *7,5 X 7,5* CM EM PINUS, MISTA OU EQUIVALENTE DA REGIAO - BRUTA</v>
          </cell>
          <cell r="H185">
            <v>2.09</v>
          </cell>
        </row>
        <row r="186">
          <cell r="D186" t="str">
            <v>SARRAFO *2,5 X 7,5* CM EM PINUS, MISTA OU EQUIVALENTE DA REGIAO - BRUTA</v>
          </cell>
          <cell r="H186">
            <v>2.5649999999999999</v>
          </cell>
        </row>
        <row r="187">
          <cell r="D187" t="str">
            <v>Fechamento removível de vãos de porta de elevador em madeira</v>
          </cell>
          <cell r="H187">
            <v>49.519651000000003</v>
          </cell>
        </row>
        <row r="188">
          <cell r="D188" t="str">
            <v>PREGO DE ACO POLIDO COM CABECA 17 X 21 (2 X 11)</v>
          </cell>
          <cell r="H188">
            <v>1.2092709999999998</v>
          </cell>
        </row>
        <row r="189">
          <cell r="D189" t="str">
            <v>CHAPA/PAINEL DE MADEIRA COMPENSADA RESINADA, DE 2200 X 1100 MM, E = 14 MM</v>
          </cell>
          <cell r="H189">
            <v>38.32038</v>
          </cell>
        </row>
        <row r="190">
          <cell r="D190" t="str">
            <v>SARRAFO *2,5 X 7,5* CM EM PINUS, MISTA OU EQUIVALENTE DA REGIAO - BRUTA</v>
          </cell>
          <cell r="H190">
            <v>9.99</v>
          </cell>
        </row>
        <row r="191">
          <cell r="D191" t="str">
            <v>Fechamento removível de vãos de porta de entrada dos aptos. em madeira</v>
          </cell>
          <cell r="H191">
            <v>49.519651000000003</v>
          </cell>
        </row>
        <row r="192">
          <cell r="D192" t="str">
            <v>PREGO DE ACO POLIDO COM CABECA 17 X 21 (2 X 11)</v>
          </cell>
          <cell r="H192">
            <v>1.2092709999999998</v>
          </cell>
        </row>
        <row r="193">
          <cell r="D193" t="str">
            <v>CHAPA/PAINEL DE MADEIRA COMPENSADA RESINADA, DE 2200 X 1100 MM, E = 14 MM</v>
          </cell>
          <cell r="H193">
            <v>38.32038</v>
          </cell>
        </row>
        <row r="194">
          <cell r="D194" t="str">
            <v>SARRAFO *2,5 X 7,5* CM EM PINUS, MISTA OU EQUIVALENTE DA REGIAO - BRUTA</v>
          </cell>
          <cell r="H194">
            <v>9.99</v>
          </cell>
        </row>
        <row r="195">
          <cell r="D195" t="str">
            <v>Fechamento removível de abertura no piso do elevador em madeira</v>
          </cell>
          <cell r="H195">
            <v>49.519651000000003</v>
          </cell>
        </row>
        <row r="196">
          <cell r="D196" t="str">
            <v>PREGO DE ACO POLIDO COM CABECA 17 X 21 (2 X 11)</v>
          </cell>
          <cell r="H196">
            <v>1.2092709999999998</v>
          </cell>
        </row>
        <row r="197">
          <cell r="D197" t="str">
            <v>CHAPA/PAINEL DE MADEIRA COMPENSADA RESINADA, DE 2200 X 1100 MM, E = 14 MM</v>
          </cell>
          <cell r="H197">
            <v>38.32038</v>
          </cell>
        </row>
        <row r="198">
          <cell r="D198" t="str">
            <v>SARRAFO *2,5 X 7,5* CM EM PINUS, MISTA OU EQUIVALENTE DA REGIAO - BRUTA</v>
          </cell>
          <cell r="H198">
            <v>9.99</v>
          </cell>
        </row>
        <row r="199">
          <cell r="D199" t="str">
            <v>Cobertura para Proteção de Pedestres</v>
          </cell>
          <cell r="H199">
            <v>880</v>
          </cell>
        </row>
        <row r="200">
          <cell r="D200" t="str">
            <v>Locação estrutura metálica para proteção de pesdestres</v>
          </cell>
          <cell r="H200">
            <v>880</v>
          </cell>
        </row>
        <row r="201">
          <cell r="D201" t="str">
            <v>Tapume em telha metálica trapezoidal</v>
          </cell>
          <cell r="H201">
            <v>164.07660000000001</v>
          </cell>
        </row>
        <row r="202">
          <cell r="D202" t="str">
            <v>PREGO DE ACO POLIDO COM CABECA 18 X 27 (2 1/2 X 10)</v>
          </cell>
          <cell r="H202">
            <v>1.0642</v>
          </cell>
        </row>
        <row r="203">
          <cell r="D203" t="str">
            <v>PONTALETE *7,5 X 7,5* CM EM PINUS, MISTA OU EQUIVALENTE DA REGIAO - BRUTA</v>
          </cell>
          <cell r="H203">
            <v>8.58</v>
          </cell>
        </row>
        <row r="204">
          <cell r="D204" t="str">
            <v>TABUA *2,5 X 15 CM EM PINUS, MISTA OU EQUIVALENTE DA REGIAO - BRUTA</v>
          </cell>
          <cell r="H204">
            <v>42.46</v>
          </cell>
        </row>
        <row r="205">
          <cell r="D205" t="str">
            <v>TELHA TRAPEZOIDAL EM ACO ZINCADO, ESPESSURA DE 0,50 MM</v>
          </cell>
          <cell r="H205">
            <v>111.55</v>
          </cell>
        </row>
        <row r="206">
          <cell r="D206" t="str">
            <v>CONCRETO MAGRO USINADO, COM BRITA 1</v>
          </cell>
          <cell r="H206">
            <v>0.42239999999999994</v>
          </cell>
        </row>
        <row r="207">
          <cell r="D207" t="str">
            <v>Varal de segurança com cabo de aço (linha de vida)</v>
          </cell>
          <cell r="H207">
            <v>87.213999999999999</v>
          </cell>
        </row>
        <row r="208">
          <cell r="D208" t="str">
            <v>CABO DE AÇO GALVANIZADO 3/8</v>
          </cell>
          <cell r="H208">
            <v>5.2</v>
          </cell>
        </row>
        <row r="209">
          <cell r="D209" t="str">
            <v>CLIPS PARA CABO DE AÇO 5/16</v>
          </cell>
          <cell r="H209">
            <v>1.5640000000000001</v>
          </cell>
        </row>
        <row r="210">
          <cell r="D210" t="str">
            <v>TUBO GALV. 3" X 2,65MM - 8M C/ RUPTURA: 40 MPA (LINHA DE VIDA)</v>
          </cell>
          <cell r="H210">
            <v>80.45</v>
          </cell>
        </row>
        <row r="211">
          <cell r="D211" t="str">
            <v>Tela SLQA</v>
          </cell>
          <cell r="H211">
            <v>110</v>
          </cell>
        </row>
        <row r="212">
          <cell r="D212" t="str">
            <v>Locação estrutura para proteção SLQA</v>
          </cell>
          <cell r="H212">
            <v>110</v>
          </cell>
        </row>
        <row r="213">
          <cell r="D213" t="str">
            <v>MOVIMENTAÇÃO DE TERRA</v>
          </cell>
          <cell r="H213">
            <v>0</v>
          </cell>
        </row>
        <row r="214">
          <cell r="D214" t="str">
            <v>TERRAPLENAGEM E LIMPEZA</v>
          </cell>
          <cell r="H214">
            <v>0</v>
          </cell>
        </row>
        <row r="215">
          <cell r="D215" t="str">
            <v>Limpeza Terreno Pernamente</v>
          </cell>
          <cell r="H215">
            <v>1.64</v>
          </cell>
        </row>
        <row r="216">
          <cell r="D216" t="str">
            <v>Serviço de Limpeza permanete de Terreno</v>
          </cell>
          <cell r="H216">
            <v>1.64</v>
          </cell>
        </row>
        <row r="217">
          <cell r="D217" t="str">
            <v>Rebaixamento de Lençol freático</v>
          </cell>
          <cell r="H217">
            <v>29600</v>
          </cell>
        </row>
        <row r="218">
          <cell r="D218" t="str">
            <v>Locação 30 dias de cada equipamento de rebaixamento com 22,5 HP, vazão máxima = 100 m³/h, em operação ou a disposição.</v>
          </cell>
          <cell r="H218">
            <v>26000</v>
          </cell>
        </row>
        <row r="219">
          <cell r="D219" t="str">
            <v>Locação 30 dias de cada mangote de descarga CDF-A com lance de 50,00 metros cada.</v>
          </cell>
          <cell r="H219">
            <v>3600</v>
          </cell>
        </row>
        <row r="220">
          <cell r="D220" t="str">
            <v>Instalação de equipamentos para Rebaixamento de Lençol freático</v>
          </cell>
          <cell r="H220">
            <v>1200</v>
          </cell>
        </row>
        <row r="221">
          <cell r="D221" t="str">
            <v>Instalação e entrega técnica do(s) equipamento(s) de rebaixamento temporário de aquíferos AQ-EL 44-100. (Previsão de 04 dias)</v>
          </cell>
          <cell r="H221">
            <v>1200</v>
          </cell>
        </row>
        <row r="222">
          <cell r="D222" t="str">
            <v>Detonação de rochas</v>
          </cell>
          <cell r="H222">
            <v>320</v>
          </cell>
        </row>
        <row r="223">
          <cell r="D223" t="str">
            <v>Detonação de rochas</v>
          </cell>
          <cell r="H223">
            <v>320</v>
          </cell>
        </row>
        <row r="224">
          <cell r="D224" t="str">
            <v>Terraplanagem - Corte e Desaterro Solo</v>
          </cell>
          <cell r="H224">
            <v>2.7132000000000001</v>
          </cell>
        </row>
        <row r="225">
          <cell r="D225" t="str">
            <v>Escavação e Carga Mecanizada em Corte - Desaterro Solo</v>
          </cell>
          <cell r="H225">
            <v>2.7132000000000001</v>
          </cell>
        </row>
        <row r="226">
          <cell r="D226" t="str">
            <v>Desmonte de Rocha</v>
          </cell>
          <cell r="H226">
            <v>4.4982000000000006</v>
          </cell>
        </row>
        <row r="227">
          <cell r="D227" t="str">
            <v>Escavação e Carga Mecanizada em Corte - Desaterro Rocha</v>
          </cell>
          <cell r="H227">
            <v>4.4982000000000006</v>
          </cell>
        </row>
        <row r="228">
          <cell r="D228" t="str">
            <v>Terraplanagem - Aterro material de 1º categoria</v>
          </cell>
          <cell r="H228">
            <v>9.2718000000000007</v>
          </cell>
        </row>
        <row r="229">
          <cell r="D229" t="str">
            <v>Espalhamento / Umedecimento / Compactação em Material de 1ª Categoria - 95% PN - Aterro</v>
          </cell>
          <cell r="H229">
            <v>9.2718000000000007</v>
          </cell>
        </row>
        <row r="230">
          <cell r="D230" t="str">
            <v>Terraplanagem - Corte e aterro (Produtividade 1890m3/dia) - Mão de Obra Própria</v>
          </cell>
          <cell r="H230">
            <v>2.9215</v>
          </cell>
        </row>
        <row r="231">
          <cell r="D231" t="str">
            <v>Escavadeira DOOSAN DX225 (terceirizado)</v>
          </cell>
          <cell r="H231">
            <v>0.37026000000000003</v>
          </cell>
        </row>
        <row r="232">
          <cell r="D232" t="str">
            <v>Trator esteira CAT D51 (terceirizado)</v>
          </cell>
          <cell r="H232">
            <v>0.38724000000000003</v>
          </cell>
        </row>
        <row r="233">
          <cell r="D233" t="str">
            <v>Escaveideira 320 CAT 2019</v>
          </cell>
          <cell r="H233">
            <v>0.36</v>
          </cell>
        </row>
        <row r="234">
          <cell r="D234" t="str">
            <v>Trator esteira 700 j john dree 2016</v>
          </cell>
          <cell r="H234">
            <v>0.36399999999999999</v>
          </cell>
        </row>
        <row r="235">
          <cell r="D235" t="str">
            <v>Operador de máquina 1</v>
          </cell>
          <cell r="H235">
            <v>1.4400000000000002</v>
          </cell>
        </row>
        <row r="236">
          <cell r="D236" t="str">
            <v>Movimentação de terra para bota-fora - Escavação Vertical Terraplenagem</v>
          </cell>
          <cell r="H236">
            <v>45.45</v>
          </cell>
        </row>
        <row r="237">
          <cell r="D237" t="str">
            <v>Movimentação de terra para bota-fora - Escavação de Valas</v>
          </cell>
          <cell r="H237">
            <v>45.45</v>
          </cell>
        </row>
        <row r="238">
          <cell r="D238" t="str">
            <v>MOVIMENTAÇÃO DE TERRA PARA FUNDAÇÕES</v>
          </cell>
          <cell r="H238">
            <v>0</v>
          </cell>
        </row>
        <row r="239">
          <cell r="D239" t="str">
            <v>Escavação mecanizada para estacas, blocos de fundação, vigas de fundação e poço de elevador, com retroescavadeira</v>
          </cell>
          <cell r="H239">
            <v>36.36</v>
          </cell>
        </row>
        <row r="240">
          <cell r="D240" t="str">
            <v>Escavação mecanizada com retroescavadeira</v>
          </cell>
          <cell r="H240">
            <v>36.36</v>
          </cell>
        </row>
        <row r="241">
          <cell r="D241" t="str">
            <v>Escavação mecanizada para estacas de fundação, com retroescavadeira</v>
          </cell>
          <cell r="H241">
            <v>36.36</v>
          </cell>
        </row>
        <row r="242">
          <cell r="D242" t="str">
            <v>Escavação mecanizada com retroescavadeira</v>
          </cell>
          <cell r="H242">
            <v>36.36</v>
          </cell>
        </row>
        <row r="243">
          <cell r="D243" t="str">
            <v>Reaterro mecanizado de valas para blocos e vigas de fundação, com retroescavadeira</v>
          </cell>
          <cell r="H243">
            <v>14.55</v>
          </cell>
        </row>
        <row r="244">
          <cell r="D244" t="str">
            <v>Reaterro mecanizado com retroescavadeira</v>
          </cell>
          <cell r="H244">
            <v>14.55</v>
          </cell>
        </row>
        <row r="245">
          <cell r="D245" t="str">
            <v>Lastro de Concreto Magro, Aplicado em Blocos de Fundação</v>
          </cell>
          <cell r="H245">
            <v>495.24700000000001</v>
          </cell>
        </row>
        <row r="246">
          <cell r="D246" t="str">
            <v>CONCRETO MAGRO PARA LASTRO</v>
          </cell>
          <cell r="H246">
            <v>452.48700000000002</v>
          </cell>
        </row>
        <row r="247">
          <cell r="D247" t="str">
            <v>serviço de bombeamento</v>
          </cell>
          <cell r="H247">
            <v>42</v>
          </cell>
        </row>
        <row r="248">
          <cell r="D248" t="str">
            <v>Cimento Portland Composto CP II-32</v>
          </cell>
          <cell r="H248">
            <v>0.76</v>
          </cell>
        </row>
        <row r="249">
          <cell r="D249" t="str">
            <v>Lastro de Concreto Magro, Aplicado em piso sobre solo</v>
          </cell>
          <cell r="H249">
            <v>495.24700000000001</v>
          </cell>
        </row>
        <row r="250">
          <cell r="D250" t="str">
            <v>CONCRETO MAGRO PARA LASTRO</v>
          </cell>
          <cell r="H250">
            <v>452.48700000000002</v>
          </cell>
        </row>
        <row r="251">
          <cell r="D251" t="str">
            <v>serviço de bombeamento</v>
          </cell>
          <cell r="H251">
            <v>42</v>
          </cell>
        </row>
        <row r="252">
          <cell r="D252" t="str">
            <v>Cimento Portland Composto CP II-32</v>
          </cell>
          <cell r="H252">
            <v>0.76</v>
          </cell>
        </row>
        <row r="253">
          <cell r="D253" t="str">
            <v>Lastro de Brita, Aplicado em Blocos de Fundação, e= 5cm</v>
          </cell>
          <cell r="H253">
            <v>208.65600000000001</v>
          </cell>
        </row>
        <row r="254">
          <cell r="D254" t="str">
            <v>BRITA Nº2</v>
          </cell>
          <cell r="H254">
            <v>208.65600000000001</v>
          </cell>
        </row>
        <row r="255">
          <cell r="D255" t="str">
            <v>Lastro de Brita, Aplicado em fundação rasa</v>
          </cell>
          <cell r="H255">
            <v>208.65600000000001</v>
          </cell>
        </row>
        <row r="256">
          <cell r="D256" t="str">
            <v>BRITA Nº2</v>
          </cell>
          <cell r="H256">
            <v>208.65600000000001</v>
          </cell>
        </row>
        <row r="257">
          <cell r="D257" t="str">
            <v>Movimentação de terra para bota-fora - Escavação de Valas</v>
          </cell>
          <cell r="H257">
            <v>45.45</v>
          </cell>
        </row>
        <row r="258">
          <cell r="D258" t="str">
            <v>Movimentação de terra para bota-fora - Escavação de Valas</v>
          </cell>
          <cell r="H258">
            <v>45.45</v>
          </cell>
        </row>
        <row r="259">
          <cell r="D259" t="str">
            <v>Movimentação de terra para bota-fora - Estacas</v>
          </cell>
          <cell r="H259">
            <v>68.180000000000007</v>
          </cell>
        </row>
        <row r="260">
          <cell r="D260" t="str">
            <v>Movimentação de terra para bota-fora - Estacas</v>
          </cell>
          <cell r="H260">
            <v>68.180000000000007</v>
          </cell>
        </row>
        <row r="261">
          <cell r="D261" t="str">
            <v>FUNDAÇÃO PROFUNDA</v>
          </cell>
          <cell r="H261">
            <v>0</v>
          </cell>
        </row>
        <row r="262">
          <cell r="D262" t="str">
            <v>PERFURAÇÃO</v>
          </cell>
          <cell r="H262">
            <v>0</v>
          </cell>
        </row>
        <row r="263">
          <cell r="D263" t="str">
            <v>Execucao Estaca Helice Continua 030Cm</v>
          </cell>
          <cell r="H263">
            <v>60</v>
          </cell>
        </row>
        <row r="264">
          <cell r="D264" t="str">
            <v>Execucao Estaca Helice Continua 030Cm</v>
          </cell>
          <cell r="H264">
            <v>60</v>
          </cell>
        </row>
        <row r="265">
          <cell r="D265" t="str">
            <v>Execucao Estaca Helice Continua 040Cm</v>
          </cell>
          <cell r="H265">
            <v>75</v>
          </cell>
        </row>
        <row r="266">
          <cell r="D266" t="str">
            <v>Execucao Estaca Helice Continua 040Cm</v>
          </cell>
          <cell r="H266">
            <v>75</v>
          </cell>
        </row>
        <row r="267">
          <cell r="D267" t="str">
            <v xml:space="preserve">Perfuração de estaca hélice contínua Ø 50cm	</v>
          </cell>
          <cell r="H267">
            <v>150</v>
          </cell>
        </row>
        <row r="268">
          <cell r="D268" t="str">
            <v>Execucao Estaca Helice Continua 050Cm</v>
          </cell>
          <cell r="H268">
            <v>150</v>
          </cell>
        </row>
        <row r="269">
          <cell r="D269" t="str">
            <v xml:space="preserve">Perfuração de estaca hélice contínua Ø 60cm	</v>
          </cell>
          <cell r="H269">
            <v>137.48633176818674</v>
          </cell>
        </row>
        <row r="270">
          <cell r="D270" t="str">
            <v>Execucao Estaca Helice Continua 060Cm</v>
          </cell>
          <cell r="H270">
            <v>137.48633176818674</v>
          </cell>
        </row>
        <row r="271">
          <cell r="D271" t="str">
            <v>Execucao Estaca Helice Continua Monitorada 050Cm</v>
          </cell>
          <cell r="H271">
            <v>150</v>
          </cell>
        </row>
        <row r="272">
          <cell r="D272" t="str">
            <v>Execucao Estaca Helice Continua Monitorada 050Cm</v>
          </cell>
          <cell r="H272">
            <v>150</v>
          </cell>
        </row>
        <row r="273">
          <cell r="D273" t="str">
            <v>Execucao Estaca Helice Continua Monitorada 060Cm</v>
          </cell>
          <cell r="H273">
            <v>180</v>
          </cell>
        </row>
        <row r="274">
          <cell r="D274" t="str">
            <v>Execucao Estaca Helice Continua Monitorada 060Cm</v>
          </cell>
          <cell r="H274">
            <v>180</v>
          </cell>
        </row>
        <row r="275">
          <cell r="D275" t="str">
            <v>Execucao Estaca Helice Continua 070Cm</v>
          </cell>
          <cell r="H275">
            <v>120</v>
          </cell>
        </row>
        <row r="276">
          <cell r="D276" t="str">
            <v>Execucao Estaca Helice Continua 070Cm</v>
          </cell>
          <cell r="H276">
            <v>120</v>
          </cell>
        </row>
        <row r="277">
          <cell r="D277" t="str">
            <v>Execucao Estaca Helice Continua 080Cm</v>
          </cell>
          <cell r="H277">
            <v>135</v>
          </cell>
        </row>
        <row r="278">
          <cell r="D278" t="str">
            <v>Execucao Estaca Helice Continua 080Cm</v>
          </cell>
          <cell r="H278">
            <v>135</v>
          </cell>
        </row>
        <row r="279">
          <cell r="D279" t="str">
            <v>Execucao Estaca Helice Continua 090Cm</v>
          </cell>
          <cell r="H279">
            <v>150</v>
          </cell>
        </row>
        <row r="280">
          <cell r="D280" t="str">
            <v>Execucao Estaca Helice Continua 090Cm</v>
          </cell>
          <cell r="H280">
            <v>150</v>
          </cell>
        </row>
        <row r="281">
          <cell r="D281" t="str">
            <v>Execucao Estaca Helice Continua 100Cm</v>
          </cell>
          <cell r="H281">
            <v>166.66666666666669</v>
          </cell>
        </row>
        <row r="282">
          <cell r="D282" t="str">
            <v>Execucao Estaca Helice Continua 100Cm</v>
          </cell>
          <cell r="H282">
            <v>166.66666666666669</v>
          </cell>
        </row>
        <row r="283">
          <cell r="D283" t="str">
            <v xml:space="preserve">Perfuração de estaca Escavada Ø 25cm	</v>
          </cell>
          <cell r="H283">
            <v>33</v>
          </cell>
        </row>
        <row r="284">
          <cell r="D284" t="str">
            <v>Execucao Estaca Escavada 025Cm</v>
          </cell>
          <cell r="H284">
            <v>33</v>
          </cell>
        </row>
        <row r="285">
          <cell r="D285" t="str">
            <v xml:space="preserve">Perfuração de estaca Escavada Ø 30cm	</v>
          </cell>
          <cell r="H285">
            <v>39</v>
          </cell>
        </row>
        <row r="286">
          <cell r="D286" t="str">
            <v>Execucao Estaca Escavada 030Cm</v>
          </cell>
          <cell r="H286">
            <v>39</v>
          </cell>
        </row>
        <row r="287">
          <cell r="D287" t="str">
            <v xml:space="preserve">Perfuração de estaca Escavada Ø 40cm	</v>
          </cell>
          <cell r="H287">
            <v>52.800000000000004</v>
          </cell>
        </row>
        <row r="288">
          <cell r="D288" t="str">
            <v>Execucao Estaca Escavada 040Cm</v>
          </cell>
          <cell r="H288">
            <v>52.800000000000004</v>
          </cell>
        </row>
        <row r="289">
          <cell r="D289" t="str">
            <v xml:space="preserve">Perfuração de estaca Escavada Ø 50cm	</v>
          </cell>
          <cell r="H289">
            <v>66</v>
          </cell>
        </row>
        <row r="290">
          <cell r="D290" t="str">
            <v>Execucao Estaca Escavada 050Cm</v>
          </cell>
          <cell r="H290">
            <v>66</v>
          </cell>
        </row>
        <row r="291">
          <cell r="D291" t="str">
            <v xml:space="preserve">Perfuração de estaca Escavada Ø 60cm	</v>
          </cell>
          <cell r="H291">
            <v>79.2</v>
          </cell>
        </row>
        <row r="292">
          <cell r="D292" t="str">
            <v>Execucao Estaca Escavada 060Cm</v>
          </cell>
          <cell r="H292">
            <v>79.2</v>
          </cell>
        </row>
        <row r="293">
          <cell r="D293" t="str">
            <v xml:space="preserve">Perfuração de estaca Escavada Ø 70cm	</v>
          </cell>
          <cell r="H293">
            <v>92.4</v>
          </cell>
        </row>
        <row r="294">
          <cell r="D294" t="str">
            <v>Execucao Estaca Escavada 070Cm</v>
          </cell>
          <cell r="H294">
            <v>92.4</v>
          </cell>
        </row>
        <row r="295">
          <cell r="D295" t="str">
            <v xml:space="preserve">Perfuração de estaca Escavada Ø 80cm	</v>
          </cell>
          <cell r="H295">
            <v>105.60000000000001</v>
          </cell>
        </row>
        <row r="296">
          <cell r="D296" t="str">
            <v>Execucao Estaca Escavada 080Cm</v>
          </cell>
          <cell r="H296">
            <v>105.60000000000001</v>
          </cell>
        </row>
        <row r="297">
          <cell r="D297" t="str">
            <v xml:space="preserve">	Mobilização e desmobilização de equipamentos - Para execução de estaca hélice monitorada</v>
          </cell>
          <cell r="H297">
            <v>24442.014536566567</v>
          </cell>
        </row>
        <row r="298">
          <cell r="D298" t="str">
            <v xml:space="preserve">	Mobilização e desmobilização de equipamentos - Para execução de estaca hélice monitorada</v>
          </cell>
          <cell r="H298">
            <v>24442.014536566567</v>
          </cell>
        </row>
        <row r="299">
          <cell r="D299" t="str">
            <v xml:space="preserve">	Mobilização e desmobilização de equipamentos - Para execução de estaca hélice</v>
          </cell>
          <cell r="H299">
            <v>18500</v>
          </cell>
        </row>
        <row r="300">
          <cell r="D300" t="str">
            <v xml:space="preserve">	Mobilização e desmobilização de equipamentos - Para execução de estaca hélice</v>
          </cell>
          <cell r="H300">
            <v>18500</v>
          </cell>
        </row>
        <row r="301">
          <cell r="D301" t="str">
            <v xml:space="preserve">	Mobilização e desmobilização de equipamentos - Para execução de estaca Escavada</v>
          </cell>
          <cell r="H301">
            <v>26000</v>
          </cell>
        </row>
        <row r="302">
          <cell r="D302" t="str">
            <v xml:space="preserve">	Mobilização e desmobilização de equipamentos - Para execução de estaca Escavada</v>
          </cell>
          <cell r="H302">
            <v>26000</v>
          </cell>
        </row>
        <row r="303">
          <cell r="D303" t="str">
            <v>ARMADURA</v>
          </cell>
          <cell r="H303">
            <v>0</v>
          </cell>
        </row>
        <row r="304">
          <cell r="D304" t="str">
            <v>Armação Pronta para estaca Ø 50cm (5F 16,0 4MTS ESP75 PS20)</v>
          </cell>
          <cell r="H304">
            <v>302.92200000000003</v>
          </cell>
        </row>
        <row r="305">
          <cell r="D305" t="str">
            <v>CORTE E DOBRA ARMADO ESTACA Ø50CM 5F 16,0 4MTS ESP75 PS20</v>
          </cell>
          <cell r="H305">
            <v>302.92200000000003</v>
          </cell>
        </row>
        <row r="306">
          <cell r="D306" t="str">
            <v>Armação Pronta para estaca Ø 60cm (5F 20,0 4MTS ESP75 PS20)</v>
          </cell>
          <cell r="H306">
            <v>466.33699999999999</v>
          </cell>
        </row>
        <row r="307">
          <cell r="D307" t="str">
            <v>CORTE E DOBRA ARMADO ESTACA Ø60CM 5F 20,0 4MTS ESP75 PS20</v>
          </cell>
          <cell r="H307">
            <v>466.33699999999999</v>
          </cell>
        </row>
        <row r="308">
          <cell r="D308" t="str">
            <v>Armação Pronta para estaca Ø 60cm (7F 20,0 6MTS ESP75 PS20)</v>
          </cell>
          <cell r="H308">
            <v>937.63900000000001</v>
          </cell>
        </row>
        <row r="309">
          <cell r="D309" t="str">
            <v>CORTE E DOBRA ARMADO ESTACA Ø60CM 7F 20,0 6MTS ESP75 PS20</v>
          </cell>
          <cell r="H309">
            <v>937.63900000000001</v>
          </cell>
        </row>
        <row r="310">
          <cell r="D310" t="str">
            <v>Armação Pronta para estaca Ø 60cm (9F 20,0 8MTS ESP75 PS20)</v>
          </cell>
          <cell r="H310">
            <v>1609.6659999999999</v>
          </cell>
        </row>
        <row r="311">
          <cell r="D311" t="str">
            <v>CORTE E DOBRA ARMADO ESTACA Ø60CM 9F 20,0 8MTS ESP75 PS20</v>
          </cell>
          <cell r="H311">
            <v>1609.6659999999999</v>
          </cell>
        </row>
        <row r="312">
          <cell r="D312" t="str">
            <v>Armação aço CA-50 ø 6,3mm para estaca (corte e dobra em indústria)</v>
          </cell>
          <cell r="H312">
            <v>8.9641450000000003</v>
          </cell>
        </row>
        <row r="313">
          <cell r="D313" t="str">
            <v>Aço CA50 6,3 mm Corte e Dobra em Indústria</v>
          </cell>
          <cell r="H313">
            <v>8.67</v>
          </cell>
        </row>
        <row r="314">
          <cell r="D314" t="str">
            <v xml:space="preserve">Arame Galvanizado </v>
          </cell>
          <cell r="H314">
            <v>0.28064499999999998</v>
          </cell>
        </row>
        <row r="315">
          <cell r="D315" t="str">
            <v>Espaçador para armadura</v>
          </cell>
          <cell r="H315">
            <v>1.3500000000000002E-2</v>
          </cell>
        </row>
        <row r="316">
          <cell r="D316" t="str">
            <v>Armação aço CA-50 ø 20,0mm para estaca (corte e dobra em indústria)</v>
          </cell>
          <cell r="H316">
            <v>8.4841449999999998</v>
          </cell>
        </row>
        <row r="317">
          <cell r="D317" t="str">
            <v>Aço CA50 20,0 mm Corte e Dobra em Indústria</v>
          </cell>
          <cell r="H317">
            <v>8.19</v>
          </cell>
        </row>
        <row r="318">
          <cell r="D318" t="str">
            <v xml:space="preserve">Arame Galvanizado </v>
          </cell>
          <cell r="H318">
            <v>0.28064499999999998</v>
          </cell>
        </row>
        <row r="319">
          <cell r="D319" t="str">
            <v>Espaçador para armadura</v>
          </cell>
          <cell r="H319">
            <v>1.3500000000000002E-2</v>
          </cell>
        </row>
        <row r="320">
          <cell r="D320" t="str">
            <v>Armação aço CA-50 ø 6,3mm para estaca (corte e dobra em obra)</v>
          </cell>
          <cell r="H320">
            <v>6.0795673937956973</v>
          </cell>
        </row>
        <row r="321">
          <cell r="D321" t="str">
            <v>Aço CA50 6,3 mm</v>
          </cell>
          <cell r="H321">
            <v>5.7854223937956979</v>
          </cell>
        </row>
        <row r="322">
          <cell r="D322" t="str">
            <v xml:space="preserve">Arame Galvanizado </v>
          </cell>
          <cell r="H322">
            <v>0.28064499999999998</v>
          </cell>
        </row>
        <row r="323">
          <cell r="D323" t="str">
            <v>Espaçador para armadura</v>
          </cell>
          <cell r="H323">
            <v>1.3500000000000002E-2</v>
          </cell>
        </row>
        <row r="324">
          <cell r="D324" t="str">
            <v>Armação aço CA-50 ø 8,0mm para estaca (corte e dobra em obra)</v>
          </cell>
          <cell r="H324">
            <v>5.7114876589046171</v>
          </cell>
        </row>
        <row r="325">
          <cell r="D325" t="str">
            <v>Aço CA50 8,0 mm</v>
          </cell>
          <cell r="H325">
            <v>5.4173426589046176</v>
          </cell>
        </row>
        <row r="326">
          <cell r="D326" t="str">
            <v xml:space="preserve">Arame Galvanizado </v>
          </cell>
          <cell r="H326">
            <v>0.28064499999999998</v>
          </cell>
        </row>
        <row r="327">
          <cell r="D327" t="str">
            <v>Espaçador para armadura</v>
          </cell>
          <cell r="H327">
            <v>1.3500000000000002E-2</v>
          </cell>
        </row>
        <row r="328">
          <cell r="D328" t="str">
            <v>Armação aço CA-50 ø 10,0mm para estaca (corte e dobra em obra)</v>
          </cell>
          <cell r="H328">
            <v>5.574897719320254</v>
          </cell>
        </row>
        <row r="329">
          <cell r="D329" t="str">
            <v>Aço CA50 10,0 mm</v>
          </cell>
          <cell r="H329">
            <v>5.2807527193202546</v>
          </cell>
        </row>
        <row r="330">
          <cell r="D330" t="str">
            <v xml:space="preserve">Arame Galvanizado </v>
          </cell>
          <cell r="H330">
            <v>0.28064499999999998</v>
          </cell>
        </row>
        <row r="331">
          <cell r="D331" t="str">
            <v>Espaçador para armadura</v>
          </cell>
          <cell r="H331">
            <v>1.3500000000000002E-2</v>
          </cell>
        </row>
        <row r="332">
          <cell r="D332" t="str">
            <v>Armação aço CA-50 ø 16,0mm para estaca (corte e dobra em obra)</v>
          </cell>
          <cell r="H332">
            <v>5.7287614493981831</v>
          </cell>
        </row>
        <row r="333">
          <cell r="D333" t="str">
            <v>Aço CA50 16,0mm</v>
          </cell>
          <cell r="H333">
            <v>5.4346164493981837</v>
          </cell>
        </row>
        <row r="334">
          <cell r="D334" t="str">
            <v xml:space="preserve">Arame Galvanizado </v>
          </cell>
          <cell r="H334">
            <v>0.28064499999999998</v>
          </cell>
        </row>
        <row r="335">
          <cell r="D335" t="str">
            <v>Espaçador para armadura</v>
          </cell>
          <cell r="H335">
            <v>1.3500000000000002E-2</v>
          </cell>
        </row>
        <row r="336">
          <cell r="D336" t="str">
            <v>Armação aço CA-50 ø 20,0mm para estaca (corte e dobra em obra)</v>
          </cell>
          <cell r="H336">
            <v>5.8320238742016697</v>
          </cell>
        </row>
        <row r="337">
          <cell r="D337" t="str">
            <v>Aço CA50 20,0mm</v>
          </cell>
          <cell r="H337">
            <v>5.5378788742016702</v>
          </cell>
        </row>
        <row r="338">
          <cell r="D338" t="str">
            <v xml:space="preserve">Arame Galvanizado </v>
          </cell>
          <cell r="H338">
            <v>0.28064499999999998</v>
          </cell>
        </row>
        <row r="339">
          <cell r="D339" t="str">
            <v>Espaçador para armadura</v>
          </cell>
          <cell r="H339">
            <v>1.3500000000000002E-2</v>
          </cell>
        </row>
        <row r="340">
          <cell r="D340" t="str">
            <v xml:space="preserve">Armação aço CA-60 ø 5,00mm para estaca (corte e dobra em obra) </v>
          </cell>
          <cell r="H340">
            <v>7.0532266249184019</v>
          </cell>
        </row>
        <row r="341">
          <cell r="D341" t="str">
            <v>Aço CA60 5,0mm</v>
          </cell>
          <cell r="H341">
            <v>6.7590816249184025</v>
          </cell>
        </row>
        <row r="342">
          <cell r="D342" t="str">
            <v xml:space="preserve">Arame Galvanizado </v>
          </cell>
          <cell r="H342">
            <v>0.28064499999999998</v>
          </cell>
        </row>
        <row r="343">
          <cell r="D343" t="str">
            <v>Espaçador para armadura</v>
          </cell>
          <cell r="H343">
            <v>1.3500000000000002E-2</v>
          </cell>
        </row>
        <row r="344">
          <cell r="D344" t="str">
            <v>CONCRETO</v>
          </cell>
          <cell r="H344">
            <v>0</v>
          </cell>
        </row>
        <row r="345">
          <cell r="D345" t="str">
            <v>Concreto Usinado bombeável para estacas 25MPa  - incluindo serviço de bombeamento</v>
          </cell>
          <cell r="H345">
            <v>693.66</v>
          </cell>
        </row>
        <row r="346">
          <cell r="D346" t="str">
            <v>Concreto Usinado bombeável 25MPa</v>
          </cell>
          <cell r="H346">
            <v>640.9</v>
          </cell>
        </row>
        <row r="347">
          <cell r="D347" t="str">
            <v>serviço de bombeamento</v>
          </cell>
          <cell r="H347">
            <v>52</v>
          </cell>
        </row>
        <row r="348">
          <cell r="D348" t="str">
            <v>Cimento Portland Composto CP II-32</v>
          </cell>
          <cell r="H348">
            <v>0.76</v>
          </cell>
        </row>
        <row r="349">
          <cell r="D349" t="str">
            <v>Concreto Usinado bombeável para estacas 30MPa  - incluindo serviço de bombeamento</v>
          </cell>
          <cell r="H349">
            <v>725.70500000000004</v>
          </cell>
        </row>
        <row r="350">
          <cell r="D350" t="str">
            <v>Concreto Usinado bombeável 30MPa para estacas</v>
          </cell>
          <cell r="H350">
            <v>672.94500000000005</v>
          </cell>
        </row>
        <row r="351">
          <cell r="D351" t="str">
            <v>serviço de bombeamento</v>
          </cell>
          <cell r="H351">
            <v>52</v>
          </cell>
        </row>
        <row r="352">
          <cell r="D352" t="str">
            <v>Cimento Portland Composto CP II-32</v>
          </cell>
          <cell r="H352">
            <v>0.76</v>
          </cell>
        </row>
        <row r="353">
          <cell r="D353" t="str">
            <v>Concreto Usinado bombeável para estacas 35MPa  - incluindo serviço de bombeamento</v>
          </cell>
          <cell r="H353">
            <v>787.26</v>
          </cell>
        </row>
        <row r="354">
          <cell r="D354" t="str">
            <v>Concreto Usinado bombeável 35MPa para estacas</v>
          </cell>
          <cell r="H354">
            <v>734.5</v>
          </cell>
        </row>
        <row r="355">
          <cell r="D355" t="str">
            <v>serviço de bombeamento</v>
          </cell>
          <cell r="H355">
            <v>52</v>
          </cell>
        </row>
        <row r="356">
          <cell r="D356" t="str">
            <v>Cimento Portland Composto CP II-32</v>
          </cell>
          <cell r="H356">
            <v>0.76</v>
          </cell>
        </row>
        <row r="357">
          <cell r="D357" t="str">
            <v>Concreto Usinado bombeável para estacas 40MPa  - incluindo serviço de bombeamento</v>
          </cell>
          <cell r="H357">
            <v>741.76</v>
          </cell>
        </row>
        <row r="358">
          <cell r="D358" t="str">
            <v>Concreto Usinado bombeável 40MPa para estacas</v>
          </cell>
          <cell r="H358">
            <v>689</v>
          </cell>
        </row>
        <row r="359">
          <cell r="D359" t="str">
            <v>serviço de bombeamento</v>
          </cell>
          <cell r="H359">
            <v>52</v>
          </cell>
        </row>
        <row r="360">
          <cell r="D360" t="str">
            <v>Cimento Portland Composto CP II-32</v>
          </cell>
          <cell r="H360">
            <v>0.76</v>
          </cell>
        </row>
        <row r="361">
          <cell r="D361" t="str">
            <v>Concreto Usinado bombeável para estacas 50MPa  - incluindo serviço de bombeamento</v>
          </cell>
          <cell r="H361">
            <v>941.83</v>
          </cell>
        </row>
        <row r="362">
          <cell r="D362" t="str">
            <v>Concreto Usinado bombeável 50MPa Fundação Profunda</v>
          </cell>
          <cell r="H362">
            <v>889.07</v>
          </cell>
        </row>
        <row r="363">
          <cell r="D363" t="str">
            <v>serviço de bombeamento</v>
          </cell>
          <cell r="H363">
            <v>52</v>
          </cell>
        </row>
        <row r="364">
          <cell r="D364" t="str">
            <v>Cimento Portland Composto CP II-32</v>
          </cell>
          <cell r="H364">
            <v>0.76</v>
          </cell>
        </row>
        <row r="365">
          <cell r="D365" t="str">
            <v>MÃO DE OBRA</v>
          </cell>
          <cell r="H365">
            <v>0</v>
          </cell>
        </row>
        <row r="366">
          <cell r="D366" t="str">
            <v>Corte e Preparo de Cabeça de Estaca</v>
          </cell>
          <cell r="H366">
            <v>300</v>
          </cell>
        </row>
        <row r="367">
          <cell r="D367" t="str">
            <v>Serviço de Arrasamentode Estacas</v>
          </cell>
          <cell r="H367">
            <v>300</v>
          </cell>
        </row>
        <row r="368">
          <cell r="D368" t="str">
            <v>FUNDAÇÃO RASA</v>
          </cell>
          <cell r="H368">
            <v>0</v>
          </cell>
        </row>
        <row r="369">
          <cell r="D369" t="str">
            <v>FORMA</v>
          </cell>
          <cell r="H369">
            <v>0</v>
          </cell>
        </row>
        <row r="370">
          <cell r="D370" t="str">
            <v>Forma para infraestrutura em Tábuas de Madeira Serrada 2x reaproveitamento</v>
          </cell>
          <cell r="H370">
            <v>59.956228571428568</v>
          </cell>
        </row>
        <row r="371">
          <cell r="D371" t="str">
            <v>PREGO DE ACO POLIDO COM CABECA 15 X 18 (1 1/2 X 13)</v>
          </cell>
          <cell r="H371">
            <v>0.20679999999999998</v>
          </cell>
        </row>
        <row r="372">
          <cell r="D372" t="str">
            <v>PREGO DE ACO POLIDO COM CABECA 17 X 21 (2 X 11)</v>
          </cell>
          <cell r="H372">
            <v>1.7223499999999998</v>
          </cell>
        </row>
        <row r="373">
          <cell r="D373" t="str">
            <v xml:space="preserve">DESMOLDANTE PROTETOR PARA FORMAS DE MADEIRA, DE BASE OLEOSA EMULSIONADA EM AGUA   </v>
          </cell>
          <cell r="H373">
            <v>0.26435000000000003</v>
          </cell>
        </row>
        <row r="374">
          <cell r="D374" t="str">
            <v>MADEIRA PINUS/SIMILAR - PONTALETE 75X75MM NBR 11700/15696</v>
          </cell>
          <cell r="H374">
            <v>5.16</v>
          </cell>
        </row>
        <row r="375">
          <cell r="D375" t="str">
            <v>SARRAFO *2,5 X 7,5* CM EM PINUS, MISTA OU EQUIVALENTE DA REGIAO - BRUTA</v>
          </cell>
          <cell r="H375">
            <v>3.5614285714285714</v>
          </cell>
        </row>
        <row r="376">
          <cell r="D376" t="str">
            <v>TABUA *2,5 X 30 CM EM PINUS, MISTA OU EQUIVALENTE DA REGIAO - BRUTA (M)</v>
          </cell>
          <cell r="H376">
            <v>49.0413</v>
          </cell>
        </row>
        <row r="377">
          <cell r="D377" t="str">
            <v>Forma para infraestrutura em Tábuas de Madeira Serrada 4x reaproveitamento</v>
          </cell>
          <cell r="H377">
            <v>59.956228571428568</v>
          </cell>
        </row>
        <row r="378">
          <cell r="D378" t="str">
            <v>PREGO DE ACO POLIDO COM CABECA 15 X 18 (1 1/2 X 13)</v>
          </cell>
          <cell r="H378">
            <v>0.20679999999999998</v>
          </cell>
        </row>
        <row r="379">
          <cell r="D379" t="str">
            <v>PREGO DE ACO POLIDO COM CABECA 17 X 21 (2 X 11)</v>
          </cell>
          <cell r="H379">
            <v>1.7223499999999998</v>
          </cell>
        </row>
        <row r="380">
          <cell r="D380" t="str">
            <v xml:space="preserve">DESMOLDANTE PROTETOR PARA FORMAS DE MADEIRA, DE BASE OLEOSA EMULSIONADA EM AGUA   </v>
          </cell>
          <cell r="H380">
            <v>0.26435000000000003</v>
          </cell>
        </row>
        <row r="381">
          <cell r="D381" t="str">
            <v>MADEIRA PINUS/SIMILAR - PONTALETE 75X75MM NBR 11700/15696</v>
          </cell>
          <cell r="H381">
            <v>5.16</v>
          </cell>
        </row>
        <row r="382">
          <cell r="D382" t="str">
            <v>SARRAFO *2,5 X 7,5* CM EM PINUS, MISTA OU EQUIVALENTE DA REGIAO - BRUTA</v>
          </cell>
          <cell r="H382">
            <v>3.5614285714285714</v>
          </cell>
        </row>
        <row r="383">
          <cell r="D383" t="str">
            <v>TABUA *2,5 X 30 CM EM PINUS, MISTA OU EQUIVALENTE DA REGIAO - BRUTA (M)</v>
          </cell>
          <cell r="H383">
            <v>49.0413</v>
          </cell>
        </row>
        <row r="384">
          <cell r="D384" t="str">
            <v>ARMADURA</v>
          </cell>
          <cell r="H384">
            <v>0</v>
          </cell>
        </row>
        <row r="385">
          <cell r="D385" t="str">
            <v>Armação aço CA-50 ø 5,0mm para infraestrutura (corte e dobra em obra)</v>
          </cell>
          <cell r="H385">
            <v>7.0532266249184019</v>
          </cell>
        </row>
        <row r="386">
          <cell r="D386" t="str">
            <v>Aço CA60 5,0mm</v>
          </cell>
          <cell r="H386">
            <v>6.7590816249184025</v>
          </cell>
        </row>
        <row r="387">
          <cell r="D387" t="str">
            <v xml:space="preserve">Arame Galvanizado </v>
          </cell>
          <cell r="H387">
            <v>0.28064499999999998</v>
          </cell>
        </row>
        <row r="388">
          <cell r="D388" t="str">
            <v>Espaçador para armadura</v>
          </cell>
          <cell r="H388">
            <v>1.3500000000000002E-2</v>
          </cell>
        </row>
        <row r="389">
          <cell r="D389" t="str">
            <v>Armação aço CA-50 ø 6,3mm para infraestrutura (corte e dobra em obra)</v>
          </cell>
          <cell r="H389">
            <v>6.0795673937956973</v>
          </cell>
        </row>
        <row r="390">
          <cell r="D390" t="str">
            <v>Aço CA50 6,3 mm</v>
          </cell>
          <cell r="H390">
            <v>5.7854223937956979</v>
          </cell>
        </row>
        <row r="391">
          <cell r="D391" t="str">
            <v xml:space="preserve">Arame Galvanizado </v>
          </cell>
          <cell r="H391">
            <v>0.28064499999999998</v>
          </cell>
        </row>
        <row r="392">
          <cell r="D392" t="str">
            <v>Espaçador para armadura</v>
          </cell>
          <cell r="H392">
            <v>1.3500000000000002E-2</v>
          </cell>
        </row>
        <row r="393">
          <cell r="D393" t="str">
            <v>Armação aço CA-50 ø 8,0mm para infraestrutura (corte e dobra em obra)</v>
          </cell>
          <cell r="H393">
            <v>5.7114876589046171</v>
          </cell>
        </row>
        <row r="394">
          <cell r="D394" t="str">
            <v>Aço CA50 8,0 mm</v>
          </cell>
          <cell r="H394">
            <v>5.4173426589046176</v>
          </cell>
        </row>
        <row r="395">
          <cell r="D395" t="str">
            <v xml:space="preserve">Arame Galvanizado </v>
          </cell>
          <cell r="H395">
            <v>0.28064499999999998</v>
          </cell>
        </row>
        <row r="396">
          <cell r="D396" t="str">
            <v>Espaçador para armadura</v>
          </cell>
          <cell r="H396">
            <v>1.3500000000000002E-2</v>
          </cell>
        </row>
        <row r="397">
          <cell r="D397" t="str">
            <v>Armação aço CA-50 ø 10,0mm para infraestrutura (corte e dobra em obra)</v>
          </cell>
          <cell r="H397">
            <v>5.574897719320254</v>
          </cell>
        </row>
        <row r="398">
          <cell r="D398" t="str">
            <v>Aço CA50 10,0 mm</v>
          </cell>
          <cell r="H398">
            <v>5.2807527193202546</v>
          </cell>
        </row>
        <row r="399">
          <cell r="D399" t="str">
            <v xml:space="preserve">Arame Galvanizado </v>
          </cell>
          <cell r="H399">
            <v>0.28064499999999998</v>
          </cell>
        </row>
        <row r="400">
          <cell r="D400" t="str">
            <v>Espaçador para armadura</v>
          </cell>
          <cell r="H400">
            <v>1.3500000000000002E-2</v>
          </cell>
        </row>
        <row r="401">
          <cell r="D401" t="str">
            <v xml:space="preserve">Armação aço CA-50 ø 12,5mm para infraestrutura (corte e dobra em obra) </v>
          </cell>
          <cell r="H401">
            <v>5.8525390844687308</v>
          </cell>
        </row>
        <row r="402">
          <cell r="D402" t="str">
            <v>Aço CA50 12,5 mm</v>
          </cell>
          <cell r="H402">
            <v>5.5583940844687314</v>
          </cell>
        </row>
        <row r="403">
          <cell r="D403" t="str">
            <v xml:space="preserve">Arame Galvanizado </v>
          </cell>
          <cell r="H403">
            <v>0.28064499999999998</v>
          </cell>
        </row>
        <row r="404">
          <cell r="D404" t="str">
            <v>Espaçador para armadura</v>
          </cell>
          <cell r="H404">
            <v>1.3500000000000002E-2</v>
          </cell>
        </row>
        <row r="405">
          <cell r="D405" t="str">
            <v>Armação aço CA-50 ø 16,0mm para infraestrutura (corte e dobra em obra)</v>
          </cell>
          <cell r="H405">
            <v>5.7287614493981831</v>
          </cell>
        </row>
        <row r="406">
          <cell r="D406" t="str">
            <v>Aço CA50 16,0mm</v>
          </cell>
          <cell r="H406">
            <v>5.4346164493981837</v>
          </cell>
        </row>
        <row r="407">
          <cell r="D407" t="str">
            <v xml:space="preserve">Arame Galvanizado </v>
          </cell>
          <cell r="H407">
            <v>0.28064499999999998</v>
          </cell>
        </row>
        <row r="408">
          <cell r="D408" t="str">
            <v>Espaçador para armadura</v>
          </cell>
          <cell r="H408">
            <v>1.3500000000000002E-2</v>
          </cell>
        </row>
        <row r="409">
          <cell r="D409" t="str">
            <v xml:space="preserve">Armação aço CA-50 ø 20,0mm para infraestrutura (corte e dobra em obra) </v>
          </cell>
          <cell r="H409">
            <v>5.8320238742016697</v>
          </cell>
        </row>
        <row r="410">
          <cell r="D410" t="str">
            <v>Aço CA50 20,0mm</v>
          </cell>
          <cell r="H410">
            <v>5.5378788742016702</v>
          </cell>
        </row>
        <row r="411">
          <cell r="D411" t="str">
            <v xml:space="preserve">Arame Galvanizado </v>
          </cell>
          <cell r="H411">
            <v>0.28064499999999998</v>
          </cell>
        </row>
        <row r="412">
          <cell r="D412" t="str">
            <v>Espaçador para armadura</v>
          </cell>
          <cell r="H412">
            <v>1.3500000000000002E-2</v>
          </cell>
        </row>
        <row r="413">
          <cell r="D413" t="str">
            <v xml:space="preserve">Armação aço CA-50 ø 25,0mm para infraestrutura (corte e dobra em obra) </v>
          </cell>
          <cell r="H413">
            <v>5.9710978475884398</v>
          </cell>
        </row>
        <row r="414">
          <cell r="D414" t="str">
            <v>Aço CA50 25,0mm</v>
          </cell>
          <cell r="H414">
            <v>5.6769528475884403</v>
          </cell>
        </row>
        <row r="415">
          <cell r="D415" t="str">
            <v xml:space="preserve">Arame Galvanizado </v>
          </cell>
          <cell r="H415">
            <v>0.28064499999999998</v>
          </cell>
        </row>
        <row r="416">
          <cell r="D416" t="str">
            <v>Espaçador para armadura</v>
          </cell>
          <cell r="H416">
            <v>1.3500000000000002E-2</v>
          </cell>
        </row>
        <row r="417">
          <cell r="D417" t="str">
            <v xml:space="preserve">Armação aço CA-60 ø 5,00mm para infraestrutura (corte e dobra em obra) </v>
          </cell>
          <cell r="H417">
            <v>7.0532266249184019</v>
          </cell>
        </row>
        <row r="418">
          <cell r="D418" t="str">
            <v>Aço CA60 5,0mm</v>
          </cell>
          <cell r="H418">
            <v>6.7590816249184025</v>
          </cell>
        </row>
        <row r="419">
          <cell r="D419" t="str">
            <v xml:space="preserve">Arame Galvanizado </v>
          </cell>
          <cell r="H419">
            <v>0.28064499999999998</v>
          </cell>
        </row>
        <row r="420">
          <cell r="D420" t="str">
            <v>Espaçador para armadura</v>
          </cell>
          <cell r="H420">
            <v>1.3500000000000002E-2</v>
          </cell>
        </row>
        <row r="421">
          <cell r="D421" t="str">
            <v xml:space="preserve">Armação aço CA-50 ø 32,00mm para infraestrutura (corte e dobra em obra) </v>
          </cell>
          <cell r="H421">
            <v>7.136145</v>
          </cell>
        </row>
        <row r="422">
          <cell r="D422" t="str">
            <v>Aço CA60 32,0mm</v>
          </cell>
          <cell r="H422">
            <v>6.8420000000000005</v>
          </cell>
        </row>
        <row r="423">
          <cell r="D423" t="str">
            <v xml:space="preserve">Arame Galvanizado </v>
          </cell>
          <cell r="H423">
            <v>0.28064499999999998</v>
          </cell>
        </row>
        <row r="424">
          <cell r="D424" t="str">
            <v>Espaçador para armadura</v>
          </cell>
          <cell r="H424">
            <v>1.3500000000000002E-2</v>
          </cell>
        </row>
        <row r="425">
          <cell r="D425" t="str">
            <v>Armação aço CA-50 ø 5,0mm para infraestrutura (corte e dobra em Indústria)</v>
          </cell>
          <cell r="H425">
            <v>8.9641450000000003</v>
          </cell>
        </row>
        <row r="426">
          <cell r="D426" t="str">
            <v>Aço CA50 5,0 mm Corte e Dobra em Indústria</v>
          </cell>
          <cell r="H426">
            <v>8.67</v>
          </cell>
        </row>
        <row r="427">
          <cell r="D427" t="str">
            <v xml:space="preserve">Arame Galvanizado </v>
          </cell>
          <cell r="H427">
            <v>0.28064499999999998</v>
          </cell>
        </row>
        <row r="428">
          <cell r="D428" t="str">
            <v>Espaçador para armadura</v>
          </cell>
          <cell r="H428">
            <v>1.3500000000000002E-2</v>
          </cell>
        </row>
        <row r="429">
          <cell r="D429" t="str">
            <v>Armação aço CA-50 ø 6,3mm para infraestrutura (corte e dobra em Indústria)</v>
          </cell>
          <cell r="H429">
            <v>8.9641450000000003</v>
          </cell>
        </row>
        <row r="430">
          <cell r="D430" t="str">
            <v>Aço CA50 6,3 mm Corte e Dobra em Indústria</v>
          </cell>
          <cell r="H430">
            <v>8.67</v>
          </cell>
        </row>
        <row r="431">
          <cell r="D431" t="str">
            <v xml:space="preserve">Arame Galvanizado </v>
          </cell>
          <cell r="H431">
            <v>0.28064499999999998</v>
          </cell>
        </row>
        <row r="432">
          <cell r="D432" t="str">
            <v>Espaçador para armadura</v>
          </cell>
          <cell r="H432">
            <v>1.3500000000000002E-2</v>
          </cell>
        </row>
        <row r="433">
          <cell r="D433" t="str">
            <v>Armação aço CA-50 ø 8,0mm para infraestrutura (corte e dobra em Indústria)</v>
          </cell>
          <cell r="H433">
            <v>8.9641450000000003</v>
          </cell>
        </row>
        <row r="434">
          <cell r="D434" t="str">
            <v>Aço CA50 8,0 mm Corte e Dobra em Indústria</v>
          </cell>
          <cell r="H434">
            <v>8.67</v>
          </cell>
        </row>
        <row r="435">
          <cell r="D435" t="str">
            <v xml:space="preserve">Arame Galvanizado </v>
          </cell>
          <cell r="H435">
            <v>0.28064499999999998</v>
          </cell>
        </row>
        <row r="436">
          <cell r="D436" t="str">
            <v>Espaçador para armadura</v>
          </cell>
          <cell r="H436">
            <v>1.3500000000000002E-2</v>
          </cell>
        </row>
        <row r="437">
          <cell r="D437" t="str">
            <v>Armação aço CA-50 ø 10,0mm para infraestrutura (corte e dobra em Indústria)</v>
          </cell>
          <cell r="H437">
            <v>8.9641450000000003</v>
          </cell>
        </row>
        <row r="438">
          <cell r="D438" t="str">
            <v>Aço CA50 10,0 mm Corte e Dobra em Indústria</v>
          </cell>
          <cell r="H438">
            <v>8.67</v>
          </cell>
        </row>
        <row r="439">
          <cell r="D439" t="str">
            <v xml:space="preserve">Arame Galvanizado </v>
          </cell>
          <cell r="H439">
            <v>0.28064499999999998</v>
          </cell>
        </row>
        <row r="440">
          <cell r="D440" t="str">
            <v>Espaçador para armadura</v>
          </cell>
          <cell r="H440">
            <v>1.3500000000000002E-2</v>
          </cell>
        </row>
        <row r="441">
          <cell r="D441" t="str">
            <v xml:space="preserve">Armação aço CA-50 ø 12,5mm para infraestrutura (corte e dobra em Indústria) </v>
          </cell>
          <cell r="H441">
            <v>8.4841449999999998</v>
          </cell>
        </row>
        <row r="442">
          <cell r="D442" t="str">
            <v>Aço CA50 12,5 mm Corte e Dobra em Indústria</v>
          </cell>
          <cell r="H442">
            <v>8.19</v>
          </cell>
        </row>
        <row r="443">
          <cell r="D443" t="str">
            <v xml:space="preserve">Arame Galvanizado </v>
          </cell>
          <cell r="H443">
            <v>0.28064499999999998</v>
          </cell>
        </row>
        <row r="444">
          <cell r="D444" t="str">
            <v>Espaçador para armadura</v>
          </cell>
          <cell r="H444">
            <v>1.3500000000000002E-2</v>
          </cell>
        </row>
        <row r="445">
          <cell r="D445" t="str">
            <v>Armação aço CA-50 ø 16,0mm para infraestrutura (corte e dobra em Indústria)</v>
          </cell>
          <cell r="H445">
            <v>8.4841449999999998</v>
          </cell>
        </row>
        <row r="446">
          <cell r="D446" t="str">
            <v>Aço CA50 16,0 mm Corte e Dobra em Indústria</v>
          </cell>
          <cell r="H446">
            <v>8.19</v>
          </cell>
        </row>
        <row r="447">
          <cell r="D447" t="str">
            <v xml:space="preserve">Arame Galvanizado </v>
          </cell>
          <cell r="H447">
            <v>0.28064499999999998</v>
          </cell>
        </row>
        <row r="448">
          <cell r="D448" t="str">
            <v>Espaçador para armadura</v>
          </cell>
          <cell r="H448">
            <v>1.3500000000000002E-2</v>
          </cell>
        </row>
        <row r="449">
          <cell r="D449" t="str">
            <v xml:space="preserve">Armação aço CA-50 ø 20,0mm para infraestrutura (corte e dobra em Indústria) </v>
          </cell>
          <cell r="H449">
            <v>8.4841449999999998</v>
          </cell>
        </row>
        <row r="450">
          <cell r="D450" t="str">
            <v>Aço CA50 20,0 mm Corte e Dobra em Indústria</v>
          </cell>
          <cell r="H450">
            <v>8.19</v>
          </cell>
        </row>
        <row r="451">
          <cell r="D451" t="str">
            <v xml:space="preserve">Arame Galvanizado </v>
          </cell>
          <cell r="H451">
            <v>0.28064499999999998</v>
          </cell>
        </row>
        <row r="452">
          <cell r="D452" t="str">
            <v>Espaçador para armadura</v>
          </cell>
          <cell r="H452">
            <v>1.3500000000000002E-2</v>
          </cell>
        </row>
        <row r="453">
          <cell r="D453" t="str">
            <v xml:space="preserve">Armação aço CA-50 ø 25,0mm para infraestrutura (corte e dobra em Indústria) </v>
          </cell>
          <cell r="H453">
            <v>8.4841449999999998</v>
          </cell>
        </row>
        <row r="454">
          <cell r="D454" t="str">
            <v>Aço CA50 25,0mm Corte e Dobra em Indústria</v>
          </cell>
          <cell r="H454">
            <v>8.19</v>
          </cell>
        </row>
        <row r="455">
          <cell r="D455" t="str">
            <v xml:space="preserve">Arame Galvanizado </v>
          </cell>
          <cell r="H455">
            <v>0.28064499999999998</v>
          </cell>
        </row>
        <row r="456">
          <cell r="D456" t="str">
            <v>Espaçador para armadura</v>
          </cell>
          <cell r="H456">
            <v>1.3500000000000002E-2</v>
          </cell>
        </row>
        <row r="457">
          <cell r="D457" t="str">
            <v xml:space="preserve">Armação aço CA-50 ø 32,00mm para infraestrutura (corte e dobra em Indústria) </v>
          </cell>
          <cell r="H457">
            <v>9.0705059454436991</v>
          </cell>
        </row>
        <row r="458">
          <cell r="D458" t="str">
            <v>Aço CA50 32,0mm Corte e Dobra em Indústria</v>
          </cell>
          <cell r="H458">
            <v>8.7763609454436988</v>
          </cell>
        </row>
        <row r="459">
          <cell r="D459" t="str">
            <v xml:space="preserve">Arame Galvanizado </v>
          </cell>
          <cell r="H459">
            <v>0.28064499999999998</v>
          </cell>
        </row>
        <row r="460">
          <cell r="D460" t="str">
            <v>Espaçador para armadura</v>
          </cell>
          <cell r="H460">
            <v>1.3500000000000002E-2</v>
          </cell>
        </row>
        <row r="461">
          <cell r="D461" t="str">
            <v>Junta serrada de 4 mm e 10 cm de altura, com tarucel</v>
          </cell>
          <cell r="H461">
            <v>3.6399999999999997</v>
          </cell>
        </row>
        <row r="462">
          <cell r="D462" t="str">
            <v>Tarucel de 6 mm</v>
          </cell>
          <cell r="H462">
            <v>0.88000000000000012</v>
          </cell>
        </row>
        <row r="463">
          <cell r="D463" t="str">
            <v>SELANTE ELASTICO MONOCOMPONENTE A BASE DE POLIURETANO (PU) PARA JUNTAS DIVERSAS</v>
          </cell>
          <cell r="H463">
            <v>2.76</v>
          </cell>
        </row>
        <row r="464">
          <cell r="D464" t="str">
            <v>CONCRETO</v>
          </cell>
          <cell r="H464">
            <v>0</v>
          </cell>
        </row>
        <row r="465">
          <cell r="D465" t="str">
            <v>Concreto Usinado bombeável 30MPa para infraestrutura - incluindo serviço de bombeamento</v>
          </cell>
          <cell r="H465">
            <v>578.26</v>
          </cell>
        </row>
        <row r="466">
          <cell r="D466" t="str">
            <v>Concreto Usinado bombeável 30MPa Convencional</v>
          </cell>
          <cell r="H466">
            <v>535.5</v>
          </cell>
        </row>
        <row r="467">
          <cell r="D467" t="str">
            <v>serviço de bombeamento</v>
          </cell>
          <cell r="H467">
            <v>42</v>
          </cell>
        </row>
        <row r="468">
          <cell r="D468" t="str">
            <v>Cimento Portland Composto CP II-32</v>
          </cell>
          <cell r="H468">
            <v>0.76</v>
          </cell>
        </row>
        <row r="469">
          <cell r="D469" t="str">
            <v>Concreto Usinado bombeável 35MPa para infraestrutura - incluindo serviço de bombeamento</v>
          </cell>
          <cell r="H469">
            <v>677.72649999999999</v>
          </cell>
        </row>
        <row r="470">
          <cell r="D470" t="str">
            <v>Concreto Usinado bombeável 35MPa Convencional</v>
          </cell>
          <cell r="H470">
            <v>634.9665</v>
          </cell>
        </row>
        <row r="471">
          <cell r="D471" t="str">
            <v>serviço de bombeamento</v>
          </cell>
          <cell r="H471">
            <v>42</v>
          </cell>
        </row>
        <row r="472">
          <cell r="D472" t="str">
            <v>Cimento Portland Composto CP II-32</v>
          </cell>
          <cell r="H472">
            <v>0.76</v>
          </cell>
        </row>
        <row r="473">
          <cell r="D473" t="str">
            <v>Concreto Usinado bombeável 40MPa para infraestrutura- incluindo serviço de bombeamento</v>
          </cell>
          <cell r="H473">
            <v>631.30600000000004</v>
          </cell>
        </row>
        <row r="474">
          <cell r="D474" t="str">
            <v>Concreto Usinado bombeável 40MPa Convencional</v>
          </cell>
          <cell r="H474">
            <v>588.54600000000005</v>
          </cell>
        </row>
        <row r="475">
          <cell r="D475" t="str">
            <v>serviço de bombeamento</v>
          </cell>
          <cell r="H475">
            <v>42</v>
          </cell>
        </row>
        <row r="476">
          <cell r="D476" t="str">
            <v>Cimento Portland Composto CP II-32</v>
          </cell>
          <cell r="H476">
            <v>0.76</v>
          </cell>
        </row>
        <row r="477">
          <cell r="D477" t="str">
            <v>Concreto Usinado bombeável 45MPa para infraestrutura- incluindo serviço de bombeamento</v>
          </cell>
          <cell r="H477">
            <v>620.40700000000004</v>
          </cell>
        </row>
        <row r="478">
          <cell r="D478" t="str">
            <v>Concreto Usinado bombeável 45MPa Convencional</v>
          </cell>
          <cell r="H478">
            <v>577.64700000000005</v>
          </cell>
        </row>
        <row r="479">
          <cell r="D479" t="str">
            <v>serviço de bombeamento</v>
          </cell>
          <cell r="H479">
            <v>42</v>
          </cell>
        </row>
        <row r="480">
          <cell r="D480" t="str">
            <v>Cimento Portland Composto CP II-32</v>
          </cell>
          <cell r="H480">
            <v>0.76</v>
          </cell>
        </row>
        <row r="481">
          <cell r="D481" t="str">
            <v>Concreto Usinado bombeável 50MPa para infraestrutura- incluindo serviço de bombeamento</v>
          </cell>
          <cell r="H481">
            <v>680.10600000000011</v>
          </cell>
        </row>
        <row r="482">
          <cell r="D482" t="str">
            <v>Concreto Usinado bombeável 50MPa Convencional</v>
          </cell>
          <cell r="H482">
            <v>638.10600000000011</v>
          </cell>
        </row>
        <row r="483">
          <cell r="D483" t="str">
            <v>serviço de bombeamento</v>
          </cell>
          <cell r="H483">
            <v>42</v>
          </cell>
        </row>
        <row r="484">
          <cell r="D484" t="str">
            <v>Cimento Portland Composto CP II-32</v>
          </cell>
          <cell r="H484">
            <v>0</v>
          </cell>
        </row>
        <row r="485">
          <cell r="D485" t="str">
            <v>Concreto Usinado bombeável 60MPa para infraestrutura- incluindo serviço de bombeamento</v>
          </cell>
          <cell r="H485">
            <v>656.29200000000003</v>
          </cell>
        </row>
        <row r="486">
          <cell r="D486" t="str">
            <v>Concreto Usinado bombeável 60MPa Convencional</v>
          </cell>
          <cell r="H486">
            <v>614.29200000000003</v>
          </cell>
        </row>
        <row r="487">
          <cell r="D487" t="str">
            <v>serviço de bombeamento</v>
          </cell>
          <cell r="H487">
            <v>42</v>
          </cell>
        </row>
        <row r="488">
          <cell r="D488" t="str">
            <v>Cimento Portland Composto CP II-32</v>
          </cell>
          <cell r="H488">
            <v>0</v>
          </cell>
        </row>
        <row r="489">
          <cell r="D489" t="str">
            <v>Concreto Usinado bombeável 50MPa com Penetron para infraestrutura- incluindo serviço de bombeamento</v>
          </cell>
          <cell r="H489">
            <v>837.60600000000011</v>
          </cell>
        </row>
        <row r="490">
          <cell r="D490" t="str">
            <v>Concreto Usinado bombeável 50MPa Com Penetron</v>
          </cell>
          <cell r="H490">
            <v>795.60600000000011</v>
          </cell>
        </row>
        <row r="491">
          <cell r="D491" t="str">
            <v>serviço de bombeamento</v>
          </cell>
          <cell r="H491">
            <v>42</v>
          </cell>
        </row>
        <row r="492">
          <cell r="D492" t="str">
            <v>Cimento Portland Composto CP II-32</v>
          </cell>
          <cell r="H492">
            <v>0</v>
          </cell>
        </row>
        <row r="493">
          <cell r="D493" t="str">
            <v>MÃO DE OBRA</v>
          </cell>
          <cell r="H493">
            <v>0</v>
          </cell>
        </row>
        <row r="494">
          <cell r="D494" t="str">
            <v>Mão de obra para execução de fundação</v>
          </cell>
          <cell r="H494">
            <v>435</v>
          </cell>
        </row>
        <row r="495">
          <cell r="D495" t="str">
            <v>Mão de obra para execução de fundação</v>
          </cell>
          <cell r="H495">
            <v>435</v>
          </cell>
        </row>
        <row r="496">
          <cell r="D496" t="str">
            <v>CONTENÇÕES</v>
          </cell>
          <cell r="H496">
            <v>0</v>
          </cell>
        </row>
        <row r="497">
          <cell r="D497" t="str">
            <v>PERFURAÇÃO</v>
          </cell>
          <cell r="H497">
            <v>0</v>
          </cell>
        </row>
        <row r="498">
          <cell r="D498" t="str">
            <v xml:space="preserve">Perfuração de estaca Escavada para contenção Ø 30cm	</v>
          </cell>
          <cell r="H498">
            <v>39</v>
          </cell>
        </row>
        <row r="499">
          <cell r="D499" t="str">
            <v>Execucao Estaca Escavada 030Cm</v>
          </cell>
          <cell r="H499">
            <v>39</v>
          </cell>
        </row>
        <row r="500">
          <cell r="D500" t="str">
            <v xml:space="preserve">Perfuração de estaca Escavada para contenção Ø 40cm	</v>
          </cell>
          <cell r="H500">
            <v>52.800000000000004</v>
          </cell>
        </row>
        <row r="501">
          <cell r="D501" t="str">
            <v>Execucao Estaca Escavada 040Cm</v>
          </cell>
          <cell r="H501">
            <v>52.800000000000004</v>
          </cell>
        </row>
        <row r="502">
          <cell r="D502" t="str">
            <v>FORMA</v>
          </cell>
          <cell r="H502">
            <v>0</v>
          </cell>
        </row>
        <row r="503">
          <cell r="D503" t="str">
            <v>Forma para Contenções em Tábuas de Madeira Serrada 17mm 4x reaproveitamento</v>
          </cell>
          <cell r="H503">
            <v>59.956228571428568</v>
          </cell>
        </row>
        <row r="504">
          <cell r="D504" t="str">
            <v>PREGO DE ACO POLIDO COM CABECA 15 X 18 (1 1/2 X 13)</v>
          </cell>
          <cell r="H504">
            <v>0.20679999999999998</v>
          </cell>
        </row>
        <row r="505">
          <cell r="D505" t="str">
            <v>PREGO DE ACO POLIDO COM CABECA 17 X 21 (2 X 11)</v>
          </cell>
          <cell r="H505">
            <v>1.7223499999999998</v>
          </cell>
        </row>
        <row r="506">
          <cell r="D506" t="str">
            <v xml:space="preserve">DESMOLDANTE PROTETOR PARA FORMAS DE MADEIRA, DE BASE OLEOSA EMULSIONADA EM AGUA   </v>
          </cell>
          <cell r="H506">
            <v>0.26435000000000003</v>
          </cell>
        </row>
        <row r="507">
          <cell r="D507" t="str">
            <v>MADEIRA PINUS/SIMILAR - PONTALETE 75X75MM NBR 11700/15696</v>
          </cell>
          <cell r="H507">
            <v>5.16</v>
          </cell>
        </row>
        <row r="508">
          <cell r="D508" t="str">
            <v>SARRAFO *2,5 X 7,5* CM EM PINUS, MISTA OU EQUIVALENTE DA REGIAO - BRUTA</v>
          </cell>
          <cell r="H508">
            <v>3.5614285714285714</v>
          </cell>
        </row>
        <row r="509">
          <cell r="D509" t="str">
            <v>TABUA *2,5 X 30 CM EM PINUS, MISTA OU EQUIVALENTE DA REGIAO - BRUTA (M)</v>
          </cell>
          <cell r="H509">
            <v>49.0413</v>
          </cell>
        </row>
        <row r="510">
          <cell r="D510" t="str">
            <v>ARMADURA</v>
          </cell>
          <cell r="H510">
            <v>0</v>
          </cell>
        </row>
        <row r="511">
          <cell r="D511" t="str">
            <v>Locação e cravação de estacas prancha EP400 para contenção</v>
          </cell>
          <cell r="H511">
            <v>470.28409090909088</v>
          </cell>
        </row>
        <row r="512">
          <cell r="D512" t="str">
            <v>Estaca prancha EP400 para contenção, L=8,00m</v>
          </cell>
          <cell r="H512">
            <v>470.28409090909088</v>
          </cell>
        </row>
        <row r="513">
          <cell r="D513" t="str">
            <v>Mobilização e Desmobilização de equipamento e máquinas considerando serviço de carga e descarga</v>
          </cell>
          <cell r="H513">
            <v>12000</v>
          </cell>
        </row>
        <row r="514">
          <cell r="D514" t="str">
            <v>Mobilização e Desmobilização de equipamento e máquinas considerando serviço de carga e descarga</v>
          </cell>
          <cell r="H514">
            <v>12000</v>
          </cell>
        </row>
        <row r="515">
          <cell r="D515" t="str">
            <v>Armação aço CA-50 ø 6,3mm para Contenções (corte e dobra em obra)</v>
          </cell>
          <cell r="H515">
            <v>6.0795673937956973</v>
          </cell>
        </row>
        <row r="516">
          <cell r="D516" t="str">
            <v>Aço CA50 6,3 mm</v>
          </cell>
          <cell r="H516">
            <v>5.7854223937956979</v>
          </cell>
        </row>
        <row r="517">
          <cell r="D517" t="str">
            <v xml:space="preserve">Arame Galvanizado </v>
          </cell>
          <cell r="H517">
            <v>0.28064499999999998</v>
          </cell>
        </row>
        <row r="518">
          <cell r="D518" t="str">
            <v>Espaçador para armadura</v>
          </cell>
          <cell r="H518">
            <v>1.3500000000000002E-2</v>
          </cell>
        </row>
        <row r="519">
          <cell r="D519" t="str">
            <v>Armação aço CA-50 ø 8,0mm para Contenções (corte e dobra em obra)</v>
          </cell>
          <cell r="H519">
            <v>5.7114876589046171</v>
          </cell>
        </row>
        <row r="520">
          <cell r="D520" t="str">
            <v>Aço CA50 8,0 mm</v>
          </cell>
          <cell r="H520">
            <v>5.4173426589046176</v>
          </cell>
        </row>
        <row r="521">
          <cell r="D521" t="str">
            <v xml:space="preserve">Arame Galvanizado </v>
          </cell>
          <cell r="H521">
            <v>0.28064499999999998</v>
          </cell>
        </row>
        <row r="522">
          <cell r="D522" t="str">
            <v>Espaçador para armadura</v>
          </cell>
          <cell r="H522">
            <v>1.3500000000000002E-2</v>
          </cell>
        </row>
        <row r="523">
          <cell r="D523" t="str">
            <v>Armação aço CA-50 ø 10,0mm para Contenções (corte e dobra em obra)</v>
          </cell>
          <cell r="H523">
            <v>5.574897719320254</v>
          </cell>
        </row>
        <row r="524">
          <cell r="D524" t="str">
            <v>Aço CA50 10,0 mm</v>
          </cell>
          <cell r="H524">
            <v>5.2807527193202546</v>
          </cell>
        </row>
        <row r="525">
          <cell r="D525" t="str">
            <v xml:space="preserve">Arame Galvanizado </v>
          </cell>
          <cell r="H525">
            <v>0.28064499999999998</v>
          </cell>
        </row>
        <row r="526">
          <cell r="D526" t="str">
            <v>Espaçador para armadura</v>
          </cell>
          <cell r="H526">
            <v>1.3500000000000002E-2</v>
          </cell>
        </row>
        <row r="527">
          <cell r="D527" t="str">
            <v xml:space="preserve">Armação aço CA-50 ø 12,5mm para Contenções (corte e dobra em obra) </v>
          </cell>
          <cell r="H527">
            <v>5.8525390844687308</v>
          </cell>
        </row>
        <row r="528">
          <cell r="D528" t="str">
            <v>Aço CA50 12,5 mm</v>
          </cell>
          <cell r="H528">
            <v>5.5583940844687314</v>
          </cell>
        </row>
        <row r="529">
          <cell r="D529" t="str">
            <v xml:space="preserve">Arame Galvanizado </v>
          </cell>
          <cell r="H529">
            <v>0.28064499999999998</v>
          </cell>
        </row>
        <row r="530">
          <cell r="D530" t="str">
            <v>Espaçador para armadura</v>
          </cell>
          <cell r="H530">
            <v>1.3500000000000002E-2</v>
          </cell>
        </row>
        <row r="531">
          <cell r="D531" t="str">
            <v>Armação aço CA-50 ø 16,0mm para Contenções (corte e dobra em obra)</v>
          </cell>
          <cell r="H531">
            <v>5.7287614493981831</v>
          </cell>
        </row>
        <row r="532">
          <cell r="D532" t="str">
            <v>Aço CA50 16,0mm</v>
          </cell>
          <cell r="H532">
            <v>5.4346164493981837</v>
          </cell>
        </row>
        <row r="533">
          <cell r="D533" t="str">
            <v xml:space="preserve">Arame Galvanizado </v>
          </cell>
          <cell r="H533">
            <v>0.28064499999999998</v>
          </cell>
        </row>
        <row r="534">
          <cell r="D534" t="str">
            <v>Espaçador para armadura</v>
          </cell>
          <cell r="H534">
            <v>1.3500000000000002E-2</v>
          </cell>
        </row>
        <row r="535">
          <cell r="D535" t="str">
            <v xml:space="preserve">Armação aço CA-50 ø 20,0mm para Contenções (corte e dobra em obra) </v>
          </cell>
          <cell r="H535">
            <v>5.8320238742016697</v>
          </cell>
        </row>
        <row r="536">
          <cell r="D536" t="str">
            <v>Aço CA50 20,0mm</v>
          </cell>
          <cell r="H536">
            <v>5.5378788742016702</v>
          </cell>
        </row>
        <row r="537">
          <cell r="D537" t="str">
            <v xml:space="preserve">Arame Galvanizado </v>
          </cell>
          <cell r="H537">
            <v>0.28064499999999998</v>
          </cell>
        </row>
        <row r="538">
          <cell r="D538" t="str">
            <v>Espaçador para armadura</v>
          </cell>
          <cell r="H538">
            <v>1.3500000000000002E-2</v>
          </cell>
        </row>
        <row r="539">
          <cell r="D539" t="str">
            <v xml:space="preserve">Armação aço CA-50 ø 25,0mm para Contenções (corte e dobra em obra) </v>
          </cell>
          <cell r="H539">
            <v>5.9710978475884398</v>
          </cell>
        </row>
        <row r="540">
          <cell r="D540" t="str">
            <v>Aço CA50 25,0mm</v>
          </cell>
          <cell r="H540">
            <v>5.6769528475884403</v>
          </cell>
        </row>
        <row r="541">
          <cell r="D541" t="str">
            <v xml:space="preserve">Arame Galvanizado </v>
          </cell>
          <cell r="H541">
            <v>0.28064499999999998</v>
          </cell>
        </row>
        <row r="542">
          <cell r="D542" t="str">
            <v>Espaçador para armadura</v>
          </cell>
          <cell r="H542">
            <v>1.3500000000000002E-2</v>
          </cell>
        </row>
        <row r="543">
          <cell r="D543" t="str">
            <v xml:space="preserve">Armação aço CA-60 ø 5,00mm para Contenções (corte e dobra em obra) </v>
          </cell>
          <cell r="H543">
            <v>7.0532266249184019</v>
          </cell>
        </row>
        <row r="544">
          <cell r="D544" t="str">
            <v>Aço CA60 5,0mm</v>
          </cell>
          <cell r="H544">
            <v>6.7590816249184025</v>
          </cell>
        </row>
        <row r="545">
          <cell r="D545" t="str">
            <v xml:space="preserve">Arame Galvanizado </v>
          </cell>
          <cell r="H545">
            <v>0.28064499999999998</v>
          </cell>
        </row>
        <row r="546">
          <cell r="D546" t="str">
            <v>Espaçador para armadura</v>
          </cell>
          <cell r="H546">
            <v>1.3500000000000002E-2</v>
          </cell>
        </row>
        <row r="547">
          <cell r="D547" t="str">
            <v>Armação aço CA-50 ø 6,3mm para Contenções (corte e dobra em Indústria)</v>
          </cell>
          <cell r="H547">
            <v>8.9641450000000003</v>
          </cell>
        </row>
        <row r="548">
          <cell r="D548" t="str">
            <v>Aço CA50 6,3 mm Corte e Dobra em Indústria</v>
          </cell>
          <cell r="H548">
            <v>8.67</v>
          </cell>
        </row>
        <row r="549">
          <cell r="D549" t="str">
            <v xml:space="preserve">Arame Galvanizado </v>
          </cell>
          <cell r="H549">
            <v>0.28064499999999998</v>
          </cell>
        </row>
        <row r="550">
          <cell r="D550" t="str">
            <v>Espaçador para armadura</v>
          </cell>
          <cell r="H550">
            <v>1.3500000000000002E-2</v>
          </cell>
        </row>
        <row r="551">
          <cell r="D551" t="str">
            <v>Armação aço CA-50 ø 8,0mm para Contenções (corte e dobra em Indústria)</v>
          </cell>
          <cell r="H551">
            <v>8.9641450000000003</v>
          </cell>
        </row>
        <row r="552">
          <cell r="D552" t="str">
            <v>Aço CA50 8,0 mm Corte e Dobra em Indústria</v>
          </cell>
          <cell r="H552">
            <v>8.67</v>
          </cell>
        </row>
        <row r="553">
          <cell r="D553" t="str">
            <v xml:space="preserve">Arame Galvanizado </v>
          </cell>
          <cell r="H553">
            <v>0.28064499999999998</v>
          </cell>
        </row>
        <row r="554">
          <cell r="D554" t="str">
            <v>Espaçador para armadura</v>
          </cell>
          <cell r="H554">
            <v>1.3500000000000002E-2</v>
          </cell>
        </row>
        <row r="555">
          <cell r="D555" t="str">
            <v>Armação aço CA-50 ø 12,5mm para Contenções (corte e dobra em Indústria)</v>
          </cell>
          <cell r="H555">
            <v>8.4841449999999998</v>
          </cell>
        </row>
        <row r="556">
          <cell r="D556" t="str">
            <v>Aço CA50 12,5 mm Corte e Dobra em Indústria</v>
          </cell>
          <cell r="H556">
            <v>8.19</v>
          </cell>
        </row>
        <row r="557">
          <cell r="D557" t="str">
            <v xml:space="preserve">Arame Galvanizado </v>
          </cell>
          <cell r="H557">
            <v>0.28064499999999998</v>
          </cell>
        </row>
        <row r="558">
          <cell r="D558" t="str">
            <v>Espaçador para armadura</v>
          </cell>
          <cell r="H558">
            <v>1.3500000000000002E-2</v>
          </cell>
        </row>
        <row r="559">
          <cell r="D559" t="str">
            <v>Armação aço CA-50 ø 16,0mm para Contenções (corte e dobra em Indústria)</v>
          </cell>
          <cell r="H559">
            <v>8.4841449999999998</v>
          </cell>
        </row>
        <row r="560">
          <cell r="D560" t="str">
            <v>Aço CA50 16,0 mm Corte e Dobra em Indústria</v>
          </cell>
          <cell r="H560">
            <v>8.19</v>
          </cell>
        </row>
        <row r="561">
          <cell r="D561" t="str">
            <v xml:space="preserve">Arame Galvanizado </v>
          </cell>
          <cell r="H561">
            <v>0.28064499999999998</v>
          </cell>
        </row>
        <row r="562">
          <cell r="D562" t="str">
            <v>Espaçador para armadura</v>
          </cell>
          <cell r="H562">
            <v>1.3500000000000002E-2</v>
          </cell>
        </row>
        <row r="563">
          <cell r="D563" t="str">
            <v>Armação aço CA-50 ø 20,0mm para Contenções (corte e dobra em Indústria)</v>
          </cell>
          <cell r="H563">
            <v>8.4841449999999998</v>
          </cell>
        </row>
        <row r="564">
          <cell r="D564" t="str">
            <v>Aço CA50 20,0 mm Corte e Dobra em Indústria</v>
          </cell>
          <cell r="H564">
            <v>8.19</v>
          </cell>
        </row>
        <row r="565">
          <cell r="D565" t="str">
            <v xml:space="preserve">Arame Galvanizado </v>
          </cell>
          <cell r="H565">
            <v>0.28064499999999998</v>
          </cell>
        </row>
        <row r="566">
          <cell r="D566" t="str">
            <v>Espaçador para armadura</v>
          </cell>
          <cell r="H566">
            <v>1.3500000000000002E-2</v>
          </cell>
        </row>
        <row r="567">
          <cell r="D567" t="str">
            <v>Armação aço CA-50 ø 25,0mm para Contenções (corte e dobra em Indústria)</v>
          </cell>
          <cell r="H567">
            <v>8.4841449999999998</v>
          </cell>
        </row>
        <row r="568">
          <cell r="D568" t="str">
            <v>Aço CA50 25,0mm Corte e Dobra em Indústria</v>
          </cell>
          <cell r="H568">
            <v>8.19</v>
          </cell>
        </row>
        <row r="569">
          <cell r="D569" t="str">
            <v xml:space="preserve">Arame Galvanizado </v>
          </cell>
          <cell r="H569">
            <v>0.28064499999999998</v>
          </cell>
        </row>
        <row r="570">
          <cell r="D570" t="str">
            <v>Espaçador para armadura</v>
          </cell>
          <cell r="H570">
            <v>1.3500000000000002E-2</v>
          </cell>
        </row>
        <row r="571">
          <cell r="D571" t="str">
            <v>CONCRETO</v>
          </cell>
          <cell r="H571">
            <v>0</v>
          </cell>
        </row>
        <row r="572">
          <cell r="D572" t="str">
            <v>Concreto Usinado bombeável para estaca das Contenções 25MPa  - incluindo serviço de bombeamento</v>
          </cell>
          <cell r="H572">
            <v>693.66</v>
          </cell>
        </row>
        <row r="573">
          <cell r="D573" t="str">
            <v>Concreto Usinado bombeável 25MPa</v>
          </cell>
          <cell r="H573">
            <v>640.9</v>
          </cell>
        </row>
        <row r="574">
          <cell r="D574" t="str">
            <v>serviço de bombeamento</v>
          </cell>
          <cell r="H574">
            <v>52</v>
          </cell>
        </row>
        <row r="575">
          <cell r="D575" t="str">
            <v>Cimento Portland Composto CP II-32</v>
          </cell>
          <cell r="H575">
            <v>0.76</v>
          </cell>
        </row>
        <row r="576">
          <cell r="D576" t="str">
            <v>Concreto Usinado bombeável para Contenções 25MPa  - incluindo serviço de bombeamento</v>
          </cell>
          <cell r="H576">
            <v>634.3599999999999</v>
          </cell>
        </row>
        <row r="577">
          <cell r="D577" t="str">
            <v>Concreto Usinado bombeável 25MPa</v>
          </cell>
          <cell r="H577">
            <v>591.59999999999991</v>
          </cell>
        </row>
        <row r="578">
          <cell r="D578" t="str">
            <v>serviço de bombeamento</v>
          </cell>
          <cell r="H578">
            <v>42</v>
          </cell>
        </row>
        <row r="579">
          <cell r="D579" t="str">
            <v>Cimento Portland Composto CP II-32</v>
          </cell>
          <cell r="H579">
            <v>0.76</v>
          </cell>
        </row>
        <row r="580">
          <cell r="D580" t="str">
            <v>Concreto Usinado bombeável para Contenções 30MPa  - incluindo serviço de bombeamento</v>
          </cell>
          <cell r="H580">
            <v>654.76</v>
          </cell>
        </row>
        <row r="581">
          <cell r="D581" t="str">
            <v>Concreto Usinado bombeável 30MPa Convencional</v>
          </cell>
          <cell r="H581">
            <v>612</v>
          </cell>
        </row>
        <row r="582">
          <cell r="D582" t="str">
            <v>serviço de bombeamento</v>
          </cell>
          <cell r="H582">
            <v>42</v>
          </cell>
        </row>
        <row r="583">
          <cell r="D583" t="str">
            <v>Cimento Portland Composto CP II-32</v>
          </cell>
          <cell r="H583">
            <v>0.76</v>
          </cell>
        </row>
        <row r="584">
          <cell r="D584" t="str">
            <v>MÃO DE OBRA</v>
          </cell>
          <cell r="H584">
            <v>0</v>
          </cell>
        </row>
        <row r="585">
          <cell r="D585" t="str">
            <v>Mão de obra de obra execução de contenção em cortina de concreto</v>
          </cell>
          <cell r="H585">
            <v>166.34420509708741</v>
          </cell>
        </row>
        <row r="586">
          <cell r="D586" t="str">
            <v>Mão de obra de obra execução de contenção em cortina de concreto</v>
          </cell>
          <cell r="H586">
            <v>166.34420509708741</v>
          </cell>
        </row>
        <row r="587">
          <cell r="D587" t="str">
            <v>SUPRAESTRUTURA</v>
          </cell>
          <cell r="H587">
            <v>0</v>
          </cell>
        </row>
        <row r="588">
          <cell r="D588" t="str">
            <v>FORMA</v>
          </cell>
          <cell r="H588">
            <v>0</v>
          </cell>
        </row>
        <row r="589">
          <cell r="D589" t="str">
            <v>Forma para Laje Contrapiso Térreo em Tábuas de Madeira Serrada 18mm 4x reaproveitamento</v>
          </cell>
          <cell r="H589">
            <v>65.418449999999993</v>
          </cell>
        </row>
        <row r="590">
          <cell r="D590" t="str">
            <v>PREGO DE ACO POLIDO COM CABECA 17 X 21 (2 X 11)</v>
          </cell>
          <cell r="H590">
            <v>1.7223499999999998</v>
          </cell>
        </row>
        <row r="591">
          <cell r="D591" t="str">
            <v xml:space="preserve">DESMOLDANTE PROTETOR PARA FORMAS DE MADEIRA, DE BASE OLEOSA EMULSIONADA EM AGUA   </v>
          </cell>
          <cell r="H591">
            <v>0.26435000000000003</v>
          </cell>
        </row>
        <row r="592">
          <cell r="D592" t="str">
            <v>MADEIRA PINUS/SIMILAR - PONTALETE 75X75MM NBR 11700/15696</v>
          </cell>
          <cell r="H592">
            <v>3.14</v>
          </cell>
        </row>
        <row r="593">
          <cell r="D593" t="str">
            <v>SARRAFO *2,5 X 7,5* CM EM PINUS, MISTA OU EQUIVALENTE DA REGIAO - BRUTA</v>
          </cell>
          <cell r="H593">
            <v>1.6969500000000002</v>
          </cell>
        </row>
        <row r="594">
          <cell r="D594" t="str">
            <v>TABUA NAO APARELHADA *2,5 X 20* CM, EM MACARANDUBA/MASSARANDUBA, ANGELIM OU EQUIVALENTE DA REGIAO - BRUTA</v>
          </cell>
          <cell r="H594">
            <v>58.594799999999999</v>
          </cell>
        </row>
        <row r="595">
          <cell r="D595" t="str">
            <v>Fabricação de Fôrma para Pilares, em Chapa de Madeira Compensada Plastificada, E=18mm</v>
          </cell>
          <cell r="H595">
            <v>117.15402760330576</v>
          </cell>
        </row>
        <row r="596">
          <cell r="D596" t="str">
            <v>PREGO DE ACO POLIDO COM CABECA 17 X 21 (2 X 11)</v>
          </cell>
          <cell r="H596">
            <v>3.7710399999999997</v>
          </cell>
        </row>
        <row r="597">
          <cell r="D597" t="str">
            <v>CHAPA/PAINEL DE MADEIRA COMPENSADA PLASTIFICADA, DE 2200 X 1100 MM, E = 18 MM</v>
          </cell>
          <cell r="H597">
            <v>79.221487603305775</v>
          </cell>
        </row>
        <row r="598">
          <cell r="D598" t="str">
            <v>MADEIRA PINUS/SIMILAR - PONTALETE 75X75MM NBR 11700/15696</v>
          </cell>
          <cell r="H598">
            <v>2.99</v>
          </cell>
        </row>
        <row r="599">
          <cell r="D599" t="str">
            <v>SARRAFO *2,5 X 7,5* CM EM PINUS, MISTA OU EQUIVALENTE DA REGIAO - BRUTA</v>
          </cell>
          <cell r="H599">
            <v>31.171499999999998</v>
          </cell>
        </row>
        <row r="600">
          <cell r="D600" t="str">
            <v>Fabricação de Fôrma para Vigas, em Chapa de Madeira Compensada Plastificada, E=18mm</v>
          </cell>
          <cell r="H600">
            <v>81.411944285714284</v>
          </cell>
        </row>
        <row r="601">
          <cell r="D601" t="str">
            <v>PREGO DE ACO POLIDO COM CABECA 17 X 21 (2 X 11)</v>
          </cell>
          <cell r="H601">
            <v>2.8826700000000001</v>
          </cell>
        </row>
        <row r="602">
          <cell r="D602" t="str">
            <v>CHAPA/PAINEL DE MADEIRA COMPENSADA RESINADA, DE 2200 X 1100 MM, E = 18 MM</v>
          </cell>
          <cell r="H602">
            <v>52.719274285714278</v>
          </cell>
        </row>
        <row r="603">
          <cell r="D603" t="str">
            <v>MADEIRA PINUS/SIMILAR - PONTALETE 75X75MM NBR 11700/15696</v>
          </cell>
          <cell r="H603">
            <v>2.35</v>
          </cell>
        </row>
        <row r="604">
          <cell r="D604" t="str">
            <v>SARRAFO *2,5 X 7,5* CM EM PINUS, MISTA OU EQUIVALENTE DA REGIAO - BRUTA</v>
          </cell>
          <cell r="H604">
            <v>23.460000000000004</v>
          </cell>
        </row>
        <row r="605">
          <cell r="D605" t="str">
            <v>Fabricação de Fôrma para Lajes, em Chapa de Madeira Compensada Plastificada, E=18mm</v>
          </cell>
          <cell r="H605">
            <v>55.601944285714275</v>
          </cell>
        </row>
        <row r="606">
          <cell r="D606" t="str">
            <v>PREGO DE ACO POLIDO COM CABECA 17 X 21 (2 X 11)</v>
          </cell>
          <cell r="H606">
            <v>2.8826700000000001</v>
          </cell>
        </row>
        <row r="607">
          <cell r="D607" t="str">
            <v>CHAPA/PAINEL DE MADEIRA COMPENSADA RESINADA, DE 2200 X 1100 MM, E = 18 MM</v>
          </cell>
          <cell r="H607">
            <v>52.719274285714278</v>
          </cell>
        </row>
        <row r="608">
          <cell r="D608" t="str">
            <v>Fabricação de Fôrma para Pilares, em Chapa de Madeira Compensada Resinada, E=18mm</v>
          </cell>
          <cell r="H608">
            <v>99.392357142857136</v>
          </cell>
        </row>
        <row r="609">
          <cell r="D609" t="str">
            <v>PREGO DE ACO POLIDO COM CABECA 17 X 21 (2 X 11)</v>
          </cell>
          <cell r="H609">
            <v>3.7710399999999997</v>
          </cell>
        </row>
        <row r="610">
          <cell r="D610" t="str">
            <v>CHAPA/PAINEL DE MADEIRA COMPENSADA RESINADA, DE 2200 X 1100 MM, E = 18 MM</v>
          </cell>
          <cell r="H610">
            <v>61.45981714285714</v>
          </cell>
        </row>
        <row r="611">
          <cell r="D611" t="str">
            <v>MADEIRA PINUS/SIMILAR - PONTALETE 75X75MM NBR 11700/15696</v>
          </cell>
          <cell r="H611">
            <v>2.99</v>
          </cell>
        </row>
        <row r="612">
          <cell r="D612" t="str">
            <v>SARRAFO *2,5 X 7,5* CM EM PINUS, MISTA OU EQUIVALENTE DA REGIAO - BRUTA</v>
          </cell>
          <cell r="H612">
            <v>31.171499999999998</v>
          </cell>
        </row>
        <row r="613">
          <cell r="D613" t="str">
            <v>Fabricação de Fôrma para Vigas, em Chapa de Madeira Compensada Resinada, E=18mm</v>
          </cell>
          <cell r="H613">
            <v>81.411944285714284</v>
          </cell>
        </row>
        <row r="614">
          <cell r="D614" t="str">
            <v>PREGO DE ACO POLIDO COM CABECA 17 X 21 (2 X 11)</v>
          </cell>
          <cell r="H614">
            <v>2.8826700000000001</v>
          </cell>
        </row>
        <row r="615">
          <cell r="D615" t="str">
            <v>CHAPA/PAINEL DE MADEIRA COMPENSADA RESINADA, DE 2200 X 1100 MM, E = 18 MM</v>
          </cell>
          <cell r="H615">
            <v>52.719274285714278</v>
          </cell>
        </row>
        <row r="616">
          <cell r="D616" t="str">
            <v>MADEIRA PINUS/SIMILAR - PONTALETE 75X75MM NBR 11700/15696</v>
          </cell>
          <cell r="H616">
            <v>2.35</v>
          </cell>
        </row>
        <row r="617">
          <cell r="D617" t="str">
            <v>SARRAFO *2,5 X 7,5* CM EM PINUS, MISTA OU EQUIVALENTE DA REGIAO - BRUTA</v>
          </cell>
          <cell r="H617">
            <v>23.460000000000004</v>
          </cell>
        </row>
        <row r="618">
          <cell r="D618" t="str">
            <v>Fabricação de Fôrma para Lajes, em Chapa de Madeira Compensada Resinada, E=18mm</v>
          </cell>
          <cell r="H618">
            <v>55.601944285714275</v>
          </cell>
        </row>
        <row r="619">
          <cell r="D619" t="str">
            <v>PREGO DE ACO POLIDO COM CABECA 17 X 21 (2 X 11)</v>
          </cell>
          <cell r="H619">
            <v>2.8826700000000001</v>
          </cell>
        </row>
        <row r="620">
          <cell r="D620" t="str">
            <v>CHAPA/PAINEL DE MADEIRA COMPENSADA RESINADA, DE 2200 X 1100 MM, E = 18 MM</v>
          </cell>
          <cell r="H620">
            <v>52.719274285714278</v>
          </cell>
        </row>
        <row r="621">
          <cell r="D621" t="str">
            <v>Fabricação de Fôrma para Escadas, em Chapa de Madeira Compensada Resinada, E=17mm</v>
          </cell>
          <cell r="H621">
            <v>104.30944000000001</v>
          </cell>
        </row>
        <row r="622">
          <cell r="D622" t="str">
            <v>PREGO DE ACO POLIDO COM CABECA 17 X 24 (2 1/4 X11)</v>
          </cell>
          <cell r="H622">
            <v>1.1253499999999999</v>
          </cell>
        </row>
        <row r="623">
          <cell r="D623" t="str">
            <v>PREGO DE ACO POLIDO COM CABECA 15 X 15 (1 1/4 X 13)</v>
          </cell>
          <cell r="H623">
            <v>0.54652999999999996</v>
          </cell>
        </row>
        <row r="624">
          <cell r="D624" t="str">
            <v>CHAPA/PAINEL DE MADEIRA COMPENSADA RESINADA, DE 2200 X 1100 MM, E = 17 MM</v>
          </cell>
          <cell r="H624">
            <v>50.714560000000006</v>
          </cell>
        </row>
        <row r="625">
          <cell r="D625" t="str">
            <v>MADEIRA PINUS/SIMILAR - PONTALETE 75X75MM NBR 11700/15696</v>
          </cell>
          <cell r="H625">
            <v>46.927999999999997</v>
          </cell>
        </row>
        <row r="626">
          <cell r="D626" t="str">
            <v>SARRAFO *2,5 X 7,5* CM EM PINUS, MISTA OU EQUIVALENTE DA REGIAO - BRUTA</v>
          </cell>
          <cell r="H626">
            <v>4.9950000000000001</v>
          </cell>
        </row>
        <row r="627">
          <cell r="D627" t="str">
            <v>Fabricação de Fôrma para Pilares, em Chapa de Madeira Compensada Resinada, E=17mm</v>
          </cell>
          <cell r="H627">
            <v>88.647100000000009</v>
          </cell>
        </row>
        <row r="628">
          <cell r="D628" t="str">
            <v>PREGO DE ACO POLIDO COM CABECA 17 X 21 (2 X 11)</v>
          </cell>
          <cell r="H628">
            <v>3.7710399999999997</v>
          </cell>
        </row>
        <row r="629">
          <cell r="D629" t="str">
            <v>CHAPA/PAINEL DE MADEIRA COMPENSADA RESINADA, DE 2200 X 1100 MM, E = 17 MM</v>
          </cell>
          <cell r="H629">
            <v>50.714560000000006</v>
          </cell>
        </row>
        <row r="630">
          <cell r="D630" t="str">
            <v>MADEIRA PINUS/SIMILAR - PONTALETE 75X75MM NBR 11700/15696</v>
          </cell>
          <cell r="H630">
            <v>2.99</v>
          </cell>
        </row>
        <row r="631">
          <cell r="D631" t="str">
            <v>SARRAFO *2,5 X 7,5* CM EM PINUS, MISTA OU EQUIVALENTE DA REGIAO - BRUTA</v>
          </cell>
          <cell r="H631">
            <v>31.171499999999998</v>
          </cell>
        </row>
        <row r="632">
          <cell r="D632" t="str">
            <v>Fabricação de Fôrma para Vigas, em Chapa de Madeira Compensada Resinada, E=17mm</v>
          </cell>
          <cell r="H632">
            <v>72.194829999999996</v>
          </cell>
        </row>
        <row r="633">
          <cell r="D633" t="str">
            <v>PREGO DE ACO POLIDO COM CABECA 17 X 21 (2 X 11)</v>
          </cell>
          <cell r="H633">
            <v>2.8826700000000001</v>
          </cell>
        </row>
        <row r="634">
          <cell r="D634" t="str">
            <v>CHAPA/PAINEL DE MADEIRA COMPENSADA RESINADA, DE 2200 X 1100 MM, E = 17 MM</v>
          </cell>
          <cell r="H634">
            <v>43.502159999999996</v>
          </cell>
        </row>
        <row r="635">
          <cell r="D635" t="str">
            <v>MADEIRA PINUS/SIMILAR - PONTALETE 75X75MM NBR 11700/15696</v>
          </cell>
          <cell r="H635">
            <v>2.35</v>
          </cell>
        </row>
        <row r="636">
          <cell r="D636" t="str">
            <v>SARRAFO *2,5 X 7,5* CM EM PINUS, MISTA OU EQUIVALENTE DA REGIAO - BRUTA</v>
          </cell>
          <cell r="H636">
            <v>23.460000000000004</v>
          </cell>
        </row>
        <row r="637">
          <cell r="D637" t="str">
            <v>Fabricação de Fôrma para Lajes, em Chapa de Madeira Compensada Resinada, E=17mm</v>
          </cell>
          <cell r="H637">
            <v>46.384829999999994</v>
          </cell>
        </row>
        <row r="638">
          <cell r="D638" t="str">
            <v>PREGO DE ACO POLIDO COM CABECA 17 X 21 (2 X 11)</v>
          </cell>
          <cell r="H638">
            <v>2.8826700000000001</v>
          </cell>
        </row>
        <row r="639">
          <cell r="D639" t="str">
            <v>CHAPA/PAINEL DE MADEIRA COMPENSADA RESINADA, DE 2200 X 1100 MM, E = 17 MM</v>
          </cell>
          <cell r="H639">
            <v>43.502159999999996</v>
          </cell>
        </row>
        <row r="640">
          <cell r="D640" t="str">
            <v>Fabricação de Fôrma para Supraestrutura, em Chapa de Madeira Compensada Resinada, E=20mm</v>
          </cell>
          <cell r="H640">
            <v>108.03522595041321</v>
          </cell>
        </row>
        <row r="641">
          <cell r="D641" t="str">
            <v>PREGO DE ACO POLIDO COM CABECA 17 X 21 (2 X 11)</v>
          </cell>
          <cell r="H641">
            <v>3.7710399999999997</v>
          </cell>
        </row>
        <row r="642">
          <cell r="D642" t="str">
            <v>CHAPA/PAINEL DE MADEIRA COMPENSADA PLASTIFICADA, DE 2200 X 1100 MM, E = 20 MM</v>
          </cell>
          <cell r="H642">
            <v>70.102685950413218</v>
          </cell>
        </row>
        <row r="643">
          <cell r="D643" t="str">
            <v>MADEIRA PINUS/SIMILAR - PONTALETE 75X75MM NBR 11700/15696</v>
          </cell>
          <cell r="H643">
            <v>2.99</v>
          </cell>
        </row>
        <row r="644">
          <cell r="D644" t="str">
            <v>SARRAFO *2,5 X 7,5* CM EM PINUS, MISTA OU EQUIVALENTE DA REGIAO - BRUTA</v>
          </cell>
          <cell r="H644">
            <v>31.171499999999998</v>
          </cell>
        </row>
        <row r="645">
          <cell r="D645" t="str">
            <v>Montagem e Desmontagem de Fôrma de Supraestrutura</v>
          </cell>
          <cell r="H645">
            <v>3.9773487999999997</v>
          </cell>
        </row>
        <row r="646">
          <cell r="D646" t="str">
            <v>PREGO DE ACO POLIDO COM CABECA 17 X 21 (2 X 11)</v>
          </cell>
          <cell r="H646">
            <v>0.48950999999999995</v>
          </cell>
        </row>
        <row r="647">
          <cell r="D647" t="str">
            <v xml:space="preserve">DESMOLDANTE PROTETOR PARA FORMAS DE MADEIRA, DE BASE OLEOSA EMULSIONADA EM AGUA   </v>
          </cell>
          <cell r="H647">
            <v>0.20215</v>
          </cell>
        </row>
        <row r="648">
          <cell r="D648" t="str">
            <v>MADEIRA PINUS/SIMILAR - PONTALETE 75X75MM NBR 11700/15696</v>
          </cell>
          <cell r="H648">
            <v>2</v>
          </cell>
        </row>
        <row r="649">
          <cell r="D649" t="str">
            <v>TABUA *2,5 X 30 CM EM PINUS, MISTA OU EQUIVALENTE DA REGIAO - BRUTA (M)</v>
          </cell>
          <cell r="H649">
            <v>1.2856888000000002</v>
          </cell>
        </row>
        <row r="650">
          <cell r="D650" t="str">
            <v>Montagem e Desmontagem de Fôrma de Pilares</v>
          </cell>
          <cell r="H650">
            <v>0.69165999999999994</v>
          </cell>
        </row>
        <row r="651">
          <cell r="D651" t="str">
            <v>PREGO DE ACO POLIDO COM CABECA 17 X 21 (2 X 11)</v>
          </cell>
          <cell r="H651">
            <v>0.48950999999999995</v>
          </cell>
        </row>
        <row r="652">
          <cell r="D652" t="str">
            <v xml:space="preserve">DESMOLDANTE PROTETOR PARA FORMAS DE MADEIRA, DE BASE OLEOSA EMULSIONADA EM AGUA   </v>
          </cell>
          <cell r="H652">
            <v>0.20215</v>
          </cell>
        </row>
        <row r="653">
          <cell r="D653" t="str">
            <v>Montagem e Desmontagem de Fôrma de Vigas</v>
          </cell>
          <cell r="H653">
            <v>4.6844188000000004</v>
          </cell>
        </row>
        <row r="654">
          <cell r="D654" t="str">
            <v>PREGO DE ACO POLIDO COM CABECA 17 X 21 (2 X 11)</v>
          </cell>
          <cell r="H654">
            <v>1.19658</v>
          </cell>
        </row>
        <row r="655">
          <cell r="D655" t="str">
            <v xml:space="preserve">DESMOLDANTE PROTETOR PARA FORMAS DE MADEIRA, DE BASE OLEOSA EMULSIONADA EM AGUA   </v>
          </cell>
          <cell r="H655">
            <v>0.20215</v>
          </cell>
        </row>
        <row r="656">
          <cell r="D656" t="str">
            <v>MADEIRA PINUS/SIMILAR - PONTALETE 75X75MM NBR 11700/15696</v>
          </cell>
          <cell r="H656">
            <v>2</v>
          </cell>
        </row>
        <row r="657">
          <cell r="D657" t="str">
            <v>TABUA *2,5 X 30 CM EM PINUS, MISTA OU EQUIVALENTE DA REGIAO - BRUTA (M)</v>
          </cell>
          <cell r="H657">
            <v>1.2856888000000002</v>
          </cell>
        </row>
        <row r="658">
          <cell r="D658" t="str">
            <v>Montagem e Desmontagem de Fôrma de Lajes</v>
          </cell>
          <cell r="H658">
            <v>0.69165999999999994</v>
          </cell>
        </row>
        <row r="659">
          <cell r="D659" t="str">
            <v>PREGO DE ACO POLIDO COM CABECA 17 X 21 (2 X 11)</v>
          </cell>
          <cell r="H659">
            <v>0.48950999999999995</v>
          </cell>
        </row>
        <row r="660">
          <cell r="D660" t="str">
            <v xml:space="preserve">DESMOLDANTE PROTETOR PARA FORMAS DE MADEIRA, DE BASE OLEOSA EMULSIONADA EM AGUA   </v>
          </cell>
          <cell r="H660">
            <v>0.20215</v>
          </cell>
        </row>
        <row r="661">
          <cell r="D661" t="str">
            <v>Montagem e Desmontagem de Fôrma de Escadas</v>
          </cell>
          <cell r="H661">
            <v>0.98718000000000006</v>
          </cell>
        </row>
        <row r="662">
          <cell r="D662" t="str">
            <v>PREGO DE ACO POLIDO COM CABECA 15 X 15 (1 1/4 X 13)</v>
          </cell>
          <cell r="H662">
            <v>0.37023</v>
          </cell>
        </row>
        <row r="663">
          <cell r="D663" t="str">
            <v xml:space="preserve">DESMOLDANTE PROTETOR PARA FORMAS DE MADEIRA, DE BASE OLEOSA EMULSIONADA EM AGUA   </v>
          </cell>
          <cell r="H663">
            <v>6.2200000000000005E-2</v>
          </cell>
        </row>
        <row r="664">
          <cell r="D664" t="str">
            <v>PREGO DE ACO POLIDO COM CABECA 17 X 24 (2 1/4 X11)</v>
          </cell>
          <cell r="H664">
            <v>0.55475000000000008</v>
          </cell>
        </row>
        <row r="665">
          <cell r="D665" t="str">
            <v>ARMADURA</v>
          </cell>
          <cell r="H665">
            <v>0</v>
          </cell>
        </row>
        <row r="666">
          <cell r="D666" t="str">
            <v>Armação Aço CA-60, Diâmetro de 5,0mm para Supraestrutura, Corte e Dobra em Obra</v>
          </cell>
          <cell r="H666">
            <v>7.054046624918402</v>
          </cell>
        </row>
        <row r="667">
          <cell r="D667" t="str">
            <v>Aço CA60 5,0mm</v>
          </cell>
          <cell r="H667">
            <v>6.7590816249184025</v>
          </cell>
        </row>
        <row r="668">
          <cell r="D668" t="str">
            <v xml:space="preserve">Arame Recozido BWG 18 </v>
          </cell>
          <cell r="H668">
            <v>0.28146500000000002</v>
          </cell>
        </row>
        <row r="669">
          <cell r="D669" t="str">
            <v>Espaçador para armadura</v>
          </cell>
          <cell r="H669">
            <v>1.3500000000000002E-2</v>
          </cell>
        </row>
        <row r="670">
          <cell r="D670" t="str">
            <v>Armação Aço CA-50, Diâmetro de 6,3mm para Supraestrutura, Corte e Dobra em Obra</v>
          </cell>
          <cell r="H670">
            <v>6.0803873937956974</v>
          </cell>
        </row>
        <row r="671">
          <cell r="D671" t="str">
            <v>Aço CA50 6,3 mm</v>
          </cell>
          <cell r="H671">
            <v>5.7854223937956979</v>
          </cell>
        </row>
        <row r="672">
          <cell r="D672" t="str">
            <v xml:space="preserve">Arame Recozido BWG 18 </v>
          </cell>
          <cell r="H672">
            <v>0.28146500000000002</v>
          </cell>
        </row>
        <row r="673">
          <cell r="D673" t="str">
            <v>Espaçador para armadura</v>
          </cell>
          <cell r="H673">
            <v>1.3500000000000002E-2</v>
          </cell>
        </row>
        <row r="674">
          <cell r="D674" t="str">
            <v>Armação Aço CA-50, Diâmetro de 8,0mm para Supraestrutura, Corte e Dobra em Obra</v>
          </cell>
          <cell r="H674">
            <v>5.7123076589046171</v>
          </cell>
        </row>
        <row r="675">
          <cell r="D675" t="str">
            <v>Aço CA50 8,0 mm</v>
          </cell>
          <cell r="H675">
            <v>5.4173426589046176</v>
          </cell>
        </row>
        <row r="676">
          <cell r="D676" t="str">
            <v xml:space="preserve">Arame Recozido BWG 18 </v>
          </cell>
          <cell r="H676">
            <v>0.28146500000000002</v>
          </cell>
        </row>
        <row r="677">
          <cell r="D677" t="str">
            <v>Espaçador para armadura</v>
          </cell>
          <cell r="H677">
            <v>1.3500000000000002E-2</v>
          </cell>
        </row>
        <row r="678">
          <cell r="D678" t="str">
            <v>Armação Aço CA-50, Diâmetro de 10,0mm para Supraestrutura, Corte e Dobra em Obra</v>
          </cell>
          <cell r="H678">
            <v>5.5757177193202541</v>
          </cell>
        </row>
        <row r="679">
          <cell r="D679" t="str">
            <v>Aço CA50 10,0 mm</v>
          </cell>
          <cell r="H679">
            <v>5.2807527193202546</v>
          </cell>
        </row>
        <row r="680">
          <cell r="D680" t="str">
            <v xml:space="preserve">Arame Recozido BWG 18 </v>
          </cell>
          <cell r="H680">
            <v>0.28146500000000002</v>
          </cell>
        </row>
        <row r="681">
          <cell r="D681" t="str">
            <v>Espaçador para armadura</v>
          </cell>
          <cell r="H681">
            <v>1.3500000000000002E-2</v>
          </cell>
        </row>
        <row r="682">
          <cell r="D682" t="str">
            <v>Armação Aço CA-50, Diâmetro de 12,5mm para Supraestrutura, Corte e Dobra em Obra</v>
          </cell>
          <cell r="H682">
            <v>5.8533590844687309</v>
          </cell>
        </row>
        <row r="683">
          <cell r="D683" t="str">
            <v>Aço CA50 12,5 mm</v>
          </cell>
          <cell r="H683">
            <v>5.5583940844687314</v>
          </cell>
        </row>
        <row r="684">
          <cell r="D684" t="str">
            <v xml:space="preserve">Arame Recozido BWG 18 </v>
          </cell>
          <cell r="H684">
            <v>0.28146500000000002</v>
          </cell>
        </row>
        <row r="685">
          <cell r="D685" t="str">
            <v>Espaçador para armadura</v>
          </cell>
          <cell r="H685">
            <v>1.3500000000000002E-2</v>
          </cell>
        </row>
        <row r="686">
          <cell r="D686" t="str">
            <v>Armação Aço CA-50, Diâmetro de 16,0mm para Supraestrutura, Corte e Dobra em Obra</v>
          </cell>
          <cell r="H686">
            <v>5.7295814493981831</v>
          </cell>
        </row>
        <row r="687">
          <cell r="D687" t="str">
            <v>Aço CA50 16,0mm</v>
          </cell>
          <cell r="H687">
            <v>5.4346164493981837</v>
          </cell>
        </row>
        <row r="688">
          <cell r="D688" t="str">
            <v xml:space="preserve">Arame Recozido BWG 18 </v>
          </cell>
          <cell r="H688">
            <v>0.28146500000000002</v>
          </cell>
        </row>
        <row r="689">
          <cell r="D689" t="str">
            <v>Espaçador para armadura</v>
          </cell>
          <cell r="H689">
            <v>1.3500000000000002E-2</v>
          </cell>
        </row>
        <row r="690">
          <cell r="D690" t="str">
            <v>Armação Aço CA-50, Diâmetro de 20,0mm para Supraestrutura, Corte e Dobra em Obra</v>
          </cell>
          <cell r="H690">
            <v>5.8328438742016697</v>
          </cell>
        </row>
        <row r="691">
          <cell r="D691" t="str">
            <v>Aço CA50 20,0mm</v>
          </cell>
          <cell r="H691">
            <v>5.5378788742016702</v>
          </cell>
        </row>
        <row r="692">
          <cell r="D692" t="str">
            <v xml:space="preserve">Arame Recozido BWG 18 </v>
          </cell>
          <cell r="H692">
            <v>0.28146500000000002</v>
          </cell>
        </row>
        <row r="693">
          <cell r="D693" t="str">
            <v>Espaçador para armadura</v>
          </cell>
          <cell r="H693">
            <v>1.3500000000000002E-2</v>
          </cell>
        </row>
        <row r="694">
          <cell r="D694" t="str">
            <v>Armação Aço CA-50, Diâmetro de 25,0mm para Supraestrutura, Corte e Dobra em Obra</v>
          </cell>
          <cell r="H694">
            <v>5.9719178475884398</v>
          </cell>
        </row>
        <row r="695">
          <cell r="D695" t="str">
            <v>Aço CA50 25,0mm</v>
          </cell>
          <cell r="H695">
            <v>5.6769528475884403</v>
          </cell>
        </row>
        <row r="696">
          <cell r="D696" t="str">
            <v xml:space="preserve">Arame Recozido BWG 18 </v>
          </cell>
          <cell r="H696">
            <v>0.28146500000000002</v>
          </cell>
        </row>
        <row r="697">
          <cell r="D697" t="str">
            <v>Espaçador para armadura</v>
          </cell>
          <cell r="H697">
            <v>1.3500000000000002E-2</v>
          </cell>
        </row>
        <row r="698">
          <cell r="D698" t="str">
            <v>Armação Aço CA-50, Diâmetro de 32,0mm para Supraestrutura, Corte e Dobra em Obra</v>
          </cell>
          <cell r="H698">
            <v>7.136965</v>
          </cell>
        </row>
        <row r="699">
          <cell r="D699" t="str">
            <v>Aço CA60 32,0mm</v>
          </cell>
          <cell r="H699">
            <v>6.8420000000000005</v>
          </cell>
        </row>
        <row r="700">
          <cell r="D700" t="str">
            <v xml:space="preserve">Arame Recozido BWG 18 </v>
          </cell>
          <cell r="H700">
            <v>0.28146500000000002</v>
          </cell>
        </row>
        <row r="701">
          <cell r="D701" t="str">
            <v>Espaçador para armadura</v>
          </cell>
          <cell r="H701">
            <v>1.3500000000000002E-2</v>
          </cell>
        </row>
        <row r="702">
          <cell r="D702" t="str">
            <v>Armação Aço CA-60, Diâmetro de 5,0mm para Supraestrutura, Corte e dobra em Indústria</v>
          </cell>
          <cell r="H702">
            <v>8.9649650000000012</v>
          </cell>
        </row>
        <row r="703">
          <cell r="D703" t="str">
            <v>Aço CA50 5,0 mm Corte e Dobra em Indústria</v>
          </cell>
          <cell r="H703">
            <v>8.67</v>
          </cell>
        </row>
        <row r="704">
          <cell r="D704" t="str">
            <v xml:space="preserve">Arame Recozido BWG 18 </v>
          </cell>
          <cell r="H704">
            <v>0.28146500000000002</v>
          </cell>
        </row>
        <row r="705">
          <cell r="D705" t="str">
            <v>Espaçador para armadura</v>
          </cell>
          <cell r="H705">
            <v>1.3500000000000002E-2</v>
          </cell>
        </row>
        <row r="706">
          <cell r="D706" t="str">
            <v>Armação Aço CA-50, Diâmetro de 6,3mm para Supraestrutura, Corte e dobra em Indústria</v>
          </cell>
          <cell r="H706">
            <v>8.9649650000000012</v>
          </cell>
        </row>
        <row r="707">
          <cell r="D707" t="str">
            <v>Aço CA50 6,3 mm Corte e Dobra em Indústria</v>
          </cell>
          <cell r="H707">
            <v>8.67</v>
          </cell>
        </row>
        <row r="708">
          <cell r="D708" t="str">
            <v xml:space="preserve">Arame Recozido BWG 18 </v>
          </cell>
          <cell r="H708">
            <v>0.28146500000000002</v>
          </cell>
        </row>
        <row r="709">
          <cell r="D709" t="str">
            <v>Espaçador para armadura</v>
          </cell>
          <cell r="H709">
            <v>1.3500000000000002E-2</v>
          </cell>
        </row>
        <row r="710">
          <cell r="D710" t="str">
            <v>Armação Aço CA-50, Diâmetro de 8,0mm para Supraestrutura, Corte e dobra em Indústria</v>
          </cell>
          <cell r="H710">
            <v>8.9649650000000012</v>
          </cell>
        </row>
        <row r="711">
          <cell r="D711" t="str">
            <v>Aço CA50 8,0 mm Corte e Dobra em Indústria</v>
          </cell>
          <cell r="H711">
            <v>8.67</v>
          </cell>
        </row>
        <row r="712">
          <cell r="D712" t="str">
            <v xml:space="preserve">Arame Recozido BWG 18 </v>
          </cell>
          <cell r="H712">
            <v>0.28146500000000002</v>
          </cell>
        </row>
        <row r="713">
          <cell r="D713" t="str">
            <v>Espaçador para armadura</v>
          </cell>
          <cell r="H713">
            <v>1.3500000000000002E-2</v>
          </cell>
        </row>
        <row r="714">
          <cell r="D714" t="str">
            <v>Armação Aço CA-50, Diâmetro de 10,0mm para Supraestrutura, Corte e dobra em Indústria</v>
          </cell>
          <cell r="H714">
            <v>8.9649650000000012</v>
          </cell>
        </row>
        <row r="715">
          <cell r="D715" t="str">
            <v>Aço CA50 10,0 mm Corte e Dobra em Indústria</v>
          </cell>
          <cell r="H715">
            <v>8.67</v>
          </cell>
        </row>
        <row r="716">
          <cell r="D716" t="str">
            <v xml:space="preserve">Arame Recozido BWG 18 </v>
          </cell>
          <cell r="H716">
            <v>0.28146500000000002</v>
          </cell>
        </row>
        <row r="717">
          <cell r="D717" t="str">
            <v>Espaçador para armadura</v>
          </cell>
          <cell r="H717">
            <v>1.3500000000000002E-2</v>
          </cell>
        </row>
        <row r="718">
          <cell r="D718" t="str">
            <v>Armação Aço CA-50, Diâmetro de 12,5mm para Supraestrutura, Corte e dobra em Indústria</v>
          </cell>
          <cell r="H718">
            <v>8.4849650000000008</v>
          </cell>
        </row>
        <row r="719">
          <cell r="D719" t="str">
            <v>Aço CA50 12,5 mm Corte e Dobra em Indústria</v>
          </cell>
          <cell r="H719">
            <v>8.19</v>
          </cell>
        </row>
        <row r="720">
          <cell r="D720" t="str">
            <v xml:space="preserve">Arame Recozido BWG 18 </v>
          </cell>
          <cell r="H720">
            <v>0.28146500000000002</v>
          </cell>
        </row>
        <row r="721">
          <cell r="D721" t="str">
            <v>Espaçador para armadura</v>
          </cell>
          <cell r="H721">
            <v>1.3500000000000002E-2</v>
          </cell>
        </row>
        <row r="722">
          <cell r="D722" t="str">
            <v>Armação Aço CA-50, Diâmetro de 16,0mm para Supraestrutura, Corte e dobra em Indústria</v>
          </cell>
          <cell r="H722">
            <v>8.4849650000000008</v>
          </cell>
        </row>
        <row r="723">
          <cell r="D723" t="str">
            <v>Aço CA50 16,0 mm Corte e Dobra em Indústria</v>
          </cell>
          <cell r="H723">
            <v>8.19</v>
          </cell>
        </row>
        <row r="724">
          <cell r="D724" t="str">
            <v xml:space="preserve">Arame Recozido BWG 18 </v>
          </cell>
          <cell r="H724">
            <v>0.28146500000000002</v>
          </cell>
        </row>
        <row r="725">
          <cell r="D725" t="str">
            <v>Espaçador para armadura</v>
          </cell>
          <cell r="H725">
            <v>1.3500000000000002E-2</v>
          </cell>
        </row>
        <row r="726">
          <cell r="D726" t="str">
            <v>Armação Aço CA-50, Diâmetro de 20,0mm para Supraestrutura, Corte e dobra em Indústria</v>
          </cell>
          <cell r="H726">
            <v>8.4849650000000008</v>
          </cell>
        </row>
        <row r="727">
          <cell r="D727" t="str">
            <v>Aço CA50 20,0 mm Corte e Dobra em Indústria</v>
          </cell>
          <cell r="H727">
            <v>8.19</v>
          </cell>
        </row>
        <row r="728">
          <cell r="D728" t="str">
            <v xml:space="preserve">Arame Recozido BWG 18 </v>
          </cell>
          <cell r="H728">
            <v>0.28146500000000002</v>
          </cell>
        </row>
        <row r="729">
          <cell r="D729" t="str">
            <v>Espaçador para armadura</v>
          </cell>
          <cell r="H729">
            <v>1.3500000000000002E-2</v>
          </cell>
        </row>
        <row r="730">
          <cell r="D730" t="str">
            <v>Armação Aço CA-50, Diâmetro de 25,0mm para Supraestrutura, Corte e dobra em Indústria</v>
          </cell>
          <cell r="H730">
            <v>8.4849650000000008</v>
          </cell>
        </row>
        <row r="731">
          <cell r="D731" t="str">
            <v>Aço CA50 25,0mm Corte e Dobra em Indústria</v>
          </cell>
          <cell r="H731">
            <v>8.19</v>
          </cell>
        </row>
        <row r="732">
          <cell r="D732" t="str">
            <v xml:space="preserve">Arame Recozido BWG 18 </v>
          </cell>
          <cell r="H732">
            <v>0.28146500000000002</v>
          </cell>
        </row>
        <row r="733">
          <cell r="D733" t="str">
            <v>Espaçador para armadura</v>
          </cell>
          <cell r="H733">
            <v>1.3500000000000002E-2</v>
          </cell>
        </row>
        <row r="734">
          <cell r="D734" t="str">
            <v>Armação Aço CA-50, Diâmetro de 32,0mm para Supraestrutura, Corte e dobra em Indústria</v>
          </cell>
          <cell r="H734">
            <v>9.9489620399880714</v>
          </cell>
        </row>
        <row r="735">
          <cell r="D735" t="str">
            <v>Aço CA50 32,0mm Corte e Dobra em Indústria</v>
          </cell>
          <cell r="H735">
            <v>9.6539970399880701</v>
          </cell>
        </row>
        <row r="736">
          <cell r="D736" t="str">
            <v xml:space="preserve">Arame Recozido BWG 18 </v>
          </cell>
          <cell r="H736">
            <v>0.28146500000000002</v>
          </cell>
        </row>
        <row r="737">
          <cell r="D737" t="str">
            <v>Espaçador para armadura</v>
          </cell>
          <cell r="H737">
            <v>1.3500000000000002E-2</v>
          </cell>
        </row>
        <row r="738">
          <cell r="D738" t="str">
            <v>Armação tela Q113 para Suprastrutura (corte e dobra em Obra)</v>
          </cell>
          <cell r="H738">
            <v>9.6857057407407421</v>
          </cell>
        </row>
        <row r="739">
          <cell r="D739" t="str">
            <v>TELA ACO CARBONO CA60 M.100X100MM F.04,2MM 245X600CM Q113 (26,46KG/UN)</v>
          </cell>
          <cell r="H739">
            <v>9.3907407407407408</v>
          </cell>
        </row>
        <row r="740">
          <cell r="D740" t="str">
            <v xml:space="preserve">Arame Recozido BWG 18 </v>
          </cell>
          <cell r="H740">
            <v>0.28146500000000002</v>
          </cell>
        </row>
        <row r="741">
          <cell r="D741" t="str">
            <v>Espaçador para armadura</v>
          </cell>
          <cell r="H741">
            <v>1.3500000000000002E-2</v>
          </cell>
        </row>
        <row r="742">
          <cell r="D742" t="str">
            <v>Armação tela Q138 para Suprastrutura (corte e dobra em Obra)</v>
          </cell>
          <cell r="H742">
            <v>10.354148673469389</v>
          </cell>
        </row>
        <row r="743">
          <cell r="D743" t="str">
            <v>TELA ACO CARBONO CA60 M.100X100MM F.04,2MM 245X600CM Q138 (32,34KG/UN)</v>
          </cell>
          <cell r="H743">
            <v>10.059183673469388</v>
          </cell>
        </row>
        <row r="744">
          <cell r="D744" t="str">
            <v xml:space="preserve">Arame Recozido BWG 18 </v>
          </cell>
          <cell r="H744">
            <v>0.28146500000000002</v>
          </cell>
        </row>
        <row r="745">
          <cell r="D745" t="str">
            <v>Espaçador para armadura</v>
          </cell>
          <cell r="H745">
            <v>1.3500000000000002E-2</v>
          </cell>
        </row>
        <row r="746">
          <cell r="D746" t="str">
            <v>Armação tela Q92 para ContraPiso Armado (corte e dobra em Obra)</v>
          </cell>
          <cell r="H746">
            <v>5.6629649999999998</v>
          </cell>
        </row>
        <row r="747">
          <cell r="D747" t="str">
            <v>TELA ACO CARBONO CA60 M.150X150MM F.04,2MM 245X600CM Q92 (21,8KG/UN)</v>
          </cell>
          <cell r="H747">
            <v>5.3680000000000003</v>
          </cell>
        </row>
        <row r="748">
          <cell r="D748" t="str">
            <v xml:space="preserve">Arame Recozido BWG 18 </v>
          </cell>
          <cell r="H748">
            <v>0.28146500000000002</v>
          </cell>
        </row>
        <row r="749">
          <cell r="D749" t="str">
            <v>Espaçador para armadura</v>
          </cell>
          <cell r="H749">
            <v>1.3500000000000002E-2</v>
          </cell>
        </row>
        <row r="750">
          <cell r="D750" t="str">
            <v>CONCRETO</v>
          </cell>
          <cell r="H750">
            <v>0</v>
          </cell>
        </row>
        <row r="751">
          <cell r="D751" t="str">
            <v>Concreto Usinado FCK = 20MPa Bombeavel Para Supraestrutura</v>
          </cell>
          <cell r="H751">
            <v>557.26</v>
          </cell>
        </row>
        <row r="752">
          <cell r="D752" t="str">
            <v>Concreto Usinado bombeável 20MPa Convencional</v>
          </cell>
          <cell r="H752">
            <v>514.5</v>
          </cell>
        </row>
        <row r="753">
          <cell r="D753" t="str">
            <v>serviço de bombeamento</v>
          </cell>
          <cell r="H753">
            <v>42</v>
          </cell>
        </row>
        <row r="754">
          <cell r="D754" t="str">
            <v>Cimento Portland Composto CP II-32</v>
          </cell>
          <cell r="H754">
            <v>0.76</v>
          </cell>
        </row>
        <row r="755">
          <cell r="D755" t="str">
            <v>Concreto Usinado FCK = 30MPa Bombeavel Para Supraestrutura</v>
          </cell>
          <cell r="H755">
            <v>578.26</v>
          </cell>
        </row>
        <row r="756">
          <cell r="D756" t="str">
            <v>Concreto Usinado bombeável 30MPa Convencional</v>
          </cell>
          <cell r="H756">
            <v>535.5</v>
          </cell>
        </row>
        <row r="757">
          <cell r="D757" t="str">
            <v>serviço de bombeamento</v>
          </cell>
          <cell r="H757">
            <v>42</v>
          </cell>
        </row>
        <row r="758">
          <cell r="D758" t="str">
            <v>Cimento Portland Composto CP II-32</v>
          </cell>
          <cell r="H758">
            <v>0.76</v>
          </cell>
        </row>
        <row r="759">
          <cell r="D759" t="str">
            <v>Concreto Usinado FCK = 35MPa Bombeavel Para Supraestrutura</v>
          </cell>
          <cell r="H759">
            <v>677.72649999999999</v>
          </cell>
        </row>
        <row r="760">
          <cell r="D760" t="str">
            <v>Concreto Usinado bombeável 35MPa Convencional</v>
          </cell>
          <cell r="H760">
            <v>634.9665</v>
          </cell>
        </row>
        <row r="761">
          <cell r="D761" t="str">
            <v>serviço de bombeamento</v>
          </cell>
          <cell r="H761">
            <v>42</v>
          </cell>
        </row>
        <row r="762">
          <cell r="D762" t="str">
            <v>Cimento Portland Composto CP II-32</v>
          </cell>
          <cell r="H762">
            <v>0.76</v>
          </cell>
        </row>
        <row r="763">
          <cell r="D763" t="str">
            <v>Concreto Usinado FCK = 40MPa Bombeavel Para Supraestrutura</v>
          </cell>
          <cell r="H763">
            <v>631.30600000000004</v>
          </cell>
        </row>
        <row r="764">
          <cell r="D764" t="str">
            <v>Concreto Usinado bombeável 40MPa Convencional</v>
          </cell>
          <cell r="H764">
            <v>588.54600000000005</v>
          </cell>
        </row>
        <row r="765">
          <cell r="D765" t="str">
            <v>serviço de bombeamento</v>
          </cell>
          <cell r="H765">
            <v>42</v>
          </cell>
        </row>
        <row r="766">
          <cell r="D766" t="str">
            <v>Cimento Portland Composto CP II-32</v>
          </cell>
          <cell r="H766">
            <v>0.76</v>
          </cell>
        </row>
        <row r="767">
          <cell r="D767" t="str">
            <v>Concreto Usinado FCK = 45MPa Bombeavel Para Supraestrutura</v>
          </cell>
          <cell r="H767">
            <v>620.40700000000004</v>
          </cell>
        </row>
        <row r="768">
          <cell r="D768" t="str">
            <v>Concreto Usinado bombeável 45MPa Convencional</v>
          </cell>
          <cell r="H768">
            <v>577.64700000000005</v>
          </cell>
        </row>
        <row r="769">
          <cell r="D769" t="str">
            <v>serviço de bombeamento</v>
          </cell>
          <cell r="H769">
            <v>42</v>
          </cell>
        </row>
        <row r="770">
          <cell r="D770" t="str">
            <v>Cimento Portland Composto CP II-32</v>
          </cell>
          <cell r="H770">
            <v>0.76</v>
          </cell>
        </row>
        <row r="771">
          <cell r="D771" t="str">
            <v>Concreto Usinado FCK = 50MPa Bombeavel Para Supraestrutura</v>
          </cell>
          <cell r="H771">
            <v>680.8660000000001</v>
          </cell>
        </row>
        <row r="772">
          <cell r="D772" t="str">
            <v>Concreto Usinado bombeável 50MPa Convencional</v>
          </cell>
          <cell r="H772">
            <v>638.10600000000011</v>
          </cell>
        </row>
        <row r="773">
          <cell r="D773" t="str">
            <v>serviço de bombeamento</v>
          </cell>
          <cell r="H773">
            <v>42</v>
          </cell>
        </row>
        <row r="774">
          <cell r="D774" t="str">
            <v>Cimento Portland Composto CP II-32</v>
          </cell>
          <cell r="H774">
            <v>0.76</v>
          </cell>
        </row>
        <row r="775">
          <cell r="D775" t="str">
            <v>Concreto Usinado FCK = 50MPa  Bombeavel para Laje de Fundação</v>
          </cell>
          <cell r="H775">
            <v>680.8660000000001</v>
          </cell>
        </row>
        <row r="776">
          <cell r="D776" t="str">
            <v>Concreto Usinado bombeável 50MPa Convencional Supraestrtura</v>
          </cell>
          <cell r="H776">
            <v>638.10600000000011</v>
          </cell>
        </row>
        <row r="777">
          <cell r="D777" t="str">
            <v>serviço de bombeamento</v>
          </cell>
          <cell r="H777">
            <v>42</v>
          </cell>
        </row>
        <row r="778">
          <cell r="D778" t="str">
            <v>Cimento Portland Composto CP II-32</v>
          </cell>
          <cell r="H778">
            <v>0.76</v>
          </cell>
        </row>
        <row r="779">
          <cell r="D779" t="str">
            <v>Concreto armado no piso do térreo</v>
          </cell>
          <cell r="H779">
            <v>132.62263361379311</v>
          </cell>
        </row>
        <row r="780">
          <cell r="D780" t="str">
            <v>Lona Preta Plástica 4x100 Metros 25kg - Agroplastic, Tamanho: 120 Micras</v>
          </cell>
          <cell r="H780">
            <v>2.5327500000000005</v>
          </cell>
        </row>
        <row r="781">
          <cell r="D781" t="str">
            <v>PREGO DE ACO POLIDO COM CABECA 17 X 21 (2 X 11)</v>
          </cell>
          <cell r="H781">
            <v>0.36259999999999998</v>
          </cell>
        </row>
        <row r="782">
          <cell r="D782" t="str">
            <v>Barras de transferencia lisa 12,5mm 50 cm</v>
          </cell>
          <cell r="H782">
            <v>9.1881938325991186</v>
          </cell>
        </row>
        <row r="783">
          <cell r="D783" t="str">
            <v>TELA ACO CARBONO CA60 M.100X100MM F.04,2MM 245X600CM Q113 (26,46KG/UN)</v>
          </cell>
          <cell r="H783">
            <v>42.719201701193995</v>
          </cell>
        </row>
        <row r="784">
          <cell r="D784" t="str">
            <v>Perna de serra pinus - 10x30x300cm</v>
          </cell>
          <cell r="H784">
            <v>7.1808000000000006E-4</v>
          </cell>
        </row>
        <row r="785">
          <cell r="D785" t="str">
            <v>Concreto Usinado bombeável 35MPa Convencional</v>
          </cell>
          <cell r="H785">
            <v>66.520300000000006</v>
          </cell>
        </row>
        <row r="786">
          <cell r="D786" t="str">
            <v>Espaçador Treliçado p/ armaduras 6 cm</v>
          </cell>
          <cell r="H786">
            <v>11.298869999999999</v>
          </cell>
        </row>
        <row r="787">
          <cell r="D787" t="str">
            <v>Laje pré-moldada unidirecional enchimento em cerâmica, vigota convencional,</v>
          </cell>
          <cell r="H787">
            <v>169.30820000000003</v>
          </cell>
        </row>
        <row r="788">
          <cell r="D788" t="str">
            <v>LAJE PRE-MOLDADA CONVENCIONAL (LAJOTAS + VIGOTAS) PARA PISO, UNIDIRECIONAL, SOBRECARGA DE 200 KG/M2, VAO ATE 3,50 M (SEM COLOCACAO)</v>
          </cell>
          <cell r="H788">
            <v>59.4</v>
          </cell>
        </row>
        <row r="789">
          <cell r="D789" t="str">
            <v>TABUA NAO APARELHADA *2,5 X 20* CM, EM MACARANDUBA/MASSARANDUBA, ANGELIM OU EQUIVALENTE DA REGIAO - BRUTA</v>
          </cell>
          <cell r="H789">
            <v>79.400200000000012</v>
          </cell>
        </row>
        <row r="790">
          <cell r="D790" t="str">
            <v>PREGO DE ACO POLIDO COM CABECA 17 x 27 (2 1/2 x 11)</v>
          </cell>
          <cell r="H790">
            <v>0.50800000000000001</v>
          </cell>
        </row>
        <row r="791">
          <cell r="D791" t="str">
            <v>Serviço de Instalação de Lajes pré-moldadas</v>
          </cell>
          <cell r="H791">
            <v>30</v>
          </cell>
        </row>
        <row r="792">
          <cell r="D792" t="str">
            <v>EXTRA</v>
          </cell>
          <cell r="H792">
            <v>0</v>
          </cell>
        </row>
        <row r="793">
          <cell r="D793" t="str">
            <v>Lona Plastica para Contrapiso Armado</v>
          </cell>
          <cell r="H793">
            <v>2.7630000000000003</v>
          </cell>
        </row>
        <row r="794">
          <cell r="D794" t="str">
            <v>Lona Preta Plástica 4x100 Metros 25kg - Agroplastic, Tamanho: 120 Micras</v>
          </cell>
          <cell r="H794">
            <v>2.7630000000000003</v>
          </cell>
        </row>
        <row r="795">
          <cell r="D795" t="str">
            <v xml:space="preserve">Protenção de cordoalhas para laje protendida Nervurada Tec- Serviço </v>
          </cell>
          <cell r="H795">
            <v>11.499840000000001</v>
          </cell>
        </row>
        <row r="796">
          <cell r="D796" t="str">
            <v>Acompanhamento e fiscalização na montagem da Protensão, locação de macaco hidráulico e maçarico</v>
          </cell>
          <cell r="H796">
            <v>8.5958400000000008</v>
          </cell>
        </row>
        <row r="797">
          <cell r="D797" t="str">
            <v>Corte Final dos Cabos</v>
          </cell>
          <cell r="H797">
            <v>0.77439999999999998</v>
          </cell>
        </row>
        <row r="798">
          <cell r="D798" t="str">
            <v>Fechamento dos nichos de Protensão</v>
          </cell>
          <cell r="H798">
            <v>0.77439999999999998</v>
          </cell>
        </row>
        <row r="799">
          <cell r="D799" t="str">
            <v>Compatibilização e elaboração do plano de execução dos materiais EVEHX</v>
          </cell>
          <cell r="H799">
            <v>0.38719999999999999</v>
          </cell>
        </row>
        <row r="800">
          <cell r="D800" t="str">
            <v>Controle tecnológico da Protensão</v>
          </cell>
          <cell r="H800">
            <v>0.96799999999999997</v>
          </cell>
        </row>
        <row r="801">
          <cell r="D801" t="str">
            <v>Protenção de cordoalhas para laje protendida Nervurada Tec - Materiais e acessórios</v>
          </cell>
          <cell r="H801">
            <v>11.478750000000002</v>
          </cell>
        </row>
        <row r="802">
          <cell r="D802" t="str">
            <v>Ancoragem base 1/2" - EHX 0063</v>
          </cell>
          <cell r="H802">
            <v>3.1625000000000001</v>
          </cell>
        </row>
        <row r="803">
          <cell r="D803" t="str">
            <v>Cunha 1/2" BI Partida - EHX 0036</v>
          </cell>
          <cell r="H803">
            <v>2.2825000000000002</v>
          </cell>
        </row>
        <row r="804">
          <cell r="D804" t="str">
            <v>Pocket Former 1/2 - EHX 0009</v>
          </cell>
          <cell r="H804">
            <v>4.2749999999999996E-2</v>
          </cell>
        </row>
        <row r="805">
          <cell r="D805" t="str">
            <v>Adaptador Ancor. (AP2)B Chupeta-EHX 0027</v>
          </cell>
          <cell r="H805">
            <v>2.1299999999999999E-2</v>
          </cell>
        </row>
        <row r="806">
          <cell r="D806" t="str">
            <v>Pt-Plug Ø12,7 - 3,8cm</v>
          </cell>
          <cell r="H806">
            <v>8.5199999999999998E-2</v>
          </cell>
        </row>
        <row r="807">
          <cell r="D807" t="str">
            <v>Tirante Plast - EHX 0621</v>
          </cell>
          <cell r="H807">
            <v>3.4499999999999996E-2</v>
          </cell>
        </row>
        <row r="808">
          <cell r="D808" t="str">
            <v>Apoio Metálico EHX 0072</v>
          </cell>
          <cell r="H808">
            <v>4.42</v>
          </cell>
        </row>
        <row r="809">
          <cell r="D809" t="str">
            <v>Industrialização dos cabos (Corte, enrolação, pré-blocagem e identificação por cores)</v>
          </cell>
          <cell r="H809">
            <v>1.4300000000000002</v>
          </cell>
        </row>
        <row r="810">
          <cell r="D810" t="str">
            <v>Locação de cubetas para laje nervurada</v>
          </cell>
          <cell r="H810">
            <v>44.255375999999998</v>
          </cell>
        </row>
        <row r="811">
          <cell r="D811" t="str">
            <v xml:space="preserve">LOCACAO DE FORMA PLASTICA PARA LAJE NERVURADA, *60* X *60* X *16* CM       </v>
          </cell>
          <cell r="H811">
            <v>14.751791999999998</v>
          </cell>
        </row>
        <row r="812">
          <cell r="D812" t="str">
            <v>Manutenção de cubetas proprias</v>
          </cell>
          <cell r="H812">
            <v>118298.43</v>
          </cell>
        </row>
        <row r="813">
          <cell r="D813" t="str">
            <v>Manutenção de cubetas proprias</v>
          </cell>
          <cell r="H813">
            <v>39432.81</v>
          </cell>
        </row>
        <row r="814">
          <cell r="D814" t="str">
            <v>Monocordoalha engraxada CP - 190 RB (12,7mm) - Materiais e acessórios</v>
          </cell>
          <cell r="H814">
            <v>125.07231225296442</v>
          </cell>
        </row>
        <row r="815">
          <cell r="D815" t="str">
            <v>Ancoragem base 1/2" - EHX 0063</v>
          </cell>
          <cell r="H815">
            <v>12.5</v>
          </cell>
        </row>
        <row r="816">
          <cell r="D816" t="str">
            <v>Cunha 1/2" BI Partida - EHX 0036</v>
          </cell>
          <cell r="H816">
            <v>9.1300000000000008</v>
          </cell>
        </row>
        <row r="817">
          <cell r="D817" t="str">
            <v>Pocket Former 1/2 - EHX 0009</v>
          </cell>
          <cell r="H817">
            <v>13.51778656126482</v>
          </cell>
        </row>
        <row r="818">
          <cell r="D818" t="str">
            <v>Adaptador Ancor. (AP2)B Chupeta-EHX 0027</v>
          </cell>
          <cell r="H818">
            <v>6.7351778656126466</v>
          </cell>
        </row>
        <row r="819">
          <cell r="D819" t="str">
            <v>Monocordoalha engraxada CP - 190 RB (12,7mm)</v>
          </cell>
          <cell r="H819">
            <v>16.275000000000002</v>
          </cell>
        </row>
        <row r="820">
          <cell r="D820" t="str">
            <v>Pt-Plug Ø12,7 - 3,8cm</v>
          </cell>
          <cell r="H820">
            <v>43.46434782608695</v>
          </cell>
        </row>
        <row r="821">
          <cell r="D821" t="str">
            <v>Tirante Plast - EHX 0621</v>
          </cell>
          <cell r="H821">
            <v>17.599999999999998</v>
          </cell>
        </row>
        <row r="822">
          <cell r="D822" t="str">
            <v>Apoio Metálico EHX 0072</v>
          </cell>
          <cell r="H822">
            <v>4.42</v>
          </cell>
        </row>
        <row r="823">
          <cell r="D823" t="str">
            <v>Industrialização dos cabos (Corte, enrolação, pré-blocagem e identificação por cores)</v>
          </cell>
          <cell r="H823">
            <v>1.4300000000000002</v>
          </cell>
        </row>
        <row r="824">
          <cell r="D824" t="str">
            <v>Monocordoalha engraxada CP - 190 RB (12,7mm)</v>
          </cell>
          <cell r="H824">
            <v>16.275000000000002</v>
          </cell>
        </row>
        <row r="825">
          <cell r="D825" t="str">
            <v>Monocordoalha engraxada CP - 190 RB (12,7mm)</v>
          </cell>
          <cell r="H825">
            <v>16.275000000000002</v>
          </cell>
        </row>
        <row r="826">
          <cell r="D826" t="str">
            <v>Materiais e acessórios de monocordoalha</v>
          </cell>
          <cell r="H826">
            <v>57.725000000000001</v>
          </cell>
        </row>
        <row r="827">
          <cell r="D827" t="str">
            <v>Ancoragem base 1/2" - EHX 0063</v>
          </cell>
          <cell r="H827">
            <v>12.5</v>
          </cell>
        </row>
        <row r="828">
          <cell r="D828" t="str">
            <v>Cunha 1/2" BI Partida - EHX 0036</v>
          </cell>
          <cell r="H828">
            <v>9.1300000000000008</v>
          </cell>
        </row>
        <row r="829">
          <cell r="D829" t="str">
            <v>Pocket Former 1/2 - EHX 0009</v>
          </cell>
          <cell r="H829">
            <v>1.425</v>
          </cell>
        </row>
        <row r="830">
          <cell r="D830" t="str">
            <v>Adaptador Ancor. (AP2)B Chupeta-EHX 0027</v>
          </cell>
          <cell r="H830">
            <v>0.71</v>
          </cell>
        </row>
        <row r="831">
          <cell r="D831" t="str">
            <v>Pt-Plug Ø12,7 - 3,8cm</v>
          </cell>
          <cell r="H831">
            <v>2.84</v>
          </cell>
        </row>
        <row r="832">
          <cell r="D832" t="str">
            <v>Tirante Plast - EHX 0621</v>
          </cell>
          <cell r="H832">
            <v>1.1499999999999999</v>
          </cell>
        </row>
        <row r="833">
          <cell r="D833" t="str">
            <v>Apoio Metálico EHX 0072</v>
          </cell>
          <cell r="H833">
            <v>22.643999999999998</v>
          </cell>
        </row>
        <row r="834">
          <cell r="D834" t="str">
            <v>Industrialização dos cabos (Corte, enrolação, pré-blocagem e identificação por cores)</v>
          </cell>
          <cell r="H834">
            <v>7.3260000000000005</v>
          </cell>
        </row>
        <row r="835">
          <cell r="D835" t="str">
            <v>Locação de cubetas para laje nervurada</v>
          </cell>
          <cell r="H835">
            <v>14.751791999999998</v>
          </cell>
        </row>
        <row r="836">
          <cell r="D836" t="str">
            <v xml:space="preserve">LOCACAO DE FORMA PLASTICA PARA LAJE NERVURADA, *60* X *60* X *16* CM       </v>
          </cell>
          <cell r="H836">
            <v>14.751791999999998</v>
          </cell>
        </row>
        <row r="837">
          <cell r="D837" t="str">
            <v>Manutenção de cubetas proprias</v>
          </cell>
          <cell r="H837">
            <v>39432.81</v>
          </cell>
        </row>
        <row r="838">
          <cell r="D838" t="str">
            <v>Manutenção de cubetas proprias</v>
          </cell>
          <cell r="H838">
            <v>39432.81</v>
          </cell>
        </row>
        <row r="839">
          <cell r="D839" t="str">
            <v>Locação de escoramento metálico pe direito simples</v>
          </cell>
          <cell r="H839">
            <v>36.425026506170724</v>
          </cell>
        </row>
        <row r="840">
          <cell r="D840" t="str">
            <v>LOCACAO DE ESCORA METALICA TELESCOPICA, COM ALTURA REGULAVEL DE *1,80* A *3,20* M</v>
          </cell>
          <cell r="H840">
            <v>36.425026506170724</v>
          </cell>
        </row>
        <row r="841">
          <cell r="D841" t="str">
            <v>Locação topográfica de lajes</v>
          </cell>
          <cell r="H841">
            <v>1300</v>
          </cell>
        </row>
        <row r="842">
          <cell r="D842" t="str">
            <v>Diária de topógrafo</v>
          </cell>
          <cell r="H842">
            <v>1300</v>
          </cell>
        </row>
        <row r="843">
          <cell r="D843" t="str">
            <v>Sistema de Ancoragem Provisória e definitiva</v>
          </cell>
          <cell r="H843">
            <v>15000</v>
          </cell>
        </row>
        <row r="844">
          <cell r="D844" t="str">
            <v>Sistema de Ancoragem Provisória e definitiva</v>
          </cell>
          <cell r="H844">
            <v>15000</v>
          </cell>
        </row>
        <row r="845">
          <cell r="D845" t="str">
            <v>Serviço de Perfuração de vigas e lajes</v>
          </cell>
          <cell r="H845">
            <v>93981.530500000008</v>
          </cell>
        </row>
        <row r="846">
          <cell r="D846" t="str">
            <v>Serviço de Perfuração de vigas e lajes</v>
          </cell>
          <cell r="H846">
            <v>93981.530500000008</v>
          </cell>
        </row>
        <row r="847">
          <cell r="D847" t="str">
            <v>Escoramento de fôrmas para Lajes com escoras de Madeira incluindo travamento, 4 utilizações.</v>
          </cell>
          <cell r="H847">
            <v>11.49611955</v>
          </cell>
        </row>
        <row r="848">
          <cell r="D848" t="str">
            <v>PREGO DE ACO POLIDO COM CABECA 17 X 21 (2 X 11)</v>
          </cell>
          <cell r="H848">
            <v>0.42668954999999997</v>
          </cell>
        </row>
        <row r="849">
          <cell r="D849" t="str">
            <v>TABUA NAO APARELHADA *2,5 X 20* CM, EM MACARANDUBA/MASSARANDUBA, ANGELIM OU EQUIVALENTE DA REGIAO - BRUTA</v>
          </cell>
          <cell r="H849">
            <v>6.0717799999999995</v>
          </cell>
        </row>
        <row r="850">
          <cell r="D850" t="str">
            <v>MADEIRA PINUS/SIMILAR - PONTALETE 75X75MM NBR 11700/15696</v>
          </cell>
          <cell r="H850">
            <v>4.9976500000000001</v>
          </cell>
        </row>
        <row r="851">
          <cell r="D851" t="str">
            <v>MÃO DE OBRA</v>
          </cell>
          <cell r="H851">
            <v>0</v>
          </cell>
        </row>
        <row r="852">
          <cell r="D852" t="str">
            <v>Mão de obra para execução de supraestrutura de concreto armado</v>
          </cell>
          <cell r="H852">
            <v>290</v>
          </cell>
        </row>
        <row r="853">
          <cell r="D853" t="str">
            <v>Mão de obra para execução de supraestrutura de concreto armado</v>
          </cell>
          <cell r="H853">
            <v>290</v>
          </cell>
        </row>
        <row r="854">
          <cell r="D854" t="str">
            <v>Mão de Obra Polimento de piso</v>
          </cell>
          <cell r="H854">
            <v>25</v>
          </cell>
        </row>
        <row r="855">
          <cell r="D855" t="str">
            <v>Mão de Obra Polimento de piso</v>
          </cell>
          <cell r="H855">
            <v>25</v>
          </cell>
        </row>
        <row r="856">
          <cell r="D856" t="str">
            <v>ALVENARIAS E VEDAÇÕES</v>
          </cell>
          <cell r="H856">
            <v>0</v>
          </cell>
        </row>
        <row r="857">
          <cell r="D857" t="str">
            <v>CERAMICO</v>
          </cell>
          <cell r="H857">
            <v>0</v>
          </cell>
        </row>
        <row r="858">
          <cell r="D858" t="str">
            <v>Alvenaria de vedacao de blocos ceramicos de 9x19x19cm com argamassa industrializada de assentamento</v>
          </cell>
          <cell r="H858">
            <v>36.22</v>
          </cell>
        </row>
        <row r="859">
          <cell r="D859" t="str">
            <v>BLOCO CERÂMICO - 9X19X19cm</v>
          </cell>
          <cell r="H859">
            <v>27.72</v>
          </cell>
        </row>
        <row r="860">
          <cell r="D860" t="str">
            <v>ARGAMASSA INDUSTRIALIZADA MULTIUSO, PARA REVESTIMENTO INTERNO E EXTERNO E ASSENTAMENTO DE BLOCOS DIVERSOS</v>
          </cell>
          <cell r="H860">
            <v>8.5</v>
          </cell>
        </row>
        <row r="861">
          <cell r="D861" t="str">
            <v>Alvenaria de vedacao de blocos ceramicos de 11,5x19x19cm com argamassa industrializada de assentamento</v>
          </cell>
          <cell r="H861">
            <v>43.22</v>
          </cell>
        </row>
        <row r="862">
          <cell r="D862" t="str">
            <v>BLOCO CERÂMICO - 11,5X19X19cm</v>
          </cell>
          <cell r="H862">
            <v>34.72</v>
          </cell>
        </row>
        <row r="863">
          <cell r="D863" t="str">
            <v>ARGAMASSA INDUSTRIALIZADA MULTIUSO, PARA REVESTIMENTO INTERNO E EXTERNO E ASSENTAMENTO DE BLOCOS DIVERSOS</v>
          </cell>
          <cell r="H863">
            <v>8.5</v>
          </cell>
        </row>
        <row r="864">
          <cell r="D864" t="str">
            <v>Alvenaria de vedacao de blocos ceramicos de 14x19x19cm com argamassa industrializada de assentamento</v>
          </cell>
          <cell r="H864">
            <v>81.3</v>
          </cell>
        </row>
        <row r="865">
          <cell r="D865" t="str">
            <v>BLOCO CERÂMICO - 14X19X19cm</v>
          </cell>
          <cell r="H865">
            <v>72.8</v>
          </cell>
        </row>
        <row r="866">
          <cell r="D866" t="str">
            <v>ARGAMASSA INDUSTRIALIZADA MULTIUSO, PARA REVESTIMENTO INTERNO E EXTERNO E ASSENTAMENTO DE BLOCOS DIVERSOS</v>
          </cell>
          <cell r="H866">
            <v>8.5</v>
          </cell>
        </row>
        <row r="867">
          <cell r="D867" t="str">
            <v>Alvenaria de vedacao de blocos ceramicos furados na horizontal de 14x19x39cm (espessura 9cm) com argamassa industrializada de assentamento</v>
          </cell>
          <cell r="H867">
            <v>28.099999999999998</v>
          </cell>
        </row>
        <row r="868">
          <cell r="D868" t="str">
            <v>BLOCO CERÂMICO - 14X19X39cm</v>
          </cell>
          <cell r="H868">
            <v>19.599999999999998</v>
          </cell>
        </row>
        <row r="869">
          <cell r="D869" t="str">
            <v>ARGAMASSA INDUSTRIALIZADA MULTIUSO, PARA REVESTIMENTO INTERNO E EXTERNO E ASSENTAMENTO DE BLOCOS DIVERSOS</v>
          </cell>
          <cell r="H869">
            <v>8.5</v>
          </cell>
        </row>
        <row r="870">
          <cell r="D870" t="str">
            <v>Alvenaria de vedacao de blocos ceramicos de 9x19x29cm com argamassa industrializada de assentamento</v>
          </cell>
          <cell r="H870">
            <v>30.919999999999998</v>
          </cell>
        </row>
        <row r="871">
          <cell r="D871" t="str">
            <v>BLOCO DE VEDACAO CERAMICO 09X19X29 CM</v>
          </cell>
          <cell r="H871">
            <v>22.419999999999998</v>
          </cell>
        </row>
        <row r="872">
          <cell r="D872" t="str">
            <v>ARGAMASSA INDUSTRIALIZADA MULTIUSO, PARA REVESTIMENTO INTERNO E EXTERNO E ASSENTAMENTO DE BLOCOS DIVERSOS</v>
          </cell>
          <cell r="H872">
            <v>8.5</v>
          </cell>
        </row>
        <row r="873">
          <cell r="D873" t="str">
            <v>Alvenaria de vedacao de blocos ceramicos de 11.5x19x29cm com argamassa industrializada de assentamento</v>
          </cell>
          <cell r="H873">
            <v>35.67</v>
          </cell>
        </row>
        <row r="874">
          <cell r="D874" t="str">
            <v>BLOCO DE VEDACAO CERAMICO 11,5X19X29 CM</v>
          </cell>
          <cell r="H874">
            <v>27.169999999999998</v>
          </cell>
        </row>
        <row r="875">
          <cell r="D875" t="str">
            <v>ARGAMASSA INDUSTRIALIZADA MULTIUSO, PARA REVESTIMENTO INTERNO E EXTERNO E ASSENTAMENTO DE BLOCOS DIVERSOS</v>
          </cell>
          <cell r="H875">
            <v>8.5</v>
          </cell>
        </row>
        <row r="876">
          <cell r="D876" t="str">
            <v>Alvenaria de vedacao de blocos ceramicos de 14x19x29cm com argamassa industrializada de assentamento</v>
          </cell>
          <cell r="H876">
            <v>41.18</v>
          </cell>
        </row>
        <row r="877">
          <cell r="D877" t="str">
            <v>BLOCO DE VEDACAO CERAMICO 14X19X29 CM</v>
          </cell>
          <cell r="H877">
            <v>32.68</v>
          </cell>
        </row>
        <row r="878">
          <cell r="D878" t="str">
            <v>ARGAMASSA INDUSTRIALIZADA MULTIUSO, PARA REVESTIMENTO INTERNO E EXTERNO E ASSENTAMENTO DE BLOCOS DIVERSOS</v>
          </cell>
          <cell r="H878">
            <v>8.5</v>
          </cell>
        </row>
        <row r="879">
          <cell r="D879" t="str">
            <v>Alvenaria de vedacao de blocos ceramico de 19x19x19cm com argamassa industrializada de assentamento</v>
          </cell>
          <cell r="H879">
            <v>53.02</v>
          </cell>
        </row>
        <row r="880">
          <cell r="D880" t="str">
            <v>BLOCO CERÂMICO - 19X19X19cm</v>
          </cell>
          <cell r="H880">
            <v>44.52</v>
          </cell>
        </row>
        <row r="881">
          <cell r="D881" t="str">
            <v>ARGAMASSA INDUSTRIALIZADA MULTIUSO, PARA REVESTIMENTO INTERNO E EXTERNO E ASSENTAMENTO DE BLOCOS DIVERSOS</v>
          </cell>
          <cell r="H881">
            <v>8.5</v>
          </cell>
        </row>
        <row r="882">
          <cell r="D882" t="str">
            <v>Alvenaria de vedacao de blocos ceramicos de 19x19x29cm com argamassa industrializada de assentamento</v>
          </cell>
          <cell r="H882">
            <v>52.851428571428578</v>
          </cell>
        </row>
        <row r="883">
          <cell r="D883" t="str">
            <v>BLOCO DE VEDACAO CERAMICO 19X19X29 CM</v>
          </cell>
          <cell r="H883">
            <v>44.351428571428578</v>
          </cell>
        </row>
        <row r="884">
          <cell r="D884" t="str">
            <v>ARGAMASSA INDUSTRIALIZADA MULTIUSO, PARA REVESTIMENTO INTERNO E EXTERNO E ASSENTAMENTO DE BLOCOS DIVERSOS</v>
          </cell>
          <cell r="H884">
            <v>8.5</v>
          </cell>
        </row>
        <row r="885">
          <cell r="D885" t="str">
            <v>Alvenaria de vedacao de blocos ceramicos de 9x19x39cm com argamassa industrializada de assentamento</v>
          </cell>
          <cell r="H885">
            <v>22.36</v>
          </cell>
        </row>
        <row r="886">
          <cell r="D886" t="str">
            <v>BLOCO CERÂMICO - 9X19X39cm</v>
          </cell>
          <cell r="H886">
            <v>13.86</v>
          </cell>
        </row>
        <row r="887">
          <cell r="D887" t="str">
            <v>ARGAMASSA INDUSTRIALIZADA MULTIUSO, PARA REVESTIMENTO INTERNO E EXTERNO E ASSENTAMENTO DE BLOCOS DIVERSOS</v>
          </cell>
          <cell r="H887">
            <v>8.5</v>
          </cell>
        </row>
        <row r="888">
          <cell r="D888" t="str">
            <v>Alvenaria de vedacao de blocos ceramicos de 11,5x19x39cm com argamassa industrializada de assentamento</v>
          </cell>
          <cell r="H888">
            <v>24.599999999999998</v>
          </cell>
        </row>
        <row r="889">
          <cell r="D889" t="str">
            <v>BLOCO CERÂMICO - 11,5X19X39cm</v>
          </cell>
          <cell r="H889">
            <v>16.099999999999998</v>
          </cell>
        </row>
        <row r="890">
          <cell r="D890" t="str">
            <v>ARGAMASSA INDUSTRIALIZADA MULTIUSO, PARA REVESTIMENTO INTERNO E EXTERNO E ASSENTAMENTO DE BLOCOS DIVERSOS</v>
          </cell>
          <cell r="H890">
            <v>8.5</v>
          </cell>
        </row>
        <row r="891">
          <cell r="D891" t="str">
            <v>Alvenaria de vedacao de blocos ceramicos de 14x19x39cm com argamassa industrializada de assentamento</v>
          </cell>
          <cell r="H891">
            <v>28.099999999999998</v>
          </cell>
        </row>
        <row r="892">
          <cell r="D892" t="str">
            <v>BLOCO CERÂMICO - 14X19X39cm</v>
          </cell>
          <cell r="H892">
            <v>19.599999999999998</v>
          </cell>
        </row>
        <row r="893">
          <cell r="D893" t="str">
            <v>ARGAMASSA INDUSTRIALIZADA MULTIUSO, PARA REVESTIMENTO INTERNO E EXTERNO E ASSENTAMENTO DE BLOCOS DIVERSOS</v>
          </cell>
          <cell r="H893">
            <v>8.5</v>
          </cell>
        </row>
        <row r="894">
          <cell r="D894" t="str">
            <v>Alvenaria de vedacao de blocos ceramicos de 19x19x39cm com argamassa industrializada de assentamento</v>
          </cell>
          <cell r="H894">
            <v>35.099999999999994</v>
          </cell>
        </row>
        <row r="895">
          <cell r="D895" t="str">
            <v>BLOCO CERÂMICO - 19X19X39cm</v>
          </cell>
          <cell r="H895">
            <v>26.599999999999998</v>
          </cell>
        </row>
        <row r="896">
          <cell r="D896" t="str">
            <v>ARGAMASSA INDUSTRIALIZADA MULTIUSO, PARA REVESTIMENTO INTERNO E EXTERNO E ASSENTAMENTO DE BLOCOS DIVERSOS</v>
          </cell>
          <cell r="H896">
            <v>8.5</v>
          </cell>
        </row>
        <row r="897">
          <cell r="D897" t="str">
            <v>Alvenaria de vedacao de blocos ceramicos maciço de 5,5 cm x 11,5 cm x 24 cm (espessura 5cm) com argamassa industrializada de assentamento</v>
          </cell>
          <cell r="H897">
            <v>47.35</v>
          </cell>
        </row>
        <row r="898">
          <cell r="D898" t="str">
            <v>BLOCO DE VEDACAO CERAMICO MACIÇO 5,5X11,5X24 CM</v>
          </cell>
          <cell r="H898">
            <v>38.85</v>
          </cell>
        </row>
        <row r="899">
          <cell r="D899" t="str">
            <v>ARGAMASSA INDUSTRIALIZADA MULTIUSO, PARA REVESTIMENTO INTERNO E EXTERNO E ASSENTAMENTO DE BLOCOS DIVERSOS</v>
          </cell>
          <cell r="H899">
            <v>8.5</v>
          </cell>
        </row>
        <row r="900">
          <cell r="D900" t="str">
            <v>Alvenaria de vedacao de blocos ceramicos de 19x19x19cm com argamassa industrializada de assentamento</v>
          </cell>
          <cell r="H900">
            <v>53.02</v>
          </cell>
        </row>
        <row r="901">
          <cell r="D901" t="str">
            <v>BLOCO CERÂMICO - 19X19X19cm</v>
          </cell>
          <cell r="H901">
            <v>44.52</v>
          </cell>
        </row>
        <row r="902">
          <cell r="D902" t="str">
            <v>ARGAMASSA ESTABILIZADA PARA ASSENTAMENTO</v>
          </cell>
          <cell r="H902">
            <v>8.5</v>
          </cell>
        </row>
        <row r="903">
          <cell r="D903" t="str">
            <v>Fechamento de Shaft em Alvenaria convencional de 9x19x19cm</v>
          </cell>
          <cell r="H903">
            <v>39.985453999999997</v>
          </cell>
        </row>
        <row r="904">
          <cell r="D904" t="str">
            <v>BLOCO CERÂMICO - 9X19X19cm</v>
          </cell>
          <cell r="H904">
            <v>27.72</v>
          </cell>
        </row>
        <row r="905">
          <cell r="D905" t="str">
            <v>ARGAMASSA INDUSTRIALIZADA MULTIUSO, PARA REVESTIMENTO INTERNO E EXTERNO E ASSENTAMENTO DE BLOCOS DIVERSOS</v>
          </cell>
          <cell r="H905">
            <v>8.5</v>
          </cell>
        </row>
        <row r="906">
          <cell r="D906" t="str">
            <v>MASSA DE REJUNTE EM PO PARA DRYWALL, A BASE DE GESSO, SECAGEM RAPIDA, PARA TRATAMENTO DE JUNTAS DE CHAPA DE GESSO (NECESSITA ADICAO DE AGUA)</v>
          </cell>
          <cell r="H906">
            <v>3.7654540000000005</v>
          </cell>
        </row>
        <row r="907">
          <cell r="D907" t="str">
            <v>CONCRETO</v>
          </cell>
          <cell r="H907">
            <v>0</v>
          </cell>
        </row>
        <row r="908">
          <cell r="D908" t="str">
            <v>Alvenaria de vedação de blocos de concreto de 09x19x39cm, com argamassa estabilizada</v>
          </cell>
          <cell r="H908">
            <v>46.300000000000004</v>
          </cell>
        </row>
        <row r="909">
          <cell r="D909" t="str">
            <v>BLOCO DE VEDACAO CONCRETO 09X19X39 CM</v>
          </cell>
          <cell r="H909">
            <v>37.800000000000004</v>
          </cell>
        </row>
        <row r="910">
          <cell r="D910" t="str">
            <v>ARGAMASSA INDUSTRIALIZADA MULTIUSO, PARA REVESTIMENTO INTERNO E EXTERNO E ASSENTAMENTO DE BLOCOS DIVERSOS</v>
          </cell>
          <cell r="H910">
            <v>8.5</v>
          </cell>
        </row>
        <row r="911">
          <cell r="D911" t="str">
            <v>Alvenaria de vedação de blocos de concreto de 11,5x19x39cm, com argamassa estabilizada</v>
          </cell>
          <cell r="H911">
            <v>56.800000000000011</v>
          </cell>
        </row>
        <row r="912">
          <cell r="D912" t="str">
            <v>BLOCO DE VEDACAO CONCRETO 11,5X19X39 CM</v>
          </cell>
          <cell r="H912">
            <v>48.300000000000011</v>
          </cell>
        </row>
        <row r="913">
          <cell r="D913" t="str">
            <v>ARGAMASSA INDUSTRIALIZADA MULTIUSO, PARA REVESTIMENTO INTERNO E EXTERNO E ASSENTAMENTO DE BLOCOS DIVERSOS</v>
          </cell>
          <cell r="H913">
            <v>8.5</v>
          </cell>
        </row>
        <row r="914">
          <cell r="D914" t="str">
            <v>Alvenaria de vedação de blocos de concreto de 19x19x39cm, com argamassa estabilizada</v>
          </cell>
          <cell r="H914">
            <v>88.300000000000011</v>
          </cell>
        </row>
        <row r="915">
          <cell r="D915" t="str">
            <v>BLOCO DE VEDACAO CONCRETO 19X19X39 CM</v>
          </cell>
          <cell r="H915">
            <v>79.800000000000011</v>
          </cell>
        </row>
        <row r="916">
          <cell r="D916" t="str">
            <v>ARGAMASSA INDUSTRIALIZADA MULTIUSO, PARA REVESTIMENTO INTERNO E EXTERNO E ASSENTAMENTO DE BLOCOS DIVERSOS</v>
          </cell>
          <cell r="H916">
            <v>8.5</v>
          </cell>
        </row>
        <row r="917">
          <cell r="D917" t="str">
            <v>CERÂMICO CORTA FOGO</v>
          </cell>
          <cell r="H917">
            <v>0</v>
          </cell>
        </row>
        <row r="918">
          <cell r="D918" t="str">
            <v>Alvenaria de vedação de Bloco cerâmico corta-fogo de 09x19x39cm, com argamassa estabilizada</v>
          </cell>
          <cell r="H918">
            <v>75.7</v>
          </cell>
        </row>
        <row r="919">
          <cell r="D919" t="str">
            <v>BLOCO DE CERÂMICO CORTA-FOGO  09X19X39 CM</v>
          </cell>
          <cell r="H919">
            <v>67.2</v>
          </cell>
        </row>
        <row r="920">
          <cell r="D920" t="str">
            <v>ARGAMASSA INDUSTRIALIZADA MULTIUSO, PARA REVESTIMENTO INTERNO E EXTERNO E ASSENTAMENTO DE BLOCOS DIVERSOS</v>
          </cell>
          <cell r="H920">
            <v>8.5</v>
          </cell>
        </row>
        <row r="921">
          <cell r="D921" t="str">
            <v>Alvenaria de vedação de Bloco cerâmico corta-fogo de 14x19x39cm, com argamassa estabilizada</v>
          </cell>
          <cell r="H921">
            <v>103.7</v>
          </cell>
        </row>
        <row r="922">
          <cell r="D922" t="str">
            <v>BLOCO DE CERÂMICO CORTA-FOGO  14X19X39 CM</v>
          </cell>
          <cell r="H922">
            <v>95.2</v>
          </cell>
        </row>
        <row r="923">
          <cell r="D923" t="str">
            <v>ARGAMASSA INDUSTRIALIZADA MULTIUSO, PARA REVESTIMENTO INTERNO E EXTERNO E ASSENTAMENTO DE BLOCOS DIVERSOS</v>
          </cell>
          <cell r="H923">
            <v>8.5</v>
          </cell>
        </row>
        <row r="924">
          <cell r="D924" t="str">
            <v>Alvenaria de vedação de Bloco cerâmico corta-fogo com densidade acustica reforçada de 14x19x39cm, com argamassa estabilizada</v>
          </cell>
          <cell r="H924">
            <v>145.70000000000002</v>
          </cell>
        </row>
        <row r="925">
          <cell r="D925" t="str">
            <v>BLOCO DE CERÂMICO CORTA-FOGO ACUSTICA REFORÇADO  14X19X39 CM</v>
          </cell>
          <cell r="H925">
            <v>137.20000000000002</v>
          </cell>
        </row>
        <row r="926">
          <cell r="D926" t="str">
            <v>ARGAMASSA INDUSTRIALIZADA MULTIUSO, PARA REVESTIMENTO INTERNO E EXTERNO E ASSENTAMENTO DE BLOCOS DIVERSOS</v>
          </cell>
          <cell r="H926">
            <v>8.5</v>
          </cell>
        </row>
        <row r="927">
          <cell r="D927" t="str">
            <v>Alvenaria de vedação de Bloco cerâmico corta-fogo de 19x19x39cm, com argamassa estabilizada</v>
          </cell>
          <cell r="H927">
            <v>127.5</v>
          </cell>
        </row>
        <row r="928">
          <cell r="D928" t="str">
            <v>BLOCO DE CERÂMICO CORTA-FOGO  19X19X39 CM</v>
          </cell>
          <cell r="H928">
            <v>119</v>
          </cell>
        </row>
        <row r="929">
          <cell r="D929" t="str">
            <v>ARGAMASSA INDUSTRIALIZADA MULTIUSO, PARA REVESTIMENTO INTERNO E EXTERNO E ASSENTAMENTO DE BLOCOS DIVERSOS</v>
          </cell>
          <cell r="H929">
            <v>8.5</v>
          </cell>
        </row>
        <row r="930">
          <cell r="D930" t="str">
            <v>CONCRETO CORTA FOGO</v>
          </cell>
          <cell r="H930">
            <v>0</v>
          </cell>
        </row>
        <row r="931">
          <cell r="D931" t="str">
            <v>Alvenaria de vedação de Bloco concreto corta-fogo de 09x19x39cm, com argamassa estabilizada</v>
          </cell>
          <cell r="H931">
            <v>71.5</v>
          </cell>
        </row>
        <row r="932">
          <cell r="D932" t="str">
            <v>BLOCO DE concreto CORTA-FOGO  09X19X39 CM</v>
          </cell>
          <cell r="H932">
            <v>63</v>
          </cell>
        </row>
        <row r="933">
          <cell r="D933" t="str">
            <v>ARGAMASSA INDUSTRIALIZADA MULTIUSO, PARA REVESTIMENTO INTERNO E EXTERNO E ASSENTAMENTO DE BLOCOS DIVERSOS</v>
          </cell>
          <cell r="H933">
            <v>8.5</v>
          </cell>
        </row>
        <row r="934">
          <cell r="D934" t="str">
            <v>Alvenaria de vedação de Bloco concreto corta-fogo de 14x19x39cm, com argamassa estabilizada</v>
          </cell>
          <cell r="H934">
            <v>99.5</v>
          </cell>
        </row>
        <row r="935">
          <cell r="D935" t="str">
            <v>BLOCO DE concreto CORTA-FOGO  14X19X39 CM</v>
          </cell>
          <cell r="H935">
            <v>91</v>
          </cell>
        </row>
        <row r="936">
          <cell r="D936" t="str">
            <v>ARGAMASSA INDUSTRIALIZADA MULTIUSO, PARA REVESTIMENTO INTERNO E EXTERNO E ASSENTAMENTO DE BLOCOS DIVERSOS</v>
          </cell>
          <cell r="H936">
            <v>8.5</v>
          </cell>
        </row>
        <row r="937">
          <cell r="D937" t="str">
            <v>Alvenaria de vedação de Bloco concreto corta-fogo com densidade acustica reforçada de 14x19x39cm, com argamassa estabilizada</v>
          </cell>
          <cell r="H937">
            <v>148.5</v>
          </cell>
        </row>
        <row r="938">
          <cell r="D938" t="str">
            <v>BLOCO DE concreto CORTA-FOGO ACUSTICA REFORÇADO  14X19X39 CM</v>
          </cell>
          <cell r="H938">
            <v>140</v>
          </cell>
        </row>
        <row r="939">
          <cell r="D939" t="str">
            <v>ARGAMASSA INDUSTRIALIZADA MULTIUSO, PARA REVESTIMENTO INTERNO E EXTERNO E ASSENTAMENTO DE BLOCOS DIVERSOS</v>
          </cell>
          <cell r="H939">
            <v>8.5</v>
          </cell>
        </row>
        <row r="940">
          <cell r="D940" t="str">
            <v>Alvenaria de vedação de Bloco concreto corta-fogo de 19x19x39cm, com argamassa estabilizada</v>
          </cell>
          <cell r="H940">
            <v>141.5</v>
          </cell>
        </row>
        <row r="941">
          <cell r="D941" t="str">
            <v>BLOCO DE concreto CORTA-FOGO  19X19X39 CM</v>
          </cell>
          <cell r="H941">
            <v>133</v>
          </cell>
        </row>
        <row r="942">
          <cell r="D942" t="str">
            <v>ARGAMASSA INDUSTRIALIZADA MULTIUSO, PARA REVESTIMENTO INTERNO E EXTERNO E ASSENTAMENTO DE BLOCOS DIVERSOS</v>
          </cell>
          <cell r="H942">
            <v>8.5</v>
          </cell>
        </row>
        <row r="943">
          <cell r="D943" t="str">
            <v>SICAL</v>
          </cell>
          <cell r="H943">
            <v>0</v>
          </cell>
        </row>
        <row r="944">
          <cell r="D944" t="str">
            <v>Alvenaria em Bloco De Concreto Celular 60x30x15cm Sical com argamassa industrializada de assentamento</v>
          </cell>
          <cell r="H944">
            <v>107.14000000000001</v>
          </cell>
        </row>
        <row r="945">
          <cell r="D945" t="str">
            <v>Bloco Concreto Celular 15x30x60</v>
          </cell>
          <cell r="H945">
            <v>98.640000000000015</v>
          </cell>
        </row>
        <row r="946">
          <cell r="D946" t="str">
            <v>ARGAMASSA ESTABILIZADA PARA ASSENTAMENTO</v>
          </cell>
          <cell r="H946">
            <v>8.5</v>
          </cell>
        </row>
        <row r="947">
          <cell r="D947" t="str">
            <v>Alvenaria em Bloco De Concreto Celular 60x30x12,5cm Sical com argamassa industrializada de assentamento</v>
          </cell>
          <cell r="H947">
            <v>115.96000000000001</v>
          </cell>
        </row>
        <row r="948">
          <cell r="D948" t="str">
            <v>Bloco Concreto Celular 12,5x30x60</v>
          </cell>
          <cell r="H948">
            <v>107.46000000000001</v>
          </cell>
        </row>
        <row r="949">
          <cell r="D949" t="str">
            <v>ARGAMASSA ESTABILIZADA PARA ASSENTAMENTO</v>
          </cell>
          <cell r="H949">
            <v>8.5</v>
          </cell>
        </row>
        <row r="950">
          <cell r="D950" t="str">
            <v>Alvenaria em Bloco De Concreto Celular 60x30x10cm Sical com argamassa industrializada de assentamento</v>
          </cell>
          <cell r="H950">
            <v>82.960000000000008</v>
          </cell>
        </row>
        <row r="951">
          <cell r="D951" t="str">
            <v>Bloco Concreto Celular 10x30x60</v>
          </cell>
          <cell r="H951">
            <v>74.460000000000008</v>
          </cell>
        </row>
        <row r="952">
          <cell r="D952" t="str">
            <v>ARGAMASSA ESTABILIZADA PARA ASSENTAMENTO</v>
          </cell>
          <cell r="H952">
            <v>8.5</v>
          </cell>
        </row>
        <row r="953">
          <cell r="D953" t="str">
            <v>Alvenaria em Bloco De Concreto Celular 60x30x7,5cm Sical com argamassa industrializada de assentamento</v>
          </cell>
          <cell r="H953">
            <v>72.760000000000005</v>
          </cell>
        </row>
        <row r="954">
          <cell r="D954" t="str">
            <v>Bloco Concreto Celular 7,5x30x60</v>
          </cell>
          <cell r="H954">
            <v>64.260000000000005</v>
          </cell>
        </row>
        <row r="955">
          <cell r="D955" t="str">
            <v>ARGAMASSA ESTABILIZADA PARA ASSENTAMENTO</v>
          </cell>
          <cell r="H955">
            <v>8.5</v>
          </cell>
        </row>
        <row r="956">
          <cell r="D956" t="str">
            <v>COBOGO</v>
          </cell>
          <cell r="H956">
            <v>0</v>
          </cell>
        </row>
        <row r="957">
          <cell r="D957" t="str">
            <v>Cobogó em cerâmico vazado 20x20cm</v>
          </cell>
          <cell r="H957">
            <v>309.52499999999998</v>
          </cell>
        </row>
        <row r="958">
          <cell r="D958" t="str">
            <v>ARGAMASSA ESTABILIZADA PARA ASSENTAMENTO</v>
          </cell>
          <cell r="H958">
            <v>9.7750000000000004</v>
          </cell>
        </row>
        <row r="959">
          <cell r="D959" t="str">
            <v>ELEMENTO VAZADO CERAMICO QUADRADO</v>
          </cell>
          <cell r="H959">
            <v>299.75</v>
          </cell>
        </row>
        <row r="960">
          <cell r="D960" t="str">
            <v>Cobogó em concreto vazado 20x20cm</v>
          </cell>
          <cell r="H960">
            <v>384.77499999999998</v>
          </cell>
        </row>
        <row r="961">
          <cell r="D961" t="str">
            <v>ARGAMASSA ESTABILIZADA PARA ASSENTAMENTO</v>
          </cell>
          <cell r="H961">
            <v>9.7750000000000004</v>
          </cell>
        </row>
        <row r="962">
          <cell r="D962" t="str">
            <v>ELEMENTO VAZADO CONCRETO QUADRADO</v>
          </cell>
          <cell r="H962">
            <v>375</v>
          </cell>
        </row>
        <row r="963">
          <cell r="D963" t="str">
            <v>RERATARIO</v>
          </cell>
          <cell r="H963">
            <v>0</v>
          </cell>
        </row>
        <row r="964">
          <cell r="D964" t="str">
            <v>Tijolo refratário para churrasqueiras 5x11,5x23cm com argamassa</v>
          </cell>
          <cell r="H964">
            <v>266.02625</v>
          </cell>
        </row>
        <row r="965">
          <cell r="D965" t="str">
            <v>TIJOLO REFRATÁRIO 5 X 11,5 X 23 CM</v>
          </cell>
          <cell r="H965">
            <v>266</v>
          </cell>
        </row>
        <row r="966">
          <cell r="D966" t="str">
            <v>ARGAMASSA REFRATÁRIA</v>
          </cell>
          <cell r="H966">
            <v>2.6249999999999999E-2</v>
          </cell>
        </row>
        <row r="967">
          <cell r="D967" t="str">
            <v>Tijolo refratário para churrasqueiras 2,5x11,5x23cm com argamassa</v>
          </cell>
          <cell r="H967">
            <v>226.113125</v>
          </cell>
        </row>
        <row r="968">
          <cell r="D968" t="str">
            <v>TIJOLO REFRATÁRIO 2,5 X 11,5 X 23 CM</v>
          </cell>
          <cell r="H968">
            <v>226.1</v>
          </cell>
        </row>
        <row r="969">
          <cell r="D969" t="str">
            <v>ARGAMASSA REFRATÁRIA</v>
          </cell>
          <cell r="H969">
            <v>1.3125E-2</v>
          </cell>
        </row>
        <row r="970">
          <cell r="D970" t="str">
            <v>COMPLEMENTACOES</v>
          </cell>
          <cell r="H970">
            <v>0</v>
          </cell>
        </row>
        <row r="971">
          <cell r="D971" t="str">
            <v>Encunhamento De Alvenaria De Vedação Com Argamassa Expansiva</v>
          </cell>
          <cell r="H971">
            <v>14.787500000000001</v>
          </cell>
        </row>
        <row r="972">
          <cell r="D972" t="str">
            <v>ARGAMASSA ESTABILIZADA PARA ASSENTAMENTO</v>
          </cell>
          <cell r="H972">
            <v>1.4875</v>
          </cell>
        </row>
        <row r="973">
          <cell r="D973" t="str">
            <v>ADITIVO EXPANSOR EM PÓ</v>
          </cell>
          <cell r="H973">
            <v>13.3</v>
          </cell>
        </row>
        <row r="974">
          <cell r="D974" t="str">
            <v>Encunhamento De Alvenaria De Vedação Com Argamassa para encunhmento</v>
          </cell>
          <cell r="H974">
            <v>15.265566400000001</v>
          </cell>
        </row>
        <row r="975">
          <cell r="D975" t="str">
            <v>Argamassa para encunhamento</v>
          </cell>
          <cell r="H975">
            <v>1.9655663999999999</v>
          </cell>
        </row>
        <row r="976">
          <cell r="D976" t="str">
            <v>ADITIVO EXPANSOR EM PÓ</v>
          </cell>
          <cell r="H976">
            <v>13.3</v>
          </cell>
        </row>
        <row r="977">
          <cell r="D977" t="str">
            <v>Tela soldada para ligacao alvenaria/estrutura</v>
          </cell>
          <cell r="H977">
            <v>4.1071999999999997</v>
          </cell>
        </row>
        <row r="978">
          <cell r="D978" t="str">
            <v>PINO DE ACO COM FURO, HASTE = 27 MM (ACAO DIRETA)</v>
          </cell>
          <cell r="H978">
            <v>0.86719999999999997</v>
          </cell>
        </row>
        <row r="979">
          <cell r="D979" t="str">
            <v>TELA DE ACO SOLDADA GALVANIZADA/ZINCADA PARA ALVENARIA, FIO D = *1,20 A 1,70* MM, MALHA 15 X 15 MM, (C X L) *50 X 17,5* CM</v>
          </cell>
          <cell r="H979">
            <v>2.5</v>
          </cell>
        </row>
        <row r="980">
          <cell r="D980" t="str">
            <v>CARTUCHO/MUNIÇÃO FINCAPINO 22</v>
          </cell>
          <cell r="H980">
            <v>0.74</v>
          </cell>
        </row>
        <row r="981">
          <cell r="D981" t="str">
            <v>Verga/contraverga de concreto, moldada in loco</v>
          </cell>
          <cell r="H981">
            <v>79.403675710539517</v>
          </cell>
        </row>
        <row r="982">
          <cell r="D982" t="str">
            <v>Aço CA50 8,0 mm</v>
          </cell>
          <cell r="H982">
            <v>4.3186070705395085</v>
          </cell>
        </row>
        <row r="983">
          <cell r="D983" t="str">
            <v>PREGO DE ACO POLIDO COM CABECA 17 X 21 (2 X 11)</v>
          </cell>
          <cell r="H983">
            <v>0.17636863999999999</v>
          </cell>
        </row>
        <row r="984">
          <cell r="D984" t="str">
            <v>ESPACADOR / DISTANCIADOR CIRCULAR COM ENTRADA LATERAL, EM PLASTICO, PARA VERGALHAO *4,2 A 12,5* MM, COBRIMENTO 40 MM</v>
          </cell>
          <cell r="H984">
            <v>2.58</v>
          </cell>
        </row>
        <row r="985">
          <cell r="D985" t="str">
            <v>Concreto Usinado bombeável 30MPa Convencional</v>
          </cell>
          <cell r="H985">
            <v>16.32</v>
          </cell>
        </row>
        <row r="986">
          <cell r="D986" t="str">
            <v xml:space="preserve">DESMOLDANTE PROTETOR PARA FORMAS DE MADEIRA, DE BASE OLEOSA EMULSIONADA EM AGUA   </v>
          </cell>
          <cell r="H986">
            <v>0.13994999999999999</v>
          </cell>
        </row>
        <row r="987">
          <cell r="D987" t="str">
            <v>PONTALETE *7,5 X 7,5* CM EM PINUS, MISTA OU EQUIVALENTE DA REGIAO - BRUTA</v>
          </cell>
          <cell r="H987">
            <v>16.747500000000002</v>
          </cell>
        </row>
        <row r="988">
          <cell r="D988" t="str">
            <v>SARRAFO *2,5 X 7,5* CM EM PINUS, MISTA OU EQUIVALENTE DA REGIAO - BRUTA</v>
          </cell>
          <cell r="H988">
            <v>2.53125</v>
          </cell>
        </row>
        <row r="989">
          <cell r="D989" t="str">
            <v>TABUA *2,5 X 30 CM EM PINUS, MISTA OU EQUIVALENTE DA REGIAO - BRUTA (M)</v>
          </cell>
          <cell r="H989">
            <v>36.590000000000003</v>
          </cell>
        </row>
        <row r="990">
          <cell r="D990" t="str">
            <v>CERAMICO ESTRUTURAL</v>
          </cell>
          <cell r="H990">
            <v>0</v>
          </cell>
        </row>
        <row r="991">
          <cell r="D991" t="str">
            <v>Alvenaria de vedacao de blocos ceramicos estrutural de 14x19x29cm (espessura 14cm) com argamassa industrializada de assentamento</v>
          </cell>
          <cell r="H991">
            <v>60.94</v>
          </cell>
        </row>
        <row r="992">
          <cell r="D992" t="str">
            <v>BLOCO CERÂMICO ESTRUTURAL 04MPA 14X19X29CM NBR 6136</v>
          </cell>
          <cell r="H992">
            <v>52.44</v>
          </cell>
        </row>
        <row r="993">
          <cell r="D993" t="str">
            <v>ARGAMASSA ESTABILIZADA PARA ASSENTAMENTO</v>
          </cell>
          <cell r="H993">
            <v>8.5</v>
          </cell>
        </row>
        <row r="994">
          <cell r="D994" t="str">
            <v>CONCRETO ESTRUTURAL</v>
          </cell>
          <cell r="H994">
            <v>0</v>
          </cell>
        </row>
        <row r="995">
          <cell r="D995" t="str">
            <v>Alvenaria Estrutural Bloco de concreto de 4,0 MPA, com argamassa estabilizada</v>
          </cell>
          <cell r="H995">
            <v>12.290469464289249</v>
          </cell>
        </row>
        <row r="996">
          <cell r="D996" t="str">
            <v>BLOCO CONCRETO ESTRUTURAL 04MPA 14X19X44CM NBR 6136</v>
          </cell>
          <cell r="H996">
            <v>0.15513249292513506</v>
          </cell>
        </row>
        <row r="997">
          <cell r="D997" t="str">
            <v>BLOCO CONCRETO ESTRUTURAL 04MPA 14X19X29CM NBR 6136</v>
          </cell>
          <cell r="H997">
            <v>3.2094192179058401</v>
          </cell>
        </row>
        <row r="998">
          <cell r="D998" t="str">
            <v>BLOCO CONCRETO ESTRUTURAL 04MPA 14X19X14CM NBR 6136</v>
          </cell>
          <cell r="H998">
            <v>0.12390018008747108</v>
          </cell>
        </row>
        <row r="999">
          <cell r="D999" t="str">
            <v>BLOCO CONCRETO ESTRUTURAL 04MPA 14X19X09CM NBR 6136</v>
          </cell>
          <cell r="H999">
            <v>0.15393520809008332</v>
          </cell>
        </row>
        <row r="1000">
          <cell r="D1000" t="str">
            <v>BLOCO CONCRETO ESTRUTURAL 04MPA 14X19X04CM NBR 6136</v>
          </cell>
          <cell r="H1000">
            <v>0.1480823652807188</v>
          </cell>
        </row>
        <row r="1001">
          <cell r="D1001" t="str">
            <v>ARGAMASSA ESTABILIZADA PARA ASSENTAMENTO</v>
          </cell>
          <cell r="H1001">
            <v>8.5</v>
          </cell>
        </row>
        <row r="1002">
          <cell r="D1002" t="str">
            <v>Alvenaria Estrutural Bloco de concreto de 6,0 MPA, com argamassa estabilizada</v>
          </cell>
          <cell r="H1002">
            <v>45.96608760180635</v>
          </cell>
        </row>
        <row r="1003">
          <cell r="D1003" t="str">
            <v>BLOCO CONCRETO ESTRUTURAL 06MPA 14X19X44CM NBR 6136</v>
          </cell>
          <cell r="H1003">
            <v>0.6367589639653064</v>
          </cell>
        </row>
        <row r="1004">
          <cell r="D1004" t="str">
            <v>BLOCO CONCRETO ESTRUTURAL 06MPA 14X19X29CM NBR 6136</v>
          </cell>
          <cell r="H1004">
            <v>24.56869243837739</v>
          </cell>
        </row>
        <row r="1005">
          <cell r="D1005" t="str">
            <v>BLOCO CONCRETO ESTRUTURAL 06MPA 14X19X14CM NBR 6136</v>
          </cell>
          <cell r="H1005">
            <v>1.0871330213704509</v>
          </cell>
        </row>
        <row r="1006">
          <cell r="D1006" t="str">
            <v>BLOCO CONCRETO ESTRUTURAL 06MPA 14X19X09CM NBR 6136</v>
          </cell>
          <cell r="H1006">
            <v>1.6526107594332087</v>
          </cell>
        </row>
        <row r="1007">
          <cell r="D1007" t="str">
            <v>BLOCO CONCRETO ESTRUTURAL 06MPA 14X19X04CM NBR 6136</v>
          </cell>
          <cell r="H1007">
            <v>2.6451212046872383</v>
          </cell>
        </row>
        <row r="1008">
          <cell r="D1008" t="str">
            <v>CANALETA CONCRETO ESTRUTURAL "U" 06MPA 14X19X29CM NBR 6136</v>
          </cell>
          <cell r="H1008">
            <v>6.8757712139727571</v>
          </cell>
        </row>
        <row r="1009">
          <cell r="D1009" t="str">
            <v>ARGAMASSA ESTABILIZADA PARA ASSENTAMENTO</v>
          </cell>
          <cell r="H1009">
            <v>8.5</v>
          </cell>
        </row>
        <row r="1010">
          <cell r="D1010" t="str">
            <v>Alvenaria Estrutural Bloco de concreto de 8,0 MPA, com argamassa estabilizada</v>
          </cell>
          <cell r="H1010">
            <v>58.163310258023913</v>
          </cell>
        </row>
        <row r="1011">
          <cell r="D1011" t="str">
            <v>BLOCO CONCRETO ESTRUTURAL 08MPA 19X19X39CM NBR 6136</v>
          </cell>
          <cell r="H1011">
            <v>39.110132158590311</v>
          </cell>
        </row>
        <row r="1012">
          <cell r="D1012" t="str">
            <v>CANALETA CONCRETO ESTRUTURAL "U" 08MPA 19X19X39CM NBR 6136</v>
          </cell>
          <cell r="H1012">
            <v>10.553178099433605</v>
          </cell>
        </row>
        <row r="1013">
          <cell r="D1013" t="str">
            <v>ARGAMASSA ESTABILIZADA PARA ASSENTAMENTO</v>
          </cell>
          <cell r="H1013">
            <v>8.5</v>
          </cell>
        </row>
        <row r="1014">
          <cell r="D1014" t="str">
            <v>GROUT</v>
          </cell>
          <cell r="H1014">
            <v>0</v>
          </cell>
        </row>
        <row r="1015">
          <cell r="D1015" t="str">
            <v>Grout 15 Mpa</v>
          </cell>
          <cell r="H1015">
            <v>492.30300000000005</v>
          </cell>
        </row>
        <row r="1016">
          <cell r="D1016" t="str">
            <v>Grout 15 Mpa</v>
          </cell>
          <cell r="H1016">
            <v>492.30300000000005</v>
          </cell>
        </row>
        <row r="1017">
          <cell r="D1017" t="str">
            <v>Grout 20 Mpa</v>
          </cell>
          <cell r="H1017">
            <v>518.17500000000007</v>
          </cell>
        </row>
        <row r="1018">
          <cell r="D1018" t="str">
            <v>Grout 20 Mpa</v>
          </cell>
          <cell r="H1018">
            <v>518.17500000000007</v>
          </cell>
        </row>
        <row r="1019">
          <cell r="D1019" t="str">
            <v>DRYWALL - PERSONALIZADO</v>
          </cell>
          <cell r="H1019">
            <v>0</v>
          </cell>
        </row>
        <row r="1020">
          <cell r="D1020" t="str">
            <v>Parede Com Sistema Em Chapas De Gesso Para Drywall, Uso Interno, Montante 48mm  (48 / HU)</v>
          </cell>
          <cell r="H1020">
            <v>103.175377</v>
          </cell>
        </row>
        <row r="1021">
          <cell r="D1021" t="str">
            <v>PLACA / CHAPA DE GESSO ACARTONADO, RESISTENTE A UMIDADE (RU), COR VERDE, E = 12,5 MM, 1200 X 2400 MM (L X C)</v>
          </cell>
          <cell r="H1021">
            <v>28.536300000000001</v>
          </cell>
        </row>
        <row r="1022">
          <cell r="D1022" t="str">
            <v>PLACA / CHAPA DE GESSO ACARTONADO HARDBOARD (HB) E = 12,5 MM, 1200 X 1800 MM (L X C)</v>
          </cell>
          <cell r="H1022">
            <v>36.343125000000001</v>
          </cell>
        </row>
        <row r="1023">
          <cell r="D1023" t="str">
            <v>PINO DE ACO COM ARRUELA CONICA, DIAMETRO ARRUELA = *23* MM E COMP HASTE = *27* MM (ACAO INDIRETA)</v>
          </cell>
          <cell r="H1023">
            <v>2.4948000000000001</v>
          </cell>
        </row>
        <row r="1024">
          <cell r="D1024" t="str">
            <v>PERFIL GUIA, FORMATO U, EM ACO ZINCADO, PARA ESTRUTURA PAREDE DRYWALL, E = 0,5 MM, 48 X 3000 MM (L X C)</v>
          </cell>
          <cell r="H1024">
            <v>10.719344</v>
          </cell>
        </row>
        <row r="1025">
          <cell r="D1025" t="str">
            <v>PERFIL MONTANTE, FORMATO C, EM ACO ZINCADO, PARA ESTRUTURA PAREDE DRYWALL, E = 0,5 MM, 48 X 3000 MM (L X C)</v>
          </cell>
          <cell r="H1025">
            <v>15.964788</v>
          </cell>
        </row>
        <row r="1026">
          <cell r="D1026" t="str">
            <v>MASSA DE REJUNTE EM PO PARA DRYWALL, A BASE DE GESSO, SECAGEM RAPIDA, PARA TRATAMENTO DE JUNTAS DE CHAPA DE GESSO (NECESSITA ADICAO DE AGUA)</v>
          </cell>
          <cell r="H1026">
            <v>1.8827270000000003</v>
          </cell>
        </row>
        <row r="1027">
          <cell r="D1027" t="str">
            <v>FITA DE PAPEL MICROPERFURADO, 50 X 150 MM, PARA TRATAMENTO DE JUNTAS DE CHAPA DE GESSO PARA DRYWALL</v>
          </cell>
          <cell r="H1027">
            <v>0.387903</v>
          </cell>
        </row>
        <row r="1028">
          <cell r="D1028" t="str">
            <v>FITA DE PAPEL REFORCADA COM LAMINA DE METAL PARA REFORCO DE CANTOS DE CHAPA DE GESSO PARA DRYWALL</v>
          </cell>
          <cell r="H1028">
            <v>2.0295180000000004</v>
          </cell>
        </row>
        <row r="1029">
          <cell r="D1029" t="str">
            <v>BANDA ACUSTICA</v>
          </cell>
          <cell r="H1029">
            <v>2.4000000000000004</v>
          </cell>
        </row>
        <row r="1030">
          <cell r="D1030" t="str">
            <v>Aplicação de zarcão nas guias inferiores</v>
          </cell>
          <cell r="H1030">
            <v>0.504</v>
          </cell>
        </row>
        <row r="1031">
          <cell r="D1031" t="str">
            <v>PARAFUSO DRY WALL, EM ACO FOSFATIZADO, CABECA TROMBETA E PONTA AGULHA (TA), COMPRIMENTO 25 MM</v>
          </cell>
          <cell r="H1031">
            <v>1.8168120000000001</v>
          </cell>
        </row>
        <row r="1032">
          <cell r="D1032" t="str">
            <v>PARAFUSO DRY WALL, EM ACO ZINCADO, CABECA LENTILHA E PONTA BROCA (LB), LARGURA 4,2 MM, COMPRIMENTO 13 MM</v>
          </cell>
          <cell r="H1032">
            <v>9.6060000000000006E-2</v>
          </cell>
        </row>
        <row r="1033">
          <cell r="D1033" t="str">
            <v>Parede Com Sistema Em Chapas De Gesso Para Drywall, Uso Interno, Montante 48mm  (48 / HS)</v>
          </cell>
          <cell r="H1033">
            <v>95.867556999999991</v>
          </cell>
        </row>
        <row r="1034">
          <cell r="D1034" t="str">
            <v>PLACA / CHAPA DE GESSO ACARTONADO, STANDARD (ST), COR BRANCA, E = 12,5 MM, 1200 X 2400 MM (L X C)</v>
          </cell>
          <cell r="H1034">
            <v>21.228479999999998</v>
          </cell>
        </row>
        <row r="1035">
          <cell r="D1035" t="str">
            <v>PLACA / CHAPA DE GESSO ACARTONADO HARDBOARD (HB) E = 12,5 MM, 1200 X 1800 MM (L X C)</v>
          </cell>
          <cell r="H1035">
            <v>36.343125000000001</v>
          </cell>
        </row>
        <row r="1036">
          <cell r="D1036" t="str">
            <v>PINO DE ACO COM ARRUELA CONICA, DIAMETRO ARRUELA = *23* MM E COMP HASTE = *27* MM (ACAO INDIRETA)</v>
          </cell>
          <cell r="H1036">
            <v>2.4948000000000001</v>
          </cell>
        </row>
        <row r="1037">
          <cell r="D1037" t="str">
            <v>PERFIL GUIA, FORMATO U, EM ACO ZINCADO, PARA ESTRUTURA PAREDE DRYWALL, E = 0,5 MM, 48 X 3000 MM (L X C)</v>
          </cell>
          <cell r="H1037">
            <v>10.719344</v>
          </cell>
        </row>
        <row r="1038">
          <cell r="D1038" t="str">
            <v>PERFIL MONTANTE, FORMATO C, EM ACO ZINCADO, PARA ESTRUTURA PAREDE DRYWALL, E = 0,5 MM, 48 X 3000 MM (L X C)</v>
          </cell>
          <cell r="H1038">
            <v>15.964788</v>
          </cell>
        </row>
        <row r="1039">
          <cell r="D1039" t="str">
            <v>MASSA DE REJUNTE EM PO PARA DRYWALL, A BASE DE GESSO, SECAGEM RAPIDA, PARA TRATAMENTO DE JUNTAS DE CHAPA DE GESSO (NECESSITA ADICAO DE AGUA)</v>
          </cell>
          <cell r="H1039">
            <v>1.8827270000000003</v>
          </cell>
        </row>
        <row r="1040">
          <cell r="D1040" t="str">
            <v>FITA DE PAPEL MICROPERFURADO, 50 X 150 MM, PARA TRATAMENTO DE JUNTAS DE CHAPA DE GESSO PARA DRYWALL</v>
          </cell>
          <cell r="H1040">
            <v>0.387903</v>
          </cell>
        </row>
        <row r="1041">
          <cell r="D1041" t="str">
            <v>FITA DE PAPEL REFORCADA COM LAMINA DE METAL PARA REFORCO DE CANTOS DE CHAPA DE GESSO PARA DRYWALL</v>
          </cell>
          <cell r="H1041">
            <v>2.0295180000000004</v>
          </cell>
        </row>
        <row r="1042">
          <cell r="D1042" t="str">
            <v>BANDA ACUSTICA</v>
          </cell>
          <cell r="H1042">
            <v>2.4000000000000004</v>
          </cell>
        </row>
        <row r="1043">
          <cell r="D1043" t="str">
            <v>Aplicação de zarcão nas guias inferiores</v>
          </cell>
          <cell r="H1043">
            <v>0.504</v>
          </cell>
        </row>
        <row r="1044">
          <cell r="D1044" t="str">
            <v>PARAFUSO DRY WALL, EM ACO FOSFATIZADO, CABECA TROMBETA E PONTA AGULHA (TA), COMPRIMENTO 25 MM</v>
          </cell>
          <cell r="H1044">
            <v>1.8168120000000001</v>
          </cell>
        </row>
        <row r="1045">
          <cell r="D1045" t="str">
            <v>PARAFUSO DRY WALL, EM ACO ZINCADO, CABECA LENTILHA E PONTA BROCA (LB), LARGURA 4,2 MM, COMPRIMENTO 13 MM</v>
          </cell>
          <cell r="H1045">
            <v>9.6060000000000006E-2</v>
          </cell>
        </row>
        <row r="1046">
          <cell r="D1046" t="str">
            <v>Parede Com Sistema Em Chapas De Gesso Para Drywall, Uso Interno, Montante 70mm  (70 / HS)</v>
          </cell>
          <cell r="H1046">
            <v>96.523220999999992</v>
          </cell>
        </row>
        <row r="1047">
          <cell r="D1047" t="str">
            <v>PLACA / CHAPA DE GESSO ACARTONADO, STANDARD (ST), COR BRANCA, E = 12,5 MM, 1200 X 2400 MM (L X C)</v>
          </cell>
          <cell r="H1047">
            <v>21.228479999999998</v>
          </cell>
        </row>
        <row r="1048">
          <cell r="D1048" t="str">
            <v>PLACA / CHAPA DE GESSO ACARTONADO HARDBOARD (HB) E = 12,5 MM, 1200 X 1800 MM (L X C)</v>
          </cell>
          <cell r="H1048">
            <v>36.343125000000001</v>
          </cell>
        </row>
        <row r="1049">
          <cell r="D1049" t="str">
            <v>PINO DE ACO COM ARRUELA CONICA, DIAMETRO ARRUELA = *23* MM E COMP HASTE = *27* MM (ACAO INDIRETA)</v>
          </cell>
          <cell r="H1049">
            <v>2.4948000000000001</v>
          </cell>
        </row>
        <row r="1050">
          <cell r="D1050" t="str">
            <v>PERFIL GUIA, FORMATO U, EM ACO ZINCADO, PARA ESTRUTURA PAREDE DRYWALL, E = 0,5 MM, 70 X 3000 MM (L X C)</v>
          </cell>
          <cell r="H1050">
            <v>11.375007999999999</v>
          </cell>
        </row>
        <row r="1051">
          <cell r="D1051" t="str">
            <v>PERFIL MONTANTE, FORMATO C, EM ACO ZINCADO, PARA ESTRUTURA PAREDE DRYWALL, E = 0,5 MM, 70 X 3000 MM (L X C)</v>
          </cell>
          <cell r="H1051">
            <v>15.964788</v>
          </cell>
        </row>
        <row r="1052">
          <cell r="D1052" t="str">
            <v>MASSA DE REJUNTE EM PO PARA DRYWALL, A BASE DE GESSO, SECAGEM RAPIDA, PARA TRATAMENTO DE JUNTAS DE CHAPA DE GESSO (NECESSITA ADICAO DE AGUA)</v>
          </cell>
          <cell r="H1052">
            <v>1.8827270000000003</v>
          </cell>
        </row>
        <row r="1053">
          <cell r="D1053" t="str">
            <v>FITA DE PAPEL MICROPERFURADO, 50 X 150 MM, PARA TRATAMENTO DE JUNTAS DE CHAPA DE GESSO PARA DRYWALL</v>
          </cell>
          <cell r="H1053">
            <v>0.387903</v>
          </cell>
        </row>
        <row r="1054">
          <cell r="D1054" t="str">
            <v>FITA DE PAPEL REFORCADA COM LAMINA DE METAL PARA REFORCO DE CANTOS DE CHAPA DE GESSO PARA DRYWALL</v>
          </cell>
          <cell r="H1054">
            <v>2.0295180000000004</v>
          </cell>
        </row>
        <row r="1055">
          <cell r="D1055" t="str">
            <v>BANDA ACUSTICA</v>
          </cell>
          <cell r="H1055">
            <v>2.4000000000000004</v>
          </cell>
        </row>
        <row r="1056">
          <cell r="D1056" t="str">
            <v>Aplicação de zarcão nas guias inferiores</v>
          </cell>
          <cell r="H1056">
            <v>0.504</v>
          </cell>
        </row>
        <row r="1057">
          <cell r="D1057" t="str">
            <v>PARAFUSO DRY WALL, EM ACO FOSFATIZADO, CABECA TROMBETA E PONTA AGULHA (TA), COMPRIMENTO 25 MM</v>
          </cell>
          <cell r="H1057">
            <v>1.8168120000000001</v>
          </cell>
        </row>
        <row r="1058">
          <cell r="D1058" t="str">
            <v>PARAFUSO DRY WALL, EM ACO ZINCADO, CABECA LENTILHA E PONTA BROCA (LB), LARGURA 4,2 MM, COMPRIMENTO 13 MM</v>
          </cell>
          <cell r="H1058">
            <v>9.6060000000000006E-2</v>
          </cell>
        </row>
        <row r="1059">
          <cell r="D1059" t="str">
            <v>Parede Com Sistema Em Chapas De Gesso Para Drywall, Uso Interno, Montante 70mm  (70 / HU)</v>
          </cell>
          <cell r="H1059">
            <v>103.83104099999998</v>
          </cell>
        </row>
        <row r="1060">
          <cell r="D1060" t="str">
            <v>PLACA / CHAPA DE GESSO ACARTONADO, RESISTENTE A UMIDADE (RU), COR VERDE, E = 12,5 MM, 1200 X 2400 MM (L X C)</v>
          </cell>
          <cell r="H1060">
            <v>28.536300000000001</v>
          </cell>
        </row>
        <row r="1061">
          <cell r="D1061" t="str">
            <v>PLACA / CHAPA DE GESSO ACARTONADO HARDBOARD (HB) E = 12,5 MM, 1200 X 1800 MM (L X C)</v>
          </cell>
          <cell r="H1061">
            <v>36.343125000000001</v>
          </cell>
        </row>
        <row r="1062">
          <cell r="D1062" t="str">
            <v>PINO DE ACO COM ARRUELA CONICA, DIAMETRO ARRUELA = *23* MM E COMP HASTE = *27* MM (ACAO INDIRETA)</v>
          </cell>
          <cell r="H1062">
            <v>2.4948000000000001</v>
          </cell>
        </row>
        <row r="1063">
          <cell r="D1063" t="str">
            <v>PERFIL GUIA, FORMATO U, EM ACO ZINCADO, PARA ESTRUTURA PAREDE DRYWALL, E = 0,5 MM, 70 X 3000 MM (L X C)</v>
          </cell>
          <cell r="H1063">
            <v>11.375007999999999</v>
          </cell>
        </row>
        <row r="1064">
          <cell r="D1064" t="str">
            <v>PERFIL MONTANTE, FORMATO C, EM ACO ZINCADO, PARA ESTRUTURA PAREDE DRYWALL, E = 0,5 MM, 70 X 3000 MM (L X C)</v>
          </cell>
          <cell r="H1064">
            <v>15.964788</v>
          </cell>
        </row>
        <row r="1065">
          <cell r="D1065" t="str">
            <v>MASSA DE REJUNTE EM PO PARA DRYWALL, A BASE DE GESSO, SECAGEM RAPIDA, PARA TRATAMENTO DE JUNTAS DE CHAPA DE GESSO (NECESSITA ADICAO DE AGUA)</v>
          </cell>
          <cell r="H1065">
            <v>1.8827270000000003</v>
          </cell>
        </row>
        <row r="1066">
          <cell r="D1066" t="str">
            <v>FITA DE PAPEL MICROPERFURADO, 50 X 150 MM, PARA TRATAMENTO DE JUNTAS DE CHAPA DE GESSO PARA DRYWALL</v>
          </cell>
          <cell r="H1066">
            <v>0.387903</v>
          </cell>
        </row>
        <row r="1067">
          <cell r="D1067" t="str">
            <v>FITA DE PAPEL REFORCADA COM LAMINA DE METAL PARA REFORCO DE CANTOS DE CHAPA DE GESSO PARA DRYWALL</v>
          </cell>
          <cell r="H1067">
            <v>2.0295180000000004</v>
          </cell>
        </row>
        <row r="1068">
          <cell r="D1068" t="str">
            <v>BANDA ACUSTICA</v>
          </cell>
          <cell r="H1068">
            <v>2.4000000000000004</v>
          </cell>
        </row>
        <row r="1069">
          <cell r="D1069" t="str">
            <v>Aplicação de zarcão nas guias inferiores</v>
          </cell>
          <cell r="H1069">
            <v>0.504</v>
          </cell>
        </row>
        <row r="1070">
          <cell r="D1070" t="str">
            <v>PARAFUSO DRY WALL, EM ACO FOSFATIZADO, CABECA TROMBETA E PONTA AGULHA (TA), COMPRIMENTO 25 MM</v>
          </cell>
          <cell r="H1070">
            <v>1.8168120000000001</v>
          </cell>
        </row>
        <row r="1071">
          <cell r="D1071" t="str">
            <v>PARAFUSO DRY WALL, EM ACO ZINCADO, CABECA LENTILHA E PONTA BROCA (LB), LARGURA 4,2 MM, COMPRIMENTO 13 MM</v>
          </cell>
          <cell r="H1071">
            <v>9.6060000000000006E-2</v>
          </cell>
        </row>
        <row r="1072">
          <cell r="D1072" t="str">
            <v>Parede Com Sistema Em Chapas De Gesso Para Drywall, Uso Interno, Montante 70mm  (HS / 70 / HS)</v>
          </cell>
          <cell r="H1072">
            <v>158.39527899999999</v>
          </cell>
        </row>
        <row r="1073">
          <cell r="D1073" t="str">
            <v>PLACA / CHAPA DE GESSO ACARTONADO, STANDARD (ST), COR BRANCA, E = 12,5 MM, 1200 X 2400 MM (L X C)</v>
          </cell>
          <cell r="H1073">
            <v>42.456959999999995</v>
          </cell>
        </row>
        <row r="1074">
          <cell r="D1074" t="str">
            <v>PLACA / CHAPA DE GESSO ACARTONADO HARDBOARD (HB) E = 12,5 MM, 1200 X 1800 MM (L X C)</v>
          </cell>
          <cell r="H1074">
            <v>72.686250000000001</v>
          </cell>
        </row>
        <row r="1075">
          <cell r="D1075" t="str">
            <v>PINO DE ACO COM ARRUELA CONICA, DIAMETRO ARRUELA = *23* MM E COMP HASTE = *27* MM (ACAO INDIRETA)</v>
          </cell>
          <cell r="H1075">
            <v>2.4948000000000001</v>
          </cell>
        </row>
        <row r="1076">
          <cell r="D1076" t="str">
            <v>PERFIL GUIA, FORMATO U, EM ACO ZINCADO, PARA ESTRUTURA PAREDE DRYWALL, E = 0,5 MM, 70 X 3000 MM (L X C)</v>
          </cell>
          <cell r="H1076">
            <v>11.375007999999999</v>
          </cell>
        </row>
        <row r="1077">
          <cell r="D1077" t="str">
            <v>PERFIL MONTANTE, FORMATO C, EM ACO ZINCADO, PARA ESTRUTURA PAREDE DRYWALL, E = 0,5 MM, 70 X 3000 MM (L X C)</v>
          </cell>
          <cell r="H1077">
            <v>15.964788</v>
          </cell>
        </row>
        <row r="1078">
          <cell r="D1078" t="str">
            <v>MASSA DE REJUNTE EM PO PARA DRYWALL, A BASE DE GESSO, SECAGEM RAPIDA, PARA TRATAMENTO DE JUNTAS DE CHAPA DE GESSO (NECESSITA ADICAO DE AGUA)</v>
          </cell>
          <cell r="H1078">
            <v>3.7654540000000005</v>
          </cell>
        </row>
        <row r="1079">
          <cell r="D1079" t="str">
            <v>FITA DE PAPEL MICROPERFURADO, 50 X 150 MM, PARA TRATAMENTO DE JUNTAS DE CHAPA DE GESSO PARA DRYWALL</v>
          </cell>
          <cell r="H1079">
            <v>0.775837</v>
          </cell>
        </row>
        <row r="1080">
          <cell r="D1080" t="str">
            <v>FITA DE PAPEL REFORCADA COM LAMINA DE METAL PARA REFORCO DE CANTOS DE CHAPA DE GESSO PARA DRYWALL</v>
          </cell>
          <cell r="H1080">
            <v>4.0593100000000009</v>
          </cell>
        </row>
        <row r="1081">
          <cell r="D1081" t="str">
            <v>BANDA ACUSTICA</v>
          </cell>
          <cell r="H1081">
            <v>2.4000000000000004</v>
          </cell>
        </row>
        <row r="1082">
          <cell r="D1082" t="str">
            <v>Aplicação de zarcão nas guias inferiores</v>
          </cell>
          <cell r="H1082">
            <v>0.504</v>
          </cell>
        </row>
        <row r="1083">
          <cell r="D1083" t="str">
            <v>PARAFUSO DRY WALL, EM ACO FOSFATIZADO, CABECA TROMBETA E PONTA AGULHA (TA), COMPRIMENTO 25 MM</v>
          </cell>
          <cell r="H1083">
            <v>1.8168120000000001</v>
          </cell>
        </row>
        <row r="1084">
          <cell r="D1084" t="str">
            <v>PARAFUSO DRY WALL, EM ACO ZINCADO, CABECA LENTILHA E PONTA BROCA (LB), LARGURA 4,2 MM, COMPRIMENTO 13 MM</v>
          </cell>
          <cell r="H1084">
            <v>9.6060000000000006E-2</v>
          </cell>
        </row>
        <row r="1085">
          <cell r="D1085" t="str">
            <v>Parede Com Sistema Em Chapas De Gesso Para Drywall, Uso Interno, Montante 70mm  (HU / 70 / HU)</v>
          </cell>
          <cell r="H1085">
            <v>173.010919</v>
          </cell>
        </row>
        <row r="1086">
          <cell r="D1086" t="str">
            <v>PLACA / CHAPA DE GESSO ACARTONADO, RESISTENTE A UMIDADE (RU), COR VERDE, E = 12,5 MM, 1200 X 2400 MM (L X C)</v>
          </cell>
          <cell r="H1086">
            <v>57.072600000000001</v>
          </cell>
        </row>
        <row r="1087">
          <cell r="D1087" t="str">
            <v>PLACA / CHAPA DE GESSO ACARTONADO HARDBOARD (HB) E = 12,5 MM, 1200 X 1800 MM (L X C)</v>
          </cell>
          <cell r="H1087">
            <v>72.686250000000001</v>
          </cell>
        </row>
        <row r="1088">
          <cell r="D1088" t="str">
            <v>PINO DE ACO COM ARRUELA CONICA, DIAMETRO ARRUELA = *23* MM E COMP HASTE = *27* MM (ACAO INDIRETA)</v>
          </cell>
          <cell r="H1088">
            <v>2.4948000000000001</v>
          </cell>
        </row>
        <row r="1089">
          <cell r="D1089" t="str">
            <v>PERFIL GUIA, FORMATO U, EM ACO ZINCADO, PARA ESTRUTURA PAREDE DRYWALL, E = 0,5 MM, 70 X 3000 MM (L X C)</v>
          </cell>
          <cell r="H1089">
            <v>11.375007999999999</v>
          </cell>
        </row>
        <row r="1090">
          <cell r="D1090" t="str">
            <v>PERFIL MONTANTE, FORMATO C, EM ACO ZINCADO, PARA ESTRUTURA PAREDE DRYWALL, E = 0,5 MM, 70 X 3000 MM (L X C)</v>
          </cell>
          <cell r="H1090">
            <v>15.964788</v>
          </cell>
        </row>
        <row r="1091">
          <cell r="D1091" t="str">
            <v>MASSA DE REJUNTE EM PO PARA DRYWALL, A BASE DE GESSO, SECAGEM RAPIDA, PARA TRATAMENTO DE JUNTAS DE CHAPA DE GESSO (NECESSITA ADICAO DE AGUA)</v>
          </cell>
          <cell r="H1091">
            <v>3.7654540000000005</v>
          </cell>
        </row>
        <row r="1092">
          <cell r="D1092" t="str">
            <v>FITA DE PAPEL MICROPERFURADO, 50 X 150 MM, PARA TRATAMENTO DE JUNTAS DE CHAPA DE GESSO PARA DRYWALL</v>
          </cell>
          <cell r="H1092">
            <v>0.775837</v>
          </cell>
        </row>
        <row r="1093">
          <cell r="D1093" t="str">
            <v>FITA DE PAPEL REFORCADA COM LAMINA DE METAL PARA REFORCO DE CANTOS DE CHAPA DE GESSO PARA DRYWALL</v>
          </cell>
          <cell r="H1093">
            <v>4.0593100000000009</v>
          </cell>
        </row>
        <row r="1094">
          <cell r="D1094" t="str">
            <v>BANDA ACUSTICA</v>
          </cell>
          <cell r="H1094">
            <v>2.4000000000000004</v>
          </cell>
        </row>
        <row r="1095">
          <cell r="D1095" t="str">
            <v>Aplicação de zarcão nas guias inferiores</v>
          </cell>
          <cell r="H1095">
            <v>0.504</v>
          </cell>
        </row>
        <row r="1096">
          <cell r="D1096" t="str">
            <v>PARAFUSO DRY WALL, EM ACO FOSFATIZADO, CABECA TROMBETA E PONTA AGULHA (TA), COMPRIMENTO 25 MM</v>
          </cell>
          <cell r="H1096">
            <v>1.8168120000000001</v>
          </cell>
        </row>
        <row r="1097">
          <cell r="D1097" t="str">
            <v>PARAFUSO DRY WALL, EM ACO ZINCADO, CABECA LENTILHA E PONTA BROCA (LB), LARGURA 4,2 MM, COMPRIMENTO 13 MM</v>
          </cell>
          <cell r="H1097">
            <v>9.6060000000000006E-2</v>
          </cell>
        </row>
        <row r="1098">
          <cell r="D1098" t="str">
            <v>Parede Com Sistema Em Chapas De Gesso Para Drywall, Uso Interno, Montante 70mm  (HU / 70 / HS)</v>
          </cell>
          <cell r="H1098">
            <v>165.70309900000001</v>
          </cell>
        </row>
        <row r="1099">
          <cell r="D1099" t="str">
            <v>PLACA / CHAPA DE GESSO ACARTONADO, RESISTENTE A UMIDADE (RU), COR VERDE, E = 12,5 MM, 1200 X 2400 MM (L X C)</v>
          </cell>
          <cell r="H1099">
            <v>28.536300000000001</v>
          </cell>
        </row>
        <row r="1100">
          <cell r="D1100" t="str">
            <v>PLACA / CHAPA DE GESSO ACARTONADO, STANDARD (ST), COR BRANCA, E = 12,5 MM, 1200 X 2400 MM (L X C)</v>
          </cell>
          <cell r="H1100">
            <v>21.228479999999998</v>
          </cell>
        </row>
        <row r="1101">
          <cell r="D1101" t="str">
            <v>PLACA / CHAPA DE GESSO ACARTONADO HARDBOARD (HB) E = 12,5 MM, 1200 X 1800 MM (L X C)</v>
          </cell>
          <cell r="H1101">
            <v>72.686250000000001</v>
          </cell>
        </row>
        <row r="1102">
          <cell r="D1102" t="str">
            <v>PINO DE ACO COM ARRUELA CONICA, DIAMETRO ARRUELA = *23* MM E COMP HASTE = *27* MM (ACAO INDIRETA)</v>
          </cell>
          <cell r="H1102">
            <v>2.4948000000000001</v>
          </cell>
        </row>
        <row r="1103">
          <cell r="D1103" t="str">
            <v>PERFIL GUIA, FORMATO U, EM ACO ZINCADO, PARA ESTRUTURA PAREDE DRYWALL, E = 0,5 MM, 70 X 3000 MM (L X C)</v>
          </cell>
          <cell r="H1103">
            <v>11.375007999999999</v>
          </cell>
        </row>
        <row r="1104">
          <cell r="D1104" t="str">
            <v>PERFIL MONTANTE, FORMATO C, EM ACO ZINCADO, PARA ESTRUTURA PAREDE DRYWALL, E = 0,5 MM, 70 X 3000 MM (L X C)</v>
          </cell>
          <cell r="H1104">
            <v>15.964788</v>
          </cell>
        </row>
        <row r="1105">
          <cell r="D1105" t="str">
            <v>MASSA DE REJUNTE EM PO PARA DRYWALL, A BASE DE GESSO, SECAGEM RAPIDA, PARA TRATAMENTO DE JUNTAS DE CHAPA DE GESSO (NECESSITA ADICAO DE AGUA)</v>
          </cell>
          <cell r="H1105">
            <v>3.7654540000000005</v>
          </cell>
        </row>
        <row r="1106">
          <cell r="D1106" t="str">
            <v>FITA DE PAPEL MICROPERFURADO, 50 X 150 MM, PARA TRATAMENTO DE JUNTAS DE CHAPA DE GESSO PARA DRYWALL</v>
          </cell>
          <cell r="H1106">
            <v>0.775837</v>
          </cell>
        </row>
        <row r="1107">
          <cell r="D1107" t="str">
            <v>FITA DE PAPEL REFORCADA COM LAMINA DE METAL PARA REFORCO DE CANTOS DE CHAPA DE GESSO PARA DRYWALL</v>
          </cell>
          <cell r="H1107">
            <v>4.0593100000000009</v>
          </cell>
        </row>
        <row r="1108">
          <cell r="D1108" t="str">
            <v>BANDA ACUSTICA</v>
          </cell>
          <cell r="H1108">
            <v>2.4000000000000004</v>
          </cell>
        </row>
        <row r="1109">
          <cell r="D1109" t="str">
            <v>Aplicação de zarcão nas guias inferiores</v>
          </cell>
          <cell r="H1109">
            <v>0.504</v>
          </cell>
        </row>
        <row r="1110">
          <cell r="D1110" t="str">
            <v>PARAFUSO DRY WALL, EM ACO FOSFATIZADO, CABECA TROMBETA E PONTA AGULHA (TA), COMPRIMENTO 25 MM</v>
          </cell>
          <cell r="H1110">
            <v>1.8168120000000001</v>
          </cell>
        </row>
        <row r="1111">
          <cell r="D1111" t="str">
            <v>PARAFUSO DRY WALL, EM ACO ZINCADO, CABECA LENTILHA E PONTA BROCA (LB), LARGURA 4,2 MM, COMPRIMENTO 13 MM</v>
          </cell>
          <cell r="H1111">
            <v>9.6060000000000006E-2</v>
          </cell>
        </row>
        <row r="1112">
          <cell r="D1112" t="str">
            <v>Parede Com Sistema Em Chapas De Gesso Para Drywall, Uso Interno, Montante 70mm  (CIM/70/CIM/70/CIM)</v>
          </cell>
          <cell r="H1112">
            <v>172.95653075000004</v>
          </cell>
        </row>
        <row r="1113">
          <cell r="D1113" t="str">
            <v>PLACA CIMENTÍCIA(CT) PARA STEEL FRAME BRASILIT-ETERNIT 8MM X 1,20M X 2,40M</v>
          </cell>
          <cell r="H1113">
            <v>95.052993750000013</v>
          </cell>
        </row>
        <row r="1114">
          <cell r="D1114" t="str">
            <v>PINO DE ACO COM ARRUELA CONICA, DIAMETRO ARRUELA = *23* MM E COMP HASTE = *27* MM (ACAO INDIRETA)</v>
          </cell>
          <cell r="H1114">
            <v>4.9896000000000003</v>
          </cell>
        </row>
        <row r="1115">
          <cell r="D1115" t="str">
            <v>PERFIL GUIA, FORMATO U, EM ACO ZINCADO, PARA ESTRUTURA PAREDE DRYWALL, E = 0,5 MM, 70 X 3000 MM (L X C)</v>
          </cell>
          <cell r="H1115">
            <v>22.750015999999999</v>
          </cell>
        </row>
        <row r="1116">
          <cell r="D1116" t="str">
            <v>PERFIL MONTANTE, FORMATO C, EM ACO ZINCADO, PARA ESTRUTURA PAREDE DRYWALL, E = 0,5 MM, 70 X 3000 MM (L X C)</v>
          </cell>
          <cell r="H1116">
            <v>31.929576000000001</v>
          </cell>
        </row>
        <row r="1117">
          <cell r="D1117" t="str">
            <v>MASSA DE REJUNTE EM PO PARA DRYWALL, A BASE DE GESSO, SECAGEM RAPIDA, PARA TRATAMENTO DE JUNTAS DE CHAPA DE GESSO (NECESSITA ADICAO DE AGUA)</v>
          </cell>
          <cell r="H1117">
            <v>3.7654540000000005</v>
          </cell>
        </row>
        <row r="1118">
          <cell r="D1118" t="str">
            <v>FITA DE PAPEL MICROPERFURADO, 50 X 150 MM, PARA TRATAMENTO DE JUNTAS DE CHAPA DE GESSO PARA DRYWALL</v>
          </cell>
          <cell r="H1118">
            <v>0.775837</v>
          </cell>
        </row>
        <row r="1119">
          <cell r="D1119" t="str">
            <v>FITA DE PAPEL REFORCADA COM LAMINA DE METAL PARA REFORCO DE CANTOS DE CHAPA DE GESSO PARA DRYWALL</v>
          </cell>
          <cell r="H1119">
            <v>4.0593100000000009</v>
          </cell>
        </row>
        <row r="1120">
          <cell r="D1120" t="str">
            <v>BANDA ACUSTICA</v>
          </cell>
          <cell r="H1120">
            <v>4.8000000000000007</v>
          </cell>
        </row>
        <row r="1121">
          <cell r="D1121" t="str">
            <v>Aplicação de zarcão nas guias inferiores</v>
          </cell>
          <cell r="H1121">
            <v>1.008</v>
          </cell>
        </row>
        <row r="1122">
          <cell r="D1122" t="str">
            <v>PARAFUSO DRY WALL, EM ACO FOSFATIZADO, CABECA TROMBETA E PONTA AGULHA (TA), COMPRIMENTO 25 MM</v>
          </cell>
          <cell r="H1122">
            <v>3.6336240000000002</v>
          </cell>
        </row>
        <row r="1123">
          <cell r="D1123" t="str">
            <v>PARAFUSO DRY WALL, EM ACO ZINCADO, CABECA LENTILHA E PONTA BROCA (LB), LARGURA 4,2 MM, COMPRIMENTO 13 MM</v>
          </cell>
          <cell r="H1123">
            <v>0.19212000000000001</v>
          </cell>
        </row>
        <row r="1124">
          <cell r="D1124" t="str">
            <v>Parede Com Sistema Em Chapas De Gesso Para Drywall, Uso Interno, Montante 70mm  (HD/70/CIM/70/HU)</v>
          </cell>
          <cell r="H1124">
            <v>232.03889825000002</v>
          </cell>
        </row>
        <row r="1125">
          <cell r="D1125" t="str">
            <v>PLACA CIMENTÍCIA(CT) PARA STEEL FRAME BRASILIT-ETERNIT 8MM X 1,20M X 2,40M</v>
          </cell>
          <cell r="H1125">
            <v>31.684331250000003</v>
          </cell>
        </row>
        <row r="1126">
          <cell r="D1126" t="str">
            <v>PLACA / CHAPA DE GESSO ACARTONADO, STANDARD (ST), COR BRANCA, E = 12,5 MM, 1200 X 2400 MM (L X C)</v>
          </cell>
          <cell r="H1126">
            <v>21.228479999999998</v>
          </cell>
        </row>
        <row r="1127">
          <cell r="D1127" t="str">
            <v>PLACA / CHAPA DE GESSO ACARTONADO, RESISTENTE A UMIDADE (RU), COR VERDE, E = 12,5 MM, 1200 X 2400 MM (L X C)</v>
          </cell>
          <cell r="H1127">
            <v>28.536300000000001</v>
          </cell>
        </row>
        <row r="1128">
          <cell r="D1128" t="str">
            <v>PLACA / CHAPA DE GESSO ACARTONADO HARDBOARD (HB) E = 12,5 MM, 1200 X 1800 MM (L X C)</v>
          </cell>
          <cell r="H1128">
            <v>72.686250000000001</v>
          </cell>
        </row>
        <row r="1129">
          <cell r="D1129" t="str">
            <v>PINO DE ACO COM ARRUELA CONICA, DIAMETRO ARRUELA = *23* MM E COMP HASTE = *27* MM (ACAO INDIRETA)</v>
          </cell>
          <cell r="H1129">
            <v>4.9896000000000003</v>
          </cell>
        </row>
        <row r="1130">
          <cell r="D1130" t="str">
            <v>PERFIL GUIA, FORMATO U, EM ACO ZINCADO, PARA ESTRUTURA PAREDE DRYWALL, E = 0,5 MM, 70 X 3000 MM (L X C)</v>
          </cell>
          <cell r="H1130">
            <v>22.750015999999999</v>
          </cell>
        </row>
        <row r="1131">
          <cell r="D1131" t="str">
            <v>PERFIL MONTANTE, FORMATO C, EM ACO ZINCADO, PARA ESTRUTURA PAREDE DRYWALL, E = 0,5 MM, 70 X 3000 MM (L X C)</v>
          </cell>
          <cell r="H1131">
            <v>31.929576000000001</v>
          </cell>
        </row>
        <row r="1132">
          <cell r="D1132" t="str">
            <v>MASSA DE REJUNTE EM PO PARA DRYWALL, A BASE DE GESSO, SECAGEM RAPIDA, PARA TRATAMENTO DE JUNTAS DE CHAPA DE GESSO (NECESSITA ADICAO DE AGUA)</v>
          </cell>
          <cell r="H1132">
            <v>3.7654540000000005</v>
          </cell>
        </row>
        <row r="1133">
          <cell r="D1133" t="str">
            <v>FITA DE PAPEL MICROPERFURADO, 50 X 150 MM, PARA TRATAMENTO DE JUNTAS DE CHAPA DE GESSO PARA DRYWALL</v>
          </cell>
          <cell r="H1133">
            <v>0.775837</v>
          </cell>
        </row>
        <row r="1134">
          <cell r="D1134" t="str">
            <v>FITA DE PAPEL REFORCADA COM LAMINA DE METAL PARA REFORCO DE CANTOS DE CHAPA DE GESSO PARA DRYWALL</v>
          </cell>
          <cell r="H1134">
            <v>4.0593100000000009</v>
          </cell>
        </row>
        <row r="1135">
          <cell r="D1135" t="str">
            <v>BANDA ACUSTICA</v>
          </cell>
          <cell r="H1135">
            <v>4.8000000000000007</v>
          </cell>
        </row>
        <row r="1136">
          <cell r="D1136" t="str">
            <v>Aplicação de zarcão nas guias inferiores</v>
          </cell>
          <cell r="H1136">
            <v>1.008</v>
          </cell>
        </row>
        <row r="1137">
          <cell r="D1137" t="str">
            <v>PARAFUSO DRY WALL, EM ACO FOSFATIZADO, CABECA TROMBETA E PONTA AGULHA (TA), COMPRIMENTO 25 MM</v>
          </cell>
          <cell r="H1137">
            <v>3.6336240000000002</v>
          </cell>
        </row>
        <row r="1138">
          <cell r="D1138" t="str">
            <v>PARAFUSO DRY WALL, EM ACO ZINCADO, CABECA LENTILHA E PONTA BROCA (LB), LARGURA 4,2 MM, COMPRIMENTO 13 MM</v>
          </cell>
          <cell r="H1138">
            <v>0.19212000000000001</v>
          </cell>
        </row>
        <row r="1139">
          <cell r="D1139" t="str">
            <v>Parede Com Sistema Em Chapas De Gesso Para Drywall, Uso Interno, Montante 70mm  (70/CIM/70/HU)</v>
          </cell>
          <cell r="H1139">
            <v>138.48250899999999</v>
          </cell>
        </row>
        <row r="1140">
          <cell r="D1140" t="str">
            <v>PLACA CIMENTÍCIA(CT) PARA STEEL FRAME BRASILIT-ETERNIT 8MM X 1,20M X 2,40M</v>
          </cell>
          <cell r="H1140">
            <v>31.684331250000003</v>
          </cell>
        </row>
        <row r="1141">
          <cell r="D1141" t="str">
            <v>PLACA / CHAPA DE GESSO ACARTONADO, RESISTENTE A UMIDADE (RU), COR VERDE, E = 12,5 MM, 1200 X 2400 MM (L X C)</v>
          </cell>
          <cell r="H1141">
            <v>28.536300000000001</v>
          </cell>
        </row>
        <row r="1142">
          <cell r="D1142" t="str">
            <v>PLACA / CHAPA DE GESSO ACARTONADO HARDBOARD (HB) E = 12,5 MM, 1200 X 1800 MM (L X C)</v>
          </cell>
          <cell r="H1142">
            <v>36.343125000000001</v>
          </cell>
        </row>
        <row r="1143">
          <cell r="D1143" t="str">
            <v>PINO DE ACO COM ARRUELA CONICA, DIAMETRO ARRUELA = *23* MM E COMP HASTE = *27* MM (ACAO INDIRETA)</v>
          </cell>
          <cell r="H1143">
            <v>4.9896000000000003</v>
          </cell>
        </row>
        <row r="1144">
          <cell r="D1144" t="str">
            <v>PERFIL GUIA, FORMATO U, EM ACO ZINCADO, PARA ESTRUTURA PAREDE DRYWALL, E = 0,5 MM, 70 X 3000 MM (L X C)</v>
          </cell>
          <cell r="H1144">
            <v>22.750015999999999</v>
          </cell>
        </row>
        <row r="1145">
          <cell r="D1145" t="str">
            <v>PERFIL MONTANTE, FORMATO C, EM ACO ZINCADO, PARA ESTRUTURA PAREDE DRYWALL, E = 0,5 MM, 70 X 3000 MM (L X C)</v>
          </cell>
          <cell r="H1145">
            <v>31.929576000000001</v>
          </cell>
        </row>
        <row r="1146">
          <cell r="D1146" t="str">
            <v>MASSA DE REJUNTE EM PO PARA DRYWALL, A BASE DE GESSO, SECAGEM RAPIDA, PARA TRATAMENTO DE JUNTAS DE CHAPA DE GESSO (NECESSITA ADICAO DE AGUA)</v>
          </cell>
          <cell r="H1146">
            <v>1.8827270000000003</v>
          </cell>
        </row>
        <row r="1147">
          <cell r="D1147" t="str">
            <v>FITA DE PAPEL MICROPERFURADO, 50 X 150 MM, PARA TRATAMENTO DE JUNTAS DE CHAPA DE GESSO PARA DRYWALL</v>
          </cell>
          <cell r="H1147">
            <v>0.387903</v>
          </cell>
        </row>
        <row r="1148">
          <cell r="D1148" t="str">
            <v>FITA DE PAPEL REFORCADA COM LAMINA DE METAL PARA REFORCO DE CANTOS DE CHAPA DE GESSO PARA DRYWALL</v>
          </cell>
          <cell r="H1148">
            <v>2.0295180000000004</v>
          </cell>
        </row>
        <row r="1149">
          <cell r="D1149" t="str">
            <v>BANDA ACUSTICA</v>
          </cell>
          <cell r="H1149">
            <v>4.8000000000000007</v>
          </cell>
        </row>
        <row r="1150">
          <cell r="D1150" t="str">
            <v>Aplicação de zarcão nas guias inferiores</v>
          </cell>
          <cell r="H1150">
            <v>1.008</v>
          </cell>
        </row>
        <row r="1151">
          <cell r="D1151" t="str">
            <v>PARAFUSO DRY WALL, EM ACO FOSFATIZADO, CABECA TROMBETA E PONTA AGULHA (TA), COMPRIMENTO 25 MM</v>
          </cell>
          <cell r="H1151">
            <v>3.6336240000000002</v>
          </cell>
        </row>
        <row r="1152">
          <cell r="D1152" t="str">
            <v>PARAFUSO DRY WALL, EM ACO ZINCADO, CABECA LENTILHA E PONTA BROCA (LB), LARGURA 4,2 MM, COMPRIMENTO 13 MM</v>
          </cell>
          <cell r="H1152">
            <v>0.19212000000000001</v>
          </cell>
        </row>
        <row r="1153">
          <cell r="D1153" t="str">
            <v>Parede Com Sistema Em Chapas De Gesso Para Drywall, Uso Interno, Montante 70mm  (70/HD+HU+CIM)</v>
          </cell>
          <cell r="H1153">
            <v>159.23865224999997</v>
          </cell>
        </row>
        <row r="1154">
          <cell r="D1154" t="str">
            <v>PLACA CIMENTÍCIA(CT) PARA STEEL FRAME BRASILIT-ETERNIT 8MM X 1,20M X 2,40M</v>
          </cell>
          <cell r="H1154">
            <v>31.684331250000003</v>
          </cell>
        </row>
        <row r="1155">
          <cell r="D1155" t="str">
            <v>PLACA / CHAPA DE GESSO ACARTONADO, STANDARD (ST), COR BRANCA, E = 12,5 MM, 1200 X 2400 MM (L X C)</v>
          </cell>
          <cell r="H1155">
            <v>21.228479999999998</v>
          </cell>
        </row>
        <row r="1156">
          <cell r="D1156" t="str">
            <v>PLACA / CHAPA DE GESSO ACARTONADO, RESISTENTE A UMIDADE (RU), COR VERDE, E = 12,5 MM, 1200 X 2400 MM (L X C)</v>
          </cell>
          <cell r="H1156">
            <v>28.536300000000001</v>
          </cell>
        </row>
        <row r="1157">
          <cell r="D1157" t="str">
            <v>PLACA / CHAPA DE GESSO ACARTONADO HARDBOARD (HB) E = 12,5 MM, 1200 X 1800 MM (L X C)</v>
          </cell>
          <cell r="H1157">
            <v>36.343125000000001</v>
          </cell>
        </row>
        <row r="1158">
          <cell r="D1158" t="str">
            <v>PINO DE ACO COM ARRUELA CONICA, DIAMETRO ARRUELA = *23* MM E COMP HASTE = *27* MM (ACAO INDIRETA)</v>
          </cell>
          <cell r="H1158">
            <v>4.9896000000000003</v>
          </cell>
        </row>
        <row r="1159">
          <cell r="D1159" t="str">
            <v>PERFIL GUIA, FORMATO U, EM ACO ZINCADO, PARA ESTRUTURA PAREDE DRYWALL, E = 0,5 MM, 70 X 3000 MM (L X C)</v>
          </cell>
          <cell r="H1159">
            <v>11.375007999999999</v>
          </cell>
        </row>
        <row r="1160">
          <cell r="D1160" t="str">
            <v>PERFIL MONTANTE, FORMATO C, EM ACO ZINCADO, PARA ESTRUTURA PAREDE DRYWALL, E = 0,5 MM, 70 X 3000 MM (L X C)</v>
          </cell>
          <cell r="H1160">
            <v>15.964788</v>
          </cell>
        </row>
        <row r="1161">
          <cell r="D1161" t="str">
            <v>MASSA DE REJUNTE EM PO PARA DRYWALL, A BASE DE GESSO, SECAGEM RAPIDA, PARA TRATAMENTO DE JUNTAS DE CHAPA DE GESSO (NECESSITA ADICAO DE AGUA)</v>
          </cell>
          <cell r="H1161">
            <v>1.8827270000000003</v>
          </cell>
        </row>
        <row r="1162">
          <cell r="D1162" t="str">
            <v>FITA DE PAPEL MICROPERFURADO, 50 X 150 MM, PARA TRATAMENTO DE JUNTAS DE CHAPA DE GESSO PARA DRYWALL</v>
          </cell>
          <cell r="H1162">
            <v>0.387903</v>
          </cell>
        </row>
        <row r="1163">
          <cell r="D1163" t="str">
            <v>FITA DE PAPEL REFORCADA COM LAMINA DE METAL PARA REFORCO DE CANTOS DE CHAPA DE GESSO PARA DRYWALL</v>
          </cell>
          <cell r="H1163">
            <v>2.0295180000000004</v>
          </cell>
        </row>
        <row r="1164">
          <cell r="D1164" t="str">
            <v>BANDA ACUSTICA</v>
          </cell>
          <cell r="H1164">
            <v>2.4000000000000004</v>
          </cell>
        </row>
        <row r="1165">
          <cell r="D1165" t="str">
            <v>Aplicação de zarcão nas guias inferiores</v>
          </cell>
          <cell r="H1165">
            <v>0.504</v>
          </cell>
        </row>
        <row r="1166">
          <cell r="D1166" t="str">
            <v>PARAFUSO DRY WALL, EM ACO FOSFATIZADO, CABECA TROMBETA E PONTA AGULHA (TA), COMPRIMENTO 25 MM</v>
          </cell>
          <cell r="H1166">
            <v>1.8168120000000001</v>
          </cell>
        </row>
        <row r="1167">
          <cell r="D1167" t="str">
            <v>PARAFUSO DRY WALL, EM ACO ZINCADO, CABECA LENTILHA E PONTA BROCA (LB), LARGURA 4,2 MM, COMPRIMENTO 13 MM</v>
          </cell>
          <cell r="H1167">
            <v>9.6060000000000006E-2</v>
          </cell>
        </row>
        <row r="1168">
          <cell r="D1168" t="str">
            <v>DRYWALL</v>
          </cell>
          <cell r="H1168">
            <v>0</v>
          </cell>
        </row>
        <row r="1169">
          <cell r="D1169" t="str">
            <v>Estrutura e fechamento em drywall Parede Drywall montande 48</v>
          </cell>
          <cell r="H1169">
            <v>377.8363900815155</v>
          </cell>
        </row>
        <row r="1170">
          <cell r="D1170" t="str">
            <v xml:space="preserve">Estrutura e fechamento em drywall Parede Drywall </v>
          </cell>
          <cell r="H1170">
            <v>377.8363900815155</v>
          </cell>
        </row>
        <row r="1171">
          <cell r="D1171" t="str">
            <v>Estrutura e fechamento em drywall Parede Drywall montande 90</v>
          </cell>
          <cell r="H1171">
            <v>377.8363900815155</v>
          </cell>
        </row>
        <row r="1172">
          <cell r="D1172" t="str">
            <v xml:space="preserve">Estrutura e fechamento em drywall Parede Drywall </v>
          </cell>
          <cell r="H1172">
            <v>377.8363900815155</v>
          </cell>
        </row>
        <row r="1173">
          <cell r="D1173" t="str">
            <v>Reforços Para Paredes em Drywall</v>
          </cell>
          <cell r="H1173">
            <v>58.988734923708691</v>
          </cell>
        </row>
        <row r="1174">
          <cell r="D1174" t="str">
            <v>Reforços Para Paredes em Drywall</v>
          </cell>
          <cell r="H1174">
            <v>58.988734923708691</v>
          </cell>
        </row>
        <row r="1175">
          <cell r="D1175" t="str">
            <v>Parede Com Sistema Em Chapas De Gesso Para Drywall, Uso Interno, Montante 48mm, Com Uma Face Simples Standart (ST/48)</v>
          </cell>
          <cell r="H1175">
            <v>357.3224219999999</v>
          </cell>
        </row>
        <row r="1176">
          <cell r="D1176" t="str">
            <v>SERVICO - CONFECCAO SHAFT GESSO</v>
          </cell>
          <cell r="H1176">
            <v>70</v>
          </cell>
        </row>
        <row r="1177">
          <cell r="D1177" t="str">
            <v>PLACA / CHAPA DE GESSO ACARTONADO, STANDARD (ST), COR BRANCA, E = 12,5 MM, 1200 X 2400 MM (L X C)</v>
          </cell>
          <cell r="H1177">
            <v>21.228479999999998</v>
          </cell>
        </row>
        <row r="1178">
          <cell r="D1178" t="str">
            <v>PINO DE ACO COM ARRUELA CONICA, DIAMETRO ARRUELA = *23* MM E COMP HASTE = *27* MM (ACAO INDIRETA)</v>
          </cell>
          <cell r="H1178">
            <v>1.2499199999999999</v>
          </cell>
        </row>
        <row r="1179">
          <cell r="D1179" t="str">
            <v>PERFIL GUIA, FORMATO U, EM ACO ZINCADO, PARA ESTRUTURA PAREDE DRYWALL, E = 0,5 MM, 48 X 3000 MM (L X C)</v>
          </cell>
          <cell r="H1179">
            <v>5.3596719999999998</v>
          </cell>
        </row>
        <row r="1180">
          <cell r="D1180" t="str">
            <v>PERFIL MONTANTE, FORMATO C, EM ACO ZINCADO, PARA ESTRUTURA PAREDE DRYWALL, E = 0,5 MM, 48 X 3000 MM (L X C)</v>
          </cell>
          <cell r="H1180">
            <v>15.964788</v>
          </cell>
        </row>
        <row r="1181">
          <cell r="D1181" t="str">
            <v>MASSA DE REJUNTE EM PO PARA DRYWALL, A BASE DE GESSO, SECAGEM RAPIDA, PARA TRATAMENTO DE JUNTAS DE CHAPA DE GESSO (NECESSITA ADICAO DE AGUA)</v>
          </cell>
          <cell r="H1181">
            <v>1.8827270000000003</v>
          </cell>
        </row>
        <row r="1182">
          <cell r="D1182" t="str">
            <v>FITA DE PAPEL MICROPERFURADO, 50 X 150 MM, PARA TRATAMENTO DE JUNTAS DE CHAPA DE GESSO PARA DRYWALL</v>
          </cell>
          <cell r="H1182">
            <v>0.387903</v>
          </cell>
        </row>
        <row r="1183">
          <cell r="D1183" t="str">
            <v>FITA DE PAPEL REFORCADA COM LAMINA DE METAL PARA REFORCO DE CANTOS DE CHAPA DE GESSO PARA DRYWALL</v>
          </cell>
          <cell r="H1183">
            <v>2.0295180000000004</v>
          </cell>
        </row>
        <row r="1184">
          <cell r="D1184" t="str">
            <v>PARAFUSO DRY WALL, EM ACO FOSFATIZADO, CABECA TROMBETA E PONTA AGULHA (TA), COMPRIMENTO 25 MM</v>
          </cell>
          <cell r="H1184">
            <v>0.90840600000000005</v>
          </cell>
        </row>
        <row r="1185">
          <cell r="D1185" t="str">
            <v>PARAFUSO DRY WALL, EM ACO ZINCADO, CABECA LENTILHA E PONTA BROCA (LB), LARGURA 4,2 MM, COMPRIMENTO 13 MM</v>
          </cell>
          <cell r="H1185">
            <v>9.6060000000000006E-2</v>
          </cell>
        </row>
        <row r="1186">
          <cell r="D1186" t="str">
            <v>Parede Com Sistema Em Chapas De Gesso Para Drywall, Uso Interno, Montante 48mm, Com Duas Face Simples Standart e isolamento com Lâ de Vidro (ST/48/ST)</v>
          </cell>
          <cell r="H1186">
            <v>199.68661633333335</v>
          </cell>
        </row>
        <row r="1187">
          <cell r="D1187" t="str">
            <v>SERVICO - CONFECCAO SHAFT GESSO</v>
          </cell>
          <cell r="H1187">
            <v>70</v>
          </cell>
        </row>
        <row r="1188">
          <cell r="D1188" t="str">
            <v>PLACA / CHAPA DE GESSO ACARTONADO, STANDARD (ST), COR BRANCA, E = 12,5 MM, 1200 X 2400 MM (L X C)</v>
          </cell>
          <cell r="H1188">
            <v>42.456959999999995</v>
          </cell>
        </row>
        <row r="1189">
          <cell r="D1189" t="str">
            <v>PINO DE ACO COM ARRUELA CONICA, DIAMETRO ARRUELA = *23* MM E COMP HASTE = *27* MM (ACAO INDIRETA)</v>
          </cell>
          <cell r="H1189">
            <v>2.9836800000000001</v>
          </cell>
        </row>
        <row r="1190">
          <cell r="D1190" t="str">
            <v>PERFIL GUIA, FORMATO U, EM ACO ZINCADO, PARA ESTRUTURA PAREDE DRYWALL, E = 0,5 MM, 48 X 3000 MM (L X C)</v>
          </cell>
          <cell r="H1190">
            <v>12.818502000000001</v>
          </cell>
        </row>
        <row r="1191">
          <cell r="D1191" t="str">
            <v>PERFIL MONTANTE, FORMATO C, EM ACO ZINCADO, PARA ESTRUTURA PAREDE DRYWALL, E = 0,5 MM, 48 X 3000 MM (L X C)</v>
          </cell>
          <cell r="H1191">
            <v>46.505844000000003</v>
          </cell>
        </row>
        <row r="1192">
          <cell r="D1192" t="str">
            <v>MASSA DE REJUNTE EM PO PARA DRYWALL, A BASE DE GESSO, SECAGEM RAPIDA, PARA TRATAMENTO DE JUNTAS DE CHAPA DE GESSO (NECESSITA ADICAO DE AGUA)</v>
          </cell>
          <cell r="H1192">
            <v>3.7654540000000005</v>
          </cell>
        </row>
        <row r="1193">
          <cell r="D1193" t="str">
            <v>FITA DE PAPEL MICROPERFURADO, 50 X 150 MM, PARA TRATAMENTO DE JUNTAS DE CHAPA DE GESSO PARA DRYWALL</v>
          </cell>
          <cell r="H1193">
            <v>0.775837</v>
          </cell>
        </row>
        <row r="1194">
          <cell r="D1194" t="str">
            <v>FITA DE PAPEL REFORCADA COM LAMINA DE METAL PARA REFORCO DE CANTOS DE CHAPA DE GESSO PARA DRYWALL</v>
          </cell>
          <cell r="H1194">
            <v>4.3431740000000003</v>
          </cell>
        </row>
        <row r="1195">
          <cell r="D1195" t="str">
            <v>PARAFUSO DRY WALL, EM ACO FOSFATIZADO, CABECA TROMBETA E PONTA AGULHA (TA), COMPRIMENTO 25 MM</v>
          </cell>
          <cell r="H1195">
            <v>1.8168120000000001</v>
          </cell>
        </row>
        <row r="1196">
          <cell r="D1196" t="str">
            <v>PARAFUSO DRY WALL, EM ACO ZINCADO, CABECA LENTILHA E PONTA BROCA (LB), LARGURA 4,2 MM, COMPRIMENTO 13 MM</v>
          </cell>
          <cell r="H1196">
            <v>0.10882000000000001</v>
          </cell>
        </row>
        <row r="1197">
          <cell r="D1197" t="str">
            <v>LÂ DE VIDRO PARA ISOLAMENTO 50mm</v>
          </cell>
          <cell r="H1197">
            <v>14.111533333333334</v>
          </cell>
        </row>
        <row r="1198">
          <cell r="D1198" t="str">
            <v>Parede Com Sistema Em Chapas De Gesso Para Drywall, Uso Interno, Montante 48mm, Com Uma Face Simples Standart (ST/48)</v>
          </cell>
          <cell r="H1198">
            <v>119.10747399999998</v>
          </cell>
        </row>
        <row r="1199">
          <cell r="D1199" t="str">
            <v>SERVICO - CONFECCAO SHAFT GESSO</v>
          </cell>
          <cell r="H1199">
            <v>70</v>
          </cell>
        </row>
        <row r="1200">
          <cell r="D1200" t="str">
            <v>PLACA / CHAPA DE GESSO ACARTONADO, STANDARD (ST), COR BRANCA, E = 12,5 MM, 1200 X 2400 MM (L X C)</v>
          </cell>
          <cell r="H1200">
            <v>21.228479999999998</v>
          </cell>
        </row>
        <row r="1201">
          <cell r="D1201" t="str">
            <v>PINO DE ACO COM ARRUELA CONICA, DIAMETRO ARRUELA = *23* MM E COMP HASTE = *27* MM (ACAO INDIRETA)</v>
          </cell>
          <cell r="H1201">
            <v>1.2499199999999999</v>
          </cell>
        </row>
        <row r="1202">
          <cell r="D1202" t="str">
            <v>PERFIL GUIA, FORMATO U, EM ACO ZINCADO, PARA ESTRUTURA PAREDE DRYWALL, E = 0,5 MM, 48 X 3000 MM (L X C)</v>
          </cell>
          <cell r="H1202">
            <v>5.3596719999999998</v>
          </cell>
        </row>
        <row r="1203">
          <cell r="D1203" t="str">
            <v>PERFIL MONTANTE, FORMATO C, EM ACO ZINCADO, PARA ESTRUTURA PAREDE DRYWALL, E = 0,5 MM, 48 X 3000 MM (L X C)</v>
          </cell>
          <cell r="H1203">
            <v>15.964788</v>
          </cell>
        </row>
        <row r="1204">
          <cell r="D1204" t="str">
            <v>MASSA DE REJUNTE EM PO PARA DRYWALL, A BASE DE GESSO, SECAGEM RAPIDA, PARA TRATAMENTO DE JUNTAS DE CHAPA DE GESSO (NECESSITA ADICAO DE AGUA)</v>
          </cell>
          <cell r="H1204">
            <v>1.8827270000000003</v>
          </cell>
        </row>
        <row r="1205">
          <cell r="D1205" t="str">
            <v>FITA DE PAPEL MICROPERFURADO, 50 X 150 MM, PARA TRATAMENTO DE JUNTAS DE CHAPA DE GESSO PARA DRYWALL</v>
          </cell>
          <cell r="H1205">
            <v>0.387903</v>
          </cell>
        </row>
        <row r="1206">
          <cell r="D1206" t="str">
            <v>FITA DE PAPEL REFORCADA COM LAMINA DE METAL PARA REFORCO DE CANTOS DE CHAPA DE GESSO PARA DRYWALL</v>
          </cell>
          <cell r="H1206">
            <v>2.0295180000000004</v>
          </cell>
        </row>
        <row r="1207">
          <cell r="D1207" t="str">
            <v>PARAFUSO DRY WALL, EM ACO FOSFATIZADO, CABECA TROMBETA E PONTA AGULHA (TA), COMPRIMENTO 25 MM</v>
          </cell>
          <cell r="H1207">
            <v>0.90840600000000005</v>
          </cell>
        </row>
        <row r="1208">
          <cell r="D1208" t="str">
            <v>PARAFUSO DRY WALL, EM ACO ZINCADO, CABECA LENTILHA E PONTA BROCA (LB), LARGURA 4,2 MM, COMPRIMENTO 13 MM</v>
          </cell>
          <cell r="H1208">
            <v>9.6060000000000006E-2</v>
          </cell>
        </row>
        <row r="1209">
          <cell r="D1209" t="str">
            <v>Parede Com Sistema Em Chapas De Gesso Para Drywall, Uso Interno, Montante 48mm, Com Uma Face Resistente a Umidade (RU/48)</v>
          </cell>
          <cell r="H1209">
            <v>126.41529399999999</v>
          </cell>
        </row>
        <row r="1210">
          <cell r="D1210" t="str">
            <v>SERVICO - CONFECCAO SHAFT GESSO</v>
          </cell>
          <cell r="H1210">
            <v>70</v>
          </cell>
        </row>
        <row r="1211">
          <cell r="D1211" t="str">
            <v>PLACA / CHAPA DE GESSO ACARTONADO, RESISTENTE A UMIDADE (RU), COR VERDE, E = 12,5 MM, 1200 X 2400 MM (L X C)</v>
          </cell>
          <cell r="H1211">
            <v>28.536300000000001</v>
          </cell>
        </row>
        <row r="1212">
          <cell r="D1212" t="str">
            <v>PINO DE ACO COM ARRUELA CONICA, DIAMETRO ARRUELA = *23* MM E COMP HASTE = *27* MM (ACAO INDIRETA)</v>
          </cell>
          <cell r="H1212">
            <v>1.2499199999999999</v>
          </cell>
        </row>
        <row r="1213">
          <cell r="D1213" t="str">
            <v>PERFIL GUIA, FORMATO U, EM ACO ZINCADO, PARA ESTRUTURA PAREDE DRYWALL, E = 0,5 MM, 48 X 3000 MM (L X C)</v>
          </cell>
          <cell r="H1213">
            <v>5.3596719999999998</v>
          </cell>
        </row>
        <row r="1214">
          <cell r="D1214" t="str">
            <v>PERFIL MONTANTE, FORMATO C, EM ACO ZINCADO, PARA ESTRUTURA PAREDE DRYWALL, E = 0,5 MM, 48 X 3000 MM (L X C)</v>
          </cell>
          <cell r="H1214">
            <v>15.964788</v>
          </cell>
        </row>
        <row r="1215">
          <cell r="D1215" t="str">
            <v>MASSA DE REJUNTE EM PO PARA DRYWALL, A BASE DE GESSO, SECAGEM RAPIDA, PARA TRATAMENTO DE JUNTAS DE CHAPA DE GESSO (NECESSITA ADICAO DE AGUA)</v>
          </cell>
          <cell r="H1215">
            <v>1.8827270000000003</v>
          </cell>
        </row>
        <row r="1216">
          <cell r="D1216" t="str">
            <v>FITA DE PAPEL MICROPERFURADO, 50 X 150 MM, PARA TRATAMENTO DE JUNTAS DE CHAPA DE GESSO PARA DRYWALL</v>
          </cell>
          <cell r="H1216">
            <v>0.387903</v>
          </cell>
        </row>
        <row r="1217">
          <cell r="D1217" t="str">
            <v>FITA DE PAPEL REFORCADA COM LAMINA DE METAL PARA REFORCO DE CANTOS DE CHAPA DE GESSO PARA DRYWALL</v>
          </cell>
          <cell r="H1217">
            <v>2.0295180000000004</v>
          </cell>
        </row>
        <row r="1218">
          <cell r="D1218" t="str">
            <v>PARAFUSO DRY WALL, EM ACO FOSFATIZADO, CABECA TROMBETA E PONTA AGULHA (TA), COMPRIMENTO 25 MM</v>
          </cell>
          <cell r="H1218">
            <v>0.90840600000000005</v>
          </cell>
        </row>
        <row r="1219">
          <cell r="D1219" t="str">
            <v>PARAFUSO DRY WALL, EM ACO ZINCADO, CABECA LENTILHA E PONTA BROCA (LB), LARGURA 4,2 MM, COMPRIMENTO 13 MM</v>
          </cell>
          <cell r="H1219">
            <v>9.6060000000000006E-2</v>
          </cell>
        </row>
        <row r="1220">
          <cell r="D1220" t="str">
            <v>Parede Com Sistema Em Chapas De Gesso Para Drywall, Uso Interno, Montante 48mm, Com Duas Face Simples Standart(ST/48/ST)</v>
          </cell>
          <cell r="H1220">
            <v>168.11335499999998</v>
          </cell>
        </row>
        <row r="1221">
          <cell r="D1221" t="str">
            <v>SERVICO - CONFECCAO SHAFT GESSO</v>
          </cell>
          <cell r="H1221">
            <v>70</v>
          </cell>
        </row>
        <row r="1222">
          <cell r="D1222" t="str">
            <v>PLACA / CHAPA DE GESSO ACARTONADO, STANDARD (ST), COR BRANCA, E = 12,5 MM, 1200 X 2400 MM (L X C)</v>
          </cell>
          <cell r="H1222">
            <v>42.456959999999995</v>
          </cell>
        </row>
        <row r="1223">
          <cell r="D1223" t="str">
            <v>PINO DE ACO COM ARRUELA CONICA, DIAMETRO ARRUELA = *23* MM E COMP HASTE = *27* MM (ACAO INDIRETA)</v>
          </cell>
          <cell r="H1223">
            <v>2.4948000000000001</v>
          </cell>
        </row>
        <row r="1224">
          <cell r="D1224" t="str">
            <v>PERFIL GUIA, FORMATO U, EM ACO ZINCADO, PARA ESTRUTURA PAREDE DRYWALL, E = 0,5 MM, 48 X 3000 MM (L X C)</v>
          </cell>
          <cell r="H1224">
            <v>10.719344</v>
          </cell>
        </row>
        <row r="1225">
          <cell r="D1225" t="str">
            <v>PERFIL MONTANTE, FORMATO C, EM ACO ZINCADO, PARA ESTRUTURA PAREDE DRYWALL, E = 0,5 MM, 48 X 3000 MM (L X C)</v>
          </cell>
          <cell r="H1225">
            <v>31.928778000000001</v>
          </cell>
        </row>
        <row r="1226">
          <cell r="D1226" t="str">
            <v>MASSA DE REJUNTE EM PO PARA DRYWALL, A BASE DE GESSO, SECAGEM RAPIDA, PARA TRATAMENTO DE JUNTAS DE CHAPA DE GESSO (NECESSITA ADICAO DE AGUA)</v>
          </cell>
          <cell r="H1226">
            <v>3.7654540000000005</v>
          </cell>
        </row>
        <row r="1227">
          <cell r="D1227" t="str">
            <v>FITA DE PAPEL MICROPERFURADO, 50 X 150 MM, PARA TRATAMENTO DE JUNTAS DE CHAPA DE GESSO PARA DRYWALL</v>
          </cell>
          <cell r="H1227">
            <v>0.775837</v>
          </cell>
        </row>
        <row r="1228">
          <cell r="D1228" t="str">
            <v>FITA DE PAPEL REFORCADA COM LAMINA DE METAL PARA REFORCO DE CANTOS DE CHAPA DE GESSO PARA DRYWALL</v>
          </cell>
          <cell r="H1228">
            <v>4.0593100000000009</v>
          </cell>
        </row>
        <row r="1229">
          <cell r="D1229" t="str">
            <v>PARAFUSO DRY WALL, EM ACO FOSFATIZADO, CABECA TROMBETA E PONTA AGULHA (TA), COMPRIMENTO 25 MM</v>
          </cell>
          <cell r="H1229">
            <v>1.8168120000000001</v>
          </cell>
        </row>
        <row r="1230">
          <cell r="D1230" t="str">
            <v>PARAFUSO DRY WALL, EM ACO ZINCADO, CABECA LENTILHA E PONTA BROCA (LB), LARGURA 4,2 MM, COMPRIMENTO 13 MM</v>
          </cell>
          <cell r="H1230">
            <v>9.6060000000000006E-2</v>
          </cell>
        </row>
        <row r="1231">
          <cell r="D1231" t="str">
            <v>Parede Com Sistema Em Chapas De Gesso Para Drywall, Uso Interno, Montante 48mm, Com Duas Face Resistente a Umidade(RU/48/RU)</v>
          </cell>
          <cell r="H1231">
            <v>182.728995</v>
          </cell>
        </row>
        <row r="1232">
          <cell r="D1232" t="str">
            <v>SERVICO - CONFECCAO SHAFT GESSO</v>
          </cell>
          <cell r="H1232">
            <v>70</v>
          </cell>
        </row>
        <row r="1233">
          <cell r="D1233" t="str">
            <v>PLACA / CHAPA DE GESSO ACARTONADO, RESISTENTE A UMIDADE (RU), COR VERDE, E = 12,5 MM, 1200 X 2400 MM (L X C)</v>
          </cell>
          <cell r="H1233">
            <v>57.072600000000001</v>
          </cell>
        </row>
        <row r="1234">
          <cell r="D1234" t="str">
            <v>PINO DE ACO COM ARRUELA CONICA, DIAMETRO ARRUELA = *23* MM E COMP HASTE = *27* MM (ACAO INDIRETA)</v>
          </cell>
          <cell r="H1234">
            <v>2.4948000000000001</v>
          </cell>
        </row>
        <row r="1235">
          <cell r="D1235" t="str">
            <v>PERFIL GUIA, FORMATO U, EM ACO ZINCADO, PARA ESTRUTURA PAREDE DRYWALL, E = 0,5 MM, 48 X 3000 MM (L X C)</v>
          </cell>
          <cell r="H1235">
            <v>10.719344</v>
          </cell>
        </row>
        <row r="1236">
          <cell r="D1236" t="str">
            <v>PERFIL MONTANTE, FORMATO C, EM ACO ZINCADO, PARA ESTRUTURA PAREDE DRYWALL, E = 0,5 MM, 48 X 3000 MM (L X C)</v>
          </cell>
          <cell r="H1236">
            <v>31.928778000000001</v>
          </cell>
        </row>
        <row r="1237">
          <cell r="D1237" t="str">
            <v>MASSA DE REJUNTE EM PO PARA DRYWALL, A BASE DE GESSO, SECAGEM RAPIDA, PARA TRATAMENTO DE JUNTAS DE CHAPA DE GESSO (NECESSITA ADICAO DE AGUA)</v>
          </cell>
          <cell r="H1237">
            <v>3.7654540000000005</v>
          </cell>
        </row>
        <row r="1238">
          <cell r="D1238" t="str">
            <v>FITA DE PAPEL MICROPERFURADO, 50 X 150 MM, PARA TRATAMENTO DE JUNTAS DE CHAPA DE GESSO PARA DRYWALL</v>
          </cell>
          <cell r="H1238">
            <v>0.775837</v>
          </cell>
        </row>
        <row r="1239">
          <cell r="D1239" t="str">
            <v>FITA DE PAPEL REFORCADA COM LAMINA DE METAL PARA REFORCO DE CANTOS DE CHAPA DE GESSO PARA DRYWALL</v>
          </cell>
          <cell r="H1239">
            <v>4.0593100000000009</v>
          </cell>
        </row>
        <row r="1240">
          <cell r="D1240" t="str">
            <v>PARAFUSO DRY WALL, EM ACO FOSFATIZADO, CABECA TROMBETA E PONTA AGULHA (TA), COMPRIMENTO 25 MM</v>
          </cell>
          <cell r="H1240">
            <v>1.8168120000000001</v>
          </cell>
        </row>
        <row r="1241">
          <cell r="D1241" t="str">
            <v>PARAFUSO DRY WALL, EM ACO ZINCADO, CABECA LENTILHA E PONTA BROCA (LB), LARGURA 4,2 MM, COMPRIMENTO 13 MM</v>
          </cell>
          <cell r="H1241">
            <v>9.6060000000000006E-2</v>
          </cell>
        </row>
        <row r="1242">
          <cell r="D1242" t="str">
            <v>Parede Com Sistema Em Chapas De Gesso Para Drywall, Uso Interno, Montante 48mm, Com Uma Face Simples Standart e Uma Face Resistente a Umidade (ST/48/RU)</v>
          </cell>
          <cell r="H1242">
            <v>189.53270833333332</v>
          </cell>
        </row>
        <row r="1243">
          <cell r="D1243" t="str">
            <v>SERVICO - CONFECCAO SHAFT GESSO</v>
          </cell>
          <cell r="H1243">
            <v>70</v>
          </cell>
        </row>
        <row r="1244">
          <cell r="D1244" t="str">
            <v>PLACA / CHAPA DE GESSO ACARTONADO, STANDARD (ST), COR BRANCA, E = 12,5 MM, 1200 X 2400 MM (L X C)</v>
          </cell>
          <cell r="H1244">
            <v>21.228479999999998</v>
          </cell>
        </row>
        <row r="1245">
          <cell r="D1245" t="str">
            <v>PLACA / CHAPA DE GESSO ACARTONADO, RESISTENTE A UMIDADE (RU), COR VERDE, E = 12,5 MM, 1200 X 2400 MM (L X C)</v>
          </cell>
          <cell r="H1245">
            <v>28.536300000000001</v>
          </cell>
        </row>
        <row r="1246">
          <cell r="D1246" t="str">
            <v>PINO DE ACO COM ARRUELA CONICA, DIAMETRO ARRUELA = *23* MM E COMP HASTE = *27* MM (ACAO INDIRETA)</v>
          </cell>
          <cell r="H1246">
            <v>2.4948000000000001</v>
          </cell>
        </row>
        <row r="1247">
          <cell r="D1247" t="str">
            <v>PERFIL GUIA, FORMATO U, EM ACO ZINCADO, PARA ESTRUTURA PAREDE DRYWALL, E = 0,5 MM, 48 X 3000 MM (L X C)</v>
          </cell>
          <cell r="H1247">
            <v>10.719344</v>
          </cell>
        </row>
        <row r="1248">
          <cell r="D1248" t="str">
            <v>PERFIL MONTANTE, FORMATO C, EM ACO ZINCADO, PARA ESTRUTURA PAREDE DRYWALL, E = 0,5 MM, 48 X 3000 MM (L X C)</v>
          </cell>
          <cell r="H1248">
            <v>31.928778000000001</v>
          </cell>
        </row>
        <row r="1249">
          <cell r="D1249" t="str">
            <v>MASSA DE REJUNTE EM PO PARA DRYWALL, A BASE DE GESSO, SECAGEM RAPIDA, PARA TRATAMENTO DE JUNTAS DE CHAPA DE GESSO (NECESSITA ADICAO DE AGUA)</v>
          </cell>
          <cell r="H1249">
            <v>3.7654540000000005</v>
          </cell>
        </row>
        <row r="1250">
          <cell r="D1250" t="str">
            <v>FITA DE PAPEL MICROPERFURADO, 50 X 150 MM, PARA TRATAMENTO DE JUNTAS DE CHAPA DE GESSO PARA DRYWALL</v>
          </cell>
          <cell r="H1250">
            <v>0.775837</v>
          </cell>
        </row>
        <row r="1251">
          <cell r="D1251" t="str">
            <v>FITA DE PAPEL REFORCADA COM LAMINA DE METAL PARA REFORCO DE CANTOS DE CHAPA DE GESSO PARA DRYWALL</v>
          </cell>
          <cell r="H1251">
            <v>4.0593100000000009</v>
          </cell>
        </row>
        <row r="1252">
          <cell r="D1252" t="str">
            <v>PARAFUSO DRY WALL, EM ACO FOSFATIZADO, CABECA TROMBETA E PONTA AGULHA (TA), COMPRIMENTO 25 MM</v>
          </cell>
          <cell r="H1252">
            <v>1.8168120000000001</v>
          </cell>
        </row>
        <row r="1253">
          <cell r="D1253" t="str">
            <v>PARAFUSO DRY WALL, EM ACO ZINCADO, CABECA LENTILHA E PONTA BROCA (LB), LARGURA 4,2 MM, COMPRIMENTO 13 MM</v>
          </cell>
          <cell r="H1253">
            <v>9.6060000000000006E-2</v>
          </cell>
        </row>
        <row r="1254">
          <cell r="D1254" t="str">
            <v>LÂ DE VIDRO PARA ISOLAMENTO 50mm</v>
          </cell>
          <cell r="H1254">
            <v>14.111533333333334</v>
          </cell>
        </row>
        <row r="1255">
          <cell r="D1255" t="str">
            <v>Parede Com Sistema Em Chapas De Gesso Para Drywall, Uso Interno, Montante 70mm, Com Uma Face Resistente a Umidade(RU/70)</v>
          </cell>
          <cell r="H1255">
            <v>126.74312599999999</v>
          </cell>
        </row>
        <row r="1256">
          <cell r="D1256" t="str">
            <v>SERVICO - CONFECCAO SHAFT GESSO</v>
          </cell>
          <cell r="H1256">
            <v>70</v>
          </cell>
        </row>
        <row r="1257">
          <cell r="D1257" t="str">
            <v>PLACA / CHAPA DE GESSO ACARTONADO, RESISTENTE A UMIDADE (RU), COR VERDE, E = 12,5 MM, 1200 X 2400 MM (L X C)</v>
          </cell>
          <cell r="H1257">
            <v>28.536300000000001</v>
          </cell>
        </row>
        <row r="1258">
          <cell r="D1258" t="str">
            <v>PINO DE ACO COM ARRUELA CONICA, DIAMETRO ARRUELA = *23* MM E COMP HASTE = *27* MM (ACAO INDIRETA)</v>
          </cell>
          <cell r="H1258">
            <v>1.2499199999999999</v>
          </cell>
        </row>
        <row r="1259">
          <cell r="D1259" t="str">
            <v>PERFIL GUIA, FORMATO U, EM ACO ZINCADO, PARA ESTRUTURA PAREDE DRYWALL, E = 0,5 MM, 70 X 3000 MM (L X C)</v>
          </cell>
          <cell r="H1259">
            <v>5.6875039999999997</v>
          </cell>
        </row>
        <row r="1260">
          <cell r="D1260" t="str">
            <v>PERFIL MONTANTE, FORMATO C, EM ACO ZINCADO, PARA ESTRUTURA PAREDE DRYWALL, E = 0,5 MM, 70 X 3000 MM (L X C)</v>
          </cell>
          <cell r="H1260">
            <v>15.964788</v>
          </cell>
        </row>
        <row r="1261">
          <cell r="D1261" t="str">
            <v>MASSA DE REJUNTE EM PO PARA DRYWALL, A BASE DE GESSO, SECAGEM RAPIDA, PARA TRATAMENTO DE JUNTAS DE CHAPA DE GESSO (NECESSITA ADICAO DE AGUA)</v>
          </cell>
          <cell r="H1261">
            <v>1.8827270000000003</v>
          </cell>
        </row>
        <row r="1262">
          <cell r="D1262" t="str">
            <v>FITA DE PAPEL MICROPERFURADO, 50 X 150 MM, PARA TRATAMENTO DE JUNTAS DE CHAPA DE GESSO PARA DRYWALL</v>
          </cell>
          <cell r="H1262">
            <v>0.387903</v>
          </cell>
        </row>
        <row r="1263">
          <cell r="D1263" t="str">
            <v>FITA DE PAPEL REFORCADA COM LAMINA DE METAL PARA REFORCO DE CANTOS DE CHAPA DE GESSO PARA DRYWALL</v>
          </cell>
          <cell r="H1263">
            <v>2.0295180000000004</v>
          </cell>
        </row>
        <row r="1264">
          <cell r="D1264" t="str">
            <v>PARAFUSO DRY WALL, EM ACO FOSFATIZADO, CABECA TROMBETA E PONTA AGULHA (TA), COMPRIMENTO 25 MM</v>
          </cell>
          <cell r="H1264">
            <v>0.90840600000000005</v>
          </cell>
        </row>
        <row r="1265">
          <cell r="D1265" t="str">
            <v>PARAFUSO DRY WALL, EM ACO ZINCADO, CABECA LENTILHA E PONTA BROCA (LB), LARGURA 4,2 MM, COMPRIMENTO 13 MM</v>
          </cell>
          <cell r="H1265">
            <v>9.6060000000000006E-2</v>
          </cell>
        </row>
        <row r="1266">
          <cell r="D1266" t="str">
            <v>Parede Com Sistema Em Chapas De Gesso Para Drywall, Uso Interno, Montante 70mm, Com Duas Face Simples Standart (ST/70/ST)</v>
          </cell>
          <cell r="H1266">
            <v>168.76901899999999</v>
          </cell>
        </row>
        <row r="1267">
          <cell r="D1267" t="str">
            <v>SERVICO - CONFECCAO SHAFT GESSO</v>
          </cell>
          <cell r="H1267">
            <v>70</v>
          </cell>
        </row>
        <row r="1268">
          <cell r="D1268" t="str">
            <v>PLACA / CHAPA DE GESSO ACARTONADO, STANDARD (ST), COR BRANCA, E = 12,5 MM, 1200 X 2400 MM (L X C)</v>
          </cell>
          <cell r="H1268">
            <v>42.456959999999995</v>
          </cell>
        </row>
        <row r="1269">
          <cell r="D1269" t="str">
            <v>PINO DE ACO COM ARRUELA CONICA, DIAMETRO ARRUELA = *23* MM E COMP HASTE = *27* MM (ACAO INDIRETA)</v>
          </cell>
          <cell r="H1269">
            <v>2.4948000000000001</v>
          </cell>
        </row>
        <row r="1270">
          <cell r="D1270" t="str">
            <v>PERFIL GUIA, FORMATO U, EM ACO ZINCADO, PARA ESTRUTURA PAREDE DRYWALL, E = 0,5 MM, 70 X 3000 MM (L X C)</v>
          </cell>
          <cell r="H1270">
            <v>11.375007999999999</v>
          </cell>
        </row>
        <row r="1271">
          <cell r="D1271" t="str">
            <v>PERFIL MONTANTE, FORMATO C, EM ACO ZINCADO, PARA ESTRUTURA PAREDE DRYWALL, E = 0,5 MM, 70 X 3000 MM (L X C)</v>
          </cell>
          <cell r="H1271">
            <v>31.928778000000001</v>
          </cell>
        </row>
        <row r="1272">
          <cell r="D1272" t="str">
            <v>MASSA DE REJUNTE EM PO PARA DRYWALL, A BASE DE GESSO, SECAGEM RAPIDA, PARA TRATAMENTO DE JUNTAS DE CHAPA DE GESSO (NECESSITA ADICAO DE AGUA)</v>
          </cell>
          <cell r="H1272">
            <v>3.7654540000000005</v>
          </cell>
        </row>
        <row r="1273">
          <cell r="D1273" t="str">
            <v>FITA DE PAPEL MICROPERFURADO, 50 X 150 MM, PARA TRATAMENTO DE JUNTAS DE CHAPA DE GESSO PARA DRYWALL</v>
          </cell>
          <cell r="H1273">
            <v>0.775837</v>
          </cell>
        </row>
        <row r="1274">
          <cell r="D1274" t="str">
            <v>FITA DE PAPEL REFORCADA COM LAMINA DE METAL PARA REFORCO DE CANTOS DE CHAPA DE GESSO PARA DRYWALL</v>
          </cell>
          <cell r="H1274">
            <v>4.0593100000000009</v>
          </cell>
        </row>
        <row r="1275">
          <cell r="D1275" t="str">
            <v>PARAFUSO DRY WALL, EM ACO FOSFATIZADO, CABECA TROMBETA E PONTA AGULHA (TA), COMPRIMENTO 25 MM</v>
          </cell>
          <cell r="H1275">
            <v>1.8168120000000001</v>
          </cell>
        </row>
        <row r="1276">
          <cell r="D1276" t="str">
            <v>PARAFUSO DRY WALL, EM ACO ZINCADO, CABECA LENTILHA E PONTA BROCA (LB), LARGURA 4,2 MM, COMPRIMENTO 13 MM</v>
          </cell>
          <cell r="H1276">
            <v>9.6060000000000006E-2</v>
          </cell>
        </row>
        <row r="1277">
          <cell r="D1277" t="str">
            <v>Parede Com Sistema Em Chapas De Gesso Para Drywall, Uso Interno, Montante 70mm, Com Duas Face Resistente a Umidade(RU/70/RU)</v>
          </cell>
          <cell r="H1277">
            <v>183.384659</v>
          </cell>
        </row>
        <row r="1278">
          <cell r="D1278" t="str">
            <v>SERVICO - CONFECCAO SHAFT GESSO</v>
          </cell>
          <cell r="H1278">
            <v>70</v>
          </cell>
        </row>
        <row r="1279">
          <cell r="D1279" t="str">
            <v>PLACA / CHAPA DE GESSO ACARTONADO, RESISTENTE A UMIDADE (RU), COR VERDE, E = 12,5 MM, 1200 X 2400 MM (L X C)</v>
          </cell>
          <cell r="H1279">
            <v>57.072600000000001</v>
          </cell>
        </row>
        <row r="1280">
          <cell r="D1280" t="str">
            <v>PINO DE ACO COM ARRUELA CONICA, DIAMETRO ARRUELA = *23* MM E COMP HASTE = *27* MM (ACAO INDIRETA)</v>
          </cell>
          <cell r="H1280">
            <v>2.4948000000000001</v>
          </cell>
        </row>
        <row r="1281">
          <cell r="D1281" t="str">
            <v>PERFIL GUIA, FORMATO U, EM ACO ZINCADO, PARA ESTRUTURA PAREDE DRYWALL, E = 0,5 MM, 70 X 3000 MM (L X C)</v>
          </cell>
          <cell r="H1281">
            <v>11.375007999999999</v>
          </cell>
        </row>
        <row r="1282">
          <cell r="D1282" t="str">
            <v>PERFIL MONTANTE, FORMATO C, EM ACO ZINCADO, PARA ESTRUTURA PAREDE DRYWALL, E = 0,5 MM, 70 X 3000 MM (L X C)</v>
          </cell>
          <cell r="H1282">
            <v>31.928778000000001</v>
          </cell>
        </row>
        <row r="1283">
          <cell r="D1283" t="str">
            <v>MASSA DE REJUNTE EM PO PARA DRYWALL, A BASE DE GESSO, SECAGEM RAPIDA, PARA TRATAMENTO DE JUNTAS DE CHAPA DE GESSO (NECESSITA ADICAO DE AGUA)</v>
          </cell>
          <cell r="H1283">
            <v>3.7654540000000005</v>
          </cell>
        </row>
        <row r="1284">
          <cell r="D1284" t="str">
            <v>FITA DE PAPEL MICROPERFURADO, 50 X 150 MM, PARA TRATAMENTO DE JUNTAS DE CHAPA DE GESSO PARA DRYWALL</v>
          </cell>
          <cell r="H1284">
            <v>0.775837</v>
          </cell>
        </row>
        <row r="1285">
          <cell r="D1285" t="str">
            <v>FITA DE PAPEL REFORCADA COM LAMINA DE METAL PARA REFORCO DE CANTOS DE CHAPA DE GESSO PARA DRYWALL</v>
          </cell>
          <cell r="H1285">
            <v>4.0593100000000009</v>
          </cell>
        </row>
        <row r="1286">
          <cell r="D1286" t="str">
            <v>PARAFUSO DRY WALL, EM ACO FOSFATIZADO, CABECA TROMBETA E PONTA AGULHA (TA), COMPRIMENTO 25 MM</v>
          </cell>
          <cell r="H1286">
            <v>1.8168120000000001</v>
          </cell>
        </row>
        <row r="1287">
          <cell r="D1287" t="str">
            <v>PARAFUSO DRY WALL, EM ACO ZINCADO, CABECA LENTILHA E PONTA BROCA (LB), LARGURA 4,2 MM, COMPRIMENTO 13 MM</v>
          </cell>
          <cell r="H1287">
            <v>9.6060000000000006E-2</v>
          </cell>
        </row>
        <row r="1288">
          <cell r="D1288" t="str">
            <v>Parede Com Sistema Em Chapas De Gesso Para Drywall, Uso Interno, Montante 70mm, Com Uma Face Standart e Uma Face Resistente a Umidade(RU/70/ST)</v>
          </cell>
          <cell r="H1288">
            <v>176.07683899999998</v>
          </cell>
        </row>
        <row r="1289">
          <cell r="D1289" t="str">
            <v>SERVICO - CONFECCAO SHAFT GESSO</v>
          </cell>
          <cell r="H1289">
            <v>70</v>
          </cell>
        </row>
        <row r="1290">
          <cell r="D1290" t="str">
            <v>PLACA / CHAPA DE GESSO ACARTONADO, STANDARD (ST), COR BRANCA, E = 12,5 MM, 1200 X 2400 MM (L X C)</v>
          </cell>
          <cell r="H1290">
            <v>21.228479999999998</v>
          </cell>
        </row>
        <row r="1291">
          <cell r="D1291" t="str">
            <v>PLACA / CHAPA DE GESSO ACARTONADO, RESISTENTE A UMIDADE (RU), COR VERDE, E = 12,5 MM, 1200 X 2400 MM (L X C)</v>
          </cell>
          <cell r="H1291">
            <v>28.536300000000001</v>
          </cell>
        </row>
        <row r="1292">
          <cell r="D1292" t="str">
            <v>PINO DE ACO COM ARRUELA CONICA, DIAMETRO ARRUELA = *23* MM E COMP HASTE = *27* MM (ACAO INDIRETA)</v>
          </cell>
          <cell r="H1292">
            <v>2.4948000000000001</v>
          </cell>
        </row>
        <row r="1293">
          <cell r="D1293" t="str">
            <v>PERFIL GUIA, FORMATO U, EM ACO ZINCADO, PARA ESTRUTURA PAREDE DRYWALL, E = 0,5 MM, 70 X 3000 MM (L X C)</v>
          </cell>
          <cell r="H1293">
            <v>11.375007999999999</v>
          </cell>
        </row>
        <row r="1294">
          <cell r="D1294" t="str">
            <v>PERFIL MONTANTE, FORMATO C, EM ACO ZINCADO, PARA ESTRUTURA PAREDE DRYWALL, E = 0,5 MM, 70 X 3000 MM (L X C)</v>
          </cell>
          <cell r="H1294">
            <v>31.928778000000001</v>
          </cell>
        </row>
        <row r="1295">
          <cell r="D1295" t="str">
            <v>MASSA DE REJUNTE EM PO PARA DRYWALL, A BASE DE GESSO, SECAGEM RAPIDA, PARA TRATAMENTO DE JUNTAS DE CHAPA DE GESSO (NECESSITA ADICAO DE AGUA)</v>
          </cell>
          <cell r="H1295">
            <v>3.7654540000000005</v>
          </cell>
        </row>
        <row r="1296">
          <cell r="D1296" t="str">
            <v>FITA DE PAPEL MICROPERFURADO, 50 X 150 MM, PARA TRATAMENTO DE JUNTAS DE CHAPA DE GESSO PARA DRYWALL</v>
          </cell>
          <cell r="H1296">
            <v>0.775837</v>
          </cell>
        </row>
        <row r="1297">
          <cell r="D1297" t="str">
            <v>FITA DE PAPEL REFORCADA COM LAMINA DE METAL PARA REFORCO DE CANTOS DE CHAPA DE GESSO PARA DRYWALL</v>
          </cell>
          <cell r="H1297">
            <v>4.0593100000000009</v>
          </cell>
        </row>
        <row r="1298">
          <cell r="D1298" t="str">
            <v>PARAFUSO DRY WALL, EM ACO FOSFATIZADO, CABECA TROMBETA E PONTA AGULHA (TA), COMPRIMENTO 25 MM</v>
          </cell>
          <cell r="H1298">
            <v>1.8168120000000001</v>
          </cell>
        </row>
        <row r="1299">
          <cell r="D1299" t="str">
            <v>PARAFUSO DRY WALL, EM ACO ZINCADO, CABECA LENTILHA E PONTA BROCA (LB), LARGURA 4,2 MM, COMPRIMENTO 13 MM</v>
          </cell>
          <cell r="H1299">
            <v>9.6060000000000006E-2</v>
          </cell>
        </row>
        <row r="1300">
          <cell r="D1300" t="str">
            <v>Parede Com Sistema Em Chapas De Gesso Para Drywall, Uso Interno, Montante 90mm, Com Uma Face Simples Standart (ST/90)</v>
          </cell>
          <cell r="H1300">
            <v>140.561004</v>
          </cell>
        </row>
        <row r="1301">
          <cell r="D1301" t="str">
            <v>SERVICO - CONFECCAO SHAFT GESSO</v>
          </cell>
          <cell r="H1301">
            <v>70</v>
          </cell>
        </row>
        <row r="1302">
          <cell r="D1302" t="str">
            <v>PLACA / CHAPA DE GESSO ACARTONADO, STANDARD (ST), COR BRANCA, E = 12,5 MM, 1200 X 2400 MM (L X C)</v>
          </cell>
          <cell r="H1302">
            <v>21.228479999999998</v>
          </cell>
        </row>
        <row r="1303">
          <cell r="D1303" t="str">
            <v>PINO DE ACO COM ARRUELA CONICA, DIAMETRO ARRUELA = *23* MM E COMP HASTE = *27* MM (ACAO INDIRETA)</v>
          </cell>
          <cell r="H1303">
            <v>1.2499199999999999</v>
          </cell>
        </row>
        <row r="1304">
          <cell r="D1304" t="str">
            <v>PERFIL GUIA, FORMATO U, EM ACO ZINCADO, PARA ESTRUTURA PAREDE DRYWALL, E = 0,5 MM, 90 X 3000 MM (L X C)</v>
          </cell>
          <cell r="H1304">
            <v>6.5871360000000001</v>
          </cell>
        </row>
        <row r="1305">
          <cell r="D1305" t="str">
            <v>PERFIL MONTANTE, FORMATO C, EM ACO ZINCADO, PARA ESTRUTURA PAREDE DRYWALL, E = 0,5 MM, 90 X 3000 MM (L X C)</v>
          </cell>
          <cell r="H1305">
            <v>36.190854000000002</v>
          </cell>
        </row>
        <row r="1306">
          <cell r="D1306" t="str">
            <v>MASSA DE REJUNTE EM PO PARA DRYWALL, A BASE DE GESSO, SECAGEM RAPIDA, PARA TRATAMENTO DE JUNTAS DE CHAPA DE GESSO (NECESSITA ADICAO DE AGUA)</v>
          </cell>
          <cell r="H1306">
            <v>1.8827270000000003</v>
          </cell>
        </row>
        <row r="1307">
          <cell r="D1307" t="str">
            <v>FITA DE PAPEL MICROPERFURADO, 50 X 150 MM, PARA TRATAMENTO DE JUNTAS DE CHAPA DE GESSO PARA DRYWALL</v>
          </cell>
          <cell r="H1307">
            <v>0.387903</v>
          </cell>
        </row>
        <row r="1308">
          <cell r="D1308" t="str">
            <v>FITA DE PAPEL REFORCADA COM LAMINA DE METAL PARA REFORCO DE CANTOS DE CHAPA DE GESSO PARA DRYWALL</v>
          </cell>
          <cell r="H1308">
            <v>2.0295180000000004</v>
          </cell>
        </row>
        <row r="1309">
          <cell r="D1309" t="str">
            <v>PARAFUSO DRY WALL, EM ACO FOSFATIZADO, CABECA TROMBETA E PONTA AGULHA (TA), COMPRIMENTO 25 MM</v>
          </cell>
          <cell r="H1309">
            <v>0.90840600000000005</v>
          </cell>
        </row>
        <row r="1310">
          <cell r="D1310" t="str">
            <v>PARAFUSO DRY WALL, EM ACO ZINCADO, CABECA LENTILHA E PONTA BROCA (LB), LARGURA 4,2 MM, COMPRIMENTO 13 MM</v>
          </cell>
          <cell r="H1310">
            <v>9.6060000000000006E-2</v>
          </cell>
        </row>
        <row r="1311">
          <cell r="D1311" t="str">
            <v>Parede Com Sistema Em Chapas De Gesso Para Drywall, Uso Interno, Montante 90mm, Com Uma Face Simples Resistente à Umidade (RU/90)</v>
          </cell>
          <cell r="H1311">
            <v>147.86882399999999</v>
          </cell>
        </row>
        <row r="1312">
          <cell r="D1312" t="str">
            <v>SERVICO - CONFECCAO SHAFT GESSO</v>
          </cell>
          <cell r="H1312">
            <v>70</v>
          </cell>
        </row>
        <row r="1313">
          <cell r="D1313" t="str">
            <v>PLACA / CHAPA DE GESSO ACARTONADO, RESISTENTE A UMIDADE (RU), COR VERDE, E = 12,5 MM, 1200 X 2400 MM (L X C)</v>
          </cell>
          <cell r="H1313">
            <v>28.536300000000001</v>
          </cell>
        </row>
        <row r="1314">
          <cell r="D1314" t="str">
            <v>PINO DE ACO COM ARRUELA CONICA, DIAMETRO ARRUELA = *23* MM E COMP HASTE = *27* MM (ACAO INDIRETA)</v>
          </cell>
          <cell r="H1314">
            <v>1.2499199999999999</v>
          </cell>
        </row>
        <row r="1315">
          <cell r="D1315" t="str">
            <v>PERFIL GUIA, FORMATO U, EM ACO ZINCADO, PARA ESTRUTURA PAREDE DRYWALL, E = 0,5 MM, 90 X 3000 MM (L X C)</v>
          </cell>
          <cell r="H1315">
            <v>6.5871360000000001</v>
          </cell>
        </row>
        <row r="1316">
          <cell r="D1316" t="str">
            <v>PERFIL MONTANTE, FORMATO C, EM ACO ZINCADO, PARA ESTRUTURA PAREDE DRYWALL, E = 0,5 MM, 90 X 3000 MM (L X C)</v>
          </cell>
          <cell r="H1316">
            <v>36.190854000000002</v>
          </cell>
        </row>
        <row r="1317">
          <cell r="D1317" t="str">
            <v>MASSA DE REJUNTE EM PO PARA DRYWALL, A BASE DE GESSO, SECAGEM RAPIDA, PARA TRATAMENTO DE JUNTAS DE CHAPA DE GESSO (NECESSITA ADICAO DE AGUA)</v>
          </cell>
          <cell r="H1317">
            <v>1.8827270000000003</v>
          </cell>
        </row>
        <row r="1318">
          <cell r="D1318" t="str">
            <v>FITA DE PAPEL MICROPERFURADO, 50 X 150 MM, PARA TRATAMENTO DE JUNTAS DE CHAPA DE GESSO PARA DRYWALL</v>
          </cell>
          <cell r="H1318">
            <v>0.387903</v>
          </cell>
        </row>
        <row r="1319">
          <cell r="D1319" t="str">
            <v>FITA DE PAPEL REFORCADA COM LAMINA DE METAL PARA REFORCO DE CANTOS DE CHAPA DE GESSO PARA DRYWALL</v>
          </cell>
          <cell r="H1319">
            <v>2.0295180000000004</v>
          </cell>
        </row>
        <row r="1320">
          <cell r="D1320" t="str">
            <v>PARAFUSO DRY WALL, EM ACO FOSFATIZADO, CABECA TROMBETA E PONTA AGULHA (TA), COMPRIMENTO 25 MM</v>
          </cell>
          <cell r="H1320">
            <v>0.90840600000000005</v>
          </cell>
        </row>
        <row r="1321">
          <cell r="D1321" t="str">
            <v>PARAFUSO DRY WALL, EM ACO ZINCADO, CABECA LENTILHA E PONTA BROCA (LB), LARGURA 4,2 MM, COMPRIMENTO 13 MM</v>
          </cell>
          <cell r="H1321">
            <v>9.6060000000000006E-2</v>
          </cell>
        </row>
        <row r="1322">
          <cell r="D1322" t="str">
            <v>Parede Com Sistema Em Chapas De Gesso Para Drywall, Uso Interno, Montante 90mm, Com Duas Face Simples Standart (ST/90/ST)</v>
          </cell>
          <cell r="H1322">
            <v>211.01940399999998</v>
          </cell>
        </row>
        <row r="1323">
          <cell r="D1323" t="str">
            <v>SERVICO - CONFECCAO SHAFT GESSO</v>
          </cell>
          <cell r="H1323">
            <v>70</v>
          </cell>
        </row>
        <row r="1324">
          <cell r="D1324" t="str">
            <v>PLACA / CHAPA DE GESSO ACARTONADO, STANDARD (ST), COR BRANCA, E = 12,5 MM, 1200 X 2400 MM (L X C)</v>
          </cell>
          <cell r="H1324">
            <v>42.456959999999995</v>
          </cell>
        </row>
        <row r="1325">
          <cell r="D1325" t="str">
            <v>PINO DE ACO COM ARRUELA CONICA, DIAMETRO ARRUELA = *23* MM E COMP HASTE = *27* MM (ACAO INDIRETA)</v>
          </cell>
          <cell r="H1325">
            <v>2.4948000000000001</v>
          </cell>
        </row>
        <row r="1326">
          <cell r="D1326" t="str">
            <v>PERFIL GUIA, FORMATO U, EM ACO ZINCADO, PARA ESTRUTURA PAREDE DRYWALL, E = 0,5 MM, 90 X 3000 MM (L X C)</v>
          </cell>
          <cell r="H1326">
            <v>13.174272</v>
          </cell>
        </row>
        <row r="1327">
          <cell r="D1327" t="str">
            <v>PERFIL MONTANTE, FORMATO C, EM ACO ZINCADO, PARA ESTRUTURA PAREDE DRYWALL, E = 0,5 MM, 90 X 3000 MM (L X C)</v>
          </cell>
          <cell r="H1327">
            <v>72.379898999999995</v>
          </cell>
        </row>
        <row r="1328">
          <cell r="D1328" t="str">
            <v>MASSA DE REJUNTE EM PO PARA DRYWALL, A BASE DE GESSO, SECAGEM RAPIDA, PARA TRATAMENTO DE JUNTAS DE CHAPA DE GESSO (NECESSITA ADICAO DE AGUA)</v>
          </cell>
          <cell r="H1328">
            <v>3.7654540000000005</v>
          </cell>
        </row>
        <row r="1329">
          <cell r="D1329" t="str">
            <v>FITA DE PAPEL MICROPERFURADO, 50 X 150 MM, PARA TRATAMENTO DE JUNTAS DE CHAPA DE GESSO PARA DRYWALL</v>
          </cell>
          <cell r="H1329">
            <v>0.775837</v>
          </cell>
        </row>
        <row r="1330">
          <cell r="D1330" t="str">
            <v>FITA DE PAPEL REFORCADA COM LAMINA DE METAL PARA REFORCO DE CANTOS DE CHAPA DE GESSO PARA DRYWALL</v>
          </cell>
          <cell r="H1330">
            <v>4.0593100000000009</v>
          </cell>
        </row>
        <row r="1331">
          <cell r="D1331" t="str">
            <v>PARAFUSO DRY WALL, EM ACO FOSFATIZADO, CABECA TROMBETA E PONTA AGULHA (TA), COMPRIMENTO 25 MM</v>
          </cell>
          <cell r="H1331">
            <v>1.8168120000000001</v>
          </cell>
        </row>
        <row r="1332">
          <cell r="D1332" t="str">
            <v>PARAFUSO DRY WALL, EM ACO ZINCADO, CABECA LENTILHA E PONTA BROCA (LB), LARGURA 4,2 MM, COMPRIMENTO 13 MM</v>
          </cell>
          <cell r="H1332">
            <v>9.6060000000000006E-2</v>
          </cell>
        </row>
        <row r="1333">
          <cell r="D1333" t="str">
            <v>Parede Com Sistema Em Chapas De Gesso Para Drywall, Uso Interno, Montante 90mm, Com Duas Face Simples Resistente à Umidade (RU/90/RU)</v>
          </cell>
          <cell r="H1333">
            <v>225.63504399999999</v>
          </cell>
        </row>
        <row r="1334">
          <cell r="D1334" t="str">
            <v>SERVICO - CONFECCAO SHAFT GESSO</v>
          </cell>
          <cell r="H1334">
            <v>70</v>
          </cell>
        </row>
        <row r="1335">
          <cell r="D1335" t="str">
            <v>PLACA / CHAPA DE GESSO ACARTONADO, RESISTENTE A UMIDADE (RU), COR VERDE, E = 12,5 MM, 1200 X 2400 MM (L X C)</v>
          </cell>
          <cell r="H1335">
            <v>57.072600000000001</v>
          </cell>
        </row>
        <row r="1336">
          <cell r="D1336" t="str">
            <v>PINO DE ACO COM ARRUELA CONICA, DIAMETRO ARRUELA = *23* MM E COMP HASTE = *27* MM (ACAO INDIRETA)</v>
          </cell>
          <cell r="H1336">
            <v>2.4948000000000001</v>
          </cell>
        </row>
        <row r="1337">
          <cell r="D1337" t="str">
            <v>PERFIL GUIA, FORMATO U, EM ACO ZINCADO, PARA ESTRUTURA PAREDE DRYWALL, E = 0,5 MM, 90 X 3000 MM (L X C)</v>
          </cell>
          <cell r="H1337">
            <v>13.174272</v>
          </cell>
        </row>
        <row r="1338">
          <cell r="D1338" t="str">
            <v>PERFIL MONTANTE, FORMATO C, EM ACO ZINCADO, PARA ESTRUTURA PAREDE DRYWALL, E = 0,5 MM, 90 X 3000 MM (L X C)</v>
          </cell>
          <cell r="H1338">
            <v>72.379898999999995</v>
          </cell>
        </row>
        <row r="1339">
          <cell r="D1339" t="str">
            <v>MASSA DE REJUNTE EM PO PARA DRYWALL, A BASE DE GESSO, SECAGEM RAPIDA, PARA TRATAMENTO DE JUNTAS DE CHAPA DE GESSO (NECESSITA ADICAO DE AGUA)</v>
          </cell>
          <cell r="H1339">
            <v>3.7654540000000005</v>
          </cell>
        </row>
        <row r="1340">
          <cell r="D1340" t="str">
            <v>FITA DE PAPEL MICROPERFURADO, 50 X 150 MM, PARA TRATAMENTO DE JUNTAS DE CHAPA DE GESSO PARA DRYWALL</v>
          </cell>
          <cell r="H1340">
            <v>0.775837</v>
          </cell>
        </row>
        <row r="1341">
          <cell r="D1341" t="str">
            <v>FITA DE PAPEL REFORCADA COM LAMINA DE METAL PARA REFORCO DE CANTOS DE CHAPA DE GESSO PARA DRYWALL</v>
          </cell>
          <cell r="H1341">
            <v>4.0593100000000009</v>
          </cell>
        </row>
        <row r="1342">
          <cell r="D1342" t="str">
            <v>PARAFUSO DRY WALL, EM ACO FOSFATIZADO, CABECA TROMBETA E PONTA AGULHA (TA), COMPRIMENTO 25 MM</v>
          </cell>
          <cell r="H1342">
            <v>1.8168120000000001</v>
          </cell>
        </row>
        <row r="1343">
          <cell r="D1343" t="str">
            <v>PARAFUSO DRY WALL, EM ACO ZINCADO, CABECA LENTILHA E PONTA BROCA (LB), LARGURA 4,2 MM, COMPRIMENTO 13 MM</v>
          </cell>
          <cell r="H1343">
            <v>9.6060000000000006E-2</v>
          </cell>
        </row>
        <row r="1344">
          <cell r="D1344" t="str">
            <v>Parede Com Sistema Em Chapas De Gesso Para Drywall, Uso Interno, Montante 90mm, Com Uma Face Standart e Uma Face Resistente a Umidade (ST/90/RU)</v>
          </cell>
          <cell r="H1344">
            <v>218.327224</v>
          </cell>
        </row>
        <row r="1345">
          <cell r="D1345" t="str">
            <v>SERVICO - CONFECCAO SHAFT GESSO</v>
          </cell>
          <cell r="H1345">
            <v>70</v>
          </cell>
        </row>
        <row r="1346">
          <cell r="D1346" t="str">
            <v>PLACA / CHAPA DE GESSO ACARTONADO, RESISTENTE A UMIDADE (RU), COR VERDE, E = 12,5 MM, 1200 X 2400 MM (L X C)</v>
          </cell>
          <cell r="H1346">
            <v>28.536300000000001</v>
          </cell>
        </row>
        <row r="1347">
          <cell r="D1347" t="str">
            <v>PLACA / CHAPA DE GESSO ACARTONADO, STANDARD (ST), COR BRANCA, E = 12,5 MM, 1200 X 2400 MM (L X C)</v>
          </cell>
          <cell r="H1347">
            <v>21.228479999999998</v>
          </cell>
        </row>
        <row r="1348">
          <cell r="D1348" t="str">
            <v>PINO DE ACO COM ARRUELA CONICA, DIAMETRO ARRUELA = *23* MM E COMP HASTE = *27* MM (ACAO INDIRETA)</v>
          </cell>
          <cell r="H1348">
            <v>2.4948000000000001</v>
          </cell>
        </row>
        <row r="1349">
          <cell r="D1349" t="str">
            <v>PERFIL GUIA, FORMATO U, EM ACO ZINCADO, PARA ESTRUTURA PAREDE DRYWALL, E = 0,5 MM, 90 X 3000 MM (L X C)</v>
          </cell>
          <cell r="H1349">
            <v>13.174272</v>
          </cell>
        </row>
        <row r="1350">
          <cell r="D1350" t="str">
            <v>PERFIL MONTANTE, FORMATO C, EM ACO ZINCADO, PARA ESTRUTURA PAREDE DRYWALL, E = 0,5 MM, 90 X 3000 MM (L X C)</v>
          </cell>
          <cell r="H1350">
            <v>72.379898999999995</v>
          </cell>
        </row>
        <row r="1351">
          <cell r="D1351" t="str">
            <v>MASSA DE REJUNTE EM PO PARA DRYWALL, A BASE DE GESSO, SECAGEM RAPIDA, PARA TRATAMENTO DE JUNTAS DE CHAPA DE GESSO (NECESSITA ADICAO DE AGUA)</v>
          </cell>
          <cell r="H1351">
            <v>3.7654540000000005</v>
          </cell>
        </row>
        <row r="1352">
          <cell r="D1352" t="str">
            <v>FITA DE PAPEL MICROPERFURADO, 50 X 150 MM, PARA TRATAMENTO DE JUNTAS DE CHAPA DE GESSO PARA DRYWALL</v>
          </cell>
          <cell r="H1352">
            <v>0.775837</v>
          </cell>
        </row>
        <row r="1353">
          <cell r="D1353" t="str">
            <v>FITA DE PAPEL REFORCADA COM LAMINA DE METAL PARA REFORCO DE CANTOS DE CHAPA DE GESSO PARA DRYWALL</v>
          </cell>
          <cell r="H1353">
            <v>4.0593100000000009</v>
          </cell>
        </row>
        <row r="1354">
          <cell r="D1354" t="str">
            <v>PARAFUSO DRY WALL, EM ACO FOSFATIZADO, CABECA TROMBETA E PONTA AGULHA (TA), COMPRIMENTO 25 MM</v>
          </cell>
          <cell r="H1354">
            <v>1.8168120000000001</v>
          </cell>
        </row>
        <row r="1355">
          <cell r="D1355" t="str">
            <v>PARAFUSO DRY WALL, EM ACO ZINCADO, CABECA LENTILHA E PONTA BROCA (LB), LARGURA 4,2 MM, COMPRIMENTO 13 MM</v>
          </cell>
          <cell r="H1355">
            <v>9.6060000000000006E-2</v>
          </cell>
        </row>
        <row r="1356">
          <cell r="D1356" t="str">
            <v>Perfil Steelframe, Montante 50mm - Um lado</v>
          </cell>
          <cell r="H1356">
            <v>23.578845999999999</v>
          </cell>
        </row>
        <row r="1357">
          <cell r="D1357" t="str">
            <v>PINO DE ACO COM ARRUELA CONICA, DIAMETRO ARRUELA = *23* MM E COMP HASTE = *27* MM (ACAO INDIRETA)</v>
          </cell>
          <cell r="H1357">
            <v>1.2499199999999999</v>
          </cell>
        </row>
        <row r="1358">
          <cell r="D1358" t="str">
            <v>PERFIL GUIA, FORMATO U, EM ACO ZINCADO, PARA ESTRUTURA PAREDE DRYWALL, E = 0,5 MM, 48 X 3000 MM (L X C)</v>
          </cell>
          <cell r="H1358">
            <v>5.3596719999999998</v>
          </cell>
        </row>
        <row r="1359">
          <cell r="D1359" t="str">
            <v>PERFIL MONTANTE, FORMATO C, EM ACO ZINCADO, PARA ESTRUTURA PAREDE DRYWALL, E = 0,5 MM, 48 X 3000 MM (L X C)</v>
          </cell>
          <cell r="H1359">
            <v>15.964788</v>
          </cell>
        </row>
        <row r="1360">
          <cell r="D1360" t="str">
            <v>PARAFUSO DRY WALL, EM ACO FOSFATIZADO, CABECA TROMBETA E PONTA AGULHA (TA), COMPRIMENTO 25 MM</v>
          </cell>
          <cell r="H1360">
            <v>0.90840600000000005</v>
          </cell>
        </row>
        <row r="1361">
          <cell r="D1361" t="str">
            <v>PARAFUSO DRY WALL, EM ACO ZINCADO, CABECA LENTILHA E PONTA BROCA (LB), LARGURA 4,2 MM, COMPRIMENTO 13 MM</v>
          </cell>
          <cell r="H1361">
            <v>9.6060000000000006E-2</v>
          </cell>
        </row>
        <row r="1362">
          <cell r="D1362" t="str">
            <v>Perfil Steelframe, Montante 70mm - Um lado</v>
          </cell>
          <cell r="H1362">
            <v>23.906677999999999</v>
          </cell>
        </row>
        <row r="1363">
          <cell r="D1363" t="str">
            <v>PINO DE ACO COM ARRUELA CONICA, DIAMETRO ARRUELA = *23* MM E COMP HASTE = *27* MM (ACAO INDIRETA)</v>
          </cell>
          <cell r="H1363">
            <v>1.2499199999999999</v>
          </cell>
        </row>
        <row r="1364">
          <cell r="D1364" t="str">
            <v>PERFIL GUIA, FORMATO U, EM ACO ZINCADO, PARA ESTRUTURA PAREDE DRYWALL, E = 0,5 MM, 70 X 3000 MM (L X C)</v>
          </cell>
          <cell r="H1364">
            <v>5.6875039999999997</v>
          </cell>
        </row>
        <row r="1365">
          <cell r="D1365" t="str">
            <v>PERFIL MONTANTE, FORMATO C, EM ACO ZINCADO, PARA ESTRUTURA PAREDE DRYWALL, E = 0,5 MM, 70 X 3000 MM (L X C)</v>
          </cell>
          <cell r="H1365">
            <v>15.964788</v>
          </cell>
        </row>
        <row r="1366">
          <cell r="D1366" t="str">
            <v>PARAFUSO DRY WALL, EM ACO FOSFATIZADO, CABECA TROMBETA E PONTA AGULHA (TA), COMPRIMENTO 25 MM</v>
          </cell>
          <cell r="H1366">
            <v>0.90840600000000005</v>
          </cell>
        </row>
        <row r="1367">
          <cell r="D1367" t="str">
            <v>PARAFUSO DRY WALL, EM ACO ZINCADO, CABECA LENTILHA E PONTA BROCA (LB), LARGURA 4,2 MM, COMPRIMENTO 13 MM</v>
          </cell>
          <cell r="H1367">
            <v>9.6060000000000006E-2</v>
          </cell>
        </row>
        <row r="1368">
          <cell r="D1368" t="str">
            <v>Perfil Steelframe, Montante 90mm - Um lado</v>
          </cell>
          <cell r="H1368">
            <v>45.032376000000006</v>
          </cell>
        </row>
        <row r="1369">
          <cell r="D1369" t="str">
            <v>PINO DE ACO COM ARRUELA CONICA, DIAMETRO ARRUELA = *23* MM E COMP HASTE = *27* MM (ACAO INDIRETA)</v>
          </cell>
          <cell r="H1369">
            <v>1.2499199999999999</v>
          </cell>
        </row>
        <row r="1370">
          <cell r="D1370" t="str">
            <v>PERFIL GUIA, FORMATO U, EM ACO ZINCADO, PARA ESTRUTURA PAREDE DRYWALL, E = 0,5 MM, 90 X 3000 MM (L X C)</v>
          </cell>
          <cell r="H1370">
            <v>6.5871360000000001</v>
          </cell>
        </row>
        <row r="1371">
          <cell r="D1371" t="str">
            <v>PERFIL MONTANTE, FORMATO C, EM ACO ZINCADO, PARA ESTRUTURA PAREDE DRYWALL, E = 0,5 MM, 90 X 3000 MM (L X C)</v>
          </cell>
          <cell r="H1371">
            <v>36.190854000000002</v>
          </cell>
        </row>
        <row r="1372">
          <cell r="D1372" t="str">
            <v>PARAFUSO DRY WALL, EM ACO FOSFATIZADO, CABECA TROMBETA E PONTA AGULHA (TA), COMPRIMENTO 25 MM</v>
          </cell>
          <cell r="H1372">
            <v>0.90840600000000005</v>
          </cell>
        </row>
        <row r="1373">
          <cell r="D1373" t="str">
            <v>PARAFUSO DRY WALL, EM ACO ZINCADO, CABECA LENTILHA E PONTA BROCA (LB), LARGURA 4,2 MM, COMPRIMENTO 13 MM</v>
          </cell>
          <cell r="H1373">
            <v>9.6060000000000006E-2</v>
          </cell>
        </row>
        <row r="1374">
          <cell r="D1374" t="str">
            <v>Enchimento de parede em Chapas De Gesso Para Drywall, Uso Interno, Montante 70mm, Com Uma Face Simples Standart e isolamento com Lâ de Vidro (ST/70)</v>
          </cell>
          <cell r="H1374">
            <v>133.54683933333331</v>
          </cell>
        </row>
        <row r="1375">
          <cell r="D1375" t="str">
            <v>SERVICO - CONFECCAO SHAFT GESSO</v>
          </cell>
          <cell r="H1375">
            <v>70</v>
          </cell>
        </row>
        <row r="1376">
          <cell r="D1376" t="str">
            <v>PLACA / CHAPA DE GESSO ACARTONADO, STANDARD (ST), COR BRANCA, E = 12,5 MM, 1200 X 2400 MM (L X C)</v>
          </cell>
          <cell r="H1376">
            <v>21.228479999999998</v>
          </cell>
        </row>
        <row r="1377">
          <cell r="D1377" t="str">
            <v>PINO DE ACO COM ARRUELA CONICA, DIAMETRO ARRUELA = *23* MM E COMP HASTE = *27* MM (ACAO INDIRETA)</v>
          </cell>
          <cell r="H1377">
            <v>1.2499199999999999</v>
          </cell>
        </row>
        <row r="1378">
          <cell r="D1378" t="str">
            <v>PERFIL GUIA, FORMATO U, EM ACO ZINCADO, PARA ESTRUTURA PAREDE DRYWALL, E = 0,5 MM, 70 X 3000 MM (L X C)</v>
          </cell>
          <cell r="H1378">
            <v>5.6875039999999997</v>
          </cell>
        </row>
        <row r="1379">
          <cell r="D1379" t="str">
            <v>PERFIL MONTANTE, FORMATO C, EM ACO ZINCADO, PARA ESTRUTURA PAREDE DRYWALL, E = 0,5 MM, 70 X 3000 MM (L X C)</v>
          </cell>
          <cell r="H1379">
            <v>15.964788</v>
          </cell>
        </row>
        <row r="1380">
          <cell r="D1380" t="str">
            <v>MASSA DE REJUNTE EM PO PARA DRYWALL, A BASE DE GESSO, SECAGEM RAPIDA, PARA TRATAMENTO DE JUNTAS DE CHAPA DE GESSO (NECESSITA ADICAO DE AGUA)</v>
          </cell>
          <cell r="H1380">
            <v>1.8827270000000003</v>
          </cell>
        </row>
        <row r="1381">
          <cell r="D1381" t="str">
            <v>FITA DE PAPEL MICROPERFURADO, 50 X 150 MM, PARA TRATAMENTO DE JUNTAS DE CHAPA DE GESSO PARA DRYWALL</v>
          </cell>
          <cell r="H1381">
            <v>0.387903</v>
          </cell>
        </row>
        <row r="1382">
          <cell r="D1382" t="str">
            <v>FITA DE PAPEL REFORCADA COM LAMINA DE METAL PARA REFORCO DE CANTOS DE CHAPA DE GESSO PARA DRYWALL</v>
          </cell>
          <cell r="H1382">
            <v>2.0295180000000004</v>
          </cell>
        </row>
        <row r="1383">
          <cell r="D1383" t="str">
            <v>PARAFUSO DRY WALL, EM ACO FOSFATIZADO, CABECA TROMBETA E PONTA AGULHA (TA), COMPRIMENTO 25 MM</v>
          </cell>
          <cell r="H1383">
            <v>0.90840600000000005</v>
          </cell>
        </row>
        <row r="1384">
          <cell r="D1384" t="str">
            <v>PARAFUSO DRY WALL, EM ACO ZINCADO, CABECA LENTILHA E PONTA BROCA (LB), LARGURA 4,2 MM, COMPRIMENTO 13 MM</v>
          </cell>
          <cell r="H1384">
            <v>9.6060000000000006E-2</v>
          </cell>
        </row>
        <row r="1385">
          <cell r="D1385" t="str">
            <v>LÂ DE VIDRO PARA ISOLAMENTO 50mm</v>
          </cell>
          <cell r="H1385">
            <v>14.111533333333334</v>
          </cell>
        </row>
        <row r="1386">
          <cell r="D1386" t="str">
            <v>Fechamento de Shaft em Chapas De Gesso Para Drywall, Uso Interno, Montante 48mm, Com Duas Face Resistente a Umidade(RU/48/RU)</v>
          </cell>
          <cell r="H1386">
            <v>200.19072299999999</v>
          </cell>
        </row>
        <row r="1387">
          <cell r="D1387" t="str">
            <v>SERVICO - CONFECCAO SHAFT GESSO</v>
          </cell>
          <cell r="H1387">
            <v>70</v>
          </cell>
        </row>
        <row r="1388">
          <cell r="D1388" t="str">
            <v>PLACA / CHAPA DE GESSO ACARTONADO, RESISTENTE A UMIDADE (RU), COR VERDE, E = 12,5 MM, 1200 X 2400 MM (L X C)</v>
          </cell>
          <cell r="H1388">
            <v>57.072600000000001</v>
          </cell>
        </row>
        <row r="1389">
          <cell r="D1389" t="str">
            <v>PINO DE ACO COM ARRUELA CONICA, DIAMETRO ARRUELA = *23* MM E COMP HASTE = *27* MM (ACAO INDIRETA)</v>
          </cell>
          <cell r="H1389">
            <v>2.9836800000000001</v>
          </cell>
        </row>
        <row r="1390">
          <cell r="D1390" t="str">
            <v>PERFIL GUIA, FORMATO U, EM ACO ZINCADO, PARA ESTRUTURA PAREDE DRYWALL, E = 0,5 MM, 48 X 3000 MM (L X C)</v>
          </cell>
          <cell r="H1390">
            <v>12.818502000000001</v>
          </cell>
        </row>
        <row r="1391">
          <cell r="D1391" t="str">
            <v>PERFIL MONTANTE, FORMATO C, EM ACO ZINCADO, PARA ESTRUTURA PAREDE DRYWALL, E = 0,5 MM, 48 X 3000 MM (L X C)</v>
          </cell>
          <cell r="H1391">
            <v>46.505844000000003</v>
          </cell>
        </row>
        <row r="1392">
          <cell r="D1392" t="str">
            <v>MASSA DE REJUNTE EM PO PARA DRYWALL, A BASE DE GESSO, SECAGEM RAPIDA, PARA TRATAMENTO DE JUNTAS DE CHAPA DE GESSO (NECESSITA ADICAO DE AGUA)</v>
          </cell>
          <cell r="H1392">
            <v>3.7654540000000005</v>
          </cell>
        </row>
        <row r="1393">
          <cell r="D1393" t="str">
            <v>FITA DE PAPEL MICROPERFURADO, 50 X 150 MM, PARA TRATAMENTO DE JUNTAS DE CHAPA DE GESSO PARA DRYWALL</v>
          </cell>
          <cell r="H1393">
            <v>0.775837</v>
          </cell>
        </row>
        <row r="1394">
          <cell r="D1394" t="str">
            <v>FITA DE PAPEL REFORCADA COM LAMINA DE METAL PARA REFORCO DE CANTOS DE CHAPA DE GESSO PARA DRYWALL</v>
          </cell>
          <cell r="H1394">
            <v>4.3431740000000003</v>
          </cell>
        </row>
        <row r="1395">
          <cell r="D1395" t="str">
            <v>PARAFUSO DRY WALL, EM ACO FOSFATIZADO, CABECA TROMBETA E PONTA AGULHA (TA), COMPRIMENTO 25 MM</v>
          </cell>
          <cell r="H1395">
            <v>1.8168120000000001</v>
          </cell>
        </row>
        <row r="1396">
          <cell r="D1396" t="str">
            <v>PARAFUSO DRY WALL, EM ACO ZINCADO, CABECA LENTILHA E PONTA BROCA (LB), LARGURA 4,2 MM, COMPRIMENTO 13 MM</v>
          </cell>
          <cell r="H1396">
            <v>0.10882000000000001</v>
          </cell>
        </row>
        <row r="1397">
          <cell r="D1397" t="str">
            <v>RU 48 mm - 1 PLACA - 6,05cm</v>
          </cell>
          <cell r="H1397">
            <v>167.74008450000002</v>
          </cell>
        </row>
        <row r="1398">
          <cell r="D1398" t="str">
            <v>SERVICO - CONFECCAO SHAFT GESSO</v>
          </cell>
          <cell r="H1398">
            <v>70</v>
          </cell>
        </row>
        <row r="1399">
          <cell r="D1399" t="str">
            <v>PLACA / CHAPA DE GESSO ACARTONADO, RESISTENTE A UMIDADE (RU), COR VERDE, E = 12,5 MM, 1200 X 2400 MM (L X C)</v>
          </cell>
          <cell r="H1399">
            <v>29.972600000000003</v>
          </cell>
        </row>
        <row r="1400">
          <cell r="D1400" t="str">
            <v>PINO DE ACO COM ARRUELA CONICA, DIAMETRO ARRUELA = *23* MM E COMP HASTE = *27* MM (ACAO INDIRETA)</v>
          </cell>
          <cell r="H1400">
            <v>2.9836800000000001</v>
          </cell>
        </row>
        <row r="1401">
          <cell r="D1401" t="str">
            <v>PERFIL GUIA, FORMATO U, EM ACO ZINCADO, PARA ESTRUTURA PAREDE DRYWALL, E = 0,5 MM, 48 X 3000 MM (L X C)</v>
          </cell>
          <cell r="H1401">
            <v>12.818502000000001</v>
          </cell>
        </row>
        <row r="1402">
          <cell r="D1402" t="str">
            <v>PERFIL MONTANTE, FORMATO C, EM ACO ZINCADO, PARA ESTRUTURA PAREDE DRYWALL, E = 0,5 MM, 48 X 3000 MM (L X C)</v>
          </cell>
          <cell r="H1402">
            <v>46.505844000000003</v>
          </cell>
        </row>
        <row r="1403">
          <cell r="D1403" t="str">
            <v>MASSA DE REJUNTE EM PO PARA DRYWALL, A BASE DE GESSO, SECAGEM RAPIDA, PARA TRATAMENTO DE JUNTAS DE CHAPA DE GESSO (NECESSITA ADICAO DE AGUA)</v>
          </cell>
          <cell r="H1403">
            <v>1.8827270000000003</v>
          </cell>
        </row>
        <row r="1404">
          <cell r="D1404" t="str">
            <v>FITA DE PAPEL MICROPERFURADO, 50 X 150 MM, PARA TRATAMENTO DE JUNTAS DE CHAPA DE GESSO PARA DRYWALL</v>
          </cell>
          <cell r="H1404">
            <v>0.3879185</v>
          </cell>
        </row>
        <row r="1405">
          <cell r="D1405" t="str">
            <v>FITA DE PAPEL REFORCADA COM LAMINA DE METAL PARA REFORCO DE CANTOS DE CHAPA DE GESSO PARA DRYWALL</v>
          </cell>
          <cell r="H1405">
            <v>2.1715870000000002</v>
          </cell>
        </row>
        <row r="1406">
          <cell r="D1406" t="str">
            <v>PARAFUSO DRY WALL, EM ACO FOSFATIZADO, CABECA TROMBETA E PONTA AGULHA (TA), COMPRIMENTO 25 MM</v>
          </cell>
          <cell r="H1406">
            <v>0.90840600000000005</v>
          </cell>
        </row>
        <row r="1407">
          <cell r="D1407" t="str">
            <v>PARAFUSO DRY WALL, EM ACO ZINCADO, CABECA LENTILHA E PONTA BROCA (LB), LARGURA 4,2 MM, COMPRIMENTO 13 MM</v>
          </cell>
          <cell r="H1407">
            <v>0.10882000000000001</v>
          </cell>
        </row>
        <row r="1408">
          <cell r="D1408" t="str">
            <v>ST 48 mm - 1 PLACA - 6,05cm</v>
          </cell>
          <cell r="H1408">
            <v>160.06444450000001</v>
          </cell>
        </row>
        <row r="1409">
          <cell r="D1409" t="str">
            <v>SERVICO - CONFECCAO SHAFT GESSO</v>
          </cell>
          <cell r="H1409">
            <v>70</v>
          </cell>
        </row>
        <row r="1410">
          <cell r="D1410" t="str">
            <v>PLACA / CHAPA DE GESSO ACARTONADO, STANDARD (ST), COR BRANCA, E = 12,5 MM, 1200 X 2400 MM (L X C)</v>
          </cell>
          <cell r="H1410">
            <v>22.296960000000002</v>
          </cell>
        </row>
        <row r="1411">
          <cell r="D1411" t="str">
            <v>PINO DE ACO COM ARRUELA CONICA, DIAMETRO ARRUELA = *23* MM E COMP HASTE = *27* MM (ACAO INDIRETA)</v>
          </cell>
          <cell r="H1411">
            <v>2.9836800000000001</v>
          </cell>
        </row>
        <row r="1412">
          <cell r="D1412" t="str">
            <v>PERFIL GUIA, FORMATO U, EM ACO ZINCADO, PARA ESTRUTURA PAREDE DRYWALL, E = 0,5 MM, 48 X 3000 MM (L X C)</v>
          </cell>
          <cell r="H1412">
            <v>12.818502000000001</v>
          </cell>
        </row>
        <row r="1413">
          <cell r="D1413" t="str">
            <v>PERFIL MONTANTE, FORMATO C, EM ACO ZINCADO, PARA ESTRUTURA PAREDE DRYWALL, E = 0,5 MM, 48 X 3000 MM (L X C)</v>
          </cell>
          <cell r="H1413">
            <v>46.505844000000003</v>
          </cell>
        </row>
        <row r="1414">
          <cell r="D1414" t="str">
            <v>MASSA DE REJUNTE EM PO PARA DRYWALL, A BASE DE GESSO, SECAGEM RAPIDA, PARA TRATAMENTO DE JUNTAS DE CHAPA DE GESSO (NECESSITA ADICAO DE AGUA)</v>
          </cell>
          <cell r="H1414">
            <v>1.8827270000000003</v>
          </cell>
        </row>
        <row r="1415">
          <cell r="D1415" t="str">
            <v>FITA DE PAPEL MICROPERFURADO, 50 X 150 MM, PARA TRATAMENTO DE JUNTAS DE CHAPA DE GESSO PARA DRYWALL</v>
          </cell>
          <cell r="H1415">
            <v>0.3879185</v>
          </cell>
        </row>
        <row r="1416">
          <cell r="D1416" t="str">
            <v>FITA DE PAPEL REFORCADA COM LAMINA DE METAL PARA REFORCO DE CANTOS DE CHAPA DE GESSO PARA DRYWALL</v>
          </cell>
          <cell r="H1416">
            <v>2.1715870000000002</v>
          </cell>
        </row>
        <row r="1417">
          <cell r="D1417" t="str">
            <v>PARAFUSO DRY WALL, EM ACO FOSFATIZADO, CABECA TROMBETA E PONTA AGULHA (TA), COMPRIMENTO 25 MM</v>
          </cell>
          <cell r="H1417">
            <v>0.90840600000000005</v>
          </cell>
        </row>
        <row r="1418">
          <cell r="D1418" t="str">
            <v>PARAFUSO DRY WALL, EM ACO ZINCADO, CABECA LENTILHA E PONTA BROCA (LB), LARGURA 4,2 MM, COMPRIMENTO 13 MM</v>
          </cell>
          <cell r="H1418">
            <v>0.10882000000000001</v>
          </cell>
        </row>
        <row r="1419">
          <cell r="D1419" t="str">
            <v>ST 70 mm - 1 PLACA - 8,25cm</v>
          </cell>
          <cell r="H1419">
            <v>159.7256165</v>
          </cell>
        </row>
        <row r="1420">
          <cell r="D1420" t="str">
            <v>SERVICO - CONFECCAO SHAFT GESSO</v>
          </cell>
          <cell r="H1420">
            <v>70</v>
          </cell>
        </row>
        <row r="1421">
          <cell r="D1421" t="str">
            <v>PLACA / CHAPA DE GESSO ACARTONADO, STANDARD (ST), COR BRANCA, E = 12,5 MM, 1200 X 2400 MM (L X C)</v>
          </cell>
          <cell r="H1421">
            <v>21.228479999999998</v>
          </cell>
        </row>
        <row r="1422">
          <cell r="D1422" t="str">
            <v>PINO DE ACO COM ARRUELA CONICA, DIAMETRO ARRUELA = *23* MM E COMP HASTE = *27* MM (ACAO INDIRETA)</v>
          </cell>
          <cell r="H1422">
            <v>2.9836800000000001</v>
          </cell>
        </row>
        <row r="1423">
          <cell r="D1423" t="str">
            <v>PERFIL GUIA, FORMATO U, EM ACO ZINCADO, PARA ESTRUTURA PAREDE DRYWALL, E = 0,5 MM, 70 X 3000 MM (L X C)</v>
          </cell>
          <cell r="H1423">
            <v>13.602563999999999</v>
          </cell>
        </row>
        <row r="1424">
          <cell r="D1424" t="str">
            <v>PERFIL MONTANTE, FORMATO C, EM ACO ZINCADO, PARA ESTRUTURA PAREDE DRYWALL, E = 0,5 MM, 70 X 3000 MM (L X C)</v>
          </cell>
          <cell r="H1424">
            <v>46.505844000000003</v>
          </cell>
        </row>
        <row r="1425">
          <cell r="D1425" t="str">
            <v>MASSA DE REJUNTE EM PO PARA DRYWALL, A BASE DE GESSO, SECAGEM RAPIDA, PARA TRATAMENTO DE JUNTAS DE CHAPA DE GESSO (NECESSITA ADICAO DE AGUA)</v>
          </cell>
          <cell r="H1425">
            <v>1.8827270000000003</v>
          </cell>
        </row>
        <row r="1426">
          <cell r="D1426" t="str">
            <v>FITA DE PAPEL MICROPERFURADO, 50 X 150 MM, PARA TRATAMENTO DE JUNTAS DE CHAPA DE GESSO PARA DRYWALL</v>
          </cell>
          <cell r="H1426">
            <v>0.3879185</v>
          </cell>
        </row>
        <row r="1427">
          <cell r="D1427" t="str">
            <v>FITA DE PAPEL REFORCADA COM LAMINA DE METAL PARA REFORCO DE CANTOS DE CHAPA DE GESSO PARA DRYWALL</v>
          </cell>
          <cell r="H1427">
            <v>2.1715870000000002</v>
          </cell>
        </row>
        <row r="1428">
          <cell r="D1428" t="str">
            <v>PARAFUSO DRY WALL, EM ACO FOSFATIZADO, CABECA TROMBETA E PONTA AGULHA (TA), COMPRIMENTO 25 MM</v>
          </cell>
          <cell r="H1428">
            <v>0.90840600000000005</v>
          </cell>
        </row>
        <row r="1429">
          <cell r="D1429" t="str">
            <v>PARAFUSO DRY WALL, EM ACO ZINCADO, CABECA LENTILHA E PONTA BROCA (LB), LARGURA 4,2 MM, COMPRIMENTO 13 MM</v>
          </cell>
          <cell r="H1429">
            <v>5.4410000000000007E-2</v>
          </cell>
        </row>
        <row r="1430">
          <cell r="D1430" t="str">
            <v>RU 70 mm - 1 PLACA - 8,25cm</v>
          </cell>
          <cell r="H1430">
            <v>167.03343649999999</v>
          </cell>
        </row>
        <row r="1431">
          <cell r="D1431" t="str">
            <v>SERVICO - CONFECCAO SHAFT GESSO</v>
          </cell>
          <cell r="H1431">
            <v>70</v>
          </cell>
        </row>
        <row r="1432">
          <cell r="D1432" t="str">
            <v>PLACA / CHAPA DE GESSO ACARTONADO, RESISTENTE A UMIDADE (RU), COR VERDE, E = 12,5 MM, 1200 X 2400 MM (L X C)</v>
          </cell>
          <cell r="H1432">
            <v>28.536300000000001</v>
          </cell>
        </row>
        <row r="1433">
          <cell r="D1433" t="str">
            <v>PINO DE ACO COM ARRUELA CONICA, DIAMETRO ARRUELA = *23* MM E COMP HASTE = *27* MM (ACAO INDIRETA)</v>
          </cell>
          <cell r="H1433">
            <v>2.9836800000000001</v>
          </cell>
        </row>
        <row r="1434">
          <cell r="D1434" t="str">
            <v>PERFIL GUIA, FORMATO U, EM ACO ZINCADO, PARA ESTRUTURA PAREDE DRYWALL, E = 0,5 MM, 70 X 3000 MM (L X C)</v>
          </cell>
          <cell r="H1434">
            <v>13.602563999999999</v>
          </cell>
        </row>
        <row r="1435">
          <cell r="D1435" t="str">
            <v>PERFIL MONTANTE, FORMATO C, EM ACO ZINCADO, PARA ESTRUTURA PAREDE DRYWALL, E = 0,5 MM, 70 X 3000 MM (L X C)</v>
          </cell>
          <cell r="H1435">
            <v>46.505844000000003</v>
          </cell>
        </row>
        <row r="1436">
          <cell r="D1436" t="str">
            <v>MASSA DE REJUNTE EM PO PARA DRYWALL, A BASE DE GESSO, SECAGEM RAPIDA, PARA TRATAMENTO DE JUNTAS DE CHAPA DE GESSO (NECESSITA ADICAO DE AGUA)</v>
          </cell>
          <cell r="H1436">
            <v>1.8827270000000003</v>
          </cell>
        </row>
        <row r="1437">
          <cell r="D1437" t="str">
            <v>FITA DE PAPEL MICROPERFURADO, 50 X 150 MM, PARA TRATAMENTO DE JUNTAS DE CHAPA DE GESSO PARA DRYWALL</v>
          </cell>
          <cell r="H1437">
            <v>0.3879185</v>
          </cell>
        </row>
        <row r="1438">
          <cell r="D1438" t="str">
            <v>FITA DE PAPEL REFORCADA COM LAMINA DE METAL PARA REFORCO DE CANTOS DE CHAPA DE GESSO PARA DRYWALL</v>
          </cell>
          <cell r="H1438">
            <v>2.1715870000000002</v>
          </cell>
        </row>
        <row r="1439">
          <cell r="D1439" t="str">
            <v>PARAFUSO DRY WALL, EM ACO FOSFATIZADO, CABECA TROMBETA E PONTA AGULHA (TA), COMPRIMENTO 25 MM</v>
          </cell>
          <cell r="H1439">
            <v>0.90840600000000005</v>
          </cell>
        </row>
        <row r="1440">
          <cell r="D1440" t="str">
            <v>PARAFUSO DRY WALL, EM ACO ZINCADO, CABECA LENTILHA E PONTA BROCA (LB), LARGURA 4,2 MM, COMPRIMENTO 13 MM</v>
          </cell>
          <cell r="H1440">
            <v>5.4410000000000007E-2</v>
          </cell>
        </row>
        <row r="1441">
          <cell r="D1441" t="str">
            <v>ST 70 mm - 2 PLACAS - 9,50cm</v>
          </cell>
          <cell r="H1441">
            <v>180.95409649999999</v>
          </cell>
        </row>
        <row r="1442">
          <cell r="D1442" t="str">
            <v>SERVICO - CONFECCAO SHAFT GESSO</v>
          </cell>
          <cell r="H1442">
            <v>70</v>
          </cell>
        </row>
        <row r="1443">
          <cell r="D1443" t="str">
            <v>PLACA / CHAPA DE GESSO ACARTONADO, STANDARD (ST), COR BRANCA, E = 12,5 MM, 1200 X 2400 MM (L X C)</v>
          </cell>
          <cell r="H1443">
            <v>42.456959999999995</v>
          </cell>
        </row>
        <row r="1444">
          <cell r="D1444" t="str">
            <v>PINO DE ACO COM ARRUELA CONICA, DIAMETRO ARRUELA = *23* MM E COMP HASTE = *27* MM (ACAO INDIRETA)</v>
          </cell>
          <cell r="H1444">
            <v>2.9836800000000001</v>
          </cell>
        </row>
        <row r="1445">
          <cell r="D1445" t="str">
            <v>PERFIL GUIA, FORMATO U, EM ACO ZINCADO, PARA ESTRUTURA PAREDE DRYWALL, E = 0,5 MM, 70 X 3000 MM (L X C)</v>
          </cell>
          <cell r="H1445">
            <v>13.602563999999999</v>
          </cell>
        </row>
        <row r="1446">
          <cell r="D1446" t="str">
            <v>PERFIL MONTANTE, FORMATO C, EM ACO ZINCADO, PARA ESTRUTURA PAREDE DRYWALL, E = 0,5 MM, 70 X 3000 MM (L X C)</v>
          </cell>
          <cell r="H1446">
            <v>46.505844000000003</v>
          </cell>
        </row>
        <row r="1447">
          <cell r="D1447" t="str">
            <v>MASSA DE REJUNTE EM PO PARA DRYWALL, A BASE DE GESSO, SECAGEM RAPIDA, PARA TRATAMENTO DE JUNTAS DE CHAPA DE GESSO (NECESSITA ADICAO DE AGUA)</v>
          </cell>
          <cell r="H1447">
            <v>1.8827270000000003</v>
          </cell>
        </row>
        <row r="1448">
          <cell r="D1448" t="str">
            <v>FITA DE PAPEL MICROPERFURADO, 50 X 150 MM, PARA TRATAMENTO DE JUNTAS DE CHAPA DE GESSO PARA DRYWALL</v>
          </cell>
          <cell r="H1448">
            <v>0.3879185</v>
          </cell>
        </row>
        <row r="1449">
          <cell r="D1449" t="str">
            <v>FITA DE PAPEL REFORCADA COM LAMINA DE METAL PARA REFORCO DE CANTOS DE CHAPA DE GESSO PARA DRYWALL</v>
          </cell>
          <cell r="H1449">
            <v>2.1715870000000002</v>
          </cell>
        </row>
        <row r="1450">
          <cell r="D1450" t="str">
            <v>PARAFUSO DRY WALL, EM ACO FOSFATIZADO, CABECA TROMBETA E PONTA AGULHA (TA), COMPRIMENTO 25 MM</v>
          </cell>
          <cell r="H1450">
            <v>0.90840600000000005</v>
          </cell>
        </row>
        <row r="1451">
          <cell r="D1451" t="str">
            <v>PARAFUSO DRY WALL, EM ACO ZINCADO, CABECA LENTILHA E PONTA BROCA (LB), LARGURA 4,2 MM, COMPRIMENTO 13 MM</v>
          </cell>
          <cell r="H1451">
            <v>5.4410000000000007E-2</v>
          </cell>
        </row>
        <row r="1452">
          <cell r="D1452" t="str">
            <v>RU 70 mm - 2 PLACAS - 9,50cm</v>
          </cell>
          <cell r="H1452">
            <v>195.56973649999998</v>
          </cell>
        </row>
        <row r="1453">
          <cell r="D1453" t="str">
            <v>SERVICO - CONFECCAO SHAFT GESSO</v>
          </cell>
          <cell r="H1453">
            <v>70</v>
          </cell>
        </row>
        <row r="1454">
          <cell r="D1454" t="str">
            <v>PLACA / CHAPA DE GESSO ACARTONADO, RESISTENTE A UMIDADE (RU), COR VERDE, E = 12,5 MM, 1200 X 2400 MM (L X C)</v>
          </cell>
          <cell r="H1454">
            <v>57.072600000000001</v>
          </cell>
        </row>
        <row r="1455">
          <cell r="D1455" t="str">
            <v>PINO DE ACO COM ARRUELA CONICA, DIAMETRO ARRUELA = *23* MM E COMP HASTE = *27* MM (ACAO INDIRETA)</v>
          </cell>
          <cell r="H1455">
            <v>2.9836800000000001</v>
          </cell>
        </row>
        <row r="1456">
          <cell r="D1456" t="str">
            <v>PERFIL GUIA, FORMATO U, EM ACO ZINCADO, PARA ESTRUTURA PAREDE DRYWALL, E = 0,5 MM, 70 X 3000 MM (L X C)</v>
          </cell>
          <cell r="H1456">
            <v>13.602563999999999</v>
          </cell>
        </row>
        <row r="1457">
          <cell r="D1457" t="str">
            <v>PERFIL MONTANTE, FORMATO C, EM ACO ZINCADO, PARA ESTRUTURA PAREDE DRYWALL, E = 0,5 MM, 70 X 3000 MM (L X C)</v>
          </cell>
          <cell r="H1457">
            <v>46.505844000000003</v>
          </cell>
        </row>
        <row r="1458">
          <cell r="D1458" t="str">
            <v>MASSA DE REJUNTE EM PO PARA DRYWALL, A BASE DE GESSO, SECAGEM RAPIDA, PARA TRATAMENTO DE JUNTAS DE CHAPA DE GESSO (NECESSITA ADICAO DE AGUA)</v>
          </cell>
          <cell r="H1458">
            <v>1.8827270000000003</v>
          </cell>
        </row>
        <row r="1459">
          <cell r="D1459" t="str">
            <v>FITA DE PAPEL MICROPERFURADO, 50 X 150 MM, PARA TRATAMENTO DE JUNTAS DE CHAPA DE GESSO PARA DRYWALL</v>
          </cell>
          <cell r="H1459">
            <v>0.3879185</v>
          </cell>
        </row>
        <row r="1460">
          <cell r="D1460" t="str">
            <v>FITA DE PAPEL REFORCADA COM LAMINA DE METAL PARA REFORCO DE CANTOS DE CHAPA DE GESSO PARA DRYWALL</v>
          </cell>
          <cell r="H1460">
            <v>2.1715870000000002</v>
          </cell>
        </row>
        <row r="1461">
          <cell r="D1461" t="str">
            <v>PARAFUSO DRY WALL, EM ACO FOSFATIZADO, CABECA TROMBETA E PONTA AGULHA (TA), COMPRIMENTO 25 MM</v>
          </cell>
          <cell r="H1461">
            <v>0.90840600000000005</v>
          </cell>
        </row>
        <row r="1462">
          <cell r="D1462" t="str">
            <v>PARAFUSO DRY WALL, EM ACO ZINCADO, CABECA LENTILHA E PONTA BROCA (LB), LARGURA 4,2 MM, COMPRIMENTO 13 MM</v>
          </cell>
          <cell r="H1462">
            <v>5.4410000000000007E-2</v>
          </cell>
        </row>
        <row r="1463">
          <cell r="D1463" t="str">
            <v>ST 70 mm - 4 PLACAS - 12,00cm</v>
          </cell>
          <cell r="H1463">
            <v>223.41105649999997</v>
          </cell>
        </row>
        <row r="1464">
          <cell r="D1464" t="str">
            <v>SERVICO - CONFECCAO SHAFT GESSO</v>
          </cell>
          <cell r="H1464">
            <v>70</v>
          </cell>
        </row>
        <row r="1465">
          <cell r="D1465" t="str">
            <v>PLACA / CHAPA DE GESSO ACARTONADO, STANDARD (ST), COR BRANCA, E = 12,5 MM, 1200 X 2400 MM (L X C)</v>
          </cell>
          <cell r="H1465">
            <v>84.91391999999999</v>
          </cell>
        </row>
        <row r="1466">
          <cell r="D1466" t="str">
            <v>PINO DE ACO COM ARRUELA CONICA, DIAMETRO ARRUELA = *23* MM E COMP HASTE = *27* MM (ACAO INDIRETA)</v>
          </cell>
          <cell r="H1466">
            <v>2.9836800000000001</v>
          </cell>
        </row>
        <row r="1467">
          <cell r="D1467" t="str">
            <v>PERFIL GUIA, FORMATO U, EM ACO ZINCADO, PARA ESTRUTURA PAREDE DRYWALL, E = 0,5 MM, 70 X 3000 MM (L X C)</v>
          </cell>
          <cell r="H1467">
            <v>13.602563999999999</v>
          </cell>
        </row>
        <row r="1468">
          <cell r="D1468" t="str">
            <v>PERFIL MONTANTE, FORMATO C, EM ACO ZINCADO, PARA ESTRUTURA PAREDE DRYWALL, E = 0,5 MM, 70 X 3000 MM (L X C)</v>
          </cell>
          <cell r="H1468">
            <v>46.505844000000003</v>
          </cell>
        </row>
        <row r="1469">
          <cell r="D1469" t="str">
            <v>MASSA DE REJUNTE EM PO PARA DRYWALL, A BASE DE GESSO, SECAGEM RAPIDA, PARA TRATAMENTO DE JUNTAS DE CHAPA DE GESSO (NECESSITA ADICAO DE AGUA)</v>
          </cell>
          <cell r="H1469">
            <v>1.8827270000000003</v>
          </cell>
        </row>
        <row r="1470">
          <cell r="D1470" t="str">
            <v>FITA DE PAPEL MICROPERFURADO, 50 X 150 MM, PARA TRATAMENTO DE JUNTAS DE CHAPA DE GESSO PARA DRYWALL</v>
          </cell>
          <cell r="H1470">
            <v>0.3879185</v>
          </cell>
        </row>
        <row r="1471">
          <cell r="D1471" t="str">
            <v>FITA DE PAPEL REFORCADA COM LAMINA DE METAL PARA REFORCO DE CANTOS DE CHAPA DE GESSO PARA DRYWALL</v>
          </cell>
          <cell r="H1471">
            <v>2.1715870000000002</v>
          </cell>
        </row>
        <row r="1472">
          <cell r="D1472" t="str">
            <v>PARAFUSO DRY WALL, EM ACO FOSFATIZADO, CABECA TROMBETA E PONTA AGULHA (TA), COMPRIMENTO 25 MM</v>
          </cell>
          <cell r="H1472">
            <v>0.90840600000000005</v>
          </cell>
        </row>
        <row r="1473">
          <cell r="D1473" t="str">
            <v>PARAFUSO DRY WALL, EM ACO ZINCADO, CABECA LENTILHA E PONTA BROCA (LB), LARGURA 4,2 MM, COMPRIMENTO 13 MM</v>
          </cell>
          <cell r="H1473">
            <v>5.4410000000000007E-2</v>
          </cell>
        </row>
        <row r="1474">
          <cell r="D1474" t="str">
            <v>TP732-E 150 mm - 3 PLACAS (Cim10 entre) - 15,00cm</v>
          </cell>
          <cell r="H1474">
            <v>274.34158366666668</v>
          </cell>
        </row>
        <row r="1475">
          <cell r="D1475" t="str">
            <v>SERVICO - CONFECCAO SHAFT GESSO</v>
          </cell>
          <cell r="H1475">
            <v>70</v>
          </cell>
        </row>
        <row r="1476">
          <cell r="D1476" t="str">
            <v>PLACA / CHAPA DE GESSO ACARTONADO, STANDARD (ST), COR BRANCA, E = 12,5 MM, 1200 X 2400 MM (L X C)</v>
          </cell>
          <cell r="H1476">
            <v>42.456959999999995</v>
          </cell>
        </row>
        <row r="1477">
          <cell r="D1477" t="str">
            <v>PLACA CIMENTÍCIA(CT) PARA STEEL FRAME BRASILIT-ETERNIT 8MM X 1,20M X 2,40M</v>
          </cell>
          <cell r="H1477">
            <v>33.279079166666676</v>
          </cell>
        </row>
        <row r="1478">
          <cell r="D1478" t="str">
            <v>PINO DE ACO COM ARRUELA CONICA, DIAMETRO ARRUELA = *23* MM E COMP HASTE = *27* MM (ACAO INDIRETA)</v>
          </cell>
          <cell r="H1478">
            <v>2.9836800000000001</v>
          </cell>
        </row>
        <row r="1479">
          <cell r="D1479" t="str">
            <v>PERFIL GUIA, FORMATO U, EM ACO ZINCADO, PARA ESTRUTURA PAREDE DRYWALL, E = 0,5 MM, 70 X 3000 MM (L X C)</v>
          </cell>
          <cell r="H1479">
            <v>27.205127999999998</v>
          </cell>
        </row>
        <row r="1480">
          <cell r="D1480" t="str">
            <v>PERFIL MONTANTE, FORMATO C, EM ACO ZINCADO, PARA ESTRUTURA PAREDE DRYWALL, E = 0,5 MM, 70 X 3000 MM (L X C)</v>
          </cell>
          <cell r="H1480">
            <v>93.011688000000007</v>
          </cell>
        </row>
        <row r="1481">
          <cell r="D1481" t="str">
            <v>MASSA DE REJUNTE EM PO PARA DRYWALL, A BASE DE GESSO, SECAGEM RAPIDA, PARA TRATAMENTO DE JUNTAS DE CHAPA DE GESSO (NECESSITA ADICAO DE AGUA)</v>
          </cell>
          <cell r="H1481">
            <v>1.8827270000000003</v>
          </cell>
        </row>
        <row r="1482">
          <cell r="D1482" t="str">
            <v>FITA DE PAPEL MICROPERFURADO, 50 X 150 MM, PARA TRATAMENTO DE JUNTAS DE CHAPA DE GESSO PARA DRYWALL</v>
          </cell>
          <cell r="H1482">
            <v>0.3879185</v>
          </cell>
        </row>
        <row r="1483">
          <cell r="D1483" t="str">
            <v>FITA DE PAPEL REFORCADA COM LAMINA DE METAL PARA REFORCO DE CANTOS DE CHAPA DE GESSO PARA DRYWALL</v>
          </cell>
          <cell r="H1483">
            <v>2.1715870000000002</v>
          </cell>
        </row>
        <row r="1484">
          <cell r="D1484" t="str">
            <v>PARAFUSO DRY WALL, EM ACO FOSFATIZADO, CABECA TROMBETA E PONTA AGULHA (TA), COMPRIMENTO 25 MM</v>
          </cell>
          <cell r="H1484">
            <v>0.90840600000000005</v>
          </cell>
        </row>
        <row r="1485">
          <cell r="D1485" t="str">
            <v>PARAFUSO DRY WALL, EM ACO ZINCADO, CABECA LENTILHA E PONTA BROCA (LB), LARGURA 4,2 MM, COMPRIMENTO 13 MM</v>
          </cell>
          <cell r="H1485">
            <v>5.4410000000000007E-2</v>
          </cell>
        </row>
        <row r="1486">
          <cell r="D1486" t="str">
            <v>TP734-E  162,5 mm - 2 PLACAS (Hu + Cim10) - 16,25cm</v>
          </cell>
          <cell r="H1486">
            <v>264.17223616666666</v>
          </cell>
        </row>
        <row r="1487">
          <cell r="D1487" t="str">
            <v>SERVICO - CONFECCAO SHAFT GESSO</v>
          </cell>
          <cell r="H1487">
            <v>70</v>
          </cell>
        </row>
        <row r="1488">
          <cell r="D1488" t="str">
            <v>CHAPA DE GESSO PARA DRYWALL PLACO - KNAUF (RU) VERDE 12,5MM X 1,20M X 1,80M</v>
          </cell>
          <cell r="H1488">
            <v>32.287612500000002</v>
          </cell>
        </row>
        <row r="1489">
          <cell r="D1489" t="str">
            <v>PLACA CIMENTÍCIA(CT) PARA STEEL FRAME BRASILIT-ETERNIT 8MM X 1,20M X 2,40M</v>
          </cell>
          <cell r="H1489">
            <v>33.279079166666676</v>
          </cell>
        </row>
        <row r="1490">
          <cell r="D1490" t="str">
            <v>PINO DE ACO COM ARRUELA CONICA, DIAMETRO ARRUELA = *23* MM E COMP HASTE = *27* MM (ACAO INDIRETA)</v>
          </cell>
          <cell r="H1490">
            <v>2.9836800000000001</v>
          </cell>
        </row>
        <row r="1491">
          <cell r="D1491" t="str">
            <v>PERFIL GUIA, FORMATO U, EM ACO ZINCADO, PARA ESTRUTURA PAREDE DRYWALL, E = 0,5 MM, 70 X 3000 MM (L X C)</v>
          </cell>
          <cell r="H1491">
            <v>27.205127999999998</v>
          </cell>
        </row>
        <row r="1492">
          <cell r="D1492" t="str">
            <v>PERFIL MONTANTE, FORMATO C, EM ACO ZINCADO, PARA ESTRUTURA PAREDE DRYWALL, E = 0,5 MM, 70 X 3000 MM (L X C)</v>
          </cell>
          <cell r="H1492">
            <v>93.011688000000007</v>
          </cell>
        </row>
        <row r="1493">
          <cell r="D1493" t="str">
            <v>MASSA DE REJUNTE EM PO PARA DRYWALL, A BASE DE GESSO, SECAGEM RAPIDA, PARA TRATAMENTO DE JUNTAS DE CHAPA DE GESSO (NECESSITA ADICAO DE AGUA)</v>
          </cell>
          <cell r="H1493">
            <v>1.8827270000000003</v>
          </cell>
        </row>
        <row r="1494">
          <cell r="D1494" t="str">
            <v>FITA DE PAPEL MICROPERFURADO, 50 X 150 MM, PARA TRATAMENTO DE JUNTAS DE CHAPA DE GESSO PARA DRYWALL</v>
          </cell>
          <cell r="H1494">
            <v>0.3879185</v>
          </cell>
        </row>
        <row r="1495">
          <cell r="D1495" t="str">
            <v>FITA DE PAPEL REFORCADA COM LAMINA DE METAL PARA REFORCO DE CANTOS DE CHAPA DE GESSO PARA DRYWALL</v>
          </cell>
          <cell r="H1495">
            <v>2.1715870000000002</v>
          </cell>
        </row>
        <row r="1496">
          <cell r="D1496" t="str">
            <v>PARAFUSO DRY WALL, EM ACO FOSFATIZADO, CABECA TROMBETA E PONTA AGULHA (TA), COMPRIMENTO 25 MM</v>
          </cell>
          <cell r="H1496">
            <v>0.90840600000000005</v>
          </cell>
        </row>
        <row r="1497">
          <cell r="D1497" t="str">
            <v>PARAFUSO DRY WALL, EM ACO ZINCADO, CABECA LENTILHA E PONTA BROCA (LB), LARGURA 4,2 MM, COMPRIMENTO 13 MM</v>
          </cell>
          <cell r="H1497">
            <v>5.4410000000000007E-2</v>
          </cell>
        </row>
        <row r="1498">
          <cell r="D1498" t="str">
            <v>TP673 175 mm - 3 PLACAS (Hd/Hu + Cim10) - 17,50cm</v>
          </cell>
          <cell r="H1498">
            <v>452.49218866666672</v>
          </cell>
        </row>
        <row r="1499">
          <cell r="D1499" t="str">
            <v>SERVICO - CONFECCAO SHAFT GESSO</v>
          </cell>
          <cell r="H1499">
            <v>70</v>
          </cell>
        </row>
        <row r="1500">
          <cell r="D1500" t="str">
            <v>CHAPA DE GESSO PARA DRYWALL PLACO - KNAUF (RU) VERDE 12,5MM X 1,20M X 1,80M</v>
          </cell>
          <cell r="H1500">
            <v>32.287612500000002</v>
          </cell>
        </row>
        <row r="1501">
          <cell r="D1501" t="str">
            <v>CHAPA DE GESSO PARA DRYWALL PLACO - KNAUF (HD) HARDBOARD 12,5MM X 1,20M X 1,80M</v>
          </cell>
          <cell r="H1501">
            <v>66.1786125</v>
          </cell>
        </row>
        <row r="1502">
          <cell r="D1502" t="str">
            <v>PLACA CIMENTÍCIA(CT) PARA STEEL FRAME BRASILIT-ETERNIT 8MM X 1,20M X 2,40M</v>
          </cell>
          <cell r="H1502">
            <v>33.279079166666676</v>
          </cell>
        </row>
        <row r="1503">
          <cell r="D1503" t="str">
            <v>PINO DE ACO COM ARRUELA CONICA, DIAMETRO ARRUELA = *23* MM E COMP HASTE = *27* MM (ACAO INDIRETA)</v>
          </cell>
          <cell r="H1503">
            <v>2.9836800000000001</v>
          </cell>
        </row>
        <row r="1504">
          <cell r="D1504" t="str">
            <v>PERFIL GUIA, FORMATO U, EM ACO ZINCADO, PARA ESTRUTURA PAREDE DRYWALL, E = 0,5 MM, 90 X 3000 MM (L X C)</v>
          </cell>
          <cell r="H1504">
            <v>31.508352000000002</v>
          </cell>
        </row>
        <row r="1505">
          <cell r="D1505" t="str">
            <v>PERFIL MONTANTE, FORMATO C, EM ACO ZINCADO, PARA ESTRUTURA PAREDE DRYWALL, E = 0,5 MM, 90 X 3000 MM (L X C)</v>
          </cell>
          <cell r="H1505">
            <v>210.84980400000001</v>
          </cell>
        </row>
        <row r="1506">
          <cell r="D1506" t="str">
            <v>MASSA DE REJUNTE EM PO PARA DRYWALL, A BASE DE GESSO, SECAGEM RAPIDA, PARA TRATAMENTO DE JUNTAS DE CHAPA DE GESSO (NECESSITA ADICAO DE AGUA)</v>
          </cell>
          <cell r="H1506">
            <v>1.8827270000000003</v>
          </cell>
        </row>
        <row r="1507">
          <cell r="D1507" t="str">
            <v>FITA DE PAPEL MICROPERFURADO, 50 X 150 MM, PARA TRATAMENTO DE JUNTAS DE CHAPA DE GESSO PARA DRYWALL</v>
          </cell>
          <cell r="H1507">
            <v>0.3879185</v>
          </cell>
        </row>
        <row r="1508">
          <cell r="D1508" t="str">
            <v>FITA DE PAPEL REFORCADA COM LAMINA DE METAL PARA REFORCO DE CANTOS DE CHAPA DE GESSO PARA DRYWALL</v>
          </cell>
          <cell r="H1508">
            <v>2.1715870000000002</v>
          </cell>
        </row>
        <row r="1509">
          <cell r="D1509" t="str">
            <v>PARAFUSO DRY WALL, EM ACO FOSFATIZADO, CABECA TROMBETA E PONTA AGULHA (TA), COMPRIMENTO 25 MM</v>
          </cell>
          <cell r="H1509">
            <v>0.90840600000000005</v>
          </cell>
        </row>
        <row r="1510">
          <cell r="D1510" t="str">
            <v>PARAFUSO DRY WALL, EM ACO ZINCADO, CABECA LENTILHA E PONTA BROCA (LB), LARGURA 4,2 MM, COMPRIMENTO 13 MM</v>
          </cell>
          <cell r="H1510">
            <v>5.4410000000000007E-2</v>
          </cell>
        </row>
        <row r="1511">
          <cell r="D1511" t="str">
            <v>TP732-E  175 mm - 3 PLACAS (Hd/Hu + Cim10) - 17,50cm</v>
          </cell>
          <cell r="H1511">
            <v>452.49218866666672</v>
          </cell>
        </row>
        <row r="1512">
          <cell r="D1512" t="str">
            <v>SERVICO - CONFECCAO SHAFT GESSO</v>
          </cell>
          <cell r="H1512">
            <v>70</v>
          </cell>
        </row>
        <row r="1513">
          <cell r="D1513" t="str">
            <v>CHAPA DE GESSO PARA DRYWALL PLACO - KNAUF (RU) VERDE 12,5MM X 1,20M X 1,80M</v>
          </cell>
          <cell r="H1513">
            <v>32.287612500000002</v>
          </cell>
        </row>
        <row r="1514">
          <cell r="D1514" t="str">
            <v>CHAPA DE GESSO PARA DRYWALL PLACO - KNAUF (HD) HARDBOARD 12,5MM X 1,20M X 1,80M</v>
          </cell>
          <cell r="H1514">
            <v>66.1786125</v>
          </cell>
        </row>
        <row r="1515">
          <cell r="D1515" t="str">
            <v>PLACA CIMENTÍCIA(CT) PARA STEEL FRAME BRASILIT-ETERNIT 8MM X 1,20M X 2,40M</v>
          </cell>
          <cell r="H1515">
            <v>33.279079166666676</v>
          </cell>
        </row>
        <row r="1516">
          <cell r="D1516" t="str">
            <v>PINO DE ACO COM ARRUELA CONICA, DIAMETRO ARRUELA = *23* MM E COMP HASTE = *27* MM (ACAO INDIRETA)</v>
          </cell>
          <cell r="H1516">
            <v>2.9836800000000001</v>
          </cell>
        </row>
        <row r="1517">
          <cell r="D1517" t="str">
            <v>PERFIL GUIA, FORMATO U, EM ACO ZINCADO, PARA ESTRUTURA PAREDE DRYWALL, E = 0,5 MM, 90 X 3000 MM (L X C)</v>
          </cell>
          <cell r="H1517">
            <v>31.508352000000002</v>
          </cell>
        </row>
        <row r="1518">
          <cell r="D1518" t="str">
            <v>PERFIL MONTANTE, FORMATO C, EM ACO ZINCADO, PARA ESTRUTURA PAREDE DRYWALL, E = 0,5 MM, 90 X 3000 MM (L X C)</v>
          </cell>
          <cell r="H1518">
            <v>210.84980400000001</v>
          </cell>
        </row>
        <row r="1519">
          <cell r="D1519" t="str">
            <v>MASSA DE REJUNTE EM PO PARA DRYWALL, A BASE DE GESSO, SECAGEM RAPIDA, PARA TRATAMENTO DE JUNTAS DE CHAPA DE GESSO (NECESSITA ADICAO DE AGUA)</v>
          </cell>
          <cell r="H1519">
            <v>1.8827270000000003</v>
          </cell>
        </row>
        <row r="1520">
          <cell r="D1520" t="str">
            <v>FITA DE PAPEL MICROPERFURADO, 50 X 150 MM, PARA TRATAMENTO DE JUNTAS DE CHAPA DE GESSO PARA DRYWALL</v>
          </cell>
          <cell r="H1520">
            <v>0.3879185</v>
          </cell>
        </row>
        <row r="1521">
          <cell r="D1521" t="str">
            <v>FITA DE PAPEL REFORCADA COM LAMINA DE METAL PARA REFORCO DE CANTOS DE CHAPA DE GESSO PARA DRYWALL</v>
          </cell>
          <cell r="H1521">
            <v>2.1715870000000002</v>
          </cell>
        </row>
        <row r="1522">
          <cell r="D1522" t="str">
            <v>PARAFUSO DRY WALL, EM ACO FOSFATIZADO, CABECA TROMBETA E PONTA AGULHA (TA), COMPRIMENTO 25 MM</v>
          </cell>
          <cell r="H1522">
            <v>0.90840600000000005</v>
          </cell>
        </row>
        <row r="1523">
          <cell r="D1523" t="str">
            <v>PARAFUSO DRY WALL, EM ACO ZINCADO, CABECA LENTILHA E PONTA BROCA (LB), LARGURA 4,2 MM, COMPRIMENTO 13 MM</v>
          </cell>
          <cell r="H1523">
            <v>5.4410000000000007E-2</v>
          </cell>
        </row>
        <row r="1524">
          <cell r="D1524" t="str">
            <v>TP673 70 mm - 2 PLACAS - 9,50cm</v>
          </cell>
          <cell r="H1524">
            <v>180.95409649999999</v>
          </cell>
        </row>
        <row r="1525">
          <cell r="D1525" t="str">
            <v>SERVICO - CONFECCAO SHAFT GESSO</v>
          </cell>
          <cell r="H1525">
            <v>70</v>
          </cell>
        </row>
        <row r="1526">
          <cell r="D1526" t="str">
            <v>PLACA / CHAPA DE GESSO ACARTONADO, STANDARD (ST), COR BRANCA, E = 12,5 MM, 1200 X 2400 MM (L X C)</v>
          </cell>
          <cell r="H1526">
            <v>42.456959999999995</v>
          </cell>
        </row>
        <row r="1527">
          <cell r="D1527" t="str">
            <v>PINO DE ACO COM ARRUELA CONICA, DIAMETRO ARRUELA = *23* MM E COMP HASTE = *27* MM (ACAO INDIRETA)</v>
          </cell>
          <cell r="H1527">
            <v>2.9836800000000001</v>
          </cell>
        </row>
        <row r="1528">
          <cell r="D1528" t="str">
            <v>PERFIL GUIA, FORMATO U, EM ACO ZINCADO, PARA ESTRUTURA PAREDE DRYWALL, E = 0,5 MM, 70 X 3000 MM (L X C)</v>
          </cell>
          <cell r="H1528">
            <v>13.602563999999999</v>
          </cell>
        </row>
        <row r="1529">
          <cell r="D1529" t="str">
            <v>PERFIL MONTANTE, FORMATO C, EM ACO ZINCADO, PARA ESTRUTURA PAREDE DRYWALL, E = 0,5 MM, 70 X 3000 MM (L X C)</v>
          </cell>
          <cell r="H1529">
            <v>46.505844000000003</v>
          </cell>
        </row>
        <row r="1530">
          <cell r="D1530" t="str">
            <v>MASSA DE REJUNTE EM PO PARA DRYWALL, A BASE DE GESSO, SECAGEM RAPIDA, PARA TRATAMENTO DE JUNTAS DE CHAPA DE GESSO (NECESSITA ADICAO DE AGUA)</v>
          </cell>
          <cell r="H1530">
            <v>1.8827270000000003</v>
          </cell>
        </row>
        <row r="1531">
          <cell r="D1531" t="str">
            <v>FITA DE PAPEL MICROPERFURADO, 50 X 150 MM, PARA TRATAMENTO DE JUNTAS DE CHAPA DE GESSO PARA DRYWALL</v>
          </cell>
          <cell r="H1531">
            <v>0.3879185</v>
          </cell>
        </row>
        <row r="1532">
          <cell r="D1532" t="str">
            <v>FITA DE PAPEL REFORCADA COM LAMINA DE METAL PARA REFORCO DE CANTOS DE CHAPA DE GESSO PARA DRYWALL</v>
          </cell>
          <cell r="H1532">
            <v>2.1715870000000002</v>
          </cell>
        </row>
        <row r="1533">
          <cell r="D1533" t="str">
            <v>PARAFUSO DRY WALL, EM ACO FOSFATIZADO, CABECA TROMBETA E PONTA AGULHA (TA), COMPRIMENTO 25 MM</v>
          </cell>
          <cell r="H1533">
            <v>0.90840600000000005</v>
          </cell>
        </row>
        <row r="1534">
          <cell r="D1534" t="str">
            <v>PARAFUSO DRY WALL, EM ACO ZINCADO, CABECA LENTILHA E PONTA BROCA (LB), LARGURA 4,2 MM, COMPRIMENTO 13 MM</v>
          </cell>
          <cell r="H1534">
            <v>5.4410000000000007E-2</v>
          </cell>
        </row>
        <row r="1535">
          <cell r="D1535" t="str">
            <v>30_DRY 48 mm - SEM PLACAS - 4,80cm  -</v>
          </cell>
          <cell r="H1535">
            <v>132.41684600000002</v>
          </cell>
        </row>
        <row r="1536">
          <cell r="D1536" t="str">
            <v>SERVICO - CONFECCAO SHAFT GESSO</v>
          </cell>
          <cell r="H1536">
            <v>70</v>
          </cell>
        </row>
        <row r="1537">
          <cell r="D1537" t="str">
            <v>PINO DE ACO COM ARRUELA CONICA, DIAMETRO ARRUELA = *23* MM E COMP HASTE = *27* MM (ACAO INDIRETA)</v>
          </cell>
          <cell r="H1537">
            <v>2.9836800000000001</v>
          </cell>
        </row>
        <row r="1538">
          <cell r="D1538" t="str">
            <v>PERFIL GUIA, FORMATO U, EM ACO ZINCADO, PARA ESTRUTURA PAREDE DRYWALL, E = 0,5 MM, 48 X 3000 MM (L X C)</v>
          </cell>
          <cell r="H1538">
            <v>12.818502000000001</v>
          </cell>
        </row>
        <row r="1539">
          <cell r="D1539" t="str">
            <v>PERFIL MONTANTE, FORMATO C, EM ACO ZINCADO, PARA ESTRUTURA PAREDE DRYWALL, E = 0,5 MM, 48 X 3000 MM (L X C)</v>
          </cell>
          <cell r="H1539">
            <v>46.505844000000003</v>
          </cell>
        </row>
        <row r="1540">
          <cell r="D1540" t="str">
            <v>PARAFUSO DRY WALL, EM ACO ZINCADO, CABECA LENTILHA E PONTA BROCA (LB), LARGURA 4,2 MM, COMPRIMENTO 13 MM</v>
          </cell>
          <cell r="H1540">
            <v>0.10882000000000001</v>
          </cell>
        </row>
        <row r="1541">
          <cell r="D1541" t="str">
            <v>34_DRY 48 mm LV - SEM PLACAS - 4,80cm  -</v>
          </cell>
          <cell r="H1541">
            <v>146.73811266666669</v>
          </cell>
        </row>
        <row r="1542">
          <cell r="D1542" t="str">
            <v>SERVICO - CONFECCAO SHAFT GESSO</v>
          </cell>
          <cell r="H1542">
            <v>70</v>
          </cell>
        </row>
        <row r="1543">
          <cell r="D1543" t="str">
            <v>PINO DE ACO COM ARRUELA CONICA, DIAMETRO ARRUELA = *23* MM E COMP HASTE = *27* MM (ACAO INDIRETA)</v>
          </cell>
          <cell r="H1543">
            <v>2.9836800000000001</v>
          </cell>
        </row>
        <row r="1544">
          <cell r="D1544" t="str">
            <v>PERFIL GUIA, FORMATO U, EM ACO ZINCADO, PARA ESTRUTURA PAREDE DRYWALL, E = 0,5 MM, 48 X 3000 MM (L X C)</v>
          </cell>
          <cell r="H1544">
            <v>12.818502000000001</v>
          </cell>
        </row>
        <row r="1545">
          <cell r="D1545" t="str">
            <v>PERFIL MONTANTE, FORMATO C, EM ACO ZINCADO, PARA ESTRUTURA PAREDE DRYWALL, E = 0,5 MM, 48 X 3000 MM (L X C)</v>
          </cell>
          <cell r="H1545">
            <v>46.505844000000003</v>
          </cell>
        </row>
        <row r="1546">
          <cell r="D1546" t="str">
            <v>PARAFUSO DRY WALL, EM ACO ZINCADO, CABECA LENTILHA E PONTA BROCA (LB), LARGURA 4,2 MM, COMPRIMENTO 13 MM</v>
          </cell>
          <cell r="H1546">
            <v>0.10882000000000001</v>
          </cell>
        </row>
        <row r="1547">
          <cell r="D1547" t="str">
            <v>Lã de pet 50 X 1200 X 12500 MM</v>
          </cell>
          <cell r="H1547">
            <v>14.321266666666666</v>
          </cell>
        </row>
        <row r="1548">
          <cell r="D1548" t="str">
            <v>30_DRY 48 mm - 1 PLACA - 6,05cm  -  Lado A: PLACA PERFORMANCE RU - Lado B: N/A</v>
          </cell>
          <cell r="H1548">
            <v>167.74008450000002</v>
          </cell>
        </row>
        <row r="1549">
          <cell r="D1549" t="str">
            <v>SERVICO - CONFECCAO SHAFT GESSO</v>
          </cell>
          <cell r="H1549">
            <v>70</v>
          </cell>
        </row>
        <row r="1550">
          <cell r="D1550" t="str">
            <v>PLACA / CHAPA DE GESSO ACARTONADO, RESISTENTE A UMIDADE (RU), COR VERDE, E = 12,5 MM, 1200 X 2400 MM (L X C)</v>
          </cell>
          <cell r="H1550">
            <v>29.972600000000003</v>
          </cell>
        </row>
        <row r="1551">
          <cell r="D1551" t="str">
            <v>PINO DE ACO COM ARRUELA CONICA, DIAMETRO ARRUELA = *23* MM E COMP HASTE = *27* MM (ACAO INDIRETA)</v>
          </cell>
          <cell r="H1551">
            <v>2.9836800000000001</v>
          </cell>
        </row>
        <row r="1552">
          <cell r="D1552" t="str">
            <v>PERFIL GUIA, FORMATO U, EM ACO ZINCADO, PARA ESTRUTURA PAREDE DRYWALL, E = 0,5 MM, 48 X 3000 MM (L X C)</v>
          </cell>
          <cell r="H1552">
            <v>12.818502000000001</v>
          </cell>
        </row>
        <row r="1553">
          <cell r="D1553" t="str">
            <v>PERFIL MONTANTE, FORMATO C, EM ACO ZINCADO, PARA ESTRUTURA PAREDE DRYWALL, E = 0,5 MM, 48 X 3000 MM (L X C)</v>
          </cell>
          <cell r="H1553">
            <v>46.505844000000003</v>
          </cell>
        </row>
        <row r="1554">
          <cell r="D1554" t="str">
            <v>MASSA DE REJUNTE EM PO PARA DRYWALL, A BASE DE GESSO, SECAGEM RAPIDA, PARA TRATAMENTO DE JUNTAS DE CHAPA DE GESSO (NECESSITA ADICAO DE AGUA)</v>
          </cell>
          <cell r="H1554">
            <v>1.8827270000000003</v>
          </cell>
        </row>
        <row r="1555">
          <cell r="D1555" t="str">
            <v>FITA DE PAPEL MICROPERFURADO, 50 X 150 MM, PARA TRATAMENTO DE JUNTAS DE CHAPA DE GESSO PARA DRYWALL</v>
          </cell>
          <cell r="H1555">
            <v>0.3879185</v>
          </cell>
        </row>
        <row r="1556">
          <cell r="D1556" t="str">
            <v>FITA DE PAPEL REFORCADA COM LAMINA DE METAL PARA REFORCO DE CANTOS DE CHAPA DE GESSO PARA DRYWALL</v>
          </cell>
          <cell r="H1556">
            <v>2.1715870000000002</v>
          </cell>
        </row>
        <row r="1557">
          <cell r="D1557" t="str">
            <v>PARAFUSO DRY WALL, EM ACO FOSFATIZADO, CABECA TROMBETA E PONTA AGULHA (TA), COMPRIMENTO 25 MM</v>
          </cell>
          <cell r="H1557">
            <v>0.90840600000000005</v>
          </cell>
        </row>
        <row r="1558">
          <cell r="D1558" t="str">
            <v>PARAFUSO DRY WALL, EM ACO ZINCADO, CABECA LENTILHA E PONTA BROCA (LB), LARGURA 4,2 MM, COMPRIMENTO 13 MM</v>
          </cell>
          <cell r="H1558">
            <v>0.10882000000000001</v>
          </cell>
        </row>
        <row r="1559">
          <cell r="D1559" t="str">
            <v>30_DRY 48 mm - 1 PLACA - 6,05cm  -  Lado A: PLACA RU - Lado B: N/A</v>
          </cell>
          <cell r="H1559">
            <v>167.74008450000002</v>
          </cell>
        </row>
        <row r="1560">
          <cell r="D1560" t="str">
            <v>SERVICO - CONFECCAO SHAFT GESSO</v>
          </cell>
          <cell r="H1560">
            <v>70</v>
          </cell>
        </row>
        <row r="1561">
          <cell r="D1561" t="str">
            <v>PLACA / CHAPA DE GESSO ACARTONADO, RESISTENTE A UMIDADE (RU), COR VERDE, E = 12,5 MM, 1200 X 2400 MM (L X C)</v>
          </cell>
          <cell r="H1561">
            <v>29.972600000000003</v>
          </cell>
        </row>
        <row r="1562">
          <cell r="D1562" t="str">
            <v>PINO DE ACO COM ARRUELA CONICA, DIAMETRO ARRUELA = *23* MM E COMP HASTE = *27* MM (ACAO INDIRETA)</v>
          </cell>
          <cell r="H1562">
            <v>2.9836800000000001</v>
          </cell>
        </row>
        <row r="1563">
          <cell r="D1563" t="str">
            <v>PERFIL GUIA, FORMATO U, EM ACO ZINCADO, PARA ESTRUTURA PAREDE DRYWALL, E = 0,5 MM, 48 X 3000 MM (L X C)</v>
          </cell>
          <cell r="H1563">
            <v>12.818502000000001</v>
          </cell>
        </row>
        <row r="1564">
          <cell r="D1564" t="str">
            <v>PERFIL MONTANTE, FORMATO C, EM ACO ZINCADO, PARA ESTRUTURA PAREDE DRYWALL, E = 0,5 MM, 48 X 3000 MM (L X C)</v>
          </cell>
          <cell r="H1564">
            <v>46.505844000000003</v>
          </cell>
        </row>
        <row r="1565">
          <cell r="D1565" t="str">
            <v>MASSA DE REJUNTE EM PO PARA DRYWALL, A BASE DE GESSO, SECAGEM RAPIDA, PARA TRATAMENTO DE JUNTAS DE CHAPA DE GESSO (NECESSITA ADICAO DE AGUA)</v>
          </cell>
          <cell r="H1565">
            <v>1.8827270000000003</v>
          </cell>
        </row>
        <row r="1566">
          <cell r="D1566" t="str">
            <v>FITA DE PAPEL MICROPERFURADO, 50 X 150 MM, PARA TRATAMENTO DE JUNTAS DE CHAPA DE GESSO PARA DRYWALL</v>
          </cell>
          <cell r="H1566">
            <v>0.3879185</v>
          </cell>
        </row>
        <row r="1567">
          <cell r="D1567" t="str">
            <v>FITA DE PAPEL REFORCADA COM LAMINA DE METAL PARA REFORCO DE CANTOS DE CHAPA DE GESSO PARA DRYWALL</v>
          </cell>
          <cell r="H1567">
            <v>2.1715870000000002</v>
          </cell>
        </row>
        <row r="1568">
          <cell r="D1568" t="str">
            <v>PARAFUSO DRY WALL, EM ACO FOSFATIZADO, CABECA TROMBETA E PONTA AGULHA (TA), COMPRIMENTO 25 MM</v>
          </cell>
          <cell r="H1568">
            <v>0.90840600000000005</v>
          </cell>
        </row>
        <row r="1569">
          <cell r="D1569" t="str">
            <v>PARAFUSO DRY WALL, EM ACO ZINCADO, CABECA LENTILHA E PONTA BROCA (LB), LARGURA 4,2 MM, COMPRIMENTO 13 MM</v>
          </cell>
          <cell r="H1569">
            <v>0.10882000000000001</v>
          </cell>
        </row>
        <row r="1570">
          <cell r="D1570" t="str">
            <v>30_DRY 48 mm - 1 PLACA - 6,05cm  -  Lado A: PLACA ST - Lado B: N/A</v>
          </cell>
          <cell r="H1570">
            <v>160.06444450000001</v>
          </cell>
        </row>
        <row r="1571">
          <cell r="D1571" t="str">
            <v>SERVICO - CONFECCAO SHAFT GESSO</v>
          </cell>
          <cell r="H1571">
            <v>70</v>
          </cell>
        </row>
        <row r="1572">
          <cell r="D1572" t="str">
            <v>PLACA / CHAPA DE GESSO ACARTONADO, STANDARD (ST), COR BRANCA, E = 12,5 MM, 1200 X 2400 MM (L X C)</v>
          </cell>
          <cell r="H1572">
            <v>22.296960000000002</v>
          </cell>
        </row>
        <row r="1573">
          <cell r="D1573" t="str">
            <v>PINO DE ACO COM ARRUELA CONICA, DIAMETRO ARRUELA = *23* MM E COMP HASTE = *27* MM (ACAO INDIRETA)</v>
          </cell>
          <cell r="H1573">
            <v>2.9836800000000001</v>
          </cell>
        </row>
        <row r="1574">
          <cell r="D1574" t="str">
            <v>PERFIL GUIA, FORMATO U, EM ACO ZINCADO, PARA ESTRUTURA PAREDE DRYWALL, E = 0,5 MM, 48 X 3000 MM (L X C)</v>
          </cell>
          <cell r="H1574">
            <v>12.818502000000001</v>
          </cell>
        </row>
        <row r="1575">
          <cell r="D1575" t="str">
            <v>PERFIL MONTANTE, FORMATO C, EM ACO ZINCADO, PARA ESTRUTURA PAREDE DRYWALL, E = 0,5 MM, 48 X 3000 MM (L X C)</v>
          </cell>
          <cell r="H1575">
            <v>46.505844000000003</v>
          </cell>
        </row>
        <row r="1576">
          <cell r="D1576" t="str">
            <v>MASSA DE REJUNTE EM PO PARA DRYWALL, A BASE DE GESSO, SECAGEM RAPIDA, PARA TRATAMENTO DE JUNTAS DE CHAPA DE GESSO (NECESSITA ADICAO DE AGUA)</v>
          </cell>
          <cell r="H1576">
            <v>1.8827270000000003</v>
          </cell>
        </row>
        <row r="1577">
          <cell r="D1577" t="str">
            <v>FITA DE PAPEL MICROPERFURADO, 50 X 150 MM, PARA TRATAMENTO DE JUNTAS DE CHAPA DE GESSO PARA DRYWALL</v>
          </cell>
          <cell r="H1577">
            <v>0.3879185</v>
          </cell>
        </row>
        <row r="1578">
          <cell r="D1578" t="str">
            <v>FITA DE PAPEL REFORCADA COM LAMINA DE METAL PARA REFORCO DE CANTOS DE CHAPA DE GESSO PARA DRYWALL</v>
          </cell>
          <cell r="H1578">
            <v>2.1715870000000002</v>
          </cell>
        </row>
        <row r="1579">
          <cell r="D1579" t="str">
            <v>PARAFUSO DRY WALL, EM ACO FOSFATIZADO, CABECA TROMBETA E PONTA AGULHA (TA), COMPRIMENTO 25 MM</v>
          </cell>
          <cell r="H1579">
            <v>0.90840600000000005</v>
          </cell>
        </row>
        <row r="1580">
          <cell r="D1580" t="str">
            <v>PARAFUSO DRY WALL, EM ACO ZINCADO, CABECA LENTILHA E PONTA BROCA (LB), LARGURA 4,2 MM, COMPRIMENTO 13 MM</v>
          </cell>
          <cell r="H1580">
            <v>0.10882000000000001</v>
          </cell>
        </row>
        <row r="1581">
          <cell r="D1581" t="str">
            <v>30_DRY 48/ST - 6.05 cm  -</v>
          </cell>
          <cell r="H1581">
            <v>160.06444450000001</v>
          </cell>
        </row>
        <row r="1582">
          <cell r="D1582" t="str">
            <v>SERVICO - CONFECCAO SHAFT GESSO</v>
          </cell>
          <cell r="H1582">
            <v>70</v>
          </cell>
        </row>
        <row r="1583">
          <cell r="D1583" t="str">
            <v>PLACA / CHAPA DE GESSO ACARTONADO, STANDARD (ST), COR BRANCA, E = 12,5 MM, 1200 X 2400 MM (L X C)</v>
          </cell>
          <cell r="H1583">
            <v>22.296960000000002</v>
          </cell>
        </row>
        <row r="1584">
          <cell r="D1584" t="str">
            <v>PINO DE ACO COM ARRUELA CONICA, DIAMETRO ARRUELA = *23* MM E COMP HASTE = *27* MM (ACAO INDIRETA)</v>
          </cell>
          <cell r="H1584">
            <v>2.9836800000000001</v>
          </cell>
        </row>
        <row r="1585">
          <cell r="D1585" t="str">
            <v>PERFIL GUIA, FORMATO U, EM ACO ZINCADO, PARA ESTRUTURA PAREDE DRYWALL, E = 0,5 MM, 48 X 3000 MM (L X C)</v>
          </cell>
          <cell r="H1585">
            <v>12.818502000000001</v>
          </cell>
        </row>
        <row r="1586">
          <cell r="D1586" t="str">
            <v>PERFIL MONTANTE, FORMATO C, EM ACO ZINCADO, PARA ESTRUTURA PAREDE DRYWALL, E = 0,5 MM, 48 X 3000 MM (L X C)</v>
          </cell>
          <cell r="H1586">
            <v>46.505844000000003</v>
          </cell>
        </row>
        <row r="1587">
          <cell r="D1587" t="str">
            <v>MASSA DE REJUNTE EM PO PARA DRYWALL, A BASE DE GESSO, SECAGEM RAPIDA, PARA TRATAMENTO DE JUNTAS DE CHAPA DE GESSO (NECESSITA ADICAO DE AGUA)</v>
          </cell>
          <cell r="H1587">
            <v>1.8827270000000003</v>
          </cell>
        </row>
        <row r="1588">
          <cell r="D1588" t="str">
            <v>FITA DE PAPEL MICROPERFURADO, 50 X 150 MM, PARA TRATAMENTO DE JUNTAS DE CHAPA DE GESSO PARA DRYWALL</v>
          </cell>
          <cell r="H1588">
            <v>0.3879185</v>
          </cell>
        </row>
        <row r="1589">
          <cell r="D1589" t="str">
            <v>FITA DE PAPEL REFORCADA COM LAMINA DE METAL PARA REFORCO DE CANTOS DE CHAPA DE GESSO PARA DRYWALL</v>
          </cell>
          <cell r="H1589">
            <v>2.1715870000000002</v>
          </cell>
        </row>
        <row r="1590">
          <cell r="D1590" t="str">
            <v>PARAFUSO DRY WALL, EM ACO FOSFATIZADO, CABECA TROMBETA E PONTA AGULHA (TA), COMPRIMENTO 25 MM</v>
          </cell>
          <cell r="H1590">
            <v>0.90840600000000005</v>
          </cell>
        </row>
        <row r="1591">
          <cell r="D1591" t="str">
            <v>PARAFUSO DRY WALL, EM ACO ZINCADO, CABECA LENTILHA E PONTA BROCA (LB), LARGURA 4,2 MM, COMPRIMENTO 13 MM</v>
          </cell>
          <cell r="H1591">
            <v>0.10882000000000001</v>
          </cell>
        </row>
        <row r="1592">
          <cell r="D1592" t="str">
            <v>30_DRY 48 mm - 1 PLACA - 6,05cm  -  Lado A: PLACA PERFORMANCE ST - Lado B: N/A</v>
          </cell>
          <cell r="H1592">
            <v>160.06444450000001</v>
          </cell>
        </row>
        <row r="1593">
          <cell r="D1593" t="str">
            <v>SERVICO - CONFECCAO SHAFT GESSO</v>
          </cell>
          <cell r="H1593">
            <v>70</v>
          </cell>
        </row>
        <row r="1594">
          <cell r="D1594" t="str">
            <v>PLACA / CHAPA DE GESSO ACARTONADO, STANDARD (ST), COR BRANCA, E = 12,5 MM, 1200 X 2400 MM (L X C)</v>
          </cell>
          <cell r="H1594">
            <v>22.296960000000002</v>
          </cell>
        </row>
        <row r="1595">
          <cell r="D1595" t="str">
            <v>PINO DE ACO COM ARRUELA CONICA, DIAMETRO ARRUELA = *23* MM E COMP HASTE = *27* MM (ACAO INDIRETA)</v>
          </cell>
          <cell r="H1595">
            <v>2.9836800000000001</v>
          </cell>
        </row>
        <row r="1596">
          <cell r="D1596" t="str">
            <v>PERFIL GUIA, FORMATO U, EM ACO ZINCADO, PARA ESTRUTURA PAREDE DRYWALL, E = 0,5 MM, 48 X 3000 MM (L X C)</v>
          </cell>
          <cell r="H1596">
            <v>12.818502000000001</v>
          </cell>
        </row>
        <row r="1597">
          <cell r="D1597" t="str">
            <v>PERFIL MONTANTE, FORMATO C, EM ACO ZINCADO, PARA ESTRUTURA PAREDE DRYWALL, E = 0,5 MM, 48 X 3000 MM (L X C)</v>
          </cell>
          <cell r="H1597">
            <v>46.505844000000003</v>
          </cell>
        </row>
        <row r="1598">
          <cell r="D1598" t="str">
            <v>MASSA DE REJUNTE EM PO PARA DRYWALL, A BASE DE GESSO, SECAGEM RAPIDA, PARA TRATAMENTO DE JUNTAS DE CHAPA DE GESSO (NECESSITA ADICAO DE AGUA)</v>
          </cell>
          <cell r="H1598">
            <v>1.8827270000000003</v>
          </cell>
        </row>
        <row r="1599">
          <cell r="D1599" t="str">
            <v>FITA DE PAPEL MICROPERFURADO, 50 X 150 MM, PARA TRATAMENTO DE JUNTAS DE CHAPA DE GESSO PARA DRYWALL</v>
          </cell>
          <cell r="H1599">
            <v>0.3879185</v>
          </cell>
        </row>
        <row r="1600">
          <cell r="D1600" t="str">
            <v>FITA DE PAPEL REFORCADA COM LAMINA DE METAL PARA REFORCO DE CANTOS DE CHAPA DE GESSO PARA DRYWALL</v>
          </cell>
          <cell r="H1600">
            <v>2.1715870000000002</v>
          </cell>
        </row>
        <row r="1601">
          <cell r="D1601" t="str">
            <v>PARAFUSO DRY WALL, EM ACO FOSFATIZADO, CABECA TROMBETA E PONTA AGULHA (TA), COMPRIMENTO 25 MM</v>
          </cell>
          <cell r="H1601">
            <v>0.90840600000000005</v>
          </cell>
        </row>
        <row r="1602">
          <cell r="D1602" t="str">
            <v>PARAFUSO DRY WALL, EM ACO ZINCADO, CABECA LENTILHA E PONTA BROCA (LB), LARGURA 4,2 MM, COMPRIMENTO 13 MM</v>
          </cell>
          <cell r="H1602">
            <v>0.10882000000000001</v>
          </cell>
        </row>
        <row r="1603">
          <cell r="D1603" t="str">
            <v>30_DRY 48 mm - 1 PLACA - 6,05cm  -</v>
          </cell>
          <cell r="H1603">
            <v>160.06444450000001</v>
          </cell>
        </row>
        <row r="1604">
          <cell r="D1604" t="str">
            <v>SERVICO - CONFECCAO SHAFT GESSO</v>
          </cell>
          <cell r="H1604">
            <v>70</v>
          </cell>
        </row>
        <row r="1605">
          <cell r="D1605" t="str">
            <v>PLACA / CHAPA DE GESSO ACARTONADO, STANDARD (ST), COR BRANCA, E = 12,5 MM, 1200 X 2400 MM (L X C)</v>
          </cell>
          <cell r="H1605">
            <v>22.296960000000002</v>
          </cell>
        </row>
        <row r="1606">
          <cell r="D1606" t="str">
            <v>PINO DE ACO COM ARRUELA CONICA, DIAMETRO ARRUELA = *23* MM E COMP HASTE = *27* MM (ACAO INDIRETA)</v>
          </cell>
          <cell r="H1606">
            <v>2.9836800000000001</v>
          </cell>
        </row>
        <row r="1607">
          <cell r="D1607" t="str">
            <v>PERFIL GUIA, FORMATO U, EM ACO ZINCADO, PARA ESTRUTURA PAREDE DRYWALL, E = 0,5 MM, 48 X 3000 MM (L X C)</v>
          </cell>
          <cell r="H1607">
            <v>12.818502000000001</v>
          </cell>
        </row>
        <row r="1608">
          <cell r="D1608" t="str">
            <v>PERFIL MONTANTE, FORMATO C, EM ACO ZINCADO, PARA ESTRUTURA PAREDE DRYWALL, E = 0,5 MM, 48 X 3000 MM (L X C)</v>
          </cell>
          <cell r="H1608">
            <v>46.505844000000003</v>
          </cell>
        </row>
        <row r="1609">
          <cell r="D1609" t="str">
            <v>MASSA DE REJUNTE EM PO PARA DRYWALL, A BASE DE GESSO, SECAGEM RAPIDA, PARA TRATAMENTO DE JUNTAS DE CHAPA DE GESSO (NECESSITA ADICAO DE AGUA)</v>
          </cell>
          <cell r="H1609">
            <v>1.8827270000000003</v>
          </cell>
        </row>
        <row r="1610">
          <cell r="D1610" t="str">
            <v>FITA DE PAPEL MICROPERFURADO, 50 X 150 MM, PARA TRATAMENTO DE JUNTAS DE CHAPA DE GESSO PARA DRYWALL</v>
          </cell>
          <cell r="H1610">
            <v>0.3879185</v>
          </cell>
        </row>
        <row r="1611">
          <cell r="D1611" t="str">
            <v>FITA DE PAPEL REFORCADA COM LAMINA DE METAL PARA REFORCO DE CANTOS DE CHAPA DE GESSO PARA DRYWALL</v>
          </cell>
          <cell r="H1611">
            <v>2.1715870000000002</v>
          </cell>
        </row>
        <row r="1612">
          <cell r="D1612" t="str">
            <v>PARAFUSO DRY WALL, EM ACO FOSFATIZADO, CABECA TROMBETA E PONTA AGULHA (TA), COMPRIMENTO 25 MM</v>
          </cell>
          <cell r="H1612">
            <v>0.90840600000000005</v>
          </cell>
        </row>
        <row r="1613">
          <cell r="D1613" t="str">
            <v>PARAFUSO DRY WALL, EM ACO ZINCADO, CABECA LENTILHA E PONTA BROCA (LB), LARGURA 4,2 MM, COMPRIMENTO 13 MM</v>
          </cell>
          <cell r="H1613">
            <v>0.10882000000000001</v>
          </cell>
        </row>
        <row r="1614">
          <cell r="D1614" t="str">
            <v>34_DRY 48 mm LV - 1 PLACA - 6,05cm  -  Lado A: PLACA PERFORMANCE RU - Lado B: N/A</v>
          </cell>
          <cell r="H1614">
            <v>174.38571116666668</v>
          </cell>
        </row>
        <row r="1615">
          <cell r="D1615" t="str">
            <v>SERVICO - CONFECCAO SHAFT GESSO</v>
          </cell>
          <cell r="H1615">
            <v>70</v>
          </cell>
        </row>
        <row r="1616">
          <cell r="D1616" t="str">
            <v>PLACA / CHAPA DE GESSO ACARTONADO, STANDARD (ST), COR BRANCA, E = 12,5 MM, 1200 X 2400 MM (L X C)</v>
          </cell>
          <cell r="H1616">
            <v>22.296960000000002</v>
          </cell>
        </row>
        <row r="1617">
          <cell r="D1617" t="str">
            <v>PINO DE ACO COM ARRUELA CONICA, DIAMETRO ARRUELA = *23* MM E COMP HASTE = *27* MM (ACAO INDIRETA)</v>
          </cell>
          <cell r="H1617">
            <v>2.9836800000000001</v>
          </cell>
        </row>
        <row r="1618">
          <cell r="D1618" t="str">
            <v>PERFIL GUIA, FORMATO U, EM ACO ZINCADO, PARA ESTRUTURA PAREDE DRYWALL, E = 0,5 MM, 48 X 3000 MM (L X C)</v>
          </cell>
          <cell r="H1618">
            <v>12.818502000000001</v>
          </cell>
        </row>
        <row r="1619">
          <cell r="D1619" t="str">
            <v>PERFIL MONTANTE, FORMATO C, EM ACO ZINCADO, PARA ESTRUTURA PAREDE DRYWALL, E = 0,5 MM, 48 X 3000 MM (L X C)</v>
          </cell>
          <cell r="H1619">
            <v>46.505844000000003</v>
          </cell>
        </row>
        <row r="1620">
          <cell r="D1620" t="str">
            <v>MASSA DE REJUNTE EM PO PARA DRYWALL, A BASE DE GESSO, SECAGEM RAPIDA, PARA TRATAMENTO DE JUNTAS DE CHAPA DE GESSO (NECESSITA ADICAO DE AGUA)</v>
          </cell>
          <cell r="H1620">
            <v>1.8827270000000003</v>
          </cell>
        </row>
        <row r="1621">
          <cell r="D1621" t="str">
            <v>FITA DE PAPEL MICROPERFURADO, 50 X 150 MM, PARA TRATAMENTO DE JUNTAS DE CHAPA DE GESSO PARA DRYWALL</v>
          </cell>
          <cell r="H1621">
            <v>0.3879185</v>
          </cell>
        </row>
        <row r="1622">
          <cell r="D1622" t="str">
            <v>FITA DE PAPEL REFORCADA COM LAMINA DE METAL PARA REFORCO DE CANTOS DE CHAPA DE GESSO PARA DRYWALL</v>
          </cell>
          <cell r="H1622">
            <v>2.1715870000000002</v>
          </cell>
        </row>
        <row r="1623">
          <cell r="D1623" t="str">
            <v>PARAFUSO DRY WALL, EM ACO FOSFATIZADO, CABECA TROMBETA E PONTA AGULHA (TA), COMPRIMENTO 25 MM</v>
          </cell>
          <cell r="H1623">
            <v>0.90840600000000005</v>
          </cell>
        </row>
        <row r="1624">
          <cell r="D1624" t="str">
            <v>PARAFUSO DRY WALL, EM ACO ZINCADO, CABECA LENTILHA E PONTA BROCA (LB), LARGURA 4,2 MM, COMPRIMENTO 13 MM</v>
          </cell>
          <cell r="H1624">
            <v>0.10882000000000001</v>
          </cell>
        </row>
        <row r="1625">
          <cell r="D1625" t="str">
            <v>Lã de pet 50 X 1200 X 12500 MM</v>
          </cell>
          <cell r="H1625">
            <v>14.321266666666666</v>
          </cell>
        </row>
        <row r="1626">
          <cell r="D1626" t="str">
            <v>34_DRY 48 mm LV - 1 PLACA - 6,05cm  -  Lado A: PLACA RU - Lado B: N/A</v>
          </cell>
          <cell r="H1626">
            <v>182.0613511666667</v>
          </cell>
        </row>
        <row r="1627">
          <cell r="D1627" t="str">
            <v>SERVICO - CONFECCAO SHAFT GESSO</v>
          </cell>
          <cell r="H1627">
            <v>70</v>
          </cell>
        </row>
        <row r="1628">
          <cell r="D1628" t="str">
            <v>PLACA / CHAPA DE GESSO ACARTONADO, RESISTENTE A UMIDADE (RU), COR VERDE, E = 12,5 MM, 1200 X 2400 MM (L X C)</v>
          </cell>
          <cell r="H1628">
            <v>29.972600000000003</v>
          </cell>
        </row>
        <row r="1629">
          <cell r="D1629" t="str">
            <v>PINO DE ACO COM ARRUELA CONICA, DIAMETRO ARRUELA = *23* MM E COMP HASTE = *27* MM (ACAO INDIRETA)</v>
          </cell>
          <cell r="H1629">
            <v>2.9836800000000001</v>
          </cell>
        </row>
        <row r="1630">
          <cell r="D1630" t="str">
            <v>PERFIL GUIA, FORMATO U, EM ACO ZINCADO, PARA ESTRUTURA PAREDE DRYWALL, E = 0,5 MM, 48 X 3000 MM (L X C)</v>
          </cell>
          <cell r="H1630">
            <v>12.818502000000001</v>
          </cell>
        </row>
        <row r="1631">
          <cell r="D1631" t="str">
            <v>PERFIL MONTANTE, FORMATO C, EM ACO ZINCADO, PARA ESTRUTURA PAREDE DRYWALL, E = 0,5 MM, 48 X 3000 MM (L X C)</v>
          </cell>
          <cell r="H1631">
            <v>46.505844000000003</v>
          </cell>
        </row>
        <row r="1632">
          <cell r="D1632" t="str">
            <v>MASSA DE REJUNTE EM PO PARA DRYWALL, A BASE DE GESSO, SECAGEM RAPIDA, PARA TRATAMENTO DE JUNTAS DE CHAPA DE GESSO (NECESSITA ADICAO DE AGUA)</v>
          </cell>
          <cell r="H1632">
            <v>1.8827270000000003</v>
          </cell>
        </row>
        <row r="1633">
          <cell r="D1633" t="str">
            <v>FITA DE PAPEL MICROPERFURADO, 50 X 150 MM, PARA TRATAMENTO DE JUNTAS DE CHAPA DE GESSO PARA DRYWALL</v>
          </cell>
          <cell r="H1633">
            <v>0.3879185</v>
          </cell>
        </row>
        <row r="1634">
          <cell r="D1634" t="str">
            <v>FITA DE PAPEL REFORCADA COM LAMINA DE METAL PARA REFORCO DE CANTOS DE CHAPA DE GESSO PARA DRYWALL</v>
          </cell>
          <cell r="H1634">
            <v>2.1715870000000002</v>
          </cell>
        </row>
        <row r="1635">
          <cell r="D1635" t="str">
            <v>PARAFUSO DRY WALL, EM ACO FOSFATIZADO, CABECA TROMBETA E PONTA AGULHA (TA), COMPRIMENTO 25 MM</v>
          </cell>
          <cell r="H1635">
            <v>0.90840600000000005</v>
          </cell>
        </row>
        <row r="1636">
          <cell r="D1636" t="str">
            <v>PARAFUSO DRY WALL, EM ACO ZINCADO, CABECA LENTILHA E PONTA BROCA (LB), LARGURA 4,2 MM, COMPRIMENTO 13 MM</v>
          </cell>
          <cell r="H1636">
            <v>0.10882000000000001</v>
          </cell>
        </row>
        <row r="1637">
          <cell r="D1637" t="str">
            <v>Lã de pet 50 X 1200 X 12500 MM</v>
          </cell>
          <cell r="H1637">
            <v>14.321266666666666</v>
          </cell>
        </row>
        <row r="1638">
          <cell r="D1638" t="str">
            <v>43_DRY PEU/48 - 6.05 cm  -</v>
          </cell>
          <cell r="H1638">
            <v>174.38571116666668</v>
          </cell>
        </row>
        <row r="1639">
          <cell r="D1639" t="str">
            <v>SERVICO - CONFECCAO SHAFT GESSO</v>
          </cell>
          <cell r="H1639">
            <v>70</v>
          </cell>
        </row>
        <row r="1640">
          <cell r="D1640" t="str">
            <v>PLACA / CHAPA DE GESSO ACARTONADO, STANDARD (ST), COR BRANCA, E = 12,5 MM, 1200 X 2400 MM (L X C)</v>
          </cell>
          <cell r="H1640">
            <v>22.296960000000002</v>
          </cell>
        </row>
        <row r="1641">
          <cell r="D1641" t="str">
            <v>PINO DE ACO COM ARRUELA CONICA, DIAMETRO ARRUELA = *23* MM E COMP HASTE = *27* MM (ACAO INDIRETA)</v>
          </cell>
          <cell r="H1641">
            <v>2.9836800000000001</v>
          </cell>
        </row>
        <row r="1642">
          <cell r="D1642" t="str">
            <v>PERFIL GUIA, FORMATO U, EM ACO ZINCADO, PARA ESTRUTURA PAREDE DRYWALL, E = 0,5 MM, 48 X 3000 MM (L X C)</v>
          </cell>
          <cell r="H1642">
            <v>12.818502000000001</v>
          </cell>
        </row>
        <row r="1643">
          <cell r="D1643" t="str">
            <v>PERFIL MONTANTE, FORMATO C, EM ACO ZINCADO, PARA ESTRUTURA PAREDE DRYWALL, E = 0,5 MM, 48 X 3000 MM (L X C)</v>
          </cell>
          <cell r="H1643">
            <v>46.505844000000003</v>
          </cell>
        </row>
        <row r="1644">
          <cell r="D1644" t="str">
            <v>MASSA DE REJUNTE EM PO PARA DRYWALL, A BASE DE GESSO, SECAGEM RAPIDA, PARA TRATAMENTO DE JUNTAS DE CHAPA DE GESSO (NECESSITA ADICAO DE AGUA)</v>
          </cell>
          <cell r="H1644">
            <v>1.8827270000000003</v>
          </cell>
        </row>
        <row r="1645">
          <cell r="D1645" t="str">
            <v>FITA DE PAPEL MICROPERFURADO, 50 X 150 MM, PARA TRATAMENTO DE JUNTAS DE CHAPA DE GESSO PARA DRYWALL</v>
          </cell>
          <cell r="H1645">
            <v>0.3879185</v>
          </cell>
        </row>
        <row r="1646">
          <cell r="D1646" t="str">
            <v>FITA DE PAPEL REFORCADA COM LAMINA DE METAL PARA REFORCO DE CANTOS DE CHAPA DE GESSO PARA DRYWALL</v>
          </cell>
          <cell r="H1646">
            <v>2.1715870000000002</v>
          </cell>
        </row>
        <row r="1647">
          <cell r="D1647" t="str">
            <v>PARAFUSO DRY WALL, EM ACO FOSFATIZADO, CABECA TROMBETA E PONTA AGULHA (TA), COMPRIMENTO 25 MM</v>
          </cell>
          <cell r="H1647">
            <v>0.90840600000000005</v>
          </cell>
        </row>
        <row r="1648">
          <cell r="D1648" t="str">
            <v>PARAFUSO DRY WALL, EM ACO ZINCADO, CABECA LENTILHA E PONTA BROCA (LB), LARGURA 4,2 MM, COMPRIMENTO 13 MM</v>
          </cell>
          <cell r="H1648">
            <v>0.10882000000000001</v>
          </cell>
        </row>
        <row r="1649">
          <cell r="D1649" t="str">
            <v>Lã de pet 50 X 1200 X 12500 MM</v>
          </cell>
          <cell r="H1649">
            <v>14.321266666666666</v>
          </cell>
        </row>
        <row r="1650">
          <cell r="D1650" t="str">
            <v>Parede Com Sistema Em Chapas De Gesso Para Drywall, Uso Interno, Montante 70mm, Com Duas Face Simples Standart e isolamento com Lâ de Vidro (ST/70/ST)</v>
          </cell>
          <cell r="H1650">
            <v>200.68041166666669</v>
          </cell>
        </row>
        <row r="1651">
          <cell r="D1651" t="str">
            <v>SERVICO - CONFECCAO SHAFT GESSO</v>
          </cell>
          <cell r="H1651">
            <v>70</v>
          </cell>
        </row>
        <row r="1652">
          <cell r="D1652" t="str">
            <v>PLACA / CHAPA DE GESSO ACARTONADO, STANDARD (ST), COR BRANCA, E = 12,5 MM, 1200 X 2400 MM (L X C)</v>
          </cell>
          <cell r="H1652">
            <v>42.456959999999995</v>
          </cell>
        </row>
        <row r="1653">
          <cell r="D1653" t="str">
            <v>PINO DE ACO COM ARRUELA CONICA, DIAMETRO ARRUELA = *23* MM E COMP HASTE = *27* MM (ACAO INDIRETA)</v>
          </cell>
          <cell r="H1653">
            <v>2.9836800000000001</v>
          </cell>
        </row>
        <row r="1654">
          <cell r="D1654" t="str">
            <v>PERFIL GUIA, FORMATO U, EM ACO ZINCADO, PARA ESTRUTURA PAREDE DRYWALL, E = 0,5 MM, 70 X 3000 MM (L X C)</v>
          </cell>
          <cell r="H1654">
            <v>13.602563999999999</v>
          </cell>
        </row>
        <row r="1655">
          <cell r="D1655" t="str">
            <v>PERFIL MONTANTE, FORMATO C, EM ACO ZINCADO, PARA ESTRUTURA PAREDE DRYWALL, E = 0,5 MM, 70 X 3000 MM (L X C)</v>
          </cell>
          <cell r="H1655">
            <v>46.505844000000003</v>
          </cell>
        </row>
        <row r="1656">
          <cell r="D1656" t="str">
            <v>MASSA DE REJUNTE EM PO PARA DRYWALL, A BASE DE GESSO, SECAGEM RAPIDA, PARA TRATAMENTO DE JUNTAS DE CHAPA DE GESSO (NECESSITA ADICAO DE AGUA)</v>
          </cell>
          <cell r="H1656">
            <v>3.7654540000000005</v>
          </cell>
        </row>
        <row r="1657">
          <cell r="D1657" t="str">
            <v>FITA DE PAPEL MICROPERFURADO, 50 X 150 MM, PARA TRATAMENTO DE JUNTAS DE CHAPA DE GESSO PARA DRYWALL</v>
          </cell>
          <cell r="H1657">
            <v>0.775837</v>
          </cell>
        </row>
        <row r="1658">
          <cell r="D1658" t="str">
            <v>FITA DE PAPEL REFORCADA COM LAMINA DE METAL PARA REFORCO DE CANTOS DE CHAPA DE GESSO PARA DRYWALL</v>
          </cell>
          <cell r="H1658">
            <v>4.3431740000000003</v>
          </cell>
        </row>
        <row r="1659">
          <cell r="D1659" t="str">
            <v>PARAFUSO DRY WALL, EM ACO FOSFATIZADO, CABECA TROMBETA E PONTA AGULHA (TA), COMPRIMENTO 25 MM</v>
          </cell>
          <cell r="H1659">
            <v>1.8168120000000001</v>
          </cell>
        </row>
        <row r="1660">
          <cell r="D1660" t="str">
            <v>PARAFUSO DRY WALL, EM ACO ZINCADO, CABECA LENTILHA E PONTA BROCA (LB), LARGURA 4,2 MM, COMPRIMENTO 13 MM</v>
          </cell>
          <cell r="H1660">
            <v>0.10882000000000001</v>
          </cell>
        </row>
        <row r="1661">
          <cell r="D1661" t="str">
            <v>Lã de pet 50 X 1200 X 12500 MM</v>
          </cell>
          <cell r="H1661">
            <v>14.321266666666666</v>
          </cell>
        </row>
        <row r="1662">
          <cell r="D1662" t="str">
            <v>Parede Com Sistema Em Chapas De Gesso Para Drywall, Uso Interno, Montante 70mm, Com Uma Face Simples Resistente à Umidade e isolamento com Lâ de Vidro (RU/70)</v>
          </cell>
          <cell r="H1662">
            <v>181.35470316666667</v>
          </cell>
        </row>
        <row r="1663">
          <cell r="D1663" t="str">
            <v>SERVICO - CONFECCAO SHAFT GESSO</v>
          </cell>
          <cell r="H1663">
            <v>70</v>
          </cell>
        </row>
        <row r="1664">
          <cell r="D1664" t="str">
            <v>PLACA / CHAPA DE GESSO ACARTONADO, RESISTENTE A UMIDADE (RU), COR VERDE, E = 12,5 MM, 1200 X 2400 MM (L X C)</v>
          </cell>
          <cell r="H1664">
            <v>28.536300000000001</v>
          </cell>
        </row>
        <row r="1665">
          <cell r="D1665" t="str">
            <v>PINO DE ACO COM ARRUELA CONICA, DIAMETRO ARRUELA = *23* MM E COMP HASTE = *27* MM (ACAO INDIRETA)</v>
          </cell>
          <cell r="H1665">
            <v>2.9836800000000001</v>
          </cell>
        </row>
        <row r="1666">
          <cell r="D1666" t="str">
            <v>PERFIL GUIA, FORMATO U, EM ACO ZINCADO, PARA ESTRUTURA PAREDE DRYWALL, E = 0,5 MM, 70 X 3000 MM (L X C)</v>
          </cell>
          <cell r="H1666">
            <v>13.602563999999999</v>
          </cell>
        </row>
        <row r="1667">
          <cell r="D1667" t="str">
            <v>PERFIL MONTANTE, FORMATO C, EM ACO ZINCADO, PARA ESTRUTURA PAREDE DRYWALL, E = 0,5 MM, 70 X 3000 MM (L X C)</v>
          </cell>
          <cell r="H1667">
            <v>46.505844000000003</v>
          </cell>
        </row>
        <row r="1668">
          <cell r="D1668" t="str">
            <v>MASSA DE REJUNTE EM PO PARA DRYWALL, A BASE DE GESSO, SECAGEM RAPIDA, PARA TRATAMENTO DE JUNTAS DE CHAPA DE GESSO (NECESSITA ADICAO DE AGUA)</v>
          </cell>
          <cell r="H1668">
            <v>1.8827270000000003</v>
          </cell>
        </row>
        <row r="1669">
          <cell r="D1669" t="str">
            <v>FITA DE PAPEL MICROPERFURADO, 50 X 150 MM, PARA TRATAMENTO DE JUNTAS DE CHAPA DE GESSO PARA DRYWALL</v>
          </cell>
          <cell r="H1669">
            <v>0.3879185</v>
          </cell>
        </row>
        <row r="1670">
          <cell r="D1670" t="str">
            <v>FITA DE PAPEL REFORCADA COM LAMINA DE METAL PARA REFORCO DE CANTOS DE CHAPA DE GESSO PARA DRYWALL</v>
          </cell>
          <cell r="H1670">
            <v>2.1715870000000002</v>
          </cell>
        </row>
        <row r="1671">
          <cell r="D1671" t="str">
            <v>PARAFUSO DRY WALL, EM ACO FOSFATIZADO, CABECA TROMBETA E PONTA AGULHA (TA), COMPRIMENTO 25 MM</v>
          </cell>
          <cell r="H1671">
            <v>0.90840600000000005</v>
          </cell>
        </row>
        <row r="1672">
          <cell r="D1672" t="str">
            <v>PARAFUSO DRY WALL, EM ACO ZINCADO, CABECA LENTILHA E PONTA BROCA (LB), LARGURA 4,2 MM, COMPRIMENTO 13 MM</v>
          </cell>
          <cell r="H1672">
            <v>5.4410000000000007E-2</v>
          </cell>
        </row>
        <row r="1673">
          <cell r="D1673" t="str">
            <v>Lã de pet 50 X 1200 X 12500 MM</v>
          </cell>
          <cell r="H1673">
            <v>14.321266666666666</v>
          </cell>
        </row>
        <row r="1674">
          <cell r="D1674" t="str">
            <v>Enchimento de parede em Chapas De Gesso Para Drywall, Uso Interno, Montante 70mm, Com Uma Face Simples Resistente à Umidade e isolamento com Lâ de Vidro (RU/70)</v>
          </cell>
          <cell r="H1674">
            <v>181.35470316666667</v>
          </cell>
        </row>
        <row r="1675">
          <cell r="D1675" t="str">
            <v>SERVICO - CONFECCAO SHAFT GESSO</v>
          </cell>
          <cell r="H1675">
            <v>70</v>
          </cell>
        </row>
        <row r="1676">
          <cell r="D1676" t="str">
            <v>PLACA / CHAPA DE GESSO ACARTONADO, RESISTENTE A UMIDADE (RU), COR VERDE, E = 12,5 MM, 1200 X 2400 MM (L X C)</v>
          </cell>
          <cell r="H1676">
            <v>28.536300000000001</v>
          </cell>
        </row>
        <row r="1677">
          <cell r="D1677" t="str">
            <v>PINO DE ACO COM ARRUELA CONICA, DIAMETRO ARRUELA = *23* MM E COMP HASTE = *27* MM (ACAO INDIRETA)</v>
          </cell>
          <cell r="H1677">
            <v>2.9836800000000001</v>
          </cell>
        </row>
        <row r="1678">
          <cell r="D1678" t="str">
            <v>PERFIL GUIA, FORMATO U, EM ACO ZINCADO, PARA ESTRUTURA PAREDE DRYWALL, E = 0,5 MM, 70 X 3000 MM (L X C)</v>
          </cell>
          <cell r="H1678">
            <v>13.602563999999999</v>
          </cell>
        </row>
        <row r="1679">
          <cell r="D1679" t="str">
            <v>PERFIL MONTANTE, FORMATO C, EM ACO ZINCADO, PARA ESTRUTURA PAREDE DRYWALL, E = 0,5 MM, 70 X 3000 MM (L X C)</v>
          </cell>
          <cell r="H1679">
            <v>46.505844000000003</v>
          </cell>
        </row>
        <row r="1680">
          <cell r="D1680" t="str">
            <v>MASSA DE REJUNTE EM PO PARA DRYWALL, A BASE DE GESSO, SECAGEM RAPIDA, PARA TRATAMENTO DE JUNTAS DE CHAPA DE GESSO (NECESSITA ADICAO DE AGUA)</v>
          </cell>
          <cell r="H1680">
            <v>1.8827270000000003</v>
          </cell>
        </row>
        <row r="1681">
          <cell r="D1681" t="str">
            <v>FITA DE PAPEL MICROPERFURADO, 50 X 150 MM, PARA TRATAMENTO DE JUNTAS DE CHAPA DE GESSO PARA DRYWALL</v>
          </cell>
          <cell r="H1681">
            <v>0.3879185</v>
          </cell>
        </row>
        <row r="1682">
          <cell r="D1682" t="str">
            <v>FITA DE PAPEL REFORCADA COM LAMINA DE METAL PARA REFORCO DE CANTOS DE CHAPA DE GESSO PARA DRYWALL</v>
          </cell>
          <cell r="H1682">
            <v>2.1715870000000002</v>
          </cell>
        </row>
        <row r="1683">
          <cell r="D1683" t="str">
            <v>PARAFUSO DRY WALL, EM ACO FOSFATIZADO, CABECA TROMBETA E PONTA AGULHA (TA), COMPRIMENTO 25 MM</v>
          </cell>
          <cell r="H1683">
            <v>0.90840600000000005</v>
          </cell>
        </row>
        <row r="1684">
          <cell r="D1684" t="str">
            <v>PARAFUSO DRY WALL, EM ACO ZINCADO, CABECA LENTILHA E PONTA BROCA (LB), LARGURA 4,2 MM, COMPRIMENTO 13 MM</v>
          </cell>
          <cell r="H1684">
            <v>5.4410000000000007E-2</v>
          </cell>
        </row>
        <row r="1685">
          <cell r="D1685" t="str">
            <v>Lã de pet 50 X 1200 X 12500 MM</v>
          </cell>
          <cell r="H1685">
            <v>14.321266666666666</v>
          </cell>
        </row>
        <row r="1686">
          <cell r="D1686" t="str">
            <v>Enchimento de parede em Chapas De Gesso Para Drywall, Uso Interno, Montante 70mm, Com Uma Face SimplesStandart e isolamento com Lâ de Vidro (ST/70/ST)</v>
          </cell>
          <cell r="H1686">
            <v>200.68041166666669</v>
          </cell>
        </row>
        <row r="1687">
          <cell r="D1687" t="str">
            <v>SERVICO - CONFECCAO SHAFT GESSO</v>
          </cell>
          <cell r="H1687">
            <v>70</v>
          </cell>
        </row>
        <row r="1688">
          <cell r="D1688" t="str">
            <v>PLACA / CHAPA DE GESSO ACARTONADO, STANDARD (ST), COR BRANCA, E = 12,5 MM, 1200 X 2400 MM (L X C)</v>
          </cell>
          <cell r="H1688">
            <v>42.456959999999995</v>
          </cell>
        </row>
        <row r="1689">
          <cell r="D1689" t="str">
            <v>PINO DE ACO COM ARRUELA CONICA, DIAMETRO ARRUELA = *23* MM E COMP HASTE = *27* MM (ACAO INDIRETA)</v>
          </cell>
          <cell r="H1689">
            <v>2.9836800000000001</v>
          </cell>
        </row>
        <row r="1690">
          <cell r="D1690" t="str">
            <v>PERFIL GUIA, FORMATO U, EM ACO ZINCADO, PARA ESTRUTURA PAREDE DRYWALL, E = 0,5 MM, 70 X 3000 MM (L X C)</v>
          </cell>
          <cell r="H1690">
            <v>13.602563999999999</v>
          </cell>
        </row>
        <row r="1691">
          <cell r="D1691" t="str">
            <v>PERFIL MONTANTE, FORMATO C, EM ACO ZINCADO, PARA ESTRUTURA PAREDE DRYWALL, E = 0,5 MM, 70 X 3000 MM (L X C)</v>
          </cell>
          <cell r="H1691">
            <v>46.505844000000003</v>
          </cell>
        </row>
        <row r="1692">
          <cell r="D1692" t="str">
            <v>MASSA DE REJUNTE EM PO PARA DRYWALL, A BASE DE GESSO, SECAGEM RAPIDA, PARA TRATAMENTO DE JUNTAS DE CHAPA DE GESSO (NECESSITA ADICAO DE AGUA)</v>
          </cell>
          <cell r="H1692">
            <v>3.7654540000000005</v>
          </cell>
        </row>
        <row r="1693">
          <cell r="D1693" t="str">
            <v>FITA DE PAPEL MICROPERFURADO, 50 X 150 MM, PARA TRATAMENTO DE JUNTAS DE CHAPA DE GESSO PARA DRYWALL</v>
          </cell>
          <cell r="H1693">
            <v>0.775837</v>
          </cell>
        </row>
        <row r="1694">
          <cell r="D1694" t="str">
            <v>FITA DE PAPEL REFORCADA COM LAMINA DE METAL PARA REFORCO DE CANTOS DE CHAPA DE GESSO PARA DRYWALL</v>
          </cell>
          <cell r="H1694">
            <v>4.3431740000000003</v>
          </cell>
        </row>
        <row r="1695">
          <cell r="D1695" t="str">
            <v>PARAFUSO DRY WALL, EM ACO FOSFATIZADO, CABECA TROMBETA E PONTA AGULHA (TA), COMPRIMENTO 25 MM</v>
          </cell>
          <cell r="H1695">
            <v>1.8168120000000001</v>
          </cell>
        </row>
        <row r="1696">
          <cell r="D1696" t="str">
            <v>PARAFUSO DRY WALL, EM ACO ZINCADO, CABECA LENTILHA E PONTA BROCA (LB), LARGURA 4,2 MM, COMPRIMENTO 13 MM</v>
          </cell>
          <cell r="H1696">
            <v>0.10882000000000001</v>
          </cell>
        </row>
        <row r="1697">
          <cell r="D1697" t="str">
            <v>Lã de pet 50 X 1200 X 12500 MM</v>
          </cell>
          <cell r="H1697">
            <v>14.321266666666666</v>
          </cell>
        </row>
        <row r="1698">
          <cell r="D1698" t="str">
            <v>31_DRY 70 mm - 1 PLACA - 8,25cm  -</v>
          </cell>
          <cell r="H1698">
            <v>167.03343649999999</v>
          </cell>
        </row>
        <row r="1699">
          <cell r="D1699" t="str">
            <v>SERVICO - CONFECCAO SHAFT GESSO</v>
          </cell>
          <cell r="H1699">
            <v>70</v>
          </cell>
        </row>
        <row r="1700">
          <cell r="D1700" t="str">
            <v>PLACA / CHAPA DE GESSO ACARTONADO, RESISTENTE A UMIDADE (RU), COR VERDE, E = 12,5 MM, 1200 X 2400 MM (L X C)</v>
          </cell>
          <cell r="H1700">
            <v>28.536300000000001</v>
          </cell>
        </row>
        <row r="1701">
          <cell r="D1701" t="str">
            <v>PINO DE ACO COM ARRUELA CONICA, DIAMETRO ARRUELA = *23* MM E COMP HASTE = *27* MM (ACAO INDIRETA)</v>
          </cell>
          <cell r="H1701">
            <v>2.9836800000000001</v>
          </cell>
        </row>
        <row r="1702">
          <cell r="D1702" t="str">
            <v>PERFIL GUIA, FORMATO U, EM ACO ZINCADO, PARA ESTRUTURA PAREDE DRYWALL, E = 0,5 MM, 70 X 3000 MM (L X C)</v>
          </cell>
          <cell r="H1702">
            <v>13.602563999999999</v>
          </cell>
        </row>
        <row r="1703">
          <cell r="D1703" t="str">
            <v>PERFIL MONTANTE, FORMATO C, EM ACO ZINCADO, PARA ESTRUTURA PAREDE DRYWALL, E = 0,5 MM, 70 X 3000 MM (L X C)</v>
          </cell>
          <cell r="H1703">
            <v>46.505844000000003</v>
          </cell>
        </row>
        <row r="1704">
          <cell r="D1704" t="str">
            <v>MASSA DE REJUNTE EM PO PARA DRYWALL, A BASE DE GESSO, SECAGEM RAPIDA, PARA TRATAMENTO DE JUNTAS DE CHAPA DE GESSO (NECESSITA ADICAO DE AGUA)</v>
          </cell>
          <cell r="H1704">
            <v>1.8827270000000003</v>
          </cell>
        </row>
        <row r="1705">
          <cell r="D1705" t="str">
            <v>FITA DE PAPEL MICROPERFURADO, 50 X 150 MM, PARA TRATAMENTO DE JUNTAS DE CHAPA DE GESSO PARA DRYWALL</v>
          </cell>
          <cell r="H1705">
            <v>0.3879185</v>
          </cell>
        </row>
        <row r="1706">
          <cell r="D1706" t="str">
            <v>FITA DE PAPEL REFORCADA COM LAMINA DE METAL PARA REFORCO DE CANTOS DE CHAPA DE GESSO PARA DRYWALL</v>
          </cell>
          <cell r="H1706">
            <v>2.1715870000000002</v>
          </cell>
        </row>
        <row r="1707">
          <cell r="D1707" t="str">
            <v>PARAFUSO DRY WALL, EM ACO FOSFATIZADO, CABECA TROMBETA E PONTA AGULHA (TA), COMPRIMENTO 25 MM</v>
          </cell>
          <cell r="H1707">
            <v>0.90840600000000005</v>
          </cell>
        </row>
        <row r="1708">
          <cell r="D1708" t="str">
            <v>PARAFUSO DRY WALL, EM ACO ZINCADO, CABECA LENTILHA E PONTA BROCA (LB), LARGURA 4,2 MM, COMPRIMENTO 13 MM</v>
          </cell>
          <cell r="H1708">
            <v>5.4410000000000007E-2</v>
          </cell>
        </row>
        <row r="1709">
          <cell r="D1709" t="str">
            <v>31_DRY 70 mm - 1 PLACA - 8,25cm  -  Lado A: PLACA PERFORMANCE RU - Lado B: N/A</v>
          </cell>
          <cell r="H1709">
            <v>167.03343649999999</v>
          </cell>
        </row>
        <row r="1710">
          <cell r="D1710" t="str">
            <v>SERVICO - CONFECCAO SHAFT GESSO</v>
          </cell>
          <cell r="H1710">
            <v>70</v>
          </cell>
        </row>
        <row r="1711">
          <cell r="D1711" t="str">
            <v>PLACA / CHAPA DE GESSO ACARTONADO, RESISTENTE A UMIDADE (RU), COR VERDE, E = 12,5 MM, 1200 X 2400 MM (L X C)</v>
          </cell>
          <cell r="H1711">
            <v>28.536300000000001</v>
          </cell>
        </row>
        <row r="1712">
          <cell r="D1712" t="str">
            <v>PINO DE ACO COM ARRUELA CONICA, DIAMETRO ARRUELA = *23* MM E COMP HASTE = *27* MM (ACAO INDIRETA)</v>
          </cell>
          <cell r="H1712">
            <v>2.9836800000000001</v>
          </cell>
        </row>
        <row r="1713">
          <cell r="D1713" t="str">
            <v>PERFIL GUIA, FORMATO U, EM ACO ZINCADO, PARA ESTRUTURA PAREDE DRYWALL, E = 0,5 MM, 70 X 3000 MM (L X C)</v>
          </cell>
          <cell r="H1713">
            <v>13.602563999999999</v>
          </cell>
        </row>
        <row r="1714">
          <cell r="D1714" t="str">
            <v>PERFIL MONTANTE, FORMATO C, EM ACO ZINCADO, PARA ESTRUTURA PAREDE DRYWALL, E = 0,5 MM, 70 X 3000 MM (L X C)</v>
          </cell>
          <cell r="H1714">
            <v>46.505844000000003</v>
          </cell>
        </row>
        <row r="1715">
          <cell r="D1715" t="str">
            <v>MASSA DE REJUNTE EM PO PARA DRYWALL, A BASE DE GESSO, SECAGEM RAPIDA, PARA TRATAMENTO DE JUNTAS DE CHAPA DE GESSO (NECESSITA ADICAO DE AGUA)</v>
          </cell>
          <cell r="H1715">
            <v>1.8827270000000003</v>
          </cell>
        </row>
        <row r="1716">
          <cell r="D1716" t="str">
            <v>FITA DE PAPEL MICROPERFURADO, 50 X 150 MM, PARA TRATAMENTO DE JUNTAS DE CHAPA DE GESSO PARA DRYWALL</v>
          </cell>
          <cell r="H1716">
            <v>0.3879185</v>
          </cell>
        </row>
        <row r="1717">
          <cell r="D1717" t="str">
            <v>FITA DE PAPEL REFORCADA COM LAMINA DE METAL PARA REFORCO DE CANTOS DE CHAPA DE GESSO PARA DRYWALL</v>
          </cell>
          <cell r="H1717">
            <v>2.1715870000000002</v>
          </cell>
        </row>
        <row r="1718">
          <cell r="D1718" t="str">
            <v>PARAFUSO DRY WALL, EM ACO FOSFATIZADO, CABECA TROMBETA E PONTA AGULHA (TA), COMPRIMENTO 25 MM</v>
          </cell>
          <cell r="H1718">
            <v>0.90840600000000005</v>
          </cell>
        </row>
        <row r="1719">
          <cell r="D1719" t="str">
            <v>PARAFUSO DRY WALL, EM ACO ZINCADO, CABECA LENTILHA E PONTA BROCA (LB), LARGURA 4,2 MM, COMPRIMENTO 13 MM</v>
          </cell>
          <cell r="H1719">
            <v>5.4410000000000007E-2</v>
          </cell>
        </row>
        <row r="1720">
          <cell r="D1720" t="str">
            <v>31_DRY 70 mm - 1 PLACA - 8,25cm  -  Lado A: PLACA PERFORMANCE ST - Lado B: N/A</v>
          </cell>
          <cell r="H1720">
            <v>159.7256165</v>
          </cell>
        </row>
        <row r="1721">
          <cell r="D1721" t="str">
            <v>SERVICO - CONFECCAO SHAFT GESSO</v>
          </cell>
          <cell r="H1721">
            <v>70</v>
          </cell>
        </row>
        <row r="1722">
          <cell r="D1722" t="str">
            <v>PLACA / CHAPA DE GESSO ACARTONADO, STANDARD (ST), COR BRANCA, E = 12,5 MM, 1200 X 2400 MM (L X C)</v>
          </cell>
          <cell r="H1722">
            <v>21.228479999999998</v>
          </cell>
        </row>
        <row r="1723">
          <cell r="D1723" t="str">
            <v>PINO DE ACO COM ARRUELA CONICA, DIAMETRO ARRUELA = *23* MM E COMP HASTE = *27* MM (ACAO INDIRETA)</v>
          </cell>
          <cell r="H1723">
            <v>2.9836800000000001</v>
          </cell>
        </row>
        <row r="1724">
          <cell r="D1724" t="str">
            <v>PERFIL GUIA, FORMATO U, EM ACO ZINCADO, PARA ESTRUTURA PAREDE DRYWALL, E = 0,5 MM, 70 X 3000 MM (L X C)</v>
          </cell>
          <cell r="H1724">
            <v>13.602563999999999</v>
          </cell>
        </row>
        <row r="1725">
          <cell r="D1725" t="str">
            <v>PERFIL MONTANTE, FORMATO C, EM ACO ZINCADO, PARA ESTRUTURA PAREDE DRYWALL, E = 0,5 MM, 70 X 3000 MM (L X C)</v>
          </cell>
          <cell r="H1725">
            <v>46.505844000000003</v>
          </cell>
        </row>
        <row r="1726">
          <cell r="D1726" t="str">
            <v>MASSA DE REJUNTE EM PO PARA DRYWALL, A BASE DE GESSO, SECAGEM RAPIDA, PARA TRATAMENTO DE JUNTAS DE CHAPA DE GESSO (NECESSITA ADICAO DE AGUA)</v>
          </cell>
          <cell r="H1726">
            <v>1.8827270000000003</v>
          </cell>
        </row>
        <row r="1727">
          <cell r="D1727" t="str">
            <v>FITA DE PAPEL MICROPERFURADO, 50 X 150 MM, PARA TRATAMENTO DE JUNTAS DE CHAPA DE GESSO PARA DRYWALL</v>
          </cell>
          <cell r="H1727">
            <v>0.3879185</v>
          </cell>
        </row>
        <row r="1728">
          <cell r="D1728" t="str">
            <v>FITA DE PAPEL REFORCADA COM LAMINA DE METAL PARA REFORCO DE CANTOS DE CHAPA DE GESSO PARA DRYWALL</v>
          </cell>
          <cell r="H1728">
            <v>2.1715870000000002</v>
          </cell>
        </row>
        <row r="1729">
          <cell r="D1729" t="str">
            <v>PARAFUSO DRY WALL, EM ACO FOSFATIZADO, CABECA TROMBETA E PONTA AGULHA (TA), COMPRIMENTO 25 MM</v>
          </cell>
          <cell r="H1729">
            <v>0.90840600000000005</v>
          </cell>
        </row>
        <row r="1730">
          <cell r="D1730" t="str">
            <v>PARAFUSO DRY WALL, EM ACO ZINCADO, CABECA LENTILHA E PONTA BROCA (LB), LARGURA 4,2 MM, COMPRIMENTO 13 MM</v>
          </cell>
          <cell r="H1730">
            <v>5.4410000000000007E-2</v>
          </cell>
        </row>
        <row r="1731">
          <cell r="D1731" t="str">
            <v>31_DRY 70 mm - 1 PLACA - 8,25cm  -  Lado A: PLACA ST - Lado B: N/A</v>
          </cell>
          <cell r="H1731">
            <v>159.7256165</v>
          </cell>
        </row>
        <row r="1732">
          <cell r="D1732" t="str">
            <v>SERVICO - CONFECCAO SHAFT GESSO</v>
          </cell>
          <cell r="H1732">
            <v>70</v>
          </cell>
        </row>
        <row r="1733">
          <cell r="D1733" t="str">
            <v>PLACA / CHAPA DE GESSO ACARTONADO, STANDARD (ST), COR BRANCA, E = 12,5 MM, 1200 X 2400 MM (L X C)</v>
          </cell>
          <cell r="H1733">
            <v>21.228479999999998</v>
          </cell>
        </row>
        <row r="1734">
          <cell r="D1734" t="str">
            <v>PINO DE ACO COM ARRUELA CONICA, DIAMETRO ARRUELA = *23* MM E COMP HASTE = *27* MM (ACAO INDIRETA)</v>
          </cell>
          <cell r="H1734">
            <v>2.9836800000000001</v>
          </cell>
        </row>
        <row r="1735">
          <cell r="D1735" t="str">
            <v>PERFIL GUIA, FORMATO U, EM ACO ZINCADO, PARA ESTRUTURA PAREDE DRYWALL, E = 0,5 MM, 70 X 3000 MM (L X C)</v>
          </cell>
          <cell r="H1735">
            <v>13.602563999999999</v>
          </cell>
        </row>
        <row r="1736">
          <cell r="D1736" t="str">
            <v>PERFIL MONTANTE, FORMATO C, EM ACO ZINCADO, PARA ESTRUTURA PAREDE DRYWALL, E = 0,5 MM, 70 X 3000 MM (L X C)</v>
          </cell>
          <cell r="H1736">
            <v>46.505844000000003</v>
          </cell>
        </row>
        <row r="1737">
          <cell r="D1737" t="str">
            <v>MASSA DE REJUNTE EM PO PARA DRYWALL, A BASE DE GESSO, SECAGEM RAPIDA, PARA TRATAMENTO DE JUNTAS DE CHAPA DE GESSO (NECESSITA ADICAO DE AGUA)</v>
          </cell>
          <cell r="H1737">
            <v>1.8827270000000003</v>
          </cell>
        </row>
        <row r="1738">
          <cell r="D1738" t="str">
            <v>FITA DE PAPEL MICROPERFURADO, 50 X 150 MM, PARA TRATAMENTO DE JUNTAS DE CHAPA DE GESSO PARA DRYWALL</v>
          </cell>
          <cell r="H1738">
            <v>0.3879185</v>
          </cell>
        </row>
        <row r="1739">
          <cell r="D1739" t="str">
            <v>FITA DE PAPEL REFORCADA COM LAMINA DE METAL PARA REFORCO DE CANTOS DE CHAPA DE GESSO PARA DRYWALL</v>
          </cell>
          <cell r="H1739">
            <v>2.1715870000000002</v>
          </cell>
        </row>
        <row r="1740">
          <cell r="D1740" t="str">
            <v>PARAFUSO DRY WALL, EM ACO FOSFATIZADO, CABECA TROMBETA E PONTA AGULHA (TA), COMPRIMENTO 25 MM</v>
          </cell>
          <cell r="H1740">
            <v>0.90840600000000005</v>
          </cell>
        </row>
        <row r="1741">
          <cell r="D1741" t="str">
            <v>PARAFUSO DRY WALL, EM ACO ZINCADO, CABECA LENTILHA E PONTA BROCA (LB), LARGURA 4,2 MM, COMPRIMENTO 13 MM</v>
          </cell>
          <cell r="H1741">
            <v>5.4410000000000007E-2</v>
          </cell>
        </row>
        <row r="1742">
          <cell r="D1742" t="str">
            <v>35_DRY 70 mm LV - 1 PLACA - 8,25cm  -  Lado A: PLACA RU - Lado B: N/A</v>
          </cell>
          <cell r="H1742">
            <v>181.35470316666667</v>
          </cell>
        </row>
        <row r="1743">
          <cell r="D1743" t="str">
            <v>SERVICO - CONFECCAO SHAFT GESSO</v>
          </cell>
          <cell r="H1743">
            <v>70</v>
          </cell>
        </row>
        <row r="1744">
          <cell r="D1744" t="str">
            <v>PLACA / CHAPA DE GESSO ACARTONADO, RESISTENTE A UMIDADE (RU), COR VERDE, E = 12,5 MM, 1200 X 2400 MM (L X C)</v>
          </cell>
          <cell r="H1744">
            <v>28.536300000000001</v>
          </cell>
        </row>
        <row r="1745">
          <cell r="D1745" t="str">
            <v>PINO DE ACO COM ARRUELA CONICA, DIAMETRO ARRUELA = *23* MM E COMP HASTE = *27* MM (ACAO INDIRETA)</v>
          </cell>
          <cell r="H1745">
            <v>2.9836800000000001</v>
          </cell>
        </row>
        <row r="1746">
          <cell r="D1746" t="str">
            <v>PERFIL GUIA, FORMATO U, EM ACO ZINCADO, PARA ESTRUTURA PAREDE DRYWALL, E = 0,5 MM, 70 X 3000 MM (L X C)</v>
          </cell>
          <cell r="H1746">
            <v>13.602563999999999</v>
          </cell>
        </row>
        <row r="1747">
          <cell r="D1747" t="str">
            <v>PERFIL MONTANTE, FORMATO C, EM ACO ZINCADO, PARA ESTRUTURA PAREDE DRYWALL, E = 0,5 MM, 70 X 3000 MM (L X C)</v>
          </cell>
          <cell r="H1747">
            <v>46.505844000000003</v>
          </cell>
        </row>
        <row r="1748">
          <cell r="D1748" t="str">
            <v>MASSA DE REJUNTE EM PO PARA DRYWALL, A BASE DE GESSO, SECAGEM RAPIDA, PARA TRATAMENTO DE JUNTAS DE CHAPA DE GESSO (NECESSITA ADICAO DE AGUA)</v>
          </cell>
          <cell r="H1748">
            <v>1.8827270000000003</v>
          </cell>
        </row>
        <row r="1749">
          <cell r="D1749" t="str">
            <v>FITA DE PAPEL MICROPERFURADO, 50 X 150 MM, PARA TRATAMENTO DE JUNTAS DE CHAPA DE GESSO PARA DRYWALL</v>
          </cell>
          <cell r="H1749">
            <v>0.3879185</v>
          </cell>
        </row>
        <row r="1750">
          <cell r="D1750" t="str">
            <v>FITA DE PAPEL REFORCADA COM LAMINA DE METAL PARA REFORCO DE CANTOS DE CHAPA DE GESSO PARA DRYWALL</v>
          </cell>
          <cell r="H1750">
            <v>2.1715870000000002</v>
          </cell>
        </row>
        <row r="1751">
          <cell r="D1751" t="str">
            <v>PARAFUSO DRY WALL, EM ACO FOSFATIZADO, CABECA TROMBETA E PONTA AGULHA (TA), COMPRIMENTO 25 MM</v>
          </cell>
          <cell r="H1751">
            <v>0.90840600000000005</v>
          </cell>
        </row>
        <row r="1752">
          <cell r="D1752" t="str">
            <v>PARAFUSO DRY WALL, EM ACO ZINCADO, CABECA LENTILHA E PONTA BROCA (LB), LARGURA 4,2 MM, COMPRIMENTO 13 MM</v>
          </cell>
          <cell r="H1752">
            <v>5.4410000000000007E-2</v>
          </cell>
        </row>
        <row r="1753">
          <cell r="D1753" t="str">
            <v>Lã de pet 50 X 1200 X 12500 MM</v>
          </cell>
          <cell r="H1753">
            <v>14.321266666666666</v>
          </cell>
        </row>
        <row r="1754">
          <cell r="D1754" t="str">
            <v>35_DRY 70 mm LV - 1 PLACA - 8,25cm  -  Lado A: PLACA ST - Lado B: N/A</v>
          </cell>
          <cell r="H1754">
            <v>174.04688316666667</v>
          </cell>
        </row>
        <row r="1755">
          <cell r="D1755" t="str">
            <v>SERVICO - CONFECCAO SHAFT GESSO</v>
          </cell>
          <cell r="H1755">
            <v>70</v>
          </cell>
        </row>
        <row r="1756">
          <cell r="D1756" t="str">
            <v>PLACA / CHAPA DE GESSO ACARTONADO, STANDARD (ST), COR BRANCA, E = 12,5 MM, 1200 X 2400 MM (L X C)</v>
          </cell>
          <cell r="H1756">
            <v>21.228479999999998</v>
          </cell>
        </row>
        <row r="1757">
          <cell r="D1757" t="str">
            <v>PINO DE ACO COM ARRUELA CONICA, DIAMETRO ARRUELA = *23* MM E COMP HASTE = *27* MM (ACAO INDIRETA)</v>
          </cell>
          <cell r="H1757">
            <v>2.9836800000000001</v>
          </cell>
        </row>
        <row r="1758">
          <cell r="D1758" t="str">
            <v>PERFIL GUIA, FORMATO U, EM ACO ZINCADO, PARA ESTRUTURA PAREDE DRYWALL, E = 0,5 MM, 70 X 3000 MM (L X C)</v>
          </cell>
          <cell r="H1758">
            <v>13.602563999999999</v>
          </cell>
        </row>
        <row r="1759">
          <cell r="D1759" t="str">
            <v>PERFIL MONTANTE, FORMATO C, EM ACO ZINCADO, PARA ESTRUTURA PAREDE DRYWALL, E = 0,5 MM, 70 X 3000 MM (L X C)</v>
          </cell>
          <cell r="H1759">
            <v>46.505844000000003</v>
          </cell>
        </row>
        <row r="1760">
          <cell r="D1760" t="str">
            <v>MASSA DE REJUNTE EM PO PARA DRYWALL, A BASE DE GESSO, SECAGEM RAPIDA, PARA TRATAMENTO DE JUNTAS DE CHAPA DE GESSO (NECESSITA ADICAO DE AGUA)</v>
          </cell>
          <cell r="H1760">
            <v>1.8827270000000003</v>
          </cell>
        </row>
        <row r="1761">
          <cell r="D1761" t="str">
            <v>FITA DE PAPEL MICROPERFURADO, 50 X 150 MM, PARA TRATAMENTO DE JUNTAS DE CHAPA DE GESSO PARA DRYWALL</v>
          </cell>
          <cell r="H1761">
            <v>0.3879185</v>
          </cell>
        </row>
        <row r="1762">
          <cell r="D1762" t="str">
            <v>FITA DE PAPEL REFORCADA COM LAMINA DE METAL PARA REFORCO DE CANTOS DE CHAPA DE GESSO PARA DRYWALL</v>
          </cell>
          <cell r="H1762">
            <v>2.1715870000000002</v>
          </cell>
        </row>
        <row r="1763">
          <cell r="D1763" t="str">
            <v>PARAFUSO DRY WALL, EM ACO FOSFATIZADO, CABECA TROMBETA E PONTA AGULHA (TA), COMPRIMENTO 25 MM</v>
          </cell>
          <cell r="H1763">
            <v>0.90840600000000005</v>
          </cell>
        </row>
        <row r="1764">
          <cell r="D1764" t="str">
            <v>PARAFUSO DRY WALL, EM ACO ZINCADO, CABECA LENTILHA E PONTA BROCA (LB), LARGURA 4,2 MM, COMPRIMENTO 13 MM</v>
          </cell>
          <cell r="H1764">
            <v>5.4410000000000007E-2</v>
          </cell>
        </row>
        <row r="1765">
          <cell r="D1765" t="str">
            <v>Lã de pet 50 X 1200 X 12500 MM</v>
          </cell>
          <cell r="H1765">
            <v>14.321266666666666</v>
          </cell>
        </row>
        <row r="1766">
          <cell r="D1766" t="str">
            <v>35_DRY 70 mm LV - 1 PLACA - 8,25cm  -  Lado A: PLACA PERFORMANCE ST - Lado B: N/A</v>
          </cell>
          <cell r="H1766">
            <v>174.04688316666667</v>
          </cell>
        </row>
        <row r="1767">
          <cell r="D1767" t="str">
            <v>SERVICO - CONFECCAO SHAFT GESSO</v>
          </cell>
          <cell r="H1767">
            <v>70</v>
          </cell>
        </row>
        <row r="1768">
          <cell r="D1768" t="str">
            <v>PLACA / CHAPA DE GESSO ACARTONADO, STANDARD (ST), COR BRANCA, E = 12,5 MM, 1200 X 2400 MM (L X C)</v>
          </cell>
          <cell r="H1768">
            <v>21.228479999999998</v>
          </cell>
        </row>
        <row r="1769">
          <cell r="D1769" t="str">
            <v>PINO DE ACO COM ARRUELA CONICA, DIAMETRO ARRUELA = *23* MM E COMP HASTE = *27* MM (ACAO INDIRETA)</v>
          </cell>
          <cell r="H1769">
            <v>2.9836800000000001</v>
          </cell>
        </row>
        <row r="1770">
          <cell r="D1770" t="str">
            <v>PERFIL GUIA, FORMATO U, EM ACO ZINCADO, PARA ESTRUTURA PAREDE DRYWALL, E = 0,5 MM, 70 X 3000 MM (L X C)</v>
          </cell>
          <cell r="H1770">
            <v>13.602563999999999</v>
          </cell>
        </row>
        <row r="1771">
          <cell r="D1771" t="str">
            <v>PERFIL MONTANTE, FORMATO C, EM ACO ZINCADO, PARA ESTRUTURA PAREDE DRYWALL, E = 0,5 MM, 70 X 3000 MM (L X C)</v>
          </cell>
          <cell r="H1771">
            <v>46.505844000000003</v>
          </cell>
        </row>
        <row r="1772">
          <cell r="D1772" t="str">
            <v>MASSA DE REJUNTE EM PO PARA DRYWALL, A BASE DE GESSO, SECAGEM RAPIDA, PARA TRATAMENTO DE JUNTAS DE CHAPA DE GESSO (NECESSITA ADICAO DE AGUA)</v>
          </cell>
          <cell r="H1772">
            <v>1.8827270000000003</v>
          </cell>
        </row>
        <row r="1773">
          <cell r="D1773" t="str">
            <v>FITA DE PAPEL MICROPERFURADO, 50 X 150 MM, PARA TRATAMENTO DE JUNTAS DE CHAPA DE GESSO PARA DRYWALL</v>
          </cell>
          <cell r="H1773">
            <v>0.3879185</v>
          </cell>
        </row>
        <row r="1774">
          <cell r="D1774" t="str">
            <v>FITA DE PAPEL REFORCADA COM LAMINA DE METAL PARA REFORCO DE CANTOS DE CHAPA DE GESSO PARA DRYWALL</v>
          </cell>
          <cell r="H1774">
            <v>2.1715870000000002</v>
          </cell>
        </row>
        <row r="1775">
          <cell r="D1775" t="str">
            <v>PARAFUSO DRY WALL, EM ACO FOSFATIZADO, CABECA TROMBETA E PONTA AGULHA (TA), COMPRIMENTO 25 MM</v>
          </cell>
          <cell r="H1775">
            <v>0.90840600000000005</v>
          </cell>
        </row>
        <row r="1776">
          <cell r="D1776" t="str">
            <v>PARAFUSO DRY WALL, EM ACO ZINCADO, CABECA LENTILHA E PONTA BROCA (LB), LARGURA 4,2 MM, COMPRIMENTO 13 MM</v>
          </cell>
          <cell r="H1776">
            <v>5.4410000000000007E-2</v>
          </cell>
        </row>
        <row r="1777">
          <cell r="D1777" t="str">
            <v>Lã de pet 50 X 1200 X 12500 MM</v>
          </cell>
          <cell r="H1777">
            <v>14.321266666666666</v>
          </cell>
        </row>
        <row r="1778">
          <cell r="D1778" t="str">
            <v>31_DRY 70 mm - 1 PLACA - 8,25cm  -  Lado A: PLACA RU - Lado B: N/A</v>
          </cell>
          <cell r="H1778">
            <v>167.03343649999999</v>
          </cell>
        </row>
        <row r="1779">
          <cell r="D1779" t="str">
            <v>SERVICO - CONFECCAO SHAFT GESSO</v>
          </cell>
          <cell r="H1779">
            <v>70</v>
          </cell>
        </row>
        <row r="1780">
          <cell r="D1780" t="str">
            <v>PLACA / CHAPA DE GESSO ACARTONADO, RESISTENTE A UMIDADE (RU), COR VERDE, E = 12,5 MM, 1200 X 2400 MM (L X C)</v>
          </cell>
          <cell r="H1780">
            <v>28.536300000000001</v>
          </cell>
        </row>
        <row r="1781">
          <cell r="D1781" t="str">
            <v>PINO DE ACO COM ARRUELA CONICA, DIAMETRO ARRUELA = *23* MM E COMP HASTE = *27* MM (ACAO INDIRETA)</v>
          </cell>
          <cell r="H1781">
            <v>2.9836800000000001</v>
          </cell>
        </row>
        <row r="1782">
          <cell r="D1782" t="str">
            <v>PERFIL GUIA, FORMATO U, EM ACO ZINCADO, PARA ESTRUTURA PAREDE DRYWALL, E = 0,5 MM, 70 X 3000 MM (L X C)</v>
          </cell>
          <cell r="H1782">
            <v>13.602563999999999</v>
          </cell>
        </row>
        <row r="1783">
          <cell r="D1783" t="str">
            <v>PERFIL MONTANTE, FORMATO C, EM ACO ZINCADO, PARA ESTRUTURA PAREDE DRYWALL, E = 0,5 MM, 70 X 3000 MM (L X C)</v>
          </cell>
          <cell r="H1783">
            <v>46.505844000000003</v>
          </cell>
        </row>
        <row r="1784">
          <cell r="D1784" t="str">
            <v>MASSA DE REJUNTE EM PO PARA DRYWALL, A BASE DE GESSO, SECAGEM RAPIDA, PARA TRATAMENTO DE JUNTAS DE CHAPA DE GESSO (NECESSITA ADICAO DE AGUA)</v>
          </cell>
          <cell r="H1784">
            <v>1.8827270000000003</v>
          </cell>
        </row>
        <row r="1785">
          <cell r="D1785" t="str">
            <v>FITA DE PAPEL MICROPERFURADO, 50 X 150 MM, PARA TRATAMENTO DE JUNTAS DE CHAPA DE GESSO PARA DRYWALL</v>
          </cell>
          <cell r="H1785">
            <v>0.3879185</v>
          </cell>
        </row>
        <row r="1786">
          <cell r="D1786" t="str">
            <v>FITA DE PAPEL REFORCADA COM LAMINA DE METAL PARA REFORCO DE CANTOS DE CHAPA DE GESSO PARA DRYWALL</v>
          </cell>
          <cell r="H1786">
            <v>2.1715870000000002</v>
          </cell>
        </row>
        <row r="1787">
          <cell r="D1787" t="str">
            <v>PARAFUSO DRY WALL, EM ACO FOSFATIZADO, CABECA TROMBETA E PONTA AGULHA (TA), COMPRIMENTO 25 MM</v>
          </cell>
          <cell r="H1787">
            <v>0.90840600000000005</v>
          </cell>
        </row>
        <row r="1788">
          <cell r="D1788" t="str">
            <v>PARAFUSO DRY WALL, EM ACO ZINCADO, CABECA LENTILHA E PONTA BROCA (LB), LARGURA 4,2 MM, COMPRIMENTO 13 MM</v>
          </cell>
          <cell r="H1788">
            <v>5.4410000000000007E-2</v>
          </cell>
        </row>
        <row r="1789">
          <cell r="D1789" t="str">
            <v>35_DRY 70 mm LV - 1 PLACA - 8,25cm  -  Lado A: PLACA PERFORMANCE RU - Lado B: N/A</v>
          </cell>
          <cell r="H1789">
            <v>181.35470316666667</v>
          </cell>
        </row>
        <row r="1790">
          <cell r="D1790" t="str">
            <v>SERVICO - CONFECCAO SHAFT GESSO</v>
          </cell>
          <cell r="H1790">
            <v>70</v>
          </cell>
        </row>
        <row r="1791">
          <cell r="D1791" t="str">
            <v>PLACA / CHAPA DE GESSO ACARTONADO, RESISTENTE A UMIDADE (RU), COR VERDE, E = 12,5 MM, 1200 X 2400 MM (L X C)</v>
          </cell>
          <cell r="H1791">
            <v>28.536300000000001</v>
          </cell>
        </row>
        <row r="1792">
          <cell r="D1792" t="str">
            <v>PINO DE ACO COM ARRUELA CONICA, DIAMETRO ARRUELA = *23* MM E COMP HASTE = *27* MM (ACAO INDIRETA)</v>
          </cell>
          <cell r="H1792">
            <v>2.9836800000000001</v>
          </cell>
        </row>
        <row r="1793">
          <cell r="D1793" t="str">
            <v>PERFIL GUIA, FORMATO U, EM ACO ZINCADO, PARA ESTRUTURA PAREDE DRYWALL, E = 0,5 MM, 70 X 3000 MM (L X C)</v>
          </cell>
          <cell r="H1793">
            <v>13.602563999999999</v>
          </cell>
        </row>
        <row r="1794">
          <cell r="D1794" t="str">
            <v>PERFIL MONTANTE, FORMATO C, EM ACO ZINCADO, PARA ESTRUTURA PAREDE DRYWALL, E = 0,5 MM, 70 X 3000 MM (L X C)</v>
          </cell>
          <cell r="H1794">
            <v>46.505844000000003</v>
          </cell>
        </row>
        <row r="1795">
          <cell r="D1795" t="str">
            <v>MASSA DE REJUNTE EM PO PARA DRYWALL, A BASE DE GESSO, SECAGEM RAPIDA, PARA TRATAMENTO DE JUNTAS DE CHAPA DE GESSO (NECESSITA ADICAO DE AGUA)</v>
          </cell>
          <cell r="H1795">
            <v>1.8827270000000003</v>
          </cell>
        </row>
        <row r="1796">
          <cell r="D1796" t="str">
            <v>FITA DE PAPEL MICROPERFURADO, 50 X 150 MM, PARA TRATAMENTO DE JUNTAS DE CHAPA DE GESSO PARA DRYWALL</v>
          </cell>
          <cell r="H1796">
            <v>0.3879185</v>
          </cell>
        </row>
        <row r="1797">
          <cell r="D1797" t="str">
            <v>FITA DE PAPEL REFORCADA COM LAMINA DE METAL PARA REFORCO DE CANTOS DE CHAPA DE GESSO PARA DRYWALL</v>
          </cell>
          <cell r="H1797">
            <v>2.1715870000000002</v>
          </cell>
        </row>
        <row r="1798">
          <cell r="D1798" t="str">
            <v>PARAFUSO DRY WALL, EM ACO FOSFATIZADO, CABECA TROMBETA E PONTA AGULHA (TA), COMPRIMENTO 25 MM</v>
          </cell>
          <cell r="H1798">
            <v>0.90840600000000005</v>
          </cell>
        </row>
        <row r="1799">
          <cell r="D1799" t="str">
            <v>PARAFUSO DRY WALL, EM ACO ZINCADO, CABECA LENTILHA E PONTA BROCA (LB), LARGURA 4,2 MM, COMPRIMENTO 13 MM</v>
          </cell>
          <cell r="H1799">
            <v>5.4410000000000007E-2</v>
          </cell>
        </row>
        <row r="1800">
          <cell r="D1800" t="str">
            <v>Lã de pet 50 X 1200 X 12500 MM</v>
          </cell>
          <cell r="H1800">
            <v>14.321266666666666</v>
          </cell>
        </row>
        <row r="1801">
          <cell r="D1801" t="str">
            <v>40_DRY 70R/PEU - 8.25 cm  -</v>
          </cell>
          <cell r="H1801">
            <v>159.7256165</v>
          </cell>
        </row>
        <row r="1802">
          <cell r="D1802" t="str">
            <v>SERVICO - CONFECCAO SHAFT GESSO</v>
          </cell>
          <cell r="H1802">
            <v>70</v>
          </cell>
        </row>
        <row r="1803">
          <cell r="D1803" t="str">
            <v>PLACA / CHAPA DE GESSO ACARTONADO, STANDARD (ST), COR BRANCA, E = 12,5 MM, 1200 X 2400 MM (L X C)</v>
          </cell>
          <cell r="H1803">
            <v>21.228479999999998</v>
          </cell>
        </row>
        <row r="1804">
          <cell r="D1804" t="str">
            <v>PINO DE ACO COM ARRUELA CONICA, DIAMETRO ARRUELA = *23* MM E COMP HASTE = *27* MM (ACAO INDIRETA)</v>
          </cell>
          <cell r="H1804">
            <v>2.9836800000000001</v>
          </cell>
        </row>
        <row r="1805">
          <cell r="D1805" t="str">
            <v>PERFIL GUIA, FORMATO U, EM ACO ZINCADO, PARA ESTRUTURA PAREDE DRYWALL, E = 0,5 MM, 70 X 3000 MM (L X C)</v>
          </cell>
          <cell r="H1805">
            <v>13.602563999999999</v>
          </cell>
        </row>
        <row r="1806">
          <cell r="D1806" t="str">
            <v>PERFIL MONTANTE, FORMATO C, EM ACO ZINCADO, PARA ESTRUTURA PAREDE DRYWALL, E = 0,5 MM, 70 X 3000 MM (L X C)</v>
          </cell>
          <cell r="H1806">
            <v>46.505844000000003</v>
          </cell>
        </row>
        <row r="1807">
          <cell r="D1807" t="str">
            <v>MASSA DE REJUNTE EM PO PARA DRYWALL, A BASE DE GESSO, SECAGEM RAPIDA, PARA TRATAMENTO DE JUNTAS DE CHAPA DE GESSO (NECESSITA ADICAO DE AGUA)</v>
          </cell>
          <cell r="H1807">
            <v>1.8827270000000003</v>
          </cell>
        </row>
        <row r="1808">
          <cell r="D1808" t="str">
            <v>FITA DE PAPEL MICROPERFURADO, 50 X 150 MM, PARA TRATAMENTO DE JUNTAS DE CHAPA DE GESSO PARA DRYWALL</v>
          </cell>
          <cell r="H1808">
            <v>0.3879185</v>
          </cell>
        </row>
        <row r="1809">
          <cell r="D1809" t="str">
            <v>FITA DE PAPEL REFORCADA COM LAMINA DE METAL PARA REFORCO DE CANTOS DE CHAPA DE GESSO PARA DRYWALL</v>
          </cell>
          <cell r="H1809">
            <v>2.1715870000000002</v>
          </cell>
        </row>
        <row r="1810">
          <cell r="D1810" t="str">
            <v>PARAFUSO DRY WALL, EM ACO FOSFATIZADO, CABECA TROMBETA E PONTA AGULHA (TA), COMPRIMENTO 25 MM</v>
          </cell>
          <cell r="H1810">
            <v>0.90840600000000005</v>
          </cell>
        </row>
        <row r="1811">
          <cell r="D1811" t="str">
            <v>PARAFUSO DRY WALL, EM ACO ZINCADO, CABECA LENTILHA E PONTA BROCA (LB), LARGURA 4,2 MM, COMPRIMENTO 13 MM</v>
          </cell>
          <cell r="H1811">
            <v>5.4410000000000007E-2</v>
          </cell>
        </row>
        <row r="1812">
          <cell r="D1812" t="str">
            <v>Parede Com Sistema Em Chapas De Gesso Para Drywall, Uso Interno, Montante 90mm, Com Duas Face Simples Standart e isolamento com Lâ de Vidro (ST/90/ST)</v>
          </cell>
          <cell r="H1812">
            <v>226.12617466666669</v>
          </cell>
        </row>
        <row r="1813">
          <cell r="D1813" t="str">
            <v>SERVICO - CONFECCAO SHAFT GESSO</v>
          </cell>
          <cell r="H1813">
            <v>70</v>
          </cell>
        </row>
        <row r="1814">
          <cell r="D1814" t="str">
            <v>PLACA / CHAPA DE GESSO ACARTONADO, STANDARD (ST), COR BRANCA, E = 12,5 MM, 1200 X 2400 MM (L X C)</v>
          </cell>
          <cell r="H1814">
            <v>42.456959999999995</v>
          </cell>
        </row>
        <row r="1815">
          <cell r="D1815" t="str">
            <v>PINO DE ACO COM ARRUELA CONICA, DIAMETRO ARRUELA = *23* MM E COMP HASTE = *27* MM (ACAO INDIRETA)</v>
          </cell>
          <cell r="H1815">
            <v>2.9836800000000001</v>
          </cell>
        </row>
        <row r="1816">
          <cell r="D1816" t="str">
            <v>PERFIL GUIA, FORMATO U, EM ACO ZINCADO, PARA ESTRUTURA PAREDE DRYWALL, E = 0,5 MM, 90 X 3000 MM (L X C)</v>
          </cell>
          <cell r="H1816">
            <v>13.174272</v>
          </cell>
        </row>
        <row r="1817">
          <cell r="D1817" t="str">
            <v>PERFIL MONTANTE, FORMATO C, EM ACO ZINCADO, PARA ESTRUTURA PAREDE DRYWALL, E = 0,5 MM, 90 X 3000 MM (L X C)</v>
          </cell>
          <cell r="H1817">
            <v>72.379898999999995</v>
          </cell>
        </row>
        <row r="1818">
          <cell r="D1818" t="str">
            <v>MASSA DE REJUNTE EM PO PARA DRYWALL, A BASE DE GESSO, SECAGEM RAPIDA, PARA TRATAMENTO DE JUNTAS DE CHAPA DE GESSO (NECESSITA ADICAO DE AGUA)</v>
          </cell>
          <cell r="H1818">
            <v>3.7654540000000005</v>
          </cell>
        </row>
        <row r="1819">
          <cell r="D1819" t="str">
            <v>FITA DE PAPEL MICROPERFURADO, 50 X 150 MM, PARA TRATAMENTO DE JUNTAS DE CHAPA DE GESSO PARA DRYWALL</v>
          </cell>
          <cell r="H1819">
            <v>0.775837</v>
          </cell>
        </row>
        <row r="1820">
          <cell r="D1820" t="str">
            <v>FITA DE PAPEL REFORCADA COM LAMINA DE METAL PARA REFORCO DE CANTOS DE CHAPA DE GESSO PARA DRYWALL</v>
          </cell>
          <cell r="H1820">
            <v>4.3431740000000003</v>
          </cell>
        </row>
        <row r="1821">
          <cell r="D1821" t="str">
            <v>PARAFUSO DRY WALL, EM ACO FOSFATIZADO, CABECA TROMBETA E PONTA AGULHA (TA), COMPRIMENTO 25 MM</v>
          </cell>
          <cell r="H1821">
            <v>1.8168120000000001</v>
          </cell>
        </row>
        <row r="1822">
          <cell r="D1822" t="str">
            <v>PARAFUSO DRY WALL, EM ACO ZINCADO, CABECA LENTILHA E PONTA BROCA (LB), LARGURA 4,2 MM, COMPRIMENTO 13 MM</v>
          </cell>
          <cell r="H1822">
            <v>0.10882000000000001</v>
          </cell>
        </row>
        <row r="1823">
          <cell r="D1823" t="str">
            <v>Lã de pet 50 X 1200 X 12500 MM</v>
          </cell>
          <cell r="H1823">
            <v>14.321266666666666</v>
          </cell>
        </row>
        <row r="1824">
          <cell r="D1824" t="str">
            <v>Fechamento de Shaft em Chapas De Gesso Para Drywall, Uso Interno, Montante 90mm, Com Duas Face Simples Resistente à Umidade e isolamento com Lâ de Vidro (RU/90/RU)</v>
          </cell>
          <cell r="H1824">
            <v>240.74181466666667</v>
          </cell>
        </row>
        <row r="1825">
          <cell r="D1825" t="str">
            <v>SERVICO - CONFECCAO SHAFT GESSO</v>
          </cell>
          <cell r="H1825">
            <v>70</v>
          </cell>
        </row>
        <row r="1826">
          <cell r="D1826" t="str">
            <v>PLACA / CHAPA DE GESSO ACARTONADO, RESISTENTE A UMIDADE (RU), COR VERDE, E = 12,5 MM, 1200 X 2400 MM (L X C)</v>
          </cell>
          <cell r="H1826">
            <v>57.072600000000001</v>
          </cell>
        </row>
        <row r="1827">
          <cell r="D1827" t="str">
            <v>PINO DE ACO COM ARRUELA CONICA, DIAMETRO ARRUELA = *23* MM E COMP HASTE = *27* MM (ACAO INDIRETA)</v>
          </cell>
          <cell r="H1827">
            <v>2.9836800000000001</v>
          </cell>
        </row>
        <row r="1828">
          <cell r="D1828" t="str">
            <v>PERFIL GUIA, FORMATO U, EM ACO ZINCADO, PARA ESTRUTURA PAREDE DRYWALL, E = 0,5 MM, 90 X 3000 MM (L X C)</v>
          </cell>
          <cell r="H1828">
            <v>13.174272</v>
          </cell>
        </row>
        <row r="1829">
          <cell r="D1829" t="str">
            <v>PERFIL MONTANTE, FORMATO C, EM ACO ZINCADO, PARA ESTRUTURA PAREDE DRYWALL, E = 0,5 MM, 90 X 3000 MM (L X C)</v>
          </cell>
          <cell r="H1829">
            <v>72.379898999999995</v>
          </cell>
        </row>
        <row r="1830">
          <cell r="D1830" t="str">
            <v>MASSA DE REJUNTE EM PO PARA DRYWALL, A BASE DE GESSO, SECAGEM RAPIDA, PARA TRATAMENTO DE JUNTAS DE CHAPA DE GESSO (NECESSITA ADICAO DE AGUA)</v>
          </cell>
          <cell r="H1830">
            <v>3.7654540000000005</v>
          </cell>
        </row>
        <row r="1831">
          <cell r="D1831" t="str">
            <v>FITA DE PAPEL MICROPERFURADO, 50 X 150 MM, PARA TRATAMENTO DE JUNTAS DE CHAPA DE GESSO PARA DRYWALL</v>
          </cell>
          <cell r="H1831">
            <v>0.775837</v>
          </cell>
        </row>
        <row r="1832">
          <cell r="D1832" t="str">
            <v>FITA DE PAPEL REFORCADA COM LAMINA DE METAL PARA REFORCO DE CANTOS DE CHAPA DE GESSO PARA DRYWALL</v>
          </cell>
          <cell r="H1832">
            <v>4.3431740000000003</v>
          </cell>
        </row>
        <row r="1833">
          <cell r="D1833" t="str">
            <v>PARAFUSO DRY WALL, EM ACO FOSFATIZADO, CABECA TROMBETA E PONTA AGULHA (TA), COMPRIMENTO 25 MM</v>
          </cell>
          <cell r="H1833">
            <v>1.8168120000000001</v>
          </cell>
        </row>
        <row r="1834">
          <cell r="D1834" t="str">
            <v>PARAFUSO DRY WALL, EM ACO ZINCADO, CABECA LENTILHA E PONTA BROCA (LB), LARGURA 4,2 MM, COMPRIMENTO 13 MM</v>
          </cell>
          <cell r="H1834">
            <v>0.10882000000000001</v>
          </cell>
        </row>
        <row r="1835">
          <cell r="D1835" t="str">
            <v>Lã de pet 50 X 1200 X 12500 MM</v>
          </cell>
          <cell r="H1835">
            <v>14.321266666666666</v>
          </cell>
        </row>
        <row r="1836">
          <cell r="D1836" t="str">
            <v>35_DRY 90 mm LV, OSSO  -</v>
          </cell>
          <cell r="H1836">
            <v>172.96793766666667</v>
          </cell>
        </row>
        <row r="1837">
          <cell r="D1837" t="str">
            <v>SERVICO - CONFECCAO SHAFT GESSO</v>
          </cell>
          <cell r="H1837">
            <v>70</v>
          </cell>
        </row>
        <row r="1838">
          <cell r="D1838" t="str">
            <v>PINO DE ACO COM ARRUELA CONICA, DIAMETRO ARRUELA = *23* MM E COMP HASTE = *27* MM (ACAO INDIRETA)</v>
          </cell>
          <cell r="H1838">
            <v>2.9836800000000001</v>
          </cell>
        </row>
        <row r="1839">
          <cell r="D1839" t="str">
            <v>PERFIL GUIA, FORMATO U, EM ACO ZINCADO, PARA ESTRUTURA PAREDE DRYWALL, E = 0,5 MM, 90 X 3000 MM (L X C)</v>
          </cell>
          <cell r="H1839">
            <v>13.174272</v>
          </cell>
        </row>
        <row r="1840">
          <cell r="D1840" t="str">
            <v>PERFIL MONTANTE, FORMATO C, EM ACO ZINCADO, PARA ESTRUTURA PAREDE DRYWALL, E = 0,5 MM, 90 X 3000 MM (L X C)</v>
          </cell>
          <cell r="H1840">
            <v>72.379898999999995</v>
          </cell>
        </row>
        <row r="1841">
          <cell r="D1841" t="str">
            <v>PARAFUSO DRY WALL, EM ACO ZINCADO, CABECA LENTILHA E PONTA BROCA (LB), LARGURA 4,2 MM, COMPRIMENTO 13 MM</v>
          </cell>
          <cell r="H1841">
            <v>0.10882000000000001</v>
          </cell>
        </row>
        <row r="1842">
          <cell r="D1842" t="str">
            <v>Lã de pet 50 X 1200 X 12500 MM</v>
          </cell>
          <cell r="H1842">
            <v>14.321266666666666</v>
          </cell>
        </row>
        <row r="1843">
          <cell r="D1843" t="str">
            <v>36_DRY 90 mm LV - 2 PLACAS - 11,50cm  -  Lado A: PLACA PERFORMANCE RU - Lado B: PLACA PERFORMANCE RU</v>
          </cell>
          <cell r="H1843">
            <v>240.74181466666667</v>
          </cell>
        </row>
        <row r="1844">
          <cell r="D1844" t="str">
            <v>SERVICO - CONFECCAO SHAFT GESSO</v>
          </cell>
          <cell r="H1844">
            <v>70</v>
          </cell>
        </row>
        <row r="1845">
          <cell r="D1845" t="str">
            <v>PLACA / CHAPA DE GESSO ACARTONADO, RESISTENTE A UMIDADE (RU), COR VERDE, E = 12,5 MM, 1200 X 2400 MM (L X C)</v>
          </cell>
          <cell r="H1845">
            <v>57.072600000000001</v>
          </cell>
        </row>
        <row r="1846">
          <cell r="D1846" t="str">
            <v>PINO DE ACO COM ARRUELA CONICA, DIAMETRO ARRUELA = *23* MM E COMP HASTE = *27* MM (ACAO INDIRETA)</v>
          </cell>
          <cell r="H1846">
            <v>2.9836800000000001</v>
          </cell>
        </row>
        <row r="1847">
          <cell r="D1847" t="str">
            <v>PERFIL GUIA, FORMATO U, EM ACO ZINCADO, PARA ESTRUTURA PAREDE DRYWALL, E = 0,5 MM, 90 X 3000 MM (L X C)</v>
          </cell>
          <cell r="H1847">
            <v>13.174272</v>
          </cell>
        </row>
        <row r="1848">
          <cell r="D1848" t="str">
            <v>PERFIL MONTANTE, FORMATO C, EM ACO ZINCADO, PARA ESTRUTURA PAREDE DRYWALL, E = 0,5 MM, 90 X 3000 MM (L X C)</v>
          </cell>
          <cell r="H1848">
            <v>72.379898999999995</v>
          </cell>
        </row>
        <row r="1849">
          <cell r="D1849" t="str">
            <v>MASSA DE REJUNTE EM PO PARA DRYWALL, A BASE DE GESSO, SECAGEM RAPIDA, PARA TRATAMENTO DE JUNTAS DE CHAPA DE GESSO (NECESSITA ADICAO DE AGUA)</v>
          </cell>
          <cell r="H1849">
            <v>3.7654540000000005</v>
          </cell>
        </row>
        <row r="1850">
          <cell r="D1850" t="str">
            <v>FITA DE PAPEL MICROPERFURADO, 50 X 150 MM, PARA TRATAMENTO DE JUNTAS DE CHAPA DE GESSO PARA DRYWALL</v>
          </cell>
          <cell r="H1850">
            <v>0.775837</v>
          </cell>
        </row>
        <row r="1851">
          <cell r="D1851" t="str">
            <v>FITA DE PAPEL REFORCADA COM LAMINA DE METAL PARA REFORCO DE CANTOS DE CHAPA DE GESSO PARA DRYWALL</v>
          </cell>
          <cell r="H1851">
            <v>4.3431740000000003</v>
          </cell>
        </row>
        <row r="1852">
          <cell r="D1852" t="str">
            <v>PARAFUSO DRY WALL, EM ACO FOSFATIZADO, CABECA TROMBETA E PONTA AGULHA (TA), COMPRIMENTO 25 MM</v>
          </cell>
          <cell r="H1852">
            <v>1.8168120000000001</v>
          </cell>
        </row>
        <row r="1853">
          <cell r="D1853" t="str">
            <v>PARAFUSO DRY WALL, EM ACO ZINCADO, CABECA LENTILHA E PONTA BROCA (LB), LARGURA 4,2 MM, COMPRIMENTO 13 MM</v>
          </cell>
          <cell r="H1853">
            <v>0.10882000000000001</v>
          </cell>
        </row>
        <row r="1854">
          <cell r="D1854" t="str">
            <v>Lã de pet 50 X 1200 X 12500 MM</v>
          </cell>
          <cell r="H1854">
            <v>14.321266666666666</v>
          </cell>
        </row>
        <row r="1855">
          <cell r="D1855" t="str">
            <v>36_DRY 90 mm LV - 2 PLACAS - 11,50cm  -  Lado A: PLACA PERFORMANCE RU - Lado B: PLACA RU</v>
          </cell>
          <cell r="H1855">
            <v>240.74181466666667</v>
          </cell>
        </row>
        <row r="1856">
          <cell r="D1856" t="str">
            <v>SERVICO - CONFECCAO SHAFT GESSO</v>
          </cell>
          <cell r="H1856">
            <v>70</v>
          </cell>
        </row>
        <row r="1857">
          <cell r="D1857" t="str">
            <v>PLACA / CHAPA DE GESSO ACARTONADO, RESISTENTE A UMIDADE (RU), COR VERDE, E = 12,5 MM, 1200 X 2400 MM (L X C)</v>
          </cell>
          <cell r="H1857">
            <v>57.072600000000001</v>
          </cell>
        </row>
        <row r="1858">
          <cell r="D1858" t="str">
            <v>PINO DE ACO COM ARRUELA CONICA, DIAMETRO ARRUELA = *23* MM E COMP HASTE = *27* MM (ACAO INDIRETA)</v>
          </cell>
          <cell r="H1858">
            <v>2.9836800000000001</v>
          </cell>
        </row>
        <row r="1859">
          <cell r="D1859" t="str">
            <v>PERFIL GUIA, FORMATO U, EM ACO ZINCADO, PARA ESTRUTURA PAREDE DRYWALL, E = 0,5 MM, 90 X 3000 MM (L X C)</v>
          </cell>
          <cell r="H1859">
            <v>13.174272</v>
          </cell>
        </row>
        <row r="1860">
          <cell r="D1860" t="str">
            <v>PERFIL MONTANTE, FORMATO C, EM ACO ZINCADO, PARA ESTRUTURA PAREDE DRYWALL, E = 0,5 MM, 90 X 3000 MM (L X C)</v>
          </cell>
          <cell r="H1860">
            <v>72.379898999999995</v>
          </cell>
        </row>
        <row r="1861">
          <cell r="D1861" t="str">
            <v>MASSA DE REJUNTE EM PO PARA DRYWALL, A BASE DE GESSO, SECAGEM RAPIDA, PARA TRATAMENTO DE JUNTAS DE CHAPA DE GESSO (NECESSITA ADICAO DE AGUA)</v>
          </cell>
          <cell r="H1861">
            <v>3.7654540000000005</v>
          </cell>
        </row>
        <row r="1862">
          <cell r="D1862" t="str">
            <v>FITA DE PAPEL MICROPERFURADO, 50 X 150 MM, PARA TRATAMENTO DE JUNTAS DE CHAPA DE GESSO PARA DRYWALL</v>
          </cell>
          <cell r="H1862">
            <v>0.775837</v>
          </cell>
        </row>
        <row r="1863">
          <cell r="D1863" t="str">
            <v>FITA DE PAPEL REFORCADA COM LAMINA DE METAL PARA REFORCO DE CANTOS DE CHAPA DE GESSO PARA DRYWALL</v>
          </cell>
          <cell r="H1863">
            <v>4.3431740000000003</v>
          </cell>
        </row>
        <row r="1864">
          <cell r="D1864" t="str">
            <v>PARAFUSO DRY WALL, EM ACO FOSFATIZADO, CABECA TROMBETA E PONTA AGULHA (TA), COMPRIMENTO 25 MM</v>
          </cell>
          <cell r="H1864">
            <v>1.8168120000000001</v>
          </cell>
        </row>
        <row r="1865">
          <cell r="D1865" t="str">
            <v>PARAFUSO DRY WALL, EM ACO ZINCADO, CABECA LENTILHA E PONTA BROCA (LB), LARGURA 4,2 MM, COMPRIMENTO 13 MM</v>
          </cell>
          <cell r="H1865">
            <v>0.10882000000000001</v>
          </cell>
        </row>
        <row r="1866">
          <cell r="D1866" t="str">
            <v>Lã de pet 50 X 1200 X 12500 MM</v>
          </cell>
          <cell r="H1866">
            <v>14.321266666666666</v>
          </cell>
        </row>
        <row r="1867">
          <cell r="D1867" t="str">
            <v>36_DRY 90 mm LV - 2 PLACAS - 11,50cm  -  Lado A: PLACA PERFORMANCE RU - Lado B: PLACA ST</v>
          </cell>
          <cell r="H1867">
            <v>235.93877466666669</v>
          </cell>
        </row>
        <row r="1868">
          <cell r="D1868" t="str">
            <v>SERVICO - CONFECCAO SHAFT GESSO</v>
          </cell>
          <cell r="H1868">
            <v>70</v>
          </cell>
        </row>
        <row r="1869">
          <cell r="D1869" t="str">
            <v>PLACA / CHAPA DE GESSO ACARTONADO, RESISTENTE A UMIDADE (RU), COR VERDE, E = 12,5 MM, 1200 X 2400 MM (L X C)</v>
          </cell>
          <cell r="H1869">
            <v>29.972600000000003</v>
          </cell>
        </row>
        <row r="1870">
          <cell r="D1870" t="str">
            <v>PLACA / CHAPA DE GESSO ACARTONADO, STANDARD (ST), COR BRANCA, E = 12,5 MM, 1200 X 2400 MM (L X C)</v>
          </cell>
          <cell r="H1870">
            <v>22.296960000000002</v>
          </cell>
        </row>
        <row r="1871">
          <cell r="D1871" t="str">
            <v>PINO DE ACO COM ARRUELA CONICA, DIAMETRO ARRUELA = *23* MM E COMP HASTE = *27* MM (ACAO INDIRETA)</v>
          </cell>
          <cell r="H1871">
            <v>2.9836800000000001</v>
          </cell>
        </row>
        <row r="1872">
          <cell r="D1872" t="str">
            <v>PERFIL GUIA, FORMATO U, EM ACO ZINCADO, PARA ESTRUTURA PAREDE DRYWALL, E = 0,5 MM, 90 X 3000 MM (L X C)</v>
          </cell>
          <cell r="H1872">
            <v>13.174272</v>
          </cell>
        </row>
        <row r="1873">
          <cell r="D1873" t="str">
            <v>PERFIL MONTANTE, FORMATO C, EM ACO ZINCADO, PARA ESTRUTURA PAREDE DRYWALL, E = 0,5 MM, 90 X 3000 MM (L X C)</v>
          </cell>
          <cell r="H1873">
            <v>72.379898999999995</v>
          </cell>
        </row>
        <row r="1874">
          <cell r="D1874" t="str">
            <v>MASSA DE REJUNTE EM PO PARA DRYWALL, A BASE DE GESSO, SECAGEM RAPIDA, PARA TRATAMENTO DE JUNTAS DE CHAPA DE GESSO (NECESSITA ADICAO DE AGUA)</v>
          </cell>
          <cell r="H1874">
            <v>3.7654540000000005</v>
          </cell>
        </row>
        <row r="1875">
          <cell r="D1875" t="str">
            <v>FITA DE PAPEL MICROPERFURADO, 50 X 150 MM, PARA TRATAMENTO DE JUNTAS DE CHAPA DE GESSO PARA DRYWALL</v>
          </cell>
          <cell r="H1875">
            <v>0.775837</v>
          </cell>
        </row>
        <row r="1876">
          <cell r="D1876" t="str">
            <v>FITA DE PAPEL REFORCADA COM LAMINA DE METAL PARA REFORCO DE CANTOS DE CHAPA DE GESSO PARA DRYWALL</v>
          </cell>
          <cell r="H1876">
            <v>4.3431740000000003</v>
          </cell>
        </row>
        <row r="1877">
          <cell r="D1877" t="str">
            <v>PARAFUSO DRY WALL, EM ACO FOSFATIZADO, CABECA TROMBETA E PONTA AGULHA (TA), COMPRIMENTO 25 MM</v>
          </cell>
          <cell r="H1877">
            <v>1.8168120000000001</v>
          </cell>
        </row>
        <row r="1878">
          <cell r="D1878" t="str">
            <v>PARAFUSO DRY WALL, EM ACO ZINCADO, CABECA LENTILHA E PONTA BROCA (LB), LARGURA 4,2 MM, COMPRIMENTO 13 MM</v>
          </cell>
          <cell r="H1878">
            <v>0.10882000000000001</v>
          </cell>
        </row>
        <row r="1879">
          <cell r="D1879" t="str">
            <v>Lã de pet 50 X 1200 X 12500 MM</v>
          </cell>
          <cell r="H1879">
            <v>14.321266666666666</v>
          </cell>
        </row>
        <row r="1880">
          <cell r="D1880" t="str">
            <v>36_DRY 90 mm LV - 2 PLACAS - 11,50cm  -  Lado A: PLACA RU - Lado B: PLACA RU</v>
          </cell>
          <cell r="H1880">
            <v>240.74181466666667</v>
          </cell>
        </row>
        <row r="1881">
          <cell r="D1881" t="str">
            <v>SERVICO - CONFECCAO SHAFT GESSO</v>
          </cell>
          <cell r="H1881">
            <v>70</v>
          </cell>
        </row>
        <row r="1882">
          <cell r="D1882" t="str">
            <v>PLACA / CHAPA DE GESSO ACARTONADO, RESISTENTE A UMIDADE (RU), COR VERDE, E = 12,5 MM, 1200 X 2400 MM (L X C)</v>
          </cell>
          <cell r="H1882">
            <v>57.072600000000001</v>
          </cell>
        </row>
        <row r="1883">
          <cell r="D1883" t="str">
            <v>PINO DE ACO COM ARRUELA CONICA, DIAMETRO ARRUELA = *23* MM E COMP HASTE = *27* MM (ACAO INDIRETA)</v>
          </cell>
          <cell r="H1883">
            <v>2.9836800000000001</v>
          </cell>
        </row>
        <row r="1884">
          <cell r="D1884" t="str">
            <v>PERFIL GUIA, FORMATO U, EM ACO ZINCADO, PARA ESTRUTURA PAREDE DRYWALL, E = 0,5 MM, 90 X 3000 MM (L X C)</v>
          </cell>
          <cell r="H1884">
            <v>13.174272</v>
          </cell>
        </row>
        <row r="1885">
          <cell r="D1885" t="str">
            <v>PERFIL MONTANTE, FORMATO C, EM ACO ZINCADO, PARA ESTRUTURA PAREDE DRYWALL, E = 0,5 MM, 90 X 3000 MM (L X C)</v>
          </cell>
          <cell r="H1885">
            <v>72.379898999999995</v>
          </cell>
        </row>
        <row r="1886">
          <cell r="D1886" t="str">
            <v>MASSA DE REJUNTE EM PO PARA DRYWALL, A BASE DE GESSO, SECAGEM RAPIDA, PARA TRATAMENTO DE JUNTAS DE CHAPA DE GESSO (NECESSITA ADICAO DE AGUA)</v>
          </cell>
          <cell r="H1886">
            <v>3.7654540000000005</v>
          </cell>
        </row>
        <row r="1887">
          <cell r="D1887" t="str">
            <v>FITA DE PAPEL MICROPERFURADO, 50 X 150 MM, PARA TRATAMENTO DE JUNTAS DE CHAPA DE GESSO PARA DRYWALL</v>
          </cell>
          <cell r="H1887">
            <v>0.775837</v>
          </cell>
        </row>
        <row r="1888">
          <cell r="D1888" t="str">
            <v>FITA DE PAPEL REFORCADA COM LAMINA DE METAL PARA REFORCO DE CANTOS DE CHAPA DE GESSO PARA DRYWALL</v>
          </cell>
          <cell r="H1888">
            <v>4.3431740000000003</v>
          </cell>
        </row>
        <row r="1889">
          <cell r="D1889" t="str">
            <v>PARAFUSO DRY WALL, EM ACO FOSFATIZADO, CABECA TROMBETA E PONTA AGULHA (TA), COMPRIMENTO 25 MM</v>
          </cell>
          <cell r="H1889">
            <v>1.8168120000000001</v>
          </cell>
        </row>
        <row r="1890">
          <cell r="D1890" t="str">
            <v>PARAFUSO DRY WALL, EM ACO ZINCADO, CABECA LENTILHA E PONTA BROCA (LB), LARGURA 4,2 MM, COMPRIMENTO 13 MM</v>
          </cell>
          <cell r="H1890">
            <v>0.10882000000000001</v>
          </cell>
        </row>
        <row r="1891">
          <cell r="D1891" t="str">
            <v>Lã de pet 50 X 1200 X 12500 MM</v>
          </cell>
          <cell r="H1891">
            <v>14.321266666666666</v>
          </cell>
        </row>
        <row r="1892">
          <cell r="D1892" t="str">
            <v>36_DRY 90 mm LV - 2 PLACAS - 11,50cm  -  Lado A: PLACA RU - Lado B: PLACA ST</v>
          </cell>
          <cell r="H1892">
            <v>235.93877466666669</v>
          </cell>
        </row>
        <row r="1893">
          <cell r="D1893" t="str">
            <v>SERVICO - CONFECCAO SHAFT GESSO</v>
          </cell>
          <cell r="H1893">
            <v>70</v>
          </cell>
        </row>
        <row r="1894">
          <cell r="D1894" t="str">
            <v>PLACA / CHAPA DE GESSO ACARTONADO, RESISTENTE A UMIDADE (RU), COR VERDE, E = 12,5 MM, 1200 X 2400 MM (L X C)</v>
          </cell>
          <cell r="H1894">
            <v>29.972600000000003</v>
          </cell>
        </row>
        <row r="1895">
          <cell r="D1895" t="str">
            <v>PLACA / CHAPA DE GESSO ACARTONADO, STANDARD (ST), COR BRANCA, E = 12,5 MM, 1200 X 2400 MM (L X C)</v>
          </cell>
          <cell r="H1895">
            <v>22.296960000000002</v>
          </cell>
        </row>
        <row r="1896">
          <cell r="D1896" t="str">
            <v>PINO DE ACO COM ARRUELA CONICA, DIAMETRO ARRUELA = *23* MM E COMP HASTE = *27* MM (ACAO INDIRETA)</v>
          </cell>
          <cell r="H1896">
            <v>2.9836800000000001</v>
          </cell>
        </row>
        <row r="1897">
          <cell r="D1897" t="str">
            <v>PERFIL GUIA, FORMATO U, EM ACO ZINCADO, PARA ESTRUTURA PAREDE DRYWALL, E = 0,5 MM, 90 X 3000 MM (L X C)</v>
          </cell>
          <cell r="H1897">
            <v>13.174272</v>
          </cell>
        </row>
        <row r="1898">
          <cell r="D1898" t="str">
            <v>PERFIL MONTANTE, FORMATO C, EM ACO ZINCADO, PARA ESTRUTURA PAREDE DRYWALL, E = 0,5 MM, 90 X 3000 MM (L X C)</v>
          </cell>
          <cell r="H1898">
            <v>72.379898999999995</v>
          </cell>
        </row>
        <row r="1899">
          <cell r="D1899" t="str">
            <v>MASSA DE REJUNTE EM PO PARA DRYWALL, A BASE DE GESSO, SECAGEM RAPIDA, PARA TRATAMENTO DE JUNTAS DE CHAPA DE GESSO (NECESSITA ADICAO DE AGUA)</v>
          </cell>
          <cell r="H1899">
            <v>3.7654540000000005</v>
          </cell>
        </row>
        <row r="1900">
          <cell r="D1900" t="str">
            <v>FITA DE PAPEL MICROPERFURADO, 50 X 150 MM, PARA TRATAMENTO DE JUNTAS DE CHAPA DE GESSO PARA DRYWALL</v>
          </cell>
          <cell r="H1900">
            <v>0.775837</v>
          </cell>
        </row>
        <row r="1901">
          <cell r="D1901" t="str">
            <v>FITA DE PAPEL REFORCADA COM LAMINA DE METAL PARA REFORCO DE CANTOS DE CHAPA DE GESSO PARA DRYWALL</v>
          </cell>
          <cell r="H1901">
            <v>4.3431740000000003</v>
          </cell>
        </row>
        <row r="1902">
          <cell r="D1902" t="str">
            <v>PARAFUSO DRY WALL, EM ACO FOSFATIZADO, CABECA TROMBETA E PONTA AGULHA (TA), COMPRIMENTO 25 MM</v>
          </cell>
          <cell r="H1902">
            <v>1.8168120000000001</v>
          </cell>
        </row>
        <row r="1903">
          <cell r="D1903" t="str">
            <v>PARAFUSO DRY WALL, EM ACO ZINCADO, CABECA LENTILHA E PONTA BROCA (LB), LARGURA 4,2 MM, COMPRIMENTO 13 MM</v>
          </cell>
          <cell r="H1903">
            <v>0.10882000000000001</v>
          </cell>
        </row>
        <row r="1904">
          <cell r="D1904" t="str">
            <v>Lã de pet 50 X 1200 X 12500 MM</v>
          </cell>
          <cell r="H1904">
            <v>14.321266666666666</v>
          </cell>
        </row>
        <row r="1905">
          <cell r="D1905" t="str">
            <v>36_DRY 90 mm LV - 2 PLACAS - 11,50cm  -  Lado A: PLACA ST - Lado B: PLACA ST</v>
          </cell>
          <cell r="H1905">
            <v>226.12617466666669</v>
          </cell>
        </row>
        <row r="1906">
          <cell r="D1906" t="str">
            <v>SERVICO - CONFECCAO SHAFT GESSO</v>
          </cell>
          <cell r="H1906">
            <v>70</v>
          </cell>
        </row>
        <row r="1907">
          <cell r="D1907" t="str">
            <v>PLACA / CHAPA DE GESSO ACARTONADO, STANDARD (ST), COR BRANCA, E = 12,5 MM, 1200 X 2400 MM (L X C)</v>
          </cell>
          <cell r="H1907">
            <v>42.456959999999995</v>
          </cell>
        </row>
        <row r="1908">
          <cell r="D1908" t="str">
            <v>PINO DE ACO COM ARRUELA CONICA, DIAMETRO ARRUELA = *23* MM E COMP HASTE = *27* MM (ACAO INDIRETA)</v>
          </cell>
          <cell r="H1908">
            <v>2.9836800000000001</v>
          </cell>
        </row>
        <row r="1909">
          <cell r="D1909" t="str">
            <v>PERFIL GUIA, FORMATO U, EM ACO ZINCADO, PARA ESTRUTURA PAREDE DRYWALL, E = 0,5 MM, 90 X 3000 MM (L X C)</v>
          </cell>
          <cell r="H1909">
            <v>13.174272</v>
          </cell>
        </row>
        <row r="1910">
          <cell r="D1910" t="str">
            <v>PERFIL MONTANTE, FORMATO C, EM ACO ZINCADO, PARA ESTRUTURA PAREDE DRYWALL, E = 0,5 MM, 90 X 3000 MM (L X C)</v>
          </cell>
          <cell r="H1910">
            <v>72.379898999999995</v>
          </cell>
        </row>
        <row r="1911">
          <cell r="D1911" t="str">
            <v>MASSA DE REJUNTE EM PO PARA DRYWALL, A BASE DE GESSO, SECAGEM RAPIDA, PARA TRATAMENTO DE JUNTAS DE CHAPA DE GESSO (NECESSITA ADICAO DE AGUA)</v>
          </cell>
          <cell r="H1911">
            <v>3.7654540000000005</v>
          </cell>
        </row>
        <row r="1912">
          <cell r="D1912" t="str">
            <v>FITA DE PAPEL MICROPERFURADO, 50 X 150 MM, PARA TRATAMENTO DE JUNTAS DE CHAPA DE GESSO PARA DRYWALL</v>
          </cell>
          <cell r="H1912">
            <v>0.775837</v>
          </cell>
        </row>
        <row r="1913">
          <cell r="D1913" t="str">
            <v>FITA DE PAPEL REFORCADA COM LAMINA DE METAL PARA REFORCO DE CANTOS DE CHAPA DE GESSO PARA DRYWALL</v>
          </cell>
          <cell r="H1913">
            <v>4.3431740000000003</v>
          </cell>
        </row>
        <row r="1914">
          <cell r="D1914" t="str">
            <v>PARAFUSO DRY WALL, EM ACO FOSFATIZADO, CABECA TROMBETA E PONTA AGULHA (TA), COMPRIMENTO 25 MM</v>
          </cell>
          <cell r="H1914">
            <v>1.8168120000000001</v>
          </cell>
        </row>
        <row r="1915">
          <cell r="D1915" t="str">
            <v>PARAFUSO DRY WALL, EM ACO ZINCADO, CABECA LENTILHA E PONTA BROCA (LB), LARGURA 4,2 MM, COMPRIMENTO 13 MM</v>
          </cell>
          <cell r="H1915">
            <v>0.10882000000000001</v>
          </cell>
        </row>
        <row r="1916">
          <cell r="D1916" t="str">
            <v>Lã de pet 50 X 1200 X 12500 MM</v>
          </cell>
          <cell r="H1916">
            <v>14.321266666666666</v>
          </cell>
        </row>
        <row r="1917">
          <cell r="D1917" t="str">
            <v>36_DRY 90 mm LV - 1 PLACA - 10,25cm  -  Lado A: PLACA ST - Lado B: N/A</v>
          </cell>
          <cell r="H1917">
            <v>200.61553616666669</v>
          </cell>
        </row>
        <row r="1918">
          <cell r="D1918" t="str">
            <v>SERVICO - CONFECCAO SHAFT GESSO</v>
          </cell>
          <cell r="H1918">
            <v>70</v>
          </cell>
        </row>
        <row r="1919">
          <cell r="D1919" t="str">
            <v>PLACA / CHAPA DE GESSO ACARTONADO, STANDARD (ST), COR BRANCA, E = 12,5 MM, 1200 X 2400 MM (L X C)</v>
          </cell>
          <cell r="H1919">
            <v>22.296960000000002</v>
          </cell>
        </row>
        <row r="1920">
          <cell r="D1920" t="str">
            <v>PINO DE ACO COM ARRUELA CONICA, DIAMETRO ARRUELA = *23* MM E COMP HASTE = *27* MM (ACAO INDIRETA)</v>
          </cell>
          <cell r="H1920">
            <v>2.9836800000000001</v>
          </cell>
        </row>
        <row r="1921">
          <cell r="D1921" t="str">
            <v>PERFIL GUIA, FORMATO U, EM ACO ZINCADO, PARA ESTRUTURA PAREDE DRYWALL, E = 0,5 MM, 90 X 3000 MM (L X C)</v>
          </cell>
          <cell r="H1921">
            <v>13.174272</v>
          </cell>
        </row>
        <row r="1922">
          <cell r="D1922" t="str">
            <v>PERFIL MONTANTE, FORMATO C, EM ACO ZINCADO, PARA ESTRUTURA PAREDE DRYWALL, E = 0,5 MM, 90 X 3000 MM (L X C)</v>
          </cell>
          <cell r="H1922">
            <v>72.379898999999995</v>
          </cell>
        </row>
        <row r="1923">
          <cell r="D1923" t="str">
            <v>MASSA DE REJUNTE EM PO PARA DRYWALL, A BASE DE GESSO, SECAGEM RAPIDA, PARA TRATAMENTO DE JUNTAS DE CHAPA DE GESSO (NECESSITA ADICAO DE AGUA)</v>
          </cell>
          <cell r="H1923">
            <v>1.8827270000000003</v>
          </cell>
        </row>
        <row r="1924">
          <cell r="D1924" t="str">
            <v>FITA DE PAPEL MICROPERFURADO, 50 X 150 MM, PARA TRATAMENTO DE JUNTAS DE CHAPA DE GESSO PARA DRYWALL</v>
          </cell>
          <cell r="H1924">
            <v>0.3879185</v>
          </cell>
        </row>
        <row r="1925">
          <cell r="D1925" t="str">
            <v>FITA DE PAPEL REFORCADA COM LAMINA DE METAL PARA REFORCO DE CANTOS DE CHAPA DE GESSO PARA DRYWALL</v>
          </cell>
          <cell r="H1925">
            <v>2.1715870000000002</v>
          </cell>
        </row>
        <row r="1926">
          <cell r="D1926" t="str">
            <v>PARAFUSO DRY WALL, EM ACO FOSFATIZADO, CABECA TROMBETA E PONTA AGULHA (TA), COMPRIMENTO 25 MM</v>
          </cell>
          <cell r="H1926">
            <v>0.90840600000000005</v>
          </cell>
        </row>
        <row r="1927">
          <cell r="D1927" t="str">
            <v>PARAFUSO DRY WALL, EM ACO ZINCADO, CABECA LENTILHA E PONTA BROCA (LB), LARGURA 4,2 MM, COMPRIMENTO 13 MM</v>
          </cell>
          <cell r="H1927">
            <v>0.10882000000000001</v>
          </cell>
        </row>
        <row r="1928">
          <cell r="D1928" t="str">
            <v>Lã de pet 50 X 1200 X 12500 MM</v>
          </cell>
          <cell r="H1928">
            <v>14.321266666666666</v>
          </cell>
        </row>
        <row r="1929">
          <cell r="D1929" t="str">
            <v>36_DRY 90 mm LV - 2 PLACAS - 11,50cm  -  Lado A: PLACA PERFORMANCE RU - Lado B: PLACA CT</v>
          </cell>
          <cell r="H1929">
            <v>246.92089383333337</v>
          </cell>
        </row>
        <row r="1930">
          <cell r="D1930" t="str">
            <v>SERVICO - CONFECCAO SHAFT GESSO</v>
          </cell>
          <cell r="H1930">
            <v>70</v>
          </cell>
        </row>
        <row r="1931">
          <cell r="D1931" t="str">
            <v>PLACA / CHAPA DE GESSO ACARTONADO, RESISTENTE A UMIDADE (RU), COR VERDE, E = 12,5 MM, 1200 X 2400 MM (L X C)</v>
          </cell>
          <cell r="H1931">
            <v>29.972600000000003</v>
          </cell>
        </row>
        <row r="1932">
          <cell r="D1932" t="str">
            <v>PLACA CIMENTÍCIA(CT) PARA STEEL FRAME BRASILIT-ETERNIT 8MM X 1,20M X 2,40M</v>
          </cell>
          <cell r="H1932">
            <v>33.279079166666676</v>
          </cell>
        </row>
        <row r="1933">
          <cell r="D1933" t="str">
            <v>PINO DE ACO COM ARRUELA CONICA, DIAMETRO ARRUELA = *23* MM E COMP HASTE = *27* MM (ACAO INDIRETA)</v>
          </cell>
          <cell r="H1933">
            <v>2.9836800000000001</v>
          </cell>
        </row>
        <row r="1934">
          <cell r="D1934" t="str">
            <v>PERFIL GUIA, FORMATO U, EM ACO ZINCADO, PARA ESTRUTURA PAREDE DRYWALL, E = 0,5 MM, 90 X 3000 MM (L X C)</v>
          </cell>
          <cell r="H1934">
            <v>13.174272</v>
          </cell>
        </row>
        <row r="1935">
          <cell r="D1935" t="str">
            <v>PERFIL MONTANTE, FORMATO C, EM ACO ZINCADO, PARA ESTRUTURA PAREDE DRYWALL, E = 0,5 MM, 90 X 3000 MM (L X C)</v>
          </cell>
          <cell r="H1935">
            <v>72.379898999999995</v>
          </cell>
        </row>
        <row r="1936">
          <cell r="D1936" t="str">
            <v>MASSA DE REJUNTE EM PO PARA DRYWALL, A BASE DE GESSO, SECAGEM RAPIDA, PARA TRATAMENTO DE JUNTAS DE CHAPA DE GESSO (NECESSITA ADICAO DE AGUA)</v>
          </cell>
          <cell r="H1936">
            <v>3.7654540000000005</v>
          </cell>
        </row>
        <row r="1937">
          <cell r="D1937" t="str">
            <v>FITA DE PAPEL MICROPERFURADO, 50 X 150 MM, PARA TRATAMENTO DE JUNTAS DE CHAPA DE GESSO PARA DRYWALL</v>
          </cell>
          <cell r="H1937">
            <v>0.775837</v>
          </cell>
        </row>
        <row r="1938">
          <cell r="D1938" t="str">
            <v>FITA DE PAPEL REFORCADA COM LAMINA DE METAL PARA REFORCO DE CANTOS DE CHAPA DE GESSO PARA DRYWALL</v>
          </cell>
          <cell r="H1938">
            <v>4.3431740000000003</v>
          </cell>
        </row>
        <row r="1939">
          <cell r="D1939" t="str">
            <v>PARAFUSO DRY WALL, EM ACO FOSFATIZADO, CABECA TROMBETA E PONTA AGULHA (TA), COMPRIMENTO 25 MM</v>
          </cell>
          <cell r="H1939">
            <v>1.8168120000000001</v>
          </cell>
        </row>
        <row r="1940">
          <cell r="D1940" t="str">
            <v>PARAFUSO DRY WALL, EM ACO ZINCADO, CABECA LENTILHA E PONTA BROCA (LB), LARGURA 4,2 MM, COMPRIMENTO 13 MM</v>
          </cell>
          <cell r="H1940">
            <v>0.10882000000000001</v>
          </cell>
        </row>
        <row r="1941">
          <cell r="D1941" t="str">
            <v>Lã de pet 50 X 1200 X 12500 MM</v>
          </cell>
          <cell r="H1941">
            <v>14.321266666666666</v>
          </cell>
        </row>
        <row r="1942">
          <cell r="D1942" t="str">
            <v>36_DRY 90 mm LV - 2 PLACAS - 11,50cm  -  Lado A: PLACA RU - Lado B: PLACA CT</v>
          </cell>
          <cell r="H1942">
            <v>246.92089383333337</v>
          </cell>
        </row>
        <row r="1943">
          <cell r="D1943" t="str">
            <v>SERVICO - CONFECCAO SHAFT GESSO</v>
          </cell>
          <cell r="H1943">
            <v>70</v>
          </cell>
        </row>
        <row r="1944">
          <cell r="D1944" t="str">
            <v>PLACA / CHAPA DE GESSO ACARTONADO, RESISTENTE A UMIDADE (RU), COR VERDE, E = 12,5 MM, 1200 X 2400 MM (L X C)</v>
          </cell>
          <cell r="H1944">
            <v>29.972600000000003</v>
          </cell>
        </row>
        <row r="1945">
          <cell r="D1945" t="str">
            <v>PLACA CIMENTÍCIA(CT) PARA STEEL FRAME BRASILIT-ETERNIT 8MM X 1,20M X 2,40M</v>
          </cell>
          <cell r="H1945">
            <v>33.279079166666676</v>
          </cell>
        </row>
        <row r="1946">
          <cell r="D1946" t="str">
            <v>PINO DE ACO COM ARRUELA CONICA, DIAMETRO ARRUELA = *23* MM E COMP HASTE = *27* MM (ACAO INDIRETA)</v>
          </cell>
          <cell r="H1946">
            <v>2.9836800000000001</v>
          </cell>
        </row>
        <row r="1947">
          <cell r="D1947" t="str">
            <v>PERFIL GUIA, FORMATO U, EM ACO ZINCADO, PARA ESTRUTURA PAREDE DRYWALL, E = 0,5 MM, 90 X 3000 MM (L X C)</v>
          </cell>
          <cell r="H1947">
            <v>13.174272</v>
          </cell>
        </row>
        <row r="1948">
          <cell r="D1948" t="str">
            <v>PERFIL MONTANTE, FORMATO C, EM ACO ZINCADO, PARA ESTRUTURA PAREDE DRYWALL, E = 0,5 MM, 90 X 3000 MM (L X C)</v>
          </cell>
          <cell r="H1948">
            <v>72.379898999999995</v>
          </cell>
        </row>
        <row r="1949">
          <cell r="D1949" t="str">
            <v>MASSA DE REJUNTE EM PO PARA DRYWALL, A BASE DE GESSO, SECAGEM RAPIDA, PARA TRATAMENTO DE JUNTAS DE CHAPA DE GESSO (NECESSITA ADICAO DE AGUA)</v>
          </cell>
          <cell r="H1949">
            <v>3.7654540000000005</v>
          </cell>
        </row>
        <row r="1950">
          <cell r="D1950" t="str">
            <v>FITA DE PAPEL MICROPERFURADO, 50 X 150 MM, PARA TRATAMENTO DE JUNTAS DE CHAPA DE GESSO PARA DRYWALL</v>
          </cell>
          <cell r="H1950">
            <v>0.775837</v>
          </cell>
        </row>
        <row r="1951">
          <cell r="D1951" t="str">
            <v>FITA DE PAPEL REFORCADA COM LAMINA DE METAL PARA REFORCO DE CANTOS DE CHAPA DE GESSO PARA DRYWALL</v>
          </cell>
          <cell r="H1951">
            <v>4.3431740000000003</v>
          </cell>
        </row>
        <row r="1952">
          <cell r="D1952" t="str">
            <v>PARAFUSO DRY WALL, EM ACO FOSFATIZADO, CABECA TROMBETA E PONTA AGULHA (TA), COMPRIMENTO 25 MM</v>
          </cell>
          <cell r="H1952">
            <v>1.8168120000000001</v>
          </cell>
        </row>
        <row r="1953">
          <cell r="D1953" t="str">
            <v>PARAFUSO DRY WALL, EM ACO ZINCADO, CABECA LENTILHA E PONTA BROCA (LB), LARGURA 4,2 MM, COMPRIMENTO 13 MM</v>
          </cell>
          <cell r="H1953">
            <v>0.10882000000000001</v>
          </cell>
        </row>
        <row r="1954">
          <cell r="D1954" t="str">
            <v>Lã de pet 50 X 1200 X 12500 MM</v>
          </cell>
          <cell r="H1954">
            <v>14.321266666666666</v>
          </cell>
        </row>
        <row r="1955">
          <cell r="D1955" t="str">
            <v>36_DRY 90 mm LV - 2 PLACAS - 11,50cm  -  Lado A: PLACA ST - Lado B: PLACA RU</v>
          </cell>
          <cell r="H1955">
            <v>235.93877466666669</v>
          </cell>
        </row>
        <row r="1956">
          <cell r="D1956" t="str">
            <v>SERVICO - CONFECCAO SHAFT GESSO</v>
          </cell>
          <cell r="H1956">
            <v>70</v>
          </cell>
        </row>
        <row r="1957">
          <cell r="D1957" t="str">
            <v>PLACA / CHAPA DE GESSO ACARTONADO, RESISTENTE A UMIDADE (RU), COR VERDE, E = 12,5 MM, 1200 X 2400 MM (L X C)</v>
          </cell>
          <cell r="H1957">
            <v>29.972600000000003</v>
          </cell>
        </row>
        <row r="1958">
          <cell r="D1958" t="str">
            <v>PLACA / CHAPA DE GESSO ACARTONADO, STANDARD (ST), COR BRANCA, E = 12,5 MM, 1200 X 2400 MM (L X C)</v>
          </cell>
          <cell r="H1958">
            <v>22.296960000000002</v>
          </cell>
        </row>
        <row r="1959">
          <cell r="D1959" t="str">
            <v>PINO DE ACO COM ARRUELA CONICA, DIAMETRO ARRUELA = *23* MM E COMP HASTE = *27* MM (ACAO INDIRETA)</v>
          </cell>
          <cell r="H1959">
            <v>2.9836800000000001</v>
          </cell>
        </row>
        <row r="1960">
          <cell r="D1960" t="str">
            <v>PERFIL GUIA, FORMATO U, EM ACO ZINCADO, PARA ESTRUTURA PAREDE DRYWALL, E = 0,5 MM, 90 X 3000 MM (L X C)</v>
          </cell>
          <cell r="H1960">
            <v>13.174272</v>
          </cell>
        </row>
        <row r="1961">
          <cell r="D1961" t="str">
            <v>PERFIL MONTANTE, FORMATO C, EM ACO ZINCADO, PARA ESTRUTURA PAREDE DRYWALL, E = 0,5 MM, 90 X 3000 MM (L X C)</v>
          </cell>
          <cell r="H1961">
            <v>72.379898999999995</v>
          </cell>
        </row>
        <row r="1962">
          <cell r="D1962" t="str">
            <v>MASSA DE REJUNTE EM PO PARA DRYWALL, A BASE DE GESSO, SECAGEM RAPIDA, PARA TRATAMENTO DE JUNTAS DE CHAPA DE GESSO (NECESSITA ADICAO DE AGUA)</v>
          </cell>
          <cell r="H1962">
            <v>3.7654540000000005</v>
          </cell>
        </row>
        <row r="1963">
          <cell r="D1963" t="str">
            <v>FITA DE PAPEL MICROPERFURADO, 50 X 150 MM, PARA TRATAMENTO DE JUNTAS DE CHAPA DE GESSO PARA DRYWALL</v>
          </cell>
          <cell r="H1963">
            <v>0.775837</v>
          </cell>
        </row>
        <row r="1964">
          <cell r="D1964" t="str">
            <v>FITA DE PAPEL REFORCADA COM LAMINA DE METAL PARA REFORCO DE CANTOS DE CHAPA DE GESSO PARA DRYWALL</v>
          </cell>
          <cell r="H1964">
            <v>4.3431740000000003</v>
          </cell>
        </row>
        <row r="1965">
          <cell r="D1965" t="str">
            <v>PARAFUSO DRY WALL, EM ACO FOSFATIZADO, CABECA TROMBETA E PONTA AGULHA (TA), COMPRIMENTO 25 MM</v>
          </cell>
          <cell r="H1965">
            <v>1.8168120000000001</v>
          </cell>
        </row>
        <row r="1966">
          <cell r="D1966" t="str">
            <v>PARAFUSO DRY WALL, EM ACO ZINCADO, CABECA LENTILHA E PONTA BROCA (LB), LARGURA 4,2 MM, COMPRIMENTO 13 MM</v>
          </cell>
          <cell r="H1966">
            <v>0.10882000000000001</v>
          </cell>
        </row>
        <row r="1967">
          <cell r="D1967" t="str">
            <v>Lã de pet 50 X 1200 X 12500 MM</v>
          </cell>
          <cell r="H1967">
            <v>14.321266666666666</v>
          </cell>
        </row>
        <row r="1968">
          <cell r="D1968" t="str">
            <v>36_DRY 90 mm LV - 4 PLACAS - 14,00cm  -  Lado A: PLACA PERFORMANCE RU + ST - Lado B: PLACA ST + ST</v>
          </cell>
          <cell r="H1968">
            <v>280.53269466666666</v>
          </cell>
        </row>
        <row r="1969">
          <cell r="D1969" t="str">
            <v>SERVICO - CONFECCAO SHAFT GESSO</v>
          </cell>
          <cell r="H1969">
            <v>70</v>
          </cell>
        </row>
        <row r="1970">
          <cell r="D1970" t="str">
            <v>PLACA / CHAPA DE GESSO ACARTONADO, RESISTENTE A UMIDADE (RU), COR VERDE, E = 12,5 MM, 1200 X 2400 MM (L X C)</v>
          </cell>
          <cell r="H1970">
            <v>29.972600000000003</v>
          </cell>
        </row>
        <row r="1971">
          <cell r="D1971" t="str">
            <v>PLACA / CHAPA DE GESSO ACARTONADO, STANDARD (ST), COR BRANCA, E = 12,5 MM, 1200 X 2400 MM (L X C)</v>
          </cell>
          <cell r="H1971">
            <v>66.89088000000001</v>
          </cell>
        </row>
        <row r="1972">
          <cell r="D1972" t="str">
            <v>PINO DE ACO COM ARRUELA CONICA, DIAMETRO ARRUELA = *23* MM E COMP HASTE = *27* MM (ACAO INDIRETA)</v>
          </cell>
          <cell r="H1972">
            <v>2.9836800000000001</v>
          </cell>
        </row>
        <row r="1973">
          <cell r="D1973" t="str">
            <v>PERFIL GUIA, FORMATO U, EM ACO ZINCADO, PARA ESTRUTURA PAREDE DRYWALL, E = 0,5 MM, 90 X 3000 MM (L X C)</v>
          </cell>
          <cell r="H1973">
            <v>13.174272</v>
          </cell>
        </row>
        <row r="1974">
          <cell r="D1974" t="str">
            <v>PERFIL MONTANTE, FORMATO C, EM ACO ZINCADO, PARA ESTRUTURA PAREDE DRYWALL, E = 0,5 MM, 90 X 3000 MM (L X C)</v>
          </cell>
          <cell r="H1974">
            <v>72.379898999999995</v>
          </cell>
        </row>
        <row r="1975">
          <cell r="D1975" t="str">
            <v>MASSA DE REJUNTE EM PO PARA DRYWALL, A BASE DE GESSO, SECAGEM RAPIDA, PARA TRATAMENTO DE JUNTAS DE CHAPA DE GESSO (NECESSITA ADICAO DE AGUA)</v>
          </cell>
          <cell r="H1975">
            <v>3.7654540000000005</v>
          </cell>
        </row>
        <row r="1976">
          <cell r="D1976" t="str">
            <v>FITA DE PAPEL MICROPERFURADO, 50 X 150 MM, PARA TRATAMENTO DE JUNTAS DE CHAPA DE GESSO PARA DRYWALL</v>
          </cell>
          <cell r="H1976">
            <v>0.775837</v>
          </cell>
        </row>
        <row r="1977">
          <cell r="D1977" t="str">
            <v>FITA DE PAPEL REFORCADA COM LAMINA DE METAL PARA REFORCO DE CANTOS DE CHAPA DE GESSO PARA DRYWALL</v>
          </cell>
          <cell r="H1977">
            <v>4.3431740000000003</v>
          </cell>
        </row>
        <row r="1978">
          <cell r="D1978" t="str">
            <v>PARAFUSO DRY WALL, EM ACO FOSFATIZADO, CABECA TROMBETA E PONTA AGULHA (TA), COMPRIMENTO 25 MM</v>
          </cell>
          <cell r="H1978">
            <v>1.8168120000000001</v>
          </cell>
        </row>
        <row r="1979">
          <cell r="D1979" t="str">
            <v>PARAFUSO DRY WALL, EM ACO ZINCADO, CABECA LENTILHA E PONTA BROCA (LB), LARGURA 4,2 MM, COMPRIMENTO 13 MM</v>
          </cell>
          <cell r="H1979">
            <v>0.10882000000000001</v>
          </cell>
        </row>
        <row r="1980">
          <cell r="D1980" t="str">
            <v>Lã de pet 50 X 1200 X 12500 MM</v>
          </cell>
          <cell r="H1980">
            <v>14.321266666666666</v>
          </cell>
        </row>
        <row r="1981">
          <cell r="D1981" t="str">
            <v>36_DRY 90 mm LV - 1 PLACA - 10,25cm  -  Lado A: PLACA RU - Lado B: N/A</v>
          </cell>
          <cell r="H1981">
            <v>208.29117616666667</v>
          </cell>
        </row>
        <row r="1982">
          <cell r="D1982" t="str">
            <v>SERVICO - CONFECCAO SHAFT GESSO</v>
          </cell>
          <cell r="H1982">
            <v>70</v>
          </cell>
        </row>
        <row r="1983">
          <cell r="D1983" t="str">
            <v>PLACA / CHAPA DE GESSO ACARTONADO, RESISTENTE A UMIDADE (RU), COR VERDE, E = 12,5 MM, 1200 X 2400 MM (L X C)</v>
          </cell>
          <cell r="H1983">
            <v>29.972600000000003</v>
          </cell>
        </row>
        <row r="1984">
          <cell r="D1984" t="str">
            <v>PINO DE ACO COM ARRUELA CONICA, DIAMETRO ARRUELA = *23* MM E COMP HASTE = *27* MM (ACAO INDIRETA)</v>
          </cell>
          <cell r="H1984">
            <v>2.9836800000000001</v>
          </cell>
        </row>
        <row r="1985">
          <cell r="D1985" t="str">
            <v>PERFIL GUIA, FORMATO U, EM ACO ZINCADO, PARA ESTRUTURA PAREDE DRYWALL, E = 0,5 MM, 90 X 3000 MM (L X C)</v>
          </cell>
          <cell r="H1985">
            <v>13.174272</v>
          </cell>
        </row>
        <row r="1986">
          <cell r="D1986" t="str">
            <v>PERFIL MONTANTE, FORMATO C, EM ACO ZINCADO, PARA ESTRUTURA PAREDE DRYWALL, E = 0,5 MM, 90 X 3000 MM (L X C)</v>
          </cell>
          <cell r="H1986">
            <v>72.379898999999995</v>
          </cell>
        </row>
        <row r="1987">
          <cell r="D1987" t="str">
            <v>MASSA DE REJUNTE EM PO PARA DRYWALL, A BASE DE GESSO, SECAGEM RAPIDA, PARA TRATAMENTO DE JUNTAS DE CHAPA DE GESSO (NECESSITA ADICAO DE AGUA)</v>
          </cell>
          <cell r="H1987">
            <v>1.8827270000000003</v>
          </cell>
        </row>
        <row r="1988">
          <cell r="D1988" t="str">
            <v>FITA DE PAPEL MICROPERFURADO, 50 X 150 MM, PARA TRATAMENTO DE JUNTAS DE CHAPA DE GESSO PARA DRYWALL</v>
          </cell>
          <cell r="H1988">
            <v>0.3879185</v>
          </cell>
        </row>
        <row r="1989">
          <cell r="D1989" t="str">
            <v>FITA DE PAPEL REFORCADA COM LAMINA DE METAL PARA REFORCO DE CANTOS DE CHAPA DE GESSO PARA DRYWALL</v>
          </cell>
          <cell r="H1989">
            <v>2.1715870000000002</v>
          </cell>
        </row>
        <row r="1990">
          <cell r="D1990" t="str">
            <v>PARAFUSO DRY WALL, EM ACO FOSFATIZADO, CABECA TROMBETA E PONTA AGULHA (TA), COMPRIMENTO 25 MM</v>
          </cell>
          <cell r="H1990">
            <v>0.90840600000000005</v>
          </cell>
        </row>
        <row r="1991">
          <cell r="D1991" t="str">
            <v>PARAFUSO DRY WALL, EM ACO ZINCADO, CABECA LENTILHA E PONTA BROCA (LB), LARGURA 4,2 MM, COMPRIMENTO 13 MM</v>
          </cell>
          <cell r="H1991">
            <v>0.10882000000000001</v>
          </cell>
        </row>
        <row r="1992">
          <cell r="D1992" t="str">
            <v>Lã de pet 50 X 1200 X 12500 MM</v>
          </cell>
          <cell r="H1992">
            <v>14.321266666666666</v>
          </cell>
        </row>
        <row r="1993">
          <cell r="D1993" t="str">
            <v>36_DRY 90 mm LV - 1 PLACA - 10,25cm  -  Lado A: PLACA GLASROC X - Lado B: N/A</v>
          </cell>
          <cell r="H1993">
            <v>271.25329838888882</v>
          </cell>
        </row>
        <row r="1994">
          <cell r="D1994" t="str">
            <v>SERVICO - CONFECCAO SHAFT GESSO</v>
          </cell>
          <cell r="H1994">
            <v>70</v>
          </cell>
        </row>
        <row r="1995">
          <cell r="D1995" t="str">
            <v>Placa de Gesso Glasroc X 12,5 X 1200 X 2400mm</v>
          </cell>
          <cell r="H1995">
            <v>92.934722222222234</v>
          </cell>
        </row>
        <row r="1996">
          <cell r="D1996" t="str">
            <v>PINO DE ACO COM ARRUELA CONICA, DIAMETRO ARRUELA = *23* MM E COMP HASTE = *27* MM (ACAO INDIRETA)</v>
          </cell>
          <cell r="H1996">
            <v>2.9836800000000001</v>
          </cell>
        </row>
        <row r="1997">
          <cell r="D1997" t="str">
            <v>PERFIL GUIA, FORMATO U, EM ACO ZINCADO, PARA ESTRUTURA PAREDE DRYWALL, E = 0,5 MM, 90 X 3000 MM (L X C)</v>
          </cell>
          <cell r="H1997">
            <v>13.174272</v>
          </cell>
        </row>
        <row r="1998">
          <cell r="D1998" t="str">
            <v>PERFIL MONTANTE, FORMATO C, EM ACO ZINCADO, PARA ESTRUTURA PAREDE DRYWALL, E = 0,5 MM, 90 X 3000 MM (L X C)</v>
          </cell>
          <cell r="H1998">
            <v>72.379898999999995</v>
          </cell>
        </row>
        <row r="1999">
          <cell r="D1999" t="str">
            <v>MASSA DE REJUNTE EM PO PARA DRYWALL, A BASE DE GESSO, SECAGEM RAPIDA, PARA TRATAMENTO DE JUNTAS DE CHAPA DE GESSO (NECESSITA ADICAO DE AGUA)</v>
          </cell>
          <cell r="H1999">
            <v>1.8827270000000003</v>
          </cell>
        </row>
        <row r="2000">
          <cell r="D2000" t="str">
            <v>FITA DE PAPEL MICROPERFURADO, 50 X 150 MM, PARA TRATAMENTO DE JUNTAS DE CHAPA DE GESSO PARA DRYWALL</v>
          </cell>
          <cell r="H2000">
            <v>0.3879185</v>
          </cell>
        </row>
        <row r="2001">
          <cell r="D2001" t="str">
            <v>FITA DE PAPEL REFORCADA COM LAMINA DE METAL PARA REFORCO DE CANTOS DE CHAPA DE GESSO PARA DRYWALL</v>
          </cell>
          <cell r="H2001">
            <v>2.1715870000000002</v>
          </cell>
        </row>
        <row r="2002">
          <cell r="D2002" t="str">
            <v>PARAFUSO DRY WALL, EM ACO FOSFATIZADO, CABECA TROMBETA E PONTA AGULHA (TA), COMPRIMENTO 25 MM</v>
          </cell>
          <cell r="H2002">
            <v>0.90840600000000005</v>
          </cell>
        </row>
        <row r="2003">
          <cell r="D2003" t="str">
            <v>PARAFUSO DRY WALL, EM ACO ZINCADO, CABECA LENTILHA E PONTA BROCA (LB), LARGURA 4,2 MM, COMPRIMENTO 13 MM</v>
          </cell>
          <cell r="H2003">
            <v>0.10882000000000001</v>
          </cell>
        </row>
        <row r="2004">
          <cell r="D2004" t="str">
            <v>Lã de pet 50 X 1200 X 12500 MM</v>
          </cell>
          <cell r="H2004">
            <v>14.321266666666666</v>
          </cell>
        </row>
        <row r="2005">
          <cell r="D2005" t="str">
            <v>36_DRY 90 mm LV - 4 PLACAS - 14,00cm  -  Lado A: PLACA ST + ST - Lado B: PLACA ST + ST</v>
          </cell>
          <cell r="H2005">
            <v>268.58313466666664</v>
          </cell>
        </row>
        <row r="2006">
          <cell r="D2006" t="str">
            <v>SERVICO - CONFECCAO SHAFT GESSO</v>
          </cell>
          <cell r="H2006">
            <v>70</v>
          </cell>
        </row>
        <row r="2007">
          <cell r="D2007" t="str">
            <v>PLACA / CHAPA DE GESSO ACARTONADO, STANDARD (ST), COR BRANCA, E = 12,5 MM, 1200 X 2400 MM (L X C)</v>
          </cell>
          <cell r="H2007">
            <v>84.91391999999999</v>
          </cell>
        </row>
        <row r="2008">
          <cell r="D2008" t="str">
            <v>PINO DE ACO COM ARRUELA CONICA, DIAMETRO ARRUELA = *23* MM E COMP HASTE = *27* MM (ACAO INDIRETA)</v>
          </cell>
          <cell r="H2008">
            <v>2.9836800000000001</v>
          </cell>
        </row>
        <row r="2009">
          <cell r="D2009" t="str">
            <v>PERFIL GUIA, FORMATO U, EM ACO ZINCADO, PARA ESTRUTURA PAREDE DRYWALL, E = 0,5 MM, 90 X 3000 MM (L X C)</v>
          </cell>
          <cell r="H2009">
            <v>13.174272</v>
          </cell>
        </row>
        <row r="2010">
          <cell r="D2010" t="str">
            <v>PERFIL MONTANTE, FORMATO C, EM ACO ZINCADO, PARA ESTRUTURA PAREDE DRYWALL, E = 0,5 MM, 90 X 3000 MM (L X C)</v>
          </cell>
          <cell r="H2010">
            <v>72.379898999999995</v>
          </cell>
        </row>
        <row r="2011">
          <cell r="D2011" t="str">
            <v>MASSA DE REJUNTE EM PO PARA DRYWALL, A BASE DE GESSO, SECAGEM RAPIDA, PARA TRATAMENTO DE JUNTAS DE CHAPA DE GESSO (NECESSITA ADICAO DE AGUA)</v>
          </cell>
          <cell r="H2011">
            <v>3.7654540000000005</v>
          </cell>
        </row>
        <row r="2012">
          <cell r="D2012" t="str">
            <v>FITA DE PAPEL MICROPERFURADO, 50 X 150 MM, PARA TRATAMENTO DE JUNTAS DE CHAPA DE GESSO PARA DRYWALL</v>
          </cell>
          <cell r="H2012">
            <v>0.775837</v>
          </cell>
        </row>
        <row r="2013">
          <cell r="D2013" t="str">
            <v>FITA DE PAPEL REFORCADA COM LAMINA DE METAL PARA REFORCO DE CANTOS DE CHAPA DE GESSO PARA DRYWALL</v>
          </cell>
          <cell r="H2013">
            <v>4.3431740000000003</v>
          </cell>
        </row>
        <row r="2014">
          <cell r="D2014" t="str">
            <v>PARAFUSO DRY WALL, EM ACO FOSFATIZADO, CABECA TROMBETA E PONTA AGULHA (TA), COMPRIMENTO 25 MM</v>
          </cell>
          <cell r="H2014">
            <v>1.8168120000000001</v>
          </cell>
        </row>
        <row r="2015">
          <cell r="D2015" t="str">
            <v>PARAFUSO DRY WALL, EM ACO ZINCADO, CABECA LENTILHA E PONTA BROCA (LB), LARGURA 4,2 MM, COMPRIMENTO 13 MM</v>
          </cell>
          <cell r="H2015">
            <v>0.10882000000000001</v>
          </cell>
        </row>
        <row r="2016">
          <cell r="D2016" t="str">
            <v>Lã de pet 50 X 1200 X 12500 MM</v>
          </cell>
          <cell r="H2016">
            <v>14.321266666666666</v>
          </cell>
        </row>
        <row r="2017">
          <cell r="D2017" t="str">
            <v>32_DRY 90 mm - 2 PLACAS - 11,50cm  -  Lado A: LÃ P/ CHURRASQUEIRA (CONFIRM. ESP) - Lado B: PLACA RF</v>
          </cell>
          <cell r="H2017">
            <v>334.94562461839712</v>
          </cell>
        </row>
        <row r="2018">
          <cell r="D2018" t="str">
            <v>SERVICO - CONFECCAO SHAFT GESSO</v>
          </cell>
          <cell r="H2018">
            <v>70</v>
          </cell>
        </row>
        <row r="2019">
          <cell r="D2019" t="str">
            <v>CHAPA DE GESSO PARA DRYWALL PLACO - KNAUF (RF) VERMELHA 12,5MM X 1,20M X 1,80M</v>
          </cell>
          <cell r="H2019">
            <v>42.0138888888889</v>
          </cell>
        </row>
        <row r="2020">
          <cell r="D2020" t="str">
            <v>PINO DE ACO COM ARRUELA CONICA, DIAMETRO ARRUELA = *23* MM E COMP HASTE = *27* MM (ACAO INDIRETA)</v>
          </cell>
          <cell r="H2020">
            <v>2.9836800000000001</v>
          </cell>
        </row>
        <row r="2021">
          <cell r="D2021" t="str">
            <v>PERFIL GUIA, FORMATO U, EM ACO ZINCADO, PARA ESTRUTURA PAREDE DRYWALL, E = 0,5 MM, 90 X 3000 MM (L X C)</v>
          </cell>
          <cell r="H2021">
            <v>13.174272</v>
          </cell>
        </row>
        <row r="2022">
          <cell r="D2022" t="str">
            <v>PERFIL MONTANTE, FORMATO C, EM ACO ZINCADO, PARA ESTRUTURA PAREDE DRYWALL, E = 0,5 MM, 90 X 3000 MM (L X C)</v>
          </cell>
          <cell r="H2022">
            <v>72.379898999999995</v>
          </cell>
        </row>
        <row r="2023">
          <cell r="D2023" t="str">
            <v>MASSA DE REJUNTE EM PO PARA DRYWALL, A BASE DE GESSO, SECAGEM RAPIDA, PARA TRATAMENTO DE JUNTAS DE CHAPA DE GESSO (NECESSITA ADICAO DE AGUA)</v>
          </cell>
          <cell r="H2023">
            <v>1.8827270000000003</v>
          </cell>
        </row>
        <row r="2024">
          <cell r="D2024" t="str">
            <v>FITA DE PAPEL MICROPERFURADO, 50 X 150 MM, PARA TRATAMENTO DE JUNTAS DE CHAPA DE GESSO PARA DRYWALL</v>
          </cell>
          <cell r="H2024">
            <v>0.3879185</v>
          </cell>
        </row>
        <row r="2025">
          <cell r="D2025" t="str">
            <v>FITA DE PAPEL REFORCADA COM LAMINA DE METAL PARA REFORCO DE CANTOS DE CHAPA DE GESSO PARA DRYWALL</v>
          </cell>
          <cell r="H2025">
            <v>2.1715870000000002</v>
          </cell>
        </row>
        <row r="2026">
          <cell r="D2026" t="str">
            <v>PARAFUSO DRY WALL, EM ACO FOSFATIZADO, CABECA TROMBETA E PONTA AGULHA (TA), COMPRIMENTO 25 MM</v>
          </cell>
          <cell r="H2026">
            <v>0.90840600000000005</v>
          </cell>
        </row>
        <row r="2027">
          <cell r="D2027" t="str">
            <v>PARAFUSO DRY WALL, EM ACO ZINCADO, CABECA LENTILHA E PONTA BROCA (LB), LARGURA 4,2 MM, COMPRIMENTO 13 MM</v>
          </cell>
          <cell r="H2027">
            <v>0.10882000000000001</v>
          </cell>
        </row>
        <row r="2028">
          <cell r="D2028" t="str">
            <v>Manta Fibra Cerâmica Alta Temperatura Tapcamp 2000 X 610 X 25 Mm</v>
          </cell>
          <cell r="H2028">
            <v>128.9344262295082</v>
          </cell>
        </row>
        <row r="2029">
          <cell r="D2029" t="str">
            <v>37_DRY 140 mm LV - 2 PLACAS - 16,50cm  -  Lado A: PLACA PERFORMANCE RU - Lado B: PLACA PERFORMANCE RU</v>
          </cell>
          <cell r="H2029">
            <v>241.79521566666665</v>
          </cell>
        </row>
        <row r="2030">
          <cell r="D2030" t="str">
            <v>SERVICO - CONFECCAO SHAFT GESSO</v>
          </cell>
          <cell r="H2030">
            <v>70</v>
          </cell>
        </row>
        <row r="2031">
          <cell r="D2031" t="str">
            <v>PLACA / CHAPA DE GESSO ACARTONADO, RESISTENTE A UMIDADE (RU), COR VERDE, E = 12,5 MM, 1200 X 2400 MM (L X C)</v>
          </cell>
          <cell r="H2031">
            <v>57.072600000000001</v>
          </cell>
        </row>
        <row r="2032">
          <cell r="D2032" t="str">
            <v>PINO DE ACO COM ARRUELA CONICA, DIAMETRO ARRUELA = *23* MM E COMP HASTE = *27* MM (ACAO INDIRETA)</v>
          </cell>
          <cell r="H2032">
            <v>2.9836800000000001</v>
          </cell>
        </row>
        <row r="2033">
          <cell r="D2033" t="str">
            <v>PERFIL GUIA, FORMATO U, EM ACO ZINCADO, PARA ESTRUTURA PAREDE DRYWALL, E = 0,5 MM, 70 X 3000 MM (L X C)</v>
          </cell>
          <cell r="H2033">
            <v>22.750015999999999</v>
          </cell>
        </row>
        <row r="2034">
          <cell r="D2034" t="str">
            <v>PERFIL MONTANTE, FORMATO C, EM ACO ZINCADO, PARA ESTRUTURA PAREDE DRYWALL, E = 0,5 MM, 70 X 3000 MM (L X C)</v>
          </cell>
          <cell r="H2034">
            <v>63.857556000000002</v>
          </cell>
        </row>
        <row r="2035">
          <cell r="D2035" t="str">
            <v>MASSA DE REJUNTE EM PO PARA DRYWALL, A BASE DE GESSO, SECAGEM RAPIDA, PARA TRATAMENTO DE JUNTAS DE CHAPA DE GESSO (NECESSITA ADICAO DE AGUA)</v>
          </cell>
          <cell r="H2035">
            <v>3.7654540000000005</v>
          </cell>
        </row>
        <row r="2036">
          <cell r="D2036" t="str">
            <v>FITA DE PAPEL MICROPERFURADO, 50 X 150 MM, PARA TRATAMENTO DE JUNTAS DE CHAPA DE GESSO PARA DRYWALL</v>
          </cell>
          <cell r="H2036">
            <v>0.775837</v>
          </cell>
        </row>
        <row r="2037">
          <cell r="D2037" t="str">
            <v>FITA DE PAPEL REFORCADA COM LAMINA DE METAL PARA REFORCO DE CANTOS DE CHAPA DE GESSO PARA DRYWALL</v>
          </cell>
          <cell r="H2037">
            <v>4.3431740000000003</v>
          </cell>
        </row>
        <row r="2038">
          <cell r="D2038" t="str">
            <v>PARAFUSO DRY WALL, EM ACO FOSFATIZADO, CABECA TROMBETA E PONTA AGULHA (TA), COMPRIMENTO 25 MM</v>
          </cell>
          <cell r="H2038">
            <v>1.8168120000000001</v>
          </cell>
        </row>
        <row r="2039">
          <cell r="D2039" t="str">
            <v>PARAFUSO DRY WALL, EM ACO ZINCADO, CABECA LENTILHA E PONTA BROCA (LB), LARGURA 4,2 MM, COMPRIMENTO 13 MM</v>
          </cell>
          <cell r="H2039">
            <v>0.10882000000000001</v>
          </cell>
        </row>
        <row r="2040">
          <cell r="D2040" t="str">
            <v>Lã de pet 50 X 1200 X 12500 MM</v>
          </cell>
          <cell r="H2040">
            <v>14.321266666666666</v>
          </cell>
        </row>
        <row r="2041">
          <cell r="D2041" t="str">
            <v>37_DRY 140 mm LV - 2 PLACAS - 16,50cm  -  Lado A: PLACA PERFORMANCE RU - Lado B: PLACA RU</v>
          </cell>
          <cell r="H2041">
            <v>241.79521566666665</v>
          </cell>
        </row>
        <row r="2042">
          <cell r="D2042" t="str">
            <v>SERVICO - CONFECCAO SHAFT GESSO</v>
          </cell>
          <cell r="H2042">
            <v>70</v>
          </cell>
        </row>
        <row r="2043">
          <cell r="D2043" t="str">
            <v>PLACA / CHAPA DE GESSO ACARTONADO, RESISTENTE A UMIDADE (RU), COR VERDE, E = 12,5 MM, 1200 X 2400 MM (L X C)</v>
          </cell>
          <cell r="H2043">
            <v>57.072600000000001</v>
          </cell>
        </row>
        <row r="2044">
          <cell r="D2044" t="str">
            <v>PINO DE ACO COM ARRUELA CONICA, DIAMETRO ARRUELA = *23* MM E COMP HASTE = *27* MM (ACAO INDIRETA)</v>
          </cell>
          <cell r="H2044">
            <v>2.9836800000000001</v>
          </cell>
        </row>
        <row r="2045">
          <cell r="D2045" t="str">
            <v>PERFIL GUIA, FORMATO U, EM ACO ZINCADO, PARA ESTRUTURA PAREDE DRYWALL, E = 0,5 MM, 70 X 3000 MM (L X C)</v>
          </cell>
          <cell r="H2045">
            <v>22.750015999999999</v>
          </cell>
        </row>
        <row r="2046">
          <cell r="D2046" t="str">
            <v>PERFIL MONTANTE, FORMATO C, EM ACO ZINCADO, PARA ESTRUTURA PAREDE DRYWALL, E = 0,5 MM, 70 X 3000 MM (L X C)</v>
          </cell>
          <cell r="H2046">
            <v>63.857556000000002</v>
          </cell>
        </row>
        <row r="2047">
          <cell r="D2047" t="str">
            <v>MASSA DE REJUNTE EM PO PARA DRYWALL, A BASE DE GESSO, SECAGEM RAPIDA, PARA TRATAMENTO DE JUNTAS DE CHAPA DE GESSO (NECESSITA ADICAO DE AGUA)</v>
          </cell>
          <cell r="H2047">
            <v>3.7654540000000005</v>
          </cell>
        </row>
        <row r="2048">
          <cell r="D2048" t="str">
            <v>FITA DE PAPEL MICROPERFURADO, 50 X 150 MM, PARA TRATAMENTO DE JUNTAS DE CHAPA DE GESSO PARA DRYWALL</v>
          </cell>
          <cell r="H2048">
            <v>0.775837</v>
          </cell>
        </row>
        <row r="2049">
          <cell r="D2049" t="str">
            <v>FITA DE PAPEL REFORCADA COM LAMINA DE METAL PARA REFORCO DE CANTOS DE CHAPA DE GESSO PARA DRYWALL</v>
          </cell>
          <cell r="H2049">
            <v>4.3431740000000003</v>
          </cell>
        </row>
        <row r="2050">
          <cell r="D2050" t="str">
            <v>PARAFUSO DRY WALL, EM ACO FOSFATIZADO, CABECA TROMBETA E PONTA AGULHA (TA), COMPRIMENTO 25 MM</v>
          </cell>
          <cell r="H2050">
            <v>1.8168120000000001</v>
          </cell>
        </row>
        <row r="2051">
          <cell r="D2051" t="str">
            <v>PARAFUSO DRY WALL, EM ACO ZINCADO, CABECA LENTILHA E PONTA BROCA (LB), LARGURA 4,2 MM, COMPRIMENTO 13 MM</v>
          </cell>
          <cell r="H2051">
            <v>0.10882000000000001</v>
          </cell>
        </row>
        <row r="2052">
          <cell r="D2052" t="str">
            <v>Lã de pet 50 X 1200 X 12500 MM</v>
          </cell>
          <cell r="H2052">
            <v>14.321266666666666</v>
          </cell>
        </row>
        <row r="2053">
          <cell r="D2053" t="str">
            <v>37_DRY 140 mm LV - 2 PLACAS - 16,50cm  -  Lado A: PLACA PERFORMANCE RU - Lado B: PLACA CT</v>
          </cell>
          <cell r="H2053">
            <v>247.97429483333337</v>
          </cell>
        </row>
        <row r="2054">
          <cell r="D2054" t="str">
            <v>SERVICO - CONFECCAO SHAFT GESSO</v>
          </cell>
          <cell r="H2054">
            <v>70</v>
          </cell>
        </row>
        <row r="2055">
          <cell r="D2055" t="str">
            <v>PLACA / CHAPA DE GESSO ACARTONADO, RESISTENTE A UMIDADE (RU), COR VERDE, E = 12,5 MM, 1200 X 2400 MM (L X C)</v>
          </cell>
          <cell r="H2055">
            <v>29.972600000000003</v>
          </cell>
        </row>
        <row r="2056">
          <cell r="D2056" t="str">
            <v>PLACA CIMENTÍCIA(CT) PARA STEEL FRAME BRASILIT-ETERNIT 8MM X 1,20M X 2,40M</v>
          </cell>
          <cell r="H2056">
            <v>33.279079166666676</v>
          </cell>
        </row>
        <row r="2057">
          <cell r="D2057" t="str">
            <v>PINO DE ACO COM ARRUELA CONICA, DIAMETRO ARRUELA = *23* MM E COMP HASTE = *27* MM (ACAO INDIRETA)</v>
          </cell>
          <cell r="H2057">
            <v>2.9836800000000001</v>
          </cell>
        </row>
        <row r="2058">
          <cell r="D2058" t="str">
            <v>PERFIL GUIA, FORMATO U, EM ACO ZINCADO, PARA ESTRUTURA PAREDE DRYWALL, E = 0,5 MM, 70 X 3000 MM (L X C)</v>
          </cell>
          <cell r="H2058">
            <v>22.750015999999999</v>
          </cell>
        </row>
        <row r="2059">
          <cell r="D2059" t="str">
            <v>PERFIL MONTANTE, FORMATO C, EM ACO ZINCADO, PARA ESTRUTURA PAREDE DRYWALL, E = 0,5 MM, 70 X 3000 MM (L X C)</v>
          </cell>
          <cell r="H2059">
            <v>63.857556000000002</v>
          </cell>
        </row>
        <row r="2060">
          <cell r="D2060" t="str">
            <v>MASSA DE REJUNTE EM PO PARA DRYWALL, A BASE DE GESSO, SECAGEM RAPIDA, PARA TRATAMENTO DE JUNTAS DE CHAPA DE GESSO (NECESSITA ADICAO DE AGUA)</v>
          </cell>
          <cell r="H2060">
            <v>3.7654540000000005</v>
          </cell>
        </row>
        <row r="2061">
          <cell r="D2061" t="str">
            <v>FITA DE PAPEL MICROPERFURADO, 50 X 150 MM, PARA TRATAMENTO DE JUNTAS DE CHAPA DE GESSO PARA DRYWALL</v>
          </cell>
          <cell r="H2061">
            <v>0.775837</v>
          </cell>
        </row>
        <row r="2062">
          <cell r="D2062" t="str">
            <v>FITA DE PAPEL REFORCADA COM LAMINA DE METAL PARA REFORCO DE CANTOS DE CHAPA DE GESSO PARA DRYWALL</v>
          </cell>
          <cell r="H2062">
            <v>4.3431740000000003</v>
          </cell>
        </row>
        <row r="2063">
          <cell r="D2063" t="str">
            <v>PARAFUSO DRY WALL, EM ACO FOSFATIZADO, CABECA TROMBETA E PONTA AGULHA (TA), COMPRIMENTO 25 MM</v>
          </cell>
          <cell r="H2063">
            <v>1.8168120000000001</v>
          </cell>
        </row>
        <row r="2064">
          <cell r="D2064" t="str">
            <v>PARAFUSO DRY WALL, EM ACO ZINCADO, CABECA LENTILHA E PONTA BROCA (LB), LARGURA 4,2 MM, COMPRIMENTO 13 MM</v>
          </cell>
          <cell r="H2064">
            <v>0.10882000000000001</v>
          </cell>
        </row>
        <row r="2065">
          <cell r="D2065" t="str">
            <v>Lã de pet 50 X 1200 X 12500 MM</v>
          </cell>
          <cell r="H2065">
            <v>14.321266666666666</v>
          </cell>
        </row>
        <row r="2066">
          <cell r="D2066" t="str">
            <v>37_DRY 140 mm LV - 2 PLACAS - 16,50cm  -  Lado A: PLACA GLASROC X - Lado B: PLACA GLASROC X</v>
          </cell>
          <cell r="H2066">
            <v>307.62993788888883</v>
          </cell>
        </row>
        <row r="2067">
          <cell r="D2067" t="str">
            <v>SERVICO - CONFECCAO SHAFT GESSO</v>
          </cell>
          <cell r="H2067">
            <v>70</v>
          </cell>
        </row>
        <row r="2068">
          <cell r="D2068" t="str">
            <v>PLACA / CHAPA DE GESSO ACARTONADO, RESISTENTE A UMIDADE (RU), COR VERDE, E = 12,5 MM, 1200 X 2400 MM (L X C)</v>
          </cell>
          <cell r="H2068">
            <v>29.972600000000003</v>
          </cell>
        </row>
        <row r="2069">
          <cell r="D2069" t="str">
            <v>Placa de Gesso Glasroc X 12,5 X 1200 X 2400mm</v>
          </cell>
          <cell r="H2069">
            <v>92.934722222222234</v>
          </cell>
        </row>
        <row r="2070">
          <cell r="D2070" t="str">
            <v>PINO DE ACO COM ARRUELA CONICA, DIAMETRO ARRUELA = *23* MM E COMP HASTE = *27* MM (ACAO INDIRETA)</v>
          </cell>
          <cell r="H2070">
            <v>2.9836800000000001</v>
          </cell>
        </row>
        <row r="2071">
          <cell r="D2071" t="str">
            <v>PERFIL GUIA, FORMATO U, EM ACO ZINCADO, PARA ESTRUTURA PAREDE DRYWALL, E = 0,5 MM, 70 X 3000 MM (L X C)</v>
          </cell>
          <cell r="H2071">
            <v>22.750015999999999</v>
          </cell>
        </row>
        <row r="2072">
          <cell r="D2072" t="str">
            <v>PERFIL MONTANTE, FORMATO C, EM ACO ZINCADO, PARA ESTRUTURA PAREDE DRYWALL, E = 0,5 MM, 70 X 3000 MM (L X C)</v>
          </cell>
          <cell r="H2072">
            <v>63.857556000000002</v>
          </cell>
        </row>
        <row r="2073">
          <cell r="D2073" t="str">
            <v>MASSA DE REJUNTE EM PO PARA DRYWALL, A BASE DE GESSO, SECAGEM RAPIDA, PARA TRATAMENTO DE JUNTAS DE CHAPA DE GESSO (NECESSITA ADICAO DE AGUA)</v>
          </cell>
          <cell r="H2073">
            <v>3.7654540000000005</v>
          </cell>
        </row>
        <row r="2074">
          <cell r="D2074" t="str">
            <v>FITA DE PAPEL MICROPERFURADO, 50 X 150 MM, PARA TRATAMENTO DE JUNTAS DE CHAPA DE GESSO PARA DRYWALL</v>
          </cell>
          <cell r="H2074">
            <v>0.775837</v>
          </cell>
        </row>
        <row r="2075">
          <cell r="D2075" t="str">
            <v>FITA DE PAPEL REFORCADA COM LAMINA DE METAL PARA REFORCO DE CANTOS DE CHAPA DE GESSO PARA DRYWALL</v>
          </cell>
          <cell r="H2075">
            <v>4.3431740000000003</v>
          </cell>
        </row>
        <row r="2076">
          <cell r="D2076" t="str">
            <v>PARAFUSO DRY WALL, EM ACO FOSFATIZADO, CABECA TROMBETA E PONTA AGULHA (TA), COMPRIMENTO 25 MM</v>
          </cell>
          <cell r="H2076">
            <v>1.8168120000000001</v>
          </cell>
        </row>
        <row r="2077">
          <cell r="D2077" t="str">
            <v>PARAFUSO DRY WALL, EM ACO ZINCADO, CABECA LENTILHA E PONTA BROCA (LB), LARGURA 4,2 MM, COMPRIMENTO 13 MM</v>
          </cell>
          <cell r="H2077">
            <v>0.10882000000000001</v>
          </cell>
        </row>
        <row r="2078">
          <cell r="D2078" t="str">
            <v>Lã de pet 50 X 1200 X 12500 MM</v>
          </cell>
          <cell r="H2078">
            <v>14.321266666666666</v>
          </cell>
        </row>
        <row r="2079">
          <cell r="D2079" t="str">
            <v>37_DRY 140 mm LV - 3 PLACAS - 18,25cm  -  Lado A: PLACA GLASROC X - Lado B: PLACA RF + RF</v>
          </cell>
          <cell r="H2079">
            <v>358.09483788888883</v>
          </cell>
        </row>
        <row r="2080">
          <cell r="D2080" t="str">
            <v>SERVICO - CONFECCAO SHAFT GESSO</v>
          </cell>
          <cell r="H2080">
            <v>70</v>
          </cell>
        </row>
        <row r="2081">
          <cell r="D2081" t="str">
            <v>CHAPA DE GESSO PARA DRYWALL PLACO - KNAUF (RF) VERMELHA 12,5MM X 1,20M X 1,80M</v>
          </cell>
          <cell r="H2081">
            <v>80.4375</v>
          </cell>
        </row>
        <row r="2082">
          <cell r="D2082" t="str">
            <v>Placa de Gesso Glasroc X 12,5 X 1200 X 2400mm</v>
          </cell>
          <cell r="H2082">
            <v>92.934722222222234</v>
          </cell>
        </row>
        <row r="2083">
          <cell r="D2083" t="str">
            <v>PINO DE ACO COM ARRUELA CONICA, DIAMETRO ARRUELA = *23* MM E COMP HASTE = *27* MM (ACAO INDIRETA)</v>
          </cell>
          <cell r="H2083">
            <v>2.9836800000000001</v>
          </cell>
        </row>
        <row r="2084">
          <cell r="D2084" t="str">
            <v>PERFIL GUIA, FORMATO U, EM ACO ZINCADO, PARA ESTRUTURA PAREDE DRYWALL, E = 0,5 MM, 70 X 3000 MM (L X C)</v>
          </cell>
          <cell r="H2084">
            <v>22.750015999999999</v>
          </cell>
        </row>
        <row r="2085">
          <cell r="D2085" t="str">
            <v>PERFIL MONTANTE, FORMATO C, EM ACO ZINCADO, PARA ESTRUTURA PAREDE DRYWALL, E = 0,5 MM, 70 X 3000 MM (L X C)</v>
          </cell>
          <cell r="H2085">
            <v>63.857556000000002</v>
          </cell>
        </row>
        <row r="2086">
          <cell r="D2086" t="str">
            <v>MASSA DE REJUNTE EM PO PARA DRYWALL, A BASE DE GESSO, SECAGEM RAPIDA, PARA TRATAMENTO DE JUNTAS DE CHAPA DE GESSO (NECESSITA ADICAO DE AGUA)</v>
          </cell>
          <cell r="H2086">
            <v>3.7654540000000005</v>
          </cell>
        </row>
        <row r="2087">
          <cell r="D2087" t="str">
            <v>FITA DE PAPEL MICROPERFURADO, 50 X 150 MM, PARA TRATAMENTO DE JUNTAS DE CHAPA DE GESSO PARA DRYWALL</v>
          </cell>
          <cell r="H2087">
            <v>0.775837</v>
          </cell>
        </row>
        <row r="2088">
          <cell r="D2088" t="str">
            <v>FITA DE PAPEL REFORCADA COM LAMINA DE METAL PARA REFORCO DE CANTOS DE CHAPA DE GESSO PARA DRYWALL</v>
          </cell>
          <cell r="H2088">
            <v>4.3431740000000003</v>
          </cell>
        </row>
        <row r="2089">
          <cell r="D2089" t="str">
            <v>PARAFUSO DRY WALL, EM ACO FOSFATIZADO, CABECA TROMBETA E PONTA AGULHA (TA), COMPRIMENTO 25 MM</v>
          </cell>
          <cell r="H2089">
            <v>1.8168120000000001</v>
          </cell>
        </row>
        <row r="2090">
          <cell r="D2090" t="str">
            <v>PARAFUSO DRY WALL, EM ACO ZINCADO, CABECA LENTILHA E PONTA BROCA (LB), LARGURA 4,2 MM, COMPRIMENTO 13 MM</v>
          </cell>
          <cell r="H2090">
            <v>0.10882000000000001</v>
          </cell>
        </row>
        <row r="2091">
          <cell r="D2091" t="str">
            <v>Lã de pet 50 X 1200 X 12500 MM</v>
          </cell>
          <cell r="H2091">
            <v>14.321266666666666</v>
          </cell>
        </row>
        <row r="2092">
          <cell r="D2092" t="str">
            <v>37_DRY 140 mm LV - 3 PLACAS - 18,25cm  -  Lado A: PLACA GLASROC X - Lado B: PLACA RF + RFU</v>
          </cell>
          <cell r="H2092">
            <v>358.09483788888883</v>
          </cell>
        </row>
        <row r="2093">
          <cell r="D2093" t="str">
            <v>SERVICO - CONFECCAO SHAFT GESSO</v>
          </cell>
          <cell r="H2093">
            <v>70</v>
          </cell>
        </row>
        <row r="2094">
          <cell r="D2094" t="str">
            <v>CHAPA DE GESSO PARA DRYWALL PLACO - KNAUF (RF) VERMELHA 12,5MM X 1,20M X 1,80M</v>
          </cell>
          <cell r="H2094">
            <v>80.4375</v>
          </cell>
        </row>
        <row r="2095">
          <cell r="D2095" t="str">
            <v>Placa de Gesso Glasroc X 12,5 X 1200 X 2400mm</v>
          </cell>
          <cell r="H2095">
            <v>92.934722222222234</v>
          </cell>
        </row>
        <row r="2096">
          <cell r="D2096" t="str">
            <v>PINO DE ACO COM ARRUELA CONICA, DIAMETRO ARRUELA = *23* MM E COMP HASTE = *27* MM (ACAO INDIRETA)</v>
          </cell>
          <cell r="H2096">
            <v>2.9836800000000001</v>
          </cell>
        </row>
        <row r="2097">
          <cell r="D2097" t="str">
            <v>PERFIL GUIA, FORMATO U, EM ACO ZINCADO, PARA ESTRUTURA PAREDE DRYWALL, E = 0,5 MM, 70 X 3000 MM (L X C)</v>
          </cell>
          <cell r="H2097">
            <v>22.750015999999999</v>
          </cell>
        </row>
        <row r="2098">
          <cell r="D2098" t="str">
            <v>PERFIL MONTANTE, FORMATO C, EM ACO ZINCADO, PARA ESTRUTURA PAREDE DRYWALL, E = 0,5 MM, 70 X 3000 MM (L X C)</v>
          </cell>
          <cell r="H2098">
            <v>63.857556000000002</v>
          </cell>
        </row>
        <row r="2099">
          <cell r="D2099" t="str">
            <v>MASSA DE REJUNTE EM PO PARA DRYWALL, A BASE DE GESSO, SECAGEM RAPIDA, PARA TRATAMENTO DE JUNTAS DE CHAPA DE GESSO (NECESSITA ADICAO DE AGUA)</v>
          </cell>
          <cell r="H2099">
            <v>3.7654540000000005</v>
          </cell>
        </row>
        <row r="2100">
          <cell r="D2100" t="str">
            <v>FITA DE PAPEL MICROPERFURADO, 50 X 150 MM, PARA TRATAMENTO DE JUNTAS DE CHAPA DE GESSO PARA DRYWALL</v>
          </cell>
          <cell r="H2100">
            <v>0.775837</v>
          </cell>
        </row>
        <row r="2101">
          <cell r="D2101" t="str">
            <v>FITA DE PAPEL REFORCADA COM LAMINA DE METAL PARA REFORCO DE CANTOS DE CHAPA DE GESSO PARA DRYWALL</v>
          </cell>
          <cell r="H2101">
            <v>4.3431740000000003</v>
          </cell>
        </row>
        <row r="2102">
          <cell r="D2102" t="str">
            <v>PARAFUSO DRY WALL, EM ACO FOSFATIZADO, CABECA TROMBETA E PONTA AGULHA (TA), COMPRIMENTO 25 MM</v>
          </cell>
          <cell r="H2102">
            <v>1.8168120000000001</v>
          </cell>
        </row>
        <row r="2103">
          <cell r="D2103" t="str">
            <v>PARAFUSO DRY WALL, EM ACO ZINCADO, CABECA LENTILHA E PONTA BROCA (LB), LARGURA 4,2 MM, COMPRIMENTO 13 MM</v>
          </cell>
          <cell r="H2103">
            <v>0.10882000000000001</v>
          </cell>
        </row>
        <row r="2104">
          <cell r="D2104" t="str">
            <v>Lã de pet 50 X 1200 X 12500 MM</v>
          </cell>
          <cell r="H2104">
            <v>14.321266666666666</v>
          </cell>
        </row>
        <row r="2105">
          <cell r="D2105" t="str">
            <v>38_DRY 0 mm - 1 PLACA - 1,25cm  -  Lado A: PLACA PERFORMANCE RU - Lado B: N/A</v>
          </cell>
          <cell r="H2105">
            <v>105.3232385</v>
          </cell>
        </row>
        <row r="2106">
          <cell r="D2106" t="str">
            <v>SERVICO - CONFECCAO SHAFT GESSO</v>
          </cell>
          <cell r="H2106">
            <v>70</v>
          </cell>
        </row>
        <row r="2107">
          <cell r="D2107" t="str">
            <v>PLACA / CHAPA DE GESSO ACARTONADO, RESISTENTE A UMIDADE (RU), COR VERDE, E = 12,5 MM, 1200 X 2400 MM (L X C)</v>
          </cell>
          <cell r="H2107">
            <v>29.972600000000003</v>
          </cell>
        </row>
        <row r="2108">
          <cell r="D2108" t="str">
            <v>MASSA DE REJUNTE EM PO PARA DRYWALL, A BASE DE GESSO, SECAGEM RAPIDA, PARA TRATAMENTO DE JUNTAS DE CHAPA DE GESSO (NECESSITA ADICAO DE AGUA)</v>
          </cell>
          <cell r="H2108">
            <v>1.8827270000000003</v>
          </cell>
        </row>
        <row r="2109">
          <cell r="D2109" t="str">
            <v>FITA DE PAPEL MICROPERFURADO, 50 X 150 MM, PARA TRATAMENTO DE JUNTAS DE CHAPA DE GESSO PARA DRYWALL</v>
          </cell>
          <cell r="H2109">
            <v>0.3879185</v>
          </cell>
        </row>
        <row r="2110">
          <cell r="D2110" t="str">
            <v>FITA DE PAPEL REFORCADA COM LAMINA DE METAL PARA REFORCO DE CANTOS DE CHAPA DE GESSO PARA DRYWALL</v>
          </cell>
          <cell r="H2110">
            <v>2.1715870000000002</v>
          </cell>
        </row>
        <row r="2111">
          <cell r="D2111" t="str">
            <v>PARAFUSO DRY WALL, EM ACO FOSFATIZADO, CABECA TROMBETA E PONTA AGULHA (TA), COMPRIMENTO 25 MM</v>
          </cell>
          <cell r="H2111">
            <v>0.90840600000000005</v>
          </cell>
        </row>
        <row r="2112">
          <cell r="D2112" t="str">
            <v>38_DRY 0 mm - 1 PLACA - 1,25cm  -  Lado A: PLACA ST - Lado B: N/A</v>
          </cell>
          <cell r="H2112">
            <v>97.647598500000001</v>
          </cell>
        </row>
        <row r="2113">
          <cell r="D2113" t="str">
            <v>SERVICO - CONFECCAO SHAFT GESSO</v>
          </cell>
          <cell r="H2113">
            <v>70</v>
          </cell>
        </row>
        <row r="2114">
          <cell r="D2114" t="str">
            <v>PLACA / CHAPA DE GESSO ACARTONADO, STANDARD (ST), COR BRANCA, E = 12,5 MM, 1200 X 2400 MM (L X C)</v>
          </cell>
          <cell r="H2114">
            <v>22.296960000000002</v>
          </cell>
        </row>
        <row r="2115">
          <cell r="D2115" t="str">
            <v>MASSA DE REJUNTE EM PO PARA DRYWALL, A BASE DE GESSO, SECAGEM RAPIDA, PARA TRATAMENTO DE JUNTAS DE CHAPA DE GESSO (NECESSITA ADICAO DE AGUA)</v>
          </cell>
          <cell r="H2115">
            <v>1.8827270000000003</v>
          </cell>
        </row>
        <row r="2116">
          <cell r="D2116" t="str">
            <v>FITA DE PAPEL MICROPERFURADO, 50 X 150 MM, PARA TRATAMENTO DE JUNTAS DE CHAPA DE GESSO PARA DRYWALL</v>
          </cell>
          <cell r="H2116">
            <v>0.3879185</v>
          </cell>
        </row>
        <row r="2117">
          <cell r="D2117" t="str">
            <v>FITA DE PAPEL REFORCADA COM LAMINA DE METAL PARA REFORCO DE CANTOS DE CHAPA DE GESSO PARA DRYWALL</v>
          </cell>
          <cell r="H2117">
            <v>2.1715870000000002</v>
          </cell>
        </row>
        <row r="2118">
          <cell r="D2118" t="str">
            <v>PARAFUSO DRY WALL, EM ACO FOSFATIZADO, CABECA TROMBETA E PONTA AGULHA (TA), COMPRIMENTO 25 MM</v>
          </cell>
          <cell r="H2118">
            <v>0.90840600000000005</v>
          </cell>
        </row>
        <row r="2119">
          <cell r="D2119" t="str">
            <v>38_DRY 0 mm - 1 PLACA - 1,25cm  -  Lado A: PLACA PERFORMANCE ST - Lado B: N/A</v>
          </cell>
          <cell r="H2119">
            <v>97.647598500000001</v>
          </cell>
        </row>
        <row r="2120">
          <cell r="D2120" t="str">
            <v>SERVICO - CONFECCAO SHAFT GESSO</v>
          </cell>
          <cell r="H2120">
            <v>70</v>
          </cell>
        </row>
        <row r="2121">
          <cell r="D2121" t="str">
            <v>PLACA / CHAPA DE GESSO ACARTONADO, STANDARD (ST), COR BRANCA, E = 12,5 MM, 1200 X 2400 MM (L X C)</v>
          </cell>
          <cell r="H2121">
            <v>22.296960000000002</v>
          </cell>
        </row>
        <row r="2122">
          <cell r="D2122" t="str">
            <v>MASSA DE REJUNTE EM PO PARA DRYWALL, A BASE DE GESSO, SECAGEM RAPIDA, PARA TRATAMENTO DE JUNTAS DE CHAPA DE GESSO (NECESSITA ADICAO DE AGUA)</v>
          </cell>
          <cell r="H2122">
            <v>1.8827270000000003</v>
          </cell>
        </row>
        <row r="2123">
          <cell r="D2123" t="str">
            <v>FITA DE PAPEL MICROPERFURADO, 50 X 150 MM, PARA TRATAMENTO DE JUNTAS DE CHAPA DE GESSO PARA DRYWALL</v>
          </cell>
          <cell r="H2123">
            <v>0.3879185</v>
          </cell>
        </row>
        <row r="2124">
          <cell r="D2124" t="str">
            <v>FITA DE PAPEL REFORCADA COM LAMINA DE METAL PARA REFORCO DE CANTOS DE CHAPA DE GESSO PARA DRYWALL</v>
          </cell>
          <cell r="H2124">
            <v>2.1715870000000002</v>
          </cell>
        </row>
        <row r="2125">
          <cell r="D2125" t="str">
            <v>PARAFUSO DRY WALL, EM ACO FOSFATIZADO, CABECA TROMBETA E PONTA AGULHA (TA), COMPRIMENTO 25 MM</v>
          </cell>
          <cell r="H2125">
            <v>0.90840600000000005</v>
          </cell>
        </row>
        <row r="2126">
          <cell r="D2126" t="str">
            <v>38_DRY 0 mm - 1 PLACA - 1,25cm  -  Lado A: PLACA RU - Lado B: N/A</v>
          </cell>
          <cell r="H2126">
            <v>105.3232385</v>
          </cell>
        </row>
        <row r="2127">
          <cell r="D2127" t="str">
            <v>SERVICO - CONFECCAO SHAFT GESSO</v>
          </cell>
          <cell r="H2127">
            <v>70</v>
          </cell>
        </row>
        <row r="2128">
          <cell r="D2128" t="str">
            <v>PLACA / CHAPA DE GESSO ACARTONADO, RESISTENTE A UMIDADE (RU), COR VERDE, E = 12,5 MM, 1200 X 2400 MM (L X C)</v>
          </cell>
          <cell r="H2128">
            <v>29.972600000000003</v>
          </cell>
        </row>
        <row r="2129">
          <cell r="D2129" t="str">
            <v>MASSA DE REJUNTE EM PO PARA DRYWALL, A BASE DE GESSO, SECAGEM RAPIDA, PARA TRATAMENTO DE JUNTAS DE CHAPA DE GESSO (NECESSITA ADICAO DE AGUA)</v>
          </cell>
          <cell r="H2129">
            <v>1.8827270000000003</v>
          </cell>
        </row>
        <row r="2130">
          <cell r="D2130" t="str">
            <v>FITA DE PAPEL MICROPERFURADO, 50 X 150 MM, PARA TRATAMENTO DE JUNTAS DE CHAPA DE GESSO PARA DRYWALL</v>
          </cell>
          <cell r="H2130">
            <v>0.3879185</v>
          </cell>
        </row>
        <row r="2131">
          <cell r="D2131" t="str">
            <v>FITA DE PAPEL REFORCADA COM LAMINA DE METAL PARA REFORCO DE CANTOS DE CHAPA DE GESSO PARA DRYWALL</v>
          </cell>
          <cell r="H2131">
            <v>2.1715870000000002</v>
          </cell>
        </row>
        <row r="2132">
          <cell r="D2132" t="str">
            <v>PARAFUSO DRY WALL, EM ACO FOSFATIZADO, CABECA TROMBETA E PONTA AGULHA (TA), COMPRIMENTO 25 MM</v>
          </cell>
          <cell r="H2132">
            <v>0.90840600000000005</v>
          </cell>
        </row>
        <row r="2133">
          <cell r="D2133" t="str">
            <v>38_DRY 0 mm - 1 PLACA - 1,25cm  -</v>
          </cell>
          <cell r="H2133">
            <v>105.3232385</v>
          </cell>
        </row>
        <row r="2134">
          <cell r="D2134" t="str">
            <v>SERVICO - CONFECCAO SHAFT GESSO</v>
          </cell>
          <cell r="H2134">
            <v>70</v>
          </cell>
        </row>
        <row r="2135">
          <cell r="D2135" t="str">
            <v>PLACA / CHAPA DE GESSO ACARTONADO, RESISTENTE A UMIDADE (RU), COR VERDE, E = 12,5 MM, 1200 X 2400 MM (L X C)</v>
          </cell>
          <cell r="H2135">
            <v>29.972600000000003</v>
          </cell>
        </row>
        <row r="2136">
          <cell r="D2136" t="str">
            <v>MASSA DE REJUNTE EM PO PARA DRYWALL, A BASE DE GESSO, SECAGEM RAPIDA, PARA TRATAMENTO DE JUNTAS DE CHAPA DE GESSO (NECESSITA ADICAO DE AGUA)</v>
          </cell>
          <cell r="H2136">
            <v>1.8827270000000003</v>
          </cell>
        </row>
        <row r="2137">
          <cell r="D2137" t="str">
            <v>FITA DE PAPEL MICROPERFURADO, 50 X 150 MM, PARA TRATAMENTO DE JUNTAS DE CHAPA DE GESSO PARA DRYWALL</v>
          </cell>
          <cell r="H2137">
            <v>0.3879185</v>
          </cell>
        </row>
        <row r="2138">
          <cell r="D2138" t="str">
            <v>FITA DE PAPEL REFORCADA COM LAMINA DE METAL PARA REFORCO DE CANTOS DE CHAPA DE GESSO PARA DRYWALL</v>
          </cell>
          <cell r="H2138">
            <v>2.1715870000000002</v>
          </cell>
        </row>
        <row r="2139">
          <cell r="D2139" t="str">
            <v>PARAFUSO DRY WALL, EM ACO FOSFATIZADO, CABECA TROMBETA E PONTA AGULHA (TA), COMPRIMENTO 25 MM</v>
          </cell>
          <cell r="H2139">
            <v>0.90840600000000005</v>
          </cell>
        </row>
        <row r="2140">
          <cell r="D2140" t="str">
            <v>Isolamento de lã de vidro</v>
          </cell>
          <cell r="H2140">
            <v>14.111533333333334</v>
          </cell>
        </row>
        <row r="2141">
          <cell r="D2141" t="str">
            <v>LÂ DE VIDRO PARA ISOLAMENTO 50mm</v>
          </cell>
          <cell r="H2141">
            <v>14.111533333333334</v>
          </cell>
        </row>
        <row r="2142">
          <cell r="D2142" t="str">
            <v>Placa de Zinco Metálico</v>
          </cell>
          <cell r="H2142">
            <v>142.12333333333333</v>
          </cell>
        </row>
        <row r="2143">
          <cell r="D2143" t="str">
            <v>Chapa de Aço Galvanizada 1,55mm (Chapa 16) x 1200mm x 3000mm</v>
          </cell>
          <cell r="H2143">
            <v>142.12333333333333</v>
          </cell>
        </row>
        <row r="2144">
          <cell r="D2144" t="str">
            <v>MAO DE OBRA</v>
          </cell>
          <cell r="H2144">
            <v>0</v>
          </cell>
        </row>
        <row r="2145">
          <cell r="D2145" t="str">
            <v>Mão de obra para assentamento de blocos cerâmicos</v>
          </cell>
          <cell r="H2145">
            <v>47</v>
          </cell>
        </row>
        <row r="2146">
          <cell r="D2146" t="str">
            <v>Mão de obra para assentamento de blocos cerâmicos</v>
          </cell>
          <cell r="H2146">
            <v>47</v>
          </cell>
        </row>
        <row r="2147">
          <cell r="D2147" t="str">
            <v xml:space="preserve">Mão de obra para assentamento de blocos de Refratário </v>
          </cell>
          <cell r="H2147">
            <v>48</v>
          </cell>
        </row>
        <row r="2148">
          <cell r="D2148" t="str">
            <v xml:space="preserve">Mão de obra para assentamento de blocos de Refratário </v>
          </cell>
          <cell r="H2148">
            <v>48</v>
          </cell>
        </row>
        <row r="2149">
          <cell r="D2149" t="str">
            <v>Mão de obra para assentamento de blocos de silico calcarios</v>
          </cell>
          <cell r="H2149">
            <v>47</v>
          </cell>
        </row>
        <row r="2150">
          <cell r="D2150" t="str">
            <v>Mão de obra para assentamento de blocos de silico calcarios</v>
          </cell>
          <cell r="H2150">
            <v>47</v>
          </cell>
        </row>
        <row r="2151">
          <cell r="D2151" t="str">
            <v>Mão de obra para assentamento de blocos concreto</v>
          </cell>
          <cell r="H2151">
            <v>47</v>
          </cell>
        </row>
        <row r="2152">
          <cell r="D2152" t="str">
            <v>Mão de obra para assentamento de blocos concreto</v>
          </cell>
          <cell r="H2152">
            <v>47</v>
          </cell>
        </row>
        <row r="2153">
          <cell r="D2153" t="str">
            <v xml:space="preserve">Mão de obra para Sistema de vedação em drywall </v>
          </cell>
          <cell r="H2153">
            <v>136.85419780569251</v>
          </cell>
        </row>
        <row r="2154">
          <cell r="D2154" t="str">
            <v xml:space="preserve">Mão de obra para Sistema de vedação em drywall </v>
          </cell>
          <cell r="H2154">
            <v>136.85419780569251</v>
          </cell>
        </row>
        <row r="2155">
          <cell r="D2155" t="str">
            <v>Mão de obra para assentamento de blocos concreto Estrutural</v>
          </cell>
          <cell r="H2155">
            <v>48</v>
          </cell>
        </row>
        <row r="2156">
          <cell r="D2156" t="str">
            <v>Mão de obra para assentamento de blocos concreto Estrutural</v>
          </cell>
          <cell r="H2156">
            <v>48</v>
          </cell>
        </row>
        <row r="2157">
          <cell r="D2157" t="str">
            <v>SISTEMAS E INSTALAÇÕES HIDROSSANITÁRIAS E DRENAGEM</v>
          </cell>
          <cell r="H2157">
            <v>0</v>
          </cell>
        </row>
        <row r="2158">
          <cell r="D2158" t="str">
            <v>SISTEMAS E INSTALAÇÕES ELÉTRICAS</v>
          </cell>
          <cell r="H2158">
            <v>0</v>
          </cell>
        </row>
        <row r="2159">
          <cell r="D2159" t="str">
            <v xml:space="preserve">INSTALAÇÕES PREVENTIVAS E GLP </v>
          </cell>
          <cell r="H2159">
            <v>0</v>
          </cell>
        </row>
        <row r="2160">
          <cell r="D2160" t="str">
            <v>EQUIPAMENTOS E SISTEMAS ESPECIAIS</v>
          </cell>
          <cell r="H2160">
            <v>0</v>
          </cell>
        </row>
        <row r="2161">
          <cell r="D2161" t="str">
            <v>EQUIPAMENTOS</v>
          </cell>
          <cell r="H2161">
            <v>0</v>
          </cell>
        </row>
        <row r="2162">
          <cell r="D2162" t="str">
            <v>Churrasqueiras kit Gourmet Médio Inox 304</v>
          </cell>
          <cell r="H2162">
            <v>6600</v>
          </cell>
        </row>
        <row r="2163">
          <cell r="D2163" t="str">
            <v>Instalação de Churrasqueiras</v>
          </cell>
          <cell r="H2163">
            <v>400</v>
          </cell>
        </row>
        <row r="2164">
          <cell r="D2164" t="str">
            <v>Churrasqueiras kit Gourmet Médio Inox 304</v>
          </cell>
          <cell r="H2164">
            <v>6200</v>
          </cell>
        </row>
        <row r="2165">
          <cell r="D2165" t="str">
            <v>Churrasqueiras Pré-Moldadas</v>
          </cell>
          <cell r="H2165">
            <v>1800</v>
          </cell>
        </row>
        <row r="2166">
          <cell r="D2166" t="str">
            <v>Instalação de Churrasqueiras</v>
          </cell>
          <cell r="H2166">
            <v>400</v>
          </cell>
        </row>
        <row r="2167">
          <cell r="D2167" t="str">
            <v>Churrasqueiras Pré-Moldadas</v>
          </cell>
          <cell r="H2167">
            <v>1400</v>
          </cell>
        </row>
        <row r="2168">
          <cell r="D2168" t="str">
            <v>IMPERMEABILIZAÇÃO E TRATAMENTOS</v>
          </cell>
          <cell r="H2168">
            <v>0</v>
          </cell>
        </row>
        <row r="2169">
          <cell r="D2169" t="str">
            <v>MATERIAIS</v>
          </cell>
          <cell r="H2169">
            <v>0</v>
          </cell>
        </row>
        <row r="2170">
          <cell r="D2170" t="str">
            <v xml:space="preserve">Regularização de superfície para impermeabilização </v>
          </cell>
          <cell r="H2170">
            <v>7.0658999999999992</v>
          </cell>
        </row>
        <row r="2171">
          <cell r="D2171" t="str">
            <v>AREIA MEDIA</v>
          </cell>
          <cell r="H2171">
            <v>2.2475000000000001</v>
          </cell>
        </row>
        <row r="2172">
          <cell r="D2172" t="str">
            <v>Cimento Portland Composto CP II-32</v>
          </cell>
          <cell r="H2172">
            <v>4.8183999999999996</v>
          </cell>
        </row>
        <row r="2173">
          <cell r="D2173" t="str">
            <v>Proteção mecânica de superfície com argamassa de cimento e areia, traço 1:3 E=5cm</v>
          </cell>
          <cell r="H2173">
            <v>49.358499999999999</v>
          </cell>
        </row>
        <row r="2174">
          <cell r="D2174" t="str">
            <v>Argamassa usninada para contrapiso</v>
          </cell>
          <cell r="H2174">
            <v>34.375</v>
          </cell>
        </row>
        <row r="2175">
          <cell r="D2175" t="str">
            <v>Tela de arame galvanizada, hexagonal, fio 0,56 mm (24 bwg), malha 1/2", h = 1 m</v>
          </cell>
          <cell r="H2175">
            <v>14.983499999999999</v>
          </cell>
        </row>
        <row r="2176">
          <cell r="D2176" t="str">
            <v>Impermeabilização de Baldrames com Tinta Asfáltica (Neutrol)</v>
          </cell>
          <cell r="H2176">
            <v>29.160000000000004</v>
          </cell>
        </row>
        <row r="2177">
          <cell r="D2177" t="str">
            <v>emulsão asfáltica de alta resistência química</v>
          </cell>
          <cell r="H2177">
            <v>29.160000000000004</v>
          </cell>
        </row>
        <row r="2178">
          <cell r="D2178" t="str">
            <v>Impermeabilização de Laje Sob Solo com Tinta Asfáltica (Neutrol) Com Adtivo</v>
          </cell>
          <cell r="H2178">
            <v>82.493333333333339</v>
          </cell>
        </row>
        <row r="2179">
          <cell r="D2179" t="str">
            <v>emulsão asfáltica de alta resistência química</v>
          </cell>
          <cell r="H2179">
            <v>29.160000000000004</v>
          </cell>
        </row>
        <row r="2180">
          <cell r="D2180" t="str">
            <v>Aditivo Adesivo Liquido Para Impermeabilização</v>
          </cell>
          <cell r="H2180">
            <v>53.333333333333343</v>
          </cell>
        </row>
        <row r="2181">
          <cell r="D2181" t="str">
            <v>Impermeabilização De Superfície Com Mebrana Impermeável, Uma Camada, Inclusive Aplicação De Primer Asfáltico</v>
          </cell>
          <cell r="H2181">
            <v>26.941915384615385</v>
          </cell>
        </row>
        <row r="2182">
          <cell r="D2182" t="str">
            <v>PRIMER PARA MANTA ASFALTICA A BASE DE ASFALTO MODIFICADO DILUIDO EM SOLVENTE, APLICACAO A FRIO</v>
          </cell>
          <cell r="H2182">
            <v>14.4648</v>
          </cell>
        </row>
        <row r="2183">
          <cell r="D2183" t="str">
            <v>Membrana Impermeável Respirável - 1,30x50m</v>
          </cell>
          <cell r="H2183">
            <v>12.477115384615384</v>
          </cell>
        </row>
        <row r="2184">
          <cell r="D2184" t="str">
            <v>Impermeabilização De Superfície Com Manta Asfáltica, Uma Camada, Inclusive Aplicação De Primer Asfáltico</v>
          </cell>
          <cell r="H2184">
            <v>93.237299999999991</v>
          </cell>
        </row>
        <row r="2185">
          <cell r="D2185" t="str">
            <v>PRIMER PARA MANTA ASFALTICA A BASE DE ASFALTO MODIFICADO DILUIDO EM SOLVENTE, APLICACAO A FRIO</v>
          </cell>
          <cell r="H2185">
            <v>14.4648</v>
          </cell>
        </row>
        <row r="2186">
          <cell r="D2186" t="str">
            <v>MANTA ASFALTICA ELASTOMERICA EM POLIESTER 4 MM, TIPO III, CLASSE B, ACABAMENTO PP (NBR 9952)</v>
          </cell>
          <cell r="H2186">
            <v>78.772499999999994</v>
          </cell>
        </row>
        <row r="2187">
          <cell r="D2187" t="str">
            <v>Impermeabilização De Superfície Com Manta Asfáltica, Duas Camada, Inclusive Aplicação De Primer Asfáltico</v>
          </cell>
          <cell r="H2187">
            <v>157.38479999999998</v>
          </cell>
        </row>
        <row r="2188">
          <cell r="D2188" t="str">
            <v>PRIMER PARA MANTA ASFALTICA A BASE DE ASFALTO MODIFICADO DILUIDO EM SOLVENTE, APLICACAO A FRIO</v>
          </cell>
          <cell r="H2188">
            <v>14.4648</v>
          </cell>
        </row>
        <row r="2189">
          <cell r="D2189" t="str">
            <v>MANTA ASFALTICA ELASTOMERICA EM POLIESTER 3 MM, TIPO III, CLASSE B, ACABAMENTO PP (NBR 9952)</v>
          </cell>
          <cell r="H2189">
            <v>64.147500000000008</v>
          </cell>
        </row>
        <row r="2190">
          <cell r="D2190" t="str">
            <v>MANTA ASFALTICA ELASTOMERICA EM POLIESTER 4 MM, TIPO III, CLASSE B, ACABAMENTO PP (NBR 9952)</v>
          </cell>
          <cell r="H2190">
            <v>78.772499999999994</v>
          </cell>
        </row>
        <row r="2191">
          <cell r="D2191" t="str">
            <v>Impermeabilização com manta aluminio em telhados</v>
          </cell>
          <cell r="H2191">
            <v>57.203550000000007</v>
          </cell>
        </row>
        <row r="2192">
          <cell r="D2192" t="str">
            <v>PRIMER PARA MANTA ASFALTICA A BASE DE ASFALTO MODIFICADO DILUIDO EM SOLVENTE, APLICACAO A FRIO</v>
          </cell>
          <cell r="H2192">
            <v>14.4648</v>
          </cell>
        </row>
        <row r="2193">
          <cell r="D2193" t="str">
            <v>Manta Asfáltica Drykomanta Polialum 4mm Tipo ll 10m Dryko</v>
          </cell>
          <cell r="H2193">
            <v>42.738750000000003</v>
          </cell>
        </row>
        <row r="2194">
          <cell r="D2194" t="str">
            <v>Impermeabilização De Superfície Com Membrana de Polímero</v>
          </cell>
          <cell r="H2194">
            <v>34.825000000000003</v>
          </cell>
        </row>
        <row r="2195">
          <cell r="D2195" t="str">
            <v>Membrana de polímeros acrílicos com cimento e com fibras</v>
          </cell>
          <cell r="H2195">
            <v>34.825000000000003</v>
          </cell>
        </row>
        <row r="2196">
          <cell r="D2196" t="str">
            <v>Impermeabilização De Superfície Com Argamassa Polimérica / Membrana Acrílica, 3 Demãos</v>
          </cell>
          <cell r="H2196">
            <v>36.256</v>
          </cell>
        </row>
        <row r="2197">
          <cell r="D2197" t="str">
            <v>Argamassa polimerica impermeabilizante semiflexivel, bicomponente, a base de cimento e aditivos</v>
          </cell>
          <cell r="H2197">
            <v>36.256</v>
          </cell>
        </row>
        <row r="2198">
          <cell r="D2198" t="str">
            <v>Impermeabilização De Superfície Com Argamassa Polimérica / Membrana Acrílica, 3 Demãos Com Aditivos</v>
          </cell>
          <cell r="H2198">
            <v>62.922666666666672</v>
          </cell>
        </row>
        <row r="2199">
          <cell r="D2199" t="str">
            <v>Argamassa polimerica impermeabilizante semiflexivel, bicomponente, a base de cimento e aditivos</v>
          </cell>
          <cell r="H2199">
            <v>36.256</v>
          </cell>
        </row>
        <row r="2200">
          <cell r="D2200" t="str">
            <v>Aditivo Adesivo Liquido Para Impermeabilização</v>
          </cell>
          <cell r="H2200">
            <v>26.666666666666671</v>
          </cell>
        </row>
        <row r="2201">
          <cell r="D2201" t="str">
            <v>Impermeabilização com manta liquida poliuretano, 3 demãos sem tela estruturante.</v>
          </cell>
          <cell r="H2201">
            <v>35.133333333333333</v>
          </cell>
        </row>
        <row r="2202">
          <cell r="D2202" t="str">
            <v>Manta Líquida - Igolflex Pu (consumo = 400g/m2)</v>
          </cell>
          <cell r="H2202">
            <v>35.133333333333333</v>
          </cell>
        </row>
        <row r="2203">
          <cell r="D2203" t="str">
            <v>Impermeabilização com manta liquida em peitoris</v>
          </cell>
          <cell r="H2203">
            <v>40.17</v>
          </cell>
        </row>
        <row r="2204">
          <cell r="D2204" t="str">
            <v>Impermeabilizante manta liquida branca</v>
          </cell>
          <cell r="H2204">
            <v>40.17</v>
          </cell>
        </row>
        <row r="2205">
          <cell r="D2205" t="str">
            <v>Tratamento De Ralo Ou Ponto Emergente Com Argamassa Polimérica Reforçado Com Tela De Poliéster</v>
          </cell>
          <cell r="H2205">
            <v>8.760015000000001</v>
          </cell>
        </row>
        <row r="2206">
          <cell r="D2206" t="str">
            <v>Argamassa polimerica impermeabilizante semiflexivel, bicomponente, a base de cimento e aditivos</v>
          </cell>
          <cell r="H2206">
            <v>8.3672050000000002</v>
          </cell>
        </row>
        <row r="2207">
          <cell r="D2207" t="str">
            <v>Veu de poliester para impermeabilizacao</v>
          </cell>
          <cell r="H2207">
            <v>0.39280999999999999</v>
          </cell>
        </row>
        <row r="2208">
          <cell r="D2208" t="str">
            <v>mpermeabilização de Fachadas (ULTRAVENT)</v>
          </cell>
          <cell r="H2208">
            <v>27.500000000000004</v>
          </cell>
        </row>
        <row r="2209">
          <cell r="D2209" t="str">
            <v>impermeabilizante manta líquida Ultravent</v>
          </cell>
          <cell r="H2209">
            <v>27.500000000000004</v>
          </cell>
        </row>
        <row r="2210">
          <cell r="D2210" t="str">
            <v>Impermeabilização De Superfície Com Aspersão de CWS e CWS100</v>
          </cell>
          <cell r="H2210">
            <v>65</v>
          </cell>
        </row>
        <row r="2211">
          <cell r="D2211" t="str">
            <v>SOLUÇÃO DE SILICADOS CWS100</v>
          </cell>
          <cell r="H2211">
            <v>65</v>
          </cell>
        </row>
        <row r="2212">
          <cell r="D2212" t="str">
            <v>E3 - Membrana de polímero acrílico com cimento e fibras, estruturada com tela de poliéster nos pontos críticos (3,0 kg/m²)</v>
          </cell>
          <cell r="H2212">
            <v>66</v>
          </cell>
        </row>
        <row r="2213">
          <cell r="D2213" t="str">
            <v>Membrana de polímero acrílico com cimento e fibras, estruturada com tela de poliéster nos pontos críticos</v>
          </cell>
          <cell r="H2213">
            <v>66</v>
          </cell>
        </row>
        <row r="2214">
          <cell r="D2214" t="str">
            <v>I30EL - Membrana de polímero acrílico, sem cimento (3,0 kg/m²), com resistência à alcalinidade, estruturada com tela de poliéster nos pontos críticos – Ref.: Sika Baucryl, MC DF9, Icopor HP, Procryl Imper</v>
          </cell>
          <cell r="H2214">
            <v>75</v>
          </cell>
        </row>
        <row r="2215">
          <cell r="D2215" t="str">
            <v>Membrana de polímero acrílico, sem cimento com resistência à alcalinidade, estruturada com tela de poliéster nos pontos críticos</v>
          </cell>
          <cell r="H2215">
            <v>75</v>
          </cell>
        </row>
        <row r="2216">
          <cell r="D2216" t="str">
            <v>M44A - Manta asfáltica tipo IV, 4 mm A, com acabamento areia/areia aderida com asfalto oxidado (3,0 kg/m²) + banho de asfalto oxidado (2,0 kg/m²)</v>
          </cell>
          <cell r="H2216">
            <v>108</v>
          </cell>
        </row>
        <row r="2217">
          <cell r="D2217" t="str">
            <v>Manta asfáltica tipo IV, 4 mm A, com acabamento areia/areia aderida com asfalto oxidado</v>
          </cell>
          <cell r="H2217">
            <v>90</v>
          </cell>
        </row>
        <row r="2218">
          <cell r="D2218" t="str">
            <v>banho de asfalto oxidado</v>
          </cell>
          <cell r="H2218">
            <v>18</v>
          </cell>
        </row>
        <row r="2219">
          <cell r="D2219" t="str">
            <v>C3 - Argamassa polimérica rígida, estruturada com tela de poliéster nos pontos críticos (3,0 kg/m²)</v>
          </cell>
          <cell r="H2219">
            <v>29.666666666666668</v>
          </cell>
        </row>
        <row r="2220">
          <cell r="D2220" t="str">
            <v>Argamassa polimérica rígida, estruturada com tela de poliéster nos pontos críticos</v>
          </cell>
          <cell r="H2220">
            <v>29.666666666666668</v>
          </cell>
        </row>
        <row r="2221">
          <cell r="D2221" t="str">
            <v>C3E3 - Argamassa polimérica rígida (3,0 kg/m²) + membrana de polímero acrílico com cimento e fibras, estruturada com tela de poliéster nos pontos críticos (3,0 kg/m²)</v>
          </cell>
          <cell r="H2221">
            <v>95.666666666666671</v>
          </cell>
        </row>
        <row r="2222">
          <cell r="D2222" t="str">
            <v>Argamassa polimérica rígida</v>
          </cell>
          <cell r="H2222">
            <v>29.666666666666668</v>
          </cell>
        </row>
        <row r="2223">
          <cell r="D2223" t="str">
            <v>membrana de polímero acrílico com cimento e fibras, estruturada com tela de poliéster nos pontos críticos</v>
          </cell>
          <cell r="H2223">
            <v>66</v>
          </cell>
        </row>
        <row r="2224">
          <cell r="D2224" t="str">
            <v>C4 - Argamassa polimérica rígida, estruturada com tela de poliéster nos pontos críticos (4,0 kg/m²)</v>
          </cell>
          <cell r="H2224">
            <v>39.555555555555557</v>
          </cell>
        </row>
        <row r="2225">
          <cell r="D2225" t="str">
            <v>Argamassa polimérica rígida, estruturada com tela de poliéster nos pontos críticos</v>
          </cell>
          <cell r="H2225">
            <v>39.555555555555557</v>
          </cell>
        </row>
        <row r="2226">
          <cell r="D2226" t="str">
            <v>C4RQ - Argamassa polimérica rígida, com alta resistência química, estruturada com tela de poliéster nos pontos críticos (4,0 kg/m²)</v>
          </cell>
          <cell r="H2226">
            <v>39.555555555555557</v>
          </cell>
        </row>
        <row r="2227">
          <cell r="D2227" t="str">
            <v>Argamassa polimérica rígida, com alta resistência química, estruturada com tela de poliéster nos pontos críticos</v>
          </cell>
          <cell r="H2227">
            <v>39.555555555555557</v>
          </cell>
        </row>
        <row r="2228">
          <cell r="D2228" t="str">
            <v>I30 - Membrana acrílica, estruturada com tela de poliéster, nos pontos críticos (3,0 kg/m²)</v>
          </cell>
          <cell r="H2228">
            <v>72</v>
          </cell>
        </row>
        <row r="2229">
          <cell r="D2229" t="str">
            <v>Membrana acrílica, estruturada com tela de poliéster, nos pontos críticos</v>
          </cell>
          <cell r="H2229">
            <v>72</v>
          </cell>
        </row>
        <row r="2230">
          <cell r="D2230" t="str">
            <v>M44AE2 - Manta asfáltica tipo IV, 4 mm A, com acabamento areia/areia aderida com asfalto oxidado (3,0 kg/m²) + banho de asfalto oxidado (2,0 kg/m²) + membrana de polímero acrílico com cimento e fibras para combater eflorescência (2,0 kg/m²)</v>
          </cell>
          <cell r="H2230">
            <v>156</v>
          </cell>
        </row>
        <row r="2231">
          <cell r="D2231" t="str">
            <v>Manta asfáltica tipo IV, 4 mm A, com acabamento areia/areia aderida com asfalto oxidado</v>
          </cell>
          <cell r="H2231">
            <v>90</v>
          </cell>
        </row>
        <row r="2232">
          <cell r="D2232" t="str">
            <v>banho de asfalto oxidado</v>
          </cell>
          <cell r="H2232">
            <v>18</v>
          </cell>
        </row>
        <row r="2233">
          <cell r="D2233" t="str">
            <v>membrana de polímero acrílico com cimento e fibras para combater eflorescência</v>
          </cell>
          <cell r="H2233">
            <v>48</v>
          </cell>
        </row>
        <row r="2234">
          <cell r="D2234" t="str">
            <v>E2 - Membrana de polímero acrílico, com cimento e com fibras, estruturada com tela de poliéster nos pontos críticos (2,0 kg/m²)</v>
          </cell>
          <cell r="H2234">
            <v>48</v>
          </cell>
        </row>
        <row r="2235">
          <cell r="D2235" t="str">
            <v>Membrana de polímero acrílico, com cimento e com fibras, estruturada com tela de poliéster nos pontos críticos</v>
          </cell>
          <cell r="H2235">
            <v>48</v>
          </cell>
        </row>
        <row r="2236">
          <cell r="D2236" t="str">
            <v>M44AR05 - Manta asfáltica tipo IV, 4 mm A, com acabamento areia/areia aderida com asfalto oxidado (3,0 kg/m²) + banho de asfalto oxidado (2,0 kg/m²) + pintura de proteção antirraiz sobre a proteção mecânica (0,5 L/m²)</v>
          </cell>
          <cell r="H2236">
            <v>138</v>
          </cell>
        </row>
        <row r="2237">
          <cell r="D2237" t="str">
            <v>Manta asfáltica tipo IV, 4 mm A, com acabamento areia/areia aderida com asfalto oxidado</v>
          </cell>
          <cell r="H2237">
            <v>90</v>
          </cell>
        </row>
        <row r="2238">
          <cell r="D2238" t="str">
            <v>banho de asfalto oxidado</v>
          </cell>
          <cell r="H2238">
            <v>18</v>
          </cell>
        </row>
        <row r="2239">
          <cell r="D2239" t="str">
            <v>pintura de proteção antirraiz sobre a proteção mecânica</v>
          </cell>
          <cell r="H2239">
            <v>30</v>
          </cell>
        </row>
        <row r="2240">
          <cell r="D2240" t="str">
            <v>M44A + M44AE2 - Manta asfáltica tipo IV, 4 mm + manta asfáltica tipo IV, 4 mm + banho de asfalto oxidado + membrana de polímero acrílico com cimento e fibras para combater eflorescência</v>
          </cell>
          <cell r="H2240">
            <v>246</v>
          </cell>
        </row>
        <row r="2241">
          <cell r="D2241" t="str">
            <v>Manta asfáltica tipo IV, 4 mm A, com acabamento areia/areia + manta asfáltica tipo IV, 4 mm A, com acabamento areia/areia aderida com asfalto oxidado</v>
          </cell>
          <cell r="H2241">
            <v>180</v>
          </cell>
        </row>
        <row r="2242">
          <cell r="D2242" t="str">
            <v>banho de asfalto oxidado</v>
          </cell>
          <cell r="H2242">
            <v>18</v>
          </cell>
        </row>
        <row r="2243">
          <cell r="D2243" t="str">
            <v>membrana de polímero acrílico com cimento e fibras para combater eflorescência</v>
          </cell>
          <cell r="H2243">
            <v>48</v>
          </cell>
        </row>
        <row r="2244">
          <cell r="D2244" t="str">
            <v>Sistema 2.5.3: Membrana de polímero acrílico com cimento e fibras sintéticas | Revestimento bicomponente à base de polímeros acrílicos com adição de cimento e fibras sintéticas (3,0 kg/m²) + Tela de poliéster nos pontos críticos</v>
          </cell>
          <cell r="H2244">
            <v>34.058466666666661</v>
          </cell>
        </row>
        <row r="2245">
          <cell r="D2245" t="str">
            <v>Membrana de polímeros acrílicos com cimento e com fibras</v>
          </cell>
          <cell r="H2245">
            <v>33.166666666666664</v>
          </cell>
        </row>
        <row r="2246">
          <cell r="D2246" t="str">
            <v>Tela Poliéster De Reforço Para Impermeabilização - 50m X 1m</v>
          </cell>
          <cell r="H2246">
            <v>0.89179999999999993</v>
          </cell>
        </row>
        <row r="2247">
          <cell r="D2247" t="str">
            <v>Sistema 2.1.4:Argamassa polimérica para impermeabilização | Argamassa impermeabilizante bicomponente à base de aditivos minerais e polímeros (4,0 kg/m²) + Tela de poliéster nos pontos críticos</v>
          </cell>
          <cell r="H2247">
            <v>46.211799999999997</v>
          </cell>
        </row>
        <row r="2248">
          <cell r="D2248" t="str">
            <v>Argamassa polimerica impermeabilizante semiflexivel, bicomponente, a base de cimento e aditivos</v>
          </cell>
          <cell r="H2248">
            <v>45.32</v>
          </cell>
        </row>
        <row r="2249">
          <cell r="D2249" t="str">
            <v>Tela Poliéster De Reforço Para Impermeabilização - 50m X 1m</v>
          </cell>
          <cell r="H2249">
            <v>0.89179999999999993</v>
          </cell>
        </row>
        <row r="2250">
          <cell r="D2250" t="str">
            <v>Sistema 7.1.2:Argamassa impermeabilizante sem cimento - MK-FEN 30 (F) | Argamassa não cimentícia com agentes incorporadores de ar (4,0 kg/m²) + Tela de poliéster nos pontos críticos</v>
          </cell>
          <cell r="H2250">
            <v>74.891800000000003</v>
          </cell>
        </row>
        <row r="2251">
          <cell r="D2251" t="str">
            <v xml:space="preserve">Argamassa não cimentícia com agentes incorporadores de ar - MK-FEN 30 (F) </v>
          </cell>
          <cell r="H2251">
            <v>74</v>
          </cell>
        </row>
        <row r="2252">
          <cell r="D2252" t="str">
            <v>Tela Poliéster De Reforço Para Impermeabilização - 50m X 1m</v>
          </cell>
          <cell r="H2252">
            <v>0.89179999999999993</v>
          </cell>
        </row>
        <row r="2253">
          <cell r="D2253" t="str">
            <v>Sistema 7.1.6:Argamassa impermeabilizante sem cimento - MK-FEN 30 (F) | Argamassa não cimentícia com agentes incorporadores de ar (8,0 kg/m²) + Tela de poliéster nos pontos críticos</v>
          </cell>
          <cell r="H2253">
            <v>148.89179999999999</v>
          </cell>
        </row>
        <row r="2254">
          <cell r="D2254" t="str">
            <v xml:space="preserve">Argamassa não cimentícia com agentes incorporadores de ar - MK-FEN 30 (F) </v>
          </cell>
          <cell r="H2254">
            <v>148</v>
          </cell>
        </row>
        <row r="2255">
          <cell r="D2255" t="str">
            <v>Tela Poliéster De Reforço Para Impermeabilização - 50m X 1m</v>
          </cell>
          <cell r="H2255">
            <v>0.89179999999999993</v>
          </cell>
        </row>
        <row r="2256">
          <cell r="D2256" t="str">
            <v>Sistema 2.8.6: Argamassa impermeabilizante bicomponente à base de aditivos minerais (2,0 kg/m²) + Revestimento bicomponente à base de polímeros acrílicos com adição de cimento e fibras sintéticas (4,5 kg/m²) + Tela de poliéster nos pontos críticos</v>
          </cell>
          <cell r="H2256">
            <v>73.3018</v>
          </cell>
        </row>
        <row r="2257">
          <cell r="D2257" t="str">
            <v>Argamassa polimerica impermeabilizante semiflexivel, bicomponente, a base de cimento e aditivos</v>
          </cell>
          <cell r="H2257">
            <v>22.66</v>
          </cell>
        </row>
        <row r="2258">
          <cell r="D2258" t="str">
            <v>Membrana de polímeros acrílicos com cimento e com fibras</v>
          </cell>
          <cell r="H2258">
            <v>49.75</v>
          </cell>
        </row>
        <row r="2259">
          <cell r="D2259" t="str">
            <v>Tela Poliéster De Reforço Para Impermeabilização - 50m X 1m</v>
          </cell>
          <cell r="H2259">
            <v>0.89179999999999993</v>
          </cell>
        </row>
        <row r="2260">
          <cell r="D2260" t="str">
            <v>Sistema 4.2.4:Primer asfáltico à base d'água (0,4 L/m²) + Asfalto oxidado modificado (2,5 kg/m²) + Manta asfáltica AA 4mm Tipo III Classe B + Banho de asfalto oxidado modificado (2,5 kg/m²)</v>
          </cell>
          <cell r="H2260">
            <v>133.18049999999999</v>
          </cell>
        </row>
        <row r="2261">
          <cell r="D2261" t="str">
            <v>MANTA ASFALTICA ELASTOMERICA EM POLIESTER 4 MM, TIPO III, CLASSE B, ACABAMENTO PP (NBR 9952)</v>
          </cell>
          <cell r="H2261">
            <v>78.772499999999994</v>
          </cell>
        </row>
        <row r="2262">
          <cell r="D2262" t="str">
            <v>PRIMER PARA MANTA ASFALTICA A BASE DE ASFALTO MODIFICADO DILUIDO EM SOLVENTE, APLICACAO A FRIO</v>
          </cell>
          <cell r="H2262">
            <v>9.4079999999999995</v>
          </cell>
        </row>
        <row r="2263">
          <cell r="D2263" t="str">
            <v>banho de asfalto oxidado</v>
          </cell>
          <cell r="H2263">
            <v>45</v>
          </cell>
        </row>
        <row r="2264">
          <cell r="D2264" t="str">
            <v>Sistema 4.5.3:Primer asfáltico à base d'água (0,4 L/m²) + Asfalto oxidado modificado (2,5 kg/m²) + Manta asfáltica AA 4mm Tipo III Classe B + Banho de asfalto oxidado modificado (2,5 kg/m²) + Emulsão asfáltica antiraiz sobre a proteção mecânica (0,8 L/m²)</v>
          </cell>
          <cell r="H2264">
            <v>181.18049999999999</v>
          </cell>
        </row>
        <row r="2265">
          <cell r="D2265" t="str">
            <v>MANTA ASFALTICA ELASTOMERICA EM POLIESTER 4 MM, TIPO III, CLASSE B, ACABAMENTO PP (NBR 9952)</v>
          </cell>
          <cell r="H2265">
            <v>78.772499999999994</v>
          </cell>
        </row>
        <row r="2266">
          <cell r="D2266" t="str">
            <v>PRIMER PARA MANTA ASFALTICA A BASE DE ASFALTO MODIFICADO DILUIDO EM SOLVENTE, APLICACAO A FRIO</v>
          </cell>
          <cell r="H2266">
            <v>9.4079999999999995</v>
          </cell>
        </row>
        <row r="2267">
          <cell r="D2267" t="str">
            <v>banho de asfalto oxidado</v>
          </cell>
          <cell r="H2267">
            <v>45</v>
          </cell>
        </row>
        <row r="2268">
          <cell r="D2268" t="str">
            <v>pintura de proteção antirraiz sobre a proteção mecânica</v>
          </cell>
          <cell r="H2268">
            <v>48</v>
          </cell>
        </row>
        <row r="2269">
          <cell r="D2269" t="str">
            <v>Sistema 4.9.2:Primer asfáltico à base d'água (0,4 L/m²)+Asfalto oxidado modificado (5kg/m²)+Manta asfáltica AA 3mm Tipo III Classe B+Manta asfáltica AA 4mm Tipo III Classe B+Argamassa polimérica para impermeabilização sobre a proteção mecânica (2,0 kg/m²)</v>
          </cell>
          <cell r="H2269">
            <v>267.988</v>
          </cell>
        </row>
        <row r="2270">
          <cell r="D2270" t="str">
            <v>MANTA ASFALTICA ELASTOMERICA EM POLIESTER 4 MM, TIPO III, CLASSE B, ACABAMENTO PP (NBR 9952)</v>
          </cell>
          <cell r="H2270">
            <v>78.772499999999994</v>
          </cell>
        </row>
        <row r="2271">
          <cell r="D2271" t="str">
            <v>MANTA ASFALTICA ELASTOMERICA EM POLIESTER 3 MM, TIPO III, CLASSE B, ACABAMENTO PP (NBR 9952)</v>
          </cell>
          <cell r="H2271">
            <v>64.147500000000008</v>
          </cell>
        </row>
        <row r="2272">
          <cell r="D2272" t="str">
            <v>Argamassa polimerica impermeabilizante semiflexivel, bicomponente, a base de cimento e aditivos</v>
          </cell>
          <cell r="H2272">
            <v>22.66</v>
          </cell>
        </row>
        <row r="2273">
          <cell r="D2273" t="str">
            <v>PRIMER PARA MANTA ASFALTICA A BASE DE ASFALTO MODIFICADO DILUIDO EM SOLVENTE, APLICACAO A FRIO</v>
          </cell>
          <cell r="H2273">
            <v>9.4079999999999995</v>
          </cell>
        </row>
        <row r="2274">
          <cell r="D2274" t="str">
            <v>banho de asfalto oxidado</v>
          </cell>
          <cell r="H2274">
            <v>45</v>
          </cell>
        </row>
        <row r="2275">
          <cell r="D2275" t="str">
            <v>pintura de proteção antirraiz sobre a proteção mecânica</v>
          </cell>
          <cell r="H2275">
            <v>48</v>
          </cell>
        </row>
        <row r="2276">
          <cell r="D2276" t="str">
            <v>MÃO DE OBRA ACABAMENTOS PAREDE</v>
          </cell>
          <cell r="H2276">
            <v>0</v>
          </cell>
        </row>
        <row r="2277">
          <cell r="D2277" t="str">
            <v>Mão de obra impermeabilização de aspersão de CWS</v>
          </cell>
          <cell r="H2277">
            <v>27.4</v>
          </cell>
        </row>
        <row r="2278">
          <cell r="D2278" t="str">
            <v>MAO DE OBRA - IMPRMEABILIZAÇÃO CWS100</v>
          </cell>
          <cell r="H2278">
            <v>27.4</v>
          </cell>
        </row>
        <row r="2279">
          <cell r="D2279" t="str">
            <v xml:space="preserve">Mão de obra para regularização de superfície </v>
          </cell>
          <cell r="H2279">
            <v>20</v>
          </cell>
        </row>
        <row r="2280">
          <cell r="D2280" t="str">
            <v xml:space="preserve">Mão de obra para regularização de superfície </v>
          </cell>
          <cell r="H2280">
            <v>20</v>
          </cell>
        </row>
        <row r="2281">
          <cell r="D2281" t="str">
            <v>Mão de obra para proteção mecânica</v>
          </cell>
          <cell r="H2281">
            <v>35</v>
          </cell>
        </row>
        <row r="2282">
          <cell r="D2282" t="str">
            <v>Mão de obra para proteção mecânica</v>
          </cell>
          <cell r="H2282">
            <v>35</v>
          </cell>
        </row>
        <row r="2283">
          <cell r="D2283" t="str">
            <v>Mão de obra impermeabilização de superfície com manta líquida</v>
          </cell>
          <cell r="H2283">
            <v>30</v>
          </cell>
        </row>
        <row r="2284">
          <cell r="D2284" t="str">
            <v>Mão de obra impermeabilização de superfície com manta líquida</v>
          </cell>
          <cell r="H2284">
            <v>30</v>
          </cell>
        </row>
        <row r="2285">
          <cell r="D2285" t="str">
            <v>Mão de obra impermeabilização de superfície com manta asfáltica</v>
          </cell>
          <cell r="H2285">
            <v>45</v>
          </cell>
        </row>
        <row r="2286">
          <cell r="D2286" t="str">
            <v>Mão de obra impermeabilização de superfície com manta asfáltica</v>
          </cell>
          <cell r="H2286">
            <v>45</v>
          </cell>
        </row>
        <row r="2287">
          <cell r="D2287" t="str">
            <v>Mão de obra impermeabilização de argamassa polimérica</v>
          </cell>
          <cell r="H2287">
            <v>30</v>
          </cell>
        </row>
        <row r="2288">
          <cell r="D2288" t="str">
            <v>Mão de obra impermeabilização de argamassa polimérica</v>
          </cell>
          <cell r="H2288">
            <v>30</v>
          </cell>
        </row>
        <row r="2289">
          <cell r="D2289" t="str">
            <v>Mão de obra impermeabilização com membrana de polimero</v>
          </cell>
          <cell r="H2289">
            <v>30</v>
          </cell>
        </row>
        <row r="2290">
          <cell r="D2290" t="str">
            <v>Mão de obra impermeabilização de argamassa polimérica</v>
          </cell>
          <cell r="H2290">
            <v>30</v>
          </cell>
        </row>
        <row r="2291">
          <cell r="D2291" t="str">
            <v>Mão de obra impermeabilização com emulsão Asfaltica</v>
          </cell>
          <cell r="H2291">
            <v>28</v>
          </cell>
        </row>
        <row r="2292">
          <cell r="D2292" t="str">
            <v>Mão de obra impermeabilização com emulsão Asfaltica</v>
          </cell>
          <cell r="H2292">
            <v>28</v>
          </cell>
        </row>
        <row r="2293">
          <cell r="D2293" t="str">
            <v>Mão de obra impermeabilização com manta liquida em Fachadas</v>
          </cell>
          <cell r="H2293">
            <v>30</v>
          </cell>
        </row>
        <row r="2294">
          <cell r="D2294" t="str">
            <v>Mão de obra impermeabilização com manta liquida em Fachadas</v>
          </cell>
          <cell r="H2294">
            <v>30</v>
          </cell>
        </row>
        <row r="2295">
          <cell r="D2295" t="str">
            <v>Mão de obra impermeabilização com manta liquida em peitoris</v>
          </cell>
          <cell r="H2295">
            <v>30</v>
          </cell>
        </row>
        <row r="2296">
          <cell r="D2296" t="str">
            <v>Mão de obra impermeabilização com manta liquida em peitoris</v>
          </cell>
          <cell r="H2296">
            <v>30</v>
          </cell>
        </row>
        <row r="2297">
          <cell r="D2297" t="str">
            <v>Mão de obra tratamento de ralo com manta de poliéster</v>
          </cell>
          <cell r="H2297">
            <v>50</v>
          </cell>
        </row>
        <row r="2298">
          <cell r="D2298" t="str">
            <v>Mão de obra tratamento de ralo com manta de poliéster</v>
          </cell>
          <cell r="H2298">
            <v>50</v>
          </cell>
        </row>
        <row r="2299">
          <cell r="D2299" t="str">
            <v>Mão de obra impermeabilização sistema 2.1.4</v>
          </cell>
          <cell r="H2299">
            <v>30</v>
          </cell>
        </row>
        <row r="2300">
          <cell r="D2300" t="str">
            <v>Mão de obra impermeabilização sistema 2.1.4</v>
          </cell>
          <cell r="H2300">
            <v>30</v>
          </cell>
        </row>
        <row r="2301">
          <cell r="D2301" t="str">
            <v>Mão de obra impermeabilização sistema 2.5.3</v>
          </cell>
          <cell r="H2301">
            <v>32</v>
          </cell>
        </row>
        <row r="2302">
          <cell r="D2302" t="str">
            <v>Mão de obra impermeabilização sistema 2.5.3</v>
          </cell>
          <cell r="H2302">
            <v>32</v>
          </cell>
        </row>
        <row r="2303">
          <cell r="D2303" t="str">
            <v>Mão de obra impermeabilização sistema 2.8.6</v>
          </cell>
          <cell r="H2303">
            <v>38</v>
          </cell>
        </row>
        <row r="2304">
          <cell r="D2304" t="str">
            <v>Mão de obra impermeabilização sistema 2.8.6</v>
          </cell>
          <cell r="H2304">
            <v>38</v>
          </cell>
        </row>
        <row r="2305">
          <cell r="D2305" t="str">
            <v>Mão de obra impermeabilização sistema 4.2.4</v>
          </cell>
          <cell r="H2305">
            <v>45</v>
          </cell>
        </row>
        <row r="2306">
          <cell r="D2306" t="str">
            <v>Mão de obra impermeabilização sistema 4.2.4</v>
          </cell>
          <cell r="H2306">
            <v>45</v>
          </cell>
        </row>
        <row r="2307">
          <cell r="D2307" t="str">
            <v>Mão de obra impermeabilização sistema 4.5.3</v>
          </cell>
          <cell r="H2307">
            <v>45</v>
          </cell>
        </row>
        <row r="2308">
          <cell r="D2308" t="str">
            <v>Mão de obra impermeabilização sistema 4.5.3</v>
          </cell>
          <cell r="H2308">
            <v>45</v>
          </cell>
        </row>
        <row r="2309">
          <cell r="D2309" t="str">
            <v>Mão de obra impermeabilização sistema 4.9.2</v>
          </cell>
          <cell r="H2309">
            <v>62</v>
          </cell>
        </row>
        <row r="2310">
          <cell r="D2310" t="str">
            <v>Mão de obra impermeabilização sistema 4.9.2</v>
          </cell>
          <cell r="H2310">
            <v>62</v>
          </cell>
        </row>
        <row r="2311">
          <cell r="D2311" t="str">
            <v>Mão de obra impermeabilização sistema 7.1.2</v>
          </cell>
          <cell r="H2311">
            <v>35</v>
          </cell>
        </row>
        <row r="2312">
          <cell r="D2312" t="str">
            <v>Mão de obra impermeabilização sistema 7.1.2</v>
          </cell>
          <cell r="H2312">
            <v>35</v>
          </cell>
        </row>
        <row r="2313">
          <cell r="D2313" t="str">
            <v>Mão de obra impermeabilização sistema 7.1.6</v>
          </cell>
          <cell r="H2313">
            <v>42</v>
          </cell>
        </row>
        <row r="2314">
          <cell r="D2314" t="str">
            <v>Mão de obra impermeabilização sistema 7.1.6</v>
          </cell>
          <cell r="H2314">
            <v>42</v>
          </cell>
        </row>
        <row r="2315">
          <cell r="D2315" t="str">
            <v>REVESTIMENTOS INTERNOS DE PAREDE</v>
          </cell>
          <cell r="H2315">
            <v>0</v>
          </cell>
        </row>
        <row r="2316">
          <cell r="D2316" t="str">
            <v>CHAPISCO</v>
          </cell>
          <cell r="H2316">
            <v>0</v>
          </cell>
        </row>
        <row r="2317">
          <cell r="D2317" t="str">
            <v>Chapisco aplicado em estruturas de concreto, de argamassa ACIII, com desempenadeira dentada</v>
          </cell>
          <cell r="H2317">
            <v>5.3224999999999998</v>
          </cell>
        </row>
        <row r="2318">
          <cell r="D2318" t="str">
            <v>Argamassa ACIII</v>
          </cell>
          <cell r="H2318">
            <v>5.3224999999999998</v>
          </cell>
        </row>
        <row r="2319">
          <cell r="D2319" t="str">
            <v>Chapisco aplicado em estruturas de concreto, com argamassa pré-fabricada adesiva de cimento colante, aplicação convencional</v>
          </cell>
          <cell r="H2319">
            <v>10.11778</v>
          </cell>
        </row>
        <row r="2320">
          <cell r="D2320" t="str">
            <v>Argamassa ACIII</v>
          </cell>
          <cell r="H2320">
            <v>6.7489299999999997</v>
          </cell>
        </row>
        <row r="2321">
          <cell r="D2321" t="str">
            <v xml:space="preserve">Aditivo Bianco Adesivo Argamassa Chapisco </v>
          </cell>
          <cell r="H2321">
            <v>3.3688499999999997</v>
          </cell>
        </row>
        <row r="2322">
          <cell r="D2322" t="str">
            <v>Chapisco aplicados em alvenaria, com argamassa estabilizada, aplicação convencional.</v>
          </cell>
          <cell r="H2322">
            <v>6.6917340000000003</v>
          </cell>
        </row>
        <row r="2323">
          <cell r="D2323" t="str">
            <v xml:space="preserve">ARGAMASSA TRAÇO 1:5 (EM VOLUME DE CIMENTO E AREIA GROSSA ÚMIDA) PARA CHAPISCO CONVENCIONAL, PREPARO MANUAL. </v>
          </cell>
          <cell r="H2323">
            <v>2.6597339999999998</v>
          </cell>
        </row>
        <row r="2324">
          <cell r="D2324" t="str">
            <v>Chapisco aplicados em alvenaria, com argamassa estabilizada, aplicação convencional.</v>
          </cell>
          <cell r="H2324">
            <v>2.016</v>
          </cell>
        </row>
        <row r="2325">
          <cell r="D2325" t="str">
            <v>ARGAMASSA ESTABILIZADA PARA CHAPISCO</v>
          </cell>
          <cell r="H2325">
            <v>2.016</v>
          </cell>
        </row>
        <row r="2326">
          <cell r="D2326" t="str">
            <v xml:space="preserve">Chapisco externo de argamassa estabilizada, aplicados em alvenaria, aplicação convencional em paredes Internas </v>
          </cell>
          <cell r="H2326">
            <v>5.120000000000001</v>
          </cell>
        </row>
        <row r="2327">
          <cell r="D2327" t="str">
            <v>Argamassa industrializada para Para Chapisco Colante</v>
          </cell>
          <cell r="H2327">
            <v>5.120000000000001</v>
          </cell>
        </row>
        <row r="2328">
          <cell r="D2328" t="str">
            <v>Chapisco convencional com adesivo sintético de alto desempenho aplicados em alvenaria, aplicação convencional.</v>
          </cell>
          <cell r="H2328">
            <v>4.8088499999999996</v>
          </cell>
        </row>
        <row r="2329">
          <cell r="D2329" t="str">
            <v>Argamassa industrializada para Para Chapisco Colante</v>
          </cell>
          <cell r="H2329">
            <v>1.4400000000000002</v>
          </cell>
        </row>
        <row r="2330">
          <cell r="D2330" t="str">
            <v xml:space="preserve">Aditivo Bianco Adesivo Argamassa Chapisco </v>
          </cell>
          <cell r="H2330">
            <v>3.3688499999999997</v>
          </cell>
        </row>
        <row r="2331">
          <cell r="D2331" t="str">
            <v>Chapisco interno de argamassa preparada em obra de cimento e areia - traço 1:4 - aplicação em paredes internas</v>
          </cell>
          <cell r="H2331">
            <v>3.28945</v>
          </cell>
        </row>
        <row r="2332">
          <cell r="D2332" t="str">
            <v xml:space="preserve">ARGAMASSA TRAÇO 1:4 (EM VOLUME DE CIMENTO E AREIA GROSSA ÚMIDA) PARA CHAPISCO CONVENCIONAL, PREPARO MANUAL. </v>
          </cell>
          <cell r="H2332">
            <v>3.28945</v>
          </cell>
        </row>
        <row r="2333">
          <cell r="D2333" t="str">
            <v xml:space="preserve">Chapisco externo de argamassa estabilizada projetada, em alvenaria, paredes Internas </v>
          </cell>
          <cell r="H2333">
            <v>4</v>
          </cell>
        </row>
        <row r="2334">
          <cell r="D2334" t="str">
            <v>Argamassa industrializada para Para Chapisco Colante</v>
          </cell>
          <cell r="H2334">
            <v>4</v>
          </cell>
        </row>
        <row r="2335">
          <cell r="D2335" t="str">
            <v xml:space="preserve">Chapisco externo de argamassa estabilizada projetada, em alvenaria, Estrutura Internas </v>
          </cell>
          <cell r="H2335">
            <v>4</v>
          </cell>
        </row>
        <row r="2336">
          <cell r="D2336" t="str">
            <v>Argamassa industrializada para Para Chapisco Colante</v>
          </cell>
          <cell r="H2336">
            <v>4</v>
          </cell>
        </row>
        <row r="2337">
          <cell r="D2337" t="str">
            <v>GESSO</v>
          </cell>
          <cell r="H2337">
            <v>0</v>
          </cell>
        </row>
        <row r="2338">
          <cell r="D2338" t="str">
            <v>Aplicação manual de gesso sarrafeado em paredes, espessura de 0,5cm, com execução de taliscas</v>
          </cell>
          <cell r="H2338">
            <v>3.8416027499999998</v>
          </cell>
        </row>
        <row r="2339">
          <cell r="D2339" t="str">
            <v xml:space="preserve">	GESSO EM PÓ PARA REVESTIMENTOS</v>
          </cell>
          <cell r="H2339">
            <v>3.8416027499999998</v>
          </cell>
        </row>
        <row r="2340">
          <cell r="D2340" t="str">
            <v>Aplicação manual de gesso sarrafeado em paredes, espessura de 1,0cm, com execução de taliscas</v>
          </cell>
          <cell r="H2340">
            <v>7.6832054999999997</v>
          </cell>
        </row>
        <row r="2341">
          <cell r="D2341" t="str">
            <v xml:space="preserve">	GESSO EM PÓ PARA REVESTIMENTOS</v>
          </cell>
          <cell r="H2341">
            <v>7.6832054999999997</v>
          </cell>
        </row>
        <row r="2342">
          <cell r="D2342" t="str">
            <v>Aplicação manual de gesso sarrafeado em paredes, espessura de 1,5cm, com execução de taliscas</v>
          </cell>
          <cell r="H2342">
            <v>11.52480825</v>
          </cell>
        </row>
        <row r="2343">
          <cell r="D2343" t="str">
            <v xml:space="preserve">	GESSO EM PÓ PARA REVESTIMENTOS</v>
          </cell>
          <cell r="H2343">
            <v>11.52480825</v>
          </cell>
        </row>
        <row r="2344">
          <cell r="D2344" t="str">
            <v>Aplicação manual de massa para Drywall em paredes, com execução de taliscas</v>
          </cell>
          <cell r="H2344">
            <v>5.20784</v>
          </cell>
        </row>
        <row r="2345">
          <cell r="D2345" t="str">
            <v>Massa para Drywall 25kg</v>
          </cell>
          <cell r="H2345">
            <v>5.20784</v>
          </cell>
        </row>
        <row r="2346">
          <cell r="D2346" t="str">
            <v>EMBOCO/MASSA ÚNICA</v>
          </cell>
          <cell r="H2346">
            <v>0</v>
          </cell>
        </row>
        <row r="2347">
          <cell r="D2347" t="str">
            <v>Massa unica para emboço interno em argamassa estabilizada, espessura de 2,5cm, com execução de taliscas</v>
          </cell>
          <cell r="H2347">
            <v>12.1595</v>
          </cell>
        </row>
        <row r="2348">
          <cell r="D2348" t="str">
            <v>Argamassa Usinada para emboço/massa única</v>
          </cell>
          <cell r="H2348">
            <v>12.1595</v>
          </cell>
        </row>
        <row r="2349">
          <cell r="D2349" t="str">
            <v>Massa unica para reboco interno em argamassa estabilizada, espessura de 0,5cm, com execução desempenado fino</v>
          </cell>
          <cell r="H2349">
            <v>2.17875</v>
          </cell>
        </row>
        <row r="2350">
          <cell r="D2350" t="str">
            <v>Argamassa Usinada para emboço/massa única</v>
          </cell>
          <cell r="H2350">
            <v>2.17875</v>
          </cell>
        </row>
        <row r="2351">
          <cell r="D2351" t="str">
            <v>Massa unica para reboco interno em argamassa estabilizada, espessura de 2,5cm, com execução de taliscas</v>
          </cell>
          <cell r="H2351">
            <v>10.893750000000001</v>
          </cell>
        </row>
        <row r="2352">
          <cell r="D2352" t="str">
            <v>Argamassa Usinada para emboço/massa única</v>
          </cell>
          <cell r="H2352">
            <v>10.893750000000001</v>
          </cell>
        </row>
        <row r="2353">
          <cell r="D2353" t="str">
            <v>Massa unica para reboco interno em argamassa estabilizada, espessura de 2,5cm, com execução desempenado fino</v>
          </cell>
          <cell r="H2353">
            <v>12.075000000000001</v>
          </cell>
        </row>
        <row r="2354">
          <cell r="D2354" t="str">
            <v>Argamassa Usinada para emboço/massa única</v>
          </cell>
          <cell r="H2354">
            <v>10.893750000000001</v>
          </cell>
        </row>
        <row r="2355">
          <cell r="D2355" t="str">
            <v>Bombeamento Argamassa Usinada para emboço/massa única</v>
          </cell>
          <cell r="H2355">
            <v>1.1812500000000001</v>
          </cell>
        </row>
        <row r="2356">
          <cell r="D2356" t="str">
            <v>Massa unica para reboco interno em argamassa estabilizada projetada, espessura 2,0cm, desempenado fino</v>
          </cell>
          <cell r="H2356">
            <v>19</v>
          </cell>
        </row>
        <row r="2357">
          <cell r="D2357" t="str">
            <v>Argamassa industrializada para Para Reboco</v>
          </cell>
          <cell r="H2357">
            <v>19</v>
          </cell>
        </row>
        <row r="2358">
          <cell r="D2358" t="str">
            <v>ESTUCAMENTO/REGULARIZAÇÃO</v>
          </cell>
          <cell r="H2358">
            <v>0</v>
          </cell>
        </row>
        <row r="2359">
          <cell r="D2359" t="str">
            <v>Estucamento de estrutura de concreto em pilares e vigas</v>
          </cell>
          <cell r="H2359">
            <v>5.1029166666666663</v>
          </cell>
        </row>
        <row r="2360">
          <cell r="D2360" t="str">
            <v>Cimento Portland Composto CP II-32</v>
          </cell>
          <cell r="H2360">
            <v>0.45599999999999996</v>
          </cell>
        </row>
        <row r="2361">
          <cell r="D2361" t="str">
            <v>LIXA EM FOLHA PARA FERRO, NÚMERO 100</v>
          </cell>
          <cell r="H2361">
            <v>0.1565</v>
          </cell>
        </row>
        <row r="2362">
          <cell r="D2362" t="str">
            <v>CIMENTO BRANCO NÃO ESTRUTURAL</v>
          </cell>
          <cell r="H2362">
            <v>1.0469999999999999</v>
          </cell>
        </row>
        <row r="2363">
          <cell r="D2363" t="str">
            <v>ADESIVO DE BASE ACRÍLICA COMPATÍVEL COM CIMENTO</v>
          </cell>
          <cell r="H2363">
            <v>3.4434166666666663</v>
          </cell>
        </row>
        <row r="2364">
          <cell r="D2364" t="str">
            <v xml:space="preserve">Regularização de Parede 0,50 cm </v>
          </cell>
          <cell r="H2364">
            <v>3.1560233333333336</v>
          </cell>
        </row>
        <row r="2365">
          <cell r="D2365" t="str">
            <v>Argamassa usninada para contrapiso</v>
          </cell>
          <cell r="H2365">
            <v>3.0250000000000004</v>
          </cell>
        </row>
        <row r="2366">
          <cell r="D2366" t="str">
            <v>Aditivo Adesivo Liquido Para Argamassas De Revestimentos Cimenticios</v>
          </cell>
          <cell r="H2366">
            <v>6.7690000000000014E-2</v>
          </cell>
        </row>
        <row r="2367">
          <cell r="D2367" t="str">
            <v>Cimento Portland Composto CP II-32</v>
          </cell>
          <cell r="H2367">
            <v>6.3333333333333339E-2</v>
          </cell>
        </row>
        <row r="2368">
          <cell r="D2368" t="str">
            <v>CERAMICO PAREDE</v>
          </cell>
          <cell r="H2368">
            <v>0</v>
          </cell>
        </row>
        <row r="2369">
          <cell r="D2369" t="str">
            <v>Revestimento de cerâmico retificado em Paredes, Placa 60,5 x 60,5cm com Junta de 2mm</v>
          </cell>
          <cell r="H2369">
            <v>61.512100000000004</v>
          </cell>
        </row>
        <row r="2370">
          <cell r="D2370" t="str">
            <v>Cer. Karina Artisan 60305 Act. 60x60 Ret</v>
          </cell>
          <cell r="H2370">
            <v>51.953000000000003</v>
          </cell>
        </row>
        <row r="2371">
          <cell r="D2371" t="str">
            <v>Argamassa ACIII</v>
          </cell>
          <cell r="H2371">
            <v>9.3676000000000013</v>
          </cell>
        </row>
        <row r="2372">
          <cell r="D2372" t="str">
            <v>Espeçador junta piso 2mm</v>
          </cell>
          <cell r="H2372">
            <v>0.08</v>
          </cell>
        </row>
        <row r="2373">
          <cell r="D2373" t="str">
            <v>Rejunte Cimentício</v>
          </cell>
          <cell r="H2373">
            <v>0.1115</v>
          </cell>
        </row>
        <row r="2374">
          <cell r="D2374" t="str">
            <v>Revestimento em Cerâmicas Vulcano Cinza em paredes, 61x 61cm com Junta de 3mm</v>
          </cell>
          <cell r="H2374">
            <v>79.119000000000014</v>
          </cell>
        </row>
        <row r="2375">
          <cell r="D2375" t="str">
            <v>Cerâmica Vulcano Cinza 61x61</v>
          </cell>
          <cell r="H2375">
            <v>69.949000000000012</v>
          </cell>
        </row>
        <row r="2376">
          <cell r="D2376" t="str">
            <v>Argamassa ACII</v>
          </cell>
          <cell r="H2376">
            <v>8.36</v>
          </cell>
        </row>
        <row r="2377">
          <cell r="D2377" t="str">
            <v>Espeçador junta piso 3mm</v>
          </cell>
          <cell r="H2377">
            <v>0.05</v>
          </cell>
        </row>
        <row r="2378">
          <cell r="D2378" t="str">
            <v>Rejunte Acrilico cinza platina</v>
          </cell>
          <cell r="H2378">
            <v>0.76</v>
          </cell>
        </row>
        <row r="2379">
          <cell r="D2379" t="str">
            <v>Revestimento de cerâmico em Paredes, Placa 31 x 54cm com Junta de 2mm e rejunte acrilico</v>
          </cell>
          <cell r="H2379">
            <v>89.938599999999994</v>
          </cell>
        </row>
        <row r="2380">
          <cell r="D2380" t="str">
            <v>Cerâmica Brilhante Metrô 31x54cm Savane</v>
          </cell>
          <cell r="H2380">
            <v>79.893000000000001</v>
          </cell>
        </row>
        <row r="2381">
          <cell r="D2381" t="str">
            <v>Argamassa ACIII</v>
          </cell>
          <cell r="H2381">
            <v>9.3676000000000013</v>
          </cell>
        </row>
        <row r="2382">
          <cell r="D2382" t="str">
            <v>Espeçador junta piso 2mm</v>
          </cell>
          <cell r="H2382">
            <v>0.24</v>
          </cell>
        </row>
        <row r="2383">
          <cell r="D2383" t="str">
            <v>Rejunte acrilico</v>
          </cell>
          <cell r="H2383">
            <v>0.438</v>
          </cell>
        </row>
        <row r="2384">
          <cell r="D2384" t="str">
            <v>Revestimento de cerâmico retificado em Paredes, Placa 60 x 60cm com Junta de 2mm e rejunte acrilico</v>
          </cell>
          <cell r="H2384">
            <v>61.780600000000007</v>
          </cell>
        </row>
        <row r="2385">
          <cell r="D2385" t="str">
            <v>Cer. Karina Artisan 60305 Act. 60x60 Ret</v>
          </cell>
          <cell r="H2385">
            <v>51.953000000000003</v>
          </cell>
        </row>
        <row r="2386">
          <cell r="D2386" t="str">
            <v>Argamassa ACIII</v>
          </cell>
          <cell r="H2386">
            <v>9.3676000000000013</v>
          </cell>
        </row>
        <row r="2387">
          <cell r="D2387" t="str">
            <v>Espeçador junta piso 2mm</v>
          </cell>
          <cell r="H2387">
            <v>0.08</v>
          </cell>
        </row>
        <row r="2388">
          <cell r="D2388" t="str">
            <v>Rejunte Acrilico cinza platina</v>
          </cell>
          <cell r="H2388">
            <v>0.38</v>
          </cell>
        </row>
        <row r="2389">
          <cell r="D2389" t="str">
            <v>PORCELANATO PAREDE</v>
          </cell>
          <cell r="H2389">
            <v>0</v>
          </cell>
        </row>
        <row r="2390">
          <cell r="D2390" t="str">
            <v>Revestimento de parede em porcelanato, placa 30x90cm</v>
          </cell>
          <cell r="H2390">
            <v>93.130600000000001</v>
          </cell>
        </row>
        <row r="2391">
          <cell r="D2391" t="str">
            <v xml:space="preserve">Porcelanato A 30x60 Polido </v>
          </cell>
          <cell r="H2391">
            <v>83.38000000000001</v>
          </cell>
        </row>
        <row r="2392">
          <cell r="D2392" t="str">
            <v>Argamassa ACIII</v>
          </cell>
          <cell r="H2392">
            <v>9.3676000000000013</v>
          </cell>
        </row>
        <row r="2393">
          <cell r="D2393" t="str">
            <v>Espeçador junta piso 2mm</v>
          </cell>
          <cell r="H2393">
            <v>0.16</v>
          </cell>
        </row>
        <row r="2394">
          <cell r="D2394" t="str">
            <v>Rejunte Cimentício</v>
          </cell>
          <cell r="H2394">
            <v>0.223</v>
          </cell>
        </row>
        <row r="2395">
          <cell r="D2395" t="str">
            <v>Revestimento de parede em porcelanato, placa 30x60cm</v>
          </cell>
          <cell r="H2395">
            <v>93.130600000000001</v>
          </cell>
        </row>
        <row r="2396">
          <cell r="D2396" t="str">
            <v xml:space="preserve">Porcelanato A 30x60 Polido </v>
          </cell>
          <cell r="H2396">
            <v>83.38000000000001</v>
          </cell>
        </row>
        <row r="2397">
          <cell r="D2397" t="str">
            <v>Argamassa ACIII</v>
          </cell>
          <cell r="H2397">
            <v>9.3676000000000013</v>
          </cell>
        </row>
        <row r="2398">
          <cell r="D2398" t="str">
            <v>Espeçador junta piso 2mm</v>
          </cell>
          <cell r="H2398">
            <v>0.16</v>
          </cell>
        </row>
        <row r="2399">
          <cell r="D2399" t="str">
            <v>Rejunte Cimentício</v>
          </cell>
          <cell r="H2399">
            <v>0.223</v>
          </cell>
        </row>
        <row r="2400">
          <cell r="D2400" t="str">
            <v>Revestimento de parede em porcelanato, Revestimento Realce 32X56 32001 Branco Brilhante</v>
          </cell>
          <cell r="H2400">
            <v>62.330599999999997</v>
          </cell>
        </row>
        <row r="2401">
          <cell r="D2401" t="str">
            <v>Revestimento Realce 32X56 32001 Branco Brilhante</v>
          </cell>
          <cell r="H2401">
            <v>52.58</v>
          </cell>
        </row>
        <row r="2402">
          <cell r="D2402" t="str">
            <v>Argamassa ACIII</v>
          </cell>
          <cell r="H2402">
            <v>9.3676000000000013</v>
          </cell>
        </row>
        <row r="2403">
          <cell r="D2403" t="str">
            <v>Espeçador junta piso 2mm</v>
          </cell>
          <cell r="H2403">
            <v>0.16</v>
          </cell>
        </row>
        <row r="2404">
          <cell r="D2404" t="str">
            <v>Rejunte Cimentício</v>
          </cell>
          <cell r="H2404">
            <v>0.223</v>
          </cell>
        </row>
        <row r="2405">
          <cell r="D2405" t="str">
            <v>Revestimento de parede em Porcelanato Biancogres Ripa Sense 45x90 Acetinado</v>
          </cell>
          <cell r="H2405">
            <v>104.2406</v>
          </cell>
        </row>
        <row r="2406">
          <cell r="D2406" t="str">
            <v>Porcelanato Biancogres Ripa Sense 45x90 Acetinado</v>
          </cell>
          <cell r="H2406">
            <v>94.490000000000009</v>
          </cell>
        </row>
        <row r="2407">
          <cell r="D2407" t="str">
            <v>Argamassa ACIII</v>
          </cell>
          <cell r="H2407">
            <v>9.3676000000000013</v>
          </cell>
        </row>
        <row r="2408">
          <cell r="D2408" t="str">
            <v>Espeçador junta piso 2mm</v>
          </cell>
          <cell r="H2408">
            <v>0.16</v>
          </cell>
        </row>
        <row r="2409">
          <cell r="D2409" t="str">
            <v>Rejunte Cimentício</v>
          </cell>
          <cell r="H2409">
            <v>0.223</v>
          </cell>
        </row>
        <row r="2410">
          <cell r="D2410" t="str">
            <v>Revestimento de parede em Porcelanato 75x75cm Cedasa Retificado Evidence Polido</v>
          </cell>
          <cell r="H2410">
            <v>167.46410000000006</v>
          </cell>
        </row>
        <row r="2411">
          <cell r="D2411" t="str">
            <v>Piso 75x75cm Cedasa Retificado Evidence Polido</v>
          </cell>
          <cell r="H2411">
            <v>157.90500000000003</v>
          </cell>
        </row>
        <row r="2412">
          <cell r="D2412" t="str">
            <v>Argamassa ACIII</v>
          </cell>
          <cell r="H2412">
            <v>9.3676000000000013</v>
          </cell>
        </row>
        <row r="2413">
          <cell r="D2413" t="str">
            <v>Espeçador junta piso 2mm</v>
          </cell>
          <cell r="H2413">
            <v>0.08</v>
          </cell>
        </row>
        <row r="2414">
          <cell r="D2414" t="str">
            <v>Rejunte Cimentício</v>
          </cell>
          <cell r="H2414">
            <v>0.1115</v>
          </cell>
        </row>
        <row r="2415">
          <cell r="D2415" t="str">
            <v>Revestimento de parede em Porcelanato Portobello – Posto 10 90x90 Externo Retificado - Linha Ipanema - Padrão Alto</v>
          </cell>
          <cell r="H2415">
            <v>229.82760000000005</v>
          </cell>
        </row>
        <row r="2416">
          <cell r="D2416" t="str">
            <v>Porcelanato Portobello – Posto 10 90x90 Externo Retificado - Linha Ipanema - Padrão Alto</v>
          </cell>
          <cell r="H2416">
            <v>220.00000000000003</v>
          </cell>
        </row>
        <row r="2417">
          <cell r="D2417" t="str">
            <v>Argamassa ACIII</v>
          </cell>
          <cell r="H2417">
            <v>9.3676000000000013</v>
          </cell>
        </row>
        <row r="2418">
          <cell r="D2418" t="str">
            <v>Espeçador junta piso 2mm</v>
          </cell>
          <cell r="H2418">
            <v>0.08</v>
          </cell>
        </row>
        <row r="2419">
          <cell r="D2419" t="str">
            <v>Rejunte Acrilico cinza platina</v>
          </cell>
          <cell r="H2419">
            <v>0.38</v>
          </cell>
        </row>
        <row r="2420">
          <cell r="D2420" t="str">
            <v>Revestimento de parede em Porcelanato Portobello –  90x90 - Padrão Alto</v>
          </cell>
          <cell r="H2420">
            <v>141.82760000000002</v>
          </cell>
        </row>
        <row r="2421">
          <cell r="D2421" t="str">
            <v>Porcelanato Portobello –  90x90 - Padrão Alto</v>
          </cell>
          <cell r="H2421">
            <v>132</v>
          </cell>
        </row>
        <row r="2422">
          <cell r="D2422" t="str">
            <v>Argamassa ACIII</v>
          </cell>
          <cell r="H2422">
            <v>9.3676000000000013</v>
          </cell>
        </row>
        <row r="2423">
          <cell r="D2423" t="str">
            <v>Espeçador junta piso 2mm</v>
          </cell>
          <cell r="H2423">
            <v>0.08</v>
          </cell>
        </row>
        <row r="2424">
          <cell r="D2424" t="str">
            <v>Rejunte Acrilico cinza platina</v>
          </cell>
          <cell r="H2424">
            <v>0.38</v>
          </cell>
        </row>
        <row r="2425">
          <cell r="D2425" t="str">
            <v>Revestimento de parede em Porcelanato Portobello –  90x90 - Padrão Econômico</v>
          </cell>
          <cell r="H2425">
            <v>117.6276</v>
          </cell>
        </row>
        <row r="2426">
          <cell r="D2426" t="str">
            <v>Porcelanato Portobello –  90x90 - Padrão Econômico</v>
          </cell>
          <cell r="H2426">
            <v>107.80000000000001</v>
          </cell>
        </row>
        <row r="2427">
          <cell r="D2427" t="str">
            <v>Argamassa ACIII</v>
          </cell>
          <cell r="H2427">
            <v>9.3676000000000013</v>
          </cell>
        </row>
        <row r="2428">
          <cell r="D2428" t="str">
            <v>Espeçador junta piso 2mm</v>
          </cell>
          <cell r="H2428">
            <v>0.08</v>
          </cell>
        </row>
        <row r="2429">
          <cell r="D2429" t="str">
            <v>Rejunte Acrilico cinza platina</v>
          </cell>
          <cell r="H2429">
            <v>0.38</v>
          </cell>
        </row>
        <row r="2430">
          <cell r="D2430" t="str">
            <v>Revestimento de parede em Porcelanato Marmorizado Polido Borda Reta Interno 90x90cm Avorio di Brescia Portobello</v>
          </cell>
          <cell r="H2430">
            <v>231.77010000000004</v>
          </cell>
        </row>
        <row r="2431">
          <cell r="D2431" t="str">
            <v>Porcelanato Marmorizado Polido Borda Reta Interno 90x90cm Avorio di Brescia Portobello</v>
          </cell>
          <cell r="H2431">
            <v>222.21100000000001</v>
          </cell>
        </row>
        <row r="2432">
          <cell r="D2432" t="str">
            <v>Argamassa ACIII</v>
          </cell>
          <cell r="H2432">
            <v>9.3676000000000013</v>
          </cell>
        </row>
        <row r="2433">
          <cell r="D2433" t="str">
            <v>Espeçador junta piso 2mm</v>
          </cell>
          <cell r="H2433">
            <v>0.08</v>
          </cell>
        </row>
        <row r="2434">
          <cell r="D2434" t="str">
            <v>Rejunte Cimentício</v>
          </cell>
          <cell r="H2434">
            <v>0.1115</v>
          </cell>
        </row>
        <row r="2435">
          <cell r="D2435" t="str">
            <v>Revestimento em Paredes,  Porcelanato Superquadra Cru 60X120 Nat Ret</v>
          </cell>
          <cell r="H2435">
            <v>131.10910000000004</v>
          </cell>
        </row>
        <row r="2436">
          <cell r="D2436" t="str">
            <v>Porcelanato Superquadra Cru 60X120 Nat Ret</v>
          </cell>
          <cell r="H2436">
            <v>121.55000000000001</v>
          </cell>
        </row>
        <row r="2437">
          <cell r="D2437" t="str">
            <v>Argamassa ACIII</v>
          </cell>
          <cell r="H2437">
            <v>9.3676000000000013</v>
          </cell>
        </row>
        <row r="2438">
          <cell r="D2438" t="str">
            <v>Espeçador junta piso 2mm</v>
          </cell>
          <cell r="H2438">
            <v>0.08</v>
          </cell>
        </row>
        <row r="2439">
          <cell r="D2439" t="str">
            <v>Rejunte Cimentício</v>
          </cell>
          <cell r="H2439">
            <v>0.1115</v>
          </cell>
        </row>
        <row r="2440">
          <cell r="D2440" t="str">
            <v>Revestimento em Paredes,  Porcelanato Superquadra 60X120 - Portobelo</v>
          </cell>
          <cell r="H2440">
            <v>131.10910000000004</v>
          </cell>
        </row>
        <row r="2441">
          <cell r="D2441" t="str">
            <v>Porcelanato Superquadra 60X120 - Portobelo</v>
          </cell>
          <cell r="H2441">
            <v>121.55000000000001</v>
          </cell>
        </row>
        <row r="2442">
          <cell r="D2442" t="str">
            <v>Argamassa ACIII</v>
          </cell>
          <cell r="H2442">
            <v>9.3676000000000013</v>
          </cell>
        </row>
        <row r="2443">
          <cell r="D2443" t="str">
            <v>Espeçador junta piso 2mm</v>
          </cell>
          <cell r="H2443">
            <v>0.08</v>
          </cell>
        </row>
        <row r="2444">
          <cell r="D2444" t="str">
            <v>Rejunte Cimentício</v>
          </cell>
          <cell r="H2444">
            <v>0.1115</v>
          </cell>
        </row>
        <row r="2445">
          <cell r="D2445" t="str">
            <v>Revestimento em Paredes,  Porcelanato Ártico Alpe 60X120Cm Ret. Ac. Eliane</v>
          </cell>
          <cell r="H2445">
            <v>83.149100000000018</v>
          </cell>
        </row>
        <row r="2446">
          <cell r="D2446" t="str">
            <v>Porcelanato Ártico Alpe 60X120Cm Ret. Ac. Eliane</v>
          </cell>
          <cell r="H2446">
            <v>73.590000000000018</v>
          </cell>
        </row>
        <row r="2447">
          <cell r="D2447" t="str">
            <v>Argamassa ACIII</v>
          </cell>
          <cell r="H2447">
            <v>9.3676000000000013</v>
          </cell>
        </row>
        <row r="2448">
          <cell r="D2448" t="str">
            <v>Espeçador junta piso 2mm</v>
          </cell>
          <cell r="H2448">
            <v>0.08</v>
          </cell>
        </row>
        <row r="2449">
          <cell r="D2449" t="str">
            <v>Rejunte Cimentício</v>
          </cell>
          <cell r="H2449">
            <v>0.1115</v>
          </cell>
        </row>
        <row r="2450">
          <cell r="D2450" t="str">
            <v>Revestimento em Paredes,  Porcelanato Onyx Unique Ret. Acetinado 120X120Cm - Portobello</v>
          </cell>
          <cell r="H2450">
            <v>156.73910000000006</v>
          </cell>
        </row>
        <row r="2451">
          <cell r="D2451" t="str">
            <v>Porcelanato Onyx Unique Ret. Acetinado 120X120Cm - Portobello</v>
          </cell>
          <cell r="H2451">
            <v>147.18000000000004</v>
          </cell>
        </row>
        <row r="2452">
          <cell r="D2452" t="str">
            <v>Argamassa ACIII</v>
          </cell>
          <cell r="H2452">
            <v>9.3676000000000013</v>
          </cell>
        </row>
        <row r="2453">
          <cell r="D2453" t="str">
            <v>Espeçador junta piso 2mm</v>
          </cell>
          <cell r="H2453">
            <v>0.08</v>
          </cell>
        </row>
        <row r="2454">
          <cell r="D2454" t="str">
            <v>Rejunte Cimentício</v>
          </cell>
          <cell r="H2454">
            <v>0.1115</v>
          </cell>
        </row>
        <row r="2455">
          <cell r="D2455" t="str">
            <v>Revestimento em Paredes,  Porcelanato Onyx Unique Ret. Polido 120X120Cm - Portobello</v>
          </cell>
          <cell r="H2455">
            <v>156.73910000000006</v>
          </cell>
        </row>
        <row r="2456">
          <cell r="D2456" t="str">
            <v>Porcelanato Onyx Unique Ret. Polido 120X120Cm - Portobello</v>
          </cell>
          <cell r="H2456">
            <v>147.18000000000004</v>
          </cell>
        </row>
        <row r="2457">
          <cell r="D2457" t="str">
            <v>Argamassa ACIII</v>
          </cell>
          <cell r="H2457">
            <v>9.3676000000000013</v>
          </cell>
        </row>
        <row r="2458">
          <cell r="D2458" t="str">
            <v>Espeçador junta piso 2mm</v>
          </cell>
          <cell r="H2458">
            <v>0.08</v>
          </cell>
        </row>
        <row r="2459">
          <cell r="D2459" t="str">
            <v>Rejunte Cimentício</v>
          </cell>
          <cell r="H2459">
            <v>0.1115</v>
          </cell>
        </row>
        <row r="2460">
          <cell r="D2460" t="str">
            <v>Revestimento em Paredes,  Porcelanato Travertino Navona Bianco 120X120Cm Ret. Natural Portobello</v>
          </cell>
          <cell r="H2460">
            <v>156.73910000000006</v>
          </cell>
        </row>
        <row r="2461">
          <cell r="D2461" t="str">
            <v>Porcelanato Travertino Navona Bianco 120X120Cm Ret. Natural Portobello</v>
          </cell>
          <cell r="H2461">
            <v>147.18000000000004</v>
          </cell>
        </row>
        <row r="2462">
          <cell r="D2462" t="str">
            <v>Argamassa ACIII</v>
          </cell>
          <cell r="H2462">
            <v>9.3676000000000013</v>
          </cell>
        </row>
        <row r="2463">
          <cell r="D2463" t="str">
            <v>Espeçador junta piso 2mm</v>
          </cell>
          <cell r="H2463">
            <v>0.08</v>
          </cell>
        </row>
        <row r="2464">
          <cell r="D2464" t="str">
            <v>Rejunte Cimentício</v>
          </cell>
          <cell r="H2464">
            <v>0.1115</v>
          </cell>
        </row>
        <row r="2465">
          <cell r="D2465" t="str">
            <v>Revestimento em Paredes,  Porcelanato Pp Pro Nude Gp 60X60Cm Retificado</v>
          </cell>
          <cell r="H2465">
            <v>57.805100000000003</v>
          </cell>
        </row>
        <row r="2466">
          <cell r="D2466" t="str">
            <v>Porcelanato Pp Pro Nude Gp 60X60Cm Retificado</v>
          </cell>
          <cell r="H2466">
            <v>48.246000000000002</v>
          </cell>
        </row>
        <row r="2467">
          <cell r="D2467" t="str">
            <v>Argamassa ACIII</v>
          </cell>
          <cell r="H2467">
            <v>9.3676000000000013</v>
          </cell>
        </row>
        <row r="2468">
          <cell r="D2468" t="str">
            <v>Espeçador junta piso 2mm</v>
          </cell>
          <cell r="H2468">
            <v>0.08</v>
          </cell>
        </row>
        <row r="2469">
          <cell r="D2469" t="str">
            <v>Rejunte Cimentício</v>
          </cell>
          <cell r="H2469">
            <v>0.1115</v>
          </cell>
        </row>
        <row r="2470">
          <cell r="D2470" t="str">
            <v>Revestimento em paredes, 61x 61cm com Junta de 3mm</v>
          </cell>
          <cell r="H2470">
            <v>78.582000000000008</v>
          </cell>
        </row>
        <row r="2471">
          <cell r="D2471" t="str">
            <v>Cerâmica Vulcano Cinza 61x61</v>
          </cell>
          <cell r="H2471">
            <v>69.949000000000012</v>
          </cell>
        </row>
        <row r="2472">
          <cell r="D2472" t="str">
            <v>Argamassa ACII</v>
          </cell>
          <cell r="H2472">
            <v>8.36</v>
          </cell>
        </row>
        <row r="2473">
          <cell r="D2473" t="str">
            <v>Espeçador junta piso 3mm</v>
          </cell>
          <cell r="H2473">
            <v>0.05</v>
          </cell>
        </row>
        <row r="2474">
          <cell r="D2474" t="str">
            <v>Rejunte Cimentício</v>
          </cell>
          <cell r="H2474">
            <v>0.223</v>
          </cell>
        </row>
        <row r="2475">
          <cell r="D2475" t="str">
            <v>Revestimento em Parede de Azulejo JK Solid | Estúdio Mosaico</v>
          </cell>
          <cell r="H2475">
            <v>700.7792750000001</v>
          </cell>
        </row>
        <row r="2476">
          <cell r="D2476" t="str">
            <v>Revestimento em Parede de Azulejo JK Solid | Estúdio Mosaico</v>
          </cell>
          <cell r="H2476">
            <v>693</v>
          </cell>
        </row>
        <row r="2477">
          <cell r="D2477" t="str">
            <v>Argamassa ACIII</v>
          </cell>
          <cell r="H2477">
            <v>5.2692750000000004</v>
          </cell>
        </row>
        <row r="2478">
          <cell r="D2478" t="str">
            <v>Espeçador junta piso 2mm</v>
          </cell>
          <cell r="H2478">
            <v>0.32</v>
          </cell>
        </row>
        <row r="2479">
          <cell r="D2479" t="str">
            <v>Rejunte acrilico</v>
          </cell>
          <cell r="H2479">
            <v>2.19</v>
          </cell>
        </row>
        <row r="2480">
          <cell r="D2480" t="str">
            <v>Revestimento em Parede de porcelanato hexagonal branco</v>
          </cell>
          <cell r="H2480">
            <v>239.87927500000001</v>
          </cell>
        </row>
        <row r="2481">
          <cell r="D2481" t="str">
            <v>Revestimento para Parede Hexa Blue 22,8x22,8cm Ceral</v>
          </cell>
          <cell r="H2481">
            <v>232.10000000000002</v>
          </cell>
        </row>
        <row r="2482">
          <cell r="D2482" t="str">
            <v>Argamassa ACIII</v>
          </cell>
          <cell r="H2482">
            <v>5.2692750000000004</v>
          </cell>
        </row>
        <row r="2483">
          <cell r="D2483" t="str">
            <v>Espeçador junta piso 2mm</v>
          </cell>
          <cell r="H2483">
            <v>0.32</v>
          </cell>
        </row>
        <row r="2484">
          <cell r="D2484" t="str">
            <v>Rejunte acrilico</v>
          </cell>
          <cell r="H2484">
            <v>2.19</v>
          </cell>
        </row>
        <row r="2485">
          <cell r="D2485" t="str">
            <v>Revestimento em Parede de porcelanato hexagonal azul</v>
          </cell>
          <cell r="H2485">
            <v>239.87927500000001</v>
          </cell>
        </row>
        <row r="2486">
          <cell r="D2486" t="str">
            <v>Revestimento para Parede Hexa Blue 22,8x22,8cm Ceral</v>
          </cell>
          <cell r="H2486">
            <v>232.10000000000002</v>
          </cell>
        </row>
        <row r="2487">
          <cell r="D2487" t="str">
            <v>Argamassa ACIII</v>
          </cell>
          <cell r="H2487">
            <v>5.2692750000000004</v>
          </cell>
        </row>
        <row r="2488">
          <cell r="D2488" t="str">
            <v>Espeçador junta piso 2mm</v>
          </cell>
          <cell r="H2488">
            <v>0.32</v>
          </cell>
        </row>
        <row r="2489">
          <cell r="D2489" t="str">
            <v>Rejunte acrilico</v>
          </cell>
          <cell r="H2489">
            <v>2.19</v>
          </cell>
        </row>
        <row r="2490">
          <cell r="D2490" t="str">
            <v>Revestimento de Parede Porcelanato Eliane Revestimentos – Linha Lumina Areia 20x20</v>
          </cell>
          <cell r="H2490">
            <v>136.05910000000003</v>
          </cell>
        </row>
        <row r="2491">
          <cell r="D2491" t="str">
            <v>Porcelanato Eliane Revestimentos – Linha Lumina Areia 20x20</v>
          </cell>
          <cell r="H2491">
            <v>126.50000000000001</v>
          </cell>
        </row>
        <row r="2492">
          <cell r="D2492" t="str">
            <v>Argamassa ACIII</v>
          </cell>
          <cell r="H2492">
            <v>9.3676000000000013</v>
          </cell>
        </row>
        <row r="2493">
          <cell r="D2493" t="str">
            <v>Espeçador junta piso 2mm</v>
          </cell>
          <cell r="H2493">
            <v>0.08</v>
          </cell>
        </row>
        <row r="2494">
          <cell r="D2494" t="str">
            <v>Rejunte Cimentício</v>
          </cell>
          <cell r="H2494">
            <v>0.1115</v>
          </cell>
        </row>
        <row r="2495">
          <cell r="D2495" t="str">
            <v>Revestimento de Parede Porcelanato Portobello – Coleção “Graphite Retro Geo”</v>
          </cell>
          <cell r="H2495">
            <v>158.05910000000003</v>
          </cell>
        </row>
        <row r="2496">
          <cell r="D2496" t="str">
            <v xml:space="preserve"> Porcelanato Portobello – Coleção “Graphite Retro Geo”</v>
          </cell>
          <cell r="H2496">
            <v>148.5</v>
          </cell>
        </row>
        <row r="2497">
          <cell r="D2497" t="str">
            <v>Argamassa ACIII</v>
          </cell>
          <cell r="H2497">
            <v>9.3676000000000013</v>
          </cell>
        </row>
        <row r="2498">
          <cell r="D2498" t="str">
            <v>Espeçador junta piso 2mm</v>
          </cell>
          <cell r="H2498">
            <v>0.08</v>
          </cell>
        </row>
        <row r="2499">
          <cell r="D2499" t="str">
            <v>Rejunte Cimentício</v>
          </cell>
          <cell r="H2499">
            <v>0.1115</v>
          </cell>
        </row>
        <row r="2500">
          <cell r="D2500" t="str">
            <v>Revestimento de parede em Cerâmica esmaltada listras</v>
          </cell>
          <cell r="H2500">
            <v>169.05910000000003</v>
          </cell>
        </row>
        <row r="2501">
          <cell r="D2501" t="str">
            <v>Cerâmica Tradição 23x23cm esmaltado listrado</v>
          </cell>
          <cell r="H2501">
            <v>159.5</v>
          </cell>
        </row>
        <row r="2502">
          <cell r="D2502" t="str">
            <v>Argamassa ACIII</v>
          </cell>
          <cell r="H2502">
            <v>9.3676000000000013</v>
          </cell>
        </row>
        <row r="2503">
          <cell r="D2503" t="str">
            <v>Espeçador junta piso 2mm</v>
          </cell>
          <cell r="H2503">
            <v>0.08</v>
          </cell>
        </row>
        <row r="2504">
          <cell r="D2504" t="str">
            <v>Rejunte Cimentício</v>
          </cell>
          <cell r="H2504">
            <v>0.1115</v>
          </cell>
        </row>
        <row r="2505">
          <cell r="D2505" t="str">
            <v>Revestimento de parede em Cerâmica Tradição 23x23cm Verde claro</v>
          </cell>
          <cell r="H2505">
            <v>130.55910000000003</v>
          </cell>
        </row>
        <row r="2506">
          <cell r="D2506" t="str">
            <v>Cerâmica Tradição 23x23cm verde claro</v>
          </cell>
          <cell r="H2506">
            <v>121.00000000000001</v>
          </cell>
        </row>
        <row r="2507">
          <cell r="D2507" t="str">
            <v>Argamassa ACIII</v>
          </cell>
          <cell r="H2507">
            <v>9.3676000000000013</v>
          </cell>
        </row>
        <row r="2508">
          <cell r="D2508" t="str">
            <v>Espeçador junta piso 2mm</v>
          </cell>
          <cell r="H2508">
            <v>0.08</v>
          </cell>
        </row>
        <row r="2509">
          <cell r="D2509" t="str">
            <v>Rejunte Cimentício</v>
          </cell>
          <cell r="H2509">
            <v>0.1115</v>
          </cell>
        </row>
        <row r="2510">
          <cell r="D2510" t="str">
            <v xml:space="preserve">Revestimento de parede em Cerâmica Tradição 23x23cm Lepri </v>
          </cell>
          <cell r="H2510">
            <v>164.65910000000005</v>
          </cell>
        </row>
        <row r="2511">
          <cell r="D2511" t="str">
            <v xml:space="preserve">Cerâmica Tradição 23x23cm Lepri </v>
          </cell>
          <cell r="H2511">
            <v>155.10000000000002</v>
          </cell>
        </row>
        <row r="2512">
          <cell r="D2512" t="str">
            <v>Argamassa ACIII</v>
          </cell>
          <cell r="H2512">
            <v>9.3676000000000013</v>
          </cell>
        </row>
        <row r="2513">
          <cell r="D2513" t="str">
            <v>Espeçador junta piso 2mm</v>
          </cell>
          <cell r="H2513">
            <v>0.08</v>
          </cell>
        </row>
        <row r="2514">
          <cell r="D2514" t="str">
            <v>Rejunte Cimentício</v>
          </cell>
          <cell r="H2514">
            <v>0.1115</v>
          </cell>
        </row>
        <row r="2515">
          <cell r="D2515" t="str">
            <v>Revestimento de parede em Porcelanato Eliane Silex 90x90</v>
          </cell>
          <cell r="H2515">
            <v>634.35910000000013</v>
          </cell>
        </row>
        <row r="2516">
          <cell r="D2516" t="str">
            <v xml:space="preserve">Porcelanato Eliane Silex 90x90 Branco Nat </v>
          </cell>
          <cell r="H2516">
            <v>624.80000000000007</v>
          </cell>
        </row>
        <row r="2517">
          <cell r="D2517" t="str">
            <v>Argamassa ACIII</v>
          </cell>
          <cell r="H2517">
            <v>9.3676000000000013</v>
          </cell>
        </row>
        <row r="2518">
          <cell r="D2518" t="str">
            <v>Espeçador junta piso 2mm</v>
          </cell>
          <cell r="H2518">
            <v>0.08</v>
          </cell>
        </row>
        <row r="2519">
          <cell r="D2519" t="str">
            <v>Rejunte Cimentício</v>
          </cell>
          <cell r="H2519">
            <v>0.1115</v>
          </cell>
        </row>
        <row r="2520">
          <cell r="D2520" t="str">
            <v>Revestimento em Parede Azulejo Milos - Vila Sintra Azulejos</v>
          </cell>
          <cell r="H2520">
            <v>529.17927500000019</v>
          </cell>
        </row>
        <row r="2521">
          <cell r="D2521" t="str">
            <v>Revestimento para Azulejo Milos - Vila Sintra Azulejos</v>
          </cell>
          <cell r="H2521">
            <v>521.40000000000009</v>
          </cell>
        </row>
        <row r="2522">
          <cell r="D2522" t="str">
            <v>Argamassa ACIII</v>
          </cell>
          <cell r="H2522">
            <v>5.2692750000000004</v>
          </cell>
        </row>
        <row r="2523">
          <cell r="D2523" t="str">
            <v>Espeçador junta piso 2mm</v>
          </cell>
          <cell r="H2523">
            <v>0.32</v>
          </cell>
        </row>
        <row r="2524">
          <cell r="D2524" t="str">
            <v>Rejunte acrilico</v>
          </cell>
          <cell r="H2524">
            <v>2.19</v>
          </cell>
        </row>
        <row r="2525">
          <cell r="D2525" t="str">
            <v>PASTILHAS LADRILHO PAREDE</v>
          </cell>
          <cell r="H2525">
            <v>0</v>
          </cell>
        </row>
        <row r="2526">
          <cell r="D2526" t="str">
            <v>Revestimento em Pastilhas Cerâmicas Paredes Interna, 6 x 24cm com Junta de 3mm</v>
          </cell>
          <cell r="H2526">
            <v>98.979275000000015</v>
          </cell>
        </row>
        <row r="2527">
          <cell r="D2527" t="str">
            <v>Revestimento Pastilha 07x24cm</v>
          </cell>
          <cell r="H2527">
            <v>92.345000000000013</v>
          </cell>
        </row>
        <row r="2528">
          <cell r="D2528" t="str">
            <v>Argamassa ACIII</v>
          </cell>
          <cell r="H2528">
            <v>5.2692750000000004</v>
          </cell>
        </row>
        <row r="2529">
          <cell r="D2529" t="str">
            <v>Espeçador junta piso 3mm</v>
          </cell>
          <cell r="H2529">
            <v>0.25</v>
          </cell>
        </row>
        <row r="2530">
          <cell r="D2530" t="str">
            <v>Rejunte Cimentício</v>
          </cell>
          <cell r="H2530">
            <v>1.115</v>
          </cell>
        </row>
        <row r="2531">
          <cell r="D2531" t="str">
            <v>Revestimento em Ladrilho Hidráulico 20x20cm - Cores: craft claro - Marca: Dalle Piagge, com junta de 2 cm e rejunte acrilico cinza platina</v>
          </cell>
          <cell r="H2531">
            <v>282.48927499999996</v>
          </cell>
        </row>
        <row r="2532">
          <cell r="D2532" t="str">
            <v>Ladrilho Hidráulico 20x20cm - Cor: craft claro - Marca: Dalle Piagge</v>
          </cell>
          <cell r="H2532">
            <v>275</v>
          </cell>
        </row>
        <row r="2533">
          <cell r="D2533" t="str">
            <v>Argamassa ACIII</v>
          </cell>
          <cell r="H2533">
            <v>5.2692750000000004</v>
          </cell>
        </row>
        <row r="2534">
          <cell r="D2534" t="str">
            <v>Espeçador junta piso 2mm</v>
          </cell>
          <cell r="H2534">
            <v>0.32</v>
          </cell>
        </row>
        <row r="2535">
          <cell r="D2535" t="str">
            <v>Rejunte Acrilico cinza platina</v>
          </cell>
          <cell r="H2535">
            <v>1.9000000000000001</v>
          </cell>
        </row>
        <row r="2536">
          <cell r="D2536" t="str">
            <v>Revestimento em Ladrilho Hidráulico 20x20cm - Cores: craft claro - Marca: Ladrilar, com junta de 2 cm e rejunte acrilico cinza platina</v>
          </cell>
          <cell r="H2536">
            <v>281.389275</v>
          </cell>
        </row>
        <row r="2537">
          <cell r="D2537" t="str">
            <v>Ladrilho Hidráulico 20x20cm - Cor: craft claro - Marca: Ladrilar</v>
          </cell>
          <cell r="H2537">
            <v>273.90000000000003</v>
          </cell>
        </row>
        <row r="2538">
          <cell r="D2538" t="str">
            <v>Argamassa ACIII</v>
          </cell>
          <cell r="H2538">
            <v>5.2692750000000004</v>
          </cell>
        </row>
        <row r="2539">
          <cell r="D2539" t="str">
            <v>Espeçador junta piso 2mm</v>
          </cell>
          <cell r="H2539">
            <v>0.32</v>
          </cell>
        </row>
        <row r="2540">
          <cell r="D2540" t="str">
            <v>Rejunte Acrilico cinza platina</v>
          </cell>
          <cell r="H2540">
            <v>1.9000000000000001</v>
          </cell>
        </row>
        <row r="2541">
          <cell r="D2541" t="str">
            <v>Revestimento em Ladrilho Hidráulico 20x20cm - Cores: craft claro e craft comum - Marca: Dalle Piagge, com junta de 2 cm e rejunte acrilico cinza platina</v>
          </cell>
          <cell r="H2541">
            <v>535.48927500000002</v>
          </cell>
        </row>
        <row r="2542">
          <cell r="D2542" t="str">
            <v>Ladrilho Hidráulico 20x20cm - Cores: craft claro e craft comum - Marca: Dalle Piagge</v>
          </cell>
          <cell r="H2542">
            <v>528</v>
          </cell>
        </row>
        <row r="2543">
          <cell r="D2543" t="str">
            <v>Argamassa ACIII</v>
          </cell>
          <cell r="H2543">
            <v>5.2692750000000004</v>
          </cell>
        </row>
        <row r="2544">
          <cell r="D2544" t="str">
            <v>Espeçador junta piso 2mm</v>
          </cell>
          <cell r="H2544">
            <v>0.32</v>
          </cell>
        </row>
        <row r="2545">
          <cell r="D2545" t="str">
            <v>Rejunte Acrilico cinza platina</v>
          </cell>
          <cell r="H2545">
            <v>1.9000000000000001</v>
          </cell>
        </row>
        <row r="2546">
          <cell r="D2546" t="str">
            <v>Revestimento em Ladrilho Hidráulico 20x20cm - Cores: craft claro e craft comum - Marca: Ladrilar, com junta de 2 cm e rejunte acrilico cinza platina</v>
          </cell>
          <cell r="H2546">
            <v>281.389275</v>
          </cell>
        </row>
        <row r="2547">
          <cell r="D2547" t="str">
            <v>Ladrilho Hidráulico 20x20cm - Cores: craft claro e craft comum - Marca: Ladrilar</v>
          </cell>
          <cell r="H2547">
            <v>273.90000000000003</v>
          </cell>
        </row>
        <row r="2548">
          <cell r="D2548" t="str">
            <v>Argamassa ACIII</v>
          </cell>
          <cell r="H2548">
            <v>5.2692750000000004</v>
          </cell>
        </row>
        <row r="2549">
          <cell r="D2549" t="str">
            <v>Espeçador junta piso 2mm</v>
          </cell>
          <cell r="H2549">
            <v>0.32</v>
          </cell>
        </row>
        <row r="2550">
          <cell r="D2550" t="str">
            <v>Rejunte Acrilico cinza platina</v>
          </cell>
          <cell r="H2550">
            <v>1.9000000000000001</v>
          </cell>
        </row>
        <row r="2551">
          <cell r="D2551" t="str">
            <v>Revestimento em Ladrilho Hidráulico 5x5cm - Cores: terracota escuro, azul escuro, off-white ou branco - Marca: Dalle Piagge, com junta de 2 cm e rejunte acrilico cinza platina</v>
          </cell>
          <cell r="H2551">
            <v>865.48927500000013</v>
          </cell>
        </row>
        <row r="2552">
          <cell r="D2552" t="str">
            <v>Ladrilho Hidráulico 5x5cm - Cores: terracota escuro, azul escuro, off-white ou branco - Marca: Dalle Piagge</v>
          </cell>
          <cell r="H2552">
            <v>858.00000000000011</v>
          </cell>
        </row>
        <row r="2553">
          <cell r="D2553" t="str">
            <v>Argamassa ACIII</v>
          </cell>
          <cell r="H2553">
            <v>5.2692750000000004</v>
          </cell>
        </row>
        <row r="2554">
          <cell r="D2554" t="str">
            <v>Espeçador junta piso 2mm</v>
          </cell>
          <cell r="H2554">
            <v>0.32</v>
          </cell>
        </row>
        <row r="2555">
          <cell r="D2555" t="str">
            <v>Rejunte Acrilico cinza platina</v>
          </cell>
          <cell r="H2555">
            <v>1.9000000000000001</v>
          </cell>
        </row>
        <row r="2556">
          <cell r="D2556" t="str">
            <v>Revestimento em Ladrilho Hidráulico 5x5cm - Cores: terracota escuro, azul escuro, off-white ou branco - Marca: Ladrilar, com junta de 2 cm e rejunte acrilico cinza platina</v>
          </cell>
          <cell r="H2556">
            <v>546.48927500000002</v>
          </cell>
        </row>
        <row r="2557">
          <cell r="D2557" t="str">
            <v>Ladrilho Hidráulico 5x5cm - Cores: terracota escuro, azul escuro, off-white ou branco - Marca: Ladrilar</v>
          </cell>
          <cell r="H2557">
            <v>539</v>
          </cell>
        </row>
        <row r="2558">
          <cell r="D2558" t="str">
            <v>Argamassa ACIII</v>
          </cell>
          <cell r="H2558">
            <v>5.2692750000000004</v>
          </cell>
        </row>
        <row r="2559">
          <cell r="D2559" t="str">
            <v>Espeçador junta piso 2mm</v>
          </cell>
          <cell r="H2559">
            <v>0.32</v>
          </cell>
        </row>
        <row r="2560">
          <cell r="D2560" t="str">
            <v>Rejunte Acrilico cinza platina</v>
          </cell>
          <cell r="H2560">
            <v>1.9000000000000001</v>
          </cell>
        </row>
        <row r="2561">
          <cell r="D2561" t="str">
            <v>Revestimento em Ladrilho Hidráulico 20x20cm - Cores: craft claro, craft comum, fendi, cana e terracota escuro - Marca: Dalle Piagge, com junta de 2 cm e rejunte acrilico cinza platina</v>
          </cell>
          <cell r="H2561">
            <v>623.48927500000002</v>
          </cell>
        </row>
        <row r="2562">
          <cell r="D2562" t="str">
            <v>Ladrilho Hidráulico 20x20cm - Cores: craft claro, craft comum, fendi, cana e terracota escuro - Marca: Dalle Piagge</v>
          </cell>
          <cell r="H2562">
            <v>616</v>
          </cell>
        </row>
        <row r="2563">
          <cell r="D2563" t="str">
            <v>Argamassa ACIII</v>
          </cell>
          <cell r="H2563">
            <v>5.2692750000000004</v>
          </cell>
        </row>
        <row r="2564">
          <cell r="D2564" t="str">
            <v>Espeçador junta piso 2mm</v>
          </cell>
          <cell r="H2564">
            <v>0.32</v>
          </cell>
        </row>
        <row r="2565">
          <cell r="D2565" t="str">
            <v>Rejunte Acrilico cinza platina</v>
          </cell>
          <cell r="H2565">
            <v>1.9000000000000001</v>
          </cell>
        </row>
        <row r="2566">
          <cell r="D2566" t="str">
            <v>Revestimento em Ladrilho Hidráulico 20x20cm - Cores: craft claro, craft comum, fendi, cana e terracota escuro - Marca: Ladrilar, com junta de 2 cm e rejunte acrilico cinza platina</v>
          </cell>
          <cell r="H2566">
            <v>281.389275</v>
          </cell>
        </row>
        <row r="2567">
          <cell r="D2567" t="str">
            <v>Ladrilho Hidráulico 20x20cm - Cores: craft claro, craft comum, fendi, cana e terracota escuro - Marca: Ladrilar</v>
          </cell>
          <cell r="H2567">
            <v>273.90000000000003</v>
          </cell>
        </row>
        <row r="2568">
          <cell r="D2568" t="str">
            <v>Argamassa ACIII</v>
          </cell>
          <cell r="H2568">
            <v>5.2692750000000004</v>
          </cell>
        </row>
        <row r="2569">
          <cell r="D2569" t="str">
            <v>Espeçador junta piso 2mm</v>
          </cell>
          <cell r="H2569">
            <v>0.32</v>
          </cell>
        </row>
        <row r="2570">
          <cell r="D2570" t="str">
            <v>Rejunte Acrilico cinza platina</v>
          </cell>
          <cell r="H2570">
            <v>1.9000000000000001</v>
          </cell>
        </row>
        <row r="2571">
          <cell r="D2571" t="str">
            <v>Revestimento em Ladrilho Hidráulico 10x20cm - Cor: mostarda e off-white - Marca: Dalle Piagge, com junta de 2 cm e rejunte acrilico cinza platina</v>
          </cell>
          <cell r="H2571">
            <v>655.16927499999997</v>
          </cell>
        </row>
        <row r="2572">
          <cell r="D2572" t="str">
            <v>Ladrilho Hidráulico 10x20cm - Cor: mostarda - Marca: Dalle Piagge</v>
          </cell>
          <cell r="H2572">
            <v>323.83999999999997</v>
          </cell>
        </row>
        <row r="2573">
          <cell r="D2573" t="str">
            <v>Ladrilho Hidráulico 10x20cm - Cor: off-white - Marca: Dalle Piagge</v>
          </cell>
          <cell r="H2573">
            <v>323.83999999999997</v>
          </cell>
        </row>
        <row r="2574">
          <cell r="D2574" t="str">
            <v>Argamassa ACIII</v>
          </cell>
          <cell r="H2574">
            <v>5.2692750000000004</v>
          </cell>
        </row>
        <row r="2575">
          <cell r="D2575" t="str">
            <v>Espeçador junta piso 2mm</v>
          </cell>
          <cell r="H2575">
            <v>0.32</v>
          </cell>
        </row>
        <row r="2576">
          <cell r="D2576" t="str">
            <v>Rejunte Acrilico cinza platina</v>
          </cell>
          <cell r="H2576">
            <v>1.9000000000000001</v>
          </cell>
        </row>
        <row r="2577">
          <cell r="D2577" t="str">
            <v>Revestimento em Ladrilho Hidráulico 10x20cm - Cor: mostarda e off-white - Marca: Ladrilar, com junta de 2 cm e rejunte acrilico cinza platina</v>
          </cell>
          <cell r="H2577">
            <v>353.98927499999996</v>
          </cell>
        </row>
        <row r="2578">
          <cell r="D2578" t="str">
            <v>Ladrilho Hidráulico 10x20cm - Cor: mostarda - Marca: Ladrilar</v>
          </cell>
          <cell r="H2578">
            <v>173.25</v>
          </cell>
        </row>
        <row r="2579">
          <cell r="D2579" t="str">
            <v>Ladrilho Hidráulico 10x20cm - Cor: off-white - Marca: Ladrilar</v>
          </cell>
          <cell r="H2579">
            <v>173.25</v>
          </cell>
        </row>
        <row r="2580">
          <cell r="D2580" t="str">
            <v>Argamassa ACIII</v>
          </cell>
          <cell r="H2580">
            <v>5.2692750000000004</v>
          </cell>
        </row>
        <row r="2581">
          <cell r="D2581" t="str">
            <v>Espeçador junta piso 2mm</v>
          </cell>
          <cell r="H2581">
            <v>0.32</v>
          </cell>
        </row>
        <row r="2582">
          <cell r="D2582" t="str">
            <v>Rejunte Acrilico cinza platina</v>
          </cell>
          <cell r="H2582">
            <v>1.9000000000000001</v>
          </cell>
        </row>
        <row r="2583">
          <cell r="D2583" t="str">
            <v>Revestimento em Ladrilho Hidráulico 5x5cm - Cor: terracota escuro e off-white - Marca: Dalle Piagge, com junta de 2 cm e rejunte acrilico cinza platina</v>
          </cell>
          <cell r="H2583">
            <v>865.48927500000013</v>
          </cell>
        </row>
        <row r="2584">
          <cell r="D2584" t="str">
            <v>Ladrilho Hidráulico 5x5cm - Cor: terracota escuro - Marca: Dalle Piagge</v>
          </cell>
          <cell r="H2584">
            <v>429.00000000000006</v>
          </cell>
        </row>
        <row r="2585">
          <cell r="D2585" t="str">
            <v>Ladrilho Hidráulico 5x5cm - Cor: off-white - Marca: Dalle Piagge</v>
          </cell>
          <cell r="H2585">
            <v>429.00000000000006</v>
          </cell>
        </row>
        <row r="2586">
          <cell r="D2586" t="str">
            <v>Argamassa ACIII</v>
          </cell>
          <cell r="H2586">
            <v>5.2692750000000004</v>
          </cell>
        </row>
        <row r="2587">
          <cell r="D2587" t="str">
            <v>Espeçador junta piso 2mm</v>
          </cell>
          <cell r="H2587">
            <v>0.32</v>
          </cell>
        </row>
        <row r="2588">
          <cell r="D2588" t="str">
            <v>Rejunte Acrilico cinza platina</v>
          </cell>
          <cell r="H2588">
            <v>1.9000000000000001</v>
          </cell>
        </row>
        <row r="2589">
          <cell r="D2589" t="str">
            <v>Revestimento em Ladrilho Hidráulico 5x5cm - Cor: terracota escuro e off-white - Marca: Ladrilar, com junta de 2 cm e rejunte acrilico cinza platina</v>
          </cell>
          <cell r="H2589">
            <v>546.48927500000002</v>
          </cell>
        </row>
        <row r="2590">
          <cell r="D2590" t="str">
            <v>Ladrilho Hidráulico 5x5cm - Cor: terracota escuro - Marca: Ladrilar</v>
          </cell>
          <cell r="H2590">
            <v>269.5</v>
          </cell>
        </row>
        <row r="2591">
          <cell r="D2591" t="str">
            <v>Ladrilho Hidráulico 5x5cm - Cor: off-white - Marca: Ladrilar</v>
          </cell>
          <cell r="H2591">
            <v>269.5</v>
          </cell>
        </row>
        <row r="2592">
          <cell r="D2592" t="str">
            <v>Argamassa ACIII</v>
          </cell>
          <cell r="H2592">
            <v>5.2692750000000004</v>
          </cell>
        </row>
        <row r="2593">
          <cell r="D2593" t="str">
            <v>Espeçador junta piso 2mm</v>
          </cell>
          <cell r="H2593">
            <v>0.32</v>
          </cell>
        </row>
        <row r="2594">
          <cell r="D2594" t="str">
            <v>Rejunte Acrilico cinza platina</v>
          </cell>
          <cell r="H2594">
            <v>1.9000000000000001</v>
          </cell>
        </row>
        <row r="2595">
          <cell r="D2595" t="str">
            <v>Revestimento em Ladrilho Hidráulico 5x5cm - Cor: terracota escuro e azul escuro - Marca: Dalle Piagge, com junta de 2 cm e rejunte acrilico cinza platina</v>
          </cell>
          <cell r="H2595">
            <v>865.48927500000013</v>
          </cell>
        </row>
        <row r="2596">
          <cell r="D2596" t="str">
            <v>Ladrilho Hidráulico 5x5cm - Cor: terracota escuro - Marca: Dalle Piagge</v>
          </cell>
          <cell r="H2596">
            <v>429.00000000000006</v>
          </cell>
        </row>
        <row r="2597">
          <cell r="D2597" t="str">
            <v>Ladrilho Hidráulico 5x5cm - Cor: azul escuro - Marca: Dalle Piagge</v>
          </cell>
          <cell r="H2597">
            <v>429.00000000000006</v>
          </cell>
        </row>
        <row r="2598">
          <cell r="D2598" t="str">
            <v>Argamassa ACIII</v>
          </cell>
          <cell r="H2598">
            <v>5.2692750000000004</v>
          </cell>
        </row>
        <row r="2599">
          <cell r="D2599" t="str">
            <v>Espeçador junta piso 2mm</v>
          </cell>
          <cell r="H2599">
            <v>0.32</v>
          </cell>
        </row>
        <row r="2600">
          <cell r="D2600" t="str">
            <v>Rejunte Acrilico cinza platina</v>
          </cell>
          <cell r="H2600">
            <v>1.9000000000000001</v>
          </cell>
        </row>
        <row r="2601">
          <cell r="D2601" t="str">
            <v>Revestimento em Ladrilho Hidráulico 5x5cm - Cor: terracota escuro e azul escuro - Marca: Ladrilar, com junta de 2 cm e rejunte acrilico cinza platina</v>
          </cell>
          <cell r="H2601">
            <v>546.48927500000002</v>
          </cell>
        </row>
        <row r="2602">
          <cell r="D2602" t="str">
            <v>Ladrilho Hidráulico 5x5cm - Cor: terracota escuro - Marca: Ladrilar</v>
          </cell>
          <cell r="H2602">
            <v>269.5</v>
          </cell>
        </row>
        <row r="2603">
          <cell r="D2603" t="str">
            <v>Ladrilho Hidráulico 5x5cm - Cor: azul escuro - Marca: Ladrilar</v>
          </cell>
          <cell r="H2603">
            <v>269.5</v>
          </cell>
        </row>
        <row r="2604">
          <cell r="D2604" t="str">
            <v>Argamassa ACIII</v>
          </cell>
          <cell r="H2604">
            <v>5.2692750000000004</v>
          </cell>
        </row>
        <row r="2605">
          <cell r="D2605" t="str">
            <v>Espeçador junta piso 2mm</v>
          </cell>
          <cell r="H2605">
            <v>0.32</v>
          </cell>
        </row>
        <row r="2606">
          <cell r="D2606" t="str">
            <v>Rejunte Acrilico cinza platina</v>
          </cell>
          <cell r="H2606">
            <v>1.9000000000000001</v>
          </cell>
        </row>
        <row r="2607">
          <cell r="D2607" t="str">
            <v>Revestimento em Ladrilhos para Piscina, Cinza giz 15x15 com Juntas e rejunte acrilico</v>
          </cell>
          <cell r="H2607">
            <v>165.88227499999999</v>
          </cell>
        </row>
        <row r="2608">
          <cell r="D2608" t="str">
            <v>Revestimento para Piscina Esmaltado Giz Borda Arredondada Bold Cinza 15x15cm Gabriella</v>
          </cell>
          <cell r="H2608">
            <v>158.10300000000001</v>
          </cell>
        </row>
        <row r="2609">
          <cell r="D2609" t="str">
            <v>Argamassa ACIII</v>
          </cell>
          <cell r="H2609">
            <v>5.2692750000000004</v>
          </cell>
        </row>
        <row r="2610">
          <cell r="D2610" t="str">
            <v>Espeçador junta piso 2mm</v>
          </cell>
          <cell r="H2610">
            <v>0.32</v>
          </cell>
        </row>
        <row r="2611">
          <cell r="D2611" t="str">
            <v>Rejunte acrilico</v>
          </cell>
          <cell r="H2611">
            <v>2.19</v>
          </cell>
        </row>
        <row r="2612">
          <cell r="D2612" t="str">
            <v>Revestimento em Ladrilhos para Piscina, Branco Mate 15x15 com Juntas</v>
          </cell>
          <cell r="H2612">
            <v>282.64277500000003</v>
          </cell>
        </row>
        <row r="2613">
          <cell r="D2613" t="str">
            <v>PASTILHA DE PORCELANA ATLAS 15x15 GRANEL ISLA M16112</v>
          </cell>
          <cell r="H2613">
            <v>276.49600000000004</v>
          </cell>
        </row>
        <row r="2614">
          <cell r="D2614" t="str">
            <v>Argamassa ACIII</v>
          </cell>
          <cell r="H2614">
            <v>5.2692750000000004</v>
          </cell>
        </row>
        <row r="2615">
          <cell r="D2615" t="str">
            <v>Espeçador junta piso 2mm</v>
          </cell>
          <cell r="H2615">
            <v>0.32</v>
          </cell>
        </row>
        <row r="2616">
          <cell r="D2616" t="str">
            <v>Rejunte Cimentício</v>
          </cell>
          <cell r="H2616">
            <v>0.5575</v>
          </cell>
        </row>
        <row r="2617">
          <cell r="D2617" t="str">
            <v xml:space="preserve">Revestimento em Pastilhas Cerâmicas Para Piscinas , 14,5 x 14,5cm com Junta de 3mm </v>
          </cell>
          <cell r="H2617">
            <v>146.83677500000002</v>
          </cell>
        </row>
        <row r="2618">
          <cell r="D2618" t="str">
            <v>Revestimento Pastilha 14,5x14,5cm</v>
          </cell>
          <cell r="H2618">
            <v>140.69000000000003</v>
          </cell>
        </row>
        <row r="2619">
          <cell r="D2619" t="str">
            <v>Argamassa ACIII</v>
          </cell>
          <cell r="H2619">
            <v>5.2692750000000004</v>
          </cell>
        </row>
        <row r="2620">
          <cell r="D2620" t="str">
            <v>Espeçador junta piso 2mm</v>
          </cell>
          <cell r="H2620">
            <v>0.32</v>
          </cell>
        </row>
        <row r="2621">
          <cell r="D2621" t="str">
            <v>Rejunte Cimentício</v>
          </cell>
          <cell r="H2621">
            <v>0.5575</v>
          </cell>
        </row>
        <row r="2622">
          <cell r="D2622" t="str">
            <v>Revestimento em Paredes,  Pastilha Bege 2,5X2,5Cm</v>
          </cell>
          <cell r="H2622">
            <v>262.85377500000004</v>
          </cell>
        </row>
        <row r="2623">
          <cell r="D2623" t="str">
            <v>Revestimento Pastilha 2,5x2,5cm</v>
          </cell>
          <cell r="H2623">
            <v>256.70700000000005</v>
          </cell>
        </row>
        <row r="2624">
          <cell r="D2624" t="str">
            <v>Argamassa ACIII</v>
          </cell>
          <cell r="H2624">
            <v>5.2692750000000004</v>
          </cell>
        </row>
        <row r="2625">
          <cell r="D2625" t="str">
            <v>Espeçador junta piso 2mm</v>
          </cell>
          <cell r="H2625">
            <v>0.32</v>
          </cell>
        </row>
        <row r="2626">
          <cell r="D2626" t="str">
            <v>Rejunte Cimentício</v>
          </cell>
          <cell r="H2626">
            <v>0.5575</v>
          </cell>
        </row>
        <row r="2627">
          <cell r="D2627" t="str">
            <v>Revestimento em Paredes,  Pastilha 20X20 Cm</v>
          </cell>
          <cell r="H2627">
            <v>186.172775</v>
          </cell>
        </row>
        <row r="2628">
          <cell r="D2628" t="str">
            <v>Revestimento Pastilha 20x20cm</v>
          </cell>
          <cell r="H2628">
            <v>180.02600000000001</v>
          </cell>
        </row>
        <row r="2629">
          <cell r="D2629" t="str">
            <v>Argamassa ACIII</v>
          </cell>
          <cell r="H2629">
            <v>5.2692750000000004</v>
          </cell>
        </row>
        <row r="2630">
          <cell r="D2630" t="str">
            <v>Espeçador junta piso 2mm</v>
          </cell>
          <cell r="H2630">
            <v>0.32</v>
          </cell>
        </row>
        <row r="2631">
          <cell r="D2631" t="str">
            <v>Rejunte Cimentício</v>
          </cell>
          <cell r="H2631">
            <v>0.5575</v>
          </cell>
        </row>
        <row r="2632">
          <cell r="D2632" t="str">
            <v>Revestimento em Paredes,  Pastilha Bege 5X5Cm (Sobra Depósito)</v>
          </cell>
          <cell r="H2632">
            <v>167.23077499999999</v>
          </cell>
        </row>
        <row r="2633">
          <cell r="D2633" t="str">
            <v>Revestimento Pastilha 5x5cm</v>
          </cell>
          <cell r="H2633">
            <v>161.084</v>
          </cell>
        </row>
        <row r="2634">
          <cell r="D2634" t="str">
            <v>Argamassa ACIII</v>
          </cell>
          <cell r="H2634">
            <v>5.2692750000000004</v>
          </cell>
        </row>
        <row r="2635">
          <cell r="D2635" t="str">
            <v>Espeçador junta piso 2mm</v>
          </cell>
          <cell r="H2635">
            <v>0.32</v>
          </cell>
        </row>
        <row r="2636">
          <cell r="D2636" t="str">
            <v>Rejunte Cimentício</v>
          </cell>
          <cell r="H2636">
            <v>0.5575</v>
          </cell>
        </row>
        <row r="2637">
          <cell r="D2637" t="str">
            <v>PEDRAS/GRANITOS/MARMORES PAREDE</v>
          </cell>
          <cell r="H2637">
            <v>0</v>
          </cell>
        </row>
        <row r="2638">
          <cell r="D2638" t="str">
            <v>Revestimento de Granito em Paredes</v>
          </cell>
          <cell r="H2638">
            <v>733.24550000000011</v>
          </cell>
        </row>
        <row r="2639">
          <cell r="D2639" t="str">
            <v xml:space="preserve">Granito Comercial </v>
          </cell>
          <cell r="H2639">
            <v>715.00000000000011</v>
          </cell>
        </row>
        <row r="2640">
          <cell r="D2640" t="str">
            <v>Argamassa ACIII</v>
          </cell>
          <cell r="H2640">
            <v>9.5805000000000007</v>
          </cell>
        </row>
        <row r="2641">
          <cell r="D2641" t="str">
            <v>Massa Plastica 400g</v>
          </cell>
          <cell r="H2641">
            <v>8.6649999999999991</v>
          </cell>
        </row>
        <row r="2642">
          <cell r="D2642" t="str">
            <v>Revestimento de Mármore Natural em Paredes</v>
          </cell>
          <cell r="H2642">
            <v>898.24550000000011</v>
          </cell>
        </row>
        <row r="2643">
          <cell r="D2643" t="str">
            <v>Mármore Natural</v>
          </cell>
          <cell r="H2643">
            <v>880.00000000000011</v>
          </cell>
        </row>
        <row r="2644">
          <cell r="D2644" t="str">
            <v>Argamassa ACIII</v>
          </cell>
          <cell r="H2644">
            <v>9.5805000000000007</v>
          </cell>
        </row>
        <row r="2645">
          <cell r="D2645" t="str">
            <v>Massa Plastica 400g</v>
          </cell>
          <cell r="H2645">
            <v>8.6649999999999991</v>
          </cell>
        </row>
        <row r="2646">
          <cell r="D2646" t="str">
            <v>Revestimento de Mármore Travertino Nacional em Paredes</v>
          </cell>
          <cell r="H2646">
            <v>1008.2455000000001</v>
          </cell>
        </row>
        <row r="2647">
          <cell r="D2647" t="str">
            <v>Mármore Travertino Nacional</v>
          </cell>
          <cell r="H2647">
            <v>990.00000000000011</v>
          </cell>
        </row>
        <row r="2648">
          <cell r="D2648" t="str">
            <v>Argamassa ACIII</v>
          </cell>
          <cell r="H2648">
            <v>9.5805000000000007</v>
          </cell>
        </row>
        <row r="2649">
          <cell r="D2649" t="str">
            <v>Massa Plastica 400g</v>
          </cell>
          <cell r="H2649">
            <v>8.6649999999999991</v>
          </cell>
        </row>
        <row r="2650">
          <cell r="D2650" t="str">
            <v>Revestimento de Mármore Travertino Navona em Paredes</v>
          </cell>
          <cell r="H2650">
            <v>1448.2455000000002</v>
          </cell>
        </row>
        <row r="2651">
          <cell r="D2651" t="str">
            <v>Mármore Travertino Navona</v>
          </cell>
          <cell r="H2651">
            <v>1430.0000000000002</v>
          </cell>
        </row>
        <row r="2652">
          <cell r="D2652" t="str">
            <v>Argamassa ACIII</v>
          </cell>
          <cell r="H2652">
            <v>9.5805000000000007</v>
          </cell>
        </row>
        <row r="2653">
          <cell r="D2653" t="str">
            <v>Massa Plastica 400g</v>
          </cell>
          <cell r="H2653">
            <v>8.6649999999999991</v>
          </cell>
        </row>
        <row r="2654">
          <cell r="D2654" t="str">
            <v>Revestimento de Mármore Travertino Importado em Paredes</v>
          </cell>
          <cell r="H2654">
            <v>2438.2455</v>
          </cell>
        </row>
        <row r="2655">
          <cell r="D2655" t="str">
            <v>Mármore Travertino Importado</v>
          </cell>
          <cell r="H2655">
            <v>2420</v>
          </cell>
        </row>
        <row r="2656">
          <cell r="D2656" t="str">
            <v>Argamassa ACIII</v>
          </cell>
          <cell r="H2656">
            <v>9.5805000000000007</v>
          </cell>
        </row>
        <row r="2657">
          <cell r="D2657" t="str">
            <v>Massa Plastica 400g</v>
          </cell>
          <cell r="H2657">
            <v>8.6649999999999991</v>
          </cell>
        </row>
        <row r="2658">
          <cell r="D2658" t="str">
            <v>Revestimento de Mármore Travertino Romano em Paredes</v>
          </cell>
          <cell r="H2658">
            <v>1448.2455000000002</v>
          </cell>
        </row>
        <row r="2659">
          <cell r="D2659" t="str">
            <v>Mármore Travertino Romano</v>
          </cell>
          <cell r="H2659">
            <v>1430.0000000000002</v>
          </cell>
        </row>
        <row r="2660">
          <cell r="D2660" t="str">
            <v>Argamassa ACIII</v>
          </cell>
          <cell r="H2660">
            <v>9.5805000000000007</v>
          </cell>
        </row>
        <row r="2661">
          <cell r="D2661" t="str">
            <v>Massa Plastica 400g</v>
          </cell>
          <cell r="H2661">
            <v>8.6649999999999991</v>
          </cell>
        </row>
        <row r="2662">
          <cell r="D2662" t="str">
            <v>Revestimento de Pedras Quartzito Van Gogh em Paredes</v>
          </cell>
          <cell r="H2662">
            <v>3538.2455000000004</v>
          </cell>
        </row>
        <row r="2663">
          <cell r="D2663" t="str">
            <v>Pedras Quartzito Van Gogh</v>
          </cell>
          <cell r="H2663">
            <v>3520.0000000000005</v>
          </cell>
        </row>
        <row r="2664">
          <cell r="D2664" t="str">
            <v>Argamassa ACIII</v>
          </cell>
          <cell r="H2664">
            <v>9.5805000000000007</v>
          </cell>
        </row>
        <row r="2665">
          <cell r="D2665" t="str">
            <v>Massa Plastica 400g</v>
          </cell>
          <cell r="H2665">
            <v>8.6649999999999991</v>
          </cell>
        </row>
        <row r="2666">
          <cell r="D2666" t="str">
            <v>Revestimento de Pedras Naturais em Paredes</v>
          </cell>
          <cell r="H2666">
            <v>898.24550000000011</v>
          </cell>
        </row>
        <row r="2667">
          <cell r="D2667" t="str">
            <v>Pedra Natural  para Revestimento</v>
          </cell>
          <cell r="H2667">
            <v>880.00000000000011</v>
          </cell>
        </row>
        <row r="2668">
          <cell r="D2668" t="str">
            <v>Argamassa ACIII</v>
          </cell>
          <cell r="H2668">
            <v>9.5805000000000007</v>
          </cell>
        </row>
        <row r="2669">
          <cell r="D2669" t="str">
            <v>Massa Plastica 400g</v>
          </cell>
          <cell r="H2669">
            <v>8.6649999999999991</v>
          </cell>
        </row>
        <row r="2670">
          <cell r="D2670" t="str">
            <v>MADEIRA PAREDE</v>
          </cell>
          <cell r="H2670">
            <v>0</v>
          </cell>
        </row>
        <row r="2671">
          <cell r="D2671" t="str">
            <v xml:space="preserve">Revestimento em Paredes, Marcenaria, incluindo chapa de 18mm, acessorios para instalação - Material e Mão de Obra </v>
          </cell>
          <cell r="H2671">
            <v>919.5</v>
          </cell>
        </row>
        <row r="2672">
          <cell r="D2672" t="str">
            <v xml:space="preserve">Revestimento em Marcenaria, incluindo chapa de 18mm, acessorios para instalação - Material e Mão de Obra </v>
          </cell>
          <cell r="H2672">
            <v>919.5</v>
          </cell>
        </row>
        <row r="2673">
          <cell r="D2673" t="str">
            <v>Revestimento de Mdf em parede</v>
          </cell>
          <cell r="H2673">
            <v>242.00000000000003</v>
          </cell>
        </row>
        <row r="2674">
          <cell r="D2674" t="str">
            <v>Revestimento de Mdf em parede</v>
          </cell>
          <cell r="H2674">
            <v>242.00000000000003</v>
          </cell>
        </row>
        <row r="2675">
          <cell r="D2675" t="str">
            <v>PAPEL DE PAREDE</v>
          </cell>
          <cell r="H2675">
            <v>0</v>
          </cell>
        </row>
        <row r="2676">
          <cell r="D2676" t="str">
            <v xml:space="preserve">Revestimento em Paredes, Papel de parede, Degradê Laranja 114, acessorios para instalação - Material e Mão de Obra </v>
          </cell>
          <cell r="H2676">
            <v>286.60377358490564</v>
          </cell>
        </row>
        <row r="2677">
          <cell r="D2677" t="str">
            <v>Mão de obra aplicação de papel de parede em paredes</v>
          </cell>
          <cell r="H2677">
            <v>50</v>
          </cell>
        </row>
        <row r="2678">
          <cell r="D2678" t="str">
            <v>Revestimento em Paredes, Papel de parede, Degradê Laranja 114, acessorios para instalação - Material</v>
          </cell>
          <cell r="H2678">
            <v>236.60377358490564</v>
          </cell>
        </row>
        <row r="2679">
          <cell r="D2679" t="str">
            <v xml:space="preserve">Revestimento em Paredes, Papel de parede,  Jeans Cinza 246, acessorios para instalação - Material e Mão de Obra </v>
          </cell>
          <cell r="H2679">
            <v>268.61635220125788</v>
          </cell>
        </row>
        <row r="2680">
          <cell r="D2680" t="str">
            <v>Mão de obra aplicação de papel de parede em paredes</v>
          </cell>
          <cell r="H2680">
            <v>50</v>
          </cell>
        </row>
        <row r="2681">
          <cell r="D2681" t="str">
            <v>Revestimento em Paredes, Papel de parede,  Jeans Cinza 246, acessorios para instalação - Material</v>
          </cell>
          <cell r="H2681">
            <v>218.61635220125785</v>
          </cell>
        </row>
        <row r="2682">
          <cell r="D2682" t="str">
            <v xml:space="preserve">Revestimento em Paredes, Papel de parede, Mata Atlântica Azul, acessorios para instalação - Material e Mão de Obra </v>
          </cell>
          <cell r="H2682">
            <v>328.11320754716979</v>
          </cell>
        </row>
        <row r="2683">
          <cell r="D2683" t="str">
            <v>Mão de obra aplicação de papel de parede em paredes</v>
          </cell>
          <cell r="H2683">
            <v>50</v>
          </cell>
        </row>
        <row r="2684">
          <cell r="D2684" t="str">
            <v>Revestimento em Paredes, Papel de parede, Mata Atlântica Azul, acessorios para instalação - Material</v>
          </cell>
          <cell r="H2684">
            <v>278.11320754716979</v>
          </cell>
        </row>
        <row r="2685">
          <cell r="D2685" t="str">
            <v xml:space="preserve">Revestimento em Paredes, Papel de parede, Paisagem Suave Escuro, acessorios para instalação - Material e Mão de Obra </v>
          </cell>
          <cell r="H2685">
            <v>328.01437556154536</v>
          </cell>
        </row>
        <row r="2686">
          <cell r="D2686" t="str">
            <v>Mão de obra aplicação de papel de parede em paredes</v>
          </cell>
          <cell r="H2686">
            <v>50</v>
          </cell>
        </row>
        <row r="2687">
          <cell r="D2687" t="str">
            <v>Revestimento em Paredes, Papel de parede, Paisagem Suave Escuro, acessorios para instalação - Material</v>
          </cell>
          <cell r="H2687">
            <v>278.01437556154536</v>
          </cell>
        </row>
        <row r="2688">
          <cell r="D2688" t="str">
            <v xml:space="preserve">Revestimento em Paredes, Papel de parede, Solar, acessorios para instalação - Material e Mão de Obra </v>
          </cell>
          <cell r="H2688">
            <v>346.7638036809816</v>
          </cell>
        </row>
        <row r="2689">
          <cell r="D2689" t="str">
            <v>Mão de obra aplicação de papel de parede em paredes</v>
          </cell>
          <cell r="H2689">
            <v>50</v>
          </cell>
        </row>
        <row r="2690">
          <cell r="D2690" t="str">
            <v>Revestimento em Paredes, Papel de parede, Solar, acessorios para instalação - Material</v>
          </cell>
          <cell r="H2690">
            <v>296.7638036809816</v>
          </cell>
        </row>
        <row r="2691">
          <cell r="D2691" t="str">
            <v>PEITORIL REQUADRO NICHO PAREDE</v>
          </cell>
          <cell r="H2691">
            <v>0</v>
          </cell>
        </row>
        <row r="2692">
          <cell r="D2692" t="str">
            <v>Pingadeira em marmore cinza, esp. 2cm</v>
          </cell>
          <cell r="H2692">
            <v>513.15470000000005</v>
          </cell>
        </row>
        <row r="2693">
          <cell r="D2693" t="str">
            <v>Marmore Cinza</v>
          </cell>
          <cell r="H2693">
            <v>504</v>
          </cell>
        </row>
        <row r="2694">
          <cell r="D2694" t="str">
            <v>Argamassa ACIII</v>
          </cell>
          <cell r="H2694">
            <v>9.1547000000000001</v>
          </cell>
        </row>
        <row r="2695">
          <cell r="D2695" t="str">
            <v>Peitoril em Granito, Branco Ceara, esp. 2cm</v>
          </cell>
          <cell r="H2695">
            <v>692.08050000000003</v>
          </cell>
        </row>
        <row r="2696">
          <cell r="D2696" t="str">
            <v>Granito branco Ceará</v>
          </cell>
          <cell r="H2696">
            <v>682.5</v>
          </cell>
        </row>
        <row r="2697">
          <cell r="D2697" t="str">
            <v>Argamassa ACIII</v>
          </cell>
          <cell r="H2697">
            <v>9.5805000000000007</v>
          </cell>
        </row>
        <row r="2698">
          <cell r="D2698" t="str">
            <v>Peitoril em Granito, esp. 2cm</v>
          </cell>
          <cell r="H2698">
            <v>205.98615000000001</v>
          </cell>
        </row>
        <row r="2699">
          <cell r="D2699" t="str">
            <v xml:space="preserve">Granito Comercial </v>
          </cell>
          <cell r="H2699">
            <v>203.11200000000002</v>
          </cell>
        </row>
        <row r="2700">
          <cell r="D2700" t="str">
            <v>Argamassa ACIII</v>
          </cell>
          <cell r="H2700">
            <v>2.8741499999999998</v>
          </cell>
        </row>
        <row r="2701">
          <cell r="D2701" t="str">
            <v>Peitoril em Mármore Travertino Romano,  esp. 2cm</v>
          </cell>
          <cell r="H2701">
            <v>1374.1547</v>
          </cell>
        </row>
        <row r="2702">
          <cell r="D2702" t="str">
            <v>Mármore Travertino Romano</v>
          </cell>
          <cell r="H2702">
            <v>1365</v>
          </cell>
        </row>
        <row r="2703">
          <cell r="D2703" t="str">
            <v>Argamassa ACIII</v>
          </cell>
          <cell r="H2703">
            <v>9.1547000000000001</v>
          </cell>
        </row>
        <row r="2704">
          <cell r="D2704" t="str">
            <v>Peitoril em pedra natural,  esp. 2cm</v>
          </cell>
          <cell r="H2704">
            <v>849.15470000000005</v>
          </cell>
        </row>
        <row r="2705">
          <cell r="D2705" t="str">
            <v>Pedra Natural  para Revestimento</v>
          </cell>
          <cell r="H2705">
            <v>840</v>
          </cell>
        </row>
        <row r="2706">
          <cell r="D2706" t="str">
            <v>Argamassa ACIII</v>
          </cell>
          <cell r="H2706">
            <v>9.1547000000000001</v>
          </cell>
        </row>
        <row r="2707">
          <cell r="D2707" t="str">
            <v>Requadro de portas dos Elevadores Granito,Largura de 20cm</v>
          </cell>
          <cell r="H2707">
            <v>205.98615000000001</v>
          </cell>
        </row>
        <row r="2708">
          <cell r="D2708" t="str">
            <v xml:space="preserve">Granito Comercial </v>
          </cell>
          <cell r="H2708">
            <v>203.11200000000002</v>
          </cell>
        </row>
        <row r="2709">
          <cell r="D2709" t="str">
            <v>Argamassa ACIII</v>
          </cell>
          <cell r="H2709">
            <v>2.8741499999999998</v>
          </cell>
        </row>
        <row r="2710">
          <cell r="D2710" t="str">
            <v>Nicho em Marmore Carrara Branco</v>
          </cell>
          <cell r="H2710">
            <v>413.85149999999999</v>
          </cell>
        </row>
        <row r="2711">
          <cell r="D2711" t="str">
            <v>Nicho Em Porcelanato 65x35cm Carrara Cristal Borda Dupla</v>
          </cell>
          <cell r="H2711">
            <v>409</v>
          </cell>
        </row>
        <row r="2712">
          <cell r="D2712" t="str">
            <v>Argamassa ACIII</v>
          </cell>
          <cell r="H2712">
            <v>3.1935000000000002</v>
          </cell>
        </row>
        <row r="2713">
          <cell r="D2713" t="str">
            <v>Espeçador junta piso 2mm</v>
          </cell>
          <cell r="H2713">
            <v>0.32</v>
          </cell>
        </row>
        <row r="2714">
          <cell r="D2714" t="str">
            <v>Rejunte Cimentício</v>
          </cell>
          <cell r="H2714">
            <v>1.3380000000000001</v>
          </cell>
        </row>
        <row r="2715">
          <cell r="D2715" t="str">
            <v>Revestimento de Marmore Preto em batente de elevador</v>
          </cell>
          <cell r="H2715">
            <v>232.74550000000002</v>
          </cell>
        </row>
        <row r="2716">
          <cell r="D2716" t="str">
            <v>Marmore Preto</v>
          </cell>
          <cell r="H2716">
            <v>214.50000000000003</v>
          </cell>
        </row>
        <row r="2717">
          <cell r="D2717" t="str">
            <v>Argamassa ACIII</v>
          </cell>
          <cell r="H2717">
            <v>9.5805000000000007</v>
          </cell>
        </row>
        <row r="2718">
          <cell r="D2718" t="str">
            <v>Massa Plastica 400g</v>
          </cell>
          <cell r="H2718">
            <v>8.6649999999999991</v>
          </cell>
        </row>
        <row r="2719">
          <cell r="D2719" t="str">
            <v xml:space="preserve">Requadro de portas dos Elevadores Granito preto são gabriel </v>
          </cell>
          <cell r="H2719">
            <v>691.65470000000005</v>
          </cell>
        </row>
        <row r="2720">
          <cell r="D2720" t="str">
            <v xml:space="preserve">Granito preto são gabriel </v>
          </cell>
          <cell r="H2720">
            <v>682.5</v>
          </cell>
        </row>
        <row r="2721">
          <cell r="D2721" t="str">
            <v>Argamassa ACIII</v>
          </cell>
          <cell r="H2721">
            <v>9.1547000000000001</v>
          </cell>
        </row>
        <row r="2722">
          <cell r="D2722" t="str">
            <v>Peitoril em granito preto são gabriel</v>
          </cell>
          <cell r="H2722">
            <v>691.65470000000005</v>
          </cell>
        </row>
        <row r="2723">
          <cell r="D2723" t="str">
            <v xml:space="preserve">Granito preto são gabriel </v>
          </cell>
          <cell r="H2723">
            <v>682.5</v>
          </cell>
        </row>
        <row r="2724">
          <cell r="D2724" t="str">
            <v>Argamassa ACIII</v>
          </cell>
          <cell r="H2724">
            <v>9.1547000000000001</v>
          </cell>
        </row>
        <row r="2725">
          <cell r="D2725" t="str">
            <v>Peitoril em pedra moledo,  esp. 2cm</v>
          </cell>
          <cell r="H2725">
            <v>288.34969999999998</v>
          </cell>
        </row>
        <row r="2726">
          <cell r="D2726" t="str">
            <v>Pedra Moledo Natural Cinza</v>
          </cell>
          <cell r="H2726">
            <v>279.19499999999999</v>
          </cell>
        </row>
        <row r="2727">
          <cell r="D2727" t="str">
            <v>Argamassa ACIII</v>
          </cell>
          <cell r="H2727">
            <v>9.1547000000000001</v>
          </cell>
        </row>
        <row r="2728">
          <cell r="D2728" t="str">
            <v>Peitoril em granito,  esp. 2cm</v>
          </cell>
          <cell r="H2728">
            <v>691.65470000000005</v>
          </cell>
        </row>
        <row r="2729">
          <cell r="D2729" t="str">
            <v>Granito siena branco</v>
          </cell>
          <cell r="H2729">
            <v>682.5</v>
          </cell>
        </row>
        <row r="2730">
          <cell r="D2730" t="str">
            <v>Argamassa ACIII</v>
          </cell>
          <cell r="H2730">
            <v>9.1547000000000001</v>
          </cell>
        </row>
        <row r="2731">
          <cell r="D2731" t="str">
            <v>MÃO DE OBRA REVESTIMENTOS</v>
          </cell>
          <cell r="H2731">
            <v>0</v>
          </cell>
        </row>
        <row r="2732">
          <cell r="D2732" t="str">
            <v>Mão de obra execução de massa única em paredes interna, incluindo chapisco</v>
          </cell>
          <cell r="H2732">
            <v>42</v>
          </cell>
        </row>
        <row r="2733">
          <cell r="D2733" t="str">
            <v>Mão de obra execução de massa única em paredes interna, incluindo chapisco</v>
          </cell>
          <cell r="H2733">
            <v>42</v>
          </cell>
        </row>
        <row r="2734">
          <cell r="D2734" t="str">
            <v>Mão de obra estucamento de paredes</v>
          </cell>
          <cell r="H2734">
            <v>30</v>
          </cell>
        </row>
        <row r="2735">
          <cell r="D2735" t="str">
            <v>Mão de obra estucamento de paredes</v>
          </cell>
          <cell r="H2735">
            <v>30</v>
          </cell>
        </row>
        <row r="2736">
          <cell r="D2736" t="str">
            <v>MÃO DE OBRA GESSO PAREDE</v>
          </cell>
          <cell r="H2736">
            <v>0</v>
          </cell>
        </row>
        <row r="2737">
          <cell r="D2737" t="str">
            <v>Mão de obra execução de massa para Drywall em paredes</v>
          </cell>
          <cell r="H2737">
            <v>15</v>
          </cell>
        </row>
        <row r="2738">
          <cell r="D2738" t="str">
            <v>Mão de obra execução de massa para Drywall em paredes</v>
          </cell>
          <cell r="H2738">
            <v>15</v>
          </cell>
        </row>
        <row r="2739">
          <cell r="D2739" t="str">
            <v>Mão de obra execução de massa de gesso em paredes</v>
          </cell>
          <cell r="H2739">
            <v>15</v>
          </cell>
        </row>
        <row r="2740">
          <cell r="D2740" t="str">
            <v>Mão de obra execução de massa de gesso em paredes</v>
          </cell>
          <cell r="H2740">
            <v>15</v>
          </cell>
        </row>
        <row r="2741">
          <cell r="D2741" t="str">
            <v>MÃO DE OBRA ACABAMENTOS PAREDE</v>
          </cell>
          <cell r="H2741">
            <v>0</v>
          </cell>
        </row>
        <row r="2742">
          <cell r="D2742" t="str">
            <v>Mão de obra para assentamento de Pastilhas em Piscina</v>
          </cell>
          <cell r="H2742">
            <v>55</v>
          </cell>
        </row>
        <row r="2743">
          <cell r="D2743" t="str">
            <v>Mão de obra para assentamento de Pastilhas em Piscina</v>
          </cell>
          <cell r="H2743">
            <v>55</v>
          </cell>
        </row>
        <row r="2744">
          <cell r="D2744" t="str">
            <v>Mão de obra para assentamento de Ladrilhos</v>
          </cell>
          <cell r="H2744">
            <v>75</v>
          </cell>
        </row>
        <row r="2745">
          <cell r="D2745" t="str">
            <v>Mão de obra para assentamento de Ladrilhos</v>
          </cell>
          <cell r="H2745">
            <v>75</v>
          </cell>
        </row>
        <row r="2746">
          <cell r="D2746" t="str">
            <v>Mão de obra para assentamento de Pedras Naturais em parede</v>
          </cell>
          <cell r="H2746">
            <v>75</v>
          </cell>
        </row>
        <row r="2747">
          <cell r="D2747" t="str">
            <v>Mão de obra para assentamento de Pedras Naturais em parede</v>
          </cell>
          <cell r="H2747">
            <v>75</v>
          </cell>
        </row>
        <row r="2748">
          <cell r="D2748" t="str">
            <v>Mão de obra para assentamento de revestimento cerâmico em parede</v>
          </cell>
          <cell r="H2748">
            <v>75</v>
          </cell>
        </row>
        <row r="2749">
          <cell r="D2749" t="str">
            <v>Mão de obra para assentamento de revestimento cerâmico em parede</v>
          </cell>
          <cell r="H2749">
            <v>75</v>
          </cell>
        </row>
        <row r="2750">
          <cell r="D2750" t="str">
            <v>Mão de obra para colocação de peitoril e pingadeira</v>
          </cell>
          <cell r="H2750">
            <v>50</v>
          </cell>
        </row>
        <row r="2751">
          <cell r="D2751" t="str">
            <v>Mão de obra para colocação de peitoril e pingadeira</v>
          </cell>
          <cell r="H2751">
            <v>50</v>
          </cell>
        </row>
        <row r="2752">
          <cell r="D2752" t="str">
            <v>Mão de obra para assentamento de requadros em portas de elevador</v>
          </cell>
          <cell r="H2752">
            <v>50</v>
          </cell>
        </row>
        <row r="2753">
          <cell r="D2753" t="str">
            <v>Mão de obra para assentamento de requadros em portas de elevador</v>
          </cell>
          <cell r="H2753">
            <v>50</v>
          </cell>
        </row>
        <row r="2754">
          <cell r="D2754" t="str">
            <v>REVESTIMENTOS INTERNOS DE TETO</v>
          </cell>
          <cell r="H2754">
            <v>0</v>
          </cell>
        </row>
        <row r="2755">
          <cell r="D2755" t="str">
            <v>ESTUCAMENTO/REBOCO TETO</v>
          </cell>
          <cell r="H2755">
            <v>0</v>
          </cell>
        </row>
        <row r="2756">
          <cell r="D2756" t="str">
            <v xml:space="preserve">Regularização de Teto 0,50 cm </v>
          </cell>
          <cell r="H2756">
            <v>3.1560233333333336</v>
          </cell>
        </row>
        <row r="2757">
          <cell r="D2757" t="str">
            <v>Argamassa usninada para contrapiso</v>
          </cell>
          <cell r="H2757">
            <v>3.0250000000000004</v>
          </cell>
        </row>
        <row r="2758">
          <cell r="D2758" t="str">
            <v>Aditivo Adesivo Liquido Para Argamassas De Revestimentos Cimenticios</v>
          </cell>
          <cell r="H2758">
            <v>6.7690000000000014E-2</v>
          </cell>
        </row>
        <row r="2759">
          <cell r="D2759" t="str">
            <v>Cimento Portland Composto CP II-32</v>
          </cell>
          <cell r="H2759">
            <v>6.3333333333333339E-2</v>
          </cell>
        </row>
        <row r="2760">
          <cell r="D2760" t="str">
            <v>Estucamento de teto</v>
          </cell>
          <cell r="H2760">
            <v>5.1029166666666663</v>
          </cell>
        </row>
        <row r="2761">
          <cell r="D2761" t="str">
            <v>Cimento Portland Composto CP II-32</v>
          </cell>
          <cell r="H2761">
            <v>0.45599999999999996</v>
          </cell>
        </row>
        <row r="2762">
          <cell r="D2762" t="str">
            <v>LIXA EM FOLHA PARA FERRO, NÚMERO 100</v>
          </cell>
          <cell r="H2762">
            <v>0.1565</v>
          </cell>
        </row>
        <row r="2763">
          <cell r="D2763" t="str">
            <v>CIMENTO BRANCO NÃO ESTRUTURAL</v>
          </cell>
          <cell r="H2763">
            <v>1.0469999999999999</v>
          </cell>
        </row>
        <row r="2764">
          <cell r="D2764" t="str">
            <v>ADESIVO DE BASE ACRÍLICA COMPATÍVEL COM CIMENTO</v>
          </cell>
          <cell r="H2764">
            <v>3.4434166666666663</v>
          </cell>
        </row>
        <row r="2765">
          <cell r="D2765" t="str">
            <v>Chapisco aplicado em teto, com argamassa pré-fabricada adesiva de cimento colante, aplicação convencional</v>
          </cell>
          <cell r="H2765">
            <v>10.11778</v>
          </cell>
        </row>
        <row r="2766">
          <cell r="D2766" t="str">
            <v>Argamassa ACIII</v>
          </cell>
          <cell r="H2766">
            <v>6.7489299999999997</v>
          </cell>
        </row>
        <row r="2767">
          <cell r="D2767" t="str">
            <v xml:space="preserve">Aditivo Bianco Adesivo Argamassa Chapisco </v>
          </cell>
          <cell r="H2767">
            <v>3.3688499999999997</v>
          </cell>
        </row>
        <row r="2768">
          <cell r="D2768" t="str">
            <v>Massa unica para reboco interno em Tetos com argamassa estabilizada, espessura de 2,5cm, com execução desempenado fino</v>
          </cell>
          <cell r="H2768">
            <v>10.893750000000001</v>
          </cell>
        </row>
        <row r="2769">
          <cell r="D2769" t="str">
            <v>Argamassa Usinada para emboço/massa única</v>
          </cell>
          <cell r="H2769">
            <v>10.893750000000001</v>
          </cell>
        </row>
        <row r="2770">
          <cell r="D2770" t="str">
            <v>Massa unica para reboco interno em tetos com argamassa estabilizada projetada, espessura 2,0cm, desempenado fino</v>
          </cell>
          <cell r="H2770">
            <v>19</v>
          </cell>
        </row>
        <row r="2771">
          <cell r="D2771" t="str">
            <v>Argamassa industrializada para Para Reboco</v>
          </cell>
          <cell r="H2771">
            <v>19</v>
          </cell>
        </row>
        <row r="2772">
          <cell r="D2772" t="str">
            <v>FORRO DE GESSO</v>
          </cell>
          <cell r="H2772">
            <v>0</v>
          </cell>
        </row>
        <row r="2773">
          <cell r="D2773" t="str">
            <v>Cortineiro em gesso</v>
          </cell>
          <cell r="H2773">
            <v>44.8</v>
          </cell>
        </row>
        <row r="2774">
          <cell r="D2774" t="str">
            <v>Cortineiro Isopor Cortina Sanca 1 Metro 15cm L X 10cm A - Branco, , COLOR Branco</v>
          </cell>
          <cell r="H2774">
            <v>44.8</v>
          </cell>
        </row>
        <row r="2775">
          <cell r="D2775" t="str">
            <v>Cortineiro em gesso com rasgo iluminado</v>
          </cell>
          <cell r="H2775">
            <v>82.373999999999995</v>
          </cell>
        </row>
        <row r="2776">
          <cell r="D2776" t="str">
            <v>Cortineiro em gesso com rasgo iluminado</v>
          </cell>
          <cell r="H2776">
            <v>82.373999999999995</v>
          </cell>
        </row>
        <row r="2777">
          <cell r="D2777" t="str">
            <v>Tabica em gesso com perfil metálico LED</v>
          </cell>
          <cell r="H2777">
            <v>61.780500000000004</v>
          </cell>
        </row>
        <row r="2778">
          <cell r="D2778" t="str">
            <v>Tabica em gesso com perfil metálico LED</v>
          </cell>
          <cell r="H2778">
            <v>61.780500000000004</v>
          </cell>
        </row>
        <row r="2779">
          <cell r="D2779" t="str">
            <v>Tabica em gesso</v>
          </cell>
          <cell r="H2779">
            <v>32.400000000000006</v>
          </cell>
        </row>
        <row r="2780">
          <cell r="D2780" t="str">
            <v>Tabica em gesso</v>
          </cell>
          <cell r="H2780">
            <v>32.400000000000006</v>
          </cell>
        </row>
        <row r="2781">
          <cell r="D2781" t="str">
            <v>Sanca em gesso</v>
          </cell>
          <cell r="H2781">
            <v>67.199999999999989</v>
          </cell>
        </row>
        <row r="2782">
          <cell r="D2782" t="str">
            <v>Sanca em gesso</v>
          </cell>
          <cell r="H2782">
            <v>67.199999999999989</v>
          </cell>
        </row>
        <row r="2783">
          <cell r="D2783" t="str">
            <v>Sanca em gesso com iluminação indireta + LED + perfil</v>
          </cell>
          <cell r="H2783">
            <v>116.6965</v>
          </cell>
        </row>
        <row r="2784">
          <cell r="D2784" t="str">
            <v>Sanca em gesso com iluminação indireta + LED + perfil</v>
          </cell>
          <cell r="H2784">
            <v>116.6965</v>
          </cell>
        </row>
        <row r="2785">
          <cell r="D2785" t="str">
            <v>Isolmento acustico em teto</v>
          </cell>
          <cell r="H2785">
            <v>88.427066666666661</v>
          </cell>
        </row>
        <row r="2786">
          <cell r="D2786" t="str">
            <v>Forro De Fibra Mineral Armstrong Ceilings Scala Lay-in 1250 X 625 X 16mm</v>
          </cell>
          <cell r="H2786">
            <v>75.598399999999998</v>
          </cell>
        </row>
        <row r="2787">
          <cell r="D2787" t="str">
            <v>LÂ DE VIDRO PARA ISOLAMENTO 50mm</v>
          </cell>
          <cell r="H2787">
            <v>12.828666666666667</v>
          </cell>
        </row>
        <row r="2788">
          <cell r="D2788" t="str">
            <v>Forro de gesso mineral em tetos - Material e Mão de Obra</v>
          </cell>
          <cell r="H2788">
            <v>55</v>
          </cell>
        </row>
        <row r="2789">
          <cell r="D2789" t="str">
            <v>Forro de gesso mineral em tetos - Material e Mão de Obra</v>
          </cell>
          <cell r="H2789">
            <v>55</v>
          </cell>
        </row>
        <row r="2790">
          <cell r="D2790" t="str">
            <v>Negativo de forro de gesso mineral</v>
          </cell>
          <cell r="H2790">
            <v>35</v>
          </cell>
        </row>
        <row r="2791">
          <cell r="D2791" t="str">
            <v>Negativo de forro de gesso mineral</v>
          </cell>
          <cell r="H2791">
            <v>35</v>
          </cell>
        </row>
        <row r="2792">
          <cell r="D2792" t="str">
            <v>Gesso corrido em tetos - Material e Mão de Obra</v>
          </cell>
          <cell r="H2792">
            <v>80.542132157776209</v>
          </cell>
        </row>
        <row r="2793">
          <cell r="D2793" t="str">
            <v>Forro de gesso corrido - Material e Mão de Obra</v>
          </cell>
          <cell r="H2793">
            <v>80.542132157776209</v>
          </cell>
        </row>
        <row r="2794">
          <cell r="D2794" t="str">
            <v>Forro de gesso em forma de vigotas, imitando madeira - áreas úmidas - Material e Mão de Obra</v>
          </cell>
          <cell r="H2794">
            <v>343.22500000000002</v>
          </cell>
        </row>
        <row r="2795">
          <cell r="D2795" t="str">
            <v>Forro de gesso em forma de vigotas, imitando madeira - áreas úmidas - Material e Mão de Obra - incluso estrutura metálica + placa ru + fechamento de caixa + pintura efeito amdeira + instalação</v>
          </cell>
          <cell r="H2795">
            <v>343.22500000000002</v>
          </cell>
        </row>
        <row r="2796">
          <cell r="D2796" t="str">
            <v>Forro de gesso acartonado - áreas secas - Material e Mão de Obra</v>
          </cell>
          <cell r="H2796">
            <v>137.29</v>
          </cell>
        </row>
        <row r="2797">
          <cell r="D2797" t="str">
            <v>Forro de gesso acartonado - áreas secas - Material e Mão de Obra</v>
          </cell>
          <cell r="H2797">
            <v>137.29</v>
          </cell>
        </row>
        <row r="2798">
          <cell r="D2798" t="str">
            <v>Forro de gesso acartonado RF - anti chamas - Material e Mão de Obra</v>
          </cell>
          <cell r="H2798">
            <v>233.393</v>
          </cell>
        </row>
        <row r="2799">
          <cell r="D2799" t="str">
            <v>Forro de gesso acartonado RF - anti chamas - Material e Mão de Obra</v>
          </cell>
          <cell r="H2799">
            <v>233.393</v>
          </cell>
        </row>
        <row r="2800">
          <cell r="D2800" t="str">
            <v>Negativo de forro de gesso acartonado - área seca</v>
          </cell>
          <cell r="H2800">
            <v>49.424399999999999</v>
          </cell>
        </row>
        <row r="2801">
          <cell r="D2801" t="str">
            <v>Negativo de forro de gesso acartonado - área seca</v>
          </cell>
          <cell r="H2801">
            <v>49.424399999999999</v>
          </cell>
        </row>
        <row r="2802">
          <cell r="D2802" t="str">
            <v>Forro de gesso acartonado - áreas úmidas - Material e Mão de Obra</v>
          </cell>
          <cell r="H2802">
            <v>164.74799999999999</v>
          </cell>
        </row>
        <row r="2803">
          <cell r="D2803" t="str">
            <v>Forro de gesso acartonado - áreas úmidas - Material e Mão de Obra</v>
          </cell>
          <cell r="H2803">
            <v>164.74799999999999</v>
          </cell>
        </row>
        <row r="2804">
          <cell r="D2804" t="str">
            <v>Negativo de forro de gesso acartonado - área umida</v>
          </cell>
          <cell r="H2804">
            <v>49.424399999999999</v>
          </cell>
        </row>
        <row r="2805">
          <cell r="D2805" t="str">
            <v>Negativo de forro de gesso acartonado - área umida</v>
          </cell>
          <cell r="H2805">
            <v>49.424399999999999</v>
          </cell>
        </row>
        <row r="2806">
          <cell r="D2806" t="str">
            <v>Forro Com Sistema Em Chapas De Gesso Para Drywall, Uso Interno, Montante 48mm, Com Uma Face Resistente a Umidade (RU/48)</v>
          </cell>
          <cell r="H2806">
            <v>126.41529399999999</v>
          </cell>
        </row>
        <row r="2807">
          <cell r="D2807" t="str">
            <v>SERVICO - CONFECCAO SHAFT GESSO</v>
          </cell>
          <cell r="H2807">
            <v>70</v>
          </cell>
        </row>
        <row r="2808">
          <cell r="D2808" t="str">
            <v>PLACA / CHAPA DE GESSO ACARTONADO, RESISTENTE A UMIDADE (RU), COR VERDE, E = 12,5 MM, 1200 X 2400 MM (L X C)</v>
          </cell>
          <cell r="H2808">
            <v>28.536300000000001</v>
          </cell>
        </row>
        <row r="2809">
          <cell r="D2809" t="str">
            <v>PINO DE ACO COM ARRUELA CONICA, DIAMETRO ARRUELA = *23* MM E COMP HASTE = *27* MM (ACAO INDIRETA)</v>
          </cell>
          <cell r="H2809">
            <v>1.2499199999999999</v>
          </cell>
        </row>
        <row r="2810">
          <cell r="D2810" t="str">
            <v>PERFIL GUIA, FORMATO U, EM ACO ZINCADO, PARA ESTRUTURA PAREDE DRYWALL, E = 0,5 MM, 48 X 3000 MM (L X C)</v>
          </cell>
          <cell r="H2810">
            <v>5.3596719999999998</v>
          </cell>
        </row>
        <row r="2811">
          <cell r="D2811" t="str">
            <v>PERFIL MONTANTE, FORMATO C, EM ACO ZINCADO, PARA ESTRUTURA PAREDE DRYWALL, E = 0,5 MM, 48 X 3000 MM (L X C)</v>
          </cell>
          <cell r="H2811">
            <v>15.964788</v>
          </cell>
        </row>
        <row r="2812">
          <cell r="D2812" t="str">
            <v>MASSA DE REJUNTE EM PO PARA DRYWALL, A BASE DE GESSO, SECAGEM RAPIDA, PARA TRATAMENTO DE JUNTAS DE CHAPA DE GESSO (NECESSITA ADICAO DE AGUA)</v>
          </cell>
          <cell r="H2812">
            <v>1.8827270000000003</v>
          </cell>
        </row>
        <row r="2813">
          <cell r="D2813" t="str">
            <v>FITA DE PAPEL MICROPERFURADO, 50 X 150 MM, PARA TRATAMENTO DE JUNTAS DE CHAPA DE GESSO PARA DRYWALL</v>
          </cell>
          <cell r="H2813">
            <v>0.387903</v>
          </cell>
        </row>
        <row r="2814">
          <cell r="D2814" t="str">
            <v>FITA DE PAPEL REFORCADA COM LAMINA DE METAL PARA REFORCO DE CANTOS DE CHAPA DE GESSO PARA DRYWALL</v>
          </cell>
          <cell r="H2814">
            <v>2.0295180000000004</v>
          </cell>
        </row>
        <row r="2815">
          <cell r="D2815" t="str">
            <v>PARAFUSO DRY WALL, EM ACO FOSFATIZADO, CABECA TROMBETA E PONTA AGULHA (TA), COMPRIMENTO 25 MM</v>
          </cell>
          <cell r="H2815">
            <v>0.90840600000000005</v>
          </cell>
        </row>
        <row r="2816">
          <cell r="D2816" t="str">
            <v>PARAFUSO DRY WALL, EM ACO ZINCADO, CABECA LENTILHA E PONTA BROCA (LB), LARGURA 4,2 MM, COMPRIMENTO 13 MM</v>
          </cell>
          <cell r="H2816">
            <v>9.6060000000000006E-2</v>
          </cell>
        </row>
        <row r="2817">
          <cell r="D2817" t="str">
            <v>FORRO DE DIVERSOS</v>
          </cell>
          <cell r="H2817">
            <v>0</v>
          </cell>
        </row>
        <row r="2818">
          <cell r="D2818" t="str">
            <v>Forro Removível - Material e Mão de Obra</v>
          </cell>
          <cell r="H2818">
            <v>219.20046110145017</v>
          </cell>
        </row>
        <row r="2819">
          <cell r="D2819" t="str">
            <v>Forro Removível - Material e Mão de Obra</v>
          </cell>
          <cell r="H2819">
            <v>219.20046110145017</v>
          </cell>
        </row>
        <row r="2820">
          <cell r="D2820" t="str">
            <v>Forro Tensoflex - Material e Mão de Obra</v>
          </cell>
          <cell r="H2820">
            <v>985.16483516483504</v>
          </cell>
        </row>
        <row r="2821">
          <cell r="D2821" t="str">
            <v>Forro Tensoflex - Tela tensionada Iluminada - Material e Mão de Obra</v>
          </cell>
          <cell r="H2821">
            <v>985.16483516483504</v>
          </cell>
        </row>
        <row r="2822">
          <cell r="D2822" t="str">
            <v>Iluminação de sanca</v>
          </cell>
          <cell r="H2822">
            <v>11.3</v>
          </cell>
        </row>
        <row r="2823">
          <cell r="D2823" t="str">
            <v>FITA DE LED 1 M</v>
          </cell>
          <cell r="H2823">
            <v>11.3</v>
          </cell>
        </row>
        <row r="2824">
          <cell r="D2824" t="str">
            <v>Forro em sistema de Muxarabi em madeira Peroba Mica- Material e mão de obra</v>
          </cell>
          <cell r="H2824">
            <v>2315.8550312677658</v>
          </cell>
        </row>
        <row r="2825">
          <cell r="D2825" t="str">
            <v>Painel Formato Muxarabi - Madeira Peroba Mica - Modelo 16.20/20 - (Ripas, Parafusos, Buchas, vernis e instalação)</v>
          </cell>
          <cell r="H2825">
            <v>2315.8550312677658</v>
          </cell>
        </row>
        <row r="2826">
          <cell r="D2826" t="str">
            <v>Forro de gesso mineral - em placas (forro, negativo e cortineiro)- Material e Mão de Obra</v>
          </cell>
          <cell r="H2826">
            <v>85</v>
          </cell>
        </row>
        <row r="2827">
          <cell r="D2827" t="str">
            <v>Forro de gesso mineral - convencional (forro, negativo e cortineiro)</v>
          </cell>
          <cell r="H2827">
            <v>85</v>
          </cell>
        </row>
        <row r="2828">
          <cell r="D2828" t="str">
            <v>Forro de gesso acartonado - Standart - Material e Mão de Obra</v>
          </cell>
          <cell r="H2828">
            <v>100</v>
          </cell>
        </row>
        <row r="2829">
          <cell r="D2829" t="str">
            <v>Forro de gesso acartonado - áreas secas - Material e Mão de Obra</v>
          </cell>
          <cell r="H2829">
            <v>100</v>
          </cell>
        </row>
        <row r="2830">
          <cell r="D2830" t="str">
            <v>Forro de gesso acartonado - Resistente à umidade - Material e Mão de Obra</v>
          </cell>
          <cell r="H2830">
            <v>198.02</v>
          </cell>
        </row>
        <row r="2831">
          <cell r="D2831" t="str">
            <v>Forro de gesso acartonado - Resistente à umidade - Material e Mão de Obra</v>
          </cell>
          <cell r="H2831">
            <v>198.02</v>
          </cell>
        </row>
        <row r="2832">
          <cell r="D2832" t="str">
            <v xml:space="preserve">Revestimento em Tetos, Papel de parede,  Jeans Cinza 246, acessorios para instalação - Material e Mão de Obra </v>
          </cell>
          <cell r="H2832">
            <v>283.61635220125788</v>
          </cell>
        </row>
        <row r="2833">
          <cell r="D2833" t="str">
            <v>Mão de obra aplicação de papel de parede em paredes</v>
          </cell>
          <cell r="H2833">
            <v>65</v>
          </cell>
        </row>
        <row r="2834">
          <cell r="D2834" t="str">
            <v>Revestimento em Paredes, Papel de parede,  Jeans Cinza 246, acessorios para instalação - Material</v>
          </cell>
          <cell r="H2834">
            <v>218.61635220125785</v>
          </cell>
        </row>
        <row r="2835">
          <cell r="D2835" t="str">
            <v>Forro de madeira Imbuia - Material e Mão de Obra</v>
          </cell>
          <cell r="H2835">
            <v>722</v>
          </cell>
        </row>
        <row r="2836">
          <cell r="D2836" t="str">
            <v>CHAPA  DE MADEIRA IMBUIA</v>
          </cell>
          <cell r="H2836">
            <v>572</v>
          </cell>
        </row>
        <row r="2837">
          <cell r="D2837" t="str">
            <v>Mão de obra instalação de forro de madeira</v>
          </cell>
          <cell r="H2837">
            <v>150</v>
          </cell>
        </row>
        <row r="2838">
          <cell r="D2838" t="str">
            <v>Forro de madeira Itauba - Material e Mão de Obra</v>
          </cell>
          <cell r="H2838">
            <v>788</v>
          </cell>
        </row>
        <row r="2839">
          <cell r="D2839" t="str">
            <v>CHAPA DE MADEIRA ITAUBA</v>
          </cell>
          <cell r="H2839">
            <v>638</v>
          </cell>
        </row>
        <row r="2840">
          <cell r="D2840" t="str">
            <v>Mão de obra instalação de forro de madeira</v>
          </cell>
          <cell r="H2840">
            <v>150</v>
          </cell>
        </row>
        <row r="2841">
          <cell r="D2841" t="str">
            <v>Forro de placa cimenticia - Material e Mão de Obra</v>
          </cell>
          <cell r="H2841">
            <v>275</v>
          </cell>
        </row>
        <row r="2842">
          <cell r="D2842" t="str">
            <v>Forro de placa cimenticia - Material e Mão de Obra</v>
          </cell>
          <cell r="H2842">
            <v>275</v>
          </cell>
        </row>
        <row r="2843">
          <cell r="D2843" t="str">
            <v>Forro de MDF Liso  - Material e Mão de Obra</v>
          </cell>
          <cell r="H2843">
            <v>330</v>
          </cell>
        </row>
        <row r="2844">
          <cell r="D2844" t="str">
            <v>Forro de MDF Liso  - Material e Mão de Obra</v>
          </cell>
          <cell r="H2844">
            <v>330</v>
          </cell>
        </row>
        <row r="2845">
          <cell r="D2845" t="str">
            <v>Forro de MDF Liso com Alto relevo personalizado e pintura laca verde - Material e Mão de Obra</v>
          </cell>
          <cell r="H2845">
            <v>1056</v>
          </cell>
        </row>
        <row r="2846">
          <cell r="D2846" t="str">
            <v>Forro de MDF Liso e pintura laca verde - Material e Mão de Obra - incluso estrutura metálica + mdf 15mm + peças em CNC + colagem e fixação + massa + lixamento + pintura laca verde</v>
          </cell>
          <cell r="H2846">
            <v>396.00000000000006</v>
          </cell>
        </row>
        <row r="2847">
          <cell r="D2847" t="str">
            <v>Forro de MDF Alto relevo personalizado e pintura laca verde - Material e Mão de Obra - peças em CNC + montagem modular + pintura laca verde em multiplas faces</v>
          </cell>
          <cell r="H2847">
            <v>660</v>
          </cell>
        </row>
        <row r="2848">
          <cell r="D2848" t="str">
            <v>Forro de MDF Régua com Nuvens em MDF em alto relevo personalizado e pintura azul - Material e Mão de Obra</v>
          </cell>
          <cell r="H2848">
            <v>737</v>
          </cell>
        </row>
        <row r="2849">
          <cell r="D2849" t="str">
            <v>Forro de MDF Régua e pintura azul - Material e Mão de Obra - Forro MDF em régua</v>
          </cell>
          <cell r="H2849">
            <v>385.00000000000006</v>
          </cell>
        </row>
        <row r="2850">
          <cell r="D2850" t="str">
            <v>Nuvens em MDF em alto relevo personalizado e pintura azul - Material e Mão de Obra - + peças recortadas em CNC + 2 tipologias de nuvens + pintura PU em azul + montagem suspensa</v>
          </cell>
          <cell r="H2850">
            <v>352</v>
          </cell>
        </row>
        <row r="2851">
          <cell r="D2851" t="str">
            <v>Forro de madeira - Material e Mão de Obra</v>
          </cell>
          <cell r="H2851">
            <v>249</v>
          </cell>
        </row>
        <row r="2852">
          <cell r="D2852" t="str">
            <v>Madeira Amescla para acabamento</v>
          </cell>
          <cell r="H2852">
            <v>99.000000000000014</v>
          </cell>
        </row>
        <row r="2853">
          <cell r="D2853" t="str">
            <v>Mão de obra instalação de forro de madeira</v>
          </cell>
          <cell r="H2853">
            <v>150</v>
          </cell>
        </row>
        <row r="2854">
          <cell r="D2854" t="str">
            <v>Forro de Mármore Natural - Material e Mão de Obra</v>
          </cell>
          <cell r="H2854">
            <v>1080</v>
          </cell>
        </row>
        <row r="2855">
          <cell r="D2855" t="str">
            <v>Mármore Natural</v>
          </cell>
          <cell r="H2855">
            <v>880.00000000000011</v>
          </cell>
        </row>
        <row r="2856">
          <cell r="D2856" t="str">
            <v>Mão de obra para aplicação de Mármore em teto</v>
          </cell>
          <cell r="H2856">
            <v>200</v>
          </cell>
        </row>
        <row r="2857">
          <cell r="D2857" t="str">
            <v>Forro de Mármore Travertino Romano - Material e Mão de Obra</v>
          </cell>
          <cell r="H2857">
            <v>1630.0000000000002</v>
          </cell>
        </row>
        <row r="2858">
          <cell r="D2858" t="str">
            <v>Mármore Travertino Romano</v>
          </cell>
          <cell r="H2858">
            <v>1430.0000000000002</v>
          </cell>
        </row>
        <row r="2859">
          <cell r="D2859" t="str">
            <v>Mão de obra para aplicação de Mármore em teto</v>
          </cell>
          <cell r="H2859">
            <v>200</v>
          </cell>
        </row>
        <row r="2860">
          <cell r="D2860" t="str">
            <v>Forro de Porcelanato - Material e Mão de Obra</v>
          </cell>
          <cell r="H2860">
            <v>273.44749999999999</v>
          </cell>
        </row>
        <row r="2861">
          <cell r="D2861" t="str">
            <v>Revestimento de parede em porcelanato, placa 30x90cm</v>
          </cell>
          <cell r="H2861">
            <v>123.44750000000002</v>
          </cell>
        </row>
        <row r="2862">
          <cell r="D2862" t="str">
            <v>Mão de obra instalação de Porcelanato no teto</v>
          </cell>
          <cell r="H2862">
            <v>150</v>
          </cell>
        </row>
        <row r="2863">
          <cell r="D2863" t="str">
            <v>FORRO DRYWALL 48 mm - PLACA ST - Material e Mão de obra</v>
          </cell>
          <cell r="H2863">
            <v>160.06444450000001</v>
          </cell>
        </row>
        <row r="2864">
          <cell r="D2864" t="str">
            <v>SERVICO - CONFECCAO SHAFT GESSO</v>
          </cell>
          <cell r="H2864">
            <v>70</v>
          </cell>
        </row>
        <row r="2865">
          <cell r="D2865" t="str">
            <v>PLACA / CHAPA DE GESSO ACARTONADO, STANDARD (ST), COR BRANCA, E = 12,5 MM, 1200 X 2400 MM (L X C)</v>
          </cell>
          <cell r="H2865">
            <v>22.296960000000002</v>
          </cell>
        </row>
        <row r="2866">
          <cell r="D2866" t="str">
            <v>PINO DE ACO COM ARRUELA CONICA, DIAMETRO ARRUELA = *23* MM E COMP HASTE = *27* MM (ACAO INDIRETA)</v>
          </cell>
          <cell r="H2866">
            <v>2.9836800000000001</v>
          </cell>
        </row>
        <row r="2867">
          <cell r="D2867" t="str">
            <v>PERFIL GUIA, FORMATO U, EM ACO ZINCADO, PARA ESTRUTURA PAREDE DRYWALL, E = 0,5 MM, 48 X 3000 MM (L X C)</v>
          </cell>
          <cell r="H2867">
            <v>12.818502000000001</v>
          </cell>
        </row>
        <row r="2868">
          <cell r="D2868" t="str">
            <v>PERFIL MONTANTE, FORMATO C, EM ACO ZINCADO, PARA ESTRUTURA PAREDE DRYWALL, E = 0,5 MM, 48 X 3000 MM (L X C)</v>
          </cell>
          <cell r="H2868">
            <v>46.505844000000003</v>
          </cell>
        </row>
        <row r="2869">
          <cell r="D2869" t="str">
            <v>MASSA DE REJUNTE EM PO PARA DRYWALL, A BASE DE GESSO, SECAGEM RAPIDA, PARA TRATAMENTO DE JUNTAS DE CHAPA DE GESSO (NECESSITA ADICAO DE AGUA)</v>
          </cell>
          <cell r="H2869">
            <v>1.8827270000000003</v>
          </cell>
        </row>
        <row r="2870">
          <cell r="D2870" t="str">
            <v>FITA DE PAPEL MICROPERFURADO, 50 X 150 MM, PARA TRATAMENTO DE JUNTAS DE CHAPA DE GESSO PARA DRYWALL</v>
          </cell>
          <cell r="H2870">
            <v>0.3879185</v>
          </cell>
        </row>
        <row r="2871">
          <cell r="D2871" t="str">
            <v>FITA DE PAPEL REFORCADA COM LAMINA DE METAL PARA REFORCO DE CANTOS DE CHAPA DE GESSO PARA DRYWALL</v>
          </cell>
          <cell r="H2871">
            <v>2.1715870000000002</v>
          </cell>
        </row>
        <row r="2872">
          <cell r="D2872" t="str">
            <v>PARAFUSO DRY WALL, EM ACO FOSFATIZADO, CABECA TROMBETA E PONTA AGULHA (TA), COMPRIMENTO 25 MM</v>
          </cell>
          <cell r="H2872">
            <v>0.90840600000000005</v>
          </cell>
        </row>
        <row r="2873">
          <cell r="D2873" t="str">
            <v>PARAFUSO DRY WALL, EM ACO ZINCADO, CABECA LENTILHA E PONTA BROCA (LB), LARGURA 4,2 MM, COMPRIMENTO 13 MM</v>
          </cell>
          <cell r="H2873">
            <v>0.10882000000000001</v>
          </cell>
        </row>
        <row r="2874">
          <cell r="D2874" t="str">
            <v>Forro de gesso modular - material e mão de obra</v>
          </cell>
          <cell r="H2874">
            <v>160</v>
          </cell>
        </row>
        <row r="2875">
          <cell r="D2875" t="str">
            <v>Forro de gesso modular - material e mão de obra</v>
          </cell>
          <cell r="H2875">
            <v>160</v>
          </cell>
        </row>
        <row r="2876">
          <cell r="D2876" t="str">
            <v>Forro modular com Placa de fibra mineral - Material e Mão de obra</v>
          </cell>
          <cell r="H2876">
            <v>313.69355000000002</v>
          </cell>
        </row>
        <row r="2877">
          <cell r="D2877" t="str">
            <v>SERVICO - CONFECCAO FORRO MODULAR</v>
          </cell>
          <cell r="H2877">
            <v>70</v>
          </cell>
        </row>
        <row r="2878">
          <cell r="D2878" t="str">
            <v>Forro De Fibra Mineral Armstrong Ceilings Scala Square 625 X 625 X 16mm</v>
          </cell>
          <cell r="H2878">
            <v>99.75</v>
          </cell>
        </row>
        <row r="2879">
          <cell r="D2879" t="str">
            <v>Perfil metálico “T” principal 38x24 mm</v>
          </cell>
          <cell r="H2879">
            <v>44.4</v>
          </cell>
        </row>
        <row r="2880">
          <cell r="D2880" t="str">
            <v>Cantoneira perimetral galvanizada</v>
          </cell>
          <cell r="H2880">
            <v>11.8521</v>
          </cell>
        </row>
        <row r="2881">
          <cell r="D2881" t="str">
            <v>Arame galvanizado nº 12 e presilhas</v>
          </cell>
          <cell r="H2881">
            <v>87.417000000000002</v>
          </cell>
        </row>
        <row r="2882">
          <cell r="D2882" t="str">
            <v>Buchas e parafusos</v>
          </cell>
          <cell r="H2882">
            <v>0.27445000000000003</v>
          </cell>
        </row>
        <row r="2883">
          <cell r="D2883" t="str">
            <v>Forro Knauf Cleaneo A1 (gesso acústico perfurado)</v>
          </cell>
          <cell r="H2883">
            <v>180</v>
          </cell>
        </row>
        <row r="2884">
          <cell r="D2884" t="str">
            <v>Forro Knauf Cleaneo A1 (gesso acústico perfurado)</v>
          </cell>
          <cell r="H2884">
            <v>180</v>
          </cell>
        </row>
        <row r="2885">
          <cell r="D2885" t="str">
            <v>Revestimento em Tetos ,  Pastilha Bege 2,5X2,5Cm</v>
          </cell>
          <cell r="H2885">
            <v>262.85377500000004</v>
          </cell>
        </row>
        <row r="2886">
          <cell r="D2886" t="str">
            <v>Revestimento Pastilha 2,5x2,5cm</v>
          </cell>
          <cell r="H2886">
            <v>256.70700000000005</v>
          </cell>
        </row>
        <row r="2887">
          <cell r="D2887" t="str">
            <v>Argamassa ACIII</v>
          </cell>
          <cell r="H2887">
            <v>5.2692750000000004</v>
          </cell>
        </row>
        <row r="2888">
          <cell r="D2888" t="str">
            <v>Espeçador junta piso 2mm</v>
          </cell>
          <cell r="H2888">
            <v>0.32</v>
          </cell>
        </row>
        <row r="2889">
          <cell r="D2889" t="str">
            <v>Rejunte Cimentício</v>
          </cell>
          <cell r="H2889">
            <v>0.5575</v>
          </cell>
        </row>
        <row r="2890">
          <cell r="D2890" t="str">
            <v>Revestimento em Cerâmicas Vulcano Cinza em Teto, 61x 61cm com Junta de 3mm</v>
          </cell>
          <cell r="H2890">
            <v>78.582000000000008</v>
          </cell>
        </row>
        <row r="2891">
          <cell r="D2891" t="str">
            <v>Cerâmica Vulcano Cinza 61x61</v>
          </cell>
          <cell r="H2891">
            <v>69.949000000000012</v>
          </cell>
        </row>
        <row r="2892">
          <cell r="D2892" t="str">
            <v>Argamassa ACII</v>
          </cell>
          <cell r="H2892">
            <v>8.36</v>
          </cell>
        </row>
        <row r="2893">
          <cell r="D2893" t="str">
            <v>Espeçador junta piso 3mm</v>
          </cell>
          <cell r="H2893">
            <v>0.05</v>
          </cell>
        </row>
        <row r="2894">
          <cell r="D2894" t="str">
            <v>Rejunte Cimentício</v>
          </cell>
          <cell r="H2894">
            <v>0.223</v>
          </cell>
        </row>
        <row r="2895">
          <cell r="D2895" t="str">
            <v>Revestimento de cerâmico em Teto, Placa 31 x 54cm com Junta de 2mm e rejunte acrilico</v>
          </cell>
          <cell r="H2895">
            <v>89.938599999999994</v>
          </cell>
        </row>
        <row r="2896">
          <cell r="D2896" t="str">
            <v>Cerâmica Brilhante Metrô 31x54cm Savane</v>
          </cell>
          <cell r="H2896">
            <v>79.893000000000001</v>
          </cell>
        </row>
        <row r="2897">
          <cell r="D2897" t="str">
            <v>Argamassa ACIII</v>
          </cell>
          <cell r="H2897">
            <v>9.3676000000000013</v>
          </cell>
        </row>
        <row r="2898">
          <cell r="D2898" t="str">
            <v>Espeçador junta piso 2mm</v>
          </cell>
          <cell r="H2898">
            <v>0.24</v>
          </cell>
        </row>
        <row r="2899">
          <cell r="D2899" t="str">
            <v>Rejunte acrilico</v>
          </cell>
          <cell r="H2899">
            <v>0.438</v>
          </cell>
        </row>
        <row r="2900">
          <cell r="D2900" t="str">
            <v>Revestimento de cerâmico retificado em Teto, Placa 60 x 60cm com Junta de 2mm e rejunte acrilico</v>
          </cell>
          <cell r="H2900">
            <v>61.838600000000007</v>
          </cell>
        </row>
        <row r="2901">
          <cell r="D2901" t="str">
            <v>Cer. Karina Artisan 60305 Act. 60x60 Ret</v>
          </cell>
          <cell r="H2901">
            <v>51.953000000000003</v>
          </cell>
        </row>
        <row r="2902">
          <cell r="D2902" t="str">
            <v>Argamassa ACIII</v>
          </cell>
          <cell r="H2902">
            <v>9.3676000000000013</v>
          </cell>
        </row>
        <row r="2903">
          <cell r="D2903" t="str">
            <v>Espeçador junta piso 2mm</v>
          </cell>
          <cell r="H2903">
            <v>0.08</v>
          </cell>
        </row>
        <row r="2904">
          <cell r="D2904" t="str">
            <v>Rejunte acrilico</v>
          </cell>
          <cell r="H2904">
            <v>0.438</v>
          </cell>
        </row>
        <row r="2905">
          <cell r="D2905" t="str">
            <v>Revestimento em Tetos ,  Vinilico - Material e Mão de obra</v>
          </cell>
          <cell r="H2905">
            <v>269.76</v>
          </cell>
        </row>
        <row r="2906">
          <cell r="D2906" t="str">
            <v>PISO VINILICO FLAMBOYANT REGUÁ 208x1230mm TARKETT - MATERIAL E MÃO DE OBRA</v>
          </cell>
          <cell r="H2906">
            <v>269.76</v>
          </cell>
        </row>
        <row r="2907">
          <cell r="D2907" t="str">
            <v>Revestimento em Tetos ,  ACM - Material e Mão de obra</v>
          </cell>
          <cell r="H2907">
            <v>986.4</v>
          </cell>
        </row>
        <row r="2908">
          <cell r="D2908" t="str">
            <v>Acabamento em ACM em tetos - Material e mão de obra</v>
          </cell>
          <cell r="H2908">
            <v>986.4</v>
          </cell>
        </row>
        <row r="2909">
          <cell r="D2909" t="str">
            <v xml:space="preserve">Revestimento em Tetos, Marcenaria, incluindo chapa de 18mm, acessorios para instalação - Material e Mão de Obra </v>
          </cell>
          <cell r="H2909">
            <v>613</v>
          </cell>
        </row>
        <row r="2910">
          <cell r="D2910" t="str">
            <v xml:space="preserve">Revestimento em Marcenaria, incluindo chapa de 18mm, acessorios para instalação - Material e Mão de Obra </v>
          </cell>
          <cell r="H2910">
            <v>613</v>
          </cell>
        </row>
        <row r="2911">
          <cell r="D2911" t="str">
            <v>MÃO DE OBRA</v>
          </cell>
          <cell r="H2911">
            <v>0</v>
          </cell>
        </row>
        <row r="2912">
          <cell r="D2912" t="str">
            <v>Mão de obra execução de estucamento em teto</v>
          </cell>
          <cell r="H2912">
            <v>25</v>
          </cell>
        </row>
        <row r="2913">
          <cell r="D2913" t="str">
            <v>Mão de obra execução de estucamento em teto</v>
          </cell>
          <cell r="H2913">
            <v>25</v>
          </cell>
        </row>
        <row r="2914">
          <cell r="D2914" t="str">
            <v>Mão de obra execução de Reboco em teto</v>
          </cell>
          <cell r="H2914">
            <v>40</v>
          </cell>
        </row>
        <row r="2915">
          <cell r="D2915" t="str">
            <v>Mão de obra execução de Reboco em teto</v>
          </cell>
          <cell r="H2915">
            <v>40</v>
          </cell>
        </row>
        <row r="2916">
          <cell r="D2916" t="str">
            <v>Revestimento cerâmico em tetos</v>
          </cell>
          <cell r="H2916">
            <v>75</v>
          </cell>
        </row>
        <row r="2917">
          <cell r="D2917" t="str">
            <v>Revestimento cerâmico em tetos</v>
          </cell>
          <cell r="H2917">
            <v>75</v>
          </cell>
        </row>
        <row r="2918">
          <cell r="D2918" t="str">
            <v>PISOS E PAVIMENTAÇÕES</v>
          </cell>
          <cell r="H2918">
            <v>0</v>
          </cell>
        </row>
        <row r="2919">
          <cell r="D2919" t="str">
            <v>ENCHIMENTOS</v>
          </cell>
          <cell r="H2919">
            <v>0</v>
          </cell>
        </row>
        <row r="2920">
          <cell r="D2920" t="str">
            <v>Enchimento de EPS em laje</v>
          </cell>
          <cell r="H2920">
            <v>166.66666666666666</v>
          </cell>
        </row>
        <row r="2921">
          <cell r="D2921" t="str">
            <v>Isopor Eps Nivelamento Laje Contra Piso 1000x330x110mm</v>
          </cell>
          <cell r="H2921">
            <v>166.66666666666666</v>
          </cell>
        </row>
        <row r="2922">
          <cell r="D2922" t="str">
            <v>Enchimento de escada com Concreto Magro, e=10cm</v>
          </cell>
          <cell r="H2922">
            <v>495.24700000000001</v>
          </cell>
        </row>
        <row r="2923">
          <cell r="D2923" t="str">
            <v>CONCRETO MAGRO PARA LASTRO</v>
          </cell>
          <cell r="H2923">
            <v>452.48700000000002</v>
          </cell>
        </row>
        <row r="2924">
          <cell r="D2924" t="str">
            <v>serviço de bombeamento</v>
          </cell>
          <cell r="H2924">
            <v>42</v>
          </cell>
        </row>
        <row r="2925">
          <cell r="D2925" t="str">
            <v>Cimento Portland Composto CP II-32</v>
          </cell>
          <cell r="H2925">
            <v>0.76</v>
          </cell>
        </row>
        <row r="2926">
          <cell r="D2926" t="str">
            <v>Enchimento de piso - com areia média - Material e Mão de obra</v>
          </cell>
          <cell r="H2926">
            <v>189.29999999999998</v>
          </cell>
        </row>
        <row r="2927">
          <cell r="D2927" t="str">
            <v>Mão de obra de enchimento de piso</v>
          </cell>
          <cell r="H2927">
            <v>16.75</v>
          </cell>
        </row>
        <row r="2928">
          <cell r="D2928" t="str">
            <v>AREIA MEDIA</v>
          </cell>
          <cell r="H2928">
            <v>172.54999999999998</v>
          </cell>
        </row>
        <row r="2929">
          <cell r="D2929" t="str">
            <v>Revestimento de Piso Elevado</v>
          </cell>
          <cell r="H2929">
            <v>296.7</v>
          </cell>
        </row>
        <row r="2930">
          <cell r="D2930" t="str">
            <v>Piso elevado</v>
          </cell>
          <cell r="H2930">
            <v>146.69999999999999</v>
          </cell>
        </row>
        <row r="2931">
          <cell r="D2931" t="str">
            <v>Mão de obra execução de piso elevado</v>
          </cell>
          <cell r="H2931">
            <v>150</v>
          </cell>
        </row>
        <row r="2932">
          <cell r="D2932" t="str">
            <v xml:space="preserve">Revestimento de Piso Lajota  </v>
          </cell>
          <cell r="H2932">
            <v>233.42500000000001</v>
          </cell>
        </row>
        <row r="2933">
          <cell r="D2933" t="str">
            <v>BLOCO CERÂMICO - 14X19X19cm</v>
          </cell>
          <cell r="H2933">
            <v>72.8</v>
          </cell>
        </row>
        <row r="2934">
          <cell r="D2934" t="str">
            <v>ARGAMASSA ESTABILIZADA PARA ASSENTAMENTO</v>
          </cell>
          <cell r="H2934">
            <v>10.625</v>
          </cell>
        </row>
        <row r="2935">
          <cell r="D2935" t="str">
            <v>Mão de obra execução de piso elevado</v>
          </cell>
          <cell r="H2935">
            <v>150</v>
          </cell>
        </row>
        <row r="2936">
          <cell r="D2936" t="str">
            <v>CONTRAPISO AUTONIVELANTE</v>
          </cell>
          <cell r="H2936">
            <v>0</v>
          </cell>
        </row>
        <row r="2937">
          <cell r="D2937" t="str">
            <v>Contrapiso comum em argamassa estabilizada, auto nivelado, espessura 2cm</v>
          </cell>
          <cell r="H2937">
            <v>21.086140000000004</v>
          </cell>
        </row>
        <row r="2938">
          <cell r="D2938" t="str">
            <v>Argamassa usninada para contrapiso nivelada</v>
          </cell>
          <cell r="H2938">
            <v>11.330000000000002</v>
          </cell>
        </row>
        <row r="2939">
          <cell r="D2939" t="str">
            <v>Aditivo Adesivo Liquido Para Argamassas De Revestimentos Cimenticios</v>
          </cell>
          <cell r="H2939">
            <v>0.40614</v>
          </cell>
        </row>
        <row r="2940">
          <cell r="D2940" t="str">
            <v xml:space="preserve">Cimento Autonivelante para Contrapiso </v>
          </cell>
          <cell r="H2940">
            <v>9.3500000000000014</v>
          </cell>
        </row>
        <row r="2941">
          <cell r="D2941" t="str">
            <v>Contrapiso comum em argamassa estabilizada, auto nivelado, espessura 2,5cm</v>
          </cell>
          <cell r="H2941">
            <v>23.918640000000003</v>
          </cell>
        </row>
        <row r="2942">
          <cell r="D2942" t="str">
            <v>Argamassa usninada para contrapiso nivelada</v>
          </cell>
          <cell r="H2942">
            <v>14.162500000000001</v>
          </cell>
        </row>
        <row r="2943">
          <cell r="D2943" t="str">
            <v>Aditivo Adesivo Liquido Para Argamassas De Revestimentos Cimenticios</v>
          </cell>
          <cell r="H2943">
            <v>0.40614</v>
          </cell>
        </row>
        <row r="2944">
          <cell r="D2944" t="str">
            <v xml:space="preserve">Cimento Autonivelante para Contrapiso </v>
          </cell>
          <cell r="H2944">
            <v>9.3500000000000014</v>
          </cell>
        </row>
        <row r="2945">
          <cell r="D2945" t="str">
            <v>Contrapiso comum em argamassa estabilizada, auto nivelado, espessura 4cm</v>
          </cell>
          <cell r="H2945">
            <v>35.668186666666671</v>
          </cell>
        </row>
        <row r="2946">
          <cell r="D2946" t="str">
            <v>Argamassa usninada para contrapiso nivelada</v>
          </cell>
          <cell r="H2946">
            <v>22.660000000000004</v>
          </cell>
        </row>
        <row r="2947">
          <cell r="D2947" t="str">
            <v>Aditivo Adesivo Liquido Para Argamassas De Revestimentos Cimenticios</v>
          </cell>
          <cell r="H2947">
            <v>0.54152</v>
          </cell>
        </row>
        <row r="2948">
          <cell r="D2948" t="str">
            <v xml:space="preserve">Cimento Autonivelante para Contrapiso </v>
          </cell>
          <cell r="H2948">
            <v>12.466666666666669</v>
          </cell>
        </row>
        <row r="2949">
          <cell r="D2949" t="str">
            <v>Contrapiso comum em argamassa estabilizada, auto nivelado, espessura 3cm</v>
          </cell>
          <cell r="H2949">
            <v>26.751140000000003</v>
          </cell>
        </row>
        <row r="2950">
          <cell r="D2950" t="str">
            <v>Argamassa usninada para contrapiso nivelada</v>
          </cell>
          <cell r="H2950">
            <v>16.995000000000001</v>
          </cell>
        </row>
        <row r="2951">
          <cell r="D2951" t="str">
            <v>Aditivo Adesivo Liquido Para Argamassas De Revestimentos Cimenticios</v>
          </cell>
          <cell r="H2951">
            <v>0.40614</v>
          </cell>
        </row>
        <row r="2952">
          <cell r="D2952" t="str">
            <v xml:space="preserve">Cimento Autonivelante para Contrapiso </v>
          </cell>
          <cell r="H2952">
            <v>9.3500000000000014</v>
          </cell>
        </row>
        <row r="2953">
          <cell r="D2953" t="str">
            <v>Contrapiso comum em argamassa estabilizada, auto nivelado, espessura 5cm</v>
          </cell>
          <cell r="H2953">
            <v>44.585233333333335</v>
          </cell>
        </row>
        <row r="2954">
          <cell r="D2954" t="str">
            <v>Argamassa usninada para contrapiso nivelada</v>
          </cell>
          <cell r="H2954">
            <v>28.324999999999999</v>
          </cell>
        </row>
        <row r="2955">
          <cell r="D2955" t="str">
            <v>Aditivo Adesivo Liquido Para Argamassas De Revestimentos Cimenticios</v>
          </cell>
          <cell r="H2955">
            <v>0.67690000000000006</v>
          </cell>
        </row>
        <row r="2956">
          <cell r="D2956" t="str">
            <v xml:space="preserve">Cimento Autonivelante para Contrapiso </v>
          </cell>
          <cell r="H2956">
            <v>15.583333333333332</v>
          </cell>
        </row>
        <row r="2957">
          <cell r="D2957" t="str">
            <v>Contrapiso comum em argamassa estabilizada, auto nivelado, espessura 8cm</v>
          </cell>
          <cell r="H2957">
            <v>69.276373333333339</v>
          </cell>
        </row>
        <row r="2958">
          <cell r="D2958" t="str">
            <v>Argamassa usninada para contrapiso nivelada</v>
          </cell>
          <cell r="H2958">
            <v>43.260000000000005</v>
          </cell>
        </row>
        <row r="2959">
          <cell r="D2959" t="str">
            <v>Aditivo Adesivo Liquido Para Argamassas De Revestimentos Cimenticios</v>
          </cell>
          <cell r="H2959">
            <v>1.08304</v>
          </cell>
        </row>
        <row r="2960">
          <cell r="D2960" t="str">
            <v xml:space="preserve">Cimento Autonivelante para Contrapiso </v>
          </cell>
          <cell r="H2960">
            <v>24.933333333333337</v>
          </cell>
        </row>
        <row r="2961">
          <cell r="D2961" t="str">
            <v>CONTRAPISO COMUM ARGAMASSA USINADA</v>
          </cell>
          <cell r="H2961">
            <v>0</v>
          </cell>
        </row>
        <row r="2962">
          <cell r="D2962" t="str">
            <v>Contrapiso comum em argamassa estabilizada, nao aderido, espessura 1,5cm</v>
          </cell>
          <cell r="H2962">
            <v>9.8611400000000025</v>
          </cell>
        </row>
        <row r="2963">
          <cell r="D2963" t="str">
            <v>Argamassa usninada para contrapiso</v>
          </cell>
          <cell r="H2963">
            <v>9.0750000000000011</v>
          </cell>
        </row>
        <row r="2964">
          <cell r="D2964" t="str">
            <v>Aditivo Adesivo Liquido Para Argamassas De Revestimentos Cimenticios</v>
          </cell>
          <cell r="H2964">
            <v>0.40614</v>
          </cell>
        </row>
        <row r="2965">
          <cell r="D2965" t="str">
            <v>Cimento Portland Composto CP II-32</v>
          </cell>
          <cell r="H2965">
            <v>0.38</v>
          </cell>
        </row>
        <row r="2966">
          <cell r="D2966" t="str">
            <v>Contrapiso comum em argamassa estabilizada, nao aderido, espessura 2cm</v>
          </cell>
          <cell r="H2966">
            <v>12.886140000000003</v>
          </cell>
        </row>
        <row r="2967">
          <cell r="D2967" t="str">
            <v>Argamassa usninada para contrapiso</v>
          </cell>
          <cell r="H2967">
            <v>12.100000000000001</v>
          </cell>
        </row>
        <row r="2968">
          <cell r="D2968" t="str">
            <v>Aditivo Adesivo Liquido Para Argamassas De Revestimentos Cimenticios</v>
          </cell>
          <cell r="H2968">
            <v>0.40614</v>
          </cell>
        </row>
        <row r="2969">
          <cell r="D2969" t="str">
            <v>Cimento Portland Composto CP II-32</v>
          </cell>
          <cell r="H2969">
            <v>0.38</v>
          </cell>
        </row>
        <row r="2970">
          <cell r="D2970" t="str">
            <v>Contrapiso comum em argamassa estabilizada, nao aderido, espessura 2,5cm</v>
          </cell>
          <cell r="H2970">
            <v>15.911140000000003</v>
          </cell>
        </row>
        <row r="2971">
          <cell r="D2971" t="str">
            <v>Argamassa usninada para contrapiso</v>
          </cell>
          <cell r="H2971">
            <v>15.125000000000002</v>
          </cell>
        </row>
        <row r="2972">
          <cell r="D2972" t="str">
            <v>Aditivo Adesivo Liquido Para Argamassas De Revestimentos Cimenticios</v>
          </cell>
          <cell r="H2972">
            <v>0.40614</v>
          </cell>
        </row>
        <row r="2973">
          <cell r="D2973" t="str">
            <v>Cimento Portland Composto CP II-32</v>
          </cell>
          <cell r="H2973">
            <v>0.38</v>
          </cell>
        </row>
        <row r="2974">
          <cell r="D2974" t="str">
            <v>Contrapiso comum em argamassa estabilizada, nao aderido, espessura 3cm</v>
          </cell>
          <cell r="H2974">
            <v>18.936140000000002</v>
          </cell>
        </row>
        <row r="2975">
          <cell r="D2975" t="str">
            <v>Argamassa usninada para contrapiso</v>
          </cell>
          <cell r="H2975">
            <v>18.150000000000002</v>
          </cell>
        </row>
        <row r="2976">
          <cell r="D2976" t="str">
            <v>Aditivo Adesivo Liquido Para Argamassas De Revestimentos Cimenticios</v>
          </cell>
          <cell r="H2976">
            <v>0.40614</v>
          </cell>
        </row>
        <row r="2977">
          <cell r="D2977" t="str">
            <v>Cimento Portland Composto CP II-32</v>
          </cell>
          <cell r="H2977">
            <v>0.38</v>
          </cell>
        </row>
        <row r="2978">
          <cell r="D2978" t="str">
            <v>Contrapiso comum em argamassa estabilizada, nao aderido, espessura 3,5cm</v>
          </cell>
          <cell r="H2978">
            <v>21.961140000000004</v>
          </cell>
        </row>
        <row r="2979">
          <cell r="D2979" t="str">
            <v>Argamassa usninada para contrapiso</v>
          </cell>
          <cell r="H2979">
            <v>21.175000000000004</v>
          </cell>
        </row>
        <row r="2980">
          <cell r="D2980" t="str">
            <v>Aditivo Adesivo Liquido Para Argamassas De Revestimentos Cimenticios</v>
          </cell>
          <cell r="H2980">
            <v>0.40614</v>
          </cell>
        </row>
        <row r="2981">
          <cell r="D2981" t="str">
            <v>Cimento Portland Composto CP II-32</v>
          </cell>
          <cell r="H2981">
            <v>0.38</v>
          </cell>
        </row>
        <row r="2982">
          <cell r="D2982" t="str">
            <v>Contrapiso comum em argamassa estabilizada, nao aderido, espessura 4cm</v>
          </cell>
          <cell r="H2982">
            <v>24.986140000000002</v>
          </cell>
        </row>
        <row r="2983">
          <cell r="D2983" t="str">
            <v>Argamassa usninada para contrapiso</v>
          </cell>
          <cell r="H2983">
            <v>24.200000000000003</v>
          </cell>
        </row>
        <row r="2984">
          <cell r="D2984" t="str">
            <v>Aditivo Adesivo Liquido Para Argamassas De Revestimentos Cimenticios</v>
          </cell>
          <cell r="H2984">
            <v>0.40614</v>
          </cell>
        </row>
        <row r="2985">
          <cell r="D2985" t="str">
            <v>Cimento Portland Composto CP II-32</v>
          </cell>
          <cell r="H2985">
            <v>0.38</v>
          </cell>
        </row>
        <row r="2986">
          <cell r="D2986" t="str">
            <v>Contrapiso comum em argamassa estabilizada, nao aderido, espessura 5cm</v>
          </cell>
          <cell r="H2986">
            <v>31.560233333333336</v>
          </cell>
        </row>
        <row r="2987">
          <cell r="D2987" t="str">
            <v>Argamassa usninada para contrapiso</v>
          </cell>
          <cell r="H2987">
            <v>30.250000000000004</v>
          </cell>
        </row>
        <row r="2988">
          <cell r="D2988" t="str">
            <v>Aditivo Adesivo Liquido Para Argamassas De Revestimentos Cimenticios</v>
          </cell>
          <cell r="H2988">
            <v>0.67690000000000006</v>
          </cell>
        </row>
        <row r="2989">
          <cell r="D2989" t="str">
            <v>Cimento Portland Composto CP II-32</v>
          </cell>
          <cell r="H2989">
            <v>0.63333333333333341</v>
          </cell>
        </row>
        <row r="2990">
          <cell r="D2990" t="str">
            <v>Contrapiso comum em argamassa estabilizada, nao aderido, espessura 5,5cm</v>
          </cell>
          <cell r="H2990">
            <v>34.716256666666673</v>
          </cell>
        </row>
        <row r="2991">
          <cell r="D2991" t="str">
            <v>Argamassa usninada para contrapiso</v>
          </cell>
          <cell r="H2991">
            <v>33.275000000000006</v>
          </cell>
        </row>
        <row r="2992">
          <cell r="D2992" t="str">
            <v>Aditivo Adesivo Liquido Para Argamassas De Revestimentos Cimenticios</v>
          </cell>
          <cell r="H2992">
            <v>0.74459000000000009</v>
          </cell>
        </row>
        <row r="2993">
          <cell r="D2993" t="str">
            <v>Cimento Portland Composto CP II-32</v>
          </cell>
          <cell r="H2993">
            <v>0.69666666666666677</v>
          </cell>
        </row>
        <row r="2994">
          <cell r="D2994" t="str">
            <v>Contrapiso comum em argamassa estabilizada, nao aderido, espessura 6cm</v>
          </cell>
          <cell r="H2994">
            <v>37.872280000000003</v>
          </cell>
        </row>
        <row r="2995">
          <cell r="D2995" t="str">
            <v>Argamassa usninada para contrapiso</v>
          </cell>
          <cell r="H2995">
            <v>36.300000000000004</v>
          </cell>
        </row>
        <row r="2996">
          <cell r="D2996" t="str">
            <v>Aditivo Adesivo Liquido Para Argamassas De Revestimentos Cimenticios</v>
          </cell>
          <cell r="H2996">
            <v>0.81228</v>
          </cell>
        </row>
        <row r="2997">
          <cell r="D2997" t="str">
            <v>Cimento Portland Composto CP II-32</v>
          </cell>
          <cell r="H2997">
            <v>0.76</v>
          </cell>
        </row>
        <row r="2998">
          <cell r="D2998" t="str">
            <v>Contrapiso comum em argamassa estabilizada, nao aderido, espessura 7cm</v>
          </cell>
          <cell r="H2998">
            <v>45.494560000000014</v>
          </cell>
        </row>
        <row r="2999">
          <cell r="D2999" t="str">
            <v>Argamassa usninada para contrapiso</v>
          </cell>
          <cell r="H2999">
            <v>42.350000000000009</v>
          </cell>
        </row>
        <row r="3000">
          <cell r="D3000" t="str">
            <v>Aditivo Adesivo Liquido Para Argamassas De Revestimentos Cimenticios</v>
          </cell>
          <cell r="H3000">
            <v>1.62456</v>
          </cell>
        </row>
        <row r="3001">
          <cell r="D3001" t="str">
            <v>Cimento Portland Composto CP II-32</v>
          </cell>
          <cell r="H3001">
            <v>1.52</v>
          </cell>
        </row>
        <row r="3002">
          <cell r="D3002" t="str">
            <v>Contrapiso comum em argamassa estabilizada, nao aderido, espessura 8cm</v>
          </cell>
          <cell r="H3002">
            <v>51.544560000000011</v>
          </cell>
        </row>
        <row r="3003">
          <cell r="D3003" t="str">
            <v>Argamassa usninada para contrapiso</v>
          </cell>
          <cell r="H3003">
            <v>48.400000000000006</v>
          </cell>
        </row>
        <row r="3004">
          <cell r="D3004" t="str">
            <v>Aditivo Adesivo Liquido Para Argamassas De Revestimentos Cimenticios</v>
          </cell>
          <cell r="H3004">
            <v>1.62456</v>
          </cell>
        </row>
        <row r="3005">
          <cell r="D3005" t="str">
            <v>Cimento Portland Composto CP II-32</v>
          </cell>
          <cell r="H3005">
            <v>1.52</v>
          </cell>
        </row>
        <row r="3006">
          <cell r="D3006" t="str">
            <v>Contrapiso comum em argamassa estabilizada, nao aderido, espessura 10cm</v>
          </cell>
          <cell r="H3006">
            <v>64.430700000000002</v>
          </cell>
        </row>
        <row r="3007">
          <cell r="D3007" t="str">
            <v>Argamassa usninada para contrapiso</v>
          </cell>
          <cell r="H3007">
            <v>60.499999999999993</v>
          </cell>
        </row>
        <row r="3008">
          <cell r="D3008" t="str">
            <v>Aditivo Adesivo Liquido Para Argamassas De Revestimentos Cimenticios</v>
          </cell>
          <cell r="H3008">
            <v>2.0306999999999999</v>
          </cell>
        </row>
        <row r="3009">
          <cell r="D3009" t="str">
            <v>Cimento Portland Composto CP II-32</v>
          </cell>
          <cell r="H3009">
            <v>1.9</v>
          </cell>
        </row>
        <row r="3010">
          <cell r="D3010" t="str">
            <v>Contrapiso comum em argamassa estabilizada, nao aderido, espessura 12cm</v>
          </cell>
          <cell r="H3010">
            <v>77.316839999999999</v>
          </cell>
        </row>
        <row r="3011">
          <cell r="D3011" t="str">
            <v>Argamassa usninada para contrapiso</v>
          </cell>
          <cell r="H3011">
            <v>72.599999999999994</v>
          </cell>
        </row>
        <row r="3012">
          <cell r="D3012" t="str">
            <v>Aditivo Adesivo Liquido Para Argamassas De Revestimentos Cimenticios</v>
          </cell>
          <cell r="H3012">
            <v>2.4368400000000001</v>
          </cell>
        </row>
        <row r="3013">
          <cell r="D3013" t="str">
            <v>Cimento Portland Composto CP II-32</v>
          </cell>
          <cell r="H3013">
            <v>2.2799999999999998</v>
          </cell>
        </row>
        <row r="3014">
          <cell r="D3014" t="str">
            <v>Contrapiso comum em argamassa estabilizada, nao aderido, espessura 13cm</v>
          </cell>
          <cell r="H3014">
            <v>83.759909999999991</v>
          </cell>
        </row>
        <row r="3015">
          <cell r="D3015" t="str">
            <v>Argamassa usninada para contrapiso</v>
          </cell>
          <cell r="H3015">
            <v>78.649999999999991</v>
          </cell>
        </row>
        <row r="3016">
          <cell r="D3016" t="str">
            <v>Aditivo Adesivo Liquido Para Argamassas De Revestimentos Cimenticios</v>
          </cell>
          <cell r="H3016">
            <v>2.63991</v>
          </cell>
        </row>
        <row r="3017">
          <cell r="D3017" t="str">
            <v>Cimento Portland Composto CP II-32</v>
          </cell>
          <cell r="H3017">
            <v>2.4700000000000002</v>
          </cell>
        </row>
        <row r="3018">
          <cell r="D3018" t="str">
            <v>Contrapiso comum em argamassa estabilizada, nao aderido, espessura 15cm</v>
          </cell>
          <cell r="H3018">
            <v>96.646049999999988</v>
          </cell>
        </row>
        <row r="3019">
          <cell r="D3019" t="str">
            <v>Argamassa usninada para contrapiso</v>
          </cell>
          <cell r="H3019">
            <v>90.75</v>
          </cell>
        </row>
        <row r="3020">
          <cell r="D3020" t="str">
            <v>Aditivo Adesivo Liquido Para Argamassas De Revestimentos Cimenticios</v>
          </cell>
          <cell r="H3020">
            <v>3.0460500000000001</v>
          </cell>
        </row>
        <row r="3021">
          <cell r="D3021" t="str">
            <v>Cimento Portland Composto CP II-32</v>
          </cell>
          <cell r="H3021">
            <v>2.85</v>
          </cell>
        </row>
        <row r="3022">
          <cell r="D3022" t="str">
            <v>CONTRAPISO COMUM ARGAMASSA ENSACADA</v>
          </cell>
          <cell r="H3022">
            <v>0</v>
          </cell>
        </row>
        <row r="3023">
          <cell r="D3023" t="str">
            <v>Contrapiso comum em argamassa Ensacada virada em obra, espessura 5cm</v>
          </cell>
          <cell r="H3023">
            <v>35.310233333333336</v>
          </cell>
        </row>
        <row r="3024">
          <cell r="D3024" t="str">
            <v>Argamassa ensacada para contrapiso</v>
          </cell>
          <cell r="H3024">
            <v>34</v>
          </cell>
        </row>
        <row r="3025">
          <cell r="D3025" t="str">
            <v>Aditivo Adesivo Liquido Para Argamassas De Revestimentos Cimenticios</v>
          </cell>
          <cell r="H3025">
            <v>0.67690000000000006</v>
          </cell>
        </row>
        <row r="3026">
          <cell r="D3026" t="str">
            <v>Cimento Portland Composto CP II-32</v>
          </cell>
          <cell r="H3026">
            <v>0.63333333333333341</v>
          </cell>
        </row>
        <row r="3027">
          <cell r="D3027" t="str">
            <v>Contrapiso comum em argamassa Ensacada virada em obra, espessura 8cm</v>
          </cell>
          <cell r="H3027">
            <v>55.972279999999998</v>
          </cell>
        </row>
        <row r="3028">
          <cell r="D3028" t="str">
            <v>Argamassa ensacada para contrapiso</v>
          </cell>
          <cell r="H3028">
            <v>54.4</v>
          </cell>
        </row>
        <row r="3029">
          <cell r="D3029" t="str">
            <v>Aditivo Adesivo Liquido Para Argamassas De Revestimentos Cimenticios</v>
          </cell>
          <cell r="H3029">
            <v>0.81228</v>
          </cell>
        </row>
        <row r="3030">
          <cell r="D3030" t="str">
            <v>Cimento Portland Composto CP II-32</v>
          </cell>
          <cell r="H3030">
            <v>0.76</v>
          </cell>
        </row>
        <row r="3031">
          <cell r="D3031" t="str">
            <v>Contrapiso comum em argamassa Ensacada virada em obra, espessura 10cm</v>
          </cell>
          <cell r="H3031">
            <v>71.144559999999998</v>
          </cell>
        </row>
        <row r="3032">
          <cell r="D3032" t="str">
            <v>Argamassa ensacada para contrapiso</v>
          </cell>
          <cell r="H3032">
            <v>68</v>
          </cell>
        </row>
        <row r="3033">
          <cell r="D3033" t="str">
            <v>Aditivo Adesivo Liquido Para Argamassas De Revestimentos Cimenticios</v>
          </cell>
          <cell r="H3033">
            <v>1.62456</v>
          </cell>
        </row>
        <row r="3034">
          <cell r="D3034" t="str">
            <v>Cimento Portland Composto CP II-32</v>
          </cell>
          <cell r="H3034">
            <v>1.52</v>
          </cell>
        </row>
        <row r="3035">
          <cell r="D3035" t="str">
            <v>Contrapiso comum em argamassa Ensacada virada em obra, espessura 12cm</v>
          </cell>
          <cell r="H3035">
            <v>85.530699999999996</v>
          </cell>
        </row>
        <row r="3036">
          <cell r="D3036" t="str">
            <v>Argamassa ensacada para contrapiso</v>
          </cell>
          <cell r="H3036">
            <v>81.599999999999994</v>
          </cell>
        </row>
        <row r="3037">
          <cell r="D3037" t="str">
            <v>Aditivo Adesivo Liquido Para Argamassas De Revestimentos Cimenticios</v>
          </cell>
          <cell r="H3037">
            <v>2.0306999999999999</v>
          </cell>
        </row>
        <row r="3038">
          <cell r="D3038" t="str">
            <v>Cimento Portland Composto CP II-32</v>
          </cell>
          <cell r="H3038">
            <v>1.9</v>
          </cell>
        </row>
        <row r="3039">
          <cell r="D3039" t="str">
            <v>Contrapiso comum em argamassa Ensacada virada em obra, espessura 13cm</v>
          </cell>
          <cell r="H3039">
            <v>93.116839999999996</v>
          </cell>
        </row>
        <row r="3040">
          <cell r="D3040" t="str">
            <v>Argamassa ensacada para contrapiso</v>
          </cell>
          <cell r="H3040">
            <v>88.399999999999991</v>
          </cell>
        </row>
        <row r="3041">
          <cell r="D3041" t="str">
            <v>Aditivo Adesivo Liquido Para Argamassas De Revestimentos Cimenticios</v>
          </cell>
          <cell r="H3041">
            <v>2.4368400000000001</v>
          </cell>
        </row>
        <row r="3042">
          <cell r="D3042" t="str">
            <v>Cimento Portland Composto CP II-32</v>
          </cell>
          <cell r="H3042">
            <v>2.2799999999999998</v>
          </cell>
        </row>
        <row r="3043">
          <cell r="D3043" t="str">
            <v>Contrapiso comum em argamassa Ensacada virada em obra, espessura 15cm</v>
          </cell>
          <cell r="H3043">
            <v>107.10991</v>
          </cell>
        </row>
        <row r="3044">
          <cell r="D3044" t="str">
            <v>Argamassa ensacada para contrapiso</v>
          </cell>
          <cell r="H3044">
            <v>102</v>
          </cell>
        </row>
        <row r="3045">
          <cell r="D3045" t="str">
            <v>Aditivo Adesivo Liquido Para Argamassas De Revestimentos Cimenticios</v>
          </cell>
          <cell r="H3045">
            <v>2.63991</v>
          </cell>
        </row>
        <row r="3046">
          <cell r="D3046" t="str">
            <v>Cimento Portland Composto CP II-32</v>
          </cell>
          <cell r="H3046">
            <v>2.4700000000000002</v>
          </cell>
        </row>
        <row r="3047">
          <cell r="D3047" t="str">
            <v>ACUSTICCA</v>
          </cell>
          <cell r="H3047">
            <v>0</v>
          </cell>
        </row>
        <row r="3048">
          <cell r="D3048" t="str">
            <v>Acústica para Contrapiso com malha de aço</v>
          </cell>
          <cell r="H3048">
            <v>26.585210000000004</v>
          </cell>
        </row>
        <row r="3049">
          <cell r="D3049" t="str">
            <v>Manta De Polietileno Expandido (Pebd), E = 2 Mm</v>
          </cell>
          <cell r="H3049">
            <v>10.274600000000001</v>
          </cell>
        </row>
        <row r="3050">
          <cell r="D3050" t="str">
            <v>Tela de arame galvanizada, hexagonal, fio 0,56 mm (24 bwg), malha 1/2", h = 1 m</v>
          </cell>
          <cell r="H3050">
            <v>16.31061</v>
          </cell>
        </row>
        <row r="3051">
          <cell r="D3051" t="str">
            <v>Acústica para Contrapiso com malha de aço e manta polipropileno</v>
          </cell>
          <cell r="H3051">
            <v>49.921721111111111</v>
          </cell>
        </row>
        <row r="3052">
          <cell r="D3052" t="str">
            <v>Manta De Polipropileno, E = 10 Mm</v>
          </cell>
          <cell r="H3052">
            <v>33.611111111111114</v>
          </cell>
        </row>
        <row r="3053">
          <cell r="D3053" t="str">
            <v>Tela de arame galvanizada, hexagonal, fio 0,56 mm (24 bwg), malha 1/2", h = 1 m</v>
          </cell>
          <cell r="H3053">
            <v>16.31061</v>
          </cell>
        </row>
        <row r="3054">
          <cell r="D3054" t="str">
            <v>Acústica para Contrapiso anti-impacto</v>
          </cell>
          <cell r="H3054">
            <v>38.118383333333334</v>
          </cell>
        </row>
        <row r="3055">
          <cell r="D3055" t="str">
            <v>Manta Isolamento Acústico Laje Piso Passo 8mm</v>
          </cell>
          <cell r="H3055">
            <v>38.118383333333334</v>
          </cell>
        </row>
        <row r="3056">
          <cell r="D3056" t="str">
            <v>Manta acústica “SoundSoft Ondulada” da Aubicon esp. 17/8mm”</v>
          </cell>
          <cell r="H3056">
            <v>143</v>
          </cell>
        </row>
        <row r="3057">
          <cell r="D3057" t="str">
            <v>Manta acústica “SoundSoft Ondulada” da Aubicon esp. 17/8mm”</v>
          </cell>
          <cell r="H3057">
            <v>143</v>
          </cell>
        </row>
        <row r="3058">
          <cell r="D3058" t="str">
            <v>manta acústica Ebios de fibras de polipropileno esp. 10mm</v>
          </cell>
          <cell r="H3058">
            <v>33.611111111111114</v>
          </cell>
        </row>
        <row r="3059">
          <cell r="D3059" t="str">
            <v>Manta De Polipropileno, E = 10 Mm</v>
          </cell>
          <cell r="H3059">
            <v>33.611111111111114</v>
          </cell>
        </row>
        <row r="3060">
          <cell r="D3060" t="str">
            <v>Manta acústica “SoundSoft laje zero” da Aubicon com polimero acrilico aderido da Baucryl</v>
          </cell>
          <cell r="H3060">
            <v>242.00000000000003</v>
          </cell>
        </row>
        <row r="3061">
          <cell r="D3061" t="str">
            <v>Manta acústica “SoundSoft laje zero” da Aubicon com polimero acrilico aderido da Baucryl</v>
          </cell>
          <cell r="H3061">
            <v>242.00000000000003</v>
          </cell>
        </row>
        <row r="3062">
          <cell r="D3062" t="str">
            <v>Tratamento acustico da sylomer da getzner esp. 50mm</v>
          </cell>
          <cell r="H3062">
            <v>1320</v>
          </cell>
        </row>
        <row r="3063">
          <cell r="D3063" t="str">
            <v>Tratamento acustico da sylomer da getzner esp. 50mm</v>
          </cell>
          <cell r="H3063">
            <v>1320</v>
          </cell>
        </row>
        <row r="3064">
          <cell r="D3064" t="str">
            <v>REGULARIZAÇÃO</v>
          </cell>
          <cell r="H3064">
            <v>0</v>
          </cell>
        </row>
        <row r="3065">
          <cell r="D3065" t="str">
            <v>Regularização de Piso 0,50cm - Autonivelado</v>
          </cell>
          <cell r="H3065">
            <v>12.442690000000002</v>
          </cell>
        </row>
        <row r="3066">
          <cell r="D3066" t="str">
            <v>Argamassa usninada para contrapiso</v>
          </cell>
          <cell r="H3066">
            <v>3.0250000000000004</v>
          </cell>
        </row>
        <row r="3067">
          <cell r="D3067" t="str">
            <v>Aditivo Adesivo Liquido Para Argamassas De Revestimentos Cimenticios</v>
          </cell>
          <cell r="H3067">
            <v>6.7690000000000014E-2</v>
          </cell>
        </row>
        <row r="3068">
          <cell r="D3068" t="str">
            <v xml:space="preserve">Cimento Autonivelante para Contrapiso </v>
          </cell>
          <cell r="H3068">
            <v>9.3500000000000014</v>
          </cell>
        </row>
        <row r="3069">
          <cell r="D3069" t="str">
            <v xml:space="preserve">Regularização de Piso 0,50 cm </v>
          </cell>
          <cell r="H3069">
            <v>3.1560233333333336</v>
          </cell>
        </row>
        <row r="3070">
          <cell r="D3070" t="str">
            <v>Argamassa usninada para contrapiso</v>
          </cell>
          <cell r="H3070">
            <v>3.0250000000000004</v>
          </cell>
        </row>
        <row r="3071">
          <cell r="D3071" t="str">
            <v>Aditivo Adesivo Liquido Para Argamassas De Revestimentos Cimenticios</v>
          </cell>
          <cell r="H3071">
            <v>6.7690000000000014E-2</v>
          </cell>
        </row>
        <row r="3072">
          <cell r="D3072" t="str">
            <v>Cimento Portland Composto CP II-32</v>
          </cell>
          <cell r="H3072">
            <v>6.3333333333333339E-2</v>
          </cell>
        </row>
        <row r="3073">
          <cell r="D3073" t="str">
            <v xml:space="preserve">Regularização de Piso 1,00 cm </v>
          </cell>
          <cell r="H3073">
            <v>6.3120466666666672</v>
          </cell>
        </row>
        <row r="3074">
          <cell r="D3074" t="str">
            <v>Argamassa usninada para contrapiso</v>
          </cell>
          <cell r="H3074">
            <v>6.0500000000000007</v>
          </cell>
        </row>
        <row r="3075">
          <cell r="D3075" t="str">
            <v>Aditivo Adesivo Liquido Para Argamassas De Revestimentos Cimenticios</v>
          </cell>
          <cell r="H3075">
            <v>0.13538000000000003</v>
          </cell>
        </row>
        <row r="3076">
          <cell r="D3076" t="str">
            <v>Cimento Portland Composto CP II-32</v>
          </cell>
          <cell r="H3076">
            <v>0.12666666666666668</v>
          </cell>
        </row>
        <row r="3077">
          <cell r="D3077" t="str">
            <v xml:space="preserve">Regularização de Piso 1,50 cm </v>
          </cell>
          <cell r="H3077">
            <v>9.4680700000000009</v>
          </cell>
        </row>
        <row r="3078">
          <cell r="D3078" t="str">
            <v>Argamassa usninada para contrapiso</v>
          </cell>
          <cell r="H3078">
            <v>9.0750000000000011</v>
          </cell>
        </row>
        <row r="3079">
          <cell r="D3079" t="str">
            <v>Aditivo Adesivo Liquido Para Argamassas De Revestimentos Cimenticios</v>
          </cell>
          <cell r="H3079">
            <v>0.20307</v>
          </cell>
        </row>
        <row r="3080">
          <cell r="D3080" t="str">
            <v>Cimento Portland Composto CP II-32</v>
          </cell>
          <cell r="H3080">
            <v>0.19</v>
          </cell>
        </row>
        <row r="3081">
          <cell r="D3081" t="str">
            <v xml:space="preserve">Regularização de Piso 2,00 cm </v>
          </cell>
          <cell r="H3081">
            <v>12.624093333333334</v>
          </cell>
        </row>
        <row r="3082">
          <cell r="D3082" t="str">
            <v>Argamassa usninada para contrapiso</v>
          </cell>
          <cell r="H3082">
            <v>12.100000000000001</v>
          </cell>
        </row>
        <row r="3083">
          <cell r="D3083" t="str">
            <v>Aditivo Adesivo Liquido Para Argamassas De Revestimentos Cimenticios</v>
          </cell>
          <cell r="H3083">
            <v>0.27076000000000006</v>
          </cell>
        </row>
        <row r="3084">
          <cell r="D3084" t="str">
            <v>Cimento Portland Composto CP II-32</v>
          </cell>
          <cell r="H3084">
            <v>0.25333333333333335</v>
          </cell>
        </row>
        <row r="3085">
          <cell r="D3085" t="str">
            <v xml:space="preserve">Regularização de Piso 3,00 cm </v>
          </cell>
          <cell r="H3085">
            <v>18.936140000000002</v>
          </cell>
        </row>
        <row r="3086">
          <cell r="D3086" t="str">
            <v>Argamassa usninada para contrapiso</v>
          </cell>
          <cell r="H3086">
            <v>18.150000000000002</v>
          </cell>
        </row>
        <row r="3087">
          <cell r="D3087" t="str">
            <v>Aditivo Adesivo Liquido Para Argamassas De Revestimentos Cimenticios</v>
          </cell>
          <cell r="H3087">
            <v>0.40614</v>
          </cell>
        </row>
        <row r="3088">
          <cell r="D3088" t="str">
            <v>Cimento Portland Composto CP II-32</v>
          </cell>
          <cell r="H3088">
            <v>0.38000000000000078</v>
          </cell>
        </row>
        <row r="3089">
          <cell r="D3089" t="str">
            <v xml:space="preserve">Regularização de Piso 4,00 cm </v>
          </cell>
          <cell r="H3089">
            <v>24.148186666666668</v>
          </cell>
        </row>
        <row r="3090">
          <cell r="D3090" t="str">
            <v>Argamassa usninada para contrapiso</v>
          </cell>
          <cell r="H3090">
            <v>23.1</v>
          </cell>
        </row>
        <row r="3091">
          <cell r="D3091" t="str">
            <v>Aditivo Adesivo Liquido Para Argamassas De Revestimentos Cimenticios</v>
          </cell>
          <cell r="H3091">
            <v>0.54152</v>
          </cell>
        </row>
        <row r="3092">
          <cell r="D3092" t="str">
            <v>Cimento Portland Composto CP II-32</v>
          </cell>
          <cell r="H3092">
            <v>0.50666666666666771</v>
          </cell>
        </row>
        <row r="3093">
          <cell r="D3093" t="str">
            <v>Regularização de Piso 5,00cm - Autonivelado</v>
          </cell>
          <cell r="H3093">
            <v>34.468566666666668</v>
          </cell>
        </row>
        <row r="3094">
          <cell r="D3094" t="str">
            <v>Argamassa usninada para contrapiso</v>
          </cell>
          <cell r="H3094">
            <v>30.249999999999996</v>
          </cell>
        </row>
        <row r="3095">
          <cell r="D3095" t="str">
            <v>Aditivo Adesivo Liquido Para Argamassas De Revestimentos Cimenticios</v>
          </cell>
          <cell r="H3095">
            <v>0.67690000000000006</v>
          </cell>
        </row>
        <row r="3096">
          <cell r="D3096" t="str">
            <v xml:space="preserve">Cimento Autonivelante para Contrapiso </v>
          </cell>
          <cell r="H3096">
            <v>3.5416666666666736</v>
          </cell>
        </row>
        <row r="3097">
          <cell r="D3097" t="str">
            <v xml:space="preserve">Regularização com argamassa, aplicação farofa, de Piso 4,00 cm </v>
          </cell>
          <cell r="H3097">
            <v>15.000599999999999</v>
          </cell>
        </row>
        <row r="3098">
          <cell r="D3098" t="str">
            <v>ARGAMASSA TRAÇO 1:3 (EM VOLUME DE CIMENTO E AREIA GROSSA ÚMIDA) PARA CONTRAPISO TIPO FAROFA</v>
          </cell>
          <cell r="H3098">
            <v>15.000599999999999</v>
          </cell>
        </row>
        <row r="3099">
          <cell r="D3099" t="str">
            <v xml:space="preserve">Regularização de Piso 5,00 cm </v>
          </cell>
          <cell r="H3099">
            <v>30.185233333333336</v>
          </cell>
        </row>
        <row r="3100">
          <cell r="D3100" t="str">
            <v>Argamassa usninada para contrapiso</v>
          </cell>
          <cell r="H3100">
            <v>28.875000000000004</v>
          </cell>
        </row>
        <row r="3101">
          <cell r="D3101" t="str">
            <v>Aditivo Adesivo Liquido Para Argamassas De Revestimentos Cimenticios</v>
          </cell>
          <cell r="H3101">
            <v>0.67690000000000006</v>
          </cell>
        </row>
        <row r="3102">
          <cell r="D3102" t="str">
            <v>Cimento Portland Composto CP II-32</v>
          </cell>
          <cell r="H3102">
            <v>0.63333333333333452</v>
          </cell>
        </row>
        <row r="3103">
          <cell r="D3103" t="str">
            <v>Regularização de Piso 3,00 cm - argila expansiva</v>
          </cell>
          <cell r="H3103">
            <v>23.124200000000002</v>
          </cell>
        </row>
        <row r="3104">
          <cell r="D3104" t="str">
            <v>Argamassa usninada para contrapiso</v>
          </cell>
          <cell r="H3104">
            <v>18.150000000000002</v>
          </cell>
        </row>
        <row r="3105">
          <cell r="D3105" t="str">
            <v>Argila expandida</v>
          </cell>
          <cell r="H3105">
            <v>4.5941999999999998</v>
          </cell>
        </row>
        <row r="3106">
          <cell r="D3106" t="str">
            <v>Cimento Portland Composto CP II-32</v>
          </cell>
          <cell r="H3106">
            <v>0.38</v>
          </cell>
        </row>
        <row r="3107">
          <cell r="D3107" t="str">
            <v>CIMENTADOS</v>
          </cell>
          <cell r="H3107">
            <v>0</v>
          </cell>
        </row>
        <row r="3108">
          <cell r="D3108" t="str">
            <v>Piso cimentado com argamassa de contrapiso usinada e acabamento vassourado</v>
          </cell>
          <cell r="H3108">
            <v>30.774093333333337</v>
          </cell>
        </row>
        <row r="3109">
          <cell r="D3109" t="str">
            <v>Argamassa usninada para contrapiso</v>
          </cell>
          <cell r="H3109">
            <v>30.250000000000004</v>
          </cell>
        </row>
        <row r="3110">
          <cell r="D3110" t="str">
            <v>Aditivo Adesivo Liquido Para Argamassas De Revestimentos Cimenticios</v>
          </cell>
          <cell r="H3110">
            <v>0.27076000000000006</v>
          </cell>
        </row>
        <row r="3111">
          <cell r="D3111" t="str">
            <v>Cimento Portland Composto CP II-32</v>
          </cell>
          <cell r="H3111">
            <v>0.25333333333333335</v>
          </cell>
        </row>
        <row r="3112">
          <cell r="D3112" t="str">
            <v xml:space="preserve">Piso de concreto polido, espessura 2cm </v>
          </cell>
          <cell r="H3112">
            <v>61.444938999999998</v>
          </cell>
        </row>
        <row r="3113">
          <cell r="D3113" t="str">
            <v>Concreto Usinado bombeável 35MPa Convencional</v>
          </cell>
          <cell r="H3113">
            <v>14.694939</v>
          </cell>
        </row>
        <row r="3114">
          <cell r="D3114" t="str">
            <v>ENDURECEDOR MINERAL DE BASE CIMENTICIA PARA PISO DE CONCRETO</v>
          </cell>
          <cell r="H3114">
            <v>46.75</v>
          </cell>
        </row>
        <row r="3115">
          <cell r="D3115" t="str">
            <v xml:space="preserve">Piso de concreto polido, espessura 3cm </v>
          </cell>
          <cell r="H3115">
            <v>59.442408499999999</v>
          </cell>
        </row>
        <row r="3116">
          <cell r="D3116" t="str">
            <v>Concreto Usinado bombeável 35MPa Convencional</v>
          </cell>
          <cell r="H3116">
            <v>22.042408499999997</v>
          </cell>
        </row>
        <row r="3117">
          <cell r="D3117" t="str">
            <v>ENDURECEDOR MINERAL DE BASE CIMENTICIA PARA PISO DE CONCRETO</v>
          </cell>
          <cell r="H3117">
            <v>37.4</v>
          </cell>
        </row>
        <row r="3118">
          <cell r="D3118" t="str">
            <v xml:space="preserve">Piso concreto Queimado </v>
          </cell>
          <cell r="H3118">
            <v>12.624093333333334</v>
          </cell>
        </row>
        <row r="3119">
          <cell r="D3119" t="str">
            <v>Argamassa usninada para contrapiso</v>
          </cell>
          <cell r="H3119">
            <v>12.100000000000001</v>
          </cell>
        </row>
        <row r="3120">
          <cell r="D3120" t="str">
            <v>Aditivo Adesivo Liquido Para Argamassas De Revestimentos Cimenticios</v>
          </cell>
          <cell r="H3120">
            <v>0.27076000000000006</v>
          </cell>
        </row>
        <row r="3121">
          <cell r="D3121" t="str">
            <v>Cimento Portland Composto CP II-32</v>
          </cell>
          <cell r="H3121">
            <v>0.25333333333333335</v>
          </cell>
        </row>
        <row r="3122">
          <cell r="D3122" t="str">
            <v>Piso cimentado acabamento rústico 6cm</v>
          </cell>
          <cell r="H3122">
            <v>33</v>
          </cell>
        </row>
        <row r="3123">
          <cell r="D3123" t="str">
            <v>Argamassa usninada para contrapiso</v>
          </cell>
          <cell r="H3123">
            <v>33</v>
          </cell>
        </row>
        <row r="3124">
          <cell r="D3124" t="str">
            <v>Piso de concreto, acabamento desempenado, espessura 6 cm</v>
          </cell>
          <cell r="H3124">
            <v>182.79599999999999</v>
          </cell>
        </row>
        <row r="3125">
          <cell r="D3125" t="str">
            <v>SARRAFO *2,5 X 7,5* CM EM PINUS, MISTA OU EQUIVALENTE DA REGIAO - BRUTA</v>
          </cell>
          <cell r="H3125">
            <v>15.1875</v>
          </cell>
        </row>
        <row r="3126">
          <cell r="D3126" t="str">
            <v>Concreto Usinado bombeável 20MPa Convencional</v>
          </cell>
          <cell r="H3126">
            <v>35.721000000000004</v>
          </cell>
        </row>
        <row r="3127">
          <cell r="D3127" t="str">
            <v>SARRAFO 2,5X10 CM PINUS*</v>
          </cell>
          <cell r="H3127">
            <v>19.6875</v>
          </cell>
        </row>
        <row r="3128">
          <cell r="D3128" t="str">
            <v>ENDURECEDOR MINERAL DE BASE CIMENTICIA PARA PISO DE CONCRETO</v>
          </cell>
          <cell r="H3128">
            <v>112.19999999999999</v>
          </cell>
        </row>
        <row r="3129">
          <cell r="D3129" t="str">
            <v>Piso de concreto, acabamento estampado, espessura 6 cm</v>
          </cell>
          <cell r="H3129">
            <v>77.366820666666669</v>
          </cell>
        </row>
        <row r="3130">
          <cell r="D3130" t="str">
            <v>SARRAFO *2,5 X 7,5* CM EM PINUS, MISTA OU EQUIVALENTE DA REGIAO - BRUTA</v>
          </cell>
          <cell r="H3130">
            <v>6.0749999999999993</v>
          </cell>
        </row>
        <row r="3131">
          <cell r="D3131" t="str">
            <v>Concreto Usinado bombeável 20MPa Convencional</v>
          </cell>
          <cell r="H3131">
            <v>36.210999999999999</v>
          </cell>
        </row>
        <row r="3132">
          <cell r="D3132" t="str">
            <v>DESMOLDANTE PARA CONCRETO ESTAMPADO</v>
          </cell>
          <cell r="H3132">
            <v>1.4451666666666667</v>
          </cell>
        </row>
        <row r="3133">
          <cell r="D3133" t="str">
            <v>MOLDE DE POLIURETANO, FLEXIVEL OU SEMI-FLEXIVEL, PARA ESTAMPAGEM DE PISO / PASSEIO DE CONCRETO</v>
          </cell>
          <cell r="H3133">
            <v>1.625</v>
          </cell>
        </row>
        <row r="3134">
          <cell r="D3134" t="str">
            <v>PREGO DE ACO POLIDO COM CABECA 17 X 21 (2 X 11)</v>
          </cell>
          <cell r="H3134">
            <v>0.43512000000000001</v>
          </cell>
        </row>
        <row r="3135">
          <cell r="D3135" t="str">
            <v>PO ENDURECEDOR PARA CONCRETO ESTAMPADO - PIGMENTO ENDURECEDOR</v>
          </cell>
          <cell r="H3135">
            <v>27.442998000000003</v>
          </cell>
        </row>
        <row r="3136">
          <cell r="D3136" t="str">
            <v>SELANTE ACRILICO PARA TRATAMENTO / ACABAMENTO SUPERFICIAL DE CONCRETO ESTAMPADO, APARENTE, PEDRAS E OUTROS</v>
          </cell>
          <cell r="H3136">
            <v>4.132536</v>
          </cell>
        </row>
        <row r="3137">
          <cell r="D3137" t="str">
            <v>Lapidação de piso com lixas diamantadas</v>
          </cell>
          <cell r="H3137">
            <v>75</v>
          </cell>
        </row>
        <row r="3138">
          <cell r="D3138" t="str">
            <v>Lapidação de piso com lixas diamantadas</v>
          </cell>
          <cell r="H3138">
            <v>75</v>
          </cell>
        </row>
        <row r="3139">
          <cell r="D3139" t="str">
            <v>Pavimentação em Piso drenante 45x45 cm</v>
          </cell>
          <cell r="H3139">
            <v>138.04479711111111</v>
          </cell>
        </row>
        <row r="3140">
          <cell r="D3140" t="str">
            <v>Piso drenante - 45x45x5</v>
          </cell>
          <cell r="H3140">
            <v>129.11111111111111</v>
          </cell>
        </row>
        <row r="3141">
          <cell r="D3141" t="str">
            <v xml:space="preserve">PO DE PEDRA </v>
          </cell>
          <cell r="H3141">
            <v>0.69768599999999992</v>
          </cell>
        </row>
        <row r="3142">
          <cell r="D3142" t="str">
            <v>AREIA MEDIA</v>
          </cell>
          <cell r="H3142">
            <v>8.2360000000000007</v>
          </cell>
        </row>
        <row r="3143">
          <cell r="D3143" t="str">
            <v>PISOS ESPECIAIS</v>
          </cell>
          <cell r="H3143">
            <v>0</v>
          </cell>
        </row>
        <row r="3144">
          <cell r="D3144" t="str">
            <v xml:space="preserve">Deck de madeira - material e mão de obra </v>
          </cell>
          <cell r="H3144">
            <v>822.7</v>
          </cell>
        </row>
        <row r="3145">
          <cell r="D3145" t="str">
            <v>DECKS COMPOSTOS DE MADEIRA ECOLÓGICA PARA EXTERIORES</v>
          </cell>
          <cell r="H3145">
            <v>612.70000000000005</v>
          </cell>
        </row>
        <row r="3146">
          <cell r="D3146" t="str">
            <v>Mão de obra de instalação de deck de madeira</v>
          </cell>
          <cell r="H3146">
            <v>210</v>
          </cell>
        </row>
        <row r="3147">
          <cell r="D3147" t="str">
            <v xml:space="preserve">Deck de madeira Cumaru - Tábuas: 10 x 200 cm - material e mão de obra </v>
          </cell>
          <cell r="H3147">
            <v>935.00000000000011</v>
          </cell>
        </row>
        <row r="3148">
          <cell r="D3148" t="str">
            <v>PISO DECK MADEIRA (CUMARU) - Tábuas: 10 x 200 cm - Material e Mão de Obra</v>
          </cell>
          <cell r="H3148">
            <v>935.00000000000011</v>
          </cell>
        </row>
        <row r="3149">
          <cell r="D3149" t="str">
            <v xml:space="preserve">Piso de madeira natural - Carvalho Europeu Prime (Engineered Oak) - material e mão de obra </v>
          </cell>
          <cell r="H3149">
            <v>1155</v>
          </cell>
        </row>
        <row r="3150">
          <cell r="D3150" t="str">
            <v xml:space="preserve">Piso de madeira natural - Carvalho Europeu Prime (Engineered Oak) - material e mão de obra </v>
          </cell>
          <cell r="H3150">
            <v>1155</v>
          </cell>
        </row>
        <row r="3151">
          <cell r="D3151" t="str">
            <v xml:space="preserve">Piso de madeira natural - Carvalho Rustic Premium - material e mão de obra </v>
          </cell>
          <cell r="H3151">
            <v>858.00000000000011</v>
          </cell>
        </row>
        <row r="3152">
          <cell r="D3152" t="str">
            <v xml:space="preserve">Piso de madeira natural - Carvalho Rustic Premium - material e mão de obra </v>
          </cell>
          <cell r="H3152">
            <v>858.00000000000011</v>
          </cell>
        </row>
        <row r="3153">
          <cell r="D3153" t="str">
            <v xml:space="preserve">Piso de madeira natural - Nogueira Americana - material e mão de obra </v>
          </cell>
          <cell r="H3153">
            <v>1210</v>
          </cell>
        </row>
        <row r="3154">
          <cell r="D3154" t="str">
            <v xml:space="preserve">Piso de madeira natural - Nogueira Americana - material e mão de obra </v>
          </cell>
          <cell r="H3154">
            <v>1210</v>
          </cell>
        </row>
        <row r="3155">
          <cell r="D3155" t="str">
            <v xml:space="preserve">Piso de madeira natural - Cumaru engenheirado - material e mão de obra </v>
          </cell>
          <cell r="H3155">
            <v>825.00000000000011</v>
          </cell>
        </row>
        <row r="3156">
          <cell r="D3156" t="str">
            <v xml:space="preserve">Piso de madeira natural - Cumaru engenheirado - material e mão de obra </v>
          </cell>
          <cell r="H3156">
            <v>825.00000000000011</v>
          </cell>
        </row>
        <row r="3157">
          <cell r="D3157" t="str">
            <v xml:space="preserve">Piso de madeira escura Sucupira - material e mão de obra </v>
          </cell>
          <cell r="H3157">
            <v>870</v>
          </cell>
        </row>
        <row r="3158">
          <cell r="D3158" t="str">
            <v>PISO MADEIRA ESCURA - Sucupira</v>
          </cell>
          <cell r="H3158">
            <v>660</v>
          </cell>
        </row>
        <row r="3159">
          <cell r="D3159" t="str">
            <v>Mão de obra de instalação de Piso de madeira</v>
          </cell>
          <cell r="H3159">
            <v>210</v>
          </cell>
        </row>
        <row r="3160">
          <cell r="D3160" t="str">
            <v xml:space="preserve">Piso de madeira escura Tauari Naturalle - material e mão de obra </v>
          </cell>
          <cell r="H3160">
            <v>859</v>
          </cell>
        </row>
        <row r="3161">
          <cell r="D3161" t="str">
            <v>PISO MADEIRA ESCURA - Tauari Naturalle</v>
          </cell>
          <cell r="H3161">
            <v>649</v>
          </cell>
        </row>
        <row r="3162">
          <cell r="D3162" t="str">
            <v>Mão de obra de instalação de Piso de madeira</v>
          </cell>
          <cell r="H3162">
            <v>210</v>
          </cell>
        </row>
        <row r="3163">
          <cell r="D3163" t="str">
            <v xml:space="preserve">Piso de madeira clara Tauari Naturalle Cremme - material e mão de obra </v>
          </cell>
          <cell r="H3163">
            <v>859</v>
          </cell>
        </row>
        <row r="3164">
          <cell r="D3164" t="str">
            <v>PISO MADEIRA CLARA - Tauari Naturalle Creme</v>
          </cell>
          <cell r="H3164">
            <v>649</v>
          </cell>
        </row>
        <row r="3165">
          <cell r="D3165" t="str">
            <v>Mão de obra de instalação de Piso de madeira</v>
          </cell>
          <cell r="H3165">
            <v>210</v>
          </cell>
        </row>
        <row r="3166">
          <cell r="D3166" t="str">
            <v xml:space="preserve">Piso de madeira clara Carvalho Bianco - material e mão de obra </v>
          </cell>
          <cell r="H3166">
            <v>1145</v>
          </cell>
        </row>
        <row r="3167">
          <cell r="D3167" t="str">
            <v>PISO MADEIRA CLARA - Carvalho Bianco</v>
          </cell>
          <cell r="H3167">
            <v>935.00000000000011</v>
          </cell>
        </row>
        <row r="3168">
          <cell r="D3168" t="str">
            <v>Mão de obra de instalação de Piso de madeira</v>
          </cell>
          <cell r="H3168">
            <v>210</v>
          </cell>
        </row>
        <row r="3169">
          <cell r="D3169" t="str">
            <v xml:space="preserve">Piso de madeira Cumaru Chevron 45°  - material e mão de obra </v>
          </cell>
          <cell r="H3169">
            <v>1200</v>
          </cell>
        </row>
        <row r="3170">
          <cell r="D3170" t="str">
            <v>PISO MADEIRA CHEVRON (45º) - Cumaru Chevron</v>
          </cell>
          <cell r="H3170">
            <v>990.00000000000011</v>
          </cell>
        </row>
        <row r="3171">
          <cell r="D3171" t="str">
            <v>Mão de obra de instalação de Piso de madeira</v>
          </cell>
          <cell r="H3171">
            <v>210</v>
          </cell>
        </row>
        <row r="3172">
          <cell r="D3172" t="str">
            <v xml:space="preserve">Piso de madeira Sucupira Chevron 45°  - material e mão de obra </v>
          </cell>
          <cell r="H3172">
            <v>1145</v>
          </cell>
        </row>
        <row r="3173">
          <cell r="D3173" t="str">
            <v>PISO MADEIRA CHEVRON (45º) - Sucupira Chevron</v>
          </cell>
          <cell r="H3173">
            <v>935.00000000000011</v>
          </cell>
        </row>
        <row r="3174">
          <cell r="D3174" t="str">
            <v>Mão de obra de instalação de deck de madeira</v>
          </cell>
          <cell r="H3174">
            <v>210</v>
          </cell>
        </row>
        <row r="3175">
          <cell r="D3175" t="str">
            <v>Pisos Para Academia Emborrachado</v>
          </cell>
          <cell r="H3175">
            <v>138.4</v>
          </cell>
        </row>
        <row r="3176">
          <cell r="D3176" t="str">
            <v>Pisos Para Academia e Crossfit Emborrachado - 50 x 50 cm</v>
          </cell>
          <cell r="H3176">
            <v>138.4</v>
          </cell>
        </row>
        <row r="3177">
          <cell r="D3177" t="str">
            <v>Pisos Para Academia Emborrachado EPDM  20x20 cm/ Cor: azul e branco / Marca: Rubber - Material e Mão de obra</v>
          </cell>
          <cell r="H3177">
            <v>540</v>
          </cell>
        </row>
        <row r="3178">
          <cell r="D3178" t="str">
            <v>Pisos Para Academia Emborrachado EPDM  20x20 cm/ Cor: azul e branco / Marca: Rubber - Material e Mão de obra</v>
          </cell>
          <cell r="H3178">
            <v>540</v>
          </cell>
        </row>
        <row r="3179">
          <cell r="D3179" t="str">
            <v>Pisos Para Academia Emborrachado Impact Soft  100x100 cm/ Peso Livre - Material e Mão de obra</v>
          </cell>
          <cell r="H3179">
            <v>610</v>
          </cell>
        </row>
        <row r="3180">
          <cell r="D3180" t="str">
            <v>Pisos Para Academia Emborrachado Impact Soft  100x100 cm/ Peso Livre - Material e Mão de obra</v>
          </cell>
          <cell r="H3180">
            <v>610</v>
          </cell>
        </row>
        <row r="3181">
          <cell r="D3181" t="str">
            <v>Pisos Para Academia Emborrachado Aubicon Placa 25 mm, 70x70</v>
          </cell>
          <cell r="H3181">
            <v>160</v>
          </cell>
        </row>
        <row r="3182">
          <cell r="D3182" t="str">
            <v>Pisos Para Academia Emborrachado Aubicon Placa 25 mm, 70x70</v>
          </cell>
          <cell r="H3182">
            <v>160</v>
          </cell>
        </row>
        <row r="3183">
          <cell r="D3183" t="str">
            <v>Pisos Para Academia Emborrachado Aubicon Placa 40 mm, 70x70</v>
          </cell>
          <cell r="H3183">
            <v>200</v>
          </cell>
        </row>
        <row r="3184">
          <cell r="D3184" t="str">
            <v>Pisos Para Academia Emborrachado Aubicon Placa 40 mm, 70x70</v>
          </cell>
          <cell r="H3184">
            <v>200</v>
          </cell>
        </row>
        <row r="3185">
          <cell r="D3185" t="str">
            <v>Pisos Para Academia Emborrachado Aubicon Placa 50 mm, 90x90</v>
          </cell>
          <cell r="H3185">
            <v>250</v>
          </cell>
        </row>
        <row r="3186">
          <cell r="D3186" t="str">
            <v>Pisos Para Academia Emborrachado Aubicon Placa 50 mm, 90x90</v>
          </cell>
          <cell r="H3186">
            <v>250</v>
          </cell>
        </row>
        <row r="3187">
          <cell r="D3187" t="str">
            <v>Pisos Para Academia Emborrachado Aubicon Placa 80 mm, 90x90</v>
          </cell>
          <cell r="H3187">
            <v>320</v>
          </cell>
        </row>
        <row r="3188">
          <cell r="D3188" t="str">
            <v>Pisos Para Academia Emborrachado Aubicon Placa 80 mm, 90x90</v>
          </cell>
          <cell r="H3188">
            <v>320</v>
          </cell>
        </row>
        <row r="3189">
          <cell r="D3189" t="str">
            <v>Revestimento de Piso emborrachado imitando madeira</v>
          </cell>
          <cell r="H3189">
            <v>529.65000000000009</v>
          </cell>
        </row>
        <row r="3190">
          <cell r="D3190" t="str">
            <v>Revestimento de Piso emborrachado imitando madeira</v>
          </cell>
          <cell r="H3190">
            <v>529.65000000000009</v>
          </cell>
        </row>
        <row r="3191">
          <cell r="D3191" t="str">
            <v xml:space="preserve">Revestimento de Piso, Carpet 411 Cab Beaulieu (Sobra One Tower)  </v>
          </cell>
          <cell r="H3191">
            <v>342.63975903614454</v>
          </cell>
        </row>
        <row r="3192">
          <cell r="D3192" t="str">
            <v>Revestimento de piso carpet - Material e Mão de Obra</v>
          </cell>
          <cell r="H3192">
            <v>342.63975903614454</v>
          </cell>
        </row>
        <row r="3193">
          <cell r="D3193" t="str">
            <v>Gradil metálico - Material e Mão de obra</v>
          </cell>
          <cell r="H3193">
            <v>1036.9504748982358</v>
          </cell>
        </row>
        <row r="3194">
          <cell r="D3194" t="str">
            <v>GRADE PISO ACO ASTM A36 LISO ACB. DES. PADRAO GALV A FOGO - 2,2x1,34</v>
          </cell>
          <cell r="H3194">
            <v>1036.9504748982358</v>
          </cell>
        </row>
        <row r="3195">
          <cell r="D3195" t="str">
            <v>Piso elevado - Material e Mão de obra</v>
          </cell>
          <cell r="H3195">
            <v>296.7</v>
          </cell>
        </row>
        <row r="3196">
          <cell r="D3196" t="str">
            <v>Piso elevado</v>
          </cell>
          <cell r="H3196">
            <v>146.69999999999999</v>
          </cell>
        </row>
        <row r="3197">
          <cell r="D3197" t="str">
            <v>Mão de obra execução de piso elevado</v>
          </cell>
          <cell r="H3197">
            <v>150</v>
          </cell>
        </row>
        <row r="3198">
          <cell r="D3198" t="str">
            <v>Laje verde intensiva sobre steel deck - Material e Mão de obra</v>
          </cell>
          <cell r="H3198">
            <v>1525</v>
          </cell>
        </row>
        <row r="3199">
          <cell r="D3199" t="str">
            <v>Estrutura steel deck + concreto</v>
          </cell>
          <cell r="H3199">
            <v>450</v>
          </cell>
        </row>
        <row r="3200">
          <cell r="D3200" t="str">
            <v>Regularização e proteção mecânica</v>
          </cell>
          <cell r="H3200">
            <v>80</v>
          </cell>
        </row>
        <row r="3201">
          <cell r="D3201" t="str">
            <v>Impermeabilização antirraiz</v>
          </cell>
          <cell r="H3201">
            <v>160</v>
          </cell>
        </row>
        <row r="3202">
          <cell r="D3202" t="str">
            <v>Camada drenante</v>
          </cell>
          <cell r="H3202">
            <v>140</v>
          </cell>
        </row>
        <row r="3203">
          <cell r="D3203" t="str">
            <v>Manta filtrante</v>
          </cell>
          <cell r="H3203">
            <v>25</v>
          </cell>
        </row>
        <row r="3204">
          <cell r="D3204" t="str">
            <v>Substrato vegetal intensivo</v>
          </cell>
          <cell r="H3204">
            <v>260</v>
          </cell>
        </row>
        <row r="3205">
          <cell r="D3205" t="str">
            <v>Vegetação intensiva</v>
          </cell>
          <cell r="H3205">
            <v>320</v>
          </cell>
        </row>
        <row r="3206">
          <cell r="D3206" t="str">
            <v>Sistema irrigação</v>
          </cell>
          <cell r="H3206">
            <v>90</v>
          </cell>
        </row>
        <row r="3207">
          <cell r="D3207" t="str">
            <v>Friso metálico entre pisos / Largura 1,5 cm / Cor: dourado escovado - Material e Mão de obra</v>
          </cell>
          <cell r="H3207">
            <v>150</v>
          </cell>
        </row>
        <row r="3208">
          <cell r="D3208" t="str">
            <v>Friso metálico entre pisos / Largura 1,5 cm / Cor: dourado escovado - Material e Mão de obra</v>
          </cell>
          <cell r="H3208">
            <v>150</v>
          </cell>
        </row>
        <row r="3209">
          <cell r="D3209" t="str">
            <v>Gradil metálico para Piso - Material e Mão de obra</v>
          </cell>
          <cell r="H3209">
            <v>568.92672413793116</v>
          </cell>
        </row>
        <row r="3210">
          <cell r="D3210" t="str">
            <v>Gradil metálico</v>
          </cell>
          <cell r="H3210">
            <v>568.92672413793116</v>
          </cell>
        </row>
        <row r="3211">
          <cell r="D3211" t="str">
            <v>Revestimento de piso vinilico, nas áreas comuns - Material e Mão de Obra</v>
          </cell>
          <cell r="H3211">
            <v>150</v>
          </cell>
        </row>
        <row r="3212">
          <cell r="D3212" t="str">
            <v>PISO VINILICO RUFFINO SOFISTICATO 2MM - MATERIAL E MÃO DE OBRA</v>
          </cell>
          <cell r="H3212">
            <v>150</v>
          </cell>
        </row>
        <row r="3213">
          <cell r="D3213" t="str">
            <v>Revestimento de piso vinilico, nas áreas privativas - Material e Mão de Obra</v>
          </cell>
          <cell r="H3213">
            <v>150</v>
          </cell>
        </row>
        <row r="3214">
          <cell r="D3214" t="str">
            <v>PISO VINILICO RUFFINO SOFISTICATO 2MM - MATERIAL E MÃO DE OBRA</v>
          </cell>
          <cell r="H3214">
            <v>150</v>
          </cell>
        </row>
        <row r="3215">
          <cell r="D3215" t="str">
            <v xml:space="preserve">Revestimento de Piso Vinilico Linha Ambienta Series Cedro  Tarkett  </v>
          </cell>
          <cell r="H3215">
            <v>240</v>
          </cell>
        </row>
        <row r="3216">
          <cell r="D3216" t="str">
            <v>PISO VINILICO LINHA AMBIENTA SERIES CEDRO  TARKETT - MATERIAL E MÃO DE OBRA</v>
          </cell>
          <cell r="H3216">
            <v>240</v>
          </cell>
        </row>
        <row r="3217">
          <cell r="D3217" t="str">
            <v>Revestimento de Piso vinílico cinza e cinza claro 92x92cm / Linha Ambienta Coleção Stone / Marca: Tarkett</v>
          </cell>
          <cell r="H3217">
            <v>590</v>
          </cell>
        </row>
        <row r="3218">
          <cell r="D3218" t="str">
            <v>Piso vinílico cinza 92x92cm / Linha Ambienta Coleção Stone / Cores: cinza claro (Beige Porcelain) e cinza (Light Porcelain) / Marca: Tarkett - MATERIAL E MÃO DE OBRA</v>
          </cell>
          <cell r="H3218">
            <v>590</v>
          </cell>
        </row>
        <row r="3219">
          <cell r="D3219" t="str">
            <v>Revestimento de Piso vinílico cinza 92x92cm / Linha Ambienta Coleção Stone / Marca: Tarkett</v>
          </cell>
          <cell r="H3219">
            <v>590</v>
          </cell>
        </row>
        <row r="3220">
          <cell r="D3220" t="str">
            <v>Piso vinílico cinza 92x92cm / Linha Ambienta Coleção Stone / Cores: cinza (Light Porcelain) / Marca: Tarkett - MATERIAL E MÃO DE OBRA</v>
          </cell>
          <cell r="H3220">
            <v>590</v>
          </cell>
        </row>
        <row r="3221">
          <cell r="D3221" t="str">
            <v>Revestimento de Piso vinílico cinza claro 92x92cm / Linha Ambienta Coleção Stone / Marca: Tarkett</v>
          </cell>
          <cell r="H3221">
            <v>590</v>
          </cell>
        </row>
        <row r="3222">
          <cell r="D3222" t="str">
            <v>Piso vinílico cinza 92x92cm / Linha Ambienta Coleção Stone / Cores: cinza claro (Beige Porcelain) / Marca: Tarkett - MATERIAL E MÃO DE OBRA</v>
          </cell>
          <cell r="H3222">
            <v>590</v>
          </cell>
        </row>
        <row r="3223">
          <cell r="D3223" t="str">
            <v xml:space="preserve">Revestimento de Piso Vinilico Flamboyant Reguá 208X1230Mm Tarkett </v>
          </cell>
          <cell r="H3223">
            <v>269.76</v>
          </cell>
        </row>
        <row r="3224">
          <cell r="D3224" t="str">
            <v>PISO VINILICO FLAMBOYANT REGUÁ 208x1230mm TARKETT - MATERIAL E MÃO DE OBRA</v>
          </cell>
          <cell r="H3224">
            <v>269.76</v>
          </cell>
        </row>
        <row r="3225">
          <cell r="D3225" t="str">
            <v xml:space="preserve">Revestimento de Piso Vinilico Luz Do Dia Linha Vital 1219,2X228,6Mm Finotatto  </v>
          </cell>
          <cell r="H3225">
            <v>161.80000000000001</v>
          </cell>
        </row>
        <row r="3226">
          <cell r="D3226" t="str">
            <v>PISO VINILICO LUZ DO DIA LINHA VITAL 1219,2x228,6mm FINOTATTO - MATERIAL E MÃO DE OBRA</v>
          </cell>
          <cell r="H3226">
            <v>161.80000000000001</v>
          </cell>
        </row>
        <row r="3227">
          <cell r="D3227" t="str">
            <v>Revestimento de piso laminado acústico, nas áreas privativas - Material e Mão de Obra</v>
          </cell>
          <cell r="H3227">
            <v>177</v>
          </cell>
        </row>
        <row r="3228">
          <cell r="D3228" t="str">
            <v>Revestimento de piso laminado acústico, nas áreas privativas - Material e Mão de Obra</v>
          </cell>
          <cell r="H3228">
            <v>177</v>
          </cell>
        </row>
        <row r="3229">
          <cell r="D3229" t="str">
            <v>Revestimento de Piso, Emborrachado Monolitico Rubber</v>
          </cell>
          <cell r="H3229">
            <v>250</v>
          </cell>
        </row>
        <row r="3230">
          <cell r="D3230" t="str">
            <v>Piso Emborrachado Monolitico Rubber</v>
          </cell>
          <cell r="H3230">
            <v>250</v>
          </cell>
        </row>
        <row r="3231">
          <cell r="D3231" t="str">
            <v>Revestimento emborrachado piso interno (Academia)- Material e Mão de Obra</v>
          </cell>
          <cell r="H3231">
            <v>101.998107</v>
          </cell>
        </row>
        <row r="3232">
          <cell r="D3232" t="str">
            <v>Adesivo Acrilico De Base Aquosa / Cola De Contato</v>
          </cell>
          <cell r="H3232">
            <v>14.154506999999999</v>
          </cell>
        </row>
        <row r="3233">
          <cell r="D3233" t="str">
            <v>Piso de borracha Daud botão preto 3 x 500 x 500 mm</v>
          </cell>
          <cell r="H3233">
            <v>62.343600000000002</v>
          </cell>
        </row>
        <row r="3234">
          <cell r="D3234" t="str">
            <v>Instalação de piso emborrachado</v>
          </cell>
          <cell r="H3234">
            <v>25.5</v>
          </cell>
        </row>
        <row r="3235">
          <cell r="D3235" t="str">
            <v>Revestimento de piso em grama</v>
          </cell>
          <cell r="H3235">
            <v>13.476141999999999</v>
          </cell>
        </row>
        <row r="3236">
          <cell r="D3236" t="str">
            <v>Terra vegetal</v>
          </cell>
          <cell r="H3236">
            <v>6.4032219999999995</v>
          </cell>
        </row>
        <row r="3237">
          <cell r="D3237" t="str">
            <v>Grama esmeralda</v>
          </cell>
          <cell r="H3237">
            <v>7.0729199999999999</v>
          </cell>
        </row>
        <row r="3238">
          <cell r="D3238" t="str">
            <v>ACABAMENTOS PEDRAS|GRANITO</v>
          </cell>
          <cell r="H3238">
            <v>0</v>
          </cell>
        </row>
        <row r="3239">
          <cell r="D3239" t="str">
            <v>Revestimento de Piso de granito siena</v>
          </cell>
          <cell r="H3239">
            <v>733.03260000000012</v>
          </cell>
        </row>
        <row r="3240">
          <cell r="D3240" t="str">
            <v>Granito siena branco</v>
          </cell>
          <cell r="H3240">
            <v>715.00000000000011</v>
          </cell>
        </row>
        <row r="3241">
          <cell r="D3241" t="str">
            <v>Argamassa ACIII</v>
          </cell>
          <cell r="H3241">
            <v>9.3676000000000013</v>
          </cell>
        </row>
        <row r="3242">
          <cell r="D3242" t="str">
            <v>Massa Plastica 400g</v>
          </cell>
          <cell r="H3242">
            <v>8.6649999999999991</v>
          </cell>
        </row>
        <row r="3243">
          <cell r="D3243" t="str">
            <v>Revestimento de Piso de granito itaunas</v>
          </cell>
          <cell r="H3243">
            <v>843.03260000000012</v>
          </cell>
        </row>
        <row r="3244">
          <cell r="D3244" t="str">
            <v>Granito itaunas branco</v>
          </cell>
          <cell r="H3244">
            <v>825.00000000000011</v>
          </cell>
        </row>
        <row r="3245">
          <cell r="D3245" t="str">
            <v>Argamassa ACIII</v>
          </cell>
          <cell r="H3245">
            <v>9.3676000000000013</v>
          </cell>
        </row>
        <row r="3246">
          <cell r="D3246" t="str">
            <v>Massa Plastica 400g</v>
          </cell>
          <cell r="H3246">
            <v>8.6649999999999991</v>
          </cell>
        </row>
        <row r="3247">
          <cell r="D3247" t="str">
            <v>Revestimento de Piso de granito preto são gabriel</v>
          </cell>
          <cell r="H3247">
            <v>700.31970000000001</v>
          </cell>
        </row>
        <row r="3248">
          <cell r="D3248" t="str">
            <v xml:space="preserve">Granito preto são gabriel </v>
          </cell>
          <cell r="H3248">
            <v>682.5</v>
          </cell>
        </row>
        <row r="3249">
          <cell r="D3249" t="str">
            <v>Argamassa ACIII</v>
          </cell>
          <cell r="H3249">
            <v>9.1547000000000001</v>
          </cell>
        </row>
        <row r="3250">
          <cell r="D3250" t="str">
            <v>Massa Plastica 400g</v>
          </cell>
          <cell r="H3250">
            <v>8.6649999999999991</v>
          </cell>
        </row>
        <row r="3251">
          <cell r="D3251" t="str">
            <v>Revestimento de Piso de mosaico granitinho branco</v>
          </cell>
          <cell r="H3251">
            <v>145.74260000000001</v>
          </cell>
        </row>
        <row r="3252">
          <cell r="D3252" t="str">
            <v>Piso de mosaico granitinho branco</v>
          </cell>
          <cell r="H3252">
            <v>127.71000000000001</v>
          </cell>
        </row>
        <row r="3253">
          <cell r="D3253" t="str">
            <v>Argamassa ACIII</v>
          </cell>
          <cell r="H3253">
            <v>9.3676000000000013</v>
          </cell>
        </row>
        <row r="3254">
          <cell r="D3254" t="str">
            <v>Massa Plastica 400g</v>
          </cell>
          <cell r="H3254">
            <v>8.6649999999999991</v>
          </cell>
        </row>
        <row r="3255">
          <cell r="D3255" t="str">
            <v>Revestimento de Piso intertravado de mosaico granitinho cinza</v>
          </cell>
          <cell r="H3255">
            <v>58.688600000000008</v>
          </cell>
        </row>
        <row r="3256">
          <cell r="D3256" t="str">
            <v>Piso de mosaico granitinho cinza</v>
          </cell>
          <cell r="H3256">
            <v>40.656000000000006</v>
          </cell>
        </row>
        <row r="3257">
          <cell r="D3257" t="str">
            <v>Argamassa ACIII</v>
          </cell>
          <cell r="H3257">
            <v>9.3676000000000013</v>
          </cell>
        </row>
        <row r="3258">
          <cell r="D3258" t="str">
            <v>Massa Plastica 400g</v>
          </cell>
          <cell r="H3258">
            <v>8.6649999999999991</v>
          </cell>
        </row>
        <row r="3259">
          <cell r="D3259" t="str">
            <v>ACABAMENTOS CERÂMICOS</v>
          </cell>
          <cell r="H3259">
            <v>0</v>
          </cell>
        </row>
        <row r="3260">
          <cell r="D3260" t="str">
            <v>Revestimento em Cerâmicas Pisos Internos, 60x 60cm com Junta de 3mm</v>
          </cell>
          <cell r="H3260">
            <v>52.237000000000002</v>
          </cell>
        </row>
        <row r="3261">
          <cell r="D3261" t="str">
            <v>Revestimento Cerâmico de Piso Interno 58x58</v>
          </cell>
          <cell r="H3261">
            <v>43.604000000000006</v>
          </cell>
        </row>
        <row r="3262">
          <cell r="D3262" t="str">
            <v>Argamassa ACII</v>
          </cell>
          <cell r="H3262">
            <v>8.36</v>
          </cell>
        </row>
        <row r="3263">
          <cell r="D3263" t="str">
            <v>Espeçador junta piso 3mm</v>
          </cell>
          <cell r="H3263">
            <v>0.05</v>
          </cell>
        </row>
        <row r="3264">
          <cell r="D3264" t="str">
            <v>Rejunte Cimentício</v>
          </cell>
          <cell r="H3264">
            <v>0.223</v>
          </cell>
        </row>
        <row r="3265">
          <cell r="D3265" t="str">
            <v>Revestimento de cerâmico retificado em Piso, Placa 60,5 x 60,5cm com Junta de 2mm</v>
          </cell>
          <cell r="H3265">
            <v>61.780600000000007</v>
          </cell>
        </row>
        <row r="3266">
          <cell r="D3266" t="str">
            <v>Cer. Karina Artisan 60305 Act. 60x60 Ret</v>
          </cell>
          <cell r="H3266">
            <v>51.953000000000003</v>
          </cell>
        </row>
        <row r="3267">
          <cell r="D3267" t="str">
            <v>Argamassa ACIII</v>
          </cell>
          <cell r="H3267">
            <v>9.3676000000000013</v>
          </cell>
        </row>
        <row r="3268">
          <cell r="D3268" t="str">
            <v>Espeçador junta piso 2mm</v>
          </cell>
          <cell r="H3268">
            <v>0.08</v>
          </cell>
        </row>
        <row r="3269">
          <cell r="D3269" t="str">
            <v>Rejunte Acrilico cinza platina</v>
          </cell>
          <cell r="H3269">
            <v>0.38</v>
          </cell>
        </row>
        <row r="3270">
          <cell r="D3270" t="str">
            <v>Revestimento em Cerâmicas Vulcano Cinza em Piso, 61x 61cm com Junta de 3mm</v>
          </cell>
          <cell r="H3270">
            <v>79.119000000000014</v>
          </cell>
        </row>
        <row r="3271">
          <cell r="D3271" t="str">
            <v>Cerâmica Vulcano Cinza 61x61</v>
          </cell>
          <cell r="H3271">
            <v>69.949000000000012</v>
          </cell>
        </row>
        <row r="3272">
          <cell r="D3272" t="str">
            <v>Argamassa ACII</v>
          </cell>
          <cell r="H3272">
            <v>8.36</v>
          </cell>
        </row>
        <row r="3273">
          <cell r="D3273" t="str">
            <v>Espeçador junta piso 3mm</v>
          </cell>
          <cell r="H3273">
            <v>0.05</v>
          </cell>
        </row>
        <row r="3274">
          <cell r="D3274" t="str">
            <v>Rejunte Acrilico cinza platina</v>
          </cell>
          <cell r="H3274">
            <v>0.76</v>
          </cell>
        </row>
        <row r="3275">
          <cell r="D3275" t="str">
            <v>Revestimento de cerâmico em Piso, Placa 31 x 54cm com Junta de 2mm e rejunte acrilico</v>
          </cell>
          <cell r="H3275">
            <v>89.938599999999994</v>
          </cell>
        </row>
        <row r="3276">
          <cell r="D3276" t="str">
            <v>Cerâmica Brilhante Metrô 31x54cm Savane</v>
          </cell>
          <cell r="H3276">
            <v>79.893000000000001</v>
          </cell>
        </row>
        <row r="3277">
          <cell r="D3277" t="str">
            <v>Argamassa ACIII</v>
          </cell>
          <cell r="H3277">
            <v>9.3676000000000013</v>
          </cell>
        </row>
        <row r="3278">
          <cell r="D3278" t="str">
            <v>Espeçador junta piso 2mm</v>
          </cell>
          <cell r="H3278">
            <v>0.24</v>
          </cell>
        </row>
        <row r="3279">
          <cell r="D3279" t="str">
            <v>Rejunte acrilico</v>
          </cell>
          <cell r="H3279">
            <v>0.438</v>
          </cell>
        </row>
        <row r="3280">
          <cell r="D3280" t="str">
            <v>Revestimento de cerâmico retificado em Piso, Placa 60 x 60cm com Junta de 2mm e rejunte acrilico</v>
          </cell>
          <cell r="H3280">
            <v>61.838600000000007</v>
          </cell>
        </row>
        <row r="3281">
          <cell r="D3281" t="str">
            <v>Cer. Karina Artisan 60305 Act. 60x60 Ret</v>
          </cell>
          <cell r="H3281">
            <v>51.953000000000003</v>
          </cell>
        </row>
        <row r="3282">
          <cell r="D3282" t="str">
            <v>Argamassa ACIII</v>
          </cell>
          <cell r="H3282">
            <v>9.3676000000000013</v>
          </cell>
        </row>
        <row r="3283">
          <cell r="D3283" t="str">
            <v>Espeçador junta piso 2mm</v>
          </cell>
          <cell r="H3283">
            <v>0.08</v>
          </cell>
        </row>
        <row r="3284">
          <cell r="D3284" t="str">
            <v>Rejunte acrilico</v>
          </cell>
          <cell r="H3284">
            <v>0.438</v>
          </cell>
        </row>
        <row r="3285">
          <cell r="D3285" t="str">
            <v>Revestimento de Piso, Cerâmico Acetinado Imperial Mt 50X50Xcm</v>
          </cell>
          <cell r="H3285">
            <v>58.073</v>
          </cell>
        </row>
        <row r="3286">
          <cell r="D3286" t="str">
            <v>Piso Cargo Plus 45x45cm White Eliane</v>
          </cell>
          <cell r="H3286">
            <v>49.39</v>
          </cell>
        </row>
        <row r="3287">
          <cell r="D3287" t="str">
            <v>Argamassa ACII</v>
          </cell>
          <cell r="H3287">
            <v>8.36</v>
          </cell>
        </row>
        <row r="3288">
          <cell r="D3288" t="str">
            <v>Espeçador junta piso 3mm</v>
          </cell>
          <cell r="H3288">
            <v>0.1</v>
          </cell>
        </row>
        <row r="3289">
          <cell r="D3289" t="str">
            <v>Rejunte Cimentício</v>
          </cell>
          <cell r="H3289">
            <v>0.223</v>
          </cell>
        </row>
        <row r="3290">
          <cell r="D3290" t="str">
            <v>Revestimento em Cerâmicas Vulcano Cinza Pisos Externos, 61x 61cm com Junta de 3mm</v>
          </cell>
          <cell r="H3290">
            <v>79.119000000000014</v>
          </cell>
        </row>
        <row r="3291">
          <cell r="D3291" t="str">
            <v>Cerâmica Vulcano Cinza 61x61</v>
          </cell>
          <cell r="H3291">
            <v>69.949000000000012</v>
          </cell>
        </row>
        <row r="3292">
          <cell r="D3292" t="str">
            <v>Argamassa ACII</v>
          </cell>
          <cell r="H3292">
            <v>8.36</v>
          </cell>
        </row>
        <row r="3293">
          <cell r="D3293" t="str">
            <v>Espeçador junta piso 3mm</v>
          </cell>
          <cell r="H3293">
            <v>0.05</v>
          </cell>
        </row>
        <row r="3294">
          <cell r="D3294" t="str">
            <v>Rejunte Acrilico cinza platina</v>
          </cell>
          <cell r="H3294">
            <v>0.76</v>
          </cell>
        </row>
        <row r="3295">
          <cell r="D3295" t="str">
            <v>Revestimento em Cerâmicas Pisos Externos, 60x 60cm com Junta de 3mm</v>
          </cell>
          <cell r="H3295">
            <v>52.237000000000002</v>
          </cell>
        </row>
        <row r="3296">
          <cell r="D3296" t="str">
            <v>Revestimento Cerâmico de Piso Interno 58x58</v>
          </cell>
          <cell r="H3296">
            <v>43.604000000000006</v>
          </cell>
        </row>
        <row r="3297">
          <cell r="D3297" t="str">
            <v>Argamassa ACII</v>
          </cell>
          <cell r="H3297">
            <v>8.36</v>
          </cell>
        </row>
        <row r="3298">
          <cell r="D3298" t="str">
            <v>Espeçador junta piso 3mm</v>
          </cell>
          <cell r="H3298">
            <v>0.05</v>
          </cell>
        </row>
        <row r="3299">
          <cell r="D3299" t="str">
            <v>Rejunte Cimentício</v>
          </cell>
          <cell r="H3299">
            <v>0.223</v>
          </cell>
        </row>
        <row r="3300">
          <cell r="D3300" t="str">
            <v>Revestimento em Cerâmicas Pisos Internos, 45x 45cm com Junta de 3mm</v>
          </cell>
          <cell r="H3300">
            <v>58.073</v>
          </cell>
        </row>
        <row r="3301">
          <cell r="D3301" t="str">
            <v>Piso Cargo Plus 45x45cm White Eliane</v>
          </cell>
          <cell r="H3301">
            <v>49.39</v>
          </cell>
        </row>
        <row r="3302">
          <cell r="D3302" t="str">
            <v>Argamassa ACII</v>
          </cell>
          <cell r="H3302">
            <v>8.36</v>
          </cell>
        </row>
        <row r="3303">
          <cell r="D3303" t="str">
            <v>Espeçador junta piso 3mm</v>
          </cell>
          <cell r="H3303">
            <v>0.1</v>
          </cell>
        </row>
        <row r="3304">
          <cell r="D3304" t="str">
            <v>Rejunte Cimentício</v>
          </cell>
          <cell r="H3304">
            <v>0.223</v>
          </cell>
        </row>
        <row r="3305">
          <cell r="D3305" t="str">
            <v>Revestimento em Pisos cerâmico, 61x 61cm com Junta de 3mm</v>
          </cell>
          <cell r="H3305">
            <v>78.582000000000008</v>
          </cell>
        </row>
        <row r="3306">
          <cell r="D3306" t="str">
            <v>Cerâmica Vulcano Cinza 61x61</v>
          </cell>
          <cell r="H3306">
            <v>69.949000000000012</v>
          </cell>
        </row>
        <row r="3307">
          <cell r="D3307" t="str">
            <v>Argamassa ACII</v>
          </cell>
          <cell r="H3307">
            <v>8.36</v>
          </cell>
        </row>
        <row r="3308">
          <cell r="D3308" t="str">
            <v>Espeçador junta piso 3mm</v>
          </cell>
          <cell r="H3308">
            <v>0.05</v>
          </cell>
        </row>
        <row r="3309">
          <cell r="D3309" t="str">
            <v>Rejunte Cimentício</v>
          </cell>
          <cell r="H3309">
            <v>0.223</v>
          </cell>
        </row>
        <row r="3310">
          <cell r="D3310" t="str">
            <v>ACABAMENTOS PORCELANATO</v>
          </cell>
          <cell r="H3310">
            <v>0</v>
          </cell>
        </row>
        <row r="3311">
          <cell r="D3311" t="str">
            <v xml:space="preserve">Revestimento De Piso, Cimenticio Tecnogran 60X60Cm Linha Lavaggio  </v>
          </cell>
          <cell r="H3311">
            <v>59.060600000000001</v>
          </cell>
        </row>
        <row r="3312">
          <cell r="D3312" t="str">
            <v xml:space="preserve">Piso Cimenticio Tecnogran 60X60Cm Linha Lavaggio  </v>
          </cell>
          <cell r="H3312">
            <v>49.39</v>
          </cell>
        </row>
        <row r="3313">
          <cell r="D3313" t="str">
            <v>Argamassa ACIII</v>
          </cell>
          <cell r="H3313">
            <v>9.3676000000000013</v>
          </cell>
        </row>
        <row r="3314">
          <cell r="D3314" t="str">
            <v>Espeçador junta piso 2mm</v>
          </cell>
          <cell r="H3314">
            <v>0.08</v>
          </cell>
        </row>
        <row r="3315">
          <cell r="D3315" t="str">
            <v>Rejunte Cimentício</v>
          </cell>
          <cell r="H3315">
            <v>0.223</v>
          </cell>
        </row>
        <row r="3316">
          <cell r="D3316" t="str">
            <v>Revestimento em Porcelanato amadeirado 19x117cm para Piso, rejunte cimentício, aplicação em áreas comuns internas</v>
          </cell>
          <cell r="H3316">
            <v>130.4066</v>
          </cell>
        </row>
        <row r="3317">
          <cell r="D3317" t="str">
            <v>Porcelanato Amadeirado Acetinado 19x117cm</v>
          </cell>
          <cell r="H3317">
            <v>120.879</v>
          </cell>
        </row>
        <row r="3318">
          <cell r="D3318" t="str">
            <v>Argamassa ACIII</v>
          </cell>
          <cell r="H3318">
            <v>9.3676000000000013</v>
          </cell>
        </row>
        <row r="3319">
          <cell r="D3319" t="str">
            <v>Espeçador junta piso 2mm</v>
          </cell>
          <cell r="H3319">
            <v>0.16</v>
          </cell>
        </row>
        <row r="3320">
          <cell r="D3320" t="str">
            <v xml:space="preserve">Revestimento de Piso, Porcelanato Botanique Melisse Mate Portobello 29X30Cm    </v>
          </cell>
          <cell r="H3320">
            <v>100.373</v>
          </cell>
        </row>
        <row r="3321">
          <cell r="D3321" t="str">
            <v xml:space="preserve">Porcelanato Botanique Melisse Mate Portobello 29X30Cm    </v>
          </cell>
          <cell r="H3321">
            <v>91.740000000000009</v>
          </cell>
        </row>
        <row r="3322">
          <cell r="D3322" t="str">
            <v>Argamassa ACII</v>
          </cell>
          <cell r="H3322">
            <v>8.36</v>
          </cell>
        </row>
        <row r="3323">
          <cell r="D3323" t="str">
            <v>Espeçador junta piso 3mm</v>
          </cell>
          <cell r="H3323">
            <v>0.05</v>
          </cell>
        </row>
        <row r="3324">
          <cell r="D3324" t="str">
            <v>Rejunte Cimentício</v>
          </cell>
          <cell r="H3324">
            <v>0.223</v>
          </cell>
        </row>
        <row r="3325">
          <cell r="D3325" t="str">
            <v>Revestimento de Piso, Porcelanato Portobello –  90x90 - Padrão Econômico</v>
          </cell>
          <cell r="H3325">
            <v>117.6276</v>
          </cell>
        </row>
        <row r="3326">
          <cell r="D3326" t="str">
            <v>Porcelanato Portobello –  90x90 - Padrão Econômico</v>
          </cell>
          <cell r="H3326">
            <v>107.80000000000001</v>
          </cell>
        </row>
        <row r="3327">
          <cell r="D3327" t="str">
            <v>Argamassa ACIII</v>
          </cell>
          <cell r="H3327">
            <v>9.3676000000000013</v>
          </cell>
        </row>
        <row r="3328">
          <cell r="D3328" t="str">
            <v>Espeçador junta piso 2mm</v>
          </cell>
          <cell r="H3328">
            <v>0.08</v>
          </cell>
        </row>
        <row r="3329">
          <cell r="D3329" t="str">
            <v>Rejunte Acrilico cinza platina</v>
          </cell>
          <cell r="H3329">
            <v>0.38</v>
          </cell>
        </row>
        <row r="3330">
          <cell r="D3330" t="str">
            <v>Revestimento de Piso, Porcelanato Portobello – Posto 10 90x90 Externo Retificado - Linha Ipanema - Padrão Alto</v>
          </cell>
          <cell r="H3330">
            <v>229.82760000000005</v>
          </cell>
        </row>
        <row r="3331">
          <cell r="D3331" t="str">
            <v>Porcelanato Portobello – Posto 10 90x90 Externo Retificado - Linha Ipanema - Padrão Alto</v>
          </cell>
          <cell r="H3331">
            <v>220.00000000000003</v>
          </cell>
        </row>
        <row r="3332">
          <cell r="D3332" t="str">
            <v>Argamassa ACIII</v>
          </cell>
          <cell r="H3332">
            <v>9.3676000000000013</v>
          </cell>
        </row>
        <row r="3333">
          <cell r="D3333" t="str">
            <v>Espeçador junta piso 2mm</v>
          </cell>
          <cell r="H3333">
            <v>0.08</v>
          </cell>
        </row>
        <row r="3334">
          <cell r="D3334" t="str">
            <v>Rejunte Acrilico cinza platina</v>
          </cell>
          <cell r="H3334">
            <v>0.38</v>
          </cell>
        </row>
        <row r="3335">
          <cell r="D3335" t="str">
            <v>Revestimento de Piso, Porcelanato Portobello –  90x90 - Padrão Alto</v>
          </cell>
          <cell r="H3335">
            <v>141.82760000000002</v>
          </cell>
        </row>
        <row r="3336">
          <cell r="D3336" t="str">
            <v>Porcelanato Portobello –  90x90 - Padrão Alto</v>
          </cell>
          <cell r="H3336">
            <v>132</v>
          </cell>
        </row>
        <row r="3337">
          <cell r="D3337" t="str">
            <v>Argamassa ACIII</v>
          </cell>
          <cell r="H3337">
            <v>9.3676000000000013</v>
          </cell>
        </row>
        <row r="3338">
          <cell r="D3338" t="str">
            <v>Espeçador junta piso 2mm</v>
          </cell>
          <cell r="H3338">
            <v>0.08</v>
          </cell>
        </row>
        <row r="3339">
          <cell r="D3339" t="str">
            <v>Rejunte Acrilico cinza platina</v>
          </cell>
          <cell r="H3339">
            <v>0.38</v>
          </cell>
        </row>
        <row r="3340">
          <cell r="D3340" t="str">
            <v>Revestimento de Piso Externo de Porcelanato Polido, Placa 60x60cm</v>
          </cell>
          <cell r="H3340">
            <v>108.56060000000001</v>
          </cell>
        </row>
        <row r="3341">
          <cell r="D3341" t="str">
            <v>Porcelanato "A" 60x60 Place Polido 8058873 Eliane</v>
          </cell>
          <cell r="H3341">
            <v>98.890000000000015</v>
          </cell>
        </row>
        <row r="3342">
          <cell r="D3342" t="str">
            <v>Argamassa ACIII</v>
          </cell>
          <cell r="H3342">
            <v>9.3676000000000013</v>
          </cell>
        </row>
        <row r="3343">
          <cell r="D3343" t="str">
            <v>Espeçador junta piso 2mm</v>
          </cell>
          <cell r="H3343">
            <v>0.08</v>
          </cell>
        </row>
        <row r="3344">
          <cell r="D3344" t="str">
            <v>Rejunte Cimentício</v>
          </cell>
          <cell r="H3344">
            <v>0.223</v>
          </cell>
        </row>
        <row r="3345">
          <cell r="D3345" t="str">
            <v>Revestimento em Piso,  Porcelanato Pp Pro Nude Gp 60X60Cm Retificado</v>
          </cell>
          <cell r="H3345">
            <v>57.805100000000003</v>
          </cell>
        </row>
        <row r="3346">
          <cell r="D3346" t="str">
            <v>Porcelanato Pp Pro Nude Gp 60X60Cm Retificado</v>
          </cell>
          <cell r="H3346">
            <v>48.246000000000002</v>
          </cell>
        </row>
        <row r="3347">
          <cell r="D3347" t="str">
            <v>Argamassa ACIII</v>
          </cell>
          <cell r="H3347">
            <v>9.3676000000000013</v>
          </cell>
        </row>
        <row r="3348">
          <cell r="D3348" t="str">
            <v>Espeçador junta piso 2mm</v>
          </cell>
          <cell r="H3348">
            <v>0.08</v>
          </cell>
        </row>
        <row r="3349">
          <cell r="D3349" t="str">
            <v>Rejunte Cimentício</v>
          </cell>
          <cell r="H3349">
            <v>0.1115</v>
          </cell>
        </row>
        <row r="3350">
          <cell r="D3350" t="str">
            <v>Revestimento de Piso Porcelanato Polido, Placa 60x60cm</v>
          </cell>
          <cell r="H3350">
            <v>108.56060000000001</v>
          </cell>
        </row>
        <row r="3351">
          <cell r="D3351" t="str">
            <v>Porcelanato "A" 60x60 Place Polido 8058873 Eliane</v>
          </cell>
          <cell r="H3351">
            <v>98.890000000000015</v>
          </cell>
        </row>
        <row r="3352">
          <cell r="D3352" t="str">
            <v>Argamassa ACIII</v>
          </cell>
          <cell r="H3352">
            <v>9.3676000000000013</v>
          </cell>
        </row>
        <row r="3353">
          <cell r="D3353" t="str">
            <v>Espeçador junta piso 2mm</v>
          </cell>
          <cell r="H3353">
            <v>0.08</v>
          </cell>
        </row>
        <row r="3354">
          <cell r="D3354" t="str">
            <v>Rejunte Cimentício</v>
          </cell>
          <cell r="H3354">
            <v>0.223</v>
          </cell>
        </row>
        <row r="3355">
          <cell r="D3355" t="str">
            <v>Revestimento de Piso Porcelanato Acetinado, Placa 60x60cm</v>
          </cell>
          <cell r="H3355">
            <v>93.050600000000003</v>
          </cell>
        </row>
        <row r="3356">
          <cell r="D3356" t="str">
            <v xml:space="preserve">Porcelanato A 90x90cm acetinado </v>
          </cell>
          <cell r="H3356">
            <v>83.38000000000001</v>
          </cell>
        </row>
        <row r="3357">
          <cell r="D3357" t="str">
            <v>Argamassa ACIII</v>
          </cell>
          <cell r="H3357">
            <v>9.3676000000000013</v>
          </cell>
        </row>
        <row r="3358">
          <cell r="D3358" t="str">
            <v>Espeçador junta piso 2mm</v>
          </cell>
          <cell r="H3358">
            <v>0.08</v>
          </cell>
        </row>
        <row r="3359">
          <cell r="D3359" t="str">
            <v>Rejunte Cimentício</v>
          </cell>
          <cell r="H3359">
            <v>0.223</v>
          </cell>
        </row>
        <row r="3360">
          <cell r="D3360" t="str">
            <v>Revestimento em Porcelanato Piso Externo, 60x 60cm com Junta de 3mm</v>
          </cell>
          <cell r="H3360">
            <v>133.17500000000004</v>
          </cell>
        </row>
        <row r="3361">
          <cell r="D3361" t="str">
            <v>Porcelanato Arena Cinza Bold Externo 60x60 Eliane</v>
          </cell>
          <cell r="H3361">
            <v>124.54200000000002</v>
          </cell>
        </row>
        <row r="3362">
          <cell r="D3362" t="str">
            <v>Argamassa ACII</v>
          </cell>
          <cell r="H3362">
            <v>8.36</v>
          </cell>
        </row>
        <row r="3363">
          <cell r="D3363" t="str">
            <v>Espeçador junta piso 3mm</v>
          </cell>
          <cell r="H3363">
            <v>0.05</v>
          </cell>
        </row>
        <row r="3364">
          <cell r="D3364" t="str">
            <v>Rejunte Cimentício</v>
          </cell>
          <cell r="H3364">
            <v>0.223</v>
          </cell>
        </row>
        <row r="3365">
          <cell r="D3365" t="str">
            <v>Revestimento em Porcelanato Piso Interno,ELIANE 60X60 BOLD ACETINADO BLEND PLUS GREY, com Junta de 3mm</v>
          </cell>
          <cell r="H3365">
            <v>127.32300000000001</v>
          </cell>
        </row>
        <row r="3366">
          <cell r="D3366" t="str">
            <v>Porcelanato ELIANE 60X60 BOLD ACETINADO BLEND PLUS GREY</v>
          </cell>
          <cell r="H3366">
            <v>118.69000000000001</v>
          </cell>
        </row>
        <row r="3367">
          <cell r="D3367" t="str">
            <v>Argamassa ACII</v>
          </cell>
          <cell r="H3367">
            <v>8.36</v>
          </cell>
        </row>
        <row r="3368">
          <cell r="D3368" t="str">
            <v>Espeçador junta piso 3mm</v>
          </cell>
          <cell r="H3368">
            <v>0.05</v>
          </cell>
        </row>
        <row r="3369">
          <cell r="D3369" t="str">
            <v>Rejunte Cimentício</v>
          </cell>
          <cell r="H3369">
            <v>0.223</v>
          </cell>
        </row>
        <row r="3370">
          <cell r="D3370" t="str">
            <v>Revestimento em Porcelanato Piso Externo,ELIANE 60X60 BOLD ACETINADO BLEND PLUS GREY, com Junta de 3mm</v>
          </cell>
          <cell r="H3370">
            <v>127.32300000000001</v>
          </cell>
        </row>
        <row r="3371">
          <cell r="D3371" t="str">
            <v>Porcelanato ELIANE 60X60 BOLD ACETINADO BLEND PLUS GREY</v>
          </cell>
          <cell r="H3371">
            <v>118.69000000000001</v>
          </cell>
        </row>
        <row r="3372">
          <cell r="D3372" t="str">
            <v>Argamassa ACII</v>
          </cell>
          <cell r="H3372">
            <v>8.36</v>
          </cell>
        </row>
        <row r="3373">
          <cell r="D3373" t="str">
            <v>Espeçador junta piso 3mm</v>
          </cell>
          <cell r="H3373">
            <v>0.05</v>
          </cell>
        </row>
        <row r="3374">
          <cell r="D3374" t="str">
            <v>Rejunte Cimentício</v>
          </cell>
          <cell r="H3374">
            <v>0.223</v>
          </cell>
        </row>
        <row r="3375">
          <cell r="D3375" t="str">
            <v>Revestimento em Piso ,  Porcelanato Pp Pro Nude Gp 60X60Cm Retificado</v>
          </cell>
          <cell r="H3375">
            <v>57.805100000000003</v>
          </cell>
        </row>
        <row r="3376">
          <cell r="D3376" t="str">
            <v>Porcelanato Pp Pro Nude Gp 60X60Cm Retificado</v>
          </cell>
          <cell r="H3376">
            <v>48.246000000000002</v>
          </cell>
        </row>
        <row r="3377">
          <cell r="D3377" t="str">
            <v>Argamassa ACIII</v>
          </cell>
          <cell r="H3377">
            <v>9.3676000000000013</v>
          </cell>
        </row>
        <row r="3378">
          <cell r="D3378" t="str">
            <v>Espeçador junta piso 2mm</v>
          </cell>
          <cell r="H3378">
            <v>0.08</v>
          </cell>
        </row>
        <row r="3379">
          <cell r="D3379" t="str">
            <v>Rejunte Cimentício</v>
          </cell>
          <cell r="H3379">
            <v>0.1115</v>
          </cell>
        </row>
        <row r="3380">
          <cell r="D3380" t="str">
            <v>Revestimento de Piso Externo PORCELANATO VILLAGRES 71X71 RETIFICADO ACETINADO MONTREAL FENDI</v>
          </cell>
          <cell r="H3380">
            <v>93.489100000000008</v>
          </cell>
        </row>
        <row r="3381">
          <cell r="D3381" t="str">
            <v>PORCELANATO VILLAGRES 71X71 RETIFICADO ACETINADO MONTREAL FENDI</v>
          </cell>
          <cell r="H3381">
            <v>83.93</v>
          </cell>
        </row>
        <row r="3382">
          <cell r="D3382" t="str">
            <v>Argamassa ACIII</v>
          </cell>
          <cell r="H3382">
            <v>9.3676000000000013</v>
          </cell>
        </row>
        <row r="3383">
          <cell r="D3383" t="str">
            <v>Espeçador junta piso 2mm</v>
          </cell>
          <cell r="H3383">
            <v>0.08</v>
          </cell>
        </row>
        <row r="3384">
          <cell r="D3384" t="str">
            <v>Rejunte Cimentício</v>
          </cell>
          <cell r="H3384">
            <v>0.1115</v>
          </cell>
        </row>
        <row r="3385">
          <cell r="D3385" t="str">
            <v>Revestimento de Piso Externo PORCELANATO DELTA 73X73 RETIFICADO ACETINADO JUA CLARO 2280-A</v>
          </cell>
          <cell r="H3385">
            <v>85.349100000000007</v>
          </cell>
        </row>
        <row r="3386">
          <cell r="D3386" t="str">
            <v>PORCELANATO DELTA 73X73 RETIFICADO ACETINADO JUA CLARO 2280-A</v>
          </cell>
          <cell r="H3386">
            <v>75.790000000000006</v>
          </cell>
        </row>
        <row r="3387">
          <cell r="D3387" t="str">
            <v>Argamassa ACIII</v>
          </cell>
          <cell r="H3387">
            <v>9.3676000000000013</v>
          </cell>
        </row>
        <row r="3388">
          <cell r="D3388" t="str">
            <v>Espeçador junta piso 2mm</v>
          </cell>
          <cell r="H3388">
            <v>0.08</v>
          </cell>
        </row>
        <row r="3389">
          <cell r="D3389" t="str">
            <v>Rejunte Cimentício</v>
          </cell>
          <cell r="H3389">
            <v>0.1115</v>
          </cell>
        </row>
        <row r="3390">
          <cell r="D3390" t="str">
            <v>Revestimento de Piso Porcelanato Interno ELIZABETH EGEU SAND 74x74 A</v>
          </cell>
          <cell r="H3390">
            <v>108.44910000000002</v>
          </cell>
        </row>
        <row r="3391">
          <cell r="D3391" t="str">
            <v>PORCELANATO ELIZABETH EGEU SAND 74x74 A</v>
          </cell>
          <cell r="H3391">
            <v>98.890000000000015</v>
          </cell>
        </row>
        <row r="3392">
          <cell r="D3392" t="str">
            <v>Argamassa ACIII</v>
          </cell>
          <cell r="H3392">
            <v>9.3676000000000013</v>
          </cell>
        </row>
        <row r="3393">
          <cell r="D3393" t="str">
            <v>Espeçador junta piso 2mm</v>
          </cell>
          <cell r="H3393">
            <v>0.08</v>
          </cell>
        </row>
        <row r="3394">
          <cell r="D3394" t="str">
            <v>Rejunte Cimentício</v>
          </cell>
          <cell r="H3394">
            <v>0.1115</v>
          </cell>
        </row>
        <row r="3395">
          <cell r="D3395" t="str">
            <v>Revestimento de Piso Porcelanato Interno Piso 75x75cm Cedasa Retificado Evidence Polido</v>
          </cell>
          <cell r="H3395">
            <v>167.46410000000006</v>
          </cell>
        </row>
        <row r="3396">
          <cell r="D3396" t="str">
            <v>Piso 75x75cm Cedasa Retificado Evidence Polido</v>
          </cell>
          <cell r="H3396">
            <v>157.90500000000003</v>
          </cell>
        </row>
        <row r="3397">
          <cell r="D3397" t="str">
            <v>Argamassa ACIII</v>
          </cell>
          <cell r="H3397">
            <v>9.3676000000000013</v>
          </cell>
        </row>
        <row r="3398">
          <cell r="D3398" t="str">
            <v>Espeçador junta piso 2mm</v>
          </cell>
          <cell r="H3398">
            <v>0.08</v>
          </cell>
        </row>
        <row r="3399">
          <cell r="D3399" t="str">
            <v>Rejunte Cimentício</v>
          </cell>
          <cell r="H3399">
            <v>0.1115</v>
          </cell>
        </row>
        <row r="3400">
          <cell r="D3400" t="str">
            <v>Revestimento de Piso Porcelanato Interno Retificado Embramaco 76x76cm Acetinado Nevada Mate Plus Retificado</v>
          </cell>
          <cell r="H3400">
            <v>47.949100000000001</v>
          </cell>
        </row>
        <row r="3401">
          <cell r="D3401" t="str">
            <v>Porcelanato Piso Retificado Embramaco 76x76cm Acetinado Nevada Mate Plus Retificado</v>
          </cell>
          <cell r="H3401">
            <v>38.39</v>
          </cell>
        </row>
        <row r="3402">
          <cell r="D3402" t="str">
            <v>Argamassa ACIII</v>
          </cell>
          <cell r="H3402">
            <v>9.3676000000000013</v>
          </cell>
        </row>
        <row r="3403">
          <cell r="D3403" t="str">
            <v>Espeçador junta piso 2mm</v>
          </cell>
          <cell r="H3403">
            <v>0.08</v>
          </cell>
        </row>
        <row r="3404">
          <cell r="D3404" t="str">
            <v>Rejunte Cimentício</v>
          </cell>
          <cell r="H3404">
            <v>0.1115</v>
          </cell>
        </row>
        <row r="3405">
          <cell r="D3405" t="str">
            <v>Revestimento de Piso Porcelanato Externo Portobello Deck Parquet D Olivier Externo "A" 81x81cm</v>
          </cell>
          <cell r="H3405">
            <v>102.94910000000002</v>
          </cell>
        </row>
        <row r="3406">
          <cell r="D3406" t="str">
            <v>Porcelanato Portobello Deck Parquet D Olivier Externo "A" 81x81cm</v>
          </cell>
          <cell r="H3406">
            <v>93.390000000000015</v>
          </cell>
        </row>
        <row r="3407">
          <cell r="D3407" t="str">
            <v>Argamassa ACIII</v>
          </cell>
          <cell r="H3407">
            <v>9.3676000000000013</v>
          </cell>
        </row>
        <row r="3408">
          <cell r="D3408" t="str">
            <v>Espeçador junta piso 2mm</v>
          </cell>
          <cell r="H3408">
            <v>0.08</v>
          </cell>
        </row>
        <row r="3409">
          <cell r="D3409" t="str">
            <v>Rejunte Cimentício</v>
          </cell>
          <cell r="H3409">
            <v>0.1115</v>
          </cell>
        </row>
        <row r="3410">
          <cell r="D3410" t="str">
            <v>Revestimento de Piso Porcelanato Acetinado, Placa 84x84cm (Porcelanato, rejunte, argamassa e espaçador)</v>
          </cell>
          <cell r="H3410">
            <v>97.559100000000001</v>
          </cell>
        </row>
        <row r="3411">
          <cell r="D3411" t="str">
            <v xml:space="preserve">Porcelanato A 84x84cm acetinado </v>
          </cell>
          <cell r="H3411">
            <v>88</v>
          </cell>
        </row>
        <row r="3412">
          <cell r="D3412" t="str">
            <v>Argamassa ACIII</v>
          </cell>
          <cell r="H3412">
            <v>9.3676000000000013</v>
          </cell>
        </row>
        <row r="3413">
          <cell r="D3413" t="str">
            <v>Espeçador junta piso 2mm</v>
          </cell>
          <cell r="H3413">
            <v>0.08</v>
          </cell>
        </row>
        <row r="3414">
          <cell r="D3414" t="str">
            <v>Rejunte Cimentício</v>
          </cell>
          <cell r="H3414">
            <v>0.1115</v>
          </cell>
        </row>
        <row r="3415">
          <cell r="D3415" t="str">
            <v>Revestimento de Piso Porcelanato Externo Porcelanato Pro Concrete Abs 89,5X89,5cm</v>
          </cell>
          <cell r="H3415">
            <v>168.94910000000004</v>
          </cell>
        </row>
        <row r="3416">
          <cell r="D3416" t="str">
            <v>Porcelanato Pro Concrete Abs 89,5X89,5cm</v>
          </cell>
          <cell r="H3416">
            <v>159.39000000000001</v>
          </cell>
        </row>
        <row r="3417">
          <cell r="D3417" t="str">
            <v>Argamassa ACIII</v>
          </cell>
          <cell r="H3417">
            <v>9.3676000000000013</v>
          </cell>
        </row>
        <row r="3418">
          <cell r="D3418" t="str">
            <v>Espeçador junta piso 2mm</v>
          </cell>
          <cell r="H3418">
            <v>0.08</v>
          </cell>
        </row>
        <row r="3419">
          <cell r="D3419" t="str">
            <v>Rejunte Cimentício</v>
          </cell>
          <cell r="H3419">
            <v>0.1115</v>
          </cell>
        </row>
        <row r="3420">
          <cell r="D3420" t="str">
            <v>Revestimento de Piso Porcelanato Acetinado, Placa 90x90cm</v>
          </cell>
          <cell r="H3420">
            <v>92.93910000000001</v>
          </cell>
        </row>
        <row r="3421">
          <cell r="D3421" t="str">
            <v xml:space="preserve">Porcelanato A 90x90cm acetinado </v>
          </cell>
          <cell r="H3421">
            <v>83.38000000000001</v>
          </cell>
        </row>
        <row r="3422">
          <cell r="D3422" t="str">
            <v>Argamassa ACIII</v>
          </cell>
          <cell r="H3422">
            <v>9.3676000000000013</v>
          </cell>
        </row>
        <row r="3423">
          <cell r="D3423" t="str">
            <v>Espeçador junta piso 2mm</v>
          </cell>
          <cell r="H3423">
            <v>0.08</v>
          </cell>
        </row>
        <row r="3424">
          <cell r="D3424" t="str">
            <v>Rejunte Cimentício</v>
          </cell>
          <cell r="H3424">
            <v>0.1115</v>
          </cell>
        </row>
        <row r="3425">
          <cell r="D3425" t="str">
            <v>Revestimento em Porcelanato Piso Externo, 90x 90cm com Junta de 3mm</v>
          </cell>
          <cell r="H3425">
            <v>206.53560000000004</v>
          </cell>
        </row>
        <row r="3426">
          <cell r="D3426" t="str">
            <v>Porcelanato Minimum cimento eliane A 90x90 ext</v>
          </cell>
          <cell r="H3426">
            <v>196.68000000000004</v>
          </cell>
        </row>
        <row r="3427">
          <cell r="D3427" t="str">
            <v>Argamassa ACIII</v>
          </cell>
          <cell r="H3427">
            <v>9.3676000000000013</v>
          </cell>
        </row>
        <row r="3428">
          <cell r="D3428" t="str">
            <v>Espeçador junta piso 3mm</v>
          </cell>
          <cell r="H3428">
            <v>0.05</v>
          </cell>
        </row>
        <row r="3429">
          <cell r="D3429" t="str">
            <v>Rejunte Acrilico</v>
          </cell>
          <cell r="H3429">
            <v>0.438</v>
          </cell>
        </row>
        <row r="3430">
          <cell r="D3430" t="str">
            <v xml:space="preserve">Revestimento de Piso, Porcelanato Mont Blanc Acetinado 90X90 Eliane    </v>
          </cell>
          <cell r="H3430">
            <v>128.24910000000003</v>
          </cell>
        </row>
        <row r="3431">
          <cell r="D3431" t="str">
            <v xml:space="preserve">Porcelanato Mont Blanc Acetinado 90X90 Eliane    </v>
          </cell>
          <cell r="H3431">
            <v>118.69000000000001</v>
          </cell>
        </row>
        <row r="3432">
          <cell r="D3432" t="str">
            <v>Argamassa ACIII</v>
          </cell>
          <cell r="H3432">
            <v>9.3676000000000013</v>
          </cell>
        </row>
        <row r="3433">
          <cell r="D3433" t="str">
            <v>Espeçador junta piso 2mm</v>
          </cell>
          <cell r="H3433">
            <v>0.08</v>
          </cell>
        </row>
        <row r="3434">
          <cell r="D3434" t="str">
            <v>Rejunte Cimentício</v>
          </cell>
          <cell r="H3434">
            <v>0.1115</v>
          </cell>
        </row>
        <row r="3435">
          <cell r="D3435" t="str">
            <v xml:space="preserve">Revestimento de Piso, Porcelanato Mont Blanc Polido 90X90 Eliane    </v>
          </cell>
          <cell r="H3435">
            <v>93.5441</v>
          </cell>
        </row>
        <row r="3436">
          <cell r="D3436" t="str">
            <v xml:space="preserve">Porcelanato Mont Blanc Polido 90X90 Eliane    </v>
          </cell>
          <cell r="H3436">
            <v>83.984999999999999</v>
          </cell>
        </row>
        <row r="3437">
          <cell r="D3437" t="str">
            <v>Argamassa ACIII</v>
          </cell>
          <cell r="H3437">
            <v>9.3676000000000013</v>
          </cell>
        </row>
        <row r="3438">
          <cell r="D3438" t="str">
            <v>Espeçador junta piso 2mm</v>
          </cell>
          <cell r="H3438">
            <v>0.08</v>
          </cell>
        </row>
        <row r="3439">
          <cell r="D3439" t="str">
            <v>Rejunte Cimentício</v>
          </cell>
          <cell r="H3439">
            <v>0.1115</v>
          </cell>
        </row>
        <row r="3440">
          <cell r="D3440" t="str">
            <v>Revestimento de Piso Porcelanato Acetinado, Placa 100x100cm</v>
          </cell>
          <cell r="H3440">
            <v>117.68383333333334</v>
          </cell>
        </row>
        <row r="3441">
          <cell r="D3441" t="str">
            <v>Porcelanato Polido 100x100</v>
          </cell>
          <cell r="H3441">
            <v>102.20833333333334</v>
          </cell>
        </row>
        <row r="3442">
          <cell r="D3442" t="str">
            <v>Argamassa ACIII</v>
          </cell>
          <cell r="H3442">
            <v>9.5805000000000007</v>
          </cell>
        </row>
        <row r="3443">
          <cell r="D3443" t="str">
            <v>Espeçador junta piso 2mm</v>
          </cell>
          <cell r="H3443">
            <v>0.32</v>
          </cell>
        </row>
        <row r="3444">
          <cell r="D3444" t="str">
            <v>Rejunte Cimentício</v>
          </cell>
          <cell r="H3444">
            <v>5.5750000000000002</v>
          </cell>
        </row>
        <row r="3445">
          <cell r="D3445" t="str">
            <v>Revestimento de Piso Externo de Porcelanato Polido, Placa 120x120cm</v>
          </cell>
          <cell r="H3445">
            <v>166.05449999999999</v>
          </cell>
        </row>
        <row r="3446">
          <cell r="D3446" t="str">
            <v>Porcelanato Polido Eliane Place "A" 120x120</v>
          </cell>
          <cell r="H3446">
            <v>150.57900000000001</v>
          </cell>
        </row>
        <row r="3447">
          <cell r="D3447" t="str">
            <v>Argamassa ACIII</v>
          </cell>
          <cell r="H3447">
            <v>9.5805000000000007</v>
          </cell>
        </row>
        <row r="3448">
          <cell r="D3448" t="str">
            <v>Espeçador junta piso 2mm</v>
          </cell>
          <cell r="H3448">
            <v>0.32</v>
          </cell>
        </row>
        <row r="3449">
          <cell r="D3449" t="str">
            <v>Rejunte Cimentício</v>
          </cell>
          <cell r="H3449">
            <v>5.5750000000000002</v>
          </cell>
        </row>
        <row r="3450">
          <cell r="D3450" t="str">
            <v>Revestimento de Piso Porcelanato Acetinado, Placa 120x120cm</v>
          </cell>
          <cell r="H3450">
            <v>169.47549999999998</v>
          </cell>
        </row>
        <row r="3451">
          <cell r="D3451" t="str">
            <v>Porcelanato Acetinado 120x120cm</v>
          </cell>
          <cell r="H3451">
            <v>154</v>
          </cell>
        </row>
        <row r="3452">
          <cell r="D3452" t="str">
            <v>Argamassa ACIII</v>
          </cell>
          <cell r="H3452">
            <v>9.5805000000000007</v>
          </cell>
        </row>
        <row r="3453">
          <cell r="D3453" t="str">
            <v>Espeçador junta piso 2mm</v>
          </cell>
          <cell r="H3453">
            <v>0.32</v>
          </cell>
        </row>
        <row r="3454">
          <cell r="D3454" t="str">
            <v>Rejunte Cimentício</v>
          </cell>
          <cell r="H3454">
            <v>5.5750000000000002</v>
          </cell>
        </row>
        <row r="3455">
          <cell r="D3455" t="str">
            <v>Revestimento em Piso,  Porcelanato Onyx Unique Ret. Acetinado 120X120Cm - Portobello</v>
          </cell>
          <cell r="H3455">
            <v>156.73910000000006</v>
          </cell>
        </row>
        <row r="3456">
          <cell r="D3456" t="str">
            <v>Porcelanato Onyx Unique Ret. Acetinado 120X120Cm - Portobello</v>
          </cell>
          <cell r="H3456">
            <v>147.18000000000004</v>
          </cell>
        </row>
        <row r="3457">
          <cell r="D3457" t="str">
            <v>Argamassa ACIII</v>
          </cell>
          <cell r="H3457">
            <v>9.3676000000000013</v>
          </cell>
        </row>
        <row r="3458">
          <cell r="D3458" t="str">
            <v>Espeçador junta piso 2mm</v>
          </cell>
          <cell r="H3458">
            <v>0.08</v>
          </cell>
        </row>
        <row r="3459">
          <cell r="D3459" t="str">
            <v>Rejunte Cimentício</v>
          </cell>
          <cell r="H3459">
            <v>0.1115</v>
          </cell>
        </row>
        <row r="3460">
          <cell r="D3460" t="str">
            <v>Revestimento em Piso,  Porcelanato Onyx Unique Ret. Polido 120X120Cm - Portobello</v>
          </cell>
          <cell r="H3460">
            <v>156.73910000000006</v>
          </cell>
        </row>
        <row r="3461">
          <cell r="D3461" t="str">
            <v>Porcelanato Onyx Unique Ret. Polido 120X120Cm - Portobello</v>
          </cell>
          <cell r="H3461">
            <v>147.18000000000004</v>
          </cell>
        </row>
        <row r="3462">
          <cell r="D3462" t="str">
            <v>Argamassa ACIII</v>
          </cell>
          <cell r="H3462">
            <v>9.3676000000000013</v>
          </cell>
        </row>
        <row r="3463">
          <cell r="D3463" t="str">
            <v>Espeçador junta piso 2mm</v>
          </cell>
          <cell r="H3463">
            <v>0.08</v>
          </cell>
        </row>
        <row r="3464">
          <cell r="D3464" t="str">
            <v>Rejunte Cimentício</v>
          </cell>
          <cell r="H3464">
            <v>0.1115</v>
          </cell>
        </row>
        <row r="3465">
          <cell r="D3465" t="str">
            <v>Revestimento em Piso,  Porcelanato Travertino Navona Bianco 120X120Cm Ret. Natural Portobello</v>
          </cell>
          <cell r="H3465">
            <v>156.73910000000006</v>
          </cell>
        </row>
        <row r="3466">
          <cell r="D3466" t="str">
            <v>Porcelanato Travertino Navona Bianco 120X120Cm Ret. Natural Portobello</v>
          </cell>
          <cell r="H3466">
            <v>147.18000000000004</v>
          </cell>
        </row>
        <row r="3467">
          <cell r="D3467" t="str">
            <v>Argamassa ACIII</v>
          </cell>
          <cell r="H3467">
            <v>9.3676000000000013</v>
          </cell>
        </row>
        <row r="3468">
          <cell r="D3468" t="str">
            <v>Espeçador junta piso 2mm</v>
          </cell>
          <cell r="H3468">
            <v>0.08</v>
          </cell>
        </row>
        <row r="3469">
          <cell r="D3469" t="str">
            <v>Rejunte Cimentício</v>
          </cell>
          <cell r="H3469">
            <v>0.1115</v>
          </cell>
        </row>
        <row r="3470">
          <cell r="D3470" t="str">
            <v>Revestimento de Piso, Porcelanato 160X320 Cm</v>
          </cell>
          <cell r="H3470">
            <v>217.00650000000002</v>
          </cell>
        </row>
        <row r="3471">
          <cell r="D3471" t="str">
            <v>Porcelanato 160X320 Cm</v>
          </cell>
          <cell r="H3471">
            <v>201.53100000000003</v>
          </cell>
        </row>
        <row r="3472">
          <cell r="D3472" t="str">
            <v>Argamassa ACIII</v>
          </cell>
          <cell r="H3472">
            <v>9.5805000000000007</v>
          </cell>
        </row>
        <row r="3473">
          <cell r="D3473" t="str">
            <v>Espeçador junta piso 2mm</v>
          </cell>
          <cell r="H3473">
            <v>0.32</v>
          </cell>
        </row>
        <row r="3474">
          <cell r="D3474" t="str">
            <v>Rejunte Cimentício</v>
          </cell>
          <cell r="H3474">
            <v>5.5750000000000002</v>
          </cell>
        </row>
        <row r="3475">
          <cell r="D3475" t="str">
            <v>Revestimento em Porcelanato Biancogres 20x120 Scala Beige-a Ret , rejunte cimentício, aplicação em áreas comuns internas</v>
          </cell>
          <cell r="H3475">
            <v>119.42060000000001</v>
          </cell>
        </row>
        <row r="3476">
          <cell r="D3476" t="str">
            <v xml:space="preserve">Porcelanato Biancogres 20x120 Scala Beige-a Ret </v>
          </cell>
          <cell r="H3476">
            <v>109.67000000000002</v>
          </cell>
        </row>
        <row r="3477">
          <cell r="D3477" t="str">
            <v>Argamassa ACIII</v>
          </cell>
          <cell r="H3477">
            <v>9.3676000000000013</v>
          </cell>
        </row>
        <row r="3478">
          <cell r="D3478" t="str">
            <v>Espeçador junta piso 2mm</v>
          </cell>
          <cell r="H3478">
            <v>0.16</v>
          </cell>
        </row>
        <row r="3479">
          <cell r="D3479" t="str">
            <v>Rejunte Cimentício</v>
          </cell>
          <cell r="H3479">
            <v>0.223</v>
          </cell>
        </row>
        <row r="3480">
          <cell r="D3480" t="str">
            <v>Revestimento em Porcelanato Tipo Argila | Portobello - 120x20 cm, rejunte cimentício, aplicação em áreas comuns internas</v>
          </cell>
          <cell r="H3480">
            <v>185.75060000000002</v>
          </cell>
        </row>
        <row r="3481">
          <cell r="D3481" t="str">
            <v>Porcelanato Tipo Argila | Portobello - 120x20 cm</v>
          </cell>
          <cell r="H3481">
            <v>176</v>
          </cell>
        </row>
        <row r="3482">
          <cell r="D3482" t="str">
            <v>Argamassa ACIII</v>
          </cell>
          <cell r="H3482">
            <v>9.3676000000000013</v>
          </cell>
        </row>
        <row r="3483">
          <cell r="D3483" t="str">
            <v>Espeçador junta piso 2mm</v>
          </cell>
          <cell r="H3483">
            <v>0.16</v>
          </cell>
        </row>
        <row r="3484">
          <cell r="D3484" t="str">
            <v>Rejunte Cimentício</v>
          </cell>
          <cell r="H3484">
            <v>0.223</v>
          </cell>
        </row>
        <row r="3485">
          <cell r="D3485" t="str">
            <v>Revestimento em Pisos porcelanato, 61x 61cm com Junta de 3mm</v>
          </cell>
          <cell r="H3485">
            <v>95.456000000000003</v>
          </cell>
        </row>
        <row r="3486">
          <cell r="D3486" t="str">
            <v>Porcelanato 61,1x61,1cm Cement Grigio Pure 61024 Acetinado Extra</v>
          </cell>
          <cell r="H3486">
            <v>86.823000000000008</v>
          </cell>
        </row>
        <row r="3487">
          <cell r="D3487" t="str">
            <v>Argamassa ACII</v>
          </cell>
          <cell r="H3487">
            <v>8.36</v>
          </cell>
        </row>
        <row r="3488">
          <cell r="D3488" t="str">
            <v>Espeçador junta piso 3mm</v>
          </cell>
          <cell r="H3488">
            <v>0.05</v>
          </cell>
        </row>
        <row r="3489">
          <cell r="D3489" t="str">
            <v>Rejunte Cimentício</v>
          </cell>
          <cell r="H3489">
            <v>0.223</v>
          </cell>
        </row>
        <row r="3490">
          <cell r="D3490" t="str">
            <v>Revestimento de Piso Porcelanato Polido, Padrão Nobre, Placa 90x90cm</v>
          </cell>
          <cell r="H3490">
            <v>141.54810000000003</v>
          </cell>
        </row>
        <row r="3491">
          <cell r="D3491" t="str">
            <v>PORCELANATO 90X90 PORTOBELLO CHIARO DI VERSILIA NATURAL</v>
          </cell>
          <cell r="H3491">
            <v>131.989</v>
          </cell>
        </row>
        <row r="3492">
          <cell r="D3492" t="str">
            <v>Argamassa ACIII</v>
          </cell>
          <cell r="H3492">
            <v>9.3676000000000013</v>
          </cell>
        </row>
        <row r="3493">
          <cell r="D3493" t="str">
            <v>Espeçador junta piso 2mm</v>
          </cell>
          <cell r="H3493">
            <v>0.08</v>
          </cell>
        </row>
        <row r="3494">
          <cell r="D3494" t="str">
            <v>Rejunte Cimentício</v>
          </cell>
          <cell r="H3494">
            <v>0.1115</v>
          </cell>
        </row>
        <row r="3495">
          <cell r="D3495" t="str">
            <v>Revestimento de Piso Porcelanato Polido, Placa 90x90cm</v>
          </cell>
          <cell r="H3495">
            <v>99.759100000000004</v>
          </cell>
        </row>
        <row r="3496">
          <cell r="D3496" t="str">
            <v xml:space="preserve">Porcelanato A 90x90 Polido </v>
          </cell>
          <cell r="H3496">
            <v>90.2</v>
          </cell>
        </row>
        <row r="3497">
          <cell r="D3497" t="str">
            <v>Argamassa ACIII</v>
          </cell>
          <cell r="H3497">
            <v>9.3676000000000013</v>
          </cell>
        </row>
        <row r="3498">
          <cell r="D3498" t="str">
            <v>Espeçador junta piso 2mm</v>
          </cell>
          <cell r="H3498">
            <v>0.08</v>
          </cell>
        </row>
        <row r="3499">
          <cell r="D3499" t="str">
            <v>Rejunte Cimentício</v>
          </cell>
          <cell r="H3499">
            <v>0.1115</v>
          </cell>
        </row>
        <row r="3500">
          <cell r="D3500" t="str">
            <v>Revestimento de Piso Porcelanato, Placa 90x90cm, antiderrapante com junta 5mm e rejunte acrilico cinza platina</v>
          </cell>
          <cell r="H3500">
            <v>102.7886</v>
          </cell>
        </row>
        <row r="3501">
          <cell r="D3501" t="str">
            <v>Porcelanato Pedra Granilhado 90x90cm Travertino Tivoli Bege</v>
          </cell>
          <cell r="H3501">
            <v>92.961000000000013</v>
          </cell>
        </row>
        <row r="3502">
          <cell r="D3502" t="str">
            <v>Argamassa ACIII</v>
          </cell>
          <cell r="H3502">
            <v>9.3676000000000013</v>
          </cell>
        </row>
        <row r="3503">
          <cell r="D3503" t="str">
            <v>Espeçador junta piso 2mm</v>
          </cell>
          <cell r="H3503">
            <v>0.08</v>
          </cell>
        </row>
        <row r="3504">
          <cell r="D3504" t="str">
            <v>Rejunte Acrilico cinza platina</v>
          </cell>
          <cell r="H3504">
            <v>0.38</v>
          </cell>
        </row>
        <row r="3505">
          <cell r="D3505" t="str">
            <v>Revestimento de Piso Porcelanato, Placa 90x90cm, com coeficiente de atrito 0,4</v>
          </cell>
          <cell r="H3505">
            <v>83.820100000000011</v>
          </cell>
        </row>
        <row r="3506">
          <cell r="D3506" t="str">
            <v>Porcelanato Esmaltado 90x90cm Cinza Cemento Grigio Biancogres</v>
          </cell>
          <cell r="H3506">
            <v>74.26100000000001</v>
          </cell>
        </row>
        <row r="3507">
          <cell r="D3507" t="str">
            <v>Argamassa ACIII</v>
          </cell>
          <cell r="H3507">
            <v>9.3676000000000013</v>
          </cell>
        </row>
        <row r="3508">
          <cell r="D3508" t="str">
            <v>Espeçador junta piso 2mm</v>
          </cell>
          <cell r="H3508">
            <v>0.08</v>
          </cell>
        </row>
        <row r="3509">
          <cell r="D3509" t="str">
            <v>Rejunte Cimentício</v>
          </cell>
          <cell r="H3509">
            <v>0.1115</v>
          </cell>
        </row>
        <row r="3510">
          <cell r="D3510" t="str">
            <v>Revestimento de Piso Porcelanato Polido, Placa 120x120cm</v>
          </cell>
          <cell r="H3510">
            <v>166.05449999999999</v>
          </cell>
        </row>
        <row r="3511">
          <cell r="D3511" t="str">
            <v>Porcelanato Polido Eliane Place "A" 120x120</v>
          </cell>
          <cell r="H3511">
            <v>150.57900000000001</v>
          </cell>
        </row>
        <row r="3512">
          <cell r="D3512" t="str">
            <v>Argamassa ACIII</v>
          </cell>
          <cell r="H3512">
            <v>9.5805000000000007</v>
          </cell>
        </row>
        <row r="3513">
          <cell r="D3513" t="str">
            <v>Espeçador junta piso 2mm</v>
          </cell>
          <cell r="H3513">
            <v>0.32</v>
          </cell>
        </row>
        <row r="3514">
          <cell r="D3514" t="str">
            <v>Rejunte Cimentício</v>
          </cell>
          <cell r="H3514">
            <v>5.5750000000000002</v>
          </cell>
        </row>
        <row r="3515">
          <cell r="D3515" t="str">
            <v>Revestimento de Piso Porcelanato Matiz Agave MT 30x90 - Eliane Revestimentos</v>
          </cell>
          <cell r="H3515">
            <v>268.05909999999994</v>
          </cell>
        </row>
        <row r="3516">
          <cell r="D3516" t="str">
            <v>Porcelanato Matiz Agave MT 30x90 - Eliane Revestimentos</v>
          </cell>
          <cell r="H3516">
            <v>258.5</v>
          </cell>
        </row>
        <row r="3517">
          <cell r="D3517" t="str">
            <v>Argamassa ACIII</v>
          </cell>
          <cell r="H3517">
            <v>9.3676000000000013</v>
          </cell>
        </row>
        <row r="3518">
          <cell r="D3518" t="str">
            <v>Espeçador junta piso 2mm</v>
          </cell>
          <cell r="H3518">
            <v>0.08</v>
          </cell>
        </row>
        <row r="3519">
          <cell r="D3519" t="str">
            <v>Rejunte Cimentício</v>
          </cell>
          <cell r="H3519">
            <v>0.1115</v>
          </cell>
        </row>
        <row r="3520">
          <cell r="D3520" t="str">
            <v>Revestimento de Piso Porcelanato preto e branco, Placa 90x90cm</v>
          </cell>
          <cell r="H3520">
            <v>158.05910000000003</v>
          </cell>
        </row>
        <row r="3521">
          <cell r="D3521" t="str">
            <v>Porcenalato Interno 90x90cm preto e branco</v>
          </cell>
          <cell r="H3521">
            <v>148.5</v>
          </cell>
        </row>
        <row r="3522">
          <cell r="D3522" t="str">
            <v>Argamassa ACIII</v>
          </cell>
          <cell r="H3522">
            <v>9.3676000000000013</v>
          </cell>
        </row>
        <row r="3523">
          <cell r="D3523" t="str">
            <v>Espeçador junta piso 2mm</v>
          </cell>
          <cell r="H3523">
            <v>0.08</v>
          </cell>
        </row>
        <row r="3524">
          <cell r="D3524" t="str">
            <v>Rejunte Cimentício</v>
          </cell>
          <cell r="H3524">
            <v>0.1115</v>
          </cell>
        </row>
        <row r="3525">
          <cell r="D3525" t="str">
            <v>Revestimento de Piso Porcelanato Acetinado Mirage, Placa 90x90cm</v>
          </cell>
          <cell r="H3525">
            <v>167.69510000000002</v>
          </cell>
        </row>
        <row r="3526">
          <cell r="D3526" t="str">
            <v>Porcenalato Interno Acetinado 90x90cm Mirage CTM Incesa</v>
          </cell>
          <cell r="H3526">
            <v>158.136</v>
          </cell>
        </row>
        <row r="3527">
          <cell r="D3527" t="str">
            <v>Argamassa ACIII</v>
          </cell>
          <cell r="H3527">
            <v>9.3676000000000013</v>
          </cell>
        </row>
        <row r="3528">
          <cell r="D3528" t="str">
            <v>Espeçador junta piso 2mm</v>
          </cell>
          <cell r="H3528">
            <v>0.08</v>
          </cell>
        </row>
        <row r="3529">
          <cell r="D3529" t="str">
            <v>Rejunte Cimentício</v>
          </cell>
          <cell r="H3529">
            <v>0.1115</v>
          </cell>
        </row>
        <row r="3530">
          <cell r="D3530" t="str">
            <v>Revestimento de Piso Porcelanato externo ceres plus pisoforte, 76x76cm, simples</v>
          </cell>
          <cell r="H3530">
            <v>123.95910000000001</v>
          </cell>
        </row>
        <row r="3531">
          <cell r="D3531" t="str">
            <v>Piso Cerâmico Externo Ceres Plus Pisoforte | G-Haus</v>
          </cell>
          <cell r="H3531">
            <v>114.4</v>
          </cell>
        </row>
        <row r="3532">
          <cell r="D3532" t="str">
            <v>Argamassa ACIII</v>
          </cell>
          <cell r="H3532">
            <v>9.3676000000000013</v>
          </cell>
        </row>
        <row r="3533">
          <cell r="D3533" t="str">
            <v>Espeçador junta piso 2mm</v>
          </cell>
          <cell r="H3533">
            <v>0.08</v>
          </cell>
        </row>
        <row r="3534">
          <cell r="D3534" t="str">
            <v>Rejunte Cimentício</v>
          </cell>
          <cell r="H3534">
            <v>0.1115</v>
          </cell>
        </row>
        <row r="3535">
          <cell r="D3535" t="str">
            <v>Revestimento de Piso Porcelanato externo granilhado, 76x76cm, simples</v>
          </cell>
          <cell r="H3535">
            <v>107.45910000000001</v>
          </cell>
        </row>
        <row r="3536">
          <cell r="D3536" t="str">
            <v>Piso Cerâmico Externo Granilhado Pietra 75x75cm</v>
          </cell>
          <cell r="H3536">
            <v>97.9</v>
          </cell>
        </row>
        <row r="3537">
          <cell r="D3537" t="str">
            <v>Argamassa ACIII</v>
          </cell>
          <cell r="H3537">
            <v>9.3676000000000013</v>
          </cell>
        </row>
        <row r="3538">
          <cell r="D3538" t="str">
            <v>Espeçador junta piso 2mm</v>
          </cell>
          <cell r="H3538">
            <v>0.08</v>
          </cell>
        </row>
        <row r="3539">
          <cell r="D3539" t="str">
            <v>Rejunte Cimentício</v>
          </cell>
          <cell r="H3539">
            <v>0.1115</v>
          </cell>
        </row>
        <row r="3540">
          <cell r="D3540" t="str">
            <v>Revestimento de Piso Porcelanato, 76x76cm, simples</v>
          </cell>
          <cell r="H3540">
            <v>47.949100000000001</v>
          </cell>
        </row>
        <row r="3541">
          <cell r="D3541" t="str">
            <v>Porcelanato Piso Retificado Embramaco 76x76cm Acetinado Nevada Mate Plus Retificado</v>
          </cell>
          <cell r="H3541">
            <v>38.39</v>
          </cell>
        </row>
        <row r="3542">
          <cell r="D3542" t="str">
            <v>Argamassa ACIII</v>
          </cell>
          <cell r="H3542">
            <v>9.3676000000000013</v>
          </cell>
        </row>
        <row r="3543">
          <cell r="D3543" t="str">
            <v>Espeçador junta piso 2mm</v>
          </cell>
          <cell r="H3543">
            <v>0.08</v>
          </cell>
        </row>
        <row r="3544">
          <cell r="D3544" t="str">
            <v>Rejunte Cimentício</v>
          </cell>
          <cell r="H3544">
            <v>0.1115</v>
          </cell>
        </row>
        <row r="3545">
          <cell r="D3545" t="str">
            <v>Revestimento de Piso Porcelanato Interno Cimentício Acetinado Borda Reta Interno 120x120cm Munari Branco Eliane</v>
          </cell>
          <cell r="H3545">
            <v>217.00650000000002</v>
          </cell>
        </row>
        <row r="3546">
          <cell r="D3546" t="str">
            <v>Porcelanato Cimentício Acetinado Borda Reta Interno 120x120cm Munari Branco Eliane</v>
          </cell>
          <cell r="H3546">
            <v>201.53100000000003</v>
          </cell>
        </row>
        <row r="3547">
          <cell r="D3547" t="str">
            <v>Argamassa ACIII</v>
          </cell>
          <cell r="H3547">
            <v>9.5805000000000007</v>
          </cell>
        </row>
        <row r="3548">
          <cell r="D3548" t="str">
            <v>Espeçador junta piso 2mm</v>
          </cell>
          <cell r="H3548">
            <v>0.32</v>
          </cell>
        </row>
        <row r="3549">
          <cell r="D3549" t="str">
            <v>Rejunte Cimentício</v>
          </cell>
          <cell r="H3549">
            <v>5.5750000000000002</v>
          </cell>
        </row>
        <row r="3550">
          <cell r="D3550" t="str">
            <v>PASTILHAS CERÂMICAS</v>
          </cell>
          <cell r="H3550">
            <v>0</v>
          </cell>
        </row>
        <row r="3551">
          <cell r="D3551" t="str">
            <v xml:space="preserve">Revestimento em Pastilhas Cerâmicas Para Piscinas , 14,5 x 14,5cm com Junta de 2mm </v>
          </cell>
          <cell r="H3551">
            <v>156.16550000000001</v>
          </cell>
        </row>
        <row r="3552">
          <cell r="D3552" t="str">
            <v>Revestimento Pastilha 14,5x14,5cm</v>
          </cell>
          <cell r="H3552">
            <v>140.69000000000003</v>
          </cell>
        </row>
        <row r="3553">
          <cell r="D3553" t="str">
            <v>Argamassa ACIII</v>
          </cell>
          <cell r="H3553">
            <v>9.5805000000000007</v>
          </cell>
        </row>
        <row r="3554">
          <cell r="D3554" t="str">
            <v>Espeçador junta piso 2mm</v>
          </cell>
          <cell r="H3554">
            <v>0.32</v>
          </cell>
        </row>
        <row r="3555">
          <cell r="D3555" t="str">
            <v>Rejunte Cimentício</v>
          </cell>
          <cell r="H3555">
            <v>5.5750000000000002</v>
          </cell>
        </row>
        <row r="3556">
          <cell r="D3556" t="str">
            <v>Revestimento em Pastilha vítrea decorada, padrão customizado, placa 30x30 cm</v>
          </cell>
          <cell r="H3556">
            <v>533.95527500000003</v>
          </cell>
        </row>
        <row r="3557">
          <cell r="D3557" t="str">
            <v>Pastilha vítrea decorada, padrão customizado, placa 30x30 cm - Jatobá / NGK Pastilhas</v>
          </cell>
          <cell r="H3557">
            <v>528</v>
          </cell>
        </row>
        <row r="3558">
          <cell r="D3558" t="str">
            <v>Argamassa ACIII</v>
          </cell>
          <cell r="H3558">
            <v>5.2692750000000004</v>
          </cell>
        </row>
        <row r="3559">
          <cell r="D3559" t="str">
            <v>Espeçador junta piso 2mm</v>
          </cell>
          <cell r="H3559">
            <v>0.24</v>
          </cell>
        </row>
        <row r="3560">
          <cell r="D3560" t="str">
            <v>Rejunte Cimentício</v>
          </cell>
          <cell r="H3560">
            <v>0.44600000000000001</v>
          </cell>
        </row>
        <row r="3561">
          <cell r="D3561" t="str">
            <v xml:space="preserve">Revestimento em Pastilhas Cerâmicas Para Piscinas , 20 x 20cm com Junta de 2mm </v>
          </cell>
          <cell r="H3561">
            <v>206.65027499999999</v>
          </cell>
        </row>
        <row r="3562">
          <cell r="D3562" t="str">
            <v>Revestimento Portinari Pacific Bl Lux Bold 20x20</v>
          </cell>
          <cell r="H3562">
            <v>200.69499999999999</v>
          </cell>
        </row>
        <row r="3563">
          <cell r="D3563" t="str">
            <v>Argamassa ACIII</v>
          </cell>
          <cell r="H3563">
            <v>5.2692750000000004</v>
          </cell>
        </row>
        <row r="3564">
          <cell r="D3564" t="str">
            <v>Espeçador junta piso 2mm</v>
          </cell>
          <cell r="H3564">
            <v>0.24</v>
          </cell>
        </row>
        <row r="3565">
          <cell r="D3565" t="str">
            <v>Rejunte Cimentício</v>
          </cell>
          <cell r="H3565">
            <v>0.44600000000000001</v>
          </cell>
        </row>
        <row r="3566">
          <cell r="D3566" t="str">
            <v>Revestimento em Piso,  Pastilha Bege 2,5X2,5Cm</v>
          </cell>
          <cell r="H3566">
            <v>262.85377500000004</v>
          </cell>
        </row>
        <row r="3567">
          <cell r="D3567" t="str">
            <v>Revestimento Pastilha 2,5x2,5cm</v>
          </cell>
          <cell r="H3567">
            <v>256.70700000000005</v>
          </cell>
        </row>
        <row r="3568">
          <cell r="D3568" t="str">
            <v>Argamassa ACIII</v>
          </cell>
          <cell r="H3568">
            <v>5.2692750000000004</v>
          </cell>
        </row>
        <row r="3569">
          <cell r="D3569" t="str">
            <v>Espeçador junta piso 2mm</v>
          </cell>
          <cell r="H3569">
            <v>0.32</v>
          </cell>
        </row>
        <row r="3570">
          <cell r="D3570" t="str">
            <v>Rejunte Cimentício</v>
          </cell>
          <cell r="H3570">
            <v>0.5575</v>
          </cell>
        </row>
        <row r="3571">
          <cell r="D3571" t="str">
            <v>Revestimento em Piso,  Pastilha 20X20 Cm</v>
          </cell>
          <cell r="H3571">
            <v>186.172775</v>
          </cell>
        </row>
        <row r="3572">
          <cell r="D3572" t="str">
            <v>Revestimento Pastilha 20x20cm</v>
          </cell>
          <cell r="H3572">
            <v>180.02600000000001</v>
          </cell>
        </row>
        <row r="3573">
          <cell r="D3573" t="str">
            <v>Argamassa ACIII</v>
          </cell>
          <cell r="H3573">
            <v>5.2692750000000004</v>
          </cell>
        </row>
        <row r="3574">
          <cell r="D3574" t="str">
            <v>Espeçador junta piso 2mm</v>
          </cell>
          <cell r="H3574">
            <v>0.32</v>
          </cell>
        </row>
        <row r="3575">
          <cell r="D3575" t="str">
            <v>Rejunte Cimentício</v>
          </cell>
          <cell r="H3575">
            <v>0.5575</v>
          </cell>
        </row>
        <row r="3576">
          <cell r="D3576" t="str">
            <v>PEDRAS E GRANITOS</v>
          </cell>
          <cell r="H3576">
            <v>0</v>
          </cell>
        </row>
        <row r="3577">
          <cell r="D3577" t="str">
            <v>Revestimento De Granito Branco Ceará Flameado</v>
          </cell>
          <cell r="H3577">
            <v>997.24550000000011</v>
          </cell>
        </row>
        <row r="3578">
          <cell r="D3578" t="str">
            <v>Granito Branco Ceará Flameado</v>
          </cell>
          <cell r="H3578">
            <v>979.00000000000011</v>
          </cell>
        </row>
        <row r="3579">
          <cell r="D3579" t="str">
            <v>Argamassa ACIII</v>
          </cell>
          <cell r="H3579">
            <v>9.5805000000000007</v>
          </cell>
        </row>
        <row r="3580">
          <cell r="D3580" t="str">
            <v>Massa Plastica 400g</v>
          </cell>
          <cell r="H3580">
            <v>8.6649999999999991</v>
          </cell>
        </row>
        <row r="3581">
          <cell r="D3581" t="str">
            <v>Revestimento de Granito cinza em Pisos</v>
          </cell>
          <cell r="H3581">
            <v>546.24549999999999</v>
          </cell>
        </row>
        <row r="3582">
          <cell r="D3582" t="str">
            <v>Marmore Cinza</v>
          </cell>
          <cell r="H3582">
            <v>528</v>
          </cell>
        </row>
        <row r="3583">
          <cell r="D3583" t="str">
            <v>Argamassa ACIII</v>
          </cell>
          <cell r="H3583">
            <v>9.5805000000000007</v>
          </cell>
        </row>
        <row r="3584">
          <cell r="D3584" t="str">
            <v>Massa Plastica 400g</v>
          </cell>
          <cell r="H3584">
            <v>8.6649999999999991</v>
          </cell>
        </row>
        <row r="3585">
          <cell r="D3585" t="str">
            <v>Revestimento de Pedras Naturais em Pisos</v>
          </cell>
          <cell r="H3585">
            <v>898.24550000000011</v>
          </cell>
        </row>
        <row r="3586">
          <cell r="D3586" t="str">
            <v>Pedra Natural  para Revestimento</v>
          </cell>
          <cell r="H3586">
            <v>880.00000000000011</v>
          </cell>
        </row>
        <row r="3587">
          <cell r="D3587" t="str">
            <v>Argamassa ACIII</v>
          </cell>
          <cell r="H3587">
            <v>9.5805000000000007</v>
          </cell>
        </row>
        <row r="3588">
          <cell r="D3588" t="str">
            <v>Massa Plastica 400g</v>
          </cell>
          <cell r="H3588">
            <v>8.6649999999999991</v>
          </cell>
        </row>
        <row r="3589">
          <cell r="D3589" t="str">
            <v>Revestimento de Mármore Natural  Aquecido em Piso</v>
          </cell>
          <cell r="H3589">
            <v>1498.2455</v>
          </cell>
        </row>
        <row r="3590">
          <cell r="D3590" t="str">
            <v>Mármore Natural</v>
          </cell>
          <cell r="H3590">
            <v>880.00000000000011</v>
          </cell>
        </row>
        <row r="3591">
          <cell r="D3591" t="str">
            <v>SISTEMA DE PISO AQUECIDO</v>
          </cell>
          <cell r="H3591">
            <v>600</v>
          </cell>
        </row>
        <row r="3592">
          <cell r="D3592" t="str">
            <v>Argamassa ACIII</v>
          </cell>
          <cell r="H3592">
            <v>9.5805000000000007</v>
          </cell>
        </row>
        <row r="3593">
          <cell r="D3593" t="str">
            <v>Massa Plastica 400g</v>
          </cell>
          <cell r="H3593">
            <v>8.6649999999999991</v>
          </cell>
        </row>
        <row r="3594">
          <cell r="D3594" t="str">
            <v>Revestimento de Mármore Natural em Piso</v>
          </cell>
          <cell r="H3594">
            <v>898.24550000000011</v>
          </cell>
        </row>
        <row r="3595">
          <cell r="D3595" t="str">
            <v>Mármore Natural</v>
          </cell>
          <cell r="H3595">
            <v>880.00000000000011</v>
          </cell>
        </row>
        <row r="3596">
          <cell r="D3596" t="str">
            <v>Argamassa ACIII</v>
          </cell>
          <cell r="H3596">
            <v>9.5805000000000007</v>
          </cell>
        </row>
        <row r="3597">
          <cell r="D3597" t="str">
            <v>Massa Plastica 400g</v>
          </cell>
          <cell r="H3597">
            <v>8.6649999999999991</v>
          </cell>
        </row>
        <row r="3598">
          <cell r="D3598" t="str">
            <v>Revestimento de Mármore Travertino Nacional em Piso</v>
          </cell>
          <cell r="H3598">
            <v>1008.2455000000001</v>
          </cell>
        </row>
        <row r="3599">
          <cell r="D3599" t="str">
            <v>Mármore Travertino Nacional</v>
          </cell>
          <cell r="H3599">
            <v>990.00000000000011</v>
          </cell>
        </row>
        <row r="3600">
          <cell r="D3600" t="str">
            <v>Argamassa ACIII</v>
          </cell>
          <cell r="H3600">
            <v>9.5805000000000007</v>
          </cell>
        </row>
        <row r="3601">
          <cell r="D3601" t="str">
            <v>Massa Plastica 400g</v>
          </cell>
          <cell r="H3601">
            <v>8.6649999999999991</v>
          </cell>
        </row>
        <row r="3602">
          <cell r="D3602" t="str">
            <v>Revestimento de Mármore Travertino Navona em Piso</v>
          </cell>
          <cell r="H3602">
            <v>1448.2455000000002</v>
          </cell>
        </row>
        <row r="3603">
          <cell r="D3603" t="str">
            <v>Mármore Travertino Navona</v>
          </cell>
          <cell r="H3603">
            <v>1430.0000000000002</v>
          </cell>
        </row>
        <row r="3604">
          <cell r="D3604" t="str">
            <v>Argamassa ACIII</v>
          </cell>
          <cell r="H3604">
            <v>9.5805000000000007</v>
          </cell>
        </row>
        <row r="3605">
          <cell r="D3605" t="str">
            <v>Massa Plastica 400g</v>
          </cell>
          <cell r="H3605">
            <v>8.6649999999999991</v>
          </cell>
        </row>
        <row r="3606">
          <cell r="D3606" t="str">
            <v>Revestimento de Mármore Travertino Importado em Piso</v>
          </cell>
          <cell r="H3606">
            <v>2438.2455</v>
          </cell>
        </row>
        <row r="3607">
          <cell r="D3607" t="str">
            <v>Mármore Travertino Importado</v>
          </cell>
          <cell r="H3607">
            <v>2420</v>
          </cell>
        </row>
        <row r="3608">
          <cell r="D3608" t="str">
            <v>Argamassa ACIII</v>
          </cell>
          <cell r="H3608">
            <v>9.5805000000000007</v>
          </cell>
        </row>
        <row r="3609">
          <cell r="D3609" t="str">
            <v>Massa Plastica 400g</v>
          </cell>
          <cell r="H3609">
            <v>8.6649999999999991</v>
          </cell>
        </row>
        <row r="3610">
          <cell r="D3610" t="str">
            <v>Revestimento de Mármore Travertino Romano em Piso</v>
          </cell>
          <cell r="H3610">
            <v>1448.2455000000002</v>
          </cell>
        </row>
        <row r="3611">
          <cell r="D3611" t="str">
            <v>Mármore Travertino Romano</v>
          </cell>
          <cell r="H3611">
            <v>1430.0000000000002</v>
          </cell>
        </row>
        <row r="3612">
          <cell r="D3612" t="str">
            <v>Argamassa ACIII</v>
          </cell>
          <cell r="H3612">
            <v>9.5805000000000007</v>
          </cell>
        </row>
        <row r="3613">
          <cell r="D3613" t="str">
            <v>Massa Plastica 400g</v>
          </cell>
          <cell r="H3613">
            <v>8.6649999999999991</v>
          </cell>
        </row>
        <row r="3614">
          <cell r="D3614" t="str">
            <v>Revestimento de Pedras Quartzito Van Gogh em Piso</v>
          </cell>
          <cell r="H3614">
            <v>3538.2455000000004</v>
          </cell>
        </row>
        <row r="3615">
          <cell r="D3615" t="str">
            <v>Pedras Quartzito Van Gogh</v>
          </cell>
          <cell r="H3615">
            <v>3520.0000000000005</v>
          </cell>
        </row>
        <row r="3616">
          <cell r="D3616" t="str">
            <v>Argamassa ACIII</v>
          </cell>
          <cell r="H3616">
            <v>9.5805000000000007</v>
          </cell>
        </row>
        <row r="3617">
          <cell r="D3617" t="str">
            <v>Massa Plastica 400g</v>
          </cell>
          <cell r="H3617">
            <v>8.6649999999999991</v>
          </cell>
        </row>
        <row r="3618">
          <cell r="D3618" t="str">
            <v>Revestimento de Pedra natural em batente de elevador</v>
          </cell>
          <cell r="H3618">
            <v>898.03260000000012</v>
          </cell>
        </row>
        <row r="3619">
          <cell r="D3619" t="str">
            <v>Pedra Natural  para Revestimento</v>
          </cell>
          <cell r="H3619">
            <v>880.00000000000011</v>
          </cell>
        </row>
        <row r="3620">
          <cell r="D3620" t="str">
            <v>Argamassa ACIII</v>
          </cell>
          <cell r="H3620">
            <v>9.3676000000000013</v>
          </cell>
        </row>
        <row r="3621">
          <cell r="D3621" t="str">
            <v>Massa Plastica 400g</v>
          </cell>
          <cell r="H3621">
            <v>8.6649999999999991</v>
          </cell>
        </row>
        <row r="3622">
          <cell r="D3622" t="str">
            <v>RODAPÉS</v>
          </cell>
          <cell r="H3622">
            <v>0</v>
          </cell>
        </row>
        <row r="3623">
          <cell r="D3623" t="str">
            <v>Rodape Madeira - 20Cm</v>
          </cell>
          <cell r="H3623">
            <v>19.960488999999999</v>
          </cell>
        </row>
        <row r="3624">
          <cell r="D3624" t="str">
            <v>PREGO DE ACO POLIDO COM CABECA 15 X 15 (1 1/4 X 13)</v>
          </cell>
          <cell r="H3624">
            <v>0.71048900000000004</v>
          </cell>
        </row>
        <row r="3625">
          <cell r="D3625" t="str">
            <v>Rodapé de MDF h=5cm</v>
          </cell>
          <cell r="H3625">
            <v>19.25</v>
          </cell>
        </row>
        <row r="3626">
          <cell r="D3626" t="str">
            <v>Rodapé de MDF h=5cm</v>
          </cell>
          <cell r="H3626">
            <v>2.1364390000000002</v>
          </cell>
        </row>
        <row r="3627">
          <cell r="D3627" t="str">
            <v>Cola Branca base PVA</v>
          </cell>
          <cell r="H3627">
            <v>1.1739390000000001</v>
          </cell>
        </row>
        <row r="3628">
          <cell r="D3628" t="str">
            <v>Rodapé de MDF h=5cm</v>
          </cell>
          <cell r="H3628">
            <v>0.96250000000000002</v>
          </cell>
        </row>
        <row r="3629">
          <cell r="D3629" t="str">
            <v>Rodapé de MDF h=20cm</v>
          </cell>
          <cell r="H3629">
            <v>16.573938999999999</v>
          </cell>
        </row>
        <row r="3630">
          <cell r="D3630" t="str">
            <v>Cola Branca base PVA</v>
          </cell>
          <cell r="H3630">
            <v>1.1739390000000001</v>
          </cell>
        </row>
        <row r="3631">
          <cell r="D3631" t="str">
            <v>Rodapé de MDF h=20cm</v>
          </cell>
          <cell r="H3631">
            <v>15.4</v>
          </cell>
        </row>
        <row r="3632">
          <cell r="D3632" t="str">
            <v>Rodapé de Pedra Natural h=5cm</v>
          </cell>
          <cell r="H3632">
            <v>44.912275000000008</v>
          </cell>
        </row>
        <row r="3633">
          <cell r="D3633" t="str">
            <v>Pedra Natural  para Revestimento</v>
          </cell>
          <cell r="H3633">
            <v>44.000000000000007</v>
          </cell>
        </row>
        <row r="3634">
          <cell r="D3634" t="str">
            <v>Argamassa ACIII</v>
          </cell>
          <cell r="H3634">
            <v>0.47902500000000003</v>
          </cell>
        </row>
        <row r="3635">
          <cell r="D3635" t="str">
            <v>Massa Plastica 400g</v>
          </cell>
          <cell r="H3635">
            <v>0.43324999999999997</v>
          </cell>
        </row>
        <row r="3636">
          <cell r="D3636" t="str">
            <v>Rodapé de Pedra Natural h=15cm</v>
          </cell>
          <cell r="H3636">
            <v>134.73682499999998</v>
          </cell>
        </row>
        <row r="3637">
          <cell r="D3637" t="str">
            <v>Pedra Natural  para Revestimento</v>
          </cell>
          <cell r="H3637">
            <v>132</v>
          </cell>
        </row>
        <row r="3638">
          <cell r="D3638" t="str">
            <v>Argamassa ACIII</v>
          </cell>
          <cell r="H3638">
            <v>1.4370749999999999</v>
          </cell>
        </row>
        <row r="3639">
          <cell r="D3639" t="str">
            <v>Massa Plastica 400g</v>
          </cell>
          <cell r="H3639">
            <v>1.2997499999999997</v>
          </cell>
        </row>
        <row r="3640">
          <cell r="D3640" t="str">
            <v>Rodapé de Pedra h=20cm</v>
          </cell>
          <cell r="H3640">
            <v>170.73682500000001</v>
          </cell>
        </row>
        <row r="3641">
          <cell r="D3641" t="str">
            <v>Pedra Natural  para Revestimento</v>
          </cell>
          <cell r="H3641">
            <v>168.00000000000003</v>
          </cell>
        </row>
        <row r="3642">
          <cell r="D3642" t="str">
            <v>Argamassa ACIII</v>
          </cell>
          <cell r="H3642">
            <v>1.4370749999999999</v>
          </cell>
        </row>
        <row r="3643">
          <cell r="D3643" t="str">
            <v>Massa Plastica 400g</v>
          </cell>
          <cell r="H3643">
            <v>1.2997499999999997</v>
          </cell>
        </row>
        <row r="3644">
          <cell r="D3644" t="str">
            <v>Rodapé de Pedra Natural h=30cm</v>
          </cell>
          <cell r="H3644">
            <v>256.1739</v>
          </cell>
        </row>
        <row r="3645">
          <cell r="D3645" t="str">
            <v>Pedra Natural  para Revestimento</v>
          </cell>
          <cell r="H3645">
            <v>252</v>
          </cell>
        </row>
        <row r="3646">
          <cell r="D3646" t="str">
            <v>Argamassa ACIII</v>
          </cell>
          <cell r="H3646">
            <v>2.8741499999999998</v>
          </cell>
        </row>
        <row r="3647">
          <cell r="D3647" t="str">
            <v>Massa Plastica 400g</v>
          </cell>
          <cell r="H3647">
            <v>1.2997499999999997</v>
          </cell>
        </row>
        <row r="3648">
          <cell r="D3648" t="str">
            <v>Rodapé de Poliestireno h=15cm</v>
          </cell>
          <cell r="H3648">
            <v>43.820583333333332</v>
          </cell>
        </row>
        <row r="3649">
          <cell r="D3649" t="str">
            <v>Rodape Em Poliestireno, H = 15cm</v>
          </cell>
          <cell r="H3649">
            <v>38.798583333333333</v>
          </cell>
        </row>
        <row r="3650">
          <cell r="D3650" t="str">
            <v>Adesivo Acrilico De Base Aquosa / Cola De Contato</v>
          </cell>
          <cell r="H3650">
            <v>5.0220000000000002</v>
          </cell>
        </row>
        <row r="3651">
          <cell r="D3651" t="str">
            <v>Rodapé de Poliestireno h=20cm</v>
          </cell>
          <cell r="H3651">
            <v>72.357000000000014</v>
          </cell>
        </row>
        <row r="3652">
          <cell r="D3652" t="str">
            <v>Rodape Em Poliestireno, H = 20cm</v>
          </cell>
          <cell r="H3652">
            <v>67.335000000000008</v>
          </cell>
        </row>
        <row r="3653">
          <cell r="D3653" t="str">
            <v>Adesivo Acrilico De Base Aquosa / Cola De Contato</v>
          </cell>
          <cell r="H3653">
            <v>5.0220000000000002</v>
          </cell>
        </row>
        <row r="3654">
          <cell r="D3654" t="str">
            <v>Rodapé de Pedra Ônix Cristal Rose h=35cm</v>
          </cell>
          <cell r="H3654">
            <v>1768.6529249999999</v>
          </cell>
        </row>
        <row r="3655">
          <cell r="D3655" t="str">
            <v>Pedra Ônix Cristal Rose</v>
          </cell>
          <cell r="H3655">
            <v>1764</v>
          </cell>
        </row>
        <row r="3656">
          <cell r="D3656" t="str">
            <v>Argamassa ACIII</v>
          </cell>
          <cell r="H3656">
            <v>3.3531749999999998</v>
          </cell>
        </row>
        <row r="3657">
          <cell r="D3657" t="str">
            <v>Massa Plastica 400g</v>
          </cell>
          <cell r="H3657">
            <v>1.2997499999999997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R787"/>
  <sheetViews>
    <sheetView showGridLines="0" tabSelected="1" zoomScaleNormal="100" zoomScaleSheetLayoutView="100" workbookViewId="0">
      <pane ySplit="7" topLeftCell="A8" activePane="bottomLeft" state="frozen"/>
      <selection activeCell="J167" sqref="J167"/>
      <selection pane="bottomLeft" activeCell="M11" sqref="M11"/>
    </sheetView>
  </sheetViews>
  <sheetFormatPr baseColWidth="8" defaultColWidth="8" defaultRowHeight="11.25" outlineLevelRow="2"/>
  <cols>
    <col hidden="1" outlineLevel="1" width="3.5" customWidth="1" style="90" min="1" max="5"/>
    <col collapsed="1" width="2.75" customWidth="1" style="90" min="6" max="6"/>
    <col width="6.375" customWidth="1" style="78" min="7" max="7"/>
    <col outlineLevel="1" width="7.5" customWidth="1" style="78" min="8" max="8"/>
    <col width="10.75" customWidth="1" style="78" min="9" max="9"/>
    <col width="67.125" bestFit="1" customWidth="1" style="79" min="10" max="10"/>
    <col width="6" customWidth="1" style="80" min="11" max="11"/>
    <col width="9.75" customWidth="1" style="81" min="12" max="12"/>
    <col width="11.875" bestFit="1" customWidth="1" style="81" min="13" max="13"/>
    <col width="16.5" bestFit="1" customWidth="1" style="89" min="14" max="14"/>
    <col outlineLevel="1" width="53.375" customWidth="1" style="84" min="15" max="15"/>
    <col width="15.375" customWidth="1" style="85" min="16" max="16"/>
    <col width="8" customWidth="1" style="90" min="17" max="16384"/>
  </cols>
  <sheetData>
    <row r="1" ht="12.75" customFormat="1" customHeight="1" s="1">
      <c r="G1" s="2" t="n"/>
      <c r="H1" s="2" t="n"/>
      <c r="I1" s="2" t="n"/>
      <c r="J1" s="3" t="n"/>
      <c r="K1" s="4" t="n"/>
      <c r="L1" s="5" t="n"/>
      <c r="M1" s="5" t="n"/>
      <c r="N1" s="6" t="n"/>
      <c r="O1" s="5" t="n"/>
      <c r="P1" s="7" t="n"/>
    </row>
    <row r="2" ht="18" customFormat="1" customHeight="1" s="8">
      <c r="G2" s="9" t="n"/>
      <c r="H2" s="10" t="n"/>
      <c r="I2" s="10" t="n"/>
      <c r="J2" s="11" t="n"/>
      <c r="K2" s="12" t="n"/>
      <c r="L2" s="12" t="n"/>
      <c r="M2" s="12" t="n"/>
      <c r="N2" s="13" t="n"/>
      <c r="O2" s="14" t="n"/>
      <c r="P2" s="15" t="n"/>
    </row>
    <row r="3" ht="18" customFormat="1" customHeight="1" s="8">
      <c r="G3" s="16" t="n"/>
      <c r="H3" s="17" t="n"/>
      <c r="I3" s="17" t="n"/>
      <c r="J3" s="18" t="n"/>
      <c r="K3" s="19" t="n"/>
      <c r="L3" s="19" t="n"/>
      <c r="M3" s="19" t="n"/>
      <c r="N3" s="20" t="n"/>
      <c r="O3" s="21" t="n"/>
      <c r="P3" s="22" t="n"/>
    </row>
    <row r="4" ht="12.75" customFormat="1" customHeight="1" s="23">
      <c r="G4" s="24" t="inlineStr">
        <is>
          <t>PROJETO:</t>
        </is>
      </c>
      <c r="H4" s="25" t="n"/>
      <c r="I4" s="26">
        <f>[1]CAPA!C2</f>
        <v/>
      </c>
      <c r="J4" s="27" t="n"/>
      <c r="N4" s="28" t="n"/>
      <c r="O4" s="25" t="inlineStr">
        <is>
          <t>REVISÃO:</t>
        </is>
      </c>
      <c r="P4" s="91" t="inlineStr">
        <is>
          <t>DATA</t>
        </is>
      </c>
    </row>
    <row r="5" ht="12.75" customFormat="1" customHeight="1" s="30">
      <c r="G5" s="92" t="inlineStr">
        <is>
          <t>EMPRESA:</t>
        </is>
      </c>
      <c r="H5" s="93" t="n"/>
      <c r="I5" s="33">
        <f>[1]CAPA!C3</f>
        <v/>
      </c>
      <c r="J5" s="34" t="n"/>
      <c r="N5" s="35" t="n"/>
      <c r="O5" s="36">
        <f>[1]CAPA!C4</f>
        <v/>
      </c>
      <c r="P5" s="94" t="n"/>
    </row>
    <row r="6" ht="12.75" customFormat="1" customHeight="1" s="40">
      <c r="A6" s="38" t="inlineStr">
        <is>
          <t>Unidade Construtiva</t>
        </is>
      </c>
      <c r="B6" s="38" t="inlineStr">
        <is>
          <t>Célula Construtiva</t>
        </is>
      </c>
      <c r="C6" s="38" t="inlineStr">
        <is>
          <t>Etapa</t>
        </is>
      </c>
      <c r="D6" s="38" t="inlineStr">
        <is>
          <t>Subetapa</t>
        </is>
      </c>
      <c r="E6" s="38" t="inlineStr">
        <is>
          <t>Serviço</t>
        </is>
      </c>
      <c r="F6" s="30" t="n"/>
      <c r="G6" s="39" t="inlineStr">
        <is>
          <t>GERENCIAMENTO EXECUTIVO</t>
        </is>
      </c>
      <c r="H6" s="95" t="n"/>
      <c r="I6" s="95" t="n"/>
      <c r="J6" s="95" t="n"/>
      <c r="K6" s="95" t="n"/>
      <c r="L6" s="95" t="n"/>
      <c r="M6" s="95" t="n"/>
      <c r="N6" s="95" t="n"/>
      <c r="O6" s="95" t="n"/>
      <c r="P6" s="96" t="n"/>
    </row>
    <row r="7" ht="24" customFormat="1" customHeight="1" s="43">
      <c r="A7" s="97" t="n">
        <v>0</v>
      </c>
      <c r="B7" s="97" t="n">
        <v>0</v>
      </c>
      <c r="C7" s="97" t="n">
        <v>0</v>
      </c>
      <c r="D7" s="98" t="n">
        <v>0</v>
      </c>
      <c r="E7" s="98" t="n">
        <v>0</v>
      </c>
      <c r="G7" s="44" t="inlineStr">
        <is>
          <t>Atalho</t>
        </is>
      </c>
      <c r="H7" s="45" t="inlineStr">
        <is>
          <t>NIVEL</t>
        </is>
      </c>
      <c r="I7" s="46" t="inlineStr">
        <is>
          <t>Item</t>
        </is>
      </c>
      <c r="J7" s="47" t="inlineStr">
        <is>
          <t>Descrição</t>
        </is>
      </c>
      <c r="K7" s="48" t="inlineStr">
        <is>
          <t>Unidade</t>
        </is>
      </c>
      <c r="L7" s="49" t="inlineStr">
        <is>
          <t xml:space="preserve">Quant. </t>
        </is>
      </c>
      <c r="M7" s="49" t="inlineStr">
        <is>
          <t>Preço un</t>
        </is>
      </c>
      <c r="N7" s="49" t="inlineStr">
        <is>
          <t>Total</t>
        </is>
      </c>
      <c r="O7" s="50" t="inlineStr">
        <is>
          <t>Considerações</t>
        </is>
      </c>
      <c r="P7" s="51" t="inlineStr">
        <is>
          <t>Situação</t>
        </is>
      </c>
    </row>
    <row r="8" customFormat="1" s="40">
      <c r="A8" s="97">
        <f>IF($H8="UNIDADE CONSTRUTIVA",OFFSET(A8,-1,0)+1,LARGE(A$3:A7,1))</f>
        <v/>
      </c>
      <c r="B8" s="97">
        <f>IF(H8="UNIDADE CONSTRUTIVA",0,IF(H8="CÉLULA CONSTRUTIVA",OFFSET(B8,-1,0)+1,OFFSET(B8,-1,0)))</f>
        <v/>
      </c>
      <c r="C8" s="97">
        <f>IF(H8="CÉLULA CONSTRUTIVA",0,IF(H8="ETAPA",OFFSET(C8,-1,0)+1,OFFSET(C8,-1,0)))</f>
        <v/>
      </c>
      <c r="D8" s="98">
        <f>IF(H8="ETAPA",0,IF(H8="SUBETAPA",OFFSET(D8,-1,0)+1,OFFSET(D8,-1,0)))</f>
        <v/>
      </c>
      <c r="E8" s="98">
        <f>IF(H8="Subetapa",0,IF(H8="serviço",OFFSET(E8,-1,0)+1,OFFSET(E8,-1,0)))</f>
        <v/>
      </c>
      <c r="G8" s="52" t="n"/>
      <c r="H8" s="53" t="inlineStr">
        <is>
          <t>CÉLULA CONSTRUTIVA</t>
        </is>
      </c>
      <c r="I8" s="54">
        <f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/>
      </c>
      <c r="J8" s="55" t="inlineStr">
        <is>
          <t xml:space="preserve">SERVIÇOS TÉCNICOS </t>
        </is>
      </c>
      <c r="K8" s="56" t="n"/>
      <c r="L8" s="57" t="n"/>
      <c r="M8" s="57" t="n"/>
      <c r="N8" s="58">
        <f>IF(H8="Serviço",M8*L8,IF(H8="CÉLULA CONSTRUTIVA",SUMIFS($N$8:$N$447,$B$8:$B$447,B8,$H$8:$H$447,"Serviço"),IF(H8="ETAPA",SUMIFS($N$8:$N$447,$B$8:$B$447,B8,$C$8:$C$447,C8,$H$8:$H$447,"Serviço"),IF(H8="SUBETAPA",SUMIFS($N$8:$N$447,$B$8:$B$447,B8,$C$8:$C$447,C8,$D$8:$D$447,D8,$H$8:$H$447,"Serviço"),0))))</f>
        <v/>
      </c>
      <c r="O8" s="59" t="n"/>
      <c r="P8" s="60" t="n"/>
      <c r="Q8" s="61" t="n"/>
    </row>
    <row r="9" outlineLevel="1" customFormat="1" s="40">
      <c r="A9" s="97">
        <f>IF($H9="UNIDADE CONSTRUTIVA",OFFSET(A9,-1,0)+1,LARGE(A$3:A8,1))</f>
        <v/>
      </c>
      <c r="B9" s="97">
        <f>IF(H9="UNIDADE CONSTRUTIVA",0,IF(H9="CÉLULA CONSTRUTIVA",OFFSET(B9,-1,0)+1,OFFSET(B9,-1,0)))</f>
        <v/>
      </c>
      <c r="C9" s="97">
        <f>IF(H9="CÉLULA CONSTRUTIVA",0,IF(H9="ETAPA",OFFSET(C9,-1,0)+1,OFFSET(C9,-1,0)))</f>
        <v/>
      </c>
      <c r="D9" s="98">
        <f>IF(H9="ETAPA",0,IF(H9="SUBETAPA",OFFSET(D9,-1,0)+1,OFFSET(D9,-1,0)))</f>
        <v/>
      </c>
      <c r="E9" s="98">
        <f>IF(H9="Subetapa",0,IF(H9="serviço",OFFSET(E9,-1,0)+1,OFFSET(E9,-1,0)))</f>
        <v/>
      </c>
      <c r="G9" s="52" t="n"/>
      <c r="H9" s="53" t="inlineStr">
        <is>
          <t>ETAPA</t>
        </is>
      </c>
      <c r="I9" s="54">
        <f>IF(H9="Unidade Construtiva",TEXT(A9,"00"),IF(H9="Célula Construtiva",TEXT(B9,"00"),IF(H9="Etapa",CONCATENATE(TEXT(B9,"00"),".",TEXT(C9,"000")),IF(H9="Subetapa",CONCATENATE(TEXT(B9,"00"),".",TEXT(C9,"000"),".",TEXT(D9,"000")),IF(H9="Serviço",CONCATENATE(TEXT(B9,"00"),".",TEXT(C9,"000"),".",TEXT(D9,"000"),".",TEXT(E9,"000")),"")))))</f>
        <v/>
      </c>
      <c r="J9" s="55" t="inlineStr">
        <is>
          <t>ESTUDOS, PROJETOS, CONSULTORIA E ENSAIOS</t>
        </is>
      </c>
      <c r="K9" s="56" t="n"/>
      <c r="L9" s="57" t="n"/>
      <c r="M9" s="57" t="n"/>
      <c r="N9" s="58">
        <f>IF(H9="Serviço",M9*L9,IF(H9="CÉLULA CONSTRUTIVA",SUMIFS($N$8:$N$447,$B$8:$B$447,B9,$H$8:$H$447,"Serviço"),IF(H9="ETAPA",SUMIFS($N$8:$N$447,$B$8:$B$447,B9,$C$8:$C$447,C9,$H$8:$H$447,"Serviço"),IF(H9="SUBETAPA",SUMIFS($N$8:$N$447,$B$8:$B$447,B9,$C$8:$C$447,C9,$D$8:$D$447,D9,$H$8:$H$447,"Serviço"),0))))</f>
        <v/>
      </c>
      <c r="O9" s="59">
        <f>N9/[1]CAPA!$C$10</f>
        <v/>
      </c>
      <c r="P9" s="60" t="inlineStr">
        <is>
          <t>-</t>
        </is>
      </c>
      <c r="Q9" s="61" t="n"/>
    </row>
    <row r="10" outlineLevel="1" customFormat="1" s="40">
      <c r="A10" s="97">
        <f>IF($H10="UNIDADE CONSTRUTIVA",OFFSET(A10,-1,0)+1,LARGE(A$3:A9,1))</f>
        <v/>
      </c>
      <c r="B10" s="97">
        <f>IF(H10="UNIDADE CONSTRUTIVA",0,IF(H10="CÉLULA CONSTRUTIVA",OFFSET(B10,-1,0)+1,OFFSET(B10,-1,0)))</f>
        <v/>
      </c>
      <c r="C10" s="97">
        <f>IF(H10="CÉLULA CONSTRUTIVA",0,IF(H10="ETAPA",OFFSET(C10,-1,0)+1,OFFSET(C10,-1,0)))</f>
        <v/>
      </c>
      <c r="D10" s="98">
        <f>IF(H10="ETAPA",0,IF(H10="SUBETAPA",OFFSET(D10,-1,0)+1,OFFSET(D10,-1,0)))</f>
        <v/>
      </c>
      <c r="E10" s="98">
        <f>IF(H10="Subetapa",0,IF(H10="serviço",OFFSET(E10,-1,0)+1,OFFSET(E10,-1,0)))</f>
        <v/>
      </c>
      <c r="G10" s="52" t="n"/>
      <c r="H10" s="53" t="inlineStr">
        <is>
          <t>SUBETAPA</t>
        </is>
      </c>
      <c r="I10" s="54">
        <f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/>
      </c>
      <c r="J10" s="55" t="inlineStr">
        <is>
          <t>Estudos</t>
        </is>
      </c>
      <c r="K10" s="56" t="n"/>
      <c r="L10" s="57" t="n"/>
      <c r="M10" s="57" t="n"/>
      <c r="N10" s="58">
        <f>IF(H10="Serviço",M10*L10,IF(H10="CÉLULA CONSTRUTIVA",SUMIFS($N$8:$N$447,$B$8:$B$447,B10,$H$8:$H$447,"Serviço"),IF(H10="ETAPA",SUMIFS($N$8:$N$447,$B$8:$B$447,B10,$C$8:$C$447,C10,$H$8:$H$447,"Serviço"),IF(H10="SUBETAPA",SUMIFS($N$8:$N$447,$B$8:$B$447,B10,$C$8:$C$447,C10,$D$8:$D$447,D10,$H$8:$H$447,"Serviço"),0))))</f>
        <v/>
      </c>
      <c r="O10" s="59">
        <f>N10/[1]CAPA!$C$10</f>
        <v/>
      </c>
      <c r="P10" s="60" t="n"/>
      <c r="Q10" s="61" t="n"/>
    </row>
    <row r="11" outlineLevel="2" customFormat="1" s="40">
      <c r="A11" s="97">
        <f>IF($H11="UNIDADE CONSTRUTIVA",OFFSET(A11,-1,0)+1,LARGE(A$3:A10,1))</f>
        <v/>
      </c>
      <c r="B11" s="97">
        <f>IF(H11="UNIDADE CONSTRUTIVA",0,IF(H11="CÉLULA CONSTRUTIVA",OFFSET(B11,-1,0)+1,OFFSET(B11,-1,0)))</f>
        <v/>
      </c>
      <c r="C11" s="97">
        <f>IF(H11="CÉLULA CONSTRUTIVA",0,IF(H11="ETAPA",OFFSET(C11,-1,0)+1,OFFSET(C11,-1,0)))</f>
        <v/>
      </c>
      <c r="D11" s="98">
        <f>IF(H11="ETAPA",0,IF(H11="SUBETAPA",OFFSET(D11,-1,0)+1,OFFSET(D11,-1,0)))</f>
        <v/>
      </c>
      <c r="E11" s="98">
        <f>IF(H11="Subetapa",0,IF(H11="serviço",OFFSET(E11,-1,0)+1,OFFSET(E11,-1,0)))</f>
        <v/>
      </c>
      <c r="G11" s="52" t="n"/>
      <c r="H11" s="53" t="inlineStr">
        <is>
          <t>SERVIÇO</t>
        </is>
      </c>
      <c r="I11" s="54">
        <f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/>
      </c>
      <c r="J11" s="55" t="inlineStr">
        <is>
          <t>Memorial descritivo</t>
        </is>
      </c>
      <c r="K11" s="56" t="inlineStr">
        <is>
          <t>vb</t>
        </is>
      </c>
      <c r="L11" s="57" t="n">
        <v>1</v>
      </c>
      <c r="M11" s="99" t="n">
        <v>95000</v>
      </c>
      <c r="N11" s="100" t="n">
        <v>95000</v>
      </c>
      <c r="O11" s="57">
        <f>_xlfn.XLOOKUP($J11,#REF!,#REF!)</f>
        <v/>
      </c>
      <c r="P11" s="60" t="inlineStr">
        <is>
          <t>Finalizado</t>
        </is>
      </c>
      <c r="Q11" s="61" t="n"/>
    </row>
    <row r="12" outlineLevel="2" customFormat="1" s="40">
      <c r="A12" s="97">
        <f>IF($H12="UNIDADE CONSTRUTIVA",OFFSET(A12,-1,0)+1,LARGE(A$3:A11,1))</f>
        <v/>
      </c>
      <c r="B12" s="97">
        <f>IF(H12="UNIDADE CONSTRUTIVA",0,IF(H12="CÉLULA CONSTRUTIVA",OFFSET(B12,-1,0)+1,OFFSET(B12,-1,0)))</f>
        <v/>
      </c>
      <c r="C12" s="97">
        <f>IF(H12="CÉLULA CONSTRUTIVA",0,IF(H12="ETAPA",OFFSET(C12,-1,0)+1,OFFSET(C12,-1,0)))</f>
        <v/>
      </c>
      <c r="D12" s="98">
        <f>IF(H12="ETAPA",0,IF(H12="SUBETAPA",OFFSET(D12,-1,0)+1,OFFSET(D12,-1,0)))</f>
        <v/>
      </c>
      <c r="E12" s="98">
        <f>IF(H12="Subetapa",0,IF(H12="serviço",OFFSET(E12,-1,0)+1,OFFSET(E12,-1,0)))</f>
        <v/>
      </c>
      <c r="G12" s="52" t="n"/>
      <c r="H12" s="53" t="inlineStr">
        <is>
          <t>SERVIÇO</t>
        </is>
      </c>
      <c r="I12" s="54">
        <f>IF(H12="Unidade Construtiva",TEXT(A12,"00"),IF(H12="Célula Construtiva",TEXT(B12,"00"),IF(H12="Etapa",CONCATENATE(TEXT(B12,"00"),".",TEXT(C12,"000")),IF(H12="Subetapa",CONCATENATE(TEXT(B12,"00"),".",TEXT(C12,"000"),".",TEXT(D12,"000")),IF(H12="Serviço",CONCATENATE(TEXT(B12,"00"),".",TEXT(C12,"000"),".",TEXT(D12,"000"),".",TEXT(E12,"000")),"")))))</f>
        <v/>
      </c>
      <c r="J12" s="55" t="inlineStr">
        <is>
          <t>Levantamento topográfico</t>
        </is>
      </c>
      <c r="K12" s="56" t="inlineStr">
        <is>
          <t>vb</t>
        </is>
      </c>
      <c r="L12" s="57" t="n">
        <v>1</v>
      </c>
      <c r="M12" s="57" t="n">
        <v>15000</v>
      </c>
      <c r="N12" s="58">
        <f>IF(H12="Serviço",M12*L12,IF(H12="CÉLULA CONSTRUTIVA",SUMIFS($N$8:$N$447,$B$8:$B$447,B12,$H$8:$H$447,"Serviço"),IF(H12="ETAPA",SUMIFS($N$8:$N$447,$B$8:$B$447,B12,$C$8:$C$447,C12,$H$8:$H$447,"Serviço"),IF(H12="SUBETAPA",SUMIFS($N$8:$N$447,$B$8:$B$447,B12,$C$8:$C$447,C12,$D$8:$D$447,D12,$H$8:$H$447,"Serviço"),0))))</f>
        <v/>
      </c>
      <c r="O12" s="57" t="inlineStr">
        <is>
          <t>Repessado pela Gessele na reunião do dia 05/03/2026</t>
        </is>
      </c>
      <c r="P12" s="60" t="inlineStr">
        <is>
          <t>Finalizado</t>
        </is>
      </c>
      <c r="Q12" s="61" t="n"/>
    </row>
    <row r="13" outlineLevel="2" customFormat="1" s="40">
      <c r="A13" s="97">
        <f>IF($H13="UNIDADE CONSTRUTIVA",OFFSET(A13,-1,0)+1,LARGE(A$3:A12,1))</f>
        <v/>
      </c>
      <c r="B13" s="97">
        <f>IF(H13="UNIDADE CONSTRUTIVA",0,IF(H13="CÉLULA CONSTRUTIVA",OFFSET(B13,-1,0)+1,OFFSET(B13,-1,0)))</f>
        <v/>
      </c>
      <c r="C13" s="97">
        <f>IF(H13="CÉLULA CONSTRUTIVA",0,IF(H13="ETAPA",OFFSET(C13,-1,0)+1,OFFSET(C13,-1,0)))</f>
        <v/>
      </c>
      <c r="D13" s="98">
        <f>IF(H13="ETAPA",0,IF(H13="SUBETAPA",OFFSET(D13,-1,0)+1,OFFSET(D13,-1,0)))</f>
        <v/>
      </c>
      <c r="E13" s="98">
        <f>IF(H13="Subetapa",0,IF(H13="serviço",OFFSET(E13,-1,0)+1,OFFSET(E13,-1,0)))</f>
        <v/>
      </c>
      <c r="G13" s="52" t="n"/>
      <c r="H13" s="53" t="inlineStr">
        <is>
          <t>SERVIÇO</t>
        </is>
      </c>
      <c r="I13" s="54">
        <f>IF(H13="Unidade Construtiva",TEXT(A13,"00"),IF(H13="Célula Construtiva",TEXT(B13,"00"),IF(H13="Etapa",CONCATENATE(TEXT(B13,"00"),".",TEXT(C13,"000")),IF(H13="Subetapa",CONCATENATE(TEXT(B13,"00"),".",TEXT(C13,"000"),".",TEXT(D13,"000")),IF(H13="Serviço",CONCATENATE(TEXT(B13,"00"),".",TEXT(C13,"000"),".",TEXT(D13,"000"),".",TEXT(E13,"000")),"")))))</f>
        <v/>
      </c>
      <c r="J13" s="55" t="inlineStr">
        <is>
          <t>Estudo ambiental</t>
        </is>
      </c>
      <c r="K13" s="56" t="inlineStr">
        <is>
          <t>vb</t>
        </is>
      </c>
      <c r="L13" s="57" t="n">
        <v>1</v>
      </c>
      <c r="M13" s="57" t="n">
        <v>8000</v>
      </c>
      <c r="N13" s="58">
        <f>IF(H13="Serviço",M13*L13,IF(H13="CÉLULA CONSTRUTIVA",SUMIFS($N$8:$N$447,$B$8:$B$447,B13,$H$8:$H$447,"Serviço"),IF(H13="ETAPA",SUMIFS($N$8:$N$447,$B$8:$B$447,B13,$C$8:$C$447,C13,$H$8:$H$447,"Serviço"),IF(H13="SUBETAPA",SUMIFS($N$8:$N$447,$B$8:$B$447,B13,$C$8:$C$447,C13,$D$8:$D$447,D13,$H$8:$H$447,"Serviço"),0))))</f>
        <v/>
      </c>
      <c r="O13" s="57" t="inlineStr">
        <is>
          <t>Repessado pela Gessele na reunião do dia 05/03/2026</t>
        </is>
      </c>
      <c r="P13" s="60" t="inlineStr">
        <is>
          <t>Finalizado</t>
        </is>
      </c>
      <c r="Q13" s="61" t="n"/>
    </row>
    <row r="14" outlineLevel="2" customFormat="1" s="40">
      <c r="A14" s="97">
        <f>IF($H14="UNIDADE CONSTRUTIVA",OFFSET(A14,-1,0)+1,LARGE(A$3:A13,1))</f>
        <v/>
      </c>
      <c r="B14" s="97">
        <f>IF(H14="UNIDADE CONSTRUTIVA",0,IF(H14="CÉLULA CONSTRUTIVA",OFFSET(B14,-1,0)+1,OFFSET(B14,-1,0)))</f>
        <v/>
      </c>
      <c r="C14" s="97">
        <f>IF(H14="CÉLULA CONSTRUTIVA",0,IF(H14="ETAPA",OFFSET(C14,-1,0)+1,OFFSET(C14,-1,0)))</f>
        <v/>
      </c>
      <c r="D14" s="98">
        <f>IF(H14="ETAPA",0,IF(H14="SUBETAPA",OFFSET(D14,-1,0)+1,OFFSET(D14,-1,0)))</f>
        <v/>
      </c>
      <c r="E14" s="98">
        <f>IF(H14="Subetapa",0,IF(H14="serviço",OFFSET(E14,-1,0)+1,OFFSET(E14,-1,0)))</f>
        <v/>
      </c>
      <c r="G14" s="52" t="n"/>
      <c r="H14" s="53" t="inlineStr">
        <is>
          <t>SERVIÇO</t>
        </is>
      </c>
      <c r="I14" s="54">
        <f>IF(H14="Unidade Construtiva",TEXT(A14,"00"),IF(H14="Célula Construtiva",TEXT(B14,"00"),IF(H14="Etapa",CONCATENATE(TEXT(B14,"00"),".",TEXT(C14,"000")),IF(H14="Subetapa",CONCATENATE(TEXT(B14,"00"),".",TEXT(C14,"000"),".",TEXT(D14,"000")),IF(H14="Serviço",CONCATENATE(TEXT(B14,"00"),".",TEXT(C14,"000"),".",TEXT(D14,"000"),".",TEXT(E14,"000")),"")))))</f>
        <v/>
      </c>
      <c r="J14" s="55" t="inlineStr">
        <is>
          <t>Sondagem do terreno</t>
        </is>
      </c>
      <c r="K14" s="56" t="inlineStr">
        <is>
          <t>vb</t>
        </is>
      </c>
      <c r="L14" s="57" t="n">
        <v>1</v>
      </c>
      <c r="M14" s="57" t="n">
        <v>4500</v>
      </c>
      <c r="N14" s="58">
        <f>IF(H14="Serviço",M14*L14,IF(H14="CÉLULA CONSTRUTIVA",SUMIFS($N$8:$N$447,$B$8:$B$447,B14,$H$8:$H$447,"Serviço"),IF(H14="ETAPA",SUMIFS($N$8:$N$447,$B$8:$B$447,B14,$C$8:$C$447,C14,$H$8:$H$447,"Serviço"),IF(H14="SUBETAPA",SUMIFS($N$8:$N$447,$B$8:$B$447,B14,$C$8:$C$447,C14,$D$8:$D$447,D14,$H$8:$H$447,"Serviço"),0))))</f>
        <v/>
      </c>
      <c r="O14" s="57" t="inlineStr">
        <is>
          <t>Repessado pela Gessele na reunião do dia 05/03/2026</t>
        </is>
      </c>
      <c r="P14" s="60" t="inlineStr">
        <is>
          <t>Finalizado</t>
        </is>
      </c>
      <c r="Q14" s="61" t="n"/>
    </row>
    <row r="15" outlineLevel="2" customFormat="1" s="40">
      <c r="A15" s="97">
        <f>IF($H15="UNIDADE CONSTRUTIVA",OFFSET(A15,-1,0)+1,LARGE(A$3:A14,1))</f>
        <v/>
      </c>
      <c r="B15" s="97">
        <f>IF(H15="UNIDADE CONSTRUTIVA",0,IF(H15="CÉLULA CONSTRUTIVA",OFFSET(B15,-1,0)+1,OFFSET(B15,-1,0)))</f>
        <v/>
      </c>
      <c r="C15" s="97">
        <f>IF(H15="CÉLULA CONSTRUTIVA",0,IF(H15="ETAPA",OFFSET(C15,-1,0)+1,OFFSET(C15,-1,0)))</f>
        <v/>
      </c>
      <c r="D15" s="98">
        <f>IF(H15="ETAPA",0,IF(H15="SUBETAPA",OFFSET(D15,-1,0)+1,OFFSET(D15,-1,0)))</f>
        <v/>
      </c>
      <c r="E15" s="98">
        <f>IF(H15="Subetapa",0,IF(H15="serviço",OFFSET(E15,-1,0)+1,OFFSET(E15,-1,0)))</f>
        <v/>
      </c>
      <c r="G15" s="52" t="n"/>
      <c r="H15" s="53" t="inlineStr">
        <is>
          <t>SERVIÇO</t>
        </is>
      </c>
      <c r="I15" s="54">
        <f>IF(H15="Unidade Construtiva",TEXT(A15,"00"),IF(H15="Célula Construtiva",TEXT(B15,"00"),IF(H15="Etapa",CONCATENATE(TEXT(B15,"00"),".",TEXT(C15,"000")),IF(H15="Subetapa",CONCATENATE(TEXT(B15,"00"),".",TEXT(C15,"000"),".",TEXT(D15,"000")),IF(H15="Serviço",CONCATENATE(TEXT(B15,"00"),".",TEXT(C15,"000"),".",TEXT(D15,"000"),".",TEXT(E15,"000")),"")))))</f>
        <v/>
      </c>
      <c r="J15" s="55" t="inlineStr">
        <is>
          <t>EFEG - Teste de Carga</t>
        </is>
      </c>
      <c r="K15" s="56" t="inlineStr">
        <is>
          <t>vb</t>
        </is>
      </c>
      <c r="L15" s="57" t="n">
        <v>1</v>
      </c>
      <c r="M15" s="57">
        <f>_xlfn.XLOOKUP($J15,#REF!,#REF!)</f>
        <v/>
      </c>
      <c r="N15" s="58">
        <f>IF(H15="Serviço",M15*L15,IF(H15="CÉLULA CONSTRUTIVA",SUMIFS($N$8:$N$447,$B$8:$B$447,B15,$H$8:$H$447,"Serviço"),IF(H15="ETAPA",SUMIFS($N$8:$N$447,$B$8:$B$447,B15,$C$8:$C$447,C15,$H$8:$H$447,"Serviço"),IF(H15="SUBETAPA",SUMIFS($N$8:$N$447,$B$8:$B$447,B15,$C$8:$C$447,C15,$D$8:$D$447,D15,$H$8:$H$447,"Serviço"),0))))</f>
        <v/>
      </c>
      <c r="O15" s="57">
        <f>_xlfn.XLOOKUP($J15,#REF!,#REF!)</f>
        <v/>
      </c>
      <c r="P15" s="60" t="inlineStr">
        <is>
          <t>Finalizado</t>
        </is>
      </c>
      <c r="Q15" s="61" t="n"/>
    </row>
    <row r="16" outlineLevel="2" customFormat="1" s="40">
      <c r="A16" s="97">
        <f>IF($H16="UNIDADE CONSTRUTIVA",OFFSET(A16,-1,0)+1,LARGE(A$3:A15,1))</f>
        <v/>
      </c>
      <c r="B16" s="97">
        <f>IF(H16="UNIDADE CONSTRUTIVA",0,IF(H16="CÉLULA CONSTRUTIVA",OFFSET(B16,-1,0)+1,OFFSET(B16,-1,0)))</f>
        <v/>
      </c>
      <c r="C16" s="97">
        <f>IF(H16="CÉLULA CONSTRUTIVA",0,IF(H16="ETAPA",OFFSET(C16,-1,0)+1,OFFSET(C16,-1,0)))</f>
        <v/>
      </c>
      <c r="D16" s="98">
        <f>IF(H16="ETAPA",0,IF(H16="SUBETAPA",OFFSET(D16,-1,0)+1,OFFSET(D16,-1,0)))</f>
        <v/>
      </c>
      <c r="E16" s="98">
        <f>IF(H16="Subetapa",0,IF(H16="serviço",OFFSET(E16,-1,0)+1,OFFSET(E16,-1,0)))</f>
        <v/>
      </c>
      <c r="G16" s="52" t="n"/>
      <c r="H16" s="53" t="inlineStr">
        <is>
          <t>SERVIÇO</t>
        </is>
      </c>
      <c r="I16" s="54">
        <f>IF(H16="Unidade Construtiva",TEXT(A16,"00"),IF(H16="Célula Construtiva",TEXT(B16,"00"),IF(H16="Etapa",CONCATENATE(TEXT(B16,"00"),".",TEXT(C16,"000")),IF(H16="Subetapa",CONCATENATE(TEXT(B16,"00"),".",TEXT(C16,"000"),".",TEXT(D16,"000")),IF(H16="Serviço",CONCATENATE(TEXT(B16,"00"),".",TEXT(C16,"000"),".",TEXT(D16,"000"),".",TEXT(E16,"000")),"")))))</f>
        <v/>
      </c>
      <c r="J16" s="55" t="inlineStr">
        <is>
          <t>Solugeot - Teste de Carga</t>
        </is>
      </c>
      <c r="K16" s="56" t="inlineStr">
        <is>
          <t>vb</t>
        </is>
      </c>
      <c r="L16" s="57" t="n">
        <v>1</v>
      </c>
      <c r="M16" s="57" t="n">
        <v>185000</v>
      </c>
      <c r="N16" s="58">
        <f>IF(H16="Serviço",M16*L16,IF(H16="CÉLULA CONSTRUTIVA",SUMIFS($N$8:$N$447,$B$8:$B$447,B16,$H$8:$H$447,"Serviço"),IF(H16="ETAPA",SUMIFS($N$8:$N$447,$B$8:$B$447,B16,$C$8:$C$447,C16,$H$8:$H$447,"Serviço"),IF(H16="SUBETAPA",SUMIFS($N$8:$N$447,$B$8:$B$447,B16,$C$8:$C$447,C16,$D$8:$D$447,D16,$H$8:$H$447,"Serviço"),0))))</f>
        <v/>
      </c>
      <c r="O16" s="57" t="inlineStr">
        <is>
          <t>Repessado pela Gessele na reunião do dia 05/03/2026</t>
        </is>
      </c>
      <c r="P16" s="60" t="inlineStr">
        <is>
          <t>Finalizado</t>
        </is>
      </c>
      <c r="Q16" s="61" t="n"/>
    </row>
    <row r="17" outlineLevel="2" customFormat="1" s="40">
      <c r="A17" s="97">
        <f>IF($H17="UNIDADE CONSTRUTIVA",OFFSET(A17,-1,0)+1,LARGE(A$3:A16,1))</f>
        <v/>
      </c>
      <c r="B17" s="97">
        <f>IF(H17="UNIDADE CONSTRUTIVA",0,IF(H17="CÉLULA CONSTRUTIVA",OFFSET(B17,-1,0)+1,OFFSET(B17,-1,0)))</f>
        <v/>
      </c>
      <c r="C17" s="97">
        <f>IF(H17="CÉLULA CONSTRUTIVA",0,IF(H17="ETAPA",OFFSET(C17,-1,0)+1,OFFSET(C17,-1,0)))</f>
        <v/>
      </c>
      <c r="D17" s="98">
        <f>IF(H17="ETAPA",0,IF(H17="SUBETAPA",OFFSET(D17,-1,0)+1,OFFSET(D17,-1,0)))</f>
        <v/>
      </c>
      <c r="E17" s="98">
        <f>IF(H17="Subetapa",0,IF(H17="serviço",OFFSET(E17,-1,0)+1,OFFSET(E17,-1,0)))</f>
        <v/>
      </c>
      <c r="G17" s="52" t="n"/>
      <c r="H17" s="53" t="inlineStr">
        <is>
          <t>SERVIÇO</t>
        </is>
      </c>
      <c r="I17" s="54">
        <f>IF(H17="Unidade Construtiva",TEXT(A17,"00"),IF(H17="Célula Construtiva",TEXT(B17,"00"),IF(H17="Etapa",CONCATENATE(TEXT(B17,"00"),".",TEXT(C17,"000")),IF(H17="Subetapa",CONCATENATE(TEXT(B17,"00"),".",TEXT(C17,"000"),".",TEXT(D17,"000")),IF(H17="Serviço",CONCATENATE(TEXT(B17,"00"),".",TEXT(C17,"000"),".",TEXT(D17,"000"),".",TEXT(E17,"000")),"")))))</f>
        <v/>
      </c>
      <c r="J17" s="55" t="inlineStr">
        <is>
          <t>Concreto  - Teste de Carga</t>
        </is>
      </c>
      <c r="K17" s="56" t="inlineStr">
        <is>
          <t>vb</t>
        </is>
      </c>
      <c r="L17" s="57" t="n">
        <v>1</v>
      </c>
      <c r="M17" s="57">
        <f>_xlfn.XLOOKUP($J17,#REF!,#REF!)</f>
        <v/>
      </c>
      <c r="N17" s="58">
        <f>IF(H17="Serviço",M17*L17,IF(H17="CÉLULA CONSTRUTIVA",SUMIFS($N$8:$N$447,$B$8:$B$447,B17,$H$8:$H$447,"Serviço"),IF(H17="ETAPA",SUMIFS($N$8:$N$447,$B$8:$B$447,B17,$C$8:$C$447,C17,$H$8:$H$447,"Serviço"),IF(H17="SUBETAPA",SUMIFS($N$8:$N$447,$B$8:$B$447,B17,$C$8:$C$447,C17,$D$8:$D$447,D17,$H$8:$H$447,"Serviço"),0))))</f>
        <v/>
      </c>
      <c r="O17" s="57">
        <f>_xlfn.XLOOKUP($J17,#REF!,#REF!)</f>
        <v/>
      </c>
      <c r="P17" s="60" t="inlineStr">
        <is>
          <t>Finalizado</t>
        </is>
      </c>
      <c r="Q17" s="61" t="n"/>
    </row>
    <row r="18" outlineLevel="1" customFormat="1" s="40">
      <c r="A18" s="97">
        <f>IF($H18="UNIDADE CONSTRUTIVA",OFFSET(A18,-1,0)+1,LARGE(A$3:A17,1))</f>
        <v/>
      </c>
      <c r="B18" s="97">
        <f>IF(H18="UNIDADE CONSTRUTIVA",0,IF(H18="CÉLULA CONSTRUTIVA",OFFSET(B18,-1,0)+1,OFFSET(B18,-1,0)))</f>
        <v/>
      </c>
      <c r="C18" s="97">
        <f>IF(H18="CÉLULA CONSTRUTIVA",0,IF(H18="ETAPA",OFFSET(C18,-1,0)+1,OFFSET(C18,-1,0)))</f>
        <v/>
      </c>
      <c r="D18" s="98">
        <f>IF(H18="ETAPA",0,IF(H18="SUBETAPA",OFFSET(D18,-1,0)+1,OFFSET(D18,-1,0)))</f>
        <v/>
      </c>
      <c r="E18" s="98">
        <f>IF(H18="Subetapa",0,IF(H18="serviço",OFFSET(E18,-1,0)+1,OFFSET(E18,-1,0)))</f>
        <v/>
      </c>
      <c r="G18" s="52" t="n"/>
      <c r="H18" s="53" t="inlineStr">
        <is>
          <t>SUBETAPA</t>
        </is>
      </c>
      <c r="I18" s="54">
        <f>IF(H18="Unidade Construtiva",TEXT(A18,"00"),IF(H18="Célula Construtiva",TEXT(B18,"00"),IF(H18="Etapa",CONCATENATE(TEXT(B18,"00"),".",TEXT(C18,"000")),IF(H18="Subetapa",CONCATENATE(TEXT(B18,"00"),".",TEXT(C18,"000"),".",TEXT(D18,"000")),IF(H18="Serviço",CONCATENATE(TEXT(B18,"00"),".",TEXT(C18,"000"),".",TEXT(D18,"000"),".",TEXT(E18,"000")),"")))))</f>
        <v/>
      </c>
      <c r="J18" s="55" t="inlineStr">
        <is>
          <t>Projetos</t>
        </is>
      </c>
      <c r="K18" s="56" t="n"/>
      <c r="L18" s="57" t="n"/>
      <c r="M18" s="57" t="n"/>
      <c r="N18" s="58">
        <f>IF(H18="Serviço",M18*L18,IF(H18="CÉLULA CONSTRUTIVA",SUMIFS($N$8:$N$447,$B$8:$B$447,B18,$H$8:$H$447,"Serviço"),IF(H18="ETAPA",SUMIFS($N$8:$N$447,$B$8:$B$447,B18,$C$8:$C$447,C18,$H$8:$H$447,"Serviço"),IF(H18="SUBETAPA",SUMIFS($N$8:$N$447,$B$8:$B$447,B18,$C$8:$C$447,C18,$D$8:$D$447,D18,$H$8:$H$447,"Serviço"),0))))</f>
        <v/>
      </c>
      <c r="O18" s="59">
        <f>N18/[1]CAPA!$C$10</f>
        <v/>
      </c>
      <c r="P18" s="60" t="n"/>
      <c r="Q18" s="61" t="n"/>
    </row>
    <row r="19" outlineLevel="2" customFormat="1" s="40">
      <c r="A19" s="97">
        <f>IF($H19="UNIDADE CONSTRUTIVA",OFFSET(A19,-1,0)+1,LARGE(A$3:A18,1))</f>
        <v/>
      </c>
      <c r="B19" s="97">
        <f>IF(H19="UNIDADE CONSTRUTIVA",0,IF(H19="CÉLULA CONSTRUTIVA",OFFSET(B19,-1,0)+1,OFFSET(B19,-1,0)))</f>
        <v/>
      </c>
      <c r="C19" s="97">
        <f>IF(H19="CÉLULA CONSTRUTIVA",0,IF(H19="ETAPA",OFFSET(C19,-1,0)+1,OFFSET(C19,-1,0)))</f>
        <v/>
      </c>
      <c r="D19" s="98">
        <f>IF(H19="ETAPA",0,IF(H19="SUBETAPA",OFFSET(D19,-1,0)+1,OFFSET(D19,-1,0)))</f>
        <v/>
      </c>
      <c r="E19" s="98">
        <f>IF(H19="Subetapa",0,IF(H19="serviço",OFFSET(E19,-1,0)+1,OFFSET(E19,-1,0)))</f>
        <v/>
      </c>
      <c r="G19" s="52" t="n"/>
      <c r="H19" s="53" t="inlineStr">
        <is>
          <t>SERVIÇO</t>
        </is>
      </c>
      <c r="I19" s="54">
        <f>IF(H19="Unidade Construtiva",TEXT(A19,"00"),IF(H19="Célula Construtiva",TEXT(B19,"00"),IF(H19="Etapa",CONCATENATE(TEXT(B19,"00"),".",TEXT(C19,"000")),IF(H19="Subetapa",CONCATENATE(TEXT(B19,"00"),".",TEXT(C19,"000"),".",TEXT(D19,"000")),IF(H19="Serviço",CONCATENATE(TEXT(B19,"00"),".",TEXT(C19,"000"),".",TEXT(D19,"000"),".",TEXT(E19,"000")),"")))))</f>
        <v/>
      </c>
      <c r="J19" s="55" t="inlineStr">
        <is>
          <t>Legalização de incorporação</t>
        </is>
      </c>
      <c r="K19" s="56" t="inlineStr">
        <is>
          <t>vb</t>
        </is>
      </c>
      <c r="L19" s="57" t="n">
        <v>1</v>
      </c>
      <c r="M19" s="57">
        <f>_xlfn.XLOOKUP($J19,#REF!,#REF!)</f>
        <v/>
      </c>
      <c r="N19" s="58">
        <f>IF(H19="Serviço",M19*L19,IF(H19="CÉLULA CONSTRUTIVA",SUMIFS($N$8:$N$447,$B$8:$B$447,B19,$H$8:$H$447,"Serviço"),IF(H19="ETAPA",SUMIFS($N$8:$N$447,$B$8:$B$447,B19,$C$8:$C$447,C19,$H$8:$H$447,"Serviço"),IF(H19="SUBETAPA",SUMIFS($N$8:$N$447,$B$8:$B$447,B19,$C$8:$C$447,C19,$D$8:$D$447,D19,$H$8:$H$447,"Serviço"),0))))</f>
        <v/>
      </c>
      <c r="O19" s="57">
        <f>_xlfn.XLOOKUP($J19,#REF!,#REF!)</f>
        <v/>
      </c>
      <c r="P19" s="60" t="inlineStr">
        <is>
          <t>Finalizado</t>
        </is>
      </c>
      <c r="Q19" s="61" t="n"/>
    </row>
    <row r="20" outlineLevel="2" customFormat="1" s="40">
      <c r="A20" s="97">
        <f>IF($H20="UNIDADE CONSTRUTIVA",OFFSET(A20,-1,0)+1,LARGE(A$3:A19,1))</f>
        <v/>
      </c>
      <c r="B20" s="97">
        <f>IF(H20="UNIDADE CONSTRUTIVA",0,IF(H20="CÉLULA CONSTRUTIVA",OFFSET(B20,-1,0)+1,OFFSET(B20,-1,0)))</f>
        <v/>
      </c>
      <c r="C20" s="97">
        <f>IF(H20="CÉLULA CONSTRUTIVA",0,IF(H20="ETAPA",OFFSET(C20,-1,0)+1,OFFSET(C20,-1,0)))</f>
        <v/>
      </c>
      <c r="D20" s="98">
        <f>IF(H20="ETAPA",0,IF(H20="SUBETAPA",OFFSET(D20,-1,0)+1,OFFSET(D20,-1,0)))</f>
        <v/>
      </c>
      <c r="E20" s="98">
        <f>IF(H20="Subetapa",0,IF(H20="serviço",OFFSET(E20,-1,0)+1,OFFSET(E20,-1,0)))</f>
        <v/>
      </c>
      <c r="G20" s="52" t="n"/>
      <c r="H20" s="53" t="inlineStr">
        <is>
          <t>SERVIÇO</t>
        </is>
      </c>
      <c r="I20" s="54">
        <f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/>
      </c>
      <c r="J20" s="55" t="inlineStr">
        <is>
          <t>Projeto arquitetônico legal</t>
        </is>
      </c>
      <c r="K20" s="56" t="inlineStr">
        <is>
          <t>vb</t>
        </is>
      </c>
      <c r="L20" s="57" t="n">
        <v>1</v>
      </c>
      <c r="M20" s="57">
        <f>148000+35000</f>
        <v/>
      </c>
      <c r="N20" s="58">
        <f>IF(H20="Serviço",M20*L20,IF(H20="CÉLULA CONSTRUTIVA",SUMIFS($N$8:$N$447,$B$8:$B$447,B20,$H$8:$H$447,"Serviço"),IF(H20="ETAPA",SUMIFS($N$8:$N$447,$B$8:$B$447,B20,$C$8:$C$447,C20,$H$8:$H$447,"Serviço"),IF(H20="SUBETAPA",SUMIFS($N$8:$N$447,$B$8:$B$447,B20,$C$8:$C$447,C20,$D$8:$D$447,D20,$H$8:$H$447,"Serviço"),0))))</f>
        <v/>
      </c>
      <c r="O20" s="57" t="inlineStr">
        <is>
          <t>Repessado pela Gessele na reunião do dia 05/03/2026 - Contrato Battisti</t>
        </is>
      </c>
      <c r="P20" s="60" t="inlineStr">
        <is>
          <t>Finalizado</t>
        </is>
      </c>
      <c r="Q20" s="61" t="n"/>
    </row>
    <row r="21" outlineLevel="2" customFormat="1" s="40">
      <c r="A21" s="97">
        <f>IF($H21="UNIDADE CONSTRUTIVA",OFFSET(A21,-1,0)+1,LARGE(A$3:A20,1))</f>
        <v/>
      </c>
      <c r="B21" s="97">
        <f>IF(H21="UNIDADE CONSTRUTIVA",0,IF(H21="CÉLULA CONSTRUTIVA",OFFSET(B21,-1,0)+1,OFFSET(B21,-1,0)))</f>
        <v/>
      </c>
      <c r="C21" s="97">
        <f>IF(H21="CÉLULA CONSTRUTIVA",0,IF(H21="ETAPA",OFFSET(C21,-1,0)+1,OFFSET(C21,-1,0)))</f>
        <v/>
      </c>
      <c r="D21" s="98">
        <f>IF(H21="ETAPA",0,IF(H21="SUBETAPA",OFFSET(D21,-1,0)+1,OFFSET(D21,-1,0)))</f>
        <v/>
      </c>
      <c r="E21" s="98">
        <f>IF(H21="Subetapa",0,IF(H21="serviço",OFFSET(E21,-1,0)+1,OFFSET(E21,-1,0)))</f>
        <v/>
      </c>
      <c r="G21" s="52" t="n"/>
      <c r="H21" s="53" t="inlineStr">
        <is>
          <t>SERVIÇO</t>
        </is>
      </c>
      <c r="I21" s="54">
        <f>IF(H21="Unidade Construtiva",TEXT(A21,"00"),IF(H21="Célula Construtiva",TEXT(B21,"00"),IF(H21="Etapa",CONCATENATE(TEXT(B21,"00"),".",TEXT(C21,"000")),IF(H21="Subetapa",CONCATENATE(TEXT(B21,"00"),".",TEXT(C21,"000"),".",TEXT(D21,"000")),IF(H21="Serviço",CONCATENATE(TEXT(B21,"00"),".",TEXT(C21,"000"),".",TEXT(D21,"000"),".",TEXT(E21,"000")),"")))))</f>
        <v/>
      </c>
      <c r="J21" s="55" t="inlineStr">
        <is>
          <t xml:space="preserve">Projeto Arquitetônico interiores </t>
        </is>
      </c>
      <c r="K21" s="56" t="inlineStr">
        <is>
          <t>vb</t>
        </is>
      </c>
      <c r="L21" s="57" t="n">
        <v>1</v>
      </c>
      <c r="M21" s="57" t="n">
        <v>29000</v>
      </c>
      <c r="N21" s="58">
        <f>IF(H21="Serviço",M21*L21,IF(H21="CÉLULA CONSTRUTIVA",SUMIFS($N$8:$N$447,$B$8:$B$447,B21,$H$8:$H$447,"Serviço"),IF(H21="ETAPA",SUMIFS($N$8:$N$447,$B$8:$B$447,B21,$C$8:$C$447,C21,$H$8:$H$447,"Serviço"),IF(H21="SUBETAPA",SUMIFS($N$8:$N$447,$B$8:$B$447,B21,$C$8:$C$447,C21,$D$8:$D$447,D21,$H$8:$H$447,"Serviço"),0))))</f>
        <v/>
      </c>
      <c r="O21" s="57" t="inlineStr">
        <is>
          <t>Repessado pela Gessele na reunião do dia 05/03/2026 - Contrato Favola</t>
        </is>
      </c>
      <c r="P21" s="60" t="inlineStr">
        <is>
          <t>Finalizado</t>
        </is>
      </c>
      <c r="Q21" s="61" t="n"/>
    </row>
    <row r="22" outlineLevel="2" customFormat="1" s="40">
      <c r="A22" s="97">
        <f>IF($H22="UNIDADE CONSTRUTIVA",OFFSET(A22,-1,0)+1,LARGE(A$3:A21,1))</f>
        <v/>
      </c>
      <c r="B22" s="97">
        <f>IF(H22="UNIDADE CONSTRUTIVA",0,IF(H22="CÉLULA CONSTRUTIVA",OFFSET(B22,-1,0)+1,OFFSET(B22,-1,0)))</f>
        <v/>
      </c>
      <c r="C22" s="97">
        <f>IF(H22="CÉLULA CONSTRUTIVA",0,IF(H22="ETAPA",OFFSET(C22,-1,0)+1,OFFSET(C22,-1,0)))</f>
        <v/>
      </c>
      <c r="D22" s="98">
        <f>IF(H22="ETAPA",0,IF(H22="SUBETAPA",OFFSET(D22,-1,0)+1,OFFSET(D22,-1,0)))</f>
        <v/>
      </c>
      <c r="E22" s="98">
        <f>IF(H22="Subetapa",0,IF(H22="serviço",OFFSET(E22,-1,0)+1,OFFSET(E22,-1,0)))</f>
        <v/>
      </c>
      <c r="G22" s="52" t="n"/>
      <c r="H22" s="53" t="inlineStr">
        <is>
          <t>SERVIÇO</t>
        </is>
      </c>
      <c r="I22" s="54">
        <f>IF(H22="Unidade Construtiva",TEXT(A22,"00"),IF(H22="Célula Construtiva",TEXT(B22,"00"),IF(H22="Etapa",CONCATENATE(TEXT(B22,"00"),".",TEXT(C22,"000")),IF(H22="Subetapa",CONCATENATE(TEXT(B22,"00"),".",TEXT(C22,"000"),".",TEXT(D22,"000")),IF(H22="Serviço",CONCATENATE(TEXT(B22,"00"),".",TEXT(C22,"000"),".",TEXT(D22,"000"),".",TEXT(E22,"000")),"")))))</f>
        <v/>
      </c>
      <c r="J22" s="55" t="inlineStr">
        <is>
          <t>Projeto de terraplanagem</t>
        </is>
      </c>
      <c r="K22" s="56" t="inlineStr">
        <is>
          <t>vb</t>
        </is>
      </c>
      <c r="L22" s="57" t="n">
        <v>1</v>
      </c>
      <c r="M22" s="99" t="n">
        <v>95000</v>
      </c>
      <c r="N22" s="100" t="n">
        <v>95000</v>
      </c>
      <c r="O22" s="57">
        <f>_xlfn.XLOOKUP($J22,#REF!,#REF!)</f>
        <v/>
      </c>
      <c r="P22" s="60" t="inlineStr">
        <is>
          <t>Finalizado</t>
        </is>
      </c>
      <c r="Q22" s="61" t="n"/>
    </row>
    <row r="23" outlineLevel="2" customFormat="1" s="40">
      <c r="A23" s="97">
        <f>IF($H23="UNIDADE CONSTRUTIVA",OFFSET(A23,-1,0)+1,LARGE(A$3:A20,1))</f>
        <v/>
      </c>
      <c r="B23" s="97">
        <f>IF(H23="UNIDADE CONSTRUTIVA",0,IF(H23="CÉLULA CONSTRUTIVA",OFFSET(B23,-1,0)+1,OFFSET(B23,-1,0)))</f>
        <v/>
      </c>
      <c r="C23" s="97">
        <f>IF(H23="CÉLULA CONSTRUTIVA",0,IF(H23="ETAPA",OFFSET(C23,-1,0)+1,OFFSET(C23,-1,0)))</f>
        <v/>
      </c>
      <c r="D23" s="98">
        <f>IF(H23="ETAPA",0,IF(H23="SUBETAPA",OFFSET(D23,-1,0)+1,OFFSET(D23,-1,0)))</f>
        <v/>
      </c>
      <c r="E23" s="98">
        <f>IF(H23="Subetapa",0,IF(H23="serviço",OFFSET(E23,-1,0)+1,OFFSET(E23,-1,0)))</f>
        <v/>
      </c>
      <c r="G23" s="52" t="n"/>
      <c r="H23" s="53" t="inlineStr">
        <is>
          <t>SERVIÇO</t>
        </is>
      </c>
      <c r="I23" s="54">
        <f>IF(H23="Unidade Construtiva",TEXT(A23,"00"),IF(H23="Célula Construtiva",TEXT(B23,"00"),IF(H23="Etapa",CONCATENATE(TEXT(B23,"00"),".",TEXT(C23,"000")),IF(H23="Subetapa",CONCATENATE(TEXT(B23,"00"),".",TEXT(C23,"000"),".",TEXT(D23,"000")),IF(H23="Serviço",CONCATENATE(TEXT(B23,"00"),".",TEXT(C23,"000"),".",TEXT(D23,"000"),".",TEXT(E23,"000")),"")))))</f>
        <v/>
      </c>
      <c r="J23" s="55" t="inlineStr">
        <is>
          <t>Projeto fundação</t>
        </is>
      </c>
      <c r="K23" s="56" t="inlineStr">
        <is>
          <t>vb</t>
        </is>
      </c>
      <c r="L23" s="57" t="n">
        <v>1</v>
      </c>
      <c r="M23" s="57" t="n">
        <v>40000</v>
      </c>
      <c r="N23" s="58">
        <f>IF(H23="Serviço",M23*L23,IF(H23="CÉLULA CONSTRUTIVA",SUMIFS($N$8:$N$447,$B$8:$B$447,B23,$H$8:$H$447,"Serviço"),IF(H23="ETAPA",SUMIFS($N$8:$N$447,$B$8:$B$447,B23,$C$8:$C$447,C23,$H$8:$H$447,"Serviço"),IF(H23="SUBETAPA",SUMIFS($N$8:$N$447,$B$8:$B$447,B23,$C$8:$C$447,C23,$D$8:$D$447,D23,$H$8:$H$447,"Serviço"),0))))</f>
        <v/>
      </c>
      <c r="O23" s="57" t="inlineStr">
        <is>
          <t>Repessado pela Gessele na reunião do dia 05/03/2026</t>
        </is>
      </c>
      <c r="P23" s="60" t="inlineStr">
        <is>
          <t>Finalizado</t>
        </is>
      </c>
      <c r="Q23" s="61" t="n"/>
    </row>
    <row r="24" outlineLevel="2" ht="22.5" customFormat="1" customHeight="1" s="40">
      <c r="A24" s="97">
        <f>IF($H24="UNIDADE CONSTRUTIVA",OFFSET(A24,-1,0)+1,LARGE(A$3:A21,1))</f>
        <v/>
      </c>
      <c r="B24" s="97">
        <f>IF(H24="UNIDADE CONSTRUTIVA",0,IF(H24="CÉLULA CONSTRUTIVA",OFFSET(B24,-1,0)+1,OFFSET(B24,-1,0)))</f>
        <v/>
      </c>
      <c r="C24" s="97">
        <f>IF(H24="CÉLULA CONSTRUTIVA",0,IF(H24="ETAPA",OFFSET(C24,-1,0)+1,OFFSET(C24,-1,0)))</f>
        <v/>
      </c>
      <c r="D24" s="98">
        <f>IF(H24="ETAPA",0,IF(H24="SUBETAPA",OFFSET(D24,-1,0)+1,OFFSET(D24,-1,0)))</f>
        <v/>
      </c>
      <c r="E24" s="98">
        <f>IF(H24="Subetapa",0,IF(H24="serviço",OFFSET(E24,-1,0)+1,OFFSET(E24,-1,0)))</f>
        <v/>
      </c>
      <c r="G24" s="52" t="n"/>
      <c r="H24" s="53" t="inlineStr">
        <is>
          <t>SERVIÇO</t>
        </is>
      </c>
      <c r="I24" s="54">
        <f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/>
      </c>
      <c r="J24" s="55" t="inlineStr">
        <is>
          <t>Projeto estrutural</t>
        </is>
      </c>
      <c r="K24" s="56" t="inlineStr">
        <is>
          <t>vb</t>
        </is>
      </c>
      <c r="L24" s="57" t="n">
        <v>1</v>
      </c>
      <c r="M24" s="57" t="n">
        <v>447000</v>
      </c>
      <c r="N24" s="58">
        <f>IF(H24="Serviço",M24*L24,IF(H24="CÉLULA CONSTRUTIVA",SUMIFS($N$8:$N$447,$B$8:$B$447,B24,$H$8:$H$447,"Serviço"),IF(H24="ETAPA",SUMIFS($N$8:$N$447,$B$8:$B$447,B24,$C$8:$C$447,C24,$H$8:$H$447,"Serviço"),IF(H24="SUBETAPA",SUMIFS($N$8:$N$447,$B$8:$B$447,B24,$C$8:$C$447,C24,$D$8:$D$447,D24,$H$8:$H$447,"Serviço"),0))))</f>
        <v/>
      </c>
      <c r="O24" s="57" t="inlineStr">
        <is>
          <t>Repessado pela Gessele na reunião do dia 05/03/2026 - Contrato DMA + Zeplin + Liberte</t>
        </is>
      </c>
      <c r="P24" s="60" t="inlineStr">
        <is>
          <t>Finalizado</t>
        </is>
      </c>
      <c r="Q24" s="61" t="n"/>
    </row>
    <row r="25" outlineLevel="2" customFormat="1" s="40">
      <c r="A25" s="97">
        <f>IF($H25="UNIDADE CONSTRUTIVA",OFFSET(A25,-1,0)+1,LARGE(A$3:A22,1))</f>
        <v/>
      </c>
      <c r="B25" s="97">
        <f>IF(H25="UNIDADE CONSTRUTIVA",0,IF(H25="CÉLULA CONSTRUTIVA",OFFSET(B25,-1,0)+1,OFFSET(B25,-1,0)))</f>
        <v/>
      </c>
      <c r="C25" s="97">
        <f>IF(H25="CÉLULA CONSTRUTIVA",0,IF(H25="ETAPA",OFFSET(C25,-1,0)+1,OFFSET(C25,-1,0)))</f>
        <v/>
      </c>
      <c r="D25" s="98">
        <f>IF(H25="ETAPA",0,IF(H25="SUBETAPA",OFFSET(D25,-1,0)+1,OFFSET(D25,-1,0)))</f>
        <v/>
      </c>
      <c r="E25" s="98">
        <f>IF(H25="Subetapa",0,IF(H25="serviço",OFFSET(E25,-1,0)+1,OFFSET(E25,-1,0)))</f>
        <v/>
      </c>
      <c r="G25" s="52" t="n"/>
      <c r="H25" s="53" t="inlineStr">
        <is>
          <t>SERVIÇO</t>
        </is>
      </c>
      <c r="I25" s="54">
        <f>IF(H25="Unidade Construtiva",TEXT(A25,"00"),IF(H25="Célula Construtiva",TEXT(B25,"00"),IF(H25="Etapa",CONCATENATE(TEXT(B25,"00"),".",TEXT(C25,"000")),IF(H25="Subetapa",CONCATENATE(TEXT(B25,"00"),".",TEXT(C25,"000"),".",TEXT(D25,"000")),IF(H25="Serviço",CONCATENATE(TEXT(B25,"00"),".",TEXT(C25,"000"),".",TEXT(D25,"000"),".",TEXT(E25,"000")),"")))))</f>
        <v/>
      </c>
      <c r="J25" s="55" t="inlineStr">
        <is>
          <t>Projeto escoramento</t>
        </is>
      </c>
      <c r="K25" s="56" t="inlineStr">
        <is>
          <t>vb</t>
        </is>
      </c>
      <c r="L25" s="57" t="n">
        <v>1</v>
      </c>
      <c r="M25" s="57" t="n">
        <v>4000</v>
      </c>
      <c r="N25" s="58">
        <f>IF(H25="Serviço",M25*L25,IF(H25="CÉLULA CONSTRUTIVA",SUMIFS($N$8:$N$447,$B$8:$B$447,B25,$H$8:$H$447,"Serviço"),IF(H25="ETAPA",SUMIFS($N$8:$N$447,$B$8:$B$447,B25,$C$8:$C$447,C25,$H$8:$H$447,"Serviço"),IF(H25="SUBETAPA",SUMIFS($N$8:$N$447,$B$8:$B$447,B25,$C$8:$C$447,C25,$D$8:$D$447,D25,$H$8:$H$447,"Serviço"),0))))</f>
        <v/>
      </c>
      <c r="O25" s="57" t="inlineStr">
        <is>
          <t>Repessado pela Gessele na reunião do dia 05/03/2026</t>
        </is>
      </c>
      <c r="P25" s="60" t="inlineStr">
        <is>
          <t>Finalizado</t>
        </is>
      </c>
      <c r="Q25" s="61" t="n"/>
    </row>
    <row r="26" outlineLevel="2" ht="22.5" customFormat="1" customHeight="1" s="40">
      <c r="A26" s="97">
        <f>IF($H26="UNIDADE CONSTRUTIVA",OFFSET(A26,-1,0)+1,LARGE(A$3:A25,1))</f>
        <v/>
      </c>
      <c r="B26" s="97">
        <f>IF(H26="UNIDADE CONSTRUTIVA",0,IF(H26="CÉLULA CONSTRUTIVA",OFFSET(B26,-1,0)+1,OFFSET(B26,-1,0)))</f>
        <v/>
      </c>
      <c r="C26" s="97">
        <f>IF(H26="CÉLULA CONSTRUTIVA",0,IF(H26="ETAPA",OFFSET(C26,-1,0)+1,OFFSET(C26,-1,0)))</f>
        <v/>
      </c>
      <c r="D26" s="98">
        <f>IF(H26="ETAPA",0,IF(H26="SUBETAPA",OFFSET(D26,-1,0)+1,OFFSET(D26,-1,0)))</f>
        <v/>
      </c>
      <c r="E26" s="98">
        <f>IF(H26="Subetapa",0,IF(H26="serviço",OFFSET(E26,-1,0)+1,OFFSET(E26,-1,0)))</f>
        <v/>
      </c>
      <c r="G26" s="52" t="n"/>
      <c r="H26" s="53" t="inlineStr">
        <is>
          <t>SERVIÇO</t>
        </is>
      </c>
      <c r="I26" s="54">
        <f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/>
      </c>
      <c r="J26" s="55" t="inlineStr">
        <is>
          <t>Projeto elétrico/comunicação/telefonia/luminotécnico/hidrossanitário/drenagem/pluvial/preventivo/Gás</t>
        </is>
      </c>
      <c r="K26" s="56" t="inlineStr">
        <is>
          <t>vb</t>
        </is>
      </c>
      <c r="L26" s="57" t="n">
        <v>1</v>
      </c>
      <c r="M26" s="57" t="n">
        <v>280000</v>
      </c>
      <c r="N26" s="58">
        <f>IF(H26="Serviço",M26*L26,IF(H26="CÉLULA CONSTRUTIVA",SUMIFS($N$8:$N$447,$B$8:$B$447,B26,$H$8:$H$447,"Serviço"),IF(H26="ETAPA",SUMIFS($N$8:$N$447,$B$8:$B$447,B26,$C$8:$C$447,C26,$H$8:$H$447,"Serviço"),IF(H26="SUBETAPA",SUMIFS($N$8:$N$447,$B$8:$B$447,B26,$C$8:$C$447,C26,$D$8:$D$447,D26,$H$8:$H$447,"Serviço"),0))))</f>
        <v/>
      </c>
      <c r="O26" s="57" t="inlineStr">
        <is>
          <t>Repessado pela Gessele na reunião do dia 05/03/2026 - Contrato franzmann (pacote)</t>
        </is>
      </c>
      <c r="P26" s="60" t="inlineStr">
        <is>
          <t>Finalizado</t>
        </is>
      </c>
      <c r="Q26" s="61" t="n"/>
    </row>
    <row r="27" outlineLevel="2" customFormat="1" s="40">
      <c r="A27" s="97">
        <f>IF($H27="UNIDADE CONSTRUTIVA",OFFSET(A27,-1,0)+1,LARGE(A$3:A26,1))</f>
        <v/>
      </c>
      <c r="B27" s="97">
        <f>IF(H27="UNIDADE CONSTRUTIVA",0,IF(H27="CÉLULA CONSTRUTIVA",OFFSET(B27,-1,0)+1,OFFSET(B27,-1,0)))</f>
        <v/>
      </c>
      <c r="C27" s="97">
        <f>IF(H27="CÉLULA CONSTRUTIVA",0,IF(H27="ETAPA",OFFSET(C27,-1,0)+1,OFFSET(C27,-1,0)))</f>
        <v/>
      </c>
      <c r="D27" s="98">
        <f>IF(H27="ETAPA",0,IF(H27="SUBETAPA",OFFSET(D27,-1,0)+1,OFFSET(D27,-1,0)))</f>
        <v/>
      </c>
      <c r="E27" s="98">
        <f>IF(H27="Subetapa",0,IF(H27="serviço",OFFSET(E27,-1,0)+1,OFFSET(E27,-1,0)))</f>
        <v/>
      </c>
      <c r="G27" s="52" t="n"/>
      <c r="H27" s="53" t="inlineStr">
        <is>
          <t>SERVIÇO</t>
        </is>
      </c>
      <c r="I27" s="54">
        <f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/>
      </c>
      <c r="J27" s="55" t="inlineStr">
        <is>
          <t>Projeto de climatização/exaustão</t>
        </is>
      </c>
      <c r="K27" s="56" t="inlineStr">
        <is>
          <t>vb</t>
        </is>
      </c>
      <c r="L27" s="57" t="n">
        <v>1</v>
      </c>
      <c r="M27" s="57" t="n">
        <v>20000</v>
      </c>
      <c r="N27" s="58">
        <f>IF(H27="Serviço",M27*L27,IF(H27="CÉLULA CONSTRUTIVA",SUMIFS($N$8:$N$447,$B$8:$B$447,B27,$H$8:$H$447,"Serviço"),IF(H27="ETAPA",SUMIFS($N$8:$N$447,$B$8:$B$447,B27,$C$8:$C$447,C27,$H$8:$H$447,"Serviço"),IF(H27="SUBETAPA",SUMIFS($N$8:$N$447,$B$8:$B$447,B27,$C$8:$C$447,C27,$D$8:$D$447,D27,$H$8:$H$447,"Serviço"),0))))</f>
        <v/>
      </c>
      <c r="O27" s="57" t="inlineStr">
        <is>
          <t>Repessado pela Gessele na reunião do dia 05/03/2026 - Contrato value</t>
        </is>
      </c>
      <c r="P27" s="60" t="inlineStr">
        <is>
          <t>Finalizado</t>
        </is>
      </c>
      <c r="Q27" s="61" t="n"/>
    </row>
    <row r="28" outlineLevel="2" customFormat="1" s="40">
      <c r="A28" s="97">
        <f>IF($H28="UNIDADE CONSTRUTIVA",OFFSET(A28,-1,0)+1,LARGE(A$3:A27,1))</f>
        <v/>
      </c>
      <c r="B28" s="97">
        <f>IF(H28="UNIDADE CONSTRUTIVA",0,IF(H28="CÉLULA CONSTRUTIVA",OFFSET(B28,-1,0)+1,OFFSET(B28,-1,0)))</f>
        <v/>
      </c>
      <c r="C28" s="97">
        <f>IF(H28="CÉLULA CONSTRUTIVA",0,IF(H28="ETAPA",OFFSET(C28,-1,0)+1,OFFSET(C28,-1,0)))</f>
        <v/>
      </c>
      <c r="D28" s="98">
        <f>IF(H28="ETAPA",0,IF(H28="SUBETAPA",OFFSET(D28,-1,0)+1,OFFSET(D28,-1,0)))</f>
        <v/>
      </c>
      <c r="E28" s="98">
        <f>IF(H28="Subetapa",0,IF(H28="serviço",OFFSET(E28,-1,0)+1,OFFSET(E28,-1,0)))</f>
        <v/>
      </c>
      <c r="G28" s="52" t="n"/>
      <c r="H28" s="53" t="inlineStr">
        <is>
          <t>SERVIÇO</t>
        </is>
      </c>
      <c r="I28" s="54">
        <f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/>
      </c>
      <c r="J28" s="55" t="inlineStr">
        <is>
          <t>Projeto de Impremeabilização</t>
        </is>
      </c>
      <c r="K28" s="56" t="inlineStr">
        <is>
          <t>vb</t>
        </is>
      </c>
      <c r="L28" s="57" t="n">
        <v>1</v>
      </c>
      <c r="M28" s="57" t="n">
        <v>19000</v>
      </c>
      <c r="N28" s="58">
        <f>IF(H28="Serviço",M28*L28,IF(H28="CÉLULA CONSTRUTIVA",SUMIFS($N$8:$N$447,$B$8:$B$447,B28,$H$8:$H$447,"Serviço"),IF(H28="ETAPA",SUMIFS($N$8:$N$447,$B$8:$B$447,B28,$C$8:$C$447,C28,$H$8:$H$447,"Serviço"),IF(H28="SUBETAPA",SUMIFS($N$8:$N$447,$B$8:$B$447,B28,$C$8:$C$447,C28,$D$8:$D$447,D28,$H$8:$H$447,"Serviço"),0))))</f>
        <v/>
      </c>
      <c r="O28" s="57" t="inlineStr">
        <is>
          <t>Repessado pela Gessele na reunião do dia 05/03/2026 - Contrato W.Thomaz</t>
        </is>
      </c>
      <c r="P28" s="60" t="inlineStr">
        <is>
          <t>Finalizado</t>
        </is>
      </c>
      <c r="Q28" s="61" t="n"/>
    </row>
    <row r="29" outlineLevel="2" customFormat="1" s="40">
      <c r="A29" s="97">
        <f>IF($H29="UNIDADE CONSTRUTIVA",OFFSET(A29,-1,0)+1,LARGE(A$3:A28,1))</f>
        <v/>
      </c>
      <c r="B29" s="97">
        <f>IF(H29="UNIDADE CONSTRUTIVA",0,IF(H29="CÉLULA CONSTRUTIVA",OFFSET(B29,-1,0)+1,OFFSET(B29,-1,0)))</f>
        <v/>
      </c>
      <c r="C29" s="97">
        <f>IF(H29="CÉLULA CONSTRUTIVA",0,IF(H29="ETAPA",OFFSET(C29,-1,0)+1,OFFSET(C29,-1,0)))</f>
        <v/>
      </c>
      <c r="D29" s="98">
        <f>IF(H29="ETAPA",0,IF(H29="SUBETAPA",OFFSET(D29,-1,0)+1,OFFSET(D29,-1,0)))</f>
        <v/>
      </c>
      <c r="E29" s="98">
        <f>IF(H29="Subetapa",0,IF(H29="serviço",OFFSET(E29,-1,0)+1,OFFSET(E29,-1,0)))</f>
        <v/>
      </c>
      <c r="G29" s="52" t="n"/>
      <c r="H29" s="53" t="inlineStr">
        <is>
          <t>SERVIÇO</t>
        </is>
      </c>
      <c r="I29" s="54">
        <f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/>
      </c>
      <c r="J29" s="55" t="inlineStr">
        <is>
          <t>Projeto de esquadrias</t>
        </is>
      </c>
      <c r="K29" s="56" t="inlineStr">
        <is>
          <t>vb</t>
        </is>
      </c>
      <c r="L29" s="57" t="n">
        <v>1</v>
      </c>
      <c r="M29" s="57" t="n">
        <v>41000</v>
      </c>
      <c r="N29" s="58">
        <f>IF(H29="Serviço",M29*L29,IF(H29="CÉLULA CONSTRUTIVA",SUMIFS($N$8:$N$447,$B$8:$B$447,B29,$H$8:$H$447,"Serviço"),IF(H29="ETAPA",SUMIFS($N$8:$N$447,$B$8:$B$447,B29,$C$8:$C$447,C29,$H$8:$H$447,"Serviço"),IF(H29="SUBETAPA",SUMIFS($N$8:$N$447,$B$8:$B$447,B29,$C$8:$C$447,C29,$D$8:$D$447,D29,$H$8:$H$447,"Serviço"),0))))</f>
        <v/>
      </c>
      <c r="O29" s="57" t="inlineStr">
        <is>
          <t>Repessado pela Gessele na reunião do dia 05/03/2026 - Contrato WM</t>
        </is>
      </c>
      <c r="P29" s="60" t="inlineStr">
        <is>
          <t>Finalizado</t>
        </is>
      </c>
      <c r="Q29" s="61" t="n"/>
    </row>
    <row r="30" outlineLevel="2" customFormat="1" s="40">
      <c r="A30" s="97">
        <f>IF($H30="UNIDADE CONSTRUTIVA",OFFSET(A30,-1,0)+1,LARGE(A$3:A29,1))</f>
        <v/>
      </c>
      <c r="B30" s="97">
        <f>IF(H30="UNIDADE CONSTRUTIVA",0,IF(H30="CÉLULA CONSTRUTIVA",OFFSET(B30,-1,0)+1,OFFSET(B30,-1,0)))</f>
        <v/>
      </c>
      <c r="C30" s="97">
        <f>IF(H30="CÉLULA CONSTRUTIVA",0,IF(H30="ETAPA",OFFSET(C30,-1,0)+1,OFFSET(C30,-1,0)))</f>
        <v/>
      </c>
      <c r="D30" s="98">
        <f>IF(H30="ETAPA",0,IF(H30="SUBETAPA",OFFSET(D30,-1,0)+1,OFFSET(D30,-1,0)))</f>
        <v/>
      </c>
      <c r="E30" s="98">
        <f>IF(H30="Subetapa",0,IF(H30="serviço",OFFSET(E30,-1,0)+1,OFFSET(E30,-1,0)))</f>
        <v/>
      </c>
      <c r="G30" s="52" t="n"/>
      <c r="H30" s="53" t="inlineStr">
        <is>
          <t>SERVIÇO</t>
        </is>
      </c>
      <c r="I30" s="54">
        <f>IF(H30="Unidade Construtiva",TEXT(A30,"00"),IF(H30="Célula Construtiva",TEXT(B30,"00"),IF(H30="Etapa",CONCATENATE(TEXT(B30,"00"),".",TEXT(C30,"000")),IF(H30="Subetapa",CONCATENATE(TEXT(B30,"00"),".",TEXT(C30,"000"),".",TEXT(D30,"000")),IF(H30="Serviço",CONCATENATE(TEXT(B30,"00"),".",TEXT(C30,"000"),".",TEXT(D30,"000"),".",TEXT(E30,"000")),"")))))</f>
        <v/>
      </c>
      <c r="J30" s="55" t="inlineStr">
        <is>
          <t>Projeto de Piscina</t>
        </is>
      </c>
      <c r="K30" s="56" t="inlineStr">
        <is>
          <t>vb</t>
        </is>
      </c>
      <c r="L30" s="57" t="n">
        <v>1</v>
      </c>
      <c r="M30" s="99" t="n">
        <v>28000</v>
      </c>
      <c r="N30" s="100" t="n">
        <v>28000</v>
      </c>
      <c r="O30" s="57">
        <f>_xlfn.XLOOKUP($J30,#REF!,#REF!)</f>
        <v/>
      </c>
      <c r="P30" s="60" t="inlineStr">
        <is>
          <t>Finalizado</t>
        </is>
      </c>
      <c r="Q30" s="61" t="n"/>
    </row>
    <row r="31" outlineLevel="1" customFormat="1" s="40">
      <c r="A31" s="97">
        <f>IF($H31="UNIDADE CONSTRUTIVA",OFFSET(A31,-1,0)+1,LARGE(A$3:A30,1))</f>
        <v/>
      </c>
      <c r="B31" s="97">
        <f>IF(H31="UNIDADE CONSTRUTIVA",0,IF(H31="CÉLULA CONSTRUTIVA",OFFSET(B31,-1,0)+1,OFFSET(B31,-1,0)))</f>
        <v/>
      </c>
      <c r="C31" s="97">
        <f>IF(H31="CÉLULA CONSTRUTIVA",0,IF(H31="ETAPA",OFFSET(C31,-1,0)+1,OFFSET(C31,-1,0)))</f>
        <v/>
      </c>
      <c r="D31" s="98">
        <f>IF(H31="ETAPA",0,IF(H31="SUBETAPA",OFFSET(D31,-1,0)+1,OFFSET(D31,-1,0)))</f>
        <v/>
      </c>
      <c r="E31" s="98">
        <f>IF(H31="Subetapa",0,IF(H31="serviço",OFFSET(E31,-1,0)+1,OFFSET(E31,-1,0)))</f>
        <v/>
      </c>
      <c r="G31" s="52" t="n"/>
      <c r="H31" s="53" t="inlineStr">
        <is>
          <t>SUBETAPA</t>
        </is>
      </c>
      <c r="I31" s="54">
        <f>IF(H31="Unidade Construtiva",TEXT(A31,"00"),IF(H31="Célula Construtiva",TEXT(B31,"00"),IF(H31="Etapa",CONCATENATE(TEXT(B31,"00"),".",TEXT(C31,"000")),IF(H31="Subetapa",CONCATENATE(TEXT(B31,"00"),".",TEXT(C31,"000"),".",TEXT(D31,"000")),IF(H31="Serviço",CONCATENATE(TEXT(B31,"00"),".",TEXT(C31,"000"),".",TEXT(D31,"000"),".",TEXT(E31,"000")),"")))))</f>
        <v/>
      </c>
      <c r="J31" s="55" t="inlineStr">
        <is>
          <t>Consultorias</t>
        </is>
      </c>
      <c r="K31" s="56" t="n"/>
      <c r="L31" s="57" t="n"/>
      <c r="M31" s="57" t="n"/>
      <c r="N31" s="58">
        <f>IF(H31="Serviço",M31*L31,IF(H31="CÉLULA CONSTRUTIVA",SUMIFS($N$8:$N$447,$B$8:$B$447,B31,$H$8:$H$447,"Serviço"),IF(H31="ETAPA",SUMIFS($N$8:$N$447,$B$8:$B$447,B31,$C$8:$C$447,C31,$H$8:$H$447,"Serviço"),IF(H31="SUBETAPA",SUMIFS($N$8:$N$447,$B$8:$B$447,B31,$C$8:$C$447,C31,$D$8:$D$447,D31,$H$8:$H$447,"Serviço"),0))))</f>
        <v/>
      </c>
      <c r="O31" s="59">
        <f>N31/[1]CAPA!$C$10</f>
        <v/>
      </c>
      <c r="P31" s="60" t="n"/>
      <c r="Q31" s="61" t="n"/>
    </row>
    <row r="32" outlineLevel="2" customFormat="1" s="40">
      <c r="A32" s="97">
        <f>IF($H32="UNIDADE CONSTRUTIVA",OFFSET(A32,-1,0)+1,LARGE(A$3:A31,1))</f>
        <v/>
      </c>
      <c r="B32" s="97">
        <f>IF(H32="UNIDADE CONSTRUTIVA",0,IF(H32="CÉLULA CONSTRUTIVA",OFFSET(B32,-1,0)+1,OFFSET(B32,-1,0)))</f>
        <v/>
      </c>
      <c r="C32" s="97">
        <f>IF(H32="CÉLULA CONSTRUTIVA",0,IF(H32="ETAPA",OFFSET(C32,-1,0)+1,OFFSET(C32,-1,0)))</f>
        <v/>
      </c>
      <c r="D32" s="98">
        <f>IF(H32="ETAPA",0,IF(H32="SUBETAPA",OFFSET(D32,-1,0)+1,OFFSET(D32,-1,0)))</f>
        <v/>
      </c>
      <c r="E32" s="98">
        <f>IF(H32="Subetapa",0,IF(H32="serviço",OFFSET(E32,-1,0)+1,OFFSET(E32,-1,0)))</f>
        <v/>
      </c>
      <c r="G32" s="52" t="n"/>
      <c r="H32" s="53" t="inlineStr">
        <is>
          <t>SERVIÇO</t>
        </is>
      </c>
      <c r="I32" s="54">
        <f>IF(H32="Unidade Construtiva",TEXT(A32,"00"),IF(H32="Célula Construtiva",TEXT(B32,"00"),IF(H32="Etapa",CONCATENATE(TEXT(B32,"00"),".",TEXT(C32,"000")),IF(H32="Subetapa",CONCATENATE(TEXT(B32,"00"),".",TEXT(C32,"000"),".",TEXT(D32,"000")),IF(H32="Serviço",CONCATENATE(TEXT(B32,"00"),".",TEXT(C32,"000"),".",TEXT(D32,"000"),".",TEXT(E32,"000")),"")))))</f>
        <v/>
      </c>
      <c r="J32" s="55" t="inlineStr">
        <is>
          <t>Compatibilização de Projetos BIM</t>
        </is>
      </c>
      <c r="K32" s="56" t="inlineStr">
        <is>
          <t>vb</t>
        </is>
      </c>
      <c r="L32" s="57" t="n">
        <v>1</v>
      </c>
      <c r="M32" s="57" t="n">
        <v>80000</v>
      </c>
      <c r="N32" s="58">
        <f>IF(H32="Serviço",M32*L32,IF(H32="CÉLULA CONSTRUTIVA",SUMIFS($N$8:$N$447,$B$8:$B$447,B32,$H$8:$H$447,"Serviço"),IF(H32="ETAPA",SUMIFS($N$8:$N$447,$B$8:$B$447,B32,$C$8:$C$447,C32,$H$8:$H$447,"Serviço"),IF(H32="SUBETAPA",SUMIFS($N$8:$N$447,$B$8:$B$447,B32,$C$8:$C$447,C32,$D$8:$D$447,D32,$H$8:$H$447,"Serviço"),0))))</f>
        <v/>
      </c>
      <c r="O32" s="57" t="inlineStr">
        <is>
          <t>Repessado pela Gessele na reunião do dia 05/03/2026 - Contrato otus</t>
        </is>
      </c>
      <c r="P32" s="60" t="inlineStr">
        <is>
          <t>Finalizado</t>
        </is>
      </c>
      <c r="Q32" s="61" t="n"/>
    </row>
    <row r="33" outlineLevel="2" customFormat="1" s="40">
      <c r="A33" s="97">
        <f>IF($H33="UNIDADE CONSTRUTIVA",OFFSET(A33,-1,0)+1,LARGE(A$3:A32,1))</f>
        <v/>
      </c>
      <c r="B33" s="97">
        <f>IF(H33="UNIDADE CONSTRUTIVA",0,IF(H33="CÉLULA CONSTRUTIVA",OFFSET(B33,-1,0)+1,OFFSET(B33,-1,0)))</f>
        <v/>
      </c>
      <c r="C33" s="97">
        <f>IF(H33="CÉLULA CONSTRUTIVA",0,IF(H33="ETAPA",OFFSET(C33,-1,0)+1,OFFSET(C33,-1,0)))</f>
        <v/>
      </c>
      <c r="D33" s="98">
        <f>IF(H33="ETAPA",0,IF(H33="SUBETAPA",OFFSET(D33,-1,0)+1,OFFSET(D33,-1,0)))</f>
        <v/>
      </c>
      <c r="E33" s="98">
        <f>IF(H33="Subetapa",0,IF(H33="serviço",OFFSET(E33,-1,0)+1,OFFSET(E33,-1,0)))</f>
        <v/>
      </c>
      <c r="G33" s="52" t="n"/>
      <c r="H33" s="53" t="inlineStr">
        <is>
          <t>SERVIÇO</t>
        </is>
      </c>
      <c r="I33" s="54">
        <f>IF(H33="Unidade Construtiva",TEXT(A33,"00"),IF(H33="Célula Construtiva",TEXT(B33,"00"),IF(H33="Etapa",CONCATENATE(TEXT(B33,"00"),".",TEXT(C33,"000")),IF(H33="Subetapa",CONCATENATE(TEXT(B33,"00"),".",TEXT(C33,"000"),".",TEXT(D33,"000")),IF(H33="Serviço",CONCATENATE(TEXT(B33,"00"),".",TEXT(C33,"000"),".",TEXT(D33,"000"),".",TEXT(E33,"000")),"")))))</f>
        <v/>
      </c>
      <c r="J33" s="55" t="inlineStr">
        <is>
          <t>Acompanhamento Topografico</t>
        </is>
      </c>
      <c r="K33" s="56" t="inlineStr">
        <is>
          <t>vb</t>
        </is>
      </c>
      <c r="L33" s="57" t="n">
        <v>1</v>
      </c>
      <c r="M33" s="57">
        <f>_xlfn.XLOOKUP($J33,#REF!,#REF!)</f>
        <v/>
      </c>
      <c r="N33" s="58">
        <f>IF(H33="Serviço",M33*L33,IF(H33="CÉLULA CONSTRUTIVA",SUMIFS($N$8:$N$447,$B$8:$B$447,B33,$H$8:$H$447,"Serviço"),IF(H33="ETAPA",SUMIFS($N$8:$N$447,$B$8:$B$447,B33,$C$8:$C$447,C33,$H$8:$H$447,"Serviço"),IF(H33="SUBETAPA",SUMIFS($N$8:$N$447,$B$8:$B$447,B33,$C$8:$C$447,C33,$D$8:$D$447,D33,$H$8:$H$447,"Serviço"),0))))</f>
        <v/>
      </c>
      <c r="O33" s="57">
        <f>_xlfn.XLOOKUP($J33,#REF!,#REF!)</f>
        <v/>
      </c>
      <c r="P33" s="60" t="inlineStr">
        <is>
          <t>Finalizado</t>
        </is>
      </c>
      <c r="Q33" s="61" t="n"/>
    </row>
    <row r="34" outlineLevel="2" customFormat="1" s="40">
      <c r="A34" s="97">
        <f>IF($H34="UNIDADE CONSTRUTIVA",OFFSET(A34,-1,0)+1,LARGE(A$3:A33,1))</f>
        <v/>
      </c>
      <c r="B34" s="97">
        <f>IF(H34="UNIDADE CONSTRUTIVA",0,IF(H34="CÉLULA CONSTRUTIVA",OFFSET(B34,-1,0)+1,OFFSET(B34,-1,0)))</f>
        <v/>
      </c>
      <c r="C34" s="97">
        <f>IF(H34="CÉLULA CONSTRUTIVA",0,IF(H34="ETAPA",OFFSET(C34,-1,0)+1,OFFSET(C34,-1,0)))</f>
        <v/>
      </c>
      <c r="D34" s="98">
        <f>IF(H34="ETAPA",0,IF(H34="SUBETAPA",OFFSET(D34,-1,0)+1,OFFSET(D34,-1,0)))</f>
        <v/>
      </c>
      <c r="E34" s="98">
        <f>IF(H34="Subetapa",0,IF(H34="serviço",OFFSET(E34,-1,0)+1,OFFSET(E34,-1,0)))</f>
        <v/>
      </c>
      <c r="G34" s="52" t="n"/>
      <c r="H34" s="53" t="inlineStr">
        <is>
          <t>SERVIÇO</t>
        </is>
      </c>
      <c r="I34" s="54">
        <f>IF(H34="Unidade Construtiva",TEXT(A34,"00"),IF(H34="Célula Construtiva",TEXT(B34,"00"),IF(H34="Etapa",CONCATENATE(TEXT(B34,"00"),".",TEXT(C34,"000")),IF(H34="Subetapa",CONCATENATE(TEXT(B34,"00"),".",TEXT(C34,"000"),".",TEXT(D34,"000")),IF(H34="Serviço",CONCATENATE(TEXT(B34,"00"),".",TEXT(C34,"000"),".",TEXT(D34,"000"),".",TEXT(E34,"000")),"")))))</f>
        <v/>
      </c>
      <c r="J34" s="55" t="inlineStr">
        <is>
          <t>ATP - Fundação</t>
        </is>
      </c>
      <c r="K34" s="56" t="inlineStr">
        <is>
          <t>vb</t>
        </is>
      </c>
      <c r="L34" s="57" t="n">
        <v>1</v>
      </c>
      <c r="M34" s="57" t="n">
        <v>13500</v>
      </c>
      <c r="N34" s="58">
        <f>IF(H34="Serviço",M34*L34,IF(H34="CÉLULA CONSTRUTIVA",SUMIFS($N$8:$N$447,$B$8:$B$447,B34,$H$8:$H$447,"Serviço"),IF(H34="ETAPA",SUMIFS($N$8:$N$447,$B$8:$B$447,B34,$C$8:$C$447,C34,$H$8:$H$447,"Serviço"),IF(H34="SUBETAPA",SUMIFS($N$8:$N$447,$B$8:$B$447,B34,$C$8:$C$447,C34,$D$8:$D$447,D34,$H$8:$H$447,"Serviço"),0))))</f>
        <v/>
      </c>
      <c r="O34" s="57" t="inlineStr">
        <is>
          <t>Repessado pela Gessele na reunião do dia 05/03/2026</t>
        </is>
      </c>
      <c r="P34" s="60" t="inlineStr">
        <is>
          <t>Finalizado</t>
        </is>
      </c>
      <c r="Q34" s="61" t="n"/>
    </row>
    <row r="35" outlineLevel="2" customFormat="1" s="40">
      <c r="A35" s="97">
        <f>IF($H35="UNIDADE CONSTRUTIVA",OFFSET(A35,-1,0)+1,LARGE(A$3:A34,1))</f>
        <v/>
      </c>
      <c r="B35" s="97">
        <f>IF(H35="UNIDADE CONSTRUTIVA",0,IF(H35="CÉLULA CONSTRUTIVA",OFFSET(B35,-1,0)+1,OFFSET(B35,-1,0)))</f>
        <v/>
      </c>
      <c r="C35" s="97">
        <f>IF(H35="CÉLULA CONSTRUTIVA",0,IF(H35="ETAPA",OFFSET(C35,-1,0)+1,OFFSET(C35,-1,0)))</f>
        <v/>
      </c>
      <c r="D35" s="98">
        <f>IF(H35="ETAPA",0,IF(H35="SUBETAPA",OFFSET(D35,-1,0)+1,OFFSET(D35,-1,0)))</f>
        <v/>
      </c>
      <c r="E35" s="98">
        <f>IF(H35="Subetapa",0,IF(H35="serviço",OFFSET(E35,-1,0)+1,OFFSET(E35,-1,0)))</f>
        <v/>
      </c>
      <c r="G35" s="52" t="n"/>
      <c r="H35" s="53" t="inlineStr">
        <is>
          <t>SERVIÇO</t>
        </is>
      </c>
      <c r="I35" s="54">
        <f>IF(H35="Unidade Construtiva",TEXT(A35,"00"),IF(H35="Célula Construtiva",TEXT(B35,"00"),IF(H35="Etapa",CONCATENATE(TEXT(B35,"00"),".",TEXT(C35,"000")),IF(H35="Subetapa",CONCATENATE(TEXT(B35,"00"),".",TEXT(C35,"000"),".",TEXT(D35,"000")),IF(H35="Serviço",CONCATENATE(TEXT(B35,"00"),".",TEXT(C35,"000"),".",TEXT(D35,"000"),".",TEXT(E35,"000")),"")))))</f>
        <v/>
      </c>
      <c r="J35" s="55" t="inlineStr">
        <is>
          <t>ATP - Estrutura</t>
        </is>
      </c>
      <c r="K35" s="56" t="inlineStr">
        <is>
          <t>vb</t>
        </is>
      </c>
      <c r="L35" s="57" t="n">
        <v>1</v>
      </c>
      <c r="M35" s="57" t="n">
        <v>62500</v>
      </c>
      <c r="N35" s="58">
        <f>IF(H35="Serviço",M35*L35,IF(H35="CÉLULA CONSTRUTIVA",SUMIFS($N$8:$N$447,$B$8:$B$447,B35,$H$8:$H$447,"Serviço"),IF(H35="ETAPA",SUMIFS($N$8:$N$447,$B$8:$B$447,B35,$C$8:$C$447,C35,$H$8:$H$447,"Serviço"),IF(H35="SUBETAPA",SUMIFS($N$8:$N$447,$B$8:$B$447,B35,$C$8:$C$447,C35,$D$8:$D$447,D35,$H$8:$H$447,"Serviço"),0))))</f>
        <v/>
      </c>
      <c r="O35" s="57" t="inlineStr">
        <is>
          <t>Repessado pela Gessele na reunião do dia 05/03/2026</t>
        </is>
      </c>
      <c r="P35" s="60" t="inlineStr">
        <is>
          <t>Finalizado</t>
        </is>
      </c>
      <c r="Q35" s="61" t="n"/>
    </row>
    <row r="36" outlineLevel="2" customFormat="1" s="40">
      <c r="A36" s="97">
        <f>IF($H36="UNIDADE CONSTRUTIVA",OFFSET(A36,-1,0)+1,LARGE(A$3:A35,1))</f>
        <v/>
      </c>
      <c r="B36" s="97">
        <f>IF(H36="UNIDADE CONSTRUTIVA",0,IF(H36="CÉLULA CONSTRUTIVA",OFFSET(B36,-1,0)+1,OFFSET(B36,-1,0)))</f>
        <v/>
      </c>
      <c r="C36" s="97">
        <f>IF(H36="CÉLULA CONSTRUTIVA",0,IF(H36="ETAPA",OFFSET(C36,-1,0)+1,OFFSET(C36,-1,0)))</f>
        <v/>
      </c>
      <c r="D36" s="98">
        <f>IF(H36="ETAPA",0,IF(H36="SUBETAPA",OFFSET(D36,-1,0)+1,OFFSET(D36,-1,0)))</f>
        <v/>
      </c>
      <c r="E36" s="98">
        <f>IF(H36="Subetapa",0,IF(H36="serviço",OFFSET(E36,-1,0)+1,OFFSET(E36,-1,0)))</f>
        <v/>
      </c>
      <c r="G36" s="52" t="n"/>
      <c r="H36" s="53" t="inlineStr">
        <is>
          <t>SERVIÇO</t>
        </is>
      </c>
      <c r="I36" s="54">
        <f>IF(H36="Unidade Construtiva",TEXT(A36,"00"),IF(H36="Célula Construtiva",TEXT(B36,"00"),IF(H36="Etapa",CONCATENATE(TEXT(B36,"00"),".",TEXT(C36,"000")),IF(H36="Subetapa",CONCATENATE(TEXT(B36,"00"),".",TEXT(C36,"000"),".",TEXT(D36,"000")),IF(H36="Serviço",CONCATENATE(TEXT(B36,"00"),".",TEXT(C36,"000"),".",TEXT(D36,"000"),".",TEXT(E36,"000")),"")))))</f>
        <v/>
      </c>
      <c r="J36" s="55" t="inlineStr">
        <is>
          <t>Orçamento e planejamento</t>
        </is>
      </c>
      <c r="K36" s="56" t="inlineStr">
        <is>
          <t>vb</t>
        </is>
      </c>
      <c r="L36" s="57" t="n">
        <v>1</v>
      </c>
      <c r="M36" s="57" t="n">
        <v>55000</v>
      </c>
      <c r="N36" s="58">
        <f>IF(H36="Serviço",M36*L36,IF(H36="CÉLULA CONSTRUTIVA",SUMIFS($N$8:$N$447,$B$8:$B$447,B36,$H$8:$H$447,"Serviço"),IF(H36="ETAPA",SUMIFS($N$8:$N$447,$B$8:$B$447,B36,$C$8:$C$447,C36,$H$8:$H$447,"Serviço"),IF(H36="SUBETAPA",SUMIFS($N$8:$N$447,$B$8:$B$447,B36,$C$8:$C$447,C36,$D$8:$D$447,D36,$H$8:$H$447,"Serviço"),0))))</f>
        <v/>
      </c>
      <c r="O36" s="57" t="inlineStr">
        <is>
          <t>Repessado pela Gessele na reunião do dia 05/03/2026</t>
        </is>
      </c>
      <c r="P36" s="60" t="inlineStr">
        <is>
          <t>Finalizado</t>
        </is>
      </c>
      <c r="Q36" s="61" t="n"/>
    </row>
    <row r="37" outlineLevel="2" customFormat="1" s="40">
      <c r="A37" s="97">
        <f>IF($H37="UNIDADE CONSTRUTIVA",OFFSET(A37,-1,0)+1,LARGE(A$3:A36,1))</f>
        <v/>
      </c>
      <c r="B37" s="97">
        <f>IF(H37="UNIDADE CONSTRUTIVA",0,IF(H37="CÉLULA CONSTRUTIVA",OFFSET(B37,-1,0)+1,OFFSET(B37,-1,0)))</f>
        <v/>
      </c>
      <c r="C37" s="97">
        <f>IF(H37="CÉLULA CONSTRUTIVA",0,IF(H37="ETAPA",OFFSET(C37,-1,0)+1,OFFSET(C37,-1,0)))</f>
        <v/>
      </c>
      <c r="D37" s="98">
        <f>IF(H37="ETAPA",0,IF(H37="SUBETAPA",OFFSET(D37,-1,0)+1,OFFSET(D37,-1,0)))</f>
        <v/>
      </c>
      <c r="E37" s="98">
        <f>IF(H37="Subetapa",0,IF(H37="serviço",OFFSET(E37,-1,0)+1,OFFSET(E37,-1,0)))</f>
        <v/>
      </c>
      <c r="G37" s="52" t="n"/>
      <c r="H37" s="53" t="inlineStr">
        <is>
          <t>SERVIÇO</t>
        </is>
      </c>
      <c r="I37" s="54">
        <f>IF(H37="Unidade Construtiva",TEXT(A37,"00"),IF(H37="Célula Construtiva",TEXT(B37,"00"),IF(H37="Etapa",CONCATENATE(TEXT(B37,"00"),".",TEXT(C37,"000")),IF(H37="Subetapa",CONCATENATE(TEXT(B37,"00"),".",TEXT(C37,"000"),".",TEXT(D37,"000")),IF(H37="Serviço",CONCATENATE(TEXT(B37,"00"),".",TEXT(C37,"000"),".",TEXT(D37,"000"),".",TEXT(E37,"000")),"")))))</f>
        <v/>
      </c>
      <c r="J37" s="55" t="inlineStr">
        <is>
          <t>Consultoria de Bloco Central</t>
        </is>
      </c>
      <c r="K37" s="56" t="inlineStr">
        <is>
          <t>vb</t>
        </is>
      </c>
      <c r="L37" s="57" t="n">
        <v>1</v>
      </c>
      <c r="M37" s="57" t="n">
        <v>21000</v>
      </c>
      <c r="N37" s="58">
        <f>IF(H37="Serviço",M37*L37,IF(H37="CÉLULA CONSTRUTIVA",SUMIFS($N$8:$N$447,$B$8:$B$447,B37,$H$8:$H$447,"Serviço"),IF(H37="ETAPA",SUMIFS($N$8:$N$447,$B$8:$B$447,B37,$C$8:$C$447,C37,$H$8:$H$447,"Serviço"),IF(H37="SUBETAPA",SUMIFS($N$8:$N$447,$B$8:$B$447,B37,$C$8:$C$447,C37,$D$8:$D$447,D37,$H$8:$H$447,"Serviço"),0))))</f>
        <v/>
      </c>
      <c r="O37" s="57" t="inlineStr">
        <is>
          <t>Repessado pela Gessele na reunião do dia 05/03/2026</t>
        </is>
      </c>
      <c r="P37" s="60" t="inlineStr">
        <is>
          <t>Finalizado</t>
        </is>
      </c>
      <c r="Q37" s="61" t="n"/>
    </row>
    <row r="38" outlineLevel="1" customFormat="1" s="40">
      <c r="A38" s="97">
        <f>IF($H38="UNIDADE CONSTRUTIVA",OFFSET(A38,-1,0)+1,LARGE(A$3:A33,1))</f>
        <v/>
      </c>
      <c r="B38" s="97">
        <f>IF(H38="UNIDADE CONSTRUTIVA",0,IF(H38="CÉLULA CONSTRUTIVA",OFFSET(B38,-1,0)+1,OFFSET(B38,-1,0)))</f>
        <v/>
      </c>
      <c r="C38" s="97">
        <f>IF(H38="CÉLULA CONSTRUTIVA",0,IF(H38="ETAPA",OFFSET(C38,-1,0)+1,OFFSET(C38,-1,0)))</f>
        <v/>
      </c>
      <c r="D38" s="98">
        <f>IF(H38="ETAPA",0,IF(H38="SUBETAPA",OFFSET(D38,-1,0)+1,OFFSET(D38,-1,0)))</f>
        <v/>
      </c>
      <c r="E38" s="98">
        <f>IF(H38="Subetapa",0,IF(H38="serviço",OFFSET(E38,-1,0)+1,OFFSET(E38,-1,0)))</f>
        <v/>
      </c>
      <c r="G38" s="52" t="n"/>
      <c r="H38" s="53" t="inlineStr">
        <is>
          <t>SUBETAPA</t>
        </is>
      </c>
      <c r="I38" s="54">
        <f>IF(H38="Unidade Construtiva",TEXT(A38,"00"),IF(H38="Célula Construtiva",TEXT(B38,"00"),IF(H38="Etapa",CONCATENATE(TEXT(B38,"00"),".",TEXT(C38,"000")),IF(H38="Subetapa",CONCATENATE(TEXT(B38,"00"),".",TEXT(C38,"000"),".",TEXT(D38,"000")),IF(H38="Serviço",CONCATENATE(TEXT(B38,"00"),".",TEXT(C38,"000"),".",TEXT(D38,"000"),".",TEXT(E38,"000")),"")))))</f>
        <v/>
      </c>
      <c r="J38" s="55" t="inlineStr">
        <is>
          <t>Ensaios</t>
        </is>
      </c>
      <c r="K38" s="56" t="n"/>
      <c r="L38" s="57" t="n"/>
      <c r="M38" s="57" t="n"/>
      <c r="N38" s="58">
        <f>IF(H38="Serviço",M38*L38,IF(H38="CÉLULA CONSTRUTIVA",SUMIFS($N$8:$N$447,$B$8:$B$447,B38,$H$8:$H$447,"Serviço"),IF(H38="ETAPA",SUMIFS($N$8:$N$447,$B$8:$B$447,B38,$C$8:$C$447,C38,$H$8:$H$447,"Serviço"),IF(H38="SUBETAPA",SUMIFS($N$8:$N$447,$B$8:$B$447,B38,$C$8:$C$447,C38,$D$8:$D$447,D38,$H$8:$H$447,"Serviço"),0))))</f>
        <v/>
      </c>
      <c r="O38" s="59">
        <f>N38/[1]CAPA!$C$10</f>
        <v/>
      </c>
      <c r="P38" s="60" t="n"/>
      <c r="Q38" s="61" t="n"/>
    </row>
    <row r="39" outlineLevel="2" customFormat="1" s="40">
      <c r="A39" s="97">
        <f>IF($H39="UNIDADE CONSTRUTIVA",OFFSET(A39,-1,0)+1,LARGE(A$3:A38,1))</f>
        <v/>
      </c>
      <c r="B39" s="97">
        <f>IF(H39="UNIDADE CONSTRUTIVA",0,IF(H39="CÉLULA CONSTRUTIVA",OFFSET(B39,-1,0)+1,OFFSET(B39,-1,0)))</f>
        <v/>
      </c>
      <c r="C39" s="97">
        <f>IF(H39="CÉLULA CONSTRUTIVA",0,IF(H39="ETAPA",OFFSET(C39,-1,0)+1,OFFSET(C39,-1,0)))</f>
        <v/>
      </c>
      <c r="D39" s="98">
        <f>IF(H39="ETAPA",0,IF(H39="SUBETAPA",OFFSET(D39,-1,0)+1,OFFSET(D39,-1,0)))</f>
        <v/>
      </c>
      <c r="E39" s="98">
        <f>IF(H39="Subetapa",0,IF(H39="serviço",OFFSET(E39,-1,0)+1,OFFSET(E39,-1,0)))</f>
        <v/>
      </c>
      <c r="G39" s="52" t="n"/>
      <c r="H39" s="53" t="inlineStr">
        <is>
          <t>SERVIÇO</t>
        </is>
      </c>
      <c r="I39" s="54">
        <f>IF(H39="Unidade Construtiva",TEXT(A39,"00"),IF(H39="Célula Construtiva",TEXT(B39,"00"),IF(H39="Etapa",CONCATENATE(TEXT(B39,"00"),".",TEXT(C39,"000")),IF(H39="Subetapa",CONCATENATE(TEXT(B39,"00"),".",TEXT(C39,"000"),".",TEXT(D39,"000")),IF(H39="Serviço",CONCATENATE(TEXT(B39,"00"),".",TEXT(C39,"000"),".",TEXT(D39,"000"),".",TEXT(E39,"000")),"")))))</f>
        <v/>
      </c>
      <c r="J39" s="55" t="inlineStr">
        <is>
          <t>Controle tecnológico do concreto</t>
        </is>
      </c>
      <c r="K39" s="56" t="inlineStr">
        <is>
          <t>vb</t>
        </is>
      </c>
      <c r="L39" s="57" t="n">
        <v>1</v>
      </c>
      <c r="M39" s="57" t="n">
        <v>90000</v>
      </c>
      <c r="N39" s="58">
        <f>IF(H39="Serviço",M39*L39,IF(H39="CÉLULA CONSTRUTIVA",SUMIFS($N$8:$N$447,$B$8:$B$447,B39,$H$8:$H$447,"Serviço"),IF(H39="ETAPA",SUMIFS($N$8:$N$447,$B$8:$B$447,B39,$C$8:$C$447,C39,$H$8:$H$447,"Serviço"),IF(H39="SUBETAPA",SUMIFS($N$8:$N$447,$B$8:$B$447,B39,$C$8:$C$447,C39,$D$8:$D$447,D39,$H$8:$H$447,"Serviço"),0))))</f>
        <v/>
      </c>
      <c r="O39" s="57" t="inlineStr">
        <is>
          <t>Repessado pela Gessele na reunião do dia 05/03/2026 - Contrato triunfo</t>
        </is>
      </c>
      <c r="P39" s="60" t="inlineStr">
        <is>
          <t>Finalizado</t>
        </is>
      </c>
      <c r="Q39" s="61" t="n"/>
    </row>
    <row r="40" outlineLevel="2" ht="33.75" customFormat="1" customHeight="1" s="40">
      <c r="A40" s="97">
        <f>IF($H40="UNIDADE CONSTRUTIVA",OFFSET(A40,-1,0)+1,LARGE(A$3:A38,1))</f>
        <v/>
      </c>
      <c r="B40" s="97">
        <f>IF(H40="UNIDADE CONSTRUTIVA",0,IF(H40="CÉLULA CONSTRUTIVA",OFFSET(B40,-1,0)+1,OFFSET(B40,-1,0)))</f>
        <v/>
      </c>
      <c r="C40" s="97">
        <f>IF(H40="CÉLULA CONSTRUTIVA",0,IF(H40="ETAPA",OFFSET(C40,-1,0)+1,OFFSET(C40,-1,0)))</f>
        <v/>
      </c>
      <c r="D40" s="98">
        <f>IF(H40="ETAPA",0,IF(H40="SUBETAPA",OFFSET(D40,-1,0)+1,OFFSET(D40,-1,0)))</f>
        <v/>
      </c>
      <c r="E40" s="98">
        <f>IF(H40="Subetapa",0,IF(H40="serviço",OFFSET(E40,-1,0)+1,OFFSET(E40,-1,0)))</f>
        <v/>
      </c>
      <c r="G40" s="52" t="n"/>
      <c r="H40" s="53" t="inlineStr">
        <is>
          <t>SERVIÇO</t>
        </is>
      </c>
      <c r="I40" s="54">
        <f>IF(H40="Unidade Construtiva",TEXT(A40,"00"),IF(H40="Célula Construtiva",TEXT(B40,"00"),IF(H40="Etapa",CONCATENATE(TEXT(B40,"00"),".",TEXT(C40,"000")),IF(H40="Subetapa",CONCATENATE(TEXT(B40,"00"),".",TEXT(C40,"000"),".",TEXT(D40,"000")),IF(H40="Serviço",CONCATENATE(TEXT(B40,"00"),".",TEXT(C40,"000"),".",TEXT(D40,"000"),".",TEXT(E40,"000")),"")))))</f>
        <v/>
      </c>
      <c r="J40" s="55" t="inlineStr">
        <is>
          <t>Ensaio e desenvolvimento de relatórios de desempenho acústico</t>
        </is>
      </c>
      <c r="K40" s="56" t="inlineStr">
        <is>
          <t>mês</t>
        </is>
      </c>
      <c r="L40" s="57">
        <f>#REF!/3</f>
        <v/>
      </c>
      <c r="M40" s="57" t="n">
        <v>2200</v>
      </c>
      <c r="N40" s="58">
        <f>IF(H40="Serviço",M40*L40,IF(H40="CÉLULA CONSTRUTIVA",SUMIFS($N$8:$N$447,$B$8:$B$447,B40,$H$8:$H$447,"Serviço"),IF(H40="ETAPA",SUMIFS($N$8:$N$447,$B$8:$B$447,B40,$C$8:$C$447,C40,$H$8:$H$447,"Serviço"),IF(H40="SUBETAPA",SUMIFS($N$8:$N$447,$B$8:$B$447,B40,$C$8:$C$447,C40,$D$8:$D$447,D40,$H$8:$H$447,"Serviço"),0))))</f>
        <v/>
      </c>
      <c r="O40" s="57" t="inlineStr">
        <is>
          <t>Repessado pela Gessele na reunião do dia 05/03/2026 - incluir ensaios e desenvolvimento de Relatórios de Desempenho Acústico : R$ 2200 / trimestre - R$ 11k já pagos</t>
        </is>
      </c>
      <c r="P40" s="60" t="inlineStr">
        <is>
          <t>Finalizado</t>
        </is>
      </c>
      <c r="Q40" s="61" t="n"/>
    </row>
    <row r="41" outlineLevel="2" customFormat="1" s="40">
      <c r="A41" s="97">
        <f>IF($H41="UNIDADE CONSTRUTIVA",OFFSET(A41,-1,0)+1,LARGE(A$3:A39,1))</f>
        <v/>
      </c>
      <c r="B41" s="97">
        <f>IF(H41="UNIDADE CONSTRUTIVA",0,IF(H41="CÉLULA CONSTRUTIVA",OFFSET(B41,-1,0)+1,OFFSET(B41,-1,0)))</f>
        <v/>
      </c>
      <c r="C41" s="97">
        <f>IF(H41="CÉLULA CONSTRUTIVA",0,IF(H41="ETAPA",OFFSET(C41,-1,0)+1,OFFSET(C41,-1,0)))</f>
        <v/>
      </c>
      <c r="D41" s="98">
        <f>IF(H41="ETAPA",0,IF(H41="SUBETAPA",OFFSET(D41,-1,0)+1,OFFSET(D41,-1,0)))</f>
        <v/>
      </c>
      <c r="E41" s="98">
        <f>IF(H41="Subetapa",0,IF(H41="serviço",OFFSET(E41,-1,0)+1,OFFSET(E41,-1,0)))</f>
        <v/>
      </c>
      <c r="G41" s="52" t="n"/>
      <c r="H41" s="53" t="inlineStr">
        <is>
          <t>SERVIÇO</t>
        </is>
      </c>
      <c r="I41" s="54">
        <f>IF(H41="Unidade Construtiva",TEXT(A41,"00"),IF(H41="Célula Construtiva",TEXT(B41,"00"),IF(H41="Etapa",CONCATENATE(TEXT(B41,"00"),".",TEXT(C41,"000")),IF(H41="Subetapa",CONCATENATE(TEXT(B41,"00"),".",TEXT(C41,"000"),".",TEXT(D41,"000")),IF(H41="Serviço",CONCATENATE(TEXT(B41,"00"),".",TEXT(C41,"000"),".",TEXT(D41,"000"),".",TEXT(E41,"000")),"")))))</f>
        <v/>
      </c>
      <c r="J41" s="55" t="inlineStr">
        <is>
          <t>Ensaio de arrancamento revestimento cerâmico</t>
        </is>
      </c>
      <c r="K41" s="56" t="inlineStr">
        <is>
          <t>vb</t>
        </is>
      </c>
      <c r="L41" s="57" t="n">
        <v>1</v>
      </c>
      <c r="M41" s="57">
        <f>_xlfn.XLOOKUP($J41,#REF!,#REF!)</f>
        <v/>
      </c>
      <c r="N41" s="58">
        <f>IF(H41="Serviço",M41*L41,IF(H41="CÉLULA CONSTRUTIVA",SUMIFS($N$8:$N$447,$B$8:$B$447,B41,$H$8:$H$447,"Serviço"),IF(H41="ETAPA",SUMIFS($N$8:$N$447,$B$8:$B$447,B41,$C$8:$C$447,C41,$H$8:$H$447,"Serviço"),IF(H41="SUBETAPA",SUMIFS($N$8:$N$447,$B$8:$B$447,B41,$C$8:$C$447,C41,$D$8:$D$447,D41,$H$8:$H$447,"Serviço"),0))))</f>
        <v/>
      </c>
      <c r="O41" s="57">
        <f>_xlfn.XLOOKUP($J41,#REF!,#REF!)</f>
        <v/>
      </c>
      <c r="P41" s="60" t="inlineStr">
        <is>
          <t>Finalizado</t>
        </is>
      </c>
      <c r="Q41" s="61" t="n"/>
    </row>
    <row r="42" outlineLevel="2" customFormat="1" s="40">
      <c r="A42" s="97">
        <f>IF($H42="UNIDADE CONSTRUTIVA",OFFSET(A42,-1,0)+1,LARGE(A$3:A41,1))</f>
        <v/>
      </c>
      <c r="B42" s="97">
        <f>IF(H42="UNIDADE CONSTRUTIVA",0,IF(H42="CÉLULA CONSTRUTIVA",OFFSET(B42,-1,0)+1,OFFSET(B42,-1,0)))</f>
        <v/>
      </c>
      <c r="C42" s="97">
        <f>IF(H42="CÉLULA CONSTRUTIVA",0,IF(H42="ETAPA",OFFSET(C42,-1,0)+1,OFFSET(C42,-1,0)))</f>
        <v/>
      </c>
      <c r="D42" s="98">
        <f>IF(H42="ETAPA",0,IF(H42="SUBETAPA",OFFSET(D42,-1,0)+1,OFFSET(D42,-1,0)))</f>
        <v/>
      </c>
      <c r="E42" s="98">
        <f>IF(H42="Subetapa",0,IF(H42="serviço",OFFSET(E42,-1,0)+1,OFFSET(E42,-1,0)))</f>
        <v/>
      </c>
      <c r="G42" s="52" t="n"/>
      <c r="H42" s="53" t="inlineStr">
        <is>
          <t>SERVIÇO</t>
        </is>
      </c>
      <c r="I42" s="54">
        <f>IF(H42="Unidade Construtiva",TEXT(A42,"00"),IF(H42="Célula Construtiva",TEXT(B42,"00"),IF(H42="Etapa",CONCATENATE(TEXT(B42,"00"),".",TEXT(C42,"000")),IF(H42="Subetapa",CONCATENATE(TEXT(B42,"00"),".",TEXT(C42,"000"),".",TEXT(D42,"000")),IF(H42="Serviço",CONCATENATE(TEXT(B42,"00"),".",TEXT(C42,"000"),".",TEXT(D42,"000"),".",TEXT(E42,"000")),"")))))</f>
        <v/>
      </c>
      <c r="J42" s="55" t="inlineStr">
        <is>
          <t>Ensaio de arrancamento fachada</t>
        </is>
      </c>
      <c r="K42" s="56" t="inlineStr">
        <is>
          <t>vb</t>
        </is>
      </c>
      <c r="L42" s="57" t="n">
        <v>1</v>
      </c>
      <c r="M42" s="57">
        <f>_xlfn.XLOOKUP($J42,#REF!,#REF!)</f>
        <v/>
      </c>
      <c r="N42" s="58">
        <f>IF(H42="Serviço",M42*L42,IF(H42="CÉLULA CONSTRUTIVA",SUMIFS($N$8:$N$447,$B$8:$B$447,B42,$H$8:$H$447,"Serviço"),IF(H42="ETAPA",SUMIFS($N$8:$N$447,$B$8:$B$447,B42,$C$8:$C$447,C42,$H$8:$H$447,"Serviço"),IF(H42="SUBETAPA",SUMIFS($N$8:$N$447,$B$8:$B$447,B42,$C$8:$C$447,C42,$D$8:$D$447,D42,$H$8:$H$447,"Serviço"),0))))</f>
        <v/>
      </c>
      <c r="O42" s="57">
        <f>_xlfn.XLOOKUP($J42,#REF!,#REF!)</f>
        <v/>
      </c>
      <c r="P42" s="60" t="inlineStr">
        <is>
          <t>Finalizado</t>
        </is>
      </c>
      <c r="Q42" s="61" t="n"/>
    </row>
    <row r="43" outlineLevel="1" customFormat="1" s="40">
      <c r="A43" s="97">
        <f>IF($H43="UNIDADE CONSTRUTIVA",OFFSET(A43,-1,0)+1,LARGE(A$3:A42,1))</f>
        <v/>
      </c>
      <c r="B43" s="97">
        <f>IF(H43="UNIDADE CONSTRUTIVA",0,IF(H43="CÉLULA CONSTRUTIVA",OFFSET(B43,-1,0)+1,OFFSET(B43,-1,0)))</f>
        <v/>
      </c>
      <c r="C43" s="97">
        <f>IF(H43="CÉLULA CONSTRUTIVA",0,IF(H43="ETAPA",OFFSET(C43,-1,0)+1,OFFSET(C43,-1,0)))</f>
        <v/>
      </c>
      <c r="D43" s="98">
        <f>IF(H43="ETAPA",0,IF(H43="SUBETAPA",OFFSET(D43,-1,0)+1,OFFSET(D43,-1,0)))</f>
        <v/>
      </c>
      <c r="E43" s="98">
        <f>IF(H43="Subetapa",0,IF(H43="serviço",OFFSET(E43,-1,0)+1,OFFSET(E43,-1,0)))</f>
        <v/>
      </c>
      <c r="G43" s="52" t="n"/>
      <c r="H43" s="53" t="inlineStr">
        <is>
          <t>ETAPA</t>
        </is>
      </c>
      <c r="I43" s="54">
        <f>IF(H43="Unidade Construtiva",TEXT(A43,"00"),IF(H43="Célula Construtiva",TEXT(B43,"00"),IF(H43="Etapa",CONCATENATE(TEXT(B43,"00"),".",TEXT(C43,"000")),IF(H43="Subetapa",CONCATENATE(TEXT(B43,"00"),".",TEXT(C43,"000"),".",TEXT(D43,"000")),IF(H43="Serviço",CONCATENATE(TEXT(B43,"00"),".",TEXT(C43,"000"),".",TEXT(D43,"000"),".",TEXT(E43,"000")),"")))))</f>
        <v/>
      </c>
      <c r="J43" s="55" t="inlineStr">
        <is>
          <t xml:space="preserve">CONSUMOS, TAXAS E DOCUMENTOS </t>
        </is>
      </c>
      <c r="K43" s="56" t="n"/>
      <c r="L43" s="57" t="n"/>
      <c r="M43" s="57" t="n"/>
      <c r="N43" s="58">
        <f>IF(H43="Serviço",M43*L43,IF(H43="CÉLULA CONSTRUTIVA",SUMIFS($N$8:$N$447,$B$8:$B$447,B43,$H$8:$H$447,"Serviço"),IF(H43="ETAPA",SUMIFS($N$8:$N$447,$B$8:$B$447,B43,$C$8:$C$447,C43,$H$8:$H$447,"Serviço"),IF(H43="SUBETAPA",SUMIFS($N$8:$N$447,$B$8:$B$447,B43,$C$8:$C$447,C43,$D$8:$D$447,D43,$H$8:$H$447,"Serviço"),0))))</f>
        <v/>
      </c>
      <c r="O43" s="59">
        <f>N43/[1]CAPA!$C$10</f>
        <v/>
      </c>
      <c r="P43" s="60" t="n"/>
      <c r="Q43" s="61" t="n"/>
    </row>
    <row r="44" outlineLevel="1" customFormat="1" s="40">
      <c r="A44" s="97">
        <f>IF($H44="UNIDADE CONSTRUTIVA",OFFSET(A44,-1,0)+1,LARGE(A$3:A43,1))</f>
        <v/>
      </c>
      <c r="B44" s="97">
        <f>IF(H44="UNIDADE CONSTRUTIVA",0,IF(H44="CÉLULA CONSTRUTIVA",OFFSET(B44,-1,0)+1,OFFSET(B44,-1,0)))</f>
        <v/>
      </c>
      <c r="C44" s="97">
        <f>IF(H44="CÉLULA CONSTRUTIVA",0,IF(H44="ETAPA",OFFSET(C44,-1,0)+1,OFFSET(C44,-1,0)))</f>
        <v/>
      </c>
      <c r="D44" s="98">
        <f>IF(H44="ETAPA",0,IF(H44="SUBETAPA",OFFSET(D44,-1,0)+1,OFFSET(D44,-1,0)))</f>
        <v/>
      </c>
      <c r="E44" s="98">
        <f>IF(H44="Subetapa",0,IF(H44="serviço",OFFSET(E44,-1,0)+1,OFFSET(E44,-1,0)))</f>
        <v/>
      </c>
      <c r="G44" s="52" t="n"/>
      <c r="H44" s="53" t="inlineStr">
        <is>
          <t>SUBETAPA</t>
        </is>
      </c>
      <c r="I44" s="54">
        <f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/>
      </c>
      <c r="J44" s="62" t="inlineStr">
        <is>
          <t>Licenciamentos, Taxas, Impostos, Aprovações e Seguros</t>
        </is>
      </c>
      <c r="K44" s="56" t="n"/>
      <c r="L44" s="57" t="n"/>
      <c r="M44" s="57" t="n"/>
      <c r="N44" s="58">
        <f>IF(H44="Serviço",M44*L44,IF(H44="CÉLULA CONSTRUTIVA",SUMIFS($N$8:$N$472,$B$8:$B$472,B44,$H$8:$H$472,"Serviço"),IF(H44="ETAPA",SUMIFS($N$8:$N$472,$B$8:$B$472,B44,$C$8:$C$472,C44,$H$8:$H$472,"Serviço"),IF(H44="SUBETAPA",SUMIFS($N$8:$N$472,$B$8:$B$472,B44,$C$8:$C$472,C44,$D$8:$D$472,D44,$H$8:$H$472,"Serviço"),0))))</f>
        <v/>
      </c>
      <c r="O44" s="59">
        <f>N44/[1]CAPA!$C$10</f>
        <v/>
      </c>
      <c r="P44" s="60" t="n"/>
      <c r="Q44" s="61" t="n"/>
      <c r="R44" s="63" t="n"/>
    </row>
    <row r="45" outlineLevel="2" customFormat="1" s="40">
      <c r="A45" s="97">
        <f>IF($H45="UNIDADE CONSTRUTIVA",OFFSET(A45,-1,0)+1,LARGE(A$3:A44,1))</f>
        <v/>
      </c>
      <c r="B45" s="97">
        <f>IF(H45="UNIDADE CONSTRUTIVA",0,IF(H45="CÉLULA CONSTRUTIVA",OFFSET(B45,-1,0)+1,OFFSET(B45,-1,0)))</f>
        <v/>
      </c>
      <c r="C45" s="97">
        <f>IF(H45="CÉLULA CONSTRUTIVA",0,IF(H45="ETAPA",OFFSET(C45,-1,0)+1,OFFSET(C45,-1,0)))</f>
        <v/>
      </c>
      <c r="D45" s="98">
        <f>IF(H45="ETAPA",0,IF(H45="SUBETAPA",OFFSET(D45,-1,0)+1,OFFSET(D45,-1,0)))</f>
        <v/>
      </c>
      <c r="E45" s="98">
        <f>IF(H45="Subetapa",0,IF(H45="serviço",OFFSET(E45,-1,0)+1,OFFSET(E45,-1,0)))</f>
        <v/>
      </c>
      <c r="G45" s="52" t="n"/>
      <c r="H45" s="53" t="inlineStr">
        <is>
          <t>SERVIÇO</t>
        </is>
      </c>
      <c r="I45" s="54">
        <f>IF(H45="Unidade Construtiva",TEXT(A45,"00"),IF(H45="Célula Construtiva",TEXT(B45,"00"),IF(H45="Etapa",CONCATENATE(TEXT(B45,"00"),".",TEXT(C45,"000")),IF(H45="Subetapa",CONCATENATE(TEXT(B45,"00"),".",TEXT(C45,"000"),".",TEXT(D45,"000")),IF(H45="Serviço",CONCATENATE(TEXT(B45,"00"),".",TEXT(C45,"000"),".",TEXT(D45,"000"),".",TEXT(E45,"000")),"")))))</f>
        <v/>
      </c>
      <c r="J45" s="62" t="inlineStr">
        <is>
          <t>Despesas de Seguros</t>
        </is>
      </c>
      <c r="K45" s="57">
        <f>_xlfn.XLOOKUP($J45,#REF!,#REF!)</f>
        <v/>
      </c>
      <c r="L45" s="57">
        <f>_xlfn.XLOOKUP($J45,#REF!,#REF!)</f>
        <v/>
      </c>
      <c r="M45" s="57">
        <f>_xlfn.XLOOKUP($J45,#REF!,#REF!)</f>
        <v/>
      </c>
      <c r="N45" s="58">
        <f>IF(H45="Serviço",M45*L45,IF(H45="CÉLULA CONSTRUTIVA",SUMIFS($N$8:$N$472,$B$8:$B$472,B45,$H$8:$H$472,"Serviço"),IF(H45="ETAPA",SUMIFS($N$8:$N$472,$B$8:$B$472,B45,$C$8:$C$472,C45,$H$8:$H$472,"Serviço"),IF(H45="SUBETAPA",SUMIFS($N$8:$N$472,$B$8:$B$472,B45,$C$8:$C$472,C45,$D$8:$D$472,D45,$H$8:$H$472,"Serviço"),0))))</f>
        <v/>
      </c>
      <c r="O45" s="57">
        <f>_xlfn.XLOOKUP($J45,#REF!,#REF!)</f>
        <v/>
      </c>
      <c r="P45" s="60" t="inlineStr">
        <is>
          <t>Finalizado</t>
        </is>
      </c>
      <c r="Q45" s="61" t="n"/>
      <c r="R45" s="63" t="n"/>
    </row>
    <row r="46" outlineLevel="2" customFormat="1" s="40">
      <c r="A46" s="97">
        <f>IF($H46="UNIDADE CONSTRUTIVA",OFFSET(A46,-1,0)+1,LARGE(A$3:A45,1))</f>
        <v/>
      </c>
      <c r="B46" s="97">
        <f>IF(H46="UNIDADE CONSTRUTIVA",0,IF(H46="CÉLULA CONSTRUTIVA",OFFSET(B46,-1,0)+1,OFFSET(B46,-1,0)))</f>
        <v/>
      </c>
      <c r="C46" s="97">
        <f>IF(H46="CÉLULA CONSTRUTIVA",0,IF(H46="ETAPA",OFFSET(C46,-1,0)+1,OFFSET(C46,-1,0)))</f>
        <v/>
      </c>
      <c r="D46" s="98">
        <f>IF(H46="ETAPA",0,IF(H46="SUBETAPA",OFFSET(D46,-1,0)+1,OFFSET(D46,-1,0)))</f>
        <v/>
      </c>
      <c r="E46" s="98">
        <f>IF(H46="Subetapa",0,IF(H46="serviço",OFFSET(E46,-1,0)+1,OFFSET(E46,-1,0)))</f>
        <v/>
      </c>
      <c r="G46" s="52" t="n"/>
      <c r="H46" s="53" t="inlineStr">
        <is>
          <t>SERVIÇO</t>
        </is>
      </c>
      <c r="I46" s="54">
        <f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/>
      </c>
      <c r="J46" s="62" t="inlineStr">
        <is>
          <t>Taxas de consulta de viabilidade</t>
        </is>
      </c>
      <c r="K46" s="57">
        <f>_xlfn.XLOOKUP($J46,#REF!,#REF!)</f>
        <v/>
      </c>
      <c r="L46" s="57">
        <f>_xlfn.XLOOKUP($J46,#REF!,#REF!)</f>
        <v/>
      </c>
      <c r="M46" s="57">
        <f>_xlfn.XLOOKUP($J46,#REF!,#REF!)</f>
        <v/>
      </c>
      <c r="N46" s="58">
        <f>IF(H46="Serviço",M46*L46,IF(H46="CÉLULA CONSTRUTIVA",SUMIFS($N$8:$N$472,$B$8:$B$472,B46,$H$8:$H$472,"Serviço"),IF(H46="ETAPA",SUMIFS($N$8:$N$472,$B$8:$B$472,B46,$C$8:$C$472,C46,$H$8:$H$472,"Serviço"),IF(H46="SUBETAPA",SUMIFS($N$8:$N$472,$B$8:$B$472,B46,$C$8:$C$472,C46,$D$8:$D$472,D46,$H$8:$H$472,"Serviço"),0))))</f>
        <v/>
      </c>
      <c r="O46" s="57">
        <f>_xlfn.XLOOKUP($J46,#REF!,#REF!)</f>
        <v/>
      </c>
      <c r="P46" s="60" t="inlineStr">
        <is>
          <t>Finalizado</t>
        </is>
      </c>
      <c r="Q46" s="61" t="n"/>
      <c r="R46" s="63" t="n"/>
    </row>
    <row r="47" outlineLevel="2" customFormat="1" s="40">
      <c r="A47" s="97">
        <f>IF($H47="UNIDADE CONSTRUTIVA",OFFSET(A47,-1,0)+1,LARGE(A$3:A46,1))</f>
        <v/>
      </c>
      <c r="B47" s="97">
        <f>IF(H47="UNIDADE CONSTRUTIVA",0,IF(H47="CÉLULA CONSTRUTIVA",OFFSET(B47,-1,0)+1,OFFSET(B47,-1,0)))</f>
        <v/>
      </c>
      <c r="C47" s="97">
        <f>IF(H47="CÉLULA CONSTRUTIVA",0,IF(H47="ETAPA",OFFSET(C47,-1,0)+1,OFFSET(C47,-1,0)))</f>
        <v/>
      </c>
      <c r="D47" s="98">
        <f>IF(H47="ETAPA",0,IF(H47="SUBETAPA",OFFSET(D47,-1,0)+1,OFFSET(D47,-1,0)))</f>
        <v/>
      </c>
      <c r="E47" s="98">
        <f>IF(H47="Subetapa",0,IF(H47="serviço",OFFSET(E47,-1,0)+1,OFFSET(E47,-1,0)))</f>
        <v/>
      </c>
      <c r="G47" s="52" t="n"/>
      <c r="H47" s="53" t="inlineStr">
        <is>
          <t>SERVIÇO</t>
        </is>
      </c>
      <c r="I47" s="54">
        <f>IF(H47="Unidade Construtiva",TEXT(A47,"00"),IF(H47="Célula Construtiva",TEXT(B47,"00"),IF(H47="Etapa",CONCATENATE(TEXT(B47,"00"),".",TEXT(C47,"000")),IF(H47="Subetapa",CONCATENATE(TEXT(B47,"00"),".",TEXT(C47,"000"),".",TEXT(D47,"000")),IF(H47="Serviço",CONCATENATE(TEXT(B47,"00"),".",TEXT(C47,"000"),".",TEXT(D47,"000"),".",TEXT(E47,"000")),"")))))</f>
        <v/>
      </c>
      <c r="J47" s="62" t="inlineStr">
        <is>
          <t>Avaliação e Legalização ambiental</t>
        </is>
      </c>
      <c r="K47" s="57">
        <f>_xlfn.XLOOKUP($J47,#REF!,#REF!)</f>
        <v/>
      </c>
      <c r="L47" s="57">
        <f>_xlfn.XLOOKUP($J47,#REF!,#REF!)</f>
        <v/>
      </c>
      <c r="M47" s="57">
        <f>_xlfn.XLOOKUP($J47,#REF!,#REF!)</f>
        <v/>
      </c>
      <c r="N47" s="58">
        <f>IF(H47="Serviço",M47*L47,IF(H47="CÉLULA CONSTRUTIVA",SUMIFS($N$8:$N$472,$B$8:$B$472,B47,$H$8:$H$472,"Serviço"),IF(H47="ETAPA",SUMIFS($N$8:$N$472,$B$8:$B$472,B47,$C$8:$C$472,C47,$H$8:$H$472,"Serviço"),IF(H47="SUBETAPA",SUMIFS($N$8:$N$472,$B$8:$B$472,B47,$C$8:$C$472,C47,$D$8:$D$472,D47,$H$8:$H$472,"Serviço"),0))))</f>
        <v/>
      </c>
      <c r="O47" s="57">
        <f>_xlfn.XLOOKUP($J47,#REF!,#REF!)</f>
        <v/>
      </c>
      <c r="P47" s="60" t="inlineStr">
        <is>
          <t>Finalizado</t>
        </is>
      </c>
      <c r="Q47" s="61" t="n"/>
      <c r="R47" s="63" t="n"/>
    </row>
    <row r="48" outlineLevel="2" customFormat="1" s="40">
      <c r="A48" s="97">
        <f>IF($H48="UNIDADE CONSTRUTIVA",OFFSET(A48,-1,0)+1,LARGE(A$3:A47,1))</f>
        <v/>
      </c>
      <c r="B48" s="97">
        <f>IF(H48="UNIDADE CONSTRUTIVA",0,IF(H48="CÉLULA CONSTRUTIVA",OFFSET(B48,-1,0)+1,OFFSET(B48,-1,0)))</f>
        <v/>
      </c>
      <c r="C48" s="97">
        <f>IF(H48="CÉLULA CONSTRUTIVA",0,IF(H48="ETAPA",OFFSET(C48,-1,0)+1,OFFSET(C48,-1,0)))</f>
        <v/>
      </c>
      <c r="D48" s="98">
        <f>IF(H48="ETAPA",0,IF(H48="SUBETAPA",OFFSET(D48,-1,0)+1,OFFSET(D48,-1,0)))</f>
        <v/>
      </c>
      <c r="E48" s="98">
        <f>IF(H48="Subetapa",0,IF(H48="serviço",OFFSET(E48,-1,0)+1,OFFSET(E48,-1,0)))</f>
        <v/>
      </c>
      <c r="G48" s="52" t="n"/>
      <c r="H48" s="53" t="inlineStr">
        <is>
          <t>SERVIÇO</t>
        </is>
      </c>
      <c r="I48" s="54">
        <f>IF(H48="Unidade Construtiva",TEXT(A48,"00"),IF(H48="Célula Construtiva",TEXT(B48,"00"),IF(H48="Etapa",CONCATENATE(TEXT(B48,"00"),".",TEXT(C48,"000")),IF(H48="Subetapa",CONCATENATE(TEXT(B48,"00"),".",TEXT(C48,"000"),".",TEXT(D48,"000")),IF(H48="Serviço",CONCATENATE(TEXT(B48,"00"),".",TEXT(C48,"000"),".",TEXT(D48,"000"),".",TEXT(E48,"000")),"")))))</f>
        <v/>
      </c>
      <c r="J48" s="62" t="inlineStr">
        <is>
          <t>Aprovação e legalização prefeitura</t>
        </is>
      </c>
      <c r="K48" s="57">
        <f>_xlfn.XLOOKUP($J48,#REF!,#REF!)</f>
        <v/>
      </c>
      <c r="L48" s="57">
        <f>_xlfn.XLOOKUP($J48,#REF!,#REF!)</f>
        <v/>
      </c>
      <c r="M48" s="99" t="n">
        <v>28000</v>
      </c>
      <c r="N48" s="58">
        <f>IF(H48="Serviço",M48*L48,IF(H48="CÉLULA CONSTRUTIVA",SUMIFS($N$8:$N$472,$B$8:$B$472,B48,$H$8:$H$472,"Serviço"),IF(H48="ETAPA",SUMIFS($N$8:$N$472,$B$8:$B$472,B48,$C$8:$C$472,C48,$H$8:$H$472,"Serviço"),IF(H48="SUBETAPA",SUMIFS($N$8:$N$472,$B$8:$B$472,B48,$C$8:$C$472,C48,$D$8:$D$472,D48,$H$8:$H$472,"Serviço"),0))))</f>
        <v/>
      </c>
      <c r="O48" s="57">
        <f>_xlfn.XLOOKUP($J48,#REF!,#REF!)</f>
        <v/>
      </c>
      <c r="P48" s="60" t="inlineStr">
        <is>
          <t>Finalizado</t>
        </is>
      </c>
      <c r="Q48" s="61" t="n"/>
      <c r="R48" s="63" t="n"/>
    </row>
    <row r="49" outlineLevel="2" customFormat="1" s="40">
      <c r="A49" s="97">
        <f>IF($H49="UNIDADE CONSTRUTIVA",OFFSET(A49,-1,0)+1,LARGE(A$3:A48,1))</f>
        <v/>
      </c>
      <c r="B49" s="97">
        <f>IF(H49="UNIDADE CONSTRUTIVA",0,IF(H49="CÉLULA CONSTRUTIVA",OFFSET(B49,-1,0)+1,OFFSET(B49,-1,0)))</f>
        <v/>
      </c>
      <c r="C49" s="97">
        <f>IF(H49="CÉLULA CONSTRUTIVA",0,IF(H49="ETAPA",OFFSET(C49,-1,0)+1,OFFSET(C49,-1,0)))</f>
        <v/>
      </c>
      <c r="D49" s="98">
        <f>IF(H49="ETAPA",0,IF(H49="SUBETAPA",OFFSET(D49,-1,0)+1,OFFSET(D49,-1,0)))</f>
        <v/>
      </c>
      <c r="E49" s="98">
        <f>IF(H49="Subetapa",0,IF(H49="serviço",OFFSET(E49,-1,0)+1,OFFSET(E49,-1,0)))</f>
        <v/>
      </c>
      <c r="G49" s="52" t="n"/>
      <c r="H49" s="53" t="inlineStr">
        <is>
          <t>SERVIÇO</t>
        </is>
      </c>
      <c r="I49" s="54">
        <f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/>
      </c>
      <c r="J49" s="62" t="inlineStr">
        <is>
          <t>Aprovação e legalização água e esgoto</t>
        </is>
      </c>
      <c r="K49" s="57">
        <f>_xlfn.XLOOKUP($J49,#REF!,#REF!)</f>
        <v/>
      </c>
      <c r="L49" s="57">
        <f>_xlfn.XLOOKUP($J49,#REF!,#REF!)</f>
        <v/>
      </c>
      <c r="M49" s="57">
        <f>_xlfn.XLOOKUP($J49,#REF!,#REF!)</f>
        <v/>
      </c>
      <c r="N49" s="58">
        <f>IF(H49="Serviço",M49*L49,IF(H49="CÉLULA CONSTRUTIVA",SUMIFS($N$8:$N$472,$B$8:$B$472,B49,$H$8:$H$472,"Serviço"),IF(H49="ETAPA",SUMIFS($N$8:$N$472,$B$8:$B$472,B49,$C$8:$C$472,C49,$H$8:$H$472,"Serviço"),IF(H49="SUBETAPA",SUMIFS($N$8:$N$472,$B$8:$B$472,B49,$C$8:$C$472,C49,$D$8:$D$472,D49,$H$8:$H$472,"Serviço"),0))))</f>
        <v/>
      </c>
      <c r="O49" s="57">
        <f>_xlfn.XLOOKUP($J49,#REF!,#REF!)</f>
        <v/>
      </c>
      <c r="P49" s="60" t="inlineStr">
        <is>
          <t>Finalizado</t>
        </is>
      </c>
      <c r="Q49" s="61" t="n"/>
      <c r="R49" s="63" t="n"/>
    </row>
    <row r="50" outlineLevel="2" customFormat="1" s="40">
      <c r="A50" s="97">
        <f>IF($H50="UNIDADE CONSTRUTIVA",OFFSET(A50,-1,0)+1,LARGE(A$3:A49,1))</f>
        <v/>
      </c>
      <c r="B50" s="97">
        <f>IF(H50="UNIDADE CONSTRUTIVA",0,IF(H50="CÉLULA CONSTRUTIVA",OFFSET(B50,-1,0)+1,OFFSET(B50,-1,0)))</f>
        <v/>
      </c>
      <c r="C50" s="97">
        <f>IF(H50="CÉLULA CONSTRUTIVA",0,IF(H50="ETAPA",OFFSET(C50,-1,0)+1,OFFSET(C50,-1,0)))</f>
        <v/>
      </c>
      <c r="D50" s="98">
        <f>IF(H50="ETAPA",0,IF(H50="SUBETAPA",OFFSET(D50,-1,0)+1,OFFSET(D50,-1,0)))</f>
        <v/>
      </c>
      <c r="E50" s="98">
        <f>IF(H50="Subetapa",0,IF(H50="serviço",OFFSET(E50,-1,0)+1,OFFSET(E50,-1,0)))</f>
        <v/>
      </c>
      <c r="G50" s="52" t="n"/>
      <c r="H50" s="53" t="inlineStr">
        <is>
          <t>SERVIÇO</t>
        </is>
      </c>
      <c r="I50" s="54">
        <f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/>
      </c>
      <c r="J50" s="62" t="inlineStr">
        <is>
          <t>Aprovação e legalização elétrico</t>
        </is>
      </c>
      <c r="K50" s="57">
        <f>_xlfn.XLOOKUP($J50,#REF!,#REF!)</f>
        <v/>
      </c>
      <c r="L50" s="57">
        <f>_xlfn.XLOOKUP($J50,#REF!,#REF!)</f>
        <v/>
      </c>
      <c r="M50" s="57">
        <f>_xlfn.XLOOKUP($J50,#REF!,#REF!)</f>
        <v/>
      </c>
      <c r="N50" s="58">
        <f>IF(H50="Serviço",M50*L50,IF(H50="CÉLULA CONSTRUTIVA",SUMIFS($N$8:$N$472,$B$8:$B$472,B50,$H$8:$H$472,"Serviço"),IF(H50="ETAPA",SUMIFS($N$8:$N$472,$B$8:$B$472,B50,$C$8:$C$472,C50,$H$8:$H$472,"Serviço"),IF(H50="SUBETAPA",SUMIFS($N$8:$N$472,$B$8:$B$472,B50,$C$8:$C$472,C50,$D$8:$D$472,D50,$H$8:$H$472,"Serviço"),0))))</f>
        <v/>
      </c>
      <c r="O50" s="57">
        <f>_xlfn.XLOOKUP($J50,#REF!,#REF!)</f>
        <v/>
      </c>
      <c r="P50" s="60" t="inlineStr">
        <is>
          <t>Finalizado</t>
        </is>
      </c>
      <c r="Q50" s="61" t="n"/>
      <c r="R50" s="63" t="n"/>
    </row>
    <row r="51" outlineLevel="2" customFormat="1" s="40">
      <c r="A51" s="97">
        <f>IF($H51="UNIDADE CONSTRUTIVA",OFFSET(A51,-1,0)+1,LARGE(A$3:A50,1))</f>
        <v/>
      </c>
      <c r="B51" s="97">
        <f>IF(H51="UNIDADE CONSTRUTIVA",0,IF(H51="CÉLULA CONSTRUTIVA",OFFSET(B51,-1,0)+1,OFFSET(B51,-1,0)))</f>
        <v/>
      </c>
      <c r="C51" s="97">
        <f>IF(H51="CÉLULA CONSTRUTIVA",0,IF(H51="ETAPA",OFFSET(C51,-1,0)+1,OFFSET(C51,-1,0)))</f>
        <v/>
      </c>
      <c r="D51" s="98">
        <f>IF(H51="ETAPA",0,IF(H51="SUBETAPA",OFFSET(D51,-1,0)+1,OFFSET(D51,-1,0)))</f>
        <v/>
      </c>
      <c r="E51" s="98">
        <f>IF(H51="Subetapa",0,IF(H51="serviço",OFFSET(E51,-1,0)+1,OFFSET(E51,-1,0)))</f>
        <v/>
      </c>
      <c r="G51" s="52" t="n"/>
      <c r="H51" s="53" t="inlineStr">
        <is>
          <t>SERVIÇO</t>
        </is>
      </c>
      <c r="I51" s="54">
        <f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/>
      </c>
      <c r="J51" s="62" t="inlineStr">
        <is>
          <t>Aprovação e legalização bombeiros</t>
        </is>
      </c>
      <c r="K51" s="57">
        <f>_xlfn.XLOOKUP($J51,#REF!,#REF!)</f>
        <v/>
      </c>
      <c r="L51" s="57">
        <f>_xlfn.XLOOKUP($J51,#REF!,#REF!)</f>
        <v/>
      </c>
      <c r="M51" s="57">
        <f>_xlfn.XLOOKUP($J51,#REF!,#REF!)</f>
        <v/>
      </c>
      <c r="N51" s="58">
        <f>IF(H51="Serviço",M51*L51,IF(H51="CÉLULA CONSTRUTIVA",SUMIFS($N$8:$N$472,$B$8:$B$472,B51,$H$8:$H$472,"Serviço"),IF(H51="ETAPA",SUMIFS($N$8:$N$472,$B$8:$B$472,B51,$C$8:$C$472,C51,$H$8:$H$472,"Serviço"),IF(H51="SUBETAPA",SUMIFS($N$8:$N$472,$B$8:$B$472,B51,$C$8:$C$472,C51,$D$8:$D$472,D51,$H$8:$H$472,"Serviço"),0))))</f>
        <v/>
      </c>
      <c r="O51" s="57">
        <f>_xlfn.XLOOKUP($J51,#REF!,#REF!)</f>
        <v/>
      </c>
      <c r="P51" s="60" t="inlineStr">
        <is>
          <t>Finalizado</t>
        </is>
      </c>
      <c r="Q51" s="61" t="n"/>
      <c r="R51" s="63" t="n"/>
    </row>
    <row r="52" outlineLevel="2" customFormat="1" s="40">
      <c r="A52" s="97">
        <f>IF($H52="UNIDADE CONSTRUTIVA",OFFSET(A52,-1,0)+1,LARGE(A$3:A51,1))</f>
        <v/>
      </c>
      <c r="B52" s="97">
        <f>IF(H52="UNIDADE CONSTRUTIVA",0,IF(H52="CÉLULA CONSTRUTIVA",OFFSET(B52,-1,0)+1,OFFSET(B52,-1,0)))</f>
        <v/>
      </c>
      <c r="C52" s="97">
        <f>IF(H52="CÉLULA CONSTRUTIVA",0,IF(H52="ETAPA",OFFSET(C52,-1,0)+1,OFFSET(C52,-1,0)))</f>
        <v/>
      </c>
      <c r="D52" s="98">
        <f>IF(H52="ETAPA",0,IF(H52="SUBETAPA",OFFSET(D52,-1,0)+1,OFFSET(D52,-1,0)))</f>
        <v/>
      </c>
      <c r="E52" s="98">
        <f>IF(H52="Subetapa",0,IF(H52="serviço",OFFSET(E52,-1,0)+1,OFFSET(E52,-1,0)))</f>
        <v/>
      </c>
      <c r="G52" s="52" t="n"/>
      <c r="H52" s="53" t="inlineStr">
        <is>
          <t>SERVIÇO</t>
        </is>
      </c>
      <c r="I52" s="54">
        <f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/>
      </c>
      <c r="J52" s="62" t="inlineStr">
        <is>
          <t>Taxas ART</t>
        </is>
      </c>
      <c r="K52" s="57">
        <f>_xlfn.XLOOKUP($J52,#REF!,#REF!)</f>
        <v/>
      </c>
      <c r="L52" s="57">
        <f>_xlfn.XLOOKUP($J52,#REF!,#REF!)</f>
        <v/>
      </c>
      <c r="M52" s="57">
        <f>_xlfn.XLOOKUP($J52,#REF!,#REF!)</f>
        <v/>
      </c>
      <c r="N52" s="58">
        <f>IF(H52="Serviço",M52*L52,IF(H52="CÉLULA CONSTRUTIVA",SUMIFS($N$8:$N$472,$B$8:$B$472,B52,$H$8:$H$472,"Serviço"),IF(H52="ETAPA",SUMIFS($N$8:$N$472,$B$8:$B$472,B52,$C$8:$C$472,C52,$H$8:$H$472,"Serviço"),IF(H52="SUBETAPA",SUMIFS($N$8:$N$472,$B$8:$B$472,B52,$C$8:$C$472,C52,$D$8:$D$472,D52,$H$8:$H$472,"Serviço"),0))))</f>
        <v/>
      </c>
      <c r="O52" s="57">
        <f>_xlfn.XLOOKUP($J52,#REF!,#REF!)</f>
        <v/>
      </c>
      <c r="P52" s="60" t="inlineStr">
        <is>
          <t>Finalizado</t>
        </is>
      </c>
      <c r="Q52" s="61" t="n"/>
      <c r="R52" s="63" t="n"/>
    </row>
    <row r="53" outlineLevel="2" customFormat="1" s="40">
      <c r="A53" s="97">
        <f>IF($H53="UNIDADE CONSTRUTIVA",OFFSET(A53,-1,0)+1,LARGE(A$3:A52,1))</f>
        <v/>
      </c>
      <c r="B53" s="97">
        <f>IF(H53="UNIDADE CONSTRUTIVA",0,IF(H53="CÉLULA CONSTRUTIVA",OFFSET(B53,-1,0)+1,OFFSET(B53,-1,0)))</f>
        <v/>
      </c>
      <c r="C53" s="97">
        <f>IF(H53="CÉLULA CONSTRUTIVA",0,IF(H53="ETAPA",OFFSET(C53,-1,0)+1,OFFSET(C53,-1,0)))</f>
        <v/>
      </c>
      <c r="D53" s="98">
        <f>IF(H53="ETAPA",0,IF(H53="SUBETAPA",OFFSET(D53,-1,0)+1,OFFSET(D53,-1,0)))</f>
        <v/>
      </c>
      <c r="E53" s="98">
        <f>IF(H53="Subetapa",0,IF(H53="serviço",OFFSET(E53,-1,0)+1,OFFSET(E53,-1,0)))</f>
        <v/>
      </c>
      <c r="G53" s="52" t="n"/>
      <c r="H53" s="53" t="inlineStr">
        <is>
          <t>SERVIÇO</t>
        </is>
      </c>
      <c r="I53" s="54">
        <f>IF(H53="Unidade Construtiva",TEXT(A53,"00"),IF(H53="Célula Construtiva",TEXT(B53,"00"),IF(H53="Etapa",CONCATENATE(TEXT(B53,"00"),".",TEXT(C53,"000")),IF(H53="Subetapa",CONCATENATE(TEXT(B53,"00"),".",TEXT(C53,"000"),".",TEXT(D53,"000")),IF(H53="Serviço",CONCATENATE(TEXT(B53,"00"),".",TEXT(C53,"000"),".",TEXT(D53,"000"),".",TEXT(E53,"000")),"")))))</f>
        <v/>
      </c>
      <c r="J53" s="62" t="inlineStr">
        <is>
          <t>Taxas alvará</t>
        </is>
      </c>
      <c r="K53" s="57">
        <f>_xlfn.XLOOKUP($J53,#REF!,#REF!)</f>
        <v/>
      </c>
      <c r="L53" s="57">
        <f>_xlfn.XLOOKUP($J53,#REF!,#REF!)</f>
        <v/>
      </c>
      <c r="M53" s="57">
        <f>_xlfn.XLOOKUP($J53,#REF!,#REF!)</f>
        <v/>
      </c>
      <c r="N53" s="58">
        <f>IF(H53="Serviço",M53*L53,IF(H53="CÉLULA CONSTRUTIVA",SUMIFS($N$8:$N$472,$B$8:$B$472,B53,$H$8:$H$472,"Serviço"),IF(H53="ETAPA",SUMIFS($N$8:$N$472,$B$8:$B$472,B53,$C$8:$C$472,C53,$H$8:$H$472,"Serviço"),IF(H53="SUBETAPA",SUMIFS($N$8:$N$472,$B$8:$B$472,B53,$C$8:$C$472,C53,$D$8:$D$472,D53,$H$8:$H$472,"Serviço"),0))))</f>
        <v/>
      </c>
      <c r="O53" s="57">
        <f>_xlfn.XLOOKUP($J53,#REF!,#REF!)</f>
        <v/>
      </c>
      <c r="P53" s="60" t="inlineStr">
        <is>
          <t>Finalizado</t>
        </is>
      </c>
      <c r="Q53" s="61" t="n"/>
      <c r="R53" s="63" t="n"/>
    </row>
    <row r="54" outlineLevel="2" customFormat="1" s="40">
      <c r="A54" s="97">
        <f>IF($H54="UNIDADE CONSTRUTIVA",OFFSET(A54,-1,0)+1,LARGE(A$3:A53,1))</f>
        <v/>
      </c>
      <c r="B54" s="97">
        <f>IF(H54="UNIDADE CONSTRUTIVA",0,IF(H54="CÉLULA CONSTRUTIVA",OFFSET(B54,-1,0)+1,OFFSET(B54,-1,0)))</f>
        <v/>
      </c>
      <c r="C54" s="97">
        <f>IF(H54="CÉLULA CONSTRUTIVA",0,IF(H54="ETAPA",OFFSET(C54,-1,0)+1,OFFSET(C54,-1,0)))</f>
        <v/>
      </c>
      <c r="D54" s="98">
        <f>IF(H54="ETAPA",0,IF(H54="SUBETAPA",OFFSET(D54,-1,0)+1,OFFSET(D54,-1,0)))</f>
        <v/>
      </c>
      <c r="E54" s="98">
        <f>IF(H54="Subetapa",0,IF(H54="serviço",OFFSET(E54,-1,0)+1,OFFSET(E54,-1,0)))</f>
        <v/>
      </c>
      <c r="G54" s="52" t="n"/>
      <c r="H54" s="53" t="inlineStr">
        <is>
          <t>SERVIÇO</t>
        </is>
      </c>
      <c r="I54" s="54">
        <f>IF(H54="Unidade Construtiva",TEXT(A54,"00"),IF(H54="Célula Construtiva",TEXT(B54,"00"),IF(H54="Etapa",CONCATENATE(TEXT(B54,"00"),".",TEXT(C54,"000")),IF(H54="Subetapa",CONCATENATE(TEXT(B54,"00"),".",TEXT(C54,"000"),".",TEXT(D54,"000")),IF(H54="Serviço",CONCATENATE(TEXT(B54,"00"),".",TEXT(C54,"000"),".",TEXT(D54,"000"),".",TEXT(E54,"000")),"")))))</f>
        <v/>
      </c>
      <c r="J54" s="62" t="inlineStr">
        <is>
          <t>Taxa LAP, AUC, LAI e LAO</t>
        </is>
      </c>
      <c r="K54" s="57">
        <f>_xlfn.XLOOKUP($J54,#REF!,#REF!)</f>
        <v/>
      </c>
      <c r="L54" s="57">
        <f>_xlfn.XLOOKUP($J54,#REF!,#REF!)</f>
        <v/>
      </c>
      <c r="M54" s="57">
        <f>_xlfn.XLOOKUP($J54,#REF!,#REF!)</f>
        <v/>
      </c>
      <c r="N54" s="58">
        <f>IF(H54="Serviço",M54*L54,IF(H54="CÉLULA CONSTRUTIVA",SUMIFS($N$8:$N$472,$B$8:$B$472,B54,$H$8:$H$472,"Serviço"),IF(H54="ETAPA",SUMIFS($N$8:$N$472,$B$8:$B$472,B54,$C$8:$C$472,C54,$H$8:$H$472,"Serviço"),IF(H54="SUBETAPA",SUMIFS($N$8:$N$472,$B$8:$B$472,B54,$C$8:$C$472,C54,$D$8:$D$472,D54,$H$8:$H$472,"Serviço"),0))))</f>
        <v/>
      </c>
      <c r="O54" s="57">
        <f>_xlfn.XLOOKUP($J54,#REF!,#REF!)</f>
        <v/>
      </c>
      <c r="P54" s="60" t="inlineStr">
        <is>
          <t>Finalizado</t>
        </is>
      </c>
      <c r="Q54" s="61" t="n"/>
      <c r="R54" s="63" t="n"/>
    </row>
    <row r="55" outlineLevel="2" customFormat="1" s="40">
      <c r="A55" s="97">
        <f>IF($H55="UNIDADE CONSTRUTIVA",OFFSET(A55,-1,0)+1,LARGE(A$3:A54,1))</f>
        <v/>
      </c>
      <c r="B55" s="97">
        <f>IF(H55="UNIDADE CONSTRUTIVA",0,IF(H55="CÉLULA CONSTRUTIVA",OFFSET(B55,-1,0)+1,OFFSET(B55,-1,0)))</f>
        <v/>
      </c>
      <c r="C55" s="97">
        <f>IF(H55="CÉLULA CONSTRUTIVA",0,IF(H55="ETAPA",OFFSET(C55,-1,0)+1,OFFSET(C55,-1,0)))</f>
        <v/>
      </c>
      <c r="D55" s="98">
        <f>IF(H55="ETAPA",0,IF(H55="SUBETAPA",OFFSET(D55,-1,0)+1,OFFSET(D55,-1,0)))</f>
        <v/>
      </c>
      <c r="E55" s="98">
        <f>IF(H55="Subetapa",0,IF(H55="serviço",OFFSET(E55,-1,0)+1,OFFSET(E55,-1,0)))</f>
        <v/>
      </c>
      <c r="G55" s="52" t="n"/>
      <c r="H55" s="53" t="inlineStr">
        <is>
          <t>SERVIÇO</t>
        </is>
      </c>
      <c r="I55" s="54">
        <f>IF(H55="Unidade Construtiva",TEXT(A55,"00"),IF(H55="Célula Construtiva",TEXT(B55,"00"),IF(H55="Etapa",CONCATENATE(TEXT(B55,"00"),".",TEXT(C55,"000")),IF(H55="Subetapa",CONCATENATE(TEXT(B55,"00"),".",TEXT(C55,"000"),".",TEXT(D55,"000")),IF(H55="Serviço",CONCATENATE(TEXT(B55,"00"),".",TEXT(C55,"000"),".",TEXT(D55,"000"),".",TEXT(E55,"000")),"")))))</f>
        <v/>
      </c>
      <c r="J55" s="62" t="inlineStr">
        <is>
          <t>Despesas cartório, licenças, certidões e jurídicas</t>
        </is>
      </c>
      <c r="K55" s="57">
        <f>_xlfn.XLOOKUP($J55,#REF!,#REF!)</f>
        <v/>
      </c>
      <c r="L55" s="57">
        <f>_xlfn.XLOOKUP($J55,#REF!,#REF!)</f>
        <v/>
      </c>
      <c r="M55" s="57">
        <f>_xlfn.XLOOKUP($J55,#REF!,#REF!)</f>
        <v/>
      </c>
      <c r="N55" s="58">
        <f>IF(H55="Serviço",M55*L55,IF(H55="CÉLULA CONSTRUTIVA",SUMIFS($N$8:$N$472,$B$8:$B$472,B55,$H$8:$H$472,"Serviço"),IF(H55="ETAPA",SUMIFS($N$8:$N$472,$B$8:$B$472,B55,$C$8:$C$472,C55,$H$8:$H$472,"Serviço"),IF(H55="SUBETAPA",SUMIFS($N$8:$N$472,$B$8:$B$472,B55,$C$8:$C$472,C55,$D$8:$D$472,D55,$H$8:$H$472,"Serviço"),0))))</f>
        <v/>
      </c>
      <c r="O55" s="57">
        <f>_xlfn.XLOOKUP($J55,#REF!,#REF!)</f>
        <v/>
      </c>
      <c r="P55" s="60" t="inlineStr">
        <is>
          <t>Finalizado</t>
        </is>
      </c>
      <c r="Q55" s="61" t="n"/>
      <c r="R55" s="63" t="n"/>
    </row>
    <row r="56" outlineLevel="2" customFormat="1" s="40">
      <c r="A56" s="97">
        <f>IF($H56="UNIDADE CONSTRUTIVA",OFFSET(A56,-1,0)+1,LARGE(A$3:A55,1))</f>
        <v/>
      </c>
      <c r="B56" s="97">
        <f>IF(H56="UNIDADE CONSTRUTIVA",0,IF(H56="CÉLULA CONSTRUTIVA",OFFSET(B56,-1,0)+1,OFFSET(B56,-1,0)))</f>
        <v/>
      </c>
      <c r="C56" s="97">
        <f>IF(H56="CÉLULA CONSTRUTIVA",0,IF(H56="ETAPA",OFFSET(C56,-1,0)+1,OFFSET(C56,-1,0)))</f>
        <v/>
      </c>
      <c r="D56" s="98">
        <f>IF(H56="ETAPA",0,IF(H56="SUBETAPA",OFFSET(D56,-1,0)+1,OFFSET(D56,-1,0)))</f>
        <v/>
      </c>
      <c r="E56" s="98">
        <f>IF(H56="Subetapa",0,IF(H56="serviço",OFFSET(E56,-1,0)+1,OFFSET(E56,-1,0)))</f>
        <v/>
      </c>
      <c r="G56" s="52" t="n"/>
      <c r="H56" s="53" t="inlineStr">
        <is>
          <t>SERVIÇO</t>
        </is>
      </c>
      <c r="I56" s="54">
        <f>IF(H56="Unidade Construtiva",TEXT(A56,"00"),IF(H56="Célula Construtiva",TEXT(B56,"00"),IF(H56="Etapa",CONCATENATE(TEXT(B56,"00"),".",TEXT(C56,"000")),IF(H56="Subetapa",CONCATENATE(TEXT(B56,"00"),".",TEXT(C56,"000"),".",TEXT(D56,"000")),IF(H56="Serviço",CONCATENATE(TEXT(B56,"00"),".",TEXT(C56,"000"),".",TEXT(D56,"000"),".",TEXT(E56,"000")),"")))))</f>
        <v/>
      </c>
      <c r="J56" s="62" t="inlineStr">
        <is>
          <t>Incorporação</t>
        </is>
      </c>
      <c r="K56" s="57">
        <f>_xlfn.XLOOKUP($J56,#REF!,#REF!)</f>
        <v/>
      </c>
      <c r="L56" s="57">
        <f>_xlfn.XLOOKUP($J56,#REF!,#REF!)</f>
        <v/>
      </c>
      <c r="M56" s="57" t="n">
        <v>15000</v>
      </c>
      <c r="N56" s="58">
        <f>IF(H56="Serviço",M56*L56,IF(H56="CÉLULA CONSTRUTIVA",SUMIFS($N$8:$N$472,$B$8:$B$472,B56,$H$8:$H$472,"Serviço"),IF(H56="ETAPA",SUMIFS($N$8:$N$472,$B$8:$B$472,B56,$C$8:$C$472,C56,$H$8:$H$472,"Serviço"),IF(H56="SUBETAPA",SUMIFS($N$8:$N$472,$B$8:$B$472,B56,$C$8:$C$472,C56,$D$8:$D$472,D56,$H$8:$H$472,"Serviço"),0))))</f>
        <v/>
      </c>
      <c r="O56" s="57" t="inlineStr">
        <is>
          <t>Repessado pela Gessele na reunião do dia 05/03/2026</t>
        </is>
      </c>
      <c r="P56" s="60" t="inlineStr">
        <is>
          <t>Finalizado</t>
        </is>
      </c>
      <c r="Q56" s="61" t="n"/>
      <c r="R56" s="63" t="n"/>
    </row>
    <row r="57" outlineLevel="2" customFormat="1" s="40">
      <c r="A57" s="97">
        <f>IF($H57="UNIDADE CONSTRUTIVA",OFFSET(A57,-1,0)+1,LARGE(A$3:A56,1))</f>
        <v/>
      </c>
      <c r="B57" s="97">
        <f>IF(H57="UNIDADE CONSTRUTIVA",0,IF(H57="CÉLULA CONSTRUTIVA",OFFSET(B57,-1,0)+1,OFFSET(B57,-1,0)))</f>
        <v/>
      </c>
      <c r="C57" s="97">
        <f>IF(H57="CÉLULA CONSTRUTIVA",0,IF(H57="ETAPA",OFFSET(C57,-1,0)+1,OFFSET(C57,-1,0)))</f>
        <v/>
      </c>
      <c r="D57" s="98">
        <f>IF(H57="ETAPA",0,IF(H57="SUBETAPA",OFFSET(D57,-1,0)+1,OFFSET(D57,-1,0)))</f>
        <v/>
      </c>
      <c r="E57" s="98">
        <f>IF(H57="Subetapa",0,IF(H57="serviço",OFFSET(E57,-1,0)+1,OFFSET(E57,-1,0)))</f>
        <v/>
      </c>
      <c r="G57" s="52" t="n"/>
      <c r="H57" s="53" t="inlineStr">
        <is>
          <t>SERVIÇO</t>
        </is>
      </c>
      <c r="I57" s="54">
        <f>IF(H57="Unidade Construtiva",TEXT(A57,"00"),IF(H57="Célula Construtiva",TEXT(B57,"00"),IF(H57="Etapa",CONCATENATE(TEXT(B57,"00"),".",TEXT(C57,"000")),IF(H57="Subetapa",CONCATENATE(TEXT(B57,"00"),".",TEXT(C57,"000"),".",TEXT(D57,"000")),IF(H57="Serviço",CONCATENATE(TEXT(B57,"00"),".",TEXT(C57,"000"),".",TEXT(D57,"000"),".",TEXT(E57,"000")),"")))))</f>
        <v/>
      </c>
      <c r="J57" s="62" t="inlineStr">
        <is>
          <t>IPTU</t>
        </is>
      </c>
      <c r="K57" s="57">
        <f>_xlfn.XLOOKUP($J57,#REF!,#REF!)</f>
        <v/>
      </c>
      <c r="L57" s="57">
        <f>_xlfn.XLOOKUP($J57,#REF!,#REF!)</f>
        <v/>
      </c>
      <c r="M57" s="57">
        <f>_xlfn.XLOOKUP($J57,#REF!,#REF!)</f>
        <v/>
      </c>
      <c r="N57" s="58">
        <f>IF(H57="Serviço",M57*L57,IF(H57="CÉLULA CONSTRUTIVA",SUMIFS($N$8:$N$472,$B$8:$B$472,B57,$H$8:$H$472,"Serviço"),IF(H57="ETAPA",SUMIFS($N$8:$N$472,$B$8:$B$472,B57,$C$8:$C$472,C57,$H$8:$H$472,"Serviço"),IF(H57="SUBETAPA",SUMIFS($N$8:$N$472,$B$8:$B$472,B57,$C$8:$C$472,C57,$D$8:$D$472,D57,$H$8:$H$472,"Serviço"),0))))</f>
        <v/>
      </c>
      <c r="O57" s="57">
        <f>_xlfn.XLOOKUP($J57,#REF!,#REF!)</f>
        <v/>
      </c>
      <c r="P57" s="60" t="inlineStr">
        <is>
          <t>Finalizado</t>
        </is>
      </c>
      <c r="Q57" s="61" t="n"/>
      <c r="R57" s="63" t="n"/>
    </row>
    <row r="58" outlineLevel="2" customFormat="1" s="40">
      <c r="A58" s="97">
        <f>IF($H58="UNIDADE CONSTRUTIVA",OFFSET(A58,-1,0)+1,LARGE(A$3:A57,1))</f>
        <v/>
      </c>
      <c r="B58" s="97">
        <f>IF(H58="UNIDADE CONSTRUTIVA",0,IF(H58="CÉLULA CONSTRUTIVA",OFFSET(B58,-1,0)+1,OFFSET(B58,-1,0)))</f>
        <v/>
      </c>
      <c r="C58" s="97">
        <f>IF(H58="CÉLULA CONSTRUTIVA",0,IF(H58="ETAPA",OFFSET(C58,-1,0)+1,OFFSET(C58,-1,0)))</f>
        <v/>
      </c>
      <c r="D58" s="98">
        <f>IF(H58="ETAPA",0,IF(H58="SUBETAPA",OFFSET(D58,-1,0)+1,OFFSET(D58,-1,0)))</f>
        <v/>
      </c>
      <c r="E58" s="98">
        <f>IF(H58="Subetapa",0,IF(H58="serviço",OFFSET(E58,-1,0)+1,OFFSET(E58,-1,0)))</f>
        <v/>
      </c>
      <c r="G58" s="52" t="n"/>
      <c r="H58" s="53" t="inlineStr">
        <is>
          <t>SERVIÇO</t>
        </is>
      </c>
      <c r="I58" s="54">
        <f>IF(H58="Unidade Construtiva",TEXT(A58,"00"),IF(H58="Célula Construtiva",TEXT(B58,"00"),IF(H58="Etapa",CONCATENATE(TEXT(B58,"00"),".",TEXT(C58,"000")),IF(H58="Subetapa",CONCATENATE(TEXT(B58,"00"),".",TEXT(C58,"000"),".",TEXT(D58,"000")),IF(H58="Serviço",CONCATENATE(TEXT(B58,"00"),".",TEXT(C58,"000"),".",TEXT(D58,"000"),".",TEXT(E58,"000")),"")))))</f>
        <v/>
      </c>
      <c r="J58" s="62" t="inlineStr">
        <is>
          <t>Taxa Habite-se</t>
        </is>
      </c>
      <c r="K58" s="57">
        <f>_xlfn.XLOOKUP($J58,#REF!,#REF!)</f>
        <v/>
      </c>
      <c r="L58" s="57">
        <f>_xlfn.XLOOKUP($J58,#REF!,#REF!)</f>
        <v/>
      </c>
      <c r="M58" s="99" t="n">
        <v>28000</v>
      </c>
      <c r="N58" s="58">
        <f>IF(H58="Serviço",M58*L58,IF(H58="CÉLULA CONSTRUTIVA",SUMIFS($N$8:$N$472,$B$8:$B$472,B58,$H$8:$H$472,"Serviço"),IF(H58="ETAPA",SUMIFS($N$8:$N$472,$B$8:$B$472,B58,$C$8:$C$472,C58,$H$8:$H$472,"Serviço"),IF(H58="SUBETAPA",SUMIFS($N$8:$N$472,$B$8:$B$472,B58,$C$8:$C$472,C58,$D$8:$D$472,D58,$H$8:$H$472,"Serviço"),0))))</f>
        <v/>
      </c>
      <c r="O58" s="57">
        <f>_xlfn.XLOOKUP($J58,#REF!,#REF!)</f>
        <v/>
      </c>
      <c r="P58" s="60" t="inlineStr">
        <is>
          <t>Finalizado</t>
        </is>
      </c>
      <c r="Q58" s="61" t="n"/>
      <c r="R58" s="63" t="n"/>
    </row>
    <row r="59" outlineLevel="1" customFormat="1" s="40">
      <c r="A59" s="97">
        <f>IF($H59="UNIDADE CONSTRUTIVA",OFFSET(A59,-1,0)+1,LARGE(A$3:A58,1))</f>
        <v/>
      </c>
      <c r="B59" s="97">
        <f>IF(H59="UNIDADE CONSTRUTIVA",0,IF(H59="CÉLULA CONSTRUTIVA",OFFSET(B59,-1,0)+1,OFFSET(B59,-1,0)))</f>
        <v/>
      </c>
      <c r="C59" s="97">
        <f>IF(H59="CÉLULA CONSTRUTIVA",0,IF(H59="ETAPA",OFFSET(C59,-1,0)+1,OFFSET(C59,-1,0)))</f>
        <v/>
      </c>
      <c r="D59" s="98">
        <f>IF(H59="ETAPA",0,IF(H59="SUBETAPA",OFFSET(D59,-1,0)+1,OFFSET(D59,-1,0)))</f>
        <v/>
      </c>
      <c r="E59" s="98">
        <f>IF(H59="Subetapa",0,IF(H59="serviço",OFFSET(E59,-1,0)+1,OFFSET(E59,-1,0)))</f>
        <v/>
      </c>
      <c r="G59" s="52" t="n"/>
      <c r="H59" s="53" t="inlineStr">
        <is>
          <t>SUBETAPA</t>
        </is>
      </c>
      <c r="I59" s="54">
        <f>IF(H59="Unidade Construtiva",TEXT(A59,"00"),IF(H59="Célula Construtiva",TEXT(B59,"00"),IF(H59="Etapa",CONCATENATE(TEXT(B59,"00"),".",TEXT(C59,"000")),IF(H59="Subetapa",CONCATENATE(TEXT(B59,"00"),".",TEXT(C59,"000"),".",TEXT(D59,"000")),IF(H59="Serviço",CONCATENATE(TEXT(B59,"00"),".",TEXT(C59,"000"),".",TEXT(D59,"000"),".",TEXT(E59,"000")),"")))))</f>
        <v/>
      </c>
      <c r="J59" s="62" t="inlineStr">
        <is>
          <t>Documentos</t>
        </is>
      </c>
      <c r="K59" s="56" t="n"/>
      <c r="L59" s="57" t="n"/>
      <c r="M59" s="57" t="n"/>
      <c r="N59" s="58">
        <f>IF(H59="Serviço",M59*L59,IF(H59="CÉLULA CONSTRUTIVA",SUMIFS($N$8:$N$472,$B$8:$B$472,B59,$H$8:$H$472,"Serviço"),IF(H59="ETAPA",SUMIFS($N$8:$N$472,$B$8:$B$472,B59,$C$8:$C$472,C59,$H$8:$H$472,"Serviço"),IF(H59="SUBETAPA",SUMIFS($N$8:$N$472,$B$8:$B$472,B59,$C$8:$C$472,C59,$D$8:$D$472,D59,$H$8:$H$472,"Serviço"),0))))</f>
        <v/>
      </c>
      <c r="O59" s="59">
        <f>N59/[1]CAPA!$C$10</f>
        <v/>
      </c>
      <c r="P59" s="60" t="n"/>
      <c r="Q59" s="61" t="n"/>
      <c r="R59" s="63" t="n"/>
    </row>
    <row r="60" outlineLevel="2" customFormat="1" s="40">
      <c r="A60" s="97">
        <f>IF($H60="UNIDADE CONSTRUTIVA",OFFSET(A60,-1,0)+1,LARGE(A$3:A59,1))</f>
        <v/>
      </c>
      <c r="B60" s="97">
        <f>IF(H60="UNIDADE CONSTRUTIVA",0,IF(H60="CÉLULA CONSTRUTIVA",OFFSET(B60,-1,0)+1,OFFSET(B60,-1,0)))</f>
        <v/>
      </c>
      <c r="C60" s="97">
        <f>IF(H60="CÉLULA CONSTRUTIVA",0,IF(H60="ETAPA",OFFSET(C60,-1,0)+1,OFFSET(C60,-1,0)))</f>
        <v/>
      </c>
      <c r="D60" s="98">
        <f>IF(H60="ETAPA",0,IF(H60="SUBETAPA",OFFSET(D60,-1,0)+1,OFFSET(D60,-1,0)))</f>
        <v/>
      </c>
      <c r="E60" s="98">
        <f>IF(H60="Subetapa",0,IF(H60="serviço",OFFSET(E60,-1,0)+1,OFFSET(E60,-1,0)))</f>
        <v/>
      </c>
      <c r="G60" s="52" t="n"/>
      <c r="H60" s="53" t="inlineStr">
        <is>
          <t>SERVIÇO</t>
        </is>
      </c>
      <c r="I60" s="54">
        <f>IF(H60="Unidade Construtiva",TEXT(A60,"00"),IF(H60="Célula Construtiva",TEXT(B60,"00"),IF(H60="Etapa",CONCATENATE(TEXT(B60,"00"),".",TEXT(C60,"000")),IF(H60="Subetapa",CONCATENATE(TEXT(B60,"00"),".",TEXT(C60,"000"),".",TEXT(D60,"000")),IF(H60="Serviço",CONCATENATE(TEXT(B60,"00"),".",TEXT(C60,"000"),".",TEXT(D60,"000"),".",TEXT(E60,"000")),"")))))</f>
        <v/>
      </c>
      <c r="J60" s="62" t="inlineStr">
        <is>
          <t>As Built</t>
        </is>
      </c>
      <c r="K60" s="57">
        <f>_xlfn.XLOOKUP($J60,#REF!,#REF!)</f>
        <v/>
      </c>
      <c r="L60" s="57">
        <f>_xlfn.XLOOKUP($J60,#REF!,#REF!)</f>
        <v/>
      </c>
      <c r="M60" s="57">
        <f>_xlfn.XLOOKUP($J60,#REF!,#REF!)</f>
        <v/>
      </c>
      <c r="N60" s="58">
        <f>IF(H60="Serviço",M60*L60,IF(H60="CÉLULA CONSTRUTIVA",SUMIFS($N$8:$N$472,$B$8:$B$472,B60,$H$8:$H$472,"Serviço"),IF(H60="ETAPA",SUMIFS($N$8:$N$472,$B$8:$B$472,B60,$C$8:$C$472,C60,$H$8:$H$472,"Serviço"),IF(H60="SUBETAPA",SUMIFS($N$8:$N$472,$B$8:$B$472,B60,$C$8:$C$472,C60,$D$8:$D$472,D60,$H$8:$H$472,"Serviço"),0))))</f>
        <v/>
      </c>
      <c r="O60" s="57">
        <f>_xlfn.XLOOKUP($J60,#REF!,#REF!)</f>
        <v/>
      </c>
      <c r="P60" s="60" t="inlineStr">
        <is>
          <t>Finalizado</t>
        </is>
      </c>
      <c r="Q60" s="61" t="n"/>
      <c r="R60" s="63" t="n"/>
    </row>
    <row r="61" outlineLevel="2" customFormat="1" s="40">
      <c r="A61" s="97">
        <f>IF($H61="UNIDADE CONSTRUTIVA",OFFSET(A61,-1,0)+1,LARGE(A$3:A60,1))</f>
        <v/>
      </c>
      <c r="B61" s="97">
        <f>IF(H61="UNIDADE CONSTRUTIVA",0,IF(H61="CÉLULA CONSTRUTIVA",OFFSET(B61,-1,0)+1,OFFSET(B61,-1,0)))</f>
        <v/>
      </c>
      <c r="C61" s="97">
        <f>IF(H61="CÉLULA CONSTRUTIVA",0,IF(H61="ETAPA",OFFSET(C61,-1,0)+1,OFFSET(C61,-1,0)))</f>
        <v/>
      </c>
      <c r="D61" s="98">
        <f>IF(H61="ETAPA",0,IF(H61="SUBETAPA",OFFSET(D61,-1,0)+1,OFFSET(D61,-1,0)))</f>
        <v/>
      </c>
      <c r="E61" s="98">
        <f>IF(H61="Subetapa",0,IF(H61="serviço",OFFSET(E61,-1,0)+1,OFFSET(E61,-1,0)))</f>
        <v/>
      </c>
      <c r="G61" s="52" t="n"/>
      <c r="H61" s="53" t="inlineStr">
        <is>
          <t>SERVIÇO</t>
        </is>
      </c>
      <c r="I61" s="54">
        <f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/>
      </c>
      <c r="J61" s="62" t="inlineStr">
        <is>
          <t>Laudo técnico de vistoria de entrega</t>
        </is>
      </c>
      <c r="K61" s="57">
        <f>_xlfn.XLOOKUP($J61,#REF!,#REF!)</f>
        <v/>
      </c>
      <c r="L61" s="57">
        <f>_xlfn.XLOOKUP($J61,#REF!,#REF!)</f>
        <v/>
      </c>
      <c r="M61" s="57">
        <f>_xlfn.XLOOKUP($J61,#REF!,#REF!)</f>
        <v/>
      </c>
      <c r="N61" s="58">
        <f>IF(H61="Serviço",M61*L61,IF(H61="CÉLULA CONSTRUTIVA",SUMIFS($N$8:$N$472,$B$8:$B$472,B61,$H$8:$H$472,"Serviço"),IF(H61="ETAPA",SUMIFS($N$8:$N$472,$B$8:$B$472,B61,$C$8:$C$472,C61,$H$8:$H$472,"Serviço"),IF(H61="SUBETAPA",SUMIFS($N$8:$N$472,$B$8:$B$472,B61,$C$8:$C$472,C61,$D$8:$D$472,D61,$H$8:$H$472,"Serviço"),0))))</f>
        <v/>
      </c>
      <c r="O61" s="57">
        <f>_xlfn.XLOOKUP($J61,#REF!,#REF!)</f>
        <v/>
      </c>
      <c r="P61" s="60" t="inlineStr">
        <is>
          <t>Finalizado</t>
        </is>
      </c>
      <c r="Q61" s="61" t="n"/>
      <c r="R61" s="63" t="n"/>
    </row>
    <row r="62" outlineLevel="2" customFormat="1" s="40">
      <c r="A62" s="97">
        <f>IF($H62="UNIDADE CONSTRUTIVA",OFFSET(A62,-1,0)+1,LARGE(A$3:A61,1))</f>
        <v/>
      </c>
      <c r="B62" s="97">
        <f>IF(H62="UNIDADE CONSTRUTIVA",0,IF(H62="CÉLULA CONSTRUTIVA",OFFSET(B62,-1,0)+1,OFFSET(B62,-1,0)))</f>
        <v/>
      </c>
      <c r="C62" s="97">
        <f>IF(H62="CÉLULA CONSTRUTIVA",0,IF(H62="ETAPA",OFFSET(C62,-1,0)+1,OFFSET(C62,-1,0)))</f>
        <v/>
      </c>
      <c r="D62" s="98">
        <f>IF(H62="ETAPA",0,IF(H62="SUBETAPA",OFFSET(D62,-1,0)+1,OFFSET(D62,-1,0)))</f>
        <v/>
      </c>
      <c r="E62" s="98">
        <f>IF(H62="Subetapa",0,IF(H62="serviço",OFFSET(E62,-1,0)+1,OFFSET(E62,-1,0)))</f>
        <v/>
      </c>
      <c r="G62" s="52" t="n"/>
      <c r="H62" s="53" t="inlineStr">
        <is>
          <t>SERVIÇO</t>
        </is>
      </c>
      <c r="I62" s="54">
        <f>IF(H62="Unidade Construtiva",TEXT(A62,"00"),IF(H62="Célula Construtiva",TEXT(B62,"00"),IF(H62="Etapa",CONCATENATE(TEXT(B62,"00"),".",TEXT(C62,"000")),IF(H62="Subetapa",CONCATENATE(TEXT(B62,"00"),".",TEXT(C62,"000"),".",TEXT(D62,"000")),IF(H62="Serviço",CONCATENATE(TEXT(B62,"00"),".",TEXT(C62,"000"),".",TEXT(D62,"000"),".",TEXT(E62,"000")),"")))))</f>
        <v/>
      </c>
      <c r="J62" s="62" t="inlineStr">
        <is>
          <t>Manuais técnicos condomínio/proprietários</t>
        </is>
      </c>
      <c r="K62" s="57">
        <f>_xlfn.XLOOKUP($J62,#REF!,#REF!)</f>
        <v/>
      </c>
      <c r="L62" s="57">
        <f>_xlfn.XLOOKUP($J62,#REF!,#REF!)</f>
        <v/>
      </c>
      <c r="M62" s="99" t="n">
        <v>38000</v>
      </c>
      <c r="N62" s="58">
        <f>IF(H62="Serviço",M62*L62,IF(H62="CÉLULA CONSTRUTIVA",SUMIFS($N$8:$N$472,$B$8:$B$472,B62,$H$8:$H$472,"Serviço"),IF(H62="ETAPA",SUMIFS($N$8:$N$472,$B$8:$B$472,B62,$C$8:$C$472,C62,$H$8:$H$472,"Serviço"),IF(H62="SUBETAPA",SUMIFS($N$8:$N$472,$B$8:$B$472,B62,$C$8:$C$472,C62,$D$8:$D$472,D62,$H$8:$H$472,"Serviço"),0))))</f>
        <v/>
      </c>
      <c r="O62" s="57">
        <f>_xlfn.XLOOKUP($J62,#REF!,#REF!)</f>
        <v/>
      </c>
      <c r="P62" s="60" t="inlineStr">
        <is>
          <t>Finalizado</t>
        </is>
      </c>
      <c r="Q62" s="61" t="n"/>
      <c r="R62" s="63" t="n"/>
    </row>
    <row r="63" outlineLevel="2" customFormat="1" s="40">
      <c r="A63" s="97">
        <f>IF($H63="UNIDADE CONSTRUTIVA",OFFSET(A63,-1,0)+1,LARGE(A$3:A62,1))</f>
        <v/>
      </c>
      <c r="B63" s="97">
        <f>IF(H63="UNIDADE CONSTRUTIVA",0,IF(H63="CÉLULA CONSTRUTIVA",OFFSET(B63,-1,0)+1,OFFSET(B63,-1,0)))</f>
        <v/>
      </c>
      <c r="C63" s="97">
        <f>IF(H63="CÉLULA CONSTRUTIVA",0,IF(H63="ETAPA",OFFSET(C63,-1,0)+1,OFFSET(C63,-1,0)))</f>
        <v/>
      </c>
      <c r="D63" s="98">
        <f>IF(H63="ETAPA",0,IF(H63="SUBETAPA",OFFSET(D63,-1,0)+1,OFFSET(D63,-1,0)))</f>
        <v/>
      </c>
      <c r="E63" s="98">
        <f>IF(H63="Subetapa",0,IF(H63="serviço",OFFSET(E63,-1,0)+1,OFFSET(E63,-1,0)))</f>
        <v/>
      </c>
      <c r="G63" s="52" t="n"/>
      <c r="H63" s="53" t="inlineStr">
        <is>
          <t>SERVIÇO</t>
        </is>
      </c>
      <c r="I63" s="54">
        <f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/>
      </c>
      <c r="J63" s="62" t="inlineStr">
        <is>
          <t>Certidão INSS</t>
        </is>
      </c>
      <c r="K63" s="57">
        <f>_xlfn.XLOOKUP($J63,#REF!,#REF!)</f>
        <v/>
      </c>
      <c r="L63" s="57">
        <f>_xlfn.XLOOKUP($J63,#REF!,#REF!)</f>
        <v/>
      </c>
      <c r="M63" s="57">
        <f>_xlfn.XLOOKUP($J63,#REF!,#REF!)</f>
        <v/>
      </c>
      <c r="N63" s="58">
        <f>IF(H63="Serviço",M63*L63,IF(H63="CÉLULA CONSTRUTIVA",SUMIFS($N$8:$N$472,$B$8:$B$472,B63,$H$8:$H$472,"Serviço"),IF(H63="ETAPA",SUMIFS($N$8:$N$472,$B$8:$B$472,B63,$C$8:$C$472,C63,$H$8:$H$472,"Serviço"),IF(H63="SUBETAPA",SUMIFS($N$8:$N$472,$B$8:$B$472,B63,$C$8:$C$472,C63,$D$8:$D$472,D63,$H$8:$H$472,"Serviço"),0))))</f>
        <v/>
      </c>
      <c r="O63" s="57">
        <f>_xlfn.XLOOKUP($J63,#REF!,#REF!)</f>
        <v/>
      </c>
      <c r="P63" s="60" t="inlineStr">
        <is>
          <t>Finalizado</t>
        </is>
      </c>
      <c r="Q63" s="61" t="n"/>
      <c r="R63" s="63" t="n"/>
    </row>
    <row r="64" customFormat="1" s="40">
      <c r="A64" s="97">
        <f>IF($H64="UNIDADE CONSTRUTIVA",OFFSET(A64,-1,0)+1,LARGE(A$3:A63,1))</f>
        <v/>
      </c>
      <c r="B64" s="97">
        <f>IF(H64="UNIDADE CONSTRUTIVA",0,IF(H64="CÉLULA CONSTRUTIVA",OFFSET(B64,-1,0)+1,OFFSET(B64,-1,0)))</f>
        <v/>
      </c>
      <c r="C64" s="97">
        <f>IF(H64="CÉLULA CONSTRUTIVA",0,IF(H64="ETAPA",OFFSET(C64,-1,0)+1,OFFSET(C64,-1,0)))</f>
        <v/>
      </c>
      <c r="D64" s="98">
        <f>IF(H64="ETAPA",0,IF(H64="SUBETAPA",OFFSET(D64,-1,0)+1,OFFSET(D64,-1,0)))</f>
        <v/>
      </c>
      <c r="E64" s="98">
        <f>IF(H64="Subetapa",0,IF(H64="serviço",OFFSET(E64,-1,0)+1,OFFSET(E64,-1,0)))</f>
        <v/>
      </c>
      <c r="G64" s="52" t="n"/>
      <c r="H64" s="53" t="inlineStr">
        <is>
          <t>CÉLULA CONSTRUTIVA</t>
        </is>
      </c>
      <c r="I64" s="64">
        <f>IF(H64="Unidade Construtiva",TEXT(A64,"00"),IF(H64="Célula Construtiva",TEXT(B64,"00"),IF(H64="Etapa",CONCATENATE(TEXT(B64,"00"),".",TEXT(C64,"000")),IF(H64="Subetapa",CONCATENATE(TEXT(B64,"00"),".",TEXT(C64,"000"),".",TEXT(D64,"000")),IF(H64="Serviço",CONCATENATE(TEXT(B64,"00"),".",TEXT(C64,"000"),".",TEXT(D64,"000"),".",TEXT(E64,"000")),"")))))</f>
        <v/>
      </c>
      <c r="J64" s="55" t="inlineStr">
        <is>
          <t>SERVIÇOS INICIAIS</t>
        </is>
      </c>
      <c r="K64" s="56" t="n"/>
      <c r="L64" s="57" t="n"/>
      <c r="M64" s="57" t="n"/>
      <c r="N64" s="58">
        <f>IF(H64="Serviço",M64*L64,IF(H64="CÉLULA CONSTRUTIVA",SUMIFS($N$8:$N$447,$B$8:$B$447,B64,$H$8:$H$447,"Serviço"),IF(H64="ETAPA",SUMIFS($N$8:$N$447,$B$8:$B$447,B64,$C$8:$C$447,C64,$H$8:$H$447,"Serviço"),IF(H64="SUBETAPA",SUMIFS($N$8:$N$447,$B$8:$B$447,B64,$C$8:$C$447,C64,$D$8:$D$447,D64,$H$8:$H$447,"Serviço"),0))))</f>
        <v/>
      </c>
      <c r="O64" s="59" t="n"/>
      <c r="P64" s="60" t="n"/>
      <c r="Q64" s="61" t="n"/>
    </row>
    <row r="65" outlineLevel="1" customFormat="1" s="40">
      <c r="A65" s="97">
        <f>IF($H65="UNIDADE CONSTRUTIVA",OFFSET(A65,-1,0)+1,LARGE(A$3:A64,1))</f>
        <v/>
      </c>
      <c r="B65" s="97">
        <f>IF(H65="UNIDADE CONSTRUTIVA",0,IF(H65="CÉLULA CONSTRUTIVA",OFFSET(B65,-1,0)+1,OFFSET(B65,-1,0)))</f>
        <v/>
      </c>
      <c r="C65" s="97">
        <f>IF(H65="CÉLULA CONSTRUTIVA",0,IF(H65="ETAPA",OFFSET(C65,-1,0)+1,OFFSET(C65,-1,0)))</f>
        <v/>
      </c>
      <c r="D65" s="98">
        <f>IF(H65="ETAPA",0,IF(H65="SUBETAPA",OFFSET(D65,-1,0)+1,OFFSET(D65,-1,0)))</f>
        <v/>
      </c>
      <c r="E65" s="98">
        <f>IF(H65="Subetapa",0,IF(H65="serviço",OFFSET(E65,-1,0)+1,OFFSET(E65,-1,0)))</f>
        <v/>
      </c>
      <c r="G65" s="52" t="n"/>
      <c r="H65" s="53" t="inlineStr">
        <is>
          <t>ETAPA</t>
        </is>
      </c>
      <c r="I65" s="54">
        <f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/>
      </c>
      <c r="J65" s="55" t="inlineStr">
        <is>
          <t>SEGURANÇA, MEIO AMBIENTE E SAÚDE</t>
        </is>
      </c>
      <c r="K65" s="56" t="n"/>
      <c r="L65" s="57" t="n"/>
      <c r="M65" s="57" t="n"/>
      <c r="N65" s="58">
        <f>IF(H65="Serviço",M65*L65,IF(H65="CÉLULA CONSTRUTIVA",SUMIFS($N$8:$N$447,$B$8:$B$447,B65,$H$8:$H$447,"Serviço"),IF(H65="ETAPA",SUMIFS($N$8:$N$447,$B$8:$B$447,B65,$C$8:$C$447,C65,$H$8:$H$447,"Serviço"),IF(H65="SUBETAPA",SUMIFS($N$8:$N$447,$B$8:$B$447,B65,$C$8:$C$447,C65,$D$8:$D$447,D65,$H$8:$H$447,"Serviço"),0))))</f>
        <v/>
      </c>
      <c r="O65" s="59">
        <f>N65/[1]CAPA!$C$10</f>
        <v/>
      </c>
      <c r="P65" s="60" t="inlineStr">
        <is>
          <t>-</t>
        </is>
      </c>
      <c r="Q65" s="61" t="n"/>
    </row>
    <row r="66" outlineLevel="1" customFormat="1" s="40">
      <c r="A66" s="97">
        <f>IF($H66="UNIDADE CONSTRUTIVA",OFFSET(A66,-1,0)+1,LARGE(A$3:A65,1))</f>
        <v/>
      </c>
      <c r="B66" s="97">
        <f>IF(H66="UNIDADE CONSTRUTIVA",0,IF(H66="CÉLULA CONSTRUTIVA",OFFSET(B66,-1,0)+1,OFFSET(B66,-1,0)))</f>
        <v/>
      </c>
      <c r="C66" s="97">
        <f>IF(H66="CÉLULA CONSTRUTIVA",0,IF(H66="ETAPA",OFFSET(C66,-1,0)+1,OFFSET(C66,-1,0)))</f>
        <v/>
      </c>
      <c r="D66" s="98">
        <f>IF(H66="ETAPA",0,IF(H66="SUBETAPA",OFFSET(D66,-1,0)+1,OFFSET(D66,-1,0)))</f>
        <v/>
      </c>
      <c r="E66" s="98">
        <f>IF(H66="Subetapa",0,IF(H66="serviço",OFFSET(E66,-1,0)+1,OFFSET(E66,-1,0)))</f>
        <v/>
      </c>
      <c r="G66" s="52" t="n"/>
      <c r="H66" s="53" t="inlineStr">
        <is>
          <t>SUBETAPA</t>
        </is>
      </c>
      <c r="I66" s="54">
        <f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/>
      </c>
      <c r="J66" s="62" t="inlineStr">
        <is>
          <t>Segurança do Trabalho</t>
        </is>
      </c>
      <c r="K66" s="56" t="n"/>
      <c r="L66" s="57" t="n"/>
      <c r="M66" s="57" t="n"/>
      <c r="N66" s="58">
        <f>IF(H66="Serviço",M66*L66,IF(H66="CÉLULA CONSTRUTIVA",SUMIFS($N$8:$N$492,$B$8:$B$492,B66,$H$8:$H$492,"Serviço"),IF(H66="ETAPA",SUMIFS($N$8:$N$492,$B$8:$B$492,B66,$C$8:$C$492,C66,$H$8:$H$492,"Serviço"),IF(H66="SUBETAPA",SUMIFS($N$8:$N$492,$B$8:$B$492,B66,$C$8:$C$492,C66,$D$8:$D$492,D66,$H$8:$H$492,"Serviço"),0))))</f>
        <v/>
      </c>
      <c r="O66" s="59">
        <f>N66/[1]CAPA!$C$10</f>
        <v/>
      </c>
      <c r="P66" s="60" t="n"/>
      <c r="Q66" s="61" t="n"/>
      <c r="R66" s="63" t="n"/>
    </row>
    <row r="67" outlineLevel="2" customFormat="1" s="40">
      <c r="A67" s="97">
        <f>IF($H67="UNIDADE CONSTRUTIVA",OFFSET(A67,-1,0)+1,LARGE(A$3:A66,1))</f>
        <v/>
      </c>
      <c r="B67" s="97">
        <f>IF(H67="UNIDADE CONSTRUTIVA",0,IF(H67="CÉLULA CONSTRUTIVA",OFFSET(B67,-1,0)+1,OFFSET(B67,-1,0)))</f>
        <v/>
      </c>
      <c r="C67" s="97">
        <f>IF(H67="CÉLULA CONSTRUTIVA",0,IF(H67="ETAPA",OFFSET(C67,-1,0)+1,OFFSET(C67,-1,0)))</f>
        <v/>
      </c>
      <c r="D67" s="98">
        <f>IF(H67="ETAPA",0,IF(H67="SUBETAPA",OFFSET(D67,-1,0)+1,OFFSET(D67,-1,0)))</f>
        <v/>
      </c>
      <c r="E67" s="98">
        <f>IF(H67="Subetapa",0,IF(H67="serviço",OFFSET(E67,-1,0)+1,OFFSET(E67,-1,0)))</f>
        <v/>
      </c>
      <c r="G67" s="52" t="n"/>
      <c r="H67" s="53" t="inlineStr">
        <is>
          <t>SERVIÇO</t>
        </is>
      </c>
      <c r="I67" s="54">
        <f>IF(H67="Unidade Construtiva",TEXT(A67,"00"),IF(H67="Célula Construtiva",TEXT(B67,"00"),IF(H67="Etapa",CONCATENATE(TEXT(B67,"00"),".",TEXT(C67,"000")),IF(H67="Subetapa",CONCATENATE(TEXT(B67,"00"),".",TEXT(C67,"000"),".",TEXT(D67,"000")),IF(H67="Serviço",CONCATENATE(TEXT(B67,"00"),".",TEXT(C67,"000"),".",TEXT(D67,"000"),".",TEXT(E67,"000")),"")))))</f>
        <v/>
      </c>
      <c r="J67" s="62" t="inlineStr">
        <is>
          <t>Equipamentos de proteção individual - EPI</t>
        </is>
      </c>
      <c r="K67" s="57" t="inlineStr">
        <is>
          <t>vb</t>
        </is>
      </c>
      <c r="L67" s="57">
        <f>_xlfn.XLOOKUP($J67,#REF!,#REF!)</f>
        <v/>
      </c>
      <c r="M67" s="57">
        <f>_xlfn.XLOOKUP($J67,#REF!,#REF!)</f>
        <v/>
      </c>
      <c r="N67" s="58">
        <f>IF(H67="Serviço",M67*L67,IF(H67="CÉLULA CONSTRUTIVA",SUMIFS($N$8:$N$492,$B$8:$B$492,B67,$H$8:$H$492,"Serviço"),IF(H67="ETAPA",SUMIFS($N$8:$N$492,$B$8:$B$492,B67,$C$8:$C$492,C67,$H$8:$H$492,"Serviço"),IF(H67="SUBETAPA",SUMIFS($N$8:$N$492,$B$8:$B$492,B67,$C$8:$C$492,C67,$D$8:$D$492,D67,$H$8:$H$492,"Serviço"),0))))</f>
        <v/>
      </c>
      <c r="O67" s="57">
        <f>_xlfn.XLOOKUP($J67,#REF!,#REF!)</f>
        <v/>
      </c>
      <c r="P67" s="60" t="inlineStr">
        <is>
          <t>Finalizado</t>
        </is>
      </c>
      <c r="Q67" s="61" t="n"/>
      <c r="R67" s="63" t="n"/>
    </row>
    <row r="68" outlineLevel="2" customFormat="1" s="40">
      <c r="A68" s="97">
        <f>IF($H68="UNIDADE CONSTRUTIVA",OFFSET(A68,-1,0)+1,LARGE(A$3:A66,1))</f>
        <v/>
      </c>
      <c r="B68" s="97">
        <f>IF(H68="UNIDADE CONSTRUTIVA",0,IF(H68="CÉLULA CONSTRUTIVA",OFFSET(B68,-1,0)+1,OFFSET(B68,-1,0)))</f>
        <v/>
      </c>
      <c r="C68" s="97">
        <f>IF(H68="CÉLULA CONSTRUTIVA",0,IF(H68="ETAPA",OFFSET(C68,-1,0)+1,OFFSET(C68,-1,0)))</f>
        <v/>
      </c>
      <c r="D68" s="98">
        <f>IF(H68="ETAPA",0,IF(H68="SUBETAPA",OFFSET(D68,-1,0)+1,OFFSET(D68,-1,0)))</f>
        <v/>
      </c>
      <c r="E68" s="98">
        <f>IF(H68="Subetapa",0,IF(H68="serviço",OFFSET(E68,-1,0)+1,OFFSET(E68,-1,0)))</f>
        <v/>
      </c>
      <c r="G68" s="52" t="n"/>
      <c r="H68" s="53" t="inlineStr">
        <is>
          <t>SERVIÇO</t>
        </is>
      </c>
      <c r="I68" s="54">
        <f>IF(H68="Unidade Construtiva",TEXT(A68,"00"),IF(H68="Célula Construtiva",TEXT(B68,"00"),IF(H68="Etapa",CONCATENATE(TEXT(B68,"00"),".",TEXT(C68,"000")),IF(H68="Subetapa",CONCATENATE(TEXT(B68,"00"),".",TEXT(C68,"000"),".",TEXT(D68,"000")),IF(H68="Serviço",CONCATENATE(TEXT(B68,"00"),".",TEXT(C68,"000"),".",TEXT(D68,"000"),".",TEXT(E68,"000")),"")))))</f>
        <v/>
      </c>
      <c r="J68" s="62" t="inlineStr">
        <is>
          <t>Projetos de segurança do trabalho</t>
        </is>
      </c>
      <c r="K68" s="57" t="inlineStr">
        <is>
          <t>vb</t>
        </is>
      </c>
      <c r="L68" s="57">
        <f>_xlfn.XLOOKUP($J68,#REF!,#REF!)</f>
        <v/>
      </c>
      <c r="M68" s="99" t="n">
        <v>7200</v>
      </c>
      <c r="N68" s="58">
        <f>IF(H68="Serviço",M68*L68,IF(H68="CÉLULA CONSTRUTIVA",SUMIFS($N$8:$N$427,$B$8:$B$427,B68,$H$8:$H$427,"Serviço"),IF(H68="ETAPA",SUMIFS($N$8:$N$427,$B$8:$B$427,B68,$C$8:$C$427,C68,$H$8:$H$427,"Serviço"),IF(H68="SUBETAPA",SUMIFS($N$8:$N$427,$B$8:$B$427,B68,$C$8:$C$427,C68,$D$8:$D$427,D68,$H$8:$H$427,"Serviço"),0))))</f>
        <v/>
      </c>
      <c r="O68" s="57">
        <f>_xlfn.XLOOKUP($J68,#REF!,#REF!)</f>
        <v/>
      </c>
      <c r="P68" s="60" t="inlineStr">
        <is>
          <t>Finalizado</t>
        </is>
      </c>
      <c r="Q68" s="61" t="n"/>
    </row>
    <row r="69" outlineLevel="2" ht="22.5" customFormat="1" customHeight="1" s="40">
      <c r="A69" s="97">
        <f>IF($H69="UNIDADE CONSTRUTIVA",OFFSET(A69,-1,0)+1,LARGE(A$3:A67,1))</f>
        <v/>
      </c>
      <c r="B69" s="97">
        <f>IF(H69="UNIDADE CONSTRUTIVA",0,IF(H69="CÉLULA CONSTRUTIVA",OFFSET(B69,-1,0)+1,OFFSET(B69,-1,0)))</f>
        <v/>
      </c>
      <c r="C69" s="97">
        <f>IF(H69="CÉLULA CONSTRUTIVA",0,IF(H69="ETAPA",OFFSET(C69,-1,0)+1,OFFSET(C69,-1,0)))</f>
        <v/>
      </c>
      <c r="D69" s="98">
        <f>IF(H69="ETAPA",0,IF(H69="SUBETAPA",OFFSET(D69,-1,0)+1,OFFSET(D69,-1,0)))</f>
        <v/>
      </c>
      <c r="E69" s="98">
        <f>IF(H69="Subetapa",0,IF(H69="serviço",OFFSET(E69,-1,0)+1,OFFSET(E69,-1,0)))</f>
        <v/>
      </c>
      <c r="G69" s="52" t="n"/>
      <c r="H69" s="53" t="inlineStr">
        <is>
          <t>SERVIÇO</t>
        </is>
      </c>
      <c r="I69" s="54">
        <f>IF(H69="Unidade Construtiva",TEXT(A69,"00"),IF(H69="Célula Construtiva",TEXT(B69,"00"),IF(H69="Etapa",CONCATENATE(TEXT(B69,"00"),".",TEXT(C69,"000")),IF(H69="Subetapa",CONCATENATE(TEXT(B69,"00"),".",TEXT(C69,"000"),".",TEXT(D69,"000")),IF(H69="Serviço",CONCATENATE(TEXT(B69,"00"),".",TEXT(C69,"000"),".",TEXT(D69,"000"),".",TEXT(E69,"000")),"")))))</f>
        <v/>
      </c>
      <c r="J69" s="62" t="inlineStr">
        <is>
          <t>Acompanhamento de segurança do trabalho</t>
        </is>
      </c>
      <c r="K69" s="57" t="inlineStr">
        <is>
          <t>mês</t>
        </is>
      </c>
      <c r="L69" s="57">
        <f>#REF!</f>
        <v/>
      </c>
      <c r="M69" s="57" t="n">
        <v>5200</v>
      </c>
      <c r="N69" s="58">
        <f>IF(H69="Serviço",M69*L69,IF(H69="CÉLULA CONSTRUTIVA",SUMIFS($N$8:$N$427,$B$8:$B$427,B69,$H$8:$H$427,"Serviço"),IF(H69="ETAPA",SUMIFS($N$8:$N$427,$B$8:$B$427,B69,$C$8:$C$427,C69,$H$8:$H$427,"Serviço"),IF(H69="SUBETAPA",SUMIFS($N$8:$N$427,$B$8:$B$427,B69,$C$8:$C$427,C69,$D$8:$D$427,D69,$H$8:$H$427,"Serviço"),0))))</f>
        <v/>
      </c>
      <c r="O69" s="57" t="inlineStr">
        <is>
          <t>Repessado pela Gessele na reunião do dia 05/03/2026 - incluir acompanhamento seg trabalho: R$ 5200 / mês - R$ 99k já pagos</t>
        </is>
      </c>
      <c r="P69" s="60" t="inlineStr">
        <is>
          <t>Finalizado</t>
        </is>
      </c>
      <c r="Q69" s="61" t="n"/>
    </row>
    <row r="70" outlineLevel="1" customFormat="1" s="40">
      <c r="A70" s="97">
        <f>IF($H70="UNIDADE CONSTRUTIVA",OFFSET(A70,-1,0)+1,LARGE(A$3:A69,1))</f>
        <v/>
      </c>
      <c r="B70" s="97">
        <f>IF(H70="UNIDADE CONSTRUTIVA",0,IF(H70="CÉLULA CONSTRUTIVA",OFFSET(B70,-1,0)+1,OFFSET(B70,-1,0)))</f>
        <v/>
      </c>
      <c r="C70" s="97">
        <f>IF(H70="CÉLULA CONSTRUTIVA",0,IF(H70="ETAPA",OFFSET(C70,-1,0)+1,OFFSET(C70,-1,0)))</f>
        <v/>
      </c>
      <c r="D70" s="98">
        <f>IF(H70="ETAPA",0,IF(H70="SUBETAPA",OFFSET(D70,-1,0)+1,OFFSET(D70,-1,0)))</f>
        <v/>
      </c>
      <c r="E70" s="98">
        <f>IF(H70="Subetapa",0,IF(H70="serviço",OFFSET(E70,-1,0)+1,OFFSET(E70,-1,0)))</f>
        <v/>
      </c>
      <c r="G70" s="52" t="n"/>
      <c r="H70" s="53" t="inlineStr">
        <is>
          <t>SUBETAPA</t>
        </is>
      </c>
      <c r="I70" s="54">
        <f>IF(H70="Unidade Construtiva",TEXT(A70,"00"),IF(H70="Célula Construtiva",TEXT(B70,"00"),IF(H70="Etapa",CONCATENATE(TEXT(B70,"00"),".",TEXT(C70,"000")),IF(H70="Subetapa",CONCATENATE(TEXT(B70,"00"),".",TEXT(C70,"000"),".",TEXT(D70,"000")),IF(H70="Serviço",CONCATENATE(TEXT(B70,"00"),".",TEXT(C70,"000"),".",TEXT(D70,"000"),".",TEXT(E70,"000")),"")))))</f>
        <v/>
      </c>
      <c r="J70" s="55" t="inlineStr">
        <is>
          <t>Equipamentos de proteção</t>
        </is>
      </c>
      <c r="K70" s="56" t="n"/>
      <c r="L70" s="57" t="n"/>
      <c r="M70" s="57" t="n"/>
      <c r="N70" s="58">
        <f>IF(H70="Serviço",M70*L70,IF(H70="CÉLULA CONSTRUTIVA",SUMIFS($N$8:$N$447,$B$8:$B$447,B70,$H$8:$H$447,"Serviço"),IF(H70="ETAPA",SUMIFS($N$8:$N$447,$B$8:$B$447,B70,$C$8:$C$447,C70,$H$8:$H$447,"Serviço"),IF(H70="SUBETAPA",SUMIFS($N$8:$N$447,$B$8:$B$447,B70,$C$8:$C$447,C70,$D$8:$D$447,D70,$H$8:$H$447,"Serviço"),0))))</f>
        <v/>
      </c>
      <c r="O70" s="59">
        <f>N70/[1]CAPA!$C$10</f>
        <v/>
      </c>
      <c r="P70" s="60" t="n"/>
      <c r="Q70" s="61" t="n"/>
    </row>
    <row r="71" outlineLevel="2" customFormat="1" s="40">
      <c r="A71" s="97">
        <f>IF($H71="UNIDADE CONSTRUTIVA",OFFSET(A71,-1,0)+1,LARGE(A$3:A70,1))</f>
        <v/>
      </c>
      <c r="B71" s="97">
        <f>IF(H71="UNIDADE CONSTRUTIVA",0,IF(H71="CÉLULA CONSTRUTIVA",OFFSET(B71,-1,0)+1,OFFSET(B71,-1,0)))</f>
        <v/>
      </c>
      <c r="C71" s="97">
        <f>IF(H71="CÉLULA CONSTRUTIVA",0,IF(H71="ETAPA",OFFSET(C71,-1,0)+1,OFFSET(C71,-1,0)))</f>
        <v/>
      </c>
      <c r="D71" s="98">
        <f>IF(H71="ETAPA",0,IF(H71="SUBETAPA",OFFSET(D71,-1,0)+1,OFFSET(D71,-1,0)))</f>
        <v/>
      </c>
      <c r="E71" s="98">
        <f>IF(H71="Subetapa",0,IF(H71="serviço",OFFSET(E71,-1,0)+1,OFFSET(E71,-1,0)))</f>
        <v/>
      </c>
      <c r="G71" s="52" t="n"/>
      <c r="H71" s="53" t="inlineStr">
        <is>
          <t>SERVIÇO</t>
        </is>
      </c>
      <c r="I71" s="54">
        <f>IF(H71="Unidade Construtiva",TEXT(A71,"00"),IF(H71="Célula Construtiva",TEXT(B71,"00"),IF(H71="Etapa",CONCATENATE(TEXT(B71,"00"),".",TEXT(C71,"000")),IF(H71="Subetapa",CONCATENATE(TEXT(B71,"00"),".",TEXT(C71,"000"),".",TEXT(D71,"000")),IF(H71="Serviço",CONCATENATE(TEXT(B71,"00"),".",TEXT(C71,"000"),".",TEXT(D71,"000"),".",TEXT(E71,"000")),"")))))</f>
        <v/>
      </c>
      <c r="J71" s="55" t="inlineStr">
        <is>
          <t>Bandeja de proteção primária</t>
        </is>
      </c>
      <c r="K71" s="57">
        <f>_xlfn.XLOOKUP($J71,#REF!,#REF!)</f>
        <v/>
      </c>
      <c r="L71" s="57">
        <f>_xlfn.XLOOKUP($J71,#REF!,#REF!)</f>
        <v/>
      </c>
      <c r="M71" s="57">
        <f>_xlfn.XLOOKUP($J71,[1]CPU!$D$1:$D$3657,[1]CPU!$H$1:$H$3657)</f>
        <v/>
      </c>
      <c r="N71" s="58">
        <f>IF(H71="Serviço",M71*L71,IF(H71="CÉLULA CONSTRUTIVA",SUMIFS($N$8:$N$447,$B$8:$B$447,B71,$H$8:$H$447,"Serviço"),IF(H71="ETAPA",SUMIFS($N$8:$N$447,$B$8:$B$447,B71,$C$8:$C$447,C71,$H$8:$H$447,"Serviço"),IF(H71="SUBETAPA",SUMIFS($N$8:$N$447,$B$8:$B$447,B71,$C$8:$C$447,C71,$D$8:$D$447,D71,$H$8:$H$447,"Serviço"),0))))</f>
        <v/>
      </c>
      <c r="O71" s="65" t="inlineStr">
        <is>
          <t>EPC'S</t>
        </is>
      </c>
      <c r="P71" s="60" t="inlineStr">
        <is>
          <t>Finalizado</t>
        </is>
      </c>
      <c r="Q71" s="61" t="n"/>
    </row>
    <row r="72" outlineLevel="2" customFormat="1" s="40">
      <c r="A72" s="97">
        <f>IF($H72="UNIDADE CONSTRUTIVA",OFFSET(A72,-1,0)+1,LARGE(A$3:A71,1))</f>
        <v/>
      </c>
      <c r="B72" s="97">
        <f>IF(H72="UNIDADE CONSTRUTIVA",0,IF(H72="CÉLULA CONSTRUTIVA",OFFSET(B72,-1,0)+1,OFFSET(B72,-1,0)))</f>
        <v/>
      </c>
      <c r="C72" s="97">
        <f>IF(H72="CÉLULA CONSTRUTIVA",0,IF(H72="ETAPA",OFFSET(C72,-1,0)+1,OFFSET(C72,-1,0)))</f>
        <v/>
      </c>
      <c r="D72" s="98">
        <f>IF(H72="ETAPA",0,IF(H72="SUBETAPA",OFFSET(D72,-1,0)+1,OFFSET(D72,-1,0)))</f>
        <v/>
      </c>
      <c r="E72" s="98">
        <f>IF(H72="Subetapa",0,IF(H72="serviço",OFFSET(E72,-1,0)+1,OFFSET(E72,-1,0)))</f>
        <v/>
      </c>
      <c r="G72" s="52" t="n"/>
      <c r="H72" s="53" t="inlineStr">
        <is>
          <t>SERVIÇO</t>
        </is>
      </c>
      <c r="I72" s="54">
        <f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/>
      </c>
      <c r="J72" s="55" t="inlineStr">
        <is>
          <t>Bandeja de proteção secundária</t>
        </is>
      </c>
      <c r="K72" s="57">
        <f>_xlfn.XLOOKUP($J72,#REF!,#REF!)</f>
        <v/>
      </c>
      <c r="L72" s="57">
        <f>_xlfn.XLOOKUP($J72,#REF!,#REF!)</f>
        <v/>
      </c>
      <c r="M72" s="57">
        <f>_xlfn.XLOOKUP($J72,[1]CPU!$D$1:$D$3657,[1]CPU!$H$1:$H$3657)</f>
        <v/>
      </c>
      <c r="N72" s="58">
        <f>IF(H72="Serviço",M72*L72,IF(H72="CÉLULA CONSTRUTIVA",SUMIFS($N$8:$N$447,$B$8:$B$447,B72,$H$8:$H$447,"Serviço"),IF(H72="ETAPA",SUMIFS($N$8:$N$447,$B$8:$B$447,B72,$C$8:$C$447,C72,$H$8:$H$447,"Serviço"),IF(H72="SUBETAPA",SUMIFS($N$8:$N$447,$B$8:$B$447,B72,$C$8:$C$447,C72,$D$8:$D$447,D72,$H$8:$H$447,"Serviço"),0))))</f>
        <v/>
      </c>
      <c r="O72" s="65" t="inlineStr">
        <is>
          <t>EPC'S</t>
        </is>
      </c>
      <c r="P72" s="60" t="inlineStr">
        <is>
          <t>Finalizado</t>
        </is>
      </c>
      <c r="Q72" s="61" t="n"/>
    </row>
    <row r="73" outlineLevel="2" customFormat="1" s="40">
      <c r="A73" s="97">
        <f>IF($H73="UNIDADE CONSTRUTIVA",OFFSET(A73,-1,0)+1,LARGE(A$3:A72,1))</f>
        <v/>
      </c>
      <c r="B73" s="97">
        <f>IF(H73="UNIDADE CONSTRUTIVA",0,IF(H73="CÉLULA CONSTRUTIVA",OFFSET(B73,-1,0)+1,OFFSET(B73,-1,0)))</f>
        <v/>
      </c>
      <c r="C73" s="97">
        <f>IF(H73="CÉLULA CONSTRUTIVA",0,IF(H73="ETAPA",OFFSET(C73,-1,0)+1,OFFSET(C73,-1,0)))</f>
        <v/>
      </c>
      <c r="D73" s="98">
        <f>IF(H73="ETAPA",0,IF(H73="SUBETAPA",OFFSET(D73,-1,0)+1,OFFSET(D73,-1,0)))</f>
        <v/>
      </c>
      <c r="E73" s="98">
        <f>IF(H73="Subetapa",0,IF(H73="serviço",OFFSET(E73,-1,0)+1,OFFSET(E73,-1,0)))</f>
        <v/>
      </c>
      <c r="G73" s="52" t="n"/>
      <c r="H73" s="53" t="inlineStr">
        <is>
          <t>SERVIÇO</t>
        </is>
      </c>
      <c r="I73" s="54">
        <f>IF(H73="Unidade Construtiva",TEXT(A73,"00"),IF(H73="Célula Construtiva",TEXT(B73,"00"),IF(H73="Etapa",CONCATENATE(TEXT(B73,"00"),".",TEXT(C73,"000")),IF(H73="Subetapa",CONCATENATE(TEXT(B73,"00"),".",TEXT(C73,"000"),".",TEXT(D73,"000")),IF(H73="Serviço",CONCATENATE(TEXT(B73,"00"),".",TEXT(C73,"000"),".",TEXT(D73,"000"),".",TEXT(E73,"000")),"")))))</f>
        <v/>
      </c>
      <c r="J73" s="55" t="inlineStr">
        <is>
          <t>Guarda-corpo de vãos, fixado em fôrma de madeira, em trama de madeira com tela de polipropileno</t>
        </is>
      </c>
      <c r="K73" s="57">
        <f>_xlfn.XLOOKUP($J73,#REF!,#REF!)</f>
        <v/>
      </c>
      <c r="L73" s="57">
        <f>_xlfn.XLOOKUP($J73,#REF!,#REF!)</f>
        <v/>
      </c>
      <c r="M73" s="57">
        <f>_xlfn.XLOOKUP($J73,[1]CPU!$D$1:$D$3657,[1]CPU!$H$1:$H$3657)</f>
        <v/>
      </c>
      <c r="N73" s="58">
        <f>IF(H73="Serviço",M73*L73,IF(H73="CÉLULA CONSTRUTIVA",SUMIFS($N$8:$N$447,$B$8:$B$447,B73,$H$8:$H$447,"Serviço"),IF(H73="ETAPA",SUMIFS($N$8:$N$447,$B$8:$B$447,B73,$C$8:$C$447,C73,$H$8:$H$447,"Serviço"),IF(H73="SUBETAPA",SUMIFS($N$8:$N$447,$B$8:$B$447,B73,$C$8:$C$447,C73,$D$8:$D$447,D73,$H$8:$H$447,"Serviço"),0))))</f>
        <v/>
      </c>
      <c r="O73" s="65" t="inlineStr">
        <is>
          <t>EPC'S</t>
        </is>
      </c>
      <c r="P73" s="60" t="inlineStr">
        <is>
          <t>Finalizado</t>
        </is>
      </c>
      <c r="Q73" s="61" t="n"/>
    </row>
    <row r="74" outlineLevel="2" customFormat="1" s="40">
      <c r="A74" s="97">
        <f>IF($H74="UNIDADE CONSTRUTIVA",OFFSET(A74,-1,0)+1,LARGE(A$3:A73,1))</f>
        <v/>
      </c>
      <c r="B74" s="97">
        <f>IF(H74="UNIDADE CONSTRUTIVA",0,IF(H74="CÉLULA CONSTRUTIVA",OFFSET(B74,-1,0)+1,OFFSET(B74,-1,0)))</f>
        <v/>
      </c>
      <c r="C74" s="97">
        <f>IF(H74="CÉLULA CONSTRUTIVA",0,IF(H74="ETAPA",OFFSET(C74,-1,0)+1,OFFSET(C74,-1,0)))</f>
        <v/>
      </c>
      <c r="D74" s="98">
        <f>IF(H74="ETAPA",0,IF(H74="SUBETAPA",OFFSET(D74,-1,0)+1,OFFSET(D74,-1,0)))</f>
        <v/>
      </c>
      <c r="E74" s="98">
        <f>IF(H74="Subetapa",0,IF(H74="serviço",OFFSET(E74,-1,0)+1,OFFSET(E74,-1,0)))</f>
        <v/>
      </c>
      <c r="G74" s="52" t="n"/>
      <c r="H74" s="53" t="inlineStr">
        <is>
          <t>SERVIÇO</t>
        </is>
      </c>
      <c r="I74" s="54">
        <f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/>
      </c>
      <c r="J74" s="55" t="inlineStr">
        <is>
          <t>Guarda-corpo em laje pós-desforma com Escora metálica, travessões e tela</t>
        </is>
      </c>
      <c r="K74" s="57">
        <f>_xlfn.XLOOKUP($J74,#REF!,#REF!)</f>
        <v/>
      </c>
      <c r="L74" s="57">
        <f>_xlfn.XLOOKUP($J74,#REF!,#REF!)</f>
        <v/>
      </c>
      <c r="M74" s="57">
        <f>_xlfn.XLOOKUP($J74,[1]CPU!$D$1:$D$3657,[1]CPU!$H$1:$H$3657)</f>
        <v/>
      </c>
      <c r="N74" s="58">
        <f>IF(H74="Serviço",M74*L74,IF(H74="CÉLULA CONSTRUTIVA",SUMIFS($N$8:$N$447,$B$8:$B$447,B74,$H$8:$H$447,"Serviço"),IF(H74="ETAPA",SUMIFS($N$8:$N$447,$B$8:$B$447,B74,$C$8:$C$447,C74,$H$8:$H$447,"Serviço"),IF(H74="SUBETAPA",SUMIFS($N$8:$N$447,$B$8:$B$447,B74,$C$8:$C$447,C74,$D$8:$D$447,D74,$H$8:$H$447,"Serviço"),0))))</f>
        <v/>
      </c>
      <c r="O74" s="65" t="inlineStr">
        <is>
          <t>EPC'S</t>
        </is>
      </c>
      <c r="P74" s="60" t="inlineStr">
        <is>
          <t>Finalizado</t>
        </is>
      </c>
      <c r="Q74" s="61" t="n"/>
    </row>
    <row r="75" outlineLevel="2" customFormat="1" s="40">
      <c r="A75" s="97">
        <f>IF($H75="UNIDADE CONSTRUTIVA",OFFSET(A75,-1,0)+1,LARGE(A$3:A74,1))</f>
        <v/>
      </c>
      <c r="B75" s="97">
        <f>IF(H75="UNIDADE CONSTRUTIVA",0,IF(H75="CÉLULA CONSTRUTIVA",OFFSET(B75,-1,0)+1,OFFSET(B75,-1,0)))</f>
        <v/>
      </c>
      <c r="C75" s="97">
        <f>IF(H75="CÉLULA CONSTRUTIVA",0,IF(H75="ETAPA",OFFSET(C75,-1,0)+1,OFFSET(C75,-1,0)))</f>
        <v/>
      </c>
      <c r="D75" s="98">
        <f>IF(H75="ETAPA",0,IF(H75="SUBETAPA",OFFSET(D75,-1,0)+1,OFFSET(D75,-1,0)))</f>
        <v/>
      </c>
      <c r="E75" s="98">
        <f>IF(H75="Subetapa",0,IF(H75="serviço",OFFSET(E75,-1,0)+1,OFFSET(E75,-1,0)))</f>
        <v/>
      </c>
      <c r="G75" s="52" t="n"/>
      <c r="H75" s="53" t="inlineStr">
        <is>
          <t>SERVIÇO</t>
        </is>
      </c>
      <c r="I75" s="54">
        <f>IF(H75="Unidade Construtiva",TEXT(A75,"00"),IF(H75="Célula Construtiva",TEXT(B75,"00"),IF(H75="Etapa",CONCATENATE(TEXT(B75,"00"),".",TEXT(C75,"000")),IF(H75="Subetapa",CONCATENATE(TEXT(B75,"00"),".",TEXT(C75,"000"),".",TEXT(D75,"000")),IF(H75="Serviço",CONCATENATE(TEXT(B75,"00"),".",TEXT(C75,"000"),".",TEXT(D75,"000"),".",TEXT(E75,"000")),"")))))</f>
        <v/>
      </c>
      <c r="J75" s="55" t="inlineStr">
        <is>
          <t>Tela fachadeira</t>
        </is>
      </c>
      <c r="K75" s="57">
        <f>_xlfn.XLOOKUP($J75,#REF!,#REF!)</f>
        <v/>
      </c>
      <c r="L75" s="57">
        <f>_xlfn.XLOOKUP($J75,#REF!,#REF!)</f>
        <v/>
      </c>
      <c r="M75" s="57">
        <f>_xlfn.XLOOKUP($J75,[1]CPU!$D$1:$D$3657,[1]CPU!$H$1:$H$3657)</f>
        <v/>
      </c>
      <c r="N75" s="58">
        <f>IF(H75="Serviço",M75*L75,IF(H75="CÉLULA CONSTRUTIVA",SUMIFS($N$8:$N$447,$B$8:$B$447,B75,$H$8:$H$447,"Serviço"),IF(H75="ETAPA",SUMIFS($N$8:$N$447,$B$8:$B$447,B75,$C$8:$C$447,C75,$H$8:$H$447,"Serviço"),IF(H75="SUBETAPA",SUMIFS($N$8:$N$447,$B$8:$B$447,B75,$C$8:$C$447,C75,$D$8:$D$447,D75,$H$8:$H$447,"Serviço"),0))))</f>
        <v/>
      </c>
      <c r="O75" s="65" t="inlineStr">
        <is>
          <t>EPC'S</t>
        </is>
      </c>
      <c r="P75" s="60" t="inlineStr">
        <is>
          <t>Finalizado</t>
        </is>
      </c>
      <c r="Q75" s="61" t="n"/>
    </row>
    <row r="76" outlineLevel="2" customFormat="1" s="40">
      <c r="A76" s="97">
        <f>IF($H76="UNIDADE CONSTRUTIVA",OFFSET(A76,-1,0)+1,LARGE(A$3:A75,1))</f>
        <v/>
      </c>
      <c r="B76" s="97">
        <f>IF(H76="UNIDADE CONSTRUTIVA",0,IF(H76="CÉLULA CONSTRUTIVA",OFFSET(B76,-1,0)+1,OFFSET(B76,-1,0)))</f>
        <v/>
      </c>
      <c r="C76" s="97">
        <f>IF(H76="CÉLULA CONSTRUTIVA",0,IF(H76="ETAPA",OFFSET(C76,-1,0)+1,OFFSET(C76,-1,0)))</f>
        <v/>
      </c>
      <c r="D76" s="98">
        <f>IF(H76="ETAPA",0,IF(H76="SUBETAPA",OFFSET(D76,-1,0)+1,OFFSET(D76,-1,0)))</f>
        <v/>
      </c>
      <c r="E76" s="98">
        <f>IF(H76="Subetapa",0,IF(H76="serviço",OFFSET(E76,-1,0)+1,OFFSET(E76,-1,0)))</f>
        <v/>
      </c>
      <c r="G76" s="52" t="n"/>
      <c r="H76" s="53" t="inlineStr">
        <is>
          <t>SERVIÇO</t>
        </is>
      </c>
      <c r="I76" s="54">
        <f>IF(H76="Unidade Construtiva",TEXT(A76,"00"),IF(H76="Célula Construtiva",TEXT(B76,"00"),IF(H76="Etapa",CONCATENATE(TEXT(B76,"00"),".",TEXT(C76,"000")),IF(H76="Subetapa",CONCATENATE(TEXT(B76,"00"),".",TEXT(C76,"000"),".",TEXT(D76,"000")),IF(H76="Serviço",CONCATENATE(TEXT(B76,"00"),".",TEXT(C76,"000"),".",TEXT(D76,"000"),".",TEXT(E76,"000")),"")))))</f>
        <v/>
      </c>
      <c r="J76" s="55" t="inlineStr">
        <is>
          <t>Fechamento removível de vãos de porta de elevador em madeira</t>
        </is>
      </c>
      <c r="K76" s="57">
        <f>_xlfn.XLOOKUP($J76,#REF!,#REF!)</f>
        <v/>
      </c>
      <c r="L76" s="57">
        <f>_xlfn.XLOOKUP($J76,#REF!,#REF!)</f>
        <v/>
      </c>
      <c r="M76" s="57">
        <f>_xlfn.XLOOKUP($J76,[1]CPU!$D$1:$D$3657,[1]CPU!$H$1:$H$3657)</f>
        <v/>
      </c>
      <c r="N76" s="58">
        <f>IF(H76="Serviço",M76*L76,IF(H76="CÉLULA CONSTRUTIVA",SUMIFS($N$8:$N$447,$B$8:$B$447,B76,$H$8:$H$447,"Serviço"),IF(H76="ETAPA",SUMIFS($N$8:$N$447,$B$8:$B$447,B76,$C$8:$C$447,C76,$H$8:$H$447,"Serviço"),IF(H76="SUBETAPA",SUMIFS($N$8:$N$447,$B$8:$B$447,B76,$C$8:$C$447,C76,$D$8:$D$447,D76,$H$8:$H$447,"Serviço"),0))))</f>
        <v/>
      </c>
      <c r="O76" s="65" t="inlineStr">
        <is>
          <t>EPC'S</t>
        </is>
      </c>
      <c r="P76" s="60" t="inlineStr">
        <is>
          <t>Finalizado</t>
        </is>
      </c>
      <c r="Q76" s="61" t="n"/>
    </row>
    <row r="77" outlineLevel="2" customFormat="1" s="40">
      <c r="A77" s="97">
        <f>IF($H77="UNIDADE CONSTRUTIVA",OFFSET(A77,-1,0)+1,LARGE(A$3:A76,1))</f>
        <v/>
      </c>
      <c r="B77" s="97">
        <f>IF(H77="UNIDADE CONSTRUTIVA",0,IF(H77="CÉLULA CONSTRUTIVA",OFFSET(B77,-1,0)+1,OFFSET(B77,-1,0)))</f>
        <v/>
      </c>
      <c r="C77" s="97">
        <f>IF(H77="CÉLULA CONSTRUTIVA",0,IF(H77="ETAPA",OFFSET(C77,-1,0)+1,OFFSET(C77,-1,0)))</f>
        <v/>
      </c>
      <c r="D77" s="98">
        <f>IF(H77="ETAPA",0,IF(H77="SUBETAPA",OFFSET(D77,-1,0)+1,OFFSET(D77,-1,0)))</f>
        <v/>
      </c>
      <c r="E77" s="98">
        <f>IF(H77="Subetapa",0,IF(H77="serviço",OFFSET(E77,-1,0)+1,OFFSET(E77,-1,0)))</f>
        <v/>
      </c>
      <c r="G77" s="52" t="n"/>
      <c r="H77" s="53" t="inlineStr">
        <is>
          <t>SERVIÇO</t>
        </is>
      </c>
      <c r="I77" s="54">
        <f>IF(H77="Unidade Construtiva",TEXT(A77,"00"),IF(H77="Célula Construtiva",TEXT(B77,"00"),IF(H77="Etapa",CONCATENATE(TEXT(B77,"00"),".",TEXT(C77,"000")),IF(H77="Subetapa",CONCATENATE(TEXT(B77,"00"),".",TEXT(C77,"000"),".",TEXT(D77,"000")),IF(H77="Serviço",CONCATENATE(TEXT(B77,"00"),".",TEXT(C77,"000"),".",TEXT(D77,"000"),".",TEXT(E77,"000")),"")))))</f>
        <v/>
      </c>
      <c r="J77" s="55" t="inlineStr">
        <is>
          <t>Varal de segurança com cabo de aço (linha de vida)</t>
        </is>
      </c>
      <c r="K77" s="57" t="inlineStr">
        <is>
          <t>vb</t>
        </is>
      </c>
      <c r="L77" s="57" t="n">
        <v>1</v>
      </c>
      <c r="M77" s="57" t="n">
        <v>100000</v>
      </c>
      <c r="N77" s="58">
        <f>IF(H77="Serviço",M77*L77,IF(H77="CÉLULA CONSTRUTIVA",SUMIFS($N$8:$N$447,$B$8:$B$447,B77,$H$8:$H$447,"Serviço"),IF(H77="ETAPA",SUMIFS($N$8:$N$447,$B$8:$B$447,B77,$C$8:$C$447,C77,$H$8:$H$447,"Serviço"),IF(H77="SUBETAPA",SUMIFS($N$8:$N$447,$B$8:$B$447,B77,$C$8:$C$447,C77,$D$8:$D$447,D77,$H$8:$H$447,"Serviço"),0))))</f>
        <v/>
      </c>
      <c r="O77" s="57" t="inlineStr">
        <is>
          <t>Repessado pela Gessele na reunião do dia 05/03/2026</t>
        </is>
      </c>
      <c r="P77" s="60" t="inlineStr">
        <is>
          <t>Finalizado</t>
        </is>
      </c>
      <c r="Q77" s="61" t="n"/>
    </row>
    <row r="78" outlineLevel="2" ht="22.5" customFormat="1" customHeight="1" s="40">
      <c r="A78" s="97">
        <f>IF($H78="UNIDADE CONSTRUTIVA",OFFSET(A78,-1,0)+1,LARGE(A$3:A76,1))</f>
        <v/>
      </c>
      <c r="B78" s="97">
        <f>IF(H78="UNIDADE CONSTRUTIVA",0,IF(H78="CÉLULA CONSTRUTIVA",OFFSET(B78,-1,0)+1,OFFSET(B78,-1,0)))</f>
        <v/>
      </c>
      <c r="C78" s="97">
        <f>IF(H78="CÉLULA CONSTRUTIVA",0,IF(H78="ETAPA",OFFSET(C78,-1,0)+1,OFFSET(C78,-1,0)))</f>
        <v/>
      </c>
      <c r="D78" s="98">
        <f>IF(H78="ETAPA",0,IF(H78="SUBETAPA",OFFSET(D78,-1,0)+1,OFFSET(D78,-1,0)))</f>
        <v/>
      </c>
      <c r="E78" s="98">
        <f>IF(H78="Subetapa",0,IF(H78="serviço",OFFSET(E78,-1,0)+1,OFFSET(E78,-1,0)))</f>
        <v/>
      </c>
      <c r="G78" s="52" t="n"/>
      <c r="H78" s="53" t="inlineStr">
        <is>
          <t>SERVIÇO</t>
        </is>
      </c>
      <c r="I78" s="54">
        <f>IF(H78="Unidade Construtiva",TEXT(A78,"00"),IF(H78="Célula Construtiva",TEXT(B78,"00"),IF(H78="Etapa",CONCATENATE(TEXT(B78,"00"),".",TEXT(C78,"000")),IF(H78="Subetapa",CONCATENATE(TEXT(B78,"00"),".",TEXT(C78,"000"),".",TEXT(D78,"000")),IF(H78="Serviço",CONCATENATE(TEXT(B78,"00"),".",TEXT(C78,"000"),".",TEXT(D78,"000"),".",TEXT(E78,"000")),"")))))</f>
        <v/>
      </c>
      <c r="J78" s="55" t="inlineStr">
        <is>
          <t>Tela SLQA</t>
        </is>
      </c>
      <c r="K78" s="57" t="inlineStr">
        <is>
          <t>vb</t>
        </is>
      </c>
      <c r="L78" s="57" t="n">
        <v>1</v>
      </c>
      <c r="M78" s="57" t="n">
        <v>110000</v>
      </c>
      <c r="N78" s="58">
        <f>IF(H78="Serviço",M78*L78,IF(H78="CÉLULA CONSTRUTIVA",SUMIFS($N$8:$N$447,$B$8:$B$447,B78,$H$8:$H$447,"Serviço"),IF(H78="ETAPA",SUMIFS($N$8:$N$447,$B$8:$B$447,B78,$C$8:$C$447,C78,$H$8:$H$447,"Serviço"),IF(H78="SUBETAPA",SUMIFS($N$8:$N$447,$B$8:$B$447,B78,$C$8:$C$447,C78,$D$8:$D$447,D78,$H$8:$H$447,"Serviço"),0))))</f>
        <v/>
      </c>
      <c r="O78" s="57" t="inlineStr">
        <is>
          <t>Repessado pela Gessele na reunião do dia 05/03/2026 - orçamentos R$ 110k  + 10x ascenção R$ 5k</t>
        </is>
      </c>
      <c r="P78" s="60" t="inlineStr">
        <is>
          <t>Finalizado</t>
        </is>
      </c>
      <c r="Q78" s="61" t="n"/>
    </row>
    <row r="79" outlineLevel="2" ht="22.5" customFormat="1" customHeight="1" s="40">
      <c r="A79" s="97">
        <f>IF($H79="UNIDADE CONSTRUTIVA",OFFSET(A79,-1,0)+1,LARGE(A$3:A77,1))</f>
        <v/>
      </c>
      <c r="B79" s="97">
        <f>IF(H79="UNIDADE CONSTRUTIVA",0,IF(H79="CÉLULA CONSTRUTIVA",OFFSET(B79,-1,0)+1,OFFSET(B79,-1,0)))</f>
        <v/>
      </c>
      <c r="C79" s="97">
        <f>IF(H79="CÉLULA CONSTRUTIVA",0,IF(H79="ETAPA",OFFSET(C79,-1,0)+1,OFFSET(C79,-1,0)))</f>
        <v/>
      </c>
      <c r="D79" s="98">
        <f>IF(H79="ETAPA",0,IF(H79="SUBETAPA",OFFSET(D79,-1,0)+1,OFFSET(D79,-1,0)))</f>
        <v/>
      </c>
      <c r="E79" s="98">
        <f>IF(H79="Subetapa",0,IF(H79="serviço",OFFSET(E79,-1,0)+1,OFFSET(E79,-1,0)))</f>
        <v/>
      </c>
      <c r="G79" s="52" t="n"/>
      <c r="H79" s="53" t="inlineStr">
        <is>
          <t>SERVIÇO</t>
        </is>
      </c>
      <c r="I79" s="54">
        <f>IF(H79="Unidade Construtiva",TEXT(A79,"00"),IF(H79="Célula Construtiva",TEXT(B79,"00"),IF(H79="Etapa",CONCATENATE(TEXT(B79,"00"),".",TEXT(C79,"000")),IF(H79="Subetapa",CONCATENATE(TEXT(B79,"00"),".",TEXT(C79,"000"),".",TEXT(D79,"000")),IF(H79="Serviço",CONCATENATE(TEXT(B79,"00"),".",TEXT(C79,"000"),".",TEXT(D79,"000"),".",TEXT(E79,"000")),"")))))</f>
        <v/>
      </c>
      <c r="J79" s="55" t="inlineStr">
        <is>
          <t>Ascenção da Tela SLQA</t>
        </is>
      </c>
      <c r="K79" s="57" t="inlineStr">
        <is>
          <t>um</t>
        </is>
      </c>
      <c r="L79" s="57" t="n">
        <v>10</v>
      </c>
      <c r="M79" s="57" t="n">
        <v>5000</v>
      </c>
      <c r="N79" s="58">
        <f>IF(H79="Serviço",M79*L79,IF(H79="CÉLULA CONSTRUTIVA",SUMIFS($N$8:$N$447,$B$8:$B$447,B79,$H$8:$H$447,"Serviço"),IF(H79="ETAPA",SUMIFS($N$8:$N$447,$B$8:$B$447,B79,$C$8:$C$447,C79,$H$8:$H$447,"Serviço"),IF(H79="SUBETAPA",SUMIFS($N$8:$N$447,$B$8:$B$447,B79,$C$8:$C$447,C79,$D$8:$D$447,D79,$H$8:$H$447,"Serviço"),0))))</f>
        <v/>
      </c>
      <c r="O79" s="57" t="inlineStr">
        <is>
          <t>Repessado pela Gessele na reunião do dia 05/03/2026 - orçamentos R$ 110k  + 10x ascenção R$ 5k</t>
        </is>
      </c>
      <c r="P79" s="60" t="inlineStr">
        <is>
          <t>Finalizado</t>
        </is>
      </c>
      <c r="Q79" s="61" t="n"/>
    </row>
    <row r="80" outlineLevel="1" customFormat="1" s="40">
      <c r="A80" s="97">
        <f>IF($H80="UNIDADE CONSTRUTIVA",OFFSET(A80,-1,0)+1,LARGE(A$3:A79,1))</f>
        <v/>
      </c>
      <c r="B80" s="97">
        <f>IF(H80="UNIDADE CONSTRUTIVA",0,IF(H80="CÉLULA CONSTRUTIVA",OFFSET(B80,-1,0)+1,OFFSET(B80,-1,0)))</f>
        <v/>
      </c>
      <c r="C80" s="97">
        <f>IF(H80="CÉLULA CONSTRUTIVA",0,IF(H80="ETAPA",OFFSET(C80,-1,0)+1,OFFSET(C80,-1,0)))</f>
        <v/>
      </c>
      <c r="D80" s="98">
        <f>IF(H80="ETAPA",0,IF(H80="SUBETAPA",OFFSET(D80,-1,0)+1,OFFSET(D80,-1,0)))</f>
        <v/>
      </c>
      <c r="E80" s="98">
        <f>IF(H80="Subetapa",0,IF(H80="serviço",OFFSET(E80,-1,0)+1,OFFSET(E80,-1,0)))</f>
        <v/>
      </c>
      <c r="G80" s="52" t="n"/>
      <c r="H80" s="53" t="inlineStr">
        <is>
          <t>SUBETAPA</t>
        </is>
      </c>
      <c r="I80" s="54">
        <f>IF(H80="Unidade Construtiva",TEXT(A80,"00"),IF(H80="Célula Construtiva",TEXT(B80,"00"),IF(H80="Etapa",CONCATENATE(TEXT(B80,"00"),".",TEXT(C80,"000")),IF(H80="Subetapa",CONCATENATE(TEXT(B80,"00"),".",TEXT(C80,"000"),".",TEXT(D80,"000")),IF(H80="Serviço",CONCATENATE(TEXT(B80,"00"),".",TEXT(C80,"000"),".",TEXT(D80,"000"),".",TEXT(E80,"000")),"")))))</f>
        <v/>
      </c>
      <c r="J80" s="62" t="inlineStr">
        <is>
          <t>Meio Ambiente</t>
        </is>
      </c>
      <c r="K80" s="56" t="n"/>
      <c r="L80" s="57" t="n"/>
      <c r="M80" s="66" t="n"/>
      <c r="N80" s="58">
        <f>IF(H80="Serviço",M80*L80,IF(H80="CÉLULA CONSTRUTIVA",SUMIFS($N$8:$N$427,$B$8:$B$427,B80,$H$8:$H$427,"Serviço"),IF(H80="ETAPA",SUMIFS($N$8:$N$427,$B$8:$B$427,B80,$C$8:$C$427,C80,$H$8:$H$427,"Serviço"),IF(H80="SUBETAPA",SUMIFS($N$8:$N$427,$B$8:$B$427,B80,$C$8:$C$427,C80,$D$8:$D$427,D80,$H$8:$H$427,"Serviço"),0))))</f>
        <v/>
      </c>
      <c r="O80" s="59">
        <f>N80/[1]CAPA!$C$10</f>
        <v/>
      </c>
      <c r="P80" s="60" t="n"/>
      <c r="Q80" s="61" t="n"/>
    </row>
    <row r="81" outlineLevel="2" ht="22.5" customFormat="1" customHeight="1" s="40">
      <c r="A81" s="97">
        <f>IF($H81="UNIDADE CONSTRUTIVA",OFFSET(A81,-1,0)+1,LARGE(A$3:A79,1))</f>
        <v/>
      </c>
      <c r="B81" s="97">
        <f>IF(H81="UNIDADE CONSTRUTIVA",0,IF(H81="CÉLULA CONSTRUTIVA",OFFSET(B81,-1,0)+1,OFFSET(B81,-1,0)))</f>
        <v/>
      </c>
      <c r="C81" s="97">
        <f>IF(H81="CÉLULA CONSTRUTIVA",0,IF(H81="ETAPA",OFFSET(C81,-1,0)+1,OFFSET(C81,-1,0)))</f>
        <v/>
      </c>
      <c r="D81" s="98">
        <f>IF(H81="ETAPA",0,IF(H81="SUBETAPA",OFFSET(D81,-1,0)+1,OFFSET(D81,-1,0)))</f>
        <v/>
      </c>
      <c r="E81" s="98">
        <f>IF(H81="Subetapa",0,IF(H81="serviço",OFFSET(E81,-1,0)+1,OFFSET(E81,-1,0)))</f>
        <v/>
      </c>
      <c r="G81" s="52" t="n"/>
      <c r="H81" s="53" t="inlineStr">
        <is>
          <t>SERVIÇO</t>
        </is>
      </c>
      <c r="I81" s="54">
        <f>IF(H81="Unidade Construtiva",TEXT(A81,"00"),IF(H81="Célula Construtiva",TEXT(B81,"00"),IF(H81="Etapa",CONCATENATE(TEXT(B81,"00"),".",TEXT(C81,"000")),IF(H81="Subetapa",CONCATENATE(TEXT(B81,"00"),".",TEXT(C81,"000"),".",TEXT(D81,"000")),IF(H81="Serviço",CONCATENATE(TEXT(B81,"00"),".",TEXT(C81,"000"),".",TEXT(D81,"000"),".",TEXT(E81,"000")),"")))))</f>
        <v/>
      </c>
      <c r="J81" s="62" t="inlineStr">
        <is>
          <t>Acompanhamento Ambiental da Obra</t>
        </is>
      </c>
      <c r="K81" s="57" t="inlineStr">
        <is>
          <t>mês</t>
        </is>
      </c>
      <c r="L81" s="57">
        <f>#REF!</f>
        <v/>
      </c>
      <c r="M81" s="57" t="n">
        <v>2100</v>
      </c>
      <c r="N81" s="58">
        <f>IF(H81="Serviço",M81*L81,IF(H81="CÉLULA CONSTRUTIVA",SUMIFS($N$8:$N$427,$B$8:$B$427,B81,$H$8:$H$427,"Serviço"),IF(H81="ETAPA",SUMIFS($N$8:$N$427,$B$8:$B$427,B81,$C$8:$C$427,C81,$H$8:$H$427,"Serviço"),IF(H81="SUBETAPA",SUMIFS($N$8:$N$427,$B$8:$B$427,B81,$C$8:$C$427,C81,$D$8:$D$427,D81,$H$8:$H$427,"Serviço"),0))))</f>
        <v/>
      </c>
      <c r="O81" s="57" t="inlineStr">
        <is>
          <t>Repessado pela Gessele na reunião do dia 05/03/2026 - incluir acompanhamento ambiental de obra: R$ 2100 / mês - R$ 24k já pagos</t>
        </is>
      </c>
      <c r="P81" s="60" t="inlineStr">
        <is>
          <t>Finalizado</t>
        </is>
      </c>
      <c r="Q81" s="61" t="n"/>
    </row>
    <row r="82" outlineLevel="2" customFormat="1" s="40">
      <c r="A82" s="97">
        <f>IF($H82="UNIDADE CONSTRUTIVA",OFFSET(A82,-1,0)+1,LARGE(A$3:A80,1))</f>
        <v/>
      </c>
      <c r="B82" s="97">
        <f>IF(H82="UNIDADE CONSTRUTIVA",0,IF(H82="CÉLULA CONSTRUTIVA",OFFSET(B82,-1,0)+1,OFFSET(B82,-1,0)))</f>
        <v/>
      </c>
      <c r="C82" s="97">
        <f>IF(H82="CÉLULA CONSTRUTIVA",0,IF(H82="ETAPA",OFFSET(C82,-1,0)+1,OFFSET(C82,-1,0)))</f>
        <v/>
      </c>
      <c r="D82" s="98">
        <f>IF(H82="ETAPA",0,IF(H82="SUBETAPA",OFFSET(D82,-1,0)+1,OFFSET(D82,-1,0)))</f>
        <v/>
      </c>
      <c r="E82" s="98">
        <f>IF(H82="Subetapa",0,IF(H82="serviço",OFFSET(E82,-1,0)+1,OFFSET(E82,-1,0)))</f>
        <v/>
      </c>
      <c r="G82" s="52" t="n"/>
      <c r="H82" s="53" t="inlineStr">
        <is>
          <t>SERVIÇO</t>
        </is>
      </c>
      <c r="I82" s="54">
        <f>IF(H82="Unidade Construtiva",TEXT(A82,"00"),IF(H82="Célula Construtiva",TEXT(B82,"00"),IF(H82="Etapa",CONCATENATE(TEXT(B82,"00"),".",TEXT(C82,"000")),IF(H82="Subetapa",CONCATENATE(TEXT(B82,"00"),".",TEXT(C82,"000"),".",TEXT(D82,"000")),IF(H82="Serviço",CONCATENATE(TEXT(B82,"00"),".",TEXT(C82,"000"),".",TEXT(D82,"000"),".",TEXT(E82,"000")),"")))))</f>
        <v/>
      </c>
      <c r="J82" s="62" t="inlineStr">
        <is>
          <t>Elaboração do Programa de Controle Médico de Saúde Ocupacional (PCMSO)</t>
        </is>
      </c>
      <c r="K82" s="57">
        <f>_xlfn.XLOOKUP($J82,#REF!,#REF!)</f>
        <v/>
      </c>
      <c r="L82" s="57">
        <f>_xlfn.XLOOKUP($J82,#REF!,#REF!)</f>
        <v/>
      </c>
      <c r="M82" s="57">
        <f>_xlfn.XLOOKUP($J82,#REF!,#REF!)</f>
        <v/>
      </c>
      <c r="N82" s="58">
        <f>IF(H82="Serviço",M82*L82,IF(H82="CÉLULA CONSTRUTIVA",SUMIFS($N$8:$N$427,$B$8:$B$427,B82,$H$8:$H$427,"Serviço"),IF(H82="ETAPA",SUMIFS($N$8:$N$427,$B$8:$B$427,B82,$C$8:$C$427,C82,$H$8:$H$427,"Serviço"),IF(H82="SUBETAPA",SUMIFS($N$8:$N$427,$B$8:$B$427,B82,$C$8:$C$427,C82,$D$8:$D$427,D82,$H$8:$H$427,"Serviço"),0))))</f>
        <v/>
      </c>
      <c r="O82" s="57">
        <f>_xlfn.XLOOKUP($J82,#REF!,#REF!)</f>
        <v/>
      </c>
      <c r="P82" s="60" t="inlineStr">
        <is>
          <t>Finalizado</t>
        </is>
      </c>
      <c r="Q82" s="61" t="n"/>
    </row>
    <row r="83" outlineLevel="2" customFormat="1" s="40">
      <c r="A83" s="97">
        <f>IF($H83="UNIDADE CONSTRUTIVA",OFFSET(A83,-1,0)+1,LARGE(A$3:A82,1))</f>
        <v/>
      </c>
      <c r="B83" s="97">
        <f>IF(H83="UNIDADE CONSTRUTIVA",0,IF(H83="CÉLULA CONSTRUTIVA",OFFSET(B83,-1,0)+1,OFFSET(B83,-1,0)))</f>
        <v/>
      </c>
      <c r="C83" s="97">
        <f>IF(H83="CÉLULA CONSTRUTIVA",0,IF(H83="ETAPA",OFFSET(C83,-1,0)+1,OFFSET(C83,-1,0)))</f>
        <v/>
      </c>
      <c r="D83" s="98">
        <f>IF(H83="ETAPA",0,IF(H83="SUBETAPA",OFFSET(D83,-1,0)+1,OFFSET(D83,-1,0)))</f>
        <v/>
      </c>
      <c r="E83" s="98">
        <f>IF(H83="Subetapa",0,IF(H83="serviço",OFFSET(E83,-1,0)+1,OFFSET(E83,-1,0)))</f>
        <v/>
      </c>
      <c r="G83" s="52" t="n"/>
      <c r="H83" s="53" t="inlineStr">
        <is>
          <t>SERVIÇO</t>
        </is>
      </c>
      <c r="I83" s="54">
        <f>IF(H83="Unidade Construtiva",TEXT(A83,"00"),IF(H83="Célula Construtiva",TEXT(B83,"00"),IF(H83="Etapa",CONCATENATE(TEXT(B83,"00"),".",TEXT(C83,"000")),IF(H83="Subetapa",CONCATENATE(TEXT(B83,"00"),".",TEXT(C83,"000"),".",TEXT(D83,"000")),IF(H83="Serviço",CONCATENATE(TEXT(B83,"00"),".",TEXT(C83,"000"),".",TEXT(D83,"000"),".",TEXT(E83,"000")),"")))))</f>
        <v/>
      </c>
      <c r="J83" s="62" t="inlineStr">
        <is>
          <t>Elaboração do programa de gerenciamento de riscos (PGR)</t>
        </is>
      </c>
      <c r="K83" s="57">
        <f>_xlfn.XLOOKUP($J83,#REF!,#REF!)</f>
        <v/>
      </c>
      <c r="L83" s="57">
        <f>_xlfn.XLOOKUP($J83,#REF!,#REF!)</f>
        <v/>
      </c>
      <c r="M83" s="57">
        <f>_xlfn.XLOOKUP($J83,#REF!,#REF!)</f>
        <v/>
      </c>
      <c r="N83" s="58">
        <f>IF(H83="Serviço",M83*L83,IF(H83="CÉLULA CONSTRUTIVA",SUMIFS($N$8:$N$427,$B$8:$B$427,B83,$H$8:$H$427,"Serviço"),IF(H83="ETAPA",SUMIFS($N$8:$N$427,$B$8:$B$427,B83,$C$8:$C$427,C83,$H$8:$H$427,"Serviço"),IF(H83="SUBETAPA",SUMIFS($N$8:$N$427,$B$8:$B$427,B83,$C$8:$C$427,C83,$D$8:$D$427,D83,$H$8:$H$427,"Serviço"),0))))</f>
        <v/>
      </c>
      <c r="O83" s="57">
        <f>_xlfn.XLOOKUP($J83,#REF!,#REF!)</f>
        <v/>
      </c>
      <c r="P83" s="60" t="inlineStr">
        <is>
          <t>Finalizado</t>
        </is>
      </c>
      <c r="Q83" s="61" t="n"/>
    </row>
    <row r="84" outlineLevel="1" customFormat="1" s="40">
      <c r="A84" s="97">
        <f>IF($H84="UNIDADE CONSTRUTIVA",OFFSET(A84,-1,0)+1,LARGE(A$3:A83,1))</f>
        <v/>
      </c>
      <c r="B84" s="97">
        <f>IF(H84="UNIDADE CONSTRUTIVA",0,IF(H84="CÉLULA CONSTRUTIVA",OFFSET(B84,-1,0)+1,OFFSET(B84,-1,0)))</f>
        <v/>
      </c>
      <c r="C84" s="97">
        <f>IF(H84="CÉLULA CONSTRUTIVA",0,IF(H84="ETAPA",OFFSET(C84,-1,0)+1,OFFSET(C84,-1,0)))</f>
        <v/>
      </c>
      <c r="D84" s="98">
        <f>IF(H84="ETAPA",0,IF(H84="SUBETAPA",OFFSET(D84,-1,0)+1,OFFSET(D84,-1,0)))</f>
        <v/>
      </c>
      <c r="E84" s="98">
        <f>IF(H84="Subetapa",0,IF(H84="serviço",OFFSET(E84,-1,0)+1,OFFSET(E84,-1,0)))</f>
        <v/>
      </c>
      <c r="G84" s="52" t="n"/>
      <c r="H84" s="53" t="inlineStr">
        <is>
          <t>SUBETAPA</t>
        </is>
      </c>
      <c r="I84" s="54">
        <f>IF(H84="Unidade Construtiva",TEXT(A84,"00"),IF(H84="Célula Construtiva",TEXT(B84,"00"),IF(H84="Etapa",CONCATENATE(TEXT(B84,"00"),".",TEXT(C84,"000")),IF(H84="Subetapa",CONCATENATE(TEXT(B84,"00"),".",TEXT(C84,"000"),".",TEXT(D84,"000")),IF(H84="Serviço",CONCATENATE(TEXT(B84,"00"),".",TEXT(C84,"000"),".",TEXT(D84,"000"),".",TEXT(E84,"000")),"")))))</f>
        <v/>
      </c>
      <c r="J84" s="62" t="inlineStr">
        <is>
          <t>Saúde Ocupacional</t>
        </is>
      </c>
      <c r="K84" s="56" t="n"/>
      <c r="L84" s="57" t="n"/>
      <c r="M84" s="66" t="n"/>
      <c r="N84" s="58">
        <f>IF(H84="Serviço",M84*L84,IF(H84="CÉLULA CONSTRUTIVA",SUMIFS($N$8:$N$427,$B$8:$B$427,B84,$H$8:$H$427,"Serviço"),IF(H84="ETAPA",SUMIFS($N$8:$N$427,$B$8:$B$427,B84,$C$8:$C$427,C84,$H$8:$H$427,"Serviço"),IF(H84="SUBETAPA",SUMIFS($N$8:$N$427,$B$8:$B$427,B84,$C$8:$C$427,C84,$D$8:$D$427,D84,$H$8:$H$427,"Serviço"),0))))</f>
        <v/>
      </c>
      <c r="O84" s="59">
        <f>N84/[1]CAPA!$C$10</f>
        <v/>
      </c>
      <c r="P84" s="60" t="n"/>
      <c r="Q84" s="61" t="n"/>
    </row>
    <row r="85" outlineLevel="2" customFormat="1" s="40">
      <c r="A85" s="97">
        <f>IF($H85="UNIDADE CONSTRUTIVA",OFFSET(A85,-1,0)+1,LARGE(A$3:A84,1))</f>
        <v/>
      </c>
      <c r="B85" s="97">
        <f>IF(H85="UNIDADE CONSTRUTIVA",0,IF(H85="CÉLULA CONSTRUTIVA",OFFSET(B85,-1,0)+1,OFFSET(B85,-1,0)))</f>
        <v/>
      </c>
      <c r="C85" s="97">
        <f>IF(H85="CÉLULA CONSTRUTIVA",0,IF(H85="ETAPA",OFFSET(C85,-1,0)+1,OFFSET(C85,-1,0)))</f>
        <v/>
      </c>
      <c r="D85" s="98">
        <f>IF(H85="ETAPA",0,IF(H85="SUBETAPA",OFFSET(D85,-1,0)+1,OFFSET(D85,-1,0)))</f>
        <v/>
      </c>
      <c r="E85" s="98">
        <f>IF(H85="Subetapa",0,IF(H85="serviço",OFFSET(E85,-1,0)+1,OFFSET(E85,-1,0)))</f>
        <v/>
      </c>
      <c r="G85" s="52" t="n"/>
      <c r="H85" s="53" t="inlineStr">
        <is>
          <t>SERVIÇO</t>
        </is>
      </c>
      <c r="I85" s="54">
        <f>IF(H85="Unidade Construtiva",TEXT(A85,"00"),IF(H85="Célula Construtiva",TEXT(B85,"00"),IF(H85="Etapa",CONCATENATE(TEXT(B85,"00"),".",TEXT(C85,"000")),IF(H85="Subetapa",CONCATENATE(TEXT(B85,"00"),".",TEXT(C85,"000"),".",TEXT(D85,"000")),IF(H85="Serviço",CONCATENATE(TEXT(B85,"00"),".",TEXT(C85,"000"),".",TEXT(D85,"000"),".",TEXT(E85,"000")),"")))))</f>
        <v/>
      </c>
      <c r="J85" s="62" t="inlineStr">
        <is>
          <t>Medicamentos preventivos e de emergência</t>
        </is>
      </c>
      <c r="K85" s="57">
        <f>_xlfn.XLOOKUP($J85,#REF!,#REF!)</f>
        <v/>
      </c>
      <c r="L85" s="57">
        <f>_xlfn.XLOOKUP($J85,#REF!,#REF!)</f>
        <v/>
      </c>
      <c r="M85" s="57">
        <f>_xlfn.XLOOKUP($J85,#REF!,#REF!)</f>
        <v/>
      </c>
      <c r="N85" s="58">
        <f>IF(H85="Serviço",M85*L85,IF(H85="CÉLULA CONSTRUTIVA",SUMIFS($N$8:$N$427,$B$8:$B$427,B85,$H$8:$H$427,"Serviço"),IF(H85="ETAPA",SUMIFS($N$8:$N$427,$B$8:$B$427,B85,$C$8:$C$427,C85,$H$8:$H$427,"Serviço"),IF(H85="SUBETAPA",SUMIFS($N$8:$N$427,$B$8:$B$427,B85,$C$8:$C$427,C85,$D$8:$D$427,D85,$H$8:$H$427,"Serviço"),0))))</f>
        <v/>
      </c>
      <c r="O85" s="57">
        <f>_xlfn.XLOOKUP($J85,#REF!,#REF!)</f>
        <v/>
      </c>
      <c r="P85" s="60" t="inlineStr">
        <is>
          <t>Finalizado</t>
        </is>
      </c>
      <c r="Q85" s="61" t="n"/>
    </row>
    <row r="86" outlineLevel="2" customFormat="1" s="40">
      <c r="A86" s="97">
        <f>IF($H86="UNIDADE CONSTRUTIVA",OFFSET(A86,-1,0)+1,LARGE(A$3:A85,1))</f>
        <v/>
      </c>
      <c r="B86" s="97">
        <f>IF(H86="UNIDADE CONSTRUTIVA",0,IF(H86="CÉLULA CONSTRUTIVA",OFFSET(B86,-1,0)+1,OFFSET(B86,-1,0)))</f>
        <v/>
      </c>
      <c r="C86" s="97">
        <f>IF(H86="CÉLULA CONSTRUTIVA",0,IF(H86="ETAPA",OFFSET(C86,-1,0)+1,OFFSET(C86,-1,0)))</f>
        <v/>
      </c>
      <c r="D86" s="98">
        <f>IF(H86="ETAPA",0,IF(H86="SUBETAPA",OFFSET(D86,-1,0)+1,OFFSET(D86,-1,0)))</f>
        <v/>
      </c>
      <c r="E86" s="98">
        <f>IF(H86="Subetapa",0,IF(H86="serviço",OFFSET(E86,-1,0)+1,OFFSET(E86,-1,0)))</f>
        <v/>
      </c>
      <c r="G86" s="52" t="n"/>
      <c r="H86" s="53" t="inlineStr">
        <is>
          <t>SERVIÇO</t>
        </is>
      </c>
      <c r="I86" s="54">
        <f>IF(H86="Unidade Construtiva",TEXT(A86,"00"),IF(H86="Célula Construtiva",TEXT(B86,"00"),IF(H86="Etapa",CONCATENATE(TEXT(B86,"00"),".",TEXT(C86,"000")),IF(H86="Subetapa",CONCATENATE(TEXT(B86,"00"),".",TEXT(C86,"000"),".",TEXT(D86,"000")),IF(H86="Serviço",CONCATENATE(TEXT(B86,"00"),".",TEXT(C86,"000"),".",TEXT(D86,"000"),".",TEXT(E86,"000")),"")))))</f>
        <v/>
      </c>
      <c r="J86" s="62" t="inlineStr">
        <is>
          <t>Kit socorrista</t>
        </is>
      </c>
      <c r="K86" s="57">
        <f>_xlfn.XLOOKUP($J86,#REF!,#REF!)</f>
        <v/>
      </c>
      <c r="L86" s="57">
        <f>_xlfn.XLOOKUP($J86,#REF!,#REF!)</f>
        <v/>
      </c>
      <c r="M86" s="57">
        <f>_xlfn.XLOOKUP($J86,#REF!,#REF!)</f>
        <v/>
      </c>
      <c r="N86" s="58">
        <f>IF(H86="Serviço",M86*L86,IF(H86="CÉLULA CONSTRUTIVA",SUMIFS($N$8:$N$427,$B$8:$B$427,B86,$H$8:$H$427,"Serviço"),IF(H86="ETAPA",SUMIFS($N$8:$N$427,$B$8:$B$427,B86,$C$8:$C$427,C86,$H$8:$H$427,"Serviço"),IF(H86="SUBETAPA",SUMIFS($N$8:$N$427,$B$8:$B$427,B86,$C$8:$C$427,C86,$D$8:$D$427,D86,$H$8:$H$427,"Serviço"),0))))</f>
        <v/>
      </c>
      <c r="O86" s="57">
        <f>_xlfn.XLOOKUP($J86,#REF!,#REF!)</f>
        <v/>
      </c>
      <c r="P86" s="60" t="inlineStr">
        <is>
          <t>Finalizado</t>
        </is>
      </c>
      <c r="Q86" s="61" t="n"/>
    </row>
    <row r="87" outlineLevel="2" customFormat="1" s="40">
      <c r="A87" s="97">
        <f>IF($H87="UNIDADE CONSTRUTIVA",OFFSET(A87,-1,0)+1,LARGE(A$3:A86,1))</f>
        <v/>
      </c>
      <c r="B87" s="97">
        <f>IF(H87="UNIDADE CONSTRUTIVA",0,IF(H87="CÉLULA CONSTRUTIVA",OFFSET(B87,-1,0)+1,OFFSET(B87,-1,0)))</f>
        <v/>
      </c>
      <c r="C87" s="97">
        <f>IF(H87="CÉLULA CONSTRUTIVA",0,IF(H87="ETAPA",OFFSET(C87,-1,0)+1,OFFSET(C87,-1,0)))</f>
        <v/>
      </c>
      <c r="D87" s="98">
        <f>IF(H87="ETAPA",0,IF(H87="SUBETAPA",OFFSET(D87,-1,0)+1,OFFSET(D87,-1,0)))</f>
        <v/>
      </c>
      <c r="E87" s="98">
        <f>IF(H87="Subetapa",0,IF(H87="serviço",OFFSET(E87,-1,0)+1,OFFSET(E87,-1,0)))</f>
        <v/>
      </c>
      <c r="G87" s="52" t="n"/>
      <c r="H87" s="53" t="inlineStr">
        <is>
          <t>SERVIÇO</t>
        </is>
      </c>
      <c r="I87" s="54">
        <f>IF(H87="Unidade Construtiva",TEXT(A87,"00"),IF(H87="Célula Construtiva",TEXT(B87,"00"),IF(H87="Etapa",CONCATENATE(TEXT(B87,"00"),".",TEXT(C87,"000")),IF(H87="Subetapa",CONCATENATE(TEXT(B87,"00"),".",TEXT(C87,"000"),".",TEXT(D87,"000")),IF(H87="Serviço",CONCATENATE(TEXT(B87,"00"),".",TEXT(C87,"000"),".",TEXT(D87,"000"),".",TEXT(E87,"000")),"")))))</f>
        <v/>
      </c>
      <c r="J87" s="62" t="inlineStr">
        <is>
          <t>Dedetização, desratização e sanitização dos ambientes</t>
        </is>
      </c>
      <c r="K87" s="57">
        <f>_xlfn.XLOOKUP($J87,#REF!,#REF!)</f>
        <v/>
      </c>
      <c r="L87" s="57">
        <f>_xlfn.XLOOKUP($J87,#REF!,#REF!)</f>
        <v/>
      </c>
      <c r="M87" s="57">
        <f>_xlfn.XLOOKUP($J87,#REF!,#REF!)</f>
        <v/>
      </c>
      <c r="N87" s="58">
        <f>IF(H87="Serviço",M87*L87,IF(H87="CÉLULA CONSTRUTIVA",SUMIFS($N$8:$N$427,$B$8:$B$427,B87,$H$8:$H$427,"Serviço"),IF(H87="ETAPA",SUMIFS($N$8:$N$427,$B$8:$B$427,B87,$C$8:$C$427,C87,$H$8:$H$427,"Serviço"),IF(H87="SUBETAPA",SUMIFS($N$8:$N$427,$B$8:$B$427,B87,$C$8:$C$427,C87,$D$8:$D$427,D87,$H$8:$H$427,"Serviço"),0))))</f>
        <v/>
      </c>
      <c r="O87" s="57">
        <f>_xlfn.XLOOKUP($J87,#REF!,#REF!)</f>
        <v/>
      </c>
      <c r="P87" s="60" t="inlineStr">
        <is>
          <t>Finalizado</t>
        </is>
      </c>
      <c r="Q87" s="61" t="n"/>
    </row>
    <row r="88" outlineLevel="1" customFormat="1" s="40">
      <c r="A88" s="97">
        <f>IF($H88="UNIDADE CONSTRUTIVA",OFFSET(A88,-1,0)+1,LARGE(A$3:A87,1))</f>
        <v/>
      </c>
      <c r="B88" s="97">
        <f>IF(H88="UNIDADE CONSTRUTIVA",0,IF(H88="CÉLULA CONSTRUTIVA",OFFSET(B88,-1,0)+1,OFFSET(B88,-1,0)))</f>
        <v/>
      </c>
      <c r="C88" s="97">
        <f>IF(H88="CÉLULA CONSTRUTIVA",0,IF(H88="ETAPA",OFFSET(C88,-1,0)+1,OFFSET(C88,-1,0)))</f>
        <v/>
      </c>
      <c r="D88" s="98">
        <f>IF(H88="ETAPA",0,IF(H88="SUBETAPA",OFFSET(D88,-1,0)+1,OFFSET(D88,-1,0)))</f>
        <v/>
      </c>
      <c r="E88" s="98">
        <f>IF(H88="Subetapa",0,IF(H88="serviço",OFFSET(E88,-1,0)+1,OFFSET(E88,-1,0)))</f>
        <v/>
      </c>
      <c r="G88" s="52" t="n"/>
      <c r="H88" s="53" t="inlineStr">
        <is>
          <t>ETAPA</t>
        </is>
      </c>
      <c r="I88" s="54">
        <f>IF(H88="Unidade Construtiva",TEXT(A88,"00"),IF(H88="Célula Construtiva",TEXT(B88,"00"),IF(H88="Etapa",CONCATENATE(TEXT(B88,"00"),".",TEXT(C88,"000")),IF(H88="Subetapa",CONCATENATE(TEXT(B88,"00"),".",TEXT(C88,"000"),".",TEXT(D88,"000")),IF(H88="Serviço",CONCATENATE(TEXT(B88,"00"),".",TEXT(C88,"000"),".",TEXT(D88,"000"),".",TEXT(E88,"000")),"")))))</f>
        <v/>
      </c>
      <c r="J88" s="62" t="inlineStr">
        <is>
          <t>ADMINISTRAÇÃO E CANTEIRO DE OBRA</t>
        </is>
      </c>
      <c r="K88" s="56" t="n"/>
      <c r="L88" s="57" t="n"/>
      <c r="M88" s="57" t="n"/>
      <c r="N88" s="58">
        <f>IF(H88="Serviço",M88*L88,IF(H88="CÉLULA CONSTRUTIVA",SUMIFS($N$8:$N$427,$B$8:$B$427,B88,$H$8:$H$427,"Serviço"),IF(H88="ETAPA",SUMIFS($N$8:$N$427,$B$8:$B$427,B88,$C$8:$C$427,C88,$H$8:$H$427,"Serviço"),IF(H88="SUBETAPA",SUMIFS($N$8:$N$427,$B$8:$B$427,B88,$C$8:$C$427,C88,$D$8:$D$427,D88,$H$8:$H$427,"Serviço"),0))))</f>
        <v/>
      </c>
      <c r="O88" s="59">
        <f>N88/[1]CAPA!$C$10</f>
        <v/>
      </c>
      <c r="P88" s="60" t="n"/>
      <c r="Q88" s="61" t="n"/>
      <c r="R88" s="63" t="n"/>
    </row>
    <row r="89" outlineLevel="1" customFormat="1" s="40">
      <c r="A89" s="97">
        <f>IF($H89="UNIDADE CONSTRUTIVA",OFFSET(A89,-1,0)+1,LARGE(A$3:A88,1))</f>
        <v/>
      </c>
      <c r="B89" s="97">
        <f>IF(H89="UNIDADE CONSTRUTIVA",0,IF(H89="CÉLULA CONSTRUTIVA",OFFSET(B89,-1,0)+1,OFFSET(B89,-1,0)))</f>
        <v/>
      </c>
      <c r="C89" s="97">
        <f>IF(H89="CÉLULA CONSTRUTIVA",0,IF(H89="ETAPA",OFFSET(C89,-1,0)+1,OFFSET(C89,-1,0)))</f>
        <v/>
      </c>
      <c r="D89" s="98">
        <f>IF(H89="ETAPA",0,IF(H89="SUBETAPA",OFFSET(D89,-1,0)+1,OFFSET(D89,-1,0)))</f>
        <v/>
      </c>
      <c r="E89" s="98">
        <f>IF(H89="Subetapa",0,IF(H89="serviço",OFFSET(E89,-1,0)+1,OFFSET(E89,-1,0)))</f>
        <v/>
      </c>
      <c r="G89" s="52" t="n"/>
      <c r="H89" s="53" t="inlineStr">
        <is>
          <t>SUBETAPA</t>
        </is>
      </c>
      <c r="I89" s="54">
        <f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/>
      </c>
      <c r="J89" s="62" t="inlineStr">
        <is>
          <t>Equipe de Gestão e Apoio</t>
        </is>
      </c>
      <c r="K89" s="56" t="n"/>
      <c r="L89" s="57" t="n"/>
      <c r="M89" s="57" t="n"/>
      <c r="N89" s="58">
        <f>IF(H89="Serviço",M89*L89,IF(H89="CÉLULA CONSTRUTIVA",SUMIFS($N$8:$N$427,$B$8:$B$427,B89,$H$8:$H$427,"Serviço"),IF(H89="ETAPA",SUMIFS($N$8:$N$427,$B$8:$B$427,B89,$C$8:$C$427,C89,$H$8:$H$427,"Serviço"),IF(H89="SUBETAPA",SUMIFS($N$8:$N$427,$B$8:$B$427,B89,$C$8:$C$427,C89,$D$8:$D$427,D89,$H$8:$H$427,"Serviço"),0))))</f>
        <v/>
      </c>
      <c r="O89" s="59">
        <f>N89/[1]CAPA!$C$10</f>
        <v/>
      </c>
      <c r="P89" s="60" t="n"/>
      <c r="Q89" s="61" t="n"/>
      <c r="R89" s="63" t="n"/>
    </row>
    <row r="90" outlineLevel="2" customFormat="1" s="40">
      <c r="A90" s="97">
        <f>IF($H90="UNIDADE CONSTRUTIVA",OFFSET(A90,-1,0)+1,LARGE(A$3:A89,1))</f>
        <v/>
      </c>
      <c r="B90" s="97">
        <f>IF(H90="UNIDADE CONSTRUTIVA",0,IF(H90="CÉLULA CONSTRUTIVA",OFFSET(B90,-1,0)+1,OFFSET(B90,-1,0)))</f>
        <v/>
      </c>
      <c r="C90" s="97">
        <f>IF(H90="CÉLULA CONSTRUTIVA",0,IF(H90="ETAPA",OFFSET(C90,-1,0)+1,OFFSET(C90,-1,0)))</f>
        <v/>
      </c>
      <c r="D90" s="98">
        <f>IF(H90="ETAPA",0,IF(H90="SUBETAPA",OFFSET(D90,-1,0)+1,OFFSET(D90,-1,0)))</f>
        <v/>
      </c>
      <c r="E90" s="98">
        <f>IF(H90="Subetapa",0,IF(H90="serviço",OFFSET(E90,-1,0)+1,OFFSET(E90,-1,0)))</f>
        <v/>
      </c>
      <c r="G90" s="52" t="n"/>
      <c r="H90" s="53" t="inlineStr">
        <is>
          <t>SERVIÇO</t>
        </is>
      </c>
      <c r="I90" s="54">
        <f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/>
      </c>
      <c r="J90" s="62" t="inlineStr">
        <is>
          <t>Engenheiro Civil</t>
        </is>
      </c>
      <c r="K90" s="57" t="inlineStr">
        <is>
          <t>mês</t>
        </is>
      </c>
      <c r="L90" s="57">
        <f>_xlfn.XLOOKUP($J90,#REF!,#REF!)</f>
        <v/>
      </c>
      <c r="M90" s="99" t="n">
        <v>18500</v>
      </c>
      <c r="N90" s="58">
        <f>IF(H90="Serviço",M90*L90,IF(H90="CÉLULA CONSTRUTIVA",SUMIFS($N$8:$N$427,$B$8:$B$427,B90,$H$8:$H$427,"Serviço"),IF(H90="ETAPA",SUMIFS($N$8:$N$427,$B$8:$B$427,B90,$C$8:$C$427,C90,$H$8:$H$427,"Serviço"),IF(H90="SUBETAPA",SUMIFS($N$8:$N$427,$B$8:$B$427,B90,$C$8:$C$427,C90,$D$8:$D$427,D90,$H$8:$H$427,"Serviço"),0))))</f>
        <v/>
      </c>
      <c r="O90" s="57">
        <f>_xlfn.XLOOKUP($J90,#REF!,#REF!)</f>
        <v/>
      </c>
      <c r="P90" s="60" t="inlineStr">
        <is>
          <t>Finalizado</t>
        </is>
      </c>
      <c r="Q90" s="61" t="n"/>
      <c r="R90" s="63" t="n"/>
    </row>
    <row r="91" outlineLevel="2" customFormat="1" s="40">
      <c r="A91" s="97">
        <f>IF($H91="UNIDADE CONSTRUTIVA",OFFSET(A91,-1,0)+1,LARGE(A$3:A90,1))</f>
        <v/>
      </c>
      <c r="B91" s="97">
        <f>IF(H91="UNIDADE CONSTRUTIVA",0,IF(H91="CÉLULA CONSTRUTIVA",OFFSET(B91,-1,0)+1,OFFSET(B91,-1,0)))</f>
        <v/>
      </c>
      <c r="C91" s="97">
        <f>IF(H91="CÉLULA CONSTRUTIVA",0,IF(H91="ETAPA",OFFSET(C91,-1,0)+1,OFFSET(C91,-1,0)))</f>
        <v/>
      </c>
      <c r="D91" s="98">
        <f>IF(H91="ETAPA",0,IF(H91="SUBETAPA",OFFSET(D91,-1,0)+1,OFFSET(D91,-1,0)))</f>
        <v/>
      </c>
      <c r="E91" s="98">
        <f>IF(H91="Subetapa",0,IF(H91="serviço",OFFSET(E91,-1,0)+1,OFFSET(E91,-1,0)))</f>
        <v/>
      </c>
      <c r="G91" s="52" t="n"/>
      <c r="H91" s="53" t="inlineStr">
        <is>
          <t>SERVIÇO</t>
        </is>
      </c>
      <c r="I91" s="54">
        <f>IF(H91="Unidade Construtiva",TEXT(A91,"00"),IF(H91="Célula Construtiva",TEXT(B91,"00"),IF(H91="Etapa",CONCATENATE(TEXT(B91,"00"),".",TEXT(C91,"000")),IF(H91="Subetapa",CONCATENATE(TEXT(B91,"00"),".",TEXT(C91,"000"),".",TEXT(D91,"000")),IF(H91="Serviço",CONCATENATE(TEXT(B91,"00"),".",TEXT(C91,"000"),".",TEXT(D91,"000"),".",TEXT(E91,"000")),"")))))</f>
        <v/>
      </c>
      <c r="J91" s="62" t="inlineStr">
        <is>
          <t>Mestre De Obras</t>
        </is>
      </c>
      <c r="K91" s="57" t="inlineStr">
        <is>
          <t>mês</t>
        </is>
      </c>
      <c r="L91" s="57">
        <f>_xlfn.XLOOKUP($J91,#REF!,#REF!)</f>
        <v/>
      </c>
      <c r="M91" s="99" t="n">
        <v>8500</v>
      </c>
      <c r="N91" s="58">
        <f>IF(H91="Serviço",M91*L91,IF(H91="CÉLULA CONSTRUTIVA",SUMIFS($N$8:$N$427,$B$8:$B$427,B91,$H$8:$H$427,"Serviço"),IF(H91="ETAPA",SUMIFS($N$8:$N$427,$B$8:$B$427,B91,$C$8:$C$427,C91,$H$8:$H$427,"Serviço"),IF(H91="SUBETAPA",SUMIFS($N$8:$N$427,$B$8:$B$427,B91,$C$8:$C$427,C91,$D$8:$D$427,D91,$H$8:$H$427,"Serviço"),0))))</f>
        <v/>
      </c>
      <c r="O91" s="57">
        <f>_xlfn.XLOOKUP($J91,#REF!,#REF!)</f>
        <v/>
      </c>
      <c r="P91" s="60" t="inlineStr">
        <is>
          <t>Finalizado</t>
        </is>
      </c>
      <c r="Q91" s="61" t="n"/>
      <c r="R91" s="63" t="n"/>
    </row>
    <row r="92" outlineLevel="2" customFormat="1" s="40">
      <c r="A92" s="97">
        <f>IF($H92="UNIDADE CONSTRUTIVA",OFFSET(A92,-1,0)+1,LARGE(A$3:A91,1))</f>
        <v/>
      </c>
      <c r="B92" s="97">
        <f>IF(H92="UNIDADE CONSTRUTIVA",0,IF(H92="CÉLULA CONSTRUTIVA",OFFSET(B92,-1,0)+1,OFFSET(B92,-1,0)))</f>
        <v/>
      </c>
      <c r="C92" s="97">
        <f>IF(H92="CÉLULA CONSTRUTIVA",0,IF(H92="ETAPA",OFFSET(C92,-1,0)+1,OFFSET(C92,-1,0)))</f>
        <v/>
      </c>
      <c r="D92" s="98">
        <f>IF(H92="ETAPA",0,IF(H92="SUBETAPA",OFFSET(D92,-1,0)+1,OFFSET(D92,-1,0)))</f>
        <v/>
      </c>
      <c r="E92" s="98">
        <f>IF(H92="Subetapa",0,IF(H92="serviço",OFFSET(E92,-1,0)+1,OFFSET(E92,-1,0)))</f>
        <v/>
      </c>
      <c r="G92" s="52" t="n"/>
      <c r="H92" s="53" t="inlineStr">
        <is>
          <t>SERVIÇO</t>
        </is>
      </c>
      <c r="I92" s="54">
        <f>IF(H92="Unidade Construtiva",TEXT(A92,"00"),IF(H92="Célula Construtiva",TEXT(B92,"00"),IF(H92="Etapa",CONCATENATE(TEXT(B92,"00"),".",TEXT(C92,"000")),IF(H92="Subetapa",CONCATENATE(TEXT(B92,"00"),".",TEXT(C92,"000"),".",TEXT(D92,"000")),IF(H92="Serviço",CONCATENATE(TEXT(B92,"00"),".",TEXT(C92,"000"),".",TEXT(D92,"000"),".",TEXT(E92,"000")),"")))))</f>
        <v/>
      </c>
      <c r="J92" s="62" t="inlineStr">
        <is>
          <t>Almoxarife</t>
        </is>
      </c>
      <c r="K92" s="57" t="inlineStr">
        <is>
          <t>mês</t>
        </is>
      </c>
      <c r="L92" s="57">
        <f>_xlfn.XLOOKUP($J92,#REF!,#REF!)</f>
        <v/>
      </c>
      <c r="M92" s="57">
        <f>_xlfn.XLOOKUP($J92,#REF!,#REF!)</f>
        <v/>
      </c>
      <c r="N92" s="58">
        <f>IF(H92="Serviço",M92*L92,IF(H92="CÉLULA CONSTRUTIVA",SUMIFS($N$8:$N$427,$B$8:$B$427,B92,$H$8:$H$427,"Serviço"),IF(H92="ETAPA",SUMIFS($N$8:$N$427,$B$8:$B$427,B92,$C$8:$C$427,C92,$H$8:$H$427,"Serviço"),IF(H92="SUBETAPA",SUMIFS($N$8:$N$427,$B$8:$B$427,B92,$C$8:$C$427,C92,$D$8:$D$427,D92,$H$8:$H$427,"Serviço"),0))))</f>
        <v/>
      </c>
      <c r="O92" s="57">
        <f>_xlfn.XLOOKUP($J92,#REF!,#REF!)</f>
        <v/>
      </c>
      <c r="P92" s="60" t="inlineStr">
        <is>
          <t>Finalizado</t>
        </is>
      </c>
      <c r="Q92" s="61" t="n"/>
      <c r="R92" s="63" t="n"/>
    </row>
    <row r="93" outlineLevel="2" customFormat="1" s="40">
      <c r="A93" s="97">
        <f>IF($H93="UNIDADE CONSTRUTIVA",OFFSET(A93,-1,0)+1,LARGE(A$3:A92,1))</f>
        <v/>
      </c>
      <c r="B93" s="97">
        <f>IF(H93="UNIDADE CONSTRUTIVA",0,IF(H93="CÉLULA CONSTRUTIVA",OFFSET(B93,-1,0)+1,OFFSET(B93,-1,0)))</f>
        <v/>
      </c>
      <c r="C93" s="97">
        <f>IF(H93="CÉLULA CONSTRUTIVA",0,IF(H93="ETAPA",OFFSET(C93,-1,0)+1,OFFSET(C93,-1,0)))</f>
        <v/>
      </c>
      <c r="D93" s="98">
        <f>IF(H93="ETAPA",0,IF(H93="SUBETAPA",OFFSET(D93,-1,0)+1,OFFSET(D93,-1,0)))</f>
        <v/>
      </c>
      <c r="E93" s="98">
        <f>IF(H93="Subetapa",0,IF(H93="serviço",OFFSET(E93,-1,0)+1,OFFSET(E93,-1,0)))</f>
        <v/>
      </c>
      <c r="G93" s="52" t="n"/>
      <c r="H93" s="53" t="inlineStr">
        <is>
          <t>SERVIÇO</t>
        </is>
      </c>
      <c r="I93" s="54">
        <f>IF(H93="Unidade Construtiva",TEXT(A93,"00"),IF(H93="Célula Construtiva",TEXT(B93,"00"),IF(H93="Etapa",CONCATENATE(TEXT(B93,"00"),".",TEXT(C93,"000")),IF(H93="Subetapa",CONCATENATE(TEXT(B93,"00"),".",TEXT(C93,"000"),".",TEXT(D93,"000")),IF(H93="Serviço",CONCATENATE(TEXT(B93,"00"),".",TEXT(C93,"000"),".",TEXT(D93,"000"),".",TEXT(E93,"000")),"")))))</f>
        <v/>
      </c>
      <c r="J93" s="62" t="inlineStr">
        <is>
          <t>Auxiliar de engenharia</t>
        </is>
      </c>
      <c r="K93" s="57" t="inlineStr">
        <is>
          <t>mês</t>
        </is>
      </c>
      <c r="L93" s="57">
        <f>_xlfn.XLOOKUP($J93,#REF!,#REF!)</f>
        <v/>
      </c>
      <c r="M93" s="99" t="n">
        <v>2200</v>
      </c>
      <c r="N93" s="58">
        <f>IF(H93="Serviço",M93*L93,IF(H93="CÉLULA CONSTRUTIVA",SUMIFS($N$8:$N$427,$B$8:$B$427,B93,$H$8:$H$427,"Serviço"),IF(H93="ETAPA",SUMIFS($N$8:$N$427,$B$8:$B$427,B93,$C$8:$C$427,C93,$H$8:$H$427,"Serviço"),IF(H93="SUBETAPA",SUMIFS($N$8:$N$427,$B$8:$B$427,B93,$C$8:$C$427,C93,$D$8:$D$427,D93,$H$8:$H$427,"Serviço"),0))))</f>
        <v/>
      </c>
      <c r="O93" s="57">
        <f>_xlfn.XLOOKUP($J93,#REF!,#REF!)</f>
        <v/>
      </c>
      <c r="P93" s="60" t="inlineStr">
        <is>
          <t>Finalizado</t>
        </is>
      </c>
      <c r="Q93" s="61" t="n"/>
      <c r="R93" s="63" t="n"/>
    </row>
    <row r="94" outlineLevel="2" customFormat="1" s="40">
      <c r="A94" s="97">
        <f>IF($H94="UNIDADE CONSTRUTIVA",OFFSET(A94,-1,0)+1,LARGE(A$3:A93,1))</f>
        <v/>
      </c>
      <c r="B94" s="97">
        <f>IF(H94="UNIDADE CONSTRUTIVA",0,IF(H94="CÉLULA CONSTRUTIVA",OFFSET(B94,-1,0)+1,OFFSET(B94,-1,0)))</f>
        <v/>
      </c>
      <c r="C94" s="97">
        <f>IF(H94="CÉLULA CONSTRUTIVA",0,IF(H94="ETAPA",OFFSET(C94,-1,0)+1,OFFSET(C94,-1,0)))</f>
        <v/>
      </c>
      <c r="D94" s="98">
        <f>IF(H94="ETAPA",0,IF(H94="SUBETAPA",OFFSET(D94,-1,0)+1,OFFSET(D94,-1,0)))</f>
        <v/>
      </c>
      <c r="E94" s="98">
        <f>IF(H94="Subetapa",0,IF(H94="serviço",OFFSET(E94,-1,0)+1,OFFSET(E94,-1,0)))</f>
        <v/>
      </c>
      <c r="G94" s="52" t="n"/>
      <c r="H94" s="53" t="inlineStr">
        <is>
          <t>SERVIÇO</t>
        </is>
      </c>
      <c r="I94" s="54">
        <f>IF(H94="Unidade Construtiva",TEXT(A94,"00"),IF(H94="Célula Construtiva",TEXT(B94,"00"),IF(H94="Etapa",CONCATENATE(TEXT(B94,"00"),".",TEXT(C94,"000")),IF(H94="Subetapa",CONCATENATE(TEXT(B94,"00"),".",TEXT(C94,"000"),".",TEXT(D94,"000")),IF(H94="Serviço",CONCATENATE(TEXT(B94,"00"),".",TEXT(C94,"000"),".",TEXT(D94,"000"),".",TEXT(E94,"000")),"")))))</f>
        <v/>
      </c>
      <c r="J94" s="62" t="inlineStr">
        <is>
          <t>Assistente administrativo</t>
        </is>
      </c>
      <c r="K94" s="57" t="inlineStr">
        <is>
          <t>mês</t>
        </is>
      </c>
      <c r="L94" s="57">
        <f>_xlfn.XLOOKUP($J94,#REF!,#REF!)</f>
        <v/>
      </c>
      <c r="M94" s="99" t="n">
        <v>4500</v>
      </c>
      <c r="N94" s="58">
        <f>IF(H94="Serviço",M94*L94,IF(H94="CÉLULA CONSTRUTIVA",SUMIFS($N$8:$N$427,$B$8:$B$427,B94,$H$8:$H$427,"Serviço"),IF(H94="ETAPA",SUMIFS($N$8:$N$427,$B$8:$B$427,B94,$C$8:$C$427,C94,$H$8:$H$427,"Serviço"),IF(H94="SUBETAPA",SUMIFS($N$8:$N$427,$B$8:$B$427,B94,$C$8:$C$427,C94,$D$8:$D$427,D94,$H$8:$H$427,"Serviço"),0))))</f>
        <v/>
      </c>
      <c r="O94" s="57">
        <f>_xlfn.XLOOKUP($J94,#REF!,#REF!)</f>
        <v/>
      </c>
      <c r="P94" s="60" t="inlineStr">
        <is>
          <t>Finalizado</t>
        </is>
      </c>
      <c r="Q94" s="61" t="n"/>
      <c r="R94" s="63" t="n"/>
    </row>
    <row r="95" outlineLevel="2" customFormat="1" s="40">
      <c r="A95" s="97">
        <f>IF($H95="UNIDADE CONSTRUTIVA",OFFSET(A95,-1,0)+1,LARGE(A$3:A94,1))</f>
        <v/>
      </c>
      <c r="B95" s="97">
        <f>IF(H95="UNIDADE CONSTRUTIVA",0,IF(H95="CÉLULA CONSTRUTIVA",OFFSET(B95,-1,0)+1,OFFSET(B95,-1,0)))</f>
        <v/>
      </c>
      <c r="C95" s="97">
        <f>IF(H95="CÉLULA CONSTRUTIVA",0,IF(H95="ETAPA",OFFSET(C95,-1,0)+1,OFFSET(C95,-1,0)))</f>
        <v/>
      </c>
      <c r="D95" s="98">
        <f>IF(H95="ETAPA",0,IF(H95="SUBETAPA",OFFSET(D95,-1,0)+1,OFFSET(D95,-1,0)))</f>
        <v/>
      </c>
      <c r="E95" s="98">
        <f>IF(H95="Subetapa",0,IF(H95="serviço",OFFSET(E95,-1,0)+1,OFFSET(E95,-1,0)))</f>
        <v/>
      </c>
      <c r="G95" s="52" t="n"/>
      <c r="H95" s="53" t="inlineStr">
        <is>
          <t>SERVIÇO</t>
        </is>
      </c>
      <c r="I95" s="54">
        <f>IF(H95="Unidade Construtiva",TEXT(A95,"00"),IF(H95="Célula Construtiva",TEXT(B95,"00"),IF(H95="Etapa",CONCATENATE(TEXT(B95,"00"),".",TEXT(C95,"000")),IF(H95="Subetapa",CONCATENATE(TEXT(B95,"00"),".",TEXT(C95,"000"),".",TEXT(D95,"000")),IF(H95="Serviço",CONCATENATE(TEXT(B95,"00"),".",TEXT(C95,"000"),".",TEXT(D95,"000"),".",TEXT(E95,"000")),"")))))</f>
        <v/>
      </c>
      <c r="J95" s="62" t="inlineStr">
        <is>
          <t>Guincheiro 01</t>
        </is>
      </c>
      <c r="K95" s="57" t="inlineStr">
        <is>
          <t>mês</t>
        </is>
      </c>
      <c r="L95" s="57">
        <f>_xlfn.XLOOKUP($J95,#REF!,#REF!)</f>
        <v/>
      </c>
      <c r="M95" s="57">
        <f>_xlfn.XLOOKUP($J95,#REF!,#REF!)</f>
        <v/>
      </c>
      <c r="N95" s="58">
        <f>IF(H95="Serviço",M95*L95,IF(H95="CÉLULA CONSTRUTIVA",SUMIFS($N$8:$N$427,$B$8:$B$427,B95,$H$8:$H$427,"Serviço"),IF(H95="ETAPA",SUMIFS($N$8:$N$427,$B$8:$B$427,B95,$C$8:$C$427,C95,$H$8:$H$427,"Serviço"),IF(H95="SUBETAPA",SUMIFS($N$8:$N$427,$B$8:$B$427,B95,$C$8:$C$427,C95,$D$8:$D$427,D95,$H$8:$H$427,"Serviço"),0))))</f>
        <v/>
      </c>
      <c r="O95" s="57">
        <f>_xlfn.XLOOKUP($J95,#REF!,#REF!)</f>
        <v/>
      </c>
      <c r="P95" s="60" t="inlineStr">
        <is>
          <t>Finalizado</t>
        </is>
      </c>
      <c r="Q95" s="61" t="n"/>
      <c r="R95" s="63" t="n"/>
    </row>
    <row r="96" outlineLevel="2" customFormat="1" s="40">
      <c r="A96" s="97">
        <f>IF($H96="UNIDADE CONSTRUTIVA",OFFSET(A96,-1,0)+1,LARGE(A$3:A95,1))</f>
        <v/>
      </c>
      <c r="B96" s="97">
        <f>IF(H96="UNIDADE CONSTRUTIVA",0,IF(H96="CÉLULA CONSTRUTIVA",OFFSET(B96,-1,0)+1,OFFSET(B96,-1,0)))</f>
        <v/>
      </c>
      <c r="C96" s="97">
        <f>IF(H96="CÉLULA CONSTRUTIVA",0,IF(H96="ETAPA",OFFSET(C96,-1,0)+1,OFFSET(C96,-1,0)))</f>
        <v/>
      </c>
      <c r="D96" s="98">
        <f>IF(H96="ETAPA",0,IF(H96="SUBETAPA",OFFSET(D96,-1,0)+1,OFFSET(D96,-1,0)))</f>
        <v/>
      </c>
      <c r="E96" s="98">
        <f>IF(H96="Subetapa",0,IF(H96="serviço",OFFSET(E96,-1,0)+1,OFFSET(E96,-1,0)))</f>
        <v/>
      </c>
      <c r="G96" s="52" t="n"/>
      <c r="H96" s="53" t="inlineStr">
        <is>
          <t>SERVIÇO</t>
        </is>
      </c>
      <c r="I96" s="54">
        <f>IF(H96="Unidade Construtiva",TEXT(A96,"00"),IF(H96="Célula Construtiva",TEXT(B96,"00"),IF(H96="Etapa",CONCATENATE(TEXT(B96,"00"),".",TEXT(C96,"000")),IF(H96="Subetapa",CONCATENATE(TEXT(B96,"00"),".",TEXT(C96,"000"),".",TEXT(D96,"000")),IF(H96="Serviço",CONCATENATE(TEXT(B96,"00"),".",TEXT(C96,"000"),".",TEXT(D96,"000"),".",TEXT(E96,"000")),"")))))</f>
        <v/>
      </c>
      <c r="J96" s="62" t="inlineStr">
        <is>
          <t>Guincheiro 02</t>
        </is>
      </c>
      <c r="K96" s="57" t="inlineStr">
        <is>
          <t>mês</t>
        </is>
      </c>
      <c r="L96" s="57">
        <f>_xlfn.XLOOKUP($J96,#REF!,#REF!)</f>
        <v/>
      </c>
      <c r="M96" s="57">
        <f>_xlfn.XLOOKUP($J96,#REF!,#REF!)</f>
        <v/>
      </c>
      <c r="N96" s="58">
        <f>IF(H96="Serviço",M96*L96,IF(H96="CÉLULA CONSTRUTIVA",SUMIFS($N$8:$N$427,$B$8:$B$427,B96,$H$8:$H$427,"Serviço"),IF(H96="ETAPA",SUMIFS($N$8:$N$427,$B$8:$B$427,B96,$C$8:$C$427,C96,$H$8:$H$427,"Serviço"),IF(H96="SUBETAPA",SUMIFS($N$8:$N$427,$B$8:$B$427,B96,$C$8:$C$427,C96,$D$8:$D$427,D96,$H$8:$H$427,"Serviço"),0))))</f>
        <v/>
      </c>
      <c r="O96" s="57">
        <f>_xlfn.XLOOKUP($J96,#REF!,#REF!)</f>
        <v/>
      </c>
      <c r="P96" s="60" t="inlineStr">
        <is>
          <t>Finalizado</t>
        </is>
      </c>
      <c r="Q96" s="61" t="n"/>
      <c r="R96" s="63" t="n"/>
    </row>
    <row r="97" outlineLevel="2" customFormat="1" s="40">
      <c r="A97" s="97">
        <f>IF($H97="UNIDADE CONSTRUTIVA",OFFSET(A97,-1,0)+1,LARGE(A$3:A96,1))</f>
        <v/>
      </c>
      <c r="B97" s="97">
        <f>IF(H97="UNIDADE CONSTRUTIVA",0,IF(H97="CÉLULA CONSTRUTIVA",OFFSET(B97,-1,0)+1,OFFSET(B97,-1,0)))</f>
        <v/>
      </c>
      <c r="C97" s="97">
        <f>IF(H97="CÉLULA CONSTRUTIVA",0,IF(H97="ETAPA",OFFSET(C97,-1,0)+1,OFFSET(C97,-1,0)))</f>
        <v/>
      </c>
      <c r="D97" s="98">
        <f>IF(H97="ETAPA",0,IF(H97="SUBETAPA",OFFSET(D97,-1,0)+1,OFFSET(D97,-1,0)))</f>
        <v/>
      </c>
      <c r="E97" s="98">
        <f>IF(H97="Subetapa",0,IF(H97="serviço",OFFSET(E97,-1,0)+1,OFFSET(E97,-1,0)))</f>
        <v/>
      </c>
      <c r="G97" s="52" t="n"/>
      <c r="H97" s="53" t="inlineStr">
        <is>
          <t>SERVIÇO</t>
        </is>
      </c>
      <c r="I97" s="54">
        <f>IF(H97="Unidade Construtiva",TEXT(A97,"00"),IF(H97="Célula Construtiva",TEXT(B97,"00"),IF(H97="Etapa",CONCATENATE(TEXT(B97,"00"),".",TEXT(C97,"000")),IF(H97="Subetapa",CONCATENATE(TEXT(B97,"00"),".",TEXT(C97,"000"),".",TEXT(D97,"000")),IF(H97="Serviço",CONCATENATE(TEXT(B97,"00"),".",TEXT(C97,"000"),".",TEXT(D97,"000"),".",TEXT(E97,"000")),"")))))</f>
        <v/>
      </c>
      <c r="J97" s="62" t="inlineStr">
        <is>
          <t>Servente 01</t>
        </is>
      </c>
      <c r="K97" s="57" t="inlineStr">
        <is>
          <t>mês</t>
        </is>
      </c>
      <c r="L97" s="57">
        <f>_xlfn.XLOOKUP($J97,#REF!,#REF!)</f>
        <v/>
      </c>
      <c r="M97" s="99" t="n">
        <v>28000</v>
      </c>
      <c r="N97" s="58">
        <f>IF(H97="Serviço",M97*L97,IF(H97="CÉLULA CONSTRUTIVA",SUMIFS($N$8:$N$427,$B$8:$B$427,B97,$H$8:$H$427,"Serviço"),IF(H97="ETAPA",SUMIFS($N$8:$N$427,$B$8:$B$427,B97,$C$8:$C$427,C97,$H$8:$H$427,"Serviço"),IF(H97="SUBETAPA",SUMIFS($N$8:$N$427,$B$8:$B$427,B97,$C$8:$C$427,C97,$D$8:$D$427,D97,$H$8:$H$427,"Serviço"),0))))</f>
        <v/>
      </c>
      <c r="O97" s="57">
        <f>_xlfn.XLOOKUP($J97,#REF!,#REF!)</f>
        <v/>
      </c>
      <c r="P97" s="60" t="inlineStr">
        <is>
          <t>Finalizado</t>
        </is>
      </c>
      <c r="Q97" s="61" t="n"/>
      <c r="R97" s="63" t="n"/>
    </row>
    <row r="98" outlineLevel="2" customFormat="1" s="40">
      <c r="A98" s="97">
        <f>IF($H98="UNIDADE CONSTRUTIVA",OFFSET(A98,-1,0)+1,LARGE(A$3:A97,1))</f>
        <v/>
      </c>
      <c r="B98" s="97">
        <f>IF(H98="UNIDADE CONSTRUTIVA",0,IF(H98="CÉLULA CONSTRUTIVA",OFFSET(B98,-1,0)+1,OFFSET(B98,-1,0)))</f>
        <v/>
      </c>
      <c r="C98" s="97">
        <f>IF(H98="CÉLULA CONSTRUTIVA",0,IF(H98="ETAPA",OFFSET(C98,-1,0)+1,OFFSET(C98,-1,0)))</f>
        <v/>
      </c>
      <c r="D98" s="98">
        <f>IF(H98="ETAPA",0,IF(H98="SUBETAPA",OFFSET(D98,-1,0)+1,OFFSET(D98,-1,0)))</f>
        <v/>
      </c>
      <c r="E98" s="98">
        <f>IF(H98="Subetapa",0,IF(H98="serviço",OFFSET(E98,-1,0)+1,OFFSET(E98,-1,0)))</f>
        <v/>
      </c>
      <c r="G98" s="52" t="n"/>
      <c r="H98" s="53" t="inlineStr">
        <is>
          <t>SERVIÇO</t>
        </is>
      </c>
      <c r="I98" s="54">
        <f>IF(H98="Unidade Construtiva",TEXT(A98,"00"),IF(H98="Célula Construtiva",TEXT(B98,"00"),IF(H98="Etapa",CONCATENATE(TEXT(B98,"00"),".",TEXT(C98,"000")),IF(H98="Subetapa",CONCATENATE(TEXT(B98,"00"),".",TEXT(C98,"000"),".",TEXT(D98,"000")),IF(H98="Serviço",CONCATENATE(TEXT(B98,"00"),".",TEXT(C98,"000"),".",TEXT(D98,"000"),".",TEXT(E98,"000")),"")))))</f>
        <v/>
      </c>
      <c r="J98" s="62" t="inlineStr">
        <is>
          <t>Servente 02</t>
        </is>
      </c>
      <c r="K98" s="57" t="inlineStr">
        <is>
          <t>mês</t>
        </is>
      </c>
      <c r="L98" s="57">
        <f>_xlfn.XLOOKUP($J98,#REF!,#REF!)</f>
        <v/>
      </c>
      <c r="M98" s="99" t="n">
        <v>28000</v>
      </c>
      <c r="N98" s="58">
        <f>IF(H98="Serviço",M98*L98,IF(H98="CÉLULA CONSTRUTIVA",SUMIFS($N$8:$N$427,$B$8:$B$427,B98,$H$8:$H$427,"Serviço"),IF(H98="ETAPA",SUMIFS($N$8:$N$427,$B$8:$B$427,B98,$C$8:$C$427,C98,$H$8:$H$427,"Serviço"),IF(H98="SUBETAPA",SUMIFS($N$8:$N$427,$B$8:$B$427,B98,$C$8:$C$427,C98,$D$8:$D$427,D98,$H$8:$H$427,"Serviço"),0))))</f>
        <v/>
      </c>
      <c r="O98" s="57">
        <f>_xlfn.XLOOKUP($J98,#REF!,#REF!)</f>
        <v/>
      </c>
      <c r="P98" s="60" t="inlineStr">
        <is>
          <t>Finalizado</t>
        </is>
      </c>
      <c r="Q98" s="61" t="n"/>
      <c r="R98" s="63" t="n"/>
    </row>
    <row r="99" outlineLevel="2" customFormat="1" s="40">
      <c r="A99" s="97">
        <f>IF($H99="UNIDADE CONSTRUTIVA",OFFSET(A99,-1,0)+1,LARGE(A$3:A98,1))</f>
        <v/>
      </c>
      <c r="B99" s="97">
        <f>IF(H99="UNIDADE CONSTRUTIVA",0,IF(H99="CÉLULA CONSTRUTIVA",OFFSET(B99,-1,0)+1,OFFSET(B99,-1,0)))</f>
        <v/>
      </c>
      <c r="C99" s="97">
        <f>IF(H99="CÉLULA CONSTRUTIVA",0,IF(H99="ETAPA",OFFSET(C99,-1,0)+1,OFFSET(C99,-1,0)))</f>
        <v/>
      </c>
      <c r="D99" s="98">
        <f>IF(H99="ETAPA",0,IF(H99="SUBETAPA",OFFSET(D99,-1,0)+1,OFFSET(D99,-1,0)))</f>
        <v/>
      </c>
      <c r="E99" s="98">
        <f>IF(H99="Subetapa",0,IF(H99="serviço",OFFSET(E99,-1,0)+1,OFFSET(E99,-1,0)))</f>
        <v/>
      </c>
      <c r="G99" s="52" t="n"/>
      <c r="H99" s="53" t="inlineStr">
        <is>
          <t>SERVIÇO</t>
        </is>
      </c>
      <c r="I99" s="54">
        <f>IF(H99="Unidade Construtiva",TEXT(A99,"00"),IF(H99="Célula Construtiva",TEXT(B99,"00"),IF(H99="Etapa",CONCATENATE(TEXT(B99,"00"),".",TEXT(C99,"000")),IF(H99="Subetapa",CONCATENATE(TEXT(B99,"00"),".",TEXT(C99,"000"),".",TEXT(D99,"000")),IF(H99="Serviço",CONCATENATE(TEXT(B99,"00"),".",TEXT(C99,"000"),".",TEXT(D99,"000"),".",TEXT(E99,"000")),"")))))</f>
        <v/>
      </c>
      <c r="J99" s="62" t="inlineStr">
        <is>
          <t>Servente 03</t>
        </is>
      </c>
      <c r="K99" s="57" t="inlineStr">
        <is>
          <t>mês</t>
        </is>
      </c>
      <c r="L99" s="57">
        <f>_xlfn.XLOOKUP($J99,#REF!,#REF!)</f>
        <v/>
      </c>
      <c r="M99" s="99" t="n">
        <v>28000</v>
      </c>
      <c r="N99" s="58">
        <f>IF(H99="Serviço",M99*L99,IF(H99="CÉLULA CONSTRUTIVA",SUMIFS($N$8:$N$427,$B$8:$B$427,B99,$H$8:$H$427,"Serviço"),IF(H99="ETAPA",SUMIFS($N$8:$N$427,$B$8:$B$427,B99,$C$8:$C$427,C99,$H$8:$H$427,"Serviço"),IF(H99="SUBETAPA",SUMIFS($N$8:$N$427,$B$8:$B$427,B99,$C$8:$C$427,C99,$D$8:$D$427,D99,$H$8:$H$427,"Serviço"),0))))</f>
        <v/>
      </c>
      <c r="O99" s="57">
        <f>_xlfn.XLOOKUP($J99,#REF!,#REF!)</f>
        <v/>
      </c>
      <c r="P99" s="60" t="inlineStr">
        <is>
          <t>Finalizado</t>
        </is>
      </c>
      <c r="Q99" s="61" t="n"/>
      <c r="R99" s="63" t="n"/>
    </row>
    <row r="100" outlineLevel="2" customFormat="1" s="40">
      <c r="A100" s="97">
        <f>IF($H100="UNIDADE CONSTRUTIVA",OFFSET(A100,-1,0)+1,LARGE(A$3:A99,1))</f>
        <v/>
      </c>
      <c r="B100" s="97">
        <f>IF(H100="UNIDADE CONSTRUTIVA",0,IF(H100="CÉLULA CONSTRUTIVA",OFFSET(B100,-1,0)+1,OFFSET(B100,-1,0)))</f>
        <v/>
      </c>
      <c r="C100" s="97">
        <f>IF(H100="CÉLULA CONSTRUTIVA",0,IF(H100="ETAPA",OFFSET(C100,-1,0)+1,OFFSET(C100,-1,0)))</f>
        <v/>
      </c>
      <c r="D100" s="98">
        <f>IF(H100="ETAPA",0,IF(H100="SUBETAPA",OFFSET(D100,-1,0)+1,OFFSET(D100,-1,0)))</f>
        <v/>
      </c>
      <c r="E100" s="98">
        <f>IF(H100="Subetapa",0,IF(H100="serviço",OFFSET(E100,-1,0)+1,OFFSET(E100,-1,0)))</f>
        <v/>
      </c>
      <c r="G100" s="52" t="n"/>
      <c r="H100" s="53" t="inlineStr">
        <is>
          <t>SERVIÇO</t>
        </is>
      </c>
      <c r="I100" s="54">
        <f>IF(H100="Unidade Construtiva",TEXT(A100,"00"),IF(H100="Célula Construtiva",TEXT(B100,"00"),IF(H100="Etapa",CONCATENATE(TEXT(B100,"00"),".",TEXT(C100,"000")),IF(H100="Subetapa",CONCATENATE(TEXT(B100,"00"),".",TEXT(C100,"000"),".",TEXT(D100,"000")),IF(H100="Serviço",CONCATENATE(TEXT(B100,"00"),".",TEXT(C100,"000"),".",TEXT(D100,"000"),".",TEXT(E100,"000")),"")))))</f>
        <v/>
      </c>
      <c r="J100" s="62" t="inlineStr">
        <is>
          <t>Servente 04</t>
        </is>
      </c>
      <c r="K100" s="57" t="inlineStr">
        <is>
          <t>mês</t>
        </is>
      </c>
      <c r="L100" s="57">
        <f>_xlfn.XLOOKUP($J100,#REF!,#REF!)</f>
        <v/>
      </c>
      <c r="M100" s="99" t="n">
        <v>28000</v>
      </c>
      <c r="N100" s="58">
        <f>IF(H100="Serviço",M100*L100,IF(H100="CÉLULA CONSTRUTIVA",SUMIFS($N$8:$N$427,$B$8:$B$427,B100,$H$8:$H$427,"Serviço"),IF(H100="ETAPA",SUMIFS($N$8:$N$427,$B$8:$B$427,B100,$C$8:$C$427,C100,$H$8:$H$427,"Serviço"),IF(H100="SUBETAPA",SUMIFS($N$8:$N$427,$B$8:$B$427,B100,$C$8:$C$427,C100,$D$8:$D$427,D100,$H$8:$H$427,"Serviço"),0))))</f>
        <v/>
      </c>
      <c r="O100" s="57">
        <f>_xlfn.XLOOKUP($J100,#REF!,#REF!)</f>
        <v/>
      </c>
      <c r="P100" s="60" t="inlineStr">
        <is>
          <t>Finalizado</t>
        </is>
      </c>
      <c r="Q100" s="61" t="n"/>
      <c r="R100" s="63" t="n"/>
    </row>
    <row r="101" outlineLevel="2" customFormat="1" s="40">
      <c r="A101" s="97">
        <f>IF($H101="UNIDADE CONSTRUTIVA",OFFSET(A101,-1,0)+1,LARGE(A$3:A100,1))</f>
        <v/>
      </c>
      <c r="B101" s="97">
        <f>IF(H101="UNIDADE CONSTRUTIVA",0,IF(H101="CÉLULA CONSTRUTIVA",OFFSET(B101,-1,0)+1,OFFSET(B101,-1,0)))</f>
        <v/>
      </c>
      <c r="C101" s="97">
        <f>IF(H101="CÉLULA CONSTRUTIVA",0,IF(H101="ETAPA",OFFSET(C101,-1,0)+1,OFFSET(C101,-1,0)))</f>
        <v/>
      </c>
      <c r="D101" s="98">
        <f>IF(H101="ETAPA",0,IF(H101="SUBETAPA",OFFSET(D101,-1,0)+1,OFFSET(D101,-1,0)))</f>
        <v/>
      </c>
      <c r="E101" s="98">
        <f>IF(H101="Subetapa",0,IF(H101="serviço",OFFSET(E101,-1,0)+1,OFFSET(E101,-1,0)))</f>
        <v/>
      </c>
      <c r="G101" s="52" t="n"/>
      <c r="H101" s="53" t="inlineStr">
        <is>
          <t>SERVIÇO</t>
        </is>
      </c>
      <c r="I101" s="54">
        <f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/>
      </c>
      <c r="J101" s="62" t="inlineStr">
        <is>
          <t>Pedreiro 01</t>
        </is>
      </c>
      <c r="K101" s="57" t="inlineStr">
        <is>
          <t>mês</t>
        </is>
      </c>
      <c r="L101" s="57">
        <f>_xlfn.XLOOKUP($J101,#REF!,#REF!)</f>
        <v/>
      </c>
      <c r="M101" s="57">
        <f>_xlfn.XLOOKUP($J101,#REF!,#REF!)</f>
        <v/>
      </c>
      <c r="N101" s="58">
        <f>IF(H101="Serviço",M101*L101,IF(H101="CÉLULA CONSTRUTIVA",SUMIFS($N$8:$N$427,$B$8:$B$427,B101,$H$8:$H$427,"Serviço"),IF(H101="ETAPA",SUMIFS($N$8:$N$427,$B$8:$B$427,B101,$C$8:$C$427,C101,$H$8:$H$427,"Serviço"),IF(H101="SUBETAPA",SUMIFS($N$8:$N$427,$B$8:$B$427,B101,$C$8:$C$427,C101,$D$8:$D$427,D101,$H$8:$H$427,"Serviço"),0))))</f>
        <v/>
      </c>
      <c r="O101" s="57">
        <f>_xlfn.XLOOKUP($J101,#REF!,#REF!)</f>
        <v/>
      </c>
      <c r="P101" s="60" t="inlineStr">
        <is>
          <t>Finalizado</t>
        </is>
      </c>
      <c r="Q101" s="61" t="n"/>
      <c r="R101" s="63" t="n"/>
    </row>
    <row r="102" outlineLevel="2" customFormat="1" s="40">
      <c r="A102" s="97">
        <f>IF($H102="UNIDADE CONSTRUTIVA",OFFSET(A102,-1,0)+1,LARGE(A$3:A101,1))</f>
        <v/>
      </c>
      <c r="B102" s="97">
        <f>IF(H102="UNIDADE CONSTRUTIVA",0,IF(H102="CÉLULA CONSTRUTIVA",OFFSET(B102,-1,0)+1,OFFSET(B102,-1,0)))</f>
        <v/>
      </c>
      <c r="C102" s="97">
        <f>IF(H102="CÉLULA CONSTRUTIVA",0,IF(H102="ETAPA",OFFSET(C102,-1,0)+1,OFFSET(C102,-1,0)))</f>
        <v/>
      </c>
      <c r="D102" s="98">
        <f>IF(H102="ETAPA",0,IF(H102="SUBETAPA",OFFSET(D102,-1,0)+1,OFFSET(D102,-1,0)))</f>
        <v/>
      </c>
      <c r="E102" s="98">
        <f>IF(H102="Subetapa",0,IF(H102="serviço",OFFSET(E102,-1,0)+1,OFFSET(E102,-1,0)))</f>
        <v/>
      </c>
      <c r="G102" s="52" t="n"/>
      <c r="H102" s="53" t="inlineStr">
        <is>
          <t>SERVIÇO</t>
        </is>
      </c>
      <c r="I102" s="54">
        <f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/>
      </c>
      <c r="J102" s="62" t="inlineStr">
        <is>
          <t>Pedreiro 02</t>
        </is>
      </c>
      <c r="K102" s="57" t="inlineStr">
        <is>
          <t>mês</t>
        </is>
      </c>
      <c r="L102" s="57">
        <f>_xlfn.XLOOKUP($J102,#REF!,#REF!)</f>
        <v/>
      </c>
      <c r="M102" s="57">
        <f>_xlfn.XLOOKUP($J102,#REF!,#REF!)</f>
        <v/>
      </c>
      <c r="N102" s="58">
        <f>IF(H102="Serviço",M102*L102,IF(H102="CÉLULA CONSTRUTIVA",SUMIFS($N$8:$N$427,$B$8:$B$427,B102,$H$8:$H$427,"Serviço"),IF(H102="ETAPA",SUMIFS($N$8:$N$427,$B$8:$B$427,B102,$C$8:$C$427,C102,$H$8:$H$427,"Serviço"),IF(H102="SUBETAPA",SUMIFS($N$8:$N$427,$B$8:$B$427,B102,$C$8:$C$427,C102,$D$8:$D$427,D102,$H$8:$H$427,"Serviço"),0))))</f>
        <v/>
      </c>
      <c r="O102" s="57">
        <f>_xlfn.XLOOKUP($J102,#REF!,#REF!)</f>
        <v/>
      </c>
      <c r="P102" s="60" t="inlineStr">
        <is>
          <t>Finalizado</t>
        </is>
      </c>
      <c r="Q102" s="61" t="n"/>
      <c r="R102" s="63" t="n"/>
    </row>
    <row r="103" outlineLevel="2" customFormat="1" s="40">
      <c r="A103" s="97">
        <f>IF($H103="UNIDADE CONSTRUTIVA",OFFSET(A103,-1,0)+1,LARGE(A$3:A102,1))</f>
        <v/>
      </c>
      <c r="B103" s="97">
        <f>IF(H103="UNIDADE CONSTRUTIVA",0,IF(H103="CÉLULA CONSTRUTIVA",OFFSET(B103,-1,0)+1,OFFSET(B103,-1,0)))</f>
        <v/>
      </c>
      <c r="C103" s="97">
        <f>IF(H103="CÉLULA CONSTRUTIVA",0,IF(H103="ETAPA",OFFSET(C103,-1,0)+1,OFFSET(C103,-1,0)))</f>
        <v/>
      </c>
      <c r="D103" s="98">
        <f>IF(H103="ETAPA",0,IF(H103="SUBETAPA",OFFSET(D103,-1,0)+1,OFFSET(D103,-1,0)))</f>
        <v/>
      </c>
      <c r="E103" s="98">
        <f>IF(H103="Subetapa",0,IF(H103="serviço",OFFSET(E103,-1,0)+1,OFFSET(E103,-1,0)))</f>
        <v/>
      </c>
      <c r="G103" s="52" t="n"/>
      <c r="H103" s="53" t="inlineStr">
        <is>
          <t>SERVIÇO</t>
        </is>
      </c>
      <c r="I103" s="54">
        <f>IF(H103="Unidade Construtiva",TEXT(A103,"00"),IF(H103="Célula Construtiva",TEXT(B103,"00"),IF(H103="Etapa",CONCATENATE(TEXT(B103,"00"),".",TEXT(C103,"000")),IF(H103="Subetapa",CONCATENATE(TEXT(B103,"00"),".",TEXT(C103,"000"),".",TEXT(D103,"000")),IF(H103="Serviço",CONCATENATE(TEXT(B103,"00"),".",TEXT(C103,"000"),".",TEXT(D103,"000"),".",TEXT(E103,"000")),"")))))</f>
        <v/>
      </c>
      <c r="J103" s="62" t="inlineStr">
        <is>
          <t>Carpinteiro 01</t>
        </is>
      </c>
      <c r="K103" s="57" t="inlineStr">
        <is>
          <t>mês</t>
        </is>
      </c>
      <c r="L103" s="57">
        <f>_xlfn.XLOOKUP($J103,#REF!,#REF!)</f>
        <v/>
      </c>
      <c r="M103" s="57">
        <f>_xlfn.XLOOKUP($J103,#REF!,#REF!)</f>
        <v/>
      </c>
      <c r="N103" s="58">
        <f>IF(H103="Serviço",M103*L103,IF(H103="CÉLULA CONSTRUTIVA",SUMIFS($N$8:$N$427,$B$8:$B$427,B103,$H$8:$H$427,"Serviço"),IF(H103="ETAPA",SUMIFS($N$8:$N$427,$B$8:$B$427,B103,$C$8:$C$427,C103,$H$8:$H$427,"Serviço"),IF(H103="SUBETAPA",SUMIFS($N$8:$N$427,$B$8:$B$427,B103,$C$8:$C$427,C103,$D$8:$D$427,D103,$H$8:$H$427,"Serviço"),0))))</f>
        <v/>
      </c>
      <c r="O103" s="57">
        <f>_xlfn.XLOOKUP($J103,#REF!,#REF!)</f>
        <v/>
      </c>
      <c r="P103" s="60" t="inlineStr">
        <is>
          <t>Finalizado</t>
        </is>
      </c>
      <c r="Q103" s="61" t="n"/>
      <c r="R103" s="63" t="n"/>
    </row>
    <row r="104" outlineLevel="2" customFormat="1" s="40">
      <c r="A104" s="97">
        <f>IF($H104="UNIDADE CONSTRUTIVA",OFFSET(A104,-1,0)+1,LARGE(A$3:A103,1))</f>
        <v/>
      </c>
      <c r="B104" s="97">
        <f>IF(H104="UNIDADE CONSTRUTIVA",0,IF(H104="CÉLULA CONSTRUTIVA",OFFSET(B104,-1,0)+1,OFFSET(B104,-1,0)))</f>
        <v/>
      </c>
      <c r="C104" s="97">
        <f>IF(H104="CÉLULA CONSTRUTIVA",0,IF(H104="ETAPA",OFFSET(C104,-1,0)+1,OFFSET(C104,-1,0)))</f>
        <v/>
      </c>
      <c r="D104" s="98">
        <f>IF(H104="ETAPA",0,IF(H104="SUBETAPA",OFFSET(D104,-1,0)+1,OFFSET(D104,-1,0)))</f>
        <v/>
      </c>
      <c r="E104" s="98">
        <f>IF(H104="Subetapa",0,IF(H104="serviço",OFFSET(E104,-1,0)+1,OFFSET(E104,-1,0)))</f>
        <v/>
      </c>
      <c r="G104" s="52" t="n"/>
      <c r="H104" s="53" t="inlineStr">
        <is>
          <t>SERVIÇO</t>
        </is>
      </c>
      <c r="I104" s="54">
        <f>IF(H104="Unidade Construtiva",TEXT(A104,"00"),IF(H104="Célula Construtiva",TEXT(B104,"00"),IF(H104="Etapa",CONCATENATE(TEXT(B104,"00"),".",TEXT(C104,"000")),IF(H104="Subetapa",CONCATENATE(TEXT(B104,"00"),".",TEXT(C104,"000"),".",TEXT(D104,"000")),IF(H104="Serviço",CONCATENATE(TEXT(B104,"00"),".",TEXT(C104,"000"),".",TEXT(D104,"000"),".",TEXT(E104,"000")),"")))))</f>
        <v/>
      </c>
      <c r="J104" s="62" t="inlineStr">
        <is>
          <t>Vigilância / portaria</t>
        </is>
      </c>
      <c r="K104" s="57" t="inlineStr">
        <is>
          <t>mês</t>
        </is>
      </c>
      <c r="L104" s="57">
        <f>_xlfn.XLOOKUP($J104,#REF!,#REF!)</f>
        <v/>
      </c>
      <c r="M104" s="57">
        <f>_xlfn.XLOOKUP($J104,#REF!,#REF!)</f>
        <v/>
      </c>
      <c r="N104" s="58">
        <f>IF(H104="Serviço",M104*L104,IF(H104="CÉLULA CONSTRUTIVA",SUMIFS($N$8:$N$427,$B$8:$B$427,B104,$H$8:$H$427,"Serviço"),IF(H104="ETAPA",SUMIFS($N$8:$N$427,$B$8:$B$427,B104,$C$8:$C$427,C104,$H$8:$H$427,"Serviço"),IF(H104="SUBETAPA",SUMIFS($N$8:$N$427,$B$8:$B$427,B104,$C$8:$C$427,C104,$D$8:$D$427,D104,$H$8:$H$427,"Serviço"),0))))</f>
        <v/>
      </c>
      <c r="O104" s="57">
        <f>_xlfn.XLOOKUP($J104,#REF!,#REF!)</f>
        <v/>
      </c>
      <c r="P104" s="60" t="inlineStr">
        <is>
          <t>Finalizado</t>
        </is>
      </c>
      <c r="Q104" s="61" t="n"/>
      <c r="R104" s="63" t="n"/>
    </row>
    <row r="105" outlineLevel="2" customFormat="1" s="40">
      <c r="A105" s="97">
        <f>IF($H105="UNIDADE CONSTRUTIVA",OFFSET(A105,-1,0)+1,LARGE(A$3:A104,1))</f>
        <v/>
      </c>
      <c r="B105" s="97">
        <f>IF(H105="UNIDADE CONSTRUTIVA",0,IF(H105="CÉLULA CONSTRUTIVA",OFFSET(B105,-1,0)+1,OFFSET(B105,-1,0)))</f>
        <v/>
      </c>
      <c r="C105" s="97">
        <f>IF(H105="CÉLULA CONSTRUTIVA",0,IF(H105="ETAPA",OFFSET(C105,-1,0)+1,OFFSET(C105,-1,0)))</f>
        <v/>
      </c>
      <c r="D105" s="98">
        <f>IF(H105="ETAPA",0,IF(H105="SUBETAPA",OFFSET(D105,-1,0)+1,OFFSET(D105,-1,0)))</f>
        <v/>
      </c>
      <c r="E105" s="98">
        <f>IF(H105="Subetapa",0,IF(H105="serviço",OFFSET(E105,-1,0)+1,OFFSET(E105,-1,0)))</f>
        <v/>
      </c>
      <c r="G105" s="52" t="n"/>
      <c r="H105" s="53" t="inlineStr">
        <is>
          <t>SERVIÇO</t>
        </is>
      </c>
      <c r="I105" s="54">
        <f>IF(H105="Unidade Construtiva",TEXT(A105,"00"),IF(H105="Célula Construtiva",TEXT(B105,"00"),IF(H105="Etapa",CONCATENATE(TEXT(B105,"00"),".",TEXT(C105,"000")),IF(H105="Subetapa",CONCATENATE(TEXT(B105,"00"),".",TEXT(C105,"000"),".",TEXT(D105,"000")),IF(H105="Serviço",CONCATENATE(TEXT(B105,"00"),".",TEXT(C105,"000"),".",TEXT(D105,"000"),".",TEXT(E105,"000")),"")))))</f>
        <v/>
      </c>
      <c r="J105" s="62" t="inlineStr">
        <is>
          <t>Técnico de segurança do trabalho - Quantidade</t>
        </is>
      </c>
      <c r="K105" s="57" t="inlineStr">
        <is>
          <t>mês</t>
        </is>
      </c>
      <c r="L105" s="57">
        <f>_xlfn.XLOOKUP($J105,#REF!,#REF!)</f>
        <v/>
      </c>
      <c r="M105" s="99" t="n">
        <v>7200</v>
      </c>
      <c r="N105" s="58">
        <f>IF(H105="Serviço",M105*L105,IF(H105="CÉLULA CONSTRUTIVA",SUMIFS($N$8:$N$427,$B$8:$B$427,B105,$H$8:$H$427,"Serviço"),IF(H105="ETAPA",SUMIFS($N$8:$N$427,$B$8:$B$427,B105,$C$8:$C$427,C105,$H$8:$H$427,"Serviço"),IF(H105="SUBETAPA",SUMIFS($N$8:$N$427,$B$8:$B$427,B105,$C$8:$C$427,C105,$D$8:$D$427,D105,$H$8:$H$427,"Serviço"),0))))</f>
        <v/>
      </c>
      <c r="O105" s="57">
        <f>_xlfn.XLOOKUP($J105,#REF!,#REF!)</f>
        <v/>
      </c>
      <c r="P105" s="60" t="inlineStr">
        <is>
          <t>Finalizado</t>
        </is>
      </c>
      <c r="Q105" s="61" t="n"/>
      <c r="R105" s="63" t="n"/>
    </row>
    <row r="106" outlineLevel="1" customFormat="1" s="40">
      <c r="A106" s="97">
        <f>IF($H106="UNIDADE CONSTRUTIVA",OFFSET(A106,-1,0)+1,LARGE(A$3:A105,1))</f>
        <v/>
      </c>
      <c r="B106" s="97">
        <f>IF(H106="UNIDADE CONSTRUTIVA",0,IF(H106="CÉLULA CONSTRUTIVA",OFFSET(B106,-1,0)+1,OFFSET(B106,-1,0)))</f>
        <v/>
      </c>
      <c r="C106" s="97">
        <f>IF(H106="CÉLULA CONSTRUTIVA",0,IF(H106="ETAPA",OFFSET(C106,-1,0)+1,OFFSET(C106,-1,0)))</f>
        <v/>
      </c>
      <c r="D106" s="98">
        <f>IF(H106="ETAPA",0,IF(H106="SUBETAPA",OFFSET(D106,-1,0)+1,OFFSET(D106,-1,0)))</f>
        <v/>
      </c>
      <c r="E106" s="98">
        <f>IF(H106="Subetapa",0,IF(H106="serviço",OFFSET(E106,-1,0)+1,OFFSET(E106,-1,0)))</f>
        <v/>
      </c>
      <c r="G106" s="52" t="n"/>
      <c r="H106" s="53" t="inlineStr">
        <is>
          <t>SUBETAPA</t>
        </is>
      </c>
      <c r="I106" s="54">
        <f>IF(H106="Unidade Construtiva",TEXT(A106,"00"),IF(H106="Célula Construtiva",TEXT(B106,"00"),IF(H106="Etapa",CONCATENATE(TEXT(B106,"00"),".",TEXT(C106,"000")),IF(H106="Subetapa",CONCATENATE(TEXT(B106,"00"),".",TEXT(C106,"000"),".",TEXT(D106,"000")),IF(H106="Serviço",CONCATENATE(TEXT(B106,"00"),".",TEXT(C106,"000"),".",TEXT(D106,"000"),".",TEXT(E106,"000")),"")))))</f>
        <v/>
      </c>
      <c r="J106" s="62" t="inlineStr">
        <is>
          <t>Despesas de Consumo e Manutenção</t>
        </is>
      </c>
      <c r="K106" s="56" t="n"/>
      <c r="L106" s="57" t="n"/>
      <c r="M106" s="57" t="n"/>
      <c r="N106" s="58">
        <f>IF(H106="Serviço",M106*L106,IF(H106="CÉLULA CONSTRUTIVA",SUMIFS($N$8:$N$427,$B$8:$B$427,B106,$H$8:$H$427,"Serviço"),IF(H106="ETAPA",SUMIFS($N$8:$N$427,$B$8:$B$427,B106,$C$8:$C$427,C106,$H$8:$H$427,"Serviço"),IF(H106="SUBETAPA",SUMIFS($N$8:$N$427,$B$8:$B$427,B106,$C$8:$C$427,C106,$D$8:$D$427,D106,$H$8:$H$427,"Serviço"),0))))</f>
        <v/>
      </c>
      <c r="O106" s="59">
        <f>N106/[1]CAPA!$C$10</f>
        <v/>
      </c>
      <c r="P106" s="60" t="n"/>
      <c r="Q106" s="61" t="n"/>
      <c r="R106" s="63" t="n"/>
    </row>
    <row r="107" outlineLevel="2" customFormat="1" s="40">
      <c r="A107" s="97">
        <f>IF($H107="UNIDADE CONSTRUTIVA",OFFSET(A107,-1,0)+1,LARGE(A$3:A106,1))</f>
        <v/>
      </c>
      <c r="B107" s="97">
        <f>IF(H107="UNIDADE CONSTRUTIVA",0,IF(H107="CÉLULA CONSTRUTIVA",OFFSET(B107,-1,0)+1,OFFSET(B107,-1,0)))</f>
        <v/>
      </c>
      <c r="C107" s="97">
        <f>IF(H107="CÉLULA CONSTRUTIVA",0,IF(H107="ETAPA",OFFSET(C107,-1,0)+1,OFFSET(C107,-1,0)))</f>
        <v/>
      </c>
      <c r="D107" s="98">
        <f>IF(H107="ETAPA",0,IF(H107="SUBETAPA",OFFSET(D107,-1,0)+1,OFFSET(D107,-1,0)))</f>
        <v/>
      </c>
      <c r="E107" s="98">
        <f>IF(H107="Subetapa",0,IF(H107="serviço",OFFSET(E107,-1,0)+1,OFFSET(E107,-1,0)))</f>
        <v/>
      </c>
      <c r="G107" s="52" t="n"/>
      <c r="H107" s="53" t="inlineStr">
        <is>
          <t>SERVIÇO</t>
        </is>
      </c>
      <c r="I107" s="54">
        <f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/>
      </c>
      <c r="J107" s="62" t="inlineStr">
        <is>
          <t>Consumos Mensais: Água e Esgoto</t>
        </is>
      </c>
      <c r="K107" s="57">
        <f>_xlfn.XLOOKUP($J107,#REF!,#REF!)</f>
        <v/>
      </c>
      <c r="L107" s="57">
        <f>_xlfn.XLOOKUP($J107,#REF!,#REF!)</f>
        <v/>
      </c>
      <c r="M107" s="57">
        <f>_xlfn.XLOOKUP($J107,#REF!,#REF!)</f>
        <v/>
      </c>
      <c r="N107" s="58">
        <f>IF(H107="Serviço",M107*L107,IF(H107="CÉLULA CONSTRUTIVA",SUMIFS($N$8:$N$427,$B$8:$B$427,B107,$H$8:$H$427,"Serviço"),IF(H107="ETAPA",SUMIFS($N$8:$N$427,$B$8:$B$427,B107,$C$8:$C$427,C107,$H$8:$H$427,"Serviço"),IF(H107="SUBETAPA",SUMIFS($N$8:$N$427,$B$8:$B$427,B107,$C$8:$C$427,C107,$D$8:$D$427,D107,$H$8:$H$427,"Serviço"),0))))</f>
        <v/>
      </c>
      <c r="O107" s="57">
        <f>_xlfn.XLOOKUP($J107,#REF!,#REF!)</f>
        <v/>
      </c>
      <c r="P107" s="60" t="inlineStr">
        <is>
          <t>Finalizado</t>
        </is>
      </c>
      <c r="Q107" s="61" t="n"/>
      <c r="R107" s="63" t="n"/>
    </row>
    <row r="108" outlineLevel="2" customFormat="1" s="40">
      <c r="A108" s="97">
        <f>IF($H108="UNIDADE CONSTRUTIVA",OFFSET(A108,-1,0)+1,LARGE(A$3:A107,1))</f>
        <v/>
      </c>
      <c r="B108" s="97">
        <f>IF(H108="UNIDADE CONSTRUTIVA",0,IF(H108="CÉLULA CONSTRUTIVA",OFFSET(B108,-1,0)+1,OFFSET(B108,-1,0)))</f>
        <v/>
      </c>
      <c r="C108" s="97">
        <f>IF(H108="CÉLULA CONSTRUTIVA",0,IF(H108="ETAPA",OFFSET(C108,-1,0)+1,OFFSET(C108,-1,0)))</f>
        <v/>
      </c>
      <c r="D108" s="98">
        <f>IF(H108="ETAPA",0,IF(H108="SUBETAPA",OFFSET(D108,-1,0)+1,OFFSET(D108,-1,0)))</f>
        <v/>
      </c>
      <c r="E108" s="98">
        <f>IF(H108="Subetapa",0,IF(H108="serviço",OFFSET(E108,-1,0)+1,OFFSET(E108,-1,0)))</f>
        <v/>
      </c>
      <c r="G108" s="52" t="n"/>
      <c r="H108" s="53" t="inlineStr">
        <is>
          <t>SERVIÇO</t>
        </is>
      </c>
      <c r="I108" s="54">
        <f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/>
      </c>
      <c r="J108" s="62" t="inlineStr">
        <is>
          <t>Consumos Mensais: Luz/energia</t>
        </is>
      </c>
      <c r="K108" s="57">
        <f>_xlfn.XLOOKUP($J108,#REF!,#REF!)</f>
        <v/>
      </c>
      <c r="L108" s="57">
        <f>_xlfn.XLOOKUP($J108,#REF!,#REF!)</f>
        <v/>
      </c>
      <c r="M108" s="57">
        <f>_xlfn.XLOOKUP($J108,#REF!,#REF!)</f>
        <v/>
      </c>
      <c r="N108" s="58">
        <f>IF(H108="Serviço",M108*L108,IF(H108="CÉLULA CONSTRUTIVA",SUMIFS($N$8:$N$427,$B$8:$B$427,B108,$H$8:$H$427,"Serviço"),IF(H108="ETAPA",SUMIFS($N$8:$N$427,$B$8:$B$427,B108,$C$8:$C$427,C108,$H$8:$H$427,"Serviço"),IF(H108="SUBETAPA",SUMIFS($N$8:$N$427,$B$8:$B$427,B108,$C$8:$C$427,C108,$D$8:$D$427,D108,$H$8:$H$427,"Serviço"),0))))</f>
        <v/>
      </c>
      <c r="O108" s="57">
        <f>_xlfn.XLOOKUP($J108,#REF!,#REF!)</f>
        <v/>
      </c>
      <c r="P108" s="60" t="inlineStr">
        <is>
          <t>Finalizado</t>
        </is>
      </c>
      <c r="Q108" s="61" t="n"/>
      <c r="R108" s="63" t="n"/>
    </row>
    <row r="109" outlineLevel="2" customFormat="1" s="40">
      <c r="A109" s="97">
        <f>IF($H109="UNIDADE CONSTRUTIVA",OFFSET(A109,-1,0)+1,LARGE(A$3:A108,1))</f>
        <v/>
      </c>
      <c r="B109" s="97">
        <f>IF(H109="UNIDADE CONSTRUTIVA",0,IF(H109="CÉLULA CONSTRUTIVA",OFFSET(B109,-1,0)+1,OFFSET(B109,-1,0)))</f>
        <v/>
      </c>
      <c r="C109" s="97">
        <f>IF(H109="CÉLULA CONSTRUTIVA",0,IF(H109="ETAPA",OFFSET(C109,-1,0)+1,OFFSET(C109,-1,0)))</f>
        <v/>
      </c>
      <c r="D109" s="98">
        <f>IF(H109="ETAPA",0,IF(H109="SUBETAPA",OFFSET(D109,-1,0)+1,OFFSET(D109,-1,0)))</f>
        <v/>
      </c>
      <c r="E109" s="98">
        <f>IF(H109="Subetapa",0,IF(H109="serviço",OFFSET(E109,-1,0)+1,OFFSET(E109,-1,0)))</f>
        <v/>
      </c>
      <c r="G109" s="52" t="n"/>
      <c r="H109" s="53" t="inlineStr">
        <is>
          <t>SERVIÇO</t>
        </is>
      </c>
      <c r="I109" s="54">
        <f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/>
      </c>
      <c r="J109" s="62" t="inlineStr">
        <is>
          <t>Consumos Mensais: Internet</t>
        </is>
      </c>
      <c r="K109" s="57">
        <f>_xlfn.XLOOKUP($J109,#REF!,#REF!)</f>
        <v/>
      </c>
      <c r="L109" s="57">
        <f>_xlfn.XLOOKUP($J109,#REF!,#REF!)</f>
        <v/>
      </c>
      <c r="M109" s="57">
        <f>_xlfn.XLOOKUP($J109,#REF!,#REF!)</f>
        <v/>
      </c>
      <c r="N109" s="58">
        <f>IF(H109="Serviço",M109*L109,IF(H109="CÉLULA CONSTRUTIVA",SUMIFS($N$8:$N$427,$B$8:$B$427,B109,$H$8:$H$427,"Serviço"),IF(H109="ETAPA",SUMIFS($N$8:$N$427,$B$8:$B$427,B109,$C$8:$C$427,C109,$H$8:$H$427,"Serviço"),IF(H109="SUBETAPA",SUMIFS($N$8:$N$427,$B$8:$B$427,B109,$C$8:$C$427,C109,$D$8:$D$427,D109,$H$8:$H$427,"Serviço"),0))))</f>
        <v/>
      </c>
      <c r="O109" s="57">
        <f>_xlfn.XLOOKUP($J109,#REF!,#REF!)</f>
        <v/>
      </c>
      <c r="P109" s="60" t="inlineStr">
        <is>
          <t>Finalizado</t>
        </is>
      </c>
      <c r="Q109" s="61" t="n"/>
      <c r="R109" s="63" t="n"/>
    </row>
    <row r="110" outlineLevel="2" customFormat="1" s="40">
      <c r="A110" s="97">
        <f>IF($H110="UNIDADE CONSTRUTIVA",OFFSET(A110,-1,0)+1,LARGE(A$3:A109,1))</f>
        <v/>
      </c>
      <c r="B110" s="97">
        <f>IF(H110="UNIDADE CONSTRUTIVA",0,IF(H110="CÉLULA CONSTRUTIVA",OFFSET(B110,-1,0)+1,OFFSET(B110,-1,0)))</f>
        <v/>
      </c>
      <c r="C110" s="97">
        <f>IF(H110="CÉLULA CONSTRUTIVA",0,IF(H110="ETAPA",OFFSET(C110,-1,0)+1,OFFSET(C110,-1,0)))</f>
        <v/>
      </c>
      <c r="D110" s="98">
        <f>IF(H110="ETAPA",0,IF(H110="SUBETAPA",OFFSET(D110,-1,0)+1,OFFSET(D110,-1,0)))</f>
        <v/>
      </c>
      <c r="E110" s="98">
        <f>IF(H110="Subetapa",0,IF(H110="serviço",OFFSET(E110,-1,0)+1,OFFSET(E110,-1,0)))</f>
        <v/>
      </c>
      <c r="G110" s="52" t="n"/>
      <c r="H110" s="53" t="inlineStr">
        <is>
          <t>SERVIÇO</t>
        </is>
      </c>
      <c r="I110" s="54">
        <f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/>
      </c>
      <c r="J110" s="62" t="inlineStr">
        <is>
          <t>Consumos Mensais: Coleta de Lixo</t>
        </is>
      </c>
      <c r="K110" s="57">
        <f>_xlfn.XLOOKUP($J110,#REF!,#REF!)</f>
        <v/>
      </c>
      <c r="L110" s="57">
        <f>_xlfn.XLOOKUP($J110,#REF!,#REF!)</f>
        <v/>
      </c>
      <c r="M110" s="57">
        <f>_xlfn.XLOOKUP($J110,#REF!,#REF!)</f>
        <v/>
      </c>
      <c r="N110" s="58">
        <f>IF(H110="Serviço",M110*L110,IF(H110="CÉLULA CONSTRUTIVA",SUMIFS($N$8:$N$427,$B$8:$B$427,B110,$H$8:$H$427,"Serviço"),IF(H110="ETAPA",SUMIFS($N$8:$N$427,$B$8:$B$427,B110,$C$8:$C$427,C110,$H$8:$H$427,"Serviço"),IF(H110="SUBETAPA",SUMIFS($N$8:$N$427,$B$8:$B$427,B110,$C$8:$C$427,C110,$D$8:$D$427,D110,$H$8:$H$427,"Serviço"),0))))</f>
        <v/>
      </c>
      <c r="O110" s="57">
        <f>_xlfn.XLOOKUP($J110,#REF!,#REF!)</f>
        <v/>
      </c>
      <c r="P110" s="60" t="inlineStr">
        <is>
          <t>Finalizado</t>
        </is>
      </c>
      <c r="Q110" s="61" t="n"/>
      <c r="R110" s="63" t="n"/>
    </row>
    <row r="111" outlineLevel="2" customFormat="1" s="40">
      <c r="A111" s="97">
        <f>IF($H111="UNIDADE CONSTRUTIVA",OFFSET(A111,-1,0)+1,LARGE(A$3:A110,1))</f>
        <v/>
      </c>
      <c r="B111" s="97">
        <f>IF(H111="UNIDADE CONSTRUTIVA",0,IF(H111="CÉLULA CONSTRUTIVA",OFFSET(B111,-1,0)+1,OFFSET(B111,-1,0)))</f>
        <v/>
      </c>
      <c r="C111" s="97">
        <f>IF(H111="CÉLULA CONSTRUTIVA",0,IF(H111="ETAPA",OFFSET(C111,-1,0)+1,OFFSET(C111,-1,0)))</f>
        <v/>
      </c>
      <c r="D111" s="98">
        <f>IF(H111="ETAPA",0,IF(H111="SUBETAPA",OFFSET(D111,-1,0)+1,OFFSET(D111,-1,0)))</f>
        <v/>
      </c>
      <c r="E111" s="98">
        <f>IF(H111="Subetapa",0,IF(H111="serviço",OFFSET(E111,-1,0)+1,OFFSET(E111,-1,0)))</f>
        <v/>
      </c>
      <c r="G111" s="52" t="n"/>
      <c r="H111" s="53" t="inlineStr">
        <is>
          <t>SERVIÇO</t>
        </is>
      </c>
      <c r="I111" s="54">
        <f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/>
      </c>
      <c r="J111" s="62" t="inlineStr">
        <is>
          <t>Consumos Mensais: Alimentação</t>
        </is>
      </c>
      <c r="K111" s="57">
        <f>_xlfn.XLOOKUP($J111,#REF!,#REF!)</f>
        <v/>
      </c>
      <c r="L111" s="57">
        <f>_xlfn.XLOOKUP($J111,#REF!,#REF!)</f>
        <v/>
      </c>
      <c r="M111" s="57">
        <f>_xlfn.XLOOKUP($J111,#REF!,#REF!)</f>
        <v/>
      </c>
      <c r="N111" s="58">
        <f>IF(H111="Serviço",M111*L111,IF(H111="CÉLULA CONSTRUTIVA",SUMIFS($N$8:$N$427,$B$8:$B$427,B111,$H$8:$H$427,"Serviço"),IF(H111="ETAPA",SUMIFS($N$8:$N$427,$B$8:$B$427,B111,$C$8:$C$427,C111,$H$8:$H$427,"Serviço"),IF(H111="SUBETAPA",SUMIFS($N$8:$N$427,$B$8:$B$427,B111,$C$8:$C$427,C111,$D$8:$D$427,D111,$H$8:$H$427,"Serviço"),0))))</f>
        <v/>
      </c>
      <c r="O111" s="57">
        <f>_xlfn.XLOOKUP($J111,#REF!,#REF!)</f>
        <v/>
      </c>
      <c r="P111" s="60" t="inlineStr">
        <is>
          <t>Finalizado</t>
        </is>
      </c>
      <c r="Q111" s="61" t="n"/>
      <c r="R111" s="63" t="n"/>
    </row>
    <row r="112" outlineLevel="2" customFormat="1" s="40">
      <c r="A112" s="97">
        <f>IF($H112="UNIDADE CONSTRUTIVA",OFFSET(A112,-1,0)+1,LARGE(A$3:A111,1))</f>
        <v/>
      </c>
      <c r="B112" s="97">
        <f>IF(H112="UNIDADE CONSTRUTIVA",0,IF(H112="CÉLULA CONSTRUTIVA",OFFSET(B112,-1,0)+1,OFFSET(B112,-1,0)))</f>
        <v/>
      </c>
      <c r="C112" s="97">
        <f>IF(H112="CÉLULA CONSTRUTIVA",0,IF(H112="ETAPA",OFFSET(C112,-1,0)+1,OFFSET(C112,-1,0)))</f>
        <v/>
      </c>
      <c r="D112" s="98">
        <f>IF(H112="ETAPA",0,IF(H112="SUBETAPA",OFFSET(D112,-1,0)+1,OFFSET(D112,-1,0)))</f>
        <v/>
      </c>
      <c r="E112" s="98">
        <f>IF(H112="Subetapa",0,IF(H112="serviço",OFFSET(E112,-1,0)+1,OFFSET(E112,-1,0)))</f>
        <v/>
      </c>
      <c r="G112" s="52" t="n"/>
      <c r="H112" s="53" t="inlineStr">
        <is>
          <t>SERVIÇO</t>
        </is>
      </c>
      <c r="I112" s="54">
        <f>IF(H112="Unidade Construtiva",TEXT(A112,"00"),IF(H112="Célula Construtiva",TEXT(B112,"00"),IF(H112="Etapa",CONCATENATE(TEXT(B112,"00"),".",TEXT(C112,"000")),IF(H112="Subetapa",CONCATENATE(TEXT(B112,"00"),".",TEXT(C112,"000"),".",TEXT(D112,"000")),IF(H112="Serviço",CONCATENATE(TEXT(B112,"00"),".",TEXT(C112,"000"),".",TEXT(D112,"000"),".",TEXT(E112,"000")),"")))))</f>
        <v/>
      </c>
      <c r="J112" s="62" t="inlineStr">
        <is>
          <t>Consumos Mensais: Mateirial de expediênte/escritório</t>
        </is>
      </c>
      <c r="K112" s="57">
        <f>_xlfn.XLOOKUP($J112,#REF!,#REF!)</f>
        <v/>
      </c>
      <c r="L112" s="57">
        <f>_xlfn.XLOOKUP($J112,#REF!,#REF!)</f>
        <v/>
      </c>
      <c r="M112" s="57">
        <f>_xlfn.XLOOKUP($J112,#REF!,#REF!)</f>
        <v/>
      </c>
      <c r="N112" s="58">
        <f>IF(H112="Serviço",M112*L112,IF(H112="CÉLULA CONSTRUTIVA",SUMIFS($N$8:$N$427,$B$8:$B$427,B112,$H$8:$H$427,"Serviço"),IF(H112="ETAPA",SUMIFS($N$8:$N$427,$B$8:$B$427,B112,$C$8:$C$427,C112,$H$8:$H$427,"Serviço"),IF(H112="SUBETAPA",SUMIFS($N$8:$N$427,$B$8:$B$427,B112,$C$8:$C$427,C112,$D$8:$D$427,D112,$H$8:$H$427,"Serviço"),0))))</f>
        <v/>
      </c>
      <c r="O112" s="57">
        <f>_xlfn.XLOOKUP($J112,#REF!,#REF!)</f>
        <v/>
      </c>
      <c r="P112" s="60" t="inlineStr">
        <is>
          <t>Finalizado</t>
        </is>
      </c>
      <c r="Q112" s="61" t="n"/>
      <c r="R112" s="63" t="n"/>
    </row>
    <row r="113" outlineLevel="2" customFormat="1" s="40">
      <c r="A113" s="97">
        <f>IF($H113="UNIDADE CONSTRUTIVA",OFFSET(A113,-1,0)+1,LARGE(A$3:A112,1))</f>
        <v/>
      </c>
      <c r="B113" s="97">
        <f>IF(H113="UNIDADE CONSTRUTIVA",0,IF(H113="CÉLULA CONSTRUTIVA",OFFSET(B113,-1,0)+1,OFFSET(B113,-1,0)))</f>
        <v/>
      </c>
      <c r="C113" s="97">
        <f>IF(H113="CÉLULA CONSTRUTIVA",0,IF(H113="ETAPA",OFFSET(C113,-1,0)+1,OFFSET(C113,-1,0)))</f>
        <v/>
      </c>
      <c r="D113" s="98">
        <f>IF(H113="ETAPA",0,IF(H113="SUBETAPA",OFFSET(D113,-1,0)+1,OFFSET(D113,-1,0)))</f>
        <v/>
      </c>
      <c r="E113" s="98">
        <f>IF(H113="Subetapa",0,IF(H113="serviço",OFFSET(E113,-1,0)+1,OFFSET(E113,-1,0)))</f>
        <v/>
      </c>
      <c r="G113" s="52" t="n"/>
      <c r="H113" s="53" t="inlineStr">
        <is>
          <t>SERVIÇO</t>
        </is>
      </c>
      <c r="I113" s="54">
        <f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/>
      </c>
      <c r="J113" s="62" t="inlineStr">
        <is>
          <t>Consumos Mensais: Material de higiêne e limpeza</t>
        </is>
      </c>
      <c r="K113" s="57">
        <f>_xlfn.XLOOKUP($J113,#REF!,#REF!)</f>
        <v/>
      </c>
      <c r="L113" s="57">
        <f>_xlfn.XLOOKUP($J113,#REF!,#REF!)</f>
        <v/>
      </c>
      <c r="M113" s="57">
        <f>_xlfn.XLOOKUP($J113,#REF!,#REF!)</f>
        <v/>
      </c>
      <c r="N113" s="58">
        <f>IF(H113="Serviço",M113*L113,IF(H113="CÉLULA CONSTRUTIVA",SUMIFS($N$8:$N$427,$B$8:$B$427,B113,$H$8:$H$427,"Serviço"),IF(H113="ETAPA",SUMIFS($N$8:$N$427,$B$8:$B$427,B113,$C$8:$C$427,C113,$H$8:$H$427,"Serviço"),IF(H113="SUBETAPA",SUMIFS($N$8:$N$427,$B$8:$B$427,B113,$C$8:$C$427,C113,$D$8:$D$427,D113,$H$8:$H$427,"Serviço"),0))))</f>
        <v/>
      </c>
      <c r="O113" s="57">
        <f>_xlfn.XLOOKUP($J113,#REF!,#REF!)</f>
        <v/>
      </c>
      <c r="P113" s="60" t="inlineStr">
        <is>
          <t>Finalizado</t>
        </is>
      </c>
      <c r="Q113" s="61" t="n"/>
      <c r="R113" s="63" t="n"/>
    </row>
    <row r="114" outlineLevel="2" customFormat="1" s="40">
      <c r="A114" s="97">
        <f>IF($H114="UNIDADE CONSTRUTIVA",OFFSET(A114,-1,0)+1,LARGE(A$3:A113,1))</f>
        <v/>
      </c>
      <c r="B114" s="97">
        <f>IF(H114="UNIDADE CONSTRUTIVA",0,IF(H114="CÉLULA CONSTRUTIVA",OFFSET(B114,-1,0)+1,OFFSET(B114,-1,0)))</f>
        <v/>
      </c>
      <c r="C114" s="97">
        <f>IF(H114="CÉLULA CONSTRUTIVA",0,IF(H114="ETAPA",OFFSET(C114,-1,0)+1,OFFSET(C114,-1,0)))</f>
        <v/>
      </c>
      <c r="D114" s="98">
        <f>IF(H114="ETAPA",0,IF(H114="SUBETAPA",OFFSET(D114,-1,0)+1,OFFSET(D114,-1,0)))</f>
        <v/>
      </c>
      <c r="E114" s="98">
        <f>IF(H114="Subetapa",0,IF(H114="serviço",OFFSET(E114,-1,0)+1,OFFSET(E114,-1,0)))</f>
        <v/>
      </c>
      <c r="G114" s="52" t="n"/>
      <c r="H114" s="53" t="inlineStr">
        <is>
          <t>SERVIÇO</t>
        </is>
      </c>
      <c r="I114" s="54">
        <f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/>
      </c>
      <c r="J114" s="62" t="inlineStr">
        <is>
          <t>Consumos gerais: Fretes</t>
        </is>
      </c>
      <c r="K114" s="57">
        <f>_xlfn.XLOOKUP($J114,#REF!,#REF!)</f>
        <v/>
      </c>
      <c r="L114" s="57">
        <f>_xlfn.XLOOKUP($J114,#REF!,#REF!)</f>
        <v/>
      </c>
      <c r="M114" s="57">
        <f>_xlfn.XLOOKUP($J114,#REF!,#REF!)</f>
        <v/>
      </c>
      <c r="N114" s="58">
        <f>IF(H114="Serviço",M114*L114,IF(H114="CÉLULA CONSTRUTIVA",SUMIFS($N$8:$N$427,$B$8:$B$427,B114,$H$8:$H$427,"Serviço"),IF(H114="ETAPA",SUMIFS($N$8:$N$427,$B$8:$B$427,B114,$C$8:$C$427,C114,$H$8:$H$427,"Serviço"),IF(H114="SUBETAPA",SUMIFS($N$8:$N$427,$B$8:$B$427,B114,$C$8:$C$427,C114,$D$8:$D$427,D114,$H$8:$H$427,"Serviço"),0))))</f>
        <v/>
      </c>
      <c r="O114" s="57">
        <f>_xlfn.XLOOKUP($J114,#REF!,#REF!)</f>
        <v/>
      </c>
      <c r="P114" s="60" t="inlineStr">
        <is>
          <t>Finalizado</t>
        </is>
      </c>
      <c r="Q114" s="61" t="n"/>
      <c r="R114" s="63" t="n"/>
    </row>
    <row r="115" outlineLevel="2" customFormat="1" s="40">
      <c r="A115" s="97">
        <f>IF($H115="UNIDADE CONSTRUTIVA",OFFSET(A115,-1,0)+1,LARGE(A$3:A114,1))</f>
        <v/>
      </c>
      <c r="B115" s="97">
        <f>IF(H115="UNIDADE CONSTRUTIVA",0,IF(H115="CÉLULA CONSTRUTIVA",OFFSET(B115,-1,0)+1,OFFSET(B115,-1,0)))</f>
        <v/>
      </c>
      <c r="C115" s="97">
        <f>IF(H115="CÉLULA CONSTRUTIVA",0,IF(H115="ETAPA",OFFSET(C115,-1,0)+1,OFFSET(C115,-1,0)))</f>
        <v/>
      </c>
      <c r="D115" s="98">
        <f>IF(H115="ETAPA",0,IF(H115="SUBETAPA",OFFSET(D115,-1,0)+1,OFFSET(D115,-1,0)))</f>
        <v/>
      </c>
      <c r="E115" s="98">
        <f>IF(H115="Subetapa",0,IF(H115="serviço",OFFSET(E115,-1,0)+1,OFFSET(E115,-1,0)))</f>
        <v/>
      </c>
      <c r="G115" s="52" t="n"/>
      <c r="H115" s="53" t="inlineStr">
        <is>
          <t>SERVIÇO</t>
        </is>
      </c>
      <c r="I115" s="54">
        <f>IF(H115="Unidade Construtiva",TEXT(A115,"00"),IF(H115="Célula Construtiva",TEXT(B115,"00"),IF(H115="Etapa",CONCATENATE(TEXT(B115,"00"),".",TEXT(C115,"000")),IF(H115="Subetapa",CONCATENATE(TEXT(B115,"00"),".",TEXT(C115,"000"),".",TEXT(D115,"000")),IF(H115="Serviço",CONCATENATE(TEXT(B115,"00"),".",TEXT(C115,"000"),".",TEXT(D115,"000"),".",TEXT(E115,"000")),"")))))</f>
        <v/>
      </c>
      <c r="J115" s="62" t="inlineStr">
        <is>
          <t>Consumos gerais: Consumo de cópias</t>
        </is>
      </c>
      <c r="K115" s="57">
        <f>_xlfn.XLOOKUP($J115,#REF!,#REF!)</f>
        <v/>
      </c>
      <c r="L115" s="57">
        <f>_xlfn.XLOOKUP($J115,#REF!,#REF!)</f>
        <v/>
      </c>
      <c r="M115" s="57">
        <f>_xlfn.XLOOKUP($J115,#REF!,#REF!)</f>
        <v/>
      </c>
      <c r="N115" s="58">
        <f>IF(H115="Serviço",M115*L115,IF(H115="CÉLULA CONSTRUTIVA",SUMIFS($N$8:$N$427,$B$8:$B$427,B115,$H$8:$H$427,"Serviço"),IF(H115="ETAPA",SUMIFS($N$8:$N$427,$B$8:$B$427,B115,$C$8:$C$427,C115,$H$8:$H$427,"Serviço"),IF(H115="SUBETAPA",SUMIFS($N$8:$N$427,$B$8:$B$427,B115,$C$8:$C$427,C115,$D$8:$D$427,D115,$H$8:$H$427,"Serviço"),0))))</f>
        <v/>
      </c>
      <c r="O115" s="57">
        <f>_xlfn.XLOOKUP($J115,#REF!,#REF!)</f>
        <v/>
      </c>
      <c r="P115" s="60" t="inlineStr">
        <is>
          <t>Finalizado</t>
        </is>
      </c>
      <c r="Q115" s="61" t="n"/>
      <c r="R115" s="63" t="n"/>
    </row>
    <row r="116" outlineLevel="2" customFormat="1" s="40">
      <c r="A116" s="97">
        <f>IF($H116="UNIDADE CONSTRUTIVA",OFFSET(A116,-1,0)+1,LARGE(A$3:A115,1))</f>
        <v/>
      </c>
      <c r="B116" s="97">
        <f>IF(H116="UNIDADE CONSTRUTIVA",0,IF(H116="CÉLULA CONSTRUTIVA",OFFSET(B116,-1,0)+1,OFFSET(B116,-1,0)))</f>
        <v/>
      </c>
      <c r="C116" s="97">
        <f>IF(H116="CÉLULA CONSTRUTIVA",0,IF(H116="ETAPA",OFFSET(C116,-1,0)+1,OFFSET(C116,-1,0)))</f>
        <v/>
      </c>
      <c r="D116" s="98">
        <f>IF(H116="ETAPA",0,IF(H116="SUBETAPA",OFFSET(D116,-1,0)+1,OFFSET(D116,-1,0)))</f>
        <v/>
      </c>
      <c r="E116" s="98">
        <f>IF(H116="Subetapa",0,IF(H116="serviço",OFFSET(E116,-1,0)+1,OFFSET(E116,-1,0)))</f>
        <v/>
      </c>
      <c r="G116" s="52" t="n"/>
      <c r="H116" s="53" t="inlineStr">
        <is>
          <t>SERVIÇO</t>
        </is>
      </c>
      <c r="I116" s="54">
        <f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/>
      </c>
      <c r="J116" s="62" t="inlineStr">
        <is>
          <t>Consumos gerais: Despesas com vizinhos</t>
        </is>
      </c>
      <c r="K116" s="57">
        <f>_xlfn.XLOOKUP($J116,#REF!,#REF!)</f>
        <v/>
      </c>
      <c r="L116" s="57">
        <f>_xlfn.XLOOKUP($J116,#REF!,#REF!)</f>
        <v/>
      </c>
      <c r="M116" s="57">
        <f>_xlfn.XLOOKUP($J116,#REF!,#REF!)</f>
        <v/>
      </c>
      <c r="N116" s="58">
        <f>IF(H116="Serviço",M116*L116,IF(H116="CÉLULA CONSTRUTIVA",SUMIFS($N$8:$N$427,$B$8:$B$427,B116,$H$8:$H$427,"Serviço"),IF(H116="ETAPA",SUMIFS($N$8:$N$427,$B$8:$B$427,B116,$C$8:$C$427,C116,$H$8:$H$427,"Serviço"),IF(H116="SUBETAPA",SUMIFS($N$8:$N$427,$B$8:$B$427,B116,$C$8:$C$427,C116,$D$8:$D$427,D116,$H$8:$H$427,"Serviço"),0))))</f>
        <v/>
      </c>
      <c r="O116" s="57">
        <f>_xlfn.XLOOKUP($J116,#REF!,#REF!)</f>
        <v/>
      </c>
      <c r="P116" s="60" t="inlineStr">
        <is>
          <t>Finalizado</t>
        </is>
      </c>
      <c r="Q116" s="61" t="n"/>
      <c r="R116" s="63" t="n"/>
    </row>
    <row r="117" outlineLevel="2" customFormat="1" s="40">
      <c r="A117" s="97">
        <f>IF($H117="UNIDADE CONSTRUTIVA",OFFSET(A117,-1,0)+1,LARGE(A$3:A116,1))</f>
        <v/>
      </c>
      <c r="B117" s="97">
        <f>IF(H117="UNIDADE CONSTRUTIVA",0,IF(H117="CÉLULA CONSTRUTIVA",OFFSET(B117,-1,0)+1,OFFSET(B117,-1,0)))</f>
        <v/>
      </c>
      <c r="C117" s="97">
        <f>IF(H117="CÉLULA CONSTRUTIVA",0,IF(H117="ETAPA",OFFSET(C117,-1,0)+1,OFFSET(C117,-1,0)))</f>
        <v/>
      </c>
      <c r="D117" s="98">
        <f>IF(H117="ETAPA",0,IF(H117="SUBETAPA",OFFSET(D117,-1,0)+1,OFFSET(D117,-1,0)))</f>
        <v/>
      </c>
      <c r="E117" s="98">
        <f>IF(H117="Subetapa",0,IF(H117="serviço",OFFSET(E117,-1,0)+1,OFFSET(E117,-1,0)))</f>
        <v/>
      </c>
      <c r="G117" s="52" t="n"/>
      <c r="H117" s="53" t="inlineStr">
        <is>
          <t>SERVIÇO</t>
        </is>
      </c>
      <c r="I117" s="54">
        <f>IF(H117="Unidade Construtiva",TEXT(A117,"00"),IF(H117="Célula Construtiva",TEXT(B117,"00"),IF(H117="Etapa",CONCATENATE(TEXT(B117,"00"),".",TEXT(C117,"000")),IF(H117="Subetapa",CONCATENATE(TEXT(B117,"00"),".",TEXT(C117,"000"),".",TEXT(D117,"000")),IF(H117="Serviço",CONCATENATE(TEXT(B117,"00"),".",TEXT(C117,"000"),".",TEXT(D117,"000"),".",TEXT(E117,"000")),"")))))</f>
        <v/>
      </c>
      <c r="J117" s="62" t="inlineStr">
        <is>
          <t>Consumos gerais: Esgotamento de sistema sanitário temporário</t>
        </is>
      </c>
      <c r="K117" s="57">
        <f>_xlfn.XLOOKUP($J117,#REF!,#REF!)</f>
        <v/>
      </c>
      <c r="L117" s="57">
        <f>_xlfn.XLOOKUP($J117,#REF!,#REF!)</f>
        <v/>
      </c>
      <c r="M117" s="57">
        <f>_xlfn.XLOOKUP($J117,#REF!,#REF!)</f>
        <v/>
      </c>
      <c r="N117" s="58">
        <f>IF(H117="Serviço",M117*L117,IF(H117="CÉLULA CONSTRUTIVA",SUMIFS($N$8:$N$427,$B$8:$B$427,B117,$H$8:$H$427,"Serviço"),IF(H117="ETAPA",SUMIFS($N$8:$N$427,$B$8:$B$427,B117,$C$8:$C$427,C117,$H$8:$H$427,"Serviço"),IF(H117="SUBETAPA",SUMIFS($N$8:$N$427,$B$8:$B$427,B117,$C$8:$C$427,C117,$D$8:$D$427,D117,$H$8:$H$427,"Serviço"),0))))</f>
        <v/>
      </c>
      <c r="O117" s="57">
        <f>_xlfn.XLOOKUP($J117,#REF!,#REF!)</f>
        <v/>
      </c>
      <c r="P117" s="60" t="inlineStr">
        <is>
          <t>Finalizado</t>
        </is>
      </c>
      <c r="Q117" s="61" t="n"/>
      <c r="R117" s="63" t="n"/>
    </row>
    <row r="118" outlineLevel="2" customFormat="1" s="40">
      <c r="A118" s="97">
        <f>IF($H118="UNIDADE CONSTRUTIVA",OFFSET(A118,-1,0)+1,LARGE(A$3:A117,1))</f>
        <v/>
      </c>
      <c r="B118" s="97">
        <f>IF(H118="UNIDADE CONSTRUTIVA",0,IF(H118="CÉLULA CONSTRUTIVA",OFFSET(B118,-1,0)+1,OFFSET(B118,-1,0)))</f>
        <v/>
      </c>
      <c r="C118" s="97">
        <f>IF(H118="CÉLULA CONSTRUTIVA",0,IF(H118="ETAPA",OFFSET(C118,-1,0)+1,OFFSET(C118,-1,0)))</f>
        <v/>
      </c>
      <c r="D118" s="98">
        <f>IF(H118="ETAPA",0,IF(H118="SUBETAPA",OFFSET(D118,-1,0)+1,OFFSET(D118,-1,0)))</f>
        <v/>
      </c>
      <c r="E118" s="98">
        <f>IF(H118="Subetapa",0,IF(H118="serviço",OFFSET(E118,-1,0)+1,OFFSET(E118,-1,0)))</f>
        <v/>
      </c>
      <c r="G118" s="52" t="n"/>
      <c r="H118" s="53" t="inlineStr">
        <is>
          <t>SERVIÇO</t>
        </is>
      </c>
      <c r="I118" s="54">
        <f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/>
      </c>
      <c r="J118" s="62" t="inlineStr">
        <is>
          <t>Consumos gerais: Gerador autônomo de energia</t>
        </is>
      </c>
      <c r="K118" s="57">
        <f>_xlfn.XLOOKUP($J118,#REF!,#REF!)</f>
        <v/>
      </c>
      <c r="L118" s="57">
        <f>_xlfn.XLOOKUP($J118,#REF!,#REF!)</f>
        <v/>
      </c>
      <c r="M118" s="57">
        <f>_xlfn.XLOOKUP($J118,#REF!,#REF!)</f>
        <v/>
      </c>
      <c r="N118" s="58">
        <f>IF(H118="Serviço",M118*L118,IF(H118="CÉLULA CONSTRUTIVA",SUMIFS($N$8:$N$427,$B$8:$B$427,B118,$H$8:$H$427,"Serviço"),IF(H118="ETAPA",SUMIFS($N$8:$N$427,$B$8:$B$427,B118,$C$8:$C$427,C118,$H$8:$H$427,"Serviço"),IF(H118="SUBETAPA",SUMIFS($N$8:$N$427,$B$8:$B$427,B118,$C$8:$C$427,C118,$D$8:$D$427,D118,$H$8:$H$427,"Serviço"),0))))</f>
        <v/>
      </c>
      <c r="O118" s="57">
        <f>_xlfn.XLOOKUP($J118,#REF!,#REF!)</f>
        <v/>
      </c>
      <c r="P118" s="60" t="inlineStr">
        <is>
          <t>Finalizado</t>
        </is>
      </c>
      <c r="Q118" s="61" t="n"/>
      <c r="R118" s="63" t="n"/>
    </row>
    <row r="119" outlineLevel="2" customFormat="1" s="40">
      <c r="A119" s="97">
        <f>IF($H119="UNIDADE CONSTRUTIVA",OFFSET(A119,-1,0)+1,LARGE(A$3:A118,1))</f>
        <v/>
      </c>
      <c r="B119" s="97">
        <f>IF(H119="UNIDADE CONSTRUTIVA",0,IF(H119="CÉLULA CONSTRUTIVA",OFFSET(B119,-1,0)+1,OFFSET(B119,-1,0)))</f>
        <v/>
      </c>
      <c r="C119" s="97">
        <f>IF(H119="CÉLULA CONSTRUTIVA",0,IF(H119="ETAPA",OFFSET(C119,-1,0)+1,OFFSET(C119,-1,0)))</f>
        <v/>
      </c>
      <c r="D119" s="98">
        <f>IF(H119="ETAPA",0,IF(H119="SUBETAPA",OFFSET(D119,-1,0)+1,OFFSET(D119,-1,0)))</f>
        <v/>
      </c>
      <c r="E119" s="98">
        <f>IF(H119="Subetapa",0,IF(H119="serviço",OFFSET(E119,-1,0)+1,OFFSET(E119,-1,0)))</f>
        <v/>
      </c>
      <c r="G119" s="52" t="n"/>
      <c r="H119" s="53" t="inlineStr">
        <is>
          <t>SERVIÇO</t>
        </is>
      </c>
      <c r="I119" s="54">
        <f>IF(H119="Unidade Construtiva",TEXT(A119,"00"),IF(H119="Célula Construtiva",TEXT(B119,"00"),IF(H119="Etapa",CONCATENATE(TEXT(B119,"00"),".",TEXT(C119,"000")),IF(H119="Subetapa",CONCATENATE(TEXT(B119,"00"),".",TEXT(C119,"000"),".",TEXT(D119,"000")),IF(H119="Serviço",CONCATENATE(TEXT(B119,"00"),".",TEXT(C119,"000"),".",TEXT(D119,"000"),".",TEXT(E119,"000")),"")))))</f>
        <v/>
      </c>
      <c r="J119" s="62" t="inlineStr">
        <is>
          <t>Mobiliario de apoio a obra</t>
        </is>
      </c>
      <c r="K119" s="57">
        <f>_xlfn.XLOOKUP($J119,#REF!,#REF!)</f>
        <v/>
      </c>
      <c r="L119" s="57">
        <f>_xlfn.XLOOKUP($J119,#REF!,#REF!)</f>
        <v/>
      </c>
      <c r="M119" s="57">
        <f>_xlfn.XLOOKUP($J119,#REF!,#REF!)</f>
        <v/>
      </c>
      <c r="N119" s="58">
        <f>IF(H119="Serviço",M119*L119,IF(H119="CÉLULA CONSTRUTIVA",SUMIFS($N$8:$N$427,$B$8:$B$427,B119,$H$8:$H$427,"Serviço"),IF(H119="ETAPA",SUMIFS($N$8:$N$427,$B$8:$B$427,B119,$C$8:$C$427,C119,$H$8:$H$427,"Serviço"),IF(H119="SUBETAPA",SUMIFS($N$8:$N$427,$B$8:$B$427,B119,$C$8:$C$427,C119,$D$8:$D$427,D119,$H$8:$H$427,"Serviço"),0))))</f>
        <v/>
      </c>
      <c r="O119" s="57">
        <f>_xlfn.XLOOKUP($J119,#REF!,#REF!)</f>
        <v/>
      </c>
      <c r="P119" s="60" t="inlineStr">
        <is>
          <t>Finalizado</t>
        </is>
      </c>
      <c r="Q119" s="61" t="n"/>
      <c r="R119" s="63" t="n"/>
    </row>
    <row r="120" outlineLevel="2" customFormat="1" s="40">
      <c r="A120" s="97">
        <f>IF($H120="UNIDADE CONSTRUTIVA",OFFSET(A120,-1,0)+1,LARGE(A$3:A119,1))</f>
        <v/>
      </c>
      <c r="B120" s="97">
        <f>IF(H120="UNIDADE CONSTRUTIVA",0,IF(H120="CÉLULA CONSTRUTIVA",OFFSET(B120,-1,0)+1,OFFSET(B120,-1,0)))</f>
        <v/>
      </c>
      <c r="C120" s="97">
        <f>IF(H120="CÉLULA CONSTRUTIVA",0,IF(H120="ETAPA",OFFSET(C120,-1,0)+1,OFFSET(C120,-1,0)))</f>
        <v/>
      </c>
      <c r="D120" s="98">
        <f>IF(H120="ETAPA",0,IF(H120="SUBETAPA",OFFSET(D120,-1,0)+1,OFFSET(D120,-1,0)))</f>
        <v/>
      </c>
      <c r="E120" s="98">
        <f>IF(H120="Subetapa",0,IF(H120="serviço",OFFSET(E120,-1,0)+1,OFFSET(E120,-1,0)))</f>
        <v/>
      </c>
      <c r="G120" s="52" t="n"/>
      <c r="H120" s="53" t="inlineStr">
        <is>
          <t>SERVIÇO</t>
        </is>
      </c>
      <c r="I120" s="54">
        <f>IF(H120="Unidade Construtiva",TEXT(A120,"00"),IF(H120="Célula Construtiva",TEXT(B120,"00"),IF(H120="Etapa",CONCATENATE(TEXT(B120,"00"),".",TEXT(C120,"000")),IF(H120="Subetapa",CONCATENATE(TEXT(B120,"00"),".",TEXT(C120,"000"),".",TEXT(D120,"000")),IF(H120="Serviço",CONCATENATE(TEXT(B120,"00"),".",TEXT(C120,"000"),".",TEXT(D120,"000"),".",TEXT(E120,"000")),"")))))</f>
        <v/>
      </c>
      <c r="J120" s="62" t="inlineStr">
        <is>
          <t>Equipamentos de escritorio</t>
        </is>
      </c>
      <c r="K120" s="57">
        <f>_xlfn.XLOOKUP($J120,#REF!,#REF!)</f>
        <v/>
      </c>
      <c r="L120" s="57">
        <f>_xlfn.XLOOKUP($J120,#REF!,#REF!)</f>
        <v/>
      </c>
      <c r="M120" s="99" t="n">
        <v>28000</v>
      </c>
      <c r="N120" s="58">
        <f>IF(H120="Serviço",M120*L120,IF(H120="CÉLULA CONSTRUTIVA",SUMIFS($N$8:$N$427,$B$8:$B$427,B120,$H$8:$H$427,"Serviço"),IF(H120="ETAPA",SUMIFS($N$8:$N$427,$B$8:$B$427,B120,$C$8:$C$427,C120,$H$8:$H$427,"Serviço"),IF(H120="SUBETAPA",SUMIFS($N$8:$N$427,$B$8:$B$427,B120,$C$8:$C$427,C120,$D$8:$D$427,D120,$H$8:$H$427,"Serviço"),0))))</f>
        <v/>
      </c>
      <c r="O120" s="57">
        <f>_xlfn.XLOOKUP($J120,#REF!,#REF!)</f>
        <v/>
      </c>
      <c r="P120" s="60" t="inlineStr">
        <is>
          <t>Finalizado</t>
        </is>
      </c>
      <c r="Q120" s="61" t="n"/>
      <c r="R120" s="63" t="n"/>
    </row>
    <row r="121" outlineLevel="2" customFormat="1" s="40">
      <c r="A121" s="97">
        <f>IF($H121="UNIDADE CONSTRUTIVA",OFFSET(A121,-1,0)+1,LARGE(A$3:A120,1))</f>
        <v/>
      </c>
      <c r="B121" s="97">
        <f>IF(H121="UNIDADE CONSTRUTIVA",0,IF(H121="CÉLULA CONSTRUTIVA",OFFSET(B121,-1,0)+1,OFFSET(B121,-1,0)))</f>
        <v/>
      </c>
      <c r="C121" s="97">
        <f>IF(H121="CÉLULA CONSTRUTIVA",0,IF(H121="ETAPA",OFFSET(C121,-1,0)+1,OFFSET(C121,-1,0)))</f>
        <v/>
      </c>
      <c r="D121" s="98">
        <f>IF(H121="ETAPA",0,IF(H121="SUBETAPA",OFFSET(D121,-1,0)+1,OFFSET(D121,-1,0)))</f>
        <v/>
      </c>
      <c r="E121" s="98">
        <f>IF(H121="Subetapa",0,IF(H121="serviço",OFFSET(E121,-1,0)+1,OFFSET(E121,-1,0)))</f>
        <v/>
      </c>
      <c r="G121" s="52" t="n"/>
      <c r="H121" s="53" t="inlineStr">
        <is>
          <t>SERVIÇO</t>
        </is>
      </c>
      <c r="I121" s="54">
        <f>IF(H121="Unidade Construtiva",TEXT(A121,"00"),IF(H121="Célula Construtiva",TEXT(B121,"00"),IF(H121="Etapa",CONCATENATE(TEXT(B121,"00"),".",TEXT(C121,"000")),IF(H121="Subetapa",CONCATENATE(TEXT(B121,"00"),".",TEXT(C121,"000"),".",TEXT(D121,"000")),IF(H121="Serviço",CONCATENATE(TEXT(B121,"00"),".",TEXT(C121,"000"),".",TEXT(D121,"000"),".",TEXT(E121,"000")),"")))))</f>
        <v/>
      </c>
      <c r="J121" s="62" t="inlineStr">
        <is>
          <t>Sinalizacao geral da obra</t>
        </is>
      </c>
      <c r="K121" s="57">
        <f>_xlfn.XLOOKUP($J121,#REF!,#REF!)</f>
        <v/>
      </c>
      <c r="L121" s="57">
        <f>_xlfn.XLOOKUP($J121,#REF!,#REF!)</f>
        <v/>
      </c>
      <c r="M121" s="57">
        <f>_xlfn.XLOOKUP($J121,#REF!,#REF!)</f>
        <v/>
      </c>
      <c r="N121" s="58">
        <f>IF(H121="Serviço",M121*L121,IF(H121="CÉLULA CONSTRUTIVA",SUMIFS($N$8:$N$427,$B$8:$B$427,B121,$H$8:$H$427,"Serviço"),IF(H121="ETAPA",SUMIFS($N$8:$N$427,$B$8:$B$427,B121,$C$8:$C$427,C121,$H$8:$H$427,"Serviço"),IF(H121="SUBETAPA",SUMIFS($N$8:$N$427,$B$8:$B$427,B121,$C$8:$C$427,C121,$D$8:$D$427,D121,$H$8:$H$427,"Serviço"),0))))</f>
        <v/>
      </c>
      <c r="O121" s="57">
        <f>_xlfn.XLOOKUP($J121,#REF!,#REF!)</f>
        <v/>
      </c>
      <c r="P121" s="60" t="inlineStr">
        <is>
          <t>Finalizado</t>
        </is>
      </c>
      <c r="Q121" s="61" t="n"/>
      <c r="R121" s="63" t="n"/>
    </row>
    <row r="122" outlineLevel="1" customFormat="1" s="40">
      <c r="A122" s="97">
        <f>IF($H122="UNIDADE CONSTRUTIVA",OFFSET(A122,-1,0)+1,LARGE(A$3:A121,1))</f>
        <v/>
      </c>
      <c r="B122" s="97">
        <f>IF(H122="UNIDADE CONSTRUTIVA",0,IF(H122="CÉLULA CONSTRUTIVA",OFFSET(B122,-1,0)+1,OFFSET(B122,-1,0)))</f>
        <v/>
      </c>
      <c r="C122" s="97">
        <f>IF(H122="CÉLULA CONSTRUTIVA",0,IF(H122="ETAPA",OFFSET(C122,-1,0)+1,OFFSET(C122,-1,0)))</f>
        <v/>
      </c>
      <c r="D122" s="98">
        <f>IF(H122="ETAPA",0,IF(H122="SUBETAPA",OFFSET(D122,-1,0)+1,OFFSET(D122,-1,0)))</f>
        <v/>
      </c>
      <c r="E122" s="98">
        <f>IF(H122="Subetapa",0,IF(H122="serviço",OFFSET(E122,-1,0)+1,OFFSET(E122,-1,0)))</f>
        <v/>
      </c>
      <c r="G122" s="52" t="n"/>
      <c r="H122" s="53" t="inlineStr">
        <is>
          <t>SUBETAPA</t>
        </is>
      </c>
      <c r="I122" s="54">
        <f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/>
      </c>
      <c r="J122" s="62" t="inlineStr">
        <is>
          <t>Manutenção de Canteiro de Obra</t>
        </is>
      </c>
      <c r="K122" s="56" t="n"/>
      <c r="L122" s="57" t="n"/>
      <c r="M122" s="57" t="n"/>
      <c r="N122" s="58">
        <f>IF(H122="Serviço",M122*L122,IF(H122="CÉLULA CONSTRUTIVA",SUMIFS($N$8:$N$427,$B$8:$B$427,B122,$H$8:$H$427,"Serviço"),IF(H122="ETAPA",SUMIFS($N$8:$N$427,$B$8:$B$427,B122,$C$8:$C$427,C122,$H$8:$H$427,"Serviço"),IF(H122="SUBETAPA",SUMIFS($N$8:$N$427,$B$8:$B$427,B122,$C$8:$C$427,C122,$D$8:$D$427,D122,$H$8:$H$427,"Serviço"),0))))</f>
        <v/>
      </c>
      <c r="O122" s="59">
        <f>N122/[1]CAPA!$C$10</f>
        <v/>
      </c>
      <c r="P122" s="60" t="n"/>
      <c r="Q122" s="61" t="n"/>
      <c r="R122" s="63" t="n"/>
    </row>
    <row r="123" outlineLevel="2" ht="22.5" customFormat="1" customHeight="1" s="40">
      <c r="A123" s="97">
        <f>IF($H123="UNIDADE CONSTRUTIVA",OFFSET(A123,-1,0)+1,LARGE(A$3:A122,1))</f>
        <v/>
      </c>
      <c r="B123" s="97">
        <f>IF(H123="UNIDADE CONSTRUTIVA",0,IF(H123="CÉLULA CONSTRUTIVA",OFFSET(B123,-1,0)+1,OFFSET(B123,-1,0)))</f>
        <v/>
      </c>
      <c r="C123" s="97">
        <f>IF(H123="CÉLULA CONSTRUTIVA",0,IF(H123="ETAPA",OFFSET(C123,-1,0)+1,OFFSET(C123,-1,0)))</f>
        <v/>
      </c>
      <c r="D123" s="98">
        <f>IF(H123="ETAPA",0,IF(H123="SUBETAPA",OFFSET(D123,-1,0)+1,OFFSET(D123,-1,0)))</f>
        <v/>
      </c>
      <c r="E123" s="98">
        <f>IF(H123="Subetapa",0,IF(H123="serviço",OFFSET(E123,-1,0)+1,OFFSET(E123,-1,0)))</f>
        <v/>
      </c>
      <c r="G123" s="52" t="n"/>
      <c r="H123" s="53" t="inlineStr">
        <is>
          <t>SERVIÇO</t>
        </is>
      </c>
      <c r="I123" s="54">
        <f>IF(H123="Unidade Construtiva",TEXT(A123,"00"),IF(H123="Célula Construtiva",TEXT(B123,"00"),IF(H123="Etapa",CONCATENATE(TEXT(B123,"00"),".",TEXT(C123,"000")),IF(H123="Subetapa",CONCATENATE(TEXT(B123,"00"),".",TEXT(C123,"000"),".",TEXT(D123,"000")),IF(H123="Serviço",CONCATENATE(TEXT(B123,"00"),".",TEXT(C123,"000"),".",TEXT(D123,"000"),".",TEXT(E123,"000")),"")))))</f>
        <v/>
      </c>
      <c r="J123" s="62" t="inlineStr">
        <is>
          <t>Despesas de manutenção: Manutenção provisória do canteiro</t>
        </is>
      </c>
      <c r="K123" s="57">
        <f>_xlfn.XLOOKUP($J123,#REF!,#REF!)</f>
        <v/>
      </c>
      <c r="L123" s="57">
        <f>_xlfn.XLOOKUP($J123,#REF!,#REF!)</f>
        <v/>
      </c>
      <c r="M123" s="57">
        <f>(500000/48)*0.296296296296296</f>
        <v/>
      </c>
      <c r="N123" s="58">
        <f>IF(H123="Serviço",M123*L123,IF(H123="CÉLULA CONSTRUTIVA",SUMIFS($N$8:$N$427,$B$8:$B$427,B123,$H$8:$H$427,"Serviço"),IF(H123="ETAPA",SUMIFS($N$8:$N$427,$B$8:$B$427,B123,$C$8:$C$427,C123,$H$8:$H$427,"Serviço"),IF(H123="SUBETAPA",SUMIFS($N$8:$N$427,$B$8:$B$427,B123,$C$8:$C$427,C123,$D$8:$D$427,D123,$H$8:$H$427,"Serviço"),0))))</f>
        <v/>
      </c>
      <c r="O123" s="57" t="inlineStr">
        <is>
          <t>Repessado pela Gessele na reunião do dia 05/03/2026 - considerar um total de R$ 500k na subetapa de manutenção</t>
        </is>
      </c>
      <c r="P123" s="60" t="inlineStr">
        <is>
          <t>Finalizado</t>
        </is>
      </c>
      <c r="Q123" s="101" t="n"/>
      <c r="R123" s="63" t="n"/>
    </row>
    <row r="124" outlineLevel="2" ht="22.5" customFormat="1" customHeight="1" s="40">
      <c r="A124" s="97">
        <f>IF($H124="UNIDADE CONSTRUTIVA",OFFSET(A124,-1,0)+1,LARGE(A$3:A123,1))</f>
        <v/>
      </c>
      <c r="B124" s="97">
        <f>IF(H124="UNIDADE CONSTRUTIVA",0,IF(H124="CÉLULA CONSTRUTIVA",OFFSET(B124,-1,0)+1,OFFSET(B124,-1,0)))</f>
        <v/>
      </c>
      <c r="C124" s="97">
        <f>IF(H124="CÉLULA CONSTRUTIVA",0,IF(H124="ETAPA",OFFSET(C124,-1,0)+1,OFFSET(C124,-1,0)))</f>
        <v/>
      </c>
      <c r="D124" s="98">
        <f>IF(H124="ETAPA",0,IF(H124="SUBETAPA",OFFSET(D124,-1,0)+1,OFFSET(D124,-1,0)))</f>
        <v/>
      </c>
      <c r="E124" s="98">
        <f>IF(H124="Subetapa",0,IF(H124="serviço",OFFSET(E124,-1,0)+1,OFFSET(E124,-1,0)))</f>
        <v/>
      </c>
      <c r="G124" s="52" t="n"/>
      <c r="H124" s="53" t="inlineStr">
        <is>
          <t>SERVIÇO</t>
        </is>
      </c>
      <c r="I124" s="54">
        <f>IF(H124="Unidade Construtiva",TEXT(A124,"00"),IF(H124="Célula Construtiva",TEXT(B124,"00"),IF(H124="Etapa",CONCATENATE(TEXT(B124,"00"),".",TEXT(C124,"000")),IF(H124="Subetapa",CONCATENATE(TEXT(B124,"00"),".",TEXT(C124,"000"),".",TEXT(D124,"000")),IF(H124="Serviço",CONCATENATE(TEXT(B124,"00"),".",TEXT(C124,"000"),".",TEXT(D124,"000"),".",TEXT(E124,"000")),"")))))</f>
        <v/>
      </c>
      <c r="J124" s="62" t="inlineStr">
        <is>
          <t>Despesas de manutenção: Manutenção provisória elétrica</t>
        </is>
      </c>
      <c r="K124" s="57">
        <f>_xlfn.XLOOKUP($J124,#REF!,#REF!)</f>
        <v/>
      </c>
      <c r="L124" s="57">
        <f>_xlfn.XLOOKUP($J124,#REF!,#REF!)</f>
        <v/>
      </c>
      <c r="M124" s="57">
        <f>(500000/48)*0.324074074074074</f>
        <v/>
      </c>
      <c r="N124" s="58">
        <f>IF(H124="Serviço",M124*L124,IF(H124="CÉLULA CONSTRUTIVA",SUMIFS($N$8:$N$427,$B$8:$B$427,B124,$H$8:$H$427,"Serviço"),IF(H124="ETAPA",SUMIFS($N$8:$N$427,$B$8:$B$427,B124,$C$8:$C$427,C124,$H$8:$H$427,"Serviço"),IF(H124="SUBETAPA",SUMIFS($N$8:$N$427,$B$8:$B$427,B124,$C$8:$C$427,C124,$D$8:$D$427,D124,$H$8:$H$427,"Serviço"),0))))</f>
        <v/>
      </c>
      <c r="O124" s="57" t="inlineStr">
        <is>
          <t>Repessado pela Gessele na reunião do dia 05/03/2026 - considerar um total de R$ 500k na subetapa de manutenção</t>
        </is>
      </c>
      <c r="P124" s="60" t="inlineStr">
        <is>
          <t>Finalizado</t>
        </is>
      </c>
      <c r="Q124" s="101" t="n"/>
      <c r="R124" s="63" t="n"/>
    </row>
    <row r="125" outlineLevel="2" ht="22.5" customFormat="1" customHeight="1" s="40">
      <c r="A125" s="97">
        <f>IF($H125="UNIDADE CONSTRUTIVA",OFFSET(A125,-1,0)+1,LARGE(A$3:A124,1))</f>
        <v/>
      </c>
      <c r="B125" s="97">
        <f>IF(H125="UNIDADE CONSTRUTIVA",0,IF(H125="CÉLULA CONSTRUTIVA",OFFSET(B125,-1,0)+1,OFFSET(B125,-1,0)))</f>
        <v/>
      </c>
      <c r="C125" s="97">
        <f>IF(H125="CÉLULA CONSTRUTIVA",0,IF(H125="ETAPA",OFFSET(C125,-1,0)+1,OFFSET(C125,-1,0)))</f>
        <v/>
      </c>
      <c r="D125" s="98">
        <f>IF(H125="ETAPA",0,IF(H125="SUBETAPA",OFFSET(D125,-1,0)+1,OFFSET(D125,-1,0)))</f>
        <v/>
      </c>
      <c r="E125" s="98">
        <f>IF(H125="Subetapa",0,IF(H125="serviço",OFFSET(E125,-1,0)+1,OFFSET(E125,-1,0)))</f>
        <v/>
      </c>
      <c r="G125" s="52" t="n"/>
      <c r="H125" s="53" t="inlineStr">
        <is>
          <t>SERVIÇO</t>
        </is>
      </c>
      <c r="I125" s="54">
        <f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/>
      </c>
      <c r="J125" s="62" t="inlineStr">
        <is>
          <t>Despesas de manutenção: Manutenção provisória hidrossanitária</t>
        </is>
      </c>
      <c r="K125" s="57">
        <f>_xlfn.XLOOKUP($J125,#REF!,#REF!)</f>
        <v/>
      </c>
      <c r="L125" s="57">
        <f>_xlfn.XLOOKUP($J125,#REF!,#REF!)</f>
        <v/>
      </c>
      <c r="M125" s="57">
        <f>(500000/48)*0.231481481481482</f>
        <v/>
      </c>
      <c r="N125" s="58">
        <f>IF(H125="Serviço",M125*L125,IF(H125="CÉLULA CONSTRUTIVA",SUMIFS($N$8:$N$427,$B$8:$B$427,B125,$H$8:$H$427,"Serviço"),IF(H125="ETAPA",SUMIFS($N$8:$N$427,$B$8:$B$427,B125,$C$8:$C$427,C125,$H$8:$H$427,"Serviço"),IF(H125="SUBETAPA",SUMIFS($N$8:$N$427,$B$8:$B$427,B125,$C$8:$C$427,C125,$D$8:$D$427,D125,$H$8:$H$427,"Serviço"),0))))</f>
        <v/>
      </c>
      <c r="O125" s="57" t="inlineStr">
        <is>
          <t>Repessado pela Gessele na reunião do dia 05/03/2026 - considerar um total de R$ 500k na subetapa de manutenção</t>
        </is>
      </c>
      <c r="P125" s="60" t="inlineStr">
        <is>
          <t>Finalizado</t>
        </is>
      </c>
      <c r="Q125" s="101" t="n"/>
      <c r="R125" s="63" t="n"/>
    </row>
    <row r="126" outlineLevel="2" ht="22.5" customFormat="1" customHeight="1" s="40">
      <c r="A126" s="97">
        <f>IF($H126="UNIDADE CONSTRUTIVA",OFFSET(A126,-1,0)+1,LARGE(A$3:A125,1))</f>
        <v/>
      </c>
      <c r="B126" s="97">
        <f>IF(H126="UNIDADE CONSTRUTIVA",0,IF(H126="CÉLULA CONSTRUTIVA",OFFSET(B126,-1,0)+1,OFFSET(B126,-1,0)))</f>
        <v/>
      </c>
      <c r="C126" s="97">
        <f>IF(H126="CÉLULA CONSTRUTIVA",0,IF(H126="ETAPA",OFFSET(C126,-1,0)+1,OFFSET(C126,-1,0)))</f>
        <v/>
      </c>
      <c r="D126" s="98">
        <f>IF(H126="ETAPA",0,IF(H126="SUBETAPA",OFFSET(D126,-1,0)+1,OFFSET(D126,-1,0)))</f>
        <v/>
      </c>
      <c r="E126" s="98">
        <f>IF(H126="Subetapa",0,IF(H126="serviço",OFFSET(E126,-1,0)+1,OFFSET(E126,-1,0)))</f>
        <v/>
      </c>
      <c r="G126" s="52" t="n"/>
      <c r="H126" s="53" t="inlineStr">
        <is>
          <t>SERVIÇO</t>
        </is>
      </c>
      <c r="I126" s="54">
        <f>IF(H126="Unidade Construtiva",TEXT(A126,"00"),IF(H126="Célula Construtiva",TEXT(B126,"00"),IF(H126="Etapa",CONCATENATE(TEXT(B126,"00"),".",TEXT(C126,"000")),IF(H126="Subetapa",CONCATENATE(TEXT(B126,"00"),".",TEXT(C126,"000"),".",TEXT(D126,"000")),IF(H126="Serviço",CONCATENATE(TEXT(B126,"00"),".",TEXT(C126,"000"),".",TEXT(D126,"000"),".",TEXT(E126,"000")),"")))))</f>
        <v/>
      </c>
      <c r="J126" s="62" t="inlineStr">
        <is>
          <t>Despesas de manutenção: Manutenção provisória vigilância e acessos</t>
        </is>
      </c>
      <c r="K126" s="57">
        <f>_xlfn.XLOOKUP($J126,#REF!,#REF!)</f>
        <v/>
      </c>
      <c r="L126" s="57">
        <f>_xlfn.XLOOKUP($J126,#REF!,#REF!)</f>
        <v/>
      </c>
      <c r="M126" s="57">
        <f>(500000/48)*0.148148148148148</f>
        <v/>
      </c>
      <c r="N126" s="58">
        <f>IF(H126="Serviço",M126*L126,IF(H126="CÉLULA CONSTRUTIVA",SUMIFS($N$8:$N$427,$B$8:$B$427,B126,$H$8:$H$427,"Serviço"),IF(H126="ETAPA",SUMIFS($N$8:$N$427,$B$8:$B$427,B126,$C$8:$C$427,C126,$H$8:$H$427,"Serviço"),IF(H126="SUBETAPA",SUMIFS($N$8:$N$427,$B$8:$B$427,B126,$C$8:$C$427,C126,$D$8:$D$427,D126,$H$8:$H$427,"Serviço"),0))))</f>
        <v/>
      </c>
      <c r="O126" s="57" t="inlineStr">
        <is>
          <t>Repessado pela Gessele na reunião do dia 05/03/2026 - considerar um total de R$ 500k na subetapa de manutenção</t>
        </is>
      </c>
      <c r="P126" s="60" t="inlineStr">
        <is>
          <t>Finalizado</t>
        </is>
      </c>
      <c r="Q126" s="101" t="n"/>
      <c r="R126" s="63" t="n"/>
    </row>
    <row r="127" outlineLevel="1" customFormat="1" s="40">
      <c r="A127" s="97">
        <f>IF($H127="UNIDADE CONSTRUTIVA",OFFSET(A127,-1,0)+1,LARGE(A$3:A126,1))</f>
        <v/>
      </c>
      <c r="B127" s="97">
        <f>IF(H127="UNIDADE CONSTRUTIVA",0,IF(H127="CÉLULA CONSTRUTIVA",OFFSET(B127,-1,0)+1,OFFSET(B127,-1,0)))</f>
        <v/>
      </c>
      <c r="C127" s="97">
        <f>IF(H127="CÉLULA CONSTRUTIVA",0,IF(H127="ETAPA",OFFSET(C127,-1,0)+1,OFFSET(C127,-1,0)))</f>
        <v/>
      </c>
      <c r="D127" s="98">
        <f>IF(H127="ETAPA",0,IF(H127="SUBETAPA",OFFSET(D127,-1,0)+1,OFFSET(D127,-1,0)))</f>
        <v/>
      </c>
      <c r="E127" s="98">
        <f>IF(H127="Subetapa",0,IF(H127="serviço",OFFSET(E127,-1,0)+1,OFFSET(E127,-1,0)))</f>
        <v/>
      </c>
      <c r="G127" s="52" t="n"/>
      <c r="H127" s="53" t="inlineStr">
        <is>
          <t>SUBETAPA</t>
        </is>
      </c>
      <c r="I127" s="54">
        <f>IF(H127="Unidade Construtiva",TEXT(A127,"00"),IF(H127="Célula Construtiva",TEXT(B127,"00"),IF(H127="Etapa",CONCATENATE(TEXT(B127,"00"),".",TEXT(C127,"000")),IF(H127="Subetapa",CONCATENATE(TEXT(B127,"00"),".",TEXT(C127,"000"),".",TEXT(D127,"000")),IF(H127="Serviço",CONCATENATE(TEXT(B127,"00"),".",TEXT(C127,"000"),".",TEXT(D127,"000"),".",TEXT(E127,"000")),"")))))</f>
        <v/>
      </c>
      <c r="J127" s="62" t="inlineStr">
        <is>
          <t>Instalações e Ligações Provisórias</t>
        </is>
      </c>
      <c r="K127" s="56" t="n"/>
      <c r="L127" s="57" t="n"/>
      <c r="M127" s="57" t="n"/>
      <c r="N127" s="58">
        <f>IF(H127="Serviço",M127*L127,IF(H127="CÉLULA CONSTRUTIVA",SUMIFS($N$8:$N$427,$B$8:$B$427,B127,$H$8:$H$427,"Serviço"),IF(H127="ETAPA",SUMIFS($N$8:$N$427,$B$8:$B$427,B127,$C$8:$C$427,C127,$H$8:$H$427,"Serviço"),IF(H127="SUBETAPA",SUMIFS($N$8:$N$427,$B$8:$B$427,B127,$C$8:$C$427,C127,$D$8:$D$427,D127,$H$8:$H$427,"Serviço"),0))))</f>
        <v/>
      </c>
      <c r="O127" s="59">
        <f>N127/[1]CAPA!$C$10</f>
        <v/>
      </c>
      <c r="P127" s="60" t="n"/>
      <c r="Q127" s="61" t="n"/>
      <c r="R127" s="63" t="n"/>
    </row>
    <row r="128" outlineLevel="2" customFormat="1" s="40">
      <c r="A128" s="97">
        <f>IF($H128="UNIDADE CONSTRUTIVA",OFFSET(A128,-1,0)+1,LARGE(A$3:A127,1))</f>
        <v/>
      </c>
      <c r="B128" s="97">
        <f>IF(H128="UNIDADE CONSTRUTIVA",0,IF(H128="CÉLULA CONSTRUTIVA",OFFSET(B128,-1,0)+1,OFFSET(B128,-1,0)))</f>
        <v/>
      </c>
      <c r="C128" s="97">
        <f>IF(H128="CÉLULA CONSTRUTIVA",0,IF(H128="ETAPA",OFFSET(C128,-1,0)+1,OFFSET(C128,-1,0)))</f>
        <v/>
      </c>
      <c r="D128" s="98">
        <f>IF(H128="ETAPA",0,IF(H128="SUBETAPA",OFFSET(D128,-1,0)+1,OFFSET(D128,-1,0)))</f>
        <v/>
      </c>
      <c r="E128" s="98">
        <f>IF(H128="Subetapa",0,IF(H128="serviço",OFFSET(E128,-1,0)+1,OFFSET(E128,-1,0)))</f>
        <v/>
      </c>
      <c r="G128" s="52" t="n"/>
      <c r="H128" s="53" t="inlineStr">
        <is>
          <t>SERVIÇO</t>
        </is>
      </c>
      <c r="I128" s="54">
        <f>IF(H128="Unidade Construtiva",TEXT(A128,"00"),IF(H128="Célula Construtiva",TEXT(B128,"00"),IF(H128="Etapa",CONCATENATE(TEXT(B128,"00"),".",TEXT(C128,"000")),IF(H128="Subetapa",CONCATENATE(TEXT(B128,"00"),".",TEXT(C128,"000"),".",TEXT(D128,"000")),IF(H128="Serviço",CONCATENATE(TEXT(B128,"00"),".",TEXT(C128,"000"),".",TEXT(D128,"000"),".",TEXT(E128,"000")),"")))))</f>
        <v/>
      </c>
      <c r="J128" s="62" t="inlineStr">
        <is>
          <t>Locação de banheiro químico</t>
        </is>
      </c>
      <c r="K128" s="57">
        <f>_xlfn.XLOOKUP($J128,#REF!,#REF!)</f>
        <v/>
      </c>
      <c r="L128" s="57">
        <f>_xlfn.XLOOKUP($J128,#REF!,#REF!)</f>
        <v/>
      </c>
      <c r="M128" s="57">
        <f>_xlfn.XLOOKUP($J128,#REF!,#REF!)</f>
        <v/>
      </c>
      <c r="N128" s="58">
        <f>IF(H128="Serviço",M128*L128,IF(H128="CÉLULA CONSTRUTIVA",SUMIFS($N$8:$N$427,$B$8:$B$427,B128,$H$8:$H$427,"Serviço"),IF(H128="ETAPA",SUMIFS($N$8:$N$427,$B$8:$B$427,B128,$C$8:$C$427,C128,$H$8:$H$427,"Serviço"),IF(H128="SUBETAPA",SUMIFS($N$8:$N$427,$B$8:$B$427,B128,$C$8:$C$427,C128,$D$8:$D$427,D128,$H$8:$H$427,"Serviço"),0))))</f>
        <v/>
      </c>
      <c r="O128" s="57" t="inlineStr">
        <is>
          <t>Estimado - 2 conteiners</t>
        </is>
      </c>
      <c r="P128" s="60" t="inlineStr">
        <is>
          <t>Finalizado</t>
        </is>
      </c>
      <c r="Q128" s="61" t="n"/>
      <c r="R128" s="63" t="n"/>
    </row>
    <row r="129" outlineLevel="2" customFormat="1" s="40">
      <c r="A129" s="97">
        <f>IF($H129="UNIDADE CONSTRUTIVA",OFFSET(A129,-1,0)+1,LARGE(A$3:A128,1))</f>
        <v/>
      </c>
      <c r="B129" s="97">
        <f>IF(H129="UNIDADE CONSTRUTIVA",0,IF(H129="CÉLULA CONSTRUTIVA",OFFSET(B129,-1,0)+1,OFFSET(B129,-1,0)))</f>
        <v/>
      </c>
      <c r="C129" s="97">
        <f>IF(H129="CÉLULA CONSTRUTIVA",0,IF(H129="ETAPA",OFFSET(C129,-1,0)+1,OFFSET(C129,-1,0)))</f>
        <v/>
      </c>
      <c r="D129" s="98">
        <f>IF(H129="ETAPA",0,IF(H129="SUBETAPA",OFFSET(D129,-1,0)+1,OFFSET(D129,-1,0)))</f>
        <v/>
      </c>
      <c r="E129" s="98">
        <f>IF(H129="Subetapa",0,IF(H129="serviço",OFFSET(E129,-1,0)+1,OFFSET(E129,-1,0)))</f>
        <v/>
      </c>
      <c r="G129" s="52" t="n"/>
      <c r="H129" s="53" t="inlineStr">
        <is>
          <t>SERVIÇO</t>
        </is>
      </c>
      <c r="I129" s="54">
        <f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/>
      </c>
      <c r="J129" s="62" t="inlineStr">
        <is>
          <t>Instalações Provisórias (central de aço, formas, argamassa, almoxarifado geral, construções temporárias)</t>
        </is>
      </c>
      <c r="K129" s="57">
        <f>_xlfn.XLOOKUP($J129,#REF!,#REF!)</f>
        <v/>
      </c>
      <c r="L129" s="57">
        <f>_xlfn.XLOOKUP($J129,#REF!,#REF!)</f>
        <v/>
      </c>
      <c r="M129" s="57">
        <f>_xlfn.XLOOKUP($J129,#REF!,#REF!)</f>
        <v/>
      </c>
      <c r="N129" s="58">
        <f>IF(H129="Serviço",M129*L129,IF(H129="CÉLULA CONSTRUTIVA",SUMIFS($N$8:$N$427,$B$8:$B$427,B129,$H$8:$H$427,"Serviço"),IF(H129="ETAPA",SUMIFS($N$8:$N$427,$B$8:$B$427,B129,$C$8:$C$427,C129,$H$8:$H$427,"Serviço"),IF(H129="SUBETAPA",SUMIFS($N$8:$N$427,$B$8:$B$427,B129,$C$8:$C$427,C129,$D$8:$D$427,D129,$H$8:$H$427,"Serviço"),0))))</f>
        <v/>
      </c>
      <c r="O129" s="57">
        <f>_xlfn.XLOOKUP($J129,#REF!,#REF!)</f>
        <v/>
      </c>
      <c r="P129" s="60" t="inlineStr">
        <is>
          <t>Finalizado</t>
        </is>
      </c>
      <c r="Q129" s="61" t="n"/>
      <c r="R129" s="63" t="n"/>
    </row>
    <row r="130" outlineLevel="2" customFormat="1" s="40">
      <c r="A130" s="97">
        <f>IF($H130="UNIDADE CONSTRUTIVA",OFFSET(A130,-1,0)+1,LARGE(A$3:A129,1))</f>
        <v/>
      </c>
      <c r="B130" s="97">
        <f>IF(H130="UNIDADE CONSTRUTIVA",0,IF(H130="CÉLULA CONSTRUTIVA",OFFSET(B130,-1,0)+1,OFFSET(B130,-1,0)))</f>
        <v/>
      </c>
      <c r="C130" s="97">
        <f>IF(H130="CÉLULA CONSTRUTIVA",0,IF(H130="ETAPA",OFFSET(C130,-1,0)+1,OFFSET(C130,-1,0)))</f>
        <v/>
      </c>
      <c r="D130" s="98">
        <f>IF(H130="ETAPA",0,IF(H130="SUBETAPA",OFFSET(D130,-1,0)+1,OFFSET(D130,-1,0)))</f>
        <v/>
      </c>
      <c r="E130" s="98">
        <f>IF(H130="Subetapa",0,IF(H130="serviço",OFFSET(E130,-1,0)+1,OFFSET(E130,-1,0)))</f>
        <v/>
      </c>
      <c r="G130" s="52" t="n"/>
      <c r="H130" s="53" t="inlineStr">
        <is>
          <t>SERVIÇO</t>
        </is>
      </c>
      <c r="I130" s="54">
        <f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/>
      </c>
      <c r="J130" s="62" t="inlineStr">
        <is>
          <t>Tapume em telha metálica trapezoidal</t>
        </is>
      </c>
      <c r="K130" s="57">
        <f>_xlfn.XLOOKUP($J130,#REF!,#REF!)</f>
        <v/>
      </c>
      <c r="L130" s="57">
        <f>_xlfn.XLOOKUP($J130,#REF!,#REF!)</f>
        <v/>
      </c>
      <c r="M130" s="57">
        <f>_xlfn.XLOOKUP($J130,#REF!,#REF!)</f>
        <v/>
      </c>
      <c r="N130" s="58">
        <f>IF(H130="Serviço",M130*L130,IF(H130="CÉLULA CONSTRUTIVA",SUMIFS($N$8:$N$427,$B$8:$B$427,B130,$H$8:$H$427,"Serviço"),IF(H130="ETAPA",SUMIFS($N$8:$N$427,$B$8:$B$427,B130,$C$8:$C$427,C130,$H$8:$H$427,"Serviço"),IF(H130="SUBETAPA",SUMIFS($N$8:$N$427,$B$8:$B$427,B130,$C$8:$C$427,C130,$D$8:$D$427,D130,$H$8:$H$427,"Serviço"),0))))</f>
        <v/>
      </c>
      <c r="O130" s="57">
        <f>_xlfn.XLOOKUP($J130,#REF!,#REF!)</f>
        <v/>
      </c>
      <c r="P130" s="60" t="inlineStr">
        <is>
          <t>Finalizado</t>
        </is>
      </c>
      <c r="Q130" s="61" t="n"/>
      <c r="R130" s="63" t="n"/>
    </row>
    <row r="131" outlineLevel="2" customFormat="1" s="40">
      <c r="A131" s="97">
        <f>IF($H131="UNIDADE CONSTRUTIVA",OFFSET(A131,-1,0)+1,LARGE(A$3:A130,1))</f>
        <v/>
      </c>
      <c r="B131" s="97">
        <f>IF(H131="UNIDADE CONSTRUTIVA",0,IF(H131="CÉLULA CONSTRUTIVA",OFFSET(B131,-1,0)+1,OFFSET(B131,-1,0)))</f>
        <v/>
      </c>
      <c r="C131" s="97">
        <f>IF(H131="CÉLULA CONSTRUTIVA",0,IF(H131="ETAPA",OFFSET(C131,-1,0)+1,OFFSET(C131,-1,0)))</f>
        <v/>
      </c>
      <c r="D131" s="98">
        <f>IF(H131="ETAPA",0,IF(H131="SUBETAPA",OFFSET(D131,-1,0)+1,OFFSET(D131,-1,0)))</f>
        <v/>
      </c>
      <c r="E131" s="98">
        <f>IF(H131="Subetapa",0,IF(H131="serviço",OFFSET(E131,-1,0)+1,OFFSET(E131,-1,0)))</f>
        <v/>
      </c>
      <c r="G131" s="52" t="n"/>
      <c r="H131" s="53" t="inlineStr">
        <is>
          <t>SERVIÇO</t>
        </is>
      </c>
      <c r="I131" s="54">
        <f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/>
      </c>
      <c r="J131" s="62" t="inlineStr">
        <is>
          <t>Redes Provisórias: Rede de água fria, esgoto e drenagem</t>
        </is>
      </c>
      <c r="K131" s="57">
        <f>_xlfn.XLOOKUP($J131,#REF!,#REF!)</f>
        <v/>
      </c>
      <c r="L131" s="57">
        <f>_xlfn.XLOOKUP($J131,#REF!,#REF!)</f>
        <v/>
      </c>
      <c r="M131" s="57" t="n">
        <v>30000</v>
      </c>
      <c r="N131" s="58">
        <f>IF(H131="Serviço",M131*L131,IF(H131="CÉLULA CONSTRUTIVA",SUMIFS($N$8:$N$427,$B$8:$B$427,B131,$H$8:$H$427,"Serviço"),IF(H131="ETAPA",SUMIFS($N$8:$N$427,$B$8:$B$427,B131,$C$8:$C$427,C131,$H$8:$H$427,"Serviço"),IF(H131="SUBETAPA",SUMIFS($N$8:$N$427,$B$8:$B$427,B131,$C$8:$C$427,C131,$D$8:$D$427,D131,$H$8:$H$427,"Serviço"),0))))</f>
        <v/>
      </c>
      <c r="O131" s="57" t="inlineStr">
        <is>
          <t>Repessado pela Gessele na reunião do dia 05/03/2026 - considerar R$30k</t>
        </is>
      </c>
      <c r="P131" s="60" t="inlineStr">
        <is>
          <t>Finalizado</t>
        </is>
      </c>
      <c r="Q131" s="61" t="n"/>
      <c r="R131" s="63" t="n"/>
    </row>
    <row r="132" outlineLevel="2" customFormat="1" s="40">
      <c r="A132" s="97">
        <f>IF($H132="UNIDADE CONSTRUTIVA",OFFSET(A132,-1,0)+1,LARGE(A$3:A131,1))</f>
        <v/>
      </c>
      <c r="B132" s="97">
        <f>IF(H132="UNIDADE CONSTRUTIVA",0,IF(H132="CÉLULA CONSTRUTIVA",OFFSET(B132,-1,0)+1,OFFSET(B132,-1,0)))</f>
        <v/>
      </c>
      <c r="C132" s="97">
        <f>IF(H132="CÉLULA CONSTRUTIVA",0,IF(H132="ETAPA",OFFSET(C132,-1,0)+1,OFFSET(C132,-1,0)))</f>
        <v/>
      </c>
      <c r="D132" s="98">
        <f>IF(H132="ETAPA",0,IF(H132="SUBETAPA",OFFSET(D132,-1,0)+1,OFFSET(D132,-1,0)))</f>
        <v/>
      </c>
      <c r="E132" s="98">
        <f>IF(H132="Subetapa",0,IF(H132="serviço",OFFSET(E132,-1,0)+1,OFFSET(E132,-1,0)))</f>
        <v/>
      </c>
      <c r="G132" s="52" t="n"/>
      <c r="H132" s="53" t="inlineStr">
        <is>
          <t>SERVIÇO</t>
        </is>
      </c>
      <c r="I132" s="54">
        <f>IF(H132="Unidade Construtiva",TEXT(A132,"00"),IF(H132="Célula Construtiva",TEXT(B132,"00"),IF(H132="Etapa",CONCATENATE(TEXT(B132,"00"),".",TEXT(C132,"000")),IF(H132="Subetapa",CONCATENATE(TEXT(B132,"00"),".",TEXT(C132,"000"),".",TEXT(D132,"000")),IF(H132="Serviço",CONCATENATE(TEXT(B132,"00"),".",TEXT(C132,"000"),".",TEXT(D132,"000"),".",TEXT(E132,"000")),"")))))</f>
        <v/>
      </c>
      <c r="J132" s="62" t="inlineStr">
        <is>
          <t>Redes Provisórias: Redes elétricas, comunicação e dados</t>
        </is>
      </c>
      <c r="K132" s="57">
        <f>_xlfn.XLOOKUP($J132,#REF!,#REF!)</f>
        <v/>
      </c>
      <c r="L132" s="57">
        <f>_xlfn.XLOOKUP($J132,#REF!,#REF!)</f>
        <v/>
      </c>
      <c r="M132" s="57" t="n">
        <v>50000</v>
      </c>
      <c r="N132" s="58">
        <f>IF(H132="Serviço",M132*L132,IF(H132="CÉLULA CONSTRUTIVA",SUMIFS($N$8:$N$427,$B$8:$B$427,B132,$H$8:$H$427,"Serviço"),IF(H132="ETAPA",SUMIFS($N$8:$N$427,$B$8:$B$427,B132,$C$8:$C$427,C132,$H$8:$H$427,"Serviço"),IF(H132="SUBETAPA",SUMIFS($N$8:$N$427,$B$8:$B$427,B132,$C$8:$C$427,C132,$D$8:$D$427,D132,$H$8:$H$427,"Serviço"),0))))</f>
        <v/>
      </c>
      <c r="O132" s="57" t="inlineStr">
        <is>
          <t>Repessado pela Gessele na reunião do dia 05/03/2026 - considerar R$50k</t>
        </is>
      </c>
      <c r="P132" s="60" t="inlineStr">
        <is>
          <t>Finalizado</t>
        </is>
      </c>
      <c r="Q132" s="61" t="n"/>
      <c r="R132" s="63" t="n"/>
    </row>
    <row r="133" customFormat="1" s="40">
      <c r="A133" s="97">
        <f>IF($H133="UNIDADE CONSTRUTIVA",OFFSET(A133,-1,0)+1,LARGE(A$3:A132,1))</f>
        <v/>
      </c>
      <c r="B133" s="97">
        <f>IF(H133="UNIDADE CONSTRUTIVA",0,IF(H133="CÉLULA CONSTRUTIVA",OFFSET(B133,-1,0)+1,OFFSET(B133,-1,0)))</f>
        <v/>
      </c>
      <c r="C133" s="97">
        <f>IF(H133="CÉLULA CONSTRUTIVA",0,IF(H133="ETAPA",OFFSET(C133,-1,0)+1,OFFSET(C133,-1,0)))</f>
        <v/>
      </c>
      <c r="D133" s="98">
        <f>IF(H133="ETAPA",0,IF(H133="SUBETAPA",OFFSET(D133,-1,0)+1,OFFSET(D133,-1,0)))</f>
        <v/>
      </c>
      <c r="E133" s="98">
        <f>IF(H133="Subetapa",0,IF(H133="serviço",OFFSET(E133,-1,0)+1,OFFSET(E133,-1,0)))</f>
        <v/>
      </c>
      <c r="G133" s="52" t="n"/>
      <c r="H133" s="53" t="inlineStr">
        <is>
          <t>CÉLULA CONSTRUTIVA</t>
        </is>
      </c>
      <c r="I133" s="54">
        <f>IF(H133="Unidade Construtiva",TEXT(A133,"00"),IF(H133="Célula Construtiva",TEXT(B133,"00"),IF(H133="Etapa",CONCATENATE(TEXT(B133,"00"),".",TEXT(C133,"000")),IF(H133="Subetapa",CONCATENATE(TEXT(B133,"00"),".",TEXT(C133,"000"),".",TEXT(D133,"000")),IF(H133="Serviço",CONCATENATE(TEXT(B133,"00"),".",TEXT(C133,"000"),".",TEXT(D133,"000"),".",TEXT(E133,"000")),"")))))</f>
        <v/>
      </c>
      <c r="J133" s="55" t="inlineStr">
        <is>
          <t>EQUIPAMENTOS</t>
        </is>
      </c>
      <c r="K133" s="56" t="n"/>
      <c r="L133" s="57" t="n"/>
      <c r="M133" s="57" t="n"/>
      <c r="N133" s="58">
        <f>IF(H133="Serviço",M133*L133,IF(H133="CÉLULA CONSTRUTIVA",SUMIFS($N$8:$N$447,$B$8:$B$447,B133,$H$8:$H$447,"Serviço"),IF(H133="ETAPA",SUMIFS($N$8:$N$447,$B$8:$B$447,B133,$C$8:$C$447,C133,$H$8:$H$447,"Serviço"),IF(H133="SUBETAPA",SUMIFS($N$8:$N$447,$B$8:$B$447,B133,$C$8:$C$447,C133,$D$8:$D$447,D133,$H$8:$H$447,"Serviço"),0))))</f>
        <v/>
      </c>
      <c r="O133" s="59" t="n"/>
      <c r="P133" s="60" t="n"/>
      <c r="Q133" s="61" t="n"/>
    </row>
    <row r="134" outlineLevel="1" customFormat="1" s="40">
      <c r="A134" s="97">
        <f>IF($H134="UNIDADE CONSTRUTIVA",OFFSET(A134,-1,0)+1,LARGE(A$3:A133,1))</f>
        <v/>
      </c>
      <c r="B134" s="97">
        <f>IF(H134="UNIDADE CONSTRUTIVA",0,IF(H134="CÉLULA CONSTRUTIVA",OFFSET(B134,-1,0)+1,OFFSET(B134,-1,0)))</f>
        <v/>
      </c>
      <c r="C134" s="97">
        <f>IF(H134="CÉLULA CONSTRUTIVA",0,IF(H134="ETAPA",OFFSET(C134,-1,0)+1,OFFSET(C134,-1,0)))</f>
        <v/>
      </c>
      <c r="D134" s="98">
        <f>IF(H134="ETAPA",0,IF(H134="SUBETAPA",OFFSET(D134,-1,0)+1,OFFSET(D134,-1,0)))</f>
        <v/>
      </c>
      <c r="E134" s="98">
        <f>IF(H134="Subetapa",0,IF(H134="serviço",OFFSET(E134,-1,0)+1,OFFSET(E134,-1,0)))</f>
        <v/>
      </c>
      <c r="G134" s="52" t="n"/>
      <c r="H134" s="53" t="inlineStr">
        <is>
          <t>ETAPA</t>
        </is>
      </c>
      <c r="I134" s="54">
        <f>IF(H134="Unidade Construtiva",TEXT(A134,"00"),IF(H134="Célula Construtiva",TEXT(B134,"00"),IF(H134="Etapa",CONCATENATE(TEXT(B134,"00"),".",TEXT(C134,"000")),IF(H134="Subetapa",CONCATENATE(TEXT(B134,"00"),".",TEXT(C134,"000"),".",TEXT(D134,"000")),IF(H134="Serviço",CONCATENATE(TEXT(B134,"00"),".",TEXT(C134,"000"),".",TEXT(D134,"000"),".",TEXT(E134,"000")),"")))))</f>
        <v/>
      </c>
      <c r="J134" s="55" t="inlineStr">
        <is>
          <t>EQUIPAMENTOS</t>
        </is>
      </c>
      <c r="K134" s="56" t="n"/>
      <c r="L134" s="57" t="n"/>
      <c r="M134" s="57" t="n"/>
      <c r="N134" s="58">
        <f>IF(H134="Serviço",M134*L134,IF(H134="CÉLULA CONSTRUTIVA",SUMIFS($N$8:$N$447,$B$8:$B$447,B134,$H$8:$H$447,"Serviço"),IF(H134="ETAPA",SUMIFS($N$8:$N$447,$B$8:$B$447,B134,$C$8:$C$447,C134,$H$8:$H$447,"Serviço"),IF(H134="SUBETAPA",SUMIFS($N$8:$N$447,$B$8:$B$447,B134,$C$8:$C$447,C134,$D$8:$D$447,D134,$H$8:$H$447,"Serviço"),0))))</f>
        <v/>
      </c>
      <c r="O134" s="59">
        <f>N134/[1]CAPA!$C$10</f>
        <v/>
      </c>
      <c r="P134" s="60" t="n"/>
      <c r="Q134" s="61" t="n"/>
    </row>
    <row r="135" outlineLevel="1" customFormat="1" s="40">
      <c r="A135" s="97">
        <f>IF($H135="UNIDADE CONSTRUTIVA",OFFSET(A135,-1,0)+1,LARGE(A$3:A134,1))</f>
        <v/>
      </c>
      <c r="B135" s="97">
        <f>IF(H135="UNIDADE CONSTRUTIVA",0,IF(H135="CÉLULA CONSTRUTIVA",OFFSET(B135,-1,0)+1,OFFSET(B135,-1,0)))</f>
        <v/>
      </c>
      <c r="C135" s="97">
        <f>IF(H135="CÉLULA CONSTRUTIVA",0,IF(H135="ETAPA",OFFSET(C135,-1,0)+1,OFFSET(C135,-1,0)))</f>
        <v/>
      </c>
      <c r="D135" s="98">
        <f>IF(H135="ETAPA",0,IF(H135="SUBETAPA",OFFSET(D135,-1,0)+1,OFFSET(D135,-1,0)))</f>
        <v/>
      </c>
      <c r="E135" s="98">
        <f>IF(H135="Subetapa",0,IF(H135="serviço",OFFSET(E135,-1,0)+1,OFFSET(E135,-1,0)))</f>
        <v/>
      </c>
      <c r="G135" s="52" t="n"/>
      <c r="H135" s="53" t="inlineStr">
        <is>
          <t>SUBETAPA</t>
        </is>
      </c>
      <c r="I135" s="54">
        <f>IF(H135="Unidade Construtiva",TEXT(A135,"00"),IF(H135="Célula Construtiva",TEXT(B135,"00"),IF(H135="Etapa",CONCATENATE(TEXT(B135,"00"),".",TEXT(C135,"000")),IF(H135="Subetapa",CONCATENATE(TEXT(B135,"00"),".",TEXT(C135,"000"),".",TEXT(D135,"000")),IF(H135="Serviço",CONCATENATE(TEXT(B135,"00"),".",TEXT(C135,"000"),".",TEXT(D135,"000"),".",TEXT(E135,"000")),"")))))</f>
        <v/>
      </c>
      <c r="J135" s="55" t="inlineStr">
        <is>
          <t>Equipamentos de carga e transporte</t>
        </is>
      </c>
      <c r="K135" s="56" t="n"/>
      <c r="L135" s="57" t="n"/>
      <c r="M135" s="57" t="n"/>
      <c r="N135" s="58">
        <f>IF(H135="Serviço",M135*L135,IF(H135="CÉLULA CONSTRUTIVA",SUMIFS($N$8:$N$447,$B$8:$B$447,B135,$H$8:$H$447,"Serviço"),IF(H135="ETAPA",SUMIFS($N$8:$N$447,$B$8:$B$447,B135,$C$8:$C$447,C135,$H$8:$H$447,"Serviço"),IF(H135="SUBETAPA",SUMIFS($N$8:$N$447,$B$8:$B$447,B135,$C$8:$C$447,C135,$D$8:$D$447,D135,$H$8:$H$447,"Serviço"),0))))</f>
        <v/>
      </c>
      <c r="O135" s="59">
        <f>N135/[1]CAPA!$C$10</f>
        <v/>
      </c>
      <c r="P135" s="60" t="n"/>
      <c r="Q135" s="61" t="n"/>
    </row>
    <row r="136" outlineLevel="2" ht="22.5" customFormat="1" customHeight="1" s="40">
      <c r="A136" s="97">
        <f>IF($H136="UNIDADE CONSTRUTIVA",OFFSET(A136,-1,0)+1,LARGE(A$3:A135,1))</f>
        <v/>
      </c>
      <c r="B136" s="97">
        <f>IF(H136="UNIDADE CONSTRUTIVA",0,IF(H136="CÉLULA CONSTRUTIVA",OFFSET(B136,-1,0)+1,OFFSET(B136,-1,0)))</f>
        <v/>
      </c>
      <c r="C136" s="97">
        <f>IF(H136="CÉLULA CONSTRUTIVA",0,IF(H136="ETAPA",OFFSET(C136,-1,0)+1,OFFSET(C136,-1,0)))</f>
        <v/>
      </c>
      <c r="D136" s="98">
        <f>IF(H136="ETAPA",0,IF(H136="SUBETAPA",OFFSET(D136,-1,0)+1,OFFSET(D136,-1,0)))</f>
        <v/>
      </c>
      <c r="E136" s="98">
        <f>IF(H136="Subetapa",0,IF(H136="serviço",OFFSET(E136,-1,0)+1,OFFSET(E136,-1,0)))</f>
        <v/>
      </c>
      <c r="G136" s="52" t="n"/>
      <c r="H136" s="53" t="inlineStr">
        <is>
          <t>SERVIÇO</t>
        </is>
      </c>
      <c r="I136" s="54">
        <f>IF(H136="Unidade Construtiva",TEXT(A136,"00"),IF(H136="Célula Construtiva",TEXT(B136,"00"),IF(H136="Etapa",CONCATENATE(TEXT(B136,"00"),".",TEXT(C136,"000")),IF(H136="Subetapa",CONCATENATE(TEXT(B136,"00"),".",TEXT(C136,"000"),".",TEXT(D136,"000")),IF(H136="Serviço",CONCATENATE(TEXT(B136,"00"),".",TEXT(C136,"000"),".",TEXT(D136,"000"),".",TEXT(E136,"000")),"")))))</f>
        <v/>
      </c>
      <c r="J136" s="55" t="inlineStr">
        <is>
          <t>Aquisição Elevador cremalheira</t>
        </is>
      </c>
      <c r="K136" s="57" t="inlineStr">
        <is>
          <t>un</t>
        </is>
      </c>
      <c r="L136" s="57" t="n">
        <v>1</v>
      </c>
      <c r="M136" s="57">
        <f>586000+340000</f>
        <v/>
      </c>
      <c r="N136" s="58">
        <f>IF(H136="Serviço",M136*L136,IF(H136="CÉLULA CONSTRUTIVA",SUMIFS($N$8:$N$427,$B$8:$B$427,B136,$H$8:$H$427,"Serviço"),IF(H136="ETAPA",SUMIFS($N$8:$N$427,$B$8:$B$427,B136,$C$8:$C$427,C136,$H$8:$H$427,"Serviço"),IF(H136="SUBETAPA",SUMIFS($N$8:$N$427,$B$8:$B$427,B136,$C$8:$C$427,C136,$D$8:$D$427,D136,$H$8:$H$427,"Serviço"),0))))</f>
        <v/>
      </c>
      <c r="O136" s="57" t="inlineStr">
        <is>
          <t>Repessado pela Gessele na reunião do dia 05/03/2026 -Aquisição cabine 01: R$ 586k + Aquisição cabine 02: R$ 340k</t>
        </is>
      </c>
      <c r="P136" s="60" t="inlineStr">
        <is>
          <t>Finalizado</t>
        </is>
      </c>
      <c r="Q136" s="61" t="n"/>
    </row>
    <row r="137" outlineLevel="2" customFormat="1" s="40">
      <c r="A137" s="97">
        <f>IF($H137="UNIDADE CONSTRUTIVA",OFFSET(A137,-1,0)+1,LARGE(A$3:A136,1))</f>
        <v/>
      </c>
      <c r="B137" s="97">
        <f>IF(H137="UNIDADE CONSTRUTIVA",0,IF(H137="CÉLULA CONSTRUTIVA",OFFSET(B137,-1,0)+1,OFFSET(B137,-1,0)))</f>
        <v/>
      </c>
      <c r="C137" s="97">
        <f>IF(H137="CÉLULA CONSTRUTIVA",0,IF(H137="ETAPA",OFFSET(C137,-1,0)+1,OFFSET(C137,-1,0)))</f>
        <v/>
      </c>
      <c r="D137" s="98">
        <f>IF(H137="ETAPA",0,IF(H137="SUBETAPA",OFFSET(D137,-1,0)+1,OFFSET(D137,-1,0)))</f>
        <v/>
      </c>
      <c r="E137" s="98">
        <f>IF(H137="Subetapa",0,IF(H137="serviço",OFFSET(E137,-1,0)+1,OFFSET(E137,-1,0)))</f>
        <v/>
      </c>
      <c r="G137" s="52" t="n"/>
      <c r="H137" s="53" t="inlineStr">
        <is>
          <t>SERVIÇO</t>
        </is>
      </c>
      <c r="I137" s="54">
        <f>IF(H137="Unidade Construtiva",TEXT(A137,"00"),IF(H137="Célula Construtiva",TEXT(B137,"00"),IF(H137="Etapa",CONCATENATE(TEXT(B137,"00"),".",TEXT(C137,"000")),IF(H137="Subetapa",CONCATENATE(TEXT(B137,"00"),".",TEXT(C137,"000"),".",TEXT(D137,"000")),IF(H137="Serviço",CONCATENATE(TEXT(B137,"00"),".",TEXT(C137,"000"),".",TEXT(D137,"000"),".",TEXT(E137,"000")),"")))))</f>
        <v/>
      </c>
      <c r="J137" s="55" t="inlineStr">
        <is>
          <t>Montagem e Desmontagem Elevador cremalheira</t>
        </is>
      </c>
      <c r="K137" s="57">
        <f>_xlfn.XLOOKUP($J137,#REF!,#REF!)</f>
        <v/>
      </c>
      <c r="L137" s="57">
        <f>_xlfn.XLOOKUP($J137,#REF!,#REF!)</f>
        <v/>
      </c>
      <c r="M137" s="99" t="n">
        <v>12500</v>
      </c>
      <c r="N137" s="58">
        <f>IF(H137="Serviço",M137*L137,IF(H137="CÉLULA CONSTRUTIVA",SUMIFS($N$8:$N$427,$B$8:$B$427,B137,$H$8:$H$427,"Serviço"),IF(H137="ETAPA",SUMIFS($N$8:$N$427,$B$8:$B$427,B137,$C$8:$C$427,C137,$H$8:$H$427,"Serviço"),IF(H137="SUBETAPA",SUMIFS($N$8:$N$427,$B$8:$B$427,B137,$C$8:$C$427,C137,$D$8:$D$427,D137,$H$8:$H$427,"Serviço"),0))))</f>
        <v/>
      </c>
      <c r="O137" s="57">
        <f>_xlfn.XLOOKUP($J137,#REF!,#REF!)</f>
        <v/>
      </c>
      <c r="P137" s="60" t="inlineStr">
        <is>
          <t>Finalizado</t>
        </is>
      </c>
      <c r="Q137" s="61" t="n"/>
    </row>
    <row r="138" outlineLevel="2" customFormat="1" s="40">
      <c r="A138" s="97">
        <f>IF($H138="UNIDADE CONSTRUTIVA",OFFSET(A138,-1,0)+1,LARGE(A$3:A137,1))</f>
        <v/>
      </c>
      <c r="B138" s="97">
        <f>IF(H138="UNIDADE CONSTRUTIVA",0,IF(H138="CÉLULA CONSTRUTIVA",OFFSET(B138,-1,0)+1,OFFSET(B138,-1,0)))</f>
        <v/>
      </c>
      <c r="C138" s="97">
        <f>IF(H138="CÉLULA CONSTRUTIVA",0,IF(H138="ETAPA",OFFSET(C138,-1,0)+1,OFFSET(C138,-1,0)))</f>
        <v/>
      </c>
      <c r="D138" s="98">
        <f>IF(H138="ETAPA",0,IF(H138="SUBETAPA",OFFSET(D138,-1,0)+1,OFFSET(D138,-1,0)))</f>
        <v/>
      </c>
      <c r="E138" s="98">
        <f>IF(H138="Subetapa",0,IF(H138="serviço",OFFSET(E138,-1,0)+1,OFFSET(E138,-1,0)))</f>
        <v/>
      </c>
      <c r="G138" s="52" t="n"/>
      <c r="H138" s="53" t="inlineStr">
        <is>
          <t>SERVIÇO</t>
        </is>
      </c>
      <c r="I138" s="54">
        <f>IF(H138="Unidade Construtiva",TEXT(A138,"00"),IF(H138="Célula Construtiva",TEXT(B138,"00"),IF(H138="Etapa",CONCATENATE(TEXT(B138,"00"),".",TEXT(C138,"000")),IF(H138="Subetapa",CONCATENATE(TEXT(B138,"00"),".",TEXT(C138,"000"),".",TEXT(D138,"000")),IF(H138="Serviço",CONCATENATE(TEXT(B138,"00"),".",TEXT(C138,"000"),".",TEXT(D138,"000"),".",TEXT(E138,"000")),"")))))</f>
        <v/>
      </c>
      <c r="J138" s="55" t="inlineStr">
        <is>
          <t>Mobilização e Desmobilização Elevador cremalheira</t>
        </is>
      </c>
      <c r="K138" s="57">
        <f>_xlfn.XLOOKUP($J138,#REF!,#REF!)</f>
        <v/>
      </c>
      <c r="L138" s="57">
        <f>_xlfn.XLOOKUP($J138,#REF!,#REF!)</f>
        <v/>
      </c>
      <c r="M138" s="99" t="n">
        <v>12500</v>
      </c>
      <c r="N138" s="58">
        <f>IF(H138="Serviço",M138*L138,IF(H138="CÉLULA CONSTRUTIVA",SUMIFS($N$8:$N$427,$B$8:$B$427,B138,$H$8:$H$427,"Serviço"),IF(H138="ETAPA",SUMIFS($N$8:$N$427,$B$8:$B$427,B138,$C$8:$C$427,C138,$H$8:$H$427,"Serviço"),IF(H138="SUBETAPA",SUMIFS($N$8:$N$427,$B$8:$B$427,B138,$C$8:$C$427,C138,$D$8:$D$427,D138,$H$8:$H$427,"Serviço"),0))))</f>
        <v/>
      </c>
      <c r="O138" s="57">
        <f>_xlfn.XLOOKUP($J138,#REF!,#REF!)</f>
        <v/>
      </c>
      <c r="P138" s="60" t="inlineStr">
        <is>
          <t>Finalizado</t>
        </is>
      </c>
      <c r="Q138" s="61" t="n"/>
    </row>
    <row r="139" outlineLevel="2" ht="22.5" customFormat="1" customHeight="1" s="40">
      <c r="A139" s="97">
        <f>IF($H139="UNIDADE CONSTRUTIVA",OFFSET(A139,-1,0)+1,LARGE(A$3:A138,1))</f>
        <v/>
      </c>
      <c r="B139" s="97">
        <f>IF(H139="UNIDADE CONSTRUTIVA",0,IF(H139="CÉLULA CONSTRUTIVA",OFFSET(B139,-1,0)+1,OFFSET(B139,-1,0)))</f>
        <v/>
      </c>
      <c r="C139" s="97">
        <f>IF(H139="CÉLULA CONSTRUTIVA",0,IF(H139="ETAPA",OFFSET(C139,-1,0)+1,OFFSET(C139,-1,0)))</f>
        <v/>
      </c>
      <c r="D139" s="98">
        <f>IF(H139="ETAPA",0,IF(H139="SUBETAPA",OFFSET(D139,-1,0)+1,OFFSET(D139,-1,0)))</f>
        <v/>
      </c>
      <c r="E139" s="98">
        <f>IF(H139="Subetapa",0,IF(H139="serviço",OFFSET(E139,-1,0)+1,OFFSET(E139,-1,0)))</f>
        <v/>
      </c>
      <c r="G139" s="52" t="n"/>
      <c r="H139" s="53" t="inlineStr">
        <is>
          <t>SERVIÇO</t>
        </is>
      </c>
      <c r="I139" s="54">
        <f>IF(H139="Unidade Construtiva",TEXT(A139,"00"),IF(H139="Célula Construtiva",TEXT(B139,"00"),IF(H139="Etapa",CONCATENATE(TEXT(B139,"00"),".",TEXT(C139,"000")),IF(H139="Subetapa",CONCATENATE(TEXT(B139,"00"),".",TEXT(C139,"000"),".",TEXT(D139,"000")),IF(H139="Serviço",CONCATENATE(TEXT(B139,"00"),".",TEXT(C139,"000"),".",TEXT(D139,"000"),".",TEXT(E139,"000")),"")))))</f>
        <v/>
      </c>
      <c r="J139" s="55" t="inlineStr">
        <is>
          <t>Aquisição Grua com torre movel</t>
        </is>
      </c>
      <c r="K139" s="57">
        <f>_xlfn.XLOOKUP($J139,#REF!,#REF!)</f>
        <v/>
      </c>
      <c r="L139" s="57">
        <f>_xlfn.XLOOKUP($J139,#REF!,#REF!)</f>
        <v/>
      </c>
      <c r="M139" s="57">
        <f>662956+100000</f>
        <v/>
      </c>
      <c r="N139" s="58">
        <f>IF(H139="Serviço",M139*L139,IF(H139="CÉLULA CONSTRUTIVA",SUMIFS($N$8:$N$427,$B$8:$B$427,B139,$H$8:$H$427,"Serviço"),IF(H139="ETAPA",SUMIFS($N$8:$N$427,$B$8:$B$427,B139,$C$8:$C$427,C139,$H$8:$H$427,"Serviço"),IF(H139="SUBETAPA",SUMIFS($N$8:$N$427,$B$8:$B$427,B139,$C$8:$C$427,C139,$D$8:$D$427,D139,$H$8:$H$427,"Serviço"),0))))</f>
        <v/>
      </c>
      <c r="O139" s="57" t="inlineStr">
        <is>
          <t>Repessado pela Gessele na reunião do dia 05/03/2026 -'+100k Assessoria técnica e responsabilidade técnica da GRUA - DYNASTY</t>
        </is>
      </c>
      <c r="P139" s="60" t="inlineStr">
        <is>
          <t>Finalizado</t>
        </is>
      </c>
      <c r="Q139" s="61" t="n"/>
    </row>
    <row r="140" outlineLevel="2" customFormat="1" s="40">
      <c r="A140" s="97">
        <f>IF($H140="UNIDADE CONSTRUTIVA",OFFSET(A140,-1,0)+1,LARGE(A$3:A138,1))</f>
        <v/>
      </c>
      <c r="B140" s="97">
        <f>IF(H140="UNIDADE CONSTRUTIVA",0,IF(H140="CÉLULA CONSTRUTIVA",OFFSET(B140,-1,0)+1,OFFSET(B140,-1,0)))</f>
        <v/>
      </c>
      <c r="C140" s="97">
        <f>IF(H140="CÉLULA CONSTRUTIVA",0,IF(H140="ETAPA",OFFSET(C140,-1,0)+1,OFFSET(C140,-1,0)))</f>
        <v/>
      </c>
      <c r="D140" s="98">
        <f>IF(H140="ETAPA",0,IF(H140="SUBETAPA",OFFSET(D140,-1,0)+1,OFFSET(D140,-1,0)))</f>
        <v/>
      </c>
      <c r="E140" s="98">
        <f>IF(H140="Subetapa",0,IF(H140="serviço",OFFSET(E140,-1,0)+1,OFFSET(E140,-1,0)))</f>
        <v/>
      </c>
      <c r="G140" s="52" t="n"/>
      <c r="H140" s="53" t="inlineStr">
        <is>
          <t>SERVIÇO</t>
        </is>
      </c>
      <c r="I140" s="54">
        <f>IF(H140="Unidade Construtiva",TEXT(A140,"00"),IF(H140="Célula Construtiva",TEXT(B140,"00"),IF(H140="Etapa",CONCATENATE(TEXT(B140,"00"),".",TEXT(C140,"000")),IF(H140="Subetapa",CONCATENATE(TEXT(B140,"00"),".",TEXT(C140,"000"),".",TEXT(D140,"000")),IF(H140="Serviço",CONCATENATE(TEXT(B140,"00"),".",TEXT(C140,"000"),".",TEXT(D140,"000"),".",TEXT(E140,"000")),"")))))</f>
        <v/>
      </c>
      <c r="J140" s="55" t="inlineStr">
        <is>
          <t>Manutenção Inicial Grua com torre movel</t>
        </is>
      </c>
      <c r="K140" s="57">
        <f>_xlfn.XLOOKUP($J140,#REF!,#REF!)</f>
        <v/>
      </c>
      <c r="L140" s="57">
        <f>_xlfn.XLOOKUP($J140,#REF!,#REF!)</f>
        <v/>
      </c>
      <c r="M140" s="99" t="n">
        <v>28000</v>
      </c>
      <c r="N140" s="58">
        <f>IF(H140="Serviço",M140*L140,IF(H140="CÉLULA CONSTRUTIVA",SUMIFS($N$8:$N$427,$B$8:$B$427,B140,$H$8:$H$427,"Serviço"),IF(H140="ETAPA",SUMIFS($N$8:$N$427,$B$8:$B$427,B140,$C$8:$C$427,C140,$H$8:$H$427,"Serviço"),IF(H140="SUBETAPA",SUMIFS($N$8:$N$427,$B$8:$B$427,B140,$C$8:$C$427,C140,$D$8:$D$427,D140,$H$8:$H$427,"Serviço"),0))))</f>
        <v/>
      </c>
      <c r="O140" s="57">
        <f>_xlfn.XLOOKUP($J140,#REF!,#REF!)</f>
        <v/>
      </c>
      <c r="P140" s="60" t="inlineStr">
        <is>
          <t>Finalizado</t>
        </is>
      </c>
      <c r="Q140" s="61" t="n"/>
    </row>
    <row r="141" outlineLevel="2" ht="22.5" customFormat="1" customHeight="1" s="40">
      <c r="A141" s="97">
        <f>IF($H141="UNIDADE CONSTRUTIVA",OFFSET(A141,-1,0)+1,LARGE(A$3:A139,1))</f>
        <v/>
      </c>
      <c r="B141" s="97">
        <f>IF(H141="UNIDADE CONSTRUTIVA",0,IF(H141="CÉLULA CONSTRUTIVA",OFFSET(B141,-1,0)+1,OFFSET(B141,-1,0)))</f>
        <v/>
      </c>
      <c r="C141" s="97">
        <f>IF(H141="CÉLULA CONSTRUTIVA",0,IF(H141="ETAPA",OFFSET(C141,-1,0)+1,OFFSET(C141,-1,0)))</f>
        <v/>
      </c>
      <c r="D141" s="98">
        <f>IF(H141="ETAPA",0,IF(H141="SUBETAPA",OFFSET(D141,-1,0)+1,OFFSET(D141,-1,0)))</f>
        <v/>
      </c>
      <c r="E141" s="98">
        <f>IF(H141="Subetapa",0,IF(H141="serviço",OFFSET(E141,-1,0)+1,OFFSET(E141,-1,0)))</f>
        <v/>
      </c>
      <c r="G141" s="52" t="n"/>
      <c r="H141" s="53" t="inlineStr">
        <is>
          <t>SERVIÇO</t>
        </is>
      </c>
      <c r="I141" s="54">
        <f>IF(H141="Unidade Construtiva",TEXT(A141,"00"),IF(H141="Célula Construtiva",TEXT(B141,"00"),IF(H141="Etapa",CONCATENATE(TEXT(B141,"00"),".",TEXT(C141,"000")),IF(H141="Subetapa",CONCATENATE(TEXT(B141,"00"),".",TEXT(C141,"000"),".",TEXT(D141,"000")),IF(H141="Serviço",CONCATENATE(TEXT(B141,"00"),".",TEXT(C141,"000"),".",TEXT(D141,"000"),".",TEXT(E141,"000")),"")))))</f>
        <v/>
      </c>
      <c r="J141" s="55" t="inlineStr">
        <is>
          <t>Manutenção Periódica Grua com torre movel</t>
        </is>
      </c>
      <c r="K141" s="57" t="inlineStr">
        <is>
          <t>mês</t>
        </is>
      </c>
      <c r="L141" s="66" t="n">
        <v>10</v>
      </c>
      <c r="M141" s="57" t="n">
        <v>2000</v>
      </c>
      <c r="N141" s="58">
        <f>IF(H141="Serviço",M141*L141,IF(H141="CÉLULA CONSTRUTIVA",SUMIFS($N$8:$N$427,$B$8:$B$427,B141,$H$8:$H$427,"Serviço"),IF(H141="ETAPA",SUMIFS($N$8:$N$427,$B$8:$B$427,B141,$C$8:$C$427,C141,$H$8:$H$427,"Serviço"),IF(H141="SUBETAPA",SUMIFS($N$8:$N$427,$B$8:$B$427,B141,$C$8:$C$427,C141,$D$8:$D$427,D141,$H$8:$H$427,"Serviço"),0))))</f>
        <v/>
      </c>
      <c r="O141" s="57" t="inlineStr">
        <is>
          <t>Repessado pela Gessele na reunião do dia 05/03/2026 -incluir Manutenção preventiva grua: R$ 2k / mês - já foram 10 meses  (planejamento esta verificando)</t>
        </is>
      </c>
      <c r="P141" s="60" t="inlineStr">
        <is>
          <t>Finalizado</t>
        </is>
      </c>
      <c r="Q141" s="61" t="n"/>
    </row>
    <row r="142" outlineLevel="2" customFormat="1" s="40">
      <c r="A142" s="97">
        <f>IF($H142="UNIDADE CONSTRUTIVA",OFFSET(A142,-1,0)+1,LARGE(A$3:A141,1))</f>
        <v/>
      </c>
      <c r="B142" s="97">
        <f>IF(H142="UNIDADE CONSTRUTIVA",0,IF(H142="CÉLULA CONSTRUTIVA",OFFSET(B142,-1,0)+1,OFFSET(B142,-1,0)))</f>
        <v/>
      </c>
      <c r="C142" s="97">
        <f>IF(H142="CÉLULA CONSTRUTIVA",0,IF(H142="ETAPA",OFFSET(C142,-1,0)+1,OFFSET(C142,-1,0)))</f>
        <v/>
      </c>
      <c r="D142" s="98">
        <f>IF(H142="ETAPA",0,IF(H142="SUBETAPA",OFFSET(D142,-1,0)+1,OFFSET(D142,-1,0)))</f>
        <v/>
      </c>
      <c r="E142" s="98">
        <f>IF(H142="Subetapa",0,IF(H142="serviço",OFFSET(E142,-1,0)+1,OFFSET(E142,-1,0)))</f>
        <v/>
      </c>
      <c r="G142" s="52" t="n"/>
      <c r="H142" s="53" t="inlineStr">
        <is>
          <t>SERVIÇO</t>
        </is>
      </c>
      <c r="I142" s="54">
        <f>IF(H142="Unidade Construtiva",TEXT(A142,"00"),IF(H142="Célula Construtiva",TEXT(B142,"00"),IF(H142="Etapa",CONCATENATE(TEXT(B142,"00"),".",TEXT(C142,"000")),IF(H142="Subetapa",CONCATENATE(TEXT(B142,"00"),".",TEXT(C142,"000"),".",TEXT(D142,"000")),IF(H142="Serviço",CONCATENATE(TEXT(B142,"00"),".",TEXT(C142,"000"),".",TEXT(D142,"000"),".",TEXT(E142,"000")),"")))))</f>
        <v/>
      </c>
      <c r="J142" s="55" t="inlineStr">
        <is>
          <t>Montagem e Desmontagem Grua com torre movel</t>
        </is>
      </c>
      <c r="K142" s="57">
        <f>_xlfn.XLOOKUP($J142,#REF!,#REF!)</f>
        <v/>
      </c>
      <c r="L142" s="57">
        <f>_xlfn.XLOOKUP($J142,#REF!,#REF!)</f>
        <v/>
      </c>
      <c r="M142" s="57">
        <f>_xlfn.XLOOKUP($J142,#REF!,#REF!)</f>
        <v/>
      </c>
      <c r="N142" s="58">
        <f>IF(H142="Serviço",M142*L142,IF(H142="CÉLULA CONSTRUTIVA",SUMIFS($N$8:$N$427,$B$8:$B$427,B142,$H$8:$H$427,"Serviço"),IF(H142="ETAPA",SUMIFS($N$8:$N$427,$B$8:$B$427,B142,$C$8:$C$427,C142,$H$8:$H$427,"Serviço"),IF(H142="SUBETAPA",SUMIFS($N$8:$N$427,$B$8:$B$427,B142,$C$8:$C$427,C142,$D$8:$D$427,D142,$H$8:$H$427,"Serviço"),0))))</f>
        <v/>
      </c>
      <c r="O142" s="57">
        <f>_xlfn.XLOOKUP($J142,#REF!,#REF!)</f>
        <v/>
      </c>
      <c r="P142" s="60" t="inlineStr">
        <is>
          <t>Finalizado</t>
        </is>
      </c>
      <c r="Q142" s="61" t="n"/>
    </row>
    <row r="143" outlineLevel="2" customFormat="1" s="40">
      <c r="A143" s="97">
        <f>IF($H143="UNIDADE CONSTRUTIVA",OFFSET(A143,-1,0)+1,LARGE(A$3:A142,1))</f>
        <v/>
      </c>
      <c r="B143" s="97">
        <f>IF(H143="UNIDADE CONSTRUTIVA",0,IF(H143="CÉLULA CONSTRUTIVA",OFFSET(B143,-1,0)+1,OFFSET(B143,-1,0)))</f>
        <v/>
      </c>
      <c r="C143" s="97">
        <f>IF(H143="CÉLULA CONSTRUTIVA",0,IF(H143="ETAPA",OFFSET(C143,-1,0)+1,OFFSET(C143,-1,0)))</f>
        <v/>
      </c>
      <c r="D143" s="98">
        <f>IF(H143="ETAPA",0,IF(H143="SUBETAPA",OFFSET(D143,-1,0)+1,OFFSET(D143,-1,0)))</f>
        <v/>
      </c>
      <c r="E143" s="98">
        <f>IF(H143="Subetapa",0,IF(H143="serviço",OFFSET(E143,-1,0)+1,OFFSET(E143,-1,0)))</f>
        <v/>
      </c>
      <c r="G143" s="52" t="n"/>
      <c r="H143" s="53" t="inlineStr">
        <is>
          <t>SERVIÇO</t>
        </is>
      </c>
      <c r="I143" s="54">
        <f>IF(H143="Unidade Construtiva",TEXT(A143,"00"),IF(H143="Célula Construtiva",TEXT(B143,"00"),IF(H143="Etapa",CONCATENATE(TEXT(B143,"00"),".",TEXT(C143,"000")),IF(H143="Subetapa",CONCATENATE(TEXT(B143,"00"),".",TEXT(C143,"000"),".",TEXT(D143,"000")),IF(H143="Serviço",CONCATENATE(TEXT(B143,"00"),".",TEXT(C143,"000"),".",TEXT(D143,"000"),".",TEXT(E143,"000")),"")))))</f>
        <v/>
      </c>
      <c r="J143" s="55" t="inlineStr">
        <is>
          <t>Ascenção da Grua</t>
        </is>
      </c>
      <c r="K143" s="57">
        <f>_xlfn.XLOOKUP($J143,#REF!,#REF!)</f>
        <v/>
      </c>
      <c r="L143" s="57">
        <f>_xlfn.XLOOKUP($J143,#REF!,#REF!)</f>
        <v/>
      </c>
      <c r="M143" s="57" t="n">
        <v>6300</v>
      </c>
      <c r="N143" s="58">
        <f>IF(H143="Serviço",M143*L143,IF(H143="CÉLULA CONSTRUTIVA",SUMIFS($N$8:$N$427,$B$8:$B$427,B143,$H$8:$H$427,"Serviço"),IF(H143="ETAPA",SUMIFS($N$8:$N$427,$B$8:$B$427,B143,$C$8:$C$427,C143,$H$8:$H$427,"Serviço"),IF(H143="SUBETAPA",SUMIFS($N$8:$N$427,$B$8:$B$427,B143,$C$8:$C$427,C143,$D$8:$D$427,D143,$H$8:$H$427,"Serviço"),0))))</f>
        <v/>
      </c>
      <c r="O143" s="57" t="inlineStr">
        <is>
          <t>Repessado pela Gessele na reunião do dia 05/03/2026  -  6,3k / ascenção</t>
        </is>
      </c>
      <c r="P143" s="60" t="inlineStr">
        <is>
          <t>Finalizado</t>
        </is>
      </c>
      <c r="Q143" s="61" t="n"/>
    </row>
    <row r="144" outlineLevel="1" customFormat="1" s="40">
      <c r="A144" s="97">
        <f>IF($H144="UNIDADE CONSTRUTIVA",OFFSET(A144,-1,0)+1,LARGE(A$3:A143,1))</f>
        <v/>
      </c>
      <c r="B144" s="97">
        <f>IF(H144="UNIDADE CONSTRUTIVA",0,IF(H144="CÉLULA CONSTRUTIVA",OFFSET(B144,-1,0)+1,OFFSET(B144,-1,0)))</f>
        <v/>
      </c>
      <c r="C144" s="97">
        <f>IF(H144="CÉLULA CONSTRUTIVA",0,IF(H144="ETAPA",OFFSET(C144,-1,0)+1,OFFSET(C144,-1,0)))</f>
        <v/>
      </c>
      <c r="D144" s="98">
        <f>IF(H144="ETAPA",0,IF(H144="SUBETAPA",OFFSET(D144,-1,0)+1,OFFSET(D144,-1,0)))</f>
        <v/>
      </c>
      <c r="E144" s="98">
        <f>IF(H144="Subetapa",0,IF(H144="serviço",OFFSET(E144,-1,0)+1,OFFSET(E144,-1,0)))</f>
        <v/>
      </c>
      <c r="G144" s="52" t="n"/>
      <c r="H144" s="53" t="inlineStr">
        <is>
          <t>SUBETAPA</t>
        </is>
      </c>
      <c r="I144" s="54">
        <f>IF(H144="Unidade Construtiva",TEXT(A144,"00"),IF(H144="Célula Construtiva",TEXT(B144,"00"),IF(H144="Etapa",CONCATENATE(TEXT(B144,"00"),".",TEXT(C144,"000")),IF(H144="Subetapa",CONCATENATE(TEXT(B144,"00"),".",TEXT(C144,"000"),".",TEXT(D144,"000")),IF(H144="Serviço",CONCATENATE(TEXT(B144,"00"),".",TEXT(C144,"000"),".",TEXT(D144,"000"),".",TEXT(E144,"000")),"")))))</f>
        <v/>
      </c>
      <c r="J144" s="55" t="inlineStr">
        <is>
          <t>Equipamentos de obra</t>
        </is>
      </c>
      <c r="K144" s="56" t="n"/>
      <c r="L144" s="57" t="n"/>
      <c r="M144" s="57" t="n"/>
      <c r="N144" s="58">
        <f>IF(H144="Serviço",M144*L144,IF(H144="CÉLULA CONSTRUTIVA",SUMIFS($N$8:$N$427,$B$8:$B$427,B144,$H$8:$H$427,"Serviço"),IF(H144="ETAPA",SUMIFS($N$8:$N$427,$B$8:$B$427,B144,$C$8:$C$427,C144,$H$8:$H$427,"Serviço"),IF(H144="SUBETAPA",SUMIFS($N$8:$N$427,$B$8:$B$427,B144,$C$8:$C$427,C144,$D$8:$D$427,D144,$H$8:$H$427,"Serviço"),0))))</f>
        <v/>
      </c>
      <c r="O144" s="59">
        <f>N144/[1]CAPA!$C$10</f>
        <v/>
      </c>
      <c r="P144" s="60" t="n"/>
      <c r="Q144" s="61" t="n"/>
    </row>
    <row r="145" outlineLevel="2" customFormat="1" s="40">
      <c r="A145" s="97">
        <f>IF($H145="UNIDADE CONSTRUTIVA",OFFSET(A145,-1,0)+1,LARGE(A$3:A144,1))</f>
        <v/>
      </c>
      <c r="B145" s="97">
        <f>IF(H145="UNIDADE CONSTRUTIVA",0,IF(H145="CÉLULA CONSTRUTIVA",OFFSET(B145,-1,0)+1,OFFSET(B145,-1,0)))</f>
        <v/>
      </c>
      <c r="C145" s="97">
        <f>IF(H145="CÉLULA CONSTRUTIVA",0,IF(H145="ETAPA",OFFSET(C145,-1,0)+1,OFFSET(C145,-1,0)))</f>
        <v/>
      </c>
      <c r="D145" s="98">
        <f>IF(H145="ETAPA",0,IF(H145="SUBETAPA",OFFSET(D145,-1,0)+1,OFFSET(D145,-1,0)))</f>
        <v/>
      </c>
      <c r="E145" s="98">
        <f>IF(H145="Subetapa",0,IF(H145="serviço",OFFSET(E145,-1,0)+1,OFFSET(E145,-1,0)))</f>
        <v/>
      </c>
      <c r="G145" s="52" t="n"/>
      <c r="H145" s="53" t="inlineStr">
        <is>
          <t>SERVIÇO</t>
        </is>
      </c>
      <c r="I145" s="54">
        <f>IF(H145="Unidade Construtiva",TEXT(A145,"00"),IF(H145="Célula Construtiva",TEXT(B145,"00"),IF(H145="Etapa",CONCATENATE(TEXT(B145,"00"),".",TEXT(C145,"000")),IF(H145="Subetapa",CONCATENATE(TEXT(B145,"00"),".",TEXT(C145,"000"),".",TEXT(D145,"000")),IF(H145="Serviço",CONCATENATE(TEXT(B145,"00"),".",TEXT(C145,"000"),".",TEXT(D145,"000"),".",TEXT(E145,"000")),"")))))</f>
        <v/>
      </c>
      <c r="J145" s="55" t="inlineStr">
        <is>
          <t>Ferramentas/equipamentos</t>
        </is>
      </c>
      <c r="K145" s="56" t="inlineStr">
        <is>
          <t>vb</t>
        </is>
      </c>
      <c r="L145" s="57">
        <f>_xlfn.XLOOKUP($J145,#REF!,#REF!)</f>
        <v/>
      </c>
      <c r="M145" s="99" t="n">
        <v>28000</v>
      </c>
      <c r="N145" s="58">
        <f>IF(H145="Serviço",M145*L145,IF(H145="CÉLULA CONSTRUTIVA",SUMIFS($N$8:$N$427,$B$8:$B$427,B145,$H$8:$H$427,"Serviço"),IF(H145="ETAPA",SUMIFS($N$8:$N$427,$B$8:$B$427,B145,$C$8:$C$427,C145,$H$8:$H$427,"Serviço"),IF(H145="SUBETAPA",SUMIFS($N$8:$N$427,$B$8:$B$427,B145,$C$8:$C$427,C145,$D$8:$D$427,D145,$H$8:$H$427,"Serviço"),0))))</f>
        <v/>
      </c>
      <c r="O145" s="57">
        <f>_xlfn.XLOOKUP($J145,#REF!,#REF!)</f>
        <v/>
      </c>
      <c r="P145" s="60" t="inlineStr">
        <is>
          <t>Finalizado</t>
        </is>
      </c>
      <c r="Q145" s="61" t="n"/>
    </row>
    <row r="146" outlineLevel="2" ht="22.5" customFormat="1" customHeight="1" s="40">
      <c r="A146" s="97">
        <f>IF($H146="UNIDADE CONSTRUTIVA",OFFSET(A146,-1,0)+1,LARGE(A$3:A145,1))</f>
        <v/>
      </c>
      <c r="B146" s="97">
        <f>IF(H146="UNIDADE CONSTRUTIVA",0,IF(H146="CÉLULA CONSTRUTIVA",OFFSET(B146,-1,0)+1,OFFSET(B146,-1,0)))</f>
        <v/>
      </c>
      <c r="C146" s="97">
        <f>IF(H146="CÉLULA CONSTRUTIVA",0,IF(H146="ETAPA",OFFSET(C146,-1,0)+1,OFFSET(C146,-1,0)))</f>
        <v/>
      </c>
      <c r="D146" s="98">
        <f>IF(H146="ETAPA",0,IF(H146="SUBETAPA",OFFSET(D146,-1,0)+1,OFFSET(D146,-1,0)))</f>
        <v/>
      </c>
      <c r="E146" s="98">
        <f>IF(H146="Subetapa",0,IF(H146="serviço",OFFSET(E146,-1,0)+1,OFFSET(E146,-1,0)))</f>
        <v/>
      </c>
      <c r="G146" s="52" t="n"/>
      <c r="H146" s="53" t="inlineStr">
        <is>
          <t>SERVIÇO</t>
        </is>
      </c>
      <c r="I146" s="54">
        <f>IF(H146="Unidade Construtiva",TEXT(A146,"00"),IF(H146="Célula Construtiva",TEXT(B146,"00"),IF(H146="Etapa",CONCATENATE(TEXT(B146,"00"),".",TEXT(C146,"000")),IF(H146="Subetapa",CONCATENATE(TEXT(B146,"00"),".",TEXT(C146,"000"),".",TEXT(D146,"000")),IF(H146="Serviço",CONCATENATE(TEXT(B146,"00"),".",TEXT(C146,"000"),".",TEXT(D146,"000"),".",TEXT(E146,"000")),"")))))</f>
        <v/>
      </c>
      <c r="J146" s="68" t="inlineStr">
        <is>
          <t>Equipamentos de Apoio</t>
        </is>
      </c>
      <c r="K146" s="69" t="inlineStr">
        <is>
          <t>vb</t>
        </is>
      </c>
      <c r="L146" s="66">
        <f>_xlfn.XLOOKUP($J146,#REF!,#REF!)</f>
        <v/>
      </c>
      <c r="M146" s="66" t="n">
        <v>0</v>
      </c>
      <c r="N146" s="70">
        <f>IF(H146="Serviço",M146*L146,IF(H146="CÉLULA CONSTRUTIVA",SUMIFS($N$8:$N$427,$B$8:$B$427,B146,$H$8:$H$427,"Serviço"),IF(H146="ETAPA",SUMIFS($N$8:$N$427,$B$8:$B$427,B146,$C$8:$C$427,C146,$H$8:$H$427,"Serviço"),IF(H146="SUBETAPA",SUMIFS($N$8:$N$427,$B$8:$B$427,B146,$C$8:$C$427,C146,$D$8:$D$427,D146,$H$8:$H$427,"Serviço"),0))))</f>
        <v/>
      </c>
      <c r="O146" s="66" t="inlineStr">
        <is>
          <t>Repessado pela Gessele na reunião do dia 05/03/2026 -quais equipamentos estão sendo considerados? - Verificando com planejamento</t>
        </is>
      </c>
      <c r="P146" s="60" t="inlineStr">
        <is>
          <t>Finalizado</t>
        </is>
      </c>
      <c r="Q146" s="61" t="n"/>
    </row>
    <row r="147" outlineLevel="1" customFormat="1" s="40">
      <c r="A147" s="97">
        <f>IF($H147="UNIDADE CONSTRUTIVA",OFFSET(A147,-1,0)+1,LARGE(A$3:A146,1))</f>
        <v/>
      </c>
      <c r="B147" s="97">
        <f>IF(H147="UNIDADE CONSTRUTIVA",0,IF(H147="CÉLULA CONSTRUTIVA",OFFSET(B147,-1,0)+1,OFFSET(B147,-1,0)))</f>
        <v/>
      </c>
      <c r="C147" s="97">
        <f>IF(H147="CÉLULA CONSTRUTIVA",0,IF(H147="ETAPA",OFFSET(C147,-1,0)+1,OFFSET(C147,-1,0)))</f>
        <v/>
      </c>
      <c r="D147" s="98">
        <f>IF(H147="ETAPA",0,IF(H147="SUBETAPA",OFFSET(D147,-1,0)+1,OFFSET(D147,-1,0)))</f>
        <v/>
      </c>
      <c r="E147" s="98">
        <f>IF(H147="Subetapa",0,IF(H147="serviço",OFFSET(E147,-1,0)+1,OFFSET(E147,-1,0)))</f>
        <v/>
      </c>
      <c r="G147" s="52" t="n"/>
      <c r="H147" s="53" t="inlineStr">
        <is>
          <t>SUBETAPA</t>
        </is>
      </c>
      <c r="I147" s="54">
        <f>IF(H147="Unidade Construtiva",TEXT(A147,"00"),IF(H147="Célula Construtiva",TEXT(B147,"00"),IF(H147="Etapa",CONCATENATE(TEXT(B147,"00"),".",TEXT(C147,"000")),IF(H147="Subetapa",CONCATENATE(TEXT(B147,"00"),".",TEXT(C147,"000"),".",TEXT(D147,"000")),IF(H147="Serviço",CONCATENATE(TEXT(B147,"00"),".",TEXT(C147,"000"),".",TEXT(D147,"000"),".",TEXT(E147,"000")),"")))))</f>
        <v/>
      </c>
      <c r="J147" s="55" t="inlineStr">
        <is>
          <t>Balancins e Andaimes</t>
        </is>
      </c>
      <c r="K147" s="56" t="n"/>
      <c r="L147" s="57" t="n"/>
      <c r="M147" s="57" t="n"/>
      <c r="N147" s="58">
        <f>IF(H147="Serviço",M147*L147,IF(H147="CÉLULA CONSTRUTIVA",SUMIFS($N$8:$N$427,$B$8:$B$427,B147,$H$8:$H$427,"Serviço"),IF(H147="ETAPA",SUMIFS($N$8:$N$427,$B$8:$B$427,B147,$C$8:$C$427,C147,$H$8:$H$427,"Serviço"),IF(H147="SUBETAPA",SUMIFS($N$8:$N$427,$B$8:$B$427,B147,$C$8:$C$427,C147,$D$8:$D$427,D147,$H$8:$H$427,"Serviço"),0))))</f>
        <v/>
      </c>
      <c r="O147" s="59">
        <f>N147/[1]CAPA!$C$10</f>
        <v/>
      </c>
      <c r="P147" s="60" t="n"/>
      <c r="Q147" s="61" t="n"/>
    </row>
    <row r="148" outlineLevel="2" customFormat="1" s="40">
      <c r="A148" s="97">
        <f>IF($H148="UNIDADE CONSTRUTIVA",OFFSET(A148,-1,0)+1,LARGE(A$3:A147,1))</f>
        <v/>
      </c>
      <c r="B148" s="97">
        <f>IF(H148="UNIDADE CONSTRUTIVA",0,IF(H148="CÉLULA CONSTRUTIVA",OFFSET(B148,-1,0)+1,OFFSET(B148,-1,0)))</f>
        <v/>
      </c>
      <c r="C148" s="97">
        <f>IF(H148="CÉLULA CONSTRUTIVA",0,IF(H148="ETAPA",OFFSET(C148,-1,0)+1,OFFSET(C148,-1,0)))</f>
        <v/>
      </c>
      <c r="D148" s="98">
        <f>IF(H148="ETAPA",0,IF(H148="SUBETAPA",OFFSET(D148,-1,0)+1,OFFSET(D148,-1,0)))</f>
        <v/>
      </c>
      <c r="E148" s="98">
        <f>IF(H148="Subetapa",0,IF(H148="serviço",OFFSET(E148,-1,0)+1,OFFSET(E148,-1,0)))</f>
        <v/>
      </c>
      <c r="G148" s="52" t="n"/>
      <c r="H148" s="53" t="inlineStr">
        <is>
          <t>SERVIÇO</t>
        </is>
      </c>
      <c r="I148" s="54">
        <f>IF(H148="Unidade Construtiva",TEXT(A148,"00"),IF(H148="Célula Construtiva",TEXT(B148,"00"),IF(H148="Etapa",CONCATENATE(TEXT(B148,"00"),".",TEXT(C148,"000")),IF(H148="Subetapa",CONCATENATE(TEXT(B148,"00"),".",TEXT(C148,"000"),".",TEXT(D148,"000")),IF(H148="Serviço",CONCATENATE(TEXT(B148,"00"),".",TEXT(C148,"000"),".",TEXT(D148,"000"),".",TEXT(E148,"000")),"")))))</f>
        <v/>
      </c>
      <c r="J148" s="55" t="inlineStr">
        <is>
          <t>Locação Balancim</t>
        </is>
      </c>
      <c r="K148" s="57">
        <f>_xlfn.XLOOKUP($J148,#REF!,#REF!)</f>
        <v/>
      </c>
      <c r="L148" s="57">
        <f>_xlfn.XLOOKUP($J148,#REF!,#REF!)</f>
        <v/>
      </c>
      <c r="M148" s="57">
        <f>_xlfn.XLOOKUP($J148,#REF!,#REF!)</f>
        <v/>
      </c>
      <c r="N148" s="58">
        <f>IF(H148="Serviço",M148*L148,IF(H148="CÉLULA CONSTRUTIVA",SUMIFS($N$8:$N$427,$B$8:$B$427,B148,$H$8:$H$427,"Serviço"),IF(H148="ETAPA",SUMIFS($N$8:$N$427,$B$8:$B$427,B148,$C$8:$C$427,C148,$H$8:$H$427,"Serviço"),IF(H148="SUBETAPA",SUMIFS($N$8:$N$427,$B$8:$B$427,B148,$C$8:$C$427,C148,$D$8:$D$427,D148,$H$8:$H$427,"Serviço"),0))))</f>
        <v/>
      </c>
      <c r="O148" s="57">
        <f>_xlfn.XLOOKUP($J148,#REF!,#REF!)</f>
        <v/>
      </c>
      <c r="P148" s="60" t="inlineStr">
        <is>
          <t>Finalizado</t>
        </is>
      </c>
      <c r="Q148" s="61" t="n"/>
    </row>
    <row r="149" outlineLevel="2" customFormat="1" s="40">
      <c r="A149" s="97">
        <f>IF($H149="UNIDADE CONSTRUTIVA",OFFSET(A149,-1,0)+1,LARGE(A$3:A148,1))</f>
        <v/>
      </c>
      <c r="B149" s="97">
        <f>IF(H149="UNIDADE CONSTRUTIVA",0,IF(H149="CÉLULA CONSTRUTIVA",OFFSET(B149,-1,0)+1,OFFSET(B149,-1,0)))</f>
        <v/>
      </c>
      <c r="C149" s="97">
        <f>IF(H149="CÉLULA CONSTRUTIVA",0,IF(H149="ETAPA",OFFSET(C149,-1,0)+1,OFFSET(C149,-1,0)))</f>
        <v/>
      </c>
      <c r="D149" s="98">
        <f>IF(H149="ETAPA",0,IF(H149="SUBETAPA",OFFSET(D149,-1,0)+1,OFFSET(D149,-1,0)))</f>
        <v/>
      </c>
      <c r="E149" s="98">
        <f>IF(H149="Subetapa",0,IF(H149="serviço",OFFSET(E149,-1,0)+1,OFFSET(E149,-1,0)))</f>
        <v/>
      </c>
      <c r="G149" s="52" t="n"/>
      <c r="H149" s="53" t="inlineStr">
        <is>
          <t>SERVIÇO</t>
        </is>
      </c>
      <c r="I149" s="54">
        <f>IF(H149="Unidade Construtiva",TEXT(A149,"00"),IF(H149="Célula Construtiva",TEXT(B149,"00"),IF(H149="Etapa",CONCATENATE(TEXT(B149,"00"),".",TEXT(C149,"000")),IF(H149="Subetapa",CONCATENATE(TEXT(B149,"00"),".",TEXT(C149,"000"),".",TEXT(D149,"000")),IF(H149="Serviço",CONCATENATE(TEXT(B149,"00"),".",TEXT(C149,"000"),".",TEXT(D149,"000"),".",TEXT(E149,"000")),"")))))</f>
        <v/>
      </c>
      <c r="J149" s="55" t="inlineStr">
        <is>
          <t>Montagem/Deslocamento/Desmontagem Balancim</t>
        </is>
      </c>
      <c r="K149" s="57">
        <f>_xlfn.XLOOKUP($J149,#REF!,#REF!)</f>
        <v/>
      </c>
      <c r="L149" s="57">
        <f>_xlfn.XLOOKUP($J149,#REF!,#REF!)</f>
        <v/>
      </c>
      <c r="M149" s="57">
        <f>_xlfn.XLOOKUP($J149,#REF!,#REF!)</f>
        <v/>
      </c>
      <c r="N149" s="58">
        <f>IF(H149="Serviço",M149*L149,IF(H149="CÉLULA CONSTRUTIVA",SUMIFS($N$8:$N$427,$B$8:$B$427,B149,$H$8:$H$427,"Serviço"),IF(H149="ETAPA",SUMIFS($N$8:$N$427,$B$8:$B$427,B149,$C$8:$C$427,C149,$H$8:$H$427,"Serviço"),IF(H149="SUBETAPA",SUMIFS($N$8:$N$427,$B$8:$B$427,B149,$C$8:$C$427,C149,$D$8:$D$427,D149,$H$8:$H$427,"Serviço"),0))))</f>
        <v/>
      </c>
      <c r="O149" s="57">
        <f>_xlfn.XLOOKUP($J149,#REF!,#REF!)</f>
        <v/>
      </c>
      <c r="P149" s="60" t="inlineStr">
        <is>
          <t>Finalizado</t>
        </is>
      </c>
      <c r="Q149" s="61" t="n"/>
    </row>
    <row r="150" customFormat="1" s="77">
      <c r="A150" s="97">
        <f>IF($H150="UNIDADE CONSTRUTIVA",OFFSET(A150,-1,0)+1,LARGE(A$3:A149,1))</f>
        <v/>
      </c>
      <c r="B150" s="97">
        <f>IF(H150="UNIDADE CONSTRUTIVA",0,IF(H150="CÉLULA CONSTRUTIVA",OFFSET(B150,-1,0)+1,OFFSET(B150,-1,0)))</f>
        <v/>
      </c>
      <c r="C150" s="97">
        <f>IF(H150="CÉLULA CONSTRUTIVA",0,IF(H150="ETAPA",OFFSET(C150,-1,0)+1,OFFSET(C150,-1,0)))</f>
        <v/>
      </c>
      <c r="D150" s="98">
        <f>IF(H150="ETAPA",0,IF(H150="SUBETAPA",OFFSET(D150,-1,0)+1,OFFSET(D150,-1,0)))</f>
        <v/>
      </c>
      <c r="E150" s="98">
        <f>IF(H150="Subetapa",0,IF(H150="serviço",OFFSET(E150,-1,0)+1,OFFSET(E150,-1,0)))</f>
        <v/>
      </c>
      <c r="F150" s="71" t="n"/>
      <c r="G150" s="72" t="n"/>
      <c r="H150" s="72" t="n"/>
      <c r="I150" s="72" t="n"/>
      <c r="J150" s="73" t="inlineStr">
        <is>
          <t>TOTAL</t>
        </is>
      </c>
      <c r="K150" s="74" t="n"/>
      <c r="L150" s="75" t="n"/>
      <c r="M150" s="75" t="n"/>
      <c r="N150" s="102">
        <f>SUM(N7:N149)/4</f>
        <v/>
      </c>
      <c r="O150" s="102">
        <f>N150/[1]CAPA!$C$10</f>
        <v/>
      </c>
      <c r="P150" s="74" t="n"/>
      <c r="Q150" s="61" t="n"/>
    </row>
    <row r="151" customFormat="1" s="78">
      <c r="A151" s="97" t="n"/>
      <c r="B151" s="97" t="n"/>
      <c r="C151" s="97" t="n"/>
      <c r="D151" s="98" t="n"/>
      <c r="E151" s="98" t="n"/>
      <c r="F151" s="40" t="n"/>
      <c r="J151" s="79" t="n"/>
      <c r="K151" s="80" t="n"/>
      <c r="L151" s="81" t="n"/>
      <c r="M151" s="103">
        <f>SUMIFS($N$7:$N$442,$H$7:$H$442,N151)</f>
        <v/>
      </c>
      <c r="N151" s="83" t="inlineStr">
        <is>
          <t>CÉLULA CONSTRUTIVA</t>
        </is>
      </c>
      <c r="O151" s="84" t="n"/>
      <c r="P151" s="85" t="n"/>
    </row>
    <row r="152" customFormat="1" s="78">
      <c r="A152" s="97" t="n"/>
      <c r="B152" s="97" t="n"/>
      <c r="C152" s="97" t="n"/>
      <c r="D152" s="98" t="n"/>
      <c r="E152" s="98" t="n"/>
      <c r="F152" s="40" t="n"/>
      <c r="J152" s="79" t="n"/>
      <c r="K152" s="80" t="n"/>
      <c r="L152" s="81" t="n"/>
      <c r="M152" s="103">
        <f>SUMIFS($N$7:$N$442,$H$7:$H$442,N152)</f>
        <v/>
      </c>
      <c r="N152" s="83" t="inlineStr">
        <is>
          <t>ETAPA</t>
        </is>
      </c>
      <c r="O152" s="84" t="n"/>
      <c r="P152" s="85" t="n"/>
    </row>
    <row r="153" customFormat="1" s="78">
      <c r="A153" s="97" t="n"/>
      <c r="B153" s="97" t="n"/>
      <c r="C153" s="97" t="n"/>
      <c r="D153" s="98" t="n"/>
      <c r="E153" s="98" t="n"/>
      <c r="F153" s="40" t="n"/>
      <c r="J153" s="79" t="n"/>
      <c r="K153" s="80" t="n"/>
      <c r="L153" s="81" t="n"/>
      <c r="M153" s="103">
        <f>SUMIFS($N$7:$N$442,$H$7:$H$442,N153)</f>
        <v/>
      </c>
      <c r="N153" s="83" t="inlineStr">
        <is>
          <t>SUBETAPA</t>
        </is>
      </c>
      <c r="O153" s="84" t="n"/>
      <c r="P153" s="85" t="n"/>
    </row>
    <row r="154" customFormat="1" s="78">
      <c r="A154" s="97" t="n"/>
      <c r="B154" s="97" t="n"/>
      <c r="C154" s="97" t="n"/>
      <c r="D154" s="98" t="n"/>
      <c r="E154" s="98" t="n"/>
      <c r="F154" s="40" t="n"/>
      <c r="J154" s="104" t="n"/>
      <c r="K154" s="80" t="n"/>
      <c r="L154" s="81" t="n"/>
      <c r="M154" s="103">
        <f>SUMIFS($N$7:$N$442,$H$7:$H$442,N154)</f>
        <v/>
      </c>
      <c r="N154" s="83" t="inlineStr">
        <is>
          <t>SERVIÇO</t>
        </is>
      </c>
      <c r="O154" s="84" t="n"/>
      <c r="P154" s="85" t="n"/>
    </row>
    <row r="155" customFormat="1" s="78">
      <c r="A155" s="97" t="n"/>
      <c r="B155" s="97" t="n"/>
      <c r="C155" s="97" t="n"/>
      <c r="D155" s="98" t="n"/>
      <c r="E155" s="98" t="n"/>
      <c r="F155" s="40" t="n"/>
      <c r="J155" s="104" t="n"/>
      <c r="K155" s="104" t="n"/>
      <c r="M155" s="103" t="n"/>
      <c r="N155" s="83" t="n"/>
      <c r="O155" s="87" t="n"/>
      <c r="P155" s="85" t="n"/>
    </row>
    <row r="156" customFormat="1" s="78">
      <c r="A156" s="97" t="n"/>
      <c r="B156" s="97" t="n"/>
      <c r="C156" s="97" t="n"/>
      <c r="D156" s="98" t="n"/>
      <c r="E156" s="98" t="n"/>
      <c r="F156" s="40" t="n"/>
      <c r="J156" s="79" t="n"/>
      <c r="K156" s="80" t="n"/>
      <c r="L156" s="81" t="n"/>
      <c r="M156" s="105" t="n"/>
      <c r="N156" s="83" t="n"/>
      <c r="O156" s="84" t="n"/>
      <c r="P156" s="85" t="n"/>
    </row>
    <row r="157" customFormat="1" s="78">
      <c r="A157" s="97" t="n"/>
      <c r="B157" s="97" t="n"/>
      <c r="C157" s="97" t="n"/>
      <c r="D157" s="98" t="n"/>
      <c r="E157" s="98" t="n"/>
      <c r="F157" s="40" t="n"/>
      <c r="J157" s="79" t="n"/>
      <c r="K157" s="80" t="n"/>
      <c r="L157" s="81" t="n"/>
      <c r="M157" s="81" t="n"/>
      <c r="N157" s="89" t="n"/>
      <c r="O157" s="84" t="n"/>
      <c r="P157" s="85" t="n"/>
    </row>
    <row r="158" customFormat="1" s="78">
      <c r="A158" s="97" t="n"/>
      <c r="B158" s="97" t="n"/>
      <c r="C158" s="97" t="n"/>
      <c r="D158" s="98" t="n"/>
      <c r="E158" s="98" t="n"/>
      <c r="F158" s="40" t="n"/>
      <c r="J158" s="79" t="n"/>
      <c r="K158" s="80" t="n"/>
      <c r="L158" s="81" t="n"/>
      <c r="M158" s="81" t="n"/>
      <c r="N158" s="89" t="n"/>
      <c r="O158" s="84" t="n"/>
      <c r="P158" s="85" t="n"/>
    </row>
    <row r="159" customFormat="1" s="78">
      <c r="A159" s="97" t="n"/>
      <c r="B159" s="97" t="n"/>
      <c r="C159" s="97" t="n"/>
      <c r="D159" s="98" t="n"/>
      <c r="E159" s="98" t="n"/>
      <c r="F159" s="40" t="n"/>
      <c r="J159" s="79" t="n"/>
      <c r="K159" s="80" t="n"/>
      <c r="L159" s="81" t="n"/>
      <c r="M159" s="81" t="n"/>
      <c r="N159" s="89" t="n"/>
      <c r="O159" s="84" t="n"/>
      <c r="P159" s="85" t="n"/>
    </row>
    <row r="160" customFormat="1" s="78">
      <c r="A160" s="97" t="n"/>
      <c r="B160" s="97" t="n"/>
      <c r="C160" s="97" t="n"/>
      <c r="D160" s="98" t="n"/>
      <c r="E160" s="98" t="n"/>
      <c r="F160" s="40" t="n"/>
      <c r="J160" s="79" t="n"/>
      <c r="K160" s="80" t="n"/>
      <c r="L160" s="81" t="n"/>
      <c r="M160" s="81" t="n"/>
      <c r="N160" s="89" t="n"/>
      <c r="O160" s="84" t="n"/>
      <c r="P160" s="85" t="n"/>
    </row>
    <row r="161" customFormat="1" s="78">
      <c r="A161" s="97" t="n"/>
      <c r="B161" s="97" t="n"/>
      <c r="C161" s="97" t="n"/>
      <c r="D161" s="98" t="n"/>
      <c r="E161" s="98" t="n"/>
      <c r="F161" s="40" t="n"/>
      <c r="J161" s="79" t="n"/>
      <c r="K161" s="80" t="n"/>
      <c r="L161" s="81" t="n"/>
      <c r="M161" s="81" t="n"/>
      <c r="N161" s="89" t="n"/>
      <c r="O161" s="84" t="n"/>
      <c r="P161" s="85" t="n"/>
    </row>
    <row r="162" customFormat="1" s="78">
      <c r="A162" s="97" t="n"/>
      <c r="B162" s="97" t="n"/>
      <c r="C162" s="97" t="n"/>
      <c r="D162" s="98" t="n"/>
      <c r="E162" s="98" t="n"/>
      <c r="F162" s="40" t="n"/>
      <c r="J162" s="79" t="n"/>
      <c r="K162" s="80" t="n"/>
      <c r="L162" s="81" t="n"/>
      <c r="M162" s="81" t="n"/>
      <c r="N162" s="89" t="n"/>
      <c r="O162" s="84" t="n"/>
      <c r="P162" s="85" t="n"/>
    </row>
    <row r="163" customFormat="1" s="78">
      <c r="A163" s="97" t="n"/>
      <c r="B163" s="97" t="n"/>
      <c r="C163" s="97" t="n"/>
      <c r="D163" s="98" t="n"/>
      <c r="E163" s="98" t="n"/>
      <c r="F163" s="40" t="n"/>
      <c r="J163" s="79" t="n"/>
      <c r="K163" s="80" t="n"/>
      <c r="L163" s="81" t="n"/>
      <c r="M163" s="81" t="n"/>
      <c r="N163" s="89" t="n"/>
      <c r="O163" s="84" t="n"/>
      <c r="P163" s="85" t="n"/>
    </row>
    <row r="164" customFormat="1" s="78">
      <c r="A164" s="97" t="n"/>
      <c r="B164" s="97" t="n"/>
      <c r="C164" s="97" t="n"/>
      <c r="D164" s="98" t="n"/>
      <c r="E164" s="98" t="n"/>
      <c r="F164" s="40" t="n"/>
      <c r="J164" s="79" t="n"/>
      <c r="K164" s="80" t="n"/>
      <c r="L164" s="81" t="n"/>
      <c r="M164" s="81" t="n"/>
      <c r="N164" s="89" t="n"/>
      <c r="O164" s="84" t="n"/>
      <c r="P164" s="85" t="n"/>
    </row>
    <row r="165" customFormat="1" s="78">
      <c r="A165" s="97" t="n"/>
      <c r="B165" s="97" t="n"/>
      <c r="C165" s="97" t="n"/>
      <c r="D165" s="98" t="n"/>
      <c r="E165" s="98" t="n"/>
      <c r="F165" s="40" t="n"/>
      <c r="J165" s="79" t="n"/>
      <c r="K165" s="80" t="n"/>
      <c r="L165" s="81" t="n"/>
      <c r="M165" s="81" t="n"/>
      <c r="N165" s="89" t="n"/>
      <c r="O165" s="84" t="n"/>
      <c r="P165" s="85" t="n"/>
    </row>
    <row r="166" customFormat="1" s="78">
      <c r="A166" s="97" t="n"/>
      <c r="B166" s="97" t="n"/>
      <c r="C166" s="97" t="n"/>
      <c r="D166" s="98" t="n"/>
      <c r="E166" s="98" t="n"/>
      <c r="F166" s="40" t="n"/>
      <c r="J166" s="79" t="n"/>
      <c r="K166" s="80" t="n"/>
      <c r="L166" s="81" t="n"/>
      <c r="M166" s="81" t="n"/>
      <c r="N166" s="89" t="n"/>
      <c r="O166" s="84" t="n"/>
      <c r="P166" s="85" t="n"/>
    </row>
    <row r="167" customFormat="1" s="78">
      <c r="A167" s="97" t="n"/>
      <c r="B167" s="97" t="n"/>
      <c r="C167" s="97" t="n"/>
      <c r="D167" s="98" t="n"/>
      <c r="E167" s="98" t="n"/>
      <c r="F167" s="40" t="n"/>
      <c r="J167" s="79" t="n"/>
      <c r="K167" s="80" t="n"/>
      <c r="L167" s="81" t="n"/>
      <c r="M167" s="81" t="n"/>
      <c r="N167" s="89" t="n"/>
      <c r="O167" s="84" t="n"/>
      <c r="P167" s="85" t="n"/>
    </row>
    <row r="168" customFormat="1" s="78">
      <c r="A168" s="97" t="n"/>
      <c r="B168" s="97" t="n"/>
      <c r="C168" s="97" t="n"/>
      <c r="D168" s="98" t="n"/>
      <c r="E168" s="98" t="n"/>
      <c r="F168" s="40" t="n"/>
      <c r="J168" s="79" t="n"/>
      <c r="K168" s="80" t="n"/>
      <c r="L168" s="81" t="n"/>
      <c r="M168" s="81" t="n"/>
      <c r="N168" s="89" t="n"/>
      <c r="O168" s="84" t="n"/>
      <c r="P168" s="85" t="n"/>
    </row>
    <row r="169" customFormat="1" s="78">
      <c r="A169" s="97" t="n"/>
      <c r="B169" s="97" t="n"/>
      <c r="C169" s="97" t="n"/>
      <c r="D169" s="98" t="n"/>
      <c r="E169" s="98" t="n"/>
      <c r="F169" s="40" t="n"/>
      <c r="J169" s="79" t="n"/>
      <c r="K169" s="80" t="n"/>
      <c r="L169" s="81" t="n"/>
      <c r="M169" s="81" t="n"/>
      <c r="N169" s="89" t="n"/>
      <c r="O169" s="84" t="n"/>
      <c r="P169" s="85" t="n"/>
    </row>
    <row r="170" customFormat="1" s="78">
      <c r="A170" s="97" t="n"/>
      <c r="B170" s="97" t="n"/>
      <c r="C170" s="97" t="n"/>
      <c r="D170" s="98" t="n"/>
      <c r="E170" s="98" t="n"/>
      <c r="F170" s="40" t="n"/>
      <c r="J170" s="79" t="n"/>
      <c r="K170" s="80" t="n"/>
      <c r="L170" s="81" t="n"/>
      <c r="M170" s="81" t="n"/>
      <c r="N170" s="89" t="n"/>
      <c r="O170" s="84" t="n"/>
      <c r="P170" s="85" t="n"/>
    </row>
    <row r="171" customFormat="1" s="78">
      <c r="A171" s="97" t="n"/>
      <c r="B171" s="97" t="n"/>
      <c r="C171" s="97" t="n"/>
      <c r="D171" s="98" t="n"/>
      <c r="E171" s="98" t="n"/>
      <c r="F171" s="40" t="n"/>
      <c r="J171" s="79" t="n"/>
      <c r="K171" s="80" t="n"/>
      <c r="L171" s="81" t="n"/>
      <c r="M171" s="81" t="n"/>
      <c r="N171" s="89" t="n"/>
      <c r="O171" s="84" t="n"/>
      <c r="P171" s="85" t="n"/>
    </row>
    <row r="172" customFormat="1" s="78">
      <c r="A172" s="97" t="n"/>
      <c r="B172" s="97" t="n"/>
      <c r="C172" s="97" t="n"/>
      <c r="D172" s="98" t="n"/>
      <c r="E172" s="98" t="n"/>
      <c r="F172" s="40" t="n"/>
      <c r="J172" s="79" t="n"/>
      <c r="K172" s="80" t="n"/>
      <c r="L172" s="81" t="n"/>
      <c r="M172" s="81" t="n"/>
      <c r="N172" s="89" t="n"/>
      <c r="O172" s="84" t="n"/>
      <c r="P172" s="85" t="n"/>
    </row>
    <row r="173" customFormat="1" s="78">
      <c r="A173" s="97" t="n"/>
      <c r="B173" s="97" t="n"/>
      <c r="C173" s="97" t="n"/>
      <c r="D173" s="98" t="n"/>
      <c r="E173" s="98" t="n"/>
      <c r="F173" s="40" t="n"/>
      <c r="J173" s="79" t="n"/>
      <c r="K173" s="80" t="n"/>
      <c r="L173" s="81" t="n"/>
      <c r="M173" s="81" t="n"/>
      <c r="N173" s="89" t="n"/>
      <c r="O173" s="84" t="n"/>
      <c r="P173" s="85" t="n"/>
    </row>
    <row r="174" customFormat="1" s="78">
      <c r="A174" s="97" t="n"/>
      <c r="B174" s="97" t="n"/>
      <c r="C174" s="97" t="n"/>
      <c r="D174" s="98" t="n"/>
      <c r="E174" s="98" t="n"/>
      <c r="F174" s="40" t="n"/>
      <c r="J174" s="79" t="n"/>
      <c r="K174" s="80" t="n"/>
      <c r="L174" s="81" t="n"/>
      <c r="M174" s="81" t="n"/>
      <c r="N174" s="89" t="n"/>
      <c r="O174" s="84" t="n"/>
      <c r="P174" s="85" t="n"/>
    </row>
    <row r="175" customFormat="1" s="78">
      <c r="A175" s="97" t="n"/>
      <c r="B175" s="97" t="n"/>
      <c r="C175" s="97" t="n"/>
      <c r="D175" s="98" t="n"/>
      <c r="E175" s="98" t="n"/>
      <c r="F175" s="40" t="n"/>
      <c r="J175" s="79" t="n"/>
      <c r="K175" s="80" t="n"/>
      <c r="L175" s="81" t="n"/>
      <c r="M175" s="81" t="n"/>
      <c r="N175" s="89" t="n"/>
      <c r="O175" s="84" t="n"/>
      <c r="P175" s="85" t="n"/>
    </row>
    <row r="176" customFormat="1" s="78">
      <c r="A176" s="97" t="n"/>
      <c r="B176" s="97" t="n"/>
      <c r="C176" s="97" t="n"/>
      <c r="D176" s="98" t="n"/>
      <c r="E176" s="98" t="n"/>
      <c r="F176" s="40" t="n"/>
      <c r="J176" s="79" t="n"/>
      <c r="K176" s="80" t="n"/>
      <c r="L176" s="81" t="n"/>
      <c r="M176" s="81" t="n"/>
      <c r="N176" s="89" t="n"/>
      <c r="O176" s="84" t="n"/>
      <c r="P176" s="85" t="n"/>
    </row>
    <row r="177" customFormat="1" s="78">
      <c r="A177" s="97" t="n"/>
      <c r="B177" s="97" t="n"/>
      <c r="C177" s="97" t="n"/>
      <c r="D177" s="98" t="n"/>
      <c r="E177" s="98" t="n"/>
      <c r="F177" s="40" t="n"/>
      <c r="J177" s="79" t="n"/>
      <c r="K177" s="80" t="n"/>
      <c r="L177" s="81" t="n"/>
      <c r="M177" s="81" t="n"/>
      <c r="N177" s="89" t="n"/>
      <c r="O177" s="84" t="n"/>
      <c r="P177" s="85" t="n"/>
    </row>
    <row r="178" customFormat="1" s="78">
      <c r="A178" s="97" t="n"/>
      <c r="B178" s="97" t="n"/>
      <c r="C178" s="97" t="n"/>
      <c r="D178" s="98" t="n"/>
      <c r="E178" s="98" t="n"/>
      <c r="F178" s="40" t="n"/>
      <c r="J178" s="79" t="n"/>
      <c r="K178" s="80" t="n"/>
      <c r="L178" s="81" t="n"/>
      <c r="M178" s="81" t="n"/>
      <c r="N178" s="89" t="n"/>
      <c r="O178" s="84" t="n"/>
      <c r="P178" s="85" t="n"/>
    </row>
    <row r="179" customFormat="1" s="78">
      <c r="A179" s="97" t="n"/>
      <c r="B179" s="97" t="n"/>
      <c r="C179" s="97" t="n"/>
      <c r="D179" s="98" t="n"/>
      <c r="E179" s="98" t="n"/>
      <c r="F179" s="40" t="n"/>
      <c r="J179" s="79" t="n"/>
      <c r="K179" s="80" t="n"/>
      <c r="L179" s="81" t="n"/>
      <c r="M179" s="81" t="n"/>
      <c r="N179" s="89" t="n"/>
      <c r="O179" s="84" t="n"/>
      <c r="P179" s="85" t="n"/>
    </row>
    <row r="180" customFormat="1" s="78">
      <c r="A180" s="97" t="n"/>
      <c r="B180" s="97" t="n"/>
      <c r="C180" s="97" t="n"/>
      <c r="D180" s="98" t="n"/>
      <c r="E180" s="98" t="n"/>
      <c r="F180" s="40" t="n"/>
      <c r="J180" s="79" t="n"/>
      <c r="K180" s="80" t="n"/>
      <c r="L180" s="81" t="n"/>
      <c r="M180" s="81" t="n"/>
      <c r="N180" s="89" t="n"/>
      <c r="O180" s="84" t="n"/>
      <c r="P180" s="85" t="n"/>
    </row>
    <row r="181" customFormat="1" s="78">
      <c r="A181" s="97" t="n"/>
      <c r="B181" s="97" t="n"/>
      <c r="C181" s="97" t="n"/>
      <c r="D181" s="98" t="n"/>
      <c r="E181" s="98" t="n"/>
      <c r="F181" s="40" t="n"/>
      <c r="J181" s="79" t="n"/>
      <c r="K181" s="80" t="n"/>
      <c r="L181" s="81" t="n"/>
      <c r="M181" s="81" t="n"/>
      <c r="N181" s="89" t="n"/>
      <c r="O181" s="84" t="n"/>
      <c r="P181" s="85" t="n"/>
    </row>
    <row r="182" customFormat="1" s="78">
      <c r="A182" s="97" t="n"/>
      <c r="B182" s="97" t="n"/>
      <c r="C182" s="97" t="n"/>
      <c r="D182" s="98" t="n"/>
      <c r="E182" s="98" t="n"/>
      <c r="F182" s="40" t="n"/>
      <c r="J182" s="79" t="n"/>
      <c r="K182" s="80" t="n"/>
      <c r="L182" s="81" t="n"/>
      <c r="M182" s="81" t="n"/>
      <c r="N182" s="89" t="n"/>
      <c r="O182" s="84" t="n"/>
      <c r="P182" s="85" t="n"/>
    </row>
    <row r="183" customFormat="1" s="78">
      <c r="A183" s="97" t="n"/>
      <c r="B183" s="97" t="n"/>
      <c r="C183" s="97" t="n"/>
      <c r="D183" s="98" t="n"/>
      <c r="E183" s="98" t="n"/>
      <c r="F183" s="40" t="n"/>
      <c r="J183" s="79" t="n"/>
      <c r="K183" s="80" t="n"/>
      <c r="L183" s="81" t="n"/>
      <c r="M183" s="81" t="n"/>
      <c r="N183" s="89" t="n"/>
      <c r="O183" s="84" t="n"/>
      <c r="P183" s="85" t="n"/>
    </row>
    <row r="184" customFormat="1" s="78">
      <c r="A184" s="97" t="n"/>
      <c r="B184" s="97" t="n"/>
      <c r="C184" s="97" t="n"/>
      <c r="D184" s="98" t="n"/>
      <c r="E184" s="98" t="n"/>
      <c r="F184" s="40" t="n"/>
      <c r="J184" s="79" t="n"/>
      <c r="K184" s="80" t="n"/>
      <c r="L184" s="81" t="n"/>
      <c r="M184" s="81" t="n"/>
      <c r="N184" s="89" t="n"/>
      <c r="O184" s="84" t="n"/>
      <c r="P184" s="85" t="n"/>
    </row>
    <row r="185" customFormat="1" s="78">
      <c r="A185" s="97" t="n"/>
      <c r="B185" s="97" t="n"/>
      <c r="C185" s="97" t="n"/>
      <c r="D185" s="98" t="n"/>
      <c r="E185" s="98" t="n"/>
      <c r="F185" s="40" t="n"/>
      <c r="J185" s="79" t="n"/>
      <c r="K185" s="80" t="n"/>
      <c r="L185" s="81" t="n"/>
      <c r="M185" s="81" t="n"/>
      <c r="N185" s="89" t="n"/>
      <c r="O185" s="84" t="n"/>
      <c r="P185" s="85" t="n"/>
    </row>
    <row r="186" customFormat="1" s="78">
      <c r="A186" s="97" t="n"/>
      <c r="B186" s="97" t="n"/>
      <c r="C186" s="97" t="n"/>
      <c r="D186" s="98" t="n"/>
      <c r="E186" s="98" t="n"/>
      <c r="F186" s="40" t="n"/>
      <c r="J186" s="79" t="n"/>
      <c r="K186" s="80" t="n"/>
      <c r="L186" s="81" t="n"/>
      <c r="M186" s="81" t="n"/>
      <c r="N186" s="89" t="n"/>
      <c r="O186" s="84" t="n"/>
      <c r="P186" s="85" t="n"/>
    </row>
    <row r="187" customFormat="1" s="78">
      <c r="A187" s="97" t="n"/>
      <c r="B187" s="97" t="n"/>
      <c r="C187" s="97" t="n"/>
      <c r="D187" s="98" t="n"/>
      <c r="E187" s="98" t="n"/>
      <c r="F187" s="40" t="n"/>
      <c r="J187" s="79" t="n"/>
      <c r="K187" s="80" t="n"/>
      <c r="L187" s="81" t="n"/>
      <c r="M187" s="81" t="n"/>
      <c r="N187" s="89" t="n"/>
      <c r="O187" s="84" t="n"/>
      <c r="P187" s="85" t="n"/>
    </row>
    <row r="188" customFormat="1" s="78">
      <c r="A188" s="97" t="n"/>
      <c r="B188" s="97" t="n"/>
      <c r="C188" s="97" t="n"/>
      <c r="D188" s="98" t="n"/>
      <c r="E188" s="98" t="n"/>
      <c r="F188" s="40" t="n"/>
      <c r="J188" s="79" t="n"/>
      <c r="K188" s="80" t="n"/>
      <c r="L188" s="81" t="n"/>
      <c r="M188" s="81" t="n"/>
      <c r="N188" s="89" t="n"/>
      <c r="O188" s="84" t="n"/>
      <c r="P188" s="85" t="n"/>
    </row>
    <row r="189" customFormat="1" s="78">
      <c r="A189" s="97" t="n"/>
      <c r="B189" s="97" t="n"/>
      <c r="C189" s="97" t="n"/>
      <c r="D189" s="98" t="n"/>
      <c r="E189" s="98" t="n"/>
      <c r="F189" s="40" t="n"/>
      <c r="J189" s="79" t="n"/>
      <c r="K189" s="80" t="n"/>
      <c r="L189" s="81" t="n"/>
      <c r="M189" s="81" t="n"/>
      <c r="N189" s="89" t="n"/>
      <c r="O189" s="84" t="n"/>
      <c r="P189" s="85" t="n"/>
    </row>
    <row r="190" customFormat="1" s="78">
      <c r="A190" s="97" t="n"/>
      <c r="B190" s="97" t="n"/>
      <c r="C190" s="97" t="n"/>
      <c r="D190" s="98" t="n"/>
      <c r="E190" s="98" t="n"/>
      <c r="F190" s="40" t="n"/>
      <c r="J190" s="79" t="n"/>
      <c r="K190" s="80" t="n"/>
      <c r="L190" s="81" t="n"/>
      <c r="M190" s="81" t="n"/>
      <c r="N190" s="89" t="n"/>
      <c r="O190" s="84" t="n"/>
      <c r="P190" s="85" t="n"/>
    </row>
    <row r="191" customFormat="1" s="78">
      <c r="A191" s="97" t="n"/>
      <c r="B191" s="97" t="n"/>
      <c r="C191" s="97" t="n"/>
      <c r="D191" s="98" t="n"/>
      <c r="E191" s="98" t="n"/>
      <c r="F191" s="40" t="n"/>
      <c r="J191" s="79" t="n"/>
      <c r="K191" s="80" t="n"/>
      <c r="L191" s="81" t="n"/>
      <c r="M191" s="81" t="n"/>
      <c r="N191" s="89" t="n"/>
      <c r="O191" s="84" t="n"/>
      <c r="P191" s="85" t="n"/>
    </row>
    <row r="192" customFormat="1" s="78">
      <c r="A192" s="97" t="n"/>
      <c r="B192" s="97" t="n"/>
      <c r="C192" s="97" t="n"/>
      <c r="D192" s="98" t="n"/>
      <c r="E192" s="98" t="n"/>
      <c r="F192" s="40" t="n"/>
      <c r="J192" s="79" t="n"/>
      <c r="K192" s="80" t="n"/>
      <c r="L192" s="81" t="n"/>
      <c r="M192" s="81" t="n"/>
      <c r="N192" s="89" t="n"/>
      <c r="O192" s="84" t="n"/>
      <c r="P192" s="85" t="n"/>
    </row>
    <row r="193" customFormat="1" s="78">
      <c r="A193" s="97" t="n"/>
      <c r="B193" s="97" t="n"/>
      <c r="C193" s="97" t="n"/>
      <c r="D193" s="98" t="n"/>
      <c r="E193" s="98" t="n"/>
      <c r="F193" s="40" t="n"/>
      <c r="J193" s="79" t="n"/>
      <c r="K193" s="80" t="n"/>
      <c r="L193" s="81" t="n"/>
      <c r="M193" s="81" t="n"/>
      <c r="N193" s="89" t="n"/>
      <c r="O193" s="84" t="n"/>
      <c r="P193" s="85" t="n"/>
    </row>
    <row r="194" customFormat="1" s="78">
      <c r="A194" s="97" t="n"/>
      <c r="B194" s="97" t="n"/>
      <c r="C194" s="97" t="n"/>
      <c r="D194" s="98" t="n"/>
      <c r="E194" s="98" t="n"/>
      <c r="F194" s="40" t="n"/>
      <c r="J194" s="79" t="n"/>
      <c r="K194" s="80" t="n"/>
      <c r="L194" s="81" t="n"/>
      <c r="M194" s="81" t="n"/>
      <c r="N194" s="89" t="n"/>
      <c r="O194" s="84" t="n"/>
      <c r="P194" s="85" t="n"/>
    </row>
    <row r="195" customFormat="1" s="78">
      <c r="A195" s="97" t="n"/>
      <c r="B195" s="97" t="n"/>
      <c r="C195" s="97" t="n"/>
      <c r="D195" s="98" t="n"/>
      <c r="E195" s="98" t="n"/>
      <c r="F195" s="40" t="n"/>
      <c r="J195" s="79" t="n"/>
      <c r="K195" s="80" t="n"/>
      <c r="L195" s="81" t="n"/>
      <c r="M195" s="81" t="n"/>
      <c r="N195" s="89" t="n"/>
      <c r="O195" s="84" t="n"/>
      <c r="P195" s="85" t="n"/>
    </row>
    <row r="196" customFormat="1" s="78">
      <c r="A196" s="97" t="n"/>
      <c r="B196" s="97" t="n"/>
      <c r="C196" s="97" t="n"/>
      <c r="D196" s="98" t="n"/>
      <c r="E196" s="98" t="n"/>
      <c r="F196" s="40" t="n"/>
      <c r="J196" s="79" t="n"/>
      <c r="K196" s="80" t="n"/>
      <c r="L196" s="81" t="n"/>
      <c r="M196" s="81" t="n"/>
      <c r="N196" s="89" t="n"/>
      <c r="O196" s="84" t="n"/>
      <c r="P196" s="85" t="n"/>
    </row>
    <row r="197" customFormat="1" s="78">
      <c r="A197" s="97" t="n"/>
      <c r="B197" s="97" t="n"/>
      <c r="C197" s="97" t="n"/>
      <c r="D197" s="98" t="n"/>
      <c r="E197" s="98" t="n"/>
      <c r="F197" s="40" t="n"/>
      <c r="J197" s="79" t="n"/>
      <c r="K197" s="80" t="n"/>
      <c r="L197" s="81" t="n"/>
      <c r="M197" s="81" t="n"/>
      <c r="N197" s="89" t="n"/>
      <c r="O197" s="84" t="n"/>
      <c r="P197" s="85" t="n"/>
    </row>
    <row r="198" customFormat="1" s="78">
      <c r="A198" s="97" t="n"/>
      <c r="B198" s="97" t="n"/>
      <c r="C198" s="97" t="n"/>
      <c r="D198" s="98" t="n"/>
      <c r="E198" s="98" t="n"/>
      <c r="F198" s="40" t="n"/>
      <c r="J198" s="79" t="n"/>
      <c r="K198" s="80" t="n"/>
      <c r="L198" s="81" t="n"/>
      <c r="M198" s="81" t="n"/>
      <c r="N198" s="89" t="n"/>
      <c r="O198" s="84" t="n"/>
      <c r="P198" s="85" t="n"/>
    </row>
    <row r="199" customFormat="1" s="78">
      <c r="A199" s="97" t="n"/>
      <c r="B199" s="97" t="n"/>
      <c r="C199" s="97" t="n"/>
      <c r="D199" s="98" t="n"/>
      <c r="E199" s="98" t="n"/>
      <c r="F199" s="40" t="n"/>
      <c r="J199" s="79" t="n"/>
      <c r="K199" s="80" t="n"/>
      <c r="L199" s="81" t="n"/>
      <c r="M199" s="81" t="n"/>
      <c r="N199" s="89" t="n"/>
      <c r="O199" s="84" t="n"/>
      <c r="P199" s="85" t="n"/>
    </row>
    <row r="200" customFormat="1" s="78">
      <c r="A200" s="97" t="n"/>
      <c r="B200" s="97" t="n"/>
      <c r="C200" s="97" t="n"/>
      <c r="D200" s="98" t="n"/>
      <c r="E200" s="98" t="n"/>
      <c r="F200" s="40" t="n"/>
      <c r="J200" s="79" t="n"/>
      <c r="K200" s="80" t="n"/>
      <c r="L200" s="81" t="n"/>
      <c r="M200" s="81" t="n"/>
      <c r="N200" s="89" t="n"/>
      <c r="O200" s="84" t="n"/>
      <c r="P200" s="85" t="n"/>
    </row>
    <row r="201" customFormat="1" s="78">
      <c r="A201" s="97" t="n"/>
      <c r="B201" s="97" t="n"/>
      <c r="C201" s="97" t="n"/>
      <c r="D201" s="98" t="n"/>
      <c r="E201" s="98" t="n"/>
      <c r="F201" s="40" t="n"/>
      <c r="J201" s="79" t="n"/>
      <c r="K201" s="80" t="n"/>
      <c r="L201" s="81" t="n"/>
      <c r="M201" s="81" t="n"/>
      <c r="N201" s="89" t="n"/>
      <c r="O201" s="84" t="n"/>
      <c r="P201" s="85" t="n"/>
    </row>
    <row r="202" customFormat="1" s="78">
      <c r="A202" s="97" t="n"/>
      <c r="B202" s="97" t="n"/>
      <c r="C202" s="97" t="n"/>
      <c r="D202" s="98" t="n"/>
      <c r="E202" s="98" t="n"/>
      <c r="F202" s="40" t="n"/>
      <c r="J202" s="79" t="n"/>
      <c r="K202" s="80" t="n"/>
      <c r="L202" s="81" t="n"/>
      <c r="M202" s="81" t="n"/>
      <c r="N202" s="89" t="n"/>
      <c r="O202" s="84" t="n"/>
      <c r="P202" s="85" t="n"/>
    </row>
    <row r="203" customFormat="1" s="78">
      <c r="A203" s="97" t="n"/>
      <c r="B203" s="97" t="n"/>
      <c r="C203" s="97" t="n"/>
      <c r="D203" s="98" t="n"/>
      <c r="E203" s="98" t="n"/>
      <c r="F203" s="40" t="n"/>
      <c r="J203" s="79" t="n"/>
      <c r="K203" s="80" t="n"/>
      <c r="L203" s="81" t="n"/>
      <c r="M203" s="81" t="n"/>
      <c r="N203" s="89" t="n"/>
      <c r="O203" s="84" t="n"/>
      <c r="P203" s="85" t="n"/>
    </row>
    <row r="204" customFormat="1" s="78">
      <c r="A204" s="97" t="n"/>
      <c r="B204" s="97" t="n"/>
      <c r="C204" s="97" t="n"/>
      <c r="D204" s="98" t="n"/>
      <c r="E204" s="98" t="n"/>
      <c r="F204" s="40" t="n"/>
      <c r="J204" s="79" t="n"/>
      <c r="K204" s="80" t="n"/>
      <c r="L204" s="81" t="n"/>
      <c r="M204" s="81" t="n"/>
      <c r="N204" s="89" t="n"/>
      <c r="O204" s="84" t="n"/>
      <c r="P204" s="85" t="n"/>
    </row>
    <row r="205" customFormat="1" s="78">
      <c r="A205" s="97" t="n"/>
      <c r="B205" s="97" t="n"/>
      <c r="C205" s="97" t="n"/>
      <c r="D205" s="98" t="n"/>
      <c r="E205" s="98" t="n"/>
      <c r="F205" s="40" t="n"/>
      <c r="J205" s="79" t="n"/>
      <c r="K205" s="80" t="n"/>
      <c r="L205" s="81" t="n"/>
      <c r="M205" s="81" t="n"/>
      <c r="N205" s="89" t="n"/>
      <c r="O205" s="84" t="n"/>
      <c r="P205" s="85" t="n"/>
    </row>
    <row r="206" customFormat="1" s="78">
      <c r="A206" s="97" t="n"/>
      <c r="B206" s="97" t="n"/>
      <c r="C206" s="97" t="n"/>
      <c r="D206" s="98" t="n"/>
      <c r="E206" s="98" t="n"/>
      <c r="F206" s="40" t="n"/>
      <c r="J206" s="79" t="n"/>
      <c r="K206" s="80" t="n"/>
      <c r="L206" s="81" t="n"/>
      <c r="M206" s="81" t="n"/>
      <c r="N206" s="89" t="n"/>
      <c r="O206" s="84" t="n"/>
      <c r="P206" s="85" t="n"/>
    </row>
    <row r="207" customFormat="1" s="78">
      <c r="A207" s="97" t="n"/>
      <c r="B207" s="97" t="n"/>
      <c r="C207" s="97" t="n"/>
      <c r="D207" s="98" t="n"/>
      <c r="E207" s="98" t="n"/>
      <c r="F207" s="40" t="n"/>
      <c r="J207" s="79" t="n"/>
      <c r="K207" s="80" t="n"/>
      <c r="L207" s="81" t="n"/>
      <c r="M207" s="81" t="n"/>
      <c r="N207" s="89" t="n"/>
      <c r="O207" s="84" t="n"/>
      <c r="P207" s="85" t="n"/>
    </row>
    <row r="208" customFormat="1" s="78">
      <c r="A208" s="97" t="n"/>
      <c r="B208" s="97" t="n"/>
      <c r="C208" s="97" t="n"/>
      <c r="D208" s="98" t="n"/>
      <c r="E208" s="98" t="n"/>
      <c r="F208" s="40" t="n"/>
      <c r="J208" s="79" t="n"/>
      <c r="K208" s="80" t="n"/>
      <c r="L208" s="81" t="n"/>
      <c r="M208" s="81" t="n"/>
      <c r="N208" s="89" t="n"/>
      <c r="O208" s="84" t="n"/>
      <c r="P208" s="85" t="n"/>
    </row>
    <row r="209" customFormat="1" s="78">
      <c r="A209" s="97" t="n"/>
      <c r="B209" s="97" t="n"/>
      <c r="C209" s="97" t="n"/>
      <c r="D209" s="98" t="n"/>
      <c r="E209" s="98" t="n"/>
      <c r="F209" s="40" t="n"/>
      <c r="J209" s="79" t="n"/>
      <c r="K209" s="80" t="n"/>
      <c r="L209" s="81" t="n"/>
      <c r="M209" s="81" t="n"/>
      <c r="N209" s="89" t="n"/>
      <c r="O209" s="84" t="n"/>
      <c r="P209" s="85" t="n"/>
    </row>
    <row r="210" customFormat="1" s="78">
      <c r="A210" s="97" t="n"/>
      <c r="B210" s="97" t="n"/>
      <c r="C210" s="97" t="n"/>
      <c r="D210" s="98" t="n"/>
      <c r="E210" s="98" t="n"/>
      <c r="F210" s="40" t="n"/>
      <c r="J210" s="79" t="n"/>
      <c r="K210" s="80" t="n"/>
      <c r="L210" s="81" t="n"/>
      <c r="M210" s="81" t="n"/>
      <c r="N210" s="89" t="n"/>
      <c r="O210" s="84" t="n"/>
      <c r="P210" s="85" t="n"/>
    </row>
    <row r="211" customFormat="1" s="78">
      <c r="A211" s="97" t="n"/>
      <c r="B211" s="97" t="n"/>
      <c r="C211" s="97" t="n"/>
      <c r="D211" s="98" t="n"/>
      <c r="E211" s="98" t="n"/>
      <c r="F211" s="40" t="n"/>
      <c r="J211" s="79" t="n"/>
      <c r="K211" s="80" t="n"/>
      <c r="L211" s="81" t="n"/>
      <c r="M211" s="81" t="n"/>
      <c r="N211" s="89" t="n"/>
      <c r="O211" s="84" t="n"/>
      <c r="P211" s="85" t="n"/>
    </row>
    <row r="212" customFormat="1" s="78">
      <c r="A212" s="97" t="n"/>
      <c r="B212" s="97" t="n"/>
      <c r="C212" s="97" t="n"/>
      <c r="D212" s="98" t="n"/>
      <c r="E212" s="98" t="n"/>
      <c r="F212" s="40" t="n"/>
      <c r="J212" s="79" t="n"/>
      <c r="K212" s="80" t="n"/>
      <c r="L212" s="81" t="n"/>
      <c r="M212" s="81" t="n"/>
      <c r="N212" s="89" t="n"/>
      <c r="O212" s="84" t="n"/>
      <c r="P212" s="85" t="n"/>
    </row>
    <row r="213" customFormat="1" s="78">
      <c r="A213" s="97" t="n"/>
      <c r="B213" s="97" t="n"/>
      <c r="C213" s="97" t="n"/>
      <c r="D213" s="98" t="n"/>
      <c r="E213" s="98" t="n"/>
      <c r="F213" s="40" t="n"/>
      <c r="J213" s="79" t="n"/>
      <c r="K213" s="80" t="n"/>
      <c r="L213" s="81" t="n"/>
      <c r="M213" s="81" t="n"/>
      <c r="N213" s="89" t="n"/>
      <c r="O213" s="84" t="n"/>
      <c r="P213" s="85" t="n"/>
    </row>
    <row r="214" customFormat="1" s="78">
      <c r="A214" s="97" t="n"/>
      <c r="B214" s="97" t="n"/>
      <c r="C214" s="97" t="n"/>
      <c r="D214" s="98" t="n"/>
      <c r="E214" s="98" t="n"/>
      <c r="F214" s="40" t="n"/>
      <c r="J214" s="79" t="n"/>
      <c r="K214" s="80" t="n"/>
      <c r="L214" s="81" t="n"/>
      <c r="M214" s="81" t="n"/>
      <c r="N214" s="89" t="n"/>
      <c r="O214" s="84" t="n"/>
      <c r="P214" s="85" t="n"/>
    </row>
    <row r="215" customFormat="1" s="78">
      <c r="A215" s="97" t="n"/>
      <c r="B215" s="97" t="n"/>
      <c r="C215" s="97" t="n"/>
      <c r="D215" s="98" t="n"/>
      <c r="E215" s="98" t="n"/>
      <c r="F215" s="40" t="n"/>
      <c r="J215" s="79" t="n"/>
      <c r="K215" s="80" t="n"/>
      <c r="L215" s="81" t="n"/>
      <c r="M215" s="81" t="n"/>
      <c r="N215" s="89" t="n"/>
      <c r="O215" s="84" t="n"/>
      <c r="P215" s="85" t="n"/>
    </row>
    <row r="216" customFormat="1" s="78">
      <c r="A216" s="97" t="n"/>
      <c r="B216" s="97" t="n"/>
      <c r="C216" s="97" t="n"/>
      <c r="D216" s="98" t="n"/>
      <c r="E216" s="98" t="n"/>
      <c r="F216" s="40" t="n"/>
      <c r="J216" s="79" t="n"/>
      <c r="K216" s="80" t="n"/>
      <c r="L216" s="81" t="n"/>
      <c r="M216" s="81" t="n"/>
      <c r="N216" s="89" t="n"/>
      <c r="O216" s="84" t="n"/>
      <c r="P216" s="85" t="n"/>
    </row>
    <row r="217" customFormat="1" s="78">
      <c r="A217" s="97" t="n"/>
      <c r="B217" s="97" t="n"/>
      <c r="C217" s="97" t="n"/>
      <c r="D217" s="98" t="n"/>
      <c r="E217" s="98" t="n"/>
      <c r="F217" s="40" t="n"/>
      <c r="J217" s="79" t="n"/>
      <c r="K217" s="80" t="n"/>
      <c r="L217" s="81" t="n"/>
      <c r="M217" s="81" t="n"/>
      <c r="N217" s="89" t="n"/>
      <c r="O217" s="84" t="n"/>
      <c r="P217" s="85" t="n"/>
    </row>
    <row r="218" customFormat="1" s="78">
      <c r="A218" s="97" t="n"/>
      <c r="B218" s="97" t="n"/>
      <c r="C218" s="97" t="n"/>
      <c r="D218" s="98" t="n"/>
      <c r="E218" s="98" t="n"/>
      <c r="F218" s="40" t="n"/>
      <c r="J218" s="79" t="n"/>
      <c r="K218" s="80" t="n"/>
      <c r="L218" s="81" t="n"/>
      <c r="M218" s="81" t="n"/>
      <c r="N218" s="89" t="n"/>
      <c r="O218" s="84" t="n"/>
      <c r="P218" s="85" t="n"/>
    </row>
    <row r="219" customFormat="1" s="78">
      <c r="A219" s="97" t="n"/>
      <c r="B219" s="97" t="n"/>
      <c r="C219" s="97" t="n"/>
      <c r="D219" s="98" t="n"/>
      <c r="E219" s="98" t="n"/>
      <c r="F219" s="40" t="n"/>
      <c r="J219" s="79" t="n"/>
      <c r="K219" s="80" t="n"/>
      <c r="L219" s="81" t="n"/>
      <c r="M219" s="81" t="n"/>
      <c r="N219" s="89" t="n"/>
      <c r="O219" s="84" t="n"/>
      <c r="P219" s="85" t="n"/>
    </row>
    <row r="220" customFormat="1" s="78">
      <c r="A220" s="97" t="n"/>
      <c r="B220" s="97" t="n"/>
      <c r="C220" s="97" t="n"/>
      <c r="D220" s="98" t="n"/>
      <c r="E220" s="98" t="n"/>
      <c r="F220" s="40" t="n"/>
      <c r="J220" s="79" t="n"/>
      <c r="K220" s="80" t="n"/>
      <c r="L220" s="81" t="n"/>
      <c r="M220" s="81" t="n"/>
      <c r="N220" s="89" t="n"/>
      <c r="O220" s="84" t="n"/>
      <c r="P220" s="85" t="n"/>
    </row>
    <row r="221" customFormat="1" s="78">
      <c r="A221" s="97" t="n"/>
      <c r="B221" s="97" t="n"/>
      <c r="C221" s="97" t="n"/>
      <c r="D221" s="98" t="n"/>
      <c r="E221" s="98" t="n"/>
      <c r="F221" s="40" t="n"/>
      <c r="J221" s="79" t="n"/>
      <c r="K221" s="80" t="n"/>
      <c r="L221" s="81" t="n"/>
      <c r="M221" s="81" t="n"/>
      <c r="N221" s="89" t="n"/>
      <c r="O221" s="84" t="n"/>
      <c r="P221" s="85" t="n"/>
    </row>
    <row r="222" customFormat="1" s="78">
      <c r="A222" s="97" t="n"/>
      <c r="B222" s="97" t="n"/>
      <c r="C222" s="97" t="n"/>
      <c r="D222" s="98" t="n"/>
      <c r="E222" s="98" t="n"/>
      <c r="F222" s="40" t="n"/>
      <c r="J222" s="79" t="n"/>
      <c r="K222" s="80" t="n"/>
      <c r="L222" s="81" t="n"/>
      <c r="M222" s="81" t="n"/>
      <c r="N222" s="89" t="n"/>
      <c r="O222" s="84" t="n"/>
      <c r="P222" s="85" t="n"/>
    </row>
    <row r="223" customFormat="1" s="78">
      <c r="A223" s="97" t="n"/>
      <c r="B223" s="97" t="n"/>
      <c r="C223" s="97" t="n"/>
      <c r="D223" s="98" t="n"/>
      <c r="E223" s="98" t="n"/>
      <c r="F223" s="40" t="n"/>
      <c r="J223" s="79" t="n"/>
      <c r="K223" s="80" t="n"/>
      <c r="L223" s="81" t="n"/>
      <c r="M223" s="81" t="n"/>
      <c r="N223" s="89" t="n"/>
      <c r="O223" s="84" t="n"/>
      <c r="P223" s="85" t="n"/>
    </row>
    <row r="224" customFormat="1" s="78">
      <c r="A224" s="97" t="n"/>
      <c r="B224" s="97" t="n"/>
      <c r="C224" s="97" t="n"/>
      <c r="D224" s="98" t="n"/>
      <c r="E224" s="98" t="n"/>
      <c r="F224" s="40" t="n"/>
      <c r="J224" s="79" t="n"/>
      <c r="K224" s="80" t="n"/>
      <c r="L224" s="81" t="n"/>
      <c r="M224" s="81" t="n"/>
      <c r="N224" s="89" t="n"/>
      <c r="O224" s="84" t="n"/>
      <c r="P224" s="85" t="n"/>
    </row>
    <row r="225" customFormat="1" s="78">
      <c r="A225" s="97" t="n"/>
      <c r="B225" s="97" t="n"/>
      <c r="C225" s="97" t="n"/>
      <c r="D225" s="98" t="n"/>
      <c r="E225" s="98" t="n"/>
      <c r="F225" s="40" t="n"/>
      <c r="J225" s="79" t="n"/>
      <c r="K225" s="80" t="n"/>
      <c r="L225" s="81" t="n"/>
      <c r="M225" s="81" t="n"/>
      <c r="N225" s="89" t="n"/>
      <c r="O225" s="84" t="n"/>
      <c r="P225" s="85" t="n"/>
    </row>
    <row r="226" customFormat="1" s="78">
      <c r="A226" s="97" t="n"/>
      <c r="B226" s="97" t="n"/>
      <c r="C226" s="97" t="n"/>
      <c r="D226" s="98" t="n"/>
      <c r="E226" s="98" t="n"/>
      <c r="F226" s="40" t="n"/>
      <c r="J226" s="79" t="n"/>
      <c r="K226" s="80" t="n"/>
      <c r="L226" s="81" t="n"/>
      <c r="M226" s="81" t="n"/>
      <c r="N226" s="89" t="n"/>
      <c r="O226" s="84" t="n"/>
      <c r="P226" s="85" t="n"/>
    </row>
    <row r="227" customFormat="1" s="78">
      <c r="A227" s="97" t="n"/>
      <c r="B227" s="97" t="n"/>
      <c r="C227" s="97" t="n"/>
      <c r="D227" s="98" t="n"/>
      <c r="E227" s="98" t="n"/>
      <c r="F227" s="40" t="n"/>
      <c r="J227" s="79" t="n"/>
      <c r="K227" s="80" t="n"/>
      <c r="L227" s="81" t="n"/>
      <c r="M227" s="81" t="n"/>
      <c r="N227" s="89" t="n"/>
      <c r="O227" s="84" t="n"/>
      <c r="P227" s="85" t="n"/>
    </row>
    <row r="228" customFormat="1" s="78">
      <c r="A228" s="97" t="n"/>
      <c r="B228" s="97" t="n"/>
      <c r="C228" s="97" t="n"/>
      <c r="D228" s="98" t="n"/>
      <c r="E228" s="98" t="n"/>
      <c r="F228" s="40" t="n"/>
      <c r="J228" s="79" t="n"/>
      <c r="K228" s="80" t="n"/>
      <c r="L228" s="81" t="n"/>
      <c r="M228" s="81" t="n"/>
      <c r="N228" s="89" t="n"/>
      <c r="O228" s="84" t="n"/>
      <c r="P228" s="85" t="n"/>
    </row>
    <row r="229" customFormat="1" s="78">
      <c r="A229" s="97" t="n"/>
      <c r="B229" s="97" t="n"/>
      <c r="C229" s="97" t="n"/>
      <c r="D229" s="98" t="n"/>
      <c r="E229" s="98" t="n"/>
      <c r="F229" s="40" t="n"/>
      <c r="J229" s="79" t="n"/>
      <c r="K229" s="80" t="n"/>
      <c r="L229" s="81" t="n"/>
      <c r="M229" s="81" t="n"/>
      <c r="N229" s="89" t="n"/>
      <c r="O229" s="84" t="n"/>
      <c r="P229" s="85" t="n"/>
    </row>
    <row r="230" customFormat="1" s="78">
      <c r="A230" s="97" t="n"/>
      <c r="B230" s="97" t="n"/>
      <c r="C230" s="97" t="n"/>
      <c r="D230" s="98" t="n"/>
      <c r="E230" s="98" t="n"/>
      <c r="F230" s="40" t="n"/>
      <c r="J230" s="79" t="n"/>
      <c r="K230" s="80" t="n"/>
      <c r="L230" s="81" t="n"/>
      <c r="M230" s="81" t="n"/>
      <c r="N230" s="89" t="n"/>
      <c r="O230" s="84" t="n"/>
      <c r="P230" s="85" t="n"/>
    </row>
    <row r="231" customFormat="1" s="78">
      <c r="A231" s="97" t="n"/>
      <c r="B231" s="97" t="n"/>
      <c r="C231" s="97" t="n"/>
      <c r="D231" s="98" t="n"/>
      <c r="E231" s="98" t="n"/>
      <c r="F231" s="40" t="n"/>
      <c r="J231" s="79" t="n"/>
      <c r="K231" s="80" t="n"/>
      <c r="L231" s="81" t="n"/>
      <c r="M231" s="81" t="n"/>
      <c r="N231" s="89" t="n"/>
      <c r="O231" s="84" t="n"/>
      <c r="P231" s="85" t="n"/>
    </row>
    <row r="232" customFormat="1" s="78">
      <c r="A232" s="97" t="n"/>
      <c r="B232" s="97" t="n"/>
      <c r="C232" s="97" t="n"/>
      <c r="D232" s="98" t="n"/>
      <c r="E232" s="98" t="n"/>
      <c r="F232" s="40" t="n"/>
      <c r="J232" s="79" t="n"/>
      <c r="K232" s="80" t="n"/>
      <c r="L232" s="81" t="n"/>
      <c r="M232" s="81" t="n"/>
      <c r="N232" s="89" t="n"/>
      <c r="O232" s="84" t="n"/>
      <c r="P232" s="85" t="n"/>
    </row>
    <row r="233" customFormat="1" s="78">
      <c r="A233" s="97" t="n"/>
      <c r="B233" s="97" t="n"/>
      <c r="C233" s="97" t="n"/>
      <c r="D233" s="98" t="n"/>
      <c r="E233" s="98" t="n"/>
      <c r="F233" s="40" t="n"/>
      <c r="J233" s="79" t="n"/>
      <c r="K233" s="80" t="n"/>
      <c r="L233" s="81" t="n"/>
      <c r="M233" s="81" t="n"/>
      <c r="N233" s="89" t="n"/>
      <c r="O233" s="84" t="n"/>
      <c r="P233" s="85" t="n"/>
    </row>
    <row r="234" customFormat="1" s="78">
      <c r="A234" s="97" t="n"/>
      <c r="B234" s="97" t="n"/>
      <c r="C234" s="97" t="n"/>
      <c r="D234" s="98" t="n"/>
      <c r="E234" s="98" t="n"/>
      <c r="F234" s="40" t="n"/>
      <c r="J234" s="79" t="n"/>
      <c r="K234" s="80" t="n"/>
      <c r="L234" s="81" t="n"/>
      <c r="M234" s="81" t="n"/>
      <c r="N234" s="89" t="n"/>
      <c r="O234" s="84" t="n"/>
      <c r="P234" s="85" t="n"/>
    </row>
    <row r="235" customFormat="1" s="78">
      <c r="A235" s="97" t="n"/>
      <c r="B235" s="97" t="n"/>
      <c r="C235" s="97" t="n"/>
      <c r="D235" s="98" t="n"/>
      <c r="E235" s="98" t="n"/>
      <c r="F235" s="40" t="n"/>
      <c r="J235" s="79" t="n"/>
      <c r="K235" s="80" t="n"/>
      <c r="L235" s="81" t="n"/>
      <c r="M235" s="81" t="n"/>
      <c r="N235" s="89" t="n"/>
      <c r="O235" s="84" t="n"/>
      <c r="P235" s="85" t="n"/>
    </row>
    <row r="236" customFormat="1" s="78">
      <c r="A236" s="97" t="n"/>
      <c r="B236" s="97" t="n"/>
      <c r="C236" s="97" t="n"/>
      <c r="D236" s="98" t="n"/>
      <c r="E236" s="98" t="n"/>
      <c r="F236" s="40" t="n"/>
      <c r="J236" s="79" t="n"/>
      <c r="K236" s="80" t="n"/>
      <c r="L236" s="81" t="n"/>
      <c r="M236" s="81" t="n"/>
      <c r="N236" s="89" t="n"/>
      <c r="O236" s="84" t="n"/>
      <c r="P236" s="85" t="n"/>
    </row>
    <row r="237" customFormat="1" s="78">
      <c r="A237" s="97" t="n"/>
      <c r="B237" s="97" t="n"/>
      <c r="C237" s="97" t="n"/>
      <c r="D237" s="98" t="n"/>
      <c r="E237" s="98" t="n"/>
      <c r="F237" s="40" t="n"/>
      <c r="J237" s="79" t="n"/>
      <c r="K237" s="80" t="n"/>
      <c r="L237" s="81" t="n"/>
      <c r="M237" s="81" t="n"/>
      <c r="N237" s="89" t="n"/>
      <c r="O237" s="84" t="n"/>
      <c r="P237" s="85" t="n"/>
    </row>
    <row r="238" customFormat="1" s="78">
      <c r="A238" s="97" t="n"/>
      <c r="B238" s="97" t="n"/>
      <c r="C238" s="97" t="n"/>
      <c r="D238" s="98" t="n"/>
      <c r="E238" s="98" t="n"/>
      <c r="F238" s="40" t="n"/>
      <c r="J238" s="79" t="n"/>
      <c r="K238" s="80" t="n"/>
      <c r="L238" s="81" t="n"/>
      <c r="M238" s="81" t="n"/>
      <c r="N238" s="89" t="n"/>
      <c r="O238" s="84" t="n"/>
      <c r="P238" s="85" t="n"/>
    </row>
    <row r="239" customFormat="1" s="78">
      <c r="A239" s="97" t="n"/>
      <c r="B239" s="97" t="n"/>
      <c r="C239" s="97" t="n"/>
      <c r="D239" s="98" t="n"/>
      <c r="E239" s="98" t="n"/>
      <c r="F239" s="40" t="n"/>
      <c r="J239" s="79" t="n"/>
      <c r="K239" s="80" t="n"/>
      <c r="L239" s="81" t="n"/>
      <c r="M239" s="81" t="n"/>
      <c r="N239" s="89" t="n"/>
      <c r="O239" s="84" t="n"/>
      <c r="P239" s="85" t="n"/>
    </row>
    <row r="240" customFormat="1" s="78">
      <c r="A240" s="97" t="n"/>
      <c r="B240" s="97" t="n"/>
      <c r="C240" s="97" t="n"/>
      <c r="D240" s="98" t="n"/>
      <c r="E240" s="98" t="n"/>
      <c r="F240" s="40" t="n"/>
      <c r="J240" s="79" t="n"/>
      <c r="K240" s="80" t="n"/>
      <c r="L240" s="81" t="n"/>
      <c r="M240" s="81" t="n"/>
      <c r="N240" s="89" t="n"/>
      <c r="O240" s="84" t="n"/>
      <c r="P240" s="85" t="n"/>
    </row>
    <row r="241" customFormat="1" s="78">
      <c r="A241" s="97" t="n"/>
      <c r="B241" s="97" t="n"/>
      <c r="C241" s="97" t="n"/>
      <c r="D241" s="98" t="n"/>
      <c r="E241" s="98" t="n"/>
      <c r="F241" s="40" t="n"/>
      <c r="J241" s="79" t="n"/>
      <c r="K241" s="80" t="n"/>
      <c r="L241" s="81" t="n"/>
      <c r="M241" s="81" t="n"/>
      <c r="N241" s="89" t="n"/>
      <c r="O241" s="84" t="n"/>
      <c r="P241" s="85" t="n"/>
    </row>
    <row r="242" customFormat="1" s="78">
      <c r="A242" s="97" t="n"/>
      <c r="B242" s="97" t="n"/>
      <c r="C242" s="97" t="n"/>
      <c r="D242" s="98" t="n"/>
      <c r="E242" s="98" t="n"/>
      <c r="F242" s="40" t="n"/>
      <c r="J242" s="79" t="n"/>
      <c r="K242" s="80" t="n"/>
      <c r="L242" s="81" t="n"/>
      <c r="M242" s="81" t="n"/>
      <c r="N242" s="89" t="n"/>
      <c r="O242" s="84" t="n"/>
      <c r="P242" s="85" t="n"/>
    </row>
    <row r="243" customFormat="1" s="78">
      <c r="A243" s="97" t="n"/>
      <c r="B243" s="97" t="n"/>
      <c r="C243" s="97" t="n"/>
      <c r="D243" s="98" t="n"/>
      <c r="E243" s="98" t="n"/>
      <c r="F243" s="40" t="n"/>
      <c r="J243" s="79" t="n"/>
      <c r="K243" s="80" t="n"/>
      <c r="L243" s="81" t="n"/>
      <c r="M243" s="81" t="n"/>
      <c r="N243" s="89" t="n"/>
      <c r="O243" s="84" t="n"/>
      <c r="P243" s="85" t="n"/>
    </row>
    <row r="244" customFormat="1" s="78">
      <c r="A244" s="97" t="n"/>
      <c r="B244" s="97" t="n"/>
      <c r="C244" s="97" t="n"/>
      <c r="D244" s="98" t="n"/>
      <c r="E244" s="98" t="n"/>
      <c r="F244" s="40" t="n"/>
      <c r="J244" s="79" t="n"/>
      <c r="K244" s="80" t="n"/>
      <c r="L244" s="81" t="n"/>
      <c r="M244" s="81" t="n"/>
      <c r="N244" s="89" t="n"/>
      <c r="O244" s="84" t="n"/>
      <c r="P244" s="85" t="n"/>
    </row>
    <row r="245" customFormat="1" s="78">
      <c r="A245" s="97" t="n"/>
      <c r="B245" s="97" t="n"/>
      <c r="C245" s="97" t="n"/>
      <c r="D245" s="98" t="n"/>
      <c r="E245" s="98" t="n"/>
      <c r="F245" s="40" t="n"/>
      <c r="J245" s="79" t="n"/>
      <c r="K245" s="80" t="n"/>
      <c r="L245" s="81" t="n"/>
      <c r="M245" s="81" t="n"/>
      <c r="N245" s="89" t="n"/>
      <c r="O245" s="84" t="n"/>
      <c r="P245" s="85" t="n"/>
    </row>
    <row r="246" customFormat="1" s="78">
      <c r="A246" s="97" t="n"/>
      <c r="B246" s="97" t="n"/>
      <c r="C246" s="97" t="n"/>
      <c r="D246" s="98" t="n"/>
      <c r="E246" s="98" t="n"/>
      <c r="F246" s="40" t="n"/>
      <c r="J246" s="79" t="n"/>
      <c r="K246" s="80" t="n"/>
      <c r="L246" s="81" t="n"/>
      <c r="M246" s="81" t="n"/>
      <c r="N246" s="89" t="n"/>
      <c r="O246" s="84" t="n"/>
      <c r="P246" s="85" t="n"/>
    </row>
    <row r="247" customFormat="1" s="78">
      <c r="A247" s="97" t="n"/>
      <c r="B247" s="97" t="n"/>
      <c r="C247" s="97" t="n"/>
      <c r="D247" s="98" t="n"/>
      <c r="E247" s="98" t="n"/>
      <c r="F247" s="40" t="n"/>
      <c r="J247" s="79" t="n"/>
      <c r="K247" s="80" t="n"/>
      <c r="L247" s="81" t="n"/>
      <c r="M247" s="81" t="n"/>
      <c r="N247" s="89" t="n"/>
      <c r="O247" s="84" t="n"/>
      <c r="P247" s="85" t="n"/>
    </row>
    <row r="248" customFormat="1" s="78">
      <c r="A248" s="97" t="n"/>
      <c r="B248" s="97" t="n"/>
      <c r="C248" s="97" t="n"/>
      <c r="D248" s="98" t="n"/>
      <c r="E248" s="98" t="n"/>
      <c r="F248" s="40" t="n"/>
      <c r="J248" s="79" t="n"/>
      <c r="K248" s="80" t="n"/>
      <c r="L248" s="81" t="n"/>
      <c r="M248" s="81" t="n"/>
      <c r="N248" s="89" t="n"/>
      <c r="O248" s="84" t="n"/>
      <c r="P248" s="85" t="n"/>
    </row>
    <row r="249" customFormat="1" s="78">
      <c r="A249" s="97" t="n"/>
      <c r="B249" s="97" t="n"/>
      <c r="C249" s="97" t="n"/>
      <c r="D249" s="98" t="n"/>
      <c r="E249" s="98" t="n"/>
      <c r="F249" s="40" t="n"/>
      <c r="J249" s="79" t="n"/>
      <c r="K249" s="80" t="n"/>
      <c r="L249" s="81" t="n"/>
      <c r="M249" s="81" t="n"/>
      <c r="N249" s="89" t="n"/>
      <c r="O249" s="84" t="n"/>
      <c r="P249" s="85" t="n"/>
    </row>
    <row r="250" customFormat="1" s="78">
      <c r="A250" s="97" t="n"/>
      <c r="B250" s="97" t="n"/>
      <c r="C250" s="97" t="n"/>
      <c r="D250" s="98" t="n"/>
      <c r="E250" s="98" t="n"/>
      <c r="F250" s="40" t="n"/>
      <c r="J250" s="79" t="n"/>
      <c r="K250" s="80" t="n"/>
      <c r="L250" s="81" t="n"/>
      <c r="M250" s="81" t="n"/>
      <c r="N250" s="89" t="n"/>
      <c r="O250" s="84" t="n"/>
      <c r="P250" s="85" t="n"/>
    </row>
    <row r="251" customFormat="1" s="78">
      <c r="A251" s="97" t="n"/>
      <c r="B251" s="97" t="n"/>
      <c r="C251" s="97" t="n"/>
      <c r="D251" s="98" t="n"/>
      <c r="E251" s="98" t="n"/>
      <c r="F251" s="40" t="n"/>
      <c r="J251" s="79" t="n"/>
      <c r="K251" s="80" t="n"/>
      <c r="L251" s="81" t="n"/>
      <c r="M251" s="81" t="n"/>
      <c r="N251" s="89" t="n"/>
      <c r="O251" s="84" t="n"/>
      <c r="P251" s="85" t="n"/>
    </row>
    <row r="252" customFormat="1" s="78">
      <c r="A252" s="97" t="n"/>
      <c r="B252" s="97" t="n"/>
      <c r="C252" s="97" t="n"/>
      <c r="D252" s="98" t="n"/>
      <c r="E252" s="98" t="n"/>
      <c r="F252" s="40" t="n"/>
      <c r="J252" s="79" t="n"/>
      <c r="K252" s="80" t="n"/>
      <c r="L252" s="81" t="n"/>
      <c r="M252" s="81" t="n"/>
      <c r="N252" s="89" t="n"/>
      <c r="O252" s="84" t="n"/>
      <c r="P252" s="85" t="n"/>
    </row>
    <row r="253" customFormat="1" s="78">
      <c r="A253" s="97" t="n"/>
      <c r="B253" s="97" t="n"/>
      <c r="C253" s="97" t="n"/>
      <c r="D253" s="98" t="n"/>
      <c r="E253" s="98" t="n"/>
      <c r="F253" s="40" t="n"/>
      <c r="J253" s="79" t="n"/>
      <c r="K253" s="80" t="n"/>
      <c r="L253" s="81" t="n"/>
      <c r="M253" s="81" t="n"/>
      <c r="N253" s="89" t="n"/>
      <c r="O253" s="84" t="n"/>
      <c r="P253" s="85" t="n"/>
    </row>
    <row r="254" customFormat="1" s="78">
      <c r="A254" s="97" t="n"/>
      <c r="B254" s="97" t="n"/>
      <c r="C254" s="97" t="n"/>
      <c r="D254" s="98" t="n"/>
      <c r="E254" s="98" t="n"/>
      <c r="F254" s="40" t="n"/>
      <c r="J254" s="79" t="n"/>
      <c r="K254" s="80" t="n"/>
      <c r="L254" s="81" t="n"/>
      <c r="M254" s="81" t="n"/>
      <c r="N254" s="89" t="n"/>
      <c r="O254" s="84" t="n"/>
      <c r="P254" s="85" t="n"/>
    </row>
    <row r="255" customFormat="1" s="78">
      <c r="A255" s="97" t="n"/>
      <c r="B255" s="97" t="n"/>
      <c r="C255" s="97" t="n"/>
      <c r="D255" s="98" t="n"/>
      <c r="E255" s="98" t="n"/>
      <c r="F255" s="40" t="n"/>
      <c r="J255" s="79" t="n"/>
      <c r="K255" s="80" t="n"/>
      <c r="L255" s="81" t="n"/>
      <c r="M255" s="81" t="n"/>
      <c r="N255" s="89" t="n"/>
      <c r="O255" s="84" t="n"/>
      <c r="P255" s="85" t="n"/>
    </row>
    <row r="256" customFormat="1" s="78">
      <c r="A256" s="97" t="n"/>
      <c r="B256" s="97" t="n"/>
      <c r="C256" s="97" t="n"/>
      <c r="D256" s="98" t="n"/>
      <c r="E256" s="98" t="n"/>
      <c r="F256" s="40" t="n"/>
      <c r="J256" s="79" t="n"/>
      <c r="K256" s="80" t="n"/>
      <c r="L256" s="81" t="n"/>
      <c r="M256" s="81" t="n"/>
      <c r="N256" s="89" t="n"/>
      <c r="O256" s="84" t="n"/>
      <c r="P256" s="85" t="n"/>
    </row>
    <row r="257" customFormat="1" s="78">
      <c r="A257" s="97" t="n"/>
      <c r="B257" s="97" t="n"/>
      <c r="C257" s="97" t="n"/>
      <c r="D257" s="98" t="n"/>
      <c r="E257" s="98" t="n"/>
      <c r="F257" s="40" t="n"/>
      <c r="J257" s="79" t="n"/>
      <c r="K257" s="80" t="n"/>
      <c r="L257" s="81" t="n"/>
      <c r="M257" s="81" t="n"/>
      <c r="N257" s="89" t="n"/>
      <c r="O257" s="84" t="n"/>
      <c r="P257" s="85" t="n"/>
    </row>
    <row r="258" customFormat="1" s="78">
      <c r="A258" s="97" t="n"/>
      <c r="B258" s="97" t="n"/>
      <c r="C258" s="97" t="n"/>
      <c r="D258" s="98" t="n"/>
      <c r="E258" s="98" t="n"/>
      <c r="F258" s="40" t="n"/>
      <c r="J258" s="79" t="n"/>
      <c r="K258" s="80" t="n"/>
      <c r="L258" s="81" t="n"/>
      <c r="M258" s="81" t="n"/>
      <c r="N258" s="89" t="n"/>
      <c r="O258" s="84" t="n"/>
      <c r="P258" s="85" t="n"/>
    </row>
    <row r="259" customFormat="1" s="78">
      <c r="A259" s="97" t="n"/>
      <c r="B259" s="97" t="n"/>
      <c r="C259" s="97" t="n"/>
      <c r="D259" s="98" t="n"/>
      <c r="E259" s="98" t="n"/>
      <c r="F259" s="40" t="n"/>
      <c r="J259" s="79" t="n"/>
      <c r="K259" s="80" t="n"/>
      <c r="L259" s="81" t="n"/>
      <c r="M259" s="81" t="n"/>
      <c r="N259" s="89" t="n"/>
      <c r="O259" s="84" t="n"/>
      <c r="P259" s="85" t="n"/>
    </row>
    <row r="260" customFormat="1" s="78">
      <c r="A260" s="97" t="n"/>
      <c r="B260" s="97" t="n"/>
      <c r="C260" s="97" t="n"/>
      <c r="D260" s="98" t="n"/>
      <c r="E260" s="98" t="n"/>
      <c r="F260" s="40" t="n"/>
      <c r="J260" s="79" t="n"/>
      <c r="K260" s="80" t="n"/>
      <c r="L260" s="81" t="n"/>
      <c r="M260" s="81" t="n"/>
      <c r="N260" s="89" t="n"/>
      <c r="O260" s="84" t="n"/>
      <c r="P260" s="85" t="n"/>
    </row>
    <row r="261" customFormat="1" s="78">
      <c r="A261" s="97" t="n"/>
      <c r="B261" s="97" t="n"/>
      <c r="C261" s="97" t="n"/>
      <c r="D261" s="98" t="n"/>
      <c r="E261" s="98" t="n"/>
      <c r="F261" s="40" t="n"/>
      <c r="J261" s="79" t="n"/>
      <c r="K261" s="80" t="n"/>
      <c r="L261" s="81" t="n"/>
      <c r="M261" s="81" t="n"/>
      <c r="N261" s="89" t="n"/>
      <c r="O261" s="84" t="n"/>
      <c r="P261" s="85" t="n"/>
    </row>
    <row r="262" customFormat="1" s="78">
      <c r="A262" s="97" t="n"/>
      <c r="B262" s="97" t="n"/>
      <c r="C262" s="97" t="n"/>
      <c r="D262" s="98" t="n"/>
      <c r="E262" s="98" t="n"/>
      <c r="F262" s="40" t="n"/>
      <c r="J262" s="79" t="n"/>
      <c r="K262" s="80" t="n"/>
      <c r="L262" s="81" t="n"/>
      <c r="M262" s="81" t="n"/>
      <c r="N262" s="89" t="n"/>
      <c r="O262" s="84" t="n"/>
      <c r="P262" s="85" t="n"/>
    </row>
    <row r="263" customFormat="1" s="78">
      <c r="A263" s="97" t="n"/>
      <c r="B263" s="97" t="n"/>
      <c r="C263" s="97" t="n"/>
      <c r="D263" s="98" t="n"/>
      <c r="E263" s="98" t="n"/>
      <c r="F263" s="40" t="n"/>
      <c r="J263" s="79" t="n"/>
      <c r="K263" s="80" t="n"/>
      <c r="L263" s="81" t="n"/>
      <c r="M263" s="81" t="n"/>
      <c r="N263" s="89" t="n"/>
      <c r="O263" s="84" t="n"/>
      <c r="P263" s="85" t="n"/>
    </row>
    <row r="264" customFormat="1" s="78">
      <c r="A264" s="97" t="n"/>
      <c r="B264" s="97" t="n"/>
      <c r="C264" s="97" t="n"/>
      <c r="D264" s="98" t="n"/>
      <c r="E264" s="98" t="n"/>
      <c r="F264" s="40" t="n"/>
      <c r="J264" s="79" t="n"/>
      <c r="K264" s="80" t="n"/>
      <c r="L264" s="81" t="n"/>
      <c r="M264" s="81" t="n"/>
      <c r="N264" s="89" t="n"/>
      <c r="O264" s="84" t="n"/>
      <c r="P264" s="85" t="n"/>
    </row>
    <row r="265" customFormat="1" s="78">
      <c r="A265" s="97" t="n"/>
      <c r="B265" s="97" t="n"/>
      <c r="C265" s="97" t="n"/>
      <c r="D265" s="98" t="n"/>
      <c r="E265" s="98" t="n"/>
      <c r="F265" s="40" t="n"/>
      <c r="J265" s="79" t="n"/>
      <c r="K265" s="80" t="n"/>
      <c r="L265" s="81" t="n"/>
      <c r="M265" s="81" t="n"/>
      <c r="N265" s="89" t="n"/>
      <c r="O265" s="84" t="n"/>
      <c r="P265" s="85" t="n"/>
    </row>
    <row r="266" customFormat="1" s="78">
      <c r="A266" s="97" t="n"/>
      <c r="B266" s="97" t="n"/>
      <c r="C266" s="97" t="n"/>
      <c r="D266" s="98" t="n"/>
      <c r="E266" s="98" t="n"/>
      <c r="F266" s="40" t="n"/>
      <c r="J266" s="79" t="n"/>
      <c r="K266" s="80" t="n"/>
      <c r="L266" s="81" t="n"/>
      <c r="M266" s="81" t="n"/>
      <c r="N266" s="89" t="n"/>
      <c r="O266" s="84" t="n"/>
      <c r="P266" s="85" t="n"/>
    </row>
    <row r="267" customFormat="1" s="78">
      <c r="A267" s="97" t="n"/>
      <c r="B267" s="97" t="n"/>
      <c r="C267" s="97" t="n"/>
      <c r="D267" s="98" t="n"/>
      <c r="E267" s="98" t="n"/>
      <c r="F267" s="40" t="n"/>
      <c r="J267" s="79" t="n"/>
      <c r="K267" s="80" t="n"/>
      <c r="L267" s="81" t="n"/>
      <c r="M267" s="81" t="n"/>
      <c r="N267" s="89" t="n"/>
      <c r="O267" s="84" t="n"/>
      <c r="P267" s="85" t="n"/>
    </row>
    <row r="268" customFormat="1" s="78">
      <c r="A268" s="97" t="n"/>
      <c r="B268" s="97" t="n"/>
      <c r="C268" s="97" t="n"/>
      <c r="D268" s="98" t="n"/>
      <c r="E268" s="98" t="n"/>
      <c r="F268" s="40" t="n"/>
      <c r="J268" s="79" t="n"/>
      <c r="K268" s="80" t="n"/>
      <c r="L268" s="81" t="n"/>
      <c r="M268" s="81" t="n"/>
      <c r="N268" s="89" t="n"/>
      <c r="O268" s="84" t="n"/>
      <c r="P268" s="85" t="n"/>
    </row>
    <row r="269" customFormat="1" s="78">
      <c r="A269" s="97" t="n"/>
      <c r="B269" s="97" t="n"/>
      <c r="C269" s="97" t="n"/>
      <c r="D269" s="98" t="n"/>
      <c r="E269" s="98" t="n"/>
      <c r="F269" s="40" t="n"/>
      <c r="J269" s="79" t="n"/>
      <c r="K269" s="80" t="n"/>
      <c r="L269" s="81" t="n"/>
      <c r="M269" s="81" t="n"/>
      <c r="N269" s="89" t="n"/>
      <c r="O269" s="84" t="n"/>
      <c r="P269" s="85" t="n"/>
    </row>
    <row r="270" customFormat="1" s="78">
      <c r="A270" s="97" t="n"/>
      <c r="B270" s="97" t="n"/>
      <c r="C270" s="97" t="n"/>
      <c r="D270" s="98" t="n"/>
      <c r="E270" s="98" t="n"/>
      <c r="F270" s="40" t="n"/>
      <c r="J270" s="79" t="n"/>
      <c r="K270" s="80" t="n"/>
      <c r="L270" s="81" t="n"/>
      <c r="M270" s="81" t="n"/>
      <c r="N270" s="89" t="n"/>
      <c r="O270" s="84" t="n"/>
      <c r="P270" s="85" t="n"/>
    </row>
    <row r="271" customFormat="1" s="78">
      <c r="A271" s="97" t="n"/>
      <c r="B271" s="97" t="n"/>
      <c r="C271" s="97" t="n"/>
      <c r="D271" s="98" t="n"/>
      <c r="E271" s="98" t="n"/>
      <c r="F271" s="40" t="n"/>
      <c r="J271" s="79" t="n"/>
      <c r="K271" s="80" t="n"/>
      <c r="L271" s="81" t="n"/>
      <c r="M271" s="81" t="n"/>
      <c r="N271" s="89" t="n"/>
      <c r="O271" s="84" t="n"/>
      <c r="P271" s="85" t="n"/>
    </row>
    <row r="272" customFormat="1" s="78">
      <c r="A272" s="97" t="n"/>
      <c r="B272" s="97" t="n"/>
      <c r="C272" s="97" t="n"/>
      <c r="D272" s="98" t="n"/>
      <c r="E272" s="98" t="n"/>
      <c r="F272" s="40" t="n"/>
      <c r="J272" s="79" t="n"/>
      <c r="K272" s="80" t="n"/>
      <c r="L272" s="81" t="n"/>
      <c r="M272" s="81" t="n"/>
      <c r="N272" s="89" t="n"/>
      <c r="O272" s="84" t="n"/>
      <c r="P272" s="85" t="n"/>
    </row>
    <row r="273" customFormat="1" s="78">
      <c r="A273" s="97" t="n"/>
      <c r="B273" s="97" t="n"/>
      <c r="C273" s="97" t="n"/>
      <c r="D273" s="98" t="n"/>
      <c r="E273" s="98" t="n"/>
      <c r="F273" s="40" t="n"/>
      <c r="J273" s="79" t="n"/>
      <c r="K273" s="80" t="n"/>
      <c r="L273" s="81" t="n"/>
      <c r="M273" s="81" t="n"/>
      <c r="N273" s="89" t="n"/>
      <c r="O273" s="84" t="n"/>
      <c r="P273" s="85" t="n"/>
    </row>
    <row r="274" customFormat="1" s="78">
      <c r="A274" s="97" t="n"/>
      <c r="B274" s="97" t="n"/>
      <c r="C274" s="97" t="n"/>
      <c r="D274" s="98" t="n"/>
      <c r="E274" s="98" t="n"/>
      <c r="F274" s="40" t="n"/>
      <c r="J274" s="79" t="n"/>
      <c r="K274" s="80" t="n"/>
      <c r="L274" s="81" t="n"/>
      <c r="M274" s="81" t="n"/>
      <c r="N274" s="89" t="n"/>
      <c r="O274" s="84" t="n"/>
      <c r="P274" s="85" t="n"/>
    </row>
    <row r="275" customFormat="1" s="78">
      <c r="A275" s="97" t="n"/>
      <c r="B275" s="97" t="n"/>
      <c r="C275" s="97" t="n"/>
      <c r="D275" s="98" t="n"/>
      <c r="E275" s="98" t="n"/>
      <c r="F275" s="40" t="n"/>
      <c r="J275" s="79" t="n"/>
      <c r="K275" s="80" t="n"/>
      <c r="L275" s="81" t="n"/>
      <c r="M275" s="81" t="n"/>
      <c r="N275" s="89" t="n"/>
      <c r="O275" s="84" t="n"/>
      <c r="P275" s="85" t="n"/>
    </row>
    <row r="276" customFormat="1" s="78">
      <c r="A276" s="97" t="n"/>
      <c r="B276" s="97" t="n"/>
      <c r="C276" s="97" t="n"/>
      <c r="D276" s="98" t="n"/>
      <c r="E276" s="98" t="n"/>
      <c r="F276" s="40" t="n"/>
      <c r="J276" s="79" t="n"/>
      <c r="K276" s="80" t="n"/>
      <c r="L276" s="81" t="n"/>
      <c r="M276" s="81" t="n"/>
      <c r="N276" s="89" t="n"/>
      <c r="O276" s="84" t="n"/>
      <c r="P276" s="85" t="n"/>
    </row>
    <row r="277" customFormat="1" s="78">
      <c r="A277" s="97" t="n"/>
      <c r="B277" s="97" t="n"/>
      <c r="C277" s="97" t="n"/>
      <c r="D277" s="98" t="n"/>
      <c r="E277" s="98" t="n"/>
      <c r="F277" s="40" t="n"/>
      <c r="J277" s="79" t="n"/>
      <c r="K277" s="80" t="n"/>
      <c r="L277" s="81" t="n"/>
      <c r="M277" s="81" t="n"/>
      <c r="N277" s="89" t="n"/>
      <c r="O277" s="84" t="n"/>
      <c r="P277" s="85" t="n"/>
    </row>
    <row r="278" customFormat="1" s="78">
      <c r="A278" s="97" t="n"/>
      <c r="B278" s="97" t="n"/>
      <c r="C278" s="97" t="n"/>
      <c r="D278" s="98" t="n"/>
      <c r="E278" s="98" t="n"/>
      <c r="F278" s="40" t="n"/>
      <c r="J278" s="79" t="n"/>
      <c r="K278" s="80" t="n"/>
      <c r="L278" s="81" t="n"/>
      <c r="M278" s="81" t="n"/>
      <c r="N278" s="89" t="n"/>
      <c r="O278" s="84" t="n"/>
      <c r="P278" s="85" t="n"/>
    </row>
    <row r="279" customFormat="1" s="78">
      <c r="A279" s="97" t="n"/>
      <c r="B279" s="97" t="n"/>
      <c r="C279" s="97" t="n"/>
      <c r="D279" s="98" t="n"/>
      <c r="E279" s="98" t="n"/>
      <c r="F279" s="40" t="n"/>
      <c r="J279" s="79" t="n"/>
      <c r="K279" s="80" t="n"/>
      <c r="L279" s="81" t="n"/>
      <c r="M279" s="81" t="n"/>
      <c r="N279" s="89" t="n"/>
      <c r="O279" s="84" t="n"/>
      <c r="P279" s="85" t="n"/>
    </row>
    <row r="280" customFormat="1" s="78">
      <c r="A280" s="97" t="n"/>
      <c r="B280" s="97" t="n"/>
      <c r="C280" s="97" t="n"/>
      <c r="D280" s="98" t="n"/>
      <c r="E280" s="98" t="n"/>
      <c r="F280" s="40" t="n"/>
      <c r="J280" s="79" t="n"/>
      <c r="K280" s="80" t="n"/>
      <c r="L280" s="81" t="n"/>
      <c r="M280" s="81" t="n"/>
      <c r="N280" s="89" t="n"/>
      <c r="O280" s="84" t="n"/>
      <c r="P280" s="85" t="n"/>
    </row>
    <row r="281" customFormat="1" s="78">
      <c r="A281" s="97" t="n"/>
      <c r="B281" s="97" t="n"/>
      <c r="C281" s="97" t="n"/>
      <c r="D281" s="98" t="n"/>
      <c r="E281" s="98" t="n"/>
      <c r="F281" s="40" t="n"/>
      <c r="J281" s="79" t="n"/>
      <c r="K281" s="80" t="n"/>
      <c r="L281" s="81" t="n"/>
      <c r="M281" s="81" t="n"/>
      <c r="N281" s="89" t="n"/>
      <c r="O281" s="84" t="n"/>
      <c r="P281" s="85" t="n"/>
    </row>
    <row r="282" customFormat="1" s="78">
      <c r="A282" s="97" t="n"/>
      <c r="B282" s="97" t="n"/>
      <c r="C282" s="97" t="n"/>
      <c r="D282" s="98" t="n"/>
      <c r="E282" s="98" t="n"/>
      <c r="F282" s="40" t="n"/>
      <c r="J282" s="79" t="n"/>
      <c r="K282" s="80" t="n"/>
      <c r="L282" s="81" t="n"/>
      <c r="M282" s="81" t="n"/>
      <c r="N282" s="89" t="n"/>
      <c r="O282" s="84" t="n"/>
      <c r="P282" s="85" t="n"/>
    </row>
    <row r="283" customFormat="1" s="78">
      <c r="A283" s="97" t="n"/>
      <c r="B283" s="97" t="n"/>
      <c r="C283" s="97" t="n"/>
      <c r="D283" s="98" t="n"/>
      <c r="E283" s="98" t="n"/>
      <c r="F283" s="40" t="n"/>
      <c r="J283" s="79" t="n"/>
      <c r="K283" s="80" t="n"/>
      <c r="L283" s="81" t="n"/>
      <c r="M283" s="81" t="n"/>
      <c r="N283" s="89" t="n"/>
      <c r="O283" s="84" t="n"/>
      <c r="P283" s="85" t="n"/>
    </row>
    <row r="284" customFormat="1" s="78">
      <c r="A284" s="97" t="n"/>
      <c r="B284" s="97" t="n"/>
      <c r="C284" s="97" t="n"/>
      <c r="D284" s="98" t="n"/>
      <c r="E284" s="98" t="n"/>
      <c r="F284" s="40" t="n"/>
      <c r="J284" s="79" t="n"/>
      <c r="K284" s="80" t="n"/>
      <c r="L284" s="81" t="n"/>
      <c r="M284" s="81" t="n"/>
      <c r="N284" s="89" t="n"/>
      <c r="O284" s="84" t="n"/>
      <c r="P284" s="85" t="n"/>
    </row>
    <row r="285" customFormat="1" s="78">
      <c r="A285" s="97" t="n"/>
      <c r="B285" s="97" t="n"/>
      <c r="C285" s="97" t="n"/>
      <c r="D285" s="98" t="n"/>
      <c r="E285" s="98" t="n"/>
      <c r="F285" s="40" t="n"/>
      <c r="J285" s="79" t="n"/>
      <c r="K285" s="80" t="n"/>
      <c r="L285" s="81" t="n"/>
      <c r="M285" s="81" t="n"/>
      <c r="N285" s="89" t="n"/>
      <c r="O285" s="84" t="n"/>
      <c r="P285" s="85" t="n"/>
    </row>
    <row r="286" customFormat="1" s="78">
      <c r="A286" s="97" t="n"/>
      <c r="B286" s="97" t="n"/>
      <c r="C286" s="97" t="n"/>
      <c r="D286" s="98" t="n"/>
      <c r="E286" s="98" t="n"/>
      <c r="F286" s="40" t="n"/>
      <c r="J286" s="79" t="n"/>
      <c r="K286" s="80" t="n"/>
      <c r="L286" s="81" t="n"/>
      <c r="M286" s="81" t="n"/>
      <c r="N286" s="89" t="n"/>
      <c r="O286" s="84" t="n"/>
      <c r="P286" s="85" t="n"/>
    </row>
    <row r="287" customFormat="1" s="78">
      <c r="A287" s="97" t="n"/>
      <c r="B287" s="97" t="n"/>
      <c r="C287" s="97" t="n"/>
      <c r="D287" s="98" t="n"/>
      <c r="E287" s="98" t="n"/>
      <c r="F287" s="40" t="n"/>
      <c r="J287" s="79" t="n"/>
      <c r="K287" s="80" t="n"/>
      <c r="L287" s="81" t="n"/>
      <c r="M287" s="81" t="n"/>
      <c r="N287" s="89" t="n"/>
      <c r="O287" s="84" t="n"/>
      <c r="P287" s="85" t="n"/>
    </row>
    <row r="288" customFormat="1" s="78">
      <c r="A288" s="97" t="n"/>
      <c r="B288" s="97" t="n"/>
      <c r="C288" s="97" t="n"/>
      <c r="D288" s="98" t="n"/>
      <c r="E288" s="98" t="n"/>
      <c r="F288" s="40" t="n"/>
      <c r="J288" s="79" t="n"/>
      <c r="K288" s="80" t="n"/>
      <c r="L288" s="81" t="n"/>
      <c r="M288" s="81" t="n"/>
      <c r="N288" s="89" t="n"/>
      <c r="O288" s="84" t="n"/>
      <c r="P288" s="85" t="n"/>
    </row>
    <row r="289" customFormat="1" s="78">
      <c r="A289" s="97" t="n"/>
      <c r="B289" s="97" t="n"/>
      <c r="C289" s="97" t="n"/>
      <c r="D289" s="98" t="n"/>
      <c r="E289" s="98" t="n"/>
      <c r="F289" s="40" t="n"/>
      <c r="J289" s="79" t="n"/>
      <c r="K289" s="80" t="n"/>
      <c r="L289" s="81" t="n"/>
      <c r="M289" s="81" t="n"/>
      <c r="N289" s="89" t="n"/>
      <c r="O289" s="84" t="n"/>
      <c r="P289" s="85" t="n"/>
    </row>
    <row r="290" customFormat="1" s="78">
      <c r="A290" s="97" t="n"/>
      <c r="B290" s="97" t="n"/>
      <c r="C290" s="97" t="n"/>
      <c r="D290" s="98" t="n"/>
      <c r="E290" s="98" t="n"/>
      <c r="F290" s="40" t="n"/>
      <c r="J290" s="79" t="n"/>
      <c r="K290" s="80" t="n"/>
      <c r="L290" s="81" t="n"/>
      <c r="M290" s="81" t="n"/>
      <c r="N290" s="89" t="n"/>
      <c r="O290" s="84" t="n"/>
      <c r="P290" s="85" t="n"/>
    </row>
    <row r="291" customFormat="1" s="78">
      <c r="A291" s="97" t="n"/>
      <c r="B291" s="97" t="n"/>
      <c r="C291" s="97" t="n"/>
      <c r="D291" s="98" t="n"/>
      <c r="E291" s="98" t="n"/>
      <c r="F291" s="40" t="n"/>
      <c r="J291" s="79" t="n"/>
      <c r="K291" s="80" t="n"/>
      <c r="L291" s="81" t="n"/>
      <c r="M291" s="81" t="n"/>
      <c r="N291" s="89" t="n"/>
      <c r="O291" s="84" t="n"/>
      <c r="P291" s="85" t="n"/>
    </row>
    <row r="292" customFormat="1" s="78">
      <c r="A292" s="97" t="n"/>
      <c r="B292" s="97" t="n"/>
      <c r="C292" s="97" t="n"/>
      <c r="D292" s="98" t="n"/>
      <c r="E292" s="98" t="n"/>
      <c r="F292" s="40" t="n"/>
      <c r="J292" s="79" t="n"/>
      <c r="K292" s="80" t="n"/>
      <c r="L292" s="81" t="n"/>
      <c r="M292" s="81" t="n"/>
      <c r="N292" s="89" t="n"/>
      <c r="O292" s="84" t="n"/>
      <c r="P292" s="85" t="n"/>
    </row>
    <row r="293" customFormat="1" s="78">
      <c r="A293" s="97" t="n"/>
      <c r="B293" s="97" t="n"/>
      <c r="C293" s="97" t="n"/>
      <c r="D293" s="98" t="n"/>
      <c r="E293" s="98" t="n"/>
      <c r="F293" s="40" t="n"/>
      <c r="J293" s="79" t="n"/>
      <c r="K293" s="80" t="n"/>
      <c r="L293" s="81" t="n"/>
      <c r="M293" s="81" t="n"/>
      <c r="N293" s="89" t="n"/>
      <c r="O293" s="84" t="n"/>
      <c r="P293" s="85" t="n"/>
    </row>
    <row r="294" customFormat="1" s="78">
      <c r="A294" s="97" t="n"/>
      <c r="B294" s="97" t="n"/>
      <c r="C294" s="97" t="n"/>
      <c r="D294" s="98" t="n"/>
      <c r="E294" s="98" t="n"/>
      <c r="F294" s="40" t="n"/>
      <c r="J294" s="79" t="n"/>
      <c r="K294" s="80" t="n"/>
      <c r="L294" s="81" t="n"/>
      <c r="M294" s="81" t="n"/>
      <c r="N294" s="89" t="n"/>
      <c r="O294" s="84" t="n"/>
      <c r="P294" s="85" t="n"/>
    </row>
    <row r="295" customFormat="1" s="78">
      <c r="A295" s="97" t="n"/>
      <c r="B295" s="97" t="n"/>
      <c r="C295" s="97" t="n"/>
      <c r="D295" s="98" t="n"/>
      <c r="E295" s="98" t="n"/>
      <c r="F295" s="40" t="n"/>
      <c r="J295" s="79" t="n"/>
      <c r="K295" s="80" t="n"/>
      <c r="L295" s="81" t="n"/>
      <c r="M295" s="81" t="n"/>
      <c r="N295" s="89" t="n"/>
      <c r="O295" s="84" t="n"/>
      <c r="P295" s="85" t="n"/>
    </row>
    <row r="296" customFormat="1" s="78">
      <c r="A296" s="97" t="n"/>
      <c r="B296" s="97" t="n"/>
      <c r="C296" s="97" t="n"/>
      <c r="D296" s="98" t="n"/>
      <c r="E296" s="98" t="n"/>
      <c r="F296" s="40" t="n"/>
      <c r="J296" s="79" t="n"/>
      <c r="K296" s="80" t="n"/>
      <c r="L296" s="81" t="n"/>
      <c r="M296" s="81" t="n"/>
      <c r="N296" s="89" t="n"/>
      <c r="O296" s="84" t="n"/>
      <c r="P296" s="85" t="n"/>
    </row>
    <row r="297" customFormat="1" s="78">
      <c r="A297" s="97" t="n"/>
      <c r="B297" s="97" t="n"/>
      <c r="C297" s="97" t="n"/>
      <c r="D297" s="98" t="n"/>
      <c r="E297" s="98" t="n"/>
      <c r="F297" s="40" t="n"/>
      <c r="J297" s="79" t="n"/>
      <c r="K297" s="80" t="n"/>
      <c r="L297" s="81" t="n"/>
      <c r="M297" s="81" t="n"/>
      <c r="N297" s="89" t="n"/>
      <c r="O297" s="84" t="n"/>
      <c r="P297" s="85" t="n"/>
    </row>
    <row r="298" customFormat="1" s="78">
      <c r="A298" s="97" t="n"/>
      <c r="B298" s="97" t="n"/>
      <c r="C298" s="97" t="n"/>
      <c r="D298" s="98" t="n"/>
      <c r="E298" s="98" t="n"/>
      <c r="F298" s="40" t="n"/>
      <c r="J298" s="79" t="n"/>
      <c r="K298" s="80" t="n"/>
      <c r="L298" s="81" t="n"/>
      <c r="M298" s="81" t="n"/>
      <c r="N298" s="89" t="n"/>
      <c r="O298" s="84" t="n"/>
      <c r="P298" s="85" t="n"/>
    </row>
    <row r="299" customFormat="1" s="78">
      <c r="A299" s="97" t="n"/>
      <c r="B299" s="97" t="n"/>
      <c r="C299" s="97" t="n"/>
      <c r="D299" s="98" t="n"/>
      <c r="E299" s="98" t="n"/>
      <c r="F299" s="40" t="n"/>
      <c r="J299" s="79" t="n"/>
      <c r="K299" s="80" t="n"/>
      <c r="L299" s="81" t="n"/>
      <c r="M299" s="81" t="n"/>
      <c r="N299" s="89" t="n"/>
      <c r="O299" s="84" t="n"/>
      <c r="P299" s="85" t="n"/>
    </row>
    <row r="300" customFormat="1" s="78">
      <c r="A300" s="97" t="n"/>
      <c r="B300" s="97" t="n"/>
      <c r="C300" s="97" t="n"/>
      <c r="D300" s="98" t="n"/>
      <c r="E300" s="98" t="n"/>
      <c r="F300" s="40" t="n"/>
      <c r="J300" s="79" t="n"/>
      <c r="K300" s="80" t="n"/>
      <c r="L300" s="81" t="n"/>
      <c r="M300" s="81" t="n"/>
      <c r="N300" s="89" t="n"/>
      <c r="O300" s="84" t="n"/>
      <c r="P300" s="85" t="n"/>
    </row>
    <row r="301" customFormat="1" s="78">
      <c r="A301" s="97" t="n"/>
      <c r="B301" s="97" t="n"/>
      <c r="C301" s="97" t="n"/>
      <c r="D301" s="98" t="n"/>
      <c r="E301" s="98" t="n"/>
      <c r="F301" s="40" t="n"/>
      <c r="J301" s="79" t="n"/>
      <c r="K301" s="80" t="n"/>
      <c r="L301" s="81" t="n"/>
      <c r="M301" s="81" t="n"/>
      <c r="N301" s="89" t="n"/>
      <c r="O301" s="84" t="n"/>
      <c r="P301" s="85" t="n"/>
    </row>
    <row r="302" customFormat="1" s="78">
      <c r="A302" s="97" t="n"/>
      <c r="B302" s="97" t="n"/>
      <c r="C302" s="97" t="n"/>
      <c r="D302" s="98" t="n"/>
      <c r="E302" s="98" t="n"/>
      <c r="F302" s="40" t="n"/>
      <c r="J302" s="79" t="n"/>
      <c r="K302" s="80" t="n"/>
      <c r="L302" s="81" t="n"/>
      <c r="M302" s="81" t="n"/>
      <c r="N302" s="89" t="n"/>
      <c r="O302" s="84" t="n"/>
      <c r="P302" s="85" t="n"/>
    </row>
    <row r="303" customFormat="1" s="78">
      <c r="A303" s="97" t="n"/>
      <c r="B303" s="97" t="n"/>
      <c r="C303" s="97" t="n"/>
      <c r="D303" s="98" t="n"/>
      <c r="E303" s="98" t="n"/>
      <c r="F303" s="40" t="n"/>
      <c r="J303" s="79" t="n"/>
      <c r="K303" s="80" t="n"/>
      <c r="L303" s="81" t="n"/>
      <c r="M303" s="81" t="n"/>
      <c r="N303" s="89" t="n"/>
      <c r="O303" s="84" t="n"/>
      <c r="P303" s="85" t="n"/>
    </row>
    <row r="304" customFormat="1" s="78">
      <c r="A304" s="97" t="n"/>
      <c r="B304" s="97" t="n"/>
      <c r="C304" s="97" t="n"/>
      <c r="D304" s="98" t="n"/>
      <c r="E304" s="98" t="n"/>
      <c r="F304" s="40" t="n"/>
      <c r="J304" s="79" t="n"/>
      <c r="K304" s="80" t="n"/>
      <c r="L304" s="81" t="n"/>
      <c r="M304" s="81" t="n"/>
      <c r="N304" s="89" t="n"/>
      <c r="O304" s="84" t="n"/>
      <c r="P304" s="85" t="n"/>
    </row>
    <row r="305" customFormat="1" s="78">
      <c r="A305" s="97" t="n"/>
      <c r="B305" s="97" t="n"/>
      <c r="C305" s="97" t="n"/>
      <c r="D305" s="98" t="n"/>
      <c r="E305" s="98" t="n"/>
      <c r="F305" s="40" t="n"/>
      <c r="J305" s="79" t="n"/>
      <c r="K305" s="80" t="n"/>
      <c r="L305" s="81" t="n"/>
      <c r="M305" s="81" t="n"/>
      <c r="N305" s="89" t="n"/>
      <c r="O305" s="84" t="n"/>
      <c r="P305" s="85" t="n"/>
    </row>
    <row r="306" customFormat="1" s="78">
      <c r="A306" s="97" t="n"/>
      <c r="B306" s="97" t="n"/>
      <c r="C306" s="97" t="n"/>
      <c r="D306" s="98" t="n"/>
      <c r="E306" s="98" t="n"/>
      <c r="F306" s="40" t="n"/>
      <c r="J306" s="79" t="n"/>
      <c r="K306" s="80" t="n"/>
      <c r="L306" s="81" t="n"/>
      <c r="M306" s="81" t="n"/>
      <c r="N306" s="89" t="n"/>
      <c r="O306" s="84" t="n"/>
      <c r="P306" s="85" t="n"/>
    </row>
    <row r="307" customFormat="1" s="78">
      <c r="A307" s="97" t="n"/>
      <c r="B307" s="97" t="n"/>
      <c r="C307" s="97" t="n"/>
      <c r="D307" s="98" t="n"/>
      <c r="E307" s="98" t="n"/>
      <c r="F307" s="40" t="n"/>
      <c r="J307" s="79" t="n"/>
      <c r="K307" s="80" t="n"/>
      <c r="L307" s="81" t="n"/>
      <c r="M307" s="81" t="n"/>
      <c r="N307" s="89" t="n"/>
      <c r="O307" s="84" t="n"/>
      <c r="P307" s="85" t="n"/>
    </row>
    <row r="308" customFormat="1" s="78">
      <c r="A308" s="97" t="n"/>
      <c r="B308" s="97" t="n"/>
      <c r="C308" s="97" t="n"/>
      <c r="D308" s="98" t="n"/>
      <c r="E308" s="98" t="n"/>
      <c r="F308" s="40" t="n"/>
      <c r="J308" s="79" t="n"/>
      <c r="K308" s="80" t="n"/>
      <c r="L308" s="81" t="n"/>
      <c r="M308" s="81" t="n"/>
      <c r="N308" s="89" t="n"/>
      <c r="O308" s="84" t="n"/>
      <c r="P308" s="85" t="n"/>
    </row>
    <row r="309" customFormat="1" s="78">
      <c r="A309" s="97" t="n"/>
      <c r="B309" s="97" t="n"/>
      <c r="C309" s="97" t="n"/>
      <c r="D309" s="98" t="n"/>
      <c r="E309" s="98" t="n"/>
      <c r="F309" s="40" t="n"/>
      <c r="J309" s="79" t="n"/>
      <c r="K309" s="80" t="n"/>
      <c r="L309" s="81" t="n"/>
      <c r="M309" s="81" t="n"/>
      <c r="N309" s="89" t="n"/>
      <c r="O309" s="84" t="n"/>
      <c r="P309" s="85" t="n"/>
    </row>
    <row r="310" customFormat="1" s="78">
      <c r="A310" s="97" t="n"/>
      <c r="B310" s="97" t="n"/>
      <c r="C310" s="97" t="n"/>
      <c r="D310" s="98" t="n"/>
      <c r="E310" s="98" t="n"/>
      <c r="F310" s="40" t="n"/>
      <c r="J310" s="79" t="n"/>
      <c r="K310" s="80" t="n"/>
      <c r="L310" s="81" t="n"/>
      <c r="M310" s="81" t="n"/>
      <c r="N310" s="89" t="n"/>
      <c r="O310" s="84" t="n"/>
      <c r="P310" s="85" t="n"/>
    </row>
    <row r="311" customFormat="1" s="78">
      <c r="A311" s="97" t="n"/>
      <c r="B311" s="97" t="n"/>
      <c r="C311" s="97" t="n"/>
      <c r="D311" s="98" t="n"/>
      <c r="E311" s="98" t="n"/>
      <c r="F311" s="40" t="n"/>
      <c r="J311" s="79" t="n"/>
      <c r="K311" s="80" t="n"/>
      <c r="L311" s="81" t="n"/>
      <c r="M311" s="81" t="n"/>
      <c r="N311" s="89" t="n"/>
      <c r="O311" s="84" t="n"/>
      <c r="P311" s="85" t="n"/>
    </row>
    <row r="312" customFormat="1" s="78">
      <c r="A312" s="97" t="n"/>
      <c r="B312" s="97" t="n"/>
      <c r="C312" s="97" t="n"/>
      <c r="D312" s="98" t="n"/>
      <c r="E312" s="98" t="n"/>
      <c r="F312" s="40" t="n"/>
      <c r="J312" s="79" t="n"/>
      <c r="K312" s="80" t="n"/>
      <c r="L312" s="81" t="n"/>
      <c r="M312" s="81" t="n"/>
      <c r="N312" s="89" t="n"/>
      <c r="O312" s="84" t="n"/>
      <c r="P312" s="85" t="n"/>
    </row>
    <row r="313" customFormat="1" s="78">
      <c r="A313" s="97" t="n"/>
      <c r="B313" s="97" t="n"/>
      <c r="C313" s="97" t="n"/>
      <c r="D313" s="98" t="n"/>
      <c r="E313" s="98" t="n"/>
      <c r="F313" s="40" t="n"/>
      <c r="J313" s="79" t="n"/>
      <c r="K313" s="80" t="n"/>
      <c r="L313" s="81" t="n"/>
      <c r="M313" s="81" t="n"/>
      <c r="N313" s="89" t="n"/>
      <c r="O313" s="84" t="n"/>
      <c r="P313" s="85" t="n"/>
    </row>
    <row r="314" customFormat="1" s="78">
      <c r="A314" s="97" t="n"/>
      <c r="B314" s="97" t="n"/>
      <c r="C314" s="97" t="n"/>
      <c r="D314" s="98" t="n"/>
      <c r="E314" s="98" t="n"/>
      <c r="F314" s="40" t="n"/>
      <c r="J314" s="79" t="n"/>
      <c r="K314" s="80" t="n"/>
      <c r="L314" s="81" t="n"/>
      <c r="M314" s="81" t="n"/>
      <c r="N314" s="89" t="n"/>
      <c r="O314" s="84" t="n"/>
      <c r="P314" s="85" t="n"/>
    </row>
    <row r="315" customFormat="1" s="78">
      <c r="A315" s="97" t="n"/>
      <c r="B315" s="97" t="n"/>
      <c r="C315" s="97" t="n"/>
      <c r="D315" s="98" t="n"/>
      <c r="E315" s="98" t="n"/>
      <c r="F315" s="40" t="n"/>
      <c r="J315" s="79" t="n"/>
      <c r="K315" s="80" t="n"/>
      <c r="L315" s="81" t="n"/>
      <c r="M315" s="81" t="n"/>
      <c r="N315" s="89" t="n"/>
      <c r="O315" s="84" t="n"/>
      <c r="P315" s="85" t="n"/>
    </row>
    <row r="316" customFormat="1" s="78">
      <c r="A316" s="97" t="n"/>
      <c r="B316" s="97" t="n"/>
      <c r="C316" s="97" t="n"/>
      <c r="D316" s="98" t="n"/>
      <c r="E316" s="98" t="n"/>
      <c r="F316" s="40" t="n"/>
      <c r="J316" s="79" t="n"/>
      <c r="K316" s="80" t="n"/>
      <c r="L316" s="81" t="n"/>
      <c r="M316" s="81" t="n"/>
      <c r="N316" s="89" t="n"/>
      <c r="O316" s="84" t="n"/>
      <c r="P316" s="85" t="n"/>
    </row>
    <row r="317" customFormat="1" s="78">
      <c r="A317" s="97" t="n"/>
      <c r="B317" s="97" t="n"/>
      <c r="C317" s="97" t="n"/>
      <c r="D317" s="98" t="n"/>
      <c r="E317" s="98" t="n"/>
      <c r="F317" s="40" t="n"/>
      <c r="J317" s="79" t="n"/>
      <c r="K317" s="80" t="n"/>
      <c r="L317" s="81" t="n"/>
      <c r="M317" s="81" t="n"/>
      <c r="N317" s="89" t="n"/>
      <c r="O317" s="84" t="n"/>
      <c r="P317" s="85" t="n"/>
    </row>
    <row r="318" customFormat="1" s="78">
      <c r="A318" s="97" t="n"/>
      <c r="B318" s="97" t="n"/>
      <c r="C318" s="97" t="n"/>
      <c r="D318" s="98" t="n"/>
      <c r="E318" s="98" t="n"/>
      <c r="F318" s="40" t="n"/>
      <c r="J318" s="79" t="n"/>
      <c r="K318" s="80" t="n"/>
      <c r="L318" s="81" t="n"/>
      <c r="M318" s="81" t="n"/>
      <c r="N318" s="89" t="n"/>
      <c r="O318" s="84" t="n"/>
      <c r="P318" s="85" t="n"/>
    </row>
    <row r="319" customFormat="1" s="78">
      <c r="A319" s="97" t="n"/>
      <c r="B319" s="97" t="n"/>
      <c r="C319" s="97" t="n"/>
      <c r="D319" s="98" t="n"/>
      <c r="E319" s="98" t="n"/>
      <c r="F319" s="40" t="n"/>
      <c r="J319" s="79" t="n"/>
      <c r="K319" s="80" t="n"/>
      <c r="L319" s="81" t="n"/>
      <c r="M319" s="81" t="n"/>
      <c r="N319" s="89" t="n"/>
      <c r="O319" s="84" t="n"/>
      <c r="P319" s="85" t="n"/>
    </row>
    <row r="320" customFormat="1" s="78">
      <c r="A320" s="97" t="n"/>
      <c r="B320" s="97" t="n"/>
      <c r="C320" s="97" t="n"/>
      <c r="D320" s="98" t="n"/>
      <c r="E320" s="98" t="n"/>
      <c r="F320" s="40" t="n"/>
      <c r="J320" s="79" t="n"/>
      <c r="K320" s="80" t="n"/>
      <c r="L320" s="81" t="n"/>
      <c r="M320" s="81" t="n"/>
      <c r="N320" s="89" t="n"/>
      <c r="O320" s="84" t="n"/>
      <c r="P320" s="85" t="n"/>
    </row>
    <row r="321" customFormat="1" s="78">
      <c r="A321" s="97" t="n"/>
      <c r="B321" s="97" t="n"/>
      <c r="C321" s="97" t="n"/>
      <c r="D321" s="98" t="n"/>
      <c r="E321" s="98" t="n"/>
      <c r="F321" s="40" t="n"/>
      <c r="J321" s="79" t="n"/>
      <c r="K321" s="80" t="n"/>
      <c r="L321" s="81" t="n"/>
      <c r="M321" s="81" t="n"/>
      <c r="N321" s="89" t="n"/>
      <c r="O321" s="84" t="n"/>
      <c r="P321" s="85" t="n"/>
    </row>
    <row r="322" customFormat="1" s="78">
      <c r="A322" s="97" t="n"/>
      <c r="B322" s="97" t="n"/>
      <c r="C322" s="97" t="n"/>
      <c r="D322" s="98" t="n"/>
      <c r="E322" s="98" t="n"/>
      <c r="F322" s="40" t="n"/>
      <c r="J322" s="79" t="n"/>
      <c r="K322" s="80" t="n"/>
      <c r="L322" s="81" t="n"/>
      <c r="M322" s="81" t="n"/>
      <c r="N322" s="89" t="n"/>
      <c r="O322" s="84" t="n"/>
      <c r="P322" s="85" t="n"/>
    </row>
    <row r="323" customFormat="1" s="78">
      <c r="A323" s="97" t="n"/>
      <c r="B323" s="97" t="n"/>
      <c r="C323" s="97" t="n"/>
      <c r="D323" s="98" t="n"/>
      <c r="E323" s="98" t="n"/>
      <c r="F323" s="40" t="n"/>
      <c r="J323" s="79" t="n"/>
      <c r="K323" s="80" t="n"/>
      <c r="L323" s="81" t="n"/>
      <c r="M323" s="81" t="n"/>
      <c r="N323" s="89" t="n"/>
      <c r="O323" s="84" t="n"/>
      <c r="P323" s="85" t="n"/>
    </row>
    <row r="324" customFormat="1" s="78">
      <c r="A324" s="97" t="n"/>
      <c r="B324" s="97" t="n"/>
      <c r="C324" s="97" t="n"/>
      <c r="D324" s="98" t="n"/>
      <c r="E324" s="98" t="n"/>
      <c r="F324" s="40" t="n"/>
      <c r="J324" s="79" t="n"/>
      <c r="K324" s="80" t="n"/>
      <c r="L324" s="81" t="n"/>
      <c r="M324" s="81" t="n"/>
      <c r="N324" s="89" t="n"/>
      <c r="O324" s="84" t="n"/>
      <c r="P324" s="85" t="n"/>
    </row>
    <row r="325" customFormat="1" s="78">
      <c r="A325" s="97" t="n"/>
      <c r="B325" s="97" t="n"/>
      <c r="C325" s="97" t="n"/>
      <c r="D325" s="98" t="n"/>
      <c r="E325" s="98" t="n"/>
      <c r="F325" s="40" t="n"/>
      <c r="J325" s="79" t="n"/>
      <c r="K325" s="80" t="n"/>
      <c r="L325" s="81" t="n"/>
      <c r="M325" s="81" t="n"/>
      <c r="N325" s="89" t="n"/>
      <c r="O325" s="84" t="n"/>
      <c r="P325" s="85" t="n"/>
    </row>
    <row r="326" customFormat="1" s="78">
      <c r="A326" s="97" t="n"/>
      <c r="B326" s="97" t="n"/>
      <c r="C326" s="97" t="n"/>
      <c r="D326" s="98" t="n"/>
      <c r="E326" s="98" t="n"/>
      <c r="F326" s="40" t="n"/>
      <c r="J326" s="79" t="n"/>
      <c r="K326" s="80" t="n"/>
      <c r="L326" s="81" t="n"/>
      <c r="M326" s="81" t="n"/>
      <c r="N326" s="89" t="n"/>
      <c r="O326" s="84" t="n"/>
      <c r="P326" s="85" t="n"/>
    </row>
    <row r="327" customFormat="1" s="78">
      <c r="A327" s="97" t="n"/>
      <c r="B327" s="97" t="n"/>
      <c r="C327" s="97" t="n"/>
      <c r="D327" s="98" t="n"/>
      <c r="E327" s="98" t="n"/>
      <c r="F327" s="40" t="n"/>
      <c r="J327" s="79" t="n"/>
      <c r="K327" s="80" t="n"/>
      <c r="L327" s="81" t="n"/>
      <c r="M327" s="81" t="n"/>
      <c r="N327" s="89" t="n"/>
      <c r="O327" s="84" t="n"/>
      <c r="P327" s="85" t="n"/>
    </row>
    <row r="328" customFormat="1" s="78">
      <c r="A328" s="97" t="n"/>
      <c r="B328" s="97" t="n"/>
      <c r="C328" s="97" t="n"/>
      <c r="D328" s="98" t="n"/>
      <c r="E328" s="98" t="n"/>
      <c r="F328" s="40" t="n"/>
      <c r="J328" s="79" t="n"/>
      <c r="K328" s="80" t="n"/>
      <c r="L328" s="81" t="n"/>
      <c r="M328" s="81" t="n"/>
      <c r="N328" s="89" t="n"/>
      <c r="O328" s="84" t="n"/>
      <c r="P328" s="85" t="n"/>
    </row>
    <row r="329" customFormat="1" s="78">
      <c r="A329" s="97" t="n"/>
      <c r="B329" s="97" t="n"/>
      <c r="C329" s="97" t="n"/>
      <c r="D329" s="98" t="n"/>
      <c r="E329" s="98" t="n"/>
      <c r="F329" s="40" t="n"/>
      <c r="J329" s="79" t="n"/>
      <c r="K329" s="80" t="n"/>
      <c r="L329" s="81" t="n"/>
      <c r="M329" s="81" t="n"/>
      <c r="N329" s="89" t="n"/>
      <c r="O329" s="84" t="n"/>
      <c r="P329" s="85" t="n"/>
    </row>
    <row r="330" customFormat="1" s="78">
      <c r="A330" s="97" t="n"/>
      <c r="B330" s="97" t="n"/>
      <c r="C330" s="97" t="n"/>
      <c r="D330" s="98" t="n"/>
      <c r="E330" s="98" t="n"/>
      <c r="F330" s="40" t="n"/>
      <c r="J330" s="79" t="n"/>
      <c r="K330" s="80" t="n"/>
      <c r="L330" s="81" t="n"/>
      <c r="M330" s="81" t="n"/>
      <c r="N330" s="89" t="n"/>
      <c r="O330" s="84" t="n"/>
      <c r="P330" s="85" t="n"/>
    </row>
    <row r="331" customFormat="1" s="78">
      <c r="A331" s="97" t="n"/>
      <c r="B331" s="97" t="n"/>
      <c r="C331" s="97" t="n"/>
      <c r="D331" s="98" t="n"/>
      <c r="E331" s="98" t="n"/>
      <c r="F331" s="40" t="n"/>
      <c r="J331" s="79" t="n"/>
      <c r="K331" s="80" t="n"/>
      <c r="L331" s="81" t="n"/>
      <c r="M331" s="81" t="n"/>
      <c r="N331" s="89" t="n"/>
      <c r="O331" s="84" t="n"/>
      <c r="P331" s="85" t="n"/>
    </row>
    <row r="332" customFormat="1" s="78">
      <c r="A332" s="97" t="n"/>
      <c r="B332" s="97" t="n"/>
      <c r="C332" s="97" t="n"/>
      <c r="D332" s="98" t="n"/>
      <c r="E332" s="98" t="n"/>
      <c r="F332" s="40" t="n"/>
      <c r="J332" s="79" t="n"/>
      <c r="K332" s="80" t="n"/>
      <c r="L332" s="81" t="n"/>
      <c r="M332" s="81" t="n"/>
      <c r="N332" s="89" t="n"/>
      <c r="O332" s="84" t="n"/>
      <c r="P332" s="85" t="n"/>
    </row>
    <row r="333" customFormat="1" s="78">
      <c r="A333" s="97" t="n"/>
      <c r="B333" s="97" t="n"/>
      <c r="C333" s="97" t="n"/>
      <c r="D333" s="98" t="n"/>
      <c r="E333" s="98" t="n"/>
      <c r="F333" s="40" t="n"/>
      <c r="J333" s="79" t="n"/>
      <c r="K333" s="80" t="n"/>
      <c r="L333" s="81" t="n"/>
      <c r="M333" s="81" t="n"/>
      <c r="N333" s="89" t="n"/>
      <c r="O333" s="84" t="n"/>
      <c r="P333" s="85" t="n"/>
    </row>
    <row r="334" customFormat="1" s="78">
      <c r="A334" s="97" t="n"/>
      <c r="B334" s="97" t="n"/>
      <c r="C334" s="97" t="n"/>
      <c r="D334" s="98" t="n"/>
      <c r="E334" s="98" t="n"/>
      <c r="F334" s="40" t="n"/>
      <c r="J334" s="79" t="n"/>
      <c r="K334" s="80" t="n"/>
      <c r="L334" s="81" t="n"/>
      <c r="M334" s="81" t="n"/>
      <c r="N334" s="89" t="n"/>
      <c r="O334" s="84" t="n"/>
      <c r="P334" s="85" t="n"/>
    </row>
    <row r="335" customFormat="1" s="78">
      <c r="A335" s="97" t="n"/>
      <c r="B335" s="97" t="n"/>
      <c r="C335" s="97" t="n"/>
      <c r="D335" s="98" t="n"/>
      <c r="E335" s="98" t="n"/>
      <c r="F335" s="40" t="n"/>
      <c r="J335" s="79" t="n"/>
      <c r="K335" s="80" t="n"/>
      <c r="L335" s="81" t="n"/>
      <c r="M335" s="81" t="n"/>
      <c r="N335" s="89" t="n"/>
      <c r="O335" s="84" t="n"/>
      <c r="P335" s="85" t="n"/>
    </row>
    <row r="336" customFormat="1" s="78">
      <c r="A336" s="97" t="n"/>
      <c r="B336" s="97" t="n"/>
      <c r="C336" s="97" t="n"/>
      <c r="D336" s="98" t="n"/>
      <c r="E336" s="98" t="n"/>
      <c r="F336" s="40" t="n"/>
      <c r="J336" s="79" t="n"/>
      <c r="K336" s="80" t="n"/>
      <c r="L336" s="81" t="n"/>
      <c r="M336" s="81" t="n"/>
      <c r="N336" s="89" t="n"/>
      <c r="O336" s="84" t="n"/>
      <c r="P336" s="85" t="n"/>
    </row>
    <row r="337" customFormat="1" s="78">
      <c r="A337" s="97" t="n"/>
      <c r="B337" s="97" t="n"/>
      <c r="C337" s="97" t="n"/>
      <c r="D337" s="98" t="n"/>
      <c r="E337" s="98" t="n"/>
      <c r="F337" s="40" t="n"/>
      <c r="J337" s="79" t="n"/>
      <c r="K337" s="80" t="n"/>
      <c r="L337" s="81" t="n"/>
      <c r="M337" s="81" t="n"/>
      <c r="N337" s="89" t="n"/>
      <c r="O337" s="84" t="n"/>
      <c r="P337" s="85" t="n"/>
    </row>
    <row r="338" customFormat="1" s="78">
      <c r="A338" s="97" t="n"/>
      <c r="B338" s="97" t="n"/>
      <c r="C338" s="97" t="n"/>
      <c r="D338" s="98" t="n"/>
      <c r="E338" s="98" t="n"/>
      <c r="F338" s="40" t="n"/>
      <c r="J338" s="79" t="n"/>
      <c r="K338" s="80" t="n"/>
      <c r="L338" s="81" t="n"/>
      <c r="M338" s="81" t="n"/>
      <c r="N338" s="89" t="n"/>
      <c r="O338" s="84" t="n"/>
      <c r="P338" s="85" t="n"/>
    </row>
    <row r="339" customFormat="1" s="78">
      <c r="A339" s="97" t="n"/>
      <c r="B339" s="97" t="n"/>
      <c r="C339" s="97" t="n"/>
      <c r="D339" s="98" t="n"/>
      <c r="E339" s="98" t="n"/>
      <c r="F339" s="40" t="n"/>
      <c r="J339" s="79" t="n"/>
      <c r="K339" s="80" t="n"/>
      <c r="L339" s="81" t="n"/>
      <c r="M339" s="81" t="n"/>
      <c r="N339" s="89" t="n"/>
      <c r="O339" s="84" t="n"/>
      <c r="P339" s="85" t="n"/>
    </row>
    <row r="340" customFormat="1" s="78">
      <c r="A340" s="97" t="n"/>
      <c r="B340" s="97" t="n"/>
      <c r="C340" s="97" t="n"/>
      <c r="D340" s="98" t="n"/>
      <c r="E340" s="98" t="n"/>
      <c r="F340" s="40" t="n"/>
      <c r="J340" s="79" t="n"/>
      <c r="K340" s="80" t="n"/>
      <c r="L340" s="81" t="n"/>
      <c r="M340" s="81" t="n"/>
      <c r="N340" s="89" t="n"/>
      <c r="O340" s="84" t="n"/>
      <c r="P340" s="85" t="n"/>
    </row>
    <row r="341" customFormat="1" s="78">
      <c r="A341" s="97" t="n"/>
      <c r="B341" s="97" t="n"/>
      <c r="C341" s="97" t="n"/>
      <c r="D341" s="98" t="n"/>
      <c r="E341" s="98" t="n"/>
      <c r="F341" s="40" t="n"/>
      <c r="J341" s="79" t="n"/>
      <c r="K341" s="80" t="n"/>
      <c r="L341" s="81" t="n"/>
      <c r="M341" s="81" t="n"/>
      <c r="N341" s="89" t="n"/>
      <c r="O341" s="84" t="n"/>
      <c r="P341" s="85" t="n"/>
    </row>
    <row r="342" customFormat="1" s="78">
      <c r="A342" s="97" t="n"/>
      <c r="B342" s="97" t="n"/>
      <c r="C342" s="97" t="n"/>
      <c r="D342" s="98" t="n"/>
      <c r="E342" s="98" t="n"/>
      <c r="F342" s="40" t="n"/>
      <c r="J342" s="79" t="n"/>
      <c r="K342" s="80" t="n"/>
      <c r="L342" s="81" t="n"/>
      <c r="M342" s="81" t="n"/>
      <c r="N342" s="89" t="n"/>
      <c r="O342" s="84" t="n"/>
      <c r="P342" s="85" t="n"/>
    </row>
    <row r="343" customFormat="1" s="78">
      <c r="A343" s="97" t="n"/>
      <c r="B343" s="97" t="n"/>
      <c r="C343" s="97" t="n"/>
      <c r="D343" s="98" t="n"/>
      <c r="E343" s="98" t="n"/>
      <c r="F343" s="40" t="n"/>
      <c r="J343" s="79" t="n"/>
      <c r="K343" s="80" t="n"/>
      <c r="L343" s="81" t="n"/>
      <c r="M343" s="81" t="n"/>
      <c r="N343" s="89" t="n"/>
      <c r="O343" s="84" t="n"/>
      <c r="P343" s="85" t="n"/>
    </row>
    <row r="344" customFormat="1" s="78">
      <c r="A344" s="97" t="n"/>
      <c r="B344" s="97" t="n"/>
      <c r="C344" s="97" t="n"/>
      <c r="D344" s="98" t="n"/>
      <c r="E344" s="98" t="n"/>
      <c r="F344" s="40" t="n"/>
      <c r="J344" s="79" t="n"/>
      <c r="K344" s="80" t="n"/>
      <c r="L344" s="81" t="n"/>
      <c r="M344" s="81" t="n"/>
      <c r="N344" s="89" t="n"/>
      <c r="O344" s="84" t="n"/>
      <c r="P344" s="85" t="n"/>
    </row>
    <row r="345" customFormat="1" s="78">
      <c r="A345" s="97" t="n"/>
      <c r="B345" s="97" t="n"/>
      <c r="C345" s="97" t="n"/>
      <c r="D345" s="98" t="n"/>
      <c r="E345" s="98" t="n"/>
      <c r="F345" s="40" t="n"/>
      <c r="J345" s="79" t="n"/>
      <c r="K345" s="80" t="n"/>
      <c r="L345" s="81" t="n"/>
      <c r="M345" s="81" t="n"/>
      <c r="N345" s="89" t="n"/>
      <c r="O345" s="84" t="n"/>
      <c r="P345" s="85" t="n"/>
    </row>
    <row r="346" customFormat="1" s="78">
      <c r="A346" s="97" t="n"/>
      <c r="B346" s="97" t="n"/>
      <c r="C346" s="97" t="n"/>
      <c r="D346" s="98" t="n"/>
      <c r="E346" s="98" t="n"/>
      <c r="F346" s="40" t="n"/>
      <c r="J346" s="79" t="n"/>
      <c r="K346" s="80" t="n"/>
      <c r="L346" s="81" t="n"/>
      <c r="M346" s="81" t="n"/>
      <c r="N346" s="89" t="n"/>
      <c r="O346" s="84" t="n"/>
      <c r="P346" s="85" t="n"/>
    </row>
    <row r="347" customFormat="1" s="78">
      <c r="A347" s="97" t="n"/>
      <c r="B347" s="97" t="n"/>
      <c r="C347" s="97" t="n"/>
      <c r="D347" s="98" t="n"/>
      <c r="E347" s="98" t="n"/>
      <c r="F347" s="40" t="n"/>
      <c r="J347" s="79" t="n"/>
      <c r="K347" s="80" t="n"/>
      <c r="L347" s="81" t="n"/>
      <c r="M347" s="81" t="n"/>
      <c r="N347" s="89" t="n"/>
      <c r="O347" s="84" t="n"/>
      <c r="P347" s="85" t="n"/>
    </row>
    <row r="348" customFormat="1" s="78">
      <c r="A348" s="97" t="n"/>
      <c r="B348" s="97" t="n"/>
      <c r="C348" s="97" t="n"/>
      <c r="D348" s="98" t="n"/>
      <c r="E348" s="98" t="n"/>
      <c r="F348" s="40" t="n"/>
      <c r="J348" s="79" t="n"/>
      <c r="K348" s="80" t="n"/>
      <c r="L348" s="81" t="n"/>
      <c r="M348" s="81" t="n"/>
      <c r="N348" s="89" t="n"/>
      <c r="O348" s="84" t="n"/>
      <c r="P348" s="85" t="n"/>
    </row>
    <row r="349" customFormat="1" s="78">
      <c r="A349" s="97" t="n"/>
      <c r="B349" s="97" t="n"/>
      <c r="C349" s="97" t="n"/>
      <c r="D349" s="98" t="n"/>
      <c r="E349" s="98" t="n"/>
      <c r="F349" s="40" t="n"/>
      <c r="J349" s="79" t="n"/>
      <c r="K349" s="80" t="n"/>
      <c r="L349" s="81" t="n"/>
      <c r="M349" s="81" t="n"/>
      <c r="N349" s="89" t="n"/>
      <c r="O349" s="84" t="n"/>
      <c r="P349" s="85" t="n"/>
    </row>
    <row r="350" customFormat="1" s="78">
      <c r="A350" s="97" t="n"/>
      <c r="B350" s="97" t="n"/>
      <c r="C350" s="97" t="n"/>
      <c r="D350" s="98" t="n"/>
      <c r="E350" s="98" t="n"/>
      <c r="F350" s="40" t="n"/>
      <c r="J350" s="79" t="n"/>
      <c r="K350" s="80" t="n"/>
      <c r="L350" s="81" t="n"/>
      <c r="M350" s="81" t="n"/>
      <c r="N350" s="89" t="n"/>
      <c r="O350" s="84" t="n"/>
      <c r="P350" s="85" t="n"/>
    </row>
    <row r="351" customFormat="1" s="78">
      <c r="A351" s="97" t="n"/>
      <c r="B351" s="97" t="n"/>
      <c r="C351" s="97" t="n"/>
      <c r="D351" s="98" t="n"/>
      <c r="E351" s="98" t="n"/>
      <c r="F351" s="40" t="n"/>
      <c r="J351" s="79" t="n"/>
      <c r="K351" s="80" t="n"/>
      <c r="L351" s="81" t="n"/>
      <c r="M351" s="81" t="n"/>
      <c r="N351" s="89" t="n"/>
      <c r="O351" s="84" t="n"/>
      <c r="P351" s="85" t="n"/>
    </row>
    <row r="352" customFormat="1" s="78">
      <c r="A352" s="97" t="n"/>
      <c r="B352" s="97" t="n"/>
      <c r="C352" s="97" t="n"/>
      <c r="D352" s="98" t="n"/>
      <c r="E352" s="98" t="n"/>
      <c r="F352" s="40" t="n"/>
      <c r="J352" s="79" t="n"/>
      <c r="K352" s="80" t="n"/>
      <c r="L352" s="81" t="n"/>
      <c r="M352" s="81" t="n"/>
      <c r="N352" s="89" t="n"/>
      <c r="O352" s="84" t="n"/>
      <c r="P352" s="85" t="n"/>
    </row>
    <row r="353" customFormat="1" s="78">
      <c r="A353" s="97" t="n"/>
      <c r="B353" s="97" t="n"/>
      <c r="C353" s="97" t="n"/>
      <c r="D353" s="98" t="n"/>
      <c r="E353" s="98" t="n"/>
      <c r="F353" s="40" t="n"/>
      <c r="J353" s="79" t="n"/>
      <c r="K353" s="80" t="n"/>
      <c r="L353" s="81" t="n"/>
      <c r="M353" s="81" t="n"/>
      <c r="N353" s="89" t="n"/>
      <c r="O353" s="84" t="n"/>
      <c r="P353" s="85" t="n"/>
    </row>
    <row r="354" customFormat="1" s="78">
      <c r="A354" s="97" t="n"/>
      <c r="B354" s="97" t="n"/>
      <c r="C354" s="97" t="n"/>
      <c r="D354" s="98" t="n"/>
      <c r="E354" s="98" t="n"/>
      <c r="F354" s="40" t="n"/>
      <c r="J354" s="79" t="n"/>
      <c r="K354" s="80" t="n"/>
      <c r="L354" s="81" t="n"/>
      <c r="M354" s="81" t="n"/>
      <c r="N354" s="89" t="n"/>
      <c r="O354" s="84" t="n"/>
      <c r="P354" s="85" t="n"/>
    </row>
    <row r="355" customFormat="1" s="78">
      <c r="A355" s="97" t="n"/>
      <c r="B355" s="97" t="n"/>
      <c r="C355" s="97" t="n"/>
      <c r="D355" s="98" t="n"/>
      <c r="E355" s="98" t="n"/>
      <c r="F355" s="40" t="n"/>
      <c r="J355" s="79" t="n"/>
      <c r="K355" s="80" t="n"/>
      <c r="L355" s="81" t="n"/>
      <c r="M355" s="81" t="n"/>
      <c r="N355" s="89" t="n"/>
      <c r="O355" s="84" t="n"/>
      <c r="P355" s="85" t="n"/>
    </row>
    <row r="356" customFormat="1" s="78">
      <c r="A356" s="97" t="n"/>
      <c r="B356" s="97" t="n"/>
      <c r="C356" s="97" t="n"/>
      <c r="D356" s="98" t="n"/>
      <c r="E356" s="98" t="n"/>
      <c r="F356" s="40" t="n"/>
      <c r="J356" s="79" t="n"/>
      <c r="K356" s="80" t="n"/>
      <c r="L356" s="81" t="n"/>
      <c r="M356" s="81" t="n"/>
      <c r="N356" s="89" t="n"/>
      <c r="O356" s="84" t="n"/>
      <c r="P356" s="85" t="n"/>
    </row>
    <row r="357" customFormat="1" s="78">
      <c r="A357" s="97" t="n"/>
      <c r="B357" s="97" t="n"/>
      <c r="C357" s="97" t="n"/>
      <c r="D357" s="98" t="n"/>
      <c r="E357" s="98" t="n"/>
      <c r="F357" s="40" t="n"/>
      <c r="J357" s="79" t="n"/>
      <c r="K357" s="80" t="n"/>
      <c r="L357" s="81" t="n"/>
      <c r="M357" s="81" t="n"/>
      <c r="N357" s="89" t="n"/>
      <c r="O357" s="84" t="n"/>
      <c r="P357" s="85" t="n"/>
    </row>
    <row r="358" customFormat="1" s="78">
      <c r="A358" s="97" t="n"/>
      <c r="B358" s="97" t="n"/>
      <c r="C358" s="97" t="n"/>
      <c r="D358" s="98" t="n"/>
      <c r="E358" s="98" t="n"/>
      <c r="F358" s="40" t="n"/>
      <c r="J358" s="79" t="n"/>
      <c r="K358" s="80" t="n"/>
      <c r="L358" s="81" t="n"/>
      <c r="M358" s="81" t="n"/>
      <c r="N358" s="89" t="n"/>
      <c r="O358" s="84" t="n"/>
      <c r="P358" s="85" t="n"/>
    </row>
    <row r="359" customFormat="1" s="78">
      <c r="A359" s="97" t="n"/>
      <c r="B359" s="97" t="n"/>
      <c r="C359" s="97" t="n"/>
      <c r="D359" s="98" t="n"/>
      <c r="E359" s="98" t="n"/>
      <c r="F359" s="40" t="n"/>
      <c r="J359" s="79" t="n"/>
      <c r="K359" s="80" t="n"/>
      <c r="L359" s="81" t="n"/>
      <c r="M359" s="81" t="n"/>
      <c r="N359" s="89" t="n"/>
      <c r="O359" s="84" t="n"/>
      <c r="P359" s="85" t="n"/>
    </row>
    <row r="360" customFormat="1" s="78">
      <c r="A360" s="97" t="n"/>
      <c r="B360" s="97" t="n"/>
      <c r="C360" s="97" t="n"/>
      <c r="D360" s="98" t="n"/>
      <c r="E360" s="98" t="n"/>
      <c r="F360" s="40" t="n"/>
      <c r="J360" s="79" t="n"/>
      <c r="K360" s="80" t="n"/>
      <c r="L360" s="81" t="n"/>
      <c r="M360" s="81" t="n"/>
      <c r="N360" s="89" t="n"/>
      <c r="O360" s="84" t="n"/>
      <c r="P360" s="85" t="n"/>
    </row>
    <row r="361" customFormat="1" s="78">
      <c r="A361" s="97" t="n"/>
      <c r="B361" s="97" t="n"/>
      <c r="C361" s="97" t="n"/>
      <c r="D361" s="98" t="n"/>
      <c r="E361" s="98" t="n"/>
      <c r="F361" s="40" t="n"/>
      <c r="J361" s="79" t="n"/>
      <c r="K361" s="80" t="n"/>
      <c r="L361" s="81" t="n"/>
      <c r="M361" s="81" t="n"/>
      <c r="N361" s="89" t="n"/>
      <c r="O361" s="84" t="n"/>
      <c r="P361" s="85" t="n"/>
    </row>
    <row r="362" customFormat="1" s="78">
      <c r="A362" s="97" t="n"/>
      <c r="B362" s="97" t="n"/>
      <c r="C362" s="97" t="n"/>
      <c r="D362" s="98" t="n"/>
      <c r="E362" s="98" t="n"/>
      <c r="F362" s="40" t="n"/>
      <c r="J362" s="79" t="n"/>
      <c r="K362" s="80" t="n"/>
      <c r="L362" s="81" t="n"/>
      <c r="M362" s="81" t="n"/>
      <c r="N362" s="89" t="n"/>
      <c r="O362" s="84" t="n"/>
      <c r="P362" s="85" t="n"/>
    </row>
    <row r="363" customFormat="1" s="78">
      <c r="A363" s="97" t="n"/>
      <c r="B363" s="97" t="n"/>
      <c r="C363" s="97" t="n"/>
      <c r="D363" s="98" t="n"/>
      <c r="E363" s="98" t="n"/>
      <c r="F363" s="40" t="n"/>
      <c r="J363" s="79" t="n"/>
      <c r="K363" s="80" t="n"/>
      <c r="L363" s="81" t="n"/>
      <c r="M363" s="81" t="n"/>
      <c r="N363" s="89" t="n"/>
      <c r="O363" s="84" t="n"/>
      <c r="P363" s="85" t="n"/>
    </row>
    <row r="364" customFormat="1" s="78">
      <c r="A364" s="97" t="n"/>
      <c r="B364" s="97" t="n"/>
      <c r="C364" s="97" t="n"/>
      <c r="D364" s="98" t="n"/>
      <c r="E364" s="98" t="n"/>
      <c r="F364" s="40" t="n"/>
      <c r="J364" s="79" t="n"/>
      <c r="K364" s="80" t="n"/>
      <c r="L364" s="81" t="n"/>
      <c r="M364" s="81" t="n"/>
      <c r="N364" s="89" t="n"/>
      <c r="O364" s="84" t="n"/>
      <c r="P364" s="85" t="n"/>
    </row>
    <row r="365" customFormat="1" s="78">
      <c r="A365" s="97" t="n"/>
      <c r="B365" s="97" t="n"/>
      <c r="C365" s="97" t="n"/>
      <c r="D365" s="98" t="n"/>
      <c r="E365" s="98" t="n"/>
      <c r="F365" s="40" t="n"/>
      <c r="J365" s="79" t="n"/>
      <c r="K365" s="80" t="n"/>
      <c r="L365" s="81" t="n"/>
      <c r="M365" s="81" t="n"/>
      <c r="N365" s="89" t="n"/>
      <c r="O365" s="84" t="n"/>
      <c r="P365" s="85" t="n"/>
    </row>
    <row r="366" customFormat="1" s="78">
      <c r="A366" s="97" t="n"/>
      <c r="B366" s="97" t="n"/>
      <c r="C366" s="97" t="n"/>
      <c r="D366" s="98" t="n"/>
      <c r="E366" s="98" t="n"/>
      <c r="F366" s="40" t="n"/>
      <c r="J366" s="79" t="n"/>
      <c r="K366" s="80" t="n"/>
      <c r="L366" s="81" t="n"/>
      <c r="M366" s="81" t="n"/>
      <c r="N366" s="89" t="n"/>
      <c r="O366" s="84" t="n"/>
      <c r="P366" s="85" t="n"/>
    </row>
    <row r="367" customFormat="1" s="78">
      <c r="A367" s="97" t="n"/>
      <c r="B367" s="97" t="n"/>
      <c r="C367" s="97" t="n"/>
      <c r="D367" s="98" t="n"/>
      <c r="E367" s="98" t="n"/>
      <c r="F367" s="40" t="n"/>
      <c r="J367" s="79" t="n"/>
      <c r="K367" s="80" t="n"/>
      <c r="L367" s="81" t="n"/>
      <c r="M367" s="81" t="n"/>
      <c r="N367" s="89" t="n"/>
      <c r="O367" s="84" t="n"/>
      <c r="P367" s="85" t="n"/>
    </row>
    <row r="368" customFormat="1" s="78">
      <c r="A368" s="97" t="n"/>
      <c r="B368" s="97" t="n"/>
      <c r="C368" s="97" t="n"/>
      <c r="D368" s="98" t="n"/>
      <c r="E368" s="98" t="n"/>
      <c r="F368" s="40" t="n"/>
      <c r="J368" s="79" t="n"/>
      <c r="K368" s="80" t="n"/>
      <c r="L368" s="81" t="n"/>
      <c r="M368" s="81" t="n"/>
      <c r="N368" s="89" t="n"/>
      <c r="O368" s="84" t="n"/>
      <c r="P368" s="85" t="n"/>
    </row>
    <row r="369" customFormat="1" s="78">
      <c r="A369" s="97" t="n"/>
      <c r="B369" s="97" t="n"/>
      <c r="C369" s="97" t="n"/>
      <c r="D369" s="98" t="n"/>
      <c r="E369" s="98" t="n"/>
      <c r="F369" s="40" t="n"/>
      <c r="J369" s="79" t="n"/>
      <c r="K369" s="80" t="n"/>
      <c r="L369" s="81" t="n"/>
      <c r="M369" s="81" t="n"/>
      <c r="N369" s="89" t="n"/>
      <c r="O369" s="84" t="n"/>
      <c r="P369" s="85" t="n"/>
    </row>
    <row r="370" customFormat="1" s="78">
      <c r="A370" s="97" t="n"/>
      <c r="B370" s="97" t="n"/>
      <c r="C370" s="97" t="n"/>
      <c r="D370" s="98" t="n"/>
      <c r="E370" s="98" t="n"/>
      <c r="F370" s="40" t="n"/>
      <c r="J370" s="79" t="n"/>
      <c r="K370" s="80" t="n"/>
      <c r="L370" s="81" t="n"/>
      <c r="M370" s="81" t="n"/>
      <c r="N370" s="89" t="n"/>
      <c r="O370" s="84" t="n"/>
      <c r="P370" s="85" t="n"/>
    </row>
    <row r="371" customFormat="1" s="78">
      <c r="A371" s="97" t="n"/>
      <c r="B371" s="97" t="n"/>
      <c r="C371" s="97" t="n"/>
      <c r="D371" s="98" t="n"/>
      <c r="E371" s="98" t="n"/>
      <c r="F371" s="40" t="n"/>
      <c r="J371" s="79" t="n"/>
      <c r="K371" s="80" t="n"/>
      <c r="L371" s="81" t="n"/>
      <c r="M371" s="81" t="n"/>
      <c r="N371" s="89" t="n"/>
      <c r="O371" s="84" t="n"/>
      <c r="P371" s="85" t="n"/>
    </row>
    <row r="372" customFormat="1" s="78">
      <c r="A372" s="97" t="n"/>
      <c r="B372" s="97" t="n"/>
      <c r="C372" s="97" t="n"/>
      <c r="D372" s="98" t="n"/>
      <c r="E372" s="98" t="n"/>
      <c r="F372" s="40" t="n"/>
      <c r="J372" s="79" t="n"/>
      <c r="K372" s="80" t="n"/>
      <c r="L372" s="81" t="n"/>
      <c r="M372" s="81" t="n"/>
      <c r="N372" s="89" t="n"/>
      <c r="O372" s="84" t="n"/>
      <c r="P372" s="85" t="n"/>
    </row>
    <row r="373" customFormat="1" s="78">
      <c r="A373" s="97" t="n"/>
      <c r="B373" s="97" t="n"/>
      <c r="C373" s="97" t="n"/>
      <c r="D373" s="98" t="n"/>
      <c r="E373" s="98" t="n"/>
      <c r="F373" s="40" t="n"/>
      <c r="J373" s="79" t="n"/>
      <c r="K373" s="80" t="n"/>
      <c r="L373" s="81" t="n"/>
      <c r="M373" s="81" t="n"/>
      <c r="N373" s="89" t="n"/>
      <c r="O373" s="84" t="n"/>
      <c r="P373" s="85" t="n"/>
    </row>
    <row r="374" customFormat="1" s="78">
      <c r="A374" s="97" t="n"/>
      <c r="B374" s="97" t="n"/>
      <c r="C374" s="97" t="n"/>
      <c r="D374" s="98" t="n"/>
      <c r="E374" s="98" t="n"/>
      <c r="F374" s="40" t="n"/>
      <c r="J374" s="79" t="n"/>
      <c r="K374" s="80" t="n"/>
      <c r="L374" s="81" t="n"/>
      <c r="M374" s="81" t="n"/>
      <c r="N374" s="89" t="n"/>
      <c r="O374" s="84" t="n"/>
      <c r="P374" s="85" t="n"/>
    </row>
    <row r="375" customFormat="1" s="78">
      <c r="A375" s="97" t="n"/>
      <c r="B375" s="97" t="n"/>
      <c r="C375" s="97" t="n"/>
      <c r="D375" s="98" t="n"/>
      <c r="E375" s="98" t="n"/>
      <c r="F375" s="40" t="n"/>
      <c r="J375" s="79" t="n"/>
      <c r="K375" s="80" t="n"/>
      <c r="L375" s="81" t="n"/>
      <c r="M375" s="81" t="n"/>
      <c r="N375" s="89" t="n"/>
      <c r="O375" s="84" t="n"/>
      <c r="P375" s="85" t="n"/>
    </row>
    <row r="376" customFormat="1" s="78">
      <c r="A376" s="97" t="n"/>
      <c r="B376" s="97" t="n"/>
      <c r="C376" s="97" t="n"/>
      <c r="D376" s="98" t="n"/>
      <c r="E376" s="98" t="n"/>
      <c r="F376" s="40" t="n"/>
      <c r="J376" s="79" t="n"/>
      <c r="K376" s="80" t="n"/>
      <c r="L376" s="81" t="n"/>
      <c r="M376" s="81" t="n"/>
      <c r="N376" s="89" t="n"/>
      <c r="O376" s="84" t="n"/>
      <c r="P376" s="85" t="n"/>
    </row>
    <row r="377" customFormat="1" s="78">
      <c r="A377" s="97" t="n"/>
      <c r="B377" s="97" t="n"/>
      <c r="C377" s="97" t="n"/>
      <c r="D377" s="98" t="n"/>
      <c r="E377" s="98" t="n"/>
      <c r="F377" s="40" t="n"/>
      <c r="J377" s="79" t="n"/>
      <c r="K377" s="80" t="n"/>
      <c r="L377" s="81" t="n"/>
      <c r="M377" s="81" t="n"/>
      <c r="N377" s="89" t="n"/>
      <c r="O377" s="84" t="n"/>
      <c r="P377" s="85" t="n"/>
    </row>
    <row r="378" customFormat="1" s="78">
      <c r="A378" s="97" t="n"/>
      <c r="B378" s="97" t="n"/>
      <c r="C378" s="97" t="n"/>
      <c r="D378" s="98" t="n"/>
      <c r="E378" s="98" t="n"/>
      <c r="F378" s="40" t="n"/>
      <c r="J378" s="79" t="n"/>
      <c r="K378" s="80" t="n"/>
      <c r="L378" s="81" t="n"/>
      <c r="M378" s="81" t="n"/>
      <c r="N378" s="89" t="n"/>
      <c r="O378" s="84" t="n"/>
      <c r="P378" s="85" t="n"/>
    </row>
    <row r="379" customFormat="1" s="78">
      <c r="A379" s="97" t="n"/>
      <c r="B379" s="97" t="n"/>
      <c r="C379" s="97" t="n"/>
      <c r="D379" s="98" t="n"/>
      <c r="E379" s="98" t="n"/>
      <c r="F379" s="40" t="n"/>
      <c r="J379" s="79" t="n"/>
      <c r="K379" s="80" t="n"/>
      <c r="L379" s="81" t="n"/>
      <c r="M379" s="81" t="n"/>
      <c r="N379" s="89" t="n"/>
      <c r="O379" s="84" t="n"/>
      <c r="P379" s="85" t="n"/>
    </row>
    <row r="380" customFormat="1" s="78">
      <c r="A380" s="97" t="n"/>
      <c r="B380" s="97" t="n"/>
      <c r="C380" s="97" t="n"/>
      <c r="D380" s="98" t="n"/>
      <c r="E380" s="98" t="n"/>
      <c r="F380" s="40" t="n"/>
      <c r="J380" s="79" t="n"/>
      <c r="K380" s="80" t="n"/>
      <c r="L380" s="81" t="n"/>
      <c r="M380" s="81" t="n"/>
      <c r="N380" s="89" t="n"/>
      <c r="O380" s="84" t="n"/>
      <c r="P380" s="85" t="n"/>
    </row>
    <row r="381" customFormat="1" s="78">
      <c r="A381" s="97" t="n"/>
      <c r="B381" s="97" t="n"/>
      <c r="C381" s="97" t="n"/>
      <c r="D381" s="98" t="n"/>
      <c r="E381" s="98" t="n"/>
      <c r="F381" s="40" t="n"/>
      <c r="J381" s="79" t="n"/>
      <c r="K381" s="80" t="n"/>
      <c r="L381" s="81" t="n"/>
      <c r="M381" s="81" t="n"/>
      <c r="N381" s="89" t="n"/>
      <c r="O381" s="84" t="n"/>
      <c r="P381" s="85" t="n"/>
    </row>
    <row r="382" customFormat="1" s="78">
      <c r="A382" s="97" t="n"/>
      <c r="B382" s="97" t="n"/>
      <c r="C382" s="97" t="n"/>
      <c r="D382" s="98" t="n"/>
      <c r="E382" s="98" t="n"/>
      <c r="F382" s="40" t="n"/>
      <c r="J382" s="79" t="n"/>
      <c r="K382" s="80" t="n"/>
      <c r="L382" s="81" t="n"/>
      <c r="M382" s="81" t="n"/>
      <c r="N382" s="89" t="n"/>
      <c r="O382" s="84" t="n"/>
      <c r="P382" s="85" t="n"/>
    </row>
    <row r="383" customFormat="1" s="78">
      <c r="A383" s="97" t="n"/>
      <c r="B383" s="97" t="n"/>
      <c r="C383" s="97" t="n"/>
      <c r="D383" s="98" t="n"/>
      <c r="E383" s="98" t="n"/>
      <c r="F383" s="40" t="n"/>
      <c r="J383" s="79" t="n"/>
      <c r="K383" s="80" t="n"/>
      <c r="L383" s="81" t="n"/>
      <c r="M383" s="81" t="n"/>
      <c r="N383" s="89" t="n"/>
      <c r="O383" s="84" t="n"/>
      <c r="P383" s="85" t="n"/>
    </row>
    <row r="384" customFormat="1" s="78">
      <c r="A384" s="97" t="n"/>
      <c r="B384" s="97" t="n"/>
      <c r="C384" s="97" t="n"/>
      <c r="D384" s="98" t="n"/>
      <c r="E384" s="98" t="n"/>
      <c r="F384" s="40" t="n"/>
      <c r="J384" s="79" t="n"/>
      <c r="K384" s="80" t="n"/>
      <c r="L384" s="81" t="n"/>
      <c r="M384" s="81" t="n"/>
      <c r="N384" s="89" t="n"/>
      <c r="O384" s="84" t="n"/>
      <c r="P384" s="85" t="n"/>
    </row>
    <row r="385" customFormat="1" s="78">
      <c r="A385" s="97" t="n"/>
      <c r="B385" s="97" t="n"/>
      <c r="C385" s="97" t="n"/>
      <c r="D385" s="98" t="n"/>
      <c r="E385" s="98" t="n"/>
      <c r="F385" s="40" t="n"/>
      <c r="J385" s="79" t="n"/>
      <c r="K385" s="80" t="n"/>
      <c r="L385" s="81" t="n"/>
      <c r="M385" s="81" t="n"/>
      <c r="N385" s="89" t="n"/>
      <c r="O385" s="84" t="n"/>
      <c r="P385" s="85" t="n"/>
    </row>
    <row r="386" customFormat="1" s="78">
      <c r="A386" s="97" t="n"/>
      <c r="B386" s="97" t="n"/>
      <c r="C386" s="97" t="n"/>
      <c r="D386" s="98" t="n"/>
      <c r="E386" s="98" t="n"/>
      <c r="F386" s="40" t="n"/>
      <c r="J386" s="79" t="n"/>
      <c r="K386" s="80" t="n"/>
      <c r="L386" s="81" t="n"/>
      <c r="M386" s="81" t="n"/>
      <c r="N386" s="89" t="n"/>
      <c r="O386" s="84" t="n"/>
      <c r="P386" s="85" t="n"/>
    </row>
    <row r="387" customFormat="1" s="78">
      <c r="A387" s="97" t="n"/>
      <c r="B387" s="97" t="n"/>
      <c r="C387" s="97" t="n"/>
      <c r="D387" s="98" t="n"/>
      <c r="E387" s="98" t="n"/>
      <c r="F387" s="40" t="n"/>
      <c r="J387" s="79" t="n"/>
      <c r="K387" s="80" t="n"/>
      <c r="L387" s="81" t="n"/>
      <c r="M387" s="81" t="n"/>
      <c r="N387" s="89" t="n"/>
      <c r="O387" s="84" t="n"/>
      <c r="P387" s="85" t="n"/>
    </row>
    <row r="388" customFormat="1" s="78">
      <c r="A388" s="97" t="n"/>
      <c r="B388" s="97" t="n"/>
      <c r="C388" s="97" t="n"/>
      <c r="D388" s="98" t="n"/>
      <c r="E388" s="98" t="n"/>
      <c r="F388" s="40" t="n"/>
      <c r="J388" s="79" t="n"/>
      <c r="K388" s="80" t="n"/>
      <c r="L388" s="81" t="n"/>
      <c r="M388" s="81" t="n"/>
      <c r="N388" s="89" t="n"/>
      <c r="O388" s="84" t="n"/>
      <c r="P388" s="85" t="n"/>
    </row>
    <row r="389" customFormat="1" s="78">
      <c r="A389" s="97" t="n"/>
      <c r="B389" s="97" t="n"/>
      <c r="C389" s="97" t="n"/>
      <c r="D389" s="98" t="n"/>
      <c r="E389" s="98" t="n"/>
      <c r="F389" s="40" t="n"/>
      <c r="J389" s="79" t="n"/>
      <c r="K389" s="80" t="n"/>
      <c r="L389" s="81" t="n"/>
      <c r="M389" s="81" t="n"/>
      <c r="N389" s="89" t="n"/>
      <c r="O389" s="84" t="n"/>
      <c r="P389" s="85" t="n"/>
    </row>
    <row r="390" customFormat="1" s="78">
      <c r="A390" s="97" t="n"/>
      <c r="B390" s="97" t="n"/>
      <c r="C390" s="97" t="n"/>
      <c r="D390" s="98" t="n"/>
      <c r="E390" s="98" t="n"/>
      <c r="F390" s="40" t="n"/>
      <c r="J390" s="79" t="n"/>
      <c r="K390" s="80" t="n"/>
      <c r="L390" s="81" t="n"/>
      <c r="M390" s="81" t="n"/>
      <c r="N390" s="89" t="n"/>
      <c r="O390" s="84" t="n"/>
      <c r="P390" s="85" t="n"/>
    </row>
    <row r="391" customFormat="1" s="78">
      <c r="A391" s="97" t="n"/>
      <c r="B391" s="97" t="n"/>
      <c r="C391" s="97" t="n"/>
      <c r="D391" s="98" t="n"/>
      <c r="E391" s="98" t="n"/>
      <c r="F391" s="40" t="n"/>
      <c r="J391" s="79" t="n"/>
      <c r="K391" s="80" t="n"/>
      <c r="L391" s="81" t="n"/>
      <c r="M391" s="81" t="n"/>
      <c r="N391" s="89" t="n"/>
      <c r="O391" s="84" t="n"/>
      <c r="P391" s="85" t="n"/>
    </row>
    <row r="392" customFormat="1" s="78">
      <c r="A392" s="97" t="n"/>
      <c r="B392" s="97" t="n"/>
      <c r="C392" s="97" t="n"/>
      <c r="D392" s="98" t="n"/>
      <c r="E392" s="98" t="n"/>
      <c r="F392" s="40" t="n"/>
      <c r="J392" s="79" t="n"/>
      <c r="K392" s="80" t="n"/>
      <c r="L392" s="81" t="n"/>
      <c r="M392" s="81" t="n"/>
      <c r="N392" s="89" t="n"/>
      <c r="O392" s="84" t="n"/>
      <c r="P392" s="85" t="n"/>
    </row>
    <row r="393" customFormat="1" s="78">
      <c r="A393" s="97" t="n"/>
      <c r="B393" s="97" t="n"/>
      <c r="C393" s="97" t="n"/>
      <c r="D393" s="98" t="n"/>
      <c r="E393" s="98" t="n"/>
      <c r="F393" s="40" t="n"/>
      <c r="J393" s="79" t="n"/>
      <c r="K393" s="80" t="n"/>
      <c r="L393" s="81" t="n"/>
      <c r="M393" s="81" t="n"/>
      <c r="N393" s="89" t="n"/>
      <c r="O393" s="84" t="n"/>
      <c r="P393" s="85" t="n"/>
    </row>
    <row r="394" customFormat="1" s="78">
      <c r="A394" s="97" t="n"/>
      <c r="B394" s="97" t="n"/>
      <c r="C394" s="97" t="n"/>
      <c r="D394" s="98" t="n"/>
      <c r="E394" s="98" t="n"/>
      <c r="F394" s="40" t="n"/>
      <c r="J394" s="79" t="n"/>
      <c r="K394" s="80" t="n"/>
      <c r="L394" s="81" t="n"/>
      <c r="M394" s="81" t="n"/>
      <c r="N394" s="89" t="n"/>
      <c r="O394" s="84" t="n"/>
      <c r="P394" s="85" t="n"/>
    </row>
    <row r="395" customFormat="1" s="78">
      <c r="A395" s="97" t="n"/>
      <c r="B395" s="97" t="n"/>
      <c r="C395" s="97" t="n"/>
      <c r="D395" s="98" t="n"/>
      <c r="E395" s="98" t="n"/>
      <c r="F395" s="40" t="n"/>
      <c r="J395" s="79" t="n"/>
      <c r="K395" s="80" t="n"/>
      <c r="L395" s="81" t="n"/>
      <c r="M395" s="81" t="n"/>
      <c r="N395" s="89" t="n"/>
      <c r="O395" s="84" t="n"/>
      <c r="P395" s="85" t="n"/>
    </row>
    <row r="396" customFormat="1" s="78">
      <c r="A396" s="97" t="n"/>
      <c r="B396" s="97" t="n"/>
      <c r="C396" s="97" t="n"/>
      <c r="D396" s="98" t="n"/>
      <c r="E396" s="98" t="n"/>
      <c r="F396" s="40" t="n"/>
      <c r="J396" s="79" t="n"/>
      <c r="K396" s="80" t="n"/>
      <c r="L396" s="81" t="n"/>
      <c r="M396" s="81" t="n"/>
      <c r="N396" s="89" t="n"/>
      <c r="O396" s="84" t="n"/>
      <c r="P396" s="85" t="n"/>
    </row>
    <row r="397" customFormat="1" s="78">
      <c r="A397" s="97" t="n"/>
      <c r="B397" s="97" t="n"/>
      <c r="C397" s="97" t="n"/>
      <c r="D397" s="98" t="n"/>
      <c r="E397" s="98" t="n"/>
      <c r="F397" s="40" t="n"/>
      <c r="J397" s="79" t="n"/>
      <c r="K397" s="80" t="n"/>
      <c r="L397" s="81" t="n"/>
      <c r="M397" s="81" t="n"/>
      <c r="N397" s="89" t="n"/>
      <c r="O397" s="84" t="n"/>
      <c r="P397" s="85" t="n"/>
    </row>
    <row r="398" customFormat="1" s="78">
      <c r="A398" s="97" t="n"/>
      <c r="B398" s="97" t="n"/>
      <c r="C398" s="97" t="n"/>
      <c r="D398" s="98" t="n"/>
      <c r="E398" s="98" t="n"/>
      <c r="F398" s="40" t="n"/>
      <c r="J398" s="79" t="n"/>
      <c r="K398" s="80" t="n"/>
      <c r="L398" s="81" t="n"/>
      <c r="M398" s="81" t="n"/>
      <c r="N398" s="89" t="n"/>
      <c r="O398" s="84" t="n"/>
      <c r="P398" s="85" t="n"/>
    </row>
    <row r="399" customFormat="1" s="78">
      <c r="A399" s="97" t="n"/>
      <c r="B399" s="97" t="n"/>
      <c r="C399" s="97" t="n"/>
      <c r="D399" s="98" t="n"/>
      <c r="E399" s="98" t="n"/>
      <c r="F399" s="40" t="n"/>
      <c r="J399" s="79" t="n"/>
      <c r="K399" s="80" t="n"/>
      <c r="L399" s="81" t="n"/>
      <c r="M399" s="81" t="n"/>
      <c r="N399" s="89" t="n"/>
      <c r="O399" s="84" t="n"/>
      <c r="P399" s="85" t="n"/>
    </row>
    <row r="400" customFormat="1" s="78">
      <c r="A400" s="97" t="n"/>
      <c r="B400" s="97" t="n"/>
      <c r="C400" s="97" t="n"/>
      <c r="D400" s="98" t="n"/>
      <c r="E400" s="98" t="n"/>
      <c r="F400" s="40" t="n"/>
      <c r="J400" s="79" t="n"/>
      <c r="K400" s="80" t="n"/>
      <c r="L400" s="81" t="n"/>
      <c r="M400" s="81" t="n"/>
      <c r="N400" s="89" t="n"/>
      <c r="O400" s="84" t="n"/>
      <c r="P400" s="85" t="n"/>
    </row>
    <row r="401" customFormat="1" s="78">
      <c r="A401" s="97" t="n"/>
      <c r="B401" s="97" t="n"/>
      <c r="C401" s="97" t="n"/>
      <c r="D401" s="98" t="n"/>
      <c r="E401" s="98" t="n"/>
      <c r="F401" s="40" t="n"/>
      <c r="J401" s="79" t="n"/>
      <c r="K401" s="80" t="n"/>
      <c r="L401" s="81" t="n"/>
      <c r="M401" s="81" t="n"/>
      <c r="N401" s="89" t="n"/>
      <c r="O401" s="84" t="n"/>
      <c r="P401" s="85" t="n"/>
    </row>
    <row r="402" customFormat="1" s="78">
      <c r="A402" s="97" t="n"/>
      <c r="B402" s="97" t="n"/>
      <c r="C402" s="97" t="n"/>
      <c r="D402" s="98" t="n"/>
      <c r="E402" s="98" t="n"/>
      <c r="F402" s="40" t="n"/>
      <c r="J402" s="79" t="n"/>
      <c r="K402" s="80" t="n"/>
      <c r="L402" s="81" t="n"/>
      <c r="M402" s="81" t="n"/>
      <c r="N402" s="89" t="n"/>
      <c r="O402" s="84" t="n"/>
      <c r="P402" s="85" t="n"/>
    </row>
    <row r="403" customFormat="1" s="78">
      <c r="A403" s="97" t="n"/>
      <c r="B403" s="97" t="n"/>
      <c r="C403" s="97" t="n"/>
      <c r="D403" s="98" t="n"/>
      <c r="E403" s="98" t="n"/>
      <c r="F403" s="40" t="n"/>
      <c r="J403" s="79" t="n"/>
      <c r="K403" s="80" t="n"/>
      <c r="L403" s="81" t="n"/>
      <c r="M403" s="81" t="n"/>
      <c r="N403" s="89" t="n"/>
      <c r="O403" s="84" t="n"/>
      <c r="P403" s="85" t="n"/>
    </row>
    <row r="404" customFormat="1" s="78">
      <c r="A404" s="97" t="n"/>
      <c r="B404" s="97" t="n"/>
      <c r="C404" s="97" t="n"/>
      <c r="D404" s="98" t="n"/>
      <c r="E404" s="98" t="n"/>
      <c r="F404" s="40" t="n"/>
      <c r="J404" s="79" t="n"/>
      <c r="K404" s="80" t="n"/>
      <c r="L404" s="81" t="n"/>
      <c r="M404" s="81" t="n"/>
      <c r="N404" s="89" t="n"/>
      <c r="O404" s="84" t="n"/>
      <c r="P404" s="85" t="n"/>
    </row>
    <row r="405" customFormat="1" s="78">
      <c r="A405" s="97" t="n"/>
      <c r="B405" s="97" t="n"/>
      <c r="C405" s="97" t="n"/>
      <c r="D405" s="98" t="n"/>
      <c r="E405" s="98" t="n"/>
      <c r="F405" s="40" t="n"/>
      <c r="J405" s="79" t="n"/>
      <c r="K405" s="80" t="n"/>
      <c r="L405" s="81" t="n"/>
      <c r="M405" s="81" t="n"/>
      <c r="N405" s="89" t="n"/>
      <c r="O405" s="84" t="n"/>
      <c r="P405" s="85" t="n"/>
    </row>
    <row r="406" customFormat="1" s="78">
      <c r="A406" s="97" t="n"/>
      <c r="B406" s="97" t="n"/>
      <c r="C406" s="97" t="n"/>
      <c r="D406" s="98" t="n"/>
      <c r="E406" s="98" t="n"/>
      <c r="F406" s="40" t="n"/>
      <c r="J406" s="79" t="n"/>
      <c r="K406" s="80" t="n"/>
      <c r="L406" s="81" t="n"/>
      <c r="M406" s="81" t="n"/>
      <c r="N406" s="89" t="n"/>
      <c r="O406" s="84" t="n"/>
      <c r="P406" s="85" t="n"/>
    </row>
    <row r="407" customFormat="1" s="78">
      <c r="A407" s="97" t="n"/>
      <c r="B407" s="97" t="n"/>
      <c r="C407" s="97" t="n"/>
      <c r="D407" s="98" t="n"/>
      <c r="E407" s="98" t="n"/>
      <c r="F407" s="40" t="n"/>
      <c r="J407" s="79" t="n"/>
      <c r="K407" s="80" t="n"/>
      <c r="L407" s="81" t="n"/>
      <c r="M407" s="81" t="n"/>
      <c r="N407" s="89" t="n"/>
      <c r="O407" s="84" t="n"/>
      <c r="P407" s="85" t="n"/>
    </row>
    <row r="408" customFormat="1" s="78">
      <c r="A408" s="97" t="n"/>
      <c r="B408" s="97" t="n"/>
      <c r="C408" s="97" t="n"/>
      <c r="D408" s="98" t="n"/>
      <c r="E408" s="98" t="n"/>
      <c r="F408" s="40" t="n"/>
      <c r="J408" s="79" t="n"/>
      <c r="K408" s="80" t="n"/>
      <c r="L408" s="81" t="n"/>
      <c r="M408" s="81" t="n"/>
      <c r="N408" s="89" t="n"/>
      <c r="O408" s="84" t="n"/>
      <c r="P408" s="85" t="n"/>
    </row>
    <row r="409" customFormat="1" s="78">
      <c r="A409" s="97" t="n"/>
      <c r="B409" s="97" t="n"/>
      <c r="C409" s="97" t="n"/>
      <c r="D409" s="98" t="n"/>
      <c r="E409" s="98" t="n"/>
      <c r="F409" s="40" t="n"/>
      <c r="J409" s="79" t="n"/>
      <c r="K409" s="80" t="n"/>
      <c r="L409" s="81" t="n"/>
      <c r="M409" s="81" t="n"/>
      <c r="N409" s="89" t="n"/>
      <c r="O409" s="84" t="n"/>
      <c r="P409" s="85" t="n"/>
    </row>
    <row r="410" customFormat="1" s="78">
      <c r="A410" s="97" t="n"/>
      <c r="B410" s="97" t="n"/>
      <c r="C410" s="97" t="n"/>
      <c r="D410" s="98" t="n"/>
      <c r="E410" s="98" t="n"/>
      <c r="F410" s="40" t="n"/>
      <c r="J410" s="79" t="n"/>
      <c r="K410" s="80" t="n"/>
      <c r="L410" s="81" t="n"/>
      <c r="M410" s="81" t="n"/>
      <c r="N410" s="89" t="n"/>
      <c r="O410" s="84" t="n"/>
      <c r="P410" s="85" t="n"/>
    </row>
    <row r="411" customFormat="1" s="78">
      <c r="A411" s="97" t="n"/>
      <c r="B411" s="97" t="n"/>
      <c r="C411" s="97" t="n"/>
      <c r="D411" s="98" t="n"/>
      <c r="E411" s="98" t="n"/>
      <c r="F411" s="40" t="n"/>
      <c r="J411" s="79" t="n"/>
      <c r="K411" s="80" t="n"/>
      <c r="L411" s="81" t="n"/>
      <c r="M411" s="81" t="n"/>
      <c r="N411" s="89" t="n"/>
      <c r="O411" s="84" t="n"/>
      <c r="P411" s="85" t="n"/>
    </row>
    <row r="412" customFormat="1" s="78">
      <c r="A412" s="97" t="n"/>
      <c r="B412" s="97" t="n"/>
      <c r="C412" s="97" t="n"/>
      <c r="D412" s="98" t="n"/>
      <c r="E412" s="98" t="n"/>
      <c r="F412" s="40" t="n"/>
      <c r="J412" s="79" t="n"/>
      <c r="K412" s="80" t="n"/>
      <c r="L412" s="81" t="n"/>
      <c r="M412" s="81" t="n"/>
      <c r="N412" s="89" t="n"/>
      <c r="O412" s="84" t="n"/>
      <c r="P412" s="85" t="n"/>
    </row>
    <row r="413" customFormat="1" s="78">
      <c r="A413" s="97" t="n"/>
      <c r="B413" s="97" t="n"/>
      <c r="C413" s="97" t="n"/>
      <c r="D413" s="98" t="n"/>
      <c r="E413" s="98" t="n"/>
      <c r="F413" s="40" t="n"/>
      <c r="J413" s="79" t="n"/>
      <c r="K413" s="80" t="n"/>
      <c r="L413" s="81" t="n"/>
      <c r="M413" s="81" t="n"/>
      <c r="N413" s="89" t="n"/>
      <c r="O413" s="84" t="n"/>
      <c r="P413" s="85" t="n"/>
    </row>
    <row r="414" customFormat="1" s="78">
      <c r="A414" s="97" t="n"/>
      <c r="B414" s="97" t="n"/>
      <c r="C414" s="97" t="n"/>
      <c r="D414" s="98" t="n"/>
      <c r="E414" s="98" t="n"/>
      <c r="F414" s="40" t="n"/>
      <c r="J414" s="79" t="n"/>
      <c r="K414" s="80" t="n"/>
      <c r="L414" s="81" t="n"/>
      <c r="M414" s="81" t="n"/>
      <c r="N414" s="89" t="n"/>
      <c r="O414" s="84" t="n"/>
      <c r="P414" s="85" t="n"/>
    </row>
    <row r="415" customFormat="1" s="78">
      <c r="A415" s="97" t="n"/>
      <c r="B415" s="97" t="n"/>
      <c r="C415" s="97" t="n"/>
      <c r="D415" s="98" t="n"/>
      <c r="E415" s="98" t="n"/>
      <c r="F415" s="40" t="n"/>
      <c r="J415" s="79" t="n"/>
      <c r="K415" s="80" t="n"/>
      <c r="L415" s="81" t="n"/>
      <c r="M415" s="81" t="n"/>
      <c r="N415" s="89" t="n"/>
      <c r="O415" s="84" t="n"/>
      <c r="P415" s="85" t="n"/>
    </row>
    <row r="416" customFormat="1" s="78">
      <c r="A416" s="97" t="n"/>
      <c r="B416" s="97" t="n"/>
      <c r="C416" s="97" t="n"/>
      <c r="D416" s="98" t="n"/>
      <c r="E416" s="98" t="n"/>
      <c r="F416" s="40" t="n"/>
      <c r="J416" s="79" t="n"/>
      <c r="K416" s="80" t="n"/>
      <c r="L416" s="81" t="n"/>
      <c r="M416" s="81" t="n"/>
      <c r="N416" s="89" t="n"/>
      <c r="O416" s="84" t="n"/>
      <c r="P416" s="85" t="n"/>
    </row>
    <row r="417" customFormat="1" s="78">
      <c r="A417" s="97" t="n"/>
      <c r="B417" s="97" t="n"/>
      <c r="C417" s="97" t="n"/>
      <c r="D417" s="98" t="n"/>
      <c r="E417" s="98" t="n"/>
      <c r="F417" s="40" t="n"/>
      <c r="J417" s="79" t="n"/>
      <c r="K417" s="80" t="n"/>
      <c r="L417" s="81" t="n"/>
      <c r="M417" s="81" t="n"/>
      <c r="N417" s="89" t="n"/>
      <c r="O417" s="84" t="n"/>
      <c r="P417" s="85" t="n"/>
    </row>
    <row r="418" customFormat="1" s="78">
      <c r="A418" s="97" t="n"/>
      <c r="B418" s="97" t="n"/>
      <c r="C418" s="97" t="n"/>
      <c r="D418" s="98" t="n"/>
      <c r="E418" s="98" t="n"/>
      <c r="F418" s="40" t="n"/>
      <c r="J418" s="79" t="n"/>
      <c r="K418" s="80" t="n"/>
      <c r="L418" s="81" t="n"/>
      <c r="M418" s="81" t="n"/>
      <c r="N418" s="89" t="n"/>
      <c r="O418" s="84" t="n"/>
      <c r="P418" s="85" t="n"/>
    </row>
    <row r="419" customFormat="1" s="78">
      <c r="A419" s="97" t="n"/>
      <c r="B419" s="97" t="n"/>
      <c r="C419" s="97" t="n"/>
      <c r="D419" s="98" t="n"/>
      <c r="E419" s="98" t="n"/>
      <c r="F419" s="40" t="n"/>
      <c r="J419" s="79" t="n"/>
      <c r="K419" s="80" t="n"/>
      <c r="L419" s="81" t="n"/>
      <c r="M419" s="81" t="n"/>
      <c r="N419" s="89" t="n"/>
      <c r="O419" s="84" t="n"/>
      <c r="P419" s="85" t="n"/>
    </row>
    <row r="420" customFormat="1" s="78">
      <c r="A420" s="97" t="n"/>
      <c r="B420" s="97" t="n"/>
      <c r="C420" s="97" t="n"/>
      <c r="D420" s="98" t="n"/>
      <c r="E420" s="98" t="n"/>
      <c r="F420" s="40" t="n"/>
      <c r="J420" s="79" t="n"/>
      <c r="K420" s="80" t="n"/>
      <c r="L420" s="81" t="n"/>
      <c r="M420" s="81" t="n"/>
      <c r="N420" s="89" t="n"/>
      <c r="O420" s="84" t="n"/>
      <c r="P420" s="85" t="n"/>
    </row>
    <row r="421" customFormat="1" s="78">
      <c r="A421" s="97" t="n"/>
      <c r="B421" s="97" t="n"/>
      <c r="C421" s="97" t="n"/>
      <c r="D421" s="98" t="n"/>
      <c r="E421" s="98" t="n"/>
      <c r="F421" s="40" t="n"/>
      <c r="J421" s="79" t="n"/>
      <c r="K421" s="80" t="n"/>
      <c r="L421" s="81" t="n"/>
      <c r="M421" s="81" t="n"/>
      <c r="N421" s="89" t="n"/>
      <c r="O421" s="84" t="n"/>
      <c r="P421" s="85" t="n"/>
    </row>
    <row r="422" customFormat="1" s="78">
      <c r="A422" s="97" t="n"/>
      <c r="B422" s="97" t="n"/>
      <c r="C422" s="97" t="n"/>
      <c r="D422" s="98" t="n"/>
      <c r="E422" s="98" t="n"/>
      <c r="F422" s="40" t="n"/>
      <c r="J422" s="79" t="n"/>
      <c r="K422" s="80" t="n"/>
      <c r="L422" s="81" t="n"/>
      <c r="M422" s="81" t="n"/>
      <c r="N422" s="89" t="n"/>
      <c r="O422" s="84" t="n"/>
      <c r="P422" s="85" t="n"/>
    </row>
    <row r="423" customFormat="1" s="78">
      <c r="A423" s="97" t="n"/>
      <c r="B423" s="97" t="n"/>
      <c r="C423" s="97" t="n"/>
      <c r="D423" s="98" t="n"/>
      <c r="E423" s="98" t="n"/>
      <c r="F423" s="40" t="n"/>
      <c r="J423" s="79" t="n"/>
      <c r="K423" s="80" t="n"/>
      <c r="L423" s="81" t="n"/>
      <c r="M423" s="81" t="n"/>
      <c r="N423" s="89" t="n"/>
      <c r="O423" s="84" t="n"/>
      <c r="P423" s="85" t="n"/>
    </row>
    <row r="424" customFormat="1" s="78">
      <c r="A424" s="97" t="n"/>
      <c r="B424" s="97" t="n"/>
      <c r="C424" s="97" t="n"/>
      <c r="D424" s="98" t="n"/>
      <c r="E424" s="98" t="n"/>
      <c r="F424" s="40" t="n"/>
      <c r="J424" s="79" t="n"/>
      <c r="K424" s="80" t="n"/>
      <c r="L424" s="81" t="n"/>
      <c r="M424" s="81" t="n"/>
      <c r="N424" s="89" t="n"/>
      <c r="O424" s="84" t="n"/>
      <c r="P424" s="85" t="n"/>
    </row>
    <row r="425" customFormat="1" s="78">
      <c r="A425" s="97" t="n"/>
      <c r="B425" s="97" t="n"/>
      <c r="C425" s="97" t="n"/>
      <c r="D425" s="98" t="n"/>
      <c r="E425" s="98" t="n"/>
      <c r="F425" s="40" t="n"/>
      <c r="J425" s="79" t="n"/>
      <c r="K425" s="80" t="n"/>
      <c r="L425" s="81" t="n"/>
      <c r="M425" s="81" t="n"/>
      <c r="N425" s="89" t="n"/>
      <c r="O425" s="84" t="n"/>
      <c r="P425" s="85" t="n"/>
    </row>
    <row r="426" customFormat="1" s="78">
      <c r="A426" s="97" t="n"/>
      <c r="B426" s="97" t="n"/>
      <c r="C426" s="97" t="n"/>
      <c r="D426" s="98" t="n"/>
      <c r="E426" s="98" t="n"/>
      <c r="F426" s="40" t="n"/>
      <c r="J426" s="79" t="n"/>
      <c r="K426" s="80" t="n"/>
      <c r="L426" s="81" t="n"/>
      <c r="M426" s="81" t="n"/>
      <c r="N426" s="89" t="n"/>
      <c r="O426" s="84" t="n"/>
      <c r="P426" s="85" t="n"/>
    </row>
    <row r="427" customFormat="1" s="78">
      <c r="A427" s="97" t="n"/>
      <c r="B427" s="97" t="n"/>
      <c r="C427" s="97" t="n"/>
      <c r="D427" s="98" t="n"/>
      <c r="E427" s="98" t="n"/>
      <c r="F427" s="40" t="n"/>
      <c r="J427" s="79" t="n"/>
      <c r="K427" s="80" t="n"/>
      <c r="L427" s="81" t="n"/>
      <c r="M427" s="81" t="n"/>
      <c r="N427" s="89" t="n"/>
      <c r="O427" s="84" t="n"/>
      <c r="P427" s="85" t="n"/>
    </row>
    <row r="428" customFormat="1" s="78">
      <c r="A428" s="97" t="n"/>
      <c r="B428" s="97" t="n"/>
      <c r="C428" s="97" t="n"/>
      <c r="D428" s="98" t="n"/>
      <c r="E428" s="98" t="n"/>
      <c r="F428" s="40" t="n"/>
      <c r="J428" s="79" t="n"/>
      <c r="K428" s="80" t="n"/>
      <c r="L428" s="81" t="n"/>
      <c r="M428" s="81" t="n"/>
      <c r="N428" s="89" t="n"/>
      <c r="O428" s="84" t="n"/>
      <c r="P428" s="85" t="n"/>
    </row>
    <row r="429" customFormat="1" s="78">
      <c r="A429" s="97" t="n"/>
      <c r="B429" s="97" t="n"/>
      <c r="C429" s="97" t="n"/>
      <c r="D429" s="98" t="n"/>
      <c r="E429" s="98" t="n"/>
      <c r="F429" s="40" t="n"/>
      <c r="J429" s="79" t="n"/>
      <c r="K429" s="80" t="n"/>
      <c r="L429" s="81" t="n"/>
      <c r="M429" s="81" t="n"/>
      <c r="N429" s="89" t="n"/>
      <c r="O429" s="84" t="n"/>
      <c r="P429" s="85" t="n"/>
    </row>
    <row r="430" customFormat="1" s="78">
      <c r="A430" s="97" t="n"/>
      <c r="B430" s="97" t="n"/>
      <c r="C430" s="97" t="n"/>
      <c r="D430" s="98" t="n"/>
      <c r="E430" s="98" t="n"/>
      <c r="F430" s="40" t="n"/>
      <c r="J430" s="79" t="n"/>
      <c r="K430" s="80" t="n"/>
      <c r="L430" s="81" t="n"/>
      <c r="M430" s="81" t="n"/>
      <c r="N430" s="89" t="n"/>
      <c r="O430" s="84" t="n"/>
      <c r="P430" s="85" t="n"/>
    </row>
    <row r="431" customFormat="1" s="78">
      <c r="A431" s="97" t="n"/>
      <c r="B431" s="97" t="n"/>
      <c r="C431" s="97" t="n"/>
      <c r="D431" s="98" t="n"/>
      <c r="E431" s="98" t="n"/>
      <c r="F431" s="40" t="n"/>
      <c r="J431" s="79" t="n"/>
      <c r="K431" s="80" t="n"/>
      <c r="L431" s="81" t="n"/>
      <c r="M431" s="81" t="n"/>
      <c r="N431" s="89" t="n"/>
      <c r="O431" s="84" t="n"/>
      <c r="P431" s="85" t="n"/>
    </row>
    <row r="432" customFormat="1" s="78">
      <c r="A432" s="97" t="n"/>
      <c r="B432" s="97" t="n"/>
      <c r="C432" s="97" t="n"/>
      <c r="D432" s="98" t="n"/>
      <c r="E432" s="98" t="n"/>
      <c r="F432" s="40" t="n"/>
      <c r="J432" s="79" t="n"/>
      <c r="K432" s="80" t="n"/>
      <c r="L432" s="81" t="n"/>
      <c r="M432" s="81" t="n"/>
      <c r="N432" s="89" t="n"/>
      <c r="O432" s="84" t="n"/>
      <c r="P432" s="85" t="n"/>
    </row>
    <row r="433" customFormat="1" s="78">
      <c r="A433" s="97" t="n"/>
      <c r="B433" s="97" t="n"/>
      <c r="C433" s="97" t="n"/>
      <c r="D433" s="98" t="n"/>
      <c r="E433" s="98" t="n"/>
      <c r="F433" s="40" t="n"/>
      <c r="J433" s="79" t="n"/>
      <c r="K433" s="80" t="n"/>
      <c r="L433" s="81" t="n"/>
      <c r="M433" s="81" t="n"/>
      <c r="N433" s="89" t="n"/>
      <c r="O433" s="84" t="n"/>
      <c r="P433" s="85" t="n"/>
    </row>
    <row r="434" customFormat="1" s="78">
      <c r="A434" s="97" t="n"/>
      <c r="B434" s="97" t="n"/>
      <c r="C434" s="97" t="n"/>
      <c r="D434" s="98" t="n"/>
      <c r="E434" s="98" t="n"/>
      <c r="F434" s="40" t="n"/>
      <c r="J434" s="79" t="n"/>
      <c r="K434" s="80" t="n"/>
      <c r="L434" s="81" t="n"/>
      <c r="M434" s="81" t="n"/>
      <c r="N434" s="89" t="n"/>
      <c r="O434" s="84" t="n"/>
      <c r="P434" s="85" t="n"/>
    </row>
    <row r="435" customFormat="1" s="78">
      <c r="A435" s="97" t="n"/>
      <c r="B435" s="97" t="n"/>
      <c r="C435" s="97" t="n"/>
      <c r="D435" s="98" t="n"/>
      <c r="E435" s="98" t="n"/>
      <c r="F435" s="40" t="n"/>
      <c r="J435" s="79" t="n"/>
      <c r="K435" s="80" t="n"/>
      <c r="L435" s="81" t="n"/>
      <c r="M435" s="81" t="n"/>
      <c r="N435" s="89" t="n"/>
      <c r="O435" s="84" t="n"/>
      <c r="P435" s="85" t="n"/>
    </row>
    <row r="436" customFormat="1" s="78">
      <c r="A436" s="97" t="n"/>
      <c r="B436" s="97" t="n"/>
      <c r="C436" s="97" t="n"/>
      <c r="D436" s="98" t="n"/>
      <c r="E436" s="98" t="n"/>
      <c r="F436" s="40" t="n"/>
      <c r="J436" s="79" t="n"/>
      <c r="K436" s="80" t="n"/>
      <c r="L436" s="81" t="n"/>
      <c r="M436" s="81" t="n"/>
      <c r="N436" s="89" t="n"/>
      <c r="O436" s="84" t="n"/>
      <c r="P436" s="85" t="n"/>
    </row>
    <row r="437" customFormat="1" s="78">
      <c r="A437" s="97" t="n"/>
      <c r="B437" s="97" t="n"/>
      <c r="C437" s="97" t="n"/>
      <c r="D437" s="98" t="n"/>
      <c r="E437" s="98" t="n"/>
      <c r="F437" s="40" t="n"/>
      <c r="J437" s="79" t="n"/>
      <c r="K437" s="80" t="n"/>
      <c r="L437" s="81" t="n"/>
      <c r="M437" s="81" t="n"/>
      <c r="N437" s="89" t="n"/>
      <c r="O437" s="84" t="n"/>
      <c r="P437" s="85" t="n"/>
    </row>
    <row r="438" customFormat="1" s="78">
      <c r="A438" s="97" t="n"/>
      <c r="B438" s="97" t="n"/>
      <c r="C438" s="97" t="n"/>
      <c r="D438" s="98" t="n"/>
      <c r="E438" s="98" t="n"/>
      <c r="F438" s="40" t="n"/>
      <c r="J438" s="79" t="n"/>
      <c r="K438" s="80" t="n"/>
      <c r="L438" s="81" t="n"/>
      <c r="M438" s="81" t="n"/>
      <c r="N438" s="89" t="n"/>
      <c r="O438" s="84" t="n"/>
      <c r="P438" s="85" t="n"/>
    </row>
    <row r="439" customFormat="1" s="78">
      <c r="A439" s="97" t="n"/>
      <c r="B439" s="97" t="n"/>
      <c r="C439" s="97" t="n"/>
      <c r="D439" s="98" t="n"/>
      <c r="E439" s="98" t="n"/>
      <c r="F439" s="40" t="n"/>
      <c r="J439" s="79" t="n"/>
      <c r="K439" s="80" t="n"/>
      <c r="L439" s="81" t="n"/>
      <c r="M439" s="81" t="n"/>
      <c r="N439" s="89" t="n"/>
      <c r="O439" s="84" t="n"/>
      <c r="P439" s="85" t="n"/>
    </row>
    <row r="440" customFormat="1" s="78">
      <c r="A440" s="97" t="n"/>
      <c r="B440" s="97" t="n"/>
      <c r="C440" s="97" t="n"/>
      <c r="D440" s="98" t="n"/>
      <c r="E440" s="98" t="n"/>
      <c r="F440" s="40" t="n"/>
      <c r="J440" s="79" t="n"/>
      <c r="K440" s="80" t="n"/>
      <c r="L440" s="81" t="n"/>
      <c r="M440" s="81" t="n"/>
      <c r="N440" s="89" t="n"/>
      <c r="O440" s="84" t="n"/>
      <c r="P440" s="85" t="n"/>
    </row>
    <row r="441" customFormat="1" s="78">
      <c r="A441" s="97" t="n"/>
      <c r="B441" s="97" t="n"/>
      <c r="C441" s="97" t="n"/>
      <c r="D441" s="98" t="n"/>
      <c r="E441" s="98" t="n"/>
      <c r="F441" s="40" t="n"/>
      <c r="J441" s="79" t="n"/>
      <c r="K441" s="80" t="n"/>
      <c r="L441" s="81" t="n"/>
      <c r="M441" s="81" t="n"/>
      <c r="N441" s="89" t="n"/>
      <c r="O441" s="84" t="n"/>
      <c r="P441" s="85" t="n"/>
    </row>
    <row r="442" customFormat="1" s="78">
      <c r="A442" s="97" t="n"/>
      <c r="B442" s="97" t="n"/>
      <c r="C442" s="97" t="n"/>
      <c r="D442" s="98" t="n"/>
      <c r="E442" s="98" t="n"/>
      <c r="F442" s="40" t="n"/>
      <c r="J442" s="79" t="n"/>
      <c r="K442" s="80" t="n"/>
      <c r="L442" s="81" t="n"/>
      <c r="M442" s="81" t="n"/>
      <c r="N442" s="89" t="n"/>
      <c r="O442" s="84" t="n"/>
      <c r="P442" s="85" t="n"/>
    </row>
    <row r="443" customFormat="1" s="78">
      <c r="A443" s="97" t="n"/>
      <c r="B443" s="97" t="n"/>
      <c r="C443" s="97" t="n"/>
      <c r="D443" s="98" t="n"/>
      <c r="E443" s="98" t="n"/>
      <c r="F443" s="40" t="n"/>
      <c r="J443" s="79" t="n"/>
      <c r="K443" s="80" t="n"/>
      <c r="L443" s="81" t="n"/>
      <c r="M443" s="81" t="n"/>
      <c r="N443" s="89" t="n"/>
      <c r="O443" s="84" t="n"/>
      <c r="P443" s="85" t="n"/>
    </row>
    <row r="444" customFormat="1" s="78">
      <c r="A444" s="97" t="n"/>
      <c r="B444" s="97" t="n"/>
      <c r="C444" s="97" t="n"/>
      <c r="D444" s="98" t="n"/>
      <c r="E444" s="98" t="n"/>
      <c r="F444" s="40" t="n"/>
      <c r="J444" s="79" t="n"/>
      <c r="K444" s="80" t="n"/>
      <c r="L444" s="81" t="n"/>
      <c r="M444" s="81" t="n"/>
      <c r="N444" s="89" t="n"/>
      <c r="O444" s="84" t="n"/>
      <c r="P444" s="85" t="n"/>
    </row>
    <row r="445" customFormat="1" s="78">
      <c r="A445" s="97" t="n"/>
      <c r="B445" s="97" t="n"/>
      <c r="C445" s="97" t="n"/>
      <c r="D445" s="98" t="n"/>
      <c r="E445" s="98" t="n"/>
      <c r="F445" s="40" t="n"/>
      <c r="J445" s="79" t="n"/>
      <c r="K445" s="80" t="n"/>
      <c r="L445" s="81" t="n"/>
      <c r="M445" s="81" t="n"/>
      <c r="N445" s="89" t="n"/>
      <c r="O445" s="84" t="n"/>
      <c r="P445" s="85" t="n"/>
    </row>
    <row r="446" customFormat="1" s="78">
      <c r="A446" s="97" t="n"/>
      <c r="B446" s="97" t="n"/>
      <c r="C446" s="97" t="n"/>
      <c r="D446" s="98" t="n"/>
      <c r="E446" s="98" t="n"/>
      <c r="F446" s="40" t="n"/>
      <c r="J446" s="79" t="n"/>
      <c r="K446" s="80" t="n"/>
      <c r="L446" s="81" t="n"/>
      <c r="M446" s="81" t="n"/>
      <c r="N446" s="89" t="n"/>
      <c r="O446" s="84" t="n"/>
      <c r="P446" s="85" t="n"/>
    </row>
    <row r="447" customFormat="1" s="78">
      <c r="A447" s="97" t="n"/>
      <c r="B447" s="97" t="n"/>
      <c r="C447" s="97" t="n"/>
      <c r="D447" s="98" t="n"/>
      <c r="E447" s="98" t="n"/>
      <c r="F447" s="40" t="n"/>
      <c r="J447" s="79" t="n"/>
      <c r="K447" s="80" t="n"/>
      <c r="L447" s="81" t="n"/>
      <c r="M447" s="81" t="n"/>
      <c r="N447" s="89" t="n"/>
      <c r="O447" s="84" t="n"/>
      <c r="P447" s="85" t="n"/>
    </row>
    <row r="448" customFormat="1" s="78">
      <c r="A448" s="97" t="n"/>
      <c r="B448" s="97" t="n"/>
      <c r="C448" s="97" t="n"/>
      <c r="D448" s="98" t="n"/>
      <c r="E448" s="98" t="n"/>
      <c r="F448" s="40" t="n"/>
      <c r="J448" s="79" t="n"/>
      <c r="K448" s="80" t="n"/>
      <c r="L448" s="81" t="n"/>
      <c r="M448" s="81" t="n"/>
      <c r="N448" s="89" t="n"/>
      <c r="O448" s="84" t="n"/>
      <c r="P448" s="85" t="n"/>
    </row>
    <row r="449" customFormat="1" s="78">
      <c r="A449" s="97" t="n"/>
      <c r="B449" s="97" t="n"/>
      <c r="C449" s="97" t="n"/>
      <c r="D449" s="98" t="n"/>
      <c r="E449" s="98" t="n"/>
      <c r="F449" s="40" t="n"/>
      <c r="J449" s="79" t="n"/>
      <c r="K449" s="80" t="n"/>
      <c r="L449" s="81" t="n"/>
      <c r="M449" s="81" t="n"/>
      <c r="N449" s="89" t="n"/>
      <c r="O449" s="84" t="n"/>
      <c r="P449" s="85" t="n"/>
    </row>
    <row r="450" customFormat="1" s="78">
      <c r="A450" s="97" t="n"/>
      <c r="B450" s="97" t="n"/>
      <c r="C450" s="97" t="n"/>
      <c r="D450" s="98" t="n"/>
      <c r="E450" s="98" t="n"/>
      <c r="F450" s="40" t="n"/>
      <c r="J450" s="79" t="n"/>
      <c r="K450" s="80" t="n"/>
      <c r="L450" s="81" t="n"/>
      <c r="M450" s="81" t="n"/>
      <c r="N450" s="89" t="n"/>
      <c r="O450" s="84" t="n"/>
      <c r="P450" s="85" t="n"/>
    </row>
    <row r="451" customFormat="1" s="78">
      <c r="A451" s="97" t="n"/>
      <c r="B451" s="97" t="n"/>
      <c r="C451" s="97" t="n"/>
      <c r="D451" s="98" t="n"/>
      <c r="E451" s="98" t="n"/>
      <c r="F451" s="40" t="n"/>
      <c r="J451" s="79" t="n"/>
      <c r="K451" s="80" t="n"/>
      <c r="L451" s="81" t="n"/>
      <c r="M451" s="81" t="n"/>
      <c r="N451" s="89" t="n"/>
      <c r="O451" s="84" t="n"/>
      <c r="P451" s="85" t="n"/>
    </row>
    <row r="452" customFormat="1" s="78">
      <c r="A452" s="97" t="n"/>
      <c r="B452" s="97" t="n"/>
      <c r="C452" s="97" t="n"/>
      <c r="D452" s="98" t="n"/>
      <c r="E452" s="98" t="n"/>
      <c r="F452" s="40" t="n"/>
      <c r="J452" s="79" t="n"/>
      <c r="K452" s="80" t="n"/>
      <c r="L452" s="81" t="n"/>
      <c r="M452" s="81" t="n"/>
      <c r="N452" s="89" t="n"/>
      <c r="O452" s="84" t="n"/>
      <c r="P452" s="85" t="n"/>
    </row>
    <row r="453" customFormat="1" s="78">
      <c r="A453" s="97" t="n"/>
      <c r="B453" s="97" t="n"/>
      <c r="C453" s="97" t="n"/>
      <c r="D453" s="98" t="n"/>
      <c r="E453" s="98" t="n"/>
      <c r="F453" s="40" t="n"/>
      <c r="J453" s="79" t="n"/>
      <c r="K453" s="80" t="n"/>
      <c r="L453" s="81" t="n"/>
      <c r="M453" s="81" t="n"/>
      <c r="N453" s="89" t="n"/>
      <c r="O453" s="84" t="n"/>
      <c r="P453" s="85" t="n"/>
    </row>
    <row r="454" customFormat="1" s="78">
      <c r="A454" s="97" t="n"/>
      <c r="B454" s="97" t="n"/>
      <c r="C454" s="97" t="n"/>
      <c r="D454" s="98" t="n"/>
      <c r="E454" s="98" t="n"/>
      <c r="F454" s="40" t="n"/>
      <c r="J454" s="79" t="n"/>
      <c r="K454" s="80" t="n"/>
      <c r="L454" s="81" t="n"/>
      <c r="M454" s="81" t="n"/>
      <c r="N454" s="89" t="n"/>
      <c r="O454" s="84" t="n"/>
      <c r="P454" s="85" t="n"/>
    </row>
    <row r="455" customFormat="1" s="78">
      <c r="A455" s="97" t="n"/>
      <c r="B455" s="97" t="n"/>
      <c r="C455" s="97" t="n"/>
      <c r="D455" s="98" t="n"/>
      <c r="E455" s="98" t="n"/>
      <c r="F455" s="40" t="n"/>
      <c r="J455" s="79" t="n"/>
      <c r="K455" s="80" t="n"/>
      <c r="L455" s="81" t="n"/>
      <c r="M455" s="81" t="n"/>
      <c r="N455" s="89" t="n"/>
      <c r="O455" s="84" t="n"/>
      <c r="P455" s="85" t="n"/>
    </row>
    <row r="456" customFormat="1" s="78">
      <c r="A456" s="97" t="n"/>
      <c r="B456" s="97" t="n"/>
      <c r="C456" s="97" t="n"/>
      <c r="D456" s="98" t="n"/>
      <c r="E456" s="98" t="n"/>
      <c r="F456" s="40" t="n"/>
      <c r="J456" s="79" t="n"/>
      <c r="K456" s="80" t="n"/>
      <c r="L456" s="81" t="n"/>
      <c r="M456" s="81" t="n"/>
      <c r="N456" s="89" t="n"/>
      <c r="O456" s="84" t="n"/>
      <c r="P456" s="85" t="n"/>
    </row>
    <row r="457" customFormat="1" s="78">
      <c r="A457" s="97" t="n"/>
      <c r="B457" s="97" t="n"/>
      <c r="C457" s="97" t="n"/>
      <c r="D457" s="98" t="n"/>
      <c r="E457" s="98" t="n"/>
      <c r="F457" s="40" t="n"/>
      <c r="J457" s="79" t="n"/>
      <c r="K457" s="80" t="n"/>
      <c r="L457" s="81" t="n"/>
      <c r="M457" s="81" t="n"/>
      <c r="N457" s="89" t="n"/>
      <c r="O457" s="84" t="n"/>
      <c r="P457" s="85" t="n"/>
    </row>
    <row r="458" customFormat="1" s="78">
      <c r="A458" s="97" t="n"/>
      <c r="B458" s="97" t="n"/>
      <c r="C458" s="97" t="n"/>
      <c r="D458" s="98" t="n"/>
      <c r="E458" s="98" t="n"/>
      <c r="F458" s="40" t="n"/>
      <c r="J458" s="79" t="n"/>
      <c r="K458" s="80" t="n"/>
      <c r="L458" s="81" t="n"/>
      <c r="M458" s="81" t="n"/>
      <c r="N458" s="89" t="n"/>
      <c r="O458" s="84" t="n"/>
      <c r="P458" s="85" t="n"/>
    </row>
    <row r="459" customFormat="1" s="78">
      <c r="A459" s="97" t="n"/>
      <c r="B459" s="97" t="n"/>
      <c r="C459" s="97" t="n"/>
      <c r="D459" s="98" t="n"/>
      <c r="E459" s="98" t="n"/>
      <c r="F459" s="40" t="n"/>
      <c r="J459" s="79" t="n"/>
      <c r="K459" s="80" t="n"/>
      <c r="L459" s="81" t="n"/>
      <c r="M459" s="81" t="n"/>
      <c r="N459" s="89" t="n"/>
      <c r="O459" s="84" t="n"/>
      <c r="P459" s="85" t="n"/>
    </row>
    <row r="460" customFormat="1" s="78">
      <c r="A460" s="97" t="n"/>
      <c r="B460" s="97" t="n"/>
      <c r="C460" s="97" t="n"/>
      <c r="D460" s="98" t="n"/>
      <c r="E460" s="98" t="n"/>
      <c r="F460" s="40" t="n"/>
      <c r="J460" s="79" t="n"/>
      <c r="K460" s="80" t="n"/>
      <c r="L460" s="81" t="n"/>
      <c r="M460" s="81" t="n"/>
      <c r="N460" s="89" t="n"/>
      <c r="O460" s="84" t="n"/>
      <c r="P460" s="85" t="n"/>
    </row>
    <row r="461" customFormat="1" s="78">
      <c r="A461" s="97" t="n"/>
      <c r="B461" s="97" t="n"/>
      <c r="C461" s="97" t="n"/>
      <c r="D461" s="98" t="n"/>
      <c r="E461" s="98" t="n"/>
      <c r="F461" s="40" t="n"/>
      <c r="J461" s="79" t="n"/>
      <c r="K461" s="80" t="n"/>
      <c r="L461" s="81" t="n"/>
      <c r="M461" s="81" t="n"/>
      <c r="N461" s="89" t="n"/>
      <c r="O461" s="84" t="n"/>
      <c r="P461" s="85" t="n"/>
    </row>
    <row r="462" customFormat="1" s="78">
      <c r="A462" s="97" t="n"/>
      <c r="B462" s="97" t="n"/>
      <c r="C462" s="97" t="n"/>
      <c r="D462" s="98" t="n"/>
      <c r="E462" s="98" t="n"/>
      <c r="F462" s="40" t="n"/>
      <c r="J462" s="79" t="n"/>
      <c r="K462" s="80" t="n"/>
      <c r="L462" s="81" t="n"/>
      <c r="M462" s="81" t="n"/>
      <c r="N462" s="89" t="n"/>
      <c r="O462" s="84" t="n"/>
      <c r="P462" s="85" t="n"/>
    </row>
    <row r="463" customFormat="1" s="78">
      <c r="A463" s="97" t="n"/>
      <c r="B463" s="97" t="n"/>
      <c r="C463" s="97" t="n"/>
      <c r="D463" s="98" t="n"/>
      <c r="E463" s="98" t="n"/>
      <c r="F463" s="40" t="n"/>
      <c r="J463" s="79" t="n"/>
      <c r="K463" s="80" t="n"/>
      <c r="L463" s="81" t="n"/>
      <c r="M463" s="81" t="n"/>
      <c r="N463" s="89" t="n"/>
      <c r="O463" s="84" t="n"/>
      <c r="P463" s="85" t="n"/>
    </row>
    <row r="464" customFormat="1" s="78">
      <c r="A464" s="97" t="n"/>
      <c r="B464" s="97" t="n"/>
      <c r="C464" s="97" t="n"/>
      <c r="D464" s="98" t="n"/>
      <c r="E464" s="98" t="n"/>
      <c r="F464" s="40" t="n"/>
      <c r="J464" s="79" t="n"/>
      <c r="K464" s="80" t="n"/>
      <c r="L464" s="81" t="n"/>
      <c r="M464" s="81" t="n"/>
      <c r="N464" s="89" t="n"/>
      <c r="O464" s="84" t="n"/>
      <c r="P464" s="85" t="n"/>
    </row>
    <row r="465" customFormat="1" s="78">
      <c r="A465" s="97" t="n"/>
      <c r="B465" s="97" t="n"/>
      <c r="C465" s="97" t="n"/>
      <c r="D465" s="98" t="n"/>
      <c r="E465" s="98" t="n"/>
      <c r="F465" s="40" t="n"/>
      <c r="J465" s="79" t="n"/>
      <c r="K465" s="80" t="n"/>
      <c r="L465" s="81" t="n"/>
      <c r="M465" s="81" t="n"/>
      <c r="N465" s="89" t="n"/>
      <c r="O465" s="84" t="n"/>
      <c r="P465" s="85" t="n"/>
    </row>
    <row r="466" customFormat="1" s="78">
      <c r="A466" s="97" t="n"/>
      <c r="B466" s="97" t="n"/>
      <c r="C466" s="97" t="n"/>
      <c r="D466" s="98" t="n"/>
      <c r="E466" s="98" t="n"/>
      <c r="F466" s="40" t="n"/>
      <c r="J466" s="79" t="n"/>
      <c r="K466" s="80" t="n"/>
      <c r="L466" s="81" t="n"/>
      <c r="M466" s="81" t="n"/>
      <c r="N466" s="89" t="n"/>
      <c r="O466" s="84" t="n"/>
      <c r="P466" s="85" t="n"/>
    </row>
    <row r="467" customFormat="1" s="78">
      <c r="A467" s="97" t="n"/>
      <c r="B467" s="97" t="n"/>
      <c r="C467" s="97" t="n"/>
      <c r="D467" s="98" t="n"/>
      <c r="E467" s="98" t="n"/>
      <c r="F467" s="40" t="n"/>
      <c r="J467" s="79" t="n"/>
      <c r="K467" s="80" t="n"/>
      <c r="L467" s="81" t="n"/>
      <c r="M467" s="81" t="n"/>
      <c r="N467" s="89" t="n"/>
      <c r="O467" s="84" t="n"/>
      <c r="P467" s="85" t="n"/>
    </row>
    <row r="468" customFormat="1" s="78">
      <c r="A468" s="97" t="n"/>
      <c r="B468" s="97" t="n"/>
      <c r="C468" s="97" t="n"/>
      <c r="D468" s="98" t="n"/>
      <c r="E468" s="98" t="n"/>
      <c r="F468" s="40" t="n"/>
      <c r="J468" s="79" t="n"/>
      <c r="K468" s="80" t="n"/>
      <c r="L468" s="81" t="n"/>
      <c r="M468" s="81" t="n"/>
      <c r="N468" s="89" t="n"/>
      <c r="O468" s="84" t="n"/>
      <c r="P468" s="85" t="n"/>
    </row>
    <row r="469" customFormat="1" s="78">
      <c r="A469" s="97" t="n"/>
      <c r="B469" s="97" t="n"/>
      <c r="C469" s="97" t="n"/>
      <c r="D469" s="98" t="n"/>
      <c r="E469" s="98" t="n"/>
      <c r="F469" s="40" t="n"/>
      <c r="J469" s="79" t="n"/>
      <c r="K469" s="80" t="n"/>
      <c r="L469" s="81" t="n"/>
      <c r="M469" s="81" t="n"/>
      <c r="N469" s="89" t="n"/>
      <c r="O469" s="84" t="n"/>
      <c r="P469" s="85" t="n"/>
    </row>
    <row r="470" customFormat="1" s="78">
      <c r="A470" s="97" t="n"/>
      <c r="B470" s="97" t="n"/>
      <c r="C470" s="97" t="n"/>
      <c r="D470" s="98" t="n"/>
      <c r="E470" s="98" t="n"/>
      <c r="F470" s="40" t="n"/>
      <c r="J470" s="79" t="n"/>
      <c r="K470" s="80" t="n"/>
      <c r="L470" s="81" t="n"/>
      <c r="M470" s="81" t="n"/>
      <c r="N470" s="89" t="n"/>
      <c r="O470" s="84" t="n"/>
      <c r="P470" s="85" t="n"/>
    </row>
    <row r="471" customFormat="1" s="78">
      <c r="A471" s="97" t="n"/>
      <c r="B471" s="97" t="n"/>
      <c r="C471" s="97" t="n"/>
      <c r="D471" s="98" t="n"/>
      <c r="E471" s="98" t="n"/>
      <c r="F471" s="40" t="n"/>
      <c r="J471" s="79" t="n"/>
      <c r="K471" s="80" t="n"/>
      <c r="L471" s="81" t="n"/>
      <c r="M471" s="81" t="n"/>
      <c r="N471" s="89" t="n"/>
      <c r="O471" s="84" t="n"/>
      <c r="P471" s="85" t="n"/>
    </row>
    <row r="472" customFormat="1" s="78">
      <c r="A472" s="97" t="n"/>
      <c r="B472" s="97" t="n"/>
      <c r="C472" s="97" t="n"/>
      <c r="D472" s="98" t="n"/>
      <c r="E472" s="98" t="n"/>
      <c r="F472" s="40" t="n"/>
      <c r="J472" s="79" t="n"/>
      <c r="K472" s="80" t="n"/>
      <c r="L472" s="81" t="n"/>
      <c r="M472" s="81" t="n"/>
      <c r="N472" s="89" t="n"/>
      <c r="O472" s="84" t="n"/>
      <c r="P472" s="85" t="n"/>
    </row>
    <row r="473" customFormat="1" s="78">
      <c r="A473" s="97" t="n"/>
      <c r="B473" s="97" t="n"/>
      <c r="C473" s="97" t="n"/>
      <c r="D473" s="98" t="n"/>
      <c r="E473" s="98" t="n"/>
      <c r="F473" s="40" t="n"/>
      <c r="J473" s="79" t="n"/>
      <c r="K473" s="80" t="n"/>
      <c r="L473" s="81" t="n"/>
      <c r="M473" s="81" t="n"/>
      <c r="N473" s="89" t="n"/>
      <c r="O473" s="84" t="n"/>
      <c r="P473" s="85" t="n"/>
    </row>
    <row r="474" customFormat="1" s="78">
      <c r="A474" s="97" t="n"/>
      <c r="B474" s="97" t="n"/>
      <c r="C474" s="97" t="n"/>
      <c r="D474" s="98" t="n"/>
      <c r="E474" s="98" t="n"/>
      <c r="F474" s="40" t="n"/>
      <c r="J474" s="79" t="n"/>
      <c r="K474" s="80" t="n"/>
      <c r="L474" s="81" t="n"/>
      <c r="M474" s="81" t="n"/>
      <c r="N474" s="89" t="n"/>
      <c r="O474" s="84" t="n"/>
      <c r="P474" s="85" t="n"/>
    </row>
    <row r="475" customFormat="1" s="78">
      <c r="A475" s="97" t="n"/>
      <c r="B475" s="97" t="n"/>
      <c r="C475" s="97" t="n"/>
      <c r="D475" s="98" t="n"/>
      <c r="E475" s="98" t="n"/>
      <c r="F475" s="40" t="n"/>
      <c r="J475" s="79" t="n"/>
      <c r="K475" s="80" t="n"/>
      <c r="L475" s="81" t="n"/>
      <c r="M475" s="81" t="n"/>
      <c r="N475" s="89" t="n"/>
      <c r="O475" s="84" t="n"/>
      <c r="P475" s="85" t="n"/>
    </row>
    <row r="476" customFormat="1" s="78">
      <c r="A476" s="97" t="n"/>
      <c r="B476" s="97" t="n"/>
      <c r="C476" s="97" t="n"/>
      <c r="D476" s="98" t="n"/>
      <c r="E476" s="98" t="n"/>
      <c r="F476" s="40" t="n"/>
      <c r="J476" s="79" t="n"/>
      <c r="K476" s="80" t="n"/>
      <c r="L476" s="81" t="n"/>
      <c r="M476" s="81" t="n"/>
      <c r="N476" s="89" t="n"/>
      <c r="O476" s="84" t="n"/>
      <c r="P476" s="85" t="n"/>
    </row>
    <row r="477" customFormat="1" s="78">
      <c r="A477" s="97" t="n"/>
      <c r="B477" s="97" t="n"/>
      <c r="C477" s="97" t="n"/>
      <c r="D477" s="98" t="n"/>
      <c r="E477" s="98" t="n"/>
      <c r="F477" s="40" t="n"/>
      <c r="J477" s="79" t="n"/>
      <c r="K477" s="80" t="n"/>
      <c r="L477" s="81" t="n"/>
      <c r="M477" s="81" t="n"/>
      <c r="N477" s="89" t="n"/>
      <c r="O477" s="84" t="n"/>
      <c r="P477" s="85" t="n"/>
    </row>
    <row r="478" customFormat="1" s="78">
      <c r="A478" s="97" t="n"/>
      <c r="B478" s="97" t="n"/>
      <c r="C478" s="97" t="n"/>
      <c r="D478" s="98" t="n"/>
      <c r="E478" s="98" t="n"/>
      <c r="F478" s="40" t="n"/>
      <c r="J478" s="79" t="n"/>
      <c r="K478" s="80" t="n"/>
      <c r="L478" s="81" t="n"/>
      <c r="M478" s="81" t="n"/>
      <c r="N478" s="89" t="n"/>
      <c r="O478" s="84" t="n"/>
      <c r="P478" s="85" t="n"/>
    </row>
    <row r="479" customFormat="1" s="78">
      <c r="A479" s="97" t="n"/>
      <c r="B479" s="97" t="n"/>
      <c r="C479" s="97" t="n"/>
      <c r="D479" s="98" t="n"/>
      <c r="E479" s="98" t="n"/>
      <c r="F479" s="40" t="n"/>
      <c r="J479" s="79" t="n"/>
      <c r="K479" s="80" t="n"/>
      <c r="L479" s="81" t="n"/>
      <c r="M479" s="81" t="n"/>
      <c r="N479" s="89" t="n"/>
      <c r="O479" s="84" t="n"/>
      <c r="P479" s="85" t="n"/>
    </row>
    <row r="480" customFormat="1" s="78">
      <c r="A480" s="97" t="n"/>
      <c r="B480" s="97" t="n"/>
      <c r="C480" s="97" t="n"/>
      <c r="D480" s="98" t="n"/>
      <c r="E480" s="98" t="n"/>
      <c r="F480" s="40" t="n"/>
      <c r="J480" s="79" t="n"/>
      <c r="K480" s="80" t="n"/>
      <c r="L480" s="81" t="n"/>
      <c r="M480" s="81" t="n"/>
      <c r="N480" s="89" t="n"/>
      <c r="O480" s="84" t="n"/>
      <c r="P480" s="85" t="n"/>
    </row>
    <row r="481" customFormat="1" s="78">
      <c r="A481" s="97" t="n"/>
      <c r="B481" s="97" t="n"/>
      <c r="C481" s="97" t="n"/>
      <c r="D481" s="98" t="n"/>
      <c r="E481" s="98" t="n"/>
      <c r="F481" s="40" t="n"/>
      <c r="J481" s="79" t="n"/>
      <c r="K481" s="80" t="n"/>
      <c r="L481" s="81" t="n"/>
      <c r="M481" s="81" t="n"/>
      <c r="N481" s="89" t="n"/>
      <c r="O481" s="84" t="n"/>
      <c r="P481" s="85" t="n"/>
    </row>
    <row r="482" customFormat="1" s="78">
      <c r="A482" s="97" t="n"/>
      <c r="B482" s="97" t="n"/>
      <c r="C482" s="97" t="n"/>
      <c r="D482" s="98" t="n"/>
      <c r="E482" s="98" t="n"/>
      <c r="F482" s="40" t="n"/>
      <c r="J482" s="79" t="n"/>
      <c r="K482" s="80" t="n"/>
      <c r="L482" s="81" t="n"/>
      <c r="M482" s="81" t="n"/>
      <c r="N482" s="89" t="n"/>
      <c r="O482" s="84" t="n"/>
      <c r="P482" s="85" t="n"/>
    </row>
    <row r="483" customFormat="1" s="78">
      <c r="A483" s="97" t="n"/>
      <c r="B483" s="97" t="n"/>
      <c r="C483" s="97" t="n"/>
      <c r="D483" s="98" t="n"/>
      <c r="E483" s="98" t="n"/>
      <c r="F483" s="40" t="n"/>
      <c r="J483" s="79" t="n"/>
      <c r="K483" s="80" t="n"/>
      <c r="L483" s="81" t="n"/>
      <c r="M483" s="81" t="n"/>
      <c r="N483" s="89" t="n"/>
      <c r="O483" s="84" t="n"/>
      <c r="P483" s="85" t="n"/>
    </row>
    <row r="484" customFormat="1" s="78">
      <c r="A484" s="97" t="n"/>
      <c r="B484" s="97" t="n"/>
      <c r="C484" s="97" t="n"/>
      <c r="D484" s="98" t="n"/>
      <c r="E484" s="98" t="n"/>
      <c r="F484" s="40" t="n"/>
      <c r="J484" s="79" t="n"/>
      <c r="K484" s="80" t="n"/>
      <c r="L484" s="81" t="n"/>
      <c r="M484" s="81" t="n"/>
      <c r="N484" s="89" t="n"/>
      <c r="O484" s="84" t="n"/>
      <c r="P484" s="85" t="n"/>
    </row>
    <row r="485" customFormat="1" s="78">
      <c r="A485" s="97" t="n"/>
      <c r="B485" s="97" t="n"/>
      <c r="C485" s="97" t="n"/>
      <c r="D485" s="98" t="n"/>
      <c r="E485" s="98" t="n"/>
      <c r="F485" s="40" t="n"/>
      <c r="J485" s="79" t="n"/>
      <c r="K485" s="80" t="n"/>
      <c r="L485" s="81" t="n"/>
      <c r="M485" s="81" t="n"/>
      <c r="N485" s="89" t="n"/>
      <c r="O485" s="84" t="n"/>
      <c r="P485" s="85" t="n"/>
    </row>
    <row r="486" customFormat="1" s="78">
      <c r="A486" s="97" t="n"/>
      <c r="B486" s="97" t="n"/>
      <c r="C486" s="97" t="n"/>
      <c r="D486" s="98" t="n"/>
      <c r="E486" s="98" t="n"/>
      <c r="F486" s="40" t="n"/>
      <c r="J486" s="79" t="n"/>
      <c r="K486" s="80" t="n"/>
      <c r="L486" s="81" t="n"/>
      <c r="M486" s="81" t="n"/>
      <c r="N486" s="89" t="n"/>
      <c r="O486" s="84" t="n"/>
      <c r="P486" s="85" t="n"/>
    </row>
    <row r="487" customFormat="1" s="78">
      <c r="A487" s="97" t="n"/>
      <c r="B487" s="97" t="n"/>
      <c r="C487" s="97" t="n"/>
      <c r="D487" s="98" t="n"/>
      <c r="E487" s="98" t="n"/>
      <c r="F487" s="40" t="n"/>
      <c r="J487" s="79" t="n"/>
      <c r="K487" s="80" t="n"/>
      <c r="L487" s="81" t="n"/>
      <c r="M487" s="81" t="n"/>
      <c r="N487" s="89" t="n"/>
      <c r="O487" s="84" t="n"/>
      <c r="P487" s="85" t="n"/>
    </row>
    <row r="488" customFormat="1" s="78">
      <c r="A488" s="97" t="n"/>
      <c r="B488" s="97" t="n"/>
      <c r="C488" s="97" t="n"/>
      <c r="D488" s="98" t="n"/>
      <c r="E488" s="98" t="n"/>
      <c r="F488" s="40" t="n"/>
      <c r="J488" s="79" t="n"/>
      <c r="K488" s="80" t="n"/>
      <c r="L488" s="81" t="n"/>
      <c r="M488" s="81" t="n"/>
      <c r="N488" s="89" t="n"/>
      <c r="O488" s="84" t="n"/>
      <c r="P488" s="85" t="n"/>
    </row>
    <row r="489" customFormat="1" s="78">
      <c r="A489" s="97" t="n"/>
      <c r="B489" s="97" t="n"/>
      <c r="C489" s="97" t="n"/>
      <c r="D489" s="98" t="n"/>
      <c r="E489" s="98" t="n"/>
      <c r="F489" s="40" t="n"/>
      <c r="J489" s="79" t="n"/>
      <c r="K489" s="80" t="n"/>
      <c r="L489" s="81" t="n"/>
      <c r="M489" s="81" t="n"/>
      <c r="N489" s="89" t="n"/>
      <c r="O489" s="84" t="n"/>
      <c r="P489" s="85" t="n"/>
    </row>
    <row r="490" customFormat="1" s="78">
      <c r="A490" s="97" t="n"/>
      <c r="B490" s="97" t="n"/>
      <c r="C490" s="97" t="n"/>
      <c r="D490" s="98" t="n"/>
      <c r="E490" s="98" t="n"/>
      <c r="F490" s="40" t="n"/>
      <c r="J490" s="79" t="n"/>
      <c r="K490" s="80" t="n"/>
      <c r="L490" s="81" t="n"/>
      <c r="M490" s="81" t="n"/>
      <c r="N490" s="89" t="n"/>
      <c r="O490" s="84" t="n"/>
      <c r="P490" s="85" t="n"/>
    </row>
    <row r="491" customFormat="1" s="78">
      <c r="A491" s="97" t="n"/>
      <c r="B491" s="97" t="n"/>
      <c r="C491" s="97" t="n"/>
      <c r="D491" s="98" t="n"/>
      <c r="E491" s="98" t="n"/>
      <c r="F491" s="40" t="n"/>
      <c r="J491" s="79" t="n"/>
      <c r="K491" s="80" t="n"/>
      <c r="L491" s="81" t="n"/>
      <c r="M491" s="81" t="n"/>
      <c r="N491" s="89" t="n"/>
      <c r="O491" s="84" t="n"/>
      <c r="P491" s="85" t="n"/>
    </row>
    <row r="492" customFormat="1" s="78">
      <c r="A492" s="97" t="n"/>
      <c r="B492" s="97" t="n"/>
      <c r="C492" s="97" t="n"/>
      <c r="D492" s="98" t="n"/>
      <c r="E492" s="98" t="n"/>
      <c r="F492" s="40" t="n"/>
      <c r="J492" s="79" t="n"/>
      <c r="K492" s="80" t="n"/>
      <c r="L492" s="81" t="n"/>
      <c r="M492" s="81" t="n"/>
      <c r="N492" s="89" t="n"/>
      <c r="O492" s="84" t="n"/>
      <c r="P492" s="85" t="n"/>
    </row>
    <row r="493" customFormat="1" s="78">
      <c r="A493" s="97" t="n"/>
      <c r="B493" s="97" t="n"/>
      <c r="C493" s="97" t="n"/>
      <c r="D493" s="98" t="n"/>
      <c r="E493" s="98" t="n"/>
      <c r="F493" s="40" t="n"/>
      <c r="J493" s="79" t="n"/>
      <c r="K493" s="80" t="n"/>
      <c r="L493" s="81" t="n"/>
      <c r="M493" s="81" t="n"/>
      <c r="N493" s="89" t="n"/>
      <c r="O493" s="84" t="n"/>
      <c r="P493" s="85" t="n"/>
    </row>
    <row r="494" customFormat="1" s="78">
      <c r="A494" s="97" t="n"/>
      <c r="B494" s="97" t="n"/>
      <c r="C494" s="97" t="n"/>
      <c r="D494" s="98" t="n"/>
      <c r="E494" s="98" t="n"/>
      <c r="F494" s="40" t="n"/>
      <c r="J494" s="79" t="n"/>
      <c r="K494" s="80" t="n"/>
      <c r="L494" s="81" t="n"/>
      <c r="M494" s="81" t="n"/>
      <c r="N494" s="89" t="n"/>
      <c r="O494" s="84" t="n"/>
      <c r="P494" s="85" t="n"/>
    </row>
    <row r="495" customFormat="1" s="78">
      <c r="A495" s="97" t="n"/>
      <c r="B495" s="97" t="n"/>
      <c r="C495" s="97" t="n"/>
      <c r="D495" s="98" t="n"/>
      <c r="E495" s="98" t="n"/>
      <c r="F495" s="40" t="n"/>
      <c r="J495" s="79" t="n"/>
      <c r="K495" s="80" t="n"/>
      <c r="L495" s="81" t="n"/>
      <c r="M495" s="81" t="n"/>
      <c r="N495" s="89" t="n"/>
      <c r="O495" s="84" t="n"/>
      <c r="P495" s="85" t="n"/>
    </row>
    <row r="496" customFormat="1" s="78">
      <c r="A496" s="97" t="n"/>
      <c r="B496" s="97" t="n"/>
      <c r="C496" s="97" t="n"/>
      <c r="D496" s="98" t="n"/>
      <c r="E496" s="98" t="n"/>
      <c r="F496" s="40" t="n"/>
      <c r="J496" s="79" t="n"/>
      <c r="K496" s="80" t="n"/>
      <c r="L496" s="81" t="n"/>
      <c r="M496" s="81" t="n"/>
      <c r="N496" s="89" t="n"/>
      <c r="O496" s="84" t="n"/>
      <c r="P496" s="85" t="n"/>
    </row>
    <row r="497" customFormat="1" s="78">
      <c r="A497" s="97" t="n"/>
      <c r="B497" s="97" t="n"/>
      <c r="C497" s="97" t="n"/>
      <c r="D497" s="98" t="n"/>
      <c r="E497" s="98" t="n"/>
      <c r="F497" s="40" t="n"/>
      <c r="J497" s="79" t="n"/>
      <c r="K497" s="80" t="n"/>
      <c r="L497" s="81" t="n"/>
      <c r="M497" s="81" t="n"/>
      <c r="N497" s="89" t="n"/>
      <c r="O497" s="84" t="n"/>
      <c r="P497" s="85" t="n"/>
    </row>
    <row r="498" customFormat="1" s="78">
      <c r="A498" s="97" t="n"/>
      <c r="B498" s="97" t="n"/>
      <c r="C498" s="97" t="n"/>
      <c r="D498" s="98" t="n"/>
      <c r="E498" s="98" t="n"/>
      <c r="F498" s="40" t="n"/>
      <c r="J498" s="79" t="n"/>
      <c r="K498" s="80" t="n"/>
      <c r="L498" s="81" t="n"/>
      <c r="M498" s="81" t="n"/>
      <c r="N498" s="89" t="n"/>
      <c r="O498" s="84" t="n"/>
      <c r="P498" s="85" t="n"/>
    </row>
    <row r="499" customFormat="1" s="78">
      <c r="A499" s="97" t="n"/>
      <c r="B499" s="97" t="n"/>
      <c r="C499" s="97" t="n"/>
      <c r="D499" s="98" t="n"/>
      <c r="E499" s="98" t="n"/>
      <c r="F499" s="40" t="n"/>
      <c r="J499" s="79" t="n"/>
      <c r="K499" s="80" t="n"/>
      <c r="L499" s="81" t="n"/>
      <c r="M499" s="81" t="n"/>
      <c r="N499" s="89" t="n"/>
      <c r="O499" s="84" t="n"/>
      <c r="P499" s="85" t="n"/>
    </row>
    <row r="500" customFormat="1" s="78">
      <c r="A500" s="97" t="n"/>
      <c r="B500" s="97" t="n"/>
      <c r="C500" s="97" t="n"/>
      <c r="D500" s="98" t="n"/>
      <c r="E500" s="98" t="n"/>
      <c r="F500" s="40" t="n"/>
      <c r="J500" s="79" t="n"/>
      <c r="K500" s="80" t="n"/>
      <c r="L500" s="81" t="n"/>
      <c r="M500" s="81" t="n"/>
      <c r="N500" s="89" t="n"/>
      <c r="O500" s="84" t="n"/>
      <c r="P500" s="85" t="n"/>
    </row>
    <row r="501" customFormat="1" s="78">
      <c r="A501" s="97" t="n"/>
      <c r="B501" s="97" t="n"/>
      <c r="C501" s="97" t="n"/>
      <c r="D501" s="98" t="n"/>
      <c r="E501" s="98" t="n"/>
      <c r="F501" s="40" t="n"/>
      <c r="J501" s="79" t="n"/>
      <c r="K501" s="80" t="n"/>
      <c r="L501" s="81" t="n"/>
      <c r="M501" s="81" t="n"/>
      <c r="N501" s="89" t="n"/>
      <c r="O501" s="84" t="n"/>
      <c r="P501" s="85" t="n"/>
    </row>
    <row r="502" customFormat="1" s="78">
      <c r="A502" s="97" t="n"/>
      <c r="B502" s="97" t="n"/>
      <c r="C502" s="97" t="n"/>
      <c r="D502" s="98" t="n"/>
      <c r="E502" s="98" t="n"/>
      <c r="F502" s="40" t="n"/>
      <c r="J502" s="79" t="n"/>
      <c r="K502" s="80" t="n"/>
      <c r="L502" s="81" t="n"/>
      <c r="M502" s="81" t="n"/>
      <c r="N502" s="89" t="n"/>
      <c r="O502" s="84" t="n"/>
      <c r="P502" s="85" t="n"/>
    </row>
    <row r="503" customFormat="1" s="78">
      <c r="A503" s="97" t="n"/>
      <c r="B503" s="97" t="n"/>
      <c r="C503" s="97" t="n"/>
      <c r="D503" s="98" t="n"/>
      <c r="E503" s="98" t="n"/>
      <c r="F503" s="40" t="n"/>
      <c r="J503" s="79" t="n"/>
      <c r="K503" s="80" t="n"/>
      <c r="L503" s="81" t="n"/>
      <c r="M503" s="81" t="n"/>
      <c r="N503" s="89" t="n"/>
      <c r="O503" s="84" t="n"/>
      <c r="P503" s="85" t="n"/>
    </row>
    <row r="504" customFormat="1" s="78">
      <c r="A504" s="97" t="n"/>
      <c r="B504" s="97" t="n"/>
      <c r="C504" s="97" t="n"/>
      <c r="D504" s="98" t="n"/>
      <c r="E504" s="98" t="n"/>
      <c r="F504" s="40" t="n"/>
      <c r="J504" s="79" t="n"/>
      <c r="K504" s="80" t="n"/>
      <c r="L504" s="81" t="n"/>
      <c r="M504" s="81" t="n"/>
      <c r="N504" s="89" t="n"/>
      <c r="O504" s="84" t="n"/>
      <c r="P504" s="85" t="n"/>
    </row>
    <row r="505" customFormat="1" s="78">
      <c r="A505" s="97" t="n"/>
      <c r="B505" s="97" t="n"/>
      <c r="C505" s="97" t="n"/>
      <c r="D505" s="98" t="n"/>
      <c r="E505" s="98" t="n"/>
      <c r="F505" s="40" t="n"/>
      <c r="J505" s="79" t="n"/>
      <c r="K505" s="80" t="n"/>
      <c r="L505" s="81" t="n"/>
      <c r="M505" s="81" t="n"/>
      <c r="N505" s="89" t="n"/>
      <c r="O505" s="84" t="n"/>
      <c r="P505" s="85" t="n"/>
    </row>
    <row r="506" customFormat="1" s="78">
      <c r="A506" s="97" t="n"/>
      <c r="B506" s="97" t="n"/>
      <c r="C506" s="97" t="n"/>
      <c r="D506" s="98" t="n"/>
      <c r="E506" s="98" t="n"/>
      <c r="F506" s="40" t="n"/>
      <c r="J506" s="79" t="n"/>
      <c r="K506" s="80" t="n"/>
      <c r="L506" s="81" t="n"/>
      <c r="M506" s="81" t="n"/>
      <c r="N506" s="89" t="n"/>
      <c r="O506" s="84" t="n"/>
      <c r="P506" s="85" t="n"/>
    </row>
    <row r="507" customFormat="1" s="78">
      <c r="A507" s="97" t="n"/>
      <c r="B507" s="97" t="n"/>
      <c r="C507" s="97" t="n"/>
      <c r="D507" s="98" t="n"/>
      <c r="E507" s="98" t="n"/>
      <c r="F507" s="40" t="n"/>
      <c r="J507" s="79" t="n"/>
      <c r="K507" s="80" t="n"/>
      <c r="L507" s="81" t="n"/>
      <c r="M507" s="81" t="n"/>
      <c r="N507" s="89" t="n"/>
      <c r="O507" s="84" t="n"/>
      <c r="P507" s="85" t="n"/>
    </row>
    <row r="508" customFormat="1" s="78">
      <c r="A508" s="97" t="n"/>
      <c r="B508" s="97" t="n"/>
      <c r="C508" s="97" t="n"/>
      <c r="D508" s="98" t="n"/>
      <c r="E508" s="98" t="n"/>
      <c r="F508" s="40" t="n"/>
      <c r="J508" s="79" t="n"/>
      <c r="K508" s="80" t="n"/>
      <c r="L508" s="81" t="n"/>
      <c r="M508" s="81" t="n"/>
      <c r="N508" s="89" t="n"/>
      <c r="O508" s="84" t="n"/>
      <c r="P508" s="85" t="n"/>
    </row>
    <row r="509" customFormat="1" s="78">
      <c r="A509" s="97" t="n"/>
      <c r="B509" s="97" t="n"/>
      <c r="C509" s="97" t="n"/>
      <c r="D509" s="98" t="n"/>
      <c r="E509" s="98" t="n"/>
      <c r="F509" s="40" t="n"/>
      <c r="J509" s="79" t="n"/>
      <c r="K509" s="80" t="n"/>
      <c r="L509" s="81" t="n"/>
      <c r="M509" s="81" t="n"/>
      <c r="N509" s="89" t="n"/>
      <c r="O509" s="84" t="n"/>
      <c r="P509" s="85" t="n"/>
    </row>
    <row r="510" customFormat="1" s="78">
      <c r="A510" s="97" t="n"/>
      <c r="B510" s="97" t="n"/>
      <c r="C510" s="97" t="n"/>
      <c r="D510" s="98" t="n"/>
      <c r="E510" s="98" t="n"/>
      <c r="F510" s="40" t="n"/>
      <c r="J510" s="79" t="n"/>
      <c r="K510" s="80" t="n"/>
      <c r="L510" s="81" t="n"/>
      <c r="M510" s="81" t="n"/>
      <c r="N510" s="89" t="n"/>
      <c r="O510" s="84" t="n"/>
      <c r="P510" s="85" t="n"/>
    </row>
    <row r="511" customFormat="1" s="78">
      <c r="A511" s="97" t="n"/>
      <c r="B511" s="97" t="n"/>
      <c r="C511" s="97" t="n"/>
      <c r="D511" s="98" t="n"/>
      <c r="E511" s="98" t="n"/>
      <c r="F511" s="40" t="n"/>
      <c r="J511" s="79" t="n"/>
      <c r="K511" s="80" t="n"/>
      <c r="L511" s="81" t="n"/>
      <c r="M511" s="81" t="n"/>
      <c r="N511" s="89" t="n"/>
      <c r="O511" s="84" t="n"/>
      <c r="P511" s="85" t="n"/>
    </row>
    <row r="512" customFormat="1" s="78">
      <c r="A512" s="97" t="n"/>
      <c r="B512" s="97" t="n"/>
      <c r="C512" s="97" t="n"/>
      <c r="D512" s="98" t="n"/>
      <c r="E512" s="98" t="n"/>
      <c r="F512" s="40" t="n"/>
      <c r="J512" s="79" t="n"/>
      <c r="K512" s="80" t="n"/>
      <c r="L512" s="81" t="n"/>
      <c r="M512" s="81" t="n"/>
      <c r="N512" s="89" t="n"/>
      <c r="O512" s="84" t="n"/>
      <c r="P512" s="85" t="n"/>
    </row>
    <row r="513" customFormat="1" s="78">
      <c r="A513" s="97" t="n"/>
      <c r="B513" s="97" t="n"/>
      <c r="C513" s="97" t="n"/>
      <c r="D513" s="98" t="n"/>
      <c r="E513" s="98" t="n"/>
      <c r="F513" s="40" t="n"/>
      <c r="J513" s="79" t="n"/>
      <c r="K513" s="80" t="n"/>
      <c r="L513" s="81" t="n"/>
      <c r="M513" s="81" t="n"/>
      <c r="N513" s="89" t="n"/>
      <c r="O513" s="84" t="n"/>
      <c r="P513" s="85" t="n"/>
    </row>
    <row r="514" customFormat="1" s="78">
      <c r="A514" s="97" t="n"/>
      <c r="B514" s="97" t="n"/>
      <c r="C514" s="97" t="n"/>
      <c r="D514" s="98" t="n"/>
      <c r="E514" s="98" t="n"/>
      <c r="F514" s="40" t="n"/>
      <c r="J514" s="79" t="n"/>
      <c r="K514" s="80" t="n"/>
      <c r="L514" s="81" t="n"/>
      <c r="M514" s="81" t="n"/>
      <c r="N514" s="89" t="n"/>
      <c r="O514" s="84" t="n"/>
      <c r="P514" s="85" t="n"/>
    </row>
    <row r="515" customFormat="1" s="78">
      <c r="A515" s="97" t="n"/>
      <c r="B515" s="97" t="n"/>
      <c r="C515" s="97" t="n"/>
      <c r="D515" s="98" t="n"/>
      <c r="E515" s="98" t="n"/>
      <c r="F515" s="40" t="n"/>
      <c r="J515" s="79" t="n"/>
      <c r="K515" s="80" t="n"/>
      <c r="L515" s="81" t="n"/>
      <c r="M515" s="81" t="n"/>
      <c r="N515" s="89" t="n"/>
      <c r="O515" s="84" t="n"/>
      <c r="P515" s="85" t="n"/>
    </row>
    <row r="516" customFormat="1" s="78">
      <c r="A516" s="97" t="n"/>
      <c r="B516" s="97" t="n"/>
      <c r="C516" s="97" t="n"/>
      <c r="D516" s="98" t="n"/>
      <c r="E516" s="98" t="n"/>
      <c r="F516" s="40" t="n"/>
      <c r="J516" s="79" t="n"/>
      <c r="K516" s="80" t="n"/>
      <c r="L516" s="81" t="n"/>
      <c r="M516" s="81" t="n"/>
      <c r="N516" s="89" t="n"/>
      <c r="O516" s="84" t="n"/>
      <c r="P516" s="85" t="n"/>
    </row>
    <row r="517" customFormat="1" s="78">
      <c r="A517" s="97" t="n"/>
      <c r="B517" s="97" t="n"/>
      <c r="C517" s="97" t="n"/>
      <c r="D517" s="98" t="n"/>
      <c r="E517" s="98" t="n"/>
      <c r="F517" s="40" t="n"/>
      <c r="J517" s="79" t="n"/>
      <c r="K517" s="80" t="n"/>
      <c r="L517" s="81" t="n"/>
      <c r="M517" s="81" t="n"/>
      <c r="N517" s="89" t="n"/>
      <c r="O517" s="84" t="n"/>
      <c r="P517" s="85" t="n"/>
    </row>
    <row r="518" customFormat="1" s="78">
      <c r="A518" s="97" t="n"/>
      <c r="B518" s="97" t="n"/>
      <c r="C518" s="97" t="n"/>
      <c r="D518" s="98" t="n"/>
      <c r="E518" s="98" t="n"/>
      <c r="F518" s="40" t="n"/>
      <c r="J518" s="79" t="n"/>
      <c r="K518" s="80" t="n"/>
      <c r="L518" s="81" t="n"/>
      <c r="M518" s="81" t="n"/>
      <c r="N518" s="89" t="n"/>
      <c r="O518" s="84" t="n"/>
      <c r="P518" s="85" t="n"/>
    </row>
    <row r="519" customFormat="1" s="78">
      <c r="A519" s="97" t="n"/>
      <c r="B519" s="97" t="n"/>
      <c r="C519" s="97" t="n"/>
      <c r="D519" s="98" t="n"/>
      <c r="E519" s="98" t="n"/>
      <c r="F519" s="40" t="n"/>
      <c r="J519" s="79" t="n"/>
      <c r="K519" s="80" t="n"/>
      <c r="L519" s="81" t="n"/>
      <c r="M519" s="81" t="n"/>
      <c r="N519" s="89" t="n"/>
      <c r="O519" s="84" t="n"/>
      <c r="P519" s="85" t="n"/>
    </row>
    <row r="520" customFormat="1" s="78">
      <c r="A520" s="97" t="n"/>
      <c r="B520" s="97" t="n"/>
      <c r="C520" s="97" t="n"/>
      <c r="D520" s="98" t="n"/>
      <c r="E520" s="98" t="n"/>
      <c r="F520" s="40" t="n"/>
      <c r="J520" s="79" t="n"/>
      <c r="K520" s="80" t="n"/>
      <c r="L520" s="81" t="n"/>
      <c r="M520" s="81" t="n"/>
      <c r="N520" s="89" t="n"/>
      <c r="O520" s="84" t="n"/>
      <c r="P520" s="85" t="n"/>
    </row>
    <row r="521" customFormat="1" s="78">
      <c r="A521" s="97" t="n"/>
      <c r="B521" s="97" t="n"/>
      <c r="C521" s="97" t="n"/>
      <c r="D521" s="98" t="n"/>
      <c r="E521" s="98" t="n"/>
      <c r="F521" s="40" t="n"/>
      <c r="J521" s="79" t="n"/>
      <c r="K521" s="80" t="n"/>
      <c r="L521" s="81" t="n"/>
      <c r="M521" s="81" t="n"/>
      <c r="N521" s="89" t="n"/>
      <c r="O521" s="84" t="n"/>
      <c r="P521" s="85" t="n"/>
    </row>
    <row r="522" customFormat="1" s="78">
      <c r="A522" s="97" t="n"/>
      <c r="B522" s="97" t="n"/>
      <c r="C522" s="97" t="n"/>
      <c r="D522" s="98" t="n"/>
      <c r="E522" s="98" t="n"/>
      <c r="F522" s="40" t="n"/>
      <c r="J522" s="79" t="n"/>
      <c r="K522" s="80" t="n"/>
      <c r="L522" s="81" t="n"/>
      <c r="M522" s="81" t="n"/>
      <c r="N522" s="89" t="n"/>
      <c r="O522" s="84" t="n"/>
      <c r="P522" s="85" t="n"/>
    </row>
    <row r="523" customFormat="1" s="78">
      <c r="A523" s="97" t="n"/>
      <c r="B523" s="97" t="n"/>
      <c r="C523" s="97" t="n"/>
      <c r="D523" s="98" t="n"/>
      <c r="E523" s="98" t="n"/>
      <c r="F523" s="40" t="n"/>
      <c r="J523" s="79" t="n"/>
      <c r="K523" s="80" t="n"/>
      <c r="L523" s="81" t="n"/>
      <c r="M523" s="81" t="n"/>
      <c r="N523" s="89" t="n"/>
      <c r="O523" s="84" t="n"/>
      <c r="P523" s="85" t="n"/>
    </row>
    <row r="524" customFormat="1" s="78">
      <c r="A524" s="97" t="n"/>
      <c r="B524" s="97" t="n"/>
      <c r="C524" s="97" t="n"/>
      <c r="D524" s="98" t="n"/>
      <c r="E524" s="98" t="n"/>
      <c r="F524" s="40" t="n"/>
      <c r="J524" s="79" t="n"/>
      <c r="K524" s="80" t="n"/>
      <c r="L524" s="81" t="n"/>
      <c r="M524" s="81" t="n"/>
      <c r="N524" s="89" t="n"/>
      <c r="O524" s="84" t="n"/>
      <c r="P524" s="85" t="n"/>
    </row>
    <row r="525" customFormat="1" s="78">
      <c r="A525" s="97" t="n"/>
      <c r="B525" s="97" t="n"/>
      <c r="C525" s="97" t="n"/>
      <c r="D525" s="98" t="n"/>
      <c r="E525" s="98" t="n"/>
      <c r="F525" s="40" t="n"/>
      <c r="J525" s="79" t="n"/>
      <c r="K525" s="80" t="n"/>
      <c r="L525" s="81" t="n"/>
      <c r="M525" s="81" t="n"/>
      <c r="N525" s="89" t="n"/>
      <c r="O525" s="84" t="n"/>
      <c r="P525" s="85" t="n"/>
    </row>
    <row r="526" customFormat="1" s="78">
      <c r="A526" s="97" t="n"/>
      <c r="B526" s="97" t="n"/>
      <c r="C526" s="97" t="n"/>
      <c r="D526" s="98" t="n"/>
      <c r="E526" s="98" t="n"/>
      <c r="F526" s="40" t="n"/>
      <c r="J526" s="79" t="n"/>
      <c r="K526" s="80" t="n"/>
      <c r="L526" s="81" t="n"/>
      <c r="M526" s="81" t="n"/>
      <c r="N526" s="89" t="n"/>
      <c r="O526" s="84" t="n"/>
      <c r="P526" s="85" t="n"/>
    </row>
    <row r="527" customFormat="1" s="78">
      <c r="A527" s="97" t="n"/>
      <c r="B527" s="97" t="n"/>
      <c r="C527" s="97" t="n"/>
      <c r="D527" s="98" t="n"/>
      <c r="E527" s="98" t="n"/>
      <c r="F527" s="40" t="n"/>
      <c r="J527" s="79" t="n"/>
      <c r="K527" s="80" t="n"/>
      <c r="L527" s="81" t="n"/>
      <c r="M527" s="81" t="n"/>
      <c r="N527" s="89" t="n"/>
      <c r="O527" s="84" t="n"/>
      <c r="P527" s="85" t="n"/>
    </row>
    <row r="528" customFormat="1" s="78">
      <c r="A528" s="97" t="n"/>
      <c r="B528" s="97" t="n"/>
      <c r="C528" s="97" t="n"/>
      <c r="D528" s="98" t="n"/>
      <c r="E528" s="98" t="n"/>
      <c r="F528" s="40" t="n"/>
      <c r="J528" s="79" t="n"/>
      <c r="K528" s="80" t="n"/>
      <c r="L528" s="81" t="n"/>
      <c r="M528" s="81" t="n"/>
      <c r="N528" s="89" t="n"/>
      <c r="O528" s="84" t="n"/>
      <c r="P528" s="85" t="n"/>
    </row>
    <row r="529" customFormat="1" s="78">
      <c r="A529" s="97" t="n"/>
      <c r="B529" s="97" t="n"/>
      <c r="C529" s="97" t="n"/>
      <c r="D529" s="98" t="n"/>
      <c r="E529" s="98" t="n"/>
      <c r="F529" s="40" t="n"/>
      <c r="J529" s="79" t="n"/>
      <c r="K529" s="80" t="n"/>
      <c r="L529" s="81" t="n"/>
      <c r="M529" s="81" t="n"/>
      <c r="N529" s="89" t="n"/>
      <c r="O529" s="84" t="n"/>
      <c r="P529" s="85" t="n"/>
    </row>
    <row r="530" customFormat="1" s="78">
      <c r="A530" s="97" t="n"/>
      <c r="B530" s="97" t="n"/>
      <c r="C530" s="97" t="n"/>
      <c r="D530" s="98" t="n"/>
      <c r="E530" s="98" t="n"/>
      <c r="F530" s="40" t="n"/>
      <c r="J530" s="79" t="n"/>
      <c r="K530" s="80" t="n"/>
      <c r="L530" s="81" t="n"/>
      <c r="M530" s="81" t="n"/>
      <c r="N530" s="89" t="n"/>
      <c r="O530" s="84" t="n"/>
      <c r="P530" s="85" t="n"/>
    </row>
    <row r="531" customFormat="1" s="78">
      <c r="A531" s="97" t="n"/>
      <c r="B531" s="97" t="n"/>
      <c r="C531" s="97" t="n"/>
      <c r="D531" s="98" t="n"/>
      <c r="E531" s="98" t="n"/>
      <c r="F531" s="40" t="n"/>
      <c r="J531" s="79" t="n"/>
      <c r="K531" s="80" t="n"/>
      <c r="L531" s="81" t="n"/>
      <c r="M531" s="81" t="n"/>
      <c r="N531" s="89" t="n"/>
      <c r="O531" s="84" t="n"/>
      <c r="P531" s="85" t="n"/>
    </row>
    <row r="532" customFormat="1" s="78">
      <c r="A532" s="97" t="n"/>
      <c r="B532" s="97" t="n"/>
      <c r="C532" s="97" t="n"/>
      <c r="D532" s="98" t="n"/>
      <c r="E532" s="98" t="n"/>
      <c r="F532" s="40" t="n"/>
      <c r="J532" s="79" t="n"/>
      <c r="K532" s="80" t="n"/>
      <c r="L532" s="81" t="n"/>
      <c r="M532" s="81" t="n"/>
      <c r="N532" s="89" t="n"/>
      <c r="O532" s="84" t="n"/>
      <c r="P532" s="85" t="n"/>
    </row>
    <row r="533" customFormat="1" s="78">
      <c r="A533" s="97" t="n"/>
      <c r="B533" s="97" t="n"/>
      <c r="C533" s="97" t="n"/>
      <c r="D533" s="98" t="n"/>
      <c r="E533" s="98" t="n"/>
      <c r="F533" s="40" t="n"/>
      <c r="J533" s="79" t="n"/>
      <c r="K533" s="80" t="n"/>
      <c r="L533" s="81" t="n"/>
      <c r="M533" s="81" t="n"/>
      <c r="N533" s="89" t="n"/>
      <c r="O533" s="84" t="n"/>
      <c r="P533" s="85" t="n"/>
    </row>
    <row r="534" customFormat="1" s="78">
      <c r="A534" s="97" t="n"/>
      <c r="B534" s="97" t="n"/>
      <c r="C534" s="97" t="n"/>
      <c r="D534" s="98" t="n"/>
      <c r="E534" s="98" t="n"/>
      <c r="F534" s="40" t="n"/>
      <c r="J534" s="79" t="n"/>
      <c r="K534" s="80" t="n"/>
      <c r="L534" s="81" t="n"/>
      <c r="M534" s="81" t="n"/>
      <c r="N534" s="89" t="n"/>
      <c r="O534" s="84" t="n"/>
      <c r="P534" s="85" t="n"/>
    </row>
    <row r="535" customFormat="1" s="78">
      <c r="A535" s="97" t="n"/>
      <c r="B535" s="97" t="n"/>
      <c r="C535" s="97" t="n"/>
      <c r="D535" s="98" t="n"/>
      <c r="E535" s="98" t="n"/>
      <c r="F535" s="40" t="n"/>
      <c r="J535" s="79" t="n"/>
      <c r="K535" s="80" t="n"/>
      <c r="L535" s="81" t="n"/>
      <c r="M535" s="81" t="n"/>
      <c r="N535" s="89" t="n"/>
      <c r="O535" s="84" t="n"/>
      <c r="P535" s="85" t="n"/>
    </row>
    <row r="536" customFormat="1" s="78">
      <c r="A536" s="97" t="n"/>
      <c r="B536" s="97" t="n"/>
      <c r="C536" s="97" t="n"/>
      <c r="D536" s="98" t="n"/>
      <c r="E536" s="98" t="n"/>
      <c r="F536" s="40" t="n"/>
      <c r="J536" s="79" t="n"/>
      <c r="K536" s="80" t="n"/>
      <c r="L536" s="81" t="n"/>
      <c r="M536" s="81" t="n"/>
      <c r="N536" s="89" t="n"/>
      <c r="O536" s="84" t="n"/>
      <c r="P536" s="85" t="n"/>
    </row>
    <row r="537" customFormat="1" s="78">
      <c r="A537" s="97" t="n"/>
      <c r="B537" s="97" t="n"/>
      <c r="C537" s="97" t="n"/>
      <c r="D537" s="98" t="n"/>
      <c r="E537" s="98" t="n"/>
      <c r="F537" s="40" t="n"/>
      <c r="J537" s="79" t="n"/>
      <c r="K537" s="80" t="n"/>
      <c r="L537" s="81" t="n"/>
      <c r="M537" s="81" t="n"/>
      <c r="N537" s="89" t="n"/>
      <c r="O537" s="84" t="n"/>
      <c r="P537" s="85" t="n"/>
    </row>
    <row r="538" customFormat="1" s="78">
      <c r="A538" s="97" t="n"/>
      <c r="B538" s="97" t="n"/>
      <c r="C538" s="97" t="n"/>
      <c r="D538" s="98" t="n"/>
      <c r="E538" s="98" t="n"/>
      <c r="F538" s="40" t="n"/>
      <c r="J538" s="79" t="n"/>
      <c r="K538" s="80" t="n"/>
      <c r="L538" s="81" t="n"/>
      <c r="M538" s="81" t="n"/>
      <c r="N538" s="89" t="n"/>
      <c r="O538" s="84" t="n"/>
      <c r="P538" s="85" t="n"/>
    </row>
    <row r="539" customFormat="1" s="78">
      <c r="A539" s="97" t="n"/>
      <c r="B539" s="97" t="n"/>
      <c r="C539" s="97" t="n"/>
      <c r="D539" s="98" t="n"/>
      <c r="E539" s="98" t="n"/>
      <c r="F539" s="40" t="n"/>
      <c r="J539" s="79" t="n"/>
      <c r="K539" s="80" t="n"/>
      <c r="L539" s="81" t="n"/>
      <c r="M539" s="81" t="n"/>
      <c r="N539" s="89" t="n"/>
      <c r="O539" s="84" t="n"/>
      <c r="P539" s="85" t="n"/>
    </row>
    <row r="540" customFormat="1" s="78">
      <c r="A540" s="97" t="n"/>
      <c r="B540" s="97" t="n"/>
      <c r="C540" s="97" t="n"/>
      <c r="D540" s="98" t="n"/>
      <c r="E540" s="98" t="n"/>
      <c r="F540" s="40" t="n"/>
      <c r="J540" s="79" t="n"/>
      <c r="K540" s="80" t="n"/>
      <c r="L540" s="81" t="n"/>
      <c r="M540" s="81" t="n"/>
      <c r="N540" s="89" t="n"/>
      <c r="O540" s="84" t="n"/>
      <c r="P540" s="85" t="n"/>
    </row>
    <row r="541" customFormat="1" s="78">
      <c r="A541" s="97" t="n"/>
      <c r="B541" s="97" t="n"/>
      <c r="C541" s="97" t="n"/>
      <c r="D541" s="98" t="n"/>
      <c r="E541" s="98" t="n"/>
      <c r="F541" s="40" t="n"/>
      <c r="J541" s="79" t="n"/>
      <c r="K541" s="80" t="n"/>
      <c r="L541" s="81" t="n"/>
      <c r="M541" s="81" t="n"/>
      <c r="N541" s="89" t="n"/>
      <c r="O541" s="84" t="n"/>
      <c r="P541" s="85" t="n"/>
    </row>
    <row r="542" customFormat="1" s="78">
      <c r="A542" s="97" t="n"/>
      <c r="B542" s="97" t="n"/>
      <c r="C542" s="97" t="n"/>
      <c r="D542" s="98" t="n"/>
      <c r="E542" s="98" t="n"/>
      <c r="F542" s="40" t="n"/>
      <c r="J542" s="79" t="n"/>
      <c r="K542" s="80" t="n"/>
      <c r="L542" s="81" t="n"/>
      <c r="M542" s="81" t="n"/>
      <c r="N542" s="89" t="n"/>
      <c r="O542" s="84" t="n"/>
      <c r="P542" s="85" t="n"/>
    </row>
    <row r="543" customFormat="1" s="78">
      <c r="A543" s="97" t="n"/>
      <c r="B543" s="97" t="n"/>
      <c r="C543" s="97" t="n"/>
      <c r="D543" s="98" t="n"/>
      <c r="E543" s="98" t="n"/>
      <c r="F543" s="40" t="n"/>
      <c r="J543" s="79" t="n"/>
      <c r="K543" s="80" t="n"/>
      <c r="L543" s="81" t="n"/>
      <c r="M543" s="81" t="n"/>
      <c r="N543" s="89" t="n"/>
      <c r="O543" s="84" t="n"/>
      <c r="P543" s="85" t="n"/>
    </row>
    <row r="544" customFormat="1" s="78">
      <c r="A544" s="97" t="n"/>
      <c r="B544" s="97" t="n"/>
      <c r="C544" s="97" t="n"/>
      <c r="D544" s="98" t="n"/>
      <c r="E544" s="98" t="n"/>
      <c r="F544" s="40" t="n"/>
      <c r="J544" s="79" t="n"/>
      <c r="K544" s="80" t="n"/>
      <c r="L544" s="81" t="n"/>
      <c r="M544" s="81" t="n"/>
      <c r="N544" s="89" t="n"/>
      <c r="O544" s="84" t="n"/>
      <c r="P544" s="85" t="n"/>
    </row>
    <row r="545" customFormat="1" s="78">
      <c r="A545" s="97" t="n"/>
      <c r="B545" s="97" t="n"/>
      <c r="C545" s="97" t="n"/>
      <c r="D545" s="98" t="n"/>
      <c r="E545" s="98" t="n"/>
      <c r="F545" s="40" t="n"/>
      <c r="J545" s="79" t="n"/>
      <c r="K545" s="80" t="n"/>
      <c r="L545" s="81" t="n"/>
      <c r="M545" s="81" t="n"/>
      <c r="N545" s="89" t="n"/>
      <c r="O545" s="84" t="n"/>
      <c r="P545" s="85" t="n"/>
    </row>
    <row r="546" customFormat="1" s="78">
      <c r="A546" s="97" t="n"/>
      <c r="B546" s="97" t="n"/>
      <c r="C546" s="97" t="n"/>
      <c r="D546" s="98" t="n"/>
      <c r="E546" s="98" t="n"/>
      <c r="F546" s="40" t="n"/>
      <c r="J546" s="79" t="n"/>
      <c r="K546" s="80" t="n"/>
      <c r="L546" s="81" t="n"/>
      <c r="M546" s="81" t="n"/>
      <c r="N546" s="89" t="n"/>
      <c r="O546" s="84" t="n"/>
      <c r="P546" s="85" t="n"/>
    </row>
    <row r="547" customFormat="1" s="78">
      <c r="A547" s="97" t="n"/>
      <c r="B547" s="97" t="n"/>
      <c r="C547" s="97" t="n"/>
      <c r="D547" s="98" t="n"/>
      <c r="E547" s="98" t="n"/>
      <c r="F547" s="40" t="n"/>
      <c r="J547" s="79" t="n"/>
      <c r="K547" s="80" t="n"/>
      <c r="L547" s="81" t="n"/>
      <c r="M547" s="81" t="n"/>
      <c r="N547" s="89" t="n"/>
      <c r="O547" s="84" t="n"/>
      <c r="P547" s="85" t="n"/>
    </row>
    <row r="548" customFormat="1" s="78">
      <c r="A548" s="97" t="n"/>
      <c r="B548" s="97" t="n"/>
      <c r="C548" s="97" t="n"/>
      <c r="D548" s="98" t="n"/>
      <c r="E548" s="98" t="n"/>
      <c r="F548" s="40" t="n"/>
      <c r="J548" s="79" t="n"/>
      <c r="K548" s="80" t="n"/>
      <c r="L548" s="81" t="n"/>
      <c r="M548" s="81" t="n"/>
      <c r="N548" s="89" t="n"/>
      <c r="O548" s="84" t="n"/>
      <c r="P548" s="85" t="n"/>
    </row>
    <row r="549" customFormat="1" s="78">
      <c r="A549" s="97" t="n"/>
      <c r="B549" s="97" t="n"/>
      <c r="C549" s="97" t="n"/>
      <c r="D549" s="98" t="n"/>
      <c r="E549" s="98" t="n"/>
      <c r="F549" s="40" t="n"/>
      <c r="J549" s="79" t="n"/>
      <c r="K549" s="80" t="n"/>
      <c r="L549" s="81" t="n"/>
      <c r="M549" s="81" t="n"/>
      <c r="N549" s="89" t="n"/>
      <c r="O549" s="84" t="n"/>
      <c r="P549" s="85" t="n"/>
    </row>
    <row r="550" customFormat="1" s="78">
      <c r="A550" s="97" t="n"/>
      <c r="B550" s="97" t="n"/>
      <c r="C550" s="97" t="n"/>
      <c r="D550" s="98" t="n"/>
      <c r="E550" s="98" t="n"/>
      <c r="F550" s="40" t="n"/>
      <c r="J550" s="79" t="n"/>
      <c r="K550" s="80" t="n"/>
      <c r="L550" s="81" t="n"/>
      <c r="M550" s="81" t="n"/>
      <c r="N550" s="89" t="n"/>
      <c r="O550" s="84" t="n"/>
      <c r="P550" s="85" t="n"/>
    </row>
    <row r="551" customFormat="1" s="78">
      <c r="A551" s="97" t="n"/>
      <c r="B551" s="97" t="n"/>
      <c r="C551" s="97" t="n"/>
      <c r="D551" s="98" t="n"/>
      <c r="E551" s="98" t="n"/>
      <c r="F551" s="40" t="n"/>
      <c r="J551" s="79" t="n"/>
      <c r="K551" s="80" t="n"/>
      <c r="L551" s="81" t="n"/>
      <c r="M551" s="81" t="n"/>
      <c r="N551" s="89" t="n"/>
      <c r="O551" s="84" t="n"/>
      <c r="P551" s="85" t="n"/>
    </row>
    <row r="552" customFormat="1" s="78">
      <c r="A552" s="97" t="n"/>
      <c r="B552" s="97" t="n"/>
      <c r="C552" s="97" t="n"/>
      <c r="D552" s="98" t="n"/>
      <c r="E552" s="98" t="n"/>
      <c r="F552" s="40" t="n"/>
      <c r="J552" s="79" t="n"/>
      <c r="K552" s="80" t="n"/>
      <c r="L552" s="81" t="n"/>
      <c r="M552" s="81" t="n"/>
      <c r="N552" s="89" t="n"/>
      <c r="O552" s="84" t="n"/>
      <c r="P552" s="85" t="n"/>
    </row>
    <row r="553" customFormat="1" s="78">
      <c r="A553" s="97" t="n"/>
      <c r="B553" s="97" t="n"/>
      <c r="C553" s="97" t="n"/>
      <c r="D553" s="98" t="n"/>
      <c r="E553" s="98" t="n"/>
      <c r="F553" s="40" t="n"/>
      <c r="J553" s="79" t="n"/>
      <c r="K553" s="80" t="n"/>
      <c r="L553" s="81" t="n"/>
      <c r="M553" s="81" t="n"/>
      <c r="N553" s="89" t="n"/>
      <c r="O553" s="84" t="n"/>
      <c r="P553" s="85" t="n"/>
    </row>
    <row r="554" customFormat="1" s="78">
      <c r="A554" s="97" t="n"/>
      <c r="B554" s="97" t="n"/>
      <c r="C554" s="97" t="n"/>
      <c r="D554" s="98" t="n"/>
      <c r="E554" s="98" t="n"/>
      <c r="F554" s="40" t="n"/>
      <c r="J554" s="79" t="n"/>
      <c r="K554" s="80" t="n"/>
      <c r="L554" s="81" t="n"/>
      <c r="M554" s="81" t="n"/>
      <c r="N554" s="89" t="n"/>
      <c r="O554" s="84" t="n"/>
      <c r="P554" s="85" t="n"/>
    </row>
    <row r="555" customFormat="1" s="78">
      <c r="A555" s="97" t="n"/>
      <c r="B555" s="97" t="n"/>
      <c r="C555" s="97" t="n"/>
      <c r="D555" s="98" t="n"/>
      <c r="E555" s="98" t="n"/>
      <c r="F555" s="40" t="n"/>
      <c r="J555" s="79" t="n"/>
      <c r="K555" s="80" t="n"/>
      <c r="L555" s="81" t="n"/>
      <c r="M555" s="81" t="n"/>
      <c r="N555" s="89" t="n"/>
      <c r="O555" s="84" t="n"/>
      <c r="P555" s="85" t="n"/>
    </row>
    <row r="556" customFormat="1" s="78">
      <c r="A556" s="97" t="n"/>
      <c r="B556" s="97" t="n"/>
      <c r="C556" s="97" t="n"/>
      <c r="D556" s="98" t="n"/>
      <c r="E556" s="98" t="n"/>
      <c r="F556" s="40" t="n"/>
      <c r="J556" s="79" t="n"/>
      <c r="K556" s="80" t="n"/>
      <c r="L556" s="81" t="n"/>
      <c r="M556" s="81" t="n"/>
      <c r="N556" s="89" t="n"/>
      <c r="O556" s="84" t="n"/>
      <c r="P556" s="85" t="n"/>
    </row>
    <row r="557" customFormat="1" s="78">
      <c r="A557" s="97" t="n"/>
      <c r="B557" s="97" t="n"/>
      <c r="C557" s="97" t="n"/>
      <c r="D557" s="98" t="n"/>
      <c r="E557" s="98" t="n"/>
      <c r="F557" s="40" t="n"/>
      <c r="J557" s="79" t="n"/>
      <c r="K557" s="80" t="n"/>
      <c r="L557" s="81" t="n"/>
      <c r="M557" s="81" t="n"/>
      <c r="N557" s="89" t="n"/>
      <c r="O557" s="84" t="n"/>
      <c r="P557" s="85" t="n"/>
    </row>
    <row r="558" customFormat="1" s="78">
      <c r="A558" s="97" t="n"/>
      <c r="B558" s="97" t="n"/>
      <c r="C558" s="97" t="n"/>
      <c r="D558" s="98" t="n"/>
      <c r="E558" s="98" t="n"/>
      <c r="F558" s="40" t="n"/>
      <c r="J558" s="79" t="n"/>
      <c r="K558" s="80" t="n"/>
      <c r="L558" s="81" t="n"/>
      <c r="M558" s="81" t="n"/>
      <c r="N558" s="89" t="n"/>
      <c r="O558" s="84" t="n"/>
      <c r="P558" s="85" t="n"/>
    </row>
    <row r="559" customFormat="1" s="78">
      <c r="A559" s="97" t="n"/>
      <c r="B559" s="97" t="n"/>
      <c r="C559" s="97" t="n"/>
      <c r="D559" s="98" t="n"/>
      <c r="E559" s="98" t="n"/>
      <c r="F559" s="40" t="n"/>
      <c r="J559" s="79" t="n"/>
      <c r="K559" s="80" t="n"/>
      <c r="L559" s="81" t="n"/>
      <c r="M559" s="81" t="n"/>
      <c r="N559" s="89" t="n"/>
      <c r="O559" s="84" t="n"/>
      <c r="P559" s="85" t="n"/>
    </row>
    <row r="560" customFormat="1" s="78">
      <c r="A560" s="97" t="n"/>
      <c r="B560" s="97" t="n"/>
      <c r="C560" s="97" t="n"/>
      <c r="D560" s="98" t="n"/>
      <c r="E560" s="98" t="n"/>
      <c r="F560" s="40" t="n"/>
      <c r="J560" s="79" t="n"/>
      <c r="K560" s="80" t="n"/>
      <c r="L560" s="81" t="n"/>
      <c r="M560" s="81" t="n"/>
      <c r="N560" s="89" t="n"/>
      <c r="O560" s="84" t="n"/>
      <c r="P560" s="85" t="n"/>
    </row>
    <row r="561" customFormat="1" s="78">
      <c r="A561" s="97" t="n"/>
      <c r="B561" s="97" t="n"/>
      <c r="C561" s="97" t="n"/>
      <c r="D561" s="98" t="n"/>
      <c r="E561" s="98" t="n"/>
      <c r="F561" s="40" t="n"/>
      <c r="J561" s="79" t="n"/>
      <c r="K561" s="80" t="n"/>
      <c r="L561" s="81" t="n"/>
      <c r="M561" s="81" t="n"/>
      <c r="N561" s="89" t="n"/>
      <c r="O561" s="84" t="n"/>
      <c r="P561" s="85" t="n"/>
    </row>
    <row r="562" customFormat="1" s="78">
      <c r="A562" s="97" t="n"/>
      <c r="B562" s="97" t="n"/>
      <c r="C562" s="97" t="n"/>
      <c r="D562" s="98" t="n"/>
      <c r="E562" s="98" t="n"/>
      <c r="F562" s="40" t="n"/>
      <c r="J562" s="79" t="n"/>
      <c r="K562" s="80" t="n"/>
      <c r="L562" s="81" t="n"/>
      <c r="M562" s="81" t="n"/>
      <c r="N562" s="89" t="n"/>
      <c r="O562" s="84" t="n"/>
      <c r="P562" s="85" t="n"/>
    </row>
    <row r="563" customFormat="1" s="78">
      <c r="A563" s="97" t="n"/>
      <c r="B563" s="97" t="n"/>
      <c r="C563" s="97" t="n"/>
      <c r="D563" s="98" t="n"/>
      <c r="E563" s="98" t="n"/>
      <c r="F563" s="40" t="n"/>
      <c r="J563" s="79" t="n"/>
      <c r="K563" s="80" t="n"/>
      <c r="L563" s="81" t="n"/>
      <c r="M563" s="81" t="n"/>
      <c r="N563" s="89" t="n"/>
      <c r="O563" s="84" t="n"/>
      <c r="P563" s="85" t="n"/>
    </row>
    <row r="564" customFormat="1" s="78">
      <c r="A564" s="97" t="n"/>
      <c r="B564" s="97" t="n"/>
      <c r="C564" s="97" t="n"/>
      <c r="D564" s="98" t="n"/>
      <c r="E564" s="98" t="n"/>
      <c r="F564" s="40" t="n"/>
      <c r="J564" s="79" t="n"/>
      <c r="K564" s="80" t="n"/>
      <c r="L564" s="81" t="n"/>
      <c r="M564" s="81" t="n"/>
      <c r="N564" s="89" t="n"/>
      <c r="O564" s="84" t="n"/>
      <c r="P564" s="85" t="n"/>
    </row>
    <row r="565" customFormat="1" s="78">
      <c r="A565" s="97" t="n"/>
      <c r="B565" s="97" t="n"/>
      <c r="C565" s="97" t="n"/>
      <c r="D565" s="98" t="n"/>
      <c r="E565" s="98" t="n"/>
      <c r="F565" s="40" t="n"/>
      <c r="J565" s="79" t="n"/>
      <c r="K565" s="80" t="n"/>
      <c r="L565" s="81" t="n"/>
      <c r="M565" s="81" t="n"/>
      <c r="N565" s="89" t="n"/>
      <c r="O565" s="84" t="n"/>
      <c r="P565" s="85" t="n"/>
    </row>
    <row r="566" customFormat="1" s="78">
      <c r="A566" s="97" t="n"/>
      <c r="B566" s="97" t="n"/>
      <c r="C566" s="97" t="n"/>
      <c r="D566" s="98" t="n"/>
      <c r="E566" s="98" t="n"/>
      <c r="F566" s="40" t="n"/>
      <c r="J566" s="79" t="n"/>
      <c r="K566" s="80" t="n"/>
      <c r="L566" s="81" t="n"/>
      <c r="M566" s="81" t="n"/>
      <c r="N566" s="89" t="n"/>
      <c r="O566" s="84" t="n"/>
      <c r="P566" s="85" t="n"/>
    </row>
    <row r="567" customFormat="1" s="78">
      <c r="A567" s="97" t="n"/>
      <c r="B567" s="97" t="n"/>
      <c r="C567" s="97" t="n"/>
      <c r="D567" s="98" t="n"/>
      <c r="E567" s="98" t="n"/>
      <c r="F567" s="40" t="n"/>
      <c r="J567" s="79" t="n"/>
      <c r="K567" s="80" t="n"/>
      <c r="L567" s="81" t="n"/>
      <c r="M567" s="81" t="n"/>
      <c r="N567" s="89" t="n"/>
      <c r="O567" s="84" t="n"/>
      <c r="P567" s="85" t="n"/>
    </row>
    <row r="568" customFormat="1" s="78">
      <c r="A568" s="97" t="n"/>
      <c r="B568" s="97" t="n"/>
      <c r="C568" s="97" t="n"/>
      <c r="D568" s="98" t="n"/>
      <c r="E568" s="98" t="n"/>
      <c r="F568" s="40" t="n"/>
      <c r="J568" s="79" t="n"/>
      <c r="K568" s="80" t="n"/>
      <c r="L568" s="81" t="n"/>
      <c r="M568" s="81" t="n"/>
      <c r="N568" s="89" t="n"/>
      <c r="O568" s="84" t="n"/>
      <c r="P568" s="85" t="n"/>
    </row>
    <row r="569" customFormat="1" s="78">
      <c r="A569" s="97" t="n"/>
      <c r="B569" s="97" t="n"/>
      <c r="C569" s="97" t="n"/>
      <c r="D569" s="98" t="n"/>
      <c r="E569" s="98" t="n"/>
      <c r="F569" s="40" t="n"/>
      <c r="J569" s="79" t="n"/>
      <c r="K569" s="80" t="n"/>
      <c r="L569" s="81" t="n"/>
      <c r="M569" s="81" t="n"/>
      <c r="N569" s="89" t="n"/>
      <c r="O569" s="84" t="n"/>
      <c r="P569" s="85" t="n"/>
    </row>
    <row r="570" customFormat="1" s="78">
      <c r="A570" s="97" t="n"/>
      <c r="B570" s="97" t="n"/>
      <c r="C570" s="97" t="n"/>
      <c r="D570" s="98" t="n"/>
      <c r="E570" s="98" t="n"/>
      <c r="F570" s="40" t="n"/>
      <c r="J570" s="79" t="n"/>
      <c r="K570" s="80" t="n"/>
      <c r="L570" s="81" t="n"/>
      <c r="M570" s="81" t="n"/>
      <c r="N570" s="89" t="n"/>
      <c r="O570" s="84" t="n"/>
      <c r="P570" s="85" t="n"/>
    </row>
    <row r="571" customFormat="1" s="78">
      <c r="A571" s="97" t="n"/>
      <c r="B571" s="97" t="n"/>
      <c r="C571" s="97" t="n"/>
      <c r="D571" s="98" t="n"/>
      <c r="E571" s="98" t="n"/>
      <c r="F571" s="40" t="n"/>
      <c r="J571" s="79" t="n"/>
      <c r="K571" s="80" t="n"/>
      <c r="L571" s="81" t="n"/>
      <c r="M571" s="81" t="n"/>
      <c r="N571" s="89" t="n"/>
      <c r="O571" s="84" t="n"/>
      <c r="P571" s="85" t="n"/>
    </row>
    <row r="572" customFormat="1" s="78">
      <c r="A572" s="97" t="n"/>
      <c r="B572" s="97" t="n"/>
      <c r="C572" s="97" t="n"/>
      <c r="D572" s="98" t="n"/>
      <c r="E572" s="98" t="n"/>
      <c r="F572" s="40" t="n"/>
      <c r="J572" s="79" t="n"/>
      <c r="K572" s="80" t="n"/>
      <c r="L572" s="81" t="n"/>
      <c r="M572" s="81" t="n"/>
      <c r="N572" s="89" t="n"/>
      <c r="O572" s="84" t="n"/>
      <c r="P572" s="85" t="n"/>
    </row>
    <row r="573" customFormat="1" s="78">
      <c r="A573" s="97" t="n"/>
      <c r="B573" s="97" t="n"/>
      <c r="C573" s="97" t="n"/>
      <c r="D573" s="98" t="n"/>
      <c r="E573" s="98" t="n"/>
      <c r="F573" s="40" t="n"/>
      <c r="J573" s="79" t="n"/>
      <c r="K573" s="80" t="n"/>
      <c r="L573" s="81" t="n"/>
      <c r="M573" s="81" t="n"/>
      <c r="N573" s="89" t="n"/>
      <c r="O573" s="84" t="n"/>
      <c r="P573" s="85" t="n"/>
    </row>
    <row r="574" customFormat="1" s="78">
      <c r="A574" s="97" t="n"/>
      <c r="B574" s="97" t="n"/>
      <c r="C574" s="97" t="n"/>
      <c r="D574" s="98" t="n"/>
      <c r="E574" s="98" t="n"/>
      <c r="F574" s="40" t="n"/>
      <c r="J574" s="79" t="n"/>
      <c r="K574" s="80" t="n"/>
      <c r="L574" s="81" t="n"/>
      <c r="M574" s="81" t="n"/>
      <c r="N574" s="89" t="n"/>
      <c r="O574" s="84" t="n"/>
      <c r="P574" s="85" t="n"/>
    </row>
    <row r="575" customFormat="1" s="78">
      <c r="A575" s="97" t="n"/>
      <c r="B575" s="97" t="n"/>
      <c r="C575" s="97" t="n"/>
      <c r="D575" s="98" t="n"/>
      <c r="E575" s="98" t="n"/>
      <c r="F575" s="40" t="n"/>
      <c r="J575" s="79" t="n"/>
      <c r="K575" s="80" t="n"/>
      <c r="L575" s="81" t="n"/>
      <c r="M575" s="81" t="n"/>
      <c r="N575" s="89" t="n"/>
      <c r="O575" s="84" t="n"/>
      <c r="P575" s="85" t="n"/>
    </row>
    <row r="576" customFormat="1" s="78">
      <c r="A576" s="97" t="n"/>
      <c r="B576" s="97" t="n"/>
      <c r="C576" s="97" t="n"/>
      <c r="D576" s="98" t="n"/>
      <c r="E576" s="98" t="n"/>
      <c r="F576" s="40" t="n"/>
      <c r="J576" s="79" t="n"/>
      <c r="K576" s="80" t="n"/>
      <c r="L576" s="81" t="n"/>
      <c r="M576" s="81" t="n"/>
      <c r="N576" s="89" t="n"/>
      <c r="O576" s="84" t="n"/>
      <c r="P576" s="85" t="n"/>
    </row>
    <row r="577" customFormat="1" s="78">
      <c r="A577" s="97" t="n"/>
      <c r="B577" s="97" t="n"/>
      <c r="C577" s="97" t="n"/>
      <c r="D577" s="98" t="n"/>
      <c r="E577" s="98" t="n"/>
      <c r="F577" s="40" t="n"/>
      <c r="J577" s="79" t="n"/>
      <c r="K577" s="80" t="n"/>
      <c r="L577" s="81" t="n"/>
      <c r="M577" s="81" t="n"/>
      <c r="N577" s="89" t="n"/>
      <c r="O577" s="84" t="n"/>
      <c r="P577" s="85" t="n"/>
    </row>
    <row r="578" customFormat="1" s="78">
      <c r="A578" s="97" t="n"/>
      <c r="B578" s="97" t="n"/>
      <c r="C578" s="97" t="n"/>
      <c r="D578" s="98" t="n"/>
      <c r="E578" s="98" t="n"/>
      <c r="F578" s="40" t="n"/>
      <c r="J578" s="79" t="n"/>
      <c r="K578" s="80" t="n"/>
      <c r="L578" s="81" t="n"/>
      <c r="M578" s="81" t="n"/>
      <c r="N578" s="89" t="n"/>
      <c r="O578" s="84" t="n"/>
      <c r="P578" s="85" t="n"/>
    </row>
    <row r="579" customFormat="1" s="78">
      <c r="A579" s="97" t="n"/>
      <c r="B579" s="97" t="n"/>
      <c r="C579" s="97" t="n"/>
      <c r="D579" s="98" t="n"/>
      <c r="E579" s="98" t="n"/>
      <c r="F579" s="40" t="n"/>
      <c r="J579" s="79" t="n"/>
      <c r="K579" s="80" t="n"/>
      <c r="L579" s="81" t="n"/>
      <c r="M579" s="81" t="n"/>
      <c r="N579" s="89" t="n"/>
      <c r="O579" s="84" t="n"/>
      <c r="P579" s="85" t="n"/>
    </row>
    <row r="580" customFormat="1" s="78">
      <c r="A580" s="97" t="n"/>
      <c r="B580" s="97" t="n"/>
      <c r="C580" s="97" t="n"/>
      <c r="D580" s="98" t="n"/>
      <c r="E580" s="98" t="n"/>
      <c r="F580" s="40" t="n"/>
      <c r="J580" s="79" t="n"/>
      <c r="K580" s="80" t="n"/>
      <c r="L580" s="81" t="n"/>
      <c r="M580" s="81" t="n"/>
      <c r="N580" s="89" t="n"/>
      <c r="O580" s="84" t="n"/>
      <c r="P580" s="85" t="n"/>
    </row>
    <row r="581" customFormat="1" s="78">
      <c r="A581" s="97" t="n"/>
      <c r="B581" s="97" t="n"/>
      <c r="C581" s="97" t="n"/>
      <c r="D581" s="98" t="n"/>
      <c r="E581" s="98" t="n"/>
      <c r="F581" s="40" t="n"/>
      <c r="J581" s="79" t="n"/>
      <c r="K581" s="80" t="n"/>
      <c r="L581" s="81" t="n"/>
      <c r="M581" s="81" t="n"/>
      <c r="N581" s="89" t="n"/>
      <c r="O581" s="84" t="n"/>
      <c r="P581" s="85" t="n"/>
    </row>
    <row r="582" customFormat="1" s="78">
      <c r="A582" s="97" t="n"/>
      <c r="B582" s="97" t="n"/>
      <c r="C582" s="97" t="n"/>
      <c r="D582" s="98" t="n"/>
      <c r="E582" s="98" t="n"/>
      <c r="F582" s="40" t="n"/>
      <c r="J582" s="79" t="n"/>
      <c r="K582" s="80" t="n"/>
      <c r="L582" s="81" t="n"/>
      <c r="M582" s="81" t="n"/>
      <c r="N582" s="89" t="n"/>
      <c r="O582" s="84" t="n"/>
      <c r="P582" s="85" t="n"/>
    </row>
    <row r="583" customFormat="1" s="78">
      <c r="A583" s="97" t="n"/>
      <c r="B583" s="97" t="n"/>
      <c r="C583" s="97" t="n"/>
      <c r="D583" s="98" t="n"/>
      <c r="E583" s="98" t="n"/>
      <c r="F583" s="40" t="n"/>
      <c r="J583" s="79" t="n"/>
      <c r="K583" s="80" t="n"/>
      <c r="L583" s="81" t="n"/>
      <c r="M583" s="81" t="n"/>
      <c r="N583" s="89" t="n"/>
      <c r="O583" s="84" t="n"/>
      <c r="P583" s="85" t="n"/>
    </row>
    <row r="584" customFormat="1" s="78">
      <c r="A584" s="97" t="n"/>
      <c r="B584" s="97" t="n"/>
      <c r="C584" s="97" t="n"/>
      <c r="D584" s="98" t="n"/>
      <c r="E584" s="98" t="n"/>
      <c r="F584" s="40" t="n"/>
      <c r="J584" s="79" t="n"/>
      <c r="K584" s="80" t="n"/>
      <c r="L584" s="81" t="n"/>
      <c r="M584" s="81" t="n"/>
      <c r="N584" s="89" t="n"/>
      <c r="O584" s="84" t="n"/>
      <c r="P584" s="85" t="n"/>
    </row>
    <row r="585" customFormat="1" s="78">
      <c r="A585" s="97" t="n"/>
      <c r="B585" s="97" t="n"/>
      <c r="C585" s="97" t="n"/>
      <c r="D585" s="98" t="n"/>
      <c r="E585" s="98" t="n"/>
      <c r="F585" s="40" t="n"/>
      <c r="J585" s="79" t="n"/>
      <c r="K585" s="80" t="n"/>
      <c r="L585" s="81" t="n"/>
      <c r="M585" s="81" t="n"/>
      <c r="N585" s="89" t="n"/>
      <c r="O585" s="84" t="n"/>
      <c r="P585" s="85" t="n"/>
    </row>
    <row r="586" customFormat="1" s="78">
      <c r="A586" s="97" t="n"/>
      <c r="B586" s="97" t="n"/>
      <c r="C586" s="97" t="n"/>
      <c r="D586" s="98" t="n"/>
      <c r="E586" s="98" t="n"/>
      <c r="F586" s="40" t="n"/>
      <c r="J586" s="79" t="n"/>
      <c r="K586" s="80" t="n"/>
      <c r="L586" s="81" t="n"/>
      <c r="M586" s="81" t="n"/>
      <c r="N586" s="89" t="n"/>
      <c r="O586" s="84" t="n"/>
      <c r="P586" s="85" t="n"/>
    </row>
    <row r="587" customFormat="1" s="78">
      <c r="A587" s="97" t="n"/>
      <c r="B587" s="97" t="n"/>
      <c r="C587" s="97" t="n"/>
      <c r="D587" s="98" t="n"/>
      <c r="E587" s="98" t="n"/>
      <c r="F587" s="40" t="n"/>
      <c r="J587" s="79" t="n"/>
      <c r="K587" s="80" t="n"/>
      <c r="L587" s="81" t="n"/>
      <c r="M587" s="81" t="n"/>
      <c r="N587" s="89" t="n"/>
      <c r="O587" s="84" t="n"/>
      <c r="P587" s="85" t="n"/>
    </row>
    <row r="588" customFormat="1" s="78">
      <c r="A588" s="97" t="n"/>
      <c r="B588" s="97" t="n"/>
      <c r="C588" s="97" t="n"/>
      <c r="D588" s="98" t="n"/>
      <c r="E588" s="98" t="n"/>
      <c r="F588" s="40" t="n"/>
      <c r="J588" s="79" t="n"/>
      <c r="K588" s="80" t="n"/>
      <c r="L588" s="81" t="n"/>
      <c r="M588" s="81" t="n"/>
      <c r="N588" s="89" t="n"/>
      <c r="O588" s="84" t="n"/>
      <c r="P588" s="85" t="n"/>
    </row>
    <row r="589" customFormat="1" s="78">
      <c r="A589" s="97" t="n"/>
      <c r="B589" s="97" t="n"/>
      <c r="C589" s="97" t="n"/>
      <c r="D589" s="98" t="n"/>
      <c r="E589" s="98" t="n"/>
      <c r="F589" s="40" t="n"/>
      <c r="J589" s="79" t="n"/>
      <c r="K589" s="80" t="n"/>
      <c r="L589" s="81" t="n"/>
      <c r="M589" s="81" t="n"/>
      <c r="N589" s="89" t="n"/>
      <c r="O589" s="84" t="n"/>
      <c r="P589" s="85" t="n"/>
    </row>
    <row r="590" customFormat="1" s="78">
      <c r="A590" s="97" t="n"/>
      <c r="B590" s="97" t="n"/>
      <c r="C590" s="97" t="n"/>
      <c r="D590" s="98" t="n"/>
      <c r="E590" s="98" t="n"/>
      <c r="F590" s="40" t="n"/>
      <c r="J590" s="79" t="n"/>
      <c r="K590" s="80" t="n"/>
      <c r="L590" s="81" t="n"/>
      <c r="M590" s="81" t="n"/>
      <c r="N590" s="89" t="n"/>
      <c r="O590" s="84" t="n"/>
      <c r="P590" s="85" t="n"/>
    </row>
    <row r="591" customFormat="1" s="78">
      <c r="A591" s="97" t="n"/>
      <c r="B591" s="97" t="n"/>
      <c r="C591" s="97" t="n"/>
      <c r="D591" s="98" t="n"/>
      <c r="E591" s="98" t="n"/>
      <c r="F591" s="40" t="n"/>
      <c r="J591" s="79" t="n"/>
      <c r="K591" s="80" t="n"/>
      <c r="L591" s="81" t="n"/>
      <c r="M591" s="81" t="n"/>
      <c r="N591" s="89" t="n"/>
      <c r="O591" s="84" t="n"/>
      <c r="P591" s="85" t="n"/>
    </row>
    <row r="592" customFormat="1" s="78">
      <c r="A592" s="97" t="n"/>
      <c r="B592" s="97" t="n"/>
      <c r="C592" s="97" t="n"/>
      <c r="D592" s="98" t="n"/>
      <c r="E592" s="98" t="n"/>
      <c r="F592" s="40" t="n"/>
      <c r="J592" s="79" t="n"/>
      <c r="K592" s="80" t="n"/>
      <c r="L592" s="81" t="n"/>
      <c r="M592" s="81" t="n"/>
      <c r="N592" s="89" t="n"/>
      <c r="O592" s="84" t="n"/>
      <c r="P592" s="85" t="n"/>
    </row>
    <row r="593" customFormat="1" s="78">
      <c r="A593" s="97" t="n"/>
      <c r="B593" s="97" t="n"/>
      <c r="C593" s="97" t="n"/>
      <c r="D593" s="98" t="n"/>
      <c r="E593" s="98" t="n"/>
      <c r="F593" s="40" t="n"/>
      <c r="J593" s="79" t="n"/>
      <c r="K593" s="80" t="n"/>
      <c r="L593" s="81" t="n"/>
      <c r="M593" s="81" t="n"/>
      <c r="N593" s="89" t="n"/>
      <c r="O593" s="84" t="n"/>
      <c r="P593" s="85" t="n"/>
    </row>
    <row r="594" customFormat="1" s="78">
      <c r="A594" s="97" t="n"/>
      <c r="B594" s="97" t="n"/>
      <c r="C594" s="97" t="n"/>
      <c r="D594" s="98" t="n"/>
      <c r="E594" s="98" t="n"/>
      <c r="F594" s="40" t="n"/>
      <c r="J594" s="79" t="n"/>
      <c r="K594" s="80" t="n"/>
      <c r="L594" s="81" t="n"/>
      <c r="M594" s="81" t="n"/>
      <c r="N594" s="89" t="n"/>
      <c r="O594" s="84" t="n"/>
      <c r="P594" s="85" t="n"/>
    </row>
    <row r="595" customFormat="1" s="78">
      <c r="A595" s="97" t="n"/>
      <c r="B595" s="97" t="n"/>
      <c r="C595" s="97" t="n"/>
      <c r="D595" s="98" t="n"/>
      <c r="E595" s="98" t="n"/>
      <c r="F595" s="40" t="n"/>
      <c r="J595" s="79" t="n"/>
      <c r="K595" s="80" t="n"/>
      <c r="L595" s="81" t="n"/>
      <c r="M595" s="81" t="n"/>
      <c r="N595" s="89" t="n"/>
      <c r="O595" s="84" t="n"/>
      <c r="P595" s="85" t="n"/>
    </row>
    <row r="596" customFormat="1" s="78">
      <c r="A596" s="97" t="n"/>
      <c r="B596" s="97" t="n"/>
      <c r="C596" s="97" t="n"/>
      <c r="D596" s="98" t="n"/>
      <c r="E596" s="98" t="n"/>
      <c r="F596" s="40" t="n"/>
      <c r="J596" s="79" t="n"/>
      <c r="K596" s="80" t="n"/>
      <c r="L596" s="81" t="n"/>
      <c r="M596" s="81" t="n"/>
      <c r="N596" s="89" t="n"/>
      <c r="O596" s="84" t="n"/>
      <c r="P596" s="85" t="n"/>
    </row>
    <row r="597" customFormat="1" s="78">
      <c r="A597" s="97" t="n"/>
      <c r="B597" s="97" t="n"/>
      <c r="C597" s="97" t="n"/>
      <c r="D597" s="98" t="n"/>
      <c r="E597" s="98" t="n"/>
      <c r="F597" s="40" t="n"/>
      <c r="J597" s="79" t="n"/>
      <c r="K597" s="80" t="n"/>
      <c r="L597" s="81" t="n"/>
      <c r="M597" s="81" t="n"/>
      <c r="N597" s="89" t="n"/>
      <c r="O597" s="84" t="n"/>
      <c r="P597" s="85" t="n"/>
    </row>
    <row r="598" customFormat="1" s="78">
      <c r="A598" s="97" t="n"/>
      <c r="B598" s="97" t="n"/>
      <c r="C598" s="97" t="n"/>
      <c r="D598" s="98" t="n"/>
      <c r="E598" s="98" t="n"/>
      <c r="F598" s="40" t="n"/>
      <c r="J598" s="79" t="n"/>
      <c r="K598" s="80" t="n"/>
      <c r="L598" s="81" t="n"/>
      <c r="M598" s="81" t="n"/>
      <c r="N598" s="89" t="n"/>
      <c r="O598" s="84" t="n"/>
      <c r="P598" s="85" t="n"/>
    </row>
    <row r="599" customFormat="1" s="78">
      <c r="A599" s="97" t="n"/>
      <c r="B599" s="97" t="n"/>
      <c r="C599" s="97" t="n"/>
      <c r="D599" s="98" t="n"/>
      <c r="E599" s="98" t="n"/>
      <c r="F599" s="40" t="n"/>
      <c r="J599" s="79" t="n"/>
      <c r="K599" s="80" t="n"/>
      <c r="L599" s="81" t="n"/>
      <c r="M599" s="81" t="n"/>
      <c r="N599" s="89" t="n"/>
      <c r="O599" s="84" t="n"/>
      <c r="P599" s="85" t="n"/>
    </row>
    <row r="600" customFormat="1" s="78">
      <c r="A600" s="97" t="n"/>
      <c r="B600" s="97" t="n"/>
      <c r="C600" s="97" t="n"/>
      <c r="D600" s="98" t="n"/>
      <c r="E600" s="98" t="n"/>
      <c r="F600" s="40" t="n"/>
      <c r="J600" s="79" t="n"/>
      <c r="K600" s="80" t="n"/>
      <c r="L600" s="81" t="n"/>
      <c r="M600" s="81" t="n"/>
      <c r="N600" s="89" t="n"/>
      <c r="O600" s="84" t="n"/>
      <c r="P600" s="85" t="n"/>
    </row>
    <row r="601" customFormat="1" s="78">
      <c r="A601" s="97" t="n"/>
      <c r="B601" s="97" t="n"/>
      <c r="C601" s="97" t="n"/>
      <c r="D601" s="98" t="n"/>
      <c r="E601" s="98" t="n"/>
      <c r="F601" s="40" t="n"/>
      <c r="J601" s="79" t="n"/>
      <c r="K601" s="80" t="n"/>
      <c r="L601" s="81" t="n"/>
      <c r="M601" s="81" t="n"/>
      <c r="N601" s="89" t="n"/>
      <c r="O601" s="84" t="n"/>
      <c r="P601" s="85" t="n"/>
    </row>
    <row r="602" customFormat="1" s="78">
      <c r="A602" s="97" t="n"/>
      <c r="B602" s="97" t="n"/>
      <c r="C602" s="97" t="n"/>
      <c r="D602" s="98" t="n"/>
      <c r="E602" s="98" t="n"/>
      <c r="F602" s="40" t="n"/>
      <c r="J602" s="79" t="n"/>
      <c r="K602" s="80" t="n"/>
      <c r="L602" s="81" t="n"/>
      <c r="M602" s="81" t="n"/>
      <c r="N602" s="89" t="n"/>
      <c r="O602" s="84" t="n"/>
      <c r="P602" s="85" t="n"/>
    </row>
    <row r="603" customFormat="1" s="78">
      <c r="A603" s="97" t="n"/>
      <c r="B603" s="97" t="n"/>
      <c r="C603" s="97" t="n"/>
      <c r="D603" s="98" t="n"/>
      <c r="E603" s="98" t="n"/>
      <c r="F603" s="40" t="n"/>
      <c r="J603" s="79" t="n"/>
      <c r="K603" s="80" t="n"/>
      <c r="L603" s="81" t="n"/>
      <c r="M603" s="81" t="n"/>
      <c r="N603" s="89" t="n"/>
      <c r="O603" s="84" t="n"/>
      <c r="P603" s="85" t="n"/>
    </row>
    <row r="604" customFormat="1" s="78">
      <c r="A604" s="97" t="n"/>
      <c r="B604" s="97" t="n"/>
      <c r="C604" s="97" t="n"/>
      <c r="D604" s="98" t="n"/>
      <c r="E604" s="98" t="n"/>
      <c r="F604" s="40" t="n"/>
      <c r="J604" s="79" t="n"/>
      <c r="K604" s="80" t="n"/>
      <c r="L604" s="81" t="n"/>
      <c r="M604" s="81" t="n"/>
      <c r="N604" s="89" t="n"/>
      <c r="O604" s="84" t="n"/>
      <c r="P604" s="85" t="n"/>
    </row>
    <row r="605" customFormat="1" s="78">
      <c r="A605" s="97" t="n"/>
      <c r="B605" s="97" t="n"/>
      <c r="C605" s="97" t="n"/>
      <c r="D605" s="98" t="n"/>
      <c r="E605" s="98" t="n"/>
      <c r="F605" s="40" t="n"/>
      <c r="J605" s="79" t="n"/>
      <c r="K605" s="80" t="n"/>
      <c r="L605" s="81" t="n"/>
      <c r="M605" s="81" t="n"/>
      <c r="N605" s="89" t="n"/>
      <c r="O605" s="84" t="n"/>
      <c r="P605" s="85" t="n"/>
    </row>
    <row r="606" customFormat="1" s="78">
      <c r="A606" s="97" t="n"/>
      <c r="B606" s="97" t="n"/>
      <c r="C606" s="97" t="n"/>
      <c r="D606" s="98" t="n"/>
      <c r="E606" s="98" t="n"/>
      <c r="F606" s="40" t="n"/>
      <c r="J606" s="79" t="n"/>
      <c r="K606" s="80" t="n"/>
      <c r="L606" s="81" t="n"/>
      <c r="M606" s="81" t="n"/>
      <c r="N606" s="89" t="n"/>
      <c r="O606" s="84" t="n"/>
      <c r="P606" s="85" t="n"/>
    </row>
    <row r="607" customFormat="1" s="78">
      <c r="A607" s="97" t="n"/>
      <c r="B607" s="97" t="n"/>
      <c r="C607" s="97" t="n"/>
      <c r="D607" s="98" t="n"/>
      <c r="E607" s="98" t="n"/>
      <c r="F607" s="40" t="n"/>
      <c r="J607" s="79" t="n"/>
      <c r="K607" s="80" t="n"/>
      <c r="L607" s="81" t="n"/>
      <c r="M607" s="81" t="n"/>
      <c r="N607" s="89" t="n"/>
      <c r="O607" s="84" t="n"/>
      <c r="P607" s="85" t="n"/>
    </row>
    <row r="608" customFormat="1" s="78">
      <c r="A608" s="97" t="n"/>
      <c r="B608" s="97" t="n"/>
      <c r="C608" s="97" t="n"/>
      <c r="D608" s="98" t="n"/>
      <c r="E608" s="98" t="n"/>
      <c r="F608" s="40" t="n"/>
      <c r="J608" s="79" t="n"/>
      <c r="K608" s="80" t="n"/>
      <c r="L608" s="81" t="n"/>
      <c r="M608" s="81" t="n"/>
      <c r="N608" s="89" t="n"/>
      <c r="O608" s="84" t="n"/>
      <c r="P608" s="85" t="n"/>
    </row>
    <row r="609" customFormat="1" s="78">
      <c r="A609" s="97" t="n"/>
      <c r="B609" s="97" t="n"/>
      <c r="C609" s="97" t="n"/>
      <c r="D609" s="98" t="n"/>
      <c r="E609" s="98" t="n"/>
      <c r="F609" s="40" t="n"/>
      <c r="J609" s="79" t="n"/>
      <c r="K609" s="80" t="n"/>
      <c r="L609" s="81" t="n"/>
      <c r="M609" s="81" t="n"/>
      <c r="N609" s="89" t="n"/>
      <c r="O609" s="84" t="n"/>
      <c r="P609" s="85" t="n"/>
    </row>
    <row r="610" customFormat="1" s="78">
      <c r="A610" s="97" t="n"/>
      <c r="B610" s="97" t="n"/>
      <c r="C610" s="97" t="n"/>
      <c r="D610" s="98" t="n"/>
      <c r="E610" s="98" t="n"/>
      <c r="F610" s="40" t="n"/>
      <c r="J610" s="79" t="n"/>
      <c r="K610" s="80" t="n"/>
      <c r="L610" s="81" t="n"/>
      <c r="M610" s="81" t="n"/>
      <c r="N610" s="89" t="n"/>
      <c r="O610" s="84" t="n"/>
      <c r="P610" s="85" t="n"/>
    </row>
    <row r="611" customFormat="1" s="78">
      <c r="A611" s="97" t="n"/>
      <c r="B611" s="97" t="n"/>
      <c r="C611" s="97" t="n"/>
      <c r="D611" s="98" t="n"/>
      <c r="E611" s="98" t="n"/>
      <c r="F611" s="40" t="n"/>
      <c r="J611" s="79" t="n"/>
      <c r="K611" s="80" t="n"/>
      <c r="L611" s="81" t="n"/>
      <c r="M611" s="81" t="n"/>
      <c r="N611" s="89" t="n"/>
      <c r="O611" s="84" t="n"/>
      <c r="P611" s="85" t="n"/>
    </row>
    <row r="612" customFormat="1" s="78">
      <c r="A612" s="97" t="n"/>
      <c r="B612" s="97" t="n"/>
      <c r="C612" s="97" t="n"/>
      <c r="D612" s="98" t="n"/>
      <c r="E612" s="98" t="n"/>
      <c r="F612" s="40" t="n"/>
      <c r="J612" s="79" t="n"/>
      <c r="K612" s="80" t="n"/>
      <c r="L612" s="81" t="n"/>
      <c r="M612" s="81" t="n"/>
      <c r="N612" s="89" t="n"/>
      <c r="O612" s="84" t="n"/>
      <c r="P612" s="85" t="n"/>
    </row>
    <row r="613" customFormat="1" s="78">
      <c r="A613" s="97" t="n"/>
      <c r="B613" s="97" t="n"/>
      <c r="C613" s="97" t="n"/>
      <c r="D613" s="98" t="n"/>
      <c r="E613" s="98" t="n"/>
      <c r="F613" s="40" t="n"/>
      <c r="J613" s="79" t="n"/>
      <c r="K613" s="80" t="n"/>
      <c r="L613" s="81" t="n"/>
      <c r="M613" s="81" t="n"/>
      <c r="N613" s="89" t="n"/>
      <c r="O613" s="84" t="n"/>
      <c r="P613" s="85" t="n"/>
    </row>
    <row r="614" customFormat="1" s="78">
      <c r="A614" s="97" t="n"/>
      <c r="B614" s="97" t="n"/>
      <c r="C614" s="97" t="n"/>
      <c r="D614" s="98" t="n"/>
      <c r="E614" s="98" t="n"/>
      <c r="F614" s="40" t="n"/>
      <c r="J614" s="79" t="n"/>
      <c r="K614" s="80" t="n"/>
      <c r="L614" s="81" t="n"/>
      <c r="M614" s="81" t="n"/>
      <c r="N614" s="89" t="n"/>
      <c r="O614" s="84" t="n"/>
      <c r="P614" s="85" t="n"/>
    </row>
    <row r="615" customFormat="1" s="78">
      <c r="A615" s="97" t="n"/>
      <c r="B615" s="97" t="n"/>
      <c r="C615" s="97" t="n"/>
      <c r="D615" s="98" t="n"/>
      <c r="E615" s="98" t="n"/>
      <c r="F615" s="40" t="n"/>
      <c r="J615" s="79" t="n"/>
      <c r="K615" s="80" t="n"/>
      <c r="L615" s="81" t="n"/>
      <c r="M615" s="81" t="n"/>
      <c r="N615" s="89" t="n"/>
      <c r="O615" s="84" t="n"/>
      <c r="P615" s="85" t="n"/>
    </row>
    <row r="616" customFormat="1" s="78">
      <c r="A616" s="97" t="n"/>
      <c r="B616" s="97" t="n"/>
      <c r="C616" s="97" t="n"/>
      <c r="D616" s="98" t="n"/>
      <c r="E616" s="98" t="n"/>
      <c r="F616" s="40" t="n"/>
      <c r="J616" s="79" t="n"/>
      <c r="K616" s="80" t="n"/>
      <c r="L616" s="81" t="n"/>
      <c r="M616" s="81" t="n"/>
      <c r="N616" s="89" t="n"/>
      <c r="O616" s="84" t="n"/>
      <c r="P616" s="85" t="n"/>
    </row>
    <row r="617" customFormat="1" s="78">
      <c r="A617" s="97" t="n"/>
      <c r="B617" s="97" t="n"/>
      <c r="C617" s="97" t="n"/>
      <c r="D617" s="98" t="n"/>
      <c r="E617" s="98" t="n"/>
      <c r="F617" s="40" t="n"/>
      <c r="J617" s="79" t="n"/>
      <c r="K617" s="80" t="n"/>
      <c r="L617" s="81" t="n"/>
      <c r="M617" s="81" t="n"/>
      <c r="N617" s="89" t="n"/>
      <c r="O617" s="84" t="n"/>
      <c r="P617" s="85" t="n"/>
    </row>
    <row r="618" customFormat="1" s="78">
      <c r="A618" s="97" t="n"/>
      <c r="B618" s="97" t="n"/>
      <c r="C618" s="97" t="n"/>
      <c r="D618" s="98" t="n"/>
      <c r="E618" s="98" t="n"/>
      <c r="F618" s="40" t="n"/>
      <c r="J618" s="79" t="n"/>
      <c r="K618" s="80" t="n"/>
      <c r="L618" s="81" t="n"/>
      <c r="M618" s="81" t="n"/>
      <c r="N618" s="89" t="n"/>
      <c r="O618" s="84" t="n"/>
      <c r="P618" s="85" t="n"/>
    </row>
    <row r="619" customFormat="1" s="78">
      <c r="A619" s="97" t="n"/>
      <c r="B619" s="97" t="n"/>
      <c r="C619" s="97" t="n"/>
      <c r="D619" s="98" t="n"/>
      <c r="E619" s="98" t="n"/>
      <c r="F619" s="40" t="n"/>
      <c r="J619" s="79" t="n"/>
      <c r="K619" s="80" t="n"/>
      <c r="L619" s="81" t="n"/>
      <c r="M619" s="81" t="n"/>
      <c r="N619" s="89" t="n"/>
      <c r="O619" s="84" t="n"/>
      <c r="P619" s="85" t="n"/>
    </row>
    <row r="620" customFormat="1" s="78">
      <c r="A620" s="97" t="n"/>
      <c r="B620" s="97" t="n"/>
      <c r="C620" s="97" t="n"/>
      <c r="D620" s="98" t="n"/>
      <c r="E620" s="98" t="n"/>
      <c r="F620" s="40" t="n"/>
      <c r="J620" s="79" t="n"/>
      <c r="K620" s="80" t="n"/>
      <c r="L620" s="81" t="n"/>
      <c r="M620" s="81" t="n"/>
      <c r="N620" s="89" t="n"/>
      <c r="O620" s="84" t="n"/>
      <c r="P620" s="85" t="n"/>
    </row>
    <row r="621" customFormat="1" s="78">
      <c r="A621" s="97" t="n"/>
      <c r="B621" s="97" t="n"/>
      <c r="C621" s="97" t="n"/>
      <c r="D621" s="98" t="n"/>
      <c r="E621" s="98" t="n"/>
      <c r="F621" s="40" t="n"/>
      <c r="J621" s="79" t="n"/>
      <c r="K621" s="80" t="n"/>
      <c r="L621" s="81" t="n"/>
      <c r="M621" s="81" t="n"/>
      <c r="N621" s="89" t="n"/>
      <c r="O621" s="84" t="n"/>
      <c r="P621" s="85" t="n"/>
    </row>
    <row r="622" customFormat="1" s="78">
      <c r="A622" s="97" t="n"/>
      <c r="B622" s="97" t="n"/>
      <c r="C622" s="97" t="n"/>
      <c r="D622" s="98" t="n"/>
      <c r="E622" s="98" t="n"/>
      <c r="F622" s="40" t="n"/>
      <c r="J622" s="79" t="n"/>
      <c r="K622" s="80" t="n"/>
      <c r="L622" s="81" t="n"/>
      <c r="M622" s="81" t="n"/>
      <c r="N622" s="89" t="n"/>
      <c r="O622" s="84" t="n"/>
      <c r="P622" s="85" t="n"/>
    </row>
    <row r="623" customFormat="1" s="78">
      <c r="A623" s="97" t="n"/>
      <c r="B623" s="97" t="n"/>
      <c r="C623" s="97" t="n"/>
      <c r="D623" s="98" t="n"/>
      <c r="E623" s="98" t="n"/>
      <c r="F623" s="40" t="n"/>
      <c r="J623" s="79" t="n"/>
      <c r="K623" s="80" t="n"/>
      <c r="L623" s="81" t="n"/>
      <c r="M623" s="81" t="n"/>
      <c r="N623" s="89" t="n"/>
      <c r="O623" s="84" t="n"/>
      <c r="P623" s="85" t="n"/>
    </row>
    <row r="624" customFormat="1" s="78">
      <c r="A624" s="97" t="n"/>
      <c r="B624" s="97" t="n"/>
      <c r="C624" s="97" t="n"/>
      <c r="D624" s="98" t="n"/>
      <c r="E624" s="98" t="n"/>
      <c r="F624" s="40" t="n"/>
      <c r="J624" s="79" t="n"/>
      <c r="K624" s="80" t="n"/>
      <c r="L624" s="81" t="n"/>
      <c r="M624" s="81" t="n"/>
      <c r="N624" s="89" t="n"/>
      <c r="O624" s="84" t="n"/>
      <c r="P624" s="85" t="n"/>
    </row>
    <row r="625" customFormat="1" s="78">
      <c r="A625" s="97" t="n"/>
      <c r="B625" s="97" t="n"/>
      <c r="C625" s="97" t="n"/>
      <c r="D625" s="98" t="n"/>
      <c r="E625" s="98" t="n"/>
      <c r="F625" s="40" t="n"/>
      <c r="J625" s="79" t="n"/>
      <c r="K625" s="80" t="n"/>
      <c r="L625" s="81" t="n"/>
      <c r="M625" s="81" t="n"/>
      <c r="N625" s="89" t="n"/>
      <c r="O625" s="84" t="n"/>
      <c r="P625" s="85" t="n"/>
    </row>
    <row r="626" customFormat="1" s="78">
      <c r="A626" s="97" t="n"/>
      <c r="B626" s="97" t="n"/>
      <c r="C626" s="97" t="n"/>
      <c r="D626" s="98" t="n"/>
      <c r="E626" s="98" t="n"/>
      <c r="F626" s="40" t="n"/>
      <c r="J626" s="79" t="n"/>
      <c r="K626" s="80" t="n"/>
      <c r="L626" s="81" t="n"/>
      <c r="M626" s="81" t="n"/>
      <c r="N626" s="89" t="n"/>
      <c r="O626" s="84" t="n"/>
      <c r="P626" s="85" t="n"/>
    </row>
    <row r="627" customFormat="1" s="78">
      <c r="A627" s="97" t="n"/>
      <c r="B627" s="97" t="n"/>
      <c r="C627" s="97" t="n"/>
      <c r="D627" s="98" t="n"/>
      <c r="E627" s="98" t="n"/>
      <c r="F627" s="40" t="n"/>
      <c r="J627" s="79" t="n"/>
      <c r="K627" s="80" t="n"/>
      <c r="L627" s="81" t="n"/>
      <c r="M627" s="81" t="n"/>
      <c r="N627" s="89" t="n"/>
      <c r="O627" s="84" t="n"/>
      <c r="P627" s="85" t="n"/>
    </row>
    <row r="628" customFormat="1" s="78">
      <c r="A628" s="97" t="n"/>
      <c r="B628" s="97" t="n"/>
      <c r="C628" s="97" t="n"/>
      <c r="D628" s="98" t="n"/>
      <c r="E628" s="98" t="n"/>
      <c r="F628" s="40" t="n"/>
      <c r="J628" s="79" t="n"/>
      <c r="K628" s="80" t="n"/>
      <c r="L628" s="81" t="n"/>
      <c r="M628" s="81" t="n"/>
      <c r="N628" s="89" t="n"/>
      <c r="O628" s="84" t="n"/>
      <c r="P628" s="85" t="n"/>
    </row>
    <row r="629" customFormat="1" s="78">
      <c r="A629" s="97" t="n"/>
      <c r="B629" s="97" t="n"/>
      <c r="C629" s="97" t="n"/>
      <c r="D629" s="98" t="n"/>
      <c r="E629" s="98" t="n"/>
      <c r="F629" s="40" t="n"/>
      <c r="J629" s="79" t="n"/>
      <c r="K629" s="80" t="n"/>
      <c r="L629" s="81" t="n"/>
      <c r="M629" s="81" t="n"/>
      <c r="N629" s="89" t="n"/>
      <c r="O629" s="84" t="n"/>
      <c r="P629" s="85" t="n"/>
    </row>
    <row r="630" customFormat="1" s="78">
      <c r="A630" s="97" t="n"/>
      <c r="B630" s="97" t="n"/>
      <c r="C630" s="97" t="n"/>
      <c r="D630" s="98" t="n"/>
      <c r="E630" s="98" t="n"/>
      <c r="F630" s="40" t="n"/>
      <c r="J630" s="79" t="n"/>
      <c r="K630" s="80" t="n"/>
      <c r="L630" s="81" t="n"/>
      <c r="M630" s="81" t="n"/>
      <c r="N630" s="89" t="n"/>
      <c r="O630" s="84" t="n"/>
      <c r="P630" s="85" t="n"/>
    </row>
    <row r="631" customFormat="1" s="78">
      <c r="A631" s="97" t="n"/>
      <c r="B631" s="97" t="n"/>
      <c r="C631" s="97" t="n"/>
      <c r="D631" s="98" t="n"/>
      <c r="E631" s="98" t="n"/>
      <c r="F631" s="40" t="n"/>
      <c r="J631" s="79" t="n"/>
      <c r="K631" s="80" t="n"/>
      <c r="L631" s="81" t="n"/>
      <c r="M631" s="81" t="n"/>
      <c r="N631" s="89" t="n"/>
      <c r="O631" s="84" t="n"/>
      <c r="P631" s="85" t="n"/>
    </row>
    <row r="632" customFormat="1" s="78">
      <c r="A632" s="97" t="n"/>
      <c r="B632" s="97" t="n"/>
      <c r="C632" s="97" t="n"/>
      <c r="D632" s="98" t="n"/>
      <c r="E632" s="98" t="n"/>
      <c r="F632" s="40" t="n"/>
      <c r="J632" s="79" t="n"/>
      <c r="K632" s="80" t="n"/>
      <c r="L632" s="81" t="n"/>
      <c r="M632" s="81" t="n"/>
      <c r="N632" s="89" t="n"/>
      <c r="O632" s="84" t="n"/>
      <c r="P632" s="85" t="n"/>
    </row>
    <row r="633" customFormat="1" s="78">
      <c r="A633" s="97" t="n"/>
      <c r="B633" s="97" t="n"/>
      <c r="C633" s="97" t="n"/>
      <c r="D633" s="98" t="n"/>
      <c r="E633" s="98" t="n"/>
      <c r="F633" s="40" t="n"/>
      <c r="J633" s="79" t="n"/>
      <c r="K633" s="80" t="n"/>
      <c r="L633" s="81" t="n"/>
      <c r="M633" s="81" t="n"/>
      <c r="N633" s="89" t="n"/>
      <c r="O633" s="84" t="n"/>
      <c r="P633" s="85" t="n"/>
    </row>
    <row r="634" customFormat="1" s="78">
      <c r="A634" s="97" t="n"/>
      <c r="B634" s="97" t="n"/>
      <c r="C634" s="97" t="n"/>
      <c r="D634" s="98" t="n"/>
      <c r="E634" s="98" t="n"/>
      <c r="F634" s="40" t="n"/>
      <c r="J634" s="79" t="n"/>
      <c r="K634" s="80" t="n"/>
      <c r="L634" s="81" t="n"/>
      <c r="M634" s="81" t="n"/>
      <c r="N634" s="89" t="n"/>
      <c r="O634" s="84" t="n"/>
      <c r="P634" s="85" t="n"/>
    </row>
    <row r="635" customFormat="1" s="78">
      <c r="A635" s="97" t="n"/>
      <c r="B635" s="97" t="n"/>
      <c r="C635" s="97" t="n"/>
      <c r="D635" s="98" t="n"/>
      <c r="E635" s="98" t="n"/>
      <c r="F635" s="40" t="n"/>
      <c r="J635" s="79" t="n"/>
      <c r="K635" s="80" t="n"/>
      <c r="L635" s="81" t="n"/>
      <c r="M635" s="81" t="n"/>
      <c r="N635" s="89" t="n"/>
      <c r="O635" s="84" t="n"/>
      <c r="P635" s="85" t="n"/>
    </row>
    <row r="636" customFormat="1" s="78">
      <c r="A636" s="97" t="n"/>
      <c r="B636" s="97" t="n"/>
      <c r="C636" s="97" t="n"/>
      <c r="D636" s="98" t="n"/>
      <c r="E636" s="98" t="n"/>
      <c r="F636" s="40" t="n"/>
      <c r="J636" s="79" t="n"/>
      <c r="K636" s="80" t="n"/>
      <c r="L636" s="81" t="n"/>
      <c r="M636" s="81" t="n"/>
      <c r="N636" s="89" t="n"/>
      <c r="O636" s="84" t="n"/>
      <c r="P636" s="85" t="n"/>
    </row>
    <row r="637" customFormat="1" s="78">
      <c r="A637" s="97" t="n"/>
      <c r="B637" s="97" t="n"/>
      <c r="C637" s="97" t="n"/>
      <c r="D637" s="98" t="n"/>
      <c r="E637" s="98" t="n"/>
      <c r="F637" s="40" t="n"/>
      <c r="J637" s="79" t="n"/>
      <c r="K637" s="80" t="n"/>
      <c r="L637" s="81" t="n"/>
      <c r="M637" s="81" t="n"/>
      <c r="N637" s="89" t="n"/>
      <c r="O637" s="84" t="n"/>
      <c r="P637" s="85" t="n"/>
    </row>
    <row r="638" customFormat="1" s="78">
      <c r="A638" s="97" t="n"/>
      <c r="B638" s="97" t="n"/>
      <c r="C638" s="97" t="n"/>
      <c r="D638" s="98" t="n"/>
      <c r="E638" s="98" t="n"/>
      <c r="F638" s="40" t="n"/>
      <c r="J638" s="79" t="n"/>
      <c r="K638" s="80" t="n"/>
      <c r="L638" s="81" t="n"/>
      <c r="M638" s="81" t="n"/>
      <c r="N638" s="89" t="n"/>
      <c r="O638" s="84" t="n"/>
      <c r="P638" s="85" t="n"/>
    </row>
    <row r="639" customFormat="1" s="78">
      <c r="A639" s="97" t="n"/>
      <c r="B639" s="97" t="n"/>
      <c r="C639" s="97" t="n"/>
      <c r="D639" s="98" t="n"/>
      <c r="E639" s="98" t="n"/>
      <c r="F639" s="40" t="n"/>
      <c r="J639" s="79" t="n"/>
      <c r="K639" s="80" t="n"/>
      <c r="L639" s="81" t="n"/>
      <c r="M639" s="81" t="n"/>
      <c r="N639" s="89" t="n"/>
      <c r="O639" s="84" t="n"/>
      <c r="P639" s="85" t="n"/>
    </row>
    <row r="640" customFormat="1" s="78">
      <c r="A640" s="97" t="n"/>
      <c r="B640" s="97" t="n"/>
      <c r="C640" s="97" t="n"/>
      <c r="D640" s="98" t="n"/>
      <c r="E640" s="98" t="n"/>
      <c r="F640" s="40" t="n"/>
      <c r="J640" s="79" t="n"/>
      <c r="K640" s="80" t="n"/>
      <c r="L640" s="81" t="n"/>
      <c r="M640" s="81" t="n"/>
      <c r="N640" s="89" t="n"/>
      <c r="O640" s="84" t="n"/>
      <c r="P640" s="85" t="n"/>
    </row>
    <row r="641" customFormat="1" s="78">
      <c r="A641" s="97" t="n"/>
      <c r="B641" s="97" t="n"/>
      <c r="C641" s="97" t="n"/>
      <c r="D641" s="98" t="n"/>
      <c r="E641" s="98" t="n"/>
      <c r="F641" s="40" t="n"/>
      <c r="J641" s="79" t="n"/>
      <c r="K641" s="80" t="n"/>
      <c r="L641" s="81" t="n"/>
      <c r="M641" s="81" t="n"/>
      <c r="N641" s="89" t="n"/>
      <c r="O641" s="84" t="n"/>
      <c r="P641" s="85" t="n"/>
    </row>
    <row r="642" customFormat="1" s="78">
      <c r="A642" s="97" t="n"/>
      <c r="B642" s="97" t="n"/>
      <c r="C642" s="97" t="n"/>
      <c r="D642" s="98" t="n"/>
      <c r="E642" s="98" t="n"/>
      <c r="F642" s="40" t="n"/>
      <c r="J642" s="79" t="n"/>
      <c r="K642" s="80" t="n"/>
      <c r="L642" s="81" t="n"/>
      <c r="M642" s="81" t="n"/>
      <c r="N642" s="89" t="n"/>
      <c r="O642" s="84" t="n"/>
      <c r="P642" s="85" t="n"/>
    </row>
    <row r="643" customFormat="1" s="78">
      <c r="A643" s="97" t="n"/>
      <c r="B643" s="97" t="n"/>
      <c r="C643" s="97" t="n"/>
      <c r="D643" s="98" t="n"/>
      <c r="E643" s="98" t="n"/>
      <c r="F643" s="40" t="n"/>
      <c r="J643" s="79" t="n"/>
      <c r="K643" s="80" t="n"/>
      <c r="L643" s="81" t="n"/>
      <c r="M643" s="81" t="n"/>
      <c r="N643" s="89" t="n"/>
      <c r="O643" s="84" t="n"/>
      <c r="P643" s="85" t="n"/>
    </row>
    <row r="644" customFormat="1" s="78">
      <c r="A644" s="97" t="n"/>
      <c r="B644" s="97" t="n"/>
      <c r="C644" s="97" t="n"/>
      <c r="D644" s="98" t="n"/>
      <c r="E644" s="98" t="n"/>
      <c r="F644" s="40" t="n"/>
      <c r="J644" s="79" t="n"/>
      <c r="K644" s="80" t="n"/>
      <c r="L644" s="81" t="n"/>
      <c r="M644" s="81" t="n"/>
      <c r="N644" s="89" t="n"/>
      <c r="O644" s="84" t="n"/>
      <c r="P644" s="85" t="n"/>
    </row>
    <row r="645" customFormat="1" s="78">
      <c r="A645" s="97" t="n"/>
      <c r="B645" s="97" t="n"/>
      <c r="C645" s="97" t="n"/>
      <c r="D645" s="98" t="n"/>
      <c r="E645" s="98" t="n"/>
      <c r="F645" s="40" t="n"/>
      <c r="J645" s="79" t="n"/>
      <c r="K645" s="80" t="n"/>
      <c r="L645" s="81" t="n"/>
      <c r="M645" s="81" t="n"/>
      <c r="N645" s="89" t="n"/>
      <c r="O645" s="84" t="n"/>
      <c r="P645" s="85" t="n"/>
    </row>
    <row r="646" customFormat="1" s="78">
      <c r="A646" s="97" t="n"/>
      <c r="B646" s="97" t="n"/>
      <c r="C646" s="97" t="n"/>
      <c r="D646" s="98" t="n"/>
      <c r="E646" s="98" t="n"/>
      <c r="F646" s="40" t="n"/>
      <c r="J646" s="79" t="n"/>
      <c r="K646" s="80" t="n"/>
      <c r="L646" s="81" t="n"/>
      <c r="M646" s="81" t="n"/>
      <c r="N646" s="89" t="n"/>
      <c r="O646" s="84" t="n"/>
      <c r="P646" s="85" t="n"/>
    </row>
    <row r="647" customFormat="1" s="78">
      <c r="A647" s="97" t="n"/>
      <c r="B647" s="97" t="n"/>
      <c r="C647" s="97" t="n"/>
      <c r="D647" s="98" t="n"/>
      <c r="E647" s="98" t="n"/>
      <c r="F647" s="40" t="n"/>
      <c r="J647" s="79" t="n"/>
      <c r="K647" s="80" t="n"/>
      <c r="L647" s="81" t="n"/>
      <c r="M647" s="81" t="n"/>
      <c r="N647" s="89" t="n"/>
      <c r="O647" s="84" t="n"/>
      <c r="P647" s="85" t="n"/>
    </row>
    <row r="648" customFormat="1" s="78">
      <c r="A648" s="97" t="n"/>
      <c r="B648" s="97" t="n"/>
      <c r="C648" s="97" t="n"/>
      <c r="D648" s="98" t="n"/>
      <c r="E648" s="98" t="n"/>
      <c r="F648" s="40" t="n"/>
      <c r="J648" s="79" t="n"/>
      <c r="K648" s="80" t="n"/>
      <c r="L648" s="81" t="n"/>
      <c r="M648" s="81" t="n"/>
      <c r="N648" s="89" t="n"/>
      <c r="O648" s="84" t="n"/>
      <c r="P648" s="85" t="n"/>
    </row>
    <row r="649" customFormat="1" s="78">
      <c r="A649" s="97" t="n"/>
      <c r="B649" s="97" t="n"/>
      <c r="C649" s="97" t="n"/>
      <c r="D649" s="98" t="n"/>
      <c r="E649" s="98" t="n"/>
      <c r="F649" s="40" t="n"/>
      <c r="J649" s="79" t="n"/>
      <c r="K649" s="80" t="n"/>
      <c r="L649" s="81" t="n"/>
      <c r="M649" s="81" t="n"/>
      <c r="N649" s="89" t="n"/>
      <c r="O649" s="84" t="n"/>
      <c r="P649" s="85" t="n"/>
    </row>
    <row r="650" customFormat="1" s="78">
      <c r="A650" s="97" t="n"/>
      <c r="B650" s="97" t="n"/>
      <c r="C650" s="97" t="n"/>
      <c r="D650" s="98" t="n"/>
      <c r="E650" s="98" t="n"/>
      <c r="F650" s="40" t="n"/>
      <c r="J650" s="79" t="n"/>
      <c r="K650" s="80" t="n"/>
      <c r="L650" s="81" t="n"/>
      <c r="M650" s="81" t="n"/>
      <c r="N650" s="89" t="n"/>
      <c r="O650" s="84" t="n"/>
      <c r="P650" s="85" t="n"/>
    </row>
    <row r="651" customFormat="1" s="78">
      <c r="A651" s="97" t="n"/>
      <c r="B651" s="97" t="n"/>
      <c r="C651" s="97" t="n"/>
      <c r="D651" s="98" t="n"/>
      <c r="E651" s="98" t="n"/>
      <c r="F651" s="40" t="n"/>
      <c r="J651" s="79" t="n"/>
      <c r="K651" s="80" t="n"/>
      <c r="L651" s="81" t="n"/>
      <c r="M651" s="81" t="n"/>
      <c r="N651" s="89" t="n"/>
      <c r="O651" s="84" t="n"/>
      <c r="P651" s="85" t="n"/>
    </row>
    <row r="652" customFormat="1" s="78">
      <c r="A652" s="97" t="n"/>
      <c r="B652" s="97" t="n"/>
      <c r="C652" s="97" t="n"/>
      <c r="D652" s="98" t="n"/>
      <c r="E652" s="98" t="n"/>
      <c r="F652" s="40" t="n"/>
      <c r="J652" s="79" t="n"/>
      <c r="K652" s="80" t="n"/>
      <c r="L652" s="81" t="n"/>
      <c r="M652" s="81" t="n"/>
      <c r="N652" s="89" t="n"/>
      <c r="O652" s="84" t="n"/>
      <c r="P652" s="85" t="n"/>
    </row>
    <row r="653" customFormat="1" s="78">
      <c r="A653" s="97" t="n"/>
      <c r="B653" s="97" t="n"/>
      <c r="C653" s="97" t="n"/>
      <c r="D653" s="98" t="n"/>
      <c r="E653" s="98" t="n"/>
      <c r="F653" s="40" t="n"/>
      <c r="J653" s="79" t="n"/>
      <c r="K653" s="80" t="n"/>
      <c r="L653" s="81" t="n"/>
      <c r="M653" s="81" t="n"/>
      <c r="N653" s="89" t="n"/>
      <c r="O653" s="84" t="n"/>
      <c r="P653" s="85" t="n"/>
    </row>
    <row r="654" customFormat="1" s="78">
      <c r="A654" s="97" t="n"/>
      <c r="B654" s="97" t="n"/>
      <c r="C654" s="97" t="n"/>
      <c r="D654" s="98" t="n"/>
      <c r="E654" s="98" t="n"/>
      <c r="F654" s="40" t="n"/>
      <c r="J654" s="79" t="n"/>
      <c r="K654" s="80" t="n"/>
      <c r="L654" s="81" t="n"/>
      <c r="M654" s="81" t="n"/>
      <c r="N654" s="89" t="n"/>
      <c r="O654" s="84" t="n"/>
      <c r="P654" s="85" t="n"/>
    </row>
    <row r="655" customFormat="1" s="78">
      <c r="A655" s="97" t="n"/>
      <c r="B655" s="97" t="n"/>
      <c r="C655" s="97" t="n"/>
      <c r="D655" s="98" t="n"/>
      <c r="E655" s="98" t="n"/>
      <c r="F655" s="40" t="n"/>
      <c r="J655" s="79" t="n"/>
      <c r="K655" s="80" t="n"/>
      <c r="L655" s="81" t="n"/>
      <c r="M655" s="81" t="n"/>
      <c r="N655" s="89" t="n"/>
      <c r="O655" s="84" t="n"/>
      <c r="P655" s="85" t="n"/>
    </row>
    <row r="656" customFormat="1" s="78">
      <c r="A656" s="97" t="n"/>
      <c r="B656" s="97" t="n"/>
      <c r="C656" s="97" t="n"/>
      <c r="D656" s="98" t="n"/>
      <c r="E656" s="98" t="n"/>
      <c r="F656" s="40" t="n"/>
      <c r="J656" s="79" t="n"/>
      <c r="K656" s="80" t="n"/>
      <c r="L656" s="81" t="n"/>
      <c r="M656" s="81" t="n"/>
      <c r="N656" s="89" t="n"/>
      <c r="O656" s="84" t="n"/>
      <c r="P656" s="85" t="n"/>
    </row>
    <row r="657" customFormat="1" s="78">
      <c r="A657" s="97" t="n"/>
      <c r="B657" s="97" t="n"/>
      <c r="C657" s="97" t="n"/>
      <c r="D657" s="98" t="n"/>
      <c r="E657" s="98" t="n"/>
      <c r="F657" s="40" t="n"/>
      <c r="J657" s="79" t="n"/>
      <c r="K657" s="80" t="n"/>
      <c r="L657" s="81" t="n"/>
      <c r="M657" s="81" t="n"/>
      <c r="N657" s="89" t="n"/>
      <c r="O657" s="84" t="n"/>
      <c r="P657" s="85" t="n"/>
    </row>
    <row r="658" customFormat="1" s="78">
      <c r="A658" s="97" t="n"/>
      <c r="B658" s="97" t="n"/>
      <c r="C658" s="97" t="n"/>
      <c r="D658" s="98" t="n"/>
      <c r="E658" s="98" t="n"/>
      <c r="F658" s="40" t="n"/>
      <c r="J658" s="79" t="n"/>
      <c r="K658" s="80" t="n"/>
      <c r="L658" s="81" t="n"/>
      <c r="M658" s="81" t="n"/>
      <c r="N658" s="89" t="n"/>
      <c r="O658" s="84" t="n"/>
      <c r="P658" s="85" t="n"/>
    </row>
    <row r="659" customFormat="1" s="78">
      <c r="A659" s="97" t="n"/>
      <c r="B659" s="97" t="n"/>
      <c r="C659" s="97" t="n"/>
      <c r="D659" s="98" t="n"/>
      <c r="E659" s="98" t="n"/>
      <c r="F659" s="40" t="n"/>
      <c r="J659" s="79" t="n"/>
      <c r="K659" s="80" t="n"/>
      <c r="L659" s="81" t="n"/>
      <c r="M659" s="81" t="n"/>
      <c r="N659" s="89" t="n"/>
      <c r="O659" s="84" t="n"/>
      <c r="P659" s="85" t="n"/>
    </row>
    <row r="660" customFormat="1" s="78">
      <c r="A660" s="97" t="n"/>
      <c r="B660" s="97" t="n"/>
      <c r="C660" s="97" t="n"/>
      <c r="D660" s="98" t="n"/>
      <c r="E660" s="98" t="n"/>
      <c r="F660" s="40" t="n"/>
      <c r="J660" s="79" t="n"/>
      <c r="K660" s="80" t="n"/>
      <c r="L660" s="81" t="n"/>
      <c r="M660" s="81" t="n"/>
      <c r="N660" s="89" t="n"/>
      <c r="O660" s="84" t="n"/>
      <c r="P660" s="85" t="n"/>
    </row>
    <row r="661" customFormat="1" s="78">
      <c r="A661" s="97" t="n"/>
      <c r="B661" s="97" t="n"/>
      <c r="C661" s="97" t="n"/>
      <c r="D661" s="98" t="n"/>
      <c r="E661" s="98" t="n"/>
      <c r="F661" s="40" t="n"/>
      <c r="J661" s="79" t="n"/>
      <c r="K661" s="80" t="n"/>
      <c r="L661" s="81" t="n"/>
      <c r="M661" s="81" t="n"/>
      <c r="N661" s="89" t="n"/>
      <c r="O661" s="84" t="n"/>
      <c r="P661" s="85" t="n"/>
    </row>
    <row r="662" customFormat="1" s="78">
      <c r="A662" s="97" t="n"/>
      <c r="B662" s="97" t="n"/>
      <c r="C662" s="97" t="n"/>
      <c r="D662" s="98" t="n"/>
      <c r="E662" s="98" t="n"/>
      <c r="F662" s="40" t="n"/>
      <c r="J662" s="79" t="n"/>
      <c r="K662" s="80" t="n"/>
      <c r="L662" s="81" t="n"/>
      <c r="M662" s="81" t="n"/>
      <c r="N662" s="89" t="n"/>
      <c r="O662" s="84" t="n"/>
      <c r="P662" s="85" t="n"/>
    </row>
    <row r="663" customFormat="1" s="78">
      <c r="A663" s="97" t="n"/>
      <c r="B663" s="97" t="n"/>
      <c r="C663" s="97" t="n"/>
      <c r="D663" s="98" t="n"/>
      <c r="E663" s="98" t="n"/>
      <c r="F663" s="40" t="n"/>
      <c r="J663" s="79" t="n"/>
      <c r="K663" s="80" t="n"/>
      <c r="L663" s="81" t="n"/>
      <c r="M663" s="81" t="n"/>
      <c r="N663" s="89" t="n"/>
      <c r="O663" s="84" t="n"/>
      <c r="P663" s="85" t="n"/>
    </row>
    <row r="664" customFormat="1" s="78">
      <c r="A664" s="97" t="n"/>
      <c r="B664" s="97" t="n"/>
      <c r="C664" s="97" t="n"/>
      <c r="D664" s="98" t="n"/>
      <c r="E664" s="98" t="n"/>
      <c r="F664" s="40" t="n"/>
      <c r="J664" s="79" t="n"/>
      <c r="K664" s="80" t="n"/>
      <c r="L664" s="81" t="n"/>
      <c r="M664" s="81" t="n"/>
      <c r="N664" s="89" t="n"/>
      <c r="O664" s="84" t="n"/>
      <c r="P664" s="85" t="n"/>
    </row>
    <row r="665" customFormat="1" s="78">
      <c r="A665" s="97" t="n"/>
      <c r="B665" s="97" t="n"/>
      <c r="C665" s="97" t="n"/>
      <c r="D665" s="98" t="n"/>
      <c r="E665" s="98" t="n"/>
      <c r="F665" s="40" t="n"/>
      <c r="J665" s="79" t="n"/>
      <c r="K665" s="80" t="n"/>
      <c r="L665" s="81" t="n"/>
      <c r="M665" s="81" t="n"/>
      <c r="N665" s="89" t="n"/>
      <c r="O665" s="84" t="n"/>
      <c r="P665" s="85" t="n"/>
    </row>
    <row r="666" customFormat="1" s="78">
      <c r="A666" s="97" t="n"/>
      <c r="B666" s="97" t="n"/>
      <c r="C666" s="97" t="n"/>
      <c r="D666" s="98" t="n"/>
      <c r="E666" s="98" t="n"/>
      <c r="F666" s="40" t="n"/>
      <c r="J666" s="79" t="n"/>
      <c r="K666" s="80" t="n"/>
      <c r="L666" s="81" t="n"/>
      <c r="M666" s="81" t="n"/>
      <c r="N666" s="89" t="n"/>
      <c r="O666" s="84" t="n"/>
      <c r="P666" s="85" t="n"/>
    </row>
    <row r="667" customFormat="1" s="78">
      <c r="A667" s="97" t="n"/>
      <c r="B667" s="97" t="n"/>
      <c r="C667" s="97" t="n"/>
      <c r="D667" s="98" t="n"/>
      <c r="E667" s="98" t="n"/>
      <c r="F667" s="40" t="n"/>
      <c r="J667" s="79" t="n"/>
      <c r="K667" s="80" t="n"/>
      <c r="L667" s="81" t="n"/>
      <c r="M667" s="81" t="n"/>
      <c r="N667" s="89" t="n"/>
      <c r="O667" s="84" t="n"/>
      <c r="P667" s="85" t="n"/>
    </row>
    <row r="668" customFormat="1" s="78">
      <c r="A668" s="97" t="n"/>
      <c r="B668" s="97" t="n"/>
      <c r="C668" s="97" t="n"/>
      <c r="D668" s="98" t="n"/>
      <c r="E668" s="98" t="n"/>
      <c r="F668" s="40" t="n"/>
      <c r="J668" s="79" t="n"/>
      <c r="K668" s="80" t="n"/>
      <c r="L668" s="81" t="n"/>
      <c r="M668" s="81" t="n"/>
      <c r="N668" s="89" t="n"/>
      <c r="O668" s="84" t="n"/>
      <c r="P668" s="85" t="n"/>
    </row>
    <row r="669" customFormat="1" s="78">
      <c r="A669" s="97" t="n"/>
      <c r="B669" s="97" t="n"/>
      <c r="C669" s="97" t="n"/>
      <c r="D669" s="98" t="n"/>
      <c r="E669" s="98" t="n"/>
      <c r="F669" s="40" t="n"/>
      <c r="J669" s="79" t="n"/>
      <c r="K669" s="80" t="n"/>
      <c r="L669" s="81" t="n"/>
      <c r="M669" s="81" t="n"/>
      <c r="N669" s="89" t="n"/>
      <c r="O669" s="84" t="n"/>
      <c r="P669" s="85" t="n"/>
    </row>
    <row r="670" customFormat="1" s="78">
      <c r="A670" s="97" t="n"/>
      <c r="B670" s="97" t="n"/>
      <c r="C670" s="97" t="n"/>
      <c r="D670" s="98" t="n"/>
      <c r="E670" s="98" t="n"/>
      <c r="F670" s="40" t="n"/>
      <c r="J670" s="79" t="n"/>
      <c r="K670" s="80" t="n"/>
      <c r="L670" s="81" t="n"/>
      <c r="M670" s="81" t="n"/>
      <c r="N670" s="89" t="n"/>
      <c r="O670" s="84" t="n"/>
      <c r="P670" s="85" t="n"/>
    </row>
    <row r="671" customFormat="1" s="78">
      <c r="A671" s="97" t="n"/>
      <c r="B671" s="97" t="n"/>
      <c r="C671" s="97" t="n"/>
      <c r="D671" s="98" t="n"/>
      <c r="E671" s="98" t="n"/>
      <c r="F671" s="40" t="n"/>
      <c r="J671" s="79" t="n"/>
      <c r="K671" s="80" t="n"/>
      <c r="L671" s="81" t="n"/>
      <c r="M671" s="81" t="n"/>
      <c r="N671" s="89" t="n"/>
      <c r="O671" s="84" t="n"/>
      <c r="P671" s="85" t="n"/>
    </row>
    <row r="672" customFormat="1" s="78">
      <c r="A672" s="97" t="n"/>
      <c r="B672" s="97" t="n"/>
      <c r="C672" s="97" t="n"/>
      <c r="D672" s="98" t="n"/>
      <c r="E672" s="98" t="n"/>
      <c r="F672" s="40" t="n"/>
      <c r="J672" s="79" t="n"/>
      <c r="K672" s="80" t="n"/>
      <c r="L672" s="81" t="n"/>
      <c r="M672" s="81" t="n"/>
      <c r="N672" s="89" t="n"/>
      <c r="O672" s="84" t="n"/>
      <c r="P672" s="85" t="n"/>
    </row>
    <row r="673" customFormat="1" s="78">
      <c r="A673" s="97" t="n"/>
      <c r="B673" s="97" t="n"/>
      <c r="C673" s="97" t="n"/>
      <c r="D673" s="98" t="n"/>
      <c r="E673" s="98" t="n"/>
      <c r="F673" s="40" t="n"/>
      <c r="J673" s="79" t="n"/>
      <c r="K673" s="80" t="n"/>
      <c r="L673" s="81" t="n"/>
      <c r="M673" s="81" t="n"/>
      <c r="N673" s="89" t="n"/>
      <c r="O673" s="84" t="n"/>
      <c r="P673" s="85" t="n"/>
    </row>
    <row r="674" customFormat="1" s="78">
      <c r="A674" s="97" t="n"/>
      <c r="B674" s="97" t="n"/>
      <c r="C674" s="97" t="n"/>
      <c r="D674" s="98" t="n"/>
      <c r="E674" s="98" t="n"/>
      <c r="F674" s="40" t="n"/>
      <c r="J674" s="79" t="n"/>
      <c r="K674" s="80" t="n"/>
      <c r="L674" s="81" t="n"/>
      <c r="M674" s="81" t="n"/>
      <c r="N674" s="89" t="n"/>
      <c r="O674" s="84" t="n"/>
      <c r="P674" s="85" t="n"/>
    </row>
    <row r="675" customFormat="1" s="78">
      <c r="A675" s="97" t="n"/>
      <c r="B675" s="97" t="n"/>
      <c r="C675" s="97" t="n"/>
      <c r="D675" s="98" t="n"/>
      <c r="E675" s="98" t="n"/>
      <c r="F675" s="40" t="n"/>
      <c r="J675" s="79" t="n"/>
      <c r="K675" s="80" t="n"/>
      <c r="L675" s="81" t="n"/>
      <c r="M675" s="81" t="n"/>
      <c r="N675" s="89" t="n"/>
      <c r="O675" s="84" t="n"/>
      <c r="P675" s="85" t="n"/>
    </row>
    <row r="676" customFormat="1" s="78">
      <c r="A676" s="97" t="n"/>
      <c r="B676" s="97" t="n"/>
      <c r="C676" s="97" t="n"/>
      <c r="D676" s="98" t="n"/>
      <c r="E676" s="98" t="n"/>
      <c r="F676" s="40" t="n"/>
      <c r="J676" s="79" t="n"/>
      <c r="K676" s="80" t="n"/>
      <c r="L676" s="81" t="n"/>
      <c r="M676" s="81" t="n"/>
      <c r="N676" s="89" t="n"/>
      <c r="O676" s="84" t="n"/>
      <c r="P676" s="85" t="n"/>
    </row>
    <row r="677" customFormat="1" s="78">
      <c r="A677" s="97" t="n"/>
      <c r="B677" s="97" t="n"/>
      <c r="C677" s="97" t="n"/>
      <c r="D677" s="98" t="n"/>
      <c r="E677" s="98" t="n"/>
      <c r="F677" s="40" t="n"/>
      <c r="J677" s="79" t="n"/>
      <c r="K677" s="80" t="n"/>
      <c r="L677" s="81" t="n"/>
      <c r="M677" s="81" t="n"/>
      <c r="N677" s="89" t="n"/>
      <c r="O677" s="84" t="n"/>
      <c r="P677" s="85" t="n"/>
    </row>
    <row r="678" customFormat="1" s="78">
      <c r="A678" s="97" t="n"/>
      <c r="B678" s="97" t="n"/>
      <c r="C678" s="97" t="n"/>
      <c r="D678" s="98" t="n"/>
      <c r="E678" s="98" t="n"/>
      <c r="F678" s="40" t="n"/>
      <c r="J678" s="79" t="n"/>
      <c r="K678" s="80" t="n"/>
      <c r="L678" s="81" t="n"/>
      <c r="M678" s="81" t="n"/>
      <c r="N678" s="89" t="n"/>
      <c r="O678" s="84" t="n"/>
      <c r="P678" s="85" t="n"/>
    </row>
    <row r="679" customFormat="1" s="78">
      <c r="A679" s="97" t="n"/>
      <c r="B679" s="97" t="n"/>
      <c r="C679" s="97" t="n"/>
      <c r="D679" s="98" t="n"/>
      <c r="E679" s="98" t="n"/>
      <c r="F679" s="40" t="n"/>
      <c r="J679" s="79" t="n"/>
      <c r="K679" s="80" t="n"/>
      <c r="L679" s="81" t="n"/>
      <c r="M679" s="81" t="n"/>
      <c r="N679" s="89" t="n"/>
      <c r="O679" s="84" t="n"/>
      <c r="P679" s="85" t="n"/>
    </row>
    <row r="680" customFormat="1" s="78">
      <c r="A680" s="97" t="n"/>
      <c r="B680" s="97" t="n"/>
      <c r="C680" s="97" t="n"/>
      <c r="D680" s="98" t="n"/>
      <c r="E680" s="98" t="n"/>
      <c r="F680" s="40" t="n"/>
      <c r="J680" s="79" t="n"/>
      <c r="K680" s="80" t="n"/>
      <c r="L680" s="81" t="n"/>
      <c r="M680" s="81" t="n"/>
      <c r="N680" s="89" t="n"/>
      <c r="O680" s="84" t="n"/>
      <c r="P680" s="85" t="n"/>
    </row>
    <row r="681" customFormat="1" s="78">
      <c r="A681" s="97" t="n"/>
      <c r="B681" s="97" t="n"/>
      <c r="C681" s="97" t="n"/>
      <c r="D681" s="98" t="n"/>
      <c r="E681" s="98" t="n"/>
      <c r="F681" s="40" t="n"/>
      <c r="J681" s="79" t="n"/>
      <c r="K681" s="80" t="n"/>
      <c r="L681" s="81" t="n"/>
      <c r="M681" s="81" t="n"/>
      <c r="N681" s="89" t="n"/>
      <c r="O681" s="84" t="n"/>
      <c r="P681" s="85" t="n"/>
    </row>
    <row r="682" customFormat="1" s="78">
      <c r="A682" s="97" t="n"/>
      <c r="B682" s="97" t="n"/>
      <c r="C682" s="97" t="n"/>
      <c r="D682" s="98" t="n"/>
      <c r="E682" s="98" t="n"/>
      <c r="F682" s="40" t="n"/>
      <c r="J682" s="79" t="n"/>
      <c r="K682" s="80" t="n"/>
      <c r="L682" s="81" t="n"/>
      <c r="M682" s="81" t="n"/>
      <c r="N682" s="89" t="n"/>
      <c r="O682" s="84" t="n"/>
      <c r="P682" s="85" t="n"/>
    </row>
    <row r="683" customFormat="1" s="78">
      <c r="A683" s="97" t="n"/>
      <c r="B683" s="97" t="n"/>
      <c r="C683" s="97" t="n"/>
      <c r="D683" s="98" t="n"/>
      <c r="E683" s="98" t="n"/>
      <c r="F683" s="40" t="n"/>
      <c r="J683" s="79" t="n"/>
      <c r="K683" s="80" t="n"/>
      <c r="L683" s="81" t="n"/>
      <c r="M683" s="81" t="n"/>
      <c r="N683" s="89" t="n"/>
      <c r="O683" s="84" t="n"/>
      <c r="P683" s="85" t="n"/>
    </row>
    <row r="684" customFormat="1" s="78">
      <c r="A684" s="97" t="n"/>
      <c r="B684" s="97" t="n"/>
      <c r="C684" s="97" t="n"/>
      <c r="D684" s="98" t="n"/>
      <c r="E684" s="98" t="n"/>
      <c r="F684" s="40" t="n"/>
      <c r="J684" s="79" t="n"/>
      <c r="K684" s="80" t="n"/>
      <c r="L684" s="81" t="n"/>
      <c r="M684" s="81" t="n"/>
      <c r="N684" s="89" t="n"/>
      <c r="O684" s="84" t="n"/>
      <c r="P684" s="85" t="n"/>
    </row>
    <row r="685" customFormat="1" s="78">
      <c r="A685" s="97" t="n"/>
      <c r="B685" s="97" t="n"/>
      <c r="C685" s="97" t="n"/>
      <c r="D685" s="98" t="n"/>
      <c r="E685" s="98" t="n"/>
      <c r="F685" s="40" t="n"/>
      <c r="J685" s="79" t="n"/>
      <c r="K685" s="80" t="n"/>
      <c r="L685" s="81" t="n"/>
      <c r="M685" s="81" t="n"/>
      <c r="N685" s="89" t="n"/>
      <c r="O685" s="84" t="n"/>
      <c r="P685" s="85" t="n"/>
    </row>
    <row r="686" customFormat="1" s="78">
      <c r="A686" s="97" t="n"/>
      <c r="B686" s="97" t="n"/>
      <c r="C686" s="97" t="n"/>
      <c r="D686" s="98" t="n"/>
      <c r="E686" s="98" t="n"/>
      <c r="F686" s="40" t="n"/>
      <c r="J686" s="79" t="n"/>
      <c r="K686" s="80" t="n"/>
      <c r="L686" s="81" t="n"/>
      <c r="M686" s="81" t="n"/>
      <c r="N686" s="89" t="n"/>
      <c r="O686" s="84" t="n"/>
      <c r="P686" s="85" t="n"/>
    </row>
    <row r="687" customFormat="1" s="78">
      <c r="A687" s="97" t="n"/>
      <c r="B687" s="97" t="n"/>
      <c r="C687" s="97" t="n"/>
      <c r="D687" s="98" t="n"/>
      <c r="E687" s="98" t="n"/>
      <c r="F687" s="40" t="n"/>
      <c r="J687" s="79" t="n"/>
      <c r="K687" s="80" t="n"/>
      <c r="L687" s="81" t="n"/>
      <c r="M687" s="81" t="n"/>
      <c r="N687" s="89" t="n"/>
      <c r="O687" s="84" t="n"/>
      <c r="P687" s="85" t="n"/>
    </row>
    <row r="688" customFormat="1" s="78">
      <c r="A688" s="97" t="n"/>
      <c r="B688" s="97" t="n"/>
      <c r="C688" s="97" t="n"/>
      <c r="D688" s="98" t="n"/>
      <c r="E688" s="98" t="n"/>
      <c r="F688" s="40" t="n"/>
      <c r="J688" s="79" t="n"/>
      <c r="K688" s="80" t="n"/>
      <c r="L688" s="81" t="n"/>
      <c r="M688" s="81" t="n"/>
      <c r="N688" s="89" t="n"/>
      <c r="O688" s="84" t="n"/>
      <c r="P688" s="85" t="n"/>
    </row>
    <row r="689" customFormat="1" s="78">
      <c r="A689" s="97" t="n"/>
      <c r="B689" s="97" t="n"/>
      <c r="C689" s="97" t="n"/>
      <c r="D689" s="98" t="n"/>
      <c r="E689" s="98" t="n"/>
      <c r="F689" s="40" t="n"/>
      <c r="J689" s="79" t="n"/>
      <c r="K689" s="80" t="n"/>
      <c r="L689" s="81" t="n"/>
      <c r="M689" s="81" t="n"/>
      <c r="N689" s="89" t="n"/>
      <c r="O689" s="84" t="n"/>
      <c r="P689" s="85" t="n"/>
    </row>
    <row r="690" customFormat="1" s="78">
      <c r="A690" s="97" t="n"/>
      <c r="B690" s="97" t="n"/>
      <c r="C690" s="97" t="n"/>
      <c r="D690" s="98" t="n"/>
      <c r="E690" s="98" t="n"/>
      <c r="F690" s="40" t="n"/>
      <c r="J690" s="79" t="n"/>
      <c r="K690" s="80" t="n"/>
      <c r="L690" s="81" t="n"/>
      <c r="M690" s="81" t="n"/>
      <c r="N690" s="89" t="n"/>
      <c r="O690" s="84" t="n"/>
      <c r="P690" s="85" t="n"/>
    </row>
    <row r="691" customFormat="1" s="78">
      <c r="A691" s="97" t="n"/>
      <c r="B691" s="97" t="n"/>
      <c r="C691" s="97" t="n"/>
      <c r="D691" s="98" t="n"/>
      <c r="E691" s="98" t="n"/>
      <c r="F691" s="40" t="n"/>
      <c r="J691" s="79" t="n"/>
      <c r="K691" s="80" t="n"/>
      <c r="L691" s="81" t="n"/>
      <c r="M691" s="81" t="n"/>
      <c r="N691" s="89" t="n"/>
      <c r="O691" s="84" t="n"/>
      <c r="P691" s="85" t="n"/>
    </row>
    <row r="692" customFormat="1" s="78">
      <c r="A692" s="97" t="n"/>
      <c r="B692" s="97" t="n"/>
      <c r="C692" s="97" t="n"/>
      <c r="D692" s="98" t="n"/>
      <c r="E692" s="98" t="n"/>
      <c r="F692" s="40" t="n"/>
      <c r="J692" s="79" t="n"/>
      <c r="K692" s="80" t="n"/>
      <c r="L692" s="81" t="n"/>
      <c r="M692" s="81" t="n"/>
      <c r="N692" s="89" t="n"/>
      <c r="O692" s="84" t="n"/>
      <c r="P692" s="85" t="n"/>
    </row>
    <row r="693" customFormat="1" s="78">
      <c r="A693" s="97" t="n"/>
      <c r="B693" s="97" t="n"/>
      <c r="C693" s="97" t="n"/>
      <c r="D693" s="98" t="n"/>
      <c r="E693" s="98" t="n"/>
      <c r="F693" s="40" t="n"/>
      <c r="J693" s="79" t="n"/>
      <c r="K693" s="80" t="n"/>
      <c r="L693" s="81" t="n"/>
      <c r="M693" s="81" t="n"/>
      <c r="N693" s="89" t="n"/>
      <c r="O693" s="84" t="n"/>
      <c r="P693" s="85" t="n"/>
    </row>
    <row r="694" customFormat="1" s="78">
      <c r="A694" s="97" t="n"/>
      <c r="B694" s="97" t="n"/>
      <c r="C694" s="97" t="n"/>
      <c r="D694" s="98" t="n"/>
      <c r="E694" s="98" t="n"/>
      <c r="F694" s="40" t="n"/>
      <c r="J694" s="79" t="n"/>
      <c r="K694" s="80" t="n"/>
      <c r="L694" s="81" t="n"/>
      <c r="M694" s="81" t="n"/>
      <c r="N694" s="89" t="n"/>
      <c r="O694" s="84" t="n"/>
      <c r="P694" s="85" t="n"/>
    </row>
    <row r="695" customFormat="1" s="78">
      <c r="A695" s="97" t="n"/>
      <c r="B695" s="97" t="n"/>
      <c r="C695" s="97" t="n"/>
      <c r="D695" s="98" t="n"/>
      <c r="E695" s="98" t="n"/>
      <c r="F695" s="40" t="n"/>
      <c r="J695" s="79" t="n"/>
      <c r="K695" s="80" t="n"/>
      <c r="L695" s="81" t="n"/>
      <c r="M695" s="81" t="n"/>
      <c r="N695" s="89" t="n"/>
      <c r="O695" s="84" t="n"/>
      <c r="P695" s="85" t="n"/>
    </row>
    <row r="696" customFormat="1" s="78">
      <c r="A696" s="97" t="n"/>
      <c r="B696" s="97" t="n"/>
      <c r="C696" s="97" t="n"/>
      <c r="D696" s="98" t="n"/>
      <c r="E696" s="98" t="n"/>
      <c r="F696" s="40" t="n"/>
      <c r="J696" s="79" t="n"/>
      <c r="K696" s="80" t="n"/>
      <c r="L696" s="81" t="n"/>
      <c r="M696" s="81" t="n"/>
      <c r="N696" s="89" t="n"/>
      <c r="O696" s="84" t="n"/>
      <c r="P696" s="85" t="n"/>
    </row>
    <row r="697" customFormat="1" s="78">
      <c r="A697" s="97" t="n"/>
      <c r="B697" s="97" t="n"/>
      <c r="C697" s="97" t="n"/>
      <c r="D697" s="98" t="n"/>
      <c r="E697" s="98" t="n"/>
      <c r="F697" s="40" t="n"/>
      <c r="J697" s="79" t="n"/>
      <c r="K697" s="80" t="n"/>
      <c r="L697" s="81" t="n"/>
      <c r="M697" s="81" t="n"/>
      <c r="N697" s="89" t="n"/>
      <c r="O697" s="84" t="n"/>
      <c r="P697" s="85" t="n"/>
    </row>
    <row r="698" customFormat="1" s="78">
      <c r="A698" s="97" t="n"/>
      <c r="B698" s="97" t="n"/>
      <c r="C698" s="97" t="n"/>
      <c r="D698" s="98" t="n"/>
      <c r="E698" s="98" t="n"/>
      <c r="F698" s="40" t="n"/>
      <c r="J698" s="79" t="n"/>
      <c r="K698" s="80" t="n"/>
      <c r="L698" s="81" t="n"/>
      <c r="M698" s="81" t="n"/>
      <c r="N698" s="89" t="n"/>
      <c r="O698" s="84" t="n"/>
      <c r="P698" s="85" t="n"/>
    </row>
    <row r="699" customFormat="1" s="78">
      <c r="A699" s="97" t="n"/>
      <c r="B699" s="97" t="n"/>
      <c r="C699" s="97" t="n"/>
      <c r="D699" s="98" t="n"/>
      <c r="E699" s="98" t="n"/>
      <c r="F699" s="40" t="n"/>
      <c r="J699" s="79" t="n"/>
      <c r="K699" s="80" t="n"/>
      <c r="L699" s="81" t="n"/>
      <c r="M699" s="81" t="n"/>
      <c r="N699" s="89" t="n"/>
      <c r="O699" s="84" t="n"/>
      <c r="P699" s="85" t="n"/>
    </row>
    <row r="700" customFormat="1" s="78">
      <c r="A700" s="97" t="n"/>
      <c r="B700" s="97" t="n"/>
      <c r="C700" s="97" t="n"/>
      <c r="D700" s="98" t="n"/>
      <c r="E700" s="98" t="n"/>
      <c r="F700" s="40" t="n"/>
      <c r="J700" s="79" t="n"/>
      <c r="K700" s="80" t="n"/>
      <c r="L700" s="81" t="n"/>
      <c r="M700" s="81" t="n"/>
      <c r="N700" s="89" t="n"/>
      <c r="O700" s="84" t="n"/>
      <c r="P700" s="85" t="n"/>
    </row>
    <row r="701" customFormat="1" s="78">
      <c r="A701" s="97" t="n"/>
      <c r="B701" s="97" t="n"/>
      <c r="C701" s="97" t="n"/>
      <c r="D701" s="98" t="n"/>
      <c r="E701" s="98" t="n"/>
      <c r="F701" s="40" t="n"/>
      <c r="J701" s="79" t="n"/>
      <c r="K701" s="80" t="n"/>
      <c r="L701" s="81" t="n"/>
      <c r="M701" s="81" t="n"/>
      <c r="N701" s="89" t="n"/>
      <c r="O701" s="84" t="n"/>
      <c r="P701" s="85" t="n"/>
    </row>
    <row r="702" customFormat="1" s="78">
      <c r="A702" s="97" t="n"/>
      <c r="B702" s="97" t="n"/>
      <c r="C702" s="97" t="n"/>
      <c r="D702" s="98" t="n"/>
      <c r="E702" s="98" t="n"/>
      <c r="F702" s="40" t="n"/>
      <c r="J702" s="79" t="n"/>
      <c r="K702" s="80" t="n"/>
      <c r="L702" s="81" t="n"/>
      <c r="M702" s="81" t="n"/>
      <c r="N702" s="89" t="n"/>
      <c r="O702" s="84" t="n"/>
      <c r="P702" s="85" t="n"/>
    </row>
    <row r="703" customFormat="1" s="78">
      <c r="A703" s="97" t="n"/>
      <c r="B703" s="97" t="n"/>
      <c r="C703" s="97" t="n"/>
      <c r="D703" s="98" t="n"/>
      <c r="E703" s="98" t="n"/>
      <c r="F703" s="40" t="n"/>
      <c r="J703" s="79" t="n"/>
      <c r="K703" s="80" t="n"/>
      <c r="L703" s="81" t="n"/>
      <c r="M703" s="81" t="n"/>
      <c r="N703" s="89" t="n"/>
      <c r="O703" s="84" t="n"/>
      <c r="P703" s="85" t="n"/>
    </row>
    <row r="704" customFormat="1" s="78">
      <c r="A704" s="97" t="n"/>
      <c r="B704" s="97" t="n"/>
      <c r="C704" s="97" t="n"/>
      <c r="D704" s="98" t="n"/>
      <c r="E704" s="98" t="n"/>
      <c r="F704" s="40" t="n"/>
      <c r="J704" s="79" t="n"/>
      <c r="K704" s="80" t="n"/>
      <c r="L704" s="81" t="n"/>
      <c r="M704" s="81" t="n"/>
      <c r="N704" s="89" t="n"/>
      <c r="O704" s="84" t="n"/>
      <c r="P704" s="85" t="n"/>
    </row>
    <row r="705" customFormat="1" s="78">
      <c r="A705" s="97" t="n"/>
      <c r="B705" s="97" t="n"/>
      <c r="C705" s="97" t="n"/>
      <c r="D705" s="98" t="n"/>
      <c r="E705" s="98" t="n"/>
      <c r="F705" s="40" t="n"/>
      <c r="J705" s="79" t="n"/>
      <c r="K705" s="80" t="n"/>
      <c r="L705" s="81" t="n"/>
      <c r="M705" s="81" t="n"/>
      <c r="N705" s="89" t="n"/>
      <c r="O705" s="84" t="n"/>
      <c r="P705" s="85" t="n"/>
    </row>
    <row r="706" customFormat="1" s="78">
      <c r="A706" s="97" t="n"/>
      <c r="B706" s="97" t="n"/>
      <c r="C706" s="97" t="n"/>
      <c r="D706" s="98" t="n"/>
      <c r="E706" s="98" t="n"/>
      <c r="F706" s="40" t="n"/>
      <c r="J706" s="79" t="n"/>
      <c r="K706" s="80" t="n"/>
      <c r="L706" s="81" t="n"/>
      <c r="M706" s="81" t="n"/>
      <c r="N706" s="89" t="n"/>
      <c r="O706" s="84" t="n"/>
      <c r="P706" s="85" t="n"/>
    </row>
    <row r="707" customFormat="1" s="78">
      <c r="A707" s="97" t="n"/>
      <c r="B707" s="97" t="n"/>
      <c r="C707" s="97" t="n"/>
      <c r="D707" s="98" t="n"/>
      <c r="E707" s="98" t="n"/>
      <c r="F707" s="40" t="n"/>
      <c r="J707" s="79" t="n"/>
      <c r="K707" s="80" t="n"/>
      <c r="L707" s="81" t="n"/>
      <c r="M707" s="81" t="n"/>
      <c r="N707" s="89" t="n"/>
      <c r="O707" s="84" t="n"/>
      <c r="P707" s="85" t="n"/>
    </row>
    <row r="708" customFormat="1" s="78">
      <c r="A708" s="97" t="n"/>
      <c r="B708" s="97" t="n"/>
      <c r="C708" s="97" t="n"/>
      <c r="D708" s="98" t="n"/>
      <c r="E708" s="98" t="n"/>
      <c r="F708" s="40" t="n"/>
      <c r="J708" s="79" t="n"/>
      <c r="K708" s="80" t="n"/>
      <c r="L708" s="81" t="n"/>
      <c r="M708" s="81" t="n"/>
      <c r="N708" s="89" t="n"/>
      <c r="O708" s="84" t="n"/>
      <c r="P708" s="85" t="n"/>
    </row>
    <row r="709" customFormat="1" s="78">
      <c r="A709" s="97" t="n"/>
      <c r="B709" s="97" t="n"/>
      <c r="C709" s="97" t="n"/>
      <c r="D709" s="98" t="n"/>
      <c r="E709" s="98" t="n"/>
      <c r="F709" s="40" t="n"/>
      <c r="J709" s="79" t="n"/>
      <c r="K709" s="80" t="n"/>
      <c r="L709" s="81" t="n"/>
      <c r="M709" s="81" t="n"/>
      <c r="N709" s="89" t="n"/>
      <c r="O709" s="84" t="n"/>
      <c r="P709" s="85" t="n"/>
    </row>
    <row r="710" customFormat="1" s="78">
      <c r="A710" s="97" t="n"/>
      <c r="B710" s="97" t="n"/>
      <c r="C710" s="97" t="n"/>
      <c r="D710" s="98" t="n"/>
      <c r="E710" s="98" t="n"/>
      <c r="F710" s="40" t="n"/>
      <c r="J710" s="79" t="n"/>
      <c r="K710" s="80" t="n"/>
      <c r="L710" s="81" t="n"/>
      <c r="M710" s="81" t="n"/>
      <c r="N710" s="89" t="n"/>
      <c r="O710" s="84" t="n"/>
      <c r="P710" s="85" t="n"/>
    </row>
    <row r="711" customFormat="1" s="78">
      <c r="A711" s="97" t="n"/>
      <c r="B711" s="97" t="n"/>
      <c r="C711" s="97" t="n"/>
      <c r="D711" s="98" t="n"/>
      <c r="E711" s="98" t="n"/>
      <c r="F711" s="40" t="n"/>
      <c r="J711" s="79" t="n"/>
      <c r="K711" s="80" t="n"/>
      <c r="L711" s="81" t="n"/>
      <c r="M711" s="81" t="n"/>
      <c r="N711" s="89" t="n"/>
      <c r="O711" s="84" t="n"/>
      <c r="P711" s="85" t="n"/>
    </row>
    <row r="712" customFormat="1" s="78">
      <c r="A712" s="97" t="n"/>
      <c r="B712" s="97" t="n"/>
      <c r="C712" s="97" t="n"/>
      <c r="D712" s="98" t="n"/>
      <c r="E712" s="98" t="n"/>
      <c r="F712" s="40" t="n"/>
      <c r="J712" s="79" t="n"/>
      <c r="K712" s="80" t="n"/>
      <c r="L712" s="81" t="n"/>
      <c r="M712" s="81" t="n"/>
      <c r="N712" s="89" t="n"/>
      <c r="O712" s="84" t="n"/>
      <c r="P712" s="85" t="n"/>
    </row>
    <row r="713" customFormat="1" s="78">
      <c r="A713" s="97" t="n"/>
      <c r="B713" s="97" t="n"/>
      <c r="C713" s="97" t="n"/>
      <c r="D713" s="98" t="n"/>
      <c r="E713" s="98" t="n"/>
      <c r="F713" s="40" t="n"/>
      <c r="J713" s="79" t="n"/>
      <c r="K713" s="80" t="n"/>
      <c r="L713" s="81" t="n"/>
      <c r="M713" s="81" t="n"/>
      <c r="N713" s="89" t="n"/>
      <c r="O713" s="84" t="n"/>
      <c r="P713" s="85" t="n"/>
    </row>
    <row r="714" customFormat="1" s="78">
      <c r="A714" s="97" t="n"/>
      <c r="B714" s="97" t="n"/>
      <c r="C714" s="97" t="n"/>
      <c r="D714" s="98" t="n"/>
      <c r="E714" s="98" t="n"/>
      <c r="F714" s="40" t="n"/>
      <c r="J714" s="79" t="n"/>
      <c r="K714" s="80" t="n"/>
      <c r="L714" s="81" t="n"/>
      <c r="M714" s="81" t="n"/>
      <c r="N714" s="89" t="n"/>
      <c r="O714" s="84" t="n"/>
      <c r="P714" s="85" t="n"/>
    </row>
    <row r="715" customFormat="1" s="78">
      <c r="A715" s="97" t="n"/>
      <c r="B715" s="97" t="n"/>
      <c r="C715" s="97" t="n"/>
      <c r="D715" s="98" t="n"/>
      <c r="E715" s="98" t="n"/>
      <c r="F715" s="40" t="n"/>
      <c r="J715" s="79" t="n"/>
      <c r="K715" s="80" t="n"/>
      <c r="L715" s="81" t="n"/>
      <c r="M715" s="81" t="n"/>
      <c r="N715" s="89" t="n"/>
      <c r="O715" s="84" t="n"/>
      <c r="P715" s="85" t="n"/>
    </row>
    <row r="716" customFormat="1" s="78">
      <c r="A716" s="97" t="n"/>
      <c r="B716" s="97" t="n"/>
      <c r="C716" s="97" t="n"/>
      <c r="D716" s="98" t="n"/>
      <c r="E716" s="98" t="n"/>
      <c r="F716" s="40" t="n"/>
      <c r="J716" s="79" t="n"/>
      <c r="K716" s="80" t="n"/>
      <c r="L716" s="81" t="n"/>
      <c r="M716" s="81" t="n"/>
      <c r="N716" s="89" t="n"/>
      <c r="O716" s="84" t="n"/>
      <c r="P716" s="85" t="n"/>
    </row>
    <row r="717" customFormat="1" s="78">
      <c r="A717" s="97" t="n"/>
      <c r="B717" s="97" t="n"/>
      <c r="C717" s="97" t="n"/>
      <c r="D717" s="98" t="n"/>
      <c r="E717" s="98" t="n"/>
      <c r="F717" s="40" t="n"/>
      <c r="J717" s="79" t="n"/>
      <c r="K717" s="80" t="n"/>
      <c r="L717" s="81" t="n"/>
      <c r="M717" s="81" t="n"/>
      <c r="N717" s="89" t="n"/>
      <c r="O717" s="84" t="n"/>
      <c r="P717" s="85" t="n"/>
    </row>
    <row r="718" customFormat="1" s="78">
      <c r="A718" s="97" t="n"/>
      <c r="B718" s="97" t="n"/>
      <c r="C718" s="97" t="n"/>
      <c r="D718" s="98" t="n"/>
      <c r="E718" s="98" t="n"/>
      <c r="F718" s="40" t="n"/>
      <c r="J718" s="79" t="n"/>
      <c r="K718" s="80" t="n"/>
      <c r="L718" s="81" t="n"/>
      <c r="M718" s="81" t="n"/>
      <c r="N718" s="89" t="n"/>
      <c r="O718" s="84" t="n"/>
      <c r="P718" s="85" t="n"/>
    </row>
    <row r="719" customFormat="1" s="78">
      <c r="A719" s="97" t="n"/>
      <c r="B719" s="97" t="n"/>
      <c r="C719" s="97" t="n"/>
      <c r="D719" s="98" t="n"/>
      <c r="E719" s="98" t="n"/>
      <c r="F719" s="40" t="n"/>
      <c r="J719" s="79" t="n"/>
      <c r="K719" s="80" t="n"/>
      <c r="L719" s="81" t="n"/>
      <c r="M719" s="81" t="n"/>
      <c r="N719" s="89" t="n"/>
      <c r="O719" s="84" t="n"/>
      <c r="P719" s="85" t="n"/>
    </row>
    <row r="720" customFormat="1" s="78">
      <c r="A720" s="97" t="n"/>
      <c r="B720" s="97" t="n"/>
      <c r="C720" s="97" t="n"/>
      <c r="D720" s="98" t="n"/>
      <c r="E720" s="98" t="n"/>
      <c r="F720" s="40" t="n"/>
      <c r="J720" s="79" t="n"/>
      <c r="K720" s="80" t="n"/>
      <c r="L720" s="81" t="n"/>
      <c r="M720" s="81" t="n"/>
      <c r="N720" s="89" t="n"/>
      <c r="O720" s="84" t="n"/>
      <c r="P720" s="85" t="n"/>
    </row>
    <row r="721" customFormat="1" s="78">
      <c r="A721" s="97" t="n"/>
      <c r="B721" s="97" t="n"/>
      <c r="C721" s="97" t="n"/>
      <c r="D721" s="98" t="n"/>
      <c r="E721" s="98" t="n"/>
      <c r="F721" s="40" t="n"/>
      <c r="J721" s="79" t="n"/>
      <c r="K721" s="80" t="n"/>
      <c r="L721" s="81" t="n"/>
      <c r="M721" s="81" t="n"/>
      <c r="N721" s="89" t="n"/>
      <c r="O721" s="84" t="n"/>
      <c r="P721" s="85" t="n"/>
    </row>
    <row r="722" customFormat="1" s="78">
      <c r="A722" s="97" t="n"/>
      <c r="B722" s="97" t="n"/>
      <c r="C722" s="97" t="n"/>
      <c r="D722" s="98" t="n"/>
      <c r="E722" s="98" t="n"/>
      <c r="F722" s="40" t="n"/>
      <c r="J722" s="79" t="n"/>
      <c r="K722" s="80" t="n"/>
      <c r="L722" s="81" t="n"/>
      <c r="M722" s="81" t="n"/>
      <c r="N722" s="89" t="n"/>
      <c r="O722" s="84" t="n"/>
      <c r="P722" s="85" t="n"/>
    </row>
    <row r="723" customFormat="1" s="78">
      <c r="A723" s="97" t="n"/>
      <c r="B723" s="97" t="n"/>
      <c r="C723" s="97" t="n"/>
      <c r="D723" s="98" t="n"/>
      <c r="E723" s="98" t="n"/>
      <c r="F723" s="40" t="n"/>
      <c r="J723" s="79" t="n"/>
      <c r="K723" s="80" t="n"/>
      <c r="L723" s="81" t="n"/>
      <c r="M723" s="81" t="n"/>
      <c r="N723" s="89" t="n"/>
      <c r="O723" s="84" t="n"/>
      <c r="P723" s="85" t="n"/>
    </row>
    <row r="724" customFormat="1" s="78">
      <c r="A724" s="97" t="n"/>
      <c r="B724" s="97" t="n"/>
      <c r="C724" s="97" t="n"/>
      <c r="D724" s="98" t="n"/>
      <c r="E724" s="98" t="n"/>
      <c r="F724" s="40" t="n"/>
      <c r="J724" s="79" t="n"/>
      <c r="K724" s="80" t="n"/>
      <c r="L724" s="81" t="n"/>
      <c r="M724" s="81" t="n"/>
      <c r="N724" s="89" t="n"/>
      <c r="O724" s="84" t="n"/>
      <c r="P724" s="85" t="n"/>
    </row>
    <row r="725" customFormat="1" s="78">
      <c r="A725" s="97" t="n"/>
      <c r="B725" s="97" t="n"/>
      <c r="C725" s="97" t="n"/>
      <c r="D725" s="98" t="n"/>
      <c r="E725" s="98" t="n"/>
      <c r="F725" s="40" t="n"/>
      <c r="J725" s="79" t="n"/>
      <c r="K725" s="80" t="n"/>
      <c r="L725" s="81" t="n"/>
      <c r="M725" s="81" t="n"/>
      <c r="N725" s="89" t="n"/>
      <c r="O725" s="84" t="n"/>
      <c r="P725" s="85" t="n"/>
    </row>
    <row r="726" customFormat="1" s="78">
      <c r="A726" s="97" t="n"/>
      <c r="B726" s="97" t="n"/>
      <c r="C726" s="97" t="n"/>
      <c r="D726" s="98" t="n"/>
      <c r="E726" s="98" t="n"/>
      <c r="F726" s="40" t="n"/>
      <c r="J726" s="79" t="n"/>
      <c r="K726" s="80" t="n"/>
      <c r="L726" s="81" t="n"/>
      <c r="M726" s="81" t="n"/>
      <c r="N726" s="89" t="n"/>
      <c r="O726" s="84" t="n"/>
      <c r="P726" s="85" t="n"/>
    </row>
    <row r="727" customFormat="1" s="78">
      <c r="A727" s="97" t="n"/>
      <c r="B727" s="97" t="n"/>
      <c r="C727" s="97" t="n"/>
      <c r="D727" s="98" t="n"/>
      <c r="E727" s="98" t="n"/>
      <c r="F727" s="40" t="n"/>
      <c r="J727" s="79" t="n"/>
      <c r="K727" s="80" t="n"/>
      <c r="L727" s="81" t="n"/>
      <c r="M727" s="81" t="n"/>
      <c r="N727" s="89" t="n"/>
      <c r="O727" s="84" t="n"/>
      <c r="P727" s="85" t="n"/>
    </row>
    <row r="728" customFormat="1" s="78">
      <c r="A728" s="97" t="n"/>
      <c r="B728" s="97" t="n"/>
      <c r="C728" s="97" t="n"/>
      <c r="D728" s="98" t="n"/>
      <c r="E728" s="98" t="n"/>
      <c r="F728" s="40" t="n"/>
      <c r="J728" s="79" t="n"/>
      <c r="K728" s="80" t="n"/>
      <c r="L728" s="81" t="n"/>
      <c r="M728" s="81" t="n"/>
      <c r="N728" s="89" t="n"/>
      <c r="O728" s="84" t="n"/>
      <c r="P728" s="85" t="n"/>
    </row>
    <row r="729" customFormat="1" s="78">
      <c r="A729" s="97" t="n"/>
      <c r="B729" s="97" t="n"/>
      <c r="C729" s="97" t="n"/>
      <c r="D729" s="98" t="n"/>
      <c r="E729" s="98" t="n"/>
      <c r="F729" s="40" t="n"/>
      <c r="J729" s="79" t="n"/>
      <c r="K729" s="80" t="n"/>
      <c r="L729" s="81" t="n"/>
      <c r="M729" s="81" t="n"/>
      <c r="N729" s="89" t="n"/>
      <c r="O729" s="84" t="n"/>
      <c r="P729" s="85" t="n"/>
    </row>
    <row r="730" customFormat="1" s="78">
      <c r="A730" s="97" t="n"/>
      <c r="B730" s="97" t="n"/>
      <c r="C730" s="97" t="n"/>
      <c r="D730" s="98" t="n"/>
      <c r="E730" s="98" t="n"/>
      <c r="F730" s="90" t="n"/>
      <c r="J730" s="79" t="n"/>
      <c r="K730" s="80" t="n"/>
      <c r="L730" s="81" t="n"/>
      <c r="M730" s="81" t="n"/>
      <c r="N730" s="89" t="n"/>
      <c r="O730" s="84" t="n"/>
      <c r="P730" s="85" t="n"/>
    </row>
    <row r="731" customFormat="1" s="78">
      <c r="A731" s="97" t="n"/>
      <c r="B731" s="97" t="n"/>
      <c r="C731" s="97" t="n"/>
      <c r="D731" s="98" t="n"/>
      <c r="E731" s="98" t="n"/>
      <c r="F731" s="90" t="n"/>
      <c r="J731" s="79" t="n"/>
      <c r="K731" s="80" t="n"/>
      <c r="L731" s="81" t="n"/>
      <c r="M731" s="81" t="n"/>
      <c r="N731" s="89" t="n"/>
      <c r="O731" s="84" t="n"/>
      <c r="P731" s="85" t="n"/>
    </row>
    <row r="732" customFormat="1" s="78">
      <c r="A732" s="97" t="n"/>
      <c r="B732" s="97" t="n"/>
      <c r="C732" s="97" t="n"/>
      <c r="D732" s="98" t="n"/>
      <c r="E732" s="98" t="n"/>
      <c r="F732" s="90" t="n"/>
      <c r="J732" s="79" t="n"/>
      <c r="K732" s="80" t="n"/>
      <c r="L732" s="81" t="n"/>
      <c r="M732" s="81" t="n"/>
      <c r="N732" s="89" t="n"/>
      <c r="O732" s="84" t="n"/>
      <c r="P732" s="85" t="n"/>
    </row>
    <row r="733" customFormat="1" s="78">
      <c r="A733" s="97" t="n"/>
      <c r="B733" s="97" t="n"/>
      <c r="C733" s="97" t="n"/>
      <c r="D733" s="98" t="n"/>
      <c r="E733" s="98" t="n"/>
      <c r="F733" s="90" t="n"/>
      <c r="J733" s="79" t="n"/>
      <c r="K733" s="80" t="n"/>
      <c r="L733" s="81" t="n"/>
      <c r="M733" s="81" t="n"/>
      <c r="N733" s="89" t="n"/>
      <c r="O733" s="84" t="n"/>
      <c r="P733" s="85" t="n"/>
    </row>
    <row r="734" customFormat="1" s="78">
      <c r="A734" s="97" t="n"/>
      <c r="B734" s="97" t="n"/>
      <c r="C734" s="97" t="n"/>
      <c r="D734" s="98" t="n"/>
      <c r="E734" s="98" t="n"/>
      <c r="F734" s="90" t="n"/>
      <c r="J734" s="79" t="n"/>
      <c r="K734" s="80" t="n"/>
      <c r="L734" s="81" t="n"/>
      <c r="M734" s="81" t="n"/>
      <c r="N734" s="89" t="n"/>
      <c r="O734" s="84" t="n"/>
      <c r="P734" s="85" t="n"/>
    </row>
    <row r="735" customFormat="1" s="78">
      <c r="A735" s="97" t="n"/>
      <c r="B735" s="97" t="n"/>
      <c r="C735" s="97" t="n"/>
      <c r="D735" s="98" t="n"/>
      <c r="E735" s="98" t="n"/>
      <c r="F735" s="90" t="n"/>
      <c r="J735" s="79" t="n"/>
      <c r="K735" s="80" t="n"/>
      <c r="L735" s="81" t="n"/>
      <c r="M735" s="81" t="n"/>
      <c r="N735" s="89" t="n"/>
      <c r="O735" s="84" t="n"/>
      <c r="P735" s="85" t="n"/>
    </row>
    <row r="736" customFormat="1" s="78">
      <c r="A736" s="97" t="n"/>
      <c r="B736" s="97" t="n"/>
      <c r="C736" s="97" t="n"/>
      <c r="D736" s="98" t="n"/>
      <c r="E736" s="98" t="n"/>
      <c r="F736" s="90" t="n"/>
      <c r="J736" s="79" t="n"/>
      <c r="K736" s="80" t="n"/>
      <c r="L736" s="81" t="n"/>
      <c r="M736" s="81" t="n"/>
      <c r="N736" s="89" t="n"/>
      <c r="O736" s="84" t="n"/>
      <c r="P736" s="85" t="n"/>
    </row>
    <row r="737" customFormat="1" s="78">
      <c r="A737" s="97" t="n"/>
      <c r="B737" s="97" t="n"/>
      <c r="C737" s="97" t="n"/>
      <c r="D737" s="98" t="n"/>
      <c r="E737" s="98" t="n"/>
      <c r="F737" s="90" t="n"/>
      <c r="J737" s="79" t="n"/>
      <c r="K737" s="80" t="n"/>
      <c r="L737" s="81" t="n"/>
      <c r="M737" s="81" t="n"/>
      <c r="N737" s="89" t="n"/>
      <c r="O737" s="84" t="n"/>
      <c r="P737" s="85" t="n"/>
    </row>
    <row r="738" customFormat="1" s="78">
      <c r="A738" s="97" t="n"/>
      <c r="B738" s="97" t="n"/>
      <c r="C738" s="97" t="n"/>
      <c r="D738" s="98" t="n"/>
      <c r="E738" s="98" t="n"/>
      <c r="F738" s="90" t="n"/>
      <c r="J738" s="79" t="n"/>
      <c r="K738" s="80" t="n"/>
      <c r="L738" s="81" t="n"/>
      <c r="M738" s="81" t="n"/>
      <c r="N738" s="89" t="n"/>
      <c r="O738" s="84" t="n"/>
      <c r="P738" s="85" t="n"/>
    </row>
    <row r="739" customFormat="1" s="78">
      <c r="A739" s="97" t="n"/>
      <c r="B739" s="97" t="n"/>
      <c r="C739" s="97" t="n"/>
      <c r="D739" s="98" t="n"/>
      <c r="E739" s="98" t="n"/>
      <c r="F739" s="90" t="n"/>
      <c r="J739" s="79" t="n"/>
      <c r="K739" s="80" t="n"/>
      <c r="L739" s="81" t="n"/>
      <c r="M739" s="81" t="n"/>
      <c r="N739" s="89" t="n"/>
      <c r="O739" s="84" t="n"/>
      <c r="P739" s="85" t="n"/>
    </row>
    <row r="740" customFormat="1" s="78">
      <c r="A740" s="97" t="n"/>
      <c r="B740" s="97" t="n"/>
      <c r="C740" s="97" t="n"/>
      <c r="D740" s="98" t="n"/>
      <c r="E740" s="98" t="n"/>
      <c r="F740" s="90" t="n"/>
      <c r="J740" s="79" t="n"/>
      <c r="K740" s="80" t="n"/>
      <c r="L740" s="81" t="n"/>
      <c r="M740" s="81" t="n"/>
      <c r="N740" s="89" t="n"/>
      <c r="O740" s="84" t="n"/>
      <c r="P740" s="85" t="n"/>
    </row>
    <row r="741" customFormat="1" s="78">
      <c r="A741" s="97" t="n"/>
      <c r="B741" s="97" t="n"/>
      <c r="C741" s="97" t="n"/>
      <c r="D741" s="98" t="n"/>
      <c r="E741" s="98" t="n"/>
      <c r="F741" s="90" t="n"/>
      <c r="J741" s="79" t="n"/>
      <c r="K741" s="80" t="n"/>
      <c r="L741" s="81" t="n"/>
      <c r="M741" s="81" t="n"/>
      <c r="N741" s="89" t="n"/>
      <c r="O741" s="84" t="n"/>
      <c r="P741" s="85" t="n"/>
    </row>
    <row r="742">
      <c r="A742" s="97" t="n"/>
      <c r="B742" s="97" t="n"/>
      <c r="C742" s="97" t="n"/>
      <c r="D742" s="98" t="n"/>
      <c r="E742" s="98" t="n"/>
    </row>
    <row r="743">
      <c r="A743" s="97" t="n"/>
      <c r="B743" s="97" t="n"/>
      <c r="C743" s="97" t="n"/>
      <c r="D743" s="98" t="n"/>
      <c r="E743" s="98" t="n"/>
    </row>
    <row r="744">
      <c r="A744" s="97" t="n"/>
      <c r="B744" s="97" t="n"/>
      <c r="C744" s="97" t="n"/>
      <c r="D744" s="98" t="n"/>
      <c r="E744" s="98" t="n"/>
    </row>
    <row r="745">
      <c r="A745" s="97" t="n"/>
      <c r="B745" s="97" t="n"/>
      <c r="C745" s="97" t="n"/>
      <c r="D745" s="98" t="n"/>
      <c r="E745" s="98" t="n"/>
    </row>
    <row r="746">
      <c r="A746" s="97" t="n"/>
      <c r="B746" s="97" t="n"/>
      <c r="C746" s="97" t="n"/>
      <c r="D746" s="98" t="n"/>
      <c r="E746" s="98" t="n"/>
    </row>
    <row r="747">
      <c r="A747" s="97" t="n"/>
      <c r="B747" s="97" t="n"/>
      <c r="C747" s="97" t="n"/>
      <c r="D747" s="98" t="n"/>
      <c r="E747" s="98" t="n"/>
    </row>
    <row r="748">
      <c r="A748" s="97" t="n"/>
      <c r="B748" s="97" t="n"/>
      <c r="C748" s="97" t="n"/>
      <c r="D748" s="98" t="n"/>
      <c r="E748" s="98" t="n"/>
    </row>
    <row r="749">
      <c r="A749" s="97" t="n"/>
      <c r="B749" s="97" t="n"/>
      <c r="C749" s="97" t="n"/>
      <c r="D749" s="98" t="n"/>
      <c r="E749" s="98" t="n"/>
    </row>
    <row r="750">
      <c r="A750" s="97" t="n"/>
      <c r="B750" s="97" t="n"/>
      <c r="C750" s="97" t="n"/>
      <c r="D750" s="98" t="n"/>
      <c r="E750" s="98" t="n"/>
    </row>
    <row r="751">
      <c r="A751" s="97" t="n"/>
      <c r="B751" s="97" t="n"/>
      <c r="C751" s="97" t="n"/>
      <c r="D751" s="98" t="n"/>
      <c r="E751" s="98" t="n"/>
    </row>
    <row r="752">
      <c r="A752" s="97" t="n"/>
      <c r="B752" s="97" t="n"/>
      <c r="C752" s="97" t="n"/>
      <c r="D752" s="98" t="n"/>
      <c r="E752" s="98" t="n"/>
    </row>
    <row r="753">
      <c r="A753" s="97" t="n"/>
      <c r="B753" s="97" t="n"/>
      <c r="C753" s="97" t="n"/>
      <c r="D753" s="98" t="n"/>
      <c r="E753" s="98" t="n"/>
    </row>
    <row r="754">
      <c r="A754" s="97" t="n"/>
      <c r="B754" s="97" t="n"/>
      <c r="C754" s="97" t="n"/>
      <c r="D754" s="98" t="n"/>
      <c r="E754" s="98" t="n"/>
    </row>
    <row r="755">
      <c r="A755" s="97" t="n"/>
      <c r="B755" s="97" t="n"/>
      <c r="C755" s="97" t="n"/>
      <c r="D755" s="98" t="n"/>
      <c r="E755" s="98" t="n"/>
    </row>
    <row r="756">
      <c r="A756" s="97" t="n"/>
      <c r="B756" s="97" t="n"/>
      <c r="C756" s="97" t="n"/>
      <c r="D756" s="98" t="n"/>
      <c r="E756" s="98" t="n"/>
    </row>
    <row r="757">
      <c r="A757" s="97" t="n"/>
      <c r="B757" s="97" t="n"/>
      <c r="C757" s="97" t="n"/>
      <c r="D757" s="98" t="n"/>
      <c r="E757" s="98" t="n"/>
    </row>
    <row r="758">
      <c r="A758" s="97" t="n"/>
      <c r="B758" s="97" t="n"/>
      <c r="C758" s="97" t="n"/>
      <c r="D758" s="98" t="n"/>
      <c r="E758" s="98" t="n"/>
    </row>
    <row r="759">
      <c r="A759" s="97" t="n"/>
      <c r="B759" s="97" t="n"/>
      <c r="C759" s="97" t="n"/>
      <c r="D759" s="98" t="n"/>
      <c r="E759" s="98" t="n"/>
    </row>
    <row r="760">
      <c r="A760" s="97" t="n"/>
      <c r="B760" s="97" t="n"/>
      <c r="C760" s="97" t="n"/>
      <c r="D760" s="98" t="n"/>
      <c r="E760" s="98" t="n"/>
    </row>
    <row r="761">
      <c r="A761" s="97" t="n"/>
      <c r="B761" s="97" t="n"/>
      <c r="C761" s="97" t="n"/>
      <c r="D761" s="98" t="n"/>
      <c r="E761" s="98" t="n"/>
    </row>
    <row r="762">
      <c r="A762" s="97" t="n"/>
      <c r="B762" s="97" t="n"/>
      <c r="C762" s="97" t="n"/>
      <c r="D762" s="98" t="n"/>
      <c r="E762" s="98" t="n"/>
    </row>
    <row r="763">
      <c r="A763" s="97" t="n"/>
      <c r="B763" s="97" t="n"/>
      <c r="C763" s="97" t="n"/>
      <c r="D763" s="98" t="n"/>
      <c r="E763" s="98" t="n"/>
    </row>
    <row r="764">
      <c r="A764" s="97" t="n"/>
      <c r="B764" s="97" t="n"/>
      <c r="C764" s="97" t="n"/>
      <c r="D764" s="98" t="n"/>
      <c r="E764" s="98" t="n"/>
    </row>
    <row r="765">
      <c r="A765" s="97" t="n"/>
      <c r="B765" s="97" t="n"/>
      <c r="C765" s="97" t="n"/>
      <c r="D765" s="98" t="n"/>
      <c r="E765" s="98" t="n"/>
    </row>
    <row r="766">
      <c r="A766" s="97" t="n"/>
      <c r="B766" s="97" t="n"/>
      <c r="C766" s="97" t="n"/>
      <c r="D766" s="98" t="n"/>
      <c r="E766" s="98" t="n"/>
    </row>
    <row r="767">
      <c r="A767" s="97" t="n"/>
      <c r="B767" s="97" t="n"/>
      <c r="C767" s="97" t="n"/>
      <c r="D767" s="98" t="n"/>
      <c r="E767" s="98" t="n"/>
    </row>
    <row r="768">
      <c r="A768" s="97" t="n"/>
      <c r="B768" s="97" t="n"/>
      <c r="C768" s="97" t="n"/>
      <c r="D768" s="98" t="n"/>
      <c r="E768" s="98" t="n"/>
    </row>
    <row r="769">
      <c r="A769" s="97" t="n"/>
      <c r="B769" s="97" t="n"/>
      <c r="C769" s="97" t="n"/>
      <c r="D769" s="98" t="n"/>
      <c r="E769" s="98" t="n"/>
    </row>
    <row r="770">
      <c r="A770" s="97" t="n"/>
      <c r="B770" s="97" t="n"/>
      <c r="C770" s="97" t="n"/>
      <c r="D770" s="98" t="n"/>
      <c r="E770" s="98" t="n"/>
    </row>
    <row r="771">
      <c r="A771" s="97" t="n"/>
      <c r="B771" s="97" t="n"/>
      <c r="C771" s="97" t="n"/>
      <c r="D771" s="98" t="n"/>
      <c r="E771" s="98" t="n"/>
    </row>
    <row r="772">
      <c r="A772" s="97" t="n"/>
      <c r="B772" s="97" t="n"/>
      <c r="C772" s="97" t="n"/>
      <c r="D772" s="98" t="n"/>
      <c r="E772" s="98" t="n"/>
    </row>
    <row r="773">
      <c r="A773" s="97" t="n"/>
      <c r="B773" s="97" t="n"/>
      <c r="C773" s="97" t="n"/>
      <c r="D773" s="98" t="n"/>
      <c r="E773" s="98" t="n"/>
    </row>
    <row r="774">
      <c r="A774" s="97" t="n"/>
      <c r="B774" s="97" t="n"/>
      <c r="C774" s="97" t="n"/>
      <c r="D774" s="98" t="n"/>
      <c r="E774" s="98" t="n"/>
    </row>
    <row r="775">
      <c r="A775" s="97" t="n"/>
      <c r="B775" s="97" t="n"/>
      <c r="C775" s="97" t="n"/>
      <c r="D775" s="98" t="n"/>
      <c r="E775" s="98" t="n"/>
    </row>
    <row r="776">
      <c r="A776" s="97" t="n"/>
      <c r="B776" s="97" t="n"/>
      <c r="C776" s="97" t="n"/>
      <c r="D776" s="98" t="n"/>
      <c r="E776" s="98" t="n"/>
    </row>
    <row r="777">
      <c r="A777" s="97" t="n"/>
      <c r="B777" s="97" t="n"/>
      <c r="C777" s="97" t="n"/>
      <c r="D777" s="98" t="n"/>
      <c r="E777" s="98" t="n"/>
    </row>
    <row r="778">
      <c r="A778" s="97" t="n"/>
      <c r="B778" s="97" t="n"/>
      <c r="C778" s="97" t="n"/>
      <c r="D778" s="98" t="n"/>
      <c r="E778" s="98" t="n"/>
    </row>
    <row r="779">
      <c r="A779" s="97" t="n"/>
      <c r="B779" s="97" t="n"/>
      <c r="C779" s="97" t="n"/>
      <c r="D779" s="98" t="n"/>
      <c r="E779" s="98" t="n"/>
    </row>
    <row r="780">
      <c r="A780" s="97" t="n"/>
      <c r="B780" s="97" t="n"/>
      <c r="C780" s="97" t="n"/>
      <c r="D780" s="98" t="n"/>
      <c r="E780" s="98" t="n"/>
    </row>
    <row r="781">
      <c r="A781" s="97" t="n"/>
      <c r="B781" s="97" t="n"/>
      <c r="C781" s="97" t="n"/>
      <c r="D781" s="98" t="n"/>
      <c r="E781" s="98" t="n"/>
    </row>
    <row r="782">
      <c r="A782" s="97" t="n"/>
      <c r="B782" s="97" t="n"/>
      <c r="C782" s="97" t="n"/>
      <c r="D782" s="98" t="n"/>
      <c r="E782" s="98" t="n"/>
    </row>
    <row r="783">
      <c r="A783" s="97" t="n"/>
      <c r="B783" s="97" t="n"/>
      <c r="C783" s="97" t="n"/>
      <c r="D783" s="98" t="n"/>
      <c r="E783" s="98" t="n"/>
    </row>
    <row r="784">
      <c r="A784" s="97" t="n"/>
      <c r="B784" s="97" t="n"/>
      <c r="C784" s="97" t="n"/>
      <c r="D784" s="98" t="n"/>
      <c r="E784" s="98" t="n"/>
    </row>
    <row r="785">
      <c r="A785" s="97" t="n"/>
      <c r="B785" s="97" t="n"/>
      <c r="C785" s="97" t="n"/>
      <c r="D785" s="98" t="n"/>
      <c r="E785" s="98" t="n"/>
    </row>
    <row r="786">
      <c r="A786" s="97" t="n"/>
      <c r="B786" s="97" t="n"/>
      <c r="C786" s="97" t="n"/>
      <c r="D786" s="98" t="n"/>
      <c r="E786" s="98" t="n"/>
    </row>
    <row r="787">
      <c r="A787" s="97" t="n"/>
      <c r="B787" s="97" t="n"/>
      <c r="C787" s="97" t="n"/>
      <c r="D787" s="98" t="n"/>
      <c r="E787" s="98" t="n"/>
    </row>
  </sheetData>
  <autoFilter ref="A7:R787"/>
  <mergeCells count="1">
    <mergeCell ref="G6:P6"/>
  </mergeCells>
  <conditionalFormatting sqref="G8:N32 G34:N49 G51:M63 G67:O67 G68:H69 G71:P76 G77:N80 G81:K81 G82:H93 G128:J132 G133:P133 G134:N136 G137:O138 G139:N139 G140:P140 G141:N141 G143:N144 G145:O145 G148:O149 I82:K83 I84:N84 I92:M93 M81:N81 M82:O83 N51:N61 N85:O87 N88:N89 N90:O93 N128:P130 N131:N132 O45:O49 O51:O55 O57:O58 O60 P11:P63 P65:P69 P77:P121 P123:P126 P131:P132 P134:P139 P141">
    <cfRule type="expression" priority="169" dxfId="0">
      <formula>$H8="SUBETAPA"</formula>
    </cfRule>
  </conditionalFormatting>
  <conditionalFormatting sqref="G11:N25 G27:N32 G88:H91 N44:N49 N130:O130 N131:N132 P131:P132">
    <cfRule type="expression" priority="234" dxfId="3">
      <formula>$H11="ETAPA"</formula>
    </cfRule>
  </conditionalFormatting>
  <conditionalFormatting sqref="G84:I87">
    <cfRule type="expression" priority="174" dxfId="3">
      <formula>$H84="ETAPA"</formula>
    </cfRule>
  </conditionalFormatting>
  <conditionalFormatting sqref="G68:J68">
    <cfRule type="expression" priority="75" dxfId="3">
      <formula>$H68="ETAPA"</formula>
    </cfRule>
  </conditionalFormatting>
  <conditionalFormatting sqref="G69:J69">
    <cfRule type="expression" priority="168" dxfId="3">
      <formula>$H69="ETAPA"</formula>
    </cfRule>
  </conditionalFormatting>
  <conditionalFormatting sqref="G60:L63">
    <cfRule type="expression" priority="211" dxfId="3">
      <formula>$H60="ETAPA"</formula>
    </cfRule>
  </conditionalFormatting>
  <conditionalFormatting sqref="G68:L68">
    <cfRule type="expression" priority="74" dxfId="1">
      <formula>$H68="CÉLULA CONSTRUTIVA"</formula>
    </cfRule>
  </conditionalFormatting>
  <conditionalFormatting sqref="G11:P24 G25:O32 G34:P37 G69:L69 P25:P33 P38:P42">
    <cfRule type="expression" priority="167" dxfId="1">
      <formula>$H11="CÉLULA CONSTRUTIVA"</formula>
    </cfRule>
  </conditionalFormatting>
  <conditionalFormatting sqref="G44:M44">
    <cfRule type="expression" priority="212" dxfId="1">
      <formula>$H44="CÉLULA CONSTRUTIVA"</formula>
    </cfRule>
  </conditionalFormatting>
  <conditionalFormatting sqref="G80:M80">
    <cfRule type="expression" priority="192" dxfId="1">
      <formula>$H80="CÉLULA CONSTRUTIVA"</formula>
    </cfRule>
  </conditionalFormatting>
  <conditionalFormatting sqref="G84:M84 G85:J87">
    <cfRule type="expression" priority="173" dxfId="1">
      <formula>$H84="CÉLULA CONSTRUTIVA"</formula>
    </cfRule>
  </conditionalFormatting>
  <conditionalFormatting sqref="G128:M132">
    <cfRule type="expression" priority="156" dxfId="1">
      <formula>$H128="CÉLULA CONSTRUTIVA"</formula>
    </cfRule>
  </conditionalFormatting>
  <conditionalFormatting sqref="G26:N26">
    <cfRule type="expression" priority="153" dxfId="3">
      <formula>$H26="ETAPA"</formula>
    </cfRule>
  </conditionalFormatting>
  <conditionalFormatting sqref="G33:N33">
    <cfRule type="expression" priority="141" dxfId="0">
      <formula>$H33="SUBETAPA"</formula>
    </cfRule>
    <cfRule type="expression" priority="143" dxfId="3">
      <formula>$H33="ETAPA"</formula>
    </cfRule>
  </conditionalFormatting>
  <conditionalFormatting sqref="G34:N34 J35">
    <cfRule type="expression" priority="105" dxfId="3">
      <formula>$H34="ETAPA"</formula>
    </cfRule>
  </conditionalFormatting>
  <conditionalFormatting sqref="G38:N42">
    <cfRule type="expression" priority="140" dxfId="1">
      <formula>$H38="CÉLULA CONSTRUTIVA"</formula>
    </cfRule>
  </conditionalFormatting>
  <conditionalFormatting sqref="G43:N43">
    <cfRule type="expression" priority="222" dxfId="1">
      <formula>$H43="CÉLULA CONSTRUTIVA"</formula>
    </cfRule>
    <cfRule type="expression" priority="223" dxfId="3">
      <formula>$H43="ETAPA"</formula>
    </cfRule>
  </conditionalFormatting>
  <conditionalFormatting sqref="G35:N42 G51:L59 G67:J67 G71:N81 G82:M83 G92:H93 G107:O121 G133:P135 G136:N136 G137:P138 G139:N139 G140:P140 G141:N141 G143:N143 G144:P145 G147:P149 I91:K93 N51:O55 N56 N57:O60 N82:N93 N128:P129 O82:P83 O88:O93 P11:P42 P45:P63 P67:P69 P84:P126 P136 P139 P141 P143">
    <cfRule type="expression" priority="195" dxfId="3">
      <formula>$H11="ETAPA"</formula>
    </cfRule>
  </conditionalFormatting>
  <conditionalFormatting sqref="G122:N122">
    <cfRule type="expression" priority="196" dxfId="1">
      <formula>$H122="CÉLULA CONSTRUTIVA"</formula>
    </cfRule>
    <cfRule type="expression" priority="197" dxfId="3">
      <formula>$H122="ETAPA"</formula>
    </cfRule>
  </conditionalFormatting>
  <conditionalFormatting sqref="G8:P10 G88:H91 G123:N126 G127:P127">
    <cfRule type="expression" priority="232" dxfId="1">
      <formula>$H8="CÉLULA CONSTRUTIVA"</formula>
    </cfRule>
  </conditionalFormatting>
  <conditionalFormatting sqref="G123:N126 G127:P127">
    <cfRule type="expression" priority="204" dxfId="0">
      <formula>$H123="SUBETAPA"</formula>
    </cfRule>
  </conditionalFormatting>
  <conditionalFormatting sqref="G123:N126">
    <cfRule type="expression" priority="172" dxfId="3">
      <formula>$H123="ETAPA"</formula>
    </cfRule>
  </conditionalFormatting>
  <conditionalFormatting sqref="G146:N146 P146">
    <cfRule type="expression" priority="138" dxfId="3">
      <formula>$H146="ETAPA"</formula>
    </cfRule>
  </conditionalFormatting>
  <conditionalFormatting sqref="G33:O33">
    <cfRule type="expression" priority="139" dxfId="1">
      <formula>$H33="CÉLULA CONSTRUTIVA"</formula>
    </cfRule>
  </conditionalFormatting>
  <conditionalFormatting sqref="G50:O50">
    <cfRule type="expression" priority="149" dxfId="1">
      <formula>$H50="CÉLULA CONSTRUTIVA"</formula>
    </cfRule>
    <cfRule type="expression" priority="150" dxfId="0">
      <formula>$H50="SUBETAPA"</formula>
    </cfRule>
    <cfRule type="expression" priority="152" dxfId="3">
      <formula>$H50="ETAPA"</formula>
    </cfRule>
  </conditionalFormatting>
  <conditionalFormatting sqref="G81:O81">
    <cfRule type="expression" priority="56" dxfId="1">
      <formula>$H81="CÉLULA CONSTRUTIVA"</formula>
    </cfRule>
  </conditionalFormatting>
  <conditionalFormatting sqref="G94:O105">
    <cfRule type="expression" priority="148" dxfId="3">
      <formula>$H94="ETAPA"</formula>
    </cfRule>
  </conditionalFormatting>
  <conditionalFormatting sqref="G94:O121">
    <cfRule type="expression" priority="123" dxfId="1">
      <formula>$H94="CÉLULA CONSTRUTIVA"</formula>
    </cfRule>
    <cfRule type="expression" priority="125" dxfId="0">
      <formula>$H94="SUBETAPA"</formula>
    </cfRule>
  </conditionalFormatting>
  <conditionalFormatting sqref="G106:O106">
    <cfRule type="expression" priority="124" dxfId="3">
      <formula>$H106="ETAPA"</formula>
    </cfRule>
  </conditionalFormatting>
  <conditionalFormatting sqref="G122:O122">
    <cfRule type="expression" priority="122" dxfId="0">
      <formula>$H122="SUBETAPA"</formula>
    </cfRule>
  </conditionalFormatting>
  <conditionalFormatting sqref="G139:O139">
    <cfRule type="expression" priority="21" dxfId="1">
      <formula>$H139="CÉLULA CONSTRUTIVA"</formula>
    </cfRule>
  </conditionalFormatting>
  <conditionalFormatting sqref="G141:O141">
    <cfRule type="expression" priority="28" dxfId="1">
      <formula>$H141="CÉLULA CONSTRUTIVA"</formula>
    </cfRule>
  </conditionalFormatting>
  <conditionalFormatting sqref="G8:P10 G70:P70 G127:P127 O43:O49 O80 O84">
    <cfRule type="expression" priority="233" dxfId="3">
      <formula>$H8="ETAPA"</formula>
    </cfRule>
  </conditionalFormatting>
  <conditionalFormatting sqref="G64:P64 G65:N66">
    <cfRule type="expression" priority="207" dxfId="0">
      <formula>$H64="SUBETAPA"</formula>
    </cfRule>
  </conditionalFormatting>
  <conditionalFormatting sqref="G64:P66">
    <cfRule type="expression" priority="208" dxfId="1">
      <formula>$H64="CÉLULA CONSTRUTIVA"</formula>
    </cfRule>
    <cfRule type="expression" priority="209" dxfId="3">
      <formula>$H64="ETAPA"</formula>
    </cfRule>
  </conditionalFormatting>
  <conditionalFormatting sqref="G70:P70 P131:P132">
    <cfRule type="expression" priority="225" dxfId="1">
      <formula>$H70="CÉLULA CONSTRUTIVA"</formula>
    </cfRule>
  </conditionalFormatting>
  <conditionalFormatting sqref="G142:P142">
    <cfRule type="expression" priority="145" dxfId="0">
      <formula>$H142="SUBETAPA"</formula>
    </cfRule>
    <cfRule type="expression" priority="146" dxfId="3">
      <formula>$H142="ETAPA"</formula>
    </cfRule>
  </conditionalFormatting>
  <conditionalFormatting sqref="G145:O145 G146:N146 G147:P149 P143:P146">
    <cfRule type="expression" priority="136" dxfId="1">
      <formula>$H143="CÉLULA CONSTRUTIVA"</formula>
    </cfRule>
  </conditionalFormatting>
  <conditionalFormatting sqref="I88:I90">
    <cfRule type="expression" priority="202" dxfId="3">
      <formula>$H88="ETAPA"</formula>
    </cfRule>
  </conditionalFormatting>
  <conditionalFormatting sqref="I68:K69">
    <cfRule type="expression" priority="71" dxfId="0">
      <formula>$H68="SUBETAPA"</formula>
    </cfRule>
  </conditionalFormatting>
  <conditionalFormatting sqref="I85:K87">
    <cfRule type="expression" priority="157" dxfId="0">
      <formula>$H85="SUBETAPA"</formula>
    </cfRule>
  </conditionalFormatting>
  <conditionalFormatting sqref="I88:L89">
    <cfRule type="expression" priority="198" dxfId="0">
      <formula>$H88="SUBETAPA"</formula>
    </cfRule>
    <cfRule type="expression" priority="199" dxfId="1">
      <formula>$H88="CÉLULA CONSTRUTIVA"</formula>
    </cfRule>
  </conditionalFormatting>
  <conditionalFormatting sqref="J68:J69">
    <cfRule type="expression" priority="166" dxfId="3">
      <formula>$H68="ETAPA"</formula>
    </cfRule>
  </conditionalFormatting>
  <conditionalFormatting sqref="J90:K90">
    <cfRule type="expression" priority="201" dxfId="3">
      <formula>$H90="ETAPA"</formula>
    </cfRule>
  </conditionalFormatting>
  <conditionalFormatting sqref="J85:L87">
    <cfRule type="expression" priority="159" dxfId="3">
      <formula>$H85="ETAPA"</formula>
    </cfRule>
  </conditionalFormatting>
  <conditionalFormatting sqref="J88:L89 O85:P87">
    <cfRule type="expression" priority="200" dxfId="3">
      <formula>$H85="ETAPA"</formula>
    </cfRule>
  </conditionalFormatting>
  <conditionalFormatting sqref="J84:M84 J85:J87">
    <cfRule type="expression" priority="175" dxfId="3">
      <formula>$H84="ETAPA"</formula>
    </cfRule>
  </conditionalFormatting>
  <conditionalFormatting sqref="K85:L87">
    <cfRule type="expression" priority="158" dxfId="1">
      <formula>$H85="CÉLULA CONSTRUTIVA"</formula>
    </cfRule>
  </conditionalFormatting>
  <conditionalFormatting sqref="K128:M132">
    <cfRule type="expression" priority="154" dxfId="3">
      <formula>$H128="ETAPA"</formula>
    </cfRule>
    <cfRule type="expression" priority="155" dxfId="0">
      <formula>$H128="SUBETAPA"</formula>
    </cfRule>
  </conditionalFormatting>
  <conditionalFormatting sqref="L67:L69">
    <cfRule type="expression" priority="162" dxfId="3">
      <formula>$H67="ETAPA"</formula>
    </cfRule>
  </conditionalFormatting>
  <conditionalFormatting sqref="L68:L69">
    <cfRule type="expression" priority="163" dxfId="0">
      <formula>$H68="SUBETAPA"</formula>
    </cfRule>
  </conditionalFormatting>
  <conditionalFormatting sqref="L85:L87">
    <cfRule type="expression" priority="180" dxfId="1">
      <formula>$H85="CÉLULA CONSTRUTIVA"</formula>
    </cfRule>
    <cfRule type="expression" priority="181" dxfId="3">
      <formula>$H85="ETAPA"</formula>
    </cfRule>
    <cfRule type="expression" priority="182" dxfId="0">
      <formula>$H85="SUBETAPA"</formula>
    </cfRule>
    <cfRule type="expression" priority="183" dxfId="1">
      <formula>$H85="CÉLULA CONSTRUTIVA"</formula>
    </cfRule>
    <cfRule type="expression" priority="184" dxfId="3">
      <formula>$H85="ETAPA"</formula>
    </cfRule>
  </conditionalFormatting>
  <conditionalFormatting sqref="L68:M68">
    <cfRule type="expression" priority="73" dxfId="3">
      <formula>$H68="ETAPA"</formula>
    </cfRule>
  </conditionalFormatting>
  <conditionalFormatting sqref="L69:M69">
    <cfRule type="expression" priority="165" dxfId="3">
      <formula>$H69="ETAPA"</formula>
    </cfRule>
  </conditionalFormatting>
  <conditionalFormatting sqref="L94:M105">
    <cfRule type="expression" priority="147" dxfId="1">
      <formula>$H94="CÉLULA CONSTRUTIVA"</formula>
    </cfRule>
  </conditionalFormatting>
  <conditionalFormatting sqref="L123:M126">
    <cfRule type="expression" priority="171" dxfId="1">
      <formula>$H123="CÉLULA CONSTRUTIVA"</formula>
    </cfRule>
  </conditionalFormatting>
  <conditionalFormatting sqref="L69:N69">
    <cfRule type="expression" priority="164" dxfId="1">
      <formula>$H69="CÉLULA CONSTRUTIVA"</formula>
    </cfRule>
  </conditionalFormatting>
  <conditionalFormatting sqref="L68:O68">
    <cfRule type="expression" priority="72" dxfId="1">
      <formula>$H68="CÉLULA CONSTRUTIVA"</formula>
    </cfRule>
  </conditionalFormatting>
  <conditionalFormatting sqref="G45:M49 G51:L61 G67:N67 G71:N78 G79:M79 G82:M83 G92:M93 G133:P133 G134:O135 G144:O144 L68:M69 L128:O129 L130:N132 N44:N49 N51:N61 N79:N80 O57:O60 P45:P63 P67:P69 P71:P126 P128:P132">
    <cfRule type="expression" priority="160" dxfId="1">
      <formula>$H44="CÉLULA CONSTRUTIVA"</formula>
    </cfRule>
  </conditionalFormatting>
  <conditionalFormatting sqref="M11:M17">
    <cfRule type="expression" priority="176" dxfId="1">
      <formula>$H11="CÉLULA CONSTRUTIVA"</formula>
    </cfRule>
    <cfRule type="expression" priority="177" dxfId="3">
      <formula>$H11="ETAPA"</formula>
    </cfRule>
    <cfRule type="expression" priority="178" dxfId="1">
      <formula>$H11="CÉLULA CONSTRUTIVA"</formula>
    </cfRule>
    <cfRule type="expression" priority="179" dxfId="3">
      <formula>$H11="ETAPA"</formula>
    </cfRule>
  </conditionalFormatting>
  <conditionalFormatting sqref="G45:M49 K67:M69 L92:M93 M32 M39:M42 M51:M63 O71:P76 P77:P81">
    <cfRule type="expression" priority="189" dxfId="3">
      <formula>$H32="ETAPA"</formula>
    </cfRule>
  </conditionalFormatting>
  <conditionalFormatting sqref="L67:M67 L92:M93 M32 M39:M42 M45:M49 M51:M63 O71:P76 P77:P79">
    <cfRule type="expression" priority="188" dxfId="1">
      <formula>$H32="CÉLULA CONSTRUTIVA"</formula>
    </cfRule>
  </conditionalFormatting>
  <conditionalFormatting sqref="M33">
    <cfRule type="expression" priority="142" dxfId="1">
      <formula>$H33="CÉLULA CONSTRUTIVA"</formula>
    </cfRule>
  </conditionalFormatting>
  <conditionalFormatting sqref="M50:M63">
    <cfRule type="expression" priority="151" dxfId="1">
      <formula>$H50="CÉLULA CONSTRUTIVA"</formula>
    </cfRule>
  </conditionalFormatting>
  <conditionalFormatting sqref="L90:L91 M67:M69 M85:M91">
    <cfRule type="expression" priority="221" dxfId="3">
      <formula>$H67="ETAPA"</formula>
    </cfRule>
  </conditionalFormatting>
  <conditionalFormatting sqref="I90:L91 M68:M69 M85:M91">
    <cfRule type="expression" priority="220" dxfId="1">
      <formula>$H68="CÉLULA CONSTRUTIVA"</formula>
    </cfRule>
    <cfRule type="expression" priority="219" dxfId="0">
      <formula>$H68="SUBETAPA"</formula>
    </cfRule>
  </conditionalFormatting>
  <conditionalFormatting sqref="L90:L91 M85:M91">
    <cfRule type="expression" priority="215" dxfId="1">
      <formula>$H85="CÉLULA CONSTRUTIVA"</formula>
    </cfRule>
    <cfRule type="expression" priority="216" dxfId="3">
      <formula>$H85="ETAPA"</formula>
    </cfRule>
    <cfRule type="expression" priority="217" dxfId="1">
      <formula>$H85="CÉLULA CONSTRUTIVA"</formula>
    </cfRule>
    <cfRule type="expression" priority="218" dxfId="3">
      <formula>$H85="ETAPA"</formula>
    </cfRule>
  </conditionalFormatting>
  <conditionalFormatting sqref="M155">
    <cfRule type="expression" priority="229" dxfId="0">
      <formula>$H152="SUBETAPA"</formula>
    </cfRule>
    <cfRule type="expression" priority="230" dxfId="1">
      <formula>$H152="CÉLULA CONSTRUTIVA"</formula>
    </cfRule>
    <cfRule type="expression" priority="231" dxfId="3">
      <formula>$H152="ETAPA"</formula>
    </cfRule>
  </conditionalFormatting>
  <conditionalFormatting sqref="M151:N155">
    <cfRule type="expression" priority="226" dxfId="0">
      <formula>$H151="SUBETAPA"</formula>
    </cfRule>
    <cfRule type="expression" priority="227" dxfId="1">
      <formula>$H151="CÉLULA CONSTRUTIVA"</formula>
    </cfRule>
    <cfRule type="expression" priority="228" dxfId="3">
      <formula>$H151="ETAPA"</formula>
    </cfRule>
  </conditionalFormatting>
  <conditionalFormatting sqref="N61:N63">
    <cfRule type="expression" priority="210" dxfId="3">
      <formula>$H61="ETAPA"</formula>
    </cfRule>
  </conditionalFormatting>
  <conditionalFormatting sqref="N67:N69">
    <cfRule type="expression" priority="170" dxfId="3">
      <formula>$H67="ETAPA"</formula>
    </cfRule>
  </conditionalFormatting>
  <conditionalFormatting sqref="N68:O69">
    <cfRule type="expression" priority="69" dxfId="0">
      <formula>$H68="SUBETAPA"</formula>
    </cfRule>
  </conditionalFormatting>
  <conditionalFormatting sqref="N82:O93">
    <cfRule type="expression" priority="128" dxfId="1">
      <formula>$H82="CÉLULA CONSTRUTIVA"</formula>
    </cfRule>
  </conditionalFormatting>
  <conditionalFormatting sqref="L81:L83 O11:O31">
    <cfRule type="expression" priority="185" dxfId="3">
      <formula>$H11="ETAPA"</formula>
    </cfRule>
    <cfRule type="expression" priority="186" dxfId="0">
      <formula>$H11="SUBETAPA"</formula>
    </cfRule>
  </conditionalFormatting>
  <conditionalFormatting sqref="O18">
    <cfRule type="expression" priority="135" dxfId="1">
      <formula>$H18="CÉLULA CONSTRUTIVA"</formula>
    </cfRule>
  </conditionalFormatting>
  <conditionalFormatting sqref="O20:O21">
    <cfRule type="expression" priority="114" dxfId="3">
      <formula>$H20="ETAPA"</formula>
    </cfRule>
    <cfRule type="expression" priority="115" dxfId="0">
      <formula>$H20="SUBETAPA"</formula>
    </cfRule>
  </conditionalFormatting>
  <conditionalFormatting sqref="O23:O25">
    <cfRule type="expression" priority="116" dxfId="3">
      <formula>$H23="ETAPA"</formula>
    </cfRule>
    <cfRule type="expression" priority="117" dxfId="0">
      <formula>$H23="SUBETAPA"</formula>
    </cfRule>
  </conditionalFormatting>
  <conditionalFormatting sqref="O24">
    <cfRule type="expression" priority="112" dxfId="3">
      <formula>$H24="ETAPA"</formula>
    </cfRule>
    <cfRule type="expression" priority="113" dxfId="0">
      <formula>$H24="SUBETAPA"</formula>
    </cfRule>
  </conditionalFormatting>
  <conditionalFormatting sqref="O26:O29">
    <cfRule type="expression" priority="108" dxfId="3">
      <formula>$H26="ETAPA"</formula>
    </cfRule>
    <cfRule type="expression" priority="109" dxfId="0">
      <formula>$H26="SUBETAPA"</formula>
    </cfRule>
    <cfRule type="expression" priority="110" dxfId="3">
      <formula>$H26="ETAPA"</formula>
    </cfRule>
    <cfRule type="expression" priority="111" dxfId="0">
      <formula>$H26="SUBETAPA"</formula>
    </cfRule>
  </conditionalFormatting>
  <conditionalFormatting sqref="O31">
    <cfRule type="expression" priority="134" dxfId="1">
      <formula>$H31="CÉLULA CONSTRUTIVA"</formula>
    </cfRule>
  </conditionalFormatting>
  <conditionalFormatting sqref="O32">
    <cfRule type="expression" priority="95" dxfId="3">
      <formula>$H32="ETAPA"</formula>
    </cfRule>
    <cfRule type="expression" priority="96" dxfId="0">
      <formula>$H32="SUBETAPA"</formula>
    </cfRule>
    <cfRule type="expression" priority="97" dxfId="3">
      <formula>$H32="ETAPA"</formula>
    </cfRule>
    <cfRule type="expression" priority="98" dxfId="0">
      <formula>$H32="SUBETAPA"</formula>
    </cfRule>
    <cfRule type="expression" priority="99" dxfId="3">
      <formula>$H32="ETAPA"</formula>
    </cfRule>
    <cfRule type="expression" priority="100" dxfId="0">
      <formula>$H32="SUBETAPA"</formula>
    </cfRule>
  </conditionalFormatting>
  <conditionalFormatting sqref="O32:O38">
    <cfRule type="expression" priority="106" dxfId="3">
      <formula>$H32="ETAPA"</formula>
    </cfRule>
    <cfRule type="expression" priority="107" dxfId="0">
      <formula>$H32="SUBETAPA"</formula>
    </cfRule>
  </conditionalFormatting>
  <conditionalFormatting sqref="O34:O37">
    <cfRule type="expression" priority="101" dxfId="3">
      <formula>$H34="ETAPA"</formula>
    </cfRule>
    <cfRule type="expression" priority="102" dxfId="0">
      <formula>$H34="SUBETAPA"</formula>
    </cfRule>
    <cfRule type="expression" priority="103" dxfId="3">
      <formula>$H34="ETAPA"</formula>
    </cfRule>
    <cfRule type="expression" priority="104" dxfId="0">
      <formula>$H34="SUBETAPA"</formula>
    </cfRule>
  </conditionalFormatting>
  <conditionalFormatting sqref="O38:O39">
    <cfRule type="expression" priority="87" dxfId="1">
      <formula>$H38="CÉLULA CONSTRUTIVA"</formula>
    </cfRule>
  </conditionalFormatting>
  <conditionalFormatting sqref="O39">
    <cfRule type="expression" priority="83" dxfId="3">
      <formula>$H39="ETAPA"</formula>
    </cfRule>
    <cfRule type="expression" priority="84" dxfId="0">
      <formula>$H39="SUBETAPA"</formula>
    </cfRule>
    <cfRule type="expression" priority="85" dxfId="3">
      <formula>$H39="ETAPA"</formula>
    </cfRule>
    <cfRule type="expression" priority="86" dxfId="0">
      <formula>$H39="SUBETAPA"</formula>
    </cfRule>
  </conditionalFormatting>
  <conditionalFormatting sqref="O39:O40">
    <cfRule type="expression" priority="88" dxfId="3">
      <formula>$H39="ETAPA"</formula>
    </cfRule>
    <cfRule type="expression" priority="89" dxfId="0">
      <formula>$H39="SUBETAPA"</formula>
    </cfRule>
  </conditionalFormatting>
  <conditionalFormatting sqref="O40">
    <cfRule type="expression" priority="90" dxfId="3">
      <formula>$H40="ETAPA"</formula>
    </cfRule>
    <cfRule type="expression" priority="91" dxfId="0">
      <formula>$H40="SUBETAPA"</formula>
    </cfRule>
    <cfRule type="expression" priority="92" dxfId="1">
      <formula>$H40="CÉLULA CONSTRUTIVA"</formula>
    </cfRule>
  </conditionalFormatting>
  <conditionalFormatting sqref="O40:O42">
    <cfRule type="expression" priority="93" dxfId="3">
      <formula>$H40="ETAPA"</formula>
    </cfRule>
    <cfRule type="expression" priority="94" dxfId="0">
      <formula>$H40="SUBETAPA"</formula>
    </cfRule>
  </conditionalFormatting>
  <conditionalFormatting sqref="O41:O49">
    <cfRule type="expression" priority="133" dxfId="1">
      <formula>$H41="CÉLULA CONSTRUTIVA"</formula>
    </cfRule>
  </conditionalFormatting>
  <conditionalFormatting sqref="O51:O56">
    <cfRule type="expression" priority="82" dxfId="1">
      <formula>$H51="CÉLULA CONSTRUTIVA"</formula>
    </cfRule>
  </conditionalFormatting>
  <conditionalFormatting sqref="O56">
    <cfRule type="expression" priority="76" dxfId="3">
      <formula>$H56="ETAPA"</formula>
    </cfRule>
    <cfRule type="expression" priority="77" dxfId="0">
      <formula>$H56="SUBETAPA"</formula>
    </cfRule>
    <cfRule type="expression" priority="78" dxfId="3">
      <formula>$H56="ETAPA"</formula>
    </cfRule>
    <cfRule type="expression" priority="79" dxfId="0">
      <formula>$H56="SUBETAPA"</formula>
    </cfRule>
    <cfRule type="expression" priority="80" dxfId="3">
      <formula>$H56="ETAPA"</formula>
    </cfRule>
    <cfRule type="expression" priority="81" dxfId="0">
      <formula>$H56="SUBETAPA"</formula>
    </cfRule>
  </conditionalFormatting>
  <conditionalFormatting sqref="O59">
    <cfRule type="expression" priority="131" dxfId="1">
      <formula>$H59="CÉLULA CONSTRUTIVA"</formula>
    </cfRule>
    <cfRule type="expression" priority="132" dxfId="3">
      <formula>$H59="ETAPA"</formula>
    </cfRule>
  </conditionalFormatting>
  <conditionalFormatting sqref="G62:L63 N62:O63 O61">
    <cfRule type="expression" priority="206" dxfId="1">
      <formula>$H61="CÉLULA CONSTRUTIVA"</formula>
    </cfRule>
  </conditionalFormatting>
  <conditionalFormatting sqref="N62:O63 O61">
    <cfRule type="expression" priority="205" dxfId="0">
      <formula>$H61="SUBETAPA"</formula>
    </cfRule>
  </conditionalFormatting>
  <conditionalFormatting sqref="O61:O63">
    <cfRule type="expression" priority="187" dxfId="3">
      <formula>$H61="ETAPA"</formula>
    </cfRule>
  </conditionalFormatting>
  <conditionalFormatting sqref="O65:O66">
    <cfRule type="expression" priority="129" dxfId="1">
      <formula>$H65="CÉLULA CONSTRUTIVA"</formula>
    </cfRule>
    <cfRule type="expression" priority="130" dxfId="3">
      <formula>$H65="ETAPA"</formula>
    </cfRule>
  </conditionalFormatting>
  <conditionalFormatting sqref="O67">
    <cfRule type="expression" priority="190" dxfId="1">
      <formula>$H67="CÉLULA CONSTRUTIVA"</formula>
    </cfRule>
    <cfRule type="expression" priority="191" dxfId="3">
      <formula>$H67="ETAPA"</formula>
    </cfRule>
  </conditionalFormatting>
  <conditionalFormatting sqref="O68">
    <cfRule type="expression" priority="161" dxfId="3">
      <formula>$H68="ETAPA"</formula>
    </cfRule>
  </conditionalFormatting>
  <conditionalFormatting sqref="O69">
    <cfRule type="expression" priority="64" dxfId="3">
      <formula>$H69="ETAPA"</formula>
    </cfRule>
    <cfRule type="expression" priority="65" dxfId="0">
      <formula>$H69="SUBETAPA"</formula>
    </cfRule>
    <cfRule type="expression" priority="66" dxfId="3">
      <formula>$H69="ETAPA"</formula>
    </cfRule>
    <cfRule type="expression" priority="67" dxfId="0">
      <formula>$H69="SUBETAPA"</formula>
    </cfRule>
    <cfRule type="expression" priority="68" dxfId="3">
      <formula>$H69="ETAPA"</formula>
    </cfRule>
  </conditionalFormatting>
  <conditionalFormatting sqref="O69:O70">
    <cfRule type="expression" priority="70" dxfId="1">
      <formula>$H69="CÉLULA CONSTRUTIVA"</formula>
    </cfRule>
  </conditionalFormatting>
  <conditionalFormatting sqref="O77:O79">
    <cfRule type="expression" priority="57" dxfId="3">
      <formula>$H77="ETAPA"</formula>
    </cfRule>
    <cfRule type="expression" priority="58" dxfId="0">
      <formula>$H77="SUBETAPA"</formula>
    </cfRule>
    <cfRule type="expression" priority="59" dxfId="3">
      <formula>$H77="ETAPA"</formula>
    </cfRule>
    <cfRule type="expression" priority="60" dxfId="0">
      <formula>$H77="SUBETAPA"</formula>
    </cfRule>
    <cfRule type="expression" priority="61" dxfId="3">
      <formula>$H77="ETAPA"</formula>
    </cfRule>
    <cfRule type="expression" priority="62" dxfId="0">
      <formula>$H77="SUBETAPA"</formula>
    </cfRule>
  </conditionalFormatting>
  <conditionalFormatting sqref="O77:O80">
    <cfRule type="expression" priority="63" dxfId="1">
      <formula>$H77="CÉLULA CONSTRUTIVA"</formula>
    </cfRule>
  </conditionalFormatting>
  <conditionalFormatting sqref="O81">
    <cfRule type="expression" priority="50" dxfId="3">
      <formula>$H81="ETAPA"</formula>
    </cfRule>
    <cfRule type="expression" priority="51" dxfId="0">
      <formula>$H81="SUBETAPA"</formula>
    </cfRule>
    <cfRule type="expression" priority="52" dxfId="3">
      <formula>$H81="ETAPA"</formula>
    </cfRule>
    <cfRule type="expression" priority="53" dxfId="0">
      <formula>$H81="SUBETAPA"</formula>
    </cfRule>
    <cfRule type="expression" priority="54" dxfId="3">
      <formula>$H81="ETAPA"</formula>
    </cfRule>
    <cfRule type="expression" priority="55" dxfId="0">
      <formula>$H81="SUBETAPA"</formula>
    </cfRule>
  </conditionalFormatting>
  <conditionalFormatting sqref="O88:O89">
    <cfRule type="expression" priority="126" dxfId="1">
      <formula>$H88="CÉLULA CONSTRUTIVA"</formula>
    </cfRule>
    <cfRule type="expression" priority="127" dxfId="3">
      <formula>$H88="ETAPA"</formula>
    </cfRule>
  </conditionalFormatting>
  <conditionalFormatting sqref="O122">
    <cfRule type="expression" priority="121" dxfId="3">
      <formula>$H122="ETAPA"</formula>
    </cfRule>
  </conditionalFormatting>
  <conditionalFormatting sqref="O122:O126">
    <cfRule type="expression" priority="49" dxfId="1">
      <formula>$H122="CÉLULA CONSTRUTIVA"</formula>
    </cfRule>
  </conditionalFormatting>
  <conditionalFormatting sqref="O123:O126">
    <cfRule type="expression" priority="43" dxfId="3">
      <formula>$H123="ETAPA"</formula>
    </cfRule>
    <cfRule type="expression" priority="44" dxfId="0">
      <formula>$H123="SUBETAPA"</formula>
    </cfRule>
    <cfRule type="expression" priority="45" dxfId="3">
      <formula>$H123="ETAPA"</formula>
    </cfRule>
    <cfRule type="expression" priority="46" dxfId="0">
      <formula>$H123="SUBETAPA"</formula>
    </cfRule>
    <cfRule type="expression" priority="47" dxfId="3">
      <formula>$H123="ETAPA"</formula>
    </cfRule>
    <cfRule type="expression" priority="48" dxfId="0">
      <formula>$H123="SUBETAPA"</formula>
    </cfRule>
  </conditionalFormatting>
  <conditionalFormatting sqref="O130:O132">
    <cfRule type="expression" priority="42" dxfId="1">
      <formula>$H130="CÉLULA CONSTRUTIVA"</formula>
    </cfRule>
  </conditionalFormatting>
  <conditionalFormatting sqref="O131:O132">
    <cfRule type="expression" priority="36" dxfId="3">
      <formula>$H131="ETAPA"</formula>
    </cfRule>
    <cfRule type="expression" priority="37" dxfId="0">
      <formula>$H131="SUBETAPA"</formula>
    </cfRule>
    <cfRule type="expression" priority="38" dxfId="3">
      <formula>$H131="ETAPA"</formula>
    </cfRule>
    <cfRule type="expression" priority="39" dxfId="0">
      <formula>$H131="SUBETAPA"</formula>
    </cfRule>
    <cfRule type="expression" priority="40" dxfId="3">
      <formula>$H131="ETAPA"</formula>
    </cfRule>
    <cfRule type="expression" priority="41" dxfId="0">
      <formula>$H131="SUBETAPA"</formula>
    </cfRule>
  </conditionalFormatting>
  <conditionalFormatting sqref="O134:O135">
    <cfRule type="expression" priority="120" dxfId="3">
      <formula>$H134="ETAPA"</formula>
    </cfRule>
  </conditionalFormatting>
  <conditionalFormatting sqref="O134:O136">
    <cfRule type="expression" priority="35" dxfId="1">
      <formula>$H134="CÉLULA CONSTRUTIVA"</formula>
    </cfRule>
  </conditionalFormatting>
  <conditionalFormatting sqref="O136">
    <cfRule type="expression" priority="29" dxfId="3">
      <formula>$H136="ETAPA"</formula>
    </cfRule>
    <cfRule type="expression" priority="30" dxfId="0">
      <formula>$H136="SUBETAPA"</formula>
    </cfRule>
    <cfRule type="expression" priority="31" dxfId="3">
      <formula>$H136="ETAPA"</formula>
    </cfRule>
    <cfRule type="expression" priority="32" dxfId="0">
      <formula>$H136="SUBETAPA"</formula>
    </cfRule>
    <cfRule type="expression" priority="33" dxfId="3">
      <formula>$H136="ETAPA"</formula>
    </cfRule>
    <cfRule type="expression" priority="34" dxfId="0">
      <formula>$H136="SUBETAPA"</formula>
    </cfRule>
  </conditionalFormatting>
  <conditionalFormatting sqref="O139">
    <cfRule type="expression" priority="15" dxfId="3">
      <formula>$H139="ETAPA"</formula>
    </cfRule>
    <cfRule type="expression" priority="16" dxfId="0">
      <formula>$H139="SUBETAPA"</formula>
    </cfRule>
    <cfRule type="expression" priority="17" dxfId="3">
      <formula>$H139="ETAPA"</formula>
    </cfRule>
    <cfRule type="expression" priority="18" dxfId="0">
      <formula>$H139="SUBETAPA"</formula>
    </cfRule>
    <cfRule type="expression" priority="19" dxfId="3">
      <formula>$H139="ETAPA"</formula>
    </cfRule>
    <cfRule type="expression" priority="20" dxfId="0">
      <formula>$H139="SUBETAPA"</formula>
    </cfRule>
  </conditionalFormatting>
  <conditionalFormatting sqref="O141">
    <cfRule type="expression" priority="22" dxfId="3">
      <formula>$H141="ETAPA"</formula>
    </cfRule>
    <cfRule type="expression" priority="23" dxfId="0">
      <formula>$H141="SUBETAPA"</formula>
    </cfRule>
    <cfRule type="expression" priority="24" dxfId="3">
      <formula>$H141="ETAPA"</formula>
    </cfRule>
    <cfRule type="expression" priority="25" dxfId="0">
      <formula>$H141="SUBETAPA"</formula>
    </cfRule>
    <cfRule type="expression" priority="26" dxfId="3">
      <formula>$H141="ETAPA"</formula>
    </cfRule>
    <cfRule type="expression" priority="27" dxfId="0">
      <formula>$H141="SUBETAPA"</formula>
    </cfRule>
  </conditionalFormatting>
  <conditionalFormatting sqref="O143">
    <cfRule type="expression" priority="8" dxfId="3">
      <formula>$H143="ETAPA"</formula>
    </cfRule>
    <cfRule type="expression" priority="9" dxfId="0">
      <formula>$H143="SUBETAPA"</formula>
    </cfRule>
    <cfRule type="expression" priority="10" dxfId="3">
      <formula>$H143="ETAPA"</formula>
    </cfRule>
    <cfRule type="expression" priority="11" dxfId="0">
      <formula>$H143="SUBETAPA"</formula>
    </cfRule>
    <cfRule type="expression" priority="12" dxfId="3">
      <formula>$H143="ETAPA"</formula>
    </cfRule>
    <cfRule type="expression" priority="13" dxfId="0">
      <formula>$H143="SUBETAPA"</formula>
    </cfRule>
  </conditionalFormatting>
  <conditionalFormatting sqref="O143:O144">
    <cfRule type="expression" priority="14" dxfId="1">
      <formula>$H143="CÉLULA CONSTRUTIVA"</formula>
    </cfRule>
  </conditionalFormatting>
  <conditionalFormatting sqref="O144">
    <cfRule type="expression" priority="119" dxfId="3">
      <formula>$H144="ETAPA"</formula>
    </cfRule>
  </conditionalFormatting>
  <conditionalFormatting sqref="O146">
    <cfRule type="expression" priority="1" dxfId="3">
      <formula>$H146="ETAPA"</formula>
    </cfRule>
    <cfRule type="expression" priority="2" dxfId="0">
      <formula>$H146="SUBETAPA"</formula>
    </cfRule>
    <cfRule type="expression" priority="3" dxfId="3">
      <formula>$H146="ETAPA"</formula>
    </cfRule>
    <cfRule type="expression" priority="4" dxfId="0">
      <formula>$H146="SUBETAPA"</formula>
    </cfRule>
    <cfRule type="expression" priority="5" dxfId="3">
      <formula>$H146="ETAPA"</formula>
    </cfRule>
    <cfRule type="expression" priority="6" dxfId="0">
      <formula>$H146="SUBETAPA"</formula>
    </cfRule>
  </conditionalFormatting>
  <conditionalFormatting sqref="O146:O147">
    <cfRule type="expression" priority="7" dxfId="1">
      <formula>$H146="CÉLULA CONSTRUTIVA"</formula>
    </cfRule>
  </conditionalFormatting>
  <conditionalFormatting sqref="O147">
    <cfRule type="expression" priority="118" dxfId="3">
      <formula>$H147="ETAPA"</formula>
    </cfRule>
  </conditionalFormatting>
  <conditionalFormatting sqref="O8:P10 O43:O44 O59 O65:O66 O70 O80 O84 O88:O89 O127 O134:O135 O144 O147">
    <cfRule type="expression" priority="235" dxfId="0">
      <formula>$H8="SUBETAPA"</formula>
    </cfRule>
  </conditionalFormatting>
  <conditionalFormatting sqref="G44:M44 P43:P44">
    <cfRule type="expression" priority="214" dxfId="3">
      <formula>$H43="ETAPA"</formula>
    </cfRule>
  </conditionalFormatting>
  <conditionalFormatting sqref="P43:P44">
    <cfRule type="expression" priority="213" dxfId="1">
      <formula>$H43="CÉLULA CONSTRUTIVA"</formula>
    </cfRule>
  </conditionalFormatting>
  <conditionalFormatting sqref="G70:N70 P70:P76">
    <cfRule type="expression" priority="224" dxfId="0">
      <formula>$H70="SUBETAPA"</formula>
    </cfRule>
  </conditionalFormatting>
  <conditionalFormatting sqref="P122">
    <cfRule type="expression" priority="203" dxfId="0">
      <formula>$H122="SUBETAPA"</formula>
    </cfRule>
  </conditionalFormatting>
  <conditionalFormatting sqref="G128:J132 P128:P132">
    <cfRule type="expression" priority="194" dxfId="3">
      <formula>$H128="ETAPA"</formula>
    </cfRule>
  </conditionalFormatting>
  <conditionalFormatting sqref="P130">
    <cfRule type="expression" priority="193" dxfId="1">
      <formula>$H130="CÉLULA CONSTRUTIVA"</formula>
    </cfRule>
  </conditionalFormatting>
  <conditionalFormatting sqref="G136:N136 G137:O138 G140:O140 G142:P142 G143:N143 P134:P141">
    <cfRule type="expression" priority="144" dxfId="1">
      <formula>$H134="CÉLULA CONSTRUTIVA"</formula>
    </cfRule>
  </conditionalFormatting>
  <conditionalFormatting sqref="G146:N147 P143:P149">
    <cfRule type="expression" priority="137" dxfId="0">
      <formula>$H143="SUBETAPA"</formula>
    </cfRule>
  </conditionalFormatting>
  <dataValidations count="4">
    <dataValidation sqref="H8:H149" showDropDown="0" showInputMessage="1" showErrorMessage="1" allowBlank="1" type="list">
      <formula1>"UNIDADE CONSTRUTIVA,CÉLULA CONSTRUTIVA,ETAPA,SUBETAPA,SERVIÇO"</formula1>
    </dataValidation>
    <dataValidation sqref="P44 P59" showDropDown="0" showInputMessage="1" showErrorMessage="1" allowBlank="1" type="list">
      <formula1>$Q$2:$Q$5</formula1>
    </dataValidation>
    <dataValidation sqref="P10 P18" showDropDown="0" showInputMessage="1" showErrorMessage="1" allowBlank="1" type="list">
      <formula1>#REF!</formula1>
    </dataValidation>
    <dataValidation sqref="P11:P17 P19:P43 P45:P58 P60:P64 P66:P132 P136:P143 P145:P146 P148:P149" showDropDown="0" showInputMessage="1" showErrorMessage="1" allowBlank="1" type="list">
      <formula1>"Finalizado, Em Andamento, Pendente, N/A,Lançado ERP"</formula1>
    </dataValidation>
  </dataValidations>
  <hyperlinks>
    <hyperlink ref="O71" location="'EPC''s'!A1" display="EPC'S"/>
    <hyperlink ref="O75" location="'EPC''s'!A1" display="EPC'S"/>
    <hyperlink ref="O76" location="'EPC''s'!A1" display="EPC'S"/>
  </hyperlink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1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2026-03-20T23:54:34Z</dcterms:created>
  <dcterms:modified xmlns:dcterms="http://purl.org/dc/terms/" xmlns:xsi="http://www.w3.org/2001/XMLSchema-instance" xsi:type="dcterms:W3CDTF">2026-03-21T00:18:33Z</dcterms:modified>
  <cp:lastModifiedBy>Leonardo Cartesian</cp:lastModifiedBy>
</cp:coreProperties>
</file>