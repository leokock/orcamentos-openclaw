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PROJETOS" sheetId="1" state="visible" r:id="rId1"/>
  </sheets>
  <externalReferences>
    <externalReference xmlns:r="http://schemas.openxmlformats.org/officeDocument/2006/relationships" r:id="rId2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"/>
    <numFmt numFmtId="165" formatCode="dd/mm/yy"/>
  </numFmts>
  <fonts count="17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sz val="8"/>
    </font>
    <font>
      <name val="Arial"/>
      <family val="2"/>
      <sz val="10"/>
      <scheme val="minor"/>
    </font>
    <font>
      <name val="Arial"/>
      <family val="2"/>
      <b val="1"/>
      <i val="1"/>
      <sz val="10"/>
      <scheme val="minor"/>
    </font>
    <font>
      <name val="Trebuchet MS"/>
      <family val="2"/>
      <sz val="8"/>
    </font>
    <font>
      <name val="Arial"/>
      <family val="2"/>
      <b val="1"/>
      <color theme="0"/>
      <sz val="10"/>
      <scheme val="minor"/>
    </font>
    <font>
      <name val="Arial"/>
      <family val="2"/>
      <color theme="0"/>
      <sz val="10"/>
      <scheme val="minor"/>
    </font>
    <font>
      <name val="Arial"/>
      <family val="2"/>
      <b val="1"/>
      <color theme="1"/>
      <sz val="10"/>
      <scheme val="minor"/>
    </font>
    <font>
      <name val="Poppins"/>
      <color rgb="FF121212"/>
      <sz val="8"/>
    </font>
    <font>
      <name val="Poppins"/>
      <color rgb="FF121212"/>
      <sz val="10"/>
    </font>
    <font>
      <name val="Poppins"/>
      <b val="1"/>
      <color rgb="FF121212"/>
      <sz val="10"/>
    </font>
    <font>
      <name val="Arial"/>
      <family val="2"/>
      <color rgb="FF000000"/>
      <sz val="10"/>
      <scheme val="minor"/>
    </font>
    <font>
      <name val="Arial"/>
      <family val="2"/>
      <sz val="9"/>
      <scheme val="minor"/>
    </font>
    <font>
      <name val="Arial"/>
      <family val="2"/>
      <b val="1"/>
      <i val="1"/>
      <color theme="1"/>
      <sz val="12"/>
      <scheme val="minor"/>
    </font>
    <font>
      <name val="Arial"/>
      <family val="2"/>
      <b val="1"/>
      <color theme="0"/>
      <sz val="14"/>
      <scheme val="minor"/>
    </font>
    <font>
      <name val="Arial"/>
      <family val="2"/>
      <b val="1"/>
      <color theme="0"/>
      <sz val="20"/>
      <scheme val="minor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rgb="FF1851D6"/>
      </top>
      <bottom style="medium">
        <color rgb="FF1851D6"/>
      </bottom>
      <diagonal/>
    </border>
    <border>
      <left/>
      <right/>
      <top style="medium">
        <color rgb="FF1851D6"/>
      </top>
      <bottom style="medium">
        <color rgb="FF1851D6"/>
      </bottom>
      <diagonal/>
    </border>
    <border>
      <left style="thin">
        <color auto="1"/>
      </left>
      <right style="thin">
        <color auto="1"/>
      </right>
      <top style="medium">
        <color rgb="FF1851D6"/>
      </top>
      <bottom style="medium">
        <color rgb="FF1851D6"/>
      </bottom>
      <diagonal/>
    </border>
    <border>
      <left style="thin">
        <color auto="1"/>
      </left>
      <right/>
      <top style="medium">
        <color rgb="FF1851D6"/>
      </top>
      <bottom style="medium">
        <color rgb="FF1851D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rgb="FF29292F"/>
      </bottom>
      <diagonal/>
    </border>
    <border>
      <left/>
      <right/>
      <top style="medium">
        <color indexed="64"/>
      </top>
      <bottom style="thin">
        <color rgb="FF29292F"/>
      </bottom>
      <diagonal/>
    </border>
    <border>
      <left style="medium">
        <color indexed="64"/>
      </left>
      <right/>
      <top style="medium">
        <color indexed="64"/>
      </top>
      <bottom style="thin">
        <color rgb="FF29292F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9">
    <xf numFmtId="0" fontId="0" fillId="0" borderId="0" pivotButton="0" quotePrefix="0" xfId="0"/>
    <xf numFmtId="0" fontId="0" fillId="0" borderId="1" pivotButton="0" quotePrefix="0" xfId="0"/>
    <xf numFmtId="17" fontId="3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2" pivotButton="0" quotePrefix="0" xfId="0"/>
    <xf numFmtId="17" fontId="3" fillId="0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3" pivotButton="0" quotePrefix="0" xfId="0"/>
    <xf numFmtId="17" fontId="3" fillId="0" borderId="3" applyAlignment="1" pivotButton="0" quotePrefix="0" xfId="1">
      <alignment horizontal="center" vertical="center"/>
    </xf>
    <xf numFmtId="17" fontId="0" fillId="0" borderId="3" applyAlignment="1" pivotButton="0" quotePrefix="0" xfId="0">
      <alignment horizontal="left"/>
    </xf>
    <xf numFmtId="17" fontId="3" fillId="2" borderId="4" applyAlignment="1" pivotButton="0" quotePrefix="0" xfId="1">
      <alignment vertical="center"/>
    </xf>
    <xf numFmtId="17" fontId="3" fillId="2" borderId="5" applyAlignment="1" pivotButton="0" quotePrefix="0" xfId="1">
      <alignment horizontal="center" vertical="center"/>
    </xf>
    <xf numFmtId="0" fontId="0" fillId="2" borderId="6" pivotButton="0" quotePrefix="0" xfId="0"/>
    <xf numFmtId="17" fontId="3" fillId="2" borderId="5" applyAlignment="1" pivotButton="0" quotePrefix="0" xfId="1">
      <alignment horizontal="left" vertical="center"/>
    </xf>
    <xf numFmtId="17" fontId="4" fillId="2" borderId="7" applyAlignment="1" pivotButton="0" quotePrefix="0" xfId="1">
      <alignment horizontal="left" vertical="center" indent="1"/>
    </xf>
    <xf numFmtId="0" fontId="3" fillId="0" borderId="0" pivotButton="0" quotePrefix="0" xfId="1"/>
    <xf numFmtId="0" fontId="2" fillId="0" borderId="0" applyAlignment="1" pivotButton="0" quotePrefix="0" xfId="2">
      <alignment vertical="center"/>
    </xf>
    <xf numFmtId="0" fontId="0" fillId="0" borderId="3" applyAlignment="1" pivotButton="0" quotePrefix="0" xfId="0">
      <alignment horizontal="left"/>
    </xf>
    <xf numFmtId="0" fontId="6" fillId="3" borderId="8" applyAlignment="1" pivotButton="0" quotePrefix="0" xfId="2">
      <alignment horizontal="center" vertical="center" wrapText="1"/>
    </xf>
    <xf numFmtId="0" fontId="7" fillId="3" borderId="8" applyAlignment="1" pivotButton="0" quotePrefix="0" xfId="2">
      <alignment horizontal="center" vertical="center"/>
    </xf>
    <xf numFmtId="0" fontId="8" fillId="4" borderId="9" applyAlignment="1" applyProtection="1" pivotButton="0" quotePrefix="0" xfId="0">
      <alignment horizontal="center" vertical="center"/>
      <protection locked="1" hidden="1"/>
    </xf>
    <xf numFmtId="0" fontId="6" fillId="5" borderId="10" applyAlignment="1" applyProtection="1" pivotButton="0" quotePrefix="0" xfId="0">
      <alignment horizontal="center" vertical="center"/>
      <protection locked="1" hidden="1"/>
    </xf>
    <xf numFmtId="0" fontId="9" fillId="6" borderId="11" applyAlignment="1" pivotButton="0" quotePrefix="0" xfId="3">
      <alignment horizontal="center" vertical="center" wrapText="1"/>
    </xf>
    <xf numFmtId="0" fontId="9" fillId="6" borderId="12" applyAlignment="1" pivotButton="0" quotePrefix="0" xfId="3">
      <alignment horizontal="center" vertical="center" wrapText="1"/>
    </xf>
    <xf numFmtId="164" fontId="10" fillId="6" borderId="12" applyAlignment="1" pivotButton="0" quotePrefix="0" xfId="3">
      <alignment horizontal="left" vertical="center" wrapText="1"/>
    </xf>
    <xf numFmtId="0" fontId="10" fillId="6" borderId="12" applyAlignment="1" pivotButton="0" quotePrefix="0" xfId="3">
      <alignment horizontal="center" vertical="center" wrapText="1"/>
    </xf>
    <xf numFmtId="0" fontId="10" fillId="6" borderId="13" applyAlignment="1" pivotButton="0" quotePrefix="0" xfId="4">
      <alignment horizontal="left" vertical="center" wrapText="1"/>
    </xf>
    <xf numFmtId="0" fontId="11" fillId="7" borderId="14" applyAlignment="1" pivotButton="0" quotePrefix="0" xfId="3">
      <alignment vertical="center" wrapText="1"/>
    </xf>
    <xf numFmtId="0" fontId="6" fillId="8" borderId="10" applyAlignment="1" applyProtection="1" pivotButton="0" quotePrefix="0" xfId="0">
      <alignment horizontal="center" vertical="center"/>
      <protection locked="1" hidden="1"/>
    </xf>
    <xf numFmtId="0" fontId="9" fillId="6" borderId="15" applyAlignment="1" pivotButton="0" quotePrefix="0" xfId="3">
      <alignment horizontal="center" vertical="center" wrapText="1"/>
    </xf>
    <xf numFmtId="0" fontId="9" fillId="6" borderId="16" applyAlignment="1" pivotButton="0" quotePrefix="0" xfId="3">
      <alignment horizontal="center" vertical="center" wrapText="1"/>
    </xf>
    <xf numFmtId="164" fontId="10" fillId="6" borderId="16" applyAlignment="1" pivotButton="0" quotePrefix="0" xfId="3">
      <alignment horizontal="left" vertical="center" wrapText="1"/>
    </xf>
    <xf numFmtId="0" fontId="10" fillId="6" borderId="16" applyAlignment="1" pivotButton="0" quotePrefix="0" xfId="3">
      <alignment horizontal="center" vertical="center" wrapText="1"/>
    </xf>
    <xf numFmtId="0" fontId="10" fillId="6" borderId="17" applyAlignment="1" pivotButton="0" quotePrefix="0" xfId="4">
      <alignment horizontal="left" vertical="center" wrapText="1"/>
    </xf>
    <xf numFmtId="0" fontId="11" fillId="7" borderId="18" applyAlignment="1" pivotButton="0" quotePrefix="0" xfId="3">
      <alignment vertical="center" wrapText="1"/>
    </xf>
    <xf numFmtId="0" fontId="12" fillId="0" borderId="10" applyAlignment="1" pivotButton="0" quotePrefix="0" xfId="0">
      <alignment horizontal="center" vertical="center"/>
    </xf>
    <xf numFmtId="0" fontId="9" fillId="6" borderId="19" applyAlignment="1" pivotButton="0" quotePrefix="0" xfId="3">
      <alignment horizontal="center" vertical="center" wrapText="1"/>
    </xf>
    <xf numFmtId="0" fontId="9" fillId="6" borderId="20" applyAlignment="1" pivotButton="0" quotePrefix="0" xfId="3">
      <alignment horizontal="center" vertical="center" wrapText="1"/>
    </xf>
    <xf numFmtId="164" fontId="10" fillId="6" borderId="20" applyAlignment="1" pivotButton="0" quotePrefix="0" xfId="3">
      <alignment horizontal="left" vertical="center" wrapText="1"/>
    </xf>
    <xf numFmtId="0" fontId="10" fillId="6" borderId="20" applyAlignment="1" pivotButton="0" quotePrefix="0" xfId="3">
      <alignment horizontal="center" vertical="center" wrapText="1"/>
    </xf>
    <xf numFmtId="165" fontId="10" fillId="6" borderId="21" applyAlignment="1" pivotButton="0" quotePrefix="0" xfId="4">
      <alignment horizontal="left" vertical="center" wrapText="1"/>
    </xf>
    <xf numFmtId="0" fontId="11" fillId="7" borderId="22" applyAlignment="1" pivotButton="0" quotePrefix="0" xfId="3">
      <alignment vertical="center" wrapText="1"/>
    </xf>
    <xf numFmtId="0" fontId="13" fillId="0" borderId="0" pivotButton="0" quotePrefix="0" xfId="1"/>
    <xf numFmtId="0" fontId="14" fillId="9" borderId="23" applyAlignment="1" applyProtection="1" pivotButton="0" quotePrefix="0" xfId="0">
      <alignment horizontal="center" vertical="center"/>
      <protection locked="1" hidden="1"/>
    </xf>
    <xf numFmtId="17" fontId="15" fillId="3" borderId="24" applyAlignment="1" pivotButton="0" quotePrefix="0" xfId="1">
      <alignment vertical="center"/>
    </xf>
    <xf numFmtId="17" fontId="15" fillId="3" borderId="25" applyAlignment="1" pivotButton="0" quotePrefix="0" xfId="1">
      <alignment vertical="center"/>
    </xf>
    <xf numFmtId="17" fontId="16" fillId="3" borderId="25" applyAlignment="1" pivotButton="0" quotePrefix="0" xfId="1">
      <alignment horizontal="left" vertical="center" indent="2"/>
    </xf>
    <xf numFmtId="17" fontId="15" fillId="3" borderId="26" applyAlignment="1" pivotButton="0" quotePrefix="0" xfId="1">
      <alignment horizontal="left" vertical="center" indent="2"/>
    </xf>
    <xf numFmtId="0" fontId="0" fillId="0" borderId="8" pivotButton="0" quotePrefix="0" xfId="0"/>
  </cellXfs>
  <cellStyles count="5">
    <cellStyle name="Normal" xfId="0" builtinId="0"/>
    <cellStyle name="Normal 10" xfId="1"/>
    <cellStyle name="Normal 8" xfId="2"/>
    <cellStyle name="Normal 37" xfId="3"/>
    <cellStyle name="Normal 36" xfId="4"/>
  </cellStyles>
  <dxfs count="4">
    <dxf>
      <font>
        <b val="1"/>
      </font>
    </dxf>
    <dxf>
      <font>
        <b val="1"/>
        <color theme="0"/>
      </font>
      <fill>
        <patternFill>
          <fgColor theme="0"/>
          <bgColor rgb="FFFF0000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b val="1"/>
      </font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1638300</colOff>
      <row>0</row>
      <rowOff>9525</rowOff>
    </from>
    <ext cx="1000125" cy="315226"/>
    <pic>
      <nvPicPr>
        <cNvPr id="2" name="Imagem 1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39283" b="3965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267200" y="9525"/>
          <a:ext cx="1000125" cy="3152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_Le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EAP"/>
      <sheetName val="Ger_Tec e Adm"/>
      <sheetName val="EPCs"/>
      <sheetName val="CANTEIRO"/>
      <sheetName val="Cont.Tecnol."/>
      <sheetName val="EAP Análise"/>
      <sheetName val="EAP Análise Revisão"/>
      <sheetName val="Ger_Executivo_Cartesian"/>
      <sheetName val="ARQUITETURA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DRYWALL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>
        <row r="2">
          <cell r="C2" t="str">
            <v>Elizabeth II Royal Home</v>
          </cell>
        </row>
        <row r="3">
          <cell r="C3" t="str">
            <v>Gessele</v>
          </cell>
        </row>
        <row r="4">
          <cell r="C4" t="str">
            <v xml:space="preserve">R00 </v>
          </cell>
        </row>
        <row r="19">
          <cell r="C19" t="str">
            <v>ÁREA – 1º PAVTO. (TÉRREO)</v>
          </cell>
        </row>
        <row r="20">
          <cell r="C20" t="str">
            <v>ÁREA – MEZANINO DO 1º PAVTO.</v>
          </cell>
        </row>
        <row r="21">
          <cell r="C21" t="str">
            <v>ÁREA – 2º PAVIMENTO</v>
          </cell>
        </row>
        <row r="22">
          <cell r="C22" t="str">
            <v>ÁREA – MEZANINO DO 2º PAVTO.</v>
          </cell>
        </row>
        <row r="23">
          <cell r="C23" t="str">
            <v>ÁREA – 3º PAVIMENTO</v>
          </cell>
        </row>
        <row r="24">
          <cell r="C24" t="str">
            <v>ÁREA – MEZANINO DO 3º PAVTO.</v>
          </cell>
        </row>
        <row r="25">
          <cell r="C25" t="str">
            <v>ÁREA – 4º PAVIMENTO GARAGEM/LAZER</v>
          </cell>
        </row>
        <row r="26">
          <cell r="C26" t="str">
            <v>ÁREA – 5º PAVIMENTO LAZER</v>
          </cell>
        </row>
        <row r="27">
          <cell r="C27" t="str">
            <v>ÁREA – 6º PAVIMENTO TIPO - DIFERENCIADO</v>
          </cell>
        </row>
        <row r="28">
          <cell r="C28" t="str">
            <v>ÁREA – 7º AO 14° PAVIMENTO TIPO - X8</v>
          </cell>
        </row>
        <row r="29">
          <cell r="C29" t="str">
            <v>ÁREA – 15º AO 35° PAVIMENTO TIPO - X21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I72"/>
  <sheetViews>
    <sheetView showGridLines="0" tabSelected="1" workbookViewId="0">
      <pane ySplit="6" topLeftCell="A7" activePane="bottomLeft" state="frozen"/>
      <selection activeCell="L5" sqref="L5:N48"/>
      <selection pane="bottomLeft" activeCell="B24" sqref="B24"/>
    </sheetView>
  </sheetViews>
  <sheetFormatPr baseColWidth="8" defaultRowHeight="12.75"/>
  <cols>
    <col width="10.28515625" customWidth="1" min="1" max="1"/>
    <col width="33.42578125" customWidth="1" min="2" max="2"/>
    <col width="34" bestFit="1" customWidth="1" min="3" max="3"/>
    <col width="25.5703125" customWidth="1" min="4" max="6"/>
    <col width="38.140625" customWidth="1" min="7" max="7"/>
    <col width="10.28515625" customWidth="1" min="8" max="8"/>
    <col width="17" customWidth="1" min="10" max="10"/>
  </cols>
  <sheetData>
    <row r="1" ht="27" customFormat="1" customHeight="1" s="42" thickBot="1">
      <c r="A1" s="47" t="n"/>
      <c r="B1" s="46" t="inlineStr">
        <is>
          <t>GESTÃO DOS PROJETOS</t>
        </is>
      </c>
      <c r="C1" s="45" t="n"/>
      <c r="D1" s="45" t="n"/>
      <c r="E1" s="45" t="n"/>
      <c r="F1" s="45" t="n"/>
      <c r="G1" s="45" t="n"/>
      <c r="H1" s="44" t="n"/>
      <c r="J1" s="43" t="inlineStr">
        <is>
          <t>LEGENDA</t>
        </is>
      </c>
    </row>
    <row r="2" ht="19.5" customHeight="1">
      <c r="A2" s="41" t="inlineStr">
        <is>
          <t>Obra</t>
        </is>
      </c>
      <c r="B2" s="40" t="inlineStr">
        <is>
          <t>Electra Towers (Rubens Alves)</t>
        </is>
      </c>
      <c r="C2" s="39" t="n"/>
      <c r="D2" s="38" t="n"/>
      <c r="E2" s="38" t="n"/>
      <c r="F2" s="37" t="n"/>
      <c r="G2" s="37" t="n"/>
      <c r="H2" s="36" t="n"/>
      <c r="J2" s="35" t="inlineStr">
        <is>
          <t>NÃO SE APLICA</t>
        </is>
      </c>
    </row>
    <row r="3" ht="39" customHeight="1">
      <c r="A3" s="34" t="inlineStr">
        <is>
          <t>Empresa</t>
        </is>
      </c>
      <c r="B3" s="33" t="inlineStr">
        <is>
          <t>Thozen Empreendimentos</t>
        </is>
      </c>
      <c r="C3" s="32" t="n"/>
      <c r="D3" s="31" t="n"/>
      <c r="E3" s="31" t="n"/>
      <c r="F3" s="30" t="n"/>
      <c r="G3" s="30" t="n"/>
      <c r="H3" s="29" t="n"/>
      <c r="J3" s="28" t="inlineStr">
        <is>
          <t>PENDENTE</t>
        </is>
      </c>
    </row>
    <row r="4" ht="20.25" customHeight="1" thickBot="1">
      <c r="A4" s="27" t="inlineStr">
        <is>
          <t>Revisão</t>
        </is>
      </c>
      <c r="B4" s="26" t="inlineStr">
        <is>
          <t>R01</t>
        </is>
      </c>
      <c r="C4" s="25" t="n"/>
      <c r="D4" s="24" t="n"/>
      <c r="E4" s="24" t="n"/>
      <c r="F4" s="23" t="n"/>
      <c r="G4" s="23" t="n"/>
      <c r="H4" s="22" t="n"/>
      <c r="J4" s="21" t="inlineStr">
        <is>
          <t>RECEBIDO</t>
        </is>
      </c>
    </row>
    <row r="5" ht="13.5" customHeight="1" thickBot="1">
      <c r="B5" s="19" t="inlineStr">
        <is>
          <t>PAVIMENTO</t>
        </is>
      </c>
      <c r="C5" s="19" t="inlineStr">
        <is>
          <t>DISCIPLINA</t>
        </is>
      </c>
      <c r="D5" s="18" t="inlineStr">
        <is>
          <t>PROJETOS</t>
        </is>
      </c>
      <c r="E5" s="18" t="inlineStr">
        <is>
          <t>CAMINHO</t>
        </is>
      </c>
      <c r="F5" s="18" t="inlineStr">
        <is>
          <t>STATUS</t>
        </is>
      </c>
      <c r="G5" s="18" t="inlineStr">
        <is>
          <t>OBSERVAÇÕES</t>
        </is>
      </c>
      <c r="J5" s="20" t="inlineStr">
        <is>
          <t>REVISADO</t>
        </is>
      </c>
    </row>
    <row r="6" ht="13.5" customHeight="1" thickBot="1">
      <c r="B6" s="48" t="n"/>
      <c r="C6" s="48" t="n"/>
      <c r="D6" s="48" t="n"/>
      <c r="E6" s="48" t="n"/>
      <c r="F6" s="48" t="n"/>
      <c r="G6" s="48" t="n"/>
    </row>
    <row r="7" ht="13.5" customFormat="1" customHeight="1" s="15" thickBot="1">
      <c r="B7" s="14" t="inlineStr">
        <is>
          <t>ESTRUTURA</t>
        </is>
      </c>
      <c r="C7" s="13" t="n"/>
      <c r="D7" s="12" t="n"/>
      <c r="E7" s="12" t="n"/>
      <c r="F7" s="11" t="n"/>
      <c r="G7" s="10" t="n"/>
      <c r="AH7" s="16" t="n"/>
      <c r="AI7" s="16" t="n"/>
    </row>
    <row r="8">
      <c r="B8" s="4" t="inlineStr">
        <is>
          <t>TERRAPLENAGEM</t>
        </is>
      </c>
      <c r="C8" s="17" t="inlineStr">
        <is>
          <t>INFRAESTRUTURA</t>
        </is>
      </c>
      <c r="D8" s="7" t="n"/>
      <c r="E8" s="7" t="n"/>
      <c r="F8" s="8" t="inlineStr">
        <is>
          <t>NÃO SE APLICA</t>
        </is>
      </c>
      <c r="G8" s="7" t="n"/>
    </row>
    <row r="9">
      <c r="B9" s="4" t="inlineStr">
        <is>
          <t>MOVIMENTAÇÃO DE TERRA</t>
        </is>
      </c>
      <c r="C9" s="6" t="inlineStr">
        <is>
          <t>INFRAESTRUTURA</t>
        </is>
      </c>
      <c r="D9" s="4" t="n"/>
      <c r="E9" s="4" t="n"/>
      <c r="F9" s="5" t="inlineStr">
        <is>
          <t>PENDENTE</t>
        </is>
      </c>
      <c r="G9" s="4" t="n"/>
    </row>
    <row r="10">
      <c r="B10" s="4" t="inlineStr">
        <is>
          <t>FUNDAÇÃO PROFUNDA</t>
        </is>
      </c>
      <c r="C10" s="6" t="inlineStr">
        <is>
          <t>INFRAESTRUTURA</t>
        </is>
      </c>
      <c r="D10" s="4" t="inlineStr">
        <is>
          <t>1203 - PREFORMAS - R20.DWG</t>
        </is>
      </c>
      <c r="E10" s="4" t="inlineStr">
        <is>
          <t>01 ESTRUTURA/DWG</t>
        </is>
      </c>
      <c r="F10" s="5" t="inlineStr">
        <is>
          <t>RECEBIDO</t>
        </is>
      </c>
      <c r="G10" s="4" t="inlineStr">
        <is>
          <t>DWG Pré-formas Rev.20</t>
        </is>
      </c>
    </row>
    <row r="11">
      <c r="B11" s="4" t="inlineStr">
        <is>
          <t>FUNDAÇÃO RASA</t>
        </is>
      </c>
      <c r="C11" s="6" t="inlineStr">
        <is>
          <t>INFRAESTRUTURA</t>
        </is>
      </c>
      <c r="D11" s="4" t="inlineStr">
        <is>
          <t>1203 - THOZEN - RUBENS ALVES - BLOCOS+RAMPAS DE ACESSO - R26.ifc</t>
        </is>
      </c>
      <c r="E11" s="4" t="inlineStr">
        <is>
          <t>01 ESTRUTURA/IFC</t>
        </is>
      </c>
      <c r="F11" s="5" t="inlineStr">
        <is>
          <t>RECEBIDO</t>
        </is>
      </c>
      <c r="G11" s="4" t="inlineStr">
        <is>
          <t>IFC Blocos + Rampas de Acesso Rev.26</t>
        </is>
      </c>
    </row>
    <row r="12">
      <c r="B12" s="4" t="inlineStr">
        <is>
          <t>CONTENÇÃO</t>
        </is>
      </c>
      <c r="C12" s="6" t="inlineStr">
        <is>
          <t>INFRAESTRUTURA</t>
        </is>
      </c>
      <c r="D12" s="4" t="n"/>
      <c r="E12" s="4" t="n"/>
      <c r="F12" s="5" t="inlineStr">
        <is>
          <t>NÃO SE APLICA</t>
        </is>
      </c>
      <c r="G12" s="4" t="n"/>
    </row>
    <row r="13" customFormat="1" s="15">
      <c r="B13" s="4">
        <f>[1]CAPA!C19</f>
        <v/>
      </c>
      <c r="C13" s="6" t="inlineStr">
        <is>
          <t>SUPRAESTRUTURA</t>
        </is>
      </c>
      <c r="D13" s="4" t="n"/>
      <c r="E13" s="4" t="n"/>
      <c r="F13" s="5" t="inlineStr">
        <is>
          <t>RECEBIDO</t>
        </is>
      </c>
      <c r="G13" s="4" t="inlineStr">
        <is>
          <t>Coberto pelo IFC estrutural completo</t>
        </is>
      </c>
      <c r="AH13" s="16" t="n"/>
      <c r="AI13" s="16" t="n"/>
    </row>
    <row r="14">
      <c r="B14" s="4">
        <f>[1]CAPA!C20</f>
        <v/>
      </c>
      <c r="C14" s="6" t="inlineStr">
        <is>
          <t>SUPRAESTRUTURA</t>
        </is>
      </c>
      <c r="D14" s="4" t="n"/>
      <c r="E14" s="4" t="n"/>
      <c r="F14" s="5" t="inlineStr">
        <is>
          <t>RECEBIDO</t>
        </is>
      </c>
      <c r="G14" s="4" t="inlineStr">
        <is>
          <t>Coberto pelo IFC estrutural completo</t>
        </is>
      </c>
    </row>
    <row r="15">
      <c r="B15" s="4">
        <f>[1]CAPA!C21</f>
        <v/>
      </c>
      <c r="C15" s="6" t="inlineStr">
        <is>
          <t>SUPRAESTRUTURA</t>
        </is>
      </c>
      <c r="D15" s="4" t="n"/>
      <c r="E15" s="4" t="n"/>
      <c r="F15" s="5" t="inlineStr">
        <is>
          <t>RECEBIDO</t>
        </is>
      </c>
      <c r="G15" s="4" t="inlineStr">
        <is>
          <t>Coberto pelo IFC estrutural completo</t>
        </is>
      </c>
    </row>
    <row r="16">
      <c r="B16" s="4">
        <f>[1]CAPA!C22</f>
        <v/>
      </c>
      <c r="C16" s="6" t="inlineStr">
        <is>
          <t>SUPRAESTRUTURA</t>
        </is>
      </c>
      <c r="D16" s="4" t="n"/>
      <c r="E16" s="4" t="n"/>
      <c r="F16" s="5" t="inlineStr">
        <is>
          <t>RECEBIDO</t>
        </is>
      </c>
      <c r="G16" s="4" t="inlineStr">
        <is>
          <t>Coberto pelo IFC estrutural completo</t>
        </is>
      </c>
    </row>
    <row r="17">
      <c r="B17" s="4">
        <f>[1]CAPA!C23</f>
        <v/>
      </c>
      <c r="C17" s="6" t="inlineStr">
        <is>
          <t>SUPRAESTRUTURA</t>
        </is>
      </c>
      <c r="D17" s="4" t="n"/>
      <c r="E17" s="4" t="n"/>
      <c r="F17" s="5" t="inlineStr">
        <is>
          <t>RECEBIDO</t>
        </is>
      </c>
      <c r="G17" s="4" t="inlineStr">
        <is>
          <t>Coberto pelo IFC estrutural completo</t>
        </is>
      </c>
    </row>
    <row r="18">
      <c r="B18" s="4">
        <f>[1]CAPA!C24</f>
        <v/>
      </c>
      <c r="C18" s="6" t="inlineStr">
        <is>
          <t>SUPRAESTRUTURA</t>
        </is>
      </c>
      <c r="D18" s="4" t="n"/>
      <c r="E18" s="4" t="n"/>
      <c r="F18" s="5" t="inlineStr">
        <is>
          <t>RECEBIDO</t>
        </is>
      </c>
      <c r="G18" s="4" t="inlineStr">
        <is>
          <t>Coberto pelo IFC estrutural completo</t>
        </is>
      </c>
    </row>
    <row r="19">
      <c r="B19" s="4">
        <f>[1]CAPA!C25</f>
        <v/>
      </c>
      <c r="C19" s="6" t="inlineStr">
        <is>
          <t>SUPRAESTRUTURA</t>
        </is>
      </c>
      <c r="D19" s="4" t="n"/>
      <c r="E19" s="4" t="n"/>
      <c r="F19" s="5" t="inlineStr">
        <is>
          <t>RECEBIDO</t>
        </is>
      </c>
      <c r="G19" s="4" t="inlineStr">
        <is>
          <t>Coberto pelo IFC estrutural completo</t>
        </is>
      </c>
    </row>
    <row r="20">
      <c r="B20" s="4">
        <f>[1]CAPA!C26</f>
        <v/>
      </c>
      <c r="C20" s="6" t="inlineStr">
        <is>
          <t>SUPRAESTRUTURA</t>
        </is>
      </c>
      <c r="D20" s="4" t="n"/>
      <c r="E20" s="4" t="n"/>
      <c r="F20" s="5" t="inlineStr">
        <is>
          <t>RECEBIDO</t>
        </is>
      </c>
      <c r="G20" s="4" t="inlineStr">
        <is>
          <t>Coberto pelo IFC estrutural completo</t>
        </is>
      </c>
    </row>
    <row r="21">
      <c r="B21" s="4">
        <f>[1]CAPA!C27</f>
        <v/>
      </c>
      <c r="C21" s="6" t="inlineStr">
        <is>
          <t>SUPRAESTRUTURA</t>
        </is>
      </c>
      <c r="D21" s="4" t="n"/>
      <c r="E21" s="4" t="n"/>
      <c r="F21" s="5" t="inlineStr">
        <is>
          <t>RECEBIDO</t>
        </is>
      </c>
      <c r="G21" s="4" t="inlineStr">
        <is>
          <t>Coberto pelo IFC estrutural completo</t>
        </is>
      </c>
    </row>
    <row r="22">
      <c r="B22" s="4">
        <f>[1]CAPA!C28</f>
        <v/>
      </c>
      <c r="C22" s="6" t="inlineStr">
        <is>
          <t>SUPRAESTRUTURA</t>
        </is>
      </c>
      <c r="D22" s="4" t="n"/>
      <c r="E22" s="4" t="n"/>
      <c r="F22" s="5" t="inlineStr">
        <is>
          <t>RECEBIDO</t>
        </is>
      </c>
      <c r="G22" s="4" t="inlineStr">
        <is>
          <t>Coberto pelo IFC estrutural completo</t>
        </is>
      </c>
    </row>
    <row r="23">
      <c r="B23" s="4">
        <f>[1]CAPA!C29</f>
        <v/>
      </c>
      <c r="C23" s="6" t="inlineStr">
        <is>
          <t>SUPRAESTRUTURA</t>
        </is>
      </c>
      <c r="D23" s="4" t="n"/>
      <c r="E23" s="4" t="n"/>
      <c r="F23" s="5" t="inlineStr">
        <is>
          <t>RECEBIDO</t>
        </is>
      </c>
      <c r="G23" s="4" t="inlineStr">
        <is>
          <t>Coberto pelo IFC estrutural completo</t>
        </is>
      </c>
    </row>
    <row r="24">
      <c r="B24" s="4">
        <f>[1]CAPA!#REF!</f>
        <v/>
      </c>
      <c r="C24" s="6" t="inlineStr">
        <is>
          <t>SUPRAESTRUTURA</t>
        </is>
      </c>
      <c r="D24" s="4" t="n"/>
      <c r="E24" s="4" t="n"/>
      <c r="F24" s="5" t="inlineStr">
        <is>
          <t>RECEBIDO</t>
        </is>
      </c>
      <c r="G24" s="4" t="inlineStr">
        <is>
          <t>Coberto pelo IFC estrutural completo</t>
        </is>
      </c>
    </row>
    <row r="25">
      <c r="B25" s="4">
        <f>[1]CAPA!#REF!</f>
        <v/>
      </c>
      <c r="C25" s="6" t="inlineStr">
        <is>
          <t>SUPRAESTRUTURA</t>
        </is>
      </c>
      <c r="D25" s="4" t="n"/>
      <c r="E25" s="4" t="n"/>
      <c r="F25" s="5" t="inlineStr">
        <is>
          <t>RECEBIDO</t>
        </is>
      </c>
      <c r="G25" s="4" t="inlineStr">
        <is>
          <t>Coberto pelo IFC estrutural completo</t>
        </is>
      </c>
    </row>
    <row r="26">
      <c r="B26" s="4">
        <f>[1]CAPA!#REF!</f>
        <v/>
      </c>
      <c r="C26" s="6" t="inlineStr">
        <is>
          <t>SUPRAESTRUTURA</t>
        </is>
      </c>
      <c r="D26" s="4" t="n"/>
      <c r="E26" s="4" t="n"/>
      <c r="F26" s="5" t="inlineStr">
        <is>
          <t>RECEBIDO</t>
        </is>
      </c>
      <c r="G26" s="4" t="inlineStr">
        <is>
          <t>Coberto pelo IFC estrutural completo</t>
        </is>
      </c>
    </row>
    <row r="27">
      <c r="B27" s="4">
        <f>[1]CAPA!#REF!</f>
        <v/>
      </c>
      <c r="C27" s="6" t="inlineStr">
        <is>
          <t>SUPRAESTRUTURA</t>
        </is>
      </c>
      <c r="D27" s="4" t="n"/>
      <c r="E27" s="4" t="n"/>
      <c r="F27" s="5" t="inlineStr">
        <is>
          <t>RECEBIDO</t>
        </is>
      </c>
      <c r="G27" s="4" t="inlineStr">
        <is>
          <t>Coberto pelo IFC estrutural completo</t>
        </is>
      </c>
    </row>
    <row r="28" ht="13.5" customHeight="1" thickBot="1">
      <c r="B28" s="1">
        <f>[1]CAPA!#REF!</f>
        <v/>
      </c>
      <c r="C28" s="3" t="inlineStr">
        <is>
          <t>SUPRAESTRUTURA</t>
        </is>
      </c>
      <c r="D28" s="1" t="n"/>
      <c r="E28" s="1" t="n"/>
      <c r="F28" s="2" t="inlineStr">
        <is>
          <t>RECEBIDO</t>
        </is>
      </c>
      <c r="G28" s="1" t="inlineStr">
        <is>
          <t>Coberto pelo IFC estrutural completo</t>
        </is>
      </c>
    </row>
    <row r="29" ht="13.5" customHeight="1" thickBot="1">
      <c r="B29" s="14" t="inlineStr">
        <is>
          <t>ARQUITETURA</t>
        </is>
      </c>
      <c r="C29" s="13" t="n"/>
      <c r="D29" s="12" t="n"/>
      <c r="E29" s="12" t="n"/>
      <c r="F29" s="11" t="n"/>
      <c r="G29" s="10" t="n"/>
    </row>
    <row r="30">
      <c r="B30" s="4" t="inlineStr">
        <is>
          <t>TERRAPLENAGEM</t>
        </is>
      </c>
      <c r="C30" s="9" t="inlineStr">
        <is>
          <t>ARQUITETURA</t>
        </is>
      </c>
      <c r="D30" s="7" t="n"/>
      <c r="E30" s="7" t="n"/>
      <c r="F30" s="8" t="inlineStr">
        <is>
          <t>NÃO SE APLICA</t>
        </is>
      </c>
      <c r="G30" s="7" t="n"/>
    </row>
    <row r="31">
      <c r="B31" s="4" t="inlineStr">
        <is>
          <t>MOVIMENTAÇÃO DE TERRA</t>
        </is>
      </c>
      <c r="C31" s="6" t="inlineStr">
        <is>
          <t>ARQUITETURA</t>
        </is>
      </c>
      <c r="D31" s="4" t="n"/>
      <c r="E31" s="4" t="n"/>
      <c r="F31" s="5" t="inlineStr">
        <is>
          <t>NÃO SE APLICA</t>
        </is>
      </c>
      <c r="G31" s="4" t="n"/>
    </row>
    <row r="32">
      <c r="B32" s="4" t="inlineStr">
        <is>
          <t>FUNDAÇÃO PROFUNDA</t>
        </is>
      </c>
      <c r="C32" s="6" t="inlineStr">
        <is>
          <t>ARQUITETURA</t>
        </is>
      </c>
      <c r="D32" s="4" t="n"/>
      <c r="E32" s="4" t="n"/>
      <c r="F32" s="5" t="inlineStr">
        <is>
          <t>NÃO SE APLICA</t>
        </is>
      </c>
      <c r="G32" s="4" t="n"/>
    </row>
    <row r="33">
      <c r="B33" s="4" t="inlineStr">
        <is>
          <t>FUNDAÇÃO RASA</t>
        </is>
      </c>
      <c r="C33" s="6" t="inlineStr">
        <is>
          <t>ARQUITETURA</t>
        </is>
      </c>
      <c r="D33" s="4" t="n"/>
      <c r="E33" s="4" t="n"/>
      <c r="F33" s="5" t="inlineStr">
        <is>
          <t>NÃO SE APLICA</t>
        </is>
      </c>
      <c r="G33" s="4" t="n"/>
    </row>
    <row r="34">
      <c r="B34" s="4" t="inlineStr">
        <is>
          <t>CONTENÇÃO</t>
        </is>
      </c>
      <c r="C34" s="6" t="inlineStr">
        <is>
          <t>ARQUITETURA</t>
        </is>
      </c>
      <c r="D34" s="4" t="n"/>
      <c r="E34" s="4" t="n"/>
      <c r="F34" s="5" t="inlineStr">
        <is>
          <t>NÃO SE APLICA</t>
        </is>
      </c>
      <c r="G34" s="4" t="n"/>
    </row>
    <row r="35">
      <c r="B35" s="4" t="inlineStr">
        <is>
          <t>TÉRREO 01</t>
        </is>
      </c>
      <c r="C35" s="6" t="inlineStr">
        <is>
          <t>ARQUITETURA</t>
        </is>
      </c>
      <c r="D35" s="4" t="inlineStr">
        <is>
          <t>RA_ARQ_EXE_01_TÉRREO_R02.dwg</t>
        </is>
      </c>
      <c r="E35" s="4" t="inlineStr">
        <is>
          <t>02 ARQUITETURA/DWG</t>
        </is>
      </c>
      <c r="F35" s="5" t="inlineStr">
        <is>
          <t>RECEBIDO</t>
        </is>
      </c>
      <c r="G35" s="4" t="inlineStr">
        <is>
          <t>DWG Executivo Rev.02</t>
        </is>
      </c>
    </row>
    <row r="36">
      <c r="B36" s="4" t="inlineStr">
        <is>
          <t>TÉRREO 02</t>
        </is>
      </c>
      <c r="C36" s="6" t="inlineStr">
        <is>
          <t>ARQUITETURA</t>
        </is>
      </c>
      <c r="D36" s="4" t="inlineStr">
        <is>
          <t>RA_ARQ_EXE_10_CORTE1_R02.dwg + RA_ARQ_EXE_11_CORTE2_R02.dwg</t>
        </is>
      </c>
      <c r="E36" s="4" t="inlineStr">
        <is>
          <t>02 ARQUITETURA/DWG</t>
        </is>
      </c>
      <c r="F36" s="5" t="inlineStr">
        <is>
          <t>RECEBIDO</t>
        </is>
      </c>
      <c r="G36" s="4" t="inlineStr">
        <is>
          <t>Cortes 1 e 2, Rev.02</t>
        </is>
      </c>
    </row>
    <row r="37">
      <c r="B37" s="4" t="inlineStr">
        <is>
          <t>GARAGEM 01</t>
        </is>
      </c>
      <c r="C37" s="6" t="inlineStr">
        <is>
          <t>ARQUITETURA</t>
        </is>
      </c>
      <c r="D37" s="4" t="inlineStr">
        <is>
          <t>RA_ARQ_EXE_02_G1_R02.dwg</t>
        </is>
      </c>
      <c r="E37" s="4" t="inlineStr">
        <is>
          <t>02 ARQUITETURA/DWG</t>
        </is>
      </c>
      <c r="F37" s="5" t="inlineStr">
        <is>
          <t>RECEBIDO</t>
        </is>
      </c>
      <c r="G37" s="4" t="inlineStr">
        <is>
          <t>DWG Executivo Rev.02</t>
        </is>
      </c>
    </row>
    <row r="38">
      <c r="B38" s="4" t="inlineStr">
        <is>
          <t>GARAGEM 02</t>
        </is>
      </c>
      <c r="C38" s="6" t="inlineStr">
        <is>
          <t>ARQUITETURA</t>
        </is>
      </c>
      <c r="D38" s="4" t="inlineStr">
        <is>
          <t>RA_ARQ_EXE_03_G2_R02.dwg</t>
        </is>
      </c>
      <c r="E38" s="4" t="inlineStr">
        <is>
          <t>02 ARQUITETURA/DWG</t>
        </is>
      </c>
      <c r="F38" s="5" t="inlineStr">
        <is>
          <t>RECEBIDO</t>
        </is>
      </c>
      <c r="G38" s="4" t="inlineStr">
        <is>
          <t>DWG Executivo Rev.02</t>
        </is>
      </c>
    </row>
    <row r="39">
      <c r="B39" s="4" t="inlineStr">
        <is>
          <t>GARAGEM 03</t>
        </is>
      </c>
      <c r="C39" s="6" t="inlineStr">
        <is>
          <t>ARQUITETURA</t>
        </is>
      </c>
      <c r="D39" s="4" t="inlineStr">
        <is>
          <t>RA_ARQ_EXE_04_G3_R02.dwg</t>
        </is>
      </c>
      <c r="E39" s="4" t="inlineStr">
        <is>
          <t>02 ARQUITETURA/DWG</t>
        </is>
      </c>
      <c r="F39" s="5" t="inlineStr">
        <is>
          <t>RECEBIDO</t>
        </is>
      </c>
      <c r="G39" s="4" t="inlineStr">
        <is>
          <t>DWG Executivo Rev.02</t>
        </is>
      </c>
    </row>
    <row r="40">
      <c r="B40" s="4" t="inlineStr">
        <is>
          <t>GARAGEM 04</t>
        </is>
      </c>
      <c r="C40" s="6" t="inlineStr">
        <is>
          <t>ARQUITETURA</t>
        </is>
      </c>
      <c r="D40" s="4" t="inlineStr">
        <is>
          <t>RA_ARQ_EXE_05_G4_R02.dwg</t>
        </is>
      </c>
      <c r="E40" s="4" t="inlineStr">
        <is>
          <t>02 ARQUITETURA/DWG</t>
        </is>
      </c>
      <c r="F40" s="5" t="inlineStr">
        <is>
          <t>RECEBIDO</t>
        </is>
      </c>
      <c r="G40" s="4" t="inlineStr">
        <is>
          <t>DWG Executivo Rev.02</t>
        </is>
      </c>
    </row>
    <row r="41">
      <c r="B41" s="4" t="inlineStr">
        <is>
          <t>LAZER 01</t>
        </is>
      </c>
      <c r="C41" s="6" t="inlineStr">
        <is>
          <t>ARQUITETURA</t>
        </is>
      </c>
      <c r="D41" s="4" t="inlineStr">
        <is>
          <t>RA_ARQ_EXE_06_G5_R02.dwg</t>
        </is>
      </c>
      <c r="E41" s="4" t="inlineStr">
        <is>
          <t>02 ARQUITETURA/DWG</t>
        </is>
      </c>
      <c r="F41" s="5" t="inlineStr">
        <is>
          <t>RECEBIDO</t>
        </is>
      </c>
      <c r="G41" s="4" t="inlineStr">
        <is>
          <t>DWG Executivo Rev.02</t>
        </is>
      </c>
    </row>
    <row r="42">
      <c r="B42" s="4" t="inlineStr">
        <is>
          <t>LAZER 02</t>
        </is>
      </c>
      <c r="C42" s="6" t="inlineStr">
        <is>
          <t>ARQUITETURA</t>
        </is>
      </c>
      <c r="D42" s="4" t="inlineStr">
        <is>
          <t>RA_ARQ_EXE_07_LAZER_R02.dwg</t>
        </is>
      </c>
      <c r="E42" s="4" t="inlineStr">
        <is>
          <t>02 ARQUITETURA/DWG</t>
        </is>
      </c>
      <c r="F42" s="5" t="inlineStr">
        <is>
          <t>RECEBIDO</t>
        </is>
      </c>
      <c r="G42" s="4" t="inlineStr">
        <is>
          <t>DWG Executivo Rev.02</t>
        </is>
      </c>
    </row>
    <row r="43">
      <c r="B43" s="4" t="inlineStr">
        <is>
          <t>TIPO DIFERENCIADO 01</t>
        </is>
      </c>
      <c r="C43" s="6" t="inlineStr">
        <is>
          <t>ARQUITETURA</t>
        </is>
      </c>
      <c r="D43" s="4" t="inlineStr">
        <is>
          <t>RA_ARQ_EXE_MODELAGEM EMBASAMENTO + COBERTURA_R08.ifc</t>
        </is>
      </c>
      <c r="E43" s="4" t="inlineStr">
        <is>
          <t>02 ARQUITETURA/IFC</t>
        </is>
      </c>
      <c r="F43" s="5" t="inlineStr">
        <is>
          <t>RECEBIDO</t>
        </is>
      </c>
      <c r="G43" s="4" t="inlineStr">
        <is>
          <t>IFC Embasamento + Cobertura Rev.08</t>
        </is>
      </c>
    </row>
    <row r="44">
      <c r="B44" s="4" t="inlineStr">
        <is>
          <t>TIPO DIFERENCIADO 02</t>
        </is>
      </c>
      <c r="C44" s="6" t="inlineStr">
        <is>
          <t>ARQUITETURA</t>
        </is>
      </c>
      <c r="D44" s="4" t="inlineStr">
        <is>
          <t>RA_ARQ_EXE_MODELAGEM TIPO_R07.ifc</t>
        </is>
      </c>
      <c r="E44" s="4" t="inlineStr">
        <is>
          <t>02 ARQUITETURA/IFC</t>
        </is>
      </c>
      <c r="F44" s="5" t="inlineStr">
        <is>
          <t>RECEBIDO</t>
        </is>
      </c>
      <c r="G44" s="4" t="inlineStr">
        <is>
          <t>IFC Tipo Rev.07</t>
        </is>
      </c>
    </row>
    <row r="45">
      <c r="B45" s="4" t="inlineStr">
        <is>
          <t>TIPO (30x)</t>
        </is>
      </c>
      <c r="C45" s="6" t="inlineStr">
        <is>
          <t>ARQUITETURA</t>
        </is>
      </c>
      <c r="D45" s="4" t="inlineStr">
        <is>
          <t>RA_ARQ_EXE_08_TIPOS_R02.dwg</t>
        </is>
      </c>
      <c r="E45" s="4" t="inlineStr">
        <is>
          <t>02 ARQUITETURA/DWG</t>
        </is>
      </c>
      <c r="F45" s="5" t="inlineStr">
        <is>
          <t>RECEBIDO</t>
        </is>
      </c>
      <c r="G45" s="4" t="inlineStr">
        <is>
          <t>DWG Executivo Rev.02</t>
        </is>
      </c>
    </row>
    <row r="46">
      <c r="B46" s="4" t="inlineStr">
        <is>
          <t>DUPLEX INFERIOR (3x)</t>
        </is>
      </c>
      <c r="C46" s="6" t="inlineStr">
        <is>
          <t>ARQUITETURA</t>
        </is>
      </c>
      <c r="D46" s="4" t="n"/>
      <c r="E46" s="4" t="n"/>
      <c r="F46" s="5" t="inlineStr">
        <is>
          <t>NÃO SE APLICA</t>
        </is>
      </c>
      <c r="G46" s="4" t="n"/>
    </row>
    <row r="47">
      <c r="B47" s="4" t="inlineStr">
        <is>
          <t>DUPLEX SUPERIOR (3x)</t>
        </is>
      </c>
      <c r="C47" s="6" t="inlineStr">
        <is>
          <t>ARQUITETURA</t>
        </is>
      </c>
      <c r="D47" s="4" t="n"/>
      <c r="E47" s="4" t="n"/>
      <c r="F47" s="5" t="inlineStr">
        <is>
          <t>NÃO SE APLICA</t>
        </is>
      </c>
      <c r="G47" s="4" t="n"/>
    </row>
    <row r="48">
      <c r="B48" s="4" t="inlineStr">
        <is>
          <t>LAZER 3</t>
        </is>
      </c>
      <c r="C48" s="6" t="inlineStr">
        <is>
          <t>ARQUITETURA</t>
        </is>
      </c>
      <c r="D48" s="4" t="n"/>
      <c r="E48" s="4" t="n"/>
      <c r="F48" s="5" t="inlineStr">
        <is>
          <t>NÃO SE APLICA</t>
        </is>
      </c>
      <c r="G48" s="4" t="n"/>
    </row>
    <row r="49">
      <c r="B49" s="4" t="inlineStr">
        <is>
          <t>CASA DE MÁQUINAS</t>
        </is>
      </c>
      <c r="C49" s="6" t="inlineStr">
        <is>
          <t>ARQUITETURA</t>
        </is>
      </c>
      <c r="D49" s="4" t="n"/>
      <c r="E49" s="4" t="n"/>
      <c r="F49" s="5" t="inlineStr">
        <is>
          <t>NÃO SE APLICA</t>
        </is>
      </c>
      <c r="G49" s="4" t="n"/>
    </row>
    <row r="50" ht="13.5" customHeight="1" thickBot="1">
      <c r="B50" s="1" t="inlineStr">
        <is>
          <t>BARRILETE | RESERVATÓRIOS</t>
        </is>
      </c>
      <c r="C50" s="3" t="inlineStr">
        <is>
          <t>ARQUITETURA</t>
        </is>
      </c>
      <c r="D50" s="1" t="inlineStr">
        <is>
          <t>RA_ARQ_EXE_09_RES E COB_R02.dwg</t>
        </is>
      </c>
      <c r="E50" s="1" t="inlineStr">
        <is>
          <t>02 ARQUITETURA/DWG</t>
        </is>
      </c>
      <c r="F50" s="2" t="inlineStr">
        <is>
          <t>RECEBIDO</t>
        </is>
      </c>
      <c r="G50" s="1" t="inlineStr">
        <is>
          <t>DWG Executivo Rev.02</t>
        </is>
      </c>
    </row>
    <row r="51" ht="13.5" customHeight="1" thickBot="1">
      <c r="B51" s="14" t="inlineStr">
        <is>
          <t>COMPLEMENTARES</t>
        </is>
      </c>
      <c r="C51" s="13" t="n"/>
      <c r="D51" s="12" t="n"/>
      <c r="E51" s="12" t="n"/>
      <c r="F51" s="11" t="n"/>
      <c r="G51" s="10" t="n"/>
    </row>
    <row r="52">
      <c r="B52" s="4" t="inlineStr">
        <is>
          <t>GERAL</t>
        </is>
      </c>
      <c r="C52" s="9" t="inlineStr">
        <is>
          <t>INSTALAÇÕES PLUVIAL</t>
        </is>
      </c>
      <c r="D52" s="7" t="n"/>
      <c r="E52" s="7" t="n"/>
      <c r="F52" s="8" t="inlineStr">
        <is>
          <t>NÃO SE APLICA</t>
        </is>
      </c>
      <c r="G52" s="7" t="n"/>
    </row>
    <row r="53">
      <c r="B53" s="4" t="inlineStr">
        <is>
          <t>GERAL</t>
        </is>
      </c>
      <c r="C53" s="6" t="inlineStr">
        <is>
          <t>INSTALAÇÕES ELÉTRICA</t>
        </is>
      </c>
      <c r="D53" s="7" t="inlineStr">
        <is>
          <t>348 - E01 [28] rev.01 - EL_R.Rubens Alves - 01° PAVTO. TÉRREO [T. A].dwg; 348 - E02 [28] rev.01 - EL_R.Rubens Alves - 01° PAVTO. TÉRREO [T. B].dwg; 348 - E03 [28] rev.01 - EL_R.Rubens Alves - 02° PAVTO. G1 [T. A].dwg (+24 mais)</t>
        </is>
      </c>
      <c r="E53" s="7" t="inlineStr">
        <is>
          <t>09 ELÉTRICO</t>
        </is>
      </c>
      <c r="F53" s="5" t="inlineStr">
        <is>
          <t>RECEBIDO</t>
        </is>
      </c>
      <c r="G53" s="4" t="inlineStr">
        <is>
          <t>DWG 18 pranchas + IFC 9 modelos, Rev.01</t>
        </is>
      </c>
    </row>
    <row r="54">
      <c r="B54" s="4" t="inlineStr">
        <is>
          <t>GERAL</t>
        </is>
      </c>
      <c r="C54" s="6" t="inlineStr">
        <is>
          <t>INSTALAÇÕES TELEFONIA</t>
        </is>
      </c>
      <c r="D54" s="7" t="inlineStr">
        <is>
          <t>348 - T02 [24] rev.01 - EL_R.Rubens Alves - 01° PAVTO. TÉRREO [T. A].dwg; 348 - T03 [24] rev.01 - EL_R.Rubens Alves - 01° PAVTO. TÉRREO [T. B].dwg; 348 - T04 [24] rev.01 - EL_R.Rubens Alves - 02° PAVTO. G1 [T. A].dwg (+24 mais)</t>
        </is>
      </c>
      <c r="E54" s="7" t="inlineStr">
        <is>
          <t>10 TELEFONICO</t>
        </is>
      </c>
      <c r="F54" s="5" t="inlineStr">
        <is>
          <t>RECEBIDO</t>
        </is>
      </c>
      <c r="G54" s="4" t="inlineStr">
        <is>
          <t>DWG 18 pranchas + IFC 9 modelos, Rev.01</t>
        </is>
      </c>
    </row>
    <row r="55">
      <c r="B55" s="4" t="inlineStr">
        <is>
          <t>GERAL</t>
        </is>
      </c>
      <c r="C55" s="6" t="inlineStr">
        <is>
          <t>INSTALAÇÕES POTÁVEL</t>
        </is>
      </c>
      <c r="D55" s="7" t="inlineStr">
        <is>
          <t>348 - H01 [30] rev.01 - EL_R.Rubens Alves - 01° PAVTO. TÉRREO - PISO [T.A].dwg; 348 - H02 [30] rev.01 - EL_R.Rubens Alves - 01° PAVTO. TÉRREO - PISO [T.B].dwg; 348 - H03 [30] rev.01 - EL_R.Rubens Alves - 01° PAVTO. TÉRREO - TETO [T.A].dwg (+18 mais)</t>
        </is>
      </c>
      <c r="E55" s="7" t="inlineStr">
        <is>
          <t>05 HIDRÁULICO</t>
        </is>
      </c>
      <c r="F55" s="5" t="inlineStr">
        <is>
          <t>RECEBIDO</t>
        </is>
      </c>
      <c r="G55" s="4" t="inlineStr">
        <is>
          <t>DWG 20 pranchas + IFC completo, Rev.01</t>
        </is>
      </c>
    </row>
    <row r="56">
      <c r="B56" s="4" t="inlineStr">
        <is>
          <t>GERAL</t>
        </is>
      </c>
      <c r="C56" s="6" t="inlineStr">
        <is>
          <t>INSTALAÇÕES ESGOTO</t>
        </is>
      </c>
      <c r="D56" s="7" t="inlineStr">
        <is>
          <t>348 - S01 [22] rev.01 - EL_R.Rubens Alves - 01° PAVTO. TÉRREO [T.A].dwg; 348 - S02 [22] rev.01 - EL_R.Rubens Alves - 01° PAVTO. TÉRREO [T.B].dwg; 348 - S03 [22] rev.01 - EL_R.Rubens Alves - 02° PAVTO. G1 [T.A].dwg (+27 mais)</t>
        </is>
      </c>
      <c r="E56" s="7" t="inlineStr">
        <is>
          <t>06 SANITÁRIO</t>
        </is>
      </c>
      <c r="F56" s="5" t="inlineStr">
        <is>
          <t>RECEBIDO</t>
        </is>
      </c>
      <c r="G56" s="4" t="inlineStr">
        <is>
          <t>DWG 20 pranchas + IFC 10 modelos, Rev.01</t>
        </is>
      </c>
    </row>
    <row r="57">
      <c r="B57" s="4" t="inlineStr">
        <is>
          <t>GERAL</t>
        </is>
      </c>
      <c r="C57" s="6" t="inlineStr">
        <is>
          <t>INSTALAÇÕES PCI</t>
        </is>
      </c>
      <c r="D57" s="7" t="inlineStr">
        <is>
          <t>348 - IGC 01 [08] rev-00 - 01° PAVTO- TÉRREO (T-A).dwg; 348 - IGC 01 [08] rev.00 - 01° PAVTO. TÉRREO (T.A).dwg; 348 - IGC 02 [08] rev.00 - 01° PAVTO. TÉRREO (T.B).dwg (+13 mais)</t>
        </is>
      </c>
      <c r="E57" s="7" t="inlineStr">
        <is>
          <t>07 PREVENTIVO INCENDIO CIVIL</t>
        </is>
      </c>
      <c r="F57" s="5" t="inlineStr">
        <is>
          <t>RECEBIDO</t>
        </is>
      </c>
      <c r="G57" s="4" t="inlineStr">
        <is>
          <t>DWG 11 pranchas + IFC 5 modelos (IGC+PCI+Dutos), Rev.00-01</t>
        </is>
      </c>
    </row>
    <row r="58">
      <c r="B58" s="4" t="inlineStr">
        <is>
          <t>GERAL</t>
        </is>
      </c>
      <c r="C58" s="6" t="inlineStr">
        <is>
          <t>INST. PREV. INCÊNDIO ELÉTRICO</t>
        </is>
      </c>
      <c r="D58" s="7" t="inlineStr">
        <is>
          <t>27 arquivos (DWG 18 + IFC 9)</t>
        </is>
      </c>
      <c r="E58" s="7" t="inlineStr">
        <is>
          <t>08 PREVENTIVO INCENDIO ELÉTRICO</t>
        </is>
      </c>
      <c r="F58" s="5" t="inlineStr">
        <is>
          <t>RECEBIDO</t>
        </is>
      </c>
      <c r="G58" s="4" t="inlineStr">
        <is>
          <t>Prev. Incêndio Elétrico, DWG+IFC, Rev.01</t>
        </is>
      </c>
    </row>
    <row r="59">
      <c r="B59" s="4" t="inlineStr">
        <is>
          <t>GERAL</t>
        </is>
      </c>
      <c r="C59" s="6" t="inlineStr">
        <is>
          <t>SPDA</t>
        </is>
      </c>
      <c r="D59" s="7" t="inlineStr">
        <is>
          <t>10 pranchas DWG (SPDA Rev.00)</t>
        </is>
      </c>
      <c r="E59" s="7" t="inlineStr">
        <is>
          <t>11 SPDA</t>
        </is>
      </c>
      <c r="F59" s="5" t="inlineStr">
        <is>
          <t>RECEBIDO</t>
        </is>
      </c>
      <c r="G59" s="4" t="inlineStr">
        <is>
          <t>SPDA completo, Rev.00</t>
        </is>
      </c>
    </row>
    <row r="60">
      <c r="B60" s="4" t="inlineStr">
        <is>
          <t>GERAL</t>
        </is>
      </c>
      <c r="C60" s="6" t="inlineStr">
        <is>
          <t>VENTILAÇÃO MECÂNICA ESCADA</t>
        </is>
      </c>
      <c r="D60" s="4" t="inlineStr">
        <is>
          <t>RA_EVM_LEGAL_PROJETO_R05.dwg</t>
        </is>
      </c>
      <c r="E60" s="4" t="inlineStr">
        <is>
          <t>12 ESCADA VENTILACAO MECANICA</t>
        </is>
      </c>
      <c r="F60" s="5" t="inlineStr">
        <is>
          <t>RECEBIDO</t>
        </is>
      </c>
      <c r="G60" s="4" t="inlineStr">
        <is>
          <t>Projeto Legal Rev.05</t>
        </is>
      </c>
    </row>
    <row r="61">
      <c r="B61" s="4" t="inlineStr">
        <is>
          <t>GERAL</t>
        </is>
      </c>
      <c r="C61" s="6" t="inlineStr">
        <is>
          <t>EXAUSTÃO CHURRASQUEIRA</t>
        </is>
      </c>
      <c r="D61" s="4" t="inlineStr">
        <is>
          <t>RA_CHU_EXE_PROJETO_R00.dwg</t>
        </is>
      </c>
      <c r="E61" s="4" t="inlineStr">
        <is>
          <t>13 CHURRASQUEIRA EXAUSTAO</t>
        </is>
      </c>
      <c r="F61" s="5" t="inlineStr">
        <is>
          <t>RECEBIDO</t>
        </is>
      </c>
      <c r="G61" s="4" t="inlineStr">
        <is>
          <t>Exaustão Churrasqueiras Rev.00</t>
        </is>
      </c>
    </row>
    <row r="62">
      <c r="B62" s="4" t="inlineStr">
        <is>
          <t>GERAL</t>
        </is>
      </c>
      <c r="C62" s="6" t="inlineStr">
        <is>
          <t>AR-CONDICIONADO</t>
        </is>
      </c>
      <c r="D62" s="4" t="inlineStr">
        <is>
          <t>RA_ARC_EXE_00_TODAS CAD_R05.dwg</t>
        </is>
      </c>
      <c r="E62" s="4" t="inlineStr">
        <is>
          <t>14 AR-CONDICIONADO</t>
        </is>
      </c>
      <c r="F62" s="5" t="inlineStr">
        <is>
          <t>RECEBIDO</t>
        </is>
      </c>
      <c r="G62" s="4" t="inlineStr">
        <is>
          <t>Ar-condicionado completo Rev.05</t>
        </is>
      </c>
    </row>
    <row r="63">
      <c r="B63" s="4" t="inlineStr">
        <is>
          <t>GERAL</t>
        </is>
      </c>
      <c r="C63" s="6" t="inlineStr">
        <is>
          <t>ALVENARIA</t>
        </is>
      </c>
      <c r="D63" s="4" t="inlineStr">
        <is>
          <t>18 pranchas DWG (Alvenaria + Locação, Pré-Executivo Rev.01)</t>
        </is>
      </c>
      <c r="E63" s="4" t="inlineStr">
        <is>
          <t>03 ALVENARIA</t>
        </is>
      </c>
      <c r="F63" s="5" t="inlineStr">
        <is>
          <t>RECEBIDO</t>
        </is>
      </c>
      <c r="G63" s="4" t="inlineStr">
        <is>
          <t>Alvenaria 9 pavimentos + 9 locações, Rev.01</t>
        </is>
      </c>
    </row>
    <row r="64">
      <c r="B64" s="4" t="inlineStr">
        <is>
          <t>GERAL</t>
        </is>
      </c>
      <c r="C64" s="6" t="inlineStr">
        <is>
          <t>ESQUADRIAS</t>
        </is>
      </c>
      <c r="D64" s="4" t="inlineStr">
        <is>
          <t>4 pranchas DWG (Portas, Janelas, Peles Vidro, Vidro Fixo)</t>
        </is>
      </c>
      <c r="E64" s="4" t="inlineStr">
        <is>
          <t>04 ESQUADRIA</t>
        </is>
      </c>
      <c r="F64" s="5" t="inlineStr">
        <is>
          <t>RECEBIDO</t>
        </is>
      </c>
      <c r="G64" s="4" t="inlineStr">
        <is>
          <t>Esquadrias Pré-Executivo Rev.01</t>
        </is>
      </c>
    </row>
    <row r="65">
      <c r="B65" s="4" t="inlineStr">
        <is>
          <t>GERAL</t>
        </is>
      </c>
      <c r="C65" s="6" t="inlineStr">
        <is>
          <t>EQUIPAMENTOS HIDROMASSAGEM</t>
        </is>
      </c>
      <c r="D65" s="4" t="n"/>
      <c r="E65" s="4" t="n"/>
      <c r="F65" s="5" t="inlineStr">
        <is>
          <t>NÃO SE APLICA</t>
        </is>
      </c>
      <c r="G65" s="4" t="n"/>
    </row>
    <row r="66">
      <c r="B66" s="4" t="inlineStr">
        <is>
          <t>GERAL</t>
        </is>
      </c>
      <c r="C66" s="6" t="inlineStr">
        <is>
          <t>EQUIPAMENTOS PISCINA</t>
        </is>
      </c>
      <c r="D66" s="4" t="n"/>
      <c r="E66" s="4" t="n"/>
      <c r="F66" s="5" t="inlineStr">
        <is>
          <t>NÃO SE APLICA</t>
        </is>
      </c>
      <c r="G66" s="4" t="n"/>
    </row>
    <row r="67">
      <c r="B67" s="4" t="inlineStr">
        <is>
          <t>GERAL</t>
        </is>
      </c>
      <c r="C67" s="6" t="inlineStr">
        <is>
          <t>LOUÇAS/ METAIS/ BANCADAS</t>
        </is>
      </c>
      <c r="D67" s="4" t="n"/>
      <c r="E67" s="4" t="n"/>
      <c r="F67" s="5" t="inlineStr">
        <is>
          <t>NÃO SE APLICA</t>
        </is>
      </c>
      <c r="G67" s="4" t="n"/>
    </row>
    <row r="68">
      <c r="B68" s="4" t="inlineStr">
        <is>
          <t>GERAL</t>
        </is>
      </c>
      <c r="C68" s="6" t="inlineStr">
        <is>
          <t>MOBILIÁRIO</t>
        </is>
      </c>
      <c r="D68" s="4" t="n"/>
      <c r="E68" s="4" t="n"/>
      <c r="F68" s="5" t="inlineStr">
        <is>
          <t>NÃO SE APLICA</t>
        </is>
      </c>
      <c r="G68" s="4" t="n"/>
    </row>
    <row r="69">
      <c r="B69" s="4" t="inlineStr">
        <is>
          <t>GERAL</t>
        </is>
      </c>
      <c r="C69" s="6" t="inlineStr">
        <is>
          <t>INTERIORES</t>
        </is>
      </c>
      <c r="D69" s="4" t="n"/>
      <c r="E69" s="4" t="n"/>
      <c r="F69" s="5" t="inlineStr">
        <is>
          <t>NÃO SE APLICA</t>
        </is>
      </c>
      <c r="G69" s="4" t="n"/>
    </row>
    <row r="70">
      <c r="B70" s="4" t="inlineStr">
        <is>
          <t>GERAL</t>
        </is>
      </c>
      <c r="C70" s="6" t="n"/>
      <c r="D70" s="4" t="n"/>
      <c r="E70" s="4" t="n"/>
      <c r="F70" s="5" t="inlineStr">
        <is>
          <t>NÃO SE APLICA</t>
        </is>
      </c>
      <c r="G70" s="4" t="n"/>
    </row>
    <row r="71">
      <c r="B71" s="4" t="inlineStr">
        <is>
          <t>GERAL</t>
        </is>
      </c>
      <c r="C71" s="6" t="n"/>
      <c r="D71" s="4" t="n"/>
      <c r="E71" s="4" t="n"/>
      <c r="F71" s="5" t="inlineStr">
        <is>
          <t>NÃO SE APLICA</t>
        </is>
      </c>
      <c r="G71" s="4" t="n"/>
    </row>
    <row r="72">
      <c r="B72" s="1" t="inlineStr">
        <is>
          <t>GERAL</t>
        </is>
      </c>
      <c r="C72" s="3" t="n"/>
      <c r="D72" s="1" t="n"/>
      <c r="E72" s="1" t="n"/>
      <c r="F72" s="2" t="inlineStr">
        <is>
          <t>NÃO SE APLICA</t>
        </is>
      </c>
      <c r="G72" s="1" t="n"/>
    </row>
  </sheetData>
  <mergeCells count="6">
    <mergeCell ref="G5:G6"/>
    <mergeCell ref="E5:E6"/>
    <mergeCell ref="F5:F6"/>
    <mergeCell ref="D5:D6"/>
    <mergeCell ref="B5:B6"/>
    <mergeCell ref="C5:C6"/>
  </mergeCells>
  <conditionalFormatting sqref="F7:F72">
    <cfRule type="expression" priority="1" dxfId="3">
      <formula>$F7=$J$5</formula>
    </cfRule>
    <cfRule type="expression" priority="2" dxfId="2">
      <formula>$F7=$J$4</formula>
    </cfRule>
    <cfRule type="expression" priority="3" dxfId="1">
      <formula>$F7=$J$3</formula>
    </cfRule>
    <cfRule type="expression" priority="4" dxfId="0">
      <formula>$F7=$J$2</formula>
    </cfRule>
  </conditionalFormatting>
  <dataValidations count="1">
    <dataValidation sqref="F7:F72" showDropDown="0" showInputMessage="1" showErrorMessage="1" allowBlank="1" type="list">
      <formula1>$J$2:$J$5</formula1>
    </dataValidation>
  </dataValidations>
  <pageMargins left="0.511811024" right="0.511811024" top="0.787401575" bottom="0.787401575" header="0.31496062" footer="0.31496062"/>
  <pageSetup orientation="portrait" paperSize="9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2026-03-25T00:50:01Z</dcterms:created>
  <dcterms:modified xmlns:dcterms="http://purl.org/dc/terms/" xmlns:xsi="http://www.w3.org/2001/XMLSchema-instance" xsi:type="dcterms:W3CDTF">2026-03-25T00:53:06Z</dcterms:modified>
  <cp:lastModifiedBy>Leonardo Cartesian</cp:lastModifiedBy>
</cp:coreProperties>
</file>