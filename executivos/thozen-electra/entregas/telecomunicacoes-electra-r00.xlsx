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TELECOMUNICAÇÃO" sheetId="1" state="visible" r:id="rId1"/>
  </sheets>
  <externalReferences>
    <externalReference xmlns:r="http://schemas.openxmlformats.org/officeDocument/2006/relationships" r:id="rId2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0" localSheetId="0">#REF!</definedName>
    <definedName name="\a" localSheetId="0">#REF!</definedName>
    <definedName name="\m" localSheetId="0">#REF!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" localSheetId="0">#REF!</definedName>
    <definedName name="aaaa" localSheetId="0">#REF!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#REF!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>#REF!</definedName>
    <definedName name="Areaimpresso" localSheetId="0">#REF!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ux" localSheetId="0">#REF!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A" localSheetId="0">#REF!</definedName>
    <definedName name="bdfjghf" localSheetId="0" hidden="1">{#N/A,#N/A,FALSE,"Plan1";#N/A,#N/A,FALSE,"Plan2"}</definedName>
    <definedName name="BDI" localSheetId="0">#REF!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ORDA1" localSheetId="0">#N/A</definedName>
    <definedName name="bxnzfmkzxbhdf" localSheetId="0" hidden="1">{#N/A,#N/A,FALSE,"Plan1";#N/A,#N/A,FALSE,"Plan2"}</definedName>
    <definedName name="ca" localSheetId="0">#REF!</definedName>
    <definedName name="CAB" localSheetId="0">#N/A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pa" localSheetId="0">#REF!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ronograma" localSheetId="0">#REF!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0">#REF!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ireto" localSheetId="0">#REF!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 localSheetId="0">#REF!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FFFFF" localSheetId="0">#REF!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_1" localSheetId="0">#REF!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NU" localSheetId="0">#REF!</definedName>
    <definedName name="MENU1" localSheetId="0">#REF!</definedName>
    <definedName name="MENU2" localSheetId="0">#REF!</definedName>
    <definedName name="MENU3" localSheetId="0">#REF!</definedName>
    <definedName name="MENU4" localSheetId="0">#REF!</definedName>
    <definedName name="MENU5" localSheetId="0">#REF!</definedName>
    <definedName name="MENU6" localSheetId="0">#REF!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" localSheetId="0">#REF!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AE" localSheetId="0">#REF!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aramValues1" localSheetId="0">#REF!</definedName>
    <definedName name="PAV" localSheetId="0">#REF!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" localSheetId="0">#REF!</definedName>
    <definedName name="PRE" localSheetId="0">#REF!</definedName>
    <definedName name="print" localSheetId="0" hidden="1">{#N/A,#N/A,FALSE,"$170M Cash";#N/A,#N/A,FALSE,"$250M Cash";#N/A,#N/A,FALSE,"$325M Cash"}</definedName>
    <definedName name="Print_Area_MI" localSheetId="0">#REF!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e" localSheetId="0">#REF!</definedName>
    <definedName name="qee" localSheetId="0">#REF!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n" localSheetId="0">#REF!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EV" localSheetId="0">#REF!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>#REF!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0">#N/A</definedName>
    <definedName name="SHARED_FORMULA_1" localSheetId="0">#N/A</definedName>
    <definedName name="SHARED_FORMULA_10" localSheetId="0">#N/A</definedName>
    <definedName name="SHARED_FORMULA_11" localSheetId="0">#N/A</definedName>
    <definedName name="SHARED_FORMULA_12" localSheetId="0">#N/A</definedName>
    <definedName name="SHARED_FORMULA_13" localSheetId="0">#N/A</definedName>
    <definedName name="SHARED_FORMULA_14" localSheetId="0">#N/A</definedName>
    <definedName name="SHARED_FORMULA_15" localSheetId="0">#N/A</definedName>
    <definedName name="SHARED_FORMULA_16" localSheetId="0">#N/A</definedName>
    <definedName name="SHARED_FORMULA_17" localSheetId="0">#N/A</definedName>
    <definedName name="SHARED_FORMULA_18" localSheetId="0">#N/A</definedName>
    <definedName name="SHARED_FORMULA_19" localSheetId="0">#N/A</definedName>
    <definedName name="SHARED_FORMULA_2" localSheetId="0">#N/A</definedName>
    <definedName name="SHARED_FORMULA_20" localSheetId="0">#N/A</definedName>
    <definedName name="SHARED_FORMULA_21" localSheetId="0">#N/A</definedName>
    <definedName name="SHARED_FORMULA_22" localSheetId="0">#N/A</definedName>
    <definedName name="SHARED_FORMULA_23" localSheetId="0">#N/A</definedName>
    <definedName name="SHARED_FORMULA_24" localSheetId="0">#N/A</definedName>
    <definedName name="SHARED_FORMULA_25" localSheetId="0">#N/A</definedName>
    <definedName name="SHARED_FORMULA_26" localSheetId="0">#N/A</definedName>
    <definedName name="SHARED_FORMULA_27" localSheetId="0">#N/A</definedName>
    <definedName name="SHARED_FORMULA_28" localSheetId="0">#N/A</definedName>
    <definedName name="SHARED_FORMULA_29" localSheetId="0">#N/A</definedName>
    <definedName name="SHARED_FORMULA_3" localSheetId="0">#N/A</definedName>
    <definedName name="SHARED_FORMULA_30" localSheetId="0">#N/A</definedName>
    <definedName name="SHARED_FORMULA_31" localSheetId="0">#N/A</definedName>
    <definedName name="SHARED_FORMULA_32" localSheetId="0">#N/A</definedName>
    <definedName name="SHARED_FORMULA_33" localSheetId="0">#N/A</definedName>
    <definedName name="SHARED_FORMULA_34" localSheetId="0">#N/A</definedName>
    <definedName name="SHARED_FORMULA_35" localSheetId="0">#N/A</definedName>
    <definedName name="SHARED_FORMULA_36" localSheetId="0">#N/A</definedName>
    <definedName name="SHARED_FORMULA_37" localSheetId="0">#N/A</definedName>
    <definedName name="SHARED_FORMULA_38" localSheetId="0">#N/A</definedName>
    <definedName name="SHARED_FORMULA_39" localSheetId="0">#N/A</definedName>
    <definedName name="SHARED_FORMULA_4" localSheetId="0">#N/A</definedName>
    <definedName name="SHARED_FORMULA_40" localSheetId="0">#N/A</definedName>
    <definedName name="SHARED_FORMULA_41" localSheetId="0">#N/A</definedName>
    <definedName name="SHARED_FORMULA_42" localSheetId="0">#N/A</definedName>
    <definedName name="SHARED_FORMULA_43" localSheetId="0">#N/A</definedName>
    <definedName name="SHARED_FORMULA_44" localSheetId="0">#N/A</definedName>
    <definedName name="SHARED_FORMULA_45" localSheetId="0">#N/A</definedName>
    <definedName name="SHARED_FORMULA_46" localSheetId="0">#N/A</definedName>
    <definedName name="SHARED_FORMULA_47" localSheetId="0">#N/A</definedName>
    <definedName name="SHARED_FORMULA_48" localSheetId="0">#N/A</definedName>
    <definedName name="SHARED_FORMULA_49" localSheetId="0">#N/A</definedName>
    <definedName name="SHARED_FORMULA_5" localSheetId="0">#N/A</definedName>
    <definedName name="SHARED_FORMULA_50" localSheetId="0">#N/A</definedName>
    <definedName name="SHARED_FORMULA_51" localSheetId="0">#N/A</definedName>
    <definedName name="SHARED_FORMULA_52" localSheetId="0">#N/A</definedName>
    <definedName name="SHARED_FORMULA_53" localSheetId="0">#N/A</definedName>
    <definedName name="SHARED_FORMULA_54" localSheetId="0">#N/A</definedName>
    <definedName name="SHARED_FORMULA_55" localSheetId="0">#N/A</definedName>
    <definedName name="SHARED_FORMULA_56" localSheetId="0">#N/A</definedName>
    <definedName name="SHARED_FORMULA_57" localSheetId="0">#N/A</definedName>
    <definedName name="SHARED_FORMULA_58" localSheetId="0">#N/A</definedName>
    <definedName name="SHARED_FORMULA_59" localSheetId="0">#N/A</definedName>
    <definedName name="SHARED_FORMULA_6" localSheetId="0">#N/A</definedName>
    <definedName name="SHARED_FORMULA_60" localSheetId="0">#N/A</definedName>
    <definedName name="SHARED_FORMULA_61" localSheetId="0">#N/A</definedName>
    <definedName name="SHARED_FORMULA_62" localSheetId="0">#N/A</definedName>
    <definedName name="SHARED_FORMULA_7" localSheetId="0">#N/A</definedName>
    <definedName name="SHARED_FORMULA_8" localSheetId="0">#N/A</definedName>
    <definedName name="SHARED_FORMULA_9" localSheetId="0">#N/A</definedName>
    <definedName name="SIH" localSheetId="0">#REF!</definedName>
    <definedName name="SIV" localSheetId="0">#REF!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>#REF!</definedName>
    <definedName name="susref" localSheetId="0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nia" localSheetId="0">#REF!</definedName>
    <definedName name="tc" localSheetId="0">#REF!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itulos" localSheetId="0">#REF!</definedName>
    <definedName name="TOT" localSheetId="0">#REF!</definedName>
    <definedName name="Total" localSheetId="0">#REF!</definedName>
    <definedName name="trjyidih" localSheetId="0" hidden="1">{#N/A,#N/A,FALSE,"Plan1";#N/A,#N/A,FALSE,"Plan2"}</definedName>
    <definedName name="TRP" localSheetId="0">#REF!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>#REF!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수당" localSheetId="0" hidden="1">#N/A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'TELECOMUNICAÇÃO'!$A$6:$L$204</definedName>
    <definedName name="_xlnm.Print_Area" localSheetId="0">'TELECOMUNICAÇÃO'!$A$1:$AJ$202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* #,##0.00_-;\-* #,##0.00_-;_-* &quot;-&quot;??_-;_-@_-"/>
    <numFmt numFmtId="166" formatCode="_-&quot;R$&quot;\ * #,##0.00_-;\-&quot;R$&quot;\ * #,##0.00_-;_-&quot;R$&quot;\ * &quot;-&quot;??_-;_-@_-"/>
  </numFmts>
  <fonts count="14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sz val="8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10"/>
    </font>
    <font>
      <name val="Arial"/>
      <family val="2"/>
      <sz val="9.5"/>
      <scheme val="minor"/>
    </font>
    <font>
      <name val="Arial"/>
      <family val="2"/>
      <sz val="9"/>
      <scheme val="minor"/>
    </font>
    <font>
      <name val="Trebuchet MS"/>
      <family val="2"/>
      <sz val="8"/>
    </font>
    <font>
      <name val="Arial"/>
      <family val="2"/>
      <b val="1"/>
      <color theme="0"/>
      <sz val="12"/>
      <scheme val="minor"/>
    </font>
    <font>
      <name val="Poppins"/>
      <b val="1"/>
      <color theme="0"/>
      <sz val="10"/>
    </font>
    <font>
      <name val="Arial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6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0" fontId="3" fillId="0" borderId="0"/>
    <xf numFmtId="43" fontId="7" fillId="0" borderId="0"/>
    <xf numFmtId="0" fontId="10" fillId="0" borderId="0"/>
    <xf numFmtId="0" fontId="1" fillId="0" borderId="0"/>
    <xf numFmtId="43" fontId="7" fillId="0" borderId="0"/>
    <xf numFmtId="43" fontId="1" fillId="0" borderId="0"/>
    <xf numFmtId="44" fontId="1" fillId="0" borderId="0"/>
    <xf numFmtId="0" fontId="7" fillId="0" borderId="0"/>
    <xf numFmtId="44" fontId="7" fillId="0" borderId="0"/>
  </cellStyleXfs>
  <cellXfs count="104">
    <xf numFmtId="0" fontId="0" fillId="0" borderId="0" pivotButton="0" quotePrefix="0" xfId="0"/>
    <xf numFmtId="0" fontId="4" fillId="0" borderId="1" applyAlignment="1" pivotButton="0" quotePrefix="0" xfId="1">
      <alignment vertical="center"/>
    </xf>
    <xf numFmtId="0" fontId="4" fillId="0" borderId="2" applyAlignment="1" pivotButton="0" quotePrefix="0" xfId="1">
      <alignment vertical="center"/>
    </xf>
    <xf numFmtId="0" fontId="5" fillId="0" borderId="3" applyAlignment="1" pivotButton="0" quotePrefix="0" xfId="1">
      <alignment vertical="center"/>
    </xf>
    <xf numFmtId="0" fontId="6" fillId="0" borderId="4" applyAlignment="1" pivotButton="0" quotePrefix="0" xfId="1">
      <alignment vertical="center"/>
    </xf>
    <xf numFmtId="0" fontId="4" fillId="0" borderId="4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6" fillId="0" borderId="6" applyAlignment="1" pivotButton="0" quotePrefix="0" xfId="1">
      <alignment vertical="center"/>
    </xf>
    <xf numFmtId="164" fontId="8" fillId="0" borderId="7" applyAlignment="1" pivotButton="0" quotePrefix="1" xfId="2">
      <alignment horizontal="left" vertical="center"/>
    </xf>
    <xf numFmtId="0" fontId="6" fillId="0" borderId="5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164" fontId="8" fillId="0" borderId="8" applyAlignment="1" pivotButton="0" quotePrefix="1" xfId="2">
      <alignment horizontal="left" vertical="center" wrapText="1"/>
    </xf>
    <xf numFmtId="17" fontId="6" fillId="0" borderId="9" applyAlignment="1" pivotButton="0" quotePrefix="0" xfId="1">
      <alignment horizontal="left" vertical="center"/>
    </xf>
    <xf numFmtId="17" fontId="6" fillId="0" borderId="8" applyAlignment="1" pivotButton="0" quotePrefix="0" xfId="1">
      <alignment horizontal="left" vertical="center"/>
    </xf>
    <xf numFmtId="17" fontId="6" fillId="0" borderId="10" applyAlignment="1" pivotButton="0" quotePrefix="0" xfId="1">
      <alignment horizontal="left" vertical="center"/>
    </xf>
    <xf numFmtId="0" fontId="11" fillId="2" borderId="11" applyAlignment="1" pivotButton="0" quotePrefix="0" xfId="3">
      <alignment horizontal="center" vertical="center"/>
    </xf>
    <xf numFmtId="0" fontId="11" fillId="2" borderId="12" applyAlignment="1" pivotButton="0" quotePrefix="0" xfId="3">
      <alignment horizontal="center" vertical="center"/>
    </xf>
    <xf numFmtId="0" fontId="11" fillId="2" borderId="13" applyAlignment="1" pivotButton="0" quotePrefix="0" xfId="3">
      <alignment horizontal="center" vertical="center"/>
    </xf>
    <xf numFmtId="0" fontId="12" fillId="3" borderId="14" applyAlignment="1" pivotButton="0" quotePrefix="0" xfId="4">
      <alignment horizontal="center" vertical="center"/>
    </xf>
    <xf numFmtId="0" fontId="1" fillId="0" borderId="0" applyAlignment="1" pivotButton="0" quotePrefix="0" xfId="4">
      <alignment vertical="center"/>
    </xf>
    <xf numFmtId="0" fontId="12" fillId="3" borderId="15" applyAlignment="1" pivotButton="0" quotePrefix="0" xfId="5">
      <alignment horizontal="center" vertical="center"/>
    </xf>
    <xf numFmtId="0" fontId="12" fillId="3" borderId="14" applyAlignment="1" pivotButton="0" quotePrefix="0" xfId="5">
      <alignment horizontal="center" vertical="center"/>
    </xf>
    <xf numFmtId="0" fontId="12" fillId="3" borderId="14" applyAlignment="1" pivotButton="0" quotePrefix="0" xfId="5">
      <alignment horizontal="center" vertical="center" wrapText="1"/>
    </xf>
    <xf numFmtId="0" fontId="12" fillId="3" borderId="16" applyAlignment="1" pivotButton="0" quotePrefix="0" xfId="5">
      <alignment horizontal="center" vertical="center"/>
    </xf>
    <xf numFmtId="0" fontId="1" fillId="4" borderId="17" applyAlignment="1" pivotButton="0" quotePrefix="0" xfId="4">
      <alignment vertical="center"/>
    </xf>
    <xf numFmtId="0" fontId="1" fillId="4" borderId="18" applyAlignment="1" pivotButton="0" quotePrefix="0" xfId="4">
      <alignment vertical="center"/>
    </xf>
    <xf numFmtId="0" fontId="1" fillId="4" borderId="19" applyAlignment="1" pivotButton="0" quotePrefix="0" xfId="4">
      <alignment vertical="center"/>
    </xf>
    <xf numFmtId="165" fontId="0" fillId="4" borderId="19" applyAlignment="1" pivotButton="0" quotePrefix="0" xfId="6">
      <alignment vertical="center"/>
    </xf>
    <xf numFmtId="165" fontId="13" fillId="4" borderId="19" applyAlignment="1" pivotButton="0" quotePrefix="0" xfId="6">
      <alignment vertical="center"/>
    </xf>
    <xf numFmtId="166" fontId="0" fillId="4" borderId="20" applyAlignment="1" pivotButton="0" quotePrefix="0" xfId="7">
      <alignment vertical="center"/>
    </xf>
    <xf numFmtId="165" fontId="0" fillId="4" borderId="21" applyAlignment="1" pivotButton="0" quotePrefix="0" xfId="6">
      <alignment vertical="center"/>
    </xf>
    <xf numFmtId="165" fontId="13" fillId="0" borderId="22" applyAlignment="1" pivotButton="0" quotePrefix="0" xfId="6">
      <alignment vertical="center"/>
    </xf>
    <xf numFmtId="165" fontId="13" fillId="0" borderId="23" applyAlignment="1" pivotButton="0" quotePrefix="0" xfId="6">
      <alignment vertical="center"/>
    </xf>
    <xf numFmtId="165" fontId="13" fillId="0" borderId="17" applyAlignment="1" pivotButton="0" quotePrefix="0" xfId="6">
      <alignment vertical="center"/>
    </xf>
    <xf numFmtId="165" fontId="13" fillId="5" borderId="23" applyAlignment="1" pivotButton="0" quotePrefix="0" xfId="6">
      <alignment vertical="center"/>
    </xf>
    <xf numFmtId="165" fontId="13" fillId="5" borderId="24" applyAlignment="1" pivotButton="0" quotePrefix="0" xfId="6">
      <alignment vertical="center"/>
    </xf>
    <xf numFmtId="0" fontId="1" fillId="0" borderId="17" applyAlignment="1" pivotButton="0" quotePrefix="0" xfId="4">
      <alignment vertical="center"/>
    </xf>
    <xf numFmtId="165" fontId="0" fillId="0" borderId="17" applyAlignment="1" pivotButton="0" quotePrefix="0" xfId="6">
      <alignment vertical="center"/>
    </xf>
    <xf numFmtId="165" fontId="0" fillId="0" borderId="25" applyAlignment="1" pivotButton="0" quotePrefix="0" xfId="6">
      <alignment vertical="center"/>
    </xf>
    <xf numFmtId="166" fontId="0" fillId="0" borderId="17" applyAlignment="1" pivotButton="0" quotePrefix="0" xfId="7">
      <alignment vertical="center"/>
    </xf>
    <xf numFmtId="165" fontId="0" fillId="6" borderId="21" applyAlignment="1" pivotButton="0" quotePrefix="0" xfId="6">
      <alignment vertical="center"/>
    </xf>
    <xf numFmtId="165" fontId="13" fillId="0" borderId="26" applyAlignment="1" pivotButton="0" quotePrefix="0" xfId="6">
      <alignment vertical="center"/>
    </xf>
    <xf numFmtId="165" fontId="13" fillId="5" borderId="17" applyAlignment="1" pivotButton="0" quotePrefix="0" xfId="6">
      <alignment vertical="center"/>
    </xf>
    <xf numFmtId="165" fontId="13" fillId="5" borderId="21" applyAlignment="1" pivotButton="0" quotePrefix="0" xfId="6">
      <alignment vertical="center"/>
    </xf>
    <xf numFmtId="165" fontId="13" fillId="0" borderId="27" applyAlignment="1" pivotButton="0" quotePrefix="0" xfId="6">
      <alignment vertical="center"/>
    </xf>
    <xf numFmtId="165" fontId="13" fillId="0" borderId="28" applyAlignment="1" pivotButton="0" quotePrefix="0" xfId="6">
      <alignment vertical="center"/>
    </xf>
    <xf numFmtId="165" fontId="13" fillId="5" borderId="28" applyAlignment="1" pivotButton="0" quotePrefix="0" xfId="6">
      <alignment vertical="center"/>
    </xf>
    <xf numFmtId="165" fontId="13" fillId="5" borderId="29" applyAlignment="1" pivotButton="0" quotePrefix="0" xfId="6">
      <alignment vertical="center"/>
    </xf>
    <xf numFmtId="0" fontId="7" fillId="0" borderId="0" pivotButton="0" quotePrefix="0" xfId="8"/>
    <xf numFmtId="0" fontId="7" fillId="0" borderId="0" applyAlignment="1" pivotButton="0" quotePrefix="0" xfId="8">
      <alignment vertical="center"/>
    </xf>
    <xf numFmtId="165" fontId="7" fillId="0" borderId="0" applyAlignment="1" pivotButton="0" quotePrefix="0" xfId="8">
      <alignment vertical="center"/>
    </xf>
    <xf numFmtId="0" fontId="1" fillId="4" borderId="30" applyAlignment="1" pivotButton="0" quotePrefix="0" xfId="4">
      <alignment vertical="center"/>
    </xf>
    <xf numFmtId="0" fontId="1" fillId="4" borderId="31" applyAlignment="1" pivotButton="0" quotePrefix="0" xfId="4">
      <alignment vertical="center"/>
    </xf>
    <xf numFmtId="0" fontId="1" fillId="4" borderId="32" applyAlignment="1" pivotButton="0" quotePrefix="0" xfId="4">
      <alignment vertical="center"/>
    </xf>
    <xf numFmtId="165" fontId="0" fillId="4" borderId="32" applyAlignment="1" pivotButton="0" quotePrefix="0" xfId="6">
      <alignment vertical="center"/>
    </xf>
    <xf numFmtId="165" fontId="13" fillId="4" borderId="32" applyAlignment="1" pivotButton="0" quotePrefix="0" xfId="6">
      <alignment vertical="center"/>
    </xf>
    <xf numFmtId="166" fontId="0" fillId="4" borderId="33" applyAlignment="1" pivotButton="0" quotePrefix="0" xfId="7">
      <alignment vertical="center"/>
    </xf>
    <xf numFmtId="165" fontId="0" fillId="4" borderId="34" applyAlignment="1" pivotButton="0" quotePrefix="0" xfId="6">
      <alignment vertical="center"/>
    </xf>
    <xf numFmtId="0" fontId="1" fillId="3" borderId="0" applyAlignment="1" pivotButton="0" quotePrefix="0" xfId="4">
      <alignment vertical="center"/>
    </xf>
    <xf numFmtId="0" fontId="2" fillId="3" borderId="0" applyAlignment="1" pivotButton="0" quotePrefix="0" xfId="4">
      <alignment horizontal="right" vertical="center"/>
    </xf>
    <xf numFmtId="165" fontId="2" fillId="3" borderId="0" applyAlignment="1" pivotButton="0" quotePrefix="0" xfId="6">
      <alignment vertical="center"/>
    </xf>
    <xf numFmtId="166" fontId="1" fillId="0" borderId="0" applyAlignment="1" pivotButton="0" quotePrefix="0" xfId="9">
      <alignment vertical="center"/>
    </xf>
    <xf numFmtId="164" fontId="8" fillId="0" borderId="7" applyAlignment="1" pivotButton="0" quotePrefix="1" xfId="2">
      <alignment horizontal="left" vertical="center"/>
    </xf>
    <xf numFmtId="164" fontId="8" fillId="0" borderId="8" applyAlignment="1" pivotButton="0" quotePrefix="1" xfId="2">
      <alignment horizontal="left" vertical="center" wrapText="1"/>
    </xf>
    <xf numFmtId="0" fontId="0" fillId="0" borderId="8" pivotButton="0" quotePrefix="0" xfId="0"/>
    <xf numFmtId="0" fontId="11" fillId="2" borderId="35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5" fontId="1" fillId="4" borderId="19" applyAlignment="1" pivotButton="0" quotePrefix="0" xfId="6">
      <alignment vertical="center"/>
    </xf>
    <xf numFmtId="165" fontId="13" fillId="4" borderId="19" applyAlignment="1" pivotButton="0" quotePrefix="0" xfId="6">
      <alignment vertical="center"/>
    </xf>
    <xf numFmtId="166" fontId="1" fillId="4" borderId="20" applyAlignment="1" pivotButton="0" quotePrefix="0" xfId="7">
      <alignment vertical="center"/>
    </xf>
    <xf numFmtId="165" fontId="1" fillId="4" borderId="21" applyAlignment="1" pivotButton="0" quotePrefix="0" xfId="6">
      <alignment vertical="center"/>
    </xf>
    <xf numFmtId="0" fontId="1" fillId="0" borderId="0" pivotButton="0" quotePrefix="0" xfId="0"/>
    <xf numFmtId="165" fontId="13" fillId="0" borderId="22" applyAlignment="1" pivotButton="0" quotePrefix="0" xfId="6">
      <alignment vertical="center"/>
    </xf>
    <xf numFmtId="165" fontId="13" fillId="0" borderId="23" applyAlignment="1" pivotButton="0" quotePrefix="0" xfId="6">
      <alignment vertical="center"/>
    </xf>
    <xf numFmtId="165" fontId="13" fillId="5" borderId="23" applyAlignment="1" pivotButton="0" quotePrefix="0" xfId="6">
      <alignment vertical="center"/>
    </xf>
    <xf numFmtId="165" fontId="13" fillId="5" borderId="24" applyAlignment="1" pivotButton="0" quotePrefix="0" xfId="6">
      <alignment vertical="center"/>
    </xf>
    <xf numFmtId="165" fontId="1" fillId="0" borderId="17" applyAlignment="1" pivotButton="0" quotePrefix="0" xfId="6">
      <alignment vertical="center"/>
    </xf>
    <xf numFmtId="165" fontId="1" fillId="0" borderId="25" applyAlignment="1" pivotButton="0" quotePrefix="0" xfId="6">
      <alignment vertical="center"/>
    </xf>
    <xf numFmtId="165" fontId="13" fillId="0" borderId="17" applyAlignment="1" pivotButton="0" quotePrefix="0" xfId="6">
      <alignment vertical="center"/>
    </xf>
    <xf numFmtId="166" fontId="1" fillId="0" borderId="17" applyAlignment="1" pivotButton="0" quotePrefix="0" xfId="7">
      <alignment vertical="center"/>
    </xf>
    <xf numFmtId="165" fontId="1" fillId="6" borderId="21" applyAlignment="1" pivotButton="0" quotePrefix="0" xfId="6">
      <alignment vertical="center"/>
    </xf>
    <xf numFmtId="165" fontId="13" fillId="0" borderId="26" applyAlignment="1" pivotButton="0" quotePrefix="0" xfId="6">
      <alignment vertical="center"/>
    </xf>
    <xf numFmtId="165" fontId="13" fillId="5" borderId="17" applyAlignment="1" pivotButton="0" quotePrefix="0" xfId="6">
      <alignment vertical="center"/>
    </xf>
    <xf numFmtId="165" fontId="13" fillId="5" borderId="21" applyAlignment="1" pivotButton="0" quotePrefix="0" xfId="6">
      <alignment vertical="center"/>
    </xf>
    <xf numFmtId="165" fontId="13" fillId="0" borderId="27" applyAlignment="1" pivotButton="0" quotePrefix="0" xfId="6">
      <alignment vertical="center"/>
    </xf>
    <xf numFmtId="165" fontId="13" fillId="0" borderId="28" applyAlignment="1" pivotButton="0" quotePrefix="0" xfId="6">
      <alignment vertical="center"/>
    </xf>
    <xf numFmtId="165" fontId="13" fillId="5" borderId="28" applyAlignment="1" pivotButton="0" quotePrefix="0" xfId="6">
      <alignment vertical="center"/>
    </xf>
    <xf numFmtId="165" fontId="13" fillId="5" borderId="29" applyAlignment="1" pivotButton="0" quotePrefix="0" xfId="6">
      <alignment vertical="center"/>
    </xf>
    <xf numFmtId="165" fontId="7" fillId="0" borderId="0" applyAlignment="1" pivotButton="0" quotePrefix="0" xfId="8">
      <alignment vertical="center"/>
    </xf>
    <xf numFmtId="0" fontId="13" fillId="0" borderId="22" applyAlignment="1" pivotButton="0" quotePrefix="0" xfId="8">
      <alignment vertical="center"/>
    </xf>
    <xf numFmtId="0" fontId="13" fillId="0" borderId="23" applyAlignment="1" pivotButton="0" quotePrefix="0" xfId="8">
      <alignment vertical="center"/>
    </xf>
    <xf numFmtId="0" fontId="13" fillId="5" borderId="23" applyAlignment="1" pivotButton="0" quotePrefix="0" xfId="8">
      <alignment vertical="center"/>
    </xf>
    <xf numFmtId="0" fontId="13" fillId="5" borderId="24" applyAlignment="1" pivotButton="0" quotePrefix="0" xfId="8">
      <alignment vertical="center"/>
    </xf>
    <xf numFmtId="165" fontId="0" fillId="0" borderId="17" applyAlignment="1" pivotButton="0" quotePrefix="0" xfId="6">
      <alignment vertical="center"/>
    </xf>
    <xf numFmtId="166" fontId="0" fillId="0" borderId="17" applyAlignment="1" pivotButton="0" quotePrefix="0" xfId="7">
      <alignment vertical="center"/>
    </xf>
    <xf numFmtId="165" fontId="0" fillId="6" borderId="21" applyAlignment="1" pivotButton="0" quotePrefix="0" xfId="6">
      <alignment vertical="center"/>
    </xf>
    <xf numFmtId="165" fontId="0" fillId="4" borderId="32" applyAlignment="1" pivotButton="0" quotePrefix="0" xfId="6">
      <alignment vertical="center"/>
    </xf>
    <xf numFmtId="165" fontId="13" fillId="4" borderId="32" applyAlignment="1" pivotButton="0" quotePrefix="0" xfId="6">
      <alignment vertical="center"/>
    </xf>
    <xf numFmtId="166" fontId="0" fillId="4" borderId="33" applyAlignment="1" pivotButton="0" quotePrefix="0" xfId="7">
      <alignment vertical="center"/>
    </xf>
    <xf numFmtId="165" fontId="0" fillId="4" borderId="34" applyAlignment="1" pivotButton="0" quotePrefix="0" xfId="6">
      <alignment vertical="center"/>
    </xf>
    <xf numFmtId="165" fontId="2" fillId="3" borderId="0" applyAlignment="1" pivotButton="0" quotePrefix="0" xfId="6">
      <alignment vertical="center"/>
    </xf>
    <xf numFmtId="166" fontId="1" fillId="0" borderId="0" applyAlignment="1" pivotButton="0" quotePrefix="0" xfId="9">
      <alignment vertical="center"/>
    </xf>
  </cellXfs>
  <cellStyles count="10">
    <cellStyle name="Normal" xfId="0" builtinId="0"/>
    <cellStyle name="Normal 10" xfId="1"/>
    <cellStyle name="Vírgula 3 2" xfId="2"/>
    <cellStyle name="Normal 8" xfId="3"/>
    <cellStyle name="Normal 34 2 2 2" xfId="4"/>
    <cellStyle name="Vírgula 5 2" xfId="5"/>
    <cellStyle name="Vírgula 31 3 2" xfId="6"/>
    <cellStyle name="Moeda 16 2 2" xfId="7"/>
    <cellStyle name="Normal 2 4" xfId="8"/>
    <cellStyle name="Moeda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103991</colOff>
      <row>0</row>
      <rowOff>149679</rowOff>
    </from>
    <ext cx="1800289" cy="388204"/>
    <pic>
      <nvPicPr>
        <cNvPr id="2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991" y="149679"/>
          <a:ext cx="1800289" cy="388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ROJETOS"/>
      <sheetName val="Ger_Tec e Adm"/>
      <sheetName val="Ger_Executivo_Cartesian"/>
      <sheetName val="EAP"/>
      <sheetName val="EAP - app"/>
      <sheetName val="EPCs"/>
      <sheetName val="CANTEIRO"/>
      <sheetName val="Cont.Tecnol.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J211"/>
  <sheetViews>
    <sheetView showGridLines="0" tabSelected="1" view="pageBreakPreview" zoomScale="85" zoomScaleNormal="85" zoomScaleSheetLayoutView="85" workbookViewId="0">
      <pane ySplit="6" topLeftCell="A7" activePane="bottomLeft" state="frozen"/>
      <selection activeCell="X67" sqref="X67"/>
      <selection pane="bottomLeft" activeCell="X67" sqref="X67"/>
    </sheetView>
  </sheetViews>
  <sheetFormatPr baseColWidth="8" defaultRowHeight="14.25"/>
  <cols>
    <col width="14" bestFit="1" customWidth="1" style="20" min="1" max="1"/>
    <col width="22" customWidth="1" style="20" min="2" max="2"/>
    <col width="34" customWidth="1" style="20" min="3" max="3"/>
    <col width="21.5" customWidth="1" style="20" min="4" max="4"/>
    <col width="61.125" customWidth="1" style="20" min="5" max="5"/>
    <col width="13.5" bestFit="1" customWidth="1" style="20" min="6" max="6"/>
    <col width="16.375" bestFit="1" customWidth="1" style="20" min="7" max="7"/>
    <col width="8.375" bestFit="1" customWidth="1" style="20" min="8" max="8"/>
    <col width="13.25" bestFit="1" customWidth="1" style="20" min="9" max="9"/>
    <col width="11.625" bestFit="1" customWidth="1" style="20" min="10" max="10"/>
    <col width="13.25" bestFit="1" customWidth="1" style="20" min="11" max="11"/>
    <col width="21.875" customWidth="1" style="20" min="12" max="12"/>
    <col width="5.5" customWidth="1" style="20" min="13" max="13"/>
    <col width="13" bestFit="1" customWidth="1" style="20" min="14" max="14"/>
    <col width="21.75" customWidth="1" style="20" min="15" max="15"/>
    <col width="13" customWidth="1" style="20" min="16" max="16"/>
    <col width="15.5" customWidth="1" style="20" min="17" max="17"/>
    <col width="16.25" customWidth="1" style="20" min="18" max="18"/>
    <col width="15" customWidth="1" style="20" min="19" max="20"/>
    <col width="15.625" customWidth="1" style="20" min="21" max="21"/>
    <col width="13" customWidth="1" style="20" min="22" max="22"/>
    <col width="16.375" customWidth="1" style="20" min="23" max="23"/>
    <col width="13" customWidth="1" style="20" min="24" max="24"/>
    <col width="15.625" customWidth="1" style="20" min="25" max="25"/>
    <col width="13" customWidth="1" style="20" min="26" max="30"/>
    <col width="15.625" customWidth="1" style="20" min="31" max="31"/>
    <col width="13" customWidth="1" style="20" min="32" max="32"/>
    <col width="16.25" customWidth="1" style="20" min="33" max="33"/>
    <col width="15.125" customWidth="1" style="20" min="34" max="34"/>
    <col width="14.375" bestFit="1" customWidth="1" style="20" min="35" max="35"/>
    <col width="9" customWidth="1" style="20" min="36" max="16384"/>
  </cols>
  <sheetData>
    <row r="1" ht="15" customFormat="1" customHeight="1" s="7">
      <c r="A1" s="1" t="n"/>
      <c r="B1" s="2" t="n"/>
      <c r="C1" s="3" t="inlineStr">
        <is>
          <t>Projeto</t>
        </is>
      </c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6" t="n"/>
    </row>
    <row r="2" ht="15" customFormat="1" customHeight="1" s="11">
      <c r="A2" s="8" t="n"/>
      <c r="B2" s="7" t="n"/>
      <c r="C2" s="3" t="inlineStr">
        <is>
          <t>Empresa</t>
        </is>
      </c>
      <c r="D2" s="63" t="inlineStr">
        <is>
          <t>Thozen</t>
        </is>
      </c>
      <c r="E2" s="6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10" t="n"/>
    </row>
    <row r="3" ht="15" customFormat="1" customHeight="1" s="11">
      <c r="A3" s="8" t="n"/>
      <c r="B3" s="7" t="n"/>
      <c r="C3" s="3" t="inlineStr">
        <is>
          <t>Origem</t>
        </is>
      </c>
      <c r="D3" s="64" t="inlineStr">
        <is>
          <t>CTN-TZN_ELT-TEL-R00</t>
        </is>
      </c>
      <c r="E3" s="65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10" t="n"/>
    </row>
    <row r="4" ht="15" customFormat="1" customHeight="1" s="11">
      <c r="A4" s="13" t="n"/>
      <c r="B4" s="14" t="n"/>
      <c r="C4" s="3" t="inlineStr">
        <is>
          <t>Revisão</t>
        </is>
      </c>
      <c r="D4" s="4" t="inlineStr">
        <is>
          <t>R00 - Jarvis/IFC 24/03/2026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15" t="n"/>
    </row>
    <row r="5" ht="22.15" customFormat="1" customHeight="1" s="7" thickBot="1">
      <c r="A5" s="66" t="inlineStr">
        <is>
          <t>TELECOMUNICAÇÃO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7" t="n"/>
      <c r="AJ5" s="68" t="n"/>
    </row>
    <row r="6" ht="41.25" customHeight="1" thickBot="1">
      <c r="A6" s="19" t="inlineStr">
        <is>
          <t>TORRE</t>
        </is>
      </c>
      <c r="B6" s="19" t="inlineStr">
        <is>
          <t>PAVIMENTO</t>
        </is>
      </c>
      <c r="C6" s="19" t="inlineStr">
        <is>
          <t>GRUPO/EAP</t>
        </is>
      </c>
      <c r="D6" s="19" t="inlineStr">
        <is>
          <t>SUBGRUPO</t>
        </is>
      </c>
      <c r="E6" s="19" t="inlineStr">
        <is>
          <t>Descrição</t>
        </is>
      </c>
      <c r="F6" s="19" t="inlineStr">
        <is>
          <t>Quantidade</t>
        </is>
      </c>
      <c r="G6" s="19" t="inlineStr">
        <is>
          <t>Repetição</t>
        </is>
      </c>
      <c r="H6" s="19" t="inlineStr">
        <is>
          <t>Perda</t>
        </is>
      </c>
      <c r="I6" s="19" t="inlineStr">
        <is>
          <t>Qte com perda</t>
        </is>
      </c>
      <c r="J6" s="19" t="inlineStr">
        <is>
          <t>Unidade</t>
        </is>
      </c>
      <c r="K6" s="19" t="inlineStr">
        <is>
          <t>Custo unitário</t>
        </is>
      </c>
      <c r="L6" s="19" t="inlineStr">
        <is>
          <t>Custo Total</t>
        </is>
      </c>
      <c r="N6" s="21" t="inlineStr">
        <is>
          <t>Torre</t>
        </is>
      </c>
      <c r="O6" s="22" t="inlineStr">
        <is>
          <t>EAP</t>
        </is>
      </c>
      <c r="P6" s="22" t="inlineStr">
        <is>
          <t>TÉRREO</t>
        </is>
      </c>
      <c r="Q6" s="23" t="inlineStr">
        <is>
          <t>GARAGEM 01</t>
        </is>
      </c>
      <c r="R6" s="23" t="inlineStr">
        <is>
          <t>GARAGEM 02</t>
        </is>
      </c>
      <c r="S6" s="23" t="inlineStr">
        <is>
          <t>GARAGEM 03</t>
        </is>
      </c>
      <c r="T6" s="23" t="inlineStr">
        <is>
          <t>GARAGEM 04</t>
        </is>
      </c>
      <c r="U6" s="23" t="inlineStr">
        <is>
          <t>GARAGEM 05</t>
        </is>
      </c>
      <c r="V6" s="23" t="inlineStr">
        <is>
          <t>LAZER</t>
        </is>
      </c>
      <c r="W6" s="23" t="inlineStr">
        <is>
          <t>PAVIMENTO TIPO</t>
        </is>
      </c>
      <c r="X6" s="23" t="inlineStr">
        <is>
          <t>CASA DE MÁQUINAS</t>
        </is>
      </c>
      <c r="Y6" s="23" t="inlineStr">
        <is>
          <t>TOTAL</t>
        </is>
      </c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4" t="n"/>
    </row>
    <row r="7">
      <c r="A7" s="25" t="inlineStr">
        <is>
          <t>TORRE</t>
        </is>
      </c>
      <c r="B7" s="25" t="inlineStr">
        <is>
          <t>TÉRREO</t>
        </is>
      </c>
      <c r="C7" s="26" t="n"/>
      <c r="D7" s="27" t="n"/>
      <c r="E7" s="27" t="n"/>
      <c r="F7" s="69" t="n"/>
      <c r="G7" s="69" t="n"/>
      <c r="H7" s="69" t="n"/>
      <c r="I7" s="70" t="n"/>
      <c r="J7" s="69" t="n"/>
      <c r="K7" s="71" t="n"/>
      <c r="L7" s="72">
        <f>IF(SUM(F7:K7)=0,SUMIFS($L8:$L$535,$B8:$B$535,$B7,$A8:$A$535,$A7),I7*K7)</f>
        <v/>
      </c>
      <c r="M7" s="73" t="n"/>
      <c r="N7" s="74" t="inlineStr">
        <is>
          <t>TORRE</t>
        </is>
      </c>
      <c r="O7" s="75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76" t="n"/>
      <c r="AB7" s="76" t="n"/>
      <c r="AC7" s="76" t="n"/>
      <c r="AD7" s="76" t="n"/>
      <c r="AE7" s="76" t="n"/>
      <c r="AF7" s="76" t="n"/>
      <c r="AG7" s="76" t="n"/>
      <c r="AH7" s="76" t="n"/>
      <c r="AI7" s="77" t="n"/>
      <c r="AJ7" s="73" t="n"/>
    </row>
    <row r="8">
      <c r="A8" s="37">
        <f>A7</f>
        <v/>
      </c>
      <c r="B8" s="37">
        <f>B7</f>
        <v/>
      </c>
      <c r="C8" s="37" t="inlineStr">
        <is>
          <t>INSTALAÇÕES DE TELECOMUNICAÇÃO</t>
        </is>
      </c>
      <c r="D8" s="37" t="inlineStr">
        <is>
          <t>CAIXA OCTOGONAL</t>
        </is>
      </c>
      <c r="E8" s="37" t="inlineStr">
        <is>
          <t>Caixa Octogonal Padrão NBR IEC 60670</t>
        </is>
      </c>
      <c r="F8" s="78" t="n">
        <v>61</v>
      </c>
      <c r="G8" s="78" t="n">
        <v>1</v>
      </c>
      <c r="H8" s="79" t="n">
        <v>0</v>
      </c>
      <c r="I8" s="80">
        <f>(F8+H8*F8)*G8</f>
        <v/>
      </c>
      <c r="J8" s="78" t="inlineStr">
        <is>
          <t>pç</t>
        </is>
      </c>
      <c r="K8" s="81" t="n">
        <v>9.800000000000001</v>
      </c>
      <c r="L8" s="82">
        <f>IF(SUM(F8:K8)=0,SUMIFS($L9:$L$535,$B9:$B$535,$B8,$A9:$A$535,$A8),I8*K8)</f>
        <v/>
      </c>
      <c r="N8" s="83" t="inlineStr">
        <is>
          <t>TORRE</t>
        </is>
      </c>
      <c r="O8" s="80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4" t="n"/>
      <c r="AE8" s="84" t="n"/>
      <c r="AF8" s="84" t="n"/>
      <c r="AG8" s="84" t="n"/>
      <c r="AH8" s="84" t="n"/>
      <c r="AI8" s="85" t="n"/>
    </row>
    <row r="9">
      <c r="A9" s="37">
        <f>A8</f>
        <v/>
      </c>
      <c r="B9" s="37">
        <f>B8</f>
        <v/>
      </c>
      <c r="C9" s="37" t="inlineStr">
        <is>
          <t>INSTALAÇÕES DE TELECOMUNICAÇÃO</t>
        </is>
      </c>
      <c r="D9" s="37" t="inlineStr">
        <is>
          <t>CAIXA OCTOGONAL</t>
        </is>
      </c>
      <c r="E9" s="37" t="inlineStr">
        <is>
          <t>Placa cega para caixa octogonal Padrão NBR IEC 60670</t>
        </is>
      </c>
      <c r="F9" s="78" t="n">
        <v>10</v>
      </c>
      <c r="G9" s="78" t="n">
        <v>1</v>
      </c>
      <c r="H9" s="79" t="n">
        <v>0</v>
      </c>
      <c r="I9" s="80">
        <f>(F9+H9*F9)*G9</f>
        <v/>
      </c>
      <c r="J9" s="78" t="inlineStr">
        <is>
          <t>pç</t>
        </is>
      </c>
      <c r="K9" s="81" t="n">
        <v>6.5</v>
      </c>
      <c r="L9" s="82">
        <f>IF(SUM(F9:K9)=0,SUMIFS($L10:$L$535,$B10:$B$535,$B9,$A10:$A$535,$A9),I9*K9)</f>
        <v/>
      </c>
      <c r="N9" s="83" t="inlineStr">
        <is>
          <t>TORRE</t>
        </is>
      </c>
      <c r="O9" s="80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4" t="n"/>
      <c r="AE9" s="84" t="n"/>
      <c r="AF9" s="84" t="n"/>
      <c r="AG9" s="84" t="n"/>
      <c r="AH9" s="84" t="n"/>
      <c r="AI9" s="85" t="n"/>
    </row>
    <row r="10">
      <c r="A10" s="37">
        <f>A9</f>
        <v/>
      </c>
      <c r="B10" s="37">
        <f>B9</f>
        <v/>
      </c>
      <c r="C10" s="37" t="inlineStr">
        <is>
          <t>INSTALAÇÕES DE TELECOMUNICAÇÃO</t>
        </is>
      </c>
      <c r="D10" s="37" t="inlineStr">
        <is>
          <t>CAIXA 4x2" E 4x4"</t>
        </is>
      </c>
      <c r="E10" s="37" t="inlineStr">
        <is>
          <t>Caixa 4x2" de Embutir em PVC Padrão NBR IEC 60670</t>
        </is>
      </c>
      <c r="F10" s="78" t="n">
        <v>193</v>
      </c>
      <c r="G10" s="78" t="n">
        <v>1</v>
      </c>
      <c r="H10" s="79" t="n">
        <v>0</v>
      </c>
      <c r="I10" s="80">
        <f>(F10+H10*F10)*G10</f>
        <v/>
      </c>
      <c r="J10" s="78" t="inlineStr">
        <is>
          <t>pç</t>
        </is>
      </c>
      <c r="K10" s="81" t="n">
        <v>5.9</v>
      </c>
      <c r="L10" s="82">
        <f>IF(SUM(F10:K10)=0,SUMIFS($L11:$L$535,$B11:$B$535,$B10,$A11:$A$535,$A10),I10*K10)</f>
        <v/>
      </c>
      <c r="N10" s="83" t="inlineStr">
        <is>
          <t>TORRE</t>
        </is>
      </c>
      <c r="O10" s="80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4" t="n"/>
      <c r="AI10" s="85" t="n"/>
    </row>
    <row r="11" ht="15" customHeight="1" thickBot="1">
      <c r="A11" s="37">
        <f>A10</f>
        <v/>
      </c>
      <c r="B11" s="37">
        <f>B10</f>
        <v/>
      </c>
      <c r="C11" s="37" t="inlineStr">
        <is>
          <t>INSTALAÇÕES DE TELECOMUNICAÇÃO</t>
        </is>
      </c>
      <c r="D11" s="37" t="inlineStr">
        <is>
          <t>CAIXA 4x2" E 4x4"</t>
        </is>
      </c>
      <c r="E11" s="37" t="inlineStr">
        <is>
          <t>Caixa 4x4" de Embutir em PVC Padrão NBR IEC 60670</t>
        </is>
      </c>
      <c r="F11" s="78" t="n">
        <v>68</v>
      </c>
      <c r="G11" s="78" t="n">
        <v>1</v>
      </c>
      <c r="H11" s="79" t="n">
        <v>0</v>
      </c>
      <c r="I11" s="80">
        <f>(F11+H11*F11)*G11</f>
        <v/>
      </c>
      <c r="J11" s="78" t="inlineStr">
        <is>
          <t>pç</t>
        </is>
      </c>
      <c r="K11" s="81" t="n">
        <v>8.9</v>
      </c>
      <c r="L11" s="82">
        <f>IF(SUM(F11:K11)=0,SUMIFS($L12:$L$535,$B12:$B$535,$B11,$A12:$A$535,$A11),I11*K11)</f>
        <v/>
      </c>
      <c r="N11" s="86" t="inlineStr">
        <is>
          <t>TORRE</t>
        </is>
      </c>
      <c r="O11" s="87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8" t="n"/>
      <c r="AB11" s="88" t="n"/>
      <c r="AC11" s="88" t="n"/>
      <c r="AD11" s="88" t="n"/>
      <c r="AE11" s="88" t="n"/>
      <c r="AF11" s="88" t="n"/>
      <c r="AG11" s="88" t="n"/>
      <c r="AH11" s="88" t="n"/>
      <c r="AI11" s="89" t="n"/>
    </row>
    <row r="12">
      <c r="A12" s="37">
        <f>A11</f>
        <v/>
      </c>
      <c r="B12" s="37">
        <f>B11</f>
        <v/>
      </c>
      <c r="C12" s="37" t="inlineStr">
        <is>
          <t>INSTALAÇÕES DE TELECOMUNICAÇÃO</t>
        </is>
      </c>
      <c r="D12" s="37" t="inlineStr">
        <is>
          <t>CAIXA 4x2" E 4x4"</t>
        </is>
      </c>
      <c r="E12" s="37" t="inlineStr">
        <is>
          <t>Placa 4x2" cega Padrão NBR IEC 60670</t>
        </is>
      </c>
      <c r="F12" s="78" t="n">
        <v>90</v>
      </c>
      <c r="G12" s="78" t="n">
        <v>1</v>
      </c>
      <c r="H12" s="79" t="n">
        <v>0</v>
      </c>
      <c r="I12" s="80">
        <f>(F12+H12*F12)*G12</f>
        <v/>
      </c>
      <c r="J12" s="78" t="inlineStr">
        <is>
          <t>pç</t>
        </is>
      </c>
      <c r="K12" s="81" t="n">
        <v>4.5</v>
      </c>
      <c r="L12" s="82">
        <f>IF(SUM(F12:K12)=0,SUMIFS($L13:$L$535,$B13:$B$535,$B12,$A13:$A$535,$A12),I12*K12)</f>
        <v/>
      </c>
      <c r="N12" s="49" t="inlineStr">
        <is>
          <t>TORRE</t>
        </is>
      </c>
      <c r="O12" s="49" t="n"/>
      <c r="P12" s="50" t="n"/>
      <c r="Q12" s="50" t="n"/>
      <c r="R12" s="49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90" t="n"/>
    </row>
    <row r="13">
      <c r="A13" s="37">
        <f>A12</f>
        <v/>
      </c>
      <c r="B13" s="37">
        <f>B12</f>
        <v/>
      </c>
      <c r="C13" s="37" t="inlineStr">
        <is>
          <t>INSTALAÇÕES DE TELECOMUNICAÇÃO</t>
        </is>
      </c>
      <c r="D13" s="37" t="inlineStr">
        <is>
          <t>CAIXA 4x2" E 4x4"</t>
        </is>
      </c>
      <c r="E13" s="37" t="inlineStr">
        <is>
          <t>Placa 4x2" para 2 funções Padrão NBR IEC 60670</t>
        </is>
      </c>
      <c r="F13" s="78" t="n">
        <v>12</v>
      </c>
      <c r="G13" s="78" t="n">
        <v>1</v>
      </c>
      <c r="H13" s="79" t="n">
        <v>0</v>
      </c>
      <c r="I13" s="80">
        <f>(F13+H13*F13)*G13</f>
        <v/>
      </c>
      <c r="J13" s="78" t="inlineStr">
        <is>
          <t>pç</t>
        </is>
      </c>
      <c r="K13" s="81" t="n">
        <v>7.8</v>
      </c>
      <c r="L13" s="82">
        <f>IF(SUM(F13:K13)=0,SUMIFS($L14:$L$535,$B14:$B$535,$B13,$A14:$A$535,$A13),I13*K13)</f>
        <v/>
      </c>
      <c r="N13" s="49" t="inlineStr">
        <is>
          <t>TORRE</t>
        </is>
      </c>
      <c r="O13" s="49" t="n"/>
      <c r="P13" s="50" t="n"/>
      <c r="Q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</row>
    <row r="14">
      <c r="A14" s="37">
        <f>A13</f>
        <v/>
      </c>
      <c r="B14" s="37">
        <f>B13</f>
        <v/>
      </c>
      <c r="C14" s="37" t="inlineStr">
        <is>
          <t>INSTALAÇÕES DE TELECOMUNICAÇÃO</t>
        </is>
      </c>
      <c r="D14" s="37" t="inlineStr">
        <is>
          <t>CAIXA 4x2" E 4x4"</t>
        </is>
      </c>
      <c r="E14" s="37" t="inlineStr">
        <is>
          <t>Placa 4x2" para 3 funções Padrão NBR IEC 60670</t>
        </is>
      </c>
      <c r="F14" s="78" t="n">
        <v>8</v>
      </c>
      <c r="G14" s="78" t="n">
        <v>1</v>
      </c>
      <c r="H14" s="79" t="n">
        <v>0</v>
      </c>
      <c r="I14" s="80">
        <f>(F14+H14*F14)*G14</f>
        <v/>
      </c>
      <c r="J14" s="78" t="inlineStr">
        <is>
          <t>pç</t>
        </is>
      </c>
      <c r="K14" s="81" t="n">
        <v>8.9</v>
      </c>
      <c r="L14" s="82">
        <f>IF(SUM(F14:K14)=0,SUMIFS($L15:$L$535,$B15:$B$535,$B14,$A15:$A$535,$A14),I14*K14)</f>
        <v/>
      </c>
      <c r="N14" s="49" t="inlineStr">
        <is>
          <t>TORRE</t>
        </is>
      </c>
      <c r="O14" s="49" t="n"/>
      <c r="P14" s="50" t="n"/>
      <c r="Q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</row>
    <row r="15">
      <c r="A15" s="37">
        <f>A14</f>
        <v/>
      </c>
      <c r="B15" s="37">
        <f>B14</f>
        <v/>
      </c>
      <c r="C15" s="37" t="inlineStr">
        <is>
          <t>INSTALAÇÕES DE TELECOMUNICAÇÃO</t>
        </is>
      </c>
      <c r="D15" s="37" t="inlineStr">
        <is>
          <t>CAIXA 4x2" E 4x4"</t>
        </is>
      </c>
      <c r="E15" s="37" t="inlineStr">
        <is>
          <t>Placa 4x4" cega Padrão NBR IEC 60670</t>
        </is>
      </c>
      <c r="F15" s="78" t="n">
        <v>68</v>
      </c>
      <c r="G15" s="78" t="n">
        <v>1</v>
      </c>
      <c r="H15" s="79" t="n">
        <v>0</v>
      </c>
      <c r="I15" s="80">
        <f>(F15+H15*F15)*G15</f>
        <v/>
      </c>
      <c r="J15" s="78" t="inlineStr">
        <is>
          <t>pç</t>
        </is>
      </c>
      <c r="K15" s="81" t="n">
        <v>7.5</v>
      </c>
      <c r="L15" s="82">
        <f>IF(SUM(F15:K15)=0,SUMIFS($L16:$L$535,$B16:$B$535,$B15,$A16:$A$535,$A15),I15*K15)</f>
        <v/>
      </c>
      <c r="N15" s="49" t="inlineStr">
        <is>
          <t>TORRE</t>
        </is>
      </c>
      <c r="O15" s="49" t="n"/>
      <c r="P15" s="50" t="n"/>
      <c r="Q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</row>
    <row r="16">
      <c r="A16" s="37">
        <f>A15</f>
        <v/>
      </c>
      <c r="B16" s="37">
        <f>B15</f>
        <v/>
      </c>
      <c r="C16" s="37" t="inlineStr">
        <is>
          <t>INSTALAÇÕES DE TELECOMUNICAÇÃO</t>
        </is>
      </c>
      <c r="D16" s="37" t="inlineStr">
        <is>
          <t>CAIXA 4x2" E 4x4"</t>
        </is>
      </c>
      <c r="E16" s="37" t="inlineStr">
        <is>
          <t>Suporte p/ caixa 4x2" Padrão NBR IEC 60670</t>
        </is>
      </c>
      <c r="F16" s="78" t="n">
        <v>193</v>
      </c>
      <c r="G16" s="78" t="n">
        <v>1</v>
      </c>
      <c r="H16" s="79" t="n">
        <v>0</v>
      </c>
      <c r="I16" s="80">
        <f>(F16+H16*F16)*G16</f>
        <v/>
      </c>
      <c r="J16" s="78" t="inlineStr">
        <is>
          <t>pç</t>
        </is>
      </c>
      <c r="K16" s="81" t="n">
        <v>2.4</v>
      </c>
      <c r="L16" s="82">
        <f>IF(SUM(F16:K16)=0,SUMIFS($L17:$L$535,$B17:$B$535,$B16,$A17:$A$535,$A16),I16*K16)</f>
        <v/>
      </c>
      <c r="N16" s="49" t="inlineStr">
        <is>
          <t>TORRE</t>
        </is>
      </c>
      <c r="O16" s="49" t="n"/>
      <c r="P16" s="50" t="n"/>
      <c r="Q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</row>
    <row r="17">
      <c r="A17" s="37">
        <f>A16</f>
        <v/>
      </c>
      <c r="B17" s="37">
        <f>B16</f>
        <v/>
      </c>
      <c r="C17" s="37" t="inlineStr">
        <is>
          <t>INSTALAÇÕES DE TELECOMUNICAÇÃO</t>
        </is>
      </c>
      <c r="D17" s="37" t="inlineStr">
        <is>
          <t>CAIXA 4x2" E 4x4"</t>
        </is>
      </c>
      <c r="E17" s="37" t="inlineStr">
        <is>
          <t>Suporte p/ caixa 4x4" Padrão NBR IEC 60670</t>
        </is>
      </c>
      <c r="F17" s="78" t="n">
        <v>68</v>
      </c>
      <c r="G17" s="78" t="n">
        <v>1</v>
      </c>
      <c r="H17" s="79" t="n">
        <v>0</v>
      </c>
      <c r="I17" s="80">
        <f>(F17+H17*F17)*G17</f>
        <v/>
      </c>
      <c r="J17" s="78" t="inlineStr">
        <is>
          <t>pç</t>
        </is>
      </c>
      <c r="K17" s="81" t="n">
        <v>3.2</v>
      </c>
      <c r="L17" s="82">
        <f>IF(SUM(F17:K17)=0,SUMIFS($L18:$L$535,$B18:$B$535,$B17,$A18:$A$535,$A17),I17*K17)</f>
        <v/>
      </c>
      <c r="N17" s="49" t="inlineStr">
        <is>
          <t>TORRE</t>
        </is>
      </c>
      <c r="O17" s="49" t="n"/>
      <c r="P17" s="50" t="n"/>
      <c r="Q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</row>
    <row r="18">
      <c r="A18" s="37">
        <f>A17</f>
        <v/>
      </c>
      <c r="B18" s="37">
        <f>B17</f>
        <v/>
      </c>
      <c r="C18" s="37" t="inlineStr">
        <is>
          <t>INSTALAÇÕES DE TELECOMUNICAÇÃO</t>
        </is>
      </c>
      <c r="D18" s="37" t="inlineStr">
        <is>
          <t>CAIXA DE PASSAGEM</t>
        </is>
      </c>
      <c r="E18" s="37" t="inlineStr">
        <is>
          <t>Cx de passagem de embutir com dimensão de 30x30x12 cm</t>
        </is>
      </c>
      <c r="F18" s="78" t="n">
        <v>4</v>
      </c>
      <c r="G18" s="78" t="n">
        <v>1</v>
      </c>
      <c r="H18" s="79" t="n">
        <v>0</v>
      </c>
      <c r="I18" s="80">
        <f>(F18+H18*F18)*G18</f>
        <v/>
      </c>
      <c r="J18" s="78" t="inlineStr">
        <is>
          <t>pç</t>
        </is>
      </c>
      <c r="K18" s="81" t="n">
        <v>145</v>
      </c>
      <c r="L18" s="82">
        <f>IF(SUM(F18:K18)=0,SUMIFS($L19:$L$535,$B19:$B$535,$B18,$A19:$A$535,$A18),I18*K18)</f>
        <v/>
      </c>
      <c r="N18" s="49" t="inlineStr">
        <is>
          <t>TORRE</t>
        </is>
      </c>
      <c r="O18" s="49" t="n"/>
      <c r="P18" s="50" t="n"/>
      <c r="Q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</row>
    <row r="19">
      <c r="A19" s="37">
        <f>A18</f>
        <v/>
      </c>
      <c r="B19" s="37">
        <f>B18</f>
        <v/>
      </c>
      <c r="C19" s="37" t="inlineStr">
        <is>
          <t>INSTALAÇÕES DE TELECOMUNICAÇÃO</t>
        </is>
      </c>
      <c r="D19" s="37" t="inlineStr">
        <is>
          <t>ELETRODUTOS</t>
        </is>
      </c>
      <c r="E19" s="37" t="inlineStr">
        <is>
          <t>PVC Flexível Antichama - NBR 15465 ø1"</t>
        </is>
      </c>
      <c r="F19" s="78" t="n">
        <v>672</v>
      </c>
      <c r="G19" s="78" t="n">
        <v>1</v>
      </c>
      <c r="H19" s="79" t="n">
        <v>0</v>
      </c>
      <c r="I19" s="80">
        <f>(F19+H19*F19)*G19</f>
        <v/>
      </c>
      <c r="J19" s="78" t="inlineStr">
        <is>
          <t>m</t>
        </is>
      </c>
      <c r="K19" s="81" t="n">
        <v>11.9</v>
      </c>
      <c r="L19" s="82">
        <f>IF(SUM(F19:K19)=0,SUMIFS($L20:$L$535,$B20:$B$535,$B19,$A20:$A$535,$A19),I19*K19)</f>
        <v/>
      </c>
      <c r="N19" s="49" t="inlineStr">
        <is>
          <t>TORRE</t>
        </is>
      </c>
      <c r="O19" s="49" t="n"/>
      <c r="P19" s="50" t="n"/>
      <c r="Q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50" t="n"/>
      <c r="AI19" s="50" t="n"/>
    </row>
    <row r="20">
      <c r="A20" s="37">
        <f>A19</f>
        <v/>
      </c>
      <c r="B20" s="37">
        <f>B19</f>
        <v/>
      </c>
      <c r="C20" s="37" t="inlineStr">
        <is>
          <t>INSTALAÇÕES DE TELECOMUNICAÇÃO</t>
        </is>
      </c>
      <c r="D20" s="37" t="inlineStr">
        <is>
          <t>ELETRODUTOS</t>
        </is>
      </c>
      <c r="E20" s="37" t="inlineStr">
        <is>
          <t>PVC Flexível Antichama - NBR 15465 ø3/4"</t>
        </is>
      </c>
      <c r="F20" s="78" t="n">
        <v>1011</v>
      </c>
      <c r="G20" s="78" t="n">
        <v>1</v>
      </c>
      <c r="H20" s="79" t="n">
        <v>0</v>
      </c>
      <c r="I20" s="80">
        <f>(F20+H20*F20)*G20</f>
        <v/>
      </c>
      <c r="J20" s="78" t="inlineStr">
        <is>
          <t>m</t>
        </is>
      </c>
      <c r="K20" s="81" t="n">
        <v>7.5</v>
      </c>
      <c r="L20" s="82">
        <f>IF(SUM(F20:K20)=0,SUMIFS($L21:$L$535,$B21:$B$535,$B20,$A21:$A$535,$A20),I20*K20)</f>
        <v/>
      </c>
      <c r="N20" s="49" t="inlineStr">
        <is>
          <t>TORRE</t>
        </is>
      </c>
      <c r="O20" s="49" t="n"/>
      <c r="P20" s="50" t="n"/>
      <c r="Q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50" t="n"/>
      <c r="AI20" s="50" t="n"/>
    </row>
    <row r="21">
      <c r="A21" s="37">
        <f>A20</f>
        <v/>
      </c>
      <c r="B21" s="37">
        <f>B20</f>
        <v/>
      </c>
      <c r="C21" s="37" t="inlineStr">
        <is>
          <t>INSTALAÇÕES DE TELECOMUNICAÇÃO</t>
        </is>
      </c>
      <c r="D21" s="37" t="inlineStr">
        <is>
          <t>MÓDULOS</t>
        </is>
      </c>
      <c r="E21" s="37" t="inlineStr">
        <is>
          <t>Módulo Coaxial</t>
        </is>
      </c>
      <c r="F21" s="78" t="n">
        <v>10</v>
      </c>
      <c r="G21" s="78" t="n">
        <v>1</v>
      </c>
      <c r="H21" s="79" t="n">
        <v>0</v>
      </c>
      <c r="I21" s="80">
        <f>(F21+H21*F21)*G21</f>
        <v/>
      </c>
      <c r="J21" s="78" t="inlineStr">
        <is>
          <t>pç</t>
        </is>
      </c>
      <c r="K21" s="81" t="n">
        <v>18.5</v>
      </c>
      <c r="L21" s="82">
        <f>IF(SUM(F21:K21)=0,SUMIFS($L22:$L$535,$B22:$B$535,$B21,$A22:$A$535,$A21),I21*K21)</f>
        <v/>
      </c>
      <c r="N21" s="49" t="inlineStr">
        <is>
          <t>TORRE</t>
        </is>
      </c>
      <c r="O21" s="49" t="n"/>
      <c r="P21" s="50" t="n"/>
      <c r="Q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50" t="n"/>
      <c r="AI21" s="50" t="n"/>
    </row>
    <row r="22" ht="15" customHeight="1" thickBot="1">
      <c r="A22" s="37">
        <f>A21</f>
        <v/>
      </c>
      <c r="B22" s="37">
        <f>B21</f>
        <v/>
      </c>
      <c r="C22" s="37" t="inlineStr">
        <is>
          <t>INSTALAÇÕES DE TELECOMUNICAÇÃO</t>
        </is>
      </c>
      <c r="D22" s="37" t="inlineStr">
        <is>
          <t>MÓDULOS</t>
        </is>
      </c>
      <c r="E22" s="37" t="inlineStr">
        <is>
          <t>Módulo RJ11</t>
        </is>
      </c>
      <c r="F22" s="78" t="n">
        <v>36</v>
      </c>
      <c r="G22" s="78" t="n">
        <v>1</v>
      </c>
      <c r="H22" s="79" t="n">
        <v>0</v>
      </c>
      <c r="I22" s="80">
        <f>(F22+H22*F22)*G22</f>
        <v/>
      </c>
      <c r="J22" s="78" t="inlineStr">
        <is>
          <t>pç</t>
        </is>
      </c>
      <c r="K22" s="81" t="n">
        <v>16.8</v>
      </c>
      <c r="L22" s="82">
        <f>IF(SUM(F22:K22)=0,SUMIFS($L23:$L$535,$B23:$B$535,$B22,$A23:$A$535,$A22),I22*K22)</f>
        <v/>
      </c>
      <c r="N22" s="49" t="inlineStr">
        <is>
          <t>TORRE</t>
        </is>
      </c>
      <c r="O22" s="49" t="n"/>
      <c r="P22" s="50" t="n"/>
      <c r="Q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50" t="n"/>
      <c r="AI22" s="50" t="n"/>
    </row>
    <row r="23" ht="15" customHeight="1" thickTop="1">
      <c r="A23" s="37">
        <f>A22</f>
        <v/>
      </c>
      <c r="B23" s="37">
        <f>B22</f>
        <v/>
      </c>
      <c r="C23" s="37" t="inlineStr">
        <is>
          <t>INSTALAÇÕES DE TELECOMUNICAÇÃO</t>
        </is>
      </c>
      <c r="D23" s="37" t="inlineStr">
        <is>
          <t>MÓDULOS</t>
        </is>
      </c>
      <c r="E23" s="37" t="inlineStr">
        <is>
          <t>Módulo RJ45</t>
        </is>
      </c>
      <c r="F23" s="78" t="n">
        <v>46</v>
      </c>
      <c r="G23" s="78" t="n">
        <v>1</v>
      </c>
      <c r="H23" s="79" t="n">
        <v>0</v>
      </c>
      <c r="I23" s="80">
        <f>(F23+H23*F23)*G23</f>
        <v/>
      </c>
      <c r="J23" s="78" t="inlineStr">
        <is>
          <t>pç</t>
        </is>
      </c>
      <c r="K23" s="81" t="n">
        <v>22.9</v>
      </c>
      <c r="L23" s="82">
        <f>IF(SUM(F23:K23)=0,SUMIFS($L24:$L$535,$B24:$B$535,$B23,$A24:$A$535,$A23),I23*K23)</f>
        <v/>
      </c>
      <c r="N23" s="49" t="inlineStr">
        <is>
          <t>TORRE</t>
        </is>
      </c>
      <c r="O23" s="49" t="n"/>
      <c r="P23" s="50" t="n"/>
      <c r="Q23" s="50" t="n"/>
      <c r="R23" s="49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</row>
    <row r="24">
      <c r="A24" s="37">
        <f>A23</f>
        <v/>
      </c>
      <c r="B24" s="37">
        <f>B23</f>
        <v/>
      </c>
      <c r="C24" s="37" t="inlineStr">
        <is>
          <t>INSTALAÇÕES DE TELECOMUNICAÇÃO</t>
        </is>
      </c>
      <c r="D24" s="37" t="inlineStr">
        <is>
          <t>QUADROS DE DISTRIBUIÇÃO</t>
        </is>
      </c>
      <c r="E24" s="37" t="inlineStr">
        <is>
          <t>Embutir - 396x510x107mm</t>
        </is>
      </c>
      <c r="F24" s="78" t="n">
        <v>6</v>
      </c>
      <c r="G24" s="78" t="n">
        <v>1</v>
      </c>
      <c r="H24" s="79" t="n">
        <v>0</v>
      </c>
      <c r="I24" s="80">
        <f>(F24+H24*F24)*G24</f>
        <v/>
      </c>
      <c r="J24" s="78" t="inlineStr">
        <is>
          <t>pç</t>
        </is>
      </c>
      <c r="K24" s="81" t="n">
        <v>420</v>
      </c>
      <c r="L24" s="82">
        <f>IF(SUM(F24:K24)=0,SUMIFS($L25:$L$535,$B25:$B$535,$B24,$A25:$A$535,$A24),I24*K24)</f>
        <v/>
      </c>
      <c r="N24" s="49" t="inlineStr">
        <is>
          <t>TORRE</t>
        </is>
      </c>
      <c r="O24" s="49" t="n"/>
      <c r="P24" s="50" t="n"/>
      <c r="Q24" s="50" t="n"/>
      <c r="R24" s="49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50" t="n"/>
      <c r="AI24" s="50" t="n"/>
    </row>
    <row r="25">
      <c r="A25" s="25" t="inlineStr">
        <is>
          <t>TORRE</t>
        </is>
      </c>
      <c r="B25" s="25" t="inlineStr">
        <is>
          <t>GARAGEM 01</t>
        </is>
      </c>
      <c r="C25" s="26" t="n"/>
      <c r="D25" s="27" t="n"/>
      <c r="E25" s="27" t="n"/>
      <c r="F25" s="69" t="n"/>
      <c r="G25" s="69" t="n"/>
      <c r="H25" s="69" t="n"/>
      <c r="I25" s="70" t="n"/>
      <c r="J25" s="69" t="n"/>
      <c r="K25" s="71" t="n"/>
      <c r="L25" s="72">
        <f>IF(SUM(F25:K25)=0,SUMIFS($L26:$L$535,$B26:$B$535,$B25,$A26:$A$535,$A25),I25*K25)</f>
        <v/>
      </c>
      <c r="M25" s="73" t="n"/>
      <c r="N25" s="91" t="inlineStr">
        <is>
          <t>TORRE</t>
        </is>
      </c>
      <c r="O25" s="92" t="n"/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3" t="n"/>
      <c r="AI25" s="94" t="n"/>
      <c r="AJ25" s="73" t="n"/>
    </row>
    <row r="26">
      <c r="A26" s="37">
        <f>A25</f>
        <v/>
      </c>
      <c r="B26" s="37">
        <f>B25</f>
        <v/>
      </c>
      <c r="C26" s="37" t="inlineStr">
        <is>
          <t>INSTALAÇÕES DE TELECOMUNICAÇÃO</t>
        </is>
      </c>
      <c r="D26" s="37" t="inlineStr">
        <is>
          <t>CAIXA OCTOGONAL</t>
        </is>
      </c>
      <c r="E26" s="37" t="inlineStr">
        <is>
          <t>Caixa Octogonal Padrão NBR IEC 60670</t>
        </is>
      </c>
      <c r="F26" s="78" t="n">
        <v>60</v>
      </c>
      <c r="G26" s="78" t="n">
        <v>1</v>
      </c>
      <c r="H26" s="79" t="n">
        <v>0</v>
      </c>
      <c r="I26" s="80">
        <f>(F26+H26*F26)*G26</f>
        <v/>
      </c>
      <c r="J26" s="78" t="inlineStr">
        <is>
          <t>pç</t>
        </is>
      </c>
      <c r="K26" s="81" t="n">
        <v>9.800000000000001</v>
      </c>
      <c r="L26" s="82">
        <f>IF(SUM(F26:K26)=0,SUMIFS($L27:$L$535,$B27:$B$535,$B26,$A27:$A$535,$A26),I26*K26)</f>
        <v/>
      </c>
      <c r="N26" s="49" t="inlineStr">
        <is>
          <t>TORRE</t>
        </is>
      </c>
      <c r="O26" s="49" t="n"/>
      <c r="P26" s="50" t="n"/>
      <c r="Q26" s="50" t="n"/>
      <c r="R26" s="49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  <c r="AH26" s="50" t="n"/>
      <c r="AI26" s="50" t="n"/>
    </row>
    <row r="27">
      <c r="A27" s="37">
        <f>A26</f>
        <v/>
      </c>
      <c r="B27" s="37">
        <f>B26</f>
        <v/>
      </c>
      <c r="C27" s="37" t="inlineStr">
        <is>
          <t>INSTALAÇÕES DE TELECOMUNICAÇÃO</t>
        </is>
      </c>
      <c r="D27" s="37" t="inlineStr">
        <is>
          <t>CAIXA OCTOGONAL</t>
        </is>
      </c>
      <c r="E27" s="37" t="inlineStr">
        <is>
          <t>Placa cega para caixa octogonal Padrão NBR IEC 60670</t>
        </is>
      </c>
      <c r="F27" s="78" t="n">
        <v>5</v>
      </c>
      <c r="G27" s="78" t="n">
        <v>1</v>
      </c>
      <c r="H27" s="79" t="n">
        <v>0</v>
      </c>
      <c r="I27" s="80">
        <f>(F27+H27*F27)*G27</f>
        <v/>
      </c>
      <c r="J27" s="78" t="inlineStr">
        <is>
          <t>pç</t>
        </is>
      </c>
      <c r="K27" s="81" t="n">
        <v>6.5</v>
      </c>
      <c r="L27" s="82">
        <f>IF(SUM(F27:K27)=0,SUMIFS($L28:$L$535,$B28:$B$535,$B27,$A28:$A$535,$A27),I27*K27)</f>
        <v/>
      </c>
      <c r="N27" s="49" t="inlineStr">
        <is>
          <t>TORRE</t>
        </is>
      </c>
      <c r="O27" s="49" t="n"/>
      <c r="P27" s="50" t="n"/>
      <c r="Q27" s="50" t="n"/>
      <c r="R27" s="49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50" t="n"/>
      <c r="AI27" s="50" t="n"/>
    </row>
    <row r="28">
      <c r="A28" s="37">
        <f>A27</f>
        <v/>
      </c>
      <c r="B28" s="37">
        <f>B27</f>
        <v/>
      </c>
      <c r="C28" s="37" t="inlineStr">
        <is>
          <t>INSTALAÇÕES DE TELECOMUNICAÇÃO</t>
        </is>
      </c>
      <c r="D28" s="37" t="inlineStr">
        <is>
          <t>CAIXA 4x2" E 4x4"</t>
        </is>
      </c>
      <c r="E28" s="37" t="inlineStr">
        <is>
          <t>Caixa 4x2" de Embutir em PVC Padrão NBR IEC 60670</t>
        </is>
      </c>
      <c r="F28" s="78" t="n">
        <v>4</v>
      </c>
      <c r="G28" s="78" t="n">
        <v>1</v>
      </c>
      <c r="H28" s="79" t="n">
        <v>0</v>
      </c>
      <c r="I28" s="80">
        <f>(F28+H28*F28)*G28</f>
        <v/>
      </c>
      <c r="J28" s="78" t="inlineStr">
        <is>
          <t>pç</t>
        </is>
      </c>
      <c r="K28" s="81" t="n">
        <v>5.9</v>
      </c>
      <c r="L28" s="82">
        <f>IF(SUM(F28:K28)=0,SUMIFS($L29:$L$535,$B29:$B$535,$B28,$A29:$A$535,$A28),I28*K28)</f>
        <v/>
      </c>
      <c r="N28" s="49" t="inlineStr">
        <is>
          <t>TORRE</t>
        </is>
      </c>
      <c r="O28" s="49" t="n"/>
      <c r="P28" s="50" t="n"/>
      <c r="Q28" s="50" t="n"/>
      <c r="R28" s="49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50" t="n"/>
      <c r="AI28" s="50" t="n"/>
    </row>
    <row r="29">
      <c r="A29" s="37">
        <f>A28</f>
        <v/>
      </c>
      <c r="B29" s="37">
        <f>B28</f>
        <v/>
      </c>
      <c r="C29" s="37" t="inlineStr">
        <is>
          <t>INSTALAÇÕES DE TELECOMUNICAÇÃO</t>
        </is>
      </c>
      <c r="D29" s="37" t="inlineStr">
        <is>
          <t>CAIXA 4x2" E 4x4"</t>
        </is>
      </c>
      <c r="E29" s="37" t="inlineStr">
        <is>
          <t>Placa 4x2" cega Padrão NBR IEC 60670</t>
        </is>
      </c>
      <c r="F29" s="78" t="n">
        <v>3</v>
      </c>
      <c r="G29" s="78" t="n">
        <v>1</v>
      </c>
      <c r="H29" s="79" t="n">
        <v>0</v>
      </c>
      <c r="I29" s="80">
        <f>(F29+H29*F29)*G29</f>
        <v/>
      </c>
      <c r="J29" s="78" t="inlineStr">
        <is>
          <t>pç</t>
        </is>
      </c>
      <c r="K29" s="81" t="n">
        <v>4.5</v>
      </c>
      <c r="L29" s="82">
        <f>IF(SUM(F29:K29)=0,SUMIFS($L30:$L$535,$B30:$B$535,$B29,$A30:$A$535,$A29),I29*K29)</f>
        <v/>
      </c>
      <c r="N29" s="49" t="inlineStr">
        <is>
          <t>TORRE</t>
        </is>
      </c>
      <c r="O29" s="49" t="n"/>
      <c r="P29" s="50" t="n"/>
      <c r="Q29" s="50" t="n"/>
      <c r="R29" s="49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</row>
    <row r="30">
      <c r="A30" s="37">
        <f>A29</f>
        <v/>
      </c>
      <c r="B30" s="37">
        <f>B29</f>
        <v/>
      </c>
      <c r="C30" s="37" t="inlineStr">
        <is>
          <t>INSTALAÇÕES DE TELECOMUNICAÇÃO</t>
        </is>
      </c>
      <c r="D30" s="37" t="inlineStr">
        <is>
          <t>CAIXA 4x2" E 4x4"</t>
        </is>
      </c>
      <c r="E30" s="37" t="inlineStr">
        <is>
          <t>Placa 4x2" para 1 função Padrão NBR IEC 60670</t>
        </is>
      </c>
      <c r="F30" s="78" t="n">
        <v>3</v>
      </c>
      <c r="G30" s="78" t="n">
        <v>1</v>
      </c>
      <c r="H30" s="79" t="n">
        <v>0</v>
      </c>
      <c r="I30" s="80">
        <f>(F30+H30*F30)*G30</f>
        <v/>
      </c>
      <c r="J30" s="78" t="inlineStr">
        <is>
          <t>pç</t>
        </is>
      </c>
      <c r="K30" s="81" t="n">
        <v>6.5</v>
      </c>
      <c r="L30" s="82">
        <f>IF(SUM(F30:K30)=0,SUMIFS($L31:$L$535,$B31:$B$535,$B30,$A31:$A$535,$A30),I30*K30)</f>
        <v/>
      </c>
      <c r="N30" s="49" t="inlineStr">
        <is>
          <t>TORRE</t>
        </is>
      </c>
      <c r="O30" s="49" t="n"/>
      <c r="P30" s="50" t="n"/>
      <c r="Q30" s="50" t="n"/>
      <c r="R30" s="49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</row>
    <row r="31">
      <c r="A31" s="37">
        <f>A30</f>
        <v/>
      </c>
      <c r="B31" s="37">
        <f>B30</f>
        <v/>
      </c>
      <c r="C31" s="37" t="inlineStr">
        <is>
          <t>INSTALAÇÕES DE TELECOMUNICAÇÃO</t>
        </is>
      </c>
      <c r="D31" s="37" t="inlineStr">
        <is>
          <t>CAIXA 4x2" E 4x4"</t>
        </is>
      </c>
      <c r="E31" s="37" t="inlineStr">
        <is>
          <t>Suporte p/ caixa 4x2" Padrão NBR IEC 60670</t>
        </is>
      </c>
      <c r="F31" s="78" t="n">
        <v>4</v>
      </c>
      <c r="G31" s="78" t="n">
        <v>1</v>
      </c>
      <c r="H31" s="79" t="n">
        <v>0</v>
      </c>
      <c r="I31" s="80">
        <f>(F31+H31*F31)*G31</f>
        <v/>
      </c>
      <c r="J31" s="78" t="inlineStr">
        <is>
          <t>pç</t>
        </is>
      </c>
      <c r="K31" s="81" t="n">
        <v>2.4</v>
      </c>
      <c r="L31" s="82">
        <f>IF(SUM(F31:K31)=0,SUMIFS($L32:$L$535,$B32:$B$535,$B31,$A32:$A$535,$A31),I31*K31)</f>
        <v/>
      </c>
      <c r="N31" s="49" t="inlineStr">
        <is>
          <t>TORRE</t>
        </is>
      </c>
      <c r="O31" s="49" t="n"/>
      <c r="P31" s="50" t="n"/>
      <c r="Q31" s="50" t="n"/>
      <c r="R31" s="49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</row>
    <row r="32">
      <c r="A32" s="37">
        <f>A31</f>
        <v/>
      </c>
      <c r="B32" s="37">
        <f>B31</f>
        <v/>
      </c>
      <c r="C32" s="37" t="inlineStr">
        <is>
          <t>INSTALAÇÕES DE TELECOMUNICAÇÃO</t>
        </is>
      </c>
      <c r="D32" s="37" t="inlineStr">
        <is>
          <t>CAIXA DE PASSAGEM</t>
        </is>
      </c>
      <c r="E32" s="37" t="inlineStr">
        <is>
          <t>Cx de passagem de embutir com dimensão de 30x30x12 cm</t>
        </is>
      </c>
      <c r="F32" s="78" t="n">
        <v>4</v>
      </c>
      <c r="G32" s="78" t="n">
        <v>1</v>
      </c>
      <c r="H32" s="79" t="n">
        <v>0</v>
      </c>
      <c r="I32" s="80">
        <f>(F32+H32*F32)*G32</f>
        <v/>
      </c>
      <c r="J32" s="78" t="inlineStr">
        <is>
          <t>pç</t>
        </is>
      </c>
      <c r="K32" s="81" t="n">
        <v>145</v>
      </c>
      <c r="L32" s="82">
        <f>IF(SUM(F32:K32)=0,SUMIFS($L33:$L$535,$B33:$B$535,$B32,$A33:$A$535,$A32),I32*K32)</f>
        <v/>
      </c>
      <c r="N32" s="49" t="inlineStr">
        <is>
          <t>TORRE</t>
        </is>
      </c>
      <c r="O32" s="49" t="n"/>
      <c r="P32" s="50" t="n"/>
      <c r="Q32" s="50" t="n"/>
      <c r="R32" s="49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  <c r="AH32" s="50" t="n"/>
      <c r="AI32" s="50" t="n"/>
    </row>
    <row r="33">
      <c r="A33" s="37">
        <f>A32</f>
        <v/>
      </c>
      <c r="B33" s="37">
        <f>B32</f>
        <v/>
      </c>
      <c r="C33" s="37" t="inlineStr">
        <is>
          <t>INSTALAÇÕES DE TELECOMUNICAÇÃO</t>
        </is>
      </c>
      <c r="D33" s="37" t="inlineStr">
        <is>
          <t>ELETRODUTOS</t>
        </is>
      </c>
      <c r="E33" s="37" t="inlineStr">
        <is>
          <t>PVC Flexível Antichama - NBR 15465 ø1"</t>
        </is>
      </c>
      <c r="F33" s="78" t="n">
        <v>312</v>
      </c>
      <c r="G33" s="78" t="n">
        <v>1</v>
      </c>
      <c r="H33" s="79" t="n">
        <v>0</v>
      </c>
      <c r="I33" s="80">
        <f>(F33+H33*F33)*G33</f>
        <v/>
      </c>
      <c r="J33" s="78" t="inlineStr">
        <is>
          <t>m</t>
        </is>
      </c>
      <c r="K33" s="81" t="n">
        <v>11.9</v>
      </c>
      <c r="L33" s="82">
        <f>IF(SUM(F33:K33)=0,SUMIFS($L34:$L$535,$B34:$B$535,$B33,$A34:$A$535,$A33),I33*K33)</f>
        <v/>
      </c>
      <c r="N33" s="49" t="inlineStr">
        <is>
          <t>TORRE</t>
        </is>
      </c>
      <c r="O33" s="49" t="n"/>
      <c r="P33" s="50" t="n"/>
      <c r="Q33" s="50" t="n"/>
      <c r="R33" s="49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</row>
    <row r="34" ht="15" customHeight="1" thickBot="1">
      <c r="A34" s="37">
        <f>A33</f>
        <v/>
      </c>
      <c r="B34" s="37">
        <f>B33</f>
        <v/>
      </c>
      <c r="C34" s="37" t="inlineStr">
        <is>
          <t>INSTALAÇÕES DE TELECOMUNICAÇÃO</t>
        </is>
      </c>
      <c r="D34" s="37" t="inlineStr">
        <is>
          <t>ELETRODUTOS</t>
        </is>
      </c>
      <c r="E34" s="37" t="inlineStr">
        <is>
          <t>PVC Flexível Antichama - NBR 15465 ø3/4"</t>
        </is>
      </c>
      <c r="F34" s="78" t="n">
        <v>208</v>
      </c>
      <c r="G34" s="78" t="n">
        <v>1</v>
      </c>
      <c r="H34" s="79" t="n">
        <v>0</v>
      </c>
      <c r="I34" s="80">
        <f>(F34+H34*F34)*G34</f>
        <v/>
      </c>
      <c r="J34" s="78" t="inlineStr">
        <is>
          <t>m</t>
        </is>
      </c>
      <c r="K34" s="81" t="n">
        <v>7.5</v>
      </c>
      <c r="L34" s="82">
        <f>IF(SUM(F34:K34)=0,SUMIFS($L35:$L$535,$B35:$B$535,$B34,$A35:$A$535,$A34),I34*K34)</f>
        <v/>
      </c>
      <c r="N34" s="49" t="inlineStr">
        <is>
          <t>TORRE</t>
        </is>
      </c>
      <c r="O34" s="49" t="n"/>
      <c r="P34" s="50" t="n"/>
      <c r="Q34" s="50" t="n"/>
      <c r="R34" s="49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</row>
    <row r="35" ht="15" customHeight="1" thickTop="1">
      <c r="A35" s="37">
        <f>A34</f>
        <v/>
      </c>
      <c r="B35" s="37">
        <f>B34</f>
        <v/>
      </c>
      <c r="C35" s="37" t="inlineStr">
        <is>
          <t>INSTALAÇÕES DE TELECOMUNICAÇÃO</t>
        </is>
      </c>
      <c r="D35" s="37" t="inlineStr">
        <is>
          <t>MÓDULOS</t>
        </is>
      </c>
      <c r="E35" s="37" t="inlineStr">
        <is>
          <t>Módulo RJ45</t>
        </is>
      </c>
      <c r="F35" s="78" t="n">
        <v>3</v>
      </c>
      <c r="G35" s="78" t="n">
        <v>1</v>
      </c>
      <c r="H35" s="79" t="n">
        <v>0</v>
      </c>
      <c r="I35" s="80">
        <f>(F35+H35*F35)*G35</f>
        <v/>
      </c>
      <c r="J35" s="78" t="inlineStr">
        <is>
          <t>pç</t>
        </is>
      </c>
      <c r="K35" s="81" t="n">
        <v>22.9</v>
      </c>
      <c r="L35" s="82">
        <f>IF(SUM(F35:K35)=0,SUMIFS($L36:$L$535,$B36:$B$535,$B35,$A36:$A$535,$A35),I35*K35)</f>
        <v/>
      </c>
      <c r="N35" s="49" t="inlineStr">
        <is>
          <t>TORRE</t>
        </is>
      </c>
      <c r="O35" s="49" t="n"/>
      <c r="P35" s="50" t="n"/>
      <c r="Q35" s="50" t="n"/>
      <c r="R35" s="49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</row>
    <row r="36">
      <c r="A36" s="37">
        <f>A35</f>
        <v/>
      </c>
      <c r="B36" s="37">
        <f>B35</f>
        <v/>
      </c>
      <c r="C36" s="37" t="inlineStr">
        <is>
          <t>INSTALAÇÕES DE TELECOMUNICAÇÃO</t>
        </is>
      </c>
      <c r="D36" s="37" t="inlineStr">
        <is>
          <t>QUADROS DE DISTRIBUIÇÃO</t>
        </is>
      </c>
      <c r="E36" s="37" t="inlineStr">
        <is>
          <t>Embutir - 486x510x109mm</t>
        </is>
      </c>
      <c r="F36" s="78" t="n">
        <v>1</v>
      </c>
      <c r="G36" s="78" t="n">
        <v>1</v>
      </c>
      <c r="H36" s="79" t="n">
        <v>0</v>
      </c>
      <c r="I36" s="80">
        <f>(F36+H36*F36)*G36</f>
        <v/>
      </c>
      <c r="J36" s="78" t="inlineStr">
        <is>
          <t>pç</t>
        </is>
      </c>
      <c r="K36" s="81" t="n">
        <v>465</v>
      </c>
      <c r="L36" s="82">
        <f>IF(SUM(F36:K36)=0,SUMIFS($L37:$L$535,$B37:$B$535,$B36,$A37:$A$535,$A36),I36*K36)</f>
        <v/>
      </c>
      <c r="N36" s="49" t="inlineStr">
        <is>
          <t>TORRE</t>
        </is>
      </c>
      <c r="O36" s="49" t="n"/>
      <c r="P36" s="50" t="n"/>
      <c r="Q36" s="50" t="n"/>
      <c r="R36" s="49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50" t="n"/>
      <c r="AI36" s="50" t="n"/>
    </row>
    <row r="37">
      <c r="A37" s="25" t="inlineStr">
        <is>
          <t>TORRE</t>
        </is>
      </c>
      <c r="B37" s="25" t="inlineStr">
        <is>
          <t>GARAGEM 02</t>
        </is>
      </c>
      <c r="C37" s="26" t="n"/>
      <c r="D37" s="27" t="n"/>
      <c r="E37" s="27" t="n"/>
      <c r="F37" s="69" t="n"/>
      <c r="G37" s="69" t="n"/>
      <c r="H37" s="69" t="n"/>
      <c r="I37" s="70" t="n"/>
      <c r="J37" s="69" t="n"/>
      <c r="K37" s="71" t="n"/>
      <c r="L37" s="72">
        <f>IF(SUM(F37:K37)=0,SUMIFS($L38:$L$535,$B38:$B$535,$B37,$A38:$A$535,$A37),I37*K37)</f>
        <v/>
      </c>
      <c r="M37" s="73" t="n"/>
      <c r="N37" s="91" t="inlineStr">
        <is>
          <t>TORRE</t>
        </is>
      </c>
      <c r="O37" s="92" t="n"/>
      <c r="P37" s="93" t="n"/>
      <c r="Q37" s="93" t="n"/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94" t="n"/>
      <c r="AJ37" s="73" t="n"/>
    </row>
    <row r="38">
      <c r="A38" s="37">
        <f>A37</f>
        <v/>
      </c>
      <c r="B38" s="37">
        <f>B37</f>
        <v/>
      </c>
      <c r="C38" s="37" t="inlineStr">
        <is>
          <t>INSTALAÇÕES DE TELECOMUNICAÇÃO</t>
        </is>
      </c>
      <c r="D38" s="37" t="inlineStr">
        <is>
          <t>CAIXA OCTOGONAL</t>
        </is>
      </c>
      <c r="E38" s="37" t="inlineStr">
        <is>
          <t>Caixa Octogonal Padrão NBR IEC 60670</t>
        </is>
      </c>
      <c r="F38" s="78" t="n">
        <v>40</v>
      </c>
      <c r="G38" s="78" t="n">
        <v>1</v>
      </c>
      <c r="H38" s="79" t="n">
        <v>0</v>
      </c>
      <c r="I38" s="80">
        <f>(F38+H38*F38)*G38</f>
        <v/>
      </c>
      <c r="J38" s="78" t="inlineStr">
        <is>
          <t>pç</t>
        </is>
      </c>
      <c r="K38" s="81" t="n">
        <v>9.800000000000001</v>
      </c>
      <c r="L38" s="82">
        <f>IF(SUM(F38:K38)=0,SUMIFS($L39:$L$535,$B39:$B$535,$B38,$A39:$A$535,$A38),I38*K38)</f>
        <v/>
      </c>
      <c r="N38" s="49" t="inlineStr">
        <is>
          <t>TORRE</t>
        </is>
      </c>
      <c r="O38" s="49" t="n"/>
      <c r="P38" s="50" t="n"/>
      <c r="Q38" s="50" t="n"/>
      <c r="R38" s="49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</row>
    <row r="39">
      <c r="A39" s="37">
        <f>A38</f>
        <v/>
      </c>
      <c r="B39" s="37">
        <f>B38</f>
        <v/>
      </c>
      <c r="C39" s="37" t="inlineStr">
        <is>
          <t>INSTALAÇÕES DE TELECOMUNICAÇÃO</t>
        </is>
      </c>
      <c r="D39" s="37" t="inlineStr">
        <is>
          <t>CAIXA OCTOGONAL</t>
        </is>
      </c>
      <c r="E39" s="37" t="inlineStr">
        <is>
          <t>Placa cega para caixa octogonal Padrão NBR IEC 60670</t>
        </is>
      </c>
      <c r="F39" s="78" t="n">
        <v>3</v>
      </c>
      <c r="G39" s="78" t="n">
        <v>1</v>
      </c>
      <c r="H39" s="79" t="n">
        <v>0</v>
      </c>
      <c r="I39" s="80">
        <f>(F39+H39*F39)*G39</f>
        <v/>
      </c>
      <c r="J39" s="78" t="inlineStr">
        <is>
          <t>pç</t>
        </is>
      </c>
      <c r="K39" s="81" t="n">
        <v>6.5</v>
      </c>
      <c r="L39" s="82">
        <f>IF(SUM(F39:K39)=0,SUMIFS($L40:$L$535,$B40:$B$535,$B39,$A40:$A$535,$A39),I39*K39)</f>
        <v/>
      </c>
      <c r="N39" s="49" t="inlineStr">
        <is>
          <t>TORRE</t>
        </is>
      </c>
      <c r="O39" s="49" t="n"/>
      <c r="P39" s="50" t="n"/>
      <c r="Q39" s="50" t="n"/>
      <c r="R39" s="49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</row>
    <row r="40">
      <c r="A40" s="37">
        <f>A39</f>
        <v/>
      </c>
      <c r="B40" s="37">
        <f>B39</f>
        <v/>
      </c>
      <c r="C40" s="37" t="inlineStr">
        <is>
          <t>INSTALAÇÕES DE TELECOMUNICAÇÃO</t>
        </is>
      </c>
      <c r="D40" s="37" t="inlineStr">
        <is>
          <t>CAIXA 4x2" E 4x4"</t>
        </is>
      </c>
      <c r="E40" s="37" t="inlineStr">
        <is>
          <t>Caixa 4x2" de Embutir em PVC Padrão NBR IEC 60670</t>
        </is>
      </c>
      <c r="F40" s="78" t="n">
        <v>2</v>
      </c>
      <c r="G40" s="78" t="n">
        <v>1</v>
      </c>
      <c r="H40" s="79" t="n">
        <v>0</v>
      </c>
      <c r="I40" s="80">
        <f>(F40+H40*F40)*G40</f>
        <v/>
      </c>
      <c r="J40" s="78" t="inlineStr">
        <is>
          <t>pç</t>
        </is>
      </c>
      <c r="K40" s="81" t="n">
        <v>5.9</v>
      </c>
      <c r="L40" s="82">
        <f>IF(SUM(F40:K40)=0,SUMIFS($L41:$L$535,$B41:$B$535,$B40,$A41:$A$535,$A40),I40*K40)</f>
        <v/>
      </c>
      <c r="N40" s="49" t="inlineStr">
        <is>
          <t>TORRE</t>
        </is>
      </c>
      <c r="O40" s="49" t="n"/>
      <c r="P40" s="50" t="n"/>
      <c r="Q40" s="50" t="n"/>
      <c r="R40" s="49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</row>
    <row r="41">
      <c r="A41" s="37">
        <f>A40</f>
        <v/>
      </c>
      <c r="B41" s="37">
        <f>B40</f>
        <v/>
      </c>
      <c r="C41" s="37" t="inlineStr">
        <is>
          <t>INSTALAÇÕES DE TELECOMUNICAÇÃO</t>
        </is>
      </c>
      <c r="D41" s="37" t="inlineStr">
        <is>
          <t>CAIXA 4x2" E 4x4"</t>
        </is>
      </c>
      <c r="E41" s="37" t="inlineStr">
        <is>
          <t>Placa 4x2" cega Padrão NBR IEC 60670</t>
        </is>
      </c>
      <c r="F41" s="78" t="n">
        <v>2</v>
      </c>
      <c r="G41" s="78" t="n">
        <v>1</v>
      </c>
      <c r="H41" s="79" t="n">
        <v>0</v>
      </c>
      <c r="I41" s="80">
        <f>(F41+H41*F41)*G41</f>
        <v/>
      </c>
      <c r="J41" s="78" t="inlineStr">
        <is>
          <t>pç</t>
        </is>
      </c>
      <c r="K41" s="81" t="n">
        <v>4.5</v>
      </c>
      <c r="L41" s="82">
        <f>IF(SUM(F41:K41)=0,SUMIFS($L42:$L$535,$B42:$B$535,$B41,$A42:$A$535,$A41),I41*K41)</f>
        <v/>
      </c>
      <c r="N41" s="49" t="inlineStr">
        <is>
          <t>TORRE</t>
        </is>
      </c>
      <c r="O41" s="49" t="n"/>
      <c r="P41" s="50" t="n"/>
      <c r="Q41" s="50" t="n"/>
      <c r="R41" s="49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</row>
    <row r="42">
      <c r="A42" s="37">
        <f>A41</f>
        <v/>
      </c>
      <c r="B42" s="37">
        <f>B41</f>
        <v/>
      </c>
      <c r="C42" s="37" t="inlineStr">
        <is>
          <t>INSTALAÇÕES DE TELECOMUNICAÇÃO</t>
        </is>
      </c>
      <c r="D42" s="37" t="inlineStr">
        <is>
          <t>CAIXA 4x2" E 4x4"</t>
        </is>
      </c>
      <c r="E42" s="37" t="inlineStr">
        <is>
          <t>Suporte p/ caixa 4x2" Padrão NBR IEC 60670</t>
        </is>
      </c>
      <c r="F42" s="78" t="n">
        <v>2</v>
      </c>
      <c r="G42" s="78" t="n">
        <v>1</v>
      </c>
      <c r="H42" s="79" t="n">
        <v>0</v>
      </c>
      <c r="I42" s="80">
        <f>(F42+H42*F42)*G42</f>
        <v/>
      </c>
      <c r="J42" s="78" t="inlineStr">
        <is>
          <t>pç</t>
        </is>
      </c>
      <c r="K42" s="81" t="n">
        <v>2.4</v>
      </c>
      <c r="L42" s="82">
        <f>IF(SUM(F42:K42)=0,SUMIFS($L43:$L$535,$B43:$B$535,$B42,$A43:$A$535,$A42),I42*K42)</f>
        <v/>
      </c>
      <c r="N42" s="49" t="inlineStr">
        <is>
          <t>TORRE</t>
        </is>
      </c>
      <c r="O42" s="49" t="n"/>
      <c r="P42" s="50" t="n"/>
      <c r="Q42" s="50" t="n"/>
      <c r="R42" s="49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</row>
    <row r="43" ht="15" customHeight="1" thickBot="1">
      <c r="A43" s="37">
        <f>A42</f>
        <v/>
      </c>
      <c r="B43" s="37">
        <f>B42</f>
        <v/>
      </c>
      <c r="C43" s="37" t="inlineStr">
        <is>
          <t>INSTALAÇÕES DE TELECOMUNICAÇÃO</t>
        </is>
      </c>
      <c r="D43" s="37" t="inlineStr">
        <is>
          <t>ELETRODUTOS</t>
        </is>
      </c>
      <c r="E43" s="37" t="inlineStr">
        <is>
          <t>PVC Flexível Antichama - NBR 15465 ø1"</t>
        </is>
      </c>
      <c r="F43" s="78" t="n">
        <v>145</v>
      </c>
      <c r="G43" s="78" t="n">
        <v>1</v>
      </c>
      <c r="H43" s="79" t="n">
        <v>0</v>
      </c>
      <c r="I43" s="80">
        <f>(F43+H43*F43)*G43</f>
        <v/>
      </c>
      <c r="J43" s="78" t="inlineStr">
        <is>
          <t>m</t>
        </is>
      </c>
      <c r="K43" s="81" t="n">
        <v>11.9</v>
      </c>
      <c r="L43" s="82">
        <f>IF(SUM(F43:K43)=0,SUMIFS($L44:$L$535,$B44:$B$535,$B43,$A44:$A$535,$A43),I43*K43)</f>
        <v/>
      </c>
      <c r="N43" s="49" t="inlineStr">
        <is>
          <t>TORRE</t>
        </is>
      </c>
      <c r="O43" s="49" t="n"/>
      <c r="P43" s="50" t="n"/>
      <c r="Q43" s="50" t="n"/>
      <c r="R43" s="49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</row>
    <row r="44" ht="15" customHeight="1" thickTop="1">
      <c r="A44" s="37">
        <f>A43</f>
        <v/>
      </c>
      <c r="B44" s="37">
        <f>B43</f>
        <v/>
      </c>
      <c r="C44" s="37" t="inlineStr">
        <is>
          <t>INSTALAÇÕES DE TELECOMUNICAÇÃO</t>
        </is>
      </c>
      <c r="D44" s="37" t="inlineStr">
        <is>
          <t>ELETRODUTOS</t>
        </is>
      </c>
      <c r="E44" s="37" t="inlineStr">
        <is>
          <t>PVC Flexível Antichama - NBR 15465 ø3/4"</t>
        </is>
      </c>
      <c r="F44" s="78" t="n">
        <v>97</v>
      </c>
      <c r="G44" s="78" t="n">
        <v>1</v>
      </c>
      <c r="H44" s="79" t="n">
        <v>0</v>
      </c>
      <c r="I44" s="80">
        <f>(F44+H44*F44)*G44</f>
        <v/>
      </c>
      <c r="J44" s="78" t="inlineStr">
        <is>
          <t>m</t>
        </is>
      </c>
      <c r="K44" s="81" t="n">
        <v>7.5</v>
      </c>
      <c r="L44" s="82">
        <f>IF(SUM(F44:K44)=0,SUMIFS($L45:$L$535,$B45:$B$535,$B44,$A45:$A$535,$A44),I44*K44)</f>
        <v/>
      </c>
      <c r="N44" s="49" t="inlineStr">
        <is>
          <t>TORRE</t>
        </is>
      </c>
      <c r="O44" s="49" t="n"/>
      <c r="P44" s="50" t="n"/>
      <c r="Q44" s="50" t="n"/>
      <c r="R44" s="49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</row>
    <row r="45">
      <c r="A45" s="37">
        <f>A44</f>
        <v/>
      </c>
      <c r="B45" s="37">
        <f>B44</f>
        <v/>
      </c>
      <c r="C45" s="37" t="inlineStr">
        <is>
          <t>INSTALAÇÕES DE TELECOMUNICAÇÃO</t>
        </is>
      </c>
      <c r="D45" s="37" t="inlineStr">
        <is>
          <t>QUADROS DE DISTRIBUIÇÃO</t>
        </is>
      </c>
      <c r="E45" s="37" t="inlineStr">
        <is>
          <t>Embutir - 486x510x109mm</t>
        </is>
      </c>
      <c r="F45" s="78" t="n">
        <v>1</v>
      </c>
      <c r="G45" s="78" t="n">
        <v>1</v>
      </c>
      <c r="H45" s="79" t="n">
        <v>0</v>
      </c>
      <c r="I45" s="80">
        <f>(F45+H45*F45)*G45</f>
        <v/>
      </c>
      <c r="J45" s="78" t="inlineStr">
        <is>
          <t>pç</t>
        </is>
      </c>
      <c r="K45" s="81" t="n">
        <v>465</v>
      </c>
      <c r="L45" s="82">
        <f>IF(SUM(F45:K45)=0,SUMIFS($L46:$L$535,$B46:$B$535,$B45,$A46:$A$535,$A45),I45*K45)</f>
        <v/>
      </c>
      <c r="N45" s="49" t="inlineStr">
        <is>
          <t>TORRE</t>
        </is>
      </c>
      <c r="O45" s="49" t="n"/>
      <c r="P45" s="50" t="n"/>
      <c r="Q45" s="50" t="n"/>
      <c r="R45" s="49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</row>
    <row r="46">
      <c r="A46" s="25" t="inlineStr">
        <is>
          <t>TORRE</t>
        </is>
      </c>
      <c r="B46" s="25" t="inlineStr">
        <is>
          <t>GARAGEM 03</t>
        </is>
      </c>
      <c r="C46" s="26" t="n"/>
      <c r="D46" s="27" t="n"/>
      <c r="E46" s="27" t="n"/>
      <c r="F46" s="69" t="n"/>
      <c r="G46" s="69" t="n"/>
      <c r="H46" s="69" t="n"/>
      <c r="I46" s="70" t="n"/>
      <c r="J46" s="69" t="n"/>
      <c r="K46" s="71" t="n"/>
      <c r="L46" s="72">
        <f>IF(SUM(F46:K46)=0,SUMIFS($L47:$L$535,$B47:$B$535,$B46,$A47:$A$535,$A46),I46*K46)</f>
        <v/>
      </c>
      <c r="M46" s="73" t="n"/>
      <c r="N46" s="91" t="inlineStr">
        <is>
          <t>TORRE</t>
        </is>
      </c>
      <c r="O46" s="92" t="n"/>
      <c r="P46" s="93" t="n"/>
      <c r="Q46" s="93" t="n"/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94" t="n"/>
      <c r="AJ46" s="73" t="n"/>
    </row>
    <row r="47">
      <c r="A47" s="37">
        <f>A46</f>
        <v/>
      </c>
      <c r="B47" s="37">
        <f>B46</f>
        <v/>
      </c>
      <c r="C47" s="37" t="inlineStr">
        <is>
          <t>INSTALAÇÕES DE TELECOMUNICAÇÃO</t>
        </is>
      </c>
      <c r="D47" s="37" t="inlineStr">
        <is>
          <t>CAIXA OCTOGONAL</t>
        </is>
      </c>
      <c r="E47" s="37" t="inlineStr">
        <is>
          <t>Caixa Octogonal Padrão NBR IEC 60670</t>
        </is>
      </c>
      <c r="F47" s="78" t="n">
        <v>40</v>
      </c>
      <c r="G47" s="78" t="n">
        <v>1</v>
      </c>
      <c r="H47" s="79" t="n">
        <v>0</v>
      </c>
      <c r="I47" s="80">
        <f>(F47+H47*F47)*G47</f>
        <v/>
      </c>
      <c r="J47" s="78" t="inlineStr">
        <is>
          <t>pç</t>
        </is>
      </c>
      <c r="K47" s="81" t="n">
        <v>9.800000000000001</v>
      </c>
      <c r="L47" s="82">
        <f>IF(SUM(F47:K47)=0,SUMIFS($L48:$L$535,$B48:$B$535,$B47,$A48:$A$535,$A47),I47*K47)</f>
        <v/>
      </c>
      <c r="N47" s="49" t="inlineStr">
        <is>
          <t>TORRE</t>
        </is>
      </c>
      <c r="O47" s="49" t="n"/>
      <c r="P47" s="50" t="n"/>
      <c r="Q47" s="50" t="n"/>
      <c r="R47" s="49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</row>
    <row r="48">
      <c r="A48" s="37">
        <f>A47</f>
        <v/>
      </c>
      <c r="B48" s="37">
        <f>B47</f>
        <v/>
      </c>
      <c r="C48" s="37" t="inlineStr">
        <is>
          <t>INSTALAÇÕES DE TELECOMUNICAÇÃO</t>
        </is>
      </c>
      <c r="D48" s="37" t="inlineStr">
        <is>
          <t>CAIXA OCTOGONAL</t>
        </is>
      </c>
      <c r="E48" s="37" t="inlineStr">
        <is>
          <t>Placa cega para caixa octogonal Padrão NBR IEC 60670</t>
        </is>
      </c>
      <c r="F48" s="78" t="n">
        <v>3</v>
      </c>
      <c r="G48" s="78" t="n">
        <v>1</v>
      </c>
      <c r="H48" s="79" t="n">
        <v>0</v>
      </c>
      <c r="I48" s="80">
        <f>(F48+H48*F48)*G48</f>
        <v/>
      </c>
      <c r="J48" s="78" t="inlineStr">
        <is>
          <t>pç</t>
        </is>
      </c>
      <c r="K48" s="81" t="n">
        <v>6.5</v>
      </c>
      <c r="L48" s="82">
        <f>IF(SUM(F48:K48)=0,SUMIFS($L49:$L$535,$B49:$B$535,$B48,$A49:$A$535,$A48),I48*K48)</f>
        <v/>
      </c>
      <c r="N48" s="49" t="inlineStr">
        <is>
          <t>TORRE</t>
        </is>
      </c>
      <c r="O48" s="49" t="n"/>
      <c r="P48" s="50" t="n"/>
      <c r="Q48" s="50" t="n"/>
      <c r="R48" s="49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</row>
    <row r="49">
      <c r="A49" s="37">
        <f>A48</f>
        <v/>
      </c>
      <c r="B49" s="37">
        <f>B48</f>
        <v/>
      </c>
      <c r="C49" s="37" t="inlineStr">
        <is>
          <t>INSTALAÇÕES DE TELECOMUNICAÇÃO</t>
        </is>
      </c>
      <c r="D49" s="37" t="inlineStr">
        <is>
          <t>CAIXA 4x2" E 4x4"</t>
        </is>
      </c>
      <c r="E49" s="37" t="inlineStr">
        <is>
          <t>Caixa 4x2" de Embutir em PVC Padrão NBR IEC 60670</t>
        </is>
      </c>
      <c r="F49" s="78" t="n">
        <v>2</v>
      </c>
      <c r="G49" s="78" t="n">
        <v>1</v>
      </c>
      <c r="H49" s="79" t="n">
        <v>0</v>
      </c>
      <c r="I49" s="80">
        <f>(F49+H49*F49)*G49</f>
        <v/>
      </c>
      <c r="J49" s="78" t="inlineStr">
        <is>
          <t>pç</t>
        </is>
      </c>
      <c r="K49" s="81" t="n">
        <v>5.9</v>
      </c>
      <c r="L49" s="82">
        <f>IF(SUM(F49:K49)=0,SUMIFS($L50:$L$535,$B50:$B$535,$B49,$A50:$A$535,$A49),I49*K49)</f>
        <v/>
      </c>
      <c r="N49" s="49" t="inlineStr">
        <is>
          <t>TORRE</t>
        </is>
      </c>
      <c r="O49" s="49" t="n"/>
      <c r="P49" s="50" t="n"/>
      <c r="Q49" s="50" t="n"/>
      <c r="R49" s="49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</row>
    <row r="50">
      <c r="A50" s="37">
        <f>A49</f>
        <v/>
      </c>
      <c r="B50" s="37">
        <f>B49</f>
        <v/>
      </c>
      <c r="C50" s="37" t="inlineStr">
        <is>
          <t>INSTALAÇÕES DE TELECOMUNICAÇÃO</t>
        </is>
      </c>
      <c r="D50" s="37" t="inlineStr">
        <is>
          <t>CAIXA 4x2" E 4x4"</t>
        </is>
      </c>
      <c r="E50" s="37" t="inlineStr">
        <is>
          <t>Placa 4x2" cega Padrão NBR IEC 60670</t>
        </is>
      </c>
      <c r="F50" s="78" t="n">
        <v>2</v>
      </c>
      <c r="G50" s="78" t="n">
        <v>1</v>
      </c>
      <c r="H50" s="79" t="n">
        <v>0</v>
      </c>
      <c r="I50" s="80">
        <f>(F50+H50*F50)*G50</f>
        <v/>
      </c>
      <c r="J50" s="78" t="inlineStr">
        <is>
          <t>pç</t>
        </is>
      </c>
      <c r="K50" s="81" t="n">
        <v>4.5</v>
      </c>
      <c r="L50" s="82">
        <f>IF(SUM(F50:K50)=0,SUMIFS($L51:$L$535,$B51:$B$535,$B50,$A51:$A$535,$A50),I50*K50)</f>
        <v/>
      </c>
      <c r="N50" s="49" t="inlineStr">
        <is>
          <t>TORRE</t>
        </is>
      </c>
      <c r="O50" s="49" t="n"/>
      <c r="P50" s="50" t="n"/>
      <c r="Q50" s="50" t="n"/>
      <c r="R50" s="49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</row>
    <row r="51">
      <c r="A51" s="37">
        <f>A50</f>
        <v/>
      </c>
      <c r="B51" s="37">
        <f>B50</f>
        <v/>
      </c>
      <c r="C51" s="37" t="inlineStr">
        <is>
          <t>INSTALAÇÕES DE TELECOMUNICAÇÃO</t>
        </is>
      </c>
      <c r="D51" s="37" t="inlineStr">
        <is>
          <t>CAIXA 4x2" E 4x4"</t>
        </is>
      </c>
      <c r="E51" s="37" t="inlineStr">
        <is>
          <t>Suporte p/ caixa 4x2" Padrão NBR IEC 60670</t>
        </is>
      </c>
      <c r="F51" s="78" t="n">
        <v>2</v>
      </c>
      <c r="G51" s="78" t="n">
        <v>1</v>
      </c>
      <c r="H51" s="79" t="n">
        <v>0</v>
      </c>
      <c r="I51" s="80">
        <f>(F51+H51*F51)*G51</f>
        <v/>
      </c>
      <c r="J51" s="78" t="inlineStr">
        <is>
          <t>pç</t>
        </is>
      </c>
      <c r="K51" s="81" t="n">
        <v>2.4</v>
      </c>
      <c r="L51" s="82">
        <f>IF(SUM(F51:K51)=0,SUMIFS($L52:$L$535,$B52:$B$535,$B51,$A52:$A$535,$A51),I51*K51)</f>
        <v/>
      </c>
      <c r="N51" s="49" t="inlineStr">
        <is>
          <t>TORRE</t>
        </is>
      </c>
      <c r="O51" s="49" t="n"/>
      <c r="P51" s="50" t="n"/>
      <c r="Q51" s="50" t="n"/>
      <c r="R51" s="49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</row>
    <row r="52" ht="15" customHeight="1" thickBot="1">
      <c r="A52" s="37">
        <f>A51</f>
        <v/>
      </c>
      <c r="B52" s="37">
        <f>B51</f>
        <v/>
      </c>
      <c r="C52" s="37" t="inlineStr">
        <is>
          <t>INSTALAÇÕES DE TELECOMUNICAÇÃO</t>
        </is>
      </c>
      <c r="D52" s="37" t="inlineStr">
        <is>
          <t>ELETRODUTOS</t>
        </is>
      </c>
      <c r="E52" s="37" t="inlineStr">
        <is>
          <t>PVC Flexível Antichama - NBR 15465 ø1"</t>
        </is>
      </c>
      <c r="F52" s="78" t="n">
        <v>145</v>
      </c>
      <c r="G52" s="78" t="n">
        <v>1</v>
      </c>
      <c r="H52" s="79" t="n">
        <v>0</v>
      </c>
      <c r="I52" s="80">
        <f>(F52+H52*F52)*G52</f>
        <v/>
      </c>
      <c r="J52" s="78" t="inlineStr">
        <is>
          <t>m</t>
        </is>
      </c>
      <c r="K52" s="81" t="n">
        <v>11.9</v>
      </c>
      <c r="L52" s="82">
        <f>IF(SUM(F52:K52)=0,SUMIFS($L53:$L$535,$B53:$B$535,$B52,$A53:$A$535,$A52),I52*K52)</f>
        <v/>
      </c>
      <c r="N52" s="49" t="inlineStr">
        <is>
          <t>TORRE</t>
        </is>
      </c>
      <c r="O52" s="49" t="n"/>
      <c r="P52" s="50" t="n"/>
      <c r="Q52" s="50" t="n"/>
      <c r="R52" s="49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</row>
    <row r="53" ht="15" customHeight="1" thickTop="1">
      <c r="A53" s="37">
        <f>A52</f>
        <v/>
      </c>
      <c r="B53" s="37">
        <f>B52</f>
        <v/>
      </c>
      <c r="C53" s="37" t="inlineStr">
        <is>
          <t>INSTALAÇÕES DE TELECOMUNICAÇÃO</t>
        </is>
      </c>
      <c r="D53" s="37" t="inlineStr">
        <is>
          <t>ELETRODUTOS</t>
        </is>
      </c>
      <c r="E53" s="37" t="inlineStr">
        <is>
          <t>PVC Flexível Antichama - NBR 15465 ø3/4"</t>
        </is>
      </c>
      <c r="F53" s="78" t="n">
        <v>97</v>
      </c>
      <c r="G53" s="78" t="n">
        <v>1</v>
      </c>
      <c r="H53" s="79" t="n">
        <v>0</v>
      </c>
      <c r="I53" s="80">
        <f>(F53+H53*F53)*G53</f>
        <v/>
      </c>
      <c r="J53" s="78" t="inlineStr">
        <is>
          <t>m</t>
        </is>
      </c>
      <c r="K53" s="81" t="n">
        <v>7.5</v>
      </c>
      <c r="L53" s="82">
        <f>IF(SUM(F53:K53)=0,SUMIFS($L54:$L$535,$B54:$B$535,$B53,$A54:$A$535,$A53),I53*K53)</f>
        <v/>
      </c>
      <c r="N53" s="49" t="inlineStr">
        <is>
          <t>TORRE</t>
        </is>
      </c>
      <c r="O53" s="49" t="n"/>
      <c r="P53" s="50" t="n"/>
      <c r="Q53" s="50" t="n"/>
      <c r="R53" s="49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</row>
    <row r="54" ht="14.25" customHeight="1">
      <c r="A54" s="37">
        <f>A53</f>
        <v/>
      </c>
      <c r="B54" s="37">
        <f>B53</f>
        <v/>
      </c>
      <c r="C54" s="37" t="inlineStr">
        <is>
          <t>INSTALAÇÕES DE TELECOMUNICAÇÃO</t>
        </is>
      </c>
      <c r="D54" s="37" t="inlineStr">
        <is>
          <t>QUADROS DE DISTRIBUIÇÃO</t>
        </is>
      </c>
      <c r="E54" s="37" t="inlineStr">
        <is>
          <t>Embutir - 486x510x109mm</t>
        </is>
      </c>
      <c r="F54" s="78" t="n">
        <v>1</v>
      </c>
      <c r="G54" s="78" t="n">
        <v>1</v>
      </c>
      <c r="H54" s="79" t="n">
        <v>0</v>
      </c>
      <c r="I54" s="80">
        <f>(F54+H54*F54)*G54</f>
        <v/>
      </c>
      <c r="J54" s="78" t="inlineStr">
        <is>
          <t>pç</t>
        </is>
      </c>
      <c r="K54" s="81" t="n">
        <v>465</v>
      </c>
      <c r="L54" s="82">
        <f>IF(SUM(F54:K54)=0,SUMIFS($L55:$L$535,$B55:$B$535,$B54,$A55:$A$535,$A54),I54*K54)</f>
        <v/>
      </c>
      <c r="N54" s="49" t="inlineStr">
        <is>
          <t>TORRE</t>
        </is>
      </c>
      <c r="O54" s="49" t="n"/>
      <c r="P54" s="50" t="n"/>
      <c r="Q54" s="50" t="n"/>
      <c r="R54" s="49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</row>
    <row r="55" ht="14.25" customHeight="1">
      <c r="A55" s="25" t="inlineStr">
        <is>
          <t>TORRE</t>
        </is>
      </c>
      <c r="B55" s="25" t="inlineStr">
        <is>
          <t>GARAGEM 04</t>
        </is>
      </c>
      <c r="C55" s="26" t="n"/>
      <c r="D55" s="27" t="n"/>
      <c r="E55" s="27" t="n"/>
      <c r="F55" s="69" t="n"/>
      <c r="G55" s="69" t="n"/>
      <c r="H55" s="69" t="n"/>
      <c r="I55" s="70" t="n"/>
      <c r="J55" s="69" t="n"/>
      <c r="K55" s="71" t="n"/>
      <c r="L55" s="72">
        <f>IF(SUM(F55:K55)=0,SUMIFS($L56:$L$535,$B56:$B$535,$B55,$A56:$A$535,$A55),I55*K55)</f>
        <v/>
      </c>
      <c r="M55" s="73" t="n"/>
      <c r="N55" s="91" t="inlineStr">
        <is>
          <t>TORRE</t>
        </is>
      </c>
      <c r="O55" s="92" t="n"/>
      <c r="P55" s="93" t="n"/>
      <c r="Q55" s="93" t="n"/>
      <c r="R55" s="93" t="n"/>
      <c r="S55" s="93" t="n"/>
      <c r="T55" s="93" t="n"/>
      <c r="U55" s="93" t="n"/>
      <c r="V55" s="93" t="n"/>
      <c r="W55" s="93" t="n"/>
      <c r="X55" s="93" t="n"/>
      <c r="Y55" s="93" t="n"/>
      <c r="Z55" s="93" t="n"/>
      <c r="AA55" s="93" t="n"/>
      <c r="AB55" s="93" t="n"/>
      <c r="AC55" s="93" t="n"/>
      <c r="AD55" s="93" t="n"/>
      <c r="AE55" s="93" t="n"/>
      <c r="AF55" s="93" t="n"/>
      <c r="AG55" s="93" t="n"/>
      <c r="AH55" s="93" t="n"/>
      <c r="AI55" s="94" t="n"/>
      <c r="AJ55" s="73" t="n"/>
    </row>
    <row r="56" ht="14.25" customHeight="1">
      <c r="A56" s="37">
        <f>A55</f>
        <v/>
      </c>
      <c r="B56" s="37">
        <f>B55</f>
        <v/>
      </c>
      <c r="C56" s="37" t="inlineStr">
        <is>
          <t>INSTALAÇÕES DE TELECOMUNICAÇÃO</t>
        </is>
      </c>
      <c r="D56" s="37" t="inlineStr">
        <is>
          <t>CAIXA OCTOGONAL</t>
        </is>
      </c>
      <c r="E56" s="37" t="inlineStr">
        <is>
          <t>Caixa Octogonal Padrão NBR IEC 60670</t>
        </is>
      </c>
      <c r="F56" s="78" t="n">
        <v>38</v>
      </c>
      <c r="G56" s="78" t="n">
        <v>1</v>
      </c>
      <c r="H56" s="79" t="n">
        <v>0</v>
      </c>
      <c r="I56" s="80">
        <f>(F56+H56*F56)*G56</f>
        <v/>
      </c>
      <c r="J56" s="78" t="inlineStr">
        <is>
          <t>pç</t>
        </is>
      </c>
      <c r="K56" s="81" t="n">
        <v>9.800000000000001</v>
      </c>
      <c r="L56" s="82">
        <f>IF(SUM(F56:K56)=0,SUMIFS($L57:$L$535,$B57:$B$535,$B56,$A57:$A$535,$A56),I56*K56)</f>
        <v/>
      </c>
      <c r="N56" s="49" t="inlineStr">
        <is>
          <t>TORRE</t>
        </is>
      </c>
      <c r="O56" s="49" t="n"/>
      <c r="P56" s="50" t="n"/>
      <c r="Q56" s="50" t="n"/>
      <c r="R56" s="49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</row>
    <row r="57" ht="14.25" customHeight="1">
      <c r="A57" s="37">
        <f>A56</f>
        <v/>
      </c>
      <c r="B57" s="37">
        <f>B56</f>
        <v/>
      </c>
      <c r="C57" s="37" t="inlineStr">
        <is>
          <t>INSTALAÇÕES DE TELECOMUNICAÇÃO</t>
        </is>
      </c>
      <c r="D57" s="37" t="inlineStr">
        <is>
          <t>CAIXA OCTOGONAL</t>
        </is>
      </c>
      <c r="E57" s="37" t="inlineStr">
        <is>
          <t>Placa cega para caixa octogonal Padrão NBR IEC 60670</t>
        </is>
      </c>
      <c r="F57" s="78" t="n">
        <v>2</v>
      </c>
      <c r="G57" s="78" t="n">
        <v>1</v>
      </c>
      <c r="H57" s="79" t="n">
        <v>0</v>
      </c>
      <c r="I57" s="80">
        <f>(F57+H57*F57)*G57</f>
        <v/>
      </c>
      <c r="J57" s="78" t="inlineStr">
        <is>
          <t>pç</t>
        </is>
      </c>
      <c r="K57" s="81" t="n">
        <v>6.5</v>
      </c>
      <c r="L57" s="82">
        <f>IF(SUM(F57:K57)=0,SUMIFS($L58:$L$535,$B58:$B$535,$B57,$A58:$A$535,$A57),I57*K57)</f>
        <v/>
      </c>
      <c r="N57" s="49" t="inlineStr">
        <is>
          <t>TORRE</t>
        </is>
      </c>
      <c r="O57" s="49" t="n"/>
      <c r="P57" s="50" t="n"/>
      <c r="Q57" s="50" t="n"/>
      <c r="R57" s="49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</row>
    <row r="58" ht="14.25" customHeight="1" thickBot="1">
      <c r="A58" s="37">
        <f>A57</f>
        <v/>
      </c>
      <c r="B58" s="37">
        <f>B57</f>
        <v/>
      </c>
      <c r="C58" s="37" t="inlineStr">
        <is>
          <t>INSTALAÇÕES DE TELECOMUNICAÇÃO</t>
        </is>
      </c>
      <c r="D58" s="37" t="inlineStr">
        <is>
          <t>ELETRODUTOS</t>
        </is>
      </c>
      <c r="E58" s="37" t="inlineStr">
        <is>
          <t>PVC Flexível Antichama - NBR 15465 ø1"</t>
        </is>
      </c>
      <c r="F58" s="78" t="n">
        <v>126</v>
      </c>
      <c r="G58" s="78" t="n">
        <v>1</v>
      </c>
      <c r="H58" s="79" t="n">
        <v>0</v>
      </c>
      <c r="I58" s="80">
        <f>(F58+H58*F58)*G58</f>
        <v/>
      </c>
      <c r="J58" s="78" t="inlineStr">
        <is>
          <t>m</t>
        </is>
      </c>
      <c r="K58" s="81" t="n">
        <v>11.9</v>
      </c>
      <c r="L58" s="82">
        <f>IF(SUM(F58:K58)=0,SUMIFS($L59:$L$535,$B59:$B$535,$B58,$A59:$A$535,$A58),I58*K58)</f>
        <v/>
      </c>
      <c r="N58" s="49" t="inlineStr">
        <is>
          <t>TORRE</t>
        </is>
      </c>
      <c r="O58" s="49" t="n"/>
      <c r="P58" s="50" t="n"/>
      <c r="Q58" s="50" t="n"/>
      <c r="R58" s="49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</row>
    <row r="59" ht="15" customHeight="1" thickTop="1">
      <c r="A59" s="37">
        <f>A58</f>
        <v/>
      </c>
      <c r="B59" s="37">
        <f>B58</f>
        <v/>
      </c>
      <c r="C59" s="37" t="inlineStr">
        <is>
          <t>INSTALAÇÕES DE TELECOMUNICAÇÃO</t>
        </is>
      </c>
      <c r="D59" s="37" t="inlineStr">
        <is>
          <t>ELETRODUTOS</t>
        </is>
      </c>
      <c r="E59" s="37" t="inlineStr">
        <is>
          <t>PVC Flexível Antichama - NBR 15465 ø3/4"</t>
        </is>
      </c>
      <c r="F59" s="78" t="n">
        <v>84</v>
      </c>
      <c r="G59" s="78" t="n">
        <v>1</v>
      </c>
      <c r="H59" s="79" t="n">
        <v>0</v>
      </c>
      <c r="I59" s="80">
        <f>(F59+H59*F59)*G59</f>
        <v/>
      </c>
      <c r="J59" s="78" t="inlineStr">
        <is>
          <t>m</t>
        </is>
      </c>
      <c r="K59" s="81" t="n">
        <v>7.5</v>
      </c>
      <c r="L59" s="82">
        <f>IF(SUM(F59:K59)=0,SUMIFS($L60:$L$535,$B60:$B$535,$B59,$A60:$A$535,$A59),I59*K59)</f>
        <v/>
      </c>
      <c r="N59" s="49" t="inlineStr">
        <is>
          <t>TORRE</t>
        </is>
      </c>
      <c r="O59" s="49" t="n"/>
      <c r="P59" s="50" t="n"/>
      <c r="Q59" s="50" t="n"/>
      <c r="R59" s="49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  <row r="60">
      <c r="A60" s="37">
        <f>A59</f>
        <v/>
      </c>
      <c r="B60" s="37">
        <f>B59</f>
        <v/>
      </c>
      <c r="C60" s="37" t="inlineStr">
        <is>
          <t>INSTALAÇÕES DE TELECOMUNICAÇÃO</t>
        </is>
      </c>
      <c r="D60" s="37" t="inlineStr">
        <is>
          <t>QUADROS DE DISTRIBUIÇÃO</t>
        </is>
      </c>
      <c r="E60" s="37" t="inlineStr">
        <is>
          <t>Embutir - 486x510x109mm</t>
        </is>
      </c>
      <c r="F60" s="78" t="n">
        <v>1</v>
      </c>
      <c r="G60" s="78" t="n">
        <v>1</v>
      </c>
      <c r="H60" s="79" t="n">
        <v>0</v>
      </c>
      <c r="I60" s="80">
        <f>(F60+H60*F60)*G60</f>
        <v/>
      </c>
      <c r="J60" s="78" t="inlineStr">
        <is>
          <t>pç</t>
        </is>
      </c>
      <c r="K60" s="81" t="n">
        <v>465</v>
      </c>
      <c r="L60" s="82">
        <f>IF(SUM(F60:K60)=0,SUMIFS($L61:$L$535,$B61:$B$535,$B60,$A61:$A$535,$A60),I60*K60)</f>
        <v/>
      </c>
      <c r="N60" s="49" t="inlineStr">
        <is>
          <t>TORRE</t>
        </is>
      </c>
      <c r="O60" s="49" t="n"/>
      <c r="P60" s="50" t="n"/>
      <c r="Q60" s="50" t="n"/>
      <c r="R60" s="49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</row>
    <row r="61">
      <c r="A61" s="25" t="inlineStr">
        <is>
          <t>TORRE</t>
        </is>
      </c>
      <c r="B61" s="25" t="inlineStr">
        <is>
          <t>GARAGEM 05</t>
        </is>
      </c>
      <c r="C61" s="26" t="n"/>
      <c r="D61" s="27" t="n"/>
      <c r="E61" s="27" t="n"/>
      <c r="F61" s="69" t="n"/>
      <c r="G61" s="69" t="n"/>
      <c r="H61" s="69" t="n"/>
      <c r="I61" s="70" t="n"/>
      <c r="J61" s="69" t="n"/>
      <c r="K61" s="71" t="n"/>
      <c r="L61" s="72">
        <f>IF(SUM(F61:K61)=0,SUMIFS($L62:$L$535,$B62:$B$535,$B61,$A62:$A$535,$A61),I61*K61)</f>
        <v/>
      </c>
      <c r="M61" s="73" t="n"/>
      <c r="N61" s="91" t="inlineStr">
        <is>
          <t>TORRE</t>
        </is>
      </c>
      <c r="O61" s="92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3" t="n"/>
      <c r="AI61" s="94" t="n"/>
      <c r="AJ61" s="73" t="n"/>
    </row>
    <row r="62">
      <c r="A62" s="37">
        <f>A61</f>
        <v/>
      </c>
      <c r="B62" s="37">
        <f>B61</f>
        <v/>
      </c>
      <c r="C62" s="37" t="inlineStr">
        <is>
          <t>INSTALAÇÕES DE TELECOMUNICAÇÃO</t>
        </is>
      </c>
      <c r="D62" s="37" t="inlineStr">
        <is>
          <t>CAIXA OCTOGONAL</t>
        </is>
      </c>
      <c r="E62" s="37" t="inlineStr">
        <is>
          <t>Caixa Octogonal Padrão NBR IEC 60670</t>
        </is>
      </c>
      <c r="F62" s="78" t="n">
        <v>38</v>
      </c>
      <c r="G62" s="78" t="n">
        <v>1</v>
      </c>
      <c r="H62" s="79" t="n">
        <v>0</v>
      </c>
      <c r="I62" s="80">
        <f>(F62+H62*F62)*G62</f>
        <v/>
      </c>
      <c r="J62" s="78" t="inlineStr">
        <is>
          <t>pç</t>
        </is>
      </c>
      <c r="K62" s="81" t="n">
        <v>9.800000000000001</v>
      </c>
      <c r="L62" s="82">
        <f>IF(SUM(F62:K62)=0,SUMIFS($L63:$L$535,$B63:$B$535,$B62,$A63:$A$535,$A62),I62*K62)</f>
        <v/>
      </c>
      <c r="N62" s="49" t="inlineStr">
        <is>
          <t>TORRE</t>
        </is>
      </c>
      <c r="O62" s="49" t="n"/>
      <c r="P62" s="50" t="n"/>
      <c r="Q62" s="50" t="n"/>
      <c r="R62" s="49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</row>
    <row r="63">
      <c r="A63" s="37">
        <f>A62</f>
        <v/>
      </c>
      <c r="B63" s="37">
        <f>B62</f>
        <v/>
      </c>
      <c r="C63" s="37" t="inlineStr">
        <is>
          <t>INSTALAÇÕES DE TELECOMUNICAÇÃO</t>
        </is>
      </c>
      <c r="D63" s="37" t="inlineStr">
        <is>
          <t>CAIXA OCTOGONAL</t>
        </is>
      </c>
      <c r="E63" s="37" t="inlineStr">
        <is>
          <t>Placa cega para caixa octogonal Padrão NBR IEC 60670</t>
        </is>
      </c>
      <c r="F63" s="78" t="n">
        <v>2</v>
      </c>
      <c r="G63" s="78" t="n">
        <v>1</v>
      </c>
      <c r="H63" s="79" t="n">
        <v>0</v>
      </c>
      <c r="I63" s="80">
        <f>(F63+H63*F63)*G63</f>
        <v/>
      </c>
      <c r="J63" s="78" t="inlineStr">
        <is>
          <t>pç</t>
        </is>
      </c>
      <c r="K63" s="81" t="n">
        <v>6.5</v>
      </c>
      <c r="L63" s="82">
        <f>IF(SUM(F63:K63)=0,SUMIFS($L64:$L$535,$B64:$B$535,$B63,$A64:$A$535,$A63),I63*K63)</f>
        <v/>
      </c>
      <c r="N63" s="49" t="inlineStr">
        <is>
          <t>TORRE</t>
        </is>
      </c>
      <c r="O63" s="49" t="n"/>
      <c r="P63" s="50" t="n"/>
      <c r="Q63" s="50" t="n"/>
      <c r="R63" s="49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</row>
    <row r="64" ht="15" customHeight="1" thickBot="1">
      <c r="A64" s="37">
        <f>A63</f>
        <v/>
      </c>
      <c r="B64" s="37">
        <f>B63</f>
        <v/>
      </c>
      <c r="C64" s="37" t="inlineStr">
        <is>
          <t>INSTALAÇÕES DE TELECOMUNICAÇÃO</t>
        </is>
      </c>
      <c r="D64" s="37" t="inlineStr">
        <is>
          <t>ELETRODUTOS</t>
        </is>
      </c>
      <c r="E64" s="37" t="inlineStr">
        <is>
          <t>PVC Flexível Antichama - NBR 15465 ø1"</t>
        </is>
      </c>
      <c r="F64" s="78" t="n">
        <v>112</v>
      </c>
      <c r="G64" s="78" t="n">
        <v>1</v>
      </c>
      <c r="H64" s="79" t="n">
        <v>0</v>
      </c>
      <c r="I64" s="80">
        <f>(F64+H64*F64)*G64</f>
        <v/>
      </c>
      <c r="J64" s="78" t="inlineStr">
        <is>
          <t>m</t>
        </is>
      </c>
      <c r="K64" s="81" t="n">
        <v>11.9</v>
      </c>
      <c r="L64" s="82">
        <f>IF(SUM(F64:K64)=0,SUMIFS($L65:$L$535,$B65:$B$535,$B64,$A65:$A$535,$A64),I64*K64)</f>
        <v/>
      </c>
      <c r="N64" s="49" t="inlineStr">
        <is>
          <t>TORRE</t>
        </is>
      </c>
      <c r="O64" s="49" t="n"/>
      <c r="P64" s="50" t="n"/>
      <c r="Q64" s="50" t="n"/>
      <c r="R64" s="49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</row>
    <row r="65" ht="15" customHeight="1" thickTop="1">
      <c r="A65" s="37">
        <f>A64</f>
        <v/>
      </c>
      <c r="B65" s="37">
        <f>B64</f>
        <v/>
      </c>
      <c r="C65" s="37" t="inlineStr">
        <is>
          <t>INSTALAÇÕES DE TELECOMUNICAÇÃO</t>
        </is>
      </c>
      <c r="D65" s="37" t="inlineStr">
        <is>
          <t>ELETRODUTOS</t>
        </is>
      </c>
      <c r="E65" s="37" t="inlineStr">
        <is>
          <t>PVC Flexível Antichama - NBR 15465 ø3/4"</t>
        </is>
      </c>
      <c r="F65" s="78" t="n">
        <v>74</v>
      </c>
      <c r="G65" s="78" t="n">
        <v>1</v>
      </c>
      <c r="H65" s="79" t="n">
        <v>0</v>
      </c>
      <c r="I65" s="80">
        <f>(F65+H65*F65)*G65</f>
        <v/>
      </c>
      <c r="J65" s="78" t="inlineStr">
        <is>
          <t>m</t>
        </is>
      </c>
      <c r="K65" s="81" t="n">
        <v>7.5</v>
      </c>
      <c r="L65" s="82">
        <f>IF(SUM(F65:K65)=0,SUMIFS($L66:$L$535,$B66:$B$535,$B65,$A66:$A$535,$A65),I65*K65)</f>
        <v/>
      </c>
      <c r="N65" s="49" t="inlineStr">
        <is>
          <t>TORRE</t>
        </is>
      </c>
      <c r="O65" s="49" t="n"/>
      <c r="P65" s="50" t="n"/>
      <c r="Q65" s="50" t="n"/>
      <c r="R65" s="49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</row>
    <row r="66">
      <c r="A66" s="37">
        <f>A65</f>
        <v/>
      </c>
      <c r="B66" s="37">
        <f>B65</f>
        <v/>
      </c>
      <c r="C66" s="37" t="inlineStr">
        <is>
          <t>INSTALAÇÕES DE TELECOMUNICAÇÃO</t>
        </is>
      </c>
      <c r="D66" s="37" t="inlineStr">
        <is>
          <t>QUADROS DE DISTRIBUIÇÃO</t>
        </is>
      </c>
      <c r="E66" s="37" t="inlineStr">
        <is>
          <t>Embutir - 486x510x109mm</t>
        </is>
      </c>
      <c r="F66" s="78" t="n">
        <v>1</v>
      </c>
      <c r="G66" s="78" t="n">
        <v>1</v>
      </c>
      <c r="H66" s="79" t="n">
        <v>0</v>
      </c>
      <c r="I66" s="80">
        <f>(F66+H66*F66)*G66</f>
        <v/>
      </c>
      <c r="J66" s="78" t="inlineStr">
        <is>
          <t>pç</t>
        </is>
      </c>
      <c r="K66" s="81" t="n">
        <v>465</v>
      </c>
      <c r="L66" s="82">
        <f>IF(SUM(F66:K66)=0,SUMIFS($L67:$L$535,$B67:$B$535,$B66,$A67:$A$535,$A66),I66*K66)</f>
        <v/>
      </c>
      <c r="N66" s="49" t="inlineStr">
        <is>
          <t>TORRE</t>
        </is>
      </c>
      <c r="O66" s="49" t="n"/>
      <c r="P66" s="50" t="n"/>
      <c r="Q66" s="50" t="n"/>
      <c r="R66" s="49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</row>
    <row r="67">
      <c r="A67" s="25" t="inlineStr">
        <is>
          <t>TORRE</t>
        </is>
      </c>
      <c r="B67" s="25" t="inlineStr">
        <is>
          <t>LAZER</t>
        </is>
      </c>
      <c r="C67" s="26" t="n"/>
      <c r="D67" s="27" t="n"/>
      <c r="E67" s="27" t="n"/>
      <c r="F67" s="69" t="n"/>
      <c r="G67" s="69" t="n"/>
      <c r="H67" s="69" t="n"/>
      <c r="I67" s="70" t="n"/>
      <c r="J67" s="69" t="n"/>
      <c r="K67" s="71" t="n"/>
      <c r="L67" s="72">
        <f>IF(SUM(F67:K67)=0,SUMIFS($L68:$L$535,$B68:$B$535,$B67,$A68:$A$535,$A67),I67*K67)</f>
        <v/>
      </c>
      <c r="M67" s="73" t="n"/>
      <c r="N67" s="91" t="inlineStr">
        <is>
          <t>TORRE</t>
        </is>
      </c>
      <c r="O67" s="92" t="n"/>
      <c r="P67" s="93" t="n"/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94" t="n"/>
      <c r="AJ67" s="73" t="n"/>
    </row>
    <row r="68">
      <c r="A68" s="37">
        <f>A67</f>
        <v/>
      </c>
      <c r="B68" s="37">
        <f>B67</f>
        <v/>
      </c>
      <c r="C68" s="37" t="inlineStr">
        <is>
          <t>INSTALAÇÕES DE TELECOMUNICAÇÃO</t>
        </is>
      </c>
      <c r="D68" s="37" t="inlineStr">
        <is>
          <t>CAIXA OCTOGONAL</t>
        </is>
      </c>
      <c r="E68" s="37" t="inlineStr">
        <is>
          <t>Caixa Octogonal Padrão NBR IEC 60670</t>
        </is>
      </c>
      <c r="F68" s="78" t="n">
        <v>55</v>
      </c>
      <c r="G68" s="78" t="n">
        <v>1</v>
      </c>
      <c r="H68" s="79" t="n">
        <v>0</v>
      </c>
      <c r="I68" s="80">
        <f>(F68+H68*F68)*G68</f>
        <v/>
      </c>
      <c r="J68" s="78" t="inlineStr">
        <is>
          <t>pç</t>
        </is>
      </c>
      <c r="K68" s="81" t="n">
        <v>9.800000000000001</v>
      </c>
      <c r="L68" s="82">
        <f>IF(SUM(F68:K68)=0,SUMIFS($L69:$L$535,$B69:$B$535,$B68,$A69:$A$535,$A68),I68*K68)</f>
        <v/>
      </c>
      <c r="N68" s="49" t="inlineStr">
        <is>
          <t>TORRE</t>
        </is>
      </c>
      <c r="O68" s="49" t="n"/>
      <c r="P68" s="50" t="n"/>
      <c r="Q68" s="50" t="n"/>
      <c r="R68" s="49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</row>
    <row r="69">
      <c r="A69" s="37">
        <f>A68</f>
        <v/>
      </c>
      <c r="B69" s="37">
        <f>B68</f>
        <v/>
      </c>
      <c r="C69" s="37" t="inlineStr">
        <is>
          <t>INSTALAÇÕES DE TELECOMUNICAÇÃO</t>
        </is>
      </c>
      <c r="D69" s="37" t="inlineStr">
        <is>
          <t>CAIXA OCTOGONAL</t>
        </is>
      </c>
      <c r="E69" s="37" t="inlineStr">
        <is>
          <t>Placa cega para caixa octogonal Padrão NBR IEC 60670</t>
        </is>
      </c>
      <c r="F69" s="78" t="n">
        <v>8</v>
      </c>
      <c r="G69" s="78" t="n">
        <v>1</v>
      </c>
      <c r="H69" s="79" t="n">
        <v>0</v>
      </c>
      <c r="I69" s="80">
        <f>(F69+H69*F69)*G69</f>
        <v/>
      </c>
      <c r="J69" s="78" t="inlineStr">
        <is>
          <t>pç</t>
        </is>
      </c>
      <c r="K69" s="81" t="n">
        <v>6.5</v>
      </c>
      <c r="L69" s="82">
        <f>IF(SUM(F69:K69)=0,SUMIFS($L70:$L$535,$B70:$B$535,$B69,$A70:$A$535,$A69),I69*K69)</f>
        <v/>
      </c>
      <c r="N69" s="49" t="inlineStr">
        <is>
          <t>TORRE</t>
        </is>
      </c>
      <c r="O69" s="49" t="n"/>
      <c r="P69" s="50" t="n"/>
      <c r="Q69" s="50" t="n"/>
      <c r="R69" s="49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  <c r="AH69" s="50" t="n"/>
      <c r="AI69" s="50" t="n"/>
    </row>
    <row r="70">
      <c r="A70" s="37">
        <f>A69</f>
        <v/>
      </c>
      <c r="B70" s="37">
        <f>B69</f>
        <v/>
      </c>
      <c r="C70" s="37" t="inlineStr">
        <is>
          <t>INSTALAÇÕES DE TELECOMUNICAÇÃO</t>
        </is>
      </c>
      <c r="D70" s="37" t="inlineStr">
        <is>
          <t>CAIXA 4x2" E 4x4"</t>
        </is>
      </c>
      <c r="E70" s="37" t="inlineStr">
        <is>
          <t>Caixa 4x2" de Embutir em PVC Padrão NBR IEC 60670</t>
        </is>
      </c>
      <c r="F70" s="78" t="n">
        <v>120</v>
      </c>
      <c r="G70" s="78" t="n">
        <v>1</v>
      </c>
      <c r="H70" s="79" t="n">
        <v>0</v>
      </c>
      <c r="I70" s="80">
        <f>(F70+H70*F70)*G70</f>
        <v/>
      </c>
      <c r="J70" s="78" t="inlineStr">
        <is>
          <t>pç</t>
        </is>
      </c>
      <c r="K70" s="81" t="n">
        <v>5.9</v>
      </c>
      <c r="L70" s="82">
        <f>IF(SUM(F70:K70)=0,SUMIFS($L71:$L$535,$B71:$B$535,$B70,$A71:$A$535,$A70),I70*K70)</f>
        <v/>
      </c>
      <c r="N70" s="49" t="inlineStr">
        <is>
          <t>TORRE</t>
        </is>
      </c>
      <c r="O70" s="49" t="n"/>
      <c r="P70" s="50" t="n"/>
      <c r="Q70" s="50" t="n"/>
      <c r="R70" s="49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</row>
    <row r="71">
      <c r="A71" s="37">
        <f>A70</f>
        <v/>
      </c>
      <c r="B71" s="37">
        <f>B70</f>
        <v/>
      </c>
      <c r="C71" s="37" t="inlineStr">
        <is>
          <t>INSTALAÇÕES DE TELECOMUNICAÇÃO</t>
        </is>
      </c>
      <c r="D71" s="37" t="inlineStr">
        <is>
          <t>CAIXA 4x2" E 4x4"</t>
        </is>
      </c>
      <c r="E71" s="37" t="inlineStr">
        <is>
          <t>Caixa 4x4" de Embutir em PVC Padrão NBR IEC 60670</t>
        </is>
      </c>
      <c r="F71" s="78" t="n">
        <v>45</v>
      </c>
      <c r="G71" s="78" t="n">
        <v>1</v>
      </c>
      <c r="H71" s="79" t="n">
        <v>0</v>
      </c>
      <c r="I71" s="80">
        <f>(F71+H71*F71)*G71</f>
        <v/>
      </c>
      <c r="J71" s="78" t="inlineStr">
        <is>
          <t>pç</t>
        </is>
      </c>
      <c r="K71" s="81" t="n">
        <v>8.9</v>
      </c>
      <c r="L71" s="82">
        <f>IF(SUM(F71:K71)=0,SUMIFS($L72:$L$535,$B72:$B$535,$B71,$A72:$A$535,$A71),I71*K71)</f>
        <v/>
      </c>
      <c r="N71" s="49" t="inlineStr">
        <is>
          <t>TORRE</t>
        </is>
      </c>
      <c r="O71" s="49" t="n"/>
      <c r="P71" s="50" t="n"/>
      <c r="Q71" s="50" t="n"/>
      <c r="R71" s="49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</row>
    <row r="72">
      <c r="A72" s="37">
        <f>A71</f>
        <v/>
      </c>
      <c r="B72" s="37">
        <f>B71</f>
        <v/>
      </c>
      <c r="C72" s="37" t="inlineStr">
        <is>
          <t>INSTALAÇÕES DE TELECOMUNICAÇÃO</t>
        </is>
      </c>
      <c r="D72" s="37" t="inlineStr">
        <is>
          <t>CAIXA 4x2" E 4x4"</t>
        </is>
      </c>
      <c r="E72" s="37" t="inlineStr">
        <is>
          <t>Placa 4x2" cega Padrão NBR IEC 60670</t>
        </is>
      </c>
      <c r="F72" s="78" t="n">
        <v>55</v>
      </c>
      <c r="G72" s="78" t="n">
        <v>1</v>
      </c>
      <c r="H72" s="79" t="n">
        <v>0</v>
      </c>
      <c r="I72" s="80">
        <f>(F72+H72*F72)*G72</f>
        <v/>
      </c>
      <c r="J72" s="78" t="inlineStr">
        <is>
          <t>pç</t>
        </is>
      </c>
      <c r="K72" s="81" t="n">
        <v>4.5</v>
      </c>
      <c r="L72" s="82">
        <f>IF(SUM(F72:K72)=0,SUMIFS($L73:$L$535,$B73:$B$535,$B72,$A73:$A$535,$A72),I72*K72)</f>
        <v/>
      </c>
      <c r="N72" s="49" t="inlineStr">
        <is>
          <t>TORRE</t>
        </is>
      </c>
      <c r="O72" s="49" t="n"/>
      <c r="P72" s="50" t="n"/>
      <c r="Q72" s="50" t="n"/>
      <c r="R72" s="49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</row>
    <row r="73">
      <c r="A73" s="37">
        <f>A72</f>
        <v/>
      </c>
      <c r="B73" s="37">
        <f>B72</f>
        <v/>
      </c>
      <c r="C73" s="37" t="inlineStr">
        <is>
          <t>INSTALAÇÕES DE TELECOMUNICAÇÃO</t>
        </is>
      </c>
      <c r="D73" s="37" t="inlineStr">
        <is>
          <t>CAIXA 4x2" E 4x4"</t>
        </is>
      </c>
      <c r="E73" s="37" t="inlineStr">
        <is>
          <t>Placa 4x2" para 2 funções Padrão NBR IEC 60670</t>
        </is>
      </c>
      <c r="F73" s="78" t="n">
        <v>8</v>
      </c>
      <c r="G73" s="78" t="n">
        <v>1</v>
      </c>
      <c r="H73" s="79" t="n">
        <v>0</v>
      </c>
      <c r="I73" s="80">
        <f>(F73+H73*F73)*G73</f>
        <v/>
      </c>
      <c r="J73" s="78" t="inlineStr">
        <is>
          <t>pç</t>
        </is>
      </c>
      <c r="K73" s="81" t="n">
        <v>7.8</v>
      </c>
      <c r="L73" s="82">
        <f>IF(SUM(F73:K73)=0,SUMIFS($L74:$L$535,$B74:$B$535,$B73,$A74:$A$535,$A73),I73*K73)</f>
        <v/>
      </c>
      <c r="N73" s="49" t="inlineStr">
        <is>
          <t>TORRE</t>
        </is>
      </c>
      <c r="O73" s="49" t="n"/>
      <c r="P73" s="50" t="n"/>
      <c r="Q73" s="50" t="n"/>
      <c r="R73" s="49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50" t="n"/>
      <c r="AI73" s="50" t="n"/>
    </row>
    <row r="74">
      <c r="A74" s="37">
        <f>A73</f>
        <v/>
      </c>
      <c r="B74" s="37">
        <f>B73</f>
        <v/>
      </c>
      <c r="C74" s="37" t="inlineStr">
        <is>
          <t>INSTALAÇÕES DE TELECOMUNICAÇÃO</t>
        </is>
      </c>
      <c r="D74" s="37" t="inlineStr">
        <is>
          <t>CAIXA 4x2" E 4x4"</t>
        </is>
      </c>
      <c r="E74" s="37" t="inlineStr">
        <is>
          <t>Placa 4x4" cega Padrão NBR IEC 60670</t>
        </is>
      </c>
      <c r="F74" s="78" t="n">
        <v>45</v>
      </c>
      <c r="G74" s="78" t="n">
        <v>1</v>
      </c>
      <c r="H74" s="79" t="n">
        <v>0</v>
      </c>
      <c r="I74" s="80">
        <f>(F74+H74*F74)*G74</f>
        <v/>
      </c>
      <c r="J74" s="78" t="inlineStr">
        <is>
          <t>pç</t>
        </is>
      </c>
      <c r="K74" s="81" t="n">
        <v>7.5</v>
      </c>
      <c r="L74" s="82">
        <f>IF(SUM(F74:K74)=0,SUMIFS($L75:$L$535,$B75:$B$535,$B74,$A75:$A$535,$A74),I74*K74)</f>
        <v/>
      </c>
      <c r="N74" s="49" t="inlineStr">
        <is>
          <t>TORRE</t>
        </is>
      </c>
      <c r="O74" s="49" t="n"/>
      <c r="P74" s="50" t="n"/>
      <c r="Q74" s="50" t="n"/>
      <c r="R74" s="49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  <c r="AH74" s="50" t="n"/>
      <c r="AI74" s="50" t="n"/>
    </row>
    <row r="75">
      <c r="A75" s="37">
        <f>A74</f>
        <v/>
      </c>
      <c r="B75" s="37">
        <f>B74</f>
        <v/>
      </c>
      <c r="C75" s="37" t="inlineStr">
        <is>
          <t>INSTALAÇÕES DE TELECOMUNICAÇÃO</t>
        </is>
      </c>
      <c r="D75" s="37" t="inlineStr">
        <is>
          <t>CAIXA 4x2" E 4x4"</t>
        </is>
      </c>
      <c r="E75" s="37" t="inlineStr">
        <is>
          <t>Suporte p/ caixa 4x2" Padrão NBR IEC 60670</t>
        </is>
      </c>
      <c r="F75" s="78" t="n">
        <v>120</v>
      </c>
      <c r="G75" s="78" t="n">
        <v>1</v>
      </c>
      <c r="H75" s="79" t="n">
        <v>0</v>
      </c>
      <c r="I75" s="80">
        <f>(F75+H75*F75)*G75</f>
        <v/>
      </c>
      <c r="J75" s="78" t="inlineStr">
        <is>
          <t>pç</t>
        </is>
      </c>
      <c r="K75" s="81" t="n">
        <v>2.4</v>
      </c>
      <c r="L75" s="82">
        <f>IF(SUM(F75:K75)=0,SUMIFS($L76:$L$535,$B76:$B$535,$B75,$A76:$A$535,$A75),I75*K75)</f>
        <v/>
      </c>
      <c r="N75" s="49" t="inlineStr">
        <is>
          <t>TORRE</t>
        </is>
      </c>
      <c r="O75" s="49" t="n"/>
      <c r="P75" s="50" t="n"/>
      <c r="Q75" s="50" t="n"/>
      <c r="R75" s="49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  <c r="AH75" s="50" t="n"/>
      <c r="AI75" s="50" t="n"/>
    </row>
    <row r="76">
      <c r="A76" s="37">
        <f>A75</f>
        <v/>
      </c>
      <c r="B76" s="37">
        <f>B75</f>
        <v/>
      </c>
      <c r="C76" s="37" t="inlineStr">
        <is>
          <t>INSTALAÇÕES DE TELECOMUNICAÇÃO</t>
        </is>
      </c>
      <c r="D76" s="37" t="inlineStr">
        <is>
          <t>CAIXA 4x2" E 4x4"</t>
        </is>
      </c>
      <c r="E76" s="37" t="inlineStr">
        <is>
          <t>Suporte p/ caixa 4x4" Padrão NBR IEC 60670</t>
        </is>
      </c>
      <c r="F76" s="78" t="n">
        <v>45</v>
      </c>
      <c r="G76" s="78" t="n">
        <v>1</v>
      </c>
      <c r="H76" s="79" t="n">
        <v>0</v>
      </c>
      <c r="I76" s="80">
        <f>(F76+H76*F76)*G76</f>
        <v/>
      </c>
      <c r="J76" s="78" t="inlineStr">
        <is>
          <t>pç</t>
        </is>
      </c>
      <c r="K76" s="81" t="n">
        <v>3.2</v>
      </c>
      <c r="L76" s="82">
        <f>IF(SUM(F76:K76)=0,SUMIFS($L77:$L$535,$B77:$B$535,$B76,$A77:$A$535,$A76),I76*K76)</f>
        <v/>
      </c>
      <c r="N76" s="49" t="inlineStr">
        <is>
          <t>TORRE</t>
        </is>
      </c>
      <c r="O76" s="49" t="n"/>
      <c r="P76" s="50" t="n"/>
      <c r="Q76" s="50" t="n"/>
      <c r="R76" s="49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  <c r="AH76" s="50" t="n"/>
      <c r="AI76" s="50" t="n"/>
    </row>
    <row r="77">
      <c r="A77" s="37">
        <f>A76</f>
        <v/>
      </c>
      <c r="B77" s="37">
        <f>B76</f>
        <v/>
      </c>
      <c r="C77" s="37" t="inlineStr">
        <is>
          <t>INSTALAÇÕES DE TELECOMUNICAÇÃO</t>
        </is>
      </c>
      <c r="D77" s="37" t="inlineStr">
        <is>
          <t>ELETRODUTOS</t>
        </is>
      </c>
      <c r="E77" s="37" t="inlineStr">
        <is>
          <t>PVC Flexível Antichama - NBR 15465 ø1"</t>
        </is>
      </c>
      <c r="F77" s="78" t="n">
        <v>563</v>
      </c>
      <c r="G77" s="78" t="n">
        <v>1</v>
      </c>
      <c r="H77" s="79" t="n">
        <v>0</v>
      </c>
      <c r="I77" s="80">
        <f>(F77+H77*F77)*G77</f>
        <v/>
      </c>
      <c r="J77" s="78" t="inlineStr">
        <is>
          <t>m</t>
        </is>
      </c>
      <c r="K77" s="81" t="n">
        <v>11.9</v>
      </c>
      <c r="L77" s="82">
        <f>IF(SUM(F77:K77)=0,SUMIFS($L78:$L$535,$B78:$B$535,$B77,$A78:$A$535,$A77),I77*K77)</f>
        <v/>
      </c>
      <c r="N77" s="49" t="inlineStr">
        <is>
          <t>TORRE</t>
        </is>
      </c>
      <c r="O77" s="49" t="n"/>
      <c r="P77" s="50" t="n"/>
      <c r="Q77" s="50" t="n"/>
      <c r="R77" s="49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  <c r="AH77" s="50" t="n"/>
      <c r="AI77" s="50" t="n"/>
    </row>
    <row r="78">
      <c r="A78" s="37">
        <f>A77</f>
        <v/>
      </c>
      <c r="B78" s="37">
        <f>B77</f>
        <v/>
      </c>
      <c r="C78" s="37" t="inlineStr">
        <is>
          <t>INSTALAÇÕES DE TELECOMUNICAÇÃO</t>
        </is>
      </c>
      <c r="D78" s="37" t="inlineStr">
        <is>
          <t>ELETRODUTOS</t>
        </is>
      </c>
      <c r="E78" s="37" t="inlineStr">
        <is>
          <t>PVC Flexível Antichama - NBR 15465 ø3/4"</t>
        </is>
      </c>
      <c r="F78" s="78" t="n">
        <v>844</v>
      </c>
      <c r="G78" s="78" t="n">
        <v>1</v>
      </c>
      <c r="H78" s="79" t="n">
        <v>0</v>
      </c>
      <c r="I78" s="80">
        <f>(F78+H78*F78)*G78</f>
        <v/>
      </c>
      <c r="J78" s="78" t="inlineStr">
        <is>
          <t>m</t>
        </is>
      </c>
      <c r="K78" s="81" t="n">
        <v>7.5</v>
      </c>
      <c r="L78" s="82">
        <f>IF(SUM(F78:K78)=0,SUMIFS($L79:$L$535,$B79:$B$535,$B78,$A79:$A$535,$A78),I78*K78)</f>
        <v/>
      </c>
      <c r="N78" s="49" t="inlineStr">
        <is>
          <t>TORRE</t>
        </is>
      </c>
      <c r="O78" s="49" t="n"/>
      <c r="P78" s="50" t="n"/>
      <c r="Q78" s="50" t="n"/>
      <c r="R78" s="49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  <c r="AH78" s="50" t="n"/>
      <c r="AI78" s="50" t="n"/>
    </row>
    <row r="79">
      <c r="A79" s="37">
        <f>A78</f>
        <v/>
      </c>
      <c r="B79" s="37">
        <f>B78</f>
        <v/>
      </c>
      <c r="C79" s="37" t="inlineStr">
        <is>
          <t>INSTALAÇÕES DE TELECOMUNICAÇÃO</t>
        </is>
      </c>
      <c r="D79" s="37" t="inlineStr">
        <is>
          <t>MÓDULOS</t>
        </is>
      </c>
      <c r="E79" s="37" t="inlineStr">
        <is>
          <t>Módulo Coaxial</t>
        </is>
      </c>
      <c r="F79" s="78" t="n">
        <v>8</v>
      </c>
      <c r="G79" s="78" t="n">
        <v>1</v>
      </c>
      <c r="H79" s="79" t="n">
        <v>0</v>
      </c>
      <c r="I79" s="80">
        <f>(F79+H79*F79)*G79</f>
        <v/>
      </c>
      <c r="J79" s="78" t="inlineStr">
        <is>
          <t>pç</t>
        </is>
      </c>
      <c r="K79" s="81" t="n">
        <v>18.5</v>
      </c>
      <c r="L79" s="82">
        <f>IF(SUM(F79:K79)=0,SUMIFS($L80:$L$535,$B80:$B$535,$B79,$A80:$A$535,$A79),I79*K79)</f>
        <v/>
      </c>
      <c r="N79" s="49" t="inlineStr">
        <is>
          <t>TORRE</t>
        </is>
      </c>
      <c r="O79" s="49" t="n"/>
      <c r="P79" s="50" t="n"/>
      <c r="Q79" s="50" t="n"/>
      <c r="R79" s="49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</row>
    <row r="80">
      <c r="A80" s="37">
        <f>A79</f>
        <v/>
      </c>
      <c r="B80" s="37">
        <f>B79</f>
        <v/>
      </c>
      <c r="C80" s="37" t="inlineStr">
        <is>
          <t>INSTALAÇÕES DE TELECOMUNICAÇÃO</t>
        </is>
      </c>
      <c r="D80" s="37" t="inlineStr">
        <is>
          <t>MÓDULOS</t>
        </is>
      </c>
      <c r="E80" s="37" t="inlineStr">
        <is>
          <t>Módulo RJ45</t>
        </is>
      </c>
      <c r="F80" s="78" t="n">
        <v>6</v>
      </c>
      <c r="G80" s="78" t="n">
        <v>1</v>
      </c>
      <c r="H80" s="79" t="n">
        <v>0</v>
      </c>
      <c r="I80" s="80">
        <f>(F80+H80*F80)*G80</f>
        <v/>
      </c>
      <c r="J80" s="78" t="inlineStr">
        <is>
          <t>pç</t>
        </is>
      </c>
      <c r="K80" s="81" t="n">
        <v>22.9</v>
      </c>
      <c r="L80" s="82">
        <f>IF(SUM(F80:K80)=0,SUMIFS($L81:$L$535,$B81:$B$535,$B80,$A81:$A$535,$A80),I80*K80)</f>
        <v/>
      </c>
      <c r="N80" s="49" t="inlineStr">
        <is>
          <t>TORRE</t>
        </is>
      </c>
      <c r="O80" s="49" t="n"/>
      <c r="P80" s="50" t="n"/>
      <c r="Q80" s="50" t="n"/>
      <c r="R80" s="49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  <c r="AH80" s="50" t="n"/>
      <c r="AI80" s="50" t="n"/>
    </row>
    <row r="81">
      <c r="A81" s="37">
        <f>A80</f>
        <v/>
      </c>
      <c r="B81" s="37">
        <f>B80</f>
        <v/>
      </c>
      <c r="C81" s="37" t="inlineStr">
        <is>
          <t>INSTALAÇÕES DE TELECOMUNICAÇÃO</t>
        </is>
      </c>
      <c r="D81" s="37" t="inlineStr">
        <is>
          <t>QUADROS DE DISTRIBUIÇÃO</t>
        </is>
      </c>
      <c r="E81" s="37" t="inlineStr">
        <is>
          <t>Embutir - 396x510x107mm</t>
        </is>
      </c>
      <c r="F81" s="78" t="n">
        <v>2</v>
      </c>
      <c r="G81" s="78" t="n">
        <v>1</v>
      </c>
      <c r="H81" s="79" t="n">
        <v>0</v>
      </c>
      <c r="I81" s="80">
        <f>(F81+H81*F81)*G81</f>
        <v/>
      </c>
      <c r="J81" s="78" t="inlineStr">
        <is>
          <t>pç</t>
        </is>
      </c>
      <c r="K81" s="81" t="n">
        <v>420</v>
      </c>
      <c r="L81" s="82">
        <f>IF(SUM(F81:K81)=0,SUMIFS($L82:$L$535,$B82:$B$535,$B81,$A82:$A$535,$A81),I81*K81)</f>
        <v/>
      </c>
      <c r="N81" s="49" t="inlineStr">
        <is>
          <t>TORRE</t>
        </is>
      </c>
      <c r="O81" s="49" t="n"/>
      <c r="P81" s="50" t="n"/>
      <c r="Q81" s="50" t="n"/>
      <c r="R81" s="49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  <c r="AH81" s="50" t="n"/>
      <c r="AI81" s="50" t="n"/>
    </row>
    <row r="82">
      <c r="A82" s="25" t="inlineStr">
        <is>
          <t>TORRE</t>
        </is>
      </c>
      <c r="B82" s="25" t="inlineStr">
        <is>
          <t>PAVIMENTO TIPO</t>
        </is>
      </c>
      <c r="C82" s="26" t="n"/>
      <c r="D82" s="27" t="n"/>
      <c r="E82" s="27" t="n"/>
      <c r="F82" s="69" t="n"/>
      <c r="G82" s="69" t="n"/>
      <c r="H82" s="69" t="n"/>
      <c r="I82" s="70" t="n"/>
      <c r="J82" s="69" t="n"/>
      <c r="K82" s="71" t="n"/>
      <c r="L82" s="72">
        <f>IF(SUM(F82:K82)=0,SUMIFS($L83:$L$535,$B83:$B$535,$B82,$A83:$A$535,$A82),I82*K82)</f>
        <v/>
      </c>
      <c r="M82" s="73" t="n"/>
      <c r="N82" s="91" t="inlineStr">
        <is>
          <t>TORRE</t>
        </is>
      </c>
      <c r="O82" s="92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3" t="n"/>
      <c r="AI82" s="94" t="n"/>
      <c r="AJ82" s="73" t="n"/>
    </row>
    <row r="83" ht="15" customHeight="1" thickBot="1">
      <c r="A83" s="37">
        <f>A82</f>
        <v/>
      </c>
      <c r="B83" s="37">
        <f>B82</f>
        <v/>
      </c>
      <c r="C83" s="37" t="inlineStr">
        <is>
          <t>INSTALAÇÕES DE TELECOMUNICAÇÃO</t>
        </is>
      </c>
      <c r="D83" s="37" t="inlineStr">
        <is>
          <t>CAIXA OCTOGONAL</t>
        </is>
      </c>
      <c r="E83" s="37" t="inlineStr">
        <is>
          <t>Caixa Octogonal Padrão NBR IEC 60670</t>
        </is>
      </c>
      <c r="F83" s="78" t="n">
        <v>12</v>
      </c>
      <c r="G83" s="78" t="n">
        <v>24</v>
      </c>
      <c r="H83" s="79" t="n">
        <v>0</v>
      </c>
      <c r="I83" s="80">
        <f>(F83+H83*F83)*G83</f>
        <v/>
      </c>
      <c r="J83" s="78" t="inlineStr">
        <is>
          <t>pç</t>
        </is>
      </c>
      <c r="K83" s="81" t="n">
        <v>9.800000000000001</v>
      </c>
      <c r="L83" s="82">
        <f>IF(SUM(F83:K83)=0,SUMIFS($L84:$L$535,$B84:$B$535,$B83,$A84:$A$535,$A83),I83*K83)</f>
        <v/>
      </c>
      <c r="N83" s="49" t="inlineStr">
        <is>
          <t>TORRE</t>
        </is>
      </c>
      <c r="O83" s="49" t="n"/>
      <c r="P83" s="50" t="n"/>
      <c r="Q83" s="50" t="n"/>
      <c r="R83" s="49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  <c r="AH83" s="50" t="n"/>
      <c r="AI83" s="50" t="n"/>
    </row>
    <row r="84" ht="15" customHeight="1" thickTop="1">
      <c r="A84" s="37">
        <f>A83</f>
        <v/>
      </c>
      <c r="B84" s="37">
        <f>B83</f>
        <v/>
      </c>
      <c r="C84" s="37" t="inlineStr">
        <is>
          <t>INSTALAÇÕES DE TELECOMUNICAÇÃO</t>
        </is>
      </c>
      <c r="D84" s="37" t="inlineStr">
        <is>
          <t>CAIXA OCTOGONAL</t>
        </is>
      </c>
      <c r="E84" s="37" t="inlineStr">
        <is>
          <t>Placa cega para caixa octogonal Padrão NBR IEC 60670</t>
        </is>
      </c>
      <c r="F84" s="78" t="n">
        <v>2</v>
      </c>
      <c r="G84" s="78" t="n">
        <v>24</v>
      </c>
      <c r="H84" s="79" t="n">
        <v>0</v>
      </c>
      <c r="I84" s="80">
        <f>(F84+H84*F84)*G84</f>
        <v/>
      </c>
      <c r="J84" s="78" t="inlineStr">
        <is>
          <t>pç</t>
        </is>
      </c>
      <c r="K84" s="81" t="n">
        <v>6.5</v>
      </c>
      <c r="L84" s="82">
        <f>IF(SUM(F84:K84)=0,SUMIFS($L85:$L$535,$B85:$B$535,$B84,$A85:$A$535,$A84),I84*K84)</f>
        <v/>
      </c>
      <c r="N84" s="49" t="inlineStr">
        <is>
          <t>TORRE</t>
        </is>
      </c>
      <c r="O84" s="49" t="n"/>
      <c r="P84" s="50" t="n"/>
      <c r="Q84" s="50" t="n"/>
      <c r="R84" s="49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  <c r="AH84" s="50" t="n"/>
      <c r="AI84" s="50" t="n"/>
    </row>
    <row r="85">
      <c r="A85" s="37">
        <f>A84</f>
        <v/>
      </c>
      <c r="B85" s="37">
        <f>B84</f>
        <v/>
      </c>
      <c r="C85" s="37" t="inlineStr">
        <is>
          <t>INSTALAÇÕES DE TELECOMUNICAÇÃO</t>
        </is>
      </c>
      <c r="D85" s="37" t="inlineStr">
        <is>
          <t>CAIXA 4x2" E 4x4"</t>
        </is>
      </c>
      <c r="E85" s="37" t="inlineStr">
        <is>
          <t>Caixa 4x2" de Embutir em PVC Padrão NBR IEC 60670</t>
        </is>
      </c>
      <c r="F85" s="78" t="n">
        <v>96</v>
      </c>
      <c r="G85" s="78" t="n">
        <v>24</v>
      </c>
      <c r="H85" s="79" t="n">
        <v>0</v>
      </c>
      <c r="I85" s="80">
        <f>(F85+H85*F85)*G85</f>
        <v/>
      </c>
      <c r="J85" s="78" t="inlineStr">
        <is>
          <t>pç</t>
        </is>
      </c>
      <c r="K85" s="81" t="n">
        <v>5.9</v>
      </c>
      <c r="L85" s="82">
        <f>IF(SUM(F85:K85)=0,SUMIFS($L86:$L$535,$B86:$B$535,$B85,$A86:$A$535,$A85),I85*K85)</f>
        <v/>
      </c>
      <c r="N85" s="49" t="inlineStr">
        <is>
          <t>TORRE</t>
        </is>
      </c>
      <c r="O85" s="49" t="n"/>
      <c r="P85" s="50" t="n"/>
      <c r="Q85" s="50" t="n"/>
      <c r="R85" s="49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  <c r="AH85" s="50" t="n"/>
      <c r="AI85" s="50" t="n"/>
    </row>
    <row r="86">
      <c r="A86" s="37">
        <f>A85</f>
        <v/>
      </c>
      <c r="B86" s="37">
        <f>B85</f>
        <v/>
      </c>
      <c r="C86" s="37" t="inlineStr">
        <is>
          <t>INSTALAÇÕES DE TELECOMUNICAÇÃO</t>
        </is>
      </c>
      <c r="D86" s="37" t="inlineStr">
        <is>
          <t>CAIXA 4x2" E 4x4"</t>
        </is>
      </c>
      <c r="E86" s="37" t="inlineStr">
        <is>
          <t>Caixa 4x4" de Embutir em PVC Padrão NBR IEC 60670</t>
        </is>
      </c>
      <c r="F86" s="78" t="n">
        <v>60</v>
      </c>
      <c r="G86" s="78" t="n">
        <v>24</v>
      </c>
      <c r="H86" s="79" t="n">
        <v>0</v>
      </c>
      <c r="I86" s="80">
        <f>(F86+H86*F86)*G86</f>
        <v/>
      </c>
      <c r="J86" s="78" t="inlineStr">
        <is>
          <t>pç</t>
        </is>
      </c>
      <c r="K86" s="81" t="n">
        <v>8.9</v>
      </c>
      <c r="L86" s="82">
        <f>IF(SUM(F86:K86)=0,SUMIFS($L87:$L$535,$B87:$B$535,$B86,$A87:$A$535,$A86),I86*K86)</f>
        <v/>
      </c>
      <c r="N86" s="49" t="inlineStr">
        <is>
          <t>TORRE</t>
        </is>
      </c>
      <c r="O86" s="49" t="n"/>
      <c r="P86" s="50" t="n"/>
      <c r="Q86" s="50" t="n"/>
      <c r="R86" s="49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  <c r="AH86" s="50" t="n"/>
      <c r="AI86" s="50" t="n"/>
    </row>
    <row r="87">
      <c r="A87" s="37">
        <f>A86</f>
        <v/>
      </c>
      <c r="B87" s="37">
        <f>B86</f>
        <v/>
      </c>
      <c r="C87" s="37" t="inlineStr">
        <is>
          <t>INSTALAÇÕES DE TELECOMUNICAÇÃO</t>
        </is>
      </c>
      <c r="D87" s="37" t="inlineStr">
        <is>
          <t>CAIXA 4x2" E 4x4"</t>
        </is>
      </c>
      <c r="E87" s="37" t="inlineStr">
        <is>
          <t>Placa 4x2" cega Padrão NBR IEC 60670</t>
        </is>
      </c>
      <c r="F87" s="78" t="n">
        <v>40</v>
      </c>
      <c r="G87" s="78" t="n">
        <v>24</v>
      </c>
      <c r="H87" s="79" t="n">
        <v>0</v>
      </c>
      <c r="I87" s="80">
        <f>(F87+H87*F87)*G87</f>
        <v/>
      </c>
      <c r="J87" s="78" t="inlineStr">
        <is>
          <t>pç</t>
        </is>
      </c>
      <c r="K87" s="81" t="n">
        <v>4.5</v>
      </c>
      <c r="L87" s="82">
        <f>IF(SUM(F87:K87)=0,SUMIFS($L88:$L$535,$B88:$B$535,$B87,$A88:$A$535,$A87),I87*K87)</f>
        <v/>
      </c>
      <c r="N87" s="49" t="inlineStr">
        <is>
          <t>TORRE</t>
        </is>
      </c>
      <c r="O87" s="49" t="n"/>
      <c r="P87" s="50" t="n"/>
      <c r="Q87" s="50" t="n"/>
      <c r="R87" s="49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  <c r="AH87" s="50" t="n"/>
      <c r="AI87" s="50" t="n"/>
    </row>
    <row r="88">
      <c r="A88" s="37">
        <f>A87</f>
        <v/>
      </c>
      <c r="B88" s="37">
        <f>B87</f>
        <v/>
      </c>
      <c r="C88" s="37" t="inlineStr">
        <is>
          <t>INSTALAÇÕES DE TELECOMUNICAÇÃO</t>
        </is>
      </c>
      <c r="D88" s="37" t="inlineStr">
        <is>
          <t>CAIXA 4x2" E 4x4"</t>
        </is>
      </c>
      <c r="E88" s="37" t="inlineStr">
        <is>
          <t>Placa 4x2" para 2 funções Padrão NBR IEC 60670</t>
        </is>
      </c>
      <c r="F88" s="78" t="n">
        <v>10</v>
      </c>
      <c r="G88" s="78" t="n">
        <v>24</v>
      </c>
      <c r="H88" s="79" t="n">
        <v>0</v>
      </c>
      <c r="I88" s="80">
        <f>(F88+H88*F88)*G88</f>
        <v/>
      </c>
      <c r="J88" s="78" t="inlineStr">
        <is>
          <t>pç</t>
        </is>
      </c>
      <c r="K88" s="81" t="n">
        <v>7.8</v>
      </c>
      <c r="L88" s="82">
        <f>IF(SUM(F88:K88)=0,SUMIFS($L89:$L$535,$B89:$B$535,$B88,$A89:$A$535,$A88),I88*K88)</f>
        <v/>
      </c>
      <c r="N88" s="49" t="inlineStr">
        <is>
          <t>TORRE</t>
        </is>
      </c>
      <c r="O88" s="49" t="n"/>
      <c r="P88" s="50" t="n"/>
      <c r="Q88" s="50" t="n"/>
      <c r="R88" s="49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  <c r="AH88" s="50" t="n"/>
      <c r="AI88" s="50" t="n"/>
    </row>
    <row r="89">
      <c r="A89" s="37">
        <f>A88</f>
        <v/>
      </c>
      <c r="B89" s="37">
        <f>B88</f>
        <v/>
      </c>
      <c r="C89" s="37" t="inlineStr">
        <is>
          <t>INSTALAÇÕES DE TELECOMUNICAÇÃO</t>
        </is>
      </c>
      <c r="D89" s="37" t="inlineStr">
        <is>
          <t>CAIXA 4x2" E 4x4"</t>
        </is>
      </c>
      <c r="E89" s="37" t="inlineStr">
        <is>
          <t>Placa 4x2" para 3 funções Padrão NBR IEC 60670</t>
        </is>
      </c>
      <c r="F89" s="78" t="n">
        <v>4</v>
      </c>
      <c r="G89" s="78" t="n">
        <v>24</v>
      </c>
      <c r="H89" s="79" t="n">
        <v>0</v>
      </c>
      <c r="I89" s="80">
        <f>(F89+H89*F89)*G89</f>
        <v/>
      </c>
      <c r="J89" s="78" t="inlineStr">
        <is>
          <t>pç</t>
        </is>
      </c>
      <c r="K89" s="81" t="n">
        <v>8.9</v>
      </c>
      <c r="L89" s="82">
        <f>IF(SUM(F89:K89)=0,SUMIFS($L90:$L$535,$B90:$B$535,$B89,$A90:$A$535,$A89),I89*K89)</f>
        <v/>
      </c>
      <c r="N89" s="49" t="inlineStr">
        <is>
          <t>TORRE</t>
        </is>
      </c>
      <c r="O89" s="49" t="n"/>
      <c r="P89" s="50" t="n"/>
      <c r="Q89" s="50" t="n"/>
      <c r="R89" s="49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  <c r="AH89" s="50" t="n"/>
      <c r="AI89" s="50" t="n"/>
    </row>
    <row r="90">
      <c r="A90" s="37">
        <f>A89</f>
        <v/>
      </c>
      <c r="B90" s="37">
        <f>B89</f>
        <v/>
      </c>
      <c r="C90" s="37" t="inlineStr">
        <is>
          <t>INSTALAÇÕES DE TELECOMUNICAÇÃO</t>
        </is>
      </c>
      <c r="D90" s="37" t="inlineStr">
        <is>
          <t>CAIXA 4x2" E 4x4"</t>
        </is>
      </c>
      <c r="E90" s="37" t="inlineStr">
        <is>
          <t>Placa 4x4" cega Padrão NBR IEC 60670</t>
        </is>
      </c>
      <c r="F90" s="78" t="n">
        <v>60</v>
      </c>
      <c r="G90" s="78" t="n">
        <v>24</v>
      </c>
      <c r="H90" s="79" t="n">
        <v>0</v>
      </c>
      <c r="I90" s="80">
        <f>(F90+H90*F90)*G90</f>
        <v/>
      </c>
      <c r="J90" s="78" t="inlineStr">
        <is>
          <t>pç</t>
        </is>
      </c>
      <c r="K90" s="81" t="n">
        <v>7.5</v>
      </c>
      <c r="L90" s="82">
        <f>IF(SUM(F90:K90)=0,SUMIFS($L91:$L$535,$B91:$B$535,$B90,$A91:$A$535,$A90),I90*K90)</f>
        <v/>
      </c>
      <c r="N90" s="49" t="inlineStr">
        <is>
          <t>TORRE</t>
        </is>
      </c>
      <c r="O90" s="49" t="n"/>
      <c r="P90" s="50" t="n"/>
      <c r="Q90" s="50" t="n"/>
      <c r="R90" s="49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  <c r="AH90" s="50" t="n"/>
      <c r="AI90" s="50" t="n"/>
    </row>
    <row r="91">
      <c r="A91" s="37">
        <f>A90</f>
        <v/>
      </c>
      <c r="B91" s="37">
        <f>B90</f>
        <v/>
      </c>
      <c r="C91" s="37" t="inlineStr">
        <is>
          <t>INSTALAÇÕES DE TELECOMUNICAÇÃO</t>
        </is>
      </c>
      <c r="D91" s="37" t="inlineStr">
        <is>
          <t>CAIXA 4x2" E 4x4"</t>
        </is>
      </c>
      <c r="E91" s="37" t="inlineStr">
        <is>
          <t>Suporte p/ caixa 4x2" Padrão NBR IEC 60670</t>
        </is>
      </c>
      <c r="F91" s="78" t="n">
        <v>96</v>
      </c>
      <c r="G91" s="78" t="n">
        <v>24</v>
      </c>
      <c r="H91" s="79" t="n">
        <v>0</v>
      </c>
      <c r="I91" s="80">
        <f>(F91+H91*F91)*G91</f>
        <v/>
      </c>
      <c r="J91" s="78" t="inlineStr">
        <is>
          <t>pç</t>
        </is>
      </c>
      <c r="K91" s="81" t="n">
        <v>2.4</v>
      </c>
      <c r="L91" s="82">
        <f>IF(SUM(F91:K91)=0,SUMIFS($L92:$L$535,$B92:$B$535,$B91,$A92:$A$535,$A91),I91*K91)</f>
        <v/>
      </c>
      <c r="N91" s="49" t="inlineStr">
        <is>
          <t>TORRE</t>
        </is>
      </c>
      <c r="O91" s="49" t="n"/>
      <c r="P91" s="50" t="n"/>
      <c r="Q91" s="50" t="n"/>
      <c r="R91" s="49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  <c r="AH91" s="50" t="n"/>
      <c r="AI91" s="50" t="n"/>
    </row>
    <row r="92">
      <c r="A92" s="37">
        <f>A91</f>
        <v/>
      </c>
      <c r="B92" s="37">
        <f>B91</f>
        <v/>
      </c>
      <c r="C92" s="37" t="inlineStr">
        <is>
          <t>INSTALAÇÕES DE TELECOMUNICAÇÃO</t>
        </is>
      </c>
      <c r="D92" s="37" t="inlineStr">
        <is>
          <t>CAIXA 4x2" E 4x4"</t>
        </is>
      </c>
      <c r="E92" s="37" t="inlineStr">
        <is>
          <t>Suporte p/ caixa 4x4" Padrão NBR IEC 60670</t>
        </is>
      </c>
      <c r="F92" s="78" t="n">
        <v>60</v>
      </c>
      <c r="G92" s="78" t="n">
        <v>24</v>
      </c>
      <c r="H92" s="79" t="n">
        <v>0</v>
      </c>
      <c r="I92" s="80">
        <f>(F92+H92*F92)*G92</f>
        <v/>
      </c>
      <c r="J92" s="78" t="inlineStr">
        <is>
          <t>pç</t>
        </is>
      </c>
      <c r="K92" s="81" t="n">
        <v>3.2</v>
      </c>
      <c r="L92" s="82">
        <f>IF(SUM(F92:K92)=0,SUMIFS($L93:$L$535,$B93:$B$535,$B92,$A93:$A$535,$A92),I92*K92)</f>
        <v/>
      </c>
      <c r="N92" s="49" t="inlineStr">
        <is>
          <t>TORRE</t>
        </is>
      </c>
      <c r="O92" s="49" t="n"/>
      <c r="P92" s="50" t="n"/>
      <c r="Q92" s="50" t="n"/>
      <c r="R92" s="49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  <c r="AH92" s="50" t="n"/>
      <c r="AI92" s="50" t="n"/>
    </row>
    <row r="93">
      <c r="A93" s="37">
        <f>A92</f>
        <v/>
      </c>
      <c r="B93" s="37">
        <f>B92</f>
        <v/>
      </c>
      <c r="C93" s="37" t="inlineStr">
        <is>
          <t>INSTALAÇÕES DE TELECOMUNICAÇÃO</t>
        </is>
      </c>
      <c r="D93" s="37" t="inlineStr">
        <is>
          <t>ELETRODUTOS</t>
        </is>
      </c>
      <c r="E93" s="37" t="inlineStr">
        <is>
          <t>PVC Flexível Antichama - NBR 15465 ø1"</t>
        </is>
      </c>
      <c r="F93" s="78" t="n">
        <v>480</v>
      </c>
      <c r="G93" s="78" t="n">
        <v>24</v>
      </c>
      <c r="H93" s="79" t="n">
        <v>0</v>
      </c>
      <c r="I93" s="80">
        <f>(F93+H93*F93)*G93</f>
        <v/>
      </c>
      <c r="J93" s="78" t="inlineStr">
        <is>
          <t>m</t>
        </is>
      </c>
      <c r="K93" s="81" t="n">
        <v>11.9</v>
      </c>
      <c r="L93" s="82">
        <f>IF(SUM(F93:K93)=0,SUMIFS($L94:$L$535,$B94:$B$535,$B93,$A94:$A$535,$A93),I93*K93)</f>
        <v/>
      </c>
      <c r="N93" s="49" t="inlineStr">
        <is>
          <t>TORRE</t>
        </is>
      </c>
      <c r="O93" s="49" t="n"/>
      <c r="P93" s="50" t="n"/>
      <c r="Q93" s="50" t="n"/>
      <c r="R93" s="49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  <c r="AH93" s="50" t="n"/>
      <c r="AI93" s="50" t="n"/>
    </row>
    <row r="94">
      <c r="A94" s="37">
        <f>A93</f>
        <v/>
      </c>
      <c r="B94" s="37">
        <f>B93</f>
        <v/>
      </c>
      <c r="C94" s="37" t="inlineStr">
        <is>
          <t>INSTALAÇÕES DE TELECOMUNICAÇÃO</t>
        </is>
      </c>
      <c r="D94" s="37" t="inlineStr">
        <is>
          <t>ELETRODUTOS</t>
        </is>
      </c>
      <c r="E94" s="37" t="inlineStr">
        <is>
          <t>PVC Flexível Antichama - NBR 15465 ø3/4"</t>
        </is>
      </c>
      <c r="F94" s="78" t="n">
        <v>721</v>
      </c>
      <c r="G94" s="78" t="n">
        <v>24</v>
      </c>
      <c r="H94" s="79" t="n">
        <v>0</v>
      </c>
      <c r="I94" s="80">
        <f>(F94+H94*F94)*G94</f>
        <v/>
      </c>
      <c r="J94" s="78" t="inlineStr">
        <is>
          <t>m</t>
        </is>
      </c>
      <c r="K94" s="81" t="n">
        <v>7.5</v>
      </c>
      <c r="L94" s="82">
        <f>IF(SUM(F94:K94)=0,SUMIFS($L95:$L$535,$B95:$B$535,$B94,$A95:$A$535,$A94),I94*K94)</f>
        <v/>
      </c>
      <c r="N94" s="49" t="inlineStr">
        <is>
          <t>TORRE</t>
        </is>
      </c>
      <c r="O94" s="49" t="n"/>
      <c r="P94" s="50" t="n"/>
      <c r="Q94" s="50" t="n"/>
      <c r="R94" s="49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  <c r="AH94" s="50" t="n"/>
      <c r="AI94" s="50" t="n"/>
    </row>
    <row r="95">
      <c r="A95" s="37">
        <f>A94</f>
        <v/>
      </c>
      <c r="B95" s="37">
        <f>B94</f>
        <v/>
      </c>
      <c r="C95" s="37" t="inlineStr">
        <is>
          <t>INSTALAÇÕES DE TELECOMUNICAÇÃO</t>
        </is>
      </c>
      <c r="D95" s="37" t="inlineStr">
        <is>
          <t>MÓDULOS</t>
        </is>
      </c>
      <c r="E95" s="37" t="inlineStr">
        <is>
          <t>Módulo Coaxial</t>
        </is>
      </c>
      <c r="F95" s="78" t="n">
        <v>14</v>
      </c>
      <c r="G95" s="78" t="n">
        <v>24</v>
      </c>
      <c r="H95" s="79" t="n">
        <v>0</v>
      </c>
      <c r="I95" s="80">
        <f>(F95+H95*F95)*G95</f>
        <v/>
      </c>
      <c r="J95" s="78" t="inlineStr">
        <is>
          <t>pç</t>
        </is>
      </c>
      <c r="K95" s="81" t="n">
        <v>18.5</v>
      </c>
      <c r="L95" s="82">
        <f>IF(SUM(F95:K95)=0,SUMIFS($L96:$L$535,$B96:$B$535,$B95,$A96:$A$535,$A95),I95*K95)</f>
        <v/>
      </c>
      <c r="N95" s="49" t="inlineStr">
        <is>
          <t>TORRE</t>
        </is>
      </c>
      <c r="O95" s="49" t="n"/>
      <c r="P95" s="50" t="n"/>
      <c r="Q95" s="50" t="n"/>
      <c r="R95" s="49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  <c r="AH95" s="50" t="n"/>
      <c r="AI95" s="50" t="n"/>
    </row>
    <row r="96">
      <c r="A96" s="37">
        <f>A95</f>
        <v/>
      </c>
      <c r="B96" s="37">
        <f>B95</f>
        <v/>
      </c>
      <c r="C96" s="37" t="inlineStr">
        <is>
          <t>INSTALAÇÕES DE TELECOMUNICAÇÃO</t>
        </is>
      </c>
      <c r="D96" s="37" t="inlineStr">
        <is>
          <t>MÓDULOS</t>
        </is>
      </c>
      <c r="E96" s="37" t="inlineStr">
        <is>
          <t>Módulo RJ11</t>
        </is>
      </c>
      <c r="F96" s="78" t="n">
        <v>8</v>
      </c>
      <c r="G96" s="78" t="n">
        <v>24</v>
      </c>
      <c r="H96" s="79" t="n">
        <v>0</v>
      </c>
      <c r="I96" s="80">
        <f>(F96+H96*F96)*G96</f>
        <v/>
      </c>
      <c r="J96" s="78" t="inlineStr">
        <is>
          <t>pç</t>
        </is>
      </c>
      <c r="K96" s="81" t="n">
        <v>16.8</v>
      </c>
      <c r="L96" s="82">
        <f>IF(SUM(F96:K96)=0,SUMIFS($L97:$L$535,$B97:$B$535,$B96,$A97:$A$535,$A96),I96*K96)</f>
        <v/>
      </c>
      <c r="N96" s="49" t="inlineStr">
        <is>
          <t>TORRE</t>
        </is>
      </c>
      <c r="O96" s="49" t="n"/>
      <c r="P96" s="50" t="n"/>
      <c r="Q96" s="50" t="n"/>
      <c r="R96" s="49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  <c r="AH96" s="50" t="n"/>
      <c r="AI96" s="50" t="n"/>
    </row>
    <row r="97">
      <c r="A97" s="37">
        <f>A96</f>
        <v/>
      </c>
      <c r="B97" s="37">
        <f>B96</f>
        <v/>
      </c>
      <c r="C97" s="37" t="inlineStr">
        <is>
          <t>INSTALAÇÕES DE TELECOMUNICAÇÃO</t>
        </is>
      </c>
      <c r="D97" s="37" t="inlineStr">
        <is>
          <t>MÓDULOS</t>
        </is>
      </c>
      <c r="E97" s="37" t="inlineStr">
        <is>
          <t>Módulo RJ45</t>
        </is>
      </c>
      <c r="F97" s="78" t="n">
        <v>14</v>
      </c>
      <c r="G97" s="78" t="n">
        <v>24</v>
      </c>
      <c r="H97" s="79" t="n">
        <v>0</v>
      </c>
      <c r="I97" s="80">
        <f>(F97+H97*F97)*G97</f>
        <v/>
      </c>
      <c r="J97" s="78" t="inlineStr">
        <is>
          <t>pç</t>
        </is>
      </c>
      <c r="K97" s="81" t="n">
        <v>22.9</v>
      </c>
      <c r="L97" s="82">
        <f>IF(SUM(F97:K97)=0,SUMIFS($L98:$L$535,$B98:$B$535,$B97,$A98:$A$535,$A97),I97*K97)</f>
        <v/>
      </c>
      <c r="N97" s="49" t="inlineStr">
        <is>
          <t>TORRE</t>
        </is>
      </c>
      <c r="O97" s="49" t="n"/>
      <c r="P97" s="50" t="n"/>
      <c r="Q97" s="50" t="n"/>
      <c r="R97" s="49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  <c r="AH97" s="50" t="n"/>
      <c r="AI97" s="50" t="n"/>
    </row>
    <row r="98" ht="15" customHeight="1" thickBot="1">
      <c r="A98" s="37">
        <f>A97</f>
        <v/>
      </c>
      <c r="B98" s="37">
        <f>B97</f>
        <v/>
      </c>
      <c r="C98" s="37" t="inlineStr">
        <is>
          <t>INSTALAÇÕES DE TELECOMUNICAÇÃO</t>
        </is>
      </c>
      <c r="D98" s="37" t="inlineStr">
        <is>
          <t>QUADROS DE DISTRIBUIÇÃO</t>
        </is>
      </c>
      <c r="E98" s="37" t="inlineStr">
        <is>
          <t>Embutir - 396x510x107mm</t>
        </is>
      </c>
      <c r="F98" s="78" t="n">
        <v>2</v>
      </c>
      <c r="G98" s="78" t="n">
        <v>24</v>
      </c>
      <c r="H98" s="79" t="n">
        <v>0</v>
      </c>
      <c r="I98" s="80">
        <f>(F98+H98*F98)*G98</f>
        <v/>
      </c>
      <c r="J98" s="78" t="inlineStr">
        <is>
          <t>pç</t>
        </is>
      </c>
      <c r="K98" s="81" t="n">
        <v>420</v>
      </c>
      <c r="L98" s="82">
        <f>IF(SUM(F98:K98)=0,SUMIFS($L99:$L$535,$B99:$B$535,$B98,$A99:$A$535,$A98),I98*K98)</f>
        <v/>
      </c>
      <c r="N98" s="49" t="inlineStr">
        <is>
          <t>TORRE</t>
        </is>
      </c>
      <c r="O98" s="49" t="n"/>
      <c r="P98" s="50" t="n"/>
      <c r="Q98" s="50" t="n"/>
      <c r="R98" s="49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  <c r="AH98" s="50" t="n"/>
      <c r="AI98" s="50" t="n"/>
    </row>
    <row r="99" ht="15" customHeight="1" thickTop="1">
      <c r="A99" s="25" t="inlineStr">
        <is>
          <t>TORRE</t>
        </is>
      </c>
      <c r="B99" s="25" t="inlineStr">
        <is>
          <t>CASA DE MÁQUINAS</t>
        </is>
      </c>
      <c r="C99" s="26" t="n"/>
      <c r="D99" s="27" t="n"/>
      <c r="E99" s="27" t="n"/>
      <c r="F99" s="69" t="n"/>
      <c r="G99" s="69" t="n"/>
      <c r="H99" s="69" t="n"/>
      <c r="I99" s="70" t="n"/>
      <c r="J99" s="69" t="n"/>
      <c r="K99" s="71" t="n"/>
      <c r="L99" s="72">
        <f>IF(SUM(F99:K99)=0,SUMIFS($L100:$L$535,$B100:$B$535,$B99,$A100:$A$535,$A99),I99*K99)</f>
        <v/>
      </c>
      <c r="M99" s="73" t="n"/>
      <c r="N99" s="91" t="inlineStr">
        <is>
          <t>TORRE</t>
        </is>
      </c>
      <c r="O99" s="92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3" t="n"/>
      <c r="AI99" s="94" t="n"/>
      <c r="AJ99" s="73" t="n"/>
    </row>
    <row r="100">
      <c r="A100" s="37">
        <f>A99</f>
        <v/>
      </c>
      <c r="B100" s="37">
        <f>B99</f>
        <v/>
      </c>
      <c r="C100" s="37" t="inlineStr">
        <is>
          <t>INSTALAÇÕES DE TELECOMUNICAÇÃO</t>
        </is>
      </c>
      <c r="D100" s="37" t="inlineStr">
        <is>
          <t>CAIXA 4x2" E 4x4"</t>
        </is>
      </c>
      <c r="E100" s="37" t="inlineStr">
        <is>
          <t>Caixa 4x2" de Embutir em PVC Padrão NBR IEC 60670</t>
        </is>
      </c>
      <c r="F100" s="78" t="n">
        <v>9</v>
      </c>
      <c r="G100" s="78" t="n">
        <v>1</v>
      </c>
      <c r="H100" s="79" t="n">
        <v>0</v>
      </c>
      <c r="I100" s="80">
        <f>(F100+H100*F100)*G100</f>
        <v/>
      </c>
      <c r="J100" s="78" t="inlineStr">
        <is>
          <t>pç</t>
        </is>
      </c>
      <c r="K100" s="81" t="n">
        <v>5.9</v>
      </c>
      <c r="L100" s="82">
        <f>IF(SUM(F100:K100)=0,SUMIFS($L101:$L$535,$B101:$B$535,$B100,$A101:$A$535,$A100),I100*K100)</f>
        <v/>
      </c>
      <c r="N100" s="49" t="inlineStr">
        <is>
          <t>TORRE</t>
        </is>
      </c>
      <c r="O100" s="49" t="n"/>
      <c r="P100" s="50" t="n"/>
      <c r="Q100" s="50" t="n"/>
      <c r="R100" s="49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  <c r="AH100" s="50" t="n"/>
      <c r="AI100" s="50" t="n"/>
    </row>
    <row r="101">
      <c r="A101" s="37">
        <f>A100</f>
        <v/>
      </c>
      <c r="B101" s="37">
        <f>B100</f>
        <v/>
      </c>
      <c r="C101" s="37" t="inlineStr">
        <is>
          <t>INSTALAÇÕES DE TELECOMUNICAÇÃO</t>
        </is>
      </c>
      <c r="D101" s="37" t="inlineStr">
        <is>
          <t>CAIXA 4x2" E 4x4"</t>
        </is>
      </c>
      <c r="E101" s="37" t="inlineStr">
        <is>
          <t>Placa 4x2" cega Padrão NBR IEC 60670</t>
        </is>
      </c>
      <c r="F101" s="78" t="n">
        <v>5</v>
      </c>
      <c r="G101" s="78" t="n">
        <v>1</v>
      </c>
      <c r="H101" s="79" t="n">
        <v>0</v>
      </c>
      <c r="I101" s="80">
        <f>(F101+H101*F101)*G101</f>
        <v/>
      </c>
      <c r="J101" s="78" t="inlineStr">
        <is>
          <t>pç</t>
        </is>
      </c>
      <c r="K101" s="81" t="n">
        <v>4.5</v>
      </c>
      <c r="L101" s="82">
        <f>IF(SUM(F101:K101)=0,SUMIFS($L102:$L$535,$B102:$B$535,$B101,$A102:$A$535,$A101),I101*K101)</f>
        <v/>
      </c>
      <c r="N101" s="49" t="inlineStr">
        <is>
          <t>TORRE</t>
        </is>
      </c>
      <c r="O101" s="49" t="n"/>
      <c r="P101" s="50" t="n"/>
      <c r="Q101" s="50" t="n"/>
      <c r="R101" s="49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  <c r="AH101" s="50" t="n"/>
      <c r="AI101" s="50" t="n"/>
    </row>
    <row r="102">
      <c r="A102" s="37">
        <f>A101</f>
        <v/>
      </c>
      <c r="B102" s="37">
        <f>B101</f>
        <v/>
      </c>
      <c r="C102" s="37" t="inlineStr">
        <is>
          <t>INSTALAÇÕES DE TELECOMUNICAÇÃO</t>
        </is>
      </c>
      <c r="D102" s="37" t="inlineStr">
        <is>
          <t>CAIXA 4x2" E 4x4"</t>
        </is>
      </c>
      <c r="E102" s="37" t="inlineStr">
        <is>
          <t>Suporte p/ caixa 4x2" Padrão NBR IEC 60670</t>
        </is>
      </c>
      <c r="F102" s="78" t="n">
        <v>9</v>
      </c>
      <c r="G102" s="78" t="n">
        <v>1</v>
      </c>
      <c r="H102" s="79" t="n">
        <v>0</v>
      </c>
      <c r="I102" s="80">
        <f>(F102+H102*F102)*G102</f>
        <v/>
      </c>
      <c r="J102" s="78" t="inlineStr">
        <is>
          <t>pç</t>
        </is>
      </c>
      <c r="K102" s="81" t="n">
        <v>2.4</v>
      </c>
      <c r="L102" s="82">
        <f>IF(SUM(F102:K102)=0,SUMIFS($L103:$L$535,$B103:$B$535,$B102,$A103:$A$535,$A102),I102*K102)</f>
        <v/>
      </c>
      <c r="N102" s="49" t="inlineStr">
        <is>
          <t>TORRE</t>
        </is>
      </c>
      <c r="O102" s="49" t="n"/>
      <c r="P102" s="50" t="n"/>
      <c r="Q102" s="50" t="n"/>
      <c r="R102" s="49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  <c r="AH102" s="50" t="n"/>
      <c r="AI102" s="50" t="n"/>
    </row>
    <row r="103">
      <c r="A103" s="37">
        <f>A102</f>
        <v/>
      </c>
      <c r="B103" s="37">
        <f>B102</f>
        <v/>
      </c>
      <c r="C103" s="37" t="inlineStr">
        <is>
          <t>INSTALAÇÕES DE TELECOMUNICAÇÃO</t>
        </is>
      </c>
      <c r="D103" s="37" t="inlineStr">
        <is>
          <t>ELETRODUTOS</t>
        </is>
      </c>
      <c r="E103" s="37" t="inlineStr">
        <is>
          <t>PVC Flexível Antichama - NBR 15465 ø1"</t>
        </is>
      </c>
      <c r="F103" s="78" t="n">
        <v>83</v>
      </c>
      <c r="G103" s="78" t="n">
        <v>1</v>
      </c>
      <c r="H103" s="79" t="n">
        <v>0</v>
      </c>
      <c r="I103" s="80">
        <f>(F103+H103*F103)*G103</f>
        <v/>
      </c>
      <c r="J103" s="78" t="inlineStr">
        <is>
          <t>m</t>
        </is>
      </c>
      <c r="K103" s="81" t="n">
        <v>11.9</v>
      </c>
      <c r="L103" s="82">
        <f>IF(SUM(F103:K103)=0,SUMIFS($L104:$L$535,$B104:$B$535,$B103,$A104:$A$535,$A103),I103*K103)</f>
        <v/>
      </c>
      <c r="N103" s="49" t="inlineStr">
        <is>
          <t>TORRE</t>
        </is>
      </c>
      <c r="O103" s="49" t="n"/>
      <c r="P103" s="50" t="n"/>
      <c r="Q103" s="50" t="n"/>
      <c r="R103" s="49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</row>
    <row r="104">
      <c r="A104" s="37">
        <f>A103</f>
        <v/>
      </c>
      <c r="B104" s="37">
        <f>B103</f>
        <v/>
      </c>
      <c r="C104" s="37" t="inlineStr">
        <is>
          <t>INSTALAÇÕES DE TELECOMUNICAÇÃO</t>
        </is>
      </c>
      <c r="D104" s="37" t="inlineStr">
        <is>
          <t>ELETRODUTOS</t>
        </is>
      </c>
      <c r="E104" s="37" t="inlineStr">
        <is>
          <t>PVC Flexível Antichama - NBR 15465 ø3/4"</t>
        </is>
      </c>
      <c r="F104" s="78" t="n">
        <v>56</v>
      </c>
      <c r="G104" s="78" t="n">
        <v>1</v>
      </c>
      <c r="H104" s="79" t="n">
        <v>0</v>
      </c>
      <c r="I104" s="80">
        <f>(F104+H104*F104)*G104</f>
        <v/>
      </c>
      <c r="J104" s="78" t="inlineStr">
        <is>
          <t>m</t>
        </is>
      </c>
      <c r="K104" s="81" t="n">
        <v>7.5</v>
      </c>
      <c r="L104" s="82">
        <f>IF(SUM(F104:K104)=0,SUMIFS($L105:$L$535,$B105:$B$535,$B104,$A105:$A$535,$A104),I104*K104)</f>
        <v/>
      </c>
      <c r="N104" s="49" t="inlineStr">
        <is>
          <t>TORRE</t>
        </is>
      </c>
      <c r="O104" s="49" t="n"/>
      <c r="P104" s="50" t="n"/>
      <c r="Q104" s="50" t="n"/>
      <c r="R104" s="49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  <c r="AH104" s="50" t="n"/>
      <c r="AI104" s="50" t="n"/>
    </row>
    <row r="105">
      <c r="A105" s="37" t="n"/>
      <c r="B105" s="37" t="n"/>
      <c r="C105" s="37" t="n"/>
      <c r="D105" s="37" t="n"/>
      <c r="E105" s="37" t="n"/>
      <c r="F105" s="95" t="n"/>
      <c r="G105" s="95" t="n"/>
      <c r="H105" s="95" t="n"/>
      <c r="I105" s="80" t="n"/>
      <c r="J105" s="95" t="n"/>
      <c r="K105" s="96" t="n"/>
      <c r="L105" s="97" t="n"/>
      <c r="N105" s="49" t="n"/>
      <c r="O105" s="49" t="n"/>
      <c r="P105" s="50" t="n"/>
      <c r="Q105" s="50" t="n"/>
      <c r="R105" s="49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  <c r="AH105" s="50" t="n"/>
      <c r="AI105" s="50" t="n"/>
    </row>
    <row r="106">
      <c r="A106" s="37" t="n"/>
      <c r="B106" s="37" t="n"/>
      <c r="C106" s="37" t="n"/>
      <c r="D106" s="37" t="n"/>
      <c r="E106" s="37" t="n"/>
      <c r="F106" s="95" t="n"/>
      <c r="G106" s="95" t="n"/>
      <c r="H106" s="95" t="n"/>
      <c r="I106" s="80" t="n"/>
      <c r="J106" s="95" t="n"/>
      <c r="K106" s="96" t="n"/>
      <c r="L106" s="97" t="n"/>
      <c r="N106" s="49" t="n"/>
      <c r="O106" s="49" t="n"/>
      <c r="P106" s="50" t="n"/>
      <c r="Q106" s="50" t="n"/>
      <c r="R106" s="49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  <c r="AH106" s="50" t="n"/>
      <c r="AI106" s="50" t="n"/>
    </row>
    <row r="107">
      <c r="A107" s="37" t="n"/>
      <c r="B107" s="37" t="n"/>
      <c r="C107" s="37" t="n"/>
      <c r="D107" s="37" t="n"/>
      <c r="E107" s="37" t="n"/>
      <c r="F107" s="95" t="n"/>
      <c r="G107" s="95" t="n"/>
      <c r="H107" s="95" t="n"/>
      <c r="I107" s="80" t="n"/>
      <c r="J107" s="95" t="n"/>
      <c r="K107" s="96" t="n"/>
      <c r="L107" s="97" t="n"/>
      <c r="N107" s="49" t="n"/>
      <c r="O107" s="49" t="n"/>
      <c r="P107" s="50" t="n"/>
      <c r="Q107" s="50" t="n"/>
      <c r="R107" s="49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  <c r="AH107" s="50" t="n"/>
      <c r="AI107" s="50" t="n"/>
    </row>
    <row r="108">
      <c r="A108" s="37" t="n"/>
      <c r="B108" s="37" t="n"/>
      <c r="C108" s="37" t="n"/>
      <c r="D108" s="37" t="n"/>
      <c r="E108" s="37" t="n"/>
      <c r="F108" s="95" t="n"/>
      <c r="G108" s="95" t="n"/>
      <c r="H108" s="95" t="n"/>
      <c r="I108" s="80" t="n"/>
      <c r="J108" s="95" t="n"/>
      <c r="K108" s="96" t="n"/>
      <c r="L108" s="97" t="n"/>
      <c r="N108" s="49" t="n"/>
      <c r="O108" s="49" t="n"/>
      <c r="P108" s="50" t="n"/>
      <c r="Q108" s="50" t="n"/>
      <c r="R108" s="49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  <c r="AH108" s="50" t="n"/>
      <c r="AI108" s="50" t="n"/>
    </row>
    <row r="109">
      <c r="A109" s="37" t="n"/>
      <c r="B109" s="37" t="n"/>
      <c r="C109" s="37" t="n"/>
      <c r="D109" s="37" t="n"/>
      <c r="E109" s="37" t="n"/>
      <c r="F109" s="95" t="n"/>
      <c r="G109" s="95" t="n"/>
      <c r="H109" s="95" t="n"/>
      <c r="I109" s="80" t="n"/>
      <c r="J109" s="95" t="n"/>
      <c r="K109" s="96" t="n"/>
      <c r="L109" s="97" t="n"/>
      <c r="N109" s="49" t="n"/>
      <c r="O109" s="49" t="n"/>
      <c r="P109" s="50" t="n"/>
      <c r="Q109" s="50" t="n"/>
      <c r="R109" s="49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  <c r="AH109" s="50" t="n"/>
      <c r="AI109" s="50" t="n"/>
    </row>
    <row r="110">
      <c r="A110" s="37" t="n"/>
      <c r="B110" s="37" t="n"/>
      <c r="C110" s="37" t="n"/>
      <c r="D110" s="37" t="n"/>
      <c r="E110" s="37" t="n"/>
      <c r="F110" s="95" t="n"/>
      <c r="G110" s="95" t="n"/>
      <c r="H110" s="95" t="n"/>
      <c r="I110" s="80" t="n"/>
      <c r="J110" s="95" t="n"/>
      <c r="K110" s="96" t="n"/>
      <c r="L110" s="97" t="n"/>
      <c r="N110" s="49" t="n"/>
      <c r="O110" s="49" t="n"/>
      <c r="P110" s="50" t="n"/>
      <c r="Q110" s="50" t="n"/>
      <c r="R110" s="49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  <c r="AH110" s="50" t="n"/>
      <c r="AI110" s="50" t="n"/>
    </row>
    <row r="111">
      <c r="A111" s="37" t="n"/>
      <c r="B111" s="37" t="n"/>
      <c r="C111" s="37" t="n"/>
      <c r="D111" s="37" t="n"/>
      <c r="E111" s="37" t="n"/>
      <c r="F111" s="95" t="n"/>
      <c r="G111" s="95" t="n"/>
      <c r="H111" s="95" t="n"/>
      <c r="I111" s="80" t="n"/>
      <c r="J111" s="95" t="n"/>
      <c r="K111" s="96" t="n"/>
      <c r="L111" s="97" t="n"/>
      <c r="N111" s="49" t="n"/>
      <c r="O111" s="49" t="n"/>
      <c r="P111" s="50" t="n"/>
      <c r="Q111" s="50" t="n"/>
      <c r="R111" s="49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  <c r="AH111" s="50" t="n"/>
      <c r="AI111" s="50" t="n"/>
    </row>
    <row r="112">
      <c r="A112" s="37" t="n"/>
      <c r="B112" s="37" t="n"/>
      <c r="C112" s="37" t="n"/>
      <c r="D112" s="37" t="n"/>
      <c r="E112" s="37" t="n"/>
      <c r="F112" s="95" t="n"/>
      <c r="G112" s="95" t="n"/>
      <c r="H112" s="95" t="n"/>
      <c r="I112" s="80" t="n"/>
      <c r="J112" s="95" t="n"/>
      <c r="K112" s="96" t="n"/>
      <c r="L112" s="97" t="n"/>
      <c r="N112" s="49" t="n"/>
      <c r="O112" s="49" t="n"/>
      <c r="P112" s="50" t="n"/>
      <c r="Q112" s="50" t="n"/>
      <c r="R112" s="49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  <c r="AH112" s="50" t="n"/>
      <c r="AI112" s="50" t="n"/>
    </row>
    <row r="113">
      <c r="A113" s="37" t="n"/>
      <c r="B113" s="37" t="n"/>
      <c r="C113" s="37" t="n"/>
      <c r="D113" s="37" t="n"/>
      <c r="E113" s="37" t="n"/>
      <c r="F113" s="95" t="n"/>
      <c r="G113" s="95" t="n"/>
      <c r="H113" s="95" t="n"/>
      <c r="I113" s="80" t="n"/>
      <c r="J113" s="95" t="n"/>
      <c r="K113" s="96" t="n"/>
      <c r="L113" s="97" t="n"/>
      <c r="N113" s="49" t="n"/>
      <c r="O113" s="49" t="n"/>
      <c r="P113" s="50" t="n"/>
      <c r="Q113" s="50" t="n"/>
      <c r="R113" s="49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  <c r="AH113" s="50" t="n"/>
      <c r="AI113" s="50" t="n"/>
    </row>
    <row r="114">
      <c r="A114" s="37" t="n"/>
      <c r="B114" s="37" t="n"/>
      <c r="C114" s="37" t="n"/>
      <c r="D114" s="37" t="n"/>
      <c r="E114" s="37" t="n"/>
      <c r="F114" s="95" t="n"/>
      <c r="G114" s="95" t="n"/>
      <c r="H114" s="95" t="n"/>
      <c r="I114" s="80" t="n"/>
      <c r="J114" s="95" t="n"/>
      <c r="K114" s="96" t="n"/>
      <c r="L114" s="97" t="n"/>
      <c r="N114" s="49" t="n"/>
      <c r="O114" s="49" t="n"/>
      <c r="P114" s="50" t="n"/>
      <c r="Q114" s="50" t="n"/>
      <c r="R114" s="49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  <c r="AH114" s="50" t="n"/>
      <c r="AI114" s="50" t="n"/>
    </row>
    <row r="115" ht="15" customHeight="1" thickBot="1">
      <c r="A115" s="37" t="n"/>
      <c r="B115" s="37" t="n"/>
      <c r="C115" s="37" t="n"/>
      <c r="D115" s="37" t="n"/>
      <c r="E115" s="37" t="n"/>
      <c r="F115" s="95" t="n"/>
      <c r="G115" s="95" t="n"/>
      <c r="H115" s="95" t="n"/>
      <c r="I115" s="80" t="n"/>
      <c r="J115" s="95" t="n"/>
      <c r="K115" s="96" t="n"/>
      <c r="L115" s="97" t="n"/>
      <c r="N115" s="49" t="n"/>
      <c r="O115" s="49" t="n"/>
      <c r="P115" s="50" t="n"/>
      <c r="Q115" s="50" t="n"/>
      <c r="R115" s="49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  <c r="AH115" s="50" t="n"/>
      <c r="AI115" s="50" t="n"/>
    </row>
    <row r="116" ht="15" customHeight="1" thickTop="1">
      <c r="A116" s="52" t="n"/>
      <c r="B116" s="52" t="n"/>
      <c r="C116" s="53" t="n"/>
      <c r="D116" s="54" t="n"/>
      <c r="E116" s="54" t="n"/>
      <c r="F116" s="98" t="n"/>
      <c r="G116" s="98" t="n"/>
      <c r="H116" s="98" t="n"/>
      <c r="I116" s="99" t="n"/>
      <c r="J116" s="98" t="n"/>
      <c r="K116" s="100" t="n"/>
      <c r="L116" s="101" t="n"/>
      <c r="N116" s="49" t="n"/>
      <c r="O116" s="49" t="n"/>
      <c r="P116" s="50" t="n"/>
      <c r="Q116" s="50" t="n"/>
      <c r="R116" s="49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  <c r="AH116" s="50" t="n"/>
      <c r="AI116" s="50" t="n"/>
    </row>
    <row r="117">
      <c r="A117" s="37" t="n"/>
      <c r="B117" s="37" t="n"/>
      <c r="C117" s="37" t="n"/>
      <c r="D117" s="37" t="n"/>
      <c r="E117" s="37" t="n"/>
      <c r="F117" s="95" t="n"/>
      <c r="G117" s="95" t="n"/>
      <c r="H117" s="95" t="n"/>
      <c r="I117" s="80" t="n"/>
      <c r="J117" s="95" t="n"/>
      <c r="K117" s="96" t="n"/>
      <c r="L117" s="97" t="n"/>
      <c r="N117" s="49" t="n"/>
      <c r="O117" s="49" t="n"/>
      <c r="P117" s="50" t="n"/>
      <c r="Q117" s="50" t="n"/>
      <c r="R117" s="49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  <c r="AH117" s="50" t="n"/>
      <c r="AI117" s="50" t="n"/>
    </row>
    <row r="118">
      <c r="A118" s="37" t="n"/>
      <c r="B118" s="37" t="n"/>
      <c r="C118" s="37" t="n"/>
      <c r="D118" s="37" t="n"/>
      <c r="E118" s="37" t="n"/>
      <c r="F118" s="95" t="n"/>
      <c r="G118" s="95" t="n"/>
      <c r="H118" s="95" t="n"/>
      <c r="I118" s="80" t="n"/>
      <c r="J118" s="95" t="n"/>
      <c r="K118" s="96" t="n"/>
      <c r="L118" s="97" t="n"/>
      <c r="N118" s="49" t="n"/>
      <c r="O118" s="49" t="n"/>
      <c r="P118" s="50" t="n"/>
      <c r="Q118" s="50" t="n"/>
      <c r="R118" s="49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  <c r="AH118" s="50" t="n"/>
      <c r="AI118" s="50" t="n"/>
    </row>
    <row r="119">
      <c r="A119" s="37" t="n"/>
      <c r="B119" s="37" t="n"/>
      <c r="C119" s="37" t="n"/>
      <c r="D119" s="37" t="n"/>
      <c r="E119" s="37" t="n"/>
      <c r="F119" s="95" t="n"/>
      <c r="G119" s="95" t="n"/>
      <c r="H119" s="95" t="n"/>
      <c r="I119" s="80" t="n"/>
      <c r="J119" s="95" t="n"/>
      <c r="K119" s="96" t="n"/>
      <c r="L119" s="97" t="n"/>
      <c r="N119" s="49" t="n"/>
      <c r="O119" s="49" t="n"/>
      <c r="P119" s="50" t="n"/>
      <c r="Q119" s="50" t="n"/>
      <c r="R119" s="49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  <c r="AH119" s="50" t="n"/>
      <c r="AI119" s="50" t="n"/>
    </row>
    <row r="120">
      <c r="A120" s="37" t="n"/>
      <c r="B120" s="37" t="n"/>
      <c r="C120" s="37" t="n"/>
      <c r="D120" s="37" t="n"/>
      <c r="E120" s="37" t="n"/>
      <c r="F120" s="95" t="n"/>
      <c r="G120" s="95" t="n"/>
      <c r="H120" s="95" t="n"/>
      <c r="I120" s="80" t="n"/>
      <c r="J120" s="95" t="n"/>
      <c r="K120" s="96" t="n"/>
      <c r="L120" s="97" t="n"/>
      <c r="N120" s="49" t="n"/>
      <c r="O120" s="49" t="n"/>
      <c r="P120" s="50" t="n"/>
      <c r="Q120" s="50" t="n"/>
      <c r="R120" s="49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  <c r="AH120" s="50" t="n"/>
      <c r="AI120" s="50" t="n"/>
    </row>
    <row r="121">
      <c r="A121" s="37" t="n"/>
      <c r="B121" s="37" t="n"/>
      <c r="C121" s="37" t="n"/>
      <c r="D121" s="37" t="n"/>
      <c r="E121" s="37" t="n"/>
      <c r="F121" s="95" t="n"/>
      <c r="G121" s="95" t="n"/>
      <c r="H121" s="95" t="n"/>
      <c r="I121" s="80" t="n"/>
      <c r="J121" s="95" t="n"/>
      <c r="K121" s="96" t="n"/>
      <c r="L121" s="97" t="n"/>
      <c r="N121" s="49" t="n"/>
      <c r="O121" s="49" t="n"/>
      <c r="P121" s="50" t="n"/>
      <c r="Q121" s="50" t="n"/>
      <c r="R121" s="49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  <c r="AH121" s="50" t="n"/>
      <c r="AI121" s="50" t="n"/>
    </row>
    <row r="122">
      <c r="A122" s="37" t="n"/>
      <c r="B122" s="37" t="n"/>
      <c r="C122" s="37" t="n"/>
      <c r="D122" s="37" t="n"/>
      <c r="E122" s="37" t="n"/>
      <c r="F122" s="95" t="n"/>
      <c r="G122" s="95" t="n"/>
      <c r="H122" s="95" t="n"/>
      <c r="I122" s="80" t="n"/>
      <c r="J122" s="95" t="n"/>
      <c r="K122" s="96" t="n"/>
      <c r="L122" s="97" t="n"/>
      <c r="N122" s="49" t="n"/>
      <c r="O122" s="49" t="n"/>
      <c r="P122" s="50" t="n"/>
      <c r="Q122" s="50" t="n"/>
      <c r="R122" s="49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  <c r="AH122" s="50" t="n"/>
      <c r="AI122" s="50" t="n"/>
    </row>
    <row r="123">
      <c r="A123" s="37" t="n"/>
      <c r="B123" s="37" t="n"/>
      <c r="C123" s="37" t="n"/>
      <c r="D123" s="37" t="n"/>
      <c r="E123" s="37" t="n"/>
      <c r="F123" s="95" t="n"/>
      <c r="G123" s="95" t="n"/>
      <c r="H123" s="95" t="n"/>
      <c r="I123" s="80" t="n"/>
      <c r="J123" s="95" t="n"/>
      <c r="K123" s="96" t="n"/>
      <c r="L123" s="97" t="n"/>
      <c r="N123" s="49" t="n"/>
      <c r="O123" s="49" t="n"/>
      <c r="P123" s="50" t="n"/>
      <c r="Q123" s="50" t="n"/>
      <c r="R123" s="49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  <c r="AH123" s="50" t="n"/>
      <c r="AI123" s="50" t="n"/>
    </row>
    <row r="124">
      <c r="A124" s="37" t="n"/>
      <c r="B124" s="37" t="n"/>
      <c r="C124" s="37" t="n"/>
      <c r="D124" s="37" t="n"/>
      <c r="E124" s="37" t="n"/>
      <c r="F124" s="95" t="n"/>
      <c r="G124" s="95" t="n"/>
      <c r="H124" s="95" t="n"/>
      <c r="I124" s="80" t="n"/>
      <c r="J124" s="95" t="n"/>
      <c r="K124" s="96" t="n"/>
      <c r="L124" s="97" t="n"/>
      <c r="N124" s="49" t="n"/>
      <c r="O124" s="49" t="n"/>
      <c r="P124" s="50" t="n"/>
      <c r="Q124" s="50" t="n"/>
      <c r="R124" s="49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  <c r="AH124" s="50" t="n"/>
      <c r="AI124" s="50" t="n"/>
    </row>
    <row r="125">
      <c r="A125" s="37" t="n"/>
      <c r="B125" s="37" t="n"/>
      <c r="C125" s="37" t="n"/>
      <c r="D125" s="37" t="n"/>
      <c r="E125" s="37" t="n"/>
      <c r="F125" s="95" t="n"/>
      <c r="G125" s="95" t="n"/>
      <c r="H125" s="95" t="n"/>
      <c r="I125" s="80" t="n"/>
      <c r="J125" s="95" t="n"/>
      <c r="K125" s="96" t="n"/>
      <c r="L125" s="97" t="n"/>
      <c r="N125" s="49" t="n"/>
      <c r="O125" s="49" t="n"/>
      <c r="P125" s="50" t="n"/>
      <c r="Q125" s="50" t="n"/>
      <c r="R125" s="49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  <c r="AH125" s="50" t="n"/>
      <c r="AI125" s="50" t="n"/>
    </row>
    <row r="126">
      <c r="A126" s="37" t="n"/>
      <c r="B126" s="37" t="n"/>
      <c r="C126" s="37" t="n"/>
      <c r="D126" s="37" t="n"/>
      <c r="E126" s="37" t="n"/>
      <c r="F126" s="95" t="n"/>
      <c r="G126" s="95" t="n"/>
      <c r="H126" s="95" t="n"/>
      <c r="I126" s="80" t="n"/>
      <c r="J126" s="95" t="n"/>
      <c r="K126" s="96" t="n"/>
      <c r="L126" s="97" t="n"/>
      <c r="N126" s="49" t="n"/>
      <c r="O126" s="49" t="n"/>
      <c r="P126" s="50" t="n"/>
      <c r="Q126" s="50" t="n"/>
      <c r="R126" s="49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  <c r="AH126" s="50" t="n"/>
      <c r="AI126" s="50" t="n"/>
    </row>
    <row r="127">
      <c r="A127" s="37" t="n"/>
      <c r="B127" s="37" t="n"/>
      <c r="C127" s="37" t="n"/>
      <c r="D127" s="37" t="n"/>
      <c r="E127" s="37" t="n"/>
      <c r="F127" s="95" t="n"/>
      <c r="G127" s="95" t="n"/>
      <c r="H127" s="95" t="n"/>
      <c r="I127" s="80" t="n"/>
      <c r="J127" s="95" t="n"/>
      <c r="K127" s="96" t="n"/>
      <c r="L127" s="97" t="n"/>
      <c r="N127" s="49" t="n"/>
      <c r="O127" s="49" t="n"/>
      <c r="P127" s="50" t="n"/>
      <c r="Q127" s="50" t="n"/>
      <c r="R127" s="49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  <c r="AH127" s="50" t="n"/>
      <c r="AI127" s="50" t="n"/>
    </row>
    <row r="128">
      <c r="A128" s="37" t="n"/>
      <c r="B128" s="37" t="n"/>
      <c r="C128" s="37" t="n"/>
      <c r="D128" s="37" t="n"/>
      <c r="E128" s="37" t="n"/>
      <c r="F128" s="95" t="n"/>
      <c r="G128" s="95" t="n"/>
      <c r="H128" s="95" t="n"/>
      <c r="I128" s="80" t="n"/>
      <c r="J128" s="95" t="n"/>
      <c r="K128" s="96" t="n"/>
      <c r="L128" s="97" t="n"/>
      <c r="N128" s="49" t="n"/>
      <c r="O128" s="49" t="n"/>
      <c r="P128" s="50" t="n"/>
      <c r="Q128" s="50" t="n"/>
      <c r="R128" s="49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  <c r="AH128" s="50" t="n"/>
      <c r="AI128" s="50" t="n"/>
    </row>
    <row r="129">
      <c r="A129" s="37" t="n"/>
      <c r="B129" s="37" t="n"/>
      <c r="C129" s="37" t="n"/>
      <c r="D129" s="37" t="n"/>
      <c r="E129" s="37" t="n"/>
      <c r="F129" s="95" t="n"/>
      <c r="G129" s="95" t="n"/>
      <c r="H129" s="95" t="n"/>
      <c r="I129" s="80" t="n"/>
      <c r="J129" s="95" t="n"/>
      <c r="K129" s="96" t="n"/>
      <c r="L129" s="97" t="n"/>
      <c r="N129" s="49" t="n"/>
      <c r="O129" s="49" t="n"/>
      <c r="P129" s="50" t="n"/>
      <c r="Q129" s="50" t="n"/>
      <c r="R129" s="49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  <c r="AH129" s="50" t="n"/>
      <c r="AI129" s="50" t="n"/>
    </row>
    <row r="130">
      <c r="A130" s="37" t="n"/>
      <c r="B130" s="37" t="n"/>
      <c r="C130" s="37" t="n"/>
      <c r="D130" s="37" t="n"/>
      <c r="E130" s="37" t="n"/>
      <c r="F130" s="95" t="n"/>
      <c r="G130" s="95" t="n"/>
      <c r="H130" s="95" t="n"/>
      <c r="I130" s="80" t="n"/>
      <c r="J130" s="95" t="n"/>
      <c r="K130" s="96" t="n"/>
      <c r="L130" s="97" t="n"/>
      <c r="N130" s="49" t="n"/>
      <c r="O130" s="49" t="n"/>
      <c r="P130" s="50" t="n"/>
      <c r="Q130" s="50" t="n"/>
      <c r="R130" s="49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  <c r="AH130" s="50" t="n"/>
      <c r="AI130" s="50" t="n"/>
    </row>
    <row r="131">
      <c r="A131" s="37" t="n"/>
      <c r="B131" s="37" t="n"/>
      <c r="C131" s="37" t="n"/>
      <c r="D131" s="37" t="n"/>
      <c r="E131" s="37" t="n"/>
      <c r="F131" s="95" t="n"/>
      <c r="G131" s="95" t="n"/>
      <c r="H131" s="95" t="n"/>
      <c r="I131" s="80" t="n"/>
      <c r="J131" s="95" t="n"/>
      <c r="K131" s="96" t="n"/>
      <c r="L131" s="97" t="n"/>
      <c r="N131" s="49" t="n"/>
      <c r="O131" s="49" t="n"/>
      <c r="P131" s="50" t="n"/>
      <c r="Q131" s="50" t="n"/>
      <c r="R131" s="49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</row>
    <row r="132" ht="15" customHeight="1" thickBot="1">
      <c r="A132" s="37" t="n"/>
      <c r="B132" s="37" t="n"/>
      <c r="C132" s="37" t="n"/>
      <c r="D132" s="37" t="n"/>
      <c r="E132" s="37" t="n"/>
      <c r="F132" s="95" t="n"/>
      <c r="G132" s="95" t="n"/>
      <c r="H132" s="95" t="n"/>
      <c r="I132" s="80" t="n"/>
      <c r="J132" s="95" t="n"/>
      <c r="K132" s="96" t="n"/>
      <c r="L132" s="97" t="n"/>
      <c r="N132" s="49" t="n"/>
      <c r="O132" s="49" t="n"/>
      <c r="P132" s="50" t="n"/>
      <c r="Q132" s="50" t="n"/>
      <c r="R132" s="49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  <c r="AH132" s="50" t="n"/>
      <c r="AI132" s="50" t="n"/>
    </row>
    <row r="133" ht="15" customHeight="1" thickTop="1">
      <c r="A133" s="52" t="n"/>
      <c r="B133" s="52" t="n"/>
      <c r="C133" s="53" t="n"/>
      <c r="D133" s="54" t="n"/>
      <c r="E133" s="54" t="n"/>
      <c r="F133" s="98" t="n"/>
      <c r="G133" s="98" t="n"/>
      <c r="H133" s="98" t="n"/>
      <c r="I133" s="99" t="n"/>
      <c r="J133" s="98" t="n"/>
      <c r="K133" s="100" t="n"/>
      <c r="L133" s="101" t="n"/>
      <c r="N133" s="49" t="n"/>
      <c r="O133" s="49" t="n"/>
      <c r="P133" s="50" t="n"/>
      <c r="Q133" s="50" t="n"/>
      <c r="R133" s="49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  <c r="AH133" s="50" t="n"/>
      <c r="AI133" s="50" t="n"/>
    </row>
    <row r="134">
      <c r="A134" s="37" t="n"/>
      <c r="B134" s="37" t="n"/>
      <c r="C134" s="37" t="n"/>
      <c r="D134" s="37" t="n"/>
      <c r="E134" s="37" t="n"/>
      <c r="F134" s="95" t="n"/>
      <c r="G134" s="95" t="n"/>
      <c r="H134" s="95" t="n"/>
      <c r="I134" s="80" t="n"/>
      <c r="J134" s="95" t="n"/>
      <c r="K134" s="96" t="n"/>
      <c r="L134" s="97" t="n"/>
      <c r="N134" s="49" t="n"/>
      <c r="O134" s="49" t="n"/>
      <c r="P134" s="50" t="n"/>
      <c r="Q134" s="50" t="n"/>
      <c r="R134" s="49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  <c r="AH134" s="50" t="n"/>
      <c r="AI134" s="50" t="n"/>
    </row>
    <row r="135">
      <c r="A135" s="37" t="n"/>
      <c r="B135" s="37" t="n"/>
      <c r="C135" s="37" t="n"/>
      <c r="D135" s="37" t="n"/>
      <c r="E135" s="37" t="n"/>
      <c r="F135" s="95" t="n"/>
      <c r="G135" s="95" t="n"/>
      <c r="H135" s="95" t="n"/>
      <c r="I135" s="80" t="n"/>
      <c r="J135" s="95" t="n"/>
      <c r="K135" s="96" t="n"/>
      <c r="L135" s="97" t="n"/>
      <c r="N135" s="49" t="n"/>
      <c r="O135" s="49" t="n"/>
      <c r="P135" s="50" t="n"/>
      <c r="Q135" s="50" t="n"/>
      <c r="R135" s="49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  <c r="AH135" s="50" t="n"/>
      <c r="AI135" s="50" t="n"/>
    </row>
    <row r="136">
      <c r="A136" s="37" t="n"/>
      <c r="B136" s="37" t="n"/>
      <c r="C136" s="37" t="n"/>
      <c r="D136" s="37" t="n"/>
      <c r="E136" s="37" t="n"/>
      <c r="F136" s="95" t="n"/>
      <c r="G136" s="95" t="n"/>
      <c r="H136" s="95" t="n"/>
      <c r="I136" s="80" t="n"/>
      <c r="J136" s="95" t="n"/>
      <c r="K136" s="96" t="n"/>
      <c r="L136" s="97" t="n"/>
      <c r="N136" s="49" t="n"/>
      <c r="O136" s="49" t="n"/>
      <c r="P136" s="50" t="n"/>
      <c r="Q136" s="50" t="n"/>
      <c r="R136" s="49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  <c r="AH136" s="50" t="n"/>
      <c r="AI136" s="50" t="n"/>
    </row>
    <row r="137">
      <c r="A137" s="37" t="n"/>
      <c r="B137" s="37" t="n"/>
      <c r="C137" s="37" t="n"/>
      <c r="D137" s="37" t="n"/>
      <c r="E137" s="37" t="n"/>
      <c r="F137" s="95" t="n"/>
      <c r="G137" s="95" t="n"/>
      <c r="H137" s="95" t="n"/>
      <c r="I137" s="80" t="n"/>
      <c r="J137" s="95" t="n"/>
      <c r="K137" s="96" t="n"/>
      <c r="L137" s="97" t="n"/>
      <c r="N137" s="49" t="n"/>
      <c r="O137" s="49" t="n"/>
      <c r="P137" s="50" t="n"/>
      <c r="Q137" s="50" t="n"/>
      <c r="R137" s="49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  <c r="AH137" s="50" t="n"/>
      <c r="AI137" s="50" t="n"/>
    </row>
    <row r="138">
      <c r="A138" s="37" t="n"/>
      <c r="B138" s="37" t="n"/>
      <c r="C138" s="37" t="n"/>
      <c r="D138" s="37" t="n"/>
      <c r="E138" s="37" t="n"/>
      <c r="F138" s="95" t="n"/>
      <c r="G138" s="95" t="n"/>
      <c r="H138" s="95" t="n"/>
      <c r="I138" s="80" t="n"/>
      <c r="J138" s="95" t="n"/>
      <c r="K138" s="96" t="n"/>
      <c r="L138" s="97" t="n"/>
      <c r="N138" s="49" t="n"/>
      <c r="O138" s="49" t="n"/>
      <c r="P138" s="50" t="n"/>
      <c r="Q138" s="50" t="n"/>
      <c r="R138" s="49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  <c r="AH138" s="50" t="n"/>
      <c r="AI138" s="50" t="n"/>
    </row>
    <row r="139">
      <c r="A139" s="37" t="n"/>
      <c r="B139" s="37" t="n"/>
      <c r="C139" s="37" t="n"/>
      <c r="D139" s="37" t="n"/>
      <c r="E139" s="37" t="n"/>
      <c r="F139" s="95" t="n"/>
      <c r="G139" s="95" t="n"/>
      <c r="H139" s="95" t="n"/>
      <c r="I139" s="80" t="n"/>
      <c r="J139" s="95" t="n"/>
      <c r="K139" s="96" t="n"/>
      <c r="L139" s="97" t="n"/>
      <c r="N139" s="49" t="n"/>
      <c r="O139" s="49" t="n"/>
      <c r="P139" s="50" t="n"/>
      <c r="Q139" s="50" t="n"/>
      <c r="R139" s="49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  <c r="AH139" s="50" t="n"/>
      <c r="AI139" s="50" t="n"/>
    </row>
    <row r="140">
      <c r="A140" s="37" t="n"/>
      <c r="B140" s="37" t="n"/>
      <c r="C140" s="37" t="n"/>
      <c r="D140" s="37" t="n"/>
      <c r="E140" s="37" t="n"/>
      <c r="F140" s="95" t="n"/>
      <c r="G140" s="95" t="n"/>
      <c r="H140" s="95" t="n"/>
      <c r="I140" s="80" t="n"/>
      <c r="J140" s="95" t="n"/>
      <c r="K140" s="96" t="n"/>
      <c r="L140" s="97" t="n"/>
      <c r="N140" s="49" t="n"/>
      <c r="O140" s="49" t="n"/>
      <c r="P140" s="50" t="n"/>
      <c r="Q140" s="50" t="n"/>
      <c r="R140" s="49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  <c r="AH140" s="50" t="n"/>
      <c r="AI140" s="50" t="n"/>
    </row>
    <row r="141">
      <c r="A141" s="37" t="n"/>
      <c r="B141" s="37" t="n"/>
      <c r="C141" s="37" t="n"/>
      <c r="D141" s="37" t="n"/>
      <c r="E141" s="37" t="n"/>
      <c r="F141" s="95" t="n"/>
      <c r="G141" s="95" t="n"/>
      <c r="H141" s="95" t="n"/>
      <c r="I141" s="80" t="n"/>
      <c r="J141" s="95" t="n"/>
      <c r="K141" s="96" t="n"/>
      <c r="L141" s="97" t="n"/>
      <c r="N141" s="49" t="n"/>
      <c r="O141" s="49" t="n"/>
      <c r="P141" s="50" t="n"/>
      <c r="Q141" s="50" t="n"/>
      <c r="R141" s="49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  <c r="AH141" s="50" t="n"/>
      <c r="AI141" s="50" t="n"/>
    </row>
    <row r="142">
      <c r="A142" s="37" t="n"/>
      <c r="B142" s="37" t="n"/>
      <c r="C142" s="37" t="n"/>
      <c r="D142" s="37" t="n"/>
      <c r="E142" s="37" t="n"/>
      <c r="F142" s="95" t="n"/>
      <c r="G142" s="95" t="n"/>
      <c r="H142" s="95" t="n"/>
      <c r="I142" s="80" t="n"/>
      <c r="J142" s="95" t="n"/>
      <c r="K142" s="96" t="n"/>
      <c r="L142" s="97" t="n"/>
      <c r="N142" s="49" t="n"/>
      <c r="O142" s="49" t="n"/>
      <c r="P142" s="50" t="n"/>
      <c r="Q142" s="50" t="n"/>
      <c r="R142" s="49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  <c r="AH142" s="50" t="n"/>
      <c r="AI142" s="50" t="n"/>
    </row>
    <row r="143">
      <c r="A143" s="37" t="n"/>
      <c r="B143" s="37" t="n"/>
      <c r="C143" s="37" t="n"/>
      <c r="D143" s="37" t="n"/>
      <c r="E143" s="37" t="n"/>
      <c r="F143" s="95" t="n"/>
      <c r="G143" s="95" t="n"/>
      <c r="H143" s="95" t="n"/>
      <c r="I143" s="80" t="n"/>
      <c r="J143" s="95" t="n"/>
      <c r="K143" s="96" t="n"/>
      <c r="L143" s="97" t="n"/>
      <c r="N143" s="49" t="n"/>
      <c r="O143" s="49" t="n"/>
      <c r="P143" s="50" t="n"/>
      <c r="Q143" s="50" t="n"/>
      <c r="R143" s="49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  <c r="AH143" s="50" t="n"/>
      <c r="AI143" s="50" t="n"/>
    </row>
    <row r="144">
      <c r="A144" s="37" t="n"/>
      <c r="B144" s="37" t="n"/>
      <c r="C144" s="37" t="n"/>
      <c r="D144" s="37" t="n"/>
      <c r="E144" s="37" t="n"/>
      <c r="F144" s="95" t="n"/>
      <c r="G144" s="95" t="n"/>
      <c r="H144" s="95" t="n"/>
      <c r="I144" s="80" t="n"/>
      <c r="J144" s="95" t="n"/>
      <c r="K144" s="96" t="n"/>
      <c r="L144" s="97" t="n"/>
      <c r="N144" s="49" t="n"/>
      <c r="O144" s="49" t="n"/>
      <c r="P144" s="50" t="n"/>
      <c r="Q144" s="50" t="n"/>
      <c r="R144" s="49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  <c r="AH144" s="50" t="n"/>
      <c r="AI144" s="50" t="n"/>
    </row>
    <row r="145">
      <c r="A145" s="37" t="n"/>
      <c r="B145" s="37" t="n"/>
      <c r="C145" s="37" t="n"/>
      <c r="D145" s="37" t="n"/>
      <c r="E145" s="37" t="n"/>
      <c r="F145" s="95" t="n"/>
      <c r="G145" s="95" t="n"/>
      <c r="H145" s="95" t="n"/>
      <c r="I145" s="80" t="n"/>
      <c r="J145" s="95" t="n"/>
      <c r="K145" s="96" t="n"/>
      <c r="L145" s="97" t="n"/>
      <c r="N145" s="49" t="n"/>
      <c r="O145" s="49" t="n"/>
      <c r="P145" s="50" t="n"/>
      <c r="Q145" s="50" t="n"/>
      <c r="R145" s="49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  <c r="AH145" s="50" t="n"/>
      <c r="AI145" s="50" t="n"/>
    </row>
    <row r="146">
      <c r="A146" s="37" t="n"/>
      <c r="B146" s="37" t="n"/>
      <c r="C146" s="37" t="n"/>
      <c r="D146" s="37" t="n"/>
      <c r="E146" s="37" t="n"/>
      <c r="F146" s="95" t="n"/>
      <c r="G146" s="95" t="n"/>
      <c r="H146" s="95" t="n"/>
      <c r="I146" s="80" t="n"/>
      <c r="J146" s="95" t="n"/>
      <c r="K146" s="96" t="n"/>
      <c r="L146" s="97" t="n"/>
      <c r="N146" s="49" t="n"/>
      <c r="O146" s="49" t="n"/>
      <c r="P146" s="50" t="n"/>
      <c r="Q146" s="50" t="n"/>
      <c r="R146" s="49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  <c r="AH146" s="50" t="n"/>
      <c r="AI146" s="50" t="n"/>
    </row>
    <row r="147">
      <c r="A147" s="37" t="n"/>
      <c r="B147" s="37" t="n"/>
      <c r="C147" s="37" t="n"/>
      <c r="D147" s="37" t="n"/>
      <c r="E147" s="37" t="n"/>
      <c r="F147" s="95" t="n"/>
      <c r="G147" s="95" t="n"/>
      <c r="H147" s="95" t="n"/>
      <c r="I147" s="80" t="n"/>
      <c r="J147" s="95" t="n"/>
      <c r="K147" s="96" t="n"/>
      <c r="L147" s="97" t="n"/>
      <c r="N147" s="49" t="n"/>
      <c r="O147" s="49" t="n"/>
      <c r="P147" s="50" t="n"/>
      <c r="Q147" s="50" t="n"/>
      <c r="R147" s="49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  <c r="AH147" s="50" t="n"/>
      <c r="AI147" s="50" t="n"/>
    </row>
    <row r="148">
      <c r="A148" s="37" t="n"/>
      <c r="B148" s="37" t="n"/>
      <c r="C148" s="37" t="n"/>
      <c r="D148" s="37" t="n"/>
      <c r="E148" s="37" t="n"/>
      <c r="F148" s="95" t="n"/>
      <c r="G148" s="95" t="n"/>
      <c r="H148" s="95" t="n"/>
      <c r="I148" s="80" t="n"/>
      <c r="J148" s="95" t="n"/>
      <c r="K148" s="96" t="n"/>
      <c r="L148" s="97" t="n"/>
      <c r="N148" s="49" t="n"/>
      <c r="O148" s="49" t="n"/>
      <c r="P148" s="50" t="n"/>
      <c r="Q148" s="50" t="n"/>
      <c r="R148" s="49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  <c r="AH148" s="50" t="n"/>
      <c r="AI148" s="50" t="n"/>
    </row>
    <row r="149" ht="15" customHeight="1" thickBot="1">
      <c r="A149" s="37" t="n"/>
      <c r="B149" s="37" t="n"/>
      <c r="C149" s="37" t="n"/>
      <c r="D149" s="37" t="n"/>
      <c r="E149" s="37" t="n"/>
      <c r="F149" s="95" t="n"/>
      <c r="G149" s="95" t="n"/>
      <c r="H149" s="95" t="n"/>
      <c r="I149" s="80" t="n"/>
      <c r="J149" s="95" t="n"/>
      <c r="K149" s="96" t="n"/>
      <c r="L149" s="97" t="n"/>
      <c r="N149" s="49" t="n"/>
      <c r="O149" s="49" t="n"/>
      <c r="P149" s="50" t="n"/>
      <c r="Q149" s="50" t="n"/>
      <c r="R149" s="49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  <c r="AH149" s="50" t="n"/>
      <c r="AI149" s="50" t="n"/>
    </row>
    <row r="150" ht="15" customHeight="1" thickTop="1">
      <c r="A150" s="52" t="n"/>
      <c r="B150" s="52" t="n"/>
      <c r="C150" s="53" t="n"/>
      <c r="D150" s="54" t="n"/>
      <c r="E150" s="54" t="n"/>
      <c r="F150" s="98" t="n"/>
      <c r="G150" s="98" t="n"/>
      <c r="H150" s="98" t="n"/>
      <c r="I150" s="99" t="n"/>
      <c r="J150" s="98" t="n"/>
      <c r="K150" s="100" t="n"/>
      <c r="L150" s="101" t="n"/>
      <c r="N150" s="49" t="n"/>
      <c r="O150" s="49" t="n"/>
      <c r="P150" s="50" t="n"/>
      <c r="Q150" s="50" t="n"/>
      <c r="R150" s="49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  <c r="AH150" s="50" t="n"/>
      <c r="AI150" s="50" t="n"/>
    </row>
    <row r="151">
      <c r="A151" s="37" t="n"/>
      <c r="B151" s="37" t="n"/>
      <c r="C151" s="37" t="n"/>
      <c r="D151" s="37" t="n"/>
      <c r="E151" s="37" t="n"/>
      <c r="F151" s="95" t="n"/>
      <c r="G151" s="95" t="n"/>
      <c r="H151" s="95" t="n"/>
      <c r="I151" s="80" t="n"/>
      <c r="J151" s="95" t="n"/>
      <c r="K151" s="96" t="n"/>
      <c r="L151" s="97" t="n"/>
      <c r="N151" s="49" t="n"/>
      <c r="O151" s="49" t="n"/>
      <c r="P151" s="50" t="n"/>
      <c r="Q151" s="50" t="n"/>
      <c r="R151" s="49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  <c r="AH151" s="50" t="n"/>
      <c r="AI151" s="50" t="n"/>
    </row>
    <row r="152">
      <c r="A152" s="37" t="n"/>
      <c r="B152" s="37" t="n"/>
      <c r="C152" s="37" t="n"/>
      <c r="D152" s="37" t="n"/>
      <c r="E152" s="37" t="n"/>
      <c r="F152" s="95" t="n"/>
      <c r="G152" s="95" t="n"/>
      <c r="H152" s="95" t="n"/>
      <c r="I152" s="80" t="n"/>
      <c r="J152" s="95" t="n"/>
      <c r="K152" s="96" t="n"/>
      <c r="L152" s="97" t="n"/>
      <c r="N152" s="49" t="n"/>
      <c r="O152" s="49" t="n"/>
      <c r="P152" s="50" t="n"/>
      <c r="Q152" s="50" t="n"/>
      <c r="R152" s="49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  <c r="AH152" s="50" t="n"/>
      <c r="AI152" s="50" t="n"/>
    </row>
    <row r="153">
      <c r="A153" s="37" t="n"/>
      <c r="B153" s="37" t="n"/>
      <c r="C153" s="37" t="n"/>
      <c r="D153" s="37" t="n"/>
      <c r="E153" s="37" t="n"/>
      <c r="F153" s="95" t="n"/>
      <c r="G153" s="95" t="n"/>
      <c r="H153" s="95" t="n"/>
      <c r="I153" s="80" t="n"/>
      <c r="J153" s="95" t="n"/>
      <c r="K153" s="96" t="n"/>
      <c r="L153" s="97" t="n"/>
      <c r="N153" s="49" t="n"/>
      <c r="O153" s="49" t="n"/>
      <c r="P153" s="50" t="n"/>
      <c r="Q153" s="50" t="n"/>
      <c r="R153" s="49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  <c r="AH153" s="50" t="n"/>
      <c r="AI153" s="50" t="n"/>
    </row>
    <row r="154">
      <c r="A154" s="37" t="n"/>
      <c r="B154" s="37" t="n"/>
      <c r="C154" s="37" t="n"/>
      <c r="D154" s="37" t="n"/>
      <c r="E154" s="37" t="n"/>
      <c r="F154" s="95" t="n"/>
      <c r="G154" s="95" t="n"/>
      <c r="H154" s="95" t="n"/>
      <c r="I154" s="80" t="n"/>
      <c r="J154" s="95" t="n"/>
      <c r="K154" s="96" t="n"/>
      <c r="L154" s="97" t="n"/>
      <c r="N154" s="49" t="n"/>
      <c r="O154" s="49" t="n"/>
      <c r="P154" s="50" t="n"/>
      <c r="Q154" s="50" t="n"/>
      <c r="R154" s="49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  <c r="AH154" s="50" t="n"/>
      <c r="AI154" s="50" t="n"/>
    </row>
    <row r="155">
      <c r="A155" s="37" t="n"/>
      <c r="B155" s="37" t="n"/>
      <c r="C155" s="37" t="n"/>
      <c r="D155" s="37" t="n"/>
      <c r="E155" s="37" t="n"/>
      <c r="F155" s="95" t="n"/>
      <c r="G155" s="95" t="n"/>
      <c r="H155" s="95" t="n"/>
      <c r="I155" s="80" t="n"/>
      <c r="J155" s="95" t="n"/>
      <c r="K155" s="96" t="n"/>
      <c r="L155" s="97" t="n"/>
      <c r="N155" s="49" t="n"/>
      <c r="O155" s="49" t="n"/>
      <c r="P155" s="50" t="n"/>
      <c r="Q155" s="50" t="n"/>
      <c r="R155" s="49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  <c r="AH155" s="50" t="n"/>
      <c r="AI155" s="50" t="n"/>
    </row>
    <row r="156">
      <c r="A156" s="37" t="n"/>
      <c r="B156" s="37" t="n"/>
      <c r="C156" s="37" t="n"/>
      <c r="D156" s="37" t="n"/>
      <c r="E156" s="37" t="n"/>
      <c r="F156" s="95" t="n"/>
      <c r="G156" s="95" t="n"/>
      <c r="H156" s="95" t="n"/>
      <c r="I156" s="80" t="n"/>
      <c r="J156" s="95" t="n"/>
      <c r="K156" s="96" t="n"/>
      <c r="L156" s="97" t="n"/>
      <c r="N156" s="49" t="n"/>
      <c r="O156" s="49" t="n"/>
      <c r="P156" s="50" t="n"/>
      <c r="Q156" s="50" t="n"/>
      <c r="R156" s="49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  <c r="AH156" s="50" t="n"/>
      <c r="AI156" s="50" t="n"/>
    </row>
    <row r="157">
      <c r="A157" s="37" t="n"/>
      <c r="B157" s="37" t="n"/>
      <c r="C157" s="37" t="n"/>
      <c r="D157" s="37" t="n"/>
      <c r="E157" s="37" t="n"/>
      <c r="F157" s="95" t="n"/>
      <c r="G157" s="95" t="n"/>
      <c r="H157" s="95" t="n"/>
      <c r="I157" s="80" t="n"/>
      <c r="J157" s="95" t="n"/>
      <c r="K157" s="96" t="n"/>
      <c r="L157" s="97" t="n"/>
      <c r="N157" s="49" t="n"/>
      <c r="O157" s="49" t="n"/>
      <c r="P157" s="50" t="n"/>
      <c r="Q157" s="50" t="n"/>
      <c r="R157" s="49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  <c r="AH157" s="50" t="n"/>
      <c r="AI157" s="50" t="n"/>
    </row>
    <row r="158">
      <c r="A158" s="37" t="n"/>
      <c r="B158" s="37" t="n"/>
      <c r="C158" s="37" t="n"/>
      <c r="D158" s="37" t="n"/>
      <c r="E158" s="37" t="n"/>
      <c r="F158" s="95" t="n"/>
      <c r="G158" s="95" t="n"/>
      <c r="H158" s="95" t="n"/>
      <c r="I158" s="80" t="n"/>
      <c r="J158" s="95" t="n"/>
      <c r="K158" s="96" t="n"/>
      <c r="L158" s="97" t="n"/>
      <c r="N158" s="49" t="n"/>
      <c r="O158" s="49" t="n"/>
      <c r="P158" s="50" t="n"/>
      <c r="Q158" s="50" t="n"/>
      <c r="R158" s="49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  <c r="AH158" s="50" t="n"/>
      <c r="AI158" s="50" t="n"/>
    </row>
    <row r="159">
      <c r="A159" s="37" t="n"/>
      <c r="B159" s="37" t="n"/>
      <c r="C159" s="37" t="n"/>
      <c r="D159" s="37" t="n"/>
      <c r="E159" s="37" t="n"/>
      <c r="F159" s="95" t="n"/>
      <c r="G159" s="95" t="n"/>
      <c r="H159" s="95" t="n"/>
      <c r="I159" s="80" t="n"/>
      <c r="J159" s="95" t="n"/>
      <c r="K159" s="96" t="n"/>
      <c r="L159" s="97" t="n"/>
      <c r="N159" s="49" t="n"/>
      <c r="O159" s="49" t="n"/>
      <c r="P159" s="50" t="n"/>
      <c r="Q159" s="50" t="n"/>
      <c r="R159" s="49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  <c r="AH159" s="50" t="n"/>
      <c r="AI159" s="50" t="n"/>
    </row>
    <row r="160">
      <c r="A160" s="37" t="n"/>
      <c r="B160" s="37" t="n"/>
      <c r="C160" s="37" t="n"/>
      <c r="D160" s="37" t="n"/>
      <c r="E160" s="37" t="n"/>
      <c r="F160" s="95" t="n"/>
      <c r="G160" s="95" t="n"/>
      <c r="H160" s="95" t="n"/>
      <c r="I160" s="80" t="n"/>
      <c r="J160" s="95" t="n"/>
      <c r="K160" s="96" t="n"/>
      <c r="L160" s="97" t="n"/>
      <c r="N160" s="49" t="n"/>
      <c r="O160" s="49" t="n"/>
      <c r="P160" s="50" t="n"/>
      <c r="Q160" s="50" t="n"/>
      <c r="R160" s="49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  <c r="AH160" s="50" t="n"/>
      <c r="AI160" s="50" t="n"/>
    </row>
    <row r="161">
      <c r="A161" s="37" t="n"/>
      <c r="B161" s="37" t="n"/>
      <c r="C161" s="37" t="n"/>
      <c r="D161" s="37" t="n"/>
      <c r="E161" s="37" t="n"/>
      <c r="F161" s="95" t="n"/>
      <c r="G161" s="95" t="n"/>
      <c r="H161" s="95" t="n"/>
      <c r="I161" s="80" t="n"/>
      <c r="J161" s="95" t="n"/>
      <c r="K161" s="96" t="n"/>
      <c r="L161" s="97" t="n"/>
      <c r="N161" s="49" t="n"/>
      <c r="O161" s="49" t="n"/>
      <c r="P161" s="50" t="n"/>
      <c r="Q161" s="50" t="n"/>
      <c r="R161" s="49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  <c r="AH161" s="50" t="n"/>
      <c r="AI161" s="50" t="n"/>
    </row>
    <row r="162">
      <c r="A162" s="37" t="n"/>
      <c r="B162" s="37" t="n"/>
      <c r="C162" s="37" t="n"/>
      <c r="D162" s="37" t="n"/>
      <c r="E162" s="37" t="n"/>
      <c r="F162" s="95" t="n"/>
      <c r="G162" s="95" t="n"/>
      <c r="H162" s="95" t="n"/>
      <c r="I162" s="80" t="n"/>
      <c r="J162" s="95" t="n"/>
      <c r="K162" s="96" t="n"/>
      <c r="L162" s="97" t="n"/>
      <c r="N162" s="49" t="n"/>
      <c r="O162" s="49" t="n"/>
      <c r="P162" s="50" t="n"/>
      <c r="Q162" s="50" t="n"/>
      <c r="R162" s="49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  <c r="AH162" s="50" t="n"/>
      <c r="AI162" s="50" t="n"/>
    </row>
    <row r="163">
      <c r="A163" s="37" t="n"/>
      <c r="B163" s="37" t="n"/>
      <c r="C163" s="37" t="n"/>
      <c r="D163" s="37" t="n"/>
      <c r="E163" s="37" t="n"/>
      <c r="F163" s="95" t="n"/>
      <c r="G163" s="95" t="n"/>
      <c r="H163" s="95" t="n"/>
      <c r="I163" s="80" t="n"/>
      <c r="J163" s="95" t="n"/>
      <c r="K163" s="96" t="n"/>
      <c r="L163" s="97" t="n"/>
      <c r="N163" s="49" t="n"/>
      <c r="O163" s="49" t="n"/>
      <c r="P163" s="50" t="n"/>
      <c r="Q163" s="50" t="n"/>
      <c r="R163" s="49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  <c r="AH163" s="50" t="n"/>
      <c r="AI163" s="50" t="n"/>
    </row>
    <row r="164">
      <c r="A164" s="37" t="n"/>
      <c r="B164" s="37" t="n"/>
      <c r="C164" s="37" t="n"/>
      <c r="D164" s="37" t="n"/>
      <c r="E164" s="37" t="n"/>
      <c r="F164" s="95" t="n"/>
      <c r="G164" s="95" t="n"/>
      <c r="H164" s="95" t="n"/>
      <c r="I164" s="80" t="n"/>
      <c r="J164" s="95" t="n"/>
      <c r="K164" s="96" t="n"/>
      <c r="L164" s="97" t="n"/>
      <c r="N164" s="49" t="n"/>
      <c r="O164" s="49" t="n"/>
      <c r="P164" s="50" t="n"/>
      <c r="Q164" s="50" t="n"/>
      <c r="R164" s="49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  <c r="AH164" s="50" t="n"/>
      <c r="AI164" s="50" t="n"/>
    </row>
    <row r="165">
      <c r="A165" s="37" t="n"/>
      <c r="B165" s="37" t="n"/>
      <c r="C165" s="37" t="n"/>
      <c r="D165" s="37" t="n"/>
      <c r="E165" s="37" t="n"/>
      <c r="F165" s="95" t="n"/>
      <c r="G165" s="95" t="n"/>
      <c r="H165" s="95" t="n"/>
      <c r="I165" s="80" t="n"/>
      <c r="J165" s="95" t="n"/>
      <c r="K165" s="96" t="n"/>
      <c r="L165" s="97" t="n"/>
      <c r="N165" s="49" t="n"/>
      <c r="O165" s="49" t="n"/>
      <c r="P165" s="50" t="n"/>
      <c r="Q165" s="50" t="n"/>
      <c r="R165" s="49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  <c r="AH165" s="50" t="n"/>
      <c r="AI165" s="50" t="n"/>
    </row>
    <row r="166" ht="15" customHeight="1" thickBot="1">
      <c r="A166" s="37" t="n"/>
      <c r="B166" s="37" t="n"/>
      <c r="C166" s="37" t="n"/>
      <c r="D166" s="37" t="n"/>
      <c r="E166" s="37" t="n"/>
      <c r="F166" s="95" t="n"/>
      <c r="G166" s="95" t="n"/>
      <c r="H166" s="95" t="n"/>
      <c r="I166" s="80" t="n"/>
      <c r="J166" s="95" t="n"/>
      <c r="K166" s="96" t="n"/>
      <c r="L166" s="97" t="n"/>
      <c r="N166" s="49" t="n"/>
      <c r="O166" s="49" t="n"/>
      <c r="P166" s="50" t="n"/>
      <c r="Q166" s="50" t="n"/>
      <c r="R166" s="49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  <c r="AH166" s="50" t="n"/>
      <c r="AI166" s="50" t="n"/>
    </row>
    <row r="167" ht="15" customHeight="1" thickTop="1">
      <c r="A167" s="52" t="n"/>
      <c r="B167" s="52" t="n"/>
      <c r="C167" s="53" t="n"/>
      <c r="D167" s="54" t="n"/>
      <c r="E167" s="54" t="n"/>
      <c r="F167" s="98" t="n"/>
      <c r="G167" s="98" t="n"/>
      <c r="H167" s="98" t="n"/>
      <c r="I167" s="99" t="n"/>
      <c r="J167" s="98" t="n"/>
      <c r="K167" s="100" t="n"/>
      <c r="L167" s="101" t="n"/>
      <c r="N167" s="49" t="n"/>
      <c r="O167" s="49" t="n"/>
      <c r="P167" s="50" t="n"/>
      <c r="Q167" s="50" t="n"/>
      <c r="R167" s="49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  <c r="AH167" s="50" t="n"/>
      <c r="AI167" s="50" t="n"/>
    </row>
    <row r="168">
      <c r="A168" s="37" t="n"/>
      <c r="B168" s="37" t="n"/>
      <c r="C168" s="37" t="n"/>
      <c r="D168" s="37" t="n"/>
      <c r="E168" s="37" t="n"/>
      <c r="F168" s="95" t="n"/>
      <c r="G168" s="95" t="n"/>
      <c r="H168" s="95" t="n"/>
      <c r="I168" s="80" t="n"/>
      <c r="J168" s="95" t="n"/>
      <c r="K168" s="96" t="n"/>
      <c r="L168" s="97" t="n"/>
      <c r="N168" s="49" t="n"/>
      <c r="O168" s="49" t="n"/>
      <c r="P168" s="50" t="n"/>
      <c r="Q168" s="50" t="n"/>
      <c r="R168" s="49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  <c r="AH168" s="50" t="n"/>
      <c r="AI168" s="50" t="n"/>
    </row>
    <row r="169">
      <c r="A169" s="37" t="n"/>
      <c r="B169" s="37" t="n"/>
      <c r="C169" s="37" t="n"/>
      <c r="D169" s="37" t="n"/>
      <c r="E169" s="37" t="n"/>
      <c r="F169" s="95" t="n"/>
      <c r="G169" s="95" t="n"/>
      <c r="H169" s="95" t="n"/>
      <c r="I169" s="80" t="n"/>
      <c r="J169" s="95" t="n"/>
      <c r="K169" s="96" t="n"/>
      <c r="L169" s="97" t="n"/>
      <c r="N169" s="49" t="n"/>
      <c r="O169" s="49" t="n"/>
      <c r="P169" s="50" t="n"/>
      <c r="Q169" s="50" t="n"/>
      <c r="R169" s="49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  <c r="AH169" s="50" t="n"/>
      <c r="AI169" s="50" t="n"/>
    </row>
    <row r="170">
      <c r="A170" s="37" t="n"/>
      <c r="B170" s="37" t="n"/>
      <c r="C170" s="37" t="n"/>
      <c r="D170" s="37" t="n"/>
      <c r="E170" s="37" t="n"/>
      <c r="F170" s="95" t="n"/>
      <c r="G170" s="95" t="n"/>
      <c r="H170" s="95" t="n"/>
      <c r="I170" s="80" t="n"/>
      <c r="J170" s="95" t="n"/>
      <c r="K170" s="96" t="n"/>
      <c r="L170" s="97" t="n"/>
      <c r="N170" s="49" t="n"/>
      <c r="O170" s="49" t="n"/>
      <c r="P170" s="50" t="n"/>
      <c r="Q170" s="50" t="n"/>
      <c r="R170" s="49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  <c r="AH170" s="50" t="n"/>
      <c r="AI170" s="50" t="n"/>
    </row>
    <row r="171">
      <c r="A171" s="37" t="n"/>
      <c r="B171" s="37" t="n"/>
      <c r="C171" s="37" t="n"/>
      <c r="D171" s="37" t="n"/>
      <c r="E171" s="37" t="n"/>
      <c r="F171" s="95" t="n"/>
      <c r="G171" s="95" t="n"/>
      <c r="H171" s="95" t="n"/>
      <c r="I171" s="80" t="n"/>
      <c r="J171" s="95" t="n"/>
      <c r="K171" s="96" t="n"/>
      <c r="L171" s="97" t="n"/>
      <c r="N171" s="49" t="n"/>
      <c r="O171" s="49" t="n"/>
      <c r="P171" s="50" t="n"/>
      <c r="Q171" s="50" t="n"/>
      <c r="R171" s="49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  <c r="AH171" s="50" t="n"/>
      <c r="AI171" s="50" t="n"/>
    </row>
    <row r="172">
      <c r="A172" s="37" t="n"/>
      <c r="B172" s="37" t="n"/>
      <c r="C172" s="37" t="n"/>
      <c r="D172" s="37" t="n"/>
      <c r="E172" s="37" t="n"/>
      <c r="F172" s="95" t="n"/>
      <c r="G172" s="95" t="n"/>
      <c r="H172" s="95" t="n"/>
      <c r="I172" s="80" t="n"/>
      <c r="J172" s="95" t="n"/>
      <c r="K172" s="96" t="n"/>
      <c r="L172" s="97" t="n"/>
      <c r="N172" s="49" t="n"/>
      <c r="O172" s="49" t="n"/>
      <c r="P172" s="50" t="n"/>
      <c r="Q172" s="50" t="n"/>
      <c r="R172" s="49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  <c r="AH172" s="50" t="n"/>
      <c r="AI172" s="50" t="n"/>
    </row>
    <row r="173">
      <c r="A173" s="37" t="n"/>
      <c r="B173" s="37" t="n"/>
      <c r="C173" s="37" t="n"/>
      <c r="D173" s="37" t="n"/>
      <c r="E173" s="37" t="n"/>
      <c r="F173" s="95" t="n"/>
      <c r="G173" s="95" t="n"/>
      <c r="H173" s="95" t="n"/>
      <c r="I173" s="80" t="n"/>
      <c r="J173" s="95" t="n"/>
      <c r="K173" s="96" t="n"/>
      <c r="L173" s="97" t="n"/>
      <c r="N173" s="49" t="n"/>
      <c r="O173" s="49" t="n"/>
      <c r="P173" s="50" t="n"/>
      <c r="Q173" s="50" t="n"/>
      <c r="R173" s="49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  <c r="AH173" s="50" t="n"/>
      <c r="AI173" s="50" t="n"/>
    </row>
    <row r="174">
      <c r="A174" s="37" t="n"/>
      <c r="B174" s="37" t="n"/>
      <c r="C174" s="37" t="n"/>
      <c r="D174" s="37" t="n"/>
      <c r="E174" s="37" t="n"/>
      <c r="F174" s="95" t="n"/>
      <c r="G174" s="95" t="n"/>
      <c r="H174" s="95" t="n"/>
      <c r="I174" s="80" t="n"/>
      <c r="J174" s="95" t="n"/>
      <c r="K174" s="96" t="n"/>
      <c r="L174" s="97" t="n"/>
      <c r="N174" s="49" t="n"/>
      <c r="O174" s="49" t="n"/>
      <c r="P174" s="50" t="n"/>
      <c r="Q174" s="50" t="n"/>
      <c r="R174" s="49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  <c r="AH174" s="50" t="n"/>
      <c r="AI174" s="50" t="n"/>
    </row>
    <row r="175">
      <c r="A175" s="37" t="n"/>
      <c r="B175" s="37" t="n"/>
      <c r="C175" s="37" t="n"/>
      <c r="D175" s="37" t="n"/>
      <c r="E175" s="37" t="n"/>
      <c r="F175" s="95" t="n"/>
      <c r="G175" s="95" t="n"/>
      <c r="H175" s="95" t="n"/>
      <c r="I175" s="80" t="n"/>
      <c r="J175" s="95" t="n"/>
      <c r="K175" s="96" t="n"/>
      <c r="L175" s="97" t="n"/>
      <c r="N175" s="49" t="n"/>
      <c r="O175" s="49" t="n"/>
      <c r="P175" s="50" t="n"/>
      <c r="Q175" s="50" t="n"/>
      <c r="R175" s="49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  <c r="AH175" s="50" t="n"/>
      <c r="AI175" s="50" t="n"/>
    </row>
    <row r="176">
      <c r="A176" s="37" t="n"/>
      <c r="B176" s="37" t="n"/>
      <c r="C176" s="37" t="n"/>
      <c r="D176" s="37" t="n"/>
      <c r="E176" s="37" t="n"/>
      <c r="F176" s="95" t="n"/>
      <c r="G176" s="95" t="n"/>
      <c r="H176" s="95" t="n"/>
      <c r="I176" s="80" t="n"/>
      <c r="J176" s="95" t="n"/>
      <c r="K176" s="96" t="n"/>
      <c r="L176" s="97" t="n"/>
      <c r="N176" s="49" t="n"/>
      <c r="O176" s="49" t="n"/>
      <c r="P176" s="50" t="n"/>
      <c r="Q176" s="50" t="n"/>
      <c r="R176" s="49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  <c r="AH176" s="50" t="n"/>
      <c r="AI176" s="50" t="n"/>
    </row>
    <row r="177">
      <c r="A177" s="37" t="n"/>
      <c r="B177" s="37" t="n"/>
      <c r="C177" s="37" t="n"/>
      <c r="D177" s="37" t="n"/>
      <c r="E177" s="37" t="n"/>
      <c r="F177" s="95" t="n"/>
      <c r="G177" s="95" t="n"/>
      <c r="H177" s="95" t="n"/>
      <c r="I177" s="80" t="n"/>
      <c r="J177" s="95" t="n"/>
      <c r="K177" s="96" t="n"/>
      <c r="L177" s="97" t="n"/>
      <c r="N177" s="49" t="n"/>
      <c r="O177" s="49" t="n"/>
      <c r="P177" s="50" t="n"/>
      <c r="Q177" s="50" t="n"/>
      <c r="R177" s="49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  <c r="AH177" s="50" t="n"/>
      <c r="AI177" s="50" t="n"/>
    </row>
    <row r="178">
      <c r="A178" s="37" t="n"/>
      <c r="B178" s="37" t="n"/>
      <c r="C178" s="37" t="n"/>
      <c r="D178" s="37" t="n"/>
      <c r="E178" s="37" t="n"/>
      <c r="F178" s="95" t="n"/>
      <c r="G178" s="95" t="n"/>
      <c r="H178" s="95" t="n"/>
      <c r="I178" s="80" t="n"/>
      <c r="J178" s="95" t="n"/>
      <c r="K178" s="96" t="n"/>
      <c r="L178" s="97" t="n"/>
      <c r="N178" s="49" t="n"/>
      <c r="O178" s="49" t="n"/>
      <c r="P178" s="50" t="n"/>
      <c r="Q178" s="50" t="n"/>
      <c r="R178" s="49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  <c r="AH178" s="50" t="n"/>
      <c r="AI178" s="50" t="n"/>
    </row>
    <row r="179">
      <c r="A179" s="37" t="n"/>
      <c r="B179" s="37" t="n"/>
      <c r="C179" s="37" t="n"/>
      <c r="D179" s="37" t="n"/>
      <c r="E179" s="37" t="n"/>
      <c r="F179" s="95" t="n"/>
      <c r="G179" s="95" t="n"/>
      <c r="H179" s="95" t="n"/>
      <c r="I179" s="80" t="n"/>
      <c r="J179" s="95" t="n"/>
      <c r="K179" s="96" t="n"/>
      <c r="L179" s="97" t="n"/>
      <c r="N179" s="49" t="n"/>
      <c r="O179" s="49" t="n"/>
      <c r="P179" s="50" t="n"/>
      <c r="Q179" s="50" t="n"/>
      <c r="R179" s="49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  <c r="AH179" s="50" t="n"/>
      <c r="AI179" s="50" t="n"/>
    </row>
    <row r="180">
      <c r="A180" s="37" t="n"/>
      <c r="B180" s="37" t="n"/>
      <c r="C180" s="37" t="n"/>
      <c r="D180" s="37" t="n"/>
      <c r="E180" s="37" t="n"/>
      <c r="F180" s="95" t="n"/>
      <c r="G180" s="95" t="n"/>
      <c r="H180" s="95" t="n"/>
      <c r="I180" s="80" t="n"/>
      <c r="J180" s="95" t="n"/>
      <c r="K180" s="96" t="n"/>
      <c r="L180" s="97" t="n"/>
      <c r="N180" s="49" t="n"/>
      <c r="O180" s="49" t="n"/>
      <c r="P180" s="50" t="n"/>
      <c r="Q180" s="50" t="n"/>
      <c r="R180" s="49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  <c r="AH180" s="50" t="n"/>
      <c r="AI180" s="50" t="n"/>
    </row>
    <row r="181">
      <c r="A181" s="37" t="n"/>
      <c r="B181" s="37" t="n"/>
      <c r="C181" s="37" t="n"/>
      <c r="D181" s="37" t="n"/>
      <c r="E181" s="37" t="n"/>
      <c r="F181" s="95" t="n"/>
      <c r="G181" s="95" t="n"/>
      <c r="H181" s="95" t="n"/>
      <c r="I181" s="80" t="n"/>
      <c r="J181" s="95" t="n"/>
      <c r="K181" s="96" t="n"/>
      <c r="L181" s="97" t="n"/>
      <c r="N181" s="49" t="n"/>
      <c r="O181" s="49" t="n"/>
      <c r="P181" s="50" t="n"/>
      <c r="Q181" s="50" t="n"/>
      <c r="R181" s="49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  <c r="AH181" s="50" t="n"/>
      <c r="AI181" s="50" t="n"/>
    </row>
    <row r="182" ht="15" customHeight="1" thickBot="1">
      <c r="A182" s="37" t="n"/>
      <c r="B182" s="37" t="n"/>
      <c r="C182" s="37" t="n"/>
      <c r="D182" s="37" t="n"/>
      <c r="E182" s="37" t="n"/>
      <c r="F182" s="95" t="n"/>
      <c r="G182" s="95" t="n"/>
      <c r="H182" s="95" t="n"/>
      <c r="I182" s="80" t="n"/>
      <c r="J182" s="95" t="n"/>
      <c r="K182" s="96" t="n"/>
      <c r="L182" s="97" t="n"/>
      <c r="N182" s="49" t="n"/>
      <c r="O182" s="49" t="n"/>
      <c r="P182" s="50" t="n"/>
      <c r="Q182" s="50" t="n"/>
      <c r="R182" s="49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  <c r="AH182" s="50" t="n"/>
      <c r="AI182" s="50" t="n"/>
    </row>
    <row r="183" ht="15" customHeight="1" thickTop="1">
      <c r="A183" s="52" t="n"/>
      <c r="B183" s="52" t="n"/>
      <c r="C183" s="53" t="n"/>
      <c r="D183" s="54" t="n"/>
      <c r="E183" s="54" t="n"/>
      <c r="F183" s="98" t="n"/>
      <c r="G183" s="98" t="n"/>
      <c r="H183" s="98" t="n"/>
      <c r="I183" s="99" t="n"/>
      <c r="J183" s="98" t="n"/>
      <c r="K183" s="100" t="n"/>
      <c r="L183" s="101" t="n"/>
      <c r="N183" s="49" t="n"/>
      <c r="O183" s="49" t="n"/>
      <c r="P183" s="50" t="n"/>
      <c r="Q183" s="50" t="n"/>
      <c r="R183" s="49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  <c r="AH183" s="50" t="n"/>
      <c r="AI183" s="50" t="n"/>
    </row>
    <row r="184">
      <c r="A184" s="37" t="n"/>
      <c r="B184" s="37" t="n"/>
      <c r="C184" s="37" t="n"/>
      <c r="D184" s="37" t="n"/>
      <c r="E184" s="37" t="n"/>
      <c r="F184" s="95" t="n"/>
      <c r="G184" s="95" t="n"/>
      <c r="H184" s="95" t="n"/>
      <c r="I184" s="80" t="n"/>
      <c r="J184" s="95" t="n"/>
      <c r="K184" s="96" t="n"/>
      <c r="L184" s="97" t="n"/>
      <c r="N184" s="49" t="n"/>
      <c r="O184" s="49" t="n"/>
      <c r="P184" s="50" t="n"/>
      <c r="Q184" s="50" t="n"/>
      <c r="R184" s="49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  <c r="AH184" s="50" t="n"/>
      <c r="AI184" s="50" t="n"/>
    </row>
    <row r="185">
      <c r="A185" s="37" t="n"/>
      <c r="B185" s="37" t="n"/>
      <c r="C185" s="37" t="n"/>
      <c r="D185" s="37" t="n"/>
      <c r="E185" s="37" t="n"/>
      <c r="F185" s="95" t="n"/>
      <c r="G185" s="95" t="n"/>
      <c r="H185" s="95" t="n"/>
      <c r="I185" s="80" t="n"/>
      <c r="J185" s="95" t="n"/>
      <c r="K185" s="96" t="n"/>
      <c r="L185" s="97" t="n"/>
      <c r="N185" s="49" t="n"/>
      <c r="O185" s="49" t="n"/>
      <c r="P185" s="50" t="n"/>
      <c r="Q185" s="50" t="n"/>
      <c r="R185" s="49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  <c r="AH185" s="50" t="n"/>
      <c r="AI185" s="50" t="n"/>
    </row>
    <row r="186">
      <c r="A186" s="37" t="n"/>
      <c r="B186" s="37" t="n"/>
      <c r="C186" s="37" t="n"/>
      <c r="D186" s="37" t="n"/>
      <c r="E186" s="37" t="n"/>
      <c r="F186" s="95" t="n"/>
      <c r="G186" s="95" t="n"/>
      <c r="H186" s="95" t="n"/>
      <c r="I186" s="80" t="n"/>
      <c r="J186" s="95" t="n"/>
      <c r="K186" s="96" t="n"/>
      <c r="L186" s="97" t="n"/>
      <c r="N186" s="49" t="n"/>
      <c r="O186" s="49" t="n"/>
      <c r="P186" s="50" t="n"/>
      <c r="Q186" s="50" t="n"/>
      <c r="R186" s="49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  <c r="AH186" s="50" t="n"/>
      <c r="AI186" s="50" t="n"/>
    </row>
    <row r="187">
      <c r="A187" s="37" t="n"/>
      <c r="B187" s="37" t="n"/>
      <c r="C187" s="37" t="n"/>
      <c r="D187" s="37" t="n"/>
      <c r="E187" s="37" t="n"/>
      <c r="F187" s="95" t="n"/>
      <c r="G187" s="95" t="n"/>
      <c r="H187" s="95" t="n"/>
      <c r="I187" s="80" t="n"/>
      <c r="J187" s="95" t="n"/>
      <c r="K187" s="96" t="n"/>
      <c r="L187" s="97" t="n"/>
      <c r="N187" s="49" t="n"/>
      <c r="O187" s="49" t="n"/>
      <c r="P187" s="50" t="n"/>
      <c r="Q187" s="50" t="n"/>
      <c r="R187" s="49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  <c r="AH187" s="50" t="n"/>
      <c r="AI187" s="50" t="n"/>
    </row>
    <row r="188">
      <c r="A188" s="37" t="n"/>
      <c r="B188" s="37" t="n"/>
      <c r="C188" s="37" t="n"/>
      <c r="D188" s="37" t="n"/>
      <c r="E188" s="37" t="n"/>
      <c r="F188" s="95" t="n"/>
      <c r="G188" s="95" t="n"/>
      <c r="H188" s="95" t="n"/>
      <c r="I188" s="80" t="n"/>
      <c r="J188" s="95" t="n"/>
      <c r="K188" s="96" t="n"/>
      <c r="L188" s="97" t="n"/>
      <c r="N188" s="49" t="n"/>
      <c r="O188" s="49" t="n"/>
      <c r="P188" s="50" t="n"/>
      <c r="Q188" s="50" t="n"/>
      <c r="R188" s="49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  <c r="AH188" s="50" t="n"/>
      <c r="AI188" s="50" t="n"/>
    </row>
    <row r="189">
      <c r="A189" s="37" t="n"/>
      <c r="B189" s="37" t="n"/>
      <c r="C189" s="37" t="n"/>
      <c r="D189" s="37" t="n"/>
      <c r="E189" s="37" t="n"/>
      <c r="F189" s="95" t="n"/>
      <c r="G189" s="95" t="n"/>
      <c r="H189" s="95" t="n"/>
      <c r="I189" s="80" t="n"/>
      <c r="J189" s="95" t="n"/>
      <c r="K189" s="96" t="n"/>
      <c r="L189" s="97" t="n"/>
      <c r="N189" s="49" t="n"/>
      <c r="O189" s="49" t="n"/>
      <c r="P189" s="50" t="n"/>
      <c r="Q189" s="50" t="n"/>
      <c r="R189" s="49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  <c r="AH189" s="50" t="n"/>
      <c r="AI189" s="50" t="n"/>
    </row>
    <row r="190">
      <c r="A190" s="37" t="n"/>
      <c r="B190" s="37" t="n"/>
      <c r="C190" s="37" t="n"/>
      <c r="D190" s="37" t="n"/>
      <c r="E190" s="37" t="n"/>
      <c r="F190" s="95" t="n"/>
      <c r="G190" s="95" t="n"/>
      <c r="H190" s="95" t="n"/>
      <c r="I190" s="80" t="n"/>
      <c r="J190" s="95" t="n"/>
      <c r="K190" s="96" t="n"/>
      <c r="L190" s="97" t="n"/>
      <c r="N190" s="49" t="n"/>
      <c r="O190" s="49" t="n"/>
      <c r="P190" s="50" t="n"/>
      <c r="Q190" s="50" t="n"/>
      <c r="R190" s="49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  <c r="AH190" s="50" t="n"/>
      <c r="AI190" s="50" t="n"/>
    </row>
    <row r="191">
      <c r="A191" s="37" t="n"/>
      <c r="B191" s="37" t="n"/>
      <c r="C191" s="37" t="n"/>
      <c r="D191" s="37" t="n"/>
      <c r="E191" s="37" t="n"/>
      <c r="F191" s="95" t="n"/>
      <c r="G191" s="95" t="n"/>
      <c r="H191" s="95" t="n"/>
      <c r="I191" s="80" t="n"/>
      <c r="J191" s="95" t="n"/>
      <c r="K191" s="96" t="n"/>
      <c r="L191" s="97" t="n"/>
      <c r="N191" s="49" t="n"/>
      <c r="O191" s="49" t="n"/>
      <c r="P191" s="50" t="n"/>
      <c r="Q191" s="50" t="n"/>
      <c r="R191" s="49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  <c r="AH191" s="50" t="n"/>
      <c r="AI191" s="50" t="n"/>
    </row>
    <row r="192">
      <c r="A192" s="37" t="n"/>
      <c r="B192" s="37" t="n"/>
      <c r="C192" s="37" t="n"/>
      <c r="D192" s="37" t="n"/>
      <c r="E192" s="37" t="n"/>
      <c r="F192" s="95" t="n"/>
      <c r="G192" s="95" t="n"/>
      <c r="H192" s="95" t="n"/>
      <c r="I192" s="80" t="n"/>
      <c r="J192" s="95" t="n"/>
      <c r="K192" s="96" t="n"/>
      <c r="L192" s="97" t="n"/>
      <c r="N192" s="49" t="n"/>
      <c r="O192" s="49" t="n"/>
      <c r="P192" s="50" t="n"/>
      <c r="Q192" s="50" t="n"/>
      <c r="R192" s="49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  <c r="AH192" s="50" t="n"/>
      <c r="AI192" s="50" t="n"/>
    </row>
    <row r="193">
      <c r="A193" s="37" t="n"/>
      <c r="B193" s="37" t="n"/>
      <c r="C193" s="37" t="n"/>
      <c r="D193" s="37" t="n"/>
      <c r="E193" s="37" t="n"/>
      <c r="F193" s="95" t="n"/>
      <c r="G193" s="95" t="n"/>
      <c r="H193" s="95" t="n"/>
      <c r="I193" s="80" t="n"/>
      <c r="J193" s="95" t="n"/>
      <c r="K193" s="96" t="n"/>
      <c r="L193" s="97" t="n"/>
      <c r="N193" s="49" t="n"/>
      <c r="O193" s="49" t="n"/>
      <c r="P193" s="50" t="n"/>
      <c r="Q193" s="50" t="n"/>
      <c r="R193" s="49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  <c r="AH193" s="50" t="n"/>
      <c r="AI193" s="50" t="n"/>
    </row>
    <row r="194">
      <c r="A194" s="37" t="n"/>
      <c r="B194" s="37" t="n"/>
      <c r="C194" s="37" t="n"/>
      <c r="D194" s="37" t="n"/>
      <c r="E194" s="37" t="n"/>
      <c r="F194" s="95" t="n"/>
      <c r="G194" s="95" t="n"/>
      <c r="H194" s="95" t="n"/>
      <c r="I194" s="80" t="n"/>
      <c r="J194" s="95" t="n"/>
      <c r="K194" s="96" t="n"/>
      <c r="L194" s="97" t="n"/>
      <c r="N194" s="49" t="n"/>
      <c r="O194" s="49" t="n"/>
      <c r="P194" s="50" t="n"/>
      <c r="Q194" s="50" t="n"/>
      <c r="R194" s="49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  <c r="AH194" s="50" t="n"/>
      <c r="AI194" s="50" t="n"/>
    </row>
    <row r="195">
      <c r="A195" s="37" t="n"/>
      <c r="B195" s="37" t="n"/>
      <c r="C195" s="37" t="n"/>
      <c r="D195" s="37" t="n"/>
      <c r="E195" s="37" t="n"/>
      <c r="F195" s="95" t="n"/>
      <c r="G195" s="95" t="n"/>
      <c r="H195" s="95" t="n"/>
      <c r="I195" s="80" t="n"/>
      <c r="J195" s="95" t="n"/>
      <c r="K195" s="96" t="n"/>
      <c r="L195" s="97" t="n"/>
      <c r="N195" s="49" t="n"/>
      <c r="O195" s="49" t="n"/>
      <c r="P195" s="50" t="n"/>
      <c r="Q195" s="50" t="n"/>
      <c r="R195" s="49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  <c r="AH195" s="50" t="n"/>
      <c r="AI195" s="50" t="n"/>
    </row>
    <row r="196">
      <c r="A196" s="37" t="n"/>
      <c r="B196" s="37" t="n"/>
      <c r="C196" s="37" t="n"/>
      <c r="D196" s="37" t="n"/>
      <c r="E196" s="37" t="n"/>
      <c r="F196" s="95" t="n"/>
      <c r="G196" s="95" t="n"/>
      <c r="H196" s="95" t="n"/>
      <c r="I196" s="80" t="n"/>
      <c r="J196" s="95" t="n"/>
      <c r="K196" s="96" t="n"/>
      <c r="L196" s="97" t="n"/>
      <c r="N196" s="49" t="n"/>
      <c r="O196" s="49" t="n"/>
      <c r="P196" s="50" t="n"/>
      <c r="Q196" s="50" t="n"/>
      <c r="R196" s="49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  <c r="AH196" s="50" t="n"/>
      <c r="AI196" s="50" t="n"/>
    </row>
    <row r="197">
      <c r="A197" s="37" t="n"/>
      <c r="B197" s="37" t="n"/>
      <c r="C197" s="37" t="n"/>
      <c r="D197" s="37" t="n"/>
      <c r="E197" s="37" t="n"/>
      <c r="F197" s="95" t="n"/>
      <c r="G197" s="95" t="n"/>
      <c r="H197" s="95" t="n"/>
      <c r="I197" s="80" t="n"/>
      <c r="J197" s="95" t="n"/>
      <c r="K197" s="96" t="n"/>
      <c r="L197" s="97" t="n"/>
      <c r="N197" s="49" t="n"/>
      <c r="O197" s="49" t="n"/>
      <c r="P197" s="50" t="n"/>
      <c r="Q197" s="50" t="n"/>
      <c r="R197" s="49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  <c r="AH197" s="50" t="n"/>
      <c r="AI197" s="50" t="n"/>
    </row>
    <row r="198">
      <c r="A198" s="37" t="n"/>
      <c r="B198" s="37" t="n"/>
      <c r="C198" s="37" t="n"/>
      <c r="D198" s="37" t="n"/>
      <c r="E198" s="37" t="n"/>
      <c r="F198" s="95" t="n"/>
      <c r="G198" s="95" t="n"/>
      <c r="H198" s="95" t="n"/>
      <c r="I198" s="80" t="n"/>
      <c r="J198" s="95" t="n"/>
      <c r="K198" s="96" t="n"/>
      <c r="L198" s="97" t="n"/>
      <c r="N198" s="49" t="n"/>
      <c r="O198" s="49" t="n"/>
      <c r="P198" s="50" t="n"/>
      <c r="Q198" s="50" t="n"/>
      <c r="R198" s="49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  <c r="AH198" s="50" t="n"/>
      <c r="AI198" s="50" t="n"/>
    </row>
    <row r="199" ht="15" customHeight="1" thickBot="1">
      <c r="A199" s="37" t="n"/>
      <c r="B199" s="37" t="n"/>
      <c r="C199" s="37" t="n"/>
      <c r="D199" s="37" t="n"/>
      <c r="E199" s="37" t="n"/>
      <c r="F199" s="95" t="n"/>
      <c r="G199" s="95" t="n"/>
      <c r="H199" s="95" t="n"/>
      <c r="I199" s="80" t="n"/>
      <c r="J199" s="95" t="n"/>
      <c r="K199" s="96" t="n"/>
      <c r="L199" s="97" t="n"/>
      <c r="N199" s="49" t="n"/>
      <c r="O199" s="49" t="n"/>
      <c r="P199" s="50" t="n"/>
      <c r="Q199" s="50" t="n"/>
      <c r="R199" s="49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  <c r="AH199" s="50" t="n"/>
      <c r="AI199" s="50" t="n"/>
    </row>
    <row r="200" ht="15" customHeight="1" thickTop="1">
      <c r="A200" s="52" t="n"/>
      <c r="B200" s="52" t="n"/>
      <c r="C200" s="53" t="n"/>
      <c r="D200" s="54" t="n"/>
      <c r="E200" s="54" t="n"/>
      <c r="F200" s="98" t="n"/>
      <c r="G200" s="98" t="n"/>
      <c r="H200" s="98" t="n"/>
      <c r="I200" s="99" t="n"/>
      <c r="J200" s="98" t="n"/>
      <c r="K200" s="100" t="n"/>
      <c r="L200" s="101" t="n"/>
      <c r="N200" s="49" t="n"/>
      <c r="O200" s="49" t="n"/>
      <c r="P200" s="50" t="n"/>
      <c r="Q200" s="50" t="n"/>
      <c r="R200" s="49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  <c r="AH200" s="50" t="n"/>
      <c r="AI200" s="50" t="n"/>
    </row>
    <row r="201">
      <c r="A201" s="37" t="n"/>
      <c r="B201" s="37" t="n"/>
      <c r="C201" s="37" t="n"/>
      <c r="D201" s="37" t="n"/>
      <c r="E201" s="37" t="n"/>
      <c r="F201" s="95" t="n"/>
      <c r="G201" s="95" t="n"/>
      <c r="H201" s="95" t="n"/>
      <c r="I201" s="80" t="n"/>
      <c r="J201" s="95" t="n"/>
      <c r="K201" s="96" t="n"/>
      <c r="L201" s="97" t="n"/>
      <c r="N201" s="49" t="n"/>
      <c r="O201" s="49" t="n"/>
      <c r="P201" s="50" t="n"/>
      <c r="Q201" s="50" t="n"/>
      <c r="R201" s="49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  <c r="AH201" s="50" t="n"/>
      <c r="AI201" s="50" t="n"/>
    </row>
    <row r="202">
      <c r="A202" s="37" t="n"/>
      <c r="B202" s="37" t="n"/>
      <c r="C202" s="37" t="n"/>
      <c r="D202" s="37" t="n"/>
      <c r="E202" s="37" t="n"/>
      <c r="F202" s="95" t="n"/>
      <c r="G202" s="95" t="n"/>
      <c r="H202" s="95" t="n"/>
      <c r="I202" s="80" t="n"/>
      <c r="J202" s="95" t="n"/>
      <c r="K202" s="96" t="n"/>
      <c r="L202" s="97" t="n"/>
      <c r="N202" s="49" t="n"/>
      <c r="O202" s="49" t="n"/>
      <c r="P202" s="50" t="n"/>
      <c r="Q202" s="50" t="n"/>
      <c r="R202" s="49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  <c r="AH202" s="50" t="n"/>
      <c r="AI202" s="50" t="n"/>
    </row>
    <row r="203" ht="15" customHeight="1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60" t="n"/>
      <c r="L203" s="102" t="n"/>
      <c r="N203" s="49" t="n"/>
      <c r="R203" s="49" t="n"/>
    </row>
    <row r="204">
      <c r="L204" s="103" t="n"/>
      <c r="N204" s="49" t="n"/>
      <c r="R204" s="49" t="n"/>
    </row>
    <row r="205">
      <c r="N205" s="49" t="n"/>
      <c r="R205" s="49" t="n"/>
    </row>
    <row r="206">
      <c r="N206" s="49" t="n"/>
      <c r="R206" s="49" t="n"/>
    </row>
    <row r="207">
      <c r="N207" s="49" t="n"/>
      <c r="R207" s="49" t="n"/>
    </row>
    <row r="208">
      <c r="R208" s="49" t="n"/>
    </row>
    <row r="209">
      <c r="R209" s="49" t="n"/>
    </row>
    <row r="210">
      <c r="R210" s="49" t="n"/>
    </row>
    <row r="211">
      <c r="R211" s="49" t="n"/>
    </row>
  </sheetData>
  <autoFilter ref="A6:L204"/>
  <mergeCells count="2">
    <mergeCell ref="D3:E3"/>
    <mergeCell ref="A5:AJ5"/>
  </mergeCells>
  <pageMargins left="0.511811024" right="0.511811024" top="0.787401575" bottom="0.787401575" header="0.31496062" footer="0.31496062"/>
  <pageSetup orientation="portrait" paperSize="9" scale="14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2026-03-25T01:51:03Z</dcterms:created>
  <dcterms:modified xmlns:dcterms="http://purl.org/dc/terms/" xmlns:xsi="http://www.w3.org/2001/XMLSchema-instance" xsi:type="dcterms:W3CDTF">2026-03-25T01:57:11Z</dcterms:modified>
  <cp:lastModifiedBy>Leonardo Cartesian</cp:lastModifiedBy>
</cp:coreProperties>
</file>