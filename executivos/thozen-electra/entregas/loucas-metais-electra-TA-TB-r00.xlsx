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UÇAS E MET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9"/>
    </font>
    <font>
      <name val="Calibri"/>
      <color rgb="00333333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666666"/>
      <sz val="8"/>
    </font>
    <font>
      <name val="Calibri"/>
      <b val="1"/>
      <color rgb="00333333"/>
      <sz val="9"/>
    </font>
    <font>
      <name val="Calibri"/>
      <b val="1"/>
      <color rgb="004472C4"/>
      <sz val="9"/>
    </font>
    <font>
      <name val="Calibri"/>
      <b val="1"/>
      <color rgb="00ED7D31"/>
      <sz val="9"/>
    </font>
    <font>
      <name val="Calibri"/>
      <i val="1"/>
      <color rgb="00666666"/>
      <sz val="9"/>
    </font>
    <font>
      <name val="Calibri"/>
      <b val="1"/>
      <color rgb="001F3864"/>
      <sz val="11"/>
    </font>
    <font>
      <name val="Calibri"/>
      <i val="1"/>
      <color rgb="00666666"/>
      <sz val="8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  <fill>
      <patternFill patternType="solid">
        <fgColor rgb="00DAE3F3"/>
        <bgColor rgb="00DAE3F3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0" pivotButton="0" quotePrefix="0" xfId="0"/>
    <xf numFmtId="0" fontId="0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3" fontId="8" fillId="9" borderId="1" applyAlignment="1" pivotButton="0" quotePrefix="0" xfId="0">
      <alignment horizontal="center" vertical="center" wrapText="1"/>
    </xf>
    <xf numFmtId="3" fontId="9" fillId="10" borderId="1" applyAlignment="1" pivotButton="0" quotePrefix="0" xfId="0">
      <alignment horizontal="center" vertical="center" wrapText="1"/>
    </xf>
    <xf numFmtId="3" fontId="2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3" fontId="10" fillId="3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5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2" fillId="0" borderId="1" pivotButton="0" quotePrefix="0" xfId="0"/>
    <xf numFmtId="3" fontId="2" fillId="9" borderId="1" pivotButton="0" quotePrefix="0" xfId="0"/>
    <xf numFmtId="3" fontId="2" fillId="10" borderId="1" pivotButton="0" quotePrefix="0" xfId="0"/>
    <xf numFmtId="3" fontId="2" fillId="11" borderId="1" pivotButton="0" quotePrefix="0" xfId="0"/>
    <xf numFmtId="0" fontId="11" fillId="0" borderId="0" pivotButton="0" quotePrefix="0" xfId="0"/>
    <xf numFmtId="3" fontId="11" fillId="9" borderId="1" pivotButton="0" quotePrefix="0" xfId="0"/>
    <xf numFmtId="3" fontId="11" fillId="10" borderId="1" pivotButton="0" quotePrefix="0" xfId="0"/>
    <xf numFmtId="3" fontId="11" fillId="11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5" customWidth="1" min="3" max="3"/>
    <col width="1" customWidth="1" min="4" max="4"/>
    <col width="10" customWidth="1" min="5" max="5"/>
    <col width="10" customWidth="1" min="6" max="6"/>
    <col width="10" customWidth="1" min="7" max="7"/>
    <col width="1" customWidth="1" min="8" max="8"/>
    <col width="10" customWidth="1" min="9" max="9"/>
    <col width="10" customWidth="1" min="10" max="10"/>
    <col width="10" customWidth="1" min="11" max="11"/>
    <col width="1" customWidth="1" min="12" max="12"/>
    <col width="11" customWidth="1" min="13" max="13"/>
    <col width="11" customWidth="1" min="14" max="14"/>
    <col width="12" customWidth="1" min="15" max="15"/>
  </cols>
  <sheetData>
    <row r="1" ht="32" customHeight="1">
      <c r="A1" s="1" t="inlineStr">
        <is>
          <t>LEVANTAMENTO DE LOUÇAS E METAIS — TORRE A &amp; TORRE 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Projeto:</t>
        </is>
      </c>
      <c r="B2" s="4" t="inlineStr">
        <is>
          <t>Electra Towers — Thozen (2 Torres: T.A + T.B)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 ht="18" customHeight="1">
      <c r="A3" s="3" t="inlineStr">
        <is>
          <t>Fonte:</t>
        </is>
      </c>
      <c r="B3" s="4" t="inlineStr">
        <is>
          <t>IFC Arquitetura R07/R08 — Separação por coordenada X (midpoint)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8" customHeight="1">
      <c r="A4" s="3" t="inlineStr">
        <is>
          <t>Revisão:</t>
        </is>
      </c>
      <c r="B4" s="4" t="inlineStr">
        <is>
          <t>R00 — Extração IFC 24/mar/2026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6" customHeight="1"/>
    <row r="6" ht="22" customHeight="1">
      <c r="A6" s="6" t="n"/>
      <c r="B6" s="6" t="n"/>
      <c r="C6" s="6" t="n"/>
      <c r="D6" s="6" t="n"/>
      <c r="E6" s="7" t="inlineStr">
        <is>
          <t>TORRE A</t>
        </is>
      </c>
      <c r="F6" s="8" t="n"/>
      <c r="G6" s="8" t="n"/>
      <c r="H6" s="6" t="n"/>
      <c r="I6" s="9" t="inlineStr">
        <is>
          <t>TORRE B</t>
        </is>
      </c>
      <c r="J6" s="10" t="n"/>
      <c r="K6" s="10" t="n"/>
      <c r="L6" s="6" t="n"/>
      <c r="M6" s="11" t="inlineStr">
        <is>
          <t>SUBTOTAIS</t>
        </is>
      </c>
      <c r="N6" s="12" t="n"/>
      <c r="O6" s="12" t="inlineStr"/>
    </row>
    <row r="7">
      <c r="A7" s="11" t="inlineStr">
        <is>
          <t>#</t>
        </is>
      </c>
      <c r="B7" s="11" t="inlineStr">
        <is>
          <t>Descrição</t>
        </is>
      </c>
      <c r="C7" s="11" t="inlineStr">
        <is>
          <t>Un.</t>
        </is>
      </c>
      <c r="D7" s="13" t="n"/>
      <c r="E7" s="11" t="inlineStr">
        <is>
          <t>Térreo</t>
        </is>
      </c>
      <c r="F7" s="11" t="inlineStr">
        <is>
          <t>Lazer</t>
        </is>
      </c>
      <c r="G7" s="11" t="inlineStr">
        <is>
          <t>Tipo</t>
        </is>
      </c>
      <c r="H7" s="13" t="n"/>
      <c r="I7" s="11" t="inlineStr">
        <is>
          <t>Térreo</t>
        </is>
      </c>
      <c r="J7" s="11" t="inlineStr">
        <is>
          <t>Lazer</t>
        </is>
      </c>
      <c r="K7" s="11" t="inlineStr">
        <is>
          <t>Tipo</t>
        </is>
      </c>
      <c r="L7" s="13" t="n"/>
      <c r="M7" s="11" t="inlineStr">
        <is>
          <t>T.A</t>
        </is>
      </c>
      <c r="N7" s="11" t="inlineStr">
        <is>
          <t>T.B</t>
        </is>
      </c>
      <c r="O7" s="11" t="inlineStr">
        <is>
          <t>TOTAL</t>
        </is>
      </c>
    </row>
    <row r="8" ht="16" customHeight="1">
      <c r="A8" s="14" t="n"/>
      <c r="B8" s="15" t="inlineStr">
        <is>
          <t>Multiplicador →</t>
        </is>
      </c>
      <c r="C8" s="14" t="n"/>
      <c r="D8" s="14" t="n"/>
      <c r="E8" s="16" t="n">
        <v>1</v>
      </c>
      <c r="F8" s="16" t="n">
        <v>1</v>
      </c>
      <c r="G8" s="16" t="n">
        <v>24</v>
      </c>
      <c r="H8" s="14" t="n"/>
      <c r="I8" s="16" t="n">
        <v>1</v>
      </c>
      <c r="J8" s="16" t="n">
        <v>1</v>
      </c>
      <c r="K8" s="16" t="n">
        <v>24</v>
      </c>
      <c r="L8" s="14" t="n"/>
      <c r="M8" s="14" t="n"/>
      <c r="N8" s="14" t="n"/>
      <c r="O8" s="14" t="n"/>
    </row>
    <row r="9" ht="22" customHeight="1">
      <c r="A9" s="17" t="inlineStr">
        <is>
          <t>LOUÇAS E APARELHOS SANITÁRIOS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8" customHeight="1">
      <c r="A10" s="19" t="n">
        <v>1</v>
      </c>
      <c r="B10" s="20" t="inlineStr">
        <is>
          <t>Bacia Sanitária c/ Caixa Acoplada</t>
        </is>
      </c>
      <c r="C10" s="19" t="inlineStr">
        <is>
          <t>un</t>
        </is>
      </c>
      <c r="D10" s="21" t="n"/>
      <c r="E10" s="22" t="n"/>
      <c r="F10" s="22" t="n">
        <v>12</v>
      </c>
      <c r="G10" s="22" t="n">
        <v>16</v>
      </c>
      <c r="H10" s="21" t="n"/>
      <c r="I10" s="22" t="n"/>
      <c r="J10" s="22" t="n">
        <v>11</v>
      </c>
      <c r="K10" s="22" t="n">
        <v>16</v>
      </c>
      <c r="L10" s="21" t="n"/>
      <c r="M10" s="23">
        <f>SUMPRODUCT($E$8:$G$8,E10:G10)</f>
        <v/>
      </c>
      <c r="N10" s="24">
        <f>SUMPRODUCT($I$8:$K$8,I10:K10)</f>
        <v/>
      </c>
      <c r="O10" s="25">
        <f>M10+N10</f>
        <v/>
      </c>
    </row>
    <row r="11" ht="18" customHeight="1">
      <c r="A11" s="26" t="n">
        <v>2</v>
      </c>
      <c r="B11" s="27" t="inlineStr">
        <is>
          <t>Bacia Sanitária PNE</t>
        </is>
      </c>
      <c r="C11" s="26" t="inlineStr">
        <is>
          <t>un</t>
        </is>
      </c>
      <c r="D11" s="21" t="n"/>
      <c r="E11" s="28" t="n">
        <v>2</v>
      </c>
      <c r="F11" s="28" t="n"/>
      <c r="G11" s="28" t="n"/>
      <c r="H11" s="21" t="n"/>
      <c r="I11" s="28" t="n">
        <v>1</v>
      </c>
      <c r="J11" s="28" t="n"/>
      <c r="K11" s="28" t="n"/>
      <c r="L11" s="21" t="n"/>
      <c r="M11" s="23">
        <f>SUMPRODUCT($E$8:$G$8,E11:G11)</f>
        <v/>
      </c>
      <c r="N11" s="24">
        <f>SUMPRODUCT($I$8:$K$8,I11:K11)</f>
        <v/>
      </c>
      <c r="O11" s="25">
        <f>M11+N11</f>
        <v/>
      </c>
    </row>
    <row r="12" ht="18" customHeight="1">
      <c r="A12" s="19" t="n">
        <v>3</v>
      </c>
      <c r="B12" s="20" t="inlineStr">
        <is>
          <t>Cuba Sobrepor Quadrada (Banheiro)</t>
        </is>
      </c>
      <c r="C12" s="19" t="inlineStr">
        <is>
          <t>un</t>
        </is>
      </c>
      <c r="D12" s="21" t="n"/>
      <c r="E12" s="22" t="n"/>
      <c r="F12" s="22" t="n">
        <v>7</v>
      </c>
      <c r="G12" s="22" t="n">
        <v>11</v>
      </c>
      <c r="H12" s="21" t="n"/>
      <c r="I12" s="22" t="n"/>
      <c r="J12" s="22" t="n">
        <v>6</v>
      </c>
      <c r="K12" s="22" t="n">
        <v>2</v>
      </c>
      <c r="L12" s="21" t="n"/>
      <c r="M12" s="23">
        <f>SUMPRODUCT($E$8:$G$8,E12:G12)</f>
        <v/>
      </c>
      <c r="N12" s="24">
        <f>SUMPRODUCT($I$8:$K$8,I12:K12)</f>
        <v/>
      </c>
      <c r="O12" s="25">
        <f>M12+N12</f>
        <v/>
      </c>
    </row>
    <row r="13" ht="18" customHeight="1">
      <c r="A13" s="26" t="n">
        <v>4</v>
      </c>
      <c r="B13" s="27" t="inlineStr">
        <is>
          <t>Cuba Semi-Encaixe c/ Bancada (BWC)</t>
        </is>
      </c>
      <c r="C13" s="26" t="inlineStr">
        <is>
          <t>un</t>
        </is>
      </c>
      <c r="D13" s="21" t="n"/>
      <c r="E13" s="28" t="n"/>
      <c r="F13" s="28" t="n">
        <v>1</v>
      </c>
      <c r="G13" s="28" t="n"/>
      <c r="H13" s="21" t="n"/>
      <c r="I13" s="28" t="n"/>
      <c r="J13" s="28" t="n"/>
      <c r="K13" s="28" t="n">
        <v>6</v>
      </c>
      <c r="L13" s="21" t="n"/>
      <c r="M13" s="23">
        <f>SUMPRODUCT($E$8:$G$8,E13:G13)</f>
        <v/>
      </c>
      <c r="N13" s="24">
        <f>SUMPRODUCT($I$8:$K$8,I13:K13)</f>
        <v/>
      </c>
      <c r="O13" s="25">
        <f>M13+N13</f>
        <v/>
      </c>
    </row>
    <row r="14" ht="18" customHeight="1">
      <c r="A14" s="19" t="n">
        <v>5</v>
      </c>
      <c r="B14" s="20" t="inlineStr">
        <is>
          <t>Cuba de Sobrepor PNE</t>
        </is>
      </c>
      <c r="C14" s="19" t="inlineStr">
        <is>
          <t>un</t>
        </is>
      </c>
      <c r="D14" s="21" t="n"/>
      <c r="E14" s="22" t="n">
        <v>5</v>
      </c>
      <c r="F14" s="22" t="n"/>
      <c r="G14" s="22" t="n"/>
      <c r="H14" s="21" t="n"/>
      <c r="I14" s="22" t="n">
        <v>4</v>
      </c>
      <c r="J14" s="22" t="n"/>
      <c r="K14" s="22" t="n"/>
      <c r="L14" s="21" t="n"/>
      <c r="M14" s="23">
        <f>SUMPRODUCT($E$8:$G$8,E14:G14)</f>
        <v/>
      </c>
      <c r="N14" s="24">
        <f>SUMPRODUCT($I$8:$K$8,I14:K14)</f>
        <v/>
      </c>
      <c r="O14" s="25">
        <f>M14+N14</f>
        <v/>
      </c>
    </row>
    <row r="15" ht="18" customHeight="1">
      <c r="A15" s="26" t="n">
        <v>6</v>
      </c>
      <c r="B15" s="27" t="inlineStr">
        <is>
          <t>Cuba Redonda (Lavabo)</t>
        </is>
      </c>
      <c r="C15" s="26" t="inlineStr">
        <is>
          <t>un</t>
        </is>
      </c>
      <c r="D15" s="21" t="n"/>
      <c r="E15" s="28" t="n"/>
      <c r="F15" s="28" t="n"/>
      <c r="G15" s="28" t="n"/>
      <c r="H15" s="21" t="n"/>
      <c r="I15" s="28" t="n"/>
      <c r="J15" s="28" t="n">
        <v>2</v>
      </c>
      <c r="K15" s="28" t="n">
        <v>1</v>
      </c>
      <c r="L15" s="21" t="n"/>
      <c r="M15" s="23">
        <f>SUMPRODUCT($E$8:$G$8,E15:G15)</f>
        <v/>
      </c>
      <c r="N15" s="24">
        <f>SUMPRODUCT($I$8:$K$8,I15:K15)</f>
        <v/>
      </c>
      <c r="O15" s="25">
        <f>M15+N15</f>
        <v/>
      </c>
    </row>
    <row r="16" ht="18" customHeight="1">
      <c r="A16" s="19" t="n">
        <v>7</v>
      </c>
      <c r="B16" s="20" t="inlineStr">
        <is>
          <t>Cuba Inox Cozinha (Apartamento)</t>
        </is>
      </c>
      <c r="C16" s="19" t="inlineStr">
        <is>
          <t>un</t>
        </is>
      </c>
      <c r="D16" s="21" t="n"/>
      <c r="E16" s="22" t="n"/>
      <c r="F16" s="22" t="n"/>
      <c r="G16" s="22" t="n">
        <v>4</v>
      </c>
      <c r="H16" s="21" t="n"/>
      <c r="I16" s="22" t="n"/>
      <c r="J16" s="22" t="n"/>
      <c r="K16" s="22" t="n">
        <v>8</v>
      </c>
      <c r="L16" s="21" t="n"/>
      <c r="M16" s="23">
        <f>SUMPRODUCT($E$8:$G$8,E16:G16)</f>
        <v/>
      </c>
      <c r="N16" s="24">
        <f>SUMPRODUCT($I$8:$K$8,I16:K16)</f>
        <v/>
      </c>
      <c r="O16" s="25">
        <f>M16+N16</f>
        <v/>
      </c>
    </row>
    <row r="17" ht="18" customHeight="1">
      <c r="A17" s="26" t="n">
        <v>8</v>
      </c>
      <c r="B17" s="27" t="inlineStr">
        <is>
          <t>Cuba Inox Cozinha (Lazer/Comum)</t>
        </is>
      </c>
      <c r="C17" s="26" t="inlineStr">
        <is>
          <t>un</t>
        </is>
      </c>
      <c r="D17" s="21" t="n"/>
      <c r="E17" s="28" t="n"/>
      <c r="F17" s="28" t="n">
        <v>7</v>
      </c>
      <c r="G17" s="28" t="n">
        <v>4</v>
      </c>
      <c r="H17" s="21" t="n"/>
      <c r="I17" s="28" t="n"/>
      <c r="J17" s="28" t="n">
        <v>9</v>
      </c>
      <c r="K17" s="28" t="n">
        <v>3</v>
      </c>
      <c r="L17" s="21" t="n"/>
      <c r="M17" s="23">
        <f>SUMPRODUCT($E$8:$G$8,E17:G17)</f>
        <v/>
      </c>
      <c r="N17" s="24">
        <f>SUMPRODUCT($I$8:$K$8,I17:K17)</f>
        <v/>
      </c>
      <c r="O17" s="25">
        <f>M17+N17</f>
        <v/>
      </c>
    </row>
    <row r="18" ht="18" customHeight="1">
      <c r="A18" s="19" t="n">
        <v>9</v>
      </c>
      <c r="B18" s="20" t="inlineStr">
        <is>
          <t>Cuba Dupla Inox Cozinha</t>
        </is>
      </c>
      <c r="C18" s="19" t="inlineStr">
        <is>
          <t>un</t>
        </is>
      </c>
      <c r="D18" s="21" t="n"/>
      <c r="E18" s="22" t="n"/>
      <c r="F18" s="22" t="n">
        <v>1</v>
      </c>
      <c r="G18" s="22" t="n"/>
      <c r="H18" s="21" t="n"/>
      <c r="I18" s="22" t="n"/>
      <c r="J18" s="22" t="n"/>
      <c r="K18" s="22" t="n"/>
      <c r="L18" s="21" t="n"/>
      <c r="M18" s="23">
        <f>SUMPRODUCT($E$8:$G$8,E18:G18)</f>
        <v/>
      </c>
      <c r="N18" s="24">
        <f>SUMPRODUCT($I$8:$K$8,I18:K18)</f>
        <v/>
      </c>
      <c r="O18" s="25">
        <f>M18+N18</f>
        <v/>
      </c>
    </row>
    <row r="19" ht="18" customHeight="1">
      <c r="A19" s="26" t="n">
        <v>10</v>
      </c>
      <c r="B19" s="27" t="inlineStr">
        <is>
          <t>Tanque Simples</t>
        </is>
      </c>
      <c r="C19" s="26" t="inlineStr">
        <is>
          <t>un</t>
        </is>
      </c>
      <c r="D19" s="21" t="n"/>
      <c r="E19" s="28" t="n"/>
      <c r="F19" s="28" t="n">
        <v>1</v>
      </c>
      <c r="G19" s="28" t="n">
        <v>4</v>
      </c>
      <c r="H19" s="21" t="n"/>
      <c r="I19" s="28" t="n"/>
      <c r="J19" s="28" t="n"/>
      <c r="K19" s="28" t="n">
        <v>4</v>
      </c>
      <c r="L19" s="21" t="n"/>
      <c r="M19" s="23">
        <f>SUMPRODUCT($E$8:$G$8,E19:G19)</f>
        <v/>
      </c>
      <c r="N19" s="24">
        <f>SUMPRODUCT($I$8:$K$8,I19:K19)</f>
        <v/>
      </c>
      <c r="O19" s="25">
        <f>M19+N19</f>
        <v/>
      </c>
    </row>
    <row r="20" ht="18" customHeight="1">
      <c r="A20" s="19" t="n">
        <v>11</v>
      </c>
      <c r="B20" s="20" t="inlineStr">
        <is>
          <t>Churrasqueira (Espeto)</t>
        </is>
      </c>
      <c r="C20" s="19" t="inlineStr">
        <is>
          <t>un</t>
        </is>
      </c>
      <c r="D20" s="21" t="n"/>
      <c r="E20" s="22" t="n"/>
      <c r="F20" s="22" t="n">
        <v>3</v>
      </c>
      <c r="G20" s="22" t="n">
        <v>4</v>
      </c>
      <c r="H20" s="21" t="n"/>
      <c r="I20" s="22" t="n"/>
      <c r="J20" s="22" t="n">
        <v>4</v>
      </c>
      <c r="K20" s="22" t="n">
        <v>4</v>
      </c>
      <c r="L20" s="21" t="n"/>
      <c r="M20" s="23">
        <f>SUMPRODUCT($E$8:$G$8,E20:G20)</f>
        <v/>
      </c>
      <c r="N20" s="24">
        <f>SUMPRODUCT($I$8:$K$8,I20:K20)</f>
        <v/>
      </c>
      <c r="O20" s="25">
        <f>M20+N20</f>
        <v/>
      </c>
    </row>
    <row r="21" ht="18" customHeight="1">
      <c r="A21" s="26" t="n">
        <v>12</v>
      </c>
      <c r="B21" s="27" t="inlineStr">
        <is>
          <t>Churrasqueira a Gás</t>
        </is>
      </c>
      <c r="C21" s="26" t="inlineStr">
        <is>
          <t>un</t>
        </is>
      </c>
      <c r="D21" s="21" t="n"/>
      <c r="E21" s="28" t="n"/>
      <c r="F21" s="28" t="n">
        <v>1</v>
      </c>
      <c r="G21" s="28" t="n"/>
      <c r="H21" s="21" t="n"/>
      <c r="I21" s="28" t="n"/>
      <c r="J21" s="28" t="n"/>
      <c r="K21" s="28" t="n"/>
      <c r="L21" s="21" t="n"/>
      <c r="M21" s="23">
        <f>SUMPRODUCT($E$8:$G$8,E21:G21)</f>
        <v/>
      </c>
      <c r="N21" s="24">
        <f>SUMPRODUCT($I$8:$K$8,I21:K21)</f>
        <v/>
      </c>
      <c r="O21" s="25">
        <f>M21+N21</f>
        <v/>
      </c>
    </row>
    <row r="22" ht="22" customHeight="1">
      <c r="A22" s="29" t="inlineStr">
        <is>
          <t>METAIS PARA ACABAMENTOS</t>
        </is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</row>
    <row r="23" ht="18" customHeight="1">
      <c r="A23" s="19" t="n">
        <v>13</v>
      </c>
      <c r="B23" s="20" t="inlineStr">
        <is>
          <t>Chuveiro Quadrado</t>
        </is>
      </c>
      <c r="C23" s="19" t="inlineStr">
        <is>
          <t>un</t>
        </is>
      </c>
      <c r="D23" s="21" t="n"/>
      <c r="E23" s="22" t="n"/>
      <c r="F23" s="22" t="n">
        <v>6</v>
      </c>
      <c r="G23" s="22" t="n">
        <v>12</v>
      </c>
      <c r="H23" s="21" t="n"/>
      <c r="I23" s="22" t="n">
        <v>3</v>
      </c>
      <c r="J23" s="22" t="n"/>
      <c r="K23" s="22" t="n">
        <v>12</v>
      </c>
      <c r="L23" s="21" t="n"/>
      <c r="M23" s="23">
        <f>SUMPRODUCT($E$8:$G$8,E23:G23)</f>
        <v/>
      </c>
      <c r="N23" s="24">
        <f>SUMPRODUCT($I$8:$K$8,I23:K23)</f>
        <v/>
      </c>
      <c r="O23" s="25">
        <f>M23+N23</f>
        <v/>
      </c>
    </row>
    <row r="24" ht="18" customHeight="1">
      <c r="A24" s="26" t="n">
        <v>14</v>
      </c>
      <c r="B24" s="27" t="inlineStr">
        <is>
          <t>Aquecedor a Gás</t>
        </is>
      </c>
      <c r="C24" s="26" t="inlineStr">
        <is>
          <t>un</t>
        </is>
      </c>
      <c r="D24" s="21" t="n"/>
      <c r="E24" s="28" t="n"/>
      <c r="F24" s="28" t="n">
        <v>1</v>
      </c>
      <c r="G24" s="28" t="n">
        <v>4</v>
      </c>
      <c r="H24" s="21" t="n"/>
      <c r="I24" s="28" t="n"/>
      <c r="J24" s="28" t="n">
        <v>1</v>
      </c>
      <c r="K24" s="28" t="n">
        <v>3</v>
      </c>
      <c r="L24" s="21" t="n"/>
      <c r="M24" s="23">
        <f>SUMPRODUCT($E$8:$G$8,E24:G24)</f>
        <v/>
      </c>
      <c r="N24" s="24">
        <f>SUMPRODUCT($I$8:$K$8,I24:K24)</f>
        <v/>
      </c>
      <c r="O24" s="25">
        <f>M24+N24</f>
        <v/>
      </c>
    </row>
    <row r="25" ht="18" customHeight="1">
      <c r="A25" s="19" t="n">
        <v>15</v>
      </c>
      <c r="B25" s="20" t="inlineStr">
        <is>
          <t>Barra de Apoio PNE</t>
        </is>
      </c>
      <c r="C25" s="19" t="inlineStr">
        <is>
          <t>un</t>
        </is>
      </c>
      <c r="D25" s="21" t="n"/>
      <c r="E25" s="22" t="n">
        <v>10</v>
      </c>
      <c r="F25" s="22" t="n"/>
      <c r="G25" s="22" t="n"/>
      <c r="H25" s="21" t="n"/>
      <c r="I25" s="22" t="n">
        <v>8</v>
      </c>
      <c r="J25" s="22" t="n"/>
      <c r="K25" s="22" t="n"/>
      <c r="L25" s="21" t="n"/>
      <c r="M25" s="23">
        <f>SUMPRODUCT($E$8:$G$8,E25:G25)</f>
        <v/>
      </c>
      <c r="N25" s="24">
        <f>SUMPRODUCT($I$8:$K$8,I25:K25)</f>
        <v/>
      </c>
      <c r="O25" s="25">
        <f>M25+N25</f>
        <v/>
      </c>
    </row>
    <row r="26" ht="18" customHeight="1">
      <c r="A26" s="26" t="n">
        <v>16</v>
      </c>
      <c r="B26" s="27" t="inlineStr">
        <is>
          <t>Torneira Mist. Pia Cozinha</t>
        </is>
      </c>
      <c r="C26" s="26" t="inlineStr">
        <is>
          <t>un</t>
        </is>
      </c>
      <c r="D26" s="21" t="n"/>
      <c r="E26" s="31">
        <f>SUM(E16:E18)</f>
        <v/>
      </c>
      <c r="F26" s="31">
        <f>SUM(F16:F18)</f>
        <v/>
      </c>
      <c r="G26" s="31">
        <f>SUM(G16:G18)</f>
        <v/>
      </c>
      <c r="H26" s="21" t="n"/>
      <c r="I26" s="31">
        <f>SUM(I16:I18)</f>
        <v/>
      </c>
      <c r="J26" s="31">
        <f>SUM(J16:J18)</f>
        <v/>
      </c>
      <c r="K26" s="31">
        <f>SUM(K16:K18)</f>
        <v/>
      </c>
      <c r="L26" s="21" t="n"/>
      <c r="M26" s="23">
        <f>SUMPRODUCT($E$8:$G$8,E26:G26)</f>
        <v/>
      </c>
      <c r="N26" s="24">
        <f>SUMPRODUCT($I$8:$K$8,I26:K26)</f>
        <v/>
      </c>
      <c r="O26" s="25">
        <f>M26+N26</f>
        <v/>
      </c>
    </row>
    <row r="27" ht="18" customHeight="1">
      <c r="A27" s="19" t="n">
        <v>17</v>
      </c>
      <c r="B27" s="20" t="inlineStr">
        <is>
          <t>Torneira Lavatório Mesa</t>
        </is>
      </c>
      <c r="C27" s="19" t="inlineStr">
        <is>
          <t>un</t>
        </is>
      </c>
      <c r="D27" s="21" t="n"/>
      <c r="E27" s="32">
        <f>SUM(E12:E15)</f>
        <v/>
      </c>
      <c r="F27" s="32">
        <f>SUM(F12:F15)</f>
        <v/>
      </c>
      <c r="G27" s="32">
        <f>SUM(G12:G15)</f>
        <v/>
      </c>
      <c r="H27" s="21" t="n"/>
      <c r="I27" s="32">
        <f>SUM(I12:I15)</f>
        <v/>
      </c>
      <c r="J27" s="32">
        <f>SUM(J12:J15)</f>
        <v/>
      </c>
      <c r="K27" s="32">
        <f>SUM(K12:K15)</f>
        <v/>
      </c>
      <c r="L27" s="21" t="n"/>
      <c r="M27" s="23">
        <f>SUMPRODUCT($E$8:$G$8,E27:G27)</f>
        <v/>
      </c>
      <c r="N27" s="24">
        <f>SUMPRODUCT($I$8:$K$8,I27:K27)</f>
        <v/>
      </c>
      <c r="O27" s="25">
        <f>M27+N27</f>
        <v/>
      </c>
    </row>
    <row r="28" ht="18" customHeight="1">
      <c r="A28" s="26" t="n">
        <v>18</v>
      </c>
      <c r="B28" s="27" t="inlineStr">
        <is>
          <t>Acab. Registro Pressão</t>
        </is>
      </c>
      <c r="C28" s="26" t="inlineStr">
        <is>
          <t>un</t>
        </is>
      </c>
      <c r="D28" s="21" t="n"/>
      <c r="E28" s="28" t="n"/>
      <c r="F28" s="28" t="n">
        <v>6</v>
      </c>
      <c r="G28" s="28" t="n">
        <v>12</v>
      </c>
      <c r="H28" s="21" t="n"/>
      <c r="I28" s="28" t="n">
        <v>3</v>
      </c>
      <c r="J28" s="28" t="n"/>
      <c r="K28" s="28" t="n">
        <v>12</v>
      </c>
      <c r="L28" s="21" t="n"/>
      <c r="M28" s="23">
        <f>SUMPRODUCT($E$8:$G$8,E28:G28)</f>
        <v/>
      </c>
      <c r="N28" s="24">
        <f>SUMPRODUCT($I$8:$K$8,I28:K28)</f>
        <v/>
      </c>
      <c r="O28" s="25">
        <f>M28+N28</f>
        <v/>
      </c>
    </row>
    <row r="29" ht="18" customHeight="1">
      <c r="A29" s="19" t="n">
        <v>19</v>
      </c>
      <c r="B29" s="20" t="inlineStr">
        <is>
          <t>Sifão Ajustável Multiuso</t>
        </is>
      </c>
      <c r="C29" s="19" t="inlineStr">
        <is>
          <t>un</t>
        </is>
      </c>
      <c r="D29" s="21" t="n"/>
      <c r="E29" s="32">
        <f>SUM(E12:E19)</f>
        <v/>
      </c>
      <c r="F29" s="32">
        <f>SUM(F12:F19)</f>
        <v/>
      </c>
      <c r="G29" s="32">
        <f>SUM(G12:G19)</f>
        <v/>
      </c>
      <c r="H29" s="21" t="n"/>
      <c r="I29" s="32">
        <f>SUM(I12:I19)</f>
        <v/>
      </c>
      <c r="J29" s="32">
        <f>SUM(J12:J19)</f>
        <v/>
      </c>
      <c r="K29" s="32">
        <f>SUM(K12:K19)</f>
        <v/>
      </c>
      <c r="L29" s="21" t="n"/>
      <c r="M29" s="23">
        <f>SUMPRODUCT($E$8:$G$8,E29:G29)</f>
        <v/>
      </c>
      <c r="N29" s="24">
        <f>SUMPRODUCT($I$8:$K$8,I29:K29)</f>
        <v/>
      </c>
      <c r="O29" s="25">
        <f>M29+N29</f>
        <v/>
      </c>
    </row>
    <row r="30" ht="18" customHeight="1">
      <c r="A30" s="26" t="n">
        <v>20</v>
      </c>
      <c r="B30" s="27" t="inlineStr">
        <is>
          <t>Anel Vedação 100mm (Bacia)</t>
        </is>
      </c>
      <c r="C30" s="26" t="inlineStr">
        <is>
          <t>un</t>
        </is>
      </c>
      <c r="D30" s="21" t="n"/>
      <c r="E30" s="31">
        <f>SUM(E10:E11)</f>
        <v/>
      </c>
      <c r="F30" s="31">
        <f>SUM(F10:F11)</f>
        <v/>
      </c>
      <c r="G30" s="31">
        <f>SUM(G10:G11)</f>
        <v/>
      </c>
      <c r="H30" s="21" t="n"/>
      <c r="I30" s="31">
        <f>SUM(I10:I11)</f>
        <v/>
      </c>
      <c r="J30" s="31">
        <f>SUM(J10:J11)</f>
        <v/>
      </c>
      <c r="K30" s="31">
        <f>SUM(K10:K11)</f>
        <v/>
      </c>
      <c r="L30" s="21" t="n"/>
      <c r="M30" s="23">
        <f>SUMPRODUCT($E$8:$G$8,E30:G30)</f>
        <v/>
      </c>
      <c r="N30" s="24">
        <f>SUMPRODUCT($I$8:$K$8,I30:K30)</f>
        <v/>
      </c>
      <c r="O30" s="25">
        <f>M30+N30</f>
        <v/>
      </c>
    </row>
    <row r="31" ht="18" customHeight="1">
      <c r="A31" s="19" t="n">
        <v>21</v>
      </c>
      <c r="B31" s="20" t="inlineStr">
        <is>
          <t>Engate Flex. Inox 1/2"x40mm</t>
        </is>
      </c>
      <c r="C31" s="19" t="inlineStr">
        <is>
          <t>un</t>
        </is>
      </c>
      <c r="D31" s="21" t="n"/>
      <c r="E31" s="32">
        <f>SUM(E10:E11)</f>
        <v/>
      </c>
      <c r="F31" s="32">
        <f>SUM(F10:F11)</f>
        <v/>
      </c>
      <c r="G31" s="32">
        <f>SUM(G10:G11)</f>
        <v/>
      </c>
      <c r="H31" s="21" t="n"/>
      <c r="I31" s="32">
        <f>SUM(I10:I11)</f>
        <v/>
      </c>
      <c r="J31" s="32">
        <f>SUM(J10:J11)</f>
        <v/>
      </c>
      <c r="K31" s="32">
        <f>SUM(K10:K11)</f>
        <v/>
      </c>
      <c r="L31" s="21" t="n"/>
      <c r="M31" s="23">
        <f>SUMPRODUCT($E$8:$G$8,E31:G31)</f>
        <v/>
      </c>
      <c r="N31" s="24">
        <f>SUMPRODUCT($I$8:$K$8,I31:K31)</f>
        <v/>
      </c>
      <c r="O31" s="25">
        <f>M31+N31</f>
        <v/>
      </c>
    </row>
    <row r="32" ht="18" customHeight="1">
      <c r="A32" s="26" t="n">
        <v>22</v>
      </c>
      <c r="B32" s="27" t="inlineStr">
        <is>
          <t>Paraf. Niq. Fix. Bacia (x4)</t>
        </is>
      </c>
      <c r="C32" s="26" t="inlineStr">
        <is>
          <t>un</t>
        </is>
      </c>
      <c r="D32" s="21" t="n"/>
      <c r="E32" s="31">
        <f>SUM(E10:E11)*4</f>
        <v/>
      </c>
      <c r="F32" s="31">
        <f>SUM(F10:F11)*4</f>
        <v/>
      </c>
      <c r="G32" s="31">
        <f>SUM(G10:G11)*4</f>
        <v/>
      </c>
      <c r="H32" s="21" t="n"/>
      <c r="I32" s="31">
        <f>SUM(I10:I11)*4</f>
        <v/>
      </c>
      <c r="J32" s="31">
        <f>SUM(J10:J11)*4</f>
        <v/>
      </c>
      <c r="K32" s="31">
        <f>SUM(K10:K11)*4</f>
        <v/>
      </c>
      <c r="L32" s="21" t="n"/>
      <c r="M32" s="23">
        <f>SUMPRODUCT($E$8:$G$8,E32:G32)</f>
        <v/>
      </c>
      <c r="N32" s="24">
        <f>SUMPRODUCT($I$8:$K$8,I32:K32)</f>
        <v/>
      </c>
      <c r="O32" s="25">
        <f>M32+N32</f>
        <v/>
      </c>
    </row>
    <row r="33" ht="18" customHeight="1">
      <c r="A33" s="19" t="n">
        <v>23</v>
      </c>
      <c r="B33" s="20" t="inlineStr">
        <is>
          <t>Válvula Escoa. Lavatório</t>
        </is>
      </c>
      <c r="C33" s="19" t="inlineStr">
        <is>
          <t>un</t>
        </is>
      </c>
      <c r="D33" s="21" t="n"/>
      <c r="E33" s="32">
        <f>SUM(E12:E15)</f>
        <v/>
      </c>
      <c r="F33" s="32">
        <f>SUM(F12:F15)</f>
        <v/>
      </c>
      <c r="G33" s="32">
        <f>SUM(G12:G15)</f>
        <v/>
      </c>
      <c r="H33" s="21" t="n"/>
      <c r="I33" s="32">
        <f>SUM(I12:I15)</f>
        <v/>
      </c>
      <c r="J33" s="32">
        <f>SUM(J12:J15)</f>
        <v/>
      </c>
      <c r="K33" s="32">
        <f>SUM(K12:K15)</f>
        <v/>
      </c>
      <c r="L33" s="21" t="n"/>
      <c r="M33" s="23">
        <f>SUMPRODUCT($E$8:$G$8,E33:G33)</f>
        <v/>
      </c>
      <c r="N33" s="24">
        <f>SUMPRODUCT($I$8:$K$8,I33:K33)</f>
        <v/>
      </c>
      <c r="O33" s="25">
        <f>M33+N33</f>
        <v/>
      </c>
    </row>
    <row r="34" ht="18" customHeight="1">
      <c r="A34" s="26" t="n">
        <v>24</v>
      </c>
      <c r="B34" s="27" t="inlineStr">
        <is>
          <t>Válvula Escoa. Pia</t>
        </is>
      </c>
      <c r="C34" s="26" t="inlineStr">
        <is>
          <t>un</t>
        </is>
      </c>
      <c r="D34" s="21" t="n"/>
      <c r="E34" s="31">
        <f>SUM(E16:E18)</f>
        <v/>
      </c>
      <c r="F34" s="31">
        <f>SUM(F16:F18)</f>
        <v/>
      </c>
      <c r="G34" s="31">
        <f>SUM(G16:G18)</f>
        <v/>
      </c>
      <c r="H34" s="21" t="n"/>
      <c r="I34" s="31">
        <f>SUM(I16:I18)</f>
        <v/>
      </c>
      <c r="J34" s="31">
        <f>SUM(J16:J18)</f>
        <v/>
      </c>
      <c r="K34" s="31">
        <f>SUM(K16:K18)</f>
        <v/>
      </c>
      <c r="L34" s="21" t="n"/>
      <c r="M34" s="23">
        <f>SUMPRODUCT($E$8:$G$8,E34:G34)</f>
        <v/>
      </c>
      <c r="N34" s="24">
        <f>SUMPRODUCT($I$8:$K$8,I34:K34)</f>
        <v/>
      </c>
      <c r="O34" s="25">
        <f>M34+N34</f>
        <v/>
      </c>
    </row>
    <row r="35" ht="18" customHeight="1">
      <c r="A35" s="19" t="n">
        <v>25</v>
      </c>
      <c r="B35" s="20" t="inlineStr">
        <is>
          <t>Válvula Escoa. Tanque</t>
        </is>
      </c>
      <c r="C35" s="19" t="inlineStr">
        <is>
          <t>un</t>
        </is>
      </c>
      <c r="D35" s="21" t="n"/>
      <c r="E35" s="32">
        <f>E19</f>
        <v/>
      </c>
      <c r="F35" s="32">
        <f>F19</f>
        <v/>
      </c>
      <c r="G35" s="32">
        <f>G19</f>
        <v/>
      </c>
      <c r="H35" s="21" t="n"/>
      <c r="I35" s="32">
        <f>I19</f>
        <v/>
      </c>
      <c r="J35" s="32">
        <f>J19</f>
        <v/>
      </c>
      <c r="K35" s="32">
        <f>K19</f>
        <v/>
      </c>
      <c r="L35" s="21" t="n"/>
      <c r="M35" s="23">
        <f>SUMPRODUCT($E$8:$G$8,E35:G35)</f>
        <v/>
      </c>
      <c r="N35" s="24">
        <f>SUMPRODUCT($I$8:$K$8,I35:K35)</f>
        <v/>
      </c>
      <c r="O35" s="25">
        <f>M35+N35</f>
        <v/>
      </c>
    </row>
    <row r="36" ht="22" customHeight="1">
      <c r="A36" s="33" t="inlineStr">
        <is>
          <t>PONTOS ESPECIAIS (ref.)</t>
        </is>
      </c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</row>
    <row r="37" ht="18" customHeight="1">
      <c r="A37" s="26" t="n">
        <v>26</v>
      </c>
      <c r="B37" s="27" t="inlineStr">
        <is>
          <t>Ponto Máq. Lavar</t>
        </is>
      </c>
      <c r="C37" s="26" t="inlineStr">
        <is>
          <t>un</t>
        </is>
      </c>
      <c r="D37" s="21" t="n"/>
      <c r="E37" s="28" t="n"/>
      <c r="F37" s="28" t="n">
        <v>1</v>
      </c>
      <c r="G37" s="28" t="n">
        <v>4</v>
      </c>
      <c r="H37" s="21" t="n"/>
      <c r="I37" s="28" t="n"/>
      <c r="J37" s="28" t="n"/>
      <c r="K37" s="28" t="n">
        <v>4</v>
      </c>
      <c r="L37" s="21" t="n"/>
      <c r="M37" s="23">
        <f>SUMPRODUCT($E$8:$G$8,E37:G37)</f>
        <v/>
      </c>
      <c r="N37" s="24">
        <f>SUMPRODUCT($I$8:$K$8,I37:K37)</f>
        <v/>
      </c>
      <c r="O37" s="25">
        <f>M37+N37</f>
        <v/>
      </c>
    </row>
    <row r="38" ht="18" customHeight="1">
      <c r="A38" s="19" t="n">
        <v>27</v>
      </c>
      <c r="B38" s="20" t="inlineStr">
        <is>
          <t>Ponto Máq. Secar</t>
        </is>
      </c>
      <c r="C38" s="19" t="inlineStr">
        <is>
          <t>un</t>
        </is>
      </c>
      <c r="D38" s="21" t="n"/>
      <c r="E38" s="22" t="n"/>
      <c r="F38" s="22" t="n"/>
      <c r="G38" s="22" t="n">
        <v>4</v>
      </c>
      <c r="H38" s="21" t="n"/>
      <c r="I38" s="22" t="n"/>
      <c r="J38" s="22" t="n"/>
      <c r="K38" s="22" t="n">
        <v>4</v>
      </c>
      <c r="L38" s="21" t="n"/>
      <c r="M38" s="23">
        <f>SUMPRODUCT($E$8:$G$8,E38:G38)</f>
        <v/>
      </c>
      <c r="N38" s="24">
        <f>SUMPRODUCT($I$8:$K$8,I38:K38)</f>
        <v/>
      </c>
      <c r="O38" s="25">
        <f>M38+N38</f>
        <v/>
      </c>
    </row>
    <row r="39" ht="22" customHeight="1">
      <c r="A39" s="35" t="inlineStr">
        <is>
          <t>AR CONDICIONADO (Condensadoras)</t>
        </is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</row>
    <row r="40" ht="18" customHeight="1">
      <c r="A40" s="26" t="n">
        <v>28</v>
      </c>
      <c r="B40" s="27" t="inlineStr">
        <is>
          <t>Split (Condensadora)</t>
        </is>
      </c>
      <c r="C40" s="26" t="inlineStr">
        <is>
          <t>un</t>
        </is>
      </c>
      <c r="D40" s="21" t="n"/>
      <c r="E40" s="28" t="n"/>
      <c r="F40" s="28" t="n">
        <v>16</v>
      </c>
      <c r="G40" s="28" t="n">
        <v>19</v>
      </c>
      <c r="H40" s="21" t="n"/>
      <c r="I40" s="28" t="n"/>
      <c r="J40" s="28" t="n">
        <v>21</v>
      </c>
      <c r="K40" s="28" t="n">
        <v>20</v>
      </c>
      <c r="L40" s="21" t="n"/>
      <c r="M40" s="23">
        <f>SUMPRODUCT($E$8:$G$8,E40:G40)</f>
        <v/>
      </c>
      <c r="N40" s="24">
        <f>SUMPRODUCT($I$8:$K$8,I40:K40)</f>
        <v/>
      </c>
      <c r="O40" s="25">
        <f>M40+N40</f>
        <v/>
      </c>
    </row>
    <row r="42" ht="20" customHeight="1">
      <c r="B42" s="37" t="inlineStr">
        <is>
          <t>Subtotal Louças E Aparelhos Sanitários</t>
        </is>
      </c>
      <c r="M42" s="38">
        <f>SUM(M10:M21)</f>
        <v/>
      </c>
      <c r="N42" s="39">
        <f>SUM(N10:N21)</f>
        <v/>
      </c>
      <c r="O42" s="40">
        <f>SUM(O10:O21)</f>
        <v/>
      </c>
    </row>
    <row r="43" ht="20" customHeight="1">
      <c r="B43" s="37" t="inlineStr">
        <is>
          <t>Subtotal Metais Para Acabamentos</t>
        </is>
      </c>
      <c r="M43" s="38">
        <f>SUM(M23:M35)</f>
        <v/>
      </c>
      <c r="N43" s="39">
        <f>SUM(N23:N35)</f>
        <v/>
      </c>
      <c r="O43" s="40">
        <f>SUM(O23:O35)</f>
        <v/>
      </c>
    </row>
    <row r="44" ht="20" customHeight="1">
      <c r="B44" s="37" t="inlineStr">
        <is>
          <t>Subtotal Pontos Especiais</t>
        </is>
      </c>
      <c r="M44" s="38">
        <f>SUM(M37:M38)</f>
        <v/>
      </c>
      <c r="N44" s="39">
        <f>SUM(N37:N38)</f>
        <v/>
      </c>
      <c r="O44" s="40">
        <f>SUM(O37:O38)</f>
        <v/>
      </c>
    </row>
    <row r="45" ht="20" customHeight="1">
      <c r="B45" s="37" t="inlineStr">
        <is>
          <t>Subtotal Ar Condicionado</t>
        </is>
      </c>
      <c r="M45" s="38">
        <f>SUM(M40:M40)</f>
        <v/>
      </c>
      <c r="N45" s="39">
        <f>SUM(N40:N40)</f>
        <v/>
      </c>
      <c r="O45" s="40">
        <f>SUM(O40:O40)</f>
        <v/>
      </c>
    </row>
    <row r="47" ht="25" customHeight="1">
      <c r="B47" s="41" t="inlineStr">
        <is>
          <t>TOTAL GERAL</t>
        </is>
      </c>
      <c r="M47" s="42">
        <f>SUM(M42:M45)</f>
        <v/>
      </c>
      <c r="N47" s="43">
        <f>SUM(N42:N45)</f>
        <v/>
      </c>
      <c r="O47" s="44">
        <f>SUM(O42:O45)</f>
        <v/>
      </c>
    </row>
    <row r="49">
      <c r="A49" s="45" t="inlineStr">
        <is>
          <t>⚠️ Separação T.A / T.B por coordenada X no IFC (midpoint). Torres simétricas — diferenças menores são posicionamento de mobília.</t>
        </is>
      </c>
    </row>
    <row r="50">
      <c r="A50" s="45" t="inlineStr">
        <is>
          <t>⚠️ "Família2" no IFC = Bacia Sanitária c/ Caixa Acoplada. Tipo = qtde por pavimento (x24).</t>
        </is>
      </c>
    </row>
    <row r="51">
      <c r="A51" s="45" t="inlineStr">
        <is>
          <t>⚠️ Metais derivados calculam automaticamente a partir das louças. Validar com memorial descritivo.</t>
        </is>
      </c>
    </row>
    <row r="52">
      <c r="A52" s="45" t="inlineStr">
        <is>
          <t>⚠️ Condensadoras Split: ~39/pav total (19 T.A + 20 T.B). Conferir com projeto de climatização.</t>
        </is>
      </c>
    </row>
  </sheetData>
  <mergeCells count="15">
    <mergeCell ref="B4:O4"/>
    <mergeCell ref="A51:O51"/>
    <mergeCell ref="M6:N6"/>
    <mergeCell ref="A52:O52"/>
    <mergeCell ref="B2:O2"/>
    <mergeCell ref="A36:O36"/>
    <mergeCell ref="A49:O49"/>
    <mergeCell ref="A1:O1"/>
    <mergeCell ref="B3:O3"/>
    <mergeCell ref="A50:O50"/>
    <mergeCell ref="A39:O39"/>
    <mergeCell ref="A22:O22"/>
    <mergeCell ref="A9:O9"/>
    <mergeCell ref="E6:G6"/>
    <mergeCell ref="I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2026-03-25T03:06:04Z</dcterms:created>
  <dcterms:modified xmlns:dcterms="http://purl.org/dc/terms/" xmlns:xsi="http://www.w3.org/2001/XMLSchema-instance" xsi:type="dcterms:W3CDTF">2026-03-25T03:06:04Z</dcterms:modified>
</cp:coreProperties>
</file>