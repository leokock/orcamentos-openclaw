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xmlns:r="http://schemas.openxmlformats.org/officeDocument/2006/relationships" name="EAP" sheetId="1" state="visible" r:id="rId1"/>
  </sheets>
  <externalReferences>
    <externalReference xmlns:r="http://schemas.openxmlformats.org/officeDocument/2006/relationships" r:id="rId2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Order2" localSheetId="0" hidden="1">0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>#REF!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ngelo" localSheetId="0">#REF!</definedName>
    <definedName name="anscount" localSheetId="0" hidden="1">1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Controle_Tecnologico" localSheetId="0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0" hidden="1">{"'장비'!$A$3:$M$12"}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{"'장비'!$A$3:$M$12"}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lobal" localSheetId="0" hidden="1">{"'Estimativa de Lançamento-JAN'!$A$1:$AI$85"}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" localSheetId="0">#REF!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{#N/A,#N/A,FALSE,"$170M Cash";#N/A,#N/A,FALSE,"$250M Cash";#N/A,#N/A,FALSE,"$325M Cash"}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ntura" localSheetId="0">#REF!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eço" localSheetId="0">ROW()-Linha_Cabeçalho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ncount" localSheetId="0" hidden="1">1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m" localSheetId="0" hidden="1">0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0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0" hidden="1">{"'Edit'!$A$1:$V$2277"}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수당" localSheetId="0" hidden="1">#N/A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0#"/>
    <numFmt numFmtId="165" formatCode="0#"/>
  </numFmts>
  <fonts count="21">
    <font>
      <name val="Arial"/>
      <family val="2"/>
      <color theme="1"/>
      <sz val="11"/>
      <scheme val="minor"/>
    </font>
    <font>
      <name val="Arial"/>
      <family val="2"/>
      <sz val="10"/>
    </font>
    <font>
      <name val="Arial"/>
      <color theme="1"/>
      <sz val="11"/>
      <scheme val="minor"/>
    </font>
    <font>
      <name val="Poppins"/>
      <sz val="10"/>
    </font>
    <font>
      <name val="Arial"/>
      <family val="2"/>
      <color theme="0" tint="-0.499984740745262"/>
      <sz val="10"/>
    </font>
    <font>
      <name val="Roboto"/>
      <color theme="1"/>
      <sz val="11"/>
    </font>
    <font>
      <name val="Arial"/>
      <family val="2"/>
      <sz val="8"/>
    </font>
    <font>
      <name val="Poppins"/>
      <color rgb="FF010000"/>
      <sz val="10"/>
    </font>
    <font>
      <name val="Poppins"/>
      <color theme="1"/>
      <sz val="10"/>
    </font>
    <font>
      <name val="Arial"/>
      <family val="2"/>
      <color theme="0" tint="-0.499984740745262"/>
      <sz val="8"/>
    </font>
    <font>
      <name val="Poppins"/>
      <b val="1"/>
      <color rgb="FF010000"/>
      <sz val="10"/>
    </font>
    <font>
      <name val="Poppins"/>
      <b val="1"/>
      <color theme="1"/>
      <sz val="10"/>
    </font>
    <font>
      <name val="Poppins"/>
      <b val="1"/>
      <color rgb="FF121212"/>
      <sz val="10"/>
    </font>
    <font>
      <name val="Poppins"/>
      <color rgb="FF121212"/>
      <sz val="10"/>
    </font>
    <font>
      <name val="Poppins"/>
      <b val="1"/>
      <color theme="0"/>
      <sz val="10"/>
    </font>
    <font>
      <name val="Poppins"/>
      <b val="1"/>
      <color rgb="FFF5F5F5"/>
      <sz val="10"/>
    </font>
    <font>
      <name val="Poppins"/>
      <b val="1"/>
      <color rgb="FF002060"/>
      <sz val="11"/>
    </font>
    <font>
      <name val="Poppins"/>
      <b val="1"/>
      <color rgb="FF0000FF"/>
      <sz val="12"/>
    </font>
    <font>
      <name val="Arial"/>
      <family val="2"/>
      <color theme="0" tint="-0.499984740745262"/>
      <sz val="8"/>
      <scheme val="minor"/>
    </font>
    <font>
      <name val="Poppins"/>
      <b val="1"/>
      <color rgb="FFFE3400"/>
      <sz val="18"/>
    </font>
    <font>
      <name val="Arial"/>
      <family val="2"/>
      <color theme="0" tint="-0.499984740745262"/>
      <sz val="11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 style="medium">
        <color indexed="64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hair">
        <color theme="2" tint="-0.499984740745262"/>
      </right>
      <top style="hair">
        <color theme="2" tint="-0.499984740745262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medium">
        <color indexed="64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/>
      <top/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6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2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vertical="center"/>
    </xf>
    <xf numFmtId="0" fontId="5" fillId="0" borderId="0" pivotButton="0" quotePrefix="0" xfId="2"/>
    <xf numFmtId="49" fontId="5" fillId="0" borderId="0" pivotButton="0" quotePrefix="0" xfId="2"/>
    <xf numFmtId="0" fontId="6" fillId="0" borderId="0" pivotButton="0" quotePrefix="0" xfId="1"/>
    <xf numFmtId="0" fontId="7" fillId="0" borderId="1" applyAlignment="1" pivotButton="0" quotePrefix="0" xfId="2">
      <alignment horizontal="left" vertical="center" wrapText="1"/>
    </xf>
    <xf numFmtId="0" fontId="3" fillId="0" borderId="2" applyAlignment="1" pivotButton="0" quotePrefix="1" xfId="1">
      <alignment horizontal="left" vertical="center"/>
    </xf>
    <xf numFmtId="49" fontId="8" fillId="0" borderId="3" applyAlignment="1" pivotButton="0" quotePrefix="1" xfId="2">
      <alignment vertical="center"/>
    </xf>
    <xf numFmtId="164" fontId="9" fillId="0" borderId="4" applyAlignment="1" pivotButton="0" quotePrefix="0" xfId="1">
      <alignment horizontal="left" vertical="center"/>
    </xf>
    <xf numFmtId="164" fontId="9" fillId="0" borderId="0" applyAlignment="1" pivotButton="0" quotePrefix="0" xfId="1">
      <alignment horizontal="left" vertical="center"/>
    </xf>
    <xf numFmtId="165" fontId="9" fillId="0" borderId="0" applyAlignment="1" pivotButton="0" quotePrefix="0" xfId="1">
      <alignment horizontal="left" vertical="center"/>
    </xf>
    <xf numFmtId="0" fontId="10" fillId="0" borderId="5" applyAlignment="1" pivotButton="0" quotePrefix="0" xfId="2">
      <alignment horizontal="left" vertical="center" wrapText="1"/>
    </xf>
    <xf numFmtId="0" fontId="3" fillId="0" borderId="6" applyAlignment="1" pivotButton="0" quotePrefix="1" xfId="1">
      <alignment horizontal="left" vertical="center"/>
    </xf>
    <xf numFmtId="49" fontId="10" fillId="0" borderId="7" applyAlignment="1" pivotButton="0" quotePrefix="0" xfId="2">
      <alignment horizontal="left" vertical="center"/>
    </xf>
    <xf numFmtId="0" fontId="7" fillId="0" borderId="5" applyAlignment="1" pivotButton="0" quotePrefix="0" xfId="2">
      <alignment horizontal="left" vertical="center" wrapText="1"/>
    </xf>
    <xf numFmtId="49" fontId="7" fillId="0" borderId="7" applyAlignment="1" pivotButton="0" quotePrefix="0" xfId="2">
      <alignment horizontal="left" vertical="center"/>
    </xf>
    <xf numFmtId="0" fontId="11" fillId="0" borderId="5" applyAlignment="1" pivotButton="0" quotePrefix="0" xfId="2">
      <alignment vertical="center"/>
    </xf>
    <xf numFmtId="0" fontId="12" fillId="0" borderId="5" applyAlignment="1" pivotButton="0" quotePrefix="0" xfId="2">
      <alignment vertical="center"/>
    </xf>
    <xf numFmtId="0" fontId="13" fillId="0" borderId="5" applyAlignment="1" pivotButton="0" quotePrefix="0" xfId="2">
      <alignment vertical="center"/>
    </xf>
    <xf numFmtId="0" fontId="8" fillId="0" borderId="0" applyAlignment="1" pivotButton="0" quotePrefix="0" xfId="2">
      <alignment vertical="center"/>
    </xf>
    <xf numFmtId="0" fontId="14" fillId="0" borderId="5" applyAlignment="1" pivotButton="0" quotePrefix="0" xfId="2">
      <alignment horizontal="left" vertical="center" wrapText="1"/>
    </xf>
    <xf numFmtId="49" fontId="14" fillId="0" borderId="7" applyAlignment="1" pivotButton="0" quotePrefix="0" xfId="2">
      <alignment horizontal="left" vertical="center"/>
    </xf>
    <xf numFmtId="0" fontId="8" fillId="0" borderId="5" applyAlignment="1" pivotButton="0" quotePrefix="0" xfId="2">
      <alignment vertical="center"/>
    </xf>
    <xf numFmtId="0" fontId="15" fillId="0" borderId="5" applyAlignment="1" pivotButton="0" quotePrefix="0" xfId="2">
      <alignment horizontal="left" vertical="center" wrapText="1"/>
    </xf>
    <xf numFmtId="0" fontId="16" fillId="0" borderId="4" applyAlignment="1" pivotButton="0" quotePrefix="0" xfId="2">
      <alignment horizontal="center" vertical="center" wrapText="1"/>
    </xf>
    <xf numFmtId="49" fontId="16" fillId="0" borderId="8" applyAlignment="1" pivotButton="0" quotePrefix="0" xfId="2">
      <alignment horizontal="center" vertical="center" wrapText="1"/>
    </xf>
    <xf numFmtId="49" fontId="16" fillId="0" borderId="9" applyAlignment="1" pivotButton="0" quotePrefix="0" xfId="2">
      <alignment horizontal="center" vertical="center"/>
    </xf>
    <xf numFmtId="0" fontId="17" fillId="0" borderId="10" applyAlignment="1" pivotButton="0" quotePrefix="0" xfId="2">
      <alignment horizontal="left" vertical="center"/>
    </xf>
    <xf numFmtId="0" fontId="17" fillId="0" borderId="11" applyAlignment="1" pivotButton="0" quotePrefix="0" xfId="2">
      <alignment horizontal="left" vertical="center"/>
    </xf>
    <xf numFmtId="0" fontId="17" fillId="0" borderId="12" applyAlignment="1" pivotButton="0" quotePrefix="0" xfId="2">
      <alignment horizontal="left" vertical="center"/>
    </xf>
    <xf numFmtId="0" fontId="18" fillId="0" borderId="4" pivotButton="0" quotePrefix="0" xfId="2"/>
    <xf numFmtId="0" fontId="18" fillId="0" borderId="0" pivotButton="0" quotePrefix="0" xfId="2"/>
    <xf numFmtId="0" fontId="19" fillId="0" borderId="4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center"/>
    </xf>
    <xf numFmtId="0" fontId="19" fillId="0" borderId="9" applyAlignment="1" pivotButton="0" quotePrefix="0" xfId="2">
      <alignment horizontal="left" vertical="center"/>
    </xf>
    <xf numFmtId="0" fontId="20" fillId="0" borderId="4" pivotButton="0" quotePrefix="0" xfId="2"/>
    <xf numFmtId="0" fontId="20" fillId="0" borderId="0" pivotButton="0" quotePrefix="0" xfId="2"/>
    <xf numFmtId="0" fontId="19" fillId="0" borderId="13" applyAlignment="1" pivotButton="0" quotePrefix="0" xfId="2">
      <alignment horizontal="left" vertical="center"/>
    </xf>
    <xf numFmtId="0" fontId="19" fillId="0" borderId="14" applyAlignment="1" pivotButton="0" quotePrefix="0" xfId="2">
      <alignment horizontal="left" vertical="center"/>
    </xf>
    <xf numFmtId="0" fontId="19" fillId="0" borderId="15" applyAlignment="1" pivotButton="0" quotePrefix="0" xfId="2">
      <alignment horizontal="left" vertical="center"/>
    </xf>
    <xf numFmtId="0" fontId="19" fillId="0" borderId="16" applyAlignment="1" pivotButton="0" quotePrefix="0" xfId="2">
      <alignment horizontal="left" vertical="center"/>
    </xf>
    <xf numFmtId="0" fontId="0" fillId="0" borderId="17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4" pivotButton="0" quotePrefix="0" xfId="0"/>
    <xf numFmtId="0" fontId="17" fillId="0" borderId="18" applyAlignment="1" pivotButton="0" quotePrefix="0" xfId="2">
      <alignment horizontal="left" vertical="center"/>
    </xf>
    <xf numFmtId="0" fontId="0" fillId="0" borderId="11" pivotButton="0" quotePrefix="0" xfId="0"/>
    <xf numFmtId="0" fontId="0" fillId="0" borderId="10" pivotButton="0" quotePrefix="0" xfId="0"/>
    <xf numFmtId="49" fontId="7" fillId="0" borderId="7" applyAlignment="1" pivotButton="0" quotePrefix="1" xfId="2">
      <alignment horizontal="left" vertical="center"/>
    </xf>
    <xf numFmtId="165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 11 3" xfId="2"/>
  </cellStyles>
  <dxfs count="4">
    <dxf>
      <font>
        <b val="1"/>
      </font>
      <fill>
        <patternFill>
          <bgColor auto="1"/>
        </patternFill>
      </fill>
    </dxf>
    <dxf>
      <font>
        <b val="1"/>
        <color theme="0"/>
      </font>
      <fill>
        <patternFill>
          <bgColor rgb="FF255AE5"/>
        </patternFill>
      </fill>
    </dxf>
    <dxf>
      <font>
        <b val="1"/>
      </font>
      <fill>
        <patternFill>
          <bgColor auto="1"/>
        </patternFill>
      </fill>
    </dxf>
    <dxf>
      <font>
        <color theme="1" tint="0.499984740745262"/>
      </font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Drives%20compartilhados\03%20CTN%20Projetos\2.%20Projetos%20em%20Andamento\Thozen\Electra%20Towers\04.%20Custo\04.3%20Custo%20-%20Executivo\02%20-%20Elabora&#231;&#227;o\CTN-TZN_ELT%20-%20Or&#231;amento%20Executivo_R00_Le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JETOS"/>
      <sheetName val="CAPA"/>
      <sheetName val="Ger_Tec e Adm"/>
      <sheetName val="EPCs"/>
      <sheetName val="CANTEIRO"/>
      <sheetName val="Cont.Tecnol."/>
      <sheetName val="EAP Análise"/>
      <sheetName val="EAP Análise Revisão"/>
      <sheetName val="Ger_Executivo_Cartesian"/>
      <sheetName val="ARQUITETURA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M.O. ESTRUTURA - MP"/>
      <sheetName val="IMPERMEABILIZAÇÃO"/>
      <sheetName val="DRYWALL"/>
      <sheetName val="LOUÇAS E METAIS"/>
      <sheetName val="PISCINA"/>
      <sheetName val="Equipamentos Especiais"/>
      <sheetName val="ELÉTRICO"/>
      <sheetName val="HIDROSSANITÁRIO"/>
      <sheetName val="PPCI"/>
      <sheetName val="SPRINKLER"/>
      <sheetName val="MÃO DE OBRA ELETRICA"/>
      <sheetName val="MÃO DE OBRA HIDRO"/>
      <sheetName val="TELECOMUNICAÇÃ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851D6"/>
    <outlinePr summaryBelow="0" summaryRight="0"/>
    <pageSetUpPr fitToPage="1"/>
  </sheetPr>
  <dimension ref="A1:AB684"/>
  <sheetViews>
    <sheetView showGridLines="0" tabSelected="1" zoomScale="90" zoomScaleNormal="90" workbookViewId="0">
      <pane xSplit="9" ySplit="3" topLeftCell="J26" activePane="bottomRight" state="frozen"/>
      <selection activeCell="B1" sqref="B1:D3"/>
      <selection pane="topRight" activeCell="B1" sqref="B1:D3"/>
      <selection pane="bottomLeft" activeCell="B1" sqref="B1:D3"/>
      <selection pane="bottomRight" activeCell="I39" sqref="I39"/>
    </sheetView>
  </sheetViews>
  <sheetFormatPr baseColWidth="8" defaultColWidth="7.75" defaultRowHeight="19.5"/>
  <cols>
    <col hidden="1" width="6.125" customWidth="1" style="5" min="1" max="1"/>
    <col hidden="1" width="5.875" customWidth="1" style="5" min="2" max="4"/>
    <col hidden="1" width="5.875" customWidth="1" style="4" min="5" max="5"/>
    <col width="1.75" customWidth="1" style="4" min="6" max="6"/>
    <col width="20.75" bestFit="1" customWidth="1" style="2" min="7" max="7"/>
    <col width="20.625" customWidth="1" style="3" min="8" max="8"/>
    <col width="74.125" bestFit="1" customWidth="1" style="2" min="9" max="9"/>
    <col width="8" customWidth="1" style="2" min="10" max="10"/>
    <col width="7.75" customWidth="1" style="1" min="11" max="16384"/>
  </cols>
  <sheetData>
    <row r="1" ht="21.75" customFormat="1" customHeight="1" s="2">
      <c r="A1" s="40" t="n"/>
      <c r="B1" s="40" t="n"/>
      <c r="C1" s="40" t="n"/>
      <c r="D1" s="40" t="n"/>
      <c r="E1" s="40" t="n"/>
      <c r="F1" s="39" t="n"/>
      <c r="G1" s="44" t="inlineStr">
        <is>
          <t>EAP DE ORÇAMENTO</t>
        </is>
      </c>
      <c r="H1" s="45" t="n"/>
      <c r="I1" s="4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Format="1" customHeight="1" s="2">
      <c r="A2" s="40" t="n"/>
      <c r="B2" s="40" t="n"/>
      <c r="C2" s="40" t="n"/>
      <c r="D2" s="40" t="n"/>
      <c r="E2" s="40" t="n"/>
      <c r="F2" s="39" t="n"/>
      <c r="G2" s="47" t="n"/>
      <c r="I2" s="4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Format="1" customHeight="1" s="2">
      <c r="A3" s="35" t="inlineStr">
        <is>
          <t>Unidade Construtiva</t>
        </is>
      </c>
      <c r="B3" s="35" t="inlineStr">
        <is>
          <t>Célula Construtiva</t>
        </is>
      </c>
      <c r="C3" s="35" t="inlineStr">
        <is>
          <t>Etapa</t>
        </is>
      </c>
      <c r="D3" s="35" t="inlineStr">
        <is>
          <t>Subetapa</t>
        </is>
      </c>
      <c r="E3" s="35" t="inlineStr">
        <is>
          <t>Serviço</t>
        </is>
      </c>
      <c r="F3" s="34" t="n"/>
      <c r="G3" s="49" t="inlineStr">
        <is>
          <t>Contrutora - Obra</t>
        </is>
      </c>
      <c r="H3" s="50" t="n"/>
      <c r="I3" s="51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Format="1" customHeight="1" s="2">
      <c r="A4" s="14" t="n">
        <v>0</v>
      </c>
      <c r="B4" s="14" t="n">
        <v>0</v>
      </c>
      <c r="C4" s="14" t="n">
        <v>0</v>
      </c>
      <c r="D4" s="13" t="n">
        <v>0</v>
      </c>
      <c r="E4" s="13" t="n">
        <v>0</v>
      </c>
      <c r="F4" s="12" t="n"/>
      <c r="G4" s="30" t="n"/>
      <c r="H4" s="29" t="n"/>
      <c r="I4" s="28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Format="1" customHeight="1" s="8">
      <c r="A5" s="14">
        <f>IF($G5="UNIDADE CONSTRUTIVA",OFFSET(A5,-1,0)+1,LARGE(A$3:A4,1))</f>
        <v/>
      </c>
      <c r="B5" s="14">
        <f>IF(G5="UNIDADE CONSTRUTIVA",0,IF(G5="CÉLULA CONSTRUTIVA",OFFSET(B5,-1,0)+1,OFFSET(B5,-1,0)))</f>
        <v/>
      </c>
      <c r="C5" s="14">
        <f>IF(G5="CÉLULA CONSTRUTIVA",0,IF(G5="ETAPA",OFFSET(C5,-1,0)+1,OFFSET(C5,-1,0)))</f>
        <v/>
      </c>
      <c r="D5" s="13">
        <f>IF(G5="ETAPA",0,IF(G5="SUBETAPA",OFFSET(D5,-1,0)+1,OFFSET(D5,-1,0)))</f>
        <v/>
      </c>
      <c r="E5" s="13">
        <f>IF(G5="Subetapa",0,IF(G5="serviço",OFFSET(E5,-1,0)+1,OFFSET(E5,-1,0)))</f>
        <v/>
      </c>
      <c r="F5" s="12" t="n"/>
      <c r="G5" s="25" t="inlineStr">
        <is>
          <t>UNIDADE CONSTRUTIVA</t>
        </is>
      </c>
      <c r="H5" s="16">
        <f>IF(G5="Unidade Construtiva",TEXT(A5,"00"),IF(G5="Célula Construtiva",TEXT(B5,"00"),IF(G5="Etapa",CONCATENATE(TEXT(B5,"00"),".",TEXT(C5,"000")),IF(G5="Subetapa",CONCATENATE(TEXT(B5,"00"),".",TEXT(C5,"000"),".",TEXT(D5,"000")),IF(G5="Serviço",CONCATENATE(TEXT(B5,"00"),".",TEXT(C5,"000"),".",TEXT(D5,"000"),".",TEXT(E5,"000")),"")))))</f>
        <v/>
      </c>
      <c r="I5" s="27" t="inlineStr">
        <is>
          <t>DESPESAS INDIRETAS</t>
        </is>
      </c>
      <c r="J5" s="23" t="n"/>
    </row>
    <row r="6" ht="20.45" customFormat="1" customHeight="1" s="8">
      <c r="A6" s="14">
        <f>IF($G6="UNIDADE CONSTRUTIVA",OFFSET(A6,-1,0)+1,LARGE(A$3:A5,1))</f>
        <v/>
      </c>
      <c r="B6" s="14">
        <f>IF(G6="UNIDADE CONSTRUTIVA",0,IF(G6="CÉLULA CONSTRUTIVA",OFFSET(B6,-1,0)+1,OFFSET(B6,-1,0)))</f>
        <v/>
      </c>
      <c r="C6" s="14">
        <f>IF(G6="CÉLULA CONSTRUTIVA",0,IF(G6="ETAPA",OFFSET(C6,-1,0)+1,OFFSET(C6,-1,0)))</f>
        <v/>
      </c>
      <c r="D6" s="13">
        <f>IF(G6="ETAPA",0,IF(G6="SUBETAPA",OFFSET(D6,-1,0)+1,OFFSET(D6,-1,0)))</f>
        <v/>
      </c>
      <c r="E6" s="13">
        <f>IF(G6="Subetapa",0,IF(G6="serviço",OFFSET(E6,-1,0)+1,OFFSET(E6,-1,0)))</f>
        <v/>
      </c>
      <c r="F6" s="12" t="n"/>
      <c r="G6" s="17" t="inlineStr">
        <is>
          <t>CÉLULA CONSTRUTIVA</t>
        </is>
      </c>
      <c r="H6" s="16">
        <f>IF(G6="Unidade Construtiva",TEXT(A6,"00"),IF(G6="Célula Construtiva",TEXT(B6,"00"),IF(G6="Etapa",CONCATENATE(TEXT(B6,"00"),".",TEXT(C6,"000")),IF(G6="Subetapa",CONCATENATE(TEXT(B6,"00"),".",TEXT(C6,"000"),".",TEXT(D6,"000")),IF(G6="Serviço",CONCATENATE(TEXT(B6,"00"),".",TEXT(C6,"000"),".",TEXT(D6,"000"),".",TEXT(E6,"000")),"")))))</f>
        <v/>
      </c>
      <c r="I6" s="15" t="inlineStr">
        <is>
          <t>SERVIÇOS TÉCNICOS</t>
        </is>
      </c>
      <c r="J6" s="23" t="n"/>
    </row>
    <row r="7" ht="20.45" customFormat="1" customHeight="1" s="8">
      <c r="A7" s="14">
        <f>IF($G7="UNIDADE CONSTRUTIVA",OFFSET(A7,-1,0)+1,LARGE(A$3:A6,1))</f>
        <v/>
      </c>
      <c r="B7" s="14">
        <f>IF(G7="UNIDADE CONSTRUTIVA",0,IF(G7="CÉLULA CONSTRUTIVA",OFFSET(B7,-1,0)+1,OFFSET(B7,-1,0)))</f>
        <v/>
      </c>
      <c r="C7" s="14">
        <f>IF(G7="CÉLULA CONSTRUTIVA",0,IF(G7="ETAPA",OFFSET(C7,-1,0)+1,OFFSET(C7,-1,0)))</f>
        <v/>
      </c>
      <c r="D7" s="13">
        <f>IF(G7="ETAPA",0,IF(G7="SUBETAPA",OFFSET(D7,-1,0)+1,OFFSET(D7,-1,0)))</f>
        <v/>
      </c>
      <c r="E7" s="13">
        <f>IF(G7="Subetapa",0,IF(G7="serviço",OFFSET(E7,-1,0)+1,OFFSET(E7,-1,0)))</f>
        <v/>
      </c>
      <c r="F7" s="12" t="n"/>
      <c r="G7" s="17" t="inlineStr">
        <is>
          <t>ETAPA</t>
        </is>
      </c>
      <c r="H7" s="16">
        <f>IF(G7="Unidade Construtiva",TEXT(A7,"00"),IF(G7="Célula Construtiva",TEXT(B7,"00"),IF(G7="Etapa",CONCATENATE(TEXT(B7,"00"),".",TEXT(C7,"000")),IF(G7="Subetapa",CONCATENATE(TEXT(B7,"00"),".",TEXT(C7,"000"),".",TEXT(D7,"000")),IF(G7="Serviço",CONCATENATE(TEXT(B7,"00"),".",TEXT(C7,"000"),".",TEXT(D7,"000"),".",TEXT(E7,"000")),"")))))</f>
        <v/>
      </c>
      <c r="I7" s="15" t="inlineStr">
        <is>
          <t>ESTUDOS, PROJETOS E CONSULTORIAS</t>
        </is>
      </c>
      <c r="J7" s="23" t="n"/>
    </row>
    <row r="8" ht="20.45" customFormat="1" customHeight="1" s="8">
      <c r="A8" s="14">
        <f>IF($G8="UNIDADE CONSTRUTIVA",OFFSET(A8,-1,0)+1,LARGE(A$3:A7,1))</f>
        <v/>
      </c>
      <c r="B8" s="14">
        <f>IF(G8="UNIDADE CONSTRUTIVA",0,IF(G8="CÉLULA CONSTRUTIVA",OFFSET(B8,-1,0)+1,OFFSET(B8,-1,0)))</f>
        <v/>
      </c>
      <c r="C8" s="14">
        <f>IF(G8="CÉLULA CONSTRUTIVA",0,IF(G8="ETAPA",OFFSET(C8,-1,0)+1,OFFSET(C8,-1,0)))</f>
        <v/>
      </c>
      <c r="D8" s="13">
        <f>IF(G8="ETAPA",0,IF(G8="SUBETAPA",OFFSET(D8,-1,0)+1,OFFSET(D8,-1,0)))</f>
        <v/>
      </c>
      <c r="E8" s="13">
        <f>IF(G8="Subetapa",0,IF(G8="serviço",OFFSET(E8,-1,0)+1,OFFSET(E8,-1,0)))</f>
        <v/>
      </c>
      <c r="F8" s="12" t="n"/>
      <c r="G8" s="19" t="inlineStr">
        <is>
          <t>Subetapa</t>
        </is>
      </c>
      <c r="H8" s="16">
        <f>IF(G8="Unidade Construtiva",TEXT(A8,"00"),IF(G8="Célula Construtiva",TEXT(B8,"00"),IF(G8="Etapa",CONCATENATE(TEXT(B8,"00"),".",TEXT(C8,"000")),IF(G8="Subetapa",CONCATENATE(TEXT(B8,"00"),".",TEXT(C8,"000"),".",TEXT(D8,"000")),IF(G8="Serviço",CONCATENATE(TEXT(B8,"00"),".",TEXT(C8,"000"),".",TEXT(D8,"000"),".",TEXT(E8,"000")),"")))))</f>
        <v/>
      </c>
      <c r="I8" s="18" t="inlineStr">
        <is>
          <t>Estudos</t>
        </is>
      </c>
      <c r="J8" s="23" t="n"/>
    </row>
    <row r="9" ht="20.45" customFormat="1" customHeight="1" s="8">
      <c r="A9" s="14">
        <f>IF($G9="UNIDADE CONSTRUTIVA",OFFSET(A9,-1,0)+1,LARGE(A$3:A8,1))</f>
        <v/>
      </c>
      <c r="B9" s="14">
        <f>IF(G9="UNIDADE CONSTRUTIVA",0,IF(G9="CÉLULA CONSTRUTIVA",OFFSET(B9,-1,0)+1,OFFSET(B9,-1,0)))</f>
        <v/>
      </c>
      <c r="C9" s="14">
        <f>IF(G9="CÉLULA CONSTRUTIVA",0,IF(G9="ETAPA",OFFSET(C9,-1,0)+1,OFFSET(C9,-1,0)))</f>
        <v/>
      </c>
      <c r="D9" s="13">
        <f>IF(G9="ETAPA",0,IF(G9="SUBETAPA",OFFSET(D9,-1,0)+1,OFFSET(D9,-1,0)))</f>
        <v/>
      </c>
      <c r="E9" s="13">
        <f>IF(G9="Subetapa",0,IF(G9="serviço",OFFSET(E9,-1,0)+1,OFFSET(E9,-1,0)))</f>
        <v/>
      </c>
      <c r="F9" s="12" t="n"/>
      <c r="G9" s="19" t="inlineStr">
        <is>
          <t>Subetapa</t>
        </is>
      </c>
      <c r="H9" s="16">
        <f>IF(G9="Unidade Construtiva",TEXT(A9,"00"),IF(G9="Célula Construtiva",TEXT(B9,"00"),IF(G9="Etapa",CONCATENATE(TEXT(B9,"00"),".",TEXT(C9,"000")),IF(G9="Subetapa",CONCATENATE(TEXT(B9,"00"),".",TEXT(C9,"000"),".",TEXT(D9,"000")),IF(G9="Serviço",CONCATENATE(TEXT(B9,"00"),".",TEXT(C9,"000"),".",TEXT(D9,"000"),".",TEXT(E9,"000")),"")))))</f>
        <v/>
      </c>
      <c r="I9" s="18" t="inlineStr">
        <is>
          <t>Projetos</t>
        </is>
      </c>
      <c r="J9" s="23" t="n"/>
    </row>
    <row r="10" ht="20.45" customFormat="1" customHeight="1" s="8">
      <c r="A10" s="14">
        <f>IF($G10="UNIDADE CONSTRUTIVA",OFFSET(A10,-1,0)+1,LARGE(A$3:A9,1))</f>
        <v/>
      </c>
      <c r="B10" s="14">
        <f>IF(G10="UNIDADE CONSTRUTIVA",0,IF(G10="CÉLULA CONSTRUTIVA",OFFSET(B10,-1,0)+1,OFFSET(B10,-1,0)))</f>
        <v/>
      </c>
      <c r="C10" s="14">
        <f>IF(G10="CÉLULA CONSTRUTIVA",0,IF(G10="ETAPA",OFFSET(C10,-1,0)+1,OFFSET(C10,-1,0)))</f>
        <v/>
      </c>
      <c r="D10" s="13">
        <f>IF(G10="ETAPA",0,IF(G10="SUBETAPA",OFFSET(D10,-1,0)+1,OFFSET(D10,-1,0)))</f>
        <v/>
      </c>
      <c r="E10" s="13">
        <f>IF(G10="Subetapa",0,IF(G10="serviço",OFFSET(E10,-1,0)+1,OFFSET(E10,-1,0)))</f>
        <v/>
      </c>
      <c r="F10" s="12" t="n"/>
      <c r="G10" s="19" t="inlineStr">
        <is>
          <t>Subetapa</t>
        </is>
      </c>
      <c r="H10" s="16">
        <f>IF(G10="Unidade Construtiva",TEXT(A10,"00"),IF(G10="Célula Construtiva",TEXT(B10,"00"),IF(G10="Etapa",CONCATENATE(TEXT(B10,"00"),".",TEXT(C10,"000")),IF(G10="Subetapa",CONCATENATE(TEXT(B10,"00"),".",TEXT(C10,"000"),".",TEXT(D10,"000")),IF(G10="Serviço",CONCATENATE(TEXT(B10,"00"),".",TEXT(C10,"000"),".",TEXT(D10,"000"),".",TEXT(E10,"000")),"")))))</f>
        <v/>
      </c>
      <c r="I10" s="18" t="inlineStr">
        <is>
          <t>Consultorias</t>
        </is>
      </c>
      <c r="J10" s="23" t="n"/>
    </row>
    <row r="11" ht="20.45" customFormat="1" customHeight="1" s="8">
      <c r="A11" s="14">
        <f>IF($G11="UNIDADE CONSTRUTIVA",OFFSET(A11,-1,0)+1,LARGE(A$3:A10,1))</f>
        <v/>
      </c>
      <c r="B11" s="14">
        <f>IF(G11="UNIDADE CONSTRUTIVA",0,IF(G11="CÉLULA CONSTRUTIVA",OFFSET(B11,-1,0)+1,OFFSET(B11,-1,0)))</f>
        <v/>
      </c>
      <c r="C11" s="14">
        <f>IF(G11="CÉLULA CONSTRUTIVA",0,IF(G11="ETAPA",OFFSET(C11,-1,0)+1,OFFSET(C11,-1,0)))</f>
        <v/>
      </c>
      <c r="D11" s="13">
        <f>IF(G11="ETAPA",0,IF(G11="SUBETAPA",OFFSET(D11,-1,0)+1,OFFSET(D11,-1,0)))</f>
        <v/>
      </c>
      <c r="E11" s="13">
        <f>IF(G11="Subetapa",0,IF(G11="serviço",OFFSET(E11,-1,0)+1,OFFSET(E11,-1,0)))</f>
        <v/>
      </c>
      <c r="F11" s="12" t="n"/>
      <c r="G11" s="19" t="inlineStr">
        <is>
          <t>Subetapa</t>
        </is>
      </c>
      <c r="H11" s="16">
        <f>IF(G11="Unidade Construtiva",TEXT(A11,"00"),IF(G11="Célula Construtiva",TEXT(B11,"00"),IF(G11="Etapa",CONCATENATE(TEXT(B11,"00"),".",TEXT(C11,"000")),IF(G11="Subetapa",CONCATENATE(TEXT(B11,"00"),".",TEXT(C11,"000"),".",TEXT(D11,"000")),IF(G11="Serviço",CONCATENATE(TEXT(B11,"00"),".",TEXT(C11,"000"),".",TEXT(D11,"000"),".",TEXT(E11,"000")),"")))))</f>
        <v/>
      </c>
      <c r="I11" s="18" t="inlineStr">
        <is>
          <t>Ensaios</t>
        </is>
      </c>
      <c r="J11" s="23" t="n"/>
    </row>
    <row r="12" ht="20.45" customFormat="1" customHeight="1" s="8">
      <c r="A12" s="14">
        <f>IF($G12="UNIDADE CONSTRUTIVA",OFFSET(A12,-1,0)+1,LARGE(A$3:A11,1))</f>
        <v/>
      </c>
      <c r="B12" s="14">
        <f>IF(G12="UNIDADE CONSTRUTIVA",0,IF(G12="CÉLULA CONSTRUTIVA",OFFSET(B12,-1,0)+1,OFFSET(B12,-1,0)))</f>
        <v/>
      </c>
      <c r="C12" s="14">
        <f>IF(G12="CÉLULA CONSTRUTIVA",0,IF(G12="ETAPA",OFFSET(C12,-1,0)+1,OFFSET(C12,-1,0)))</f>
        <v/>
      </c>
      <c r="D12" s="13">
        <f>IF(G12="ETAPA",0,IF(G12="SUBETAPA",OFFSET(D12,-1,0)+1,OFFSET(D12,-1,0)))</f>
        <v/>
      </c>
      <c r="E12" s="13">
        <f>IF(G12="Subetapa",0,IF(G12="serviço",OFFSET(E12,-1,0)+1,OFFSET(E12,-1,0)))</f>
        <v/>
      </c>
      <c r="F12" s="12" t="n"/>
      <c r="G12" s="17" t="inlineStr">
        <is>
          <t>ETAPA</t>
        </is>
      </c>
      <c r="H12" s="16">
        <f>IF(G12="Unidade Construtiva",TEXT(A12,"00"),IF(G12="Célula Construtiva",TEXT(B12,"00"),IF(G12="Etapa",CONCATENATE(TEXT(B12,"00"),".",TEXT(C12,"000")),IF(G12="Subetapa",CONCATENATE(TEXT(B12,"00"),".",TEXT(C12,"000"),".",TEXT(D12,"000")),IF(G12="Serviço",CONCATENATE(TEXT(B12,"00"),".",TEXT(C12,"000"),".",TEXT(D12,"000"),".",TEXT(E12,"000")),"")))))</f>
        <v/>
      </c>
      <c r="I12" s="15" t="inlineStr">
        <is>
          <t>TAXAS E DOCUMENTOS</t>
        </is>
      </c>
      <c r="J12" s="23" t="n"/>
    </row>
    <row r="13" ht="20.45" customFormat="1" customHeight="1" s="8">
      <c r="A13" s="14">
        <f>IF($G13="UNIDADE CONSTRUTIVA",OFFSET(A13,-1,0)+1,LARGE(A$3:A12,1))</f>
        <v/>
      </c>
      <c r="B13" s="14">
        <f>IF(G13="UNIDADE CONSTRUTIVA",0,IF(G13="CÉLULA CONSTRUTIVA",OFFSET(B13,-1,0)+1,OFFSET(B13,-1,0)))</f>
        <v/>
      </c>
      <c r="C13" s="14">
        <f>IF(G13="CÉLULA CONSTRUTIVA",0,IF(G13="ETAPA",OFFSET(C13,-1,0)+1,OFFSET(C13,-1,0)))</f>
        <v/>
      </c>
      <c r="D13" s="13">
        <f>IF(G13="ETAPA",0,IF(G13="SUBETAPA",OFFSET(D13,-1,0)+1,OFFSET(D13,-1,0)))</f>
        <v/>
      </c>
      <c r="E13" s="13">
        <f>IF(G13="Subetapa",0,IF(G13="serviço",OFFSET(E13,-1,0)+1,OFFSET(E13,-1,0)))</f>
        <v/>
      </c>
      <c r="F13" s="12" t="n"/>
      <c r="G13" s="19" t="inlineStr">
        <is>
          <t>Subetapa</t>
        </is>
      </c>
      <c r="H13" s="16">
        <f>IF(G13="Unidade Construtiva",TEXT(A13,"00"),IF(G13="Célula Construtiva",TEXT(B13,"00"),IF(G13="Etapa",CONCATENATE(TEXT(B13,"00"),".",TEXT(C13,"000")),IF(G13="Subetapa",CONCATENATE(TEXT(B13,"00"),".",TEXT(C13,"000"),".",TEXT(D13,"000")),IF(G13="Serviço",CONCATENATE(TEXT(B13,"00"),".",TEXT(C13,"000"),".",TEXT(D13,"000"),".",TEXT(E13,"000")),"")))))</f>
        <v/>
      </c>
      <c r="I13" s="18" t="inlineStr">
        <is>
          <t>Licenciamentos, Taxas, Impostos, Aprovações e Seguros</t>
        </is>
      </c>
      <c r="J13" s="23" t="n"/>
    </row>
    <row r="14" ht="20.45" customFormat="1" customHeight="1" s="8">
      <c r="A14" s="14">
        <f>IF($G14="UNIDADE CONSTRUTIVA",OFFSET(A14,-1,0)+1,LARGE(A$3:A13,1))</f>
        <v/>
      </c>
      <c r="B14" s="14">
        <f>IF(G14="UNIDADE CONSTRUTIVA",0,IF(G14="CÉLULA CONSTRUTIVA",OFFSET(B14,-1,0)+1,OFFSET(B14,-1,0)))</f>
        <v/>
      </c>
      <c r="C14" s="14">
        <f>IF(G14="CÉLULA CONSTRUTIVA",0,IF(G14="ETAPA",OFFSET(C14,-1,0)+1,OFFSET(C14,-1,0)))</f>
        <v/>
      </c>
      <c r="D14" s="13">
        <f>IF(G14="ETAPA",0,IF(G14="SUBETAPA",OFFSET(D14,-1,0)+1,OFFSET(D14,-1,0)))</f>
        <v/>
      </c>
      <c r="E14" s="13">
        <f>IF(G14="Subetapa",0,IF(G14="serviço",OFFSET(E14,-1,0)+1,OFFSET(E14,-1,0)))</f>
        <v/>
      </c>
      <c r="F14" s="12" t="n"/>
      <c r="G14" s="19" t="inlineStr">
        <is>
          <t>Subetapa</t>
        </is>
      </c>
      <c r="H14" s="16">
        <f>IF(G14="Unidade Construtiva",TEXT(A14,"00"),IF(G14="Célula Construtiva",TEXT(B14,"00"),IF(G14="Etapa",CONCATENATE(TEXT(B14,"00"),".",TEXT(C14,"000")),IF(G14="Subetapa",CONCATENATE(TEXT(B14,"00"),".",TEXT(C14,"000"),".",TEXT(D14,"000")),IF(G14="Serviço",CONCATENATE(TEXT(B14,"00"),".",TEXT(C14,"000"),".",TEXT(D14,"000"),".",TEXT(E14,"000")),"")))))</f>
        <v/>
      </c>
      <c r="I14" s="18" t="inlineStr">
        <is>
          <t>Documentos</t>
        </is>
      </c>
      <c r="J14" s="23" t="n"/>
    </row>
    <row r="15" ht="20.45" customFormat="1" customHeight="1" s="8">
      <c r="A15" s="14">
        <f>IF($G15="UNIDADE CONSTRUTIVA",OFFSET(A15,-1,0)+1,LARGE(A$3:A14,1))</f>
        <v/>
      </c>
      <c r="B15" s="14">
        <f>IF(G15="UNIDADE CONSTRUTIVA",0,IF(G15="CÉLULA CONSTRUTIVA",OFFSET(B15,-1,0)+1,OFFSET(B15,-1,0)))</f>
        <v/>
      </c>
      <c r="C15" s="14">
        <f>IF(G15="CÉLULA CONSTRUTIVA",0,IF(G15="ETAPA",OFFSET(C15,-1,0)+1,OFFSET(C15,-1,0)))</f>
        <v/>
      </c>
      <c r="D15" s="13">
        <f>IF(G15="ETAPA",0,IF(G15="SUBETAPA",OFFSET(D15,-1,0)+1,OFFSET(D15,-1,0)))</f>
        <v/>
      </c>
      <c r="E15" s="13">
        <f>IF(G15="Subetapa",0,IF(G15="serviço",OFFSET(E15,-1,0)+1,OFFSET(E15,-1,0)))</f>
        <v/>
      </c>
      <c r="F15" s="12" t="n"/>
      <c r="G15" s="17" t="inlineStr">
        <is>
          <t>CÉLULA CONSTRUTIVA</t>
        </is>
      </c>
      <c r="H15" s="16">
        <f>IF(G15="Unidade Construtiva",TEXT(A15,"00"),IF(G15="Célula Construtiva",TEXT(B15,"00"),IF(G15="Etapa",CONCATENATE(TEXT(B15,"00"),".",TEXT(C15,"000")),IF(G15="Subetapa",CONCATENATE(TEXT(B15,"00"),".",TEXT(C15,"000"),".",TEXT(D15,"000")),IF(G15="Serviço",CONCATENATE(TEXT(B15,"00"),".",TEXT(C15,"000"),".",TEXT(D15,"000"),".",TEXT(E15,"000")),"")))))</f>
        <v/>
      </c>
      <c r="I15" s="15" t="inlineStr">
        <is>
          <t>SERVIÇOS INICIAIS</t>
        </is>
      </c>
      <c r="J15" s="23" t="n"/>
    </row>
    <row r="16" ht="20.45" customFormat="1" customHeight="1" s="8">
      <c r="A16" s="14">
        <f>IF($G16="UNIDADE CONSTRUTIVA",OFFSET(A16,-1,0)+1,LARGE(A$3:A15,1))</f>
        <v/>
      </c>
      <c r="B16" s="14">
        <f>IF(G16="UNIDADE CONSTRUTIVA",0,IF(G16="CÉLULA CONSTRUTIVA",OFFSET(B16,-1,0)+1,OFFSET(B16,-1,0)))</f>
        <v/>
      </c>
      <c r="C16" s="14">
        <f>IF(G16="CÉLULA CONSTRUTIVA",0,IF(G16="ETAPA",OFFSET(C16,-1,0)+1,OFFSET(C16,-1,0)))</f>
        <v/>
      </c>
      <c r="D16" s="13">
        <f>IF(G16="ETAPA",0,IF(G16="SUBETAPA",OFFSET(D16,-1,0)+1,OFFSET(D16,-1,0)))</f>
        <v/>
      </c>
      <c r="E16" s="13">
        <f>IF(G16="Subetapa",0,IF(G16="serviço",OFFSET(E16,-1,0)+1,OFFSET(E16,-1,0)))</f>
        <v/>
      </c>
      <c r="F16" s="12" t="n"/>
      <c r="G16" s="17" t="inlineStr">
        <is>
          <t>ETAPA</t>
        </is>
      </c>
      <c r="H16" s="16">
        <f>IF(G16="Unidade Construtiva",TEXT(A16,"00"),IF(G16="Célula Construtiva",TEXT(B16,"00"),IF(G16="Etapa",CONCATENATE(TEXT(B16,"00"),".",TEXT(C16,"000")),IF(G16="Subetapa",CONCATENATE(TEXT(B16,"00"),".",TEXT(C16,"000"),".",TEXT(D16,"000")),IF(G16="Serviço",CONCATENATE(TEXT(B16,"00"),".",TEXT(C16,"000"),".",TEXT(D16,"000"),".",TEXT(E16,"000")),"")))))</f>
        <v/>
      </c>
      <c r="I16" s="15" t="inlineStr">
        <is>
          <t>SEGURANÇA, MEIO AMBIENTE, SAÚDE</t>
        </is>
      </c>
      <c r="J16" s="23" t="n"/>
    </row>
    <row r="17" ht="20.45" customFormat="1" customHeight="1" s="8">
      <c r="A17" s="14">
        <f>IF($G17="UNIDADE CONSTRUTIVA",OFFSET(A17,-1,0)+1,LARGE(A$3:A16,1))</f>
        <v/>
      </c>
      <c r="B17" s="14">
        <f>IF(G17="UNIDADE CONSTRUTIVA",0,IF(G17="CÉLULA CONSTRUTIVA",OFFSET(B17,-1,0)+1,OFFSET(B17,-1,0)))</f>
        <v/>
      </c>
      <c r="C17" s="14">
        <f>IF(G17="CÉLULA CONSTRUTIVA",0,IF(G17="ETAPA",OFFSET(C17,-1,0)+1,OFFSET(C17,-1,0)))</f>
        <v/>
      </c>
      <c r="D17" s="13">
        <f>IF(G17="ETAPA",0,IF(G17="SUBETAPA",OFFSET(D17,-1,0)+1,OFFSET(D17,-1,0)))</f>
        <v/>
      </c>
      <c r="E17" s="13">
        <f>IF(G17="Subetapa",0,IF(G17="serviço",OFFSET(E17,-1,0)+1,OFFSET(E17,-1,0)))</f>
        <v/>
      </c>
      <c r="F17" s="12" t="n"/>
      <c r="G17" s="19" t="inlineStr">
        <is>
          <t>Subetapa</t>
        </is>
      </c>
      <c r="H17" s="16">
        <f>IF(G17="Unidade Construtiva",TEXT(A17,"00"),IF(G17="Célula Construtiva",TEXT(B17,"00"),IF(G17="Etapa",CONCATENATE(TEXT(B17,"00"),".",TEXT(C17,"000")),IF(G17="Subetapa",CONCATENATE(TEXT(B17,"00"),".",TEXT(C17,"000"),".",TEXT(D17,"000")),IF(G17="Serviço",CONCATENATE(TEXT(B17,"00"),".",TEXT(C17,"000"),".",TEXT(D17,"000"),".",TEXT(E17,"000")),"")))))</f>
        <v/>
      </c>
      <c r="I17" s="18" t="inlineStr">
        <is>
          <t>Segurança do trabalho</t>
        </is>
      </c>
      <c r="J17" s="23" t="n"/>
    </row>
    <row r="18" ht="20.45" customFormat="1" customHeight="1" s="8">
      <c r="A18" s="14">
        <f>IF($G18="UNIDADE CONSTRUTIVA",OFFSET(A18,-1,0)+1,LARGE(A$3:A17,1))</f>
        <v/>
      </c>
      <c r="B18" s="14">
        <f>IF(G18="UNIDADE CONSTRUTIVA",0,IF(G18="CÉLULA CONSTRUTIVA",OFFSET(B18,-1,0)+1,OFFSET(B18,-1,0)))</f>
        <v/>
      </c>
      <c r="C18" s="14">
        <f>IF(G18="CÉLULA CONSTRUTIVA",0,IF(G18="ETAPA",OFFSET(C18,-1,0)+1,OFFSET(C18,-1,0)))</f>
        <v/>
      </c>
      <c r="D18" s="13">
        <f>IF(G18="ETAPA",0,IF(G18="SUBETAPA",OFFSET(D18,-1,0)+1,OFFSET(D18,-1,0)))</f>
        <v/>
      </c>
      <c r="E18" s="13">
        <f>IF(G18="Subetapa",0,IF(G18="serviço",OFFSET(E18,-1,0)+1,OFFSET(E18,-1,0)))</f>
        <v/>
      </c>
      <c r="F18" s="12" t="n"/>
      <c r="G18" s="19" t="inlineStr">
        <is>
          <t>Subetapa</t>
        </is>
      </c>
      <c r="H18" s="16">
        <f>IF(G18="Unidade Construtiva",TEXT(A18,"00"),IF(G18="Célula Construtiva",TEXT(B18,"00"),IF(G18="Etapa",CONCATENATE(TEXT(B18,"00"),".",TEXT(C18,"000")),IF(G18="Subetapa",CONCATENATE(TEXT(B18,"00"),".",TEXT(C18,"000"),".",TEXT(D18,"000")),IF(G18="Serviço",CONCATENATE(TEXT(B18,"00"),".",TEXT(C18,"000"),".",TEXT(D18,"000"),".",TEXT(E18,"000")),"")))))</f>
        <v/>
      </c>
      <c r="I18" s="18" t="inlineStr">
        <is>
          <t>Equipamentos de proteção</t>
        </is>
      </c>
      <c r="J18" s="23" t="n"/>
    </row>
    <row r="19" ht="20.45" customFormat="1" customHeight="1" s="8">
      <c r="A19" s="14">
        <f>IF($G19="UNIDADE CONSTRUTIVA",OFFSET(A19,-1,0)+1,LARGE(A$3:A18,1))</f>
        <v/>
      </c>
      <c r="B19" s="14">
        <f>IF(G19="UNIDADE CONSTRUTIVA",0,IF(G19="CÉLULA CONSTRUTIVA",OFFSET(B19,-1,0)+1,OFFSET(B19,-1,0)))</f>
        <v/>
      </c>
      <c r="C19" s="14">
        <f>IF(G19="CÉLULA CONSTRUTIVA",0,IF(G19="ETAPA",OFFSET(C19,-1,0)+1,OFFSET(C19,-1,0)))</f>
        <v/>
      </c>
      <c r="D19" s="13">
        <f>IF(G19="ETAPA",0,IF(G19="SUBETAPA",OFFSET(D19,-1,0)+1,OFFSET(D19,-1,0)))</f>
        <v/>
      </c>
      <c r="E19" s="13">
        <f>IF(G19="Subetapa",0,IF(G19="serviço",OFFSET(E19,-1,0)+1,OFFSET(E19,-1,0)))</f>
        <v/>
      </c>
      <c r="F19" s="12" t="n"/>
      <c r="G19" s="19" t="inlineStr">
        <is>
          <t>Subetapa</t>
        </is>
      </c>
      <c r="H19" s="16">
        <f>IF(G19="Unidade Construtiva",TEXT(A19,"00"),IF(G19="Célula Construtiva",TEXT(B19,"00"),IF(G19="Etapa",CONCATENATE(TEXT(B19,"00"),".",TEXT(C19,"000")),IF(G19="Subetapa",CONCATENATE(TEXT(B19,"00"),".",TEXT(C19,"000"),".",TEXT(D19,"000")),IF(G19="Serviço",CONCATENATE(TEXT(B19,"00"),".",TEXT(C19,"000"),".",TEXT(D19,"000"),".",TEXT(E19,"000")),"")))))</f>
        <v/>
      </c>
      <c r="I19" s="18" t="inlineStr">
        <is>
          <t>Meio ambiente</t>
        </is>
      </c>
      <c r="J19" s="23" t="n"/>
    </row>
    <row r="20" ht="20.45" customFormat="1" customHeight="1" s="8">
      <c r="A20" s="14">
        <f>IF($G20="UNIDADE CONSTRUTIVA",OFFSET(A20,-1,0)+1,LARGE(A$3:A19,1))</f>
        <v/>
      </c>
      <c r="B20" s="14">
        <f>IF(G20="UNIDADE CONSTRUTIVA",0,IF(G20="CÉLULA CONSTRUTIVA",OFFSET(B20,-1,0)+1,OFFSET(B20,-1,0)))</f>
        <v/>
      </c>
      <c r="C20" s="14">
        <f>IF(G20="CÉLULA CONSTRUTIVA",0,IF(G20="ETAPA",OFFSET(C20,-1,0)+1,OFFSET(C20,-1,0)))</f>
        <v/>
      </c>
      <c r="D20" s="13">
        <f>IF(G20="ETAPA",0,IF(G20="SUBETAPA",OFFSET(D20,-1,0)+1,OFFSET(D20,-1,0)))</f>
        <v/>
      </c>
      <c r="E20" s="13">
        <f>IF(G20="Subetapa",0,IF(G20="serviço",OFFSET(E20,-1,0)+1,OFFSET(E20,-1,0)))</f>
        <v/>
      </c>
      <c r="F20" s="12" t="n"/>
      <c r="G20" s="19" t="inlineStr">
        <is>
          <t>Subetapa</t>
        </is>
      </c>
      <c r="H20" s="16">
        <f>IF(G20="Unidade Construtiva",TEXT(A20,"00"),IF(G20="Célula Construtiva",TEXT(B20,"00"),IF(G20="Etapa",CONCATENATE(TEXT(B20,"00"),".",TEXT(C20,"000")),IF(G20="Subetapa",CONCATENATE(TEXT(B20,"00"),".",TEXT(C20,"000"),".",TEXT(D20,"000")),IF(G20="Serviço",CONCATENATE(TEXT(B20,"00"),".",TEXT(C20,"000"),".",TEXT(D20,"000"),".",TEXT(E20,"000")),"")))))</f>
        <v/>
      </c>
      <c r="I20" s="18" t="inlineStr">
        <is>
          <t>Saúde ocupacional</t>
        </is>
      </c>
      <c r="J20" s="23" t="n"/>
    </row>
    <row r="21" ht="20.45" customFormat="1" customHeight="1" s="8">
      <c r="A21" s="14">
        <f>IF($G21="UNIDADE CONSTRUTIVA",OFFSET(A21,-1,0)+1,LARGE(A$3:A20,1))</f>
        <v/>
      </c>
      <c r="B21" s="14">
        <f>IF(G21="UNIDADE CONSTRUTIVA",0,IF(G21="CÉLULA CONSTRUTIVA",OFFSET(B21,-1,0)+1,OFFSET(B21,-1,0)))</f>
        <v/>
      </c>
      <c r="C21" s="14">
        <f>IF(G21="CÉLULA CONSTRUTIVA",0,IF(G21="ETAPA",OFFSET(C21,-1,0)+1,OFFSET(C21,-1,0)))</f>
        <v/>
      </c>
      <c r="D21" s="13">
        <f>IF(G21="ETAPA",0,IF(G21="SUBETAPA",OFFSET(D21,-1,0)+1,OFFSET(D21,-1,0)))</f>
        <v/>
      </c>
      <c r="E21" s="13">
        <f>IF(G21="Subetapa",0,IF(G21="serviço",OFFSET(E21,-1,0)+1,OFFSET(E21,-1,0)))</f>
        <v/>
      </c>
      <c r="F21" s="12" t="n"/>
      <c r="G21" s="17" t="inlineStr">
        <is>
          <t>ETAPA</t>
        </is>
      </c>
      <c r="H21" s="16">
        <f>IF(G21="Unidade Construtiva",TEXT(A21,"00"),IF(G21="Célula Construtiva",TEXT(B21,"00"),IF(G21="Etapa",CONCATENATE(TEXT(B21,"00"),".",TEXT(C21,"000")),IF(G21="Subetapa",CONCATENATE(TEXT(B21,"00"),".",TEXT(C21,"000"),".",TEXT(D21,"000")),IF(G21="Serviço",CONCATENATE(TEXT(B21,"00"),".",TEXT(C21,"000"),".",TEXT(D21,"000"),".",TEXT(E21,"000")),"")))))</f>
        <v/>
      </c>
      <c r="I21" s="15" t="inlineStr">
        <is>
          <t>ADMINISTRAÇÃO E CANTEIRO DE OBRA</t>
        </is>
      </c>
      <c r="J21" s="23" t="n"/>
    </row>
    <row r="22" ht="20.45" customFormat="1" customHeight="1" s="8">
      <c r="A22" s="14">
        <f>IF($G22="UNIDADE CONSTRUTIVA",OFFSET(A22,-1,0)+1,LARGE(A$3:A21,1))</f>
        <v/>
      </c>
      <c r="B22" s="14">
        <f>IF(G22="UNIDADE CONSTRUTIVA",0,IF(G22="CÉLULA CONSTRUTIVA",OFFSET(B22,-1,0)+1,OFFSET(B22,-1,0)))</f>
        <v/>
      </c>
      <c r="C22" s="14">
        <f>IF(G22="CÉLULA CONSTRUTIVA",0,IF(G22="ETAPA",OFFSET(C22,-1,0)+1,OFFSET(C22,-1,0)))</f>
        <v/>
      </c>
      <c r="D22" s="13">
        <f>IF(G22="ETAPA",0,IF(G22="SUBETAPA",OFFSET(D22,-1,0)+1,OFFSET(D22,-1,0)))</f>
        <v/>
      </c>
      <c r="E22" s="13">
        <f>IF(G22="Subetapa",0,IF(G22="serviço",OFFSET(E22,-1,0)+1,OFFSET(E22,-1,0)))</f>
        <v/>
      </c>
      <c r="F22" s="12" t="n"/>
      <c r="G22" s="19" t="inlineStr">
        <is>
          <t>Subetapa</t>
        </is>
      </c>
      <c r="H22" s="16">
        <f>IF(G22="Unidade Construtiva",TEXT(A22,"00"),IF(G22="Célula Construtiva",TEXT(B22,"00"),IF(G22="Etapa",CONCATENATE(TEXT(B22,"00"),".",TEXT(C22,"000")),IF(G22="Subetapa",CONCATENATE(TEXT(B22,"00"),".",TEXT(C22,"000"),".",TEXT(D22,"000")),IF(G22="Serviço",CONCATENATE(TEXT(B22,"00"),".",TEXT(C22,"000"),".",TEXT(D22,"000"),".",TEXT(E22,"000")),"")))))</f>
        <v/>
      </c>
      <c r="I22" s="18" t="inlineStr">
        <is>
          <t>Equipe de Gestão e Apoio</t>
        </is>
      </c>
      <c r="J22" s="23" t="n"/>
    </row>
    <row r="23" ht="20.45" customFormat="1" customHeight="1" s="8">
      <c r="A23" s="14">
        <f>IF($G23="UNIDADE CONSTRUTIVA",OFFSET(A23,-1,0)+1,LARGE(A$3:A22,1))</f>
        <v/>
      </c>
      <c r="B23" s="14">
        <f>IF(G23="UNIDADE CONSTRUTIVA",0,IF(G23="CÉLULA CONSTRUTIVA",OFFSET(B23,-1,0)+1,OFFSET(B23,-1,0)))</f>
        <v/>
      </c>
      <c r="C23" s="14">
        <f>IF(G23="CÉLULA CONSTRUTIVA",0,IF(G23="ETAPA",OFFSET(C23,-1,0)+1,OFFSET(C23,-1,0)))</f>
        <v/>
      </c>
      <c r="D23" s="13">
        <f>IF(G23="ETAPA",0,IF(G23="SUBETAPA",OFFSET(D23,-1,0)+1,OFFSET(D23,-1,0)))</f>
        <v/>
      </c>
      <c r="E23" s="13">
        <f>IF(G23="Subetapa",0,IF(G23="serviço",OFFSET(E23,-1,0)+1,OFFSET(E23,-1,0)))</f>
        <v/>
      </c>
      <c r="F23" s="12" t="n"/>
      <c r="G23" s="19" t="inlineStr">
        <is>
          <t>Subetapa</t>
        </is>
      </c>
      <c r="H23" s="16">
        <f>IF(G23="Unidade Construtiva",TEXT(A23,"00"),IF(G23="Célula Construtiva",TEXT(B23,"00"),IF(G23="Etapa",CONCATENATE(TEXT(B23,"00"),".",TEXT(C23,"000")),IF(G23="Subetapa",CONCATENATE(TEXT(B23,"00"),".",TEXT(C23,"000"),".",TEXT(D23,"000")),IF(G23="Serviço",CONCATENATE(TEXT(B23,"00"),".",TEXT(C23,"000"),".",TEXT(D23,"000"),".",TEXT(E23,"000")),"")))))</f>
        <v/>
      </c>
      <c r="I23" s="18" t="inlineStr">
        <is>
          <t>Operação inicial de canteiro</t>
        </is>
      </c>
      <c r="J23" s="23" t="n"/>
    </row>
    <row r="24" ht="20.45" customFormat="1" customHeight="1" s="8">
      <c r="A24" s="14">
        <f>IF($G24="UNIDADE CONSTRUTIVA",OFFSET(A24,-1,0)+1,LARGE(A$3:A23,1))</f>
        <v/>
      </c>
      <c r="B24" s="14">
        <f>IF(G24="UNIDADE CONSTRUTIVA",0,IF(G24="CÉLULA CONSTRUTIVA",OFFSET(B24,-1,0)+1,OFFSET(B24,-1,0)))</f>
        <v/>
      </c>
      <c r="C24" s="14">
        <f>IF(G24="CÉLULA CONSTRUTIVA",0,IF(G24="ETAPA",OFFSET(C24,-1,0)+1,OFFSET(C24,-1,0)))</f>
        <v/>
      </c>
      <c r="D24" s="13">
        <f>IF(G24="ETAPA",0,IF(G24="SUBETAPA",OFFSET(D24,-1,0)+1,OFFSET(D24,-1,0)))</f>
        <v/>
      </c>
      <c r="E24" s="13">
        <f>IF(G24="Subetapa",0,IF(G24="serviço",OFFSET(E24,-1,0)+1,OFFSET(E24,-1,0)))</f>
        <v/>
      </c>
      <c r="F24" s="12" t="n"/>
      <c r="G24" s="19" t="inlineStr">
        <is>
          <t>Subetapa</t>
        </is>
      </c>
      <c r="H24" s="16">
        <f>IF(G24="Unidade Construtiva",TEXT(A24,"00"),IF(G24="Célula Construtiva",TEXT(B24,"00"),IF(G24="Etapa",CONCATENATE(TEXT(B24,"00"),".",TEXT(C24,"000")),IF(G24="Subetapa",CONCATENATE(TEXT(B24,"00"),".",TEXT(C24,"000"),".",TEXT(D24,"000")),IF(G24="Serviço",CONCATENATE(TEXT(B24,"00"),".",TEXT(C24,"000"),".",TEXT(D24,"000"),".",TEXT(E24,"000")),"")))))</f>
        <v/>
      </c>
      <c r="I24" s="18" t="inlineStr">
        <is>
          <t>Despesas de consumo e manutenção</t>
        </is>
      </c>
      <c r="J24" s="23" t="n"/>
    </row>
    <row r="25" ht="20.45" customFormat="1" customHeight="1" s="8">
      <c r="A25" s="14">
        <f>IF($G25="UNIDADE CONSTRUTIVA",OFFSET(A25,-1,0)+1,LARGE(A$3:A24,1))</f>
        <v/>
      </c>
      <c r="B25" s="14">
        <f>IF(G25="UNIDADE CONSTRUTIVA",0,IF(G25="CÉLULA CONSTRUTIVA",OFFSET(B25,-1,0)+1,OFFSET(B25,-1,0)))</f>
        <v/>
      </c>
      <c r="C25" s="14">
        <f>IF(G25="CÉLULA CONSTRUTIVA",0,IF(G25="ETAPA",OFFSET(C25,-1,0)+1,OFFSET(C25,-1,0)))</f>
        <v/>
      </c>
      <c r="D25" s="13">
        <f>IF(G25="ETAPA",0,IF(G25="SUBETAPA",OFFSET(D25,-1,0)+1,OFFSET(D25,-1,0)))</f>
        <v/>
      </c>
      <c r="E25" s="13">
        <f>IF(G25="Subetapa",0,IF(G25="serviço",OFFSET(E25,-1,0)+1,OFFSET(E25,-1,0)))</f>
        <v/>
      </c>
      <c r="F25" s="12" t="n"/>
      <c r="G25" s="19" t="inlineStr">
        <is>
          <t>Subetapa</t>
        </is>
      </c>
      <c r="H25" s="16">
        <f>IF(G25="Unidade Construtiva",TEXT(A25,"00"),IF(G25="Célula Construtiva",TEXT(B25,"00"),IF(G25="Etapa",CONCATENATE(TEXT(B25,"00"),".",TEXT(C25,"000")),IF(G25="Subetapa",CONCATENATE(TEXT(B25,"00"),".",TEXT(C25,"000"),".",TEXT(D25,"000")),IF(G25="Serviço",CONCATENATE(TEXT(B25,"00"),".",TEXT(C25,"000"),".",TEXT(D25,"000"),".",TEXT(E25,"000")),"")))))</f>
        <v/>
      </c>
      <c r="I25" s="18" t="inlineStr">
        <is>
          <t>Instalações provisórias</t>
        </is>
      </c>
      <c r="J25" s="23" t="n"/>
    </row>
    <row r="26" ht="20.45" customFormat="1" customHeight="1" s="8">
      <c r="A26" s="14">
        <f>IF($G26="UNIDADE CONSTRUTIVA",OFFSET(A26,-1,0)+1,LARGE(A$3:A25,1))</f>
        <v/>
      </c>
      <c r="B26" s="14">
        <f>IF(G26="UNIDADE CONSTRUTIVA",0,IF(G26="CÉLULA CONSTRUTIVA",OFFSET(B26,-1,0)+1,OFFSET(B26,-1,0)))</f>
        <v/>
      </c>
      <c r="C26" s="14">
        <f>IF(G26="CÉLULA CONSTRUTIVA",0,IF(G26="ETAPA",OFFSET(C26,-1,0)+1,OFFSET(C26,-1,0)))</f>
        <v/>
      </c>
      <c r="D26" s="13">
        <f>IF(G26="ETAPA",0,IF(G26="SUBETAPA",OFFSET(D26,-1,0)+1,OFFSET(D26,-1,0)))</f>
        <v/>
      </c>
      <c r="E26" s="13">
        <f>IF(G26="Subetapa",0,IF(G26="serviço",OFFSET(E26,-1,0)+1,OFFSET(E26,-1,0)))</f>
        <v/>
      </c>
      <c r="F26" s="12" t="n"/>
      <c r="G26" s="19" t="inlineStr">
        <is>
          <t>Subetapa</t>
        </is>
      </c>
      <c r="H26" s="16">
        <f>IF(G26="Unidade Construtiva",TEXT(A26,"00"),IF(G26="Célula Construtiva",TEXT(B26,"00"),IF(G26="Etapa",CONCATENATE(TEXT(B26,"00"),".",TEXT(C26,"000")),IF(G26="Subetapa",CONCATENATE(TEXT(B26,"00"),".",TEXT(C26,"000"),".",TEXT(D26,"000")),IF(G26="Serviço",CONCATENATE(TEXT(B26,"00"),".",TEXT(C26,"000"),".",TEXT(D26,"000"),".",TEXT(E26,"000")),"")))))</f>
        <v/>
      </c>
      <c r="I26" s="18" t="inlineStr">
        <is>
          <t>Ligações Provisórias</t>
        </is>
      </c>
      <c r="J26" s="23" t="n"/>
    </row>
    <row r="27" ht="20.45" customFormat="1" customHeight="1" s="8">
      <c r="A27" s="14">
        <f>IF($G27="UNIDADE CONSTRUTIVA",OFFSET(A27,-1,0)+1,LARGE(A$3:A26,1))</f>
        <v/>
      </c>
      <c r="B27" s="14">
        <f>IF(G27="UNIDADE CONSTRUTIVA",0,IF(G27="CÉLULA CONSTRUTIVA",OFFSET(B27,-1,0)+1,OFFSET(B27,-1,0)))</f>
        <v/>
      </c>
      <c r="C27" s="14">
        <f>IF(G27="CÉLULA CONSTRUTIVA",0,IF(G27="ETAPA",OFFSET(C27,-1,0)+1,OFFSET(C27,-1,0)))</f>
        <v/>
      </c>
      <c r="D27" s="13">
        <f>IF(G27="ETAPA",0,IF(G27="SUBETAPA",OFFSET(D27,-1,0)+1,OFFSET(D27,-1,0)))</f>
        <v/>
      </c>
      <c r="E27" s="13">
        <f>IF(G27="Subetapa",0,IF(G27="serviço",OFFSET(E27,-1,0)+1,OFFSET(E27,-1,0)))</f>
        <v/>
      </c>
      <c r="F27" s="12" t="n"/>
      <c r="G27" s="17" t="inlineStr">
        <is>
          <t>ETAPA</t>
        </is>
      </c>
      <c r="H27" s="16">
        <f>IF(G27="Unidade Construtiva",TEXT(A27,"00"),IF(G27="Célula Construtiva",TEXT(B27,"00"),IF(G27="Etapa",CONCATENATE(TEXT(B27,"00"),".",TEXT(C27,"000")),IF(G27="Subetapa",CONCATENATE(TEXT(B27,"00"),".",TEXT(C27,"000"),".",TEXT(D27,"000")),IF(G27="Serviço",CONCATENATE(TEXT(B27,"00"),".",TEXT(C27,"000"),".",TEXT(D27,"000"),".",TEXT(E27,"000")),"")))))</f>
        <v/>
      </c>
      <c r="I27" s="15" t="inlineStr">
        <is>
          <t>SERVIÇOS PRELIMINARES</t>
        </is>
      </c>
      <c r="J27" s="23" t="n"/>
    </row>
    <row r="28" ht="20.45" customFormat="1" customHeight="1" s="8">
      <c r="A28" s="14">
        <f>IF($G28="UNIDADE CONSTRUTIVA",OFFSET(A28,-1,0)+1,LARGE(A$3:A27,1))</f>
        <v/>
      </c>
      <c r="B28" s="14">
        <f>IF(G28="UNIDADE CONSTRUTIVA",0,IF(G28="CÉLULA CONSTRUTIVA",OFFSET(B28,-1,0)+1,OFFSET(B28,-1,0)))</f>
        <v/>
      </c>
      <c r="C28" s="14">
        <f>IF(G28="CÉLULA CONSTRUTIVA",0,IF(G28="ETAPA",OFFSET(C28,-1,0)+1,OFFSET(C28,-1,0)))</f>
        <v/>
      </c>
      <c r="D28" s="13">
        <f>IF(G28="ETAPA",0,IF(G28="SUBETAPA",OFFSET(D28,-1,0)+1,OFFSET(D28,-1,0)))</f>
        <v/>
      </c>
      <c r="E28" s="13">
        <f>IF(G28="Subetapa",0,IF(G28="serviço",OFFSET(E28,-1,0)+1,OFFSET(E28,-1,0)))</f>
        <v/>
      </c>
      <c r="F28" s="12" t="n"/>
      <c r="G28" s="19" t="inlineStr">
        <is>
          <t>Subetapa</t>
        </is>
      </c>
      <c r="H28" s="16">
        <f>IF(G28="Unidade Construtiva",TEXT(A28,"00"),IF(G28="Célula Construtiva",TEXT(B28,"00"),IF(G28="Etapa",CONCATENATE(TEXT(B28,"00"),".",TEXT(C28,"000")),IF(G28="Subetapa",CONCATENATE(TEXT(B28,"00"),".",TEXT(C28,"000"),".",TEXT(D28,"000")),IF(G28="Serviço",CONCATENATE(TEXT(B28,"00"),".",TEXT(C28,"000"),".",TEXT(D28,"000"),".",TEXT(E28,"000")),"")))))</f>
        <v/>
      </c>
      <c r="I28" s="18" t="inlineStr">
        <is>
          <t>Demolições</t>
        </is>
      </c>
      <c r="J28" s="23" t="n"/>
    </row>
    <row r="29" ht="20.45" customFormat="1" customHeight="1" s="8">
      <c r="A29" s="14">
        <f>IF($G29="UNIDADE CONSTRUTIVA",OFFSET(A29,-1,0)+1,LARGE(A$3:A28,1))</f>
        <v/>
      </c>
      <c r="B29" s="14">
        <f>IF(G29="UNIDADE CONSTRUTIVA",0,IF(G29="CÉLULA CONSTRUTIVA",OFFSET(B29,-1,0)+1,OFFSET(B29,-1,0)))</f>
        <v/>
      </c>
      <c r="C29" s="14">
        <f>IF(G29="CÉLULA CONSTRUTIVA",0,IF(G29="ETAPA",OFFSET(C29,-1,0)+1,OFFSET(C29,-1,0)))</f>
        <v/>
      </c>
      <c r="D29" s="13">
        <f>IF(G29="ETAPA",0,IF(G29="SUBETAPA",OFFSET(D29,-1,0)+1,OFFSET(D29,-1,0)))</f>
        <v/>
      </c>
      <c r="E29" s="13">
        <f>IF(G29="Subetapa",0,IF(G29="serviço",OFFSET(E29,-1,0)+1,OFFSET(E29,-1,0)))</f>
        <v/>
      </c>
      <c r="F29" s="12" t="n"/>
      <c r="G29" s="19" t="inlineStr">
        <is>
          <t>Subetapa</t>
        </is>
      </c>
      <c r="H29" s="16">
        <f>IF(G29="Unidade Construtiva",TEXT(A29,"00"),IF(G29="Célula Construtiva",TEXT(B29,"00"),IF(G29="Etapa",CONCATENATE(TEXT(B29,"00"),".",TEXT(C29,"000")),IF(G29="Subetapa",CONCATENATE(TEXT(B29,"00"),".",TEXT(C29,"000"),".",TEXT(D29,"000")),IF(G29="Serviço",CONCATENATE(TEXT(B29,"00"),".",TEXT(C29,"000"),".",TEXT(D29,"000"),".",TEXT(E29,"000")),"")))))</f>
        <v/>
      </c>
      <c r="I29" s="18" t="inlineStr">
        <is>
          <t>Limpeza de terreno</t>
        </is>
      </c>
      <c r="J29" s="23" t="n"/>
    </row>
    <row r="30" ht="20.45" customFormat="1" customHeight="1" s="8">
      <c r="A30" s="14">
        <f>IF($G30="UNIDADE CONSTRUTIVA",OFFSET(A30,-1,0)+1,LARGE(A$3:A29,1))</f>
        <v/>
      </c>
      <c r="B30" s="14">
        <f>IF(G30="UNIDADE CONSTRUTIVA",0,IF(G30="CÉLULA CONSTRUTIVA",OFFSET(B30,-1,0)+1,OFFSET(B30,-1,0)))</f>
        <v/>
      </c>
      <c r="C30" s="14">
        <f>IF(G30="CÉLULA CONSTRUTIVA",0,IF(G30="ETAPA",OFFSET(C30,-1,0)+1,OFFSET(C30,-1,0)))</f>
        <v/>
      </c>
      <c r="D30" s="13">
        <f>IF(G30="ETAPA",0,IF(G30="SUBETAPA",OFFSET(D30,-1,0)+1,OFFSET(D30,-1,0)))</f>
        <v/>
      </c>
      <c r="E30" s="13">
        <f>IF(G30="Subetapa",0,IF(G30="serviço",OFFSET(E30,-1,0)+1,OFFSET(E30,-1,0)))</f>
        <v/>
      </c>
      <c r="F30" s="12" t="n"/>
      <c r="G30" s="17" t="inlineStr">
        <is>
          <t>CÉLULA CONSTRUTIVA</t>
        </is>
      </c>
      <c r="H30" s="16">
        <f>IF(G30="Unidade Construtiva",TEXT(A30,"00"),IF(G30="Célula Construtiva",TEXT(B30,"00"),IF(G30="Etapa",CONCATENATE(TEXT(B30,"00"),".",TEXT(C30,"000")),IF(G30="Subetapa",CONCATENATE(TEXT(B30,"00"),".",TEXT(C30,"000"),".",TEXT(D30,"000")),IF(G30="Serviço",CONCATENATE(TEXT(B30,"00"),".",TEXT(C30,"000"),".",TEXT(D30,"000"),".",TEXT(E30,"000")),"")))))</f>
        <v/>
      </c>
      <c r="I30" s="15" t="inlineStr">
        <is>
          <t>EQUIPAMENTOS</t>
        </is>
      </c>
      <c r="J30" s="23" t="n"/>
    </row>
    <row r="31" ht="20.45" customFormat="1" customHeight="1" s="8">
      <c r="A31" s="14">
        <f>IF($G31="UNIDADE CONSTRUTIVA",OFFSET(A31,-1,0)+1,LARGE(A$3:A30,1))</f>
        <v/>
      </c>
      <c r="B31" s="14">
        <f>IF(G31="UNIDADE CONSTRUTIVA",0,IF(G31="CÉLULA CONSTRUTIVA",OFFSET(B31,-1,0)+1,OFFSET(B31,-1,0)))</f>
        <v/>
      </c>
      <c r="C31" s="14">
        <f>IF(G31="CÉLULA CONSTRUTIVA",0,IF(G31="ETAPA",OFFSET(C31,-1,0)+1,OFFSET(C31,-1,0)))</f>
        <v/>
      </c>
      <c r="D31" s="13">
        <f>IF(G31="ETAPA",0,IF(G31="SUBETAPA",OFFSET(D31,-1,0)+1,OFFSET(D31,-1,0)))</f>
        <v/>
      </c>
      <c r="E31" s="13">
        <f>IF(G31="Subetapa",0,IF(G31="serviço",OFFSET(E31,-1,0)+1,OFFSET(E31,-1,0)))</f>
        <v/>
      </c>
      <c r="F31" s="12" t="n"/>
      <c r="G31" s="17" t="inlineStr">
        <is>
          <t>ETAPA</t>
        </is>
      </c>
      <c r="H31" s="16">
        <f>IF(G31="Unidade Construtiva",TEXT(A31,"00"),IF(G31="Célula Construtiva",TEXT(B31,"00"),IF(G31="Etapa",CONCATENATE(TEXT(B31,"00"),".",TEXT(C31,"000")),IF(G31="Subetapa",CONCATENATE(TEXT(B31,"00"),".",TEXT(C31,"000"),".",TEXT(D31,"000")),IF(G31="Serviço",CONCATENATE(TEXT(B31,"00"),".",TEXT(C31,"000"),".",TEXT(D31,"000"),".",TEXT(E31,"000")),"")))))</f>
        <v/>
      </c>
      <c r="I31" s="15" t="inlineStr">
        <is>
          <t>EQUIPAMENTOS</t>
        </is>
      </c>
      <c r="J31" s="23" t="n"/>
    </row>
    <row r="32" ht="20.45" customFormat="1" customHeight="1" s="8">
      <c r="A32" s="14">
        <f>IF($G32="UNIDADE CONSTRUTIVA",OFFSET(A32,-1,0)+1,LARGE(A$3:A31,1))</f>
        <v/>
      </c>
      <c r="B32" s="14">
        <f>IF(G32="UNIDADE CONSTRUTIVA",0,IF(G32="CÉLULA CONSTRUTIVA",OFFSET(B32,-1,0)+1,OFFSET(B32,-1,0)))</f>
        <v/>
      </c>
      <c r="C32" s="14">
        <f>IF(G32="CÉLULA CONSTRUTIVA",0,IF(G32="ETAPA",OFFSET(C32,-1,0)+1,OFFSET(C32,-1,0)))</f>
        <v/>
      </c>
      <c r="D32" s="13">
        <f>IF(G32="ETAPA",0,IF(G32="SUBETAPA",OFFSET(D32,-1,0)+1,OFFSET(D32,-1,0)))</f>
        <v/>
      </c>
      <c r="E32" s="13">
        <f>IF(G32="Subetapa",0,IF(G32="serviço",OFFSET(E32,-1,0)+1,OFFSET(E32,-1,0)))</f>
        <v/>
      </c>
      <c r="F32" s="12" t="n"/>
      <c r="G32" s="19" t="inlineStr">
        <is>
          <t>Subetapa</t>
        </is>
      </c>
      <c r="H32" s="16">
        <f>IF(G32="Unidade Construtiva",TEXT(A32,"00"),IF(G32="Célula Construtiva",TEXT(B32,"00"),IF(G32="Etapa",CONCATENATE(TEXT(B32,"00"),".",TEXT(C32,"000")),IF(G32="Subetapa",CONCATENATE(TEXT(B32,"00"),".",TEXT(C32,"000"),".",TEXT(D32,"000")),IF(G32="Serviço",CONCATENATE(TEXT(B32,"00"),".",TEXT(C32,"000"),".",TEXT(D32,"000"),".",TEXT(E32,"000")),"")))))</f>
        <v/>
      </c>
      <c r="I32" s="18" t="inlineStr">
        <is>
          <t>Equipamentos de Carga e Transporte</t>
        </is>
      </c>
      <c r="J32" s="23" t="n"/>
    </row>
    <row r="33" ht="20.45" customFormat="1" customHeight="1" s="8">
      <c r="A33" s="14">
        <f>IF($G33="UNIDADE CONSTRUTIVA",OFFSET(A33,-1,0)+1,LARGE(A$3:A32,1))</f>
        <v/>
      </c>
      <c r="B33" s="14">
        <f>IF(G33="UNIDADE CONSTRUTIVA",0,IF(G33="CÉLULA CONSTRUTIVA",OFFSET(B33,-1,0)+1,OFFSET(B33,-1,0)))</f>
        <v/>
      </c>
      <c r="C33" s="14">
        <f>IF(G33="CÉLULA CONSTRUTIVA",0,IF(G33="ETAPA",OFFSET(C33,-1,0)+1,OFFSET(C33,-1,0)))</f>
        <v/>
      </c>
      <c r="D33" s="13">
        <f>IF(G33="ETAPA",0,IF(G33="SUBETAPA",OFFSET(D33,-1,0)+1,OFFSET(D33,-1,0)))</f>
        <v/>
      </c>
      <c r="E33" s="13">
        <f>IF(G33="Subetapa",0,IF(G33="serviço",OFFSET(E33,-1,0)+1,OFFSET(E33,-1,0)))</f>
        <v/>
      </c>
      <c r="F33" s="12" t="n"/>
      <c r="G33" s="19" t="inlineStr">
        <is>
          <t>Subetapa</t>
        </is>
      </c>
      <c r="H33" s="16">
        <f>IF(G33="Unidade Construtiva",TEXT(A33,"00"),IF(G33="Célula Construtiva",TEXT(B33,"00"),IF(G33="Etapa",CONCATENATE(TEXT(B33,"00"),".",TEXT(C33,"000")),IF(G33="Subetapa",CONCATENATE(TEXT(B33,"00"),".",TEXT(C33,"000"),".",TEXT(D33,"000")),IF(G33="Serviço",CONCATENATE(TEXT(B33,"00"),".",TEXT(C33,"000"),".",TEXT(D33,"000"),".",TEXT(E33,"000")),"")))))</f>
        <v/>
      </c>
      <c r="I33" s="18" t="inlineStr">
        <is>
          <t>Equipamentos de obra</t>
        </is>
      </c>
      <c r="J33" s="23" t="n"/>
    </row>
    <row r="34" ht="20.45" customFormat="1" customHeight="1" s="8">
      <c r="A34" s="14">
        <f>IF($G34="UNIDADE CONSTRUTIVA",OFFSET(A34,-1,0)+1,LARGE(A$3:A33,1))</f>
        <v/>
      </c>
      <c r="B34" s="14">
        <f>IF(G34="UNIDADE CONSTRUTIVA",0,IF(G34="CÉLULA CONSTRUTIVA",OFFSET(B34,-1,0)+1,OFFSET(B34,-1,0)))</f>
        <v/>
      </c>
      <c r="C34" s="14">
        <f>IF(G34="CÉLULA CONSTRUTIVA",0,IF(G34="ETAPA",OFFSET(C34,-1,0)+1,OFFSET(C34,-1,0)))</f>
        <v/>
      </c>
      <c r="D34" s="13">
        <f>IF(G34="ETAPA",0,IF(G34="SUBETAPA",OFFSET(D34,-1,0)+1,OFFSET(D34,-1,0)))</f>
        <v/>
      </c>
      <c r="E34" s="13">
        <f>IF(G34="Subetapa",0,IF(G34="serviço",OFFSET(E34,-1,0)+1,OFFSET(E34,-1,0)))</f>
        <v/>
      </c>
      <c r="F34" s="12" t="n"/>
      <c r="G34" s="19" t="inlineStr">
        <is>
          <t>Subetapa</t>
        </is>
      </c>
      <c r="H34" s="16">
        <f>IF(G34="Unidade Construtiva",TEXT(A34,"00"),IF(G34="Célula Construtiva",TEXT(B34,"00"),IF(G34="Etapa",CONCATENATE(TEXT(B34,"00"),".",TEXT(C34,"000")),IF(G34="Subetapa",CONCATENATE(TEXT(B34,"00"),".",TEXT(C34,"000"),".",TEXT(D34,"000")),IF(G34="Serviço",CONCATENATE(TEXT(B34,"00"),".",TEXT(C34,"000"),".",TEXT(D34,"000"),".",TEXT(E34,"000")),"")))))</f>
        <v/>
      </c>
      <c r="I34" s="18" t="inlineStr">
        <is>
          <t>Balancins e Andaimes</t>
        </is>
      </c>
      <c r="J34" s="23" t="n"/>
    </row>
    <row r="35" ht="20.45" customFormat="1" customHeight="1" s="8">
      <c r="A35" s="14">
        <f>IF($G35="UNIDADE CONSTRUTIVA",OFFSET(A35,-1,0)+1,LARGE(A$3:A34,1))</f>
        <v/>
      </c>
      <c r="B35" s="14">
        <f>IF(G35="UNIDADE CONSTRUTIVA",0,IF(G35="CÉLULA CONSTRUTIVA",OFFSET(B35,-1,0)+1,OFFSET(B35,-1,0)))</f>
        <v/>
      </c>
      <c r="C35" s="14">
        <f>IF(G35="CÉLULA CONSTRUTIVA",0,IF(G35="ETAPA",OFFSET(C35,-1,0)+1,OFFSET(C35,-1,0)))</f>
        <v/>
      </c>
      <c r="D35" s="13">
        <f>IF(G35="ETAPA",0,IF(G35="SUBETAPA",OFFSET(D35,-1,0)+1,OFFSET(D35,-1,0)))</f>
        <v/>
      </c>
      <c r="E35" s="13">
        <f>IF(G35="Subetapa",0,IF(G35="serviço",OFFSET(E35,-1,0)+1,OFFSET(E35,-1,0)))</f>
        <v/>
      </c>
      <c r="F35" s="12" t="n"/>
      <c r="G35" s="25" t="inlineStr">
        <is>
          <t>UNIDADE CONSTRUTIVA</t>
        </is>
      </c>
      <c r="H35" s="16">
        <f>IF(G35="Unidade Construtiva",TEXT(A35,"00"),IF(G35="Célula Construtiva",TEXT(B35,"00"),IF(G35="Etapa",CONCATENATE(TEXT(B35,"00"),".",TEXT(C35,"000")),IF(G35="Subetapa",CONCATENATE(TEXT(B35,"00"),".",TEXT(C35,"000"),".",TEXT(D35,"000")),IF(G35="Serviço",CONCATENATE(TEXT(B35,"00"),".",TEXT(C35,"000"),".",TEXT(D35,"000"),".",TEXT(E35,"000")),"")))))</f>
        <v/>
      </c>
      <c r="I35" s="27" t="inlineStr">
        <is>
          <t>EMBASAMENTO</t>
        </is>
      </c>
      <c r="J35" s="23" t="n"/>
    </row>
    <row r="36" ht="20.45" customFormat="1" customHeight="1" s="8">
      <c r="A36" s="14">
        <f>IF($G36="UNIDADE CONSTRUTIVA",OFFSET(A36,-1,0)+1,LARGE(A$3:A35,1))</f>
        <v/>
      </c>
      <c r="B36" s="14">
        <f>IF(G36="UNIDADE CONSTRUTIVA",0,IF(G36="CÉLULA CONSTRUTIVA",OFFSET(B36,-1,0)+1,OFFSET(B36,-1,0)))</f>
        <v/>
      </c>
      <c r="C36" s="14">
        <f>IF(G36="CÉLULA CONSTRUTIVA",0,IF(G36="ETAPA",OFFSET(C36,-1,0)+1,OFFSET(C36,-1,0)))</f>
        <v/>
      </c>
      <c r="D36" s="13">
        <f>IF(G36="ETAPA",0,IF(G36="SUBETAPA",OFFSET(D36,-1,0)+1,OFFSET(D36,-1,0)))</f>
        <v/>
      </c>
      <c r="E36" s="13">
        <f>IF(G36="Subetapa",0,IF(G36="serviço",OFFSET(E36,-1,0)+1,OFFSET(E36,-1,0)))</f>
        <v/>
      </c>
      <c r="F36" s="12" t="n"/>
      <c r="G36" s="17" t="inlineStr">
        <is>
          <t>CÉLULA CONSTRUTIVA</t>
        </is>
      </c>
      <c r="H36" s="16">
        <f>IF(G36="Unidade Construtiva",TEXT(A36,"00"),IF(G36="Célula Construtiva",TEXT(B36,"00"),IF(G36="Etapa",CONCATENATE(TEXT(B36,"00"),".",TEXT(C36,"000")),IF(G36="Subetapa",CONCATENATE(TEXT(B36,"00"),".",TEXT(C36,"000"),".",TEXT(D36,"000")),IF(G36="Serviço",CONCATENATE(TEXT(B36,"00"),".",TEXT(C36,"000"),".",TEXT(D36,"000"),".",TEXT(E36,"000")),"")))))</f>
        <v/>
      </c>
      <c r="I36" s="15" t="inlineStr">
        <is>
          <t>INFRAESTRUTURA</t>
        </is>
      </c>
      <c r="J36" s="6" t="n"/>
    </row>
    <row r="37" ht="20.45" customFormat="1" customHeight="1" s="8">
      <c r="A37" s="14">
        <f>IF($G37="UNIDADE CONSTRUTIVA",OFFSET(A37,-1,0)+1,LARGE(A$3:A36,1))</f>
        <v/>
      </c>
      <c r="B37" s="14">
        <f>IF(G37="UNIDADE CONSTRUTIVA",0,IF(G37="CÉLULA CONSTRUTIVA",OFFSET(B37,-1,0)+1,OFFSET(B37,-1,0)))</f>
        <v/>
      </c>
      <c r="C37" s="14">
        <f>IF(G37="CÉLULA CONSTRUTIVA",0,IF(G37="ETAPA",OFFSET(C37,-1,0)+1,OFFSET(C37,-1,0)))</f>
        <v/>
      </c>
      <c r="D37" s="13">
        <f>IF(G37="ETAPA",0,IF(G37="SUBETAPA",OFFSET(D37,-1,0)+1,OFFSET(D37,-1,0)))</f>
        <v/>
      </c>
      <c r="E37" s="13">
        <f>IF(G37="Subetapa",0,IF(G37="serviço",OFFSET(E37,-1,0)+1,OFFSET(E37,-1,0)))</f>
        <v/>
      </c>
      <c r="F37" s="12" t="n"/>
      <c r="G37" s="17" t="inlineStr">
        <is>
          <t>ETAPA</t>
        </is>
      </c>
      <c r="H37" s="16">
        <f>IF(G37="Unidade Construtiva",TEXT(A37,"00"),IF(G37="Célula Construtiva",TEXT(B37,"00"),IF(G37="Etapa",CONCATENATE(TEXT(B37,"00"),".",TEXT(C37,"000")),IF(G37="Subetapa",CONCATENATE(TEXT(B37,"00"),".",TEXT(C37,"000"),".",TEXT(D37,"000")),IF(G37="Serviço",CONCATENATE(TEXT(B37,"00"),".",TEXT(C37,"000"),".",TEXT(D37,"000"),".",TEXT(E37,"000")),"")))))</f>
        <v/>
      </c>
      <c r="I37" s="15" t="inlineStr">
        <is>
          <t>MOVIMENTAÇÃO DE TERRA</t>
        </is>
      </c>
      <c r="J37" s="6" t="n"/>
    </row>
    <row r="38" ht="20.45" customFormat="1" customHeight="1" s="8">
      <c r="A38" s="14">
        <f>IF($G38="UNIDADE CONSTRUTIVA",OFFSET(A38,-1,0)+1,LARGE(A$3:A37,1))</f>
        <v/>
      </c>
      <c r="B38" s="14">
        <f>IF(G38="UNIDADE CONSTRUTIVA",0,IF(G38="CÉLULA CONSTRUTIVA",OFFSET(B38,-1,0)+1,OFFSET(B38,-1,0)))</f>
        <v/>
      </c>
      <c r="C38" s="14">
        <f>IF(G38="CÉLULA CONSTRUTIVA",0,IF(G38="ETAPA",OFFSET(C38,-1,0)+1,OFFSET(C38,-1,0)))</f>
        <v/>
      </c>
      <c r="D38" s="13">
        <f>IF(G38="ETAPA",0,IF(G38="SUBETAPA",OFFSET(D38,-1,0)+1,OFFSET(D38,-1,0)))</f>
        <v/>
      </c>
      <c r="E38" s="13">
        <f>IF(G38="Subetapa",0,IF(G38="serviço",OFFSET(E38,-1,0)+1,OFFSET(E38,-1,0)))</f>
        <v/>
      </c>
      <c r="F38" s="12" t="n"/>
      <c r="G38" s="19" t="inlineStr">
        <is>
          <t>Subetapa</t>
        </is>
      </c>
      <c r="H38" s="16">
        <f>IF(G38="Unidade Construtiva",TEXT(A38,"00"),IF(G38="Célula Construtiva",TEXT(B38,"00"),IF(G38="Etapa",CONCATENATE(TEXT(B38,"00"),".",TEXT(C38,"000")),IF(G38="Subetapa",CONCATENATE(TEXT(B38,"00"),".",TEXT(C38,"000"),".",TEXT(D38,"000")),IF(G38="Serviço",CONCATENATE(TEXT(B38,"00"),".",TEXT(C38,"000"),".",TEXT(D38,"000"),".",TEXT(E38,"000")),"")))))</f>
        <v/>
      </c>
      <c r="I38" s="18" t="inlineStr">
        <is>
          <t>Corte e aterro</t>
        </is>
      </c>
      <c r="J38" s="6" t="n"/>
    </row>
    <row r="39" ht="20.45" customFormat="1" customHeight="1" s="8">
      <c r="A39" s="14">
        <f>IF($G39="UNIDADE CONSTRUTIVA",OFFSET(A39,-1,0)+1,LARGE(A$3:A38,1))</f>
        <v/>
      </c>
      <c r="B39" s="14">
        <f>IF(G39="UNIDADE CONSTRUTIVA",0,IF(G39="CÉLULA CONSTRUTIVA",OFFSET(B39,-1,0)+1,OFFSET(B39,-1,0)))</f>
        <v/>
      </c>
      <c r="C39" s="14">
        <f>IF(G39="CÉLULA CONSTRUTIVA",0,IF(G39="ETAPA",OFFSET(C39,-1,0)+1,OFFSET(C39,-1,0)))</f>
        <v/>
      </c>
      <c r="D39" s="13">
        <f>IF(G39="ETAPA",0,IF(G39="SUBETAPA",OFFSET(D39,-1,0)+1,OFFSET(D39,-1,0)))</f>
        <v/>
      </c>
      <c r="E39" s="13">
        <f>IF(G39="Subetapa",0,IF(G39="serviço",OFFSET(E39,-1,0)+1,OFFSET(E39,-1,0)))</f>
        <v/>
      </c>
      <c r="F39" s="12" t="n"/>
      <c r="G39" s="19" t="inlineStr">
        <is>
          <t>Subetapa</t>
        </is>
      </c>
      <c r="H39" s="16">
        <f>IF(G39="Unidade Construtiva",TEXT(A39,"00"),IF(G39="Célula Construtiva",TEXT(B39,"00"),IF(G39="Etapa",CONCATENATE(TEXT(B39,"00"),".",TEXT(C39,"000")),IF(G39="Subetapa",CONCATENATE(TEXT(B39,"00"),".",TEXT(C39,"000"),".",TEXT(D39,"000")),IF(G39="Serviço",CONCATENATE(TEXT(B39,"00"),".",TEXT(C39,"000"),".",TEXT(D39,"000"),".",TEXT(E39,"000")),"")))))</f>
        <v/>
      </c>
      <c r="I39" s="18" t="inlineStr">
        <is>
          <t>Rebaixamento de lençol</t>
        </is>
      </c>
      <c r="J39" s="6" t="n"/>
    </row>
    <row r="40" ht="20.45" customFormat="1" customHeight="1" s="8">
      <c r="A40" s="14">
        <f>IF($G40="UNIDADE CONSTRUTIVA",OFFSET(A40,-1,0)+1,LARGE(A$3:A39,1))</f>
        <v/>
      </c>
      <c r="B40" s="14">
        <f>IF(G40="UNIDADE CONSTRUTIVA",0,IF(G40="CÉLULA CONSTRUTIVA",OFFSET(B40,-1,0)+1,OFFSET(B40,-1,0)))</f>
        <v/>
      </c>
      <c r="C40" s="14">
        <f>IF(G40="CÉLULA CONSTRUTIVA",0,IF(G40="ETAPA",OFFSET(C40,-1,0)+1,OFFSET(C40,-1,0)))</f>
        <v/>
      </c>
      <c r="D40" s="13">
        <f>IF(G40="ETAPA",0,IF(G40="SUBETAPA",OFFSET(D40,-1,0)+1,OFFSET(D40,-1,0)))</f>
        <v/>
      </c>
      <c r="E40" s="13">
        <f>IF(G40="Subetapa",0,IF(G40="serviço",OFFSET(E40,-1,0)+1,OFFSET(E40,-1,0)))</f>
        <v/>
      </c>
      <c r="F40" s="12" t="n"/>
      <c r="G40" s="19" t="inlineStr">
        <is>
          <t>Subetapa</t>
        </is>
      </c>
      <c r="H40" s="16">
        <f>IF(G40="Unidade Construtiva",TEXT(A40,"00"),IF(G40="Célula Construtiva",TEXT(B40,"00"),IF(G40="Etapa",CONCATENATE(TEXT(B40,"00"),".",TEXT(C40,"000")),IF(G40="Subetapa",CONCATENATE(TEXT(B40,"00"),".",TEXT(C40,"000"),".",TEXT(D40,"000")),IF(G40="Serviço",CONCATENATE(TEXT(B40,"00"),".",TEXT(C40,"000"),".",TEXT(D40,"000"),".",TEXT(E40,"000")),"")))))</f>
        <v/>
      </c>
      <c r="I40" s="18" t="inlineStr">
        <is>
          <t>Escavação e Reaterro de Valas</t>
        </is>
      </c>
      <c r="J40" s="6" t="n"/>
    </row>
    <row r="41" ht="20.45" customFormat="1" customHeight="1" s="8">
      <c r="A41" s="14">
        <f>IF($G41="UNIDADE CONSTRUTIVA",OFFSET(A41,-1,0)+1,LARGE(A$3:A40,1))</f>
        <v/>
      </c>
      <c r="B41" s="14">
        <f>IF(G41="UNIDADE CONSTRUTIVA",0,IF(G41="CÉLULA CONSTRUTIVA",OFFSET(B41,-1,0)+1,OFFSET(B41,-1,0)))</f>
        <v/>
      </c>
      <c r="C41" s="14">
        <f>IF(G41="CÉLULA CONSTRUTIVA",0,IF(G41="ETAPA",OFFSET(C41,-1,0)+1,OFFSET(C41,-1,0)))</f>
        <v/>
      </c>
      <c r="D41" s="13">
        <f>IF(G41="ETAPA",0,IF(G41="SUBETAPA",OFFSET(D41,-1,0)+1,OFFSET(D41,-1,0)))</f>
        <v/>
      </c>
      <c r="E41" s="13">
        <f>IF(G41="Subetapa",0,IF(G41="serviço",OFFSET(E41,-1,0)+1,OFFSET(E41,-1,0)))</f>
        <v/>
      </c>
      <c r="F41" s="12" t="n"/>
      <c r="G41" s="19" t="inlineStr">
        <is>
          <t>Subetapa</t>
        </is>
      </c>
      <c r="H41" s="16">
        <f>IF(G41="Unidade Construtiva",TEXT(A41,"00"),IF(G41="Célula Construtiva",TEXT(B41,"00"),IF(G41="Etapa",CONCATENATE(TEXT(B41,"00"),".",TEXT(C41,"000")),IF(G41="Subetapa",CONCATENATE(TEXT(B41,"00"),".",TEXT(C41,"000"),".",TEXT(D41,"000")),IF(G41="Serviço",CONCATENATE(TEXT(B41,"00"),".",TEXT(C41,"000"),".",TEXT(D41,"000"),".",TEXT(E41,"000")),"")))))</f>
        <v/>
      </c>
      <c r="I41" s="18" t="inlineStr">
        <is>
          <t>Lastro de estrutura de concreto</t>
        </is>
      </c>
      <c r="J41" s="6" t="n"/>
    </row>
    <row r="42" ht="20.45" customFormat="1" customHeight="1" s="8">
      <c r="A42" s="14">
        <f>IF($G42="UNIDADE CONSTRUTIVA",OFFSET(A42,-1,0)+1,LARGE(A$3:A41,1))</f>
        <v/>
      </c>
      <c r="B42" s="14">
        <f>IF(G42="UNIDADE CONSTRUTIVA",0,IF(G42="CÉLULA CONSTRUTIVA",OFFSET(B42,-1,0)+1,OFFSET(B42,-1,0)))</f>
        <v/>
      </c>
      <c r="C42" s="14">
        <f>IF(G42="CÉLULA CONSTRUTIVA",0,IF(G42="ETAPA",OFFSET(C42,-1,0)+1,OFFSET(C42,-1,0)))</f>
        <v/>
      </c>
      <c r="D42" s="13">
        <f>IF(G42="ETAPA",0,IF(G42="SUBETAPA",OFFSET(D42,-1,0)+1,OFFSET(D42,-1,0)))</f>
        <v/>
      </c>
      <c r="E42" s="13">
        <f>IF(G42="Subetapa",0,IF(G42="serviço",OFFSET(E42,-1,0)+1,OFFSET(E42,-1,0)))</f>
        <v/>
      </c>
      <c r="F42" s="12" t="n"/>
      <c r="G42" s="19" t="inlineStr">
        <is>
          <t>Subetapa</t>
        </is>
      </c>
      <c r="H42" s="16">
        <f>IF(G42="Unidade Construtiva",TEXT(A42,"00"),IF(G42="Célula Construtiva",TEXT(B42,"00"),IF(G42="Etapa",CONCATENATE(TEXT(B42,"00"),".",TEXT(C42,"000")),IF(G42="Subetapa",CONCATENATE(TEXT(B42,"00"),".",TEXT(C42,"000"),".",TEXT(D42,"000")),IF(G42="Serviço",CONCATENATE(TEXT(B42,"00"),".",TEXT(C42,"000"),".",TEXT(D42,"000"),".",TEXT(E42,"000")),"")))))</f>
        <v/>
      </c>
      <c r="I42" s="18" t="inlineStr">
        <is>
          <t>Movimentação de bota - fora</t>
        </is>
      </c>
      <c r="J42" s="6" t="n"/>
    </row>
    <row r="43" ht="20.45" customFormat="1" customHeight="1" s="8">
      <c r="A43" s="14">
        <f>IF($G43="UNIDADE CONSTRUTIVA",OFFSET(A43,-1,0)+1,LARGE(A$3:A42,1))</f>
        <v/>
      </c>
      <c r="B43" s="14">
        <f>IF(G43="UNIDADE CONSTRUTIVA",0,IF(G43="CÉLULA CONSTRUTIVA",OFFSET(B43,-1,0)+1,OFFSET(B43,-1,0)))</f>
        <v/>
      </c>
      <c r="C43" s="14">
        <f>IF(G43="CÉLULA CONSTRUTIVA",0,IF(G43="ETAPA",OFFSET(C43,-1,0)+1,OFFSET(C43,-1,0)))</f>
        <v/>
      </c>
      <c r="D43" s="13">
        <f>IF(G43="ETAPA",0,IF(G43="SUBETAPA",OFFSET(D43,-1,0)+1,OFFSET(D43,-1,0)))</f>
        <v/>
      </c>
      <c r="E43" s="13">
        <f>IF(G43="Subetapa",0,IF(G43="serviço",OFFSET(E43,-1,0)+1,OFFSET(E43,-1,0)))</f>
        <v/>
      </c>
      <c r="F43" s="12" t="n"/>
      <c r="G43" s="17" t="inlineStr">
        <is>
          <t>ETAPA</t>
        </is>
      </c>
      <c r="H43" s="16">
        <f>IF(G43="Unidade Construtiva",TEXT(A43,"00"),IF(G43="Célula Construtiva",TEXT(B43,"00"),IF(G43="Etapa",CONCATENATE(TEXT(B43,"00"),".",TEXT(C43,"000")),IF(G43="Subetapa",CONCATENATE(TEXT(B43,"00"),".",TEXT(C43,"000"),".",TEXT(D43,"000")),IF(G43="Serviço",CONCATENATE(TEXT(B43,"00"),".",TEXT(C43,"000"),".",TEXT(D43,"000"),".",TEXT(E43,"000")),"")))))</f>
        <v/>
      </c>
      <c r="I43" s="15" t="inlineStr">
        <is>
          <t>FUNDAÇÃO PROFUNDA</t>
        </is>
      </c>
      <c r="J43" s="6" t="n"/>
    </row>
    <row r="44" ht="20.45" customFormat="1" customHeight="1" s="8">
      <c r="A44" s="14">
        <f>IF($G44="UNIDADE CONSTRUTIVA",OFFSET(A44,-1,0)+1,LARGE(A$3:A43,1))</f>
        <v/>
      </c>
      <c r="B44" s="14">
        <f>IF(G44="UNIDADE CONSTRUTIVA",0,IF(G44="CÉLULA CONSTRUTIVA",OFFSET(B44,-1,0)+1,OFFSET(B44,-1,0)))</f>
        <v/>
      </c>
      <c r="C44" s="14">
        <f>IF(G44="CÉLULA CONSTRUTIVA",0,IF(G44="ETAPA",OFFSET(C44,-1,0)+1,OFFSET(C44,-1,0)))</f>
        <v/>
      </c>
      <c r="D44" s="13">
        <f>IF(G44="ETAPA",0,IF(G44="SUBETAPA",OFFSET(D44,-1,0)+1,OFFSET(D44,-1,0)))</f>
        <v/>
      </c>
      <c r="E44" s="13">
        <f>IF(G44="Subetapa",0,IF(G44="serviço",OFFSET(E44,-1,0)+1,OFFSET(E44,-1,0)))</f>
        <v/>
      </c>
      <c r="F44" s="12" t="n"/>
      <c r="G44" s="19" t="inlineStr">
        <is>
          <t>Subetapa</t>
        </is>
      </c>
      <c r="H44" s="16">
        <f>IF(G44="Unidade Construtiva",TEXT(A44,"00"),IF(G44="Célula Construtiva",TEXT(B44,"00"),IF(G44="Etapa",CONCATENATE(TEXT(B44,"00"),".",TEXT(C44,"000")),IF(G44="Subetapa",CONCATENATE(TEXT(B44,"00"),".",TEXT(C44,"000"),".",TEXT(D44,"000")),IF(G44="Serviço",CONCATENATE(TEXT(B44,"00"),".",TEXT(C44,"000"),".",TEXT(D44,"000"),".",TEXT(E44,"000")),"")))))</f>
        <v/>
      </c>
      <c r="I44" s="18" t="inlineStr">
        <is>
          <t>Perfuração</t>
        </is>
      </c>
      <c r="J44" s="6" t="n"/>
    </row>
    <row r="45" ht="20.45" customFormat="1" customHeight="1" s="8">
      <c r="A45" s="14">
        <f>IF($G45="UNIDADE CONSTRUTIVA",OFFSET(A45,-1,0)+1,LARGE(A$3:A44,1))</f>
        <v/>
      </c>
      <c r="B45" s="14">
        <f>IF(G45="UNIDADE CONSTRUTIVA",0,IF(G45="CÉLULA CONSTRUTIVA",OFFSET(B45,-1,0)+1,OFFSET(B45,-1,0)))</f>
        <v/>
      </c>
      <c r="C45" s="14">
        <f>IF(G45="CÉLULA CONSTRUTIVA",0,IF(G45="ETAPA",OFFSET(C45,-1,0)+1,OFFSET(C45,-1,0)))</f>
        <v/>
      </c>
      <c r="D45" s="13">
        <f>IF(G45="ETAPA",0,IF(G45="SUBETAPA",OFFSET(D45,-1,0)+1,OFFSET(D45,-1,0)))</f>
        <v/>
      </c>
      <c r="E45" s="13">
        <f>IF(G45="Subetapa",0,IF(G45="serviço",OFFSET(E45,-1,0)+1,OFFSET(E45,-1,0)))</f>
        <v/>
      </c>
      <c r="F45" s="12" t="n"/>
      <c r="G45" s="19" t="inlineStr">
        <is>
          <t>Subetapa</t>
        </is>
      </c>
      <c r="H45" s="16">
        <f>IF(G45="Unidade Construtiva",TEXT(A45,"00"),IF(G45="Célula Construtiva",TEXT(B45,"00"),IF(G45="Etapa",CONCATENATE(TEXT(B45,"00"),".",TEXT(C45,"000")),IF(G45="Subetapa",CONCATENATE(TEXT(B45,"00"),".",TEXT(C45,"000"),".",TEXT(D45,"000")),IF(G45="Serviço",CONCATENATE(TEXT(B45,"00"),".",TEXT(C45,"000"),".",TEXT(D45,"000"),".",TEXT(E45,"000")),"")))))</f>
        <v/>
      </c>
      <c r="I45" s="18" t="inlineStr">
        <is>
          <t>Armadura</t>
        </is>
      </c>
      <c r="J45" s="6" t="n"/>
    </row>
    <row r="46" ht="20.45" customFormat="1" customHeight="1" s="8">
      <c r="A46" s="14">
        <f>IF($G46="UNIDADE CONSTRUTIVA",OFFSET(A46,-1,0)+1,LARGE(A$3:A45,1))</f>
        <v/>
      </c>
      <c r="B46" s="14">
        <f>IF(G46="UNIDADE CONSTRUTIVA",0,IF(G46="CÉLULA CONSTRUTIVA",OFFSET(B46,-1,0)+1,OFFSET(B46,-1,0)))</f>
        <v/>
      </c>
      <c r="C46" s="14">
        <f>IF(G46="CÉLULA CONSTRUTIVA",0,IF(G46="ETAPA",OFFSET(C46,-1,0)+1,OFFSET(C46,-1,0)))</f>
        <v/>
      </c>
      <c r="D46" s="13">
        <f>IF(G46="ETAPA",0,IF(G46="SUBETAPA",OFFSET(D46,-1,0)+1,OFFSET(D46,-1,0)))</f>
        <v/>
      </c>
      <c r="E46" s="13">
        <f>IF(G46="Subetapa",0,IF(G46="serviço",OFFSET(E46,-1,0)+1,OFFSET(E46,-1,0)))</f>
        <v/>
      </c>
      <c r="F46" s="12" t="n"/>
      <c r="G46" s="19" t="inlineStr">
        <is>
          <t>Subetapa</t>
        </is>
      </c>
      <c r="H46" s="16">
        <f>IF(G46="Unidade Construtiva",TEXT(A46,"00"),IF(G46="Célula Construtiva",TEXT(B46,"00"),IF(G46="Etapa",CONCATENATE(TEXT(B46,"00"),".",TEXT(C46,"000")),IF(G46="Subetapa",CONCATENATE(TEXT(B46,"00"),".",TEXT(C46,"000"),".",TEXT(D46,"000")),IF(G46="Serviço",CONCATENATE(TEXT(B46,"00"),".",TEXT(C46,"000"),".",TEXT(D46,"000"),".",TEXT(E46,"000")),"")))))</f>
        <v/>
      </c>
      <c r="I46" s="18" t="inlineStr">
        <is>
          <t>Acessórios</t>
        </is>
      </c>
      <c r="J46" s="6" t="n"/>
    </row>
    <row r="47" ht="20.45" customFormat="1" customHeight="1" s="8">
      <c r="A47" s="14">
        <f>IF($G47="UNIDADE CONSTRUTIVA",OFFSET(A47,-1,0)+1,LARGE(A$3:A46,1))</f>
        <v/>
      </c>
      <c r="B47" s="14">
        <f>IF(G47="UNIDADE CONSTRUTIVA",0,IF(G47="CÉLULA CONSTRUTIVA",OFFSET(B47,-1,0)+1,OFFSET(B47,-1,0)))</f>
        <v/>
      </c>
      <c r="C47" s="14">
        <f>IF(G47="CÉLULA CONSTRUTIVA",0,IF(G47="ETAPA",OFFSET(C47,-1,0)+1,OFFSET(C47,-1,0)))</f>
        <v/>
      </c>
      <c r="D47" s="13">
        <f>IF(G47="ETAPA",0,IF(G47="SUBETAPA",OFFSET(D47,-1,0)+1,OFFSET(D47,-1,0)))</f>
        <v/>
      </c>
      <c r="E47" s="13">
        <f>IF(G47="Subetapa",0,IF(G47="serviço",OFFSET(E47,-1,0)+1,OFFSET(E47,-1,0)))</f>
        <v/>
      </c>
      <c r="F47" s="12" t="n"/>
      <c r="G47" s="19" t="inlineStr">
        <is>
          <t>Subetapa</t>
        </is>
      </c>
      <c r="H47" s="16">
        <f>IF(G47="Unidade Construtiva",TEXT(A47,"00"),IF(G47="Célula Construtiva",TEXT(B47,"00"),IF(G47="Etapa",CONCATENATE(TEXT(B47,"00"),".",TEXT(C47,"000")),IF(G47="Subetapa",CONCATENATE(TEXT(B47,"00"),".",TEXT(C47,"000"),".",TEXT(D47,"000")),IF(G47="Serviço",CONCATENATE(TEXT(B47,"00"),".",TEXT(C47,"000"),".",TEXT(D47,"000"),".",TEXT(E47,"000")),"")))))</f>
        <v/>
      </c>
      <c r="I47" s="18" t="inlineStr">
        <is>
          <t>Concreto</t>
        </is>
      </c>
      <c r="J47" s="6" t="n"/>
    </row>
    <row r="48" ht="20.45" customFormat="1" customHeight="1" s="8">
      <c r="A48" s="14">
        <f>IF($G48="UNIDADE CONSTRUTIVA",OFFSET(A48,-1,0)+1,LARGE(A$3:A47,1))</f>
        <v/>
      </c>
      <c r="B48" s="14">
        <f>IF(G48="UNIDADE CONSTRUTIVA",0,IF(G48="CÉLULA CONSTRUTIVA",OFFSET(B48,-1,0)+1,OFFSET(B48,-1,0)))</f>
        <v/>
      </c>
      <c r="C48" s="14">
        <f>IF(G48="CÉLULA CONSTRUTIVA",0,IF(G48="ETAPA",OFFSET(C48,-1,0)+1,OFFSET(C48,-1,0)))</f>
        <v/>
      </c>
      <c r="D48" s="13">
        <f>IF(G48="ETAPA",0,IF(G48="SUBETAPA",OFFSET(D48,-1,0)+1,OFFSET(D48,-1,0)))</f>
        <v/>
      </c>
      <c r="E48" s="13">
        <f>IF(G48="Subetapa",0,IF(G48="serviço",OFFSET(E48,-1,0)+1,OFFSET(E48,-1,0)))</f>
        <v/>
      </c>
      <c r="F48" s="12" t="n"/>
      <c r="G48" s="19" t="inlineStr">
        <is>
          <t>Subetapa</t>
        </is>
      </c>
      <c r="H48" s="16">
        <f>IF(G48="Unidade Construtiva",TEXT(A48,"00"),IF(G48="Célula Construtiva",TEXT(B48,"00"),IF(G48="Etapa",CONCATENATE(TEXT(B48,"00"),".",TEXT(C48,"000")),IF(G48="Subetapa",CONCATENATE(TEXT(B48,"00"),".",TEXT(C48,"000"),".",TEXT(D48,"000")),IF(G48="Serviço",CONCATENATE(TEXT(B48,"00"),".",TEXT(C48,"000"),".",TEXT(D48,"000"),".",TEXT(E48,"000")),"")))))</f>
        <v/>
      </c>
      <c r="I48" s="18" t="inlineStr">
        <is>
          <t>Mão de obra</t>
        </is>
      </c>
      <c r="J48" s="6" t="n"/>
    </row>
    <row r="49" ht="20.45" customFormat="1" customHeight="1" s="8">
      <c r="A49" s="14">
        <f>IF($G49="UNIDADE CONSTRUTIVA",OFFSET(A49,-1,0)+1,LARGE(A$3:A48,1))</f>
        <v/>
      </c>
      <c r="B49" s="14">
        <f>IF(G49="UNIDADE CONSTRUTIVA",0,IF(G49="CÉLULA CONSTRUTIVA",OFFSET(B49,-1,0)+1,OFFSET(B49,-1,0)))</f>
        <v/>
      </c>
      <c r="C49" s="14">
        <f>IF(G49="CÉLULA CONSTRUTIVA",0,IF(G49="ETAPA",OFFSET(C49,-1,0)+1,OFFSET(C49,-1,0)))</f>
        <v/>
      </c>
      <c r="D49" s="13">
        <f>IF(G49="ETAPA",0,IF(G49="SUBETAPA",OFFSET(D49,-1,0)+1,OFFSET(D49,-1,0)))</f>
        <v/>
      </c>
      <c r="E49" s="13">
        <f>IF(G49="Subetapa",0,IF(G49="serviço",OFFSET(E49,-1,0)+1,OFFSET(E49,-1,0)))</f>
        <v/>
      </c>
      <c r="F49" s="12" t="n"/>
      <c r="G49" s="17" t="inlineStr">
        <is>
          <t>ETAPA</t>
        </is>
      </c>
      <c r="H49" s="16">
        <f>IF(G49="Unidade Construtiva",TEXT(A49,"00"),IF(G49="Célula Construtiva",TEXT(B49,"00"),IF(G49="Etapa",CONCATENATE(TEXT(B49,"00"),".",TEXT(C49,"000")),IF(G49="Subetapa",CONCATENATE(TEXT(B49,"00"),".",TEXT(C49,"000"),".",TEXT(D49,"000")),IF(G49="Serviço",CONCATENATE(TEXT(B49,"00"),".",TEXT(C49,"000"),".",TEXT(D49,"000"),".",TEXT(E49,"000")),"")))))</f>
        <v/>
      </c>
      <c r="I49" s="15" t="inlineStr">
        <is>
          <t>FUNDAÇÃO RASA</t>
        </is>
      </c>
      <c r="J49" s="6" t="n"/>
    </row>
    <row r="50" ht="20.45" customFormat="1" customHeight="1" s="8">
      <c r="A50" s="14">
        <f>IF($G50="UNIDADE CONSTRUTIVA",OFFSET(A50,-1,0)+1,LARGE(A$3:A49,1))</f>
        <v/>
      </c>
      <c r="B50" s="14">
        <f>IF(G50="UNIDADE CONSTRUTIVA",0,IF(G50="CÉLULA CONSTRUTIVA",OFFSET(B50,-1,0)+1,OFFSET(B50,-1,0)))</f>
        <v/>
      </c>
      <c r="C50" s="14">
        <f>IF(G50="CÉLULA CONSTRUTIVA",0,IF(G50="ETAPA",OFFSET(C50,-1,0)+1,OFFSET(C50,-1,0)))</f>
        <v/>
      </c>
      <c r="D50" s="13">
        <f>IF(G50="ETAPA",0,IF(G50="SUBETAPA",OFFSET(D50,-1,0)+1,OFFSET(D50,-1,0)))</f>
        <v/>
      </c>
      <c r="E50" s="13">
        <f>IF(G50="Subetapa",0,IF(G50="serviço",OFFSET(E50,-1,0)+1,OFFSET(E50,-1,0)))</f>
        <v/>
      </c>
      <c r="F50" s="12" t="n"/>
      <c r="G50" s="19" t="inlineStr">
        <is>
          <t>Subetapa</t>
        </is>
      </c>
      <c r="H50" s="16">
        <f>IF(G50="Unidade Construtiva",TEXT(A50,"00"),IF(G50="Célula Construtiva",TEXT(B50,"00"),IF(G50="Etapa",CONCATENATE(TEXT(B50,"00"),".",TEXT(C50,"000")),IF(G50="Subetapa",CONCATENATE(TEXT(B50,"00"),".",TEXT(C50,"000"),".",TEXT(D50,"000")),IF(G50="Serviço",CONCATENATE(TEXT(B50,"00"),".",TEXT(C50,"000"),".",TEXT(D50,"000"),".",TEXT(E50,"000")),"")))))</f>
        <v/>
      </c>
      <c r="I50" s="18" t="inlineStr">
        <is>
          <t>Forma</t>
        </is>
      </c>
      <c r="J50" s="6" t="n"/>
    </row>
    <row r="51" ht="20.45" customFormat="1" customHeight="1" s="8">
      <c r="A51" s="14">
        <f>IF($G51="UNIDADE CONSTRUTIVA",OFFSET(A51,-1,0)+1,LARGE(A$3:A50,1))</f>
        <v/>
      </c>
      <c r="B51" s="14">
        <f>IF(G51="UNIDADE CONSTRUTIVA",0,IF(G51="CÉLULA CONSTRUTIVA",OFFSET(B51,-1,0)+1,OFFSET(B51,-1,0)))</f>
        <v/>
      </c>
      <c r="C51" s="14">
        <f>IF(G51="CÉLULA CONSTRUTIVA",0,IF(G51="ETAPA",OFFSET(C51,-1,0)+1,OFFSET(C51,-1,0)))</f>
        <v/>
      </c>
      <c r="D51" s="13">
        <f>IF(G51="ETAPA",0,IF(G51="SUBETAPA",OFFSET(D51,-1,0)+1,OFFSET(D51,-1,0)))</f>
        <v/>
      </c>
      <c r="E51" s="13">
        <f>IF(G51="Subetapa",0,IF(G51="serviço",OFFSET(E51,-1,0)+1,OFFSET(E51,-1,0)))</f>
        <v/>
      </c>
      <c r="F51" s="12" t="n"/>
      <c r="G51" s="19" t="inlineStr">
        <is>
          <t>Subetapa</t>
        </is>
      </c>
      <c r="H51" s="16">
        <f>IF(G51="Unidade Construtiva",TEXT(A51,"00"),IF(G51="Célula Construtiva",TEXT(B51,"00"),IF(G51="Etapa",CONCATENATE(TEXT(B51,"00"),".",TEXT(C51,"000")),IF(G51="Subetapa",CONCATENATE(TEXT(B51,"00"),".",TEXT(C51,"000"),".",TEXT(D51,"000")),IF(G51="Serviço",CONCATENATE(TEXT(B51,"00"),".",TEXT(C51,"000"),".",TEXT(D51,"000"),".",TEXT(E51,"000")),"")))))</f>
        <v/>
      </c>
      <c r="I51" s="18" t="inlineStr">
        <is>
          <t>Armadura</t>
        </is>
      </c>
      <c r="J51" s="6" t="n"/>
    </row>
    <row r="52" ht="20.45" customFormat="1" customHeight="1" s="8">
      <c r="A52" s="14">
        <f>IF($G52="UNIDADE CONSTRUTIVA",OFFSET(A52,-1,0)+1,LARGE(A$3:A51,1))</f>
        <v/>
      </c>
      <c r="B52" s="14">
        <f>IF(G52="UNIDADE CONSTRUTIVA",0,IF(G52="CÉLULA CONSTRUTIVA",OFFSET(B52,-1,0)+1,OFFSET(B52,-1,0)))</f>
        <v/>
      </c>
      <c r="C52" s="14">
        <f>IF(G52="CÉLULA CONSTRUTIVA",0,IF(G52="ETAPA",OFFSET(C52,-1,0)+1,OFFSET(C52,-1,0)))</f>
        <v/>
      </c>
      <c r="D52" s="13">
        <f>IF(G52="ETAPA",0,IF(G52="SUBETAPA",OFFSET(D52,-1,0)+1,OFFSET(D52,-1,0)))</f>
        <v/>
      </c>
      <c r="E52" s="13">
        <f>IF(G52="Subetapa",0,IF(G52="serviço",OFFSET(E52,-1,0)+1,OFFSET(E52,-1,0)))</f>
        <v/>
      </c>
      <c r="F52" s="12" t="n"/>
      <c r="G52" s="19" t="inlineStr">
        <is>
          <t>Subetapa</t>
        </is>
      </c>
      <c r="H52" s="16">
        <f>IF(G52="Unidade Construtiva",TEXT(A52,"00"),IF(G52="Célula Construtiva",TEXT(B52,"00"),IF(G52="Etapa",CONCATENATE(TEXT(B52,"00"),".",TEXT(C52,"000")),IF(G52="Subetapa",CONCATENATE(TEXT(B52,"00"),".",TEXT(C52,"000"),".",TEXT(D52,"000")),IF(G52="Serviço",CONCATENATE(TEXT(B52,"00"),".",TEXT(C52,"000"),".",TEXT(D52,"000"),".",TEXT(E52,"000")),"")))))</f>
        <v/>
      </c>
      <c r="I52" s="18" t="inlineStr">
        <is>
          <t>Concreto</t>
        </is>
      </c>
      <c r="J52" s="6" t="n"/>
    </row>
    <row r="53" ht="20.45" customFormat="1" customHeight="1" s="8">
      <c r="A53" s="14">
        <f>IF($G53="UNIDADE CONSTRUTIVA",OFFSET(A53,-1,0)+1,LARGE(A$3:A52,1))</f>
        <v/>
      </c>
      <c r="B53" s="14">
        <f>IF(G53="UNIDADE CONSTRUTIVA",0,IF(G53="CÉLULA CONSTRUTIVA",OFFSET(B53,-1,0)+1,OFFSET(B53,-1,0)))</f>
        <v/>
      </c>
      <c r="C53" s="14">
        <f>IF(G53="CÉLULA CONSTRUTIVA",0,IF(G53="ETAPA",OFFSET(C53,-1,0)+1,OFFSET(C53,-1,0)))</f>
        <v/>
      </c>
      <c r="D53" s="13">
        <f>IF(G53="ETAPA",0,IF(G53="SUBETAPA",OFFSET(D53,-1,0)+1,OFFSET(D53,-1,0)))</f>
        <v/>
      </c>
      <c r="E53" s="13">
        <f>IF(G53="Subetapa",0,IF(G53="serviço",OFFSET(E53,-1,0)+1,OFFSET(E53,-1,0)))</f>
        <v/>
      </c>
      <c r="F53" s="12" t="n"/>
      <c r="G53" s="19" t="inlineStr">
        <is>
          <t>Subetapa</t>
        </is>
      </c>
      <c r="H53" s="16">
        <f>IF(G53="Unidade Construtiva",TEXT(A53,"00"),IF(G53="Célula Construtiva",TEXT(B53,"00"),IF(G53="Etapa",CONCATENATE(TEXT(B53,"00"),".",TEXT(C53,"000")),IF(G53="Subetapa",CONCATENATE(TEXT(B53,"00"),".",TEXT(C53,"000"),".",TEXT(D53,"000")),IF(G53="Serviço",CONCATENATE(TEXT(B53,"00"),".",TEXT(C53,"000"),".",TEXT(D53,"000"),".",TEXT(E53,"000")),"")))))</f>
        <v/>
      </c>
      <c r="I53" s="18" t="inlineStr">
        <is>
          <t>Mão de obra</t>
        </is>
      </c>
      <c r="J53" s="6" t="n"/>
    </row>
    <row r="54" ht="20.45" customFormat="1" customHeight="1" s="8">
      <c r="A54" s="14">
        <f>IF($G54="UNIDADE CONSTRUTIVA",OFFSET(A54,-1,0)+1,LARGE(A$3:A53,1))</f>
        <v/>
      </c>
      <c r="B54" s="14">
        <f>IF(G54="UNIDADE CONSTRUTIVA",0,IF(G54="CÉLULA CONSTRUTIVA",OFFSET(B54,-1,0)+1,OFFSET(B54,-1,0)))</f>
        <v/>
      </c>
      <c r="C54" s="14">
        <f>IF(G54="CÉLULA CONSTRUTIVA",0,IF(G54="ETAPA",OFFSET(C54,-1,0)+1,OFFSET(C54,-1,0)))</f>
        <v/>
      </c>
      <c r="D54" s="13">
        <f>IF(G54="ETAPA",0,IF(G54="SUBETAPA",OFFSET(D54,-1,0)+1,OFFSET(D54,-1,0)))</f>
        <v/>
      </c>
      <c r="E54" s="13">
        <f>IF(G54="Subetapa",0,IF(G54="serviço",OFFSET(E54,-1,0)+1,OFFSET(E54,-1,0)))</f>
        <v/>
      </c>
      <c r="F54" s="12" t="n"/>
      <c r="G54" s="17" t="inlineStr">
        <is>
          <t>CÉLULA CONSTRUTIVA</t>
        </is>
      </c>
      <c r="H54" s="16">
        <f>IF(G54="Unidade Construtiva",TEXT(A54,"00"),IF(G54="Célula Construtiva",TEXT(B54,"00"),IF(G54="Etapa",CONCATENATE(TEXT(B54,"00"),".",TEXT(C54,"000")),IF(G54="Subetapa",CONCATENATE(TEXT(B54,"00"),".",TEXT(C54,"000"),".",TEXT(D54,"000")),IF(G54="Serviço",CONCATENATE(TEXT(B54,"00"),".",TEXT(C54,"000"),".",TEXT(D54,"000"),".",TEXT(E54,"000")),"")))))</f>
        <v/>
      </c>
      <c r="I54" s="15" t="inlineStr">
        <is>
          <t>SUPRAESTRUTURA</t>
        </is>
      </c>
      <c r="J54" s="6" t="n"/>
    </row>
    <row r="55" ht="20.45" customFormat="1" customHeight="1" s="8">
      <c r="A55" s="14">
        <f>IF($G55="UNIDADE CONSTRUTIVA",OFFSET(A55,-1,0)+1,LARGE(A$3:A54,1))</f>
        <v/>
      </c>
      <c r="B55" s="14">
        <f>IF(G55="UNIDADE CONSTRUTIVA",0,IF(G55="CÉLULA CONSTRUTIVA",OFFSET(B55,-1,0)+1,OFFSET(B55,-1,0)))</f>
        <v/>
      </c>
      <c r="C55" s="14">
        <f>IF(G55="CÉLULA CONSTRUTIVA",0,IF(G55="ETAPA",OFFSET(C55,-1,0)+1,OFFSET(C55,-1,0)))</f>
        <v/>
      </c>
      <c r="D55" s="13">
        <f>IF(G55="ETAPA",0,IF(G55="SUBETAPA",OFFSET(D55,-1,0)+1,OFFSET(D55,-1,0)))</f>
        <v/>
      </c>
      <c r="E55" s="13">
        <f>IF(G55="Subetapa",0,IF(G55="serviço",OFFSET(E55,-1,0)+1,OFFSET(E55,-1,0)))</f>
        <v/>
      </c>
      <c r="F55" s="12" t="n"/>
      <c r="G55" s="17" t="inlineStr">
        <is>
          <t>ETAPA</t>
        </is>
      </c>
      <c r="H55" s="16">
        <f>IF(G55="Unidade Construtiva",TEXT(A55,"00"),IF(G55="Célula Construtiva",TEXT(B55,"00"),IF(G55="Etapa",CONCATENATE(TEXT(B55,"00"),".",TEXT(C55,"000")),IF(G55="Subetapa",CONCATENATE(TEXT(B55,"00"),".",TEXT(C55,"000"),".",TEXT(D55,"000")),IF(G55="Serviço",CONCATENATE(TEXT(B55,"00"),".",TEXT(C55,"000"),".",TEXT(D55,"000"),".",TEXT(E55,"000")),"")))))</f>
        <v/>
      </c>
      <c r="I55" s="15" t="inlineStr">
        <is>
          <t>SUPRAESTRUTURA</t>
        </is>
      </c>
      <c r="J55" s="6" t="n"/>
    </row>
    <row r="56" ht="20.45" customFormat="1" customHeight="1" s="8">
      <c r="A56" s="14">
        <f>IF($G56="UNIDADE CONSTRUTIVA",OFFSET(A56,-1,0)+1,LARGE(A$3:A55,1))</f>
        <v/>
      </c>
      <c r="B56" s="14">
        <f>IF(G56="UNIDADE CONSTRUTIVA",0,IF(G56="CÉLULA CONSTRUTIVA",OFFSET(B56,-1,0)+1,OFFSET(B56,-1,0)))</f>
        <v/>
      </c>
      <c r="C56" s="14">
        <f>IF(G56="CÉLULA CONSTRUTIVA",0,IF(G56="ETAPA",OFFSET(C56,-1,0)+1,OFFSET(C56,-1,0)))</f>
        <v/>
      </c>
      <c r="D56" s="13">
        <f>IF(G56="ETAPA",0,IF(G56="SUBETAPA",OFFSET(D56,-1,0)+1,OFFSET(D56,-1,0)))</f>
        <v/>
      </c>
      <c r="E56" s="13">
        <f>IF(G56="Subetapa",0,IF(G56="serviço",OFFSET(E56,-1,0)+1,OFFSET(E56,-1,0)))</f>
        <v/>
      </c>
      <c r="F56" s="12" t="n"/>
      <c r="G56" s="19" t="inlineStr">
        <is>
          <t>Subetapa</t>
        </is>
      </c>
      <c r="H56" s="16">
        <f>IF(G56="Unidade Construtiva",TEXT(A56,"00"),IF(G56="Célula Construtiva",TEXT(B56,"00"),IF(G56="Etapa",CONCATENATE(TEXT(B56,"00"),".",TEXT(C56,"000")),IF(G56="Subetapa",CONCATENATE(TEXT(B56,"00"),".",TEXT(C56,"000"),".",TEXT(D56,"000")),IF(G56="Serviço",CONCATENATE(TEXT(B56,"00"),".",TEXT(C56,"000"),".",TEXT(D56,"000"),".",TEXT(E56,"000")),"")))))</f>
        <v/>
      </c>
      <c r="I56" s="18" t="inlineStr">
        <is>
          <t>Forma</t>
        </is>
      </c>
      <c r="J56" s="6" t="n"/>
    </row>
    <row r="57" ht="20.45" customFormat="1" customHeight="1" s="8">
      <c r="A57" s="14">
        <f>IF($G57="UNIDADE CONSTRUTIVA",OFFSET(A57,-1,0)+1,LARGE(A$3:A56,1))</f>
        <v/>
      </c>
      <c r="B57" s="14">
        <f>IF(G57="UNIDADE CONSTRUTIVA",0,IF(G57="CÉLULA CONSTRUTIVA",OFFSET(B57,-1,0)+1,OFFSET(B57,-1,0)))</f>
        <v/>
      </c>
      <c r="C57" s="14">
        <f>IF(G57="CÉLULA CONSTRUTIVA",0,IF(G57="ETAPA",OFFSET(C57,-1,0)+1,OFFSET(C57,-1,0)))</f>
        <v/>
      </c>
      <c r="D57" s="13">
        <f>IF(G57="ETAPA",0,IF(G57="SUBETAPA",OFFSET(D57,-1,0)+1,OFFSET(D57,-1,0)))</f>
        <v/>
      </c>
      <c r="E57" s="13">
        <f>IF(G57="Subetapa",0,IF(G57="serviço",OFFSET(E57,-1,0)+1,OFFSET(E57,-1,0)))</f>
        <v/>
      </c>
      <c r="F57" s="12" t="n"/>
      <c r="G57" s="19" t="inlineStr">
        <is>
          <t>Subetapa</t>
        </is>
      </c>
      <c r="H57" s="16">
        <f>IF(G57="Unidade Construtiva",TEXT(A57,"00"),IF(G57="Célula Construtiva",TEXT(B57,"00"),IF(G57="Etapa",CONCATENATE(TEXT(B57,"00"),".",TEXT(C57,"000")),IF(G57="Subetapa",CONCATENATE(TEXT(B57,"00"),".",TEXT(C57,"000"),".",TEXT(D57,"000")),IF(G57="Serviço",CONCATENATE(TEXT(B57,"00"),".",TEXT(C57,"000"),".",TEXT(D57,"000"),".",TEXT(E57,"000")),"")))))</f>
        <v/>
      </c>
      <c r="I57" s="18" t="inlineStr">
        <is>
          <t>Armadura</t>
        </is>
      </c>
      <c r="J57" s="6" t="n"/>
    </row>
    <row r="58" ht="20.45" customFormat="1" customHeight="1" s="8">
      <c r="A58" s="14">
        <f>IF($G58="UNIDADE CONSTRUTIVA",OFFSET(A58,-1,0)+1,LARGE(A$3:A57,1))</f>
        <v/>
      </c>
      <c r="B58" s="14">
        <f>IF(G58="UNIDADE CONSTRUTIVA",0,IF(G58="CÉLULA CONSTRUTIVA",OFFSET(B58,-1,0)+1,OFFSET(B58,-1,0)))</f>
        <v/>
      </c>
      <c r="C58" s="14">
        <f>IF(G58="CÉLULA CONSTRUTIVA",0,IF(G58="ETAPA",OFFSET(C58,-1,0)+1,OFFSET(C58,-1,0)))</f>
        <v/>
      </c>
      <c r="D58" s="13">
        <f>IF(G58="ETAPA",0,IF(G58="SUBETAPA",OFFSET(D58,-1,0)+1,OFFSET(D58,-1,0)))</f>
        <v/>
      </c>
      <c r="E58" s="13">
        <f>IF(G58="Subetapa",0,IF(G58="serviço",OFFSET(E58,-1,0)+1,OFFSET(E58,-1,0)))</f>
        <v/>
      </c>
      <c r="F58" s="12" t="n"/>
      <c r="G58" s="19" t="inlineStr">
        <is>
          <t>Subetapa</t>
        </is>
      </c>
      <c r="H58" s="16">
        <f>IF(G58="Unidade Construtiva",TEXT(A58,"00"),IF(G58="Célula Construtiva",TEXT(B58,"00"),IF(G58="Etapa",CONCATENATE(TEXT(B58,"00"),".",TEXT(C58,"000")),IF(G58="Subetapa",CONCATENATE(TEXT(B58,"00"),".",TEXT(C58,"000"),".",TEXT(D58,"000")),IF(G58="Serviço",CONCATENATE(TEXT(B58,"00"),".",TEXT(C58,"000"),".",TEXT(D58,"000"),".",TEXT(E58,"000")),"")))))</f>
        <v/>
      </c>
      <c r="I58" s="18" t="inlineStr">
        <is>
          <t>Concreto</t>
        </is>
      </c>
      <c r="J58" s="6" t="n"/>
    </row>
    <row r="59" ht="20.45" customFormat="1" customHeight="1" s="8">
      <c r="A59" s="14">
        <f>IF($G59="UNIDADE CONSTRUTIVA",OFFSET(A59,-1,0)+1,LARGE(A$3:A58,1))</f>
        <v/>
      </c>
      <c r="B59" s="14">
        <f>IF(G59="UNIDADE CONSTRUTIVA",0,IF(G59="CÉLULA CONSTRUTIVA",OFFSET(B59,-1,0)+1,OFFSET(B59,-1,0)))</f>
        <v/>
      </c>
      <c r="C59" s="14">
        <f>IF(G59="CÉLULA CONSTRUTIVA",0,IF(G59="ETAPA",OFFSET(C59,-1,0)+1,OFFSET(C59,-1,0)))</f>
        <v/>
      </c>
      <c r="D59" s="13">
        <f>IF(G59="ETAPA",0,IF(G59="SUBETAPA",OFFSET(D59,-1,0)+1,OFFSET(D59,-1,0)))</f>
        <v/>
      </c>
      <c r="E59" s="13">
        <f>IF(G59="Subetapa",0,IF(G59="serviço",OFFSET(E59,-1,0)+1,OFFSET(E59,-1,0)))</f>
        <v/>
      </c>
      <c r="F59" s="12" t="n"/>
      <c r="G59" s="19" t="inlineStr">
        <is>
          <t>Subetapa</t>
        </is>
      </c>
      <c r="H59" s="16">
        <f>IF(G59="Unidade Construtiva",TEXT(A59,"00"),IF(G59="Célula Construtiva",TEXT(B59,"00"),IF(G59="Etapa",CONCATENATE(TEXT(B59,"00"),".",TEXT(C59,"000")),IF(G59="Subetapa",CONCATENATE(TEXT(B59,"00"),".",TEXT(C59,"000"),".",TEXT(D59,"000")),IF(G59="Serviço",CONCATENATE(TEXT(B59,"00"),".",TEXT(C59,"000"),".",TEXT(D59,"000"),".",TEXT(E59,"000")),"")))))</f>
        <v/>
      </c>
      <c r="I59" s="18" t="inlineStr">
        <is>
          <t>Complementares</t>
        </is>
      </c>
      <c r="J59" s="6" t="n"/>
    </row>
    <row r="60" ht="20.45" customFormat="1" customHeight="1" s="8">
      <c r="A60" s="14">
        <f>IF($G60="UNIDADE CONSTRUTIVA",OFFSET(A60,-1,0)+1,LARGE(A$3:A59,1))</f>
        <v/>
      </c>
      <c r="B60" s="14">
        <f>IF(G60="UNIDADE CONSTRUTIVA",0,IF(G60="CÉLULA CONSTRUTIVA",OFFSET(B60,-1,0)+1,OFFSET(B60,-1,0)))</f>
        <v/>
      </c>
      <c r="C60" s="14">
        <f>IF(G60="CÉLULA CONSTRUTIVA",0,IF(G60="ETAPA",OFFSET(C60,-1,0)+1,OFFSET(C60,-1,0)))</f>
        <v/>
      </c>
      <c r="D60" s="13">
        <f>IF(G60="ETAPA",0,IF(G60="SUBETAPA",OFFSET(D60,-1,0)+1,OFFSET(D60,-1,0)))</f>
        <v/>
      </c>
      <c r="E60" s="13">
        <f>IF(G60="Subetapa",0,IF(G60="serviço",OFFSET(E60,-1,0)+1,OFFSET(E60,-1,0)))</f>
        <v/>
      </c>
      <c r="F60" s="12" t="n"/>
      <c r="G60" s="19" t="inlineStr">
        <is>
          <t>Subetapa</t>
        </is>
      </c>
      <c r="H60" s="16">
        <f>IF(G60="Unidade Construtiva",TEXT(A60,"00"),IF(G60="Célula Construtiva",TEXT(B60,"00"),IF(G60="Etapa",CONCATENATE(TEXT(B60,"00"),".",TEXT(C60,"000")),IF(G60="Subetapa",CONCATENATE(TEXT(B60,"00"),".",TEXT(C60,"000"),".",TEXT(D60,"000")),IF(G60="Serviço",CONCATENATE(TEXT(B60,"00"),".",TEXT(C60,"000"),".",TEXT(D60,"000"),".",TEXT(E60,"000")),"")))))</f>
        <v/>
      </c>
      <c r="I60" s="18" t="inlineStr">
        <is>
          <t>Mão de obra</t>
        </is>
      </c>
      <c r="J60" s="6" t="n"/>
    </row>
    <row r="61" ht="20.45" customFormat="1" customHeight="1" s="8">
      <c r="A61" s="14">
        <f>IF($G61="UNIDADE CONSTRUTIVA",OFFSET(A61,-1,0)+1,LARGE(A$3:A60,1))</f>
        <v/>
      </c>
      <c r="B61" s="14">
        <f>IF(G61="UNIDADE CONSTRUTIVA",0,IF(G61="CÉLULA CONSTRUTIVA",OFFSET(B61,-1,0)+1,OFFSET(B61,-1,0)))</f>
        <v/>
      </c>
      <c r="C61" s="14">
        <f>IF(G61="CÉLULA CONSTRUTIVA",0,IF(G61="ETAPA",OFFSET(C61,-1,0)+1,OFFSET(C61,-1,0)))</f>
        <v/>
      </c>
      <c r="D61" s="13">
        <f>IF(G61="ETAPA",0,IF(G61="SUBETAPA",OFFSET(D61,-1,0)+1,OFFSET(D61,-1,0)))</f>
        <v/>
      </c>
      <c r="E61" s="13">
        <f>IF(G61="Subetapa",0,IF(G61="serviço",OFFSET(E61,-1,0)+1,OFFSET(E61,-1,0)))</f>
        <v/>
      </c>
      <c r="F61" s="12" t="n"/>
      <c r="G61" s="17" t="inlineStr">
        <is>
          <t>CÉLULA CONSTRUTIVA</t>
        </is>
      </c>
      <c r="H61" s="16">
        <f>IF(G61="Unidade Construtiva",TEXT(A61,"00"),IF(G61="Célula Construtiva",TEXT(B61,"00"),IF(G61="Etapa",CONCATENATE(TEXT(B61,"00"),".",TEXT(C61,"000")),IF(G61="Subetapa",CONCATENATE(TEXT(B61,"00"),".",TEXT(C61,"000"),".",TEXT(D61,"000")),IF(G61="Serviço",CONCATENATE(TEXT(B61,"00"),".",TEXT(C61,"000"),".",TEXT(D61,"000"),".",TEXT(E61,"000")),"")))))</f>
        <v/>
      </c>
      <c r="I61" s="15" t="inlineStr">
        <is>
          <t>PAREDES E PAINÉIS</t>
        </is>
      </c>
      <c r="J61" s="6" t="n"/>
    </row>
    <row r="62" ht="20.45" customFormat="1" customHeight="1" s="8">
      <c r="A62" s="14">
        <f>IF($G62="UNIDADE CONSTRUTIVA",OFFSET(A62,-1,0)+1,LARGE(A$3:A61,1))</f>
        <v/>
      </c>
      <c r="B62" s="14">
        <f>IF(G62="UNIDADE CONSTRUTIVA",0,IF(G62="CÉLULA CONSTRUTIVA",OFFSET(B62,-1,0)+1,OFFSET(B62,-1,0)))</f>
        <v/>
      </c>
      <c r="C62" s="14">
        <f>IF(G62="CÉLULA CONSTRUTIVA",0,IF(G62="ETAPA",OFFSET(C62,-1,0)+1,OFFSET(C62,-1,0)))</f>
        <v/>
      </c>
      <c r="D62" s="13">
        <f>IF(G62="ETAPA",0,IF(G62="SUBETAPA",OFFSET(D62,-1,0)+1,OFFSET(D62,-1,0)))</f>
        <v/>
      </c>
      <c r="E62" s="13">
        <f>IF(G62="Subetapa",0,IF(G62="serviço",OFFSET(E62,-1,0)+1,OFFSET(E62,-1,0)))</f>
        <v/>
      </c>
      <c r="F62" s="12" t="n"/>
      <c r="G62" s="17" t="inlineStr">
        <is>
          <t>ETAPA</t>
        </is>
      </c>
      <c r="H62" s="16">
        <f>IF(G62="Unidade Construtiva",TEXT(A62,"00"),IF(G62="Célula Construtiva",TEXT(B62,"00"),IF(G62="Etapa",CONCATENATE(TEXT(B62,"00"),".",TEXT(C62,"000")),IF(G62="Subetapa",CONCATENATE(TEXT(B62,"00"),".",TEXT(C62,"000"),".",TEXT(D62,"000")),IF(G62="Serviço",CONCATENATE(TEXT(B62,"00"),".",TEXT(C62,"000"),".",TEXT(D62,"000"),".",TEXT(E62,"000")),"")))))</f>
        <v/>
      </c>
      <c r="I62" s="15" t="inlineStr">
        <is>
          <t>PAREDES E PAINÉIS</t>
        </is>
      </c>
      <c r="J62" s="6" t="n"/>
    </row>
    <row r="63" ht="20.45" customFormat="1" customHeight="1" s="8">
      <c r="A63" s="14">
        <f>IF($G63="UNIDADE CONSTRUTIVA",OFFSET(A63,-1,0)+1,LARGE(A$3:A62,1))</f>
        <v/>
      </c>
      <c r="B63" s="14">
        <f>IF(G63="UNIDADE CONSTRUTIVA",0,IF(G63="CÉLULA CONSTRUTIVA",OFFSET(B63,-1,0)+1,OFFSET(B63,-1,0)))</f>
        <v/>
      </c>
      <c r="C63" s="14">
        <f>IF(G63="CÉLULA CONSTRUTIVA",0,IF(G63="ETAPA",OFFSET(C63,-1,0)+1,OFFSET(C63,-1,0)))</f>
        <v/>
      </c>
      <c r="D63" s="13">
        <f>IF(G63="ETAPA",0,IF(G63="SUBETAPA",OFFSET(D63,-1,0)+1,OFFSET(D63,-1,0)))</f>
        <v/>
      </c>
      <c r="E63" s="13">
        <f>IF(G63="Subetapa",0,IF(G63="serviço",OFFSET(E63,-1,0)+1,OFFSET(E63,-1,0)))</f>
        <v/>
      </c>
      <c r="F63" s="12" t="n"/>
      <c r="G63" s="19" t="inlineStr">
        <is>
          <t>Subetapa</t>
        </is>
      </c>
      <c r="H63" s="16">
        <f>IF(G63="Unidade Construtiva",TEXT(A63,"00"),IF(G63="Célula Construtiva",TEXT(B63,"00"),IF(G63="Etapa",CONCATENATE(TEXT(B63,"00"),".",TEXT(C63,"000")),IF(G63="Subetapa",CONCATENATE(TEXT(B63,"00"),".",TEXT(C63,"000"),".",TEXT(D63,"000")),IF(G63="Serviço",CONCATENATE(TEXT(B63,"00"),".",TEXT(C63,"000"),".",TEXT(D63,"000"),".",TEXT(E63,"000")),"")))))</f>
        <v/>
      </c>
      <c r="I63" s="18" t="inlineStr">
        <is>
          <t>Alvenaria de vedação com blocos cerâmicos</t>
        </is>
      </c>
      <c r="J63" s="6" t="n"/>
    </row>
    <row r="64" ht="20.45" customFormat="1" customHeight="1" s="8">
      <c r="A64" s="14">
        <f>IF($G64="UNIDADE CONSTRUTIVA",OFFSET(A64,-1,0)+1,LARGE(A$3:A63,1))</f>
        <v/>
      </c>
      <c r="B64" s="14">
        <f>IF(G64="UNIDADE CONSTRUTIVA",0,IF(G64="CÉLULA CONSTRUTIVA",OFFSET(B64,-1,0)+1,OFFSET(B64,-1,0)))</f>
        <v/>
      </c>
      <c r="C64" s="14">
        <f>IF(G64="CÉLULA CONSTRUTIVA",0,IF(G64="ETAPA",OFFSET(C64,-1,0)+1,OFFSET(C64,-1,0)))</f>
        <v/>
      </c>
      <c r="D64" s="13">
        <f>IF(G64="ETAPA",0,IF(G64="SUBETAPA",OFFSET(D64,-1,0)+1,OFFSET(D64,-1,0)))</f>
        <v/>
      </c>
      <c r="E64" s="13">
        <f>IF(G64="Subetapa",0,IF(G64="serviço",OFFSET(E64,-1,0)+1,OFFSET(E64,-1,0)))</f>
        <v/>
      </c>
      <c r="F64" s="12" t="n"/>
      <c r="G64" s="19" t="inlineStr">
        <is>
          <t>Subetapa</t>
        </is>
      </c>
      <c r="H64" s="16">
        <f>IF(G64="Unidade Construtiva",TEXT(A64,"00"),IF(G64="Célula Construtiva",TEXT(B64,"00"),IF(G64="Etapa",CONCATENATE(TEXT(B64,"00"),".",TEXT(C64,"000")),IF(G64="Subetapa",CONCATENATE(TEXT(B64,"00"),".",TEXT(C64,"000"),".",TEXT(D64,"000")),IF(G64="Serviço",CONCATENATE(TEXT(B64,"00"),".",TEXT(C64,"000"),".",TEXT(D64,"000"),".",TEXT(E64,"000")),"")))))</f>
        <v/>
      </c>
      <c r="I64" s="18" t="inlineStr">
        <is>
          <t>Alvenaria de vedação com bocos de concreto</t>
        </is>
      </c>
      <c r="J64" s="6" t="n"/>
    </row>
    <row r="65" ht="20.45" customFormat="1" customHeight="1" s="8">
      <c r="A65" s="14">
        <f>IF($G65="UNIDADE CONSTRUTIVA",OFFSET(A65,-1,0)+1,LARGE(A$3:A64,1))</f>
        <v/>
      </c>
      <c r="B65" s="14">
        <f>IF(G65="UNIDADE CONSTRUTIVA",0,IF(G65="CÉLULA CONSTRUTIVA",OFFSET(B65,-1,0)+1,OFFSET(B65,-1,0)))</f>
        <v/>
      </c>
      <c r="C65" s="14">
        <f>IF(G65="CÉLULA CONSTRUTIVA",0,IF(G65="ETAPA",OFFSET(C65,-1,0)+1,OFFSET(C65,-1,0)))</f>
        <v/>
      </c>
      <c r="D65" s="13">
        <f>IF(G65="ETAPA",0,IF(G65="SUBETAPA",OFFSET(D65,-1,0)+1,OFFSET(D65,-1,0)))</f>
        <v/>
      </c>
      <c r="E65" s="13">
        <f>IF(G65="Subetapa",0,IF(G65="serviço",OFFSET(E65,-1,0)+1,OFFSET(E65,-1,0)))</f>
        <v/>
      </c>
      <c r="F65" s="12" t="n"/>
      <c r="G65" s="19" t="inlineStr">
        <is>
          <t>Subetapa</t>
        </is>
      </c>
      <c r="H65" s="16">
        <f>IF(G65="Unidade Construtiva",TEXT(A65,"00"),IF(G65="Célula Construtiva",TEXT(B65,"00"),IF(G65="Etapa",CONCATENATE(TEXT(B65,"00"),".",TEXT(C65,"000")),IF(G65="Subetapa",CONCATENATE(TEXT(B65,"00"),".",TEXT(C65,"000"),".",TEXT(D65,"000")),IF(G65="Serviço",CONCATENATE(TEXT(B65,"00"),".",TEXT(C65,"000"),".",TEXT(D65,"000"),".",TEXT(E65,"000")),"")))))</f>
        <v/>
      </c>
      <c r="I65" s="18" t="inlineStr">
        <is>
          <t>Serviços complementares para alvenaria de vedação</t>
        </is>
      </c>
      <c r="J65" s="6" t="n"/>
    </row>
    <row r="66" ht="20.45" customFormat="1" customHeight="1" s="8">
      <c r="A66" s="14">
        <f>IF($G66="UNIDADE CONSTRUTIVA",OFFSET(A66,-1,0)+1,LARGE(A$3:A65,1))</f>
        <v/>
      </c>
      <c r="B66" s="14">
        <f>IF(G66="UNIDADE CONSTRUTIVA",0,IF(G66="CÉLULA CONSTRUTIVA",OFFSET(B66,-1,0)+1,OFFSET(B66,-1,0)))</f>
        <v/>
      </c>
      <c r="C66" s="14">
        <f>IF(G66="CÉLULA CONSTRUTIVA",0,IF(G66="ETAPA",OFFSET(C66,-1,0)+1,OFFSET(C66,-1,0)))</f>
        <v/>
      </c>
      <c r="D66" s="13">
        <f>IF(G66="ETAPA",0,IF(G66="SUBETAPA",OFFSET(D66,-1,0)+1,OFFSET(D66,-1,0)))</f>
        <v/>
      </c>
      <c r="E66" s="13">
        <f>IF(G66="Subetapa",0,IF(G66="serviço",OFFSET(E66,-1,0)+1,OFFSET(E66,-1,0)))</f>
        <v/>
      </c>
      <c r="F66" s="12" t="n"/>
      <c r="G66" s="19" t="inlineStr">
        <is>
          <t>Subetapa</t>
        </is>
      </c>
      <c r="H66" s="16">
        <f>IF(G66="Unidade Construtiva",TEXT(A66,"00"),IF(G66="Célula Construtiva",TEXT(B66,"00"),IF(G66="Etapa",CONCATENATE(TEXT(B66,"00"),".",TEXT(C66,"000")),IF(G66="Subetapa",CONCATENATE(TEXT(B66,"00"),".",TEXT(C66,"000"),".",TEXT(D66,"000")),IF(G66="Serviço",CONCATENATE(TEXT(B66,"00"),".",TEXT(C66,"000"),".",TEXT(D66,"000"),".",TEXT(E66,"000")),"")))))</f>
        <v/>
      </c>
      <c r="I66" s="18" t="inlineStr">
        <is>
          <t>Drywall</t>
        </is>
      </c>
      <c r="J66" s="6" t="n"/>
    </row>
    <row r="67" ht="20.45" customFormat="1" customHeight="1" s="8">
      <c r="A67" s="14">
        <f>IF($G67="UNIDADE CONSTRUTIVA",OFFSET(A67,-1,0)+1,LARGE(A$3:A66,1))</f>
        <v/>
      </c>
      <c r="B67" s="14">
        <f>IF(G67="UNIDADE CONSTRUTIVA",0,IF(G67="CÉLULA CONSTRUTIVA",OFFSET(B67,-1,0)+1,OFFSET(B67,-1,0)))</f>
        <v/>
      </c>
      <c r="C67" s="14">
        <f>IF(G67="CÉLULA CONSTRUTIVA",0,IF(G67="ETAPA",OFFSET(C67,-1,0)+1,OFFSET(C67,-1,0)))</f>
        <v/>
      </c>
      <c r="D67" s="13">
        <f>IF(G67="ETAPA",0,IF(G67="SUBETAPA",OFFSET(D67,-1,0)+1,OFFSET(D67,-1,0)))</f>
        <v/>
      </c>
      <c r="E67" s="13">
        <f>IF(G67="Subetapa",0,IF(G67="serviço",OFFSET(E67,-1,0)+1,OFFSET(E67,-1,0)))</f>
        <v/>
      </c>
      <c r="F67" s="12" t="n"/>
      <c r="G67" s="19" t="inlineStr">
        <is>
          <t>Subetapa</t>
        </is>
      </c>
      <c r="H67" s="16">
        <f>IF(G67="Unidade Construtiva",TEXT(A67,"00"),IF(G67="Célula Construtiva",TEXT(B67,"00"),IF(G67="Etapa",CONCATENATE(TEXT(B67,"00"),".",TEXT(C67,"000")),IF(G67="Subetapa",CONCATENATE(TEXT(B67,"00"),".",TEXT(C67,"000"),".",TEXT(D67,"000")),IF(G67="Serviço",CONCATENATE(TEXT(B67,"00"),".",TEXT(C67,"000"),".",TEXT(D67,"000"),".",TEXT(E67,"000")),"")))))</f>
        <v/>
      </c>
      <c r="I67" s="18" t="inlineStr">
        <is>
          <t>Mão de obra</t>
        </is>
      </c>
      <c r="J67" s="6" t="n"/>
    </row>
    <row r="68" ht="20.45" customFormat="1" customHeight="1" s="8">
      <c r="A68" s="14">
        <f>IF($G68="UNIDADE CONSTRUTIVA",OFFSET(A68,-1,0)+1,LARGE(A$3:A67,1))</f>
        <v/>
      </c>
      <c r="B68" s="14">
        <f>IF(G68="UNIDADE CONSTRUTIVA",0,IF(G68="CÉLULA CONSTRUTIVA",OFFSET(B68,-1,0)+1,OFFSET(B68,-1,0)))</f>
        <v/>
      </c>
      <c r="C68" s="14">
        <f>IF(G68="CÉLULA CONSTRUTIVA",0,IF(G68="ETAPA",OFFSET(C68,-1,0)+1,OFFSET(C68,-1,0)))</f>
        <v/>
      </c>
      <c r="D68" s="13">
        <f>IF(G68="ETAPA",0,IF(G68="SUBETAPA",OFFSET(D68,-1,0)+1,OFFSET(D68,-1,0)))</f>
        <v/>
      </c>
      <c r="E68" s="13">
        <f>IF(G68="Subetapa",0,IF(G68="serviço",OFFSET(E68,-1,0)+1,OFFSET(E68,-1,0)))</f>
        <v/>
      </c>
      <c r="F68" s="12" t="n"/>
      <c r="G68" s="17" t="inlineStr">
        <is>
          <t>CÉLULA CONSTRUTIVA</t>
        </is>
      </c>
      <c r="H68" s="16">
        <f>IF(G68="Unidade Construtiva",TEXT(A68,"00"),IF(G68="Célula Construtiva",TEXT(B68,"00"),IF(G68="Etapa",CONCATENATE(TEXT(B68,"00"),".",TEXT(C68,"000")),IF(G68="Subetapa",CONCATENATE(TEXT(B68,"00"),".",TEXT(C68,"000"),".",TEXT(D68,"000")),IF(G68="Serviço",CONCATENATE(TEXT(B68,"00"),".",TEXT(C68,"000"),".",TEXT(D68,"000"),".",TEXT(E68,"000")),"")))))</f>
        <v/>
      </c>
      <c r="I68" s="15" t="inlineStr">
        <is>
          <t>IMPERMEABILIZAÇÃO E TRATAMENTOS</t>
        </is>
      </c>
      <c r="J68" s="6" t="n"/>
    </row>
    <row r="69" ht="20.45" customFormat="1" customHeight="1" s="8">
      <c r="A69" s="14">
        <f>IF($G69="UNIDADE CONSTRUTIVA",OFFSET(A69,-1,0)+1,LARGE(A$3:A68,1))</f>
        <v/>
      </c>
      <c r="B69" s="14">
        <f>IF(G69="UNIDADE CONSTRUTIVA",0,IF(G69="CÉLULA CONSTRUTIVA",OFFSET(B69,-1,0)+1,OFFSET(B69,-1,0)))</f>
        <v/>
      </c>
      <c r="C69" s="14">
        <f>IF(G69="CÉLULA CONSTRUTIVA",0,IF(G69="ETAPA",OFFSET(C69,-1,0)+1,OFFSET(C69,-1,0)))</f>
        <v/>
      </c>
      <c r="D69" s="13">
        <f>IF(G69="ETAPA",0,IF(G69="SUBETAPA",OFFSET(D69,-1,0)+1,OFFSET(D69,-1,0)))</f>
        <v/>
      </c>
      <c r="E69" s="13">
        <f>IF(G69="Subetapa",0,IF(G69="serviço",OFFSET(E69,-1,0)+1,OFFSET(E69,-1,0)))</f>
        <v/>
      </c>
      <c r="F69" s="12" t="n"/>
      <c r="G69" s="17" t="inlineStr">
        <is>
          <t>ETAPA</t>
        </is>
      </c>
      <c r="H69" s="16">
        <f>IF(G69="Unidade Construtiva",TEXT(A69,"00"),IF(G69="Célula Construtiva",TEXT(B69,"00"),IF(G69="Etapa",CONCATENATE(TEXT(B69,"00"),".",TEXT(C69,"000")),IF(G69="Subetapa",CONCATENATE(TEXT(B69,"00"),".",TEXT(C69,"000"),".",TEXT(D69,"000")),IF(G69="Serviço",CONCATENATE(TEXT(B69,"00"),".",TEXT(C69,"000"),".",TEXT(D69,"000"),".",TEXT(E69,"000")),"")))))</f>
        <v/>
      </c>
      <c r="I69" s="15" t="inlineStr">
        <is>
          <t>IMPERMEABILIZAÇÃO E TRATAMENTOS</t>
        </is>
      </c>
      <c r="J69" s="6" t="n"/>
    </row>
    <row r="70" ht="20.45" customFormat="1" customHeight="1" s="8">
      <c r="A70" s="14">
        <f>IF($G70="UNIDADE CONSTRUTIVA",OFFSET(A70,-1,0)+1,LARGE(A$3:A69,1))</f>
        <v/>
      </c>
      <c r="B70" s="14">
        <f>IF(G70="UNIDADE CONSTRUTIVA",0,IF(G70="CÉLULA CONSTRUTIVA",OFFSET(B70,-1,0)+1,OFFSET(B70,-1,0)))</f>
        <v/>
      </c>
      <c r="C70" s="14">
        <f>IF(G70="CÉLULA CONSTRUTIVA",0,IF(G70="ETAPA",OFFSET(C70,-1,0)+1,OFFSET(C70,-1,0)))</f>
        <v/>
      </c>
      <c r="D70" s="13">
        <f>IF(G70="ETAPA",0,IF(G70="SUBETAPA",OFFSET(D70,-1,0)+1,OFFSET(D70,-1,0)))</f>
        <v/>
      </c>
      <c r="E70" s="13">
        <f>IF(G70="Subetapa",0,IF(G70="serviço",OFFSET(E70,-1,0)+1,OFFSET(E70,-1,0)))</f>
        <v/>
      </c>
      <c r="F70" s="12" t="n"/>
      <c r="G70" s="19" t="inlineStr">
        <is>
          <t>Subetapa</t>
        </is>
      </c>
      <c r="H70" s="16">
        <f>IF(G70="Unidade Construtiva",TEXT(A70,"00"),IF(G70="Célula Construtiva",TEXT(B70,"00"),IF(G70="Etapa",CONCATENATE(TEXT(B70,"00"),".",TEXT(C70,"000")),IF(G70="Subetapa",CONCATENATE(TEXT(B70,"00"),".",TEXT(C70,"000"),".",TEXT(D70,"000")),IF(G70="Serviço",CONCATENATE(TEXT(B70,"00"),".",TEXT(C70,"000"),".",TEXT(D70,"000"),".",TEXT(E70,"000")),"")))))</f>
        <v/>
      </c>
      <c r="I70" s="18" t="inlineStr">
        <is>
          <t>Regularização e proteção mecânica</t>
        </is>
      </c>
      <c r="J70" s="6" t="n"/>
    </row>
    <row r="71" ht="20.45" customFormat="1" customHeight="1" s="8">
      <c r="A71" s="14">
        <f>IF($G71="UNIDADE CONSTRUTIVA",OFFSET(A71,-1,0)+1,LARGE(A$3:A70,1))</f>
        <v/>
      </c>
      <c r="B71" s="14">
        <f>IF(G71="UNIDADE CONSTRUTIVA",0,IF(G71="CÉLULA CONSTRUTIVA",OFFSET(B71,-1,0)+1,OFFSET(B71,-1,0)))</f>
        <v/>
      </c>
      <c r="C71" s="14">
        <f>IF(G71="CÉLULA CONSTRUTIVA",0,IF(G71="ETAPA",OFFSET(C71,-1,0)+1,OFFSET(C71,-1,0)))</f>
        <v/>
      </c>
      <c r="D71" s="13">
        <f>IF(G71="ETAPA",0,IF(G71="SUBETAPA",OFFSET(D71,-1,0)+1,OFFSET(D71,-1,0)))</f>
        <v/>
      </c>
      <c r="E71" s="13">
        <f>IF(G71="Subetapa",0,IF(G71="serviço",OFFSET(E71,-1,0)+1,OFFSET(E71,-1,0)))</f>
        <v/>
      </c>
      <c r="F71" s="12" t="n"/>
      <c r="G71" s="19" t="inlineStr">
        <is>
          <t>Subetapa</t>
        </is>
      </c>
      <c r="H71" s="16">
        <f>IF(G71="Unidade Construtiva",TEXT(A71,"00"),IF(G71="Célula Construtiva",TEXT(B71,"00"),IF(G71="Etapa",CONCATENATE(TEXT(B71,"00"),".",TEXT(C71,"000")),IF(G71="Subetapa",CONCATENATE(TEXT(B71,"00"),".",TEXT(C71,"000"),".",TEXT(D71,"000")),IF(G71="Serviço",CONCATENATE(TEXT(B71,"00"),".",TEXT(C71,"000"),".",TEXT(D71,"000"),".",TEXT(E71,"000")),"")))))</f>
        <v/>
      </c>
      <c r="I71" s="18" t="inlineStr">
        <is>
          <t>Impermeabilização de cisternas</t>
        </is>
      </c>
      <c r="J71" s="6" t="n"/>
    </row>
    <row r="72" ht="20.45" customFormat="1" customHeight="1" s="8">
      <c r="A72" s="14">
        <f>IF($G72="UNIDADE CONSTRUTIVA",OFFSET(A72,-1,0)+1,LARGE(A$3:A71,1))</f>
        <v/>
      </c>
      <c r="B72" s="14">
        <f>IF(G72="UNIDADE CONSTRUTIVA",0,IF(G72="CÉLULA CONSTRUTIVA",OFFSET(B72,-1,0)+1,OFFSET(B72,-1,0)))</f>
        <v/>
      </c>
      <c r="C72" s="14">
        <f>IF(G72="CÉLULA CONSTRUTIVA",0,IF(G72="ETAPA",OFFSET(C72,-1,0)+1,OFFSET(C72,-1,0)))</f>
        <v/>
      </c>
      <c r="D72" s="13">
        <f>IF(G72="ETAPA",0,IF(G72="SUBETAPA",OFFSET(D72,-1,0)+1,OFFSET(D72,-1,0)))</f>
        <v/>
      </c>
      <c r="E72" s="13">
        <f>IF(G72="Subetapa",0,IF(G72="serviço",OFFSET(E72,-1,0)+1,OFFSET(E72,-1,0)))</f>
        <v/>
      </c>
      <c r="F72" s="12" t="n"/>
      <c r="G72" s="19" t="inlineStr">
        <is>
          <t>Subetapa</t>
        </is>
      </c>
      <c r="H72" s="16">
        <f>IF(G72="Unidade Construtiva",TEXT(A72,"00"),IF(G72="Célula Construtiva",TEXT(B72,"00"),IF(G72="Etapa",CONCATENATE(TEXT(B72,"00"),".",TEXT(C72,"000")),IF(G72="Subetapa",CONCATENATE(TEXT(B72,"00"),".",TEXT(C72,"000"),".",TEXT(D72,"000")),IF(G72="Serviço",CONCATENATE(TEXT(B72,"00"),".",TEXT(C72,"000"),".",TEXT(D72,"000"),".",TEXT(E72,"000")),"")))))</f>
        <v/>
      </c>
      <c r="I72" s="18" t="inlineStr">
        <is>
          <t>Impermeabilização de fundação e contenção</t>
        </is>
      </c>
      <c r="J72" s="6" t="n"/>
    </row>
    <row r="73" ht="20.45" customFormat="1" customHeight="1" s="8">
      <c r="A73" s="14">
        <f>IF($G73="UNIDADE CONSTRUTIVA",OFFSET(A73,-1,0)+1,LARGE(A$3:A72,1))</f>
        <v/>
      </c>
      <c r="B73" s="14">
        <f>IF(G73="UNIDADE CONSTRUTIVA",0,IF(G73="CÉLULA CONSTRUTIVA",OFFSET(B73,-1,0)+1,OFFSET(B73,-1,0)))</f>
        <v/>
      </c>
      <c r="C73" s="14">
        <f>IF(G73="CÉLULA CONSTRUTIVA",0,IF(G73="ETAPA",OFFSET(C73,-1,0)+1,OFFSET(C73,-1,0)))</f>
        <v/>
      </c>
      <c r="D73" s="13">
        <f>IF(G73="ETAPA",0,IF(G73="SUBETAPA",OFFSET(D73,-1,0)+1,OFFSET(D73,-1,0)))</f>
        <v/>
      </c>
      <c r="E73" s="13">
        <f>IF(G73="Subetapa",0,IF(G73="serviço",OFFSET(E73,-1,0)+1,OFFSET(E73,-1,0)))</f>
        <v/>
      </c>
      <c r="F73" s="12" t="n"/>
      <c r="G73" s="19" t="inlineStr">
        <is>
          <t>Subetapa</t>
        </is>
      </c>
      <c r="H73" s="16">
        <f>IF(G73="Unidade Construtiva",TEXT(A73,"00"),IF(G73="Célula Construtiva",TEXT(B73,"00"),IF(G73="Etapa",CONCATENATE(TEXT(B73,"00"),".",TEXT(C73,"000")),IF(G73="Subetapa",CONCATENATE(TEXT(B73,"00"),".",TEXT(C73,"000"),".",TEXT(D73,"000")),IF(G73="Serviço",CONCATENATE(TEXT(B73,"00"),".",TEXT(C73,"000"),".",TEXT(D73,"000"),".",TEXT(E73,"000")),"")))))</f>
        <v/>
      </c>
      <c r="I73" s="18" t="inlineStr">
        <is>
          <t>Impermeabilização de lajes e terraços</t>
        </is>
      </c>
      <c r="J73" s="6" t="n"/>
    </row>
    <row r="74" ht="20.45" customFormat="1" customHeight="1" s="8">
      <c r="A74" s="14">
        <f>IF($G74="UNIDADE CONSTRUTIVA",OFFSET(A74,-1,0)+1,LARGE(A$3:A73,1))</f>
        <v/>
      </c>
      <c r="B74" s="14">
        <f>IF(G74="UNIDADE CONSTRUTIVA",0,IF(G74="CÉLULA CONSTRUTIVA",OFFSET(B74,-1,0)+1,OFFSET(B74,-1,0)))</f>
        <v/>
      </c>
      <c r="C74" s="14">
        <f>IF(G74="CÉLULA CONSTRUTIVA",0,IF(G74="ETAPA",OFFSET(C74,-1,0)+1,OFFSET(C74,-1,0)))</f>
        <v/>
      </c>
      <c r="D74" s="13">
        <f>IF(G74="ETAPA",0,IF(G74="SUBETAPA",OFFSET(D74,-1,0)+1,OFFSET(D74,-1,0)))</f>
        <v/>
      </c>
      <c r="E74" s="13">
        <f>IF(G74="Subetapa",0,IF(G74="serviço",OFFSET(E74,-1,0)+1,OFFSET(E74,-1,0)))</f>
        <v/>
      </c>
      <c r="F74" s="12" t="n"/>
      <c r="G74" s="19" t="inlineStr">
        <is>
          <t>Subetapa</t>
        </is>
      </c>
      <c r="H74" s="16">
        <f>IF(G74="Unidade Construtiva",TEXT(A74,"00"),IF(G74="Célula Construtiva",TEXT(B74,"00"),IF(G74="Etapa",CONCATENATE(TEXT(B74,"00"),".",TEXT(C74,"000")),IF(G74="Subetapa",CONCATENATE(TEXT(B74,"00"),".",TEXT(C74,"000"),".",TEXT(D74,"000")),IF(G74="Serviço",CONCATENATE(TEXT(B74,"00"),".",TEXT(C74,"000"),".",TEXT(D74,"000"),".",TEXT(E74,"000")),"")))))</f>
        <v/>
      </c>
      <c r="I74" s="18" t="inlineStr">
        <is>
          <t>Impermeabilização de piscinas e espelhos d´água</t>
        </is>
      </c>
      <c r="J74" s="6" t="n"/>
    </row>
    <row r="75" ht="20.45" customFormat="1" customHeight="1" s="8">
      <c r="A75" s="14">
        <f>IF($G75="UNIDADE CONSTRUTIVA",OFFSET(A75,-1,0)+1,LARGE(A$3:A74,1))</f>
        <v/>
      </c>
      <c r="B75" s="14">
        <f>IF(G75="UNIDADE CONSTRUTIVA",0,IF(G75="CÉLULA CONSTRUTIVA",OFFSET(B75,-1,0)+1,OFFSET(B75,-1,0)))</f>
        <v/>
      </c>
      <c r="C75" s="14">
        <f>IF(G75="CÉLULA CONSTRUTIVA",0,IF(G75="ETAPA",OFFSET(C75,-1,0)+1,OFFSET(C75,-1,0)))</f>
        <v/>
      </c>
      <c r="D75" s="13">
        <f>IF(G75="ETAPA",0,IF(G75="SUBETAPA",OFFSET(D75,-1,0)+1,OFFSET(D75,-1,0)))</f>
        <v/>
      </c>
      <c r="E75" s="13">
        <f>IF(G75="Subetapa",0,IF(G75="serviço",OFFSET(E75,-1,0)+1,OFFSET(E75,-1,0)))</f>
        <v/>
      </c>
      <c r="F75" s="12" t="n"/>
      <c r="G75" s="19" t="inlineStr">
        <is>
          <t>Subetapa</t>
        </is>
      </c>
      <c r="H75" s="16">
        <f>IF(G75="Unidade Construtiva",TEXT(A75,"00"),IF(G75="Célula Construtiva",TEXT(B75,"00"),IF(G75="Etapa",CONCATENATE(TEXT(B75,"00"),".",TEXT(C75,"000")),IF(G75="Subetapa",CONCATENATE(TEXT(B75,"00"),".",TEXT(C75,"000"),".",TEXT(D75,"000")),IF(G75="Serviço",CONCATENATE(TEXT(B75,"00"),".",TEXT(C75,"000"),".",TEXT(D75,"000"),".",TEXT(E75,"000")),"")))))</f>
        <v/>
      </c>
      <c r="I75" s="18" t="inlineStr">
        <is>
          <t>Impermeabilização de banheiro, cozinha e sacada</t>
        </is>
      </c>
      <c r="J75" s="6" t="n"/>
    </row>
    <row r="76" ht="20.45" customFormat="1" customHeight="1" s="8">
      <c r="A76" s="14">
        <f>IF($G76="UNIDADE CONSTRUTIVA",OFFSET(A76,-1,0)+1,LARGE(A$3:A75,1))</f>
        <v/>
      </c>
      <c r="B76" s="14">
        <f>IF(G76="UNIDADE CONSTRUTIVA",0,IF(G76="CÉLULA CONSTRUTIVA",OFFSET(B76,-1,0)+1,OFFSET(B76,-1,0)))</f>
        <v/>
      </c>
      <c r="C76" s="14">
        <f>IF(G76="CÉLULA CONSTRUTIVA",0,IF(G76="ETAPA",OFFSET(C76,-1,0)+1,OFFSET(C76,-1,0)))</f>
        <v/>
      </c>
      <c r="D76" s="13">
        <f>IF(G76="ETAPA",0,IF(G76="SUBETAPA",OFFSET(D76,-1,0)+1,OFFSET(D76,-1,0)))</f>
        <v/>
      </c>
      <c r="E76" s="13">
        <f>IF(G76="Subetapa",0,IF(G76="serviço",OFFSET(E76,-1,0)+1,OFFSET(E76,-1,0)))</f>
        <v/>
      </c>
      <c r="F76" s="12" t="n"/>
      <c r="G76" s="19" t="inlineStr">
        <is>
          <t>Subetapa</t>
        </is>
      </c>
      <c r="H76" s="16">
        <f>IF(G76="Unidade Construtiva",TEXT(A76,"00"),IF(G76="Célula Construtiva",TEXT(B76,"00"),IF(G76="Etapa",CONCATENATE(TEXT(B76,"00"),".",TEXT(C76,"000")),IF(G76="Subetapa",CONCATENATE(TEXT(B76,"00"),".",TEXT(C76,"000"),".",TEXT(D76,"000")),IF(G76="Serviço",CONCATENATE(TEXT(B76,"00"),".",TEXT(C76,"000"),".",TEXT(D76,"000"),".",TEXT(E76,"000")),"")))))</f>
        <v/>
      </c>
      <c r="I76" s="18" t="inlineStr">
        <is>
          <t>Impermeabilização de esquadrias</t>
        </is>
      </c>
      <c r="J76" s="6" t="n"/>
    </row>
    <row r="77" ht="20.45" customFormat="1" customHeight="1" s="8">
      <c r="A77" s="14">
        <f>IF($G77="UNIDADE CONSTRUTIVA",OFFSET(A77,-1,0)+1,LARGE(A$3:A76,1))</f>
        <v/>
      </c>
      <c r="B77" s="14">
        <f>IF(G77="UNIDADE CONSTRUTIVA",0,IF(G77="CÉLULA CONSTRUTIVA",OFFSET(B77,-1,0)+1,OFFSET(B77,-1,0)))</f>
        <v/>
      </c>
      <c r="C77" s="14">
        <f>IF(G77="CÉLULA CONSTRUTIVA",0,IF(G77="ETAPA",OFFSET(C77,-1,0)+1,OFFSET(C77,-1,0)))</f>
        <v/>
      </c>
      <c r="D77" s="13">
        <f>IF(G77="ETAPA",0,IF(G77="SUBETAPA",OFFSET(D77,-1,0)+1,OFFSET(D77,-1,0)))</f>
        <v/>
      </c>
      <c r="E77" s="13">
        <f>IF(G77="Subetapa",0,IF(G77="serviço",OFFSET(E77,-1,0)+1,OFFSET(E77,-1,0)))</f>
        <v/>
      </c>
      <c r="F77" s="12" t="n"/>
      <c r="G77" s="19" t="inlineStr">
        <is>
          <t>Subetapa</t>
        </is>
      </c>
      <c r="H77" s="16">
        <f>IF(G77="Unidade Construtiva",TEXT(A77,"00"),IF(G77="Célula Construtiva",TEXT(B77,"00"),IF(G77="Etapa",CONCATENATE(TEXT(B77,"00"),".",TEXT(C77,"000")),IF(G77="Subetapa",CONCATENATE(TEXT(B77,"00"),".",TEXT(C77,"000"),".",TEXT(D77,"000")),IF(G77="Serviço",CONCATENATE(TEXT(B77,"00"),".",TEXT(C77,"000"),".",TEXT(D77,"000"),".",TEXT(E77,"000")),"")))))</f>
        <v/>
      </c>
      <c r="I77" s="18" t="inlineStr">
        <is>
          <t>Impermeabilização de ralos</t>
        </is>
      </c>
      <c r="J77" s="6" t="n"/>
    </row>
    <row r="78" ht="20.45" customFormat="1" customHeight="1" s="8">
      <c r="A78" s="14">
        <f>IF($G78="UNIDADE CONSTRUTIVA",OFFSET(A78,-1,0)+1,LARGE(A$3:A77,1))</f>
        <v/>
      </c>
      <c r="B78" s="14">
        <f>IF(G78="UNIDADE CONSTRUTIVA",0,IF(G78="CÉLULA CONSTRUTIVA",OFFSET(B78,-1,0)+1,OFFSET(B78,-1,0)))</f>
        <v/>
      </c>
      <c r="C78" s="14">
        <f>IF(G78="CÉLULA CONSTRUTIVA",0,IF(G78="ETAPA",OFFSET(C78,-1,0)+1,OFFSET(C78,-1,0)))</f>
        <v/>
      </c>
      <c r="D78" s="13">
        <f>IF(G78="ETAPA",0,IF(G78="SUBETAPA",OFFSET(D78,-1,0)+1,OFFSET(D78,-1,0)))</f>
        <v/>
      </c>
      <c r="E78" s="13">
        <f>IF(G78="Subetapa",0,IF(G78="serviço",OFFSET(E78,-1,0)+1,OFFSET(E78,-1,0)))</f>
        <v/>
      </c>
      <c r="F78" s="12" t="n"/>
      <c r="G78" s="19" t="inlineStr">
        <is>
          <t>Subetapa</t>
        </is>
      </c>
      <c r="H78" s="16">
        <f>IF(G78="Unidade Construtiva",TEXT(A78,"00"),IF(G78="Célula Construtiva",TEXT(B78,"00"),IF(G78="Etapa",CONCATENATE(TEXT(B78,"00"),".",TEXT(C78,"000")),IF(G78="Subetapa",CONCATENATE(TEXT(B78,"00"),".",TEXT(C78,"000"),".",TEXT(D78,"000")),IF(G78="Serviço",CONCATENATE(TEXT(B78,"00"),".",TEXT(C78,"000"),".",TEXT(D78,"000"),".",TEXT(E78,"000")),"")))))</f>
        <v/>
      </c>
      <c r="I78" s="18" t="inlineStr">
        <is>
          <t>Impermeabilização de floreiras</t>
        </is>
      </c>
      <c r="J78" s="6" t="n"/>
    </row>
    <row r="79" ht="20.45" customFormat="1" customHeight="1" s="8">
      <c r="A79" s="14">
        <f>IF($G79="UNIDADE CONSTRUTIVA",OFFSET(A79,-1,0)+1,LARGE(A$3:A78,1))</f>
        <v/>
      </c>
      <c r="B79" s="14">
        <f>IF(G79="UNIDADE CONSTRUTIVA",0,IF(G79="CÉLULA CONSTRUTIVA",OFFSET(B79,-1,0)+1,OFFSET(B79,-1,0)))</f>
        <v/>
      </c>
      <c r="C79" s="14">
        <f>IF(G79="CÉLULA CONSTRUTIVA",0,IF(G79="ETAPA",OFFSET(C79,-1,0)+1,OFFSET(C79,-1,0)))</f>
        <v/>
      </c>
      <c r="D79" s="13">
        <f>IF(G79="ETAPA",0,IF(G79="SUBETAPA",OFFSET(D79,-1,0)+1,OFFSET(D79,-1,0)))</f>
        <v/>
      </c>
      <c r="E79" s="13">
        <f>IF(G79="Subetapa",0,IF(G79="serviço",OFFSET(E79,-1,0)+1,OFFSET(E79,-1,0)))</f>
        <v/>
      </c>
      <c r="F79" s="12" t="n"/>
      <c r="G79" s="19" t="inlineStr">
        <is>
          <t>Subetapa</t>
        </is>
      </c>
      <c r="H79" s="16">
        <f>IF(G79="Unidade Construtiva",TEXT(A79,"00"),IF(G79="Célula Construtiva",TEXT(B79,"00"),IF(G79="Etapa",CONCATENATE(TEXT(B79,"00"),".",TEXT(C79,"000")),IF(G79="Subetapa",CONCATENATE(TEXT(B79,"00"),".",TEXT(C79,"000"),".",TEXT(D79,"000")),IF(G79="Serviço",CONCATENATE(TEXT(B79,"00"),".",TEXT(C79,"000"),".",TEXT(D79,"000"),".",TEXT(E79,"000")),"")))))</f>
        <v/>
      </c>
      <c r="I79" s="18" t="inlineStr">
        <is>
          <t>Impermeabilização de reservatórios</t>
        </is>
      </c>
      <c r="J79" s="6" t="n"/>
    </row>
    <row r="80" ht="20.45" customFormat="1" customHeight="1" s="8">
      <c r="A80" s="14">
        <f>IF($G80="UNIDADE CONSTRUTIVA",OFFSET(A80,-1,0)+1,LARGE(A$3:A79,1))</f>
        <v/>
      </c>
      <c r="B80" s="14">
        <f>IF(G80="UNIDADE CONSTRUTIVA",0,IF(G80="CÉLULA CONSTRUTIVA",OFFSET(B80,-1,0)+1,OFFSET(B80,-1,0)))</f>
        <v/>
      </c>
      <c r="C80" s="14">
        <f>IF(G80="CÉLULA CONSTRUTIVA",0,IF(G80="ETAPA",OFFSET(C80,-1,0)+1,OFFSET(C80,-1,0)))</f>
        <v/>
      </c>
      <c r="D80" s="13">
        <f>IF(G80="ETAPA",0,IF(G80="SUBETAPA",OFFSET(D80,-1,0)+1,OFFSET(D80,-1,0)))</f>
        <v/>
      </c>
      <c r="E80" s="13">
        <f>IF(G80="Subetapa",0,IF(G80="serviço",OFFSET(E80,-1,0)+1,OFFSET(E80,-1,0)))</f>
        <v/>
      </c>
      <c r="F80" s="12" t="n"/>
      <c r="G80" s="19" t="inlineStr">
        <is>
          <t>Subetapa</t>
        </is>
      </c>
      <c r="H80" s="16">
        <f>IF(G80="Unidade Construtiva",TEXT(A80,"00"),IF(G80="Célula Construtiva",TEXT(B80,"00"),IF(G80="Etapa",CONCATENATE(TEXT(B80,"00"),".",TEXT(C80,"000")),IF(G80="Subetapa",CONCATENATE(TEXT(B80,"00"),".",TEXT(C80,"000"),".",TEXT(D80,"000")),IF(G80="Serviço",CONCATENATE(TEXT(B80,"00"),".",TEXT(C80,"000"),".",TEXT(D80,"000"),".",TEXT(E80,"000")),"")))))</f>
        <v/>
      </c>
      <c r="I80" s="18" t="inlineStr">
        <is>
          <t>Mão de obra</t>
        </is>
      </c>
      <c r="J80" s="6" t="n"/>
    </row>
    <row r="81" ht="20.45" customFormat="1" customHeight="1" s="8">
      <c r="A81" s="14">
        <f>IF($G81="UNIDADE CONSTRUTIVA",OFFSET(A81,-1,0)+1,LARGE(A$3:A80,1))</f>
        <v/>
      </c>
      <c r="B81" s="14">
        <f>IF(G81="UNIDADE CONSTRUTIVA",0,IF(G81="CÉLULA CONSTRUTIVA",OFFSET(B81,-1,0)+1,OFFSET(B81,-1,0)))</f>
        <v/>
      </c>
      <c r="C81" s="14">
        <f>IF(G81="CÉLULA CONSTRUTIVA",0,IF(G81="ETAPA",OFFSET(C81,-1,0)+1,OFFSET(C81,-1,0)))</f>
        <v/>
      </c>
      <c r="D81" s="13">
        <f>IF(G81="ETAPA",0,IF(G81="SUBETAPA",OFFSET(D81,-1,0)+1,OFFSET(D81,-1,0)))</f>
        <v/>
      </c>
      <c r="E81" s="13">
        <f>IF(G81="Subetapa",0,IF(G81="serviço",OFFSET(E81,-1,0)+1,OFFSET(E81,-1,0)))</f>
        <v/>
      </c>
      <c r="F81" s="12" t="n"/>
      <c r="G81" s="17" t="inlineStr">
        <is>
          <t>CÉLULA CONSTRUTIVA</t>
        </is>
      </c>
      <c r="H81" s="16">
        <f>IF(G81="Unidade Construtiva",TEXT(A81,"00"),IF(G81="Célula Construtiva",TEXT(B81,"00"),IF(G81="Etapa",CONCATENATE(TEXT(B81,"00"),".",TEXT(C81,"000")),IF(G81="Subetapa",CONCATENATE(TEXT(B81,"00"),".",TEXT(C81,"000"),".",TEXT(D81,"000")),IF(G81="Serviço",CONCATENATE(TEXT(B81,"00"),".",TEXT(C81,"000"),".",TEXT(D81,"000"),".",TEXT(E81,"000")),"")))))</f>
        <v/>
      </c>
      <c r="I81" s="15" t="inlineStr">
        <is>
          <t>SISTEMAS E INSTALAÇÕES HIDROSSANITÁRIAS E DRENAGEM</t>
        </is>
      </c>
      <c r="J81" s="6" t="n"/>
    </row>
    <row r="82" ht="20.45" customFormat="1" customHeight="1" s="8">
      <c r="A82" s="14">
        <f>IF($G82="UNIDADE CONSTRUTIVA",OFFSET(A82,-1,0)+1,LARGE(A$3:A81,1))</f>
        <v/>
      </c>
      <c r="B82" s="14">
        <f>IF(G82="UNIDADE CONSTRUTIVA",0,IF(G82="CÉLULA CONSTRUTIVA",OFFSET(B82,-1,0)+1,OFFSET(B82,-1,0)))</f>
        <v/>
      </c>
      <c r="C82" s="14">
        <f>IF(G82="CÉLULA CONSTRUTIVA",0,IF(G82="ETAPA",OFFSET(C82,-1,0)+1,OFFSET(C82,-1,0)))</f>
        <v/>
      </c>
      <c r="D82" s="13">
        <f>IF(G82="ETAPA",0,IF(G82="SUBETAPA",OFFSET(D82,-1,0)+1,OFFSET(D82,-1,0)))</f>
        <v/>
      </c>
      <c r="E82" s="13">
        <f>IF(G82="Subetapa",0,IF(G82="serviço",OFFSET(E82,-1,0)+1,OFFSET(E82,-1,0)))</f>
        <v/>
      </c>
      <c r="F82" s="12" t="n"/>
      <c r="G82" s="17" t="inlineStr">
        <is>
          <t>ETAPA</t>
        </is>
      </c>
      <c r="H82" s="16">
        <f>IF(G82="Unidade Construtiva",TEXT(A82,"00"),IF(G82="Célula Construtiva",TEXT(B82,"00"),IF(G82="Etapa",CONCATENATE(TEXT(B82,"00"),".",TEXT(C82,"000")),IF(G82="Subetapa",CONCATENATE(TEXT(B82,"00"),".",TEXT(C82,"000"),".",TEXT(D82,"000")),IF(G82="Serviço",CONCATENATE(TEXT(B82,"00"),".",TEXT(C82,"000"),".",TEXT(D82,"000"),".",TEXT(E82,"000")),"")))))</f>
        <v/>
      </c>
      <c r="I82" s="15" t="inlineStr">
        <is>
          <t>SISTEMAS E INSTALAÇÕES HIDROSSANITÁRIAS E DRENAGEM</t>
        </is>
      </c>
      <c r="J82" s="6" t="n"/>
    </row>
    <row r="83" ht="20.45" customFormat="1" customHeight="1" s="8">
      <c r="A83" s="14">
        <f>IF($G83="UNIDADE CONSTRUTIVA",OFFSET(A83,-1,0)+1,LARGE(A$3:A82,1))</f>
        <v/>
      </c>
      <c r="B83" s="14">
        <f>IF(G83="UNIDADE CONSTRUTIVA",0,IF(G83="CÉLULA CONSTRUTIVA",OFFSET(B83,-1,0)+1,OFFSET(B83,-1,0)))</f>
        <v/>
      </c>
      <c r="C83" s="14">
        <f>IF(G83="CÉLULA CONSTRUTIVA",0,IF(G83="ETAPA",OFFSET(C83,-1,0)+1,OFFSET(C83,-1,0)))</f>
        <v/>
      </c>
      <c r="D83" s="13">
        <f>IF(G83="ETAPA",0,IF(G83="SUBETAPA",OFFSET(D83,-1,0)+1,OFFSET(D83,-1,0)))</f>
        <v/>
      </c>
      <c r="E83" s="13">
        <f>IF(G83="Subetapa",0,IF(G83="serviço",OFFSET(E83,-1,0)+1,OFFSET(E83,-1,0)))</f>
        <v/>
      </c>
      <c r="F83" s="12" t="n"/>
      <c r="G83" s="19" t="inlineStr">
        <is>
          <t>Subetapa</t>
        </is>
      </c>
      <c r="H83" s="16">
        <f>IF(G83="Unidade Construtiva",TEXT(A83,"00"),IF(G83="Célula Construtiva",TEXT(B83,"00"),IF(G83="Etapa",CONCATENATE(TEXT(B83,"00"),".",TEXT(C83,"000")),IF(G83="Subetapa",CONCATENATE(TEXT(B83,"00"),".",TEXT(C83,"000"),".",TEXT(D83,"000")),IF(G83="Serviço",CONCATENATE(TEXT(B83,"00"),".",TEXT(C83,"000"),".",TEXT(D83,"000"),".",TEXT(E83,"000")),"")))))</f>
        <v/>
      </c>
      <c r="I83" s="18" t="inlineStr">
        <is>
          <t>Instalações de água fria</t>
        </is>
      </c>
      <c r="J83" s="6" t="n"/>
    </row>
    <row r="84" ht="20.45" customFormat="1" customHeight="1" s="8">
      <c r="A84" s="14">
        <f>IF($G84="UNIDADE CONSTRUTIVA",OFFSET(A84,-1,0)+1,LARGE(A$3:A83,1))</f>
        <v/>
      </c>
      <c r="B84" s="14">
        <f>IF(G84="UNIDADE CONSTRUTIVA",0,IF(G84="CÉLULA CONSTRUTIVA",OFFSET(B84,-1,0)+1,OFFSET(B84,-1,0)))</f>
        <v/>
      </c>
      <c r="C84" s="14">
        <f>IF(G84="CÉLULA CONSTRUTIVA",0,IF(G84="ETAPA",OFFSET(C84,-1,0)+1,OFFSET(C84,-1,0)))</f>
        <v/>
      </c>
      <c r="D84" s="13">
        <f>IF(G84="ETAPA",0,IF(G84="SUBETAPA",OFFSET(D84,-1,0)+1,OFFSET(D84,-1,0)))</f>
        <v/>
      </c>
      <c r="E84" s="13">
        <f>IF(G84="Subetapa",0,IF(G84="serviço",OFFSET(E84,-1,0)+1,OFFSET(E84,-1,0)))</f>
        <v/>
      </c>
      <c r="F84" s="12" t="n"/>
      <c r="G84" s="19" t="inlineStr">
        <is>
          <t>Subetapa</t>
        </is>
      </c>
      <c r="H84" s="16">
        <f>IF(G84="Unidade Construtiva",TEXT(A84,"00"),IF(G84="Célula Construtiva",TEXT(B84,"00"),IF(G84="Etapa",CONCATENATE(TEXT(B84,"00"),".",TEXT(C84,"000")),IF(G84="Subetapa",CONCATENATE(TEXT(B84,"00"),".",TEXT(C84,"000"),".",TEXT(D84,"000")),IF(G84="Serviço",CONCATENATE(TEXT(B84,"00"),".",TEXT(C84,"000"),".",TEXT(D84,"000"),".",TEXT(E84,"000")),"")))))</f>
        <v/>
      </c>
      <c r="I84" s="18" t="inlineStr">
        <is>
          <t>Instalações de água quente</t>
        </is>
      </c>
      <c r="J84" s="6" t="n"/>
    </row>
    <row r="85" ht="20.45" customFormat="1" customHeight="1" s="8">
      <c r="A85" s="14">
        <f>IF($G85="UNIDADE CONSTRUTIVA",OFFSET(A85,-1,0)+1,LARGE(A$3:A84,1))</f>
        <v/>
      </c>
      <c r="B85" s="14">
        <f>IF(G85="UNIDADE CONSTRUTIVA",0,IF(G85="CÉLULA CONSTRUTIVA",OFFSET(B85,-1,0)+1,OFFSET(B85,-1,0)))</f>
        <v/>
      </c>
      <c r="C85" s="14">
        <f>IF(G85="CÉLULA CONSTRUTIVA",0,IF(G85="ETAPA",OFFSET(C85,-1,0)+1,OFFSET(C85,-1,0)))</f>
        <v/>
      </c>
      <c r="D85" s="13">
        <f>IF(G85="ETAPA",0,IF(G85="SUBETAPA",OFFSET(D85,-1,0)+1,OFFSET(D85,-1,0)))</f>
        <v/>
      </c>
      <c r="E85" s="13">
        <f>IF(G85="Subetapa",0,IF(G85="serviço",OFFSET(E85,-1,0)+1,OFFSET(E85,-1,0)))</f>
        <v/>
      </c>
      <c r="F85" s="12" t="n"/>
      <c r="G85" s="19" t="inlineStr">
        <is>
          <t>Subetapa</t>
        </is>
      </c>
      <c r="H85" s="16">
        <f>IF(G85="Unidade Construtiva",TEXT(A85,"00"),IF(G85="Célula Construtiva",TEXT(B85,"00"),IF(G85="Etapa",CONCATENATE(TEXT(B85,"00"),".",TEXT(C85,"000")),IF(G85="Subetapa",CONCATENATE(TEXT(B85,"00"),".",TEXT(C85,"000"),".",TEXT(D85,"000")),IF(G85="Serviço",CONCATENATE(TEXT(B85,"00"),".",TEXT(C85,"000"),".",TEXT(D85,"000"),".",TEXT(E85,"000")),"")))))</f>
        <v/>
      </c>
      <c r="I85" s="18" t="inlineStr">
        <is>
          <t>Instalações de esgoto e pluviais</t>
        </is>
      </c>
      <c r="J85" s="6" t="n"/>
    </row>
    <row r="86" ht="20.45" customFormat="1" customHeight="1" s="8">
      <c r="A86" s="14">
        <f>IF($G86="UNIDADE CONSTRUTIVA",OFFSET(A86,-1,0)+1,LARGE(A$3:A85,1))</f>
        <v/>
      </c>
      <c r="B86" s="14">
        <f>IF(G86="UNIDADE CONSTRUTIVA",0,IF(G86="CÉLULA CONSTRUTIVA",OFFSET(B86,-1,0)+1,OFFSET(B86,-1,0)))</f>
        <v/>
      </c>
      <c r="C86" s="14">
        <f>IF(G86="CÉLULA CONSTRUTIVA",0,IF(G86="ETAPA",OFFSET(C86,-1,0)+1,OFFSET(C86,-1,0)))</f>
        <v/>
      </c>
      <c r="D86" s="13">
        <f>IF(G86="ETAPA",0,IF(G86="SUBETAPA",OFFSET(D86,-1,0)+1,OFFSET(D86,-1,0)))</f>
        <v/>
      </c>
      <c r="E86" s="13">
        <f>IF(G86="Subetapa",0,IF(G86="serviço",OFFSET(E86,-1,0)+1,OFFSET(E86,-1,0)))</f>
        <v/>
      </c>
      <c r="F86" s="12" t="n"/>
      <c r="G86" s="19" t="inlineStr">
        <is>
          <t>Subetapa</t>
        </is>
      </c>
      <c r="H86" s="16">
        <f>IF(G86="Unidade Construtiva",TEXT(A86,"00"),IF(G86="Célula Construtiva",TEXT(B86,"00"),IF(G86="Etapa",CONCATENATE(TEXT(B86,"00"),".",TEXT(C86,"000")),IF(G86="Subetapa",CONCATENATE(TEXT(B86,"00"),".",TEXT(C86,"000"),".",TEXT(D86,"000")),IF(G86="Serviço",CONCATENATE(TEXT(B86,"00"),".",TEXT(C86,"000"),".",TEXT(D86,"000"),".",TEXT(E86,"000")),"")))))</f>
        <v/>
      </c>
      <c r="I86" s="18" t="inlineStr">
        <is>
          <t>Cisterna</t>
        </is>
      </c>
      <c r="J86" s="6" t="n"/>
    </row>
    <row r="87" ht="20.45" customFormat="1" customHeight="1" s="8">
      <c r="A87" s="14">
        <f>IF($G87="UNIDADE CONSTRUTIVA",OFFSET(A87,-1,0)+1,LARGE(A$3:A86,1))</f>
        <v/>
      </c>
      <c r="B87" s="14">
        <f>IF(G87="UNIDADE CONSTRUTIVA",0,IF(G87="CÉLULA CONSTRUTIVA",OFFSET(B87,-1,0)+1,OFFSET(B87,-1,0)))</f>
        <v/>
      </c>
      <c r="C87" s="14">
        <f>IF(G87="CÉLULA CONSTRUTIVA",0,IF(G87="ETAPA",OFFSET(C87,-1,0)+1,OFFSET(C87,-1,0)))</f>
        <v/>
      </c>
      <c r="D87" s="13">
        <f>IF(G87="ETAPA",0,IF(G87="SUBETAPA",OFFSET(D87,-1,0)+1,OFFSET(D87,-1,0)))</f>
        <v/>
      </c>
      <c r="E87" s="13">
        <f>IF(G87="Subetapa",0,IF(G87="serviço",OFFSET(E87,-1,0)+1,OFFSET(E87,-1,0)))</f>
        <v/>
      </c>
      <c r="F87" s="12" t="n"/>
      <c r="G87" s="19" t="inlineStr">
        <is>
          <t>Subetapa</t>
        </is>
      </c>
      <c r="H87" s="16">
        <f>IF(G87="Unidade Construtiva",TEXT(A87,"00"),IF(G87="Célula Construtiva",TEXT(B87,"00"),IF(G87="Etapa",CONCATENATE(TEXT(B87,"00"),".",TEXT(C87,"000")),IF(G87="Subetapa",CONCATENATE(TEXT(B87,"00"),".",TEXT(C87,"000"),".",TEXT(D87,"000")),IF(G87="Serviço",CONCATENATE(TEXT(B87,"00"),".",TEXT(C87,"000"),".",TEXT(D87,"000"),".",TEXT(E87,"000")),"")))))</f>
        <v/>
      </c>
      <c r="I87" s="18" t="inlineStr">
        <is>
          <t>Hidrômetros</t>
        </is>
      </c>
      <c r="J87" s="6" t="n"/>
    </row>
    <row r="88" ht="20.45" customFormat="1" customHeight="1" s="8">
      <c r="A88" s="14">
        <f>IF($G88="UNIDADE CONSTRUTIVA",OFFSET(A88,-1,0)+1,LARGE(A$3:A87,1))</f>
        <v/>
      </c>
      <c r="B88" s="14">
        <f>IF(G88="UNIDADE CONSTRUTIVA",0,IF(G88="CÉLULA CONSTRUTIVA",OFFSET(B88,-1,0)+1,OFFSET(B88,-1,0)))</f>
        <v/>
      </c>
      <c r="C88" s="14">
        <f>IF(G88="CÉLULA CONSTRUTIVA",0,IF(G88="ETAPA",OFFSET(C88,-1,0)+1,OFFSET(C88,-1,0)))</f>
        <v/>
      </c>
      <c r="D88" s="13">
        <f>IF(G88="ETAPA",0,IF(G88="SUBETAPA",OFFSET(D88,-1,0)+1,OFFSET(D88,-1,0)))</f>
        <v/>
      </c>
      <c r="E88" s="13">
        <f>IF(G88="Subetapa",0,IF(G88="serviço",OFFSET(E88,-1,0)+1,OFFSET(E88,-1,0)))</f>
        <v/>
      </c>
      <c r="F88" s="12" t="n"/>
      <c r="G88" s="19" t="inlineStr">
        <is>
          <t>Subetapa</t>
        </is>
      </c>
      <c r="H88" s="16">
        <f>IF(G88="Unidade Construtiva",TEXT(A88,"00"),IF(G88="Célula Construtiva",TEXT(B88,"00"),IF(G88="Etapa",CONCATENATE(TEXT(B88,"00"),".",TEXT(C88,"000")),IF(G88="Subetapa",CONCATENATE(TEXT(B88,"00"),".",TEXT(C88,"000"),".",TEXT(D88,"000")),IF(G88="Serviço",CONCATENATE(TEXT(B88,"00"),".",TEXT(C88,"000"),".",TEXT(D88,"000"),".",TEXT(E88,"000")),"")))))</f>
        <v/>
      </c>
      <c r="I88" s="18" t="inlineStr">
        <is>
          <t>Reservatórios</t>
        </is>
      </c>
      <c r="J88" s="6" t="n"/>
    </row>
    <row r="89" ht="20.45" customFormat="1" customHeight="1" s="8">
      <c r="A89" s="14">
        <f>IF($G89="UNIDADE CONSTRUTIVA",OFFSET(A89,-1,0)+1,LARGE(A$3:A88,1))</f>
        <v/>
      </c>
      <c r="B89" s="14">
        <f>IF(G89="UNIDADE CONSTRUTIVA",0,IF(G89="CÉLULA CONSTRUTIVA",OFFSET(B89,-1,0)+1,OFFSET(B89,-1,0)))</f>
        <v/>
      </c>
      <c r="C89" s="14">
        <f>IF(G89="CÉLULA CONSTRUTIVA",0,IF(G89="ETAPA",OFFSET(C89,-1,0)+1,OFFSET(C89,-1,0)))</f>
        <v/>
      </c>
      <c r="D89" s="13">
        <f>IF(G89="ETAPA",0,IF(G89="SUBETAPA",OFFSET(D89,-1,0)+1,OFFSET(D89,-1,0)))</f>
        <v/>
      </c>
      <c r="E89" s="13">
        <f>IF(G89="Subetapa",0,IF(G89="serviço",OFFSET(E89,-1,0)+1,OFFSET(E89,-1,0)))</f>
        <v/>
      </c>
      <c r="F89" s="12" t="n"/>
      <c r="G89" s="19" t="inlineStr">
        <is>
          <t>Subetapa</t>
        </is>
      </c>
      <c r="H89" s="16">
        <f>IF(G89="Unidade Construtiva",TEXT(A89,"00"),IF(G89="Célula Construtiva",TEXT(B89,"00"),IF(G89="Etapa",CONCATENATE(TEXT(B89,"00"),".",TEXT(C89,"000")),IF(G89="Subetapa",CONCATENATE(TEXT(B89,"00"),".",TEXT(C89,"000"),".",TEXT(D89,"000")),IF(G89="Serviço",CONCATENATE(TEXT(B89,"00"),".",TEXT(C89,"000"),".",TEXT(D89,"000"),".",TEXT(E89,"000")),"")))))</f>
        <v/>
      </c>
      <c r="I89" s="18" t="inlineStr">
        <is>
          <t>Sistema de bombas</t>
        </is>
      </c>
      <c r="J89" s="6" t="n"/>
    </row>
    <row r="90" ht="20.45" customFormat="1" customHeight="1" s="8">
      <c r="A90" s="14">
        <f>IF($G90="UNIDADE CONSTRUTIVA",OFFSET(A90,-1,0)+1,LARGE(A$3:A89,1))</f>
        <v/>
      </c>
      <c r="B90" s="14">
        <f>IF(G90="UNIDADE CONSTRUTIVA",0,IF(G90="CÉLULA CONSTRUTIVA",OFFSET(B90,-1,0)+1,OFFSET(B90,-1,0)))</f>
        <v/>
      </c>
      <c r="C90" s="14">
        <f>IF(G90="CÉLULA CONSTRUTIVA",0,IF(G90="ETAPA",OFFSET(C90,-1,0)+1,OFFSET(C90,-1,0)))</f>
        <v/>
      </c>
      <c r="D90" s="13">
        <f>IF(G90="ETAPA",0,IF(G90="SUBETAPA",OFFSET(D90,-1,0)+1,OFFSET(D90,-1,0)))</f>
        <v/>
      </c>
      <c r="E90" s="13">
        <f>IF(G90="Subetapa",0,IF(G90="serviço",OFFSET(E90,-1,0)+1,OFFSET(E90,-1,0)))</f>
        <v/>
      </c>
      <c r="F90" s="12" t="n"/>
      <c r="G90" s="19" t="inlineStr">
        <is>
          <t>Subetapa</t>
        </is>
      </c>
      <c r="H90" s="16">
        <f>IF(G90="Unidade Construtiva",TEXT(A90,"00"),IF(G90="Célula Construtiva",TEXT(B90,"00"),IF(G90="Etapa",CONCATENATE(TEXT(B90,"00"),".",TEXT(C90,"000")),IF(G90="Subetapa",CONCATENATE(TEXT(B90,"00"),".",TEXT(C90,"000"),".",TEXT(D90,"000")),IF(G90="Serviço",CONCATENATE(TEXT(B90,"00"),".",TEXT(C90,"000"),".",TEXT(D90,"000"),".",TEXT(E90,"000")),"")))))</f>
        <v/>
      </c>
      <c r="I90" s="18" t="inlineStr">
        <is>
          <t>Mão de obra</t>
        </is>
      </c>
      <c r="J90" s="6" t="n"/>
    </row>
    <row r="91" ht="20.45" customFormat="1" customHeight="1" s="8">
      <c r="A91" s="14">
        <f>IF($G91="UNIDADE CONSTRUTIVA",OFFSET(A91,-1,0)+1,LARGE(A$3:A90,1))</f>
        <v/>
      </c>
      <c r="B91" s="14">
        <f>IF(G91="UNIDADE CONSTRUTIVA",0,IF(G91="CÉLULA CONSTRUTIVA",OFFSET(B91,-1,0)+1,OFFSET(B91,-1,0)))</f>
        <v/>
      </c>
      <c r="C91" s="14">
        <f>IF(G91="CÉLULA CONSTRUTIVA",0,IF(G91="ETAPA",OFFSET(C91,-1,0)+1,OFFSET(C91,-1,0)))</f>
        <v/>
      </c>
      <c r="D91" s="13">
        <f>IF(G91="ETAPA",0,IF(G91="SUBETAPA",OFFSET(D91,-1,0)+1,OFFSET(D91,-1,0)))</f>
        <v/>
      </c>
      <c r="E91" s="13">
        <f>IF(G91="Subetapa",0,IF(G91="serviço",OFFSET(E91,-1,0)+1,OFFSET(E91,-1,0)))</f>
        <v/>
      </c>
      <c r="F91" s="12" t="n"/>
      <c r="G91" s="17" t="inlineStr">
        <is>
          <t>CÉLULA CONSTRUTIVA</t>
        </is>
      </c>
      <c r="H91" s="16">
        <f>IF(G91="Unidade Construtiva",TEXT(A91,"00"),IF(G91="Célula Construtiva",TEXT(B91,"00"),IF(G91="Etapa",CONCATENATE(TEXT(B91,"00"),".",TEXT(C91,"000")),IF(G91="Subetapa",CONCATENATE(TEXT(B91,"00"),".",TEXT(C91,"000"),".",TEXT(D91,"000")),IF(G91="Serviço",CONCATENATE(TEXT(B91,"00"),".",TEXT(C91,"000"),".",TEXT(D91,"000"),".",TEXT(E91,"000")),"")))))</f>
        <v/>
      </c>
      <c r="I91" s="15" t="inlineStr">
        <is>
          <t>SISTEMAS E INSTALAÇÕES ELÉTRICAS</t>
        </is>
      </c>
      <c r="J91" s="6" t="n"/>
    </row>
    <row r="92" ht="20.45" customFormat="1" customHeight="1" s="8">
      <c r="A92" s="14">
        <f>IF($G92="UNIDADE CONSTRUTIVA",OFFSET(A92,-1,0)+1,LARGE(A$3:A91,1))</f>
        <v/>
      </c>
      <c r="B92" s="14">
        <f>IF(G92="UNIDADE CONSTRUTIVA",0,IF(G92="CÉLULA CONSTRUTIVA",OFFSET(B92,-1,0)+1,OFFSET(B92,-1,0)))</f>
        <v/>
      </c>
      <c r="C92" s="14">
        <f>IF(G92="CÉLULA CONSTRUTIVA",0,IF(G92="ETAPA",OFFSET(C92,-1,0)+1,OFFSET(C92,-1,0)))</f>
        <v/>
      </c>
      <c r="D92" s="13">
        <f>IF(G92="ETAPA",0,IF(G92="SUBETAPA",OFFSET(D92,-1,0)+1,OFFSET(D92,-1,0)))</f>
        <v/>
      </c>
      <c r="E92" s="13">
        <f>IF(G92="Subetapa",0,IF(G92="serviço",OFFSET(E92,-1,0)+1,OFFSET(E92,-1,0)))</f>
        <v/>
      </c>
      <c r="F92" s="12" t="n"/>
      <c r="G92" s="17" t="inlineStr">
        <is>
          <t>ETAPA</t>
        </is>
      </c>
      <c r="H92" s="16">
        <f>IF(G92="Unidade Construtiva",TEXT(A92,"00"),IF(G92="Célula Construtiva",TEXT(B92,"00"),IF(G92="Etapa",CONCATENATE(TEXT(B92,"00"),".",TEXT(C92,"000")),IF(G92="Subetapa",CONCATENATE(TEXT(B92,"00"),".",TEXT(C92,"000"),".",TEXT(D92,"000")),IF(G92="Serviço",CONCATENATE(TEXT(B92,"00"),".",TEXT(C92,"000"),".",TEXT(D92,"000"),".",TEXT(E92,"000")),"")))))</f>
        <v/>
      </c>
      <c r="I92" s="15" t="inlineStr">
        <is>
          <t>SISTEMAS E INSTALAÇÕES ELÉTRICAS</t>
        </is>
      </c>
      <c r="J92" s="6" t="n"/>
    </row>
    <row r="93" ht="20.45" customFormat="1" customHeight="1" s="8">
      <c r="A93" s="14">
        <f>IF($G93="UNIDADE CONSTRUTIVA",OFFSET(A93,-1,0)+1,LARGE(A$3:A92,1))</f>
        <v/>
      </c>
      <c r="B93" s="14">
        <f>IF(G93="UNIDADE CONSTRUTIVA",0,IF(G93="CÉLULA CONSTRUTIVA",OFFSET(B93,-1,0)+1,OFFSET(B93,-1,0)))</f>
        <v/>
      </c>
      <c r="C93" s="14">
        <f>IF(G93="CÉLULA CONSTRUTIVA",0,IF(G93="ETAPA",OFFSET(C93,-1,0)+1,OFFSET(C93,-1,0)))</f>
        <v/>
      </c>
      <c r="D93" s="13">
        <f>IF(G93="ETAPA",0,IF(G93="SUBETAPA",OFFSET(D93,-1,0)+1,OFFSET(D93,-1,0)))</f>
        <v/>
      </c>
      <c r="E93" s="13">
        <f>IF(G93="Subetapa",0,IF(G93="serviço",OFFSET(E93,-1,0)+1,OFFSET(E93,-1,0)))</f>
        <v/>
      </c>
      <c r="F93" s="12" t="n"/>
      <c r="G93" s="19" t="inlineStr">
        <is>
          <t>Subetapa</t>
        </is>
      </c>
      <c r="H93" s="16">
        <f>IF(G93="Unidade Construtiva",TEXT(A93,"00"),IF(G93="Célula Construtiva",TEXT(B93,"00"),IF(G93="Etapa",CONCATENATE(TEXT(B93,"00"),".",TEXT(C93,"000")),IF(G93="Subetapa",CONCATENATE(TEXT(B93,"00"),".",TEXT(C93,"000"),".",TEXT(D93,"000")),IF(G93="Serviço",CONCATENATE(TEXT(B93,"00"),".",TEXT(C93,"000"),".",TEXT(D93,"000"),".",TEXT(E93,"000")),"")))))</f>
        <v/>
      </c>
      <c r="I93" s="18" t="inlineStr">
        <is>
          <t>Entrada de Energia</t>
        </is>
      </c>
      <c r="J93" s="6" t="n"/>
    </row>
    <row r="94" ht="20.45" customFormat="1" customHeight="1" s="8">
      <c r="A94" s="14">
        <f>IF($G94="UNIDADE CONSTRUTIVA",OFFSET(A94,-1,0)+1,LARGE(A$3:A93,1))</f>
        <v/>
      </c>
      <c r="B94" s="14">
        <f>IF(G94="UNIDADE CONSTRUTIVA",0,IF(G94="CÉLULA CONSTRUTIVA",OFFSET(B94,-1,0)+1,OFFSET(B94,-1,0)))</f>
        <v/>
      </c>
      <c r="C94" s="14">
        <f>IF(G94="CÉLULA CONSTRUTIVA",0,IF(G94="ETAPA",OFFSET(C94,-1,0)+1,OFFSET(C94,-1,0)))</f>
        <v/>
      </c>
      <c r="D94" s="13">
        <f>IF(G94="ETAPA",0,IF(G94="SUBETAPA",OFFSET(D94,-1,0)+1,OFFSET(D94,-1,0)))</f>
        <v/>
      </c>
      <c r="E94" s="13">
        <f>IF(G94="Subetapa",0,IF(G94="serviço",OFFSET(E94,-1,0)+1,OFFSET(E94,-1,0)))</f>
        <v/>
      </c>
      <c r="F94" s="12" t="n"/>
      <c r="G94" s="19" t="inlineStr">
        <is>
          <t>Subetapa</t>
        </is>
      </c>
      <c r="H94" s="16">
        <f>IF(G94="Unidade Construtiva",TEXT(A94,"00"),IF(G94="Célula Construtiva",TEXT(B94,"00"),IF(G94="Etapa",CONCATENATE(TEXT(B94,"00"),".",TEXT(C94,"000")),IF(G94="Subetapa",CONCATENATE(TEXT(B94,"00"),".",TEXT(C94,"000"),".",TEXT(D94,"000")),IF(G94="Serviço",CONCATENATE(TEXT(B94,"00"),".",TEXT(C94,"000"),".",TEXT(D94,"000"),".",TEXT(E94,"000")),"")))))</f>
        <v/>
      </c>
      <c r="I94" s="18" t="inlineStr">
        <is>
          <t>Subestação de Energia</t>
        </is>
      </c>
      <c r="J94" s="6" t="n"/>
    </row>
    <row r="95" ht="20.45" customFormat="1" customHeight="1" s="8">
      <c r="A95" s="14">
        <f>IF($G95="UNIDADE CONSTRUTIVA",OFFSET(A95,-1,0)+1,LARGE(A$3:A94,1))</f>
        <v/>
      </c>
      <c r="B95" s="14">
        <f>IF(G95="UNIDADE CONSTRUTIVA",0,IF(G95="CÉLULA CONSTRUTIVA",OFFSET(B95,-1,0)+1,OFFSET(B95,-1,0)))</f>
        <v/>
      </c>
      <c r="C95" s="14">
        <f>IF(G95="CÉLULA CONSTRUTIVA",0,IF(G95="ETAPA",OFFSET(C95,-1,0)+1,OFFSET(C95,-1,0)))</f>
        <v/>
      </c>
      <c r="D95" s="13">
        <f>IF(G95="ETAPA",0,IF(G95="SUBETAPA",OFFSET(D95,-1,0)+1,OFFSET(D95,-1,0)))</f>
        <v/>
      </c>
      <c r="E95" s="13">
        <f>IF(G95="Subetapa",0,IF(G95="serviço",OFFSET(E95,-1,0)+1,OFFSET(E95,-1,0)))</f>
        <v/>
      </c>
      <c r="F95" s="12" t="n"/>
      <c r="G95" s="19" t="inlineStr">
        <is>
          <t>Subetapa</t>
        </is>
      </c>
      <c r="H95" s="16">
        <f>IF(G95="Unidade Construtiva",TEXT(A95,"00"),IF(G95="Célula Construtiva",TEXT(B95,"00"),IF(G95="Etapa",CONCATENATE(TEXT(B95,"00"),".",TEXT(C95,"000")),IF(G95="Subetapa",CONCATENATE(TEXT(B95,"00"),".",TEXT(C95,"000"),".",TEXT(D95,"000")),IF(G95="Serviço",CONCATENATE(TEXT(B95,"00"),".",TEXT(C95,"000"),".",TEXT(D95,"000"),".",TEXT(E95,"000")),"")))))</f>
        <v/>
      </c>
      <c r="I95" s="18" t="inlineStr">
        <is>
          <t>Grupo gerador</t>
        </is>
      </c>
      <c r="J95" s="6" t="n"/>
    </row>
    <row r="96" ht="20.45" customFormat="1" customHeight="1" s="8">
      <c r="A96" s="14">
        <f>IF($G96="UNIDADE CONSTRUTIVA",OFFSET(A96,-1,0)+1,LARGE(A$3:A95,1))</f>
        <v/>
      </c>
      <c r="B96" s="14">
        <f>IF(G96="UNIDADE CONSTRUTIVA",0,IF(G96="CÉLULA CONSTRUTIVA",OFFSET(B96,-1,0)+1,OFFSET(B96,-1,0)))</f>
        <v/>
      </c>
      <c r="C96" s="14">
        <f>IF(G96="CÉLULA CONSTRUTIVA",0,IF(G96="ETAPA",OFFSET(C96,-1,0)+1,OFFSET(C96,-1,0)))</f>
        <v/>
      </c>
      <c r="D96" s="13">
        <f>IF(G96="ETAPA",0,IF(G96="SUBETAPA",OFFSET(D96,-1,0)+1,OFFSET(D96,-1,0)))</f>
        <v/>
      </c>
      <c r="E96" s="13">
        <f>IF(G96="Subetapa",0,IF(G96="serviço",OFFSET(E96,-1,0)+1,OFFSET(E96,-1,0)))</f>
        <v/>
      </c>
      <c r="F96" s="12" t="n"/>
      <c r="G96" s="19" t="inlineStr">
        <is>
          <t>Subetapa</t>
        </is>
      </c>
      <c r="H96" s="16">
        <f>IF(G96="Unidade Construtiva",TEXT(A96,"00"),IF(G96="Célula Construtiva",TEXT(B96,"00"),IF(G96="Etapa",CONCATENATE(TEXT(B96,"00"),".",TEXT(C96,"000")),IF(G96="Subetapa",CONCATENATE(TEXT(B96,"00"),".",TEXT(C96,"000"),".",TEXT(D96,"000")),IF(G96="Serviço",CONCATENATE(TEXT(B96,"00"),".",TEXT(C96,"000"),".",TEXT(D96,"000"),".",TEXT(E96,"000")),"")))))</f>
        <v/>
      </c>
      <c r="I96" s="18" t="inlineStr">
        <is>
          <t>Quadros elétricos e disjuntores</t>
        </is>
      </c>
      <c r="J96" s="6" t="n"/>
    </row>
    <row r="97" ht="20.45" customFormat="1" customHeight="1" s="8">
      <c r="A97" s="14">
        <f>IF($G97="UNIDADE CONSTRUTIVA",OFFSET(A97,-1,0)+1,LARGE(A$3:A96,1))</f>
        <v/>
      </c>
      <c r="B97" s="14">
        <f>IF(G97="UNIDADE CONSTRUTIVA",0,IF(G97="CÉLULA CONSTRUTIVA",OFFSET(B97,-1,0)+1,OFFSET(B97,-1,0)))</f>
        <v/>
      </c>
      <c r="C97" s="14">
        <f>IF(G97="CÉLULA CONSTRUTIVA",0,IF(G97="ETAPA",OFFSET(C97,-1,0)+1,OFFSET(C97,-1,0)))</f>
        <v/>
      </c>
      <c r="D97" s="13">
        <f>IF(G97="ETAPA",0,IF(G97="SUBETAPA",OFFSET(D97,-1,0)+1,OFFSET(D97,-1,0)))</f>
        <v/>
      </c>
      <c r="E97" s="13">
        <f>IF(G97="Subetapa",0,IF(G97="serviço",OFFSET(E97,-1,0)+1,OFFSET(E97,-1,0)))</f>
        <v/>
      </c>
      <c r="F97" s="12" t="n"/>
      <c r="G97" s="19" t="inlineStr">
        <is>
          <t>Subetapa</t>
        </is>
      </c>
      <c r="H97" s="16">
        <f>IF(G97="Unidade Construtiva",TEXT(A97,"00"),IF(G97="Célula Construtiva",TEXT(B97,"00"),IF(G97="Etapa",CONCATENATE(TEXT(B97,"00"),".",TEXT(C97,"000")),IF(G97="Subetapa",CONCATENATE(TEXT(B97,"00"),".",TEXT(C97,"000"),".",TEXT(D97,"000")),IF(G97="Serviço",CONCATENATE(TEXT(B97,"00"),".",TEXT(C97,"000"),".",TEXT(D97,"000"),".",TEXT(E97,"000")),"")))))</f>
        <v/>
      </c>
      <c r="I97" s="18" t="inlineStr">
        <is>
          <t>Eletrodutos e eletrocalhas</t>
        </is>
      </c>
      <c r="J97" s="6" t="n"/>
    </row>
    <row r="98" ht="20.45" customFormat="1" customHeight="1" s="8">
      <c r="A98" s="14">
        <f>IF($G98="UNIDADE CONSTRUTIVA",OFFSET(A98,-1,0)+1,LARGE(A$3:A97,1))</f>
        <v/>
      </c>
      <c r="B98" s="14">
        <f>IF(G98="UNIDADE CONSTRUTIVA",0,IF(G98="CÉLULA CONSTRUTIVA",OFFSET(B98,-1,0)+1,OFFSET(B98,-1,0)))</f>
        <v/>
      </c>
      <c r="C98" s="14">
        <f>IF(G98="CÉLULA CONSTRUTIVA",0,IF(G98="ETAPA",OFFSET(C98,-1,0)+1,OFFSET(C98,-1,0)))</f>
        <v/>
      </c>
      <c r="D98" s="13">
        <f>IF(G98="ETAPA",0,IF(G98="SUBETAPA",OFFSET(D98,-1,0)+1,OFFSET(D98,-1,0)))</f>
        <v/>
      </c>
      <c r="E98" s="13">
        <f>IF(G98="Subetapa",0,IF(G98="serviço",OFFSET(E98,-1,0)+1,OFFSET(E98,-1,0)))</f>
        <v/>
      </c>
      <c r="F98" s="12" t="n"/>
      <c r="G98" s="19" t="inlineStr">
        <is>
          <t>Subetapa</t>
        </is>
      </c>
      <c r="H98" s="16">
        <f>IF(G98="Unidade Construtiva",TEXT(A98,"00"),IF(G98="Célula Construtiva",TEXT(B98,"00"),IF(G98="Etapa",CONCATENATE(TEXT(B98,"00"),".",TEXT(C98,"000")),IF(G98="Subetapa",CONCATENATE(TEXT(B98,"00"),".",TEXT(C98,"000"),".",TEXT(D98,"000")),IF(G98="Serviço",CONCATENATE(TEXT(B98,"00"),".",TEXT(C98,"000"),".",TEXT(D98,"000"),".",TEXT(E98,"000")),"")))))</f>
        <v/>
      </c>
      <c r="I98" s="18" t="inlineStr">
        <is>
          <t>Fios e cabos elétricos</t>
        </is>
      </c>
      <c r="J98" s="6" t="n"/>
    </row>
    <row r="99" ht="20.45" customFormat="1" customHeight="1" s="8">
      <c r="A99" s="14">
        <f>IF($G99="UNIDADE CONSTRUTIVA",OFFSET(A99,-1,0)+1,LARGE(A$3:A98,1))</f>
        <v/>
      </c>
      <c r="B99" s="14">
        <f>IF(G99="UNIDADE CONSTRUTIVA",0,IF(G99="CÉLULA CONSTRUTIVA",OFFSET(B99,-1,0)+1,OFFSET(B99,-1,0)))</f>
        <v/>
      </c>
      <c r="C99" s="14">
        <f>IF(G99="CÉLULA CONSTRUTIVA",0,IF(G99="ETAPA",OFFSET(C99,-1,0)+1,OFFSET(C99,-1,0)))</f>
        <v/>
      </c>
      <c r="D99" s="13">
        <f>IF(G99="ETAPA",0,IF(G99="SUBETAPA",OFFSET(D99,-1,0)+1,OFFSET(D99,-1,0)))</f>
        <v/>
      </c>
      <c r="E99" s="13">
        <f>IF(G99="Subetapa",0,IF(G99="serviço",OFFSET(E99,-1,0)+1,OFFSET(E99,-1,0)))</f>
        <v/>
      </c>
      <c r="F99" s="12" t="n"/>
      <c r="G99" s="19" t="inlineStr">
        <is>
          <t>Subetapa</t>
        </is>
      </c>
      <c r="H99" s="16">
        <f>IF(G99="Unidade Construtiva",TEXT(A99,"00"),IF(G99="Célula Construtiva",TEXT(B99,"00"),IF(G99="Etapa",CONCATENATE(TEXT(B99,"00"),".",TEXT(C99,"000")),IF(G99="Subetapa",CONCATENATE(TEXT(B99,"00"),".",TEXT(C99,"000"),".",TEXT(D99,"000")),IF(G99="Serviço",CONCATENATE(TEXT(B99,"00"),".",TEXT(C99,"000"),".",TEXT(D99,"000"),".",TEXT(E99,"000")),"")))))</f>
        <v/>
      </c>
      <c r="I99" s="18" t="inlineStr">
        <is>
          <t>Pontos de tomadas e interruptores</t>
        </is>
      </c>
      <c r="J99" s="6" t="n"/>
    </row>
    <row r="100" ht="20.45" customFormat="1" customHeight="1" s="8">
      <c r="A100" s="14">
        <f>IF($G100="UNIDADE CONSTRUTIVA",OFFSET(A100,-1,0)+1,LARGE(A$3:A99,1))</f>
        <v/>
      </c>
      <c r="B100" s="14">
        <f>IF(G100="UNIDADE CONSTRUTIVA",0,IF(G100="CÉLULA CONSTRUTIVA",OFFSET(B100,-1,0)+1,OFFSET(B100,-1,0)))</f>
        <v/>
      </c>
      <c r="C100" s="14">
        <f>IF(G100="CÉLULA CONSTRUTIVA",0,IF(G100="ETAPA",OFFSET(C100,-1,0)+1,OFFSET(C100,-1,0)))</f>
        <v/>
      </c>
      <c r="D100" s="13">
        <f>IF(G100="ETAPA",0,IF(G100="SUBETAPA",OFFSET(D100,-1,0)+1,OFFSET(D100,-1,0)))</f>
        <v/>
      </c>
      <c r="E100" s="13">
        <f>IF(G100="Subetapa",0,IF(G100="serviço",OFFSET(E100,-1,0)+1,OFFSET(E100,-1,0)))</f>
        <v/>
      </c>
      <c r="F100" s="12" t="n"/>
      <c r="G100" s="19" t="inlineStr">
        <is>
          <t>Subetapa</t>
        </is>
      </c>
      <c r="H100" s="16">
        <f>IF(G100="Unidade Construtiva",TEXT(A100,"00"),IF(G100="Célula Construtiva",TEXT(B100,"00"),IF(G100="Etapa",CONCATENATE(TEXT(B100,"00"),".",TEXT(C100,"000")),IF(G100="Subetapa",CONCATENATE(TEXT(B100,"00"),".",TEXT(C100,"000"),".",TEXT(D100,"000")),IF(G100="Serviço",CONCATENATE(TEXT(B100,"00"),".",TEXT(C100,"000"),".",TEXT(D100,"000"),".",TEXT(E100,"000")),"")))))</f>
        <v/>
      </c>
      <c r="I100" s="18" t="inlineStr">
        <is>
          <t>Luminárias, lâmpadas e acessórios</t>
        </is>
      </c>
      <c r="J100" s="6" t="n"/>
    </row>
    <row r="101" ht="20.45" customFormat="1" customHeight="1" s="8">
      <c r="A101" s="14">
        <f>IF($G101="UNIDADE CONSTRUTIVA",OFFSET(A101,-1,0)+1,LARGE(A$3:A100,1))</f>
        <v/>
      </c>
      <c r="B101" s="14">
        <f>IF(G101="UNIDADE CONSTRUTIVA",0,IF(G101="CÉLULA CONSTRUTIVA",OFFSET(B101,-1,0)+1,OFFSET(B101,-1,0)))</f>
        <v/>
      </c>
      <c r="C101" s="14">
        <f>IF(G101="CÉLULA CONSTRUTIVA",0,IF(G101="ETAPA",OFFSET(C101,-1,0)+1,OFFSET(C101,-1,0)))</f>
        <v/>
      </c>
      <c r="D101" s="13">
        <f>IF(G101="ETAPA",0,IF(G101="SUBETAPA",OFFSET(D101,-1,0)+1,OFFSET(D101,-1,0)))</f>
        <v/>
      </c>
      <c r="E101" s="13">
        <f>IF(G101="Subetapa",0,IF(G101="serviço",OFFSET(E101,-1,0)+1,OFFSET(E101,-1,0)))</f>
        <v/>
      </c>
      <c r="F101" s="12" t="n"/>
      <c r="G101" s="19" t="inlineStr">
        <is>
          <t>Subetapa</t>
        </is>
      </c>
      <c r="H101" s="16">
        <f>IF(G101="Unidade Construtiva",TEXT(A101,"00"),IF(G101="Célula Construtiva",TEXT(B101,"00"),IF(G101="Etapa",CONCATENATE(TEXT(B101,"00"),".",TEXT(C101,"000")),IF(G101="Subetapa",CONCATENATE(TEXT(B101,"00"),".",TEXT(C101,"000"),".",TEXT(D101,"000")),IF(G101="Serviço",CONCATENATE(TEXT(B101,"00"),".",TEXT(C101,"000"),".",TEXT(D101,"000"),".",TEXT(E101,"000")),"")))))</f>
        <v/>
      </c>
      <c r="I101" s="18" t="inlineStr">
        <is>
          <t>Mão de obra</t>
        </is>
      </c>
      <c r="J101" s="6" t="n"/>
    </row>
    <row r="102" ht="20.45" customFormat="1" customHeight="1" s="8">
      <c r="A102" s="14">
        <f>IF($G102="UNIDADE CONSTRUTIVA",OFFSET(A102,-1,0)+1,LARGE(A$3:A101,1))</f>
        <v/>
      </c>
      <c r="B102" s="14">
        <f>IF(G102="UNIDADE CONSTRUTIVA",0,IF(G102="CÉLULA CONSTRUTIVA",OFFSET(B102,-1,0)+1,OFFSET(B102,-1,0)))</f>
        <v/>
      </c>
      <c r="C102" s="14">
        <f>IF(G102="CÉLULA CONSTRUTIVA",0,IF(G102="ETAPA",OFFSET(C102,-1,0)+1,OFFSET(C102,-1,0)))</f>
        <v/>
      </c>
      <c r="D102" s="13">
        <f>IF(G102="ETAPA",0,IF(G102="SUBETAPA",OFFSET(D102,-1,0)+1,OFFSET(D102,-1,0)))</f>
        <v/>
      </c>
      <c r="E102" s="13">
        <f>IF(G102="Subetapa",0,IF(G102="serviço",OFFSET(E102,-1,0)+1,OFFSET(E102,-1,0)))</f>
        <v/>
      </c>
      <c r="F102" s="12" t="n"/>
      <c r="G102" s="17" t="inlineStr">
        <is>
          <t>CÉLULA CONSTRUTIVA</t>
        </is>
      </c>
      <c r="H102" s="16">
        <f>IF(G102="Unidade Construtiva",TEXT(A102,"00"),IF(G102="Célula Construtiva",TEXT(B102,"00"),IF(G102="Etapa",CONCATENATE(TEXT(B102,"00"),".",TEXT(C102,"000")),IF(G102="Subetapa",CONCATENATE(TEXT(B102,"00"),".",TEXT(C102,"000"),".",TEXT(D102,"000")),IF(G102="Serviço",CONCATENATE(TEXT(B102,"00"),".",TEXT(C102,"000"),".",TEXT(D102,"000"),".",TEXT(E102,"000")),"")))))</f>
        <v/>
      </c>
      <c r="I102" s="15" t="inlineStr">
        <is>
          <t>INSTALAÇÕES PREVENTIVAS</t>
        </is>
      </c>
      <c r="J102" s="6" t="n"/>
    </row>
    <row r="103" ht="20.45" customFormat="1" customHeight="1" s="8">
      <c r="A103" s="14">
        <f>IF($G103="UNIDADE CONSTRUTIVA",OFFSET(A103,-1,0)+1,LARGE(A$3:A102,1))</f>
        <v/>
      </c>
      <c r="B103" s="14">
        <f>IF(G103="UNIDADE CONSTRUTIVA",0,IF(G103="CÉLULA CONSTRUTIVA",OFFSET(B103,-1,0)+1,OFFSET(B103,-1,0)))</f>
        <v/>
      </c>
      <c r="C103" s="14">
        <f>IF(G103="CÉLULA CONSTRUTIVA",0,IF(G103="ETAPA",OFFSET(C103,-1,0)+1,OFFSET(C103,-1,0)))</f>
        <v/>
      </c>
      <c r="D103" s="13">
        <f>IF(G103="ETAPA",0,IF(G103="SUBETAPA",OFFSET(D103,-1,0)+1,OFFSET(D103,-1,0)))</f>
        <v/>
      </c>
      <c r="E103" s="13">
        <f>IF(G103="Subetapa",0,IF(G103="serviço",OFFSET(E103,-1,0)+1,OFFSET(E103,-1,0)))</f>
        <v/>
      </c>
      <c r="F103" s="12" t="n"/>
      <c r="G103" s="17" t="inlineStr">
        <is>
          <t>ETAPA</t>
        </is>
      </c>
      <c r="H103" s="16">
        <f>IF(G103="Unidade Construtiva",TEXT(A103,"00"),IF(G103="Célula Construtiva",TEXT(B103,"00"),IF(G103="Etapa",CONCATENATE(TEXT(B103,"00"),".",TEXT(C103,"000")),IF(G103="Subetapa",CONCATENATE(TEXT(B103,"00"),".",TEXT(C103,"000"),".",TEXT(D103,"000")),IF(G103="Serviço",CONCATENATE(TEXT(B103,"00"),".",TEXT(C103,"000"),".",TEXT(D103,"000"),".",TEXT(E103,"000")),"")))))</f>
        <v/>
      </c>
      <c r="I103" s="15" t="inlineStr">
        <is>
          <t>INSTALAÇÕES PREVENTIVAS</t>
        </is>
      </c>
      <c r="J103" s="6" t="n"/>
    </row>
    <row r="104" ht="20.45" customFormat="1" customHeight="1" s="8">
      <c r="A104" s="14">
        <f>IF($G104="UNIDADE CONSTRUTIVA",OFFSET(A104,-1,0)+1,LARGE(A$3:A103,1))</f>
        <v/>
      </c>
      <c r="B104" s="14">
        <f>IF(G104="UNIDADE CONSTRUTIVA",0,IF(G104="CÉLULA CONSTRUTIVA",OFFSET(B104,-1,0)+1,OFFSET(B104,-1,0)))</f>
        <v/>
      </c>
      <c r="C104" s="14">
        <f>IF(G104="CÉLULA CONSTRUTIVA",0,IF(G104="ETAPA",OFFSET(C104,-1,0)+1,OFFSET(C104,-1,0)))</f>
        <v/>
      </c>
      <c r="D104" s="13">
        <f>IF(G104="ETAPA",0,IF(G104="SUBETAPA",OFFSET(D104,-1,0)+1,OFFSET(D104,-1,0)))</f>
        <v/>
      </c>
      <c r="E104" s="13">
        <f>IF(G104="Subetapa",0,IF(G104="serviço",OFFSET(E104,-1,0)+1,OFFSET(E104,-1,0)))</f>
        <v/>
      </c>
      <c r="F104" s="12" t="n"/>
      <c r="G104" s="19" t="inlineStr">
        <is>
          <t>Subetapa</t>
        </is>
      </c>
      <c r="H104" s="16">
        <f>IF(G104="Unidade Construtiva",TEXT(A104,"00"),IF(G104="Célula Construtiva",TEXT(B104,"00"),IF(G104="Etapa",CONCATENATE(TEXT(B104,"00"),".",TEXT(C104,"000")),IF(G104="Subetapa",CONCATENATE(TEXT(B104,"00"),".",TEXT(C104,"000"),".",TEXT(D104,"000")),IF(G104="Serviço",CONCATENATE(TEXT(B104,"00"),".",TEXT(C104,"000"),".",TEXT(D104,"000"),".",TEXT(E104,"000")),"")))))</f>
        <v/>
      </c>
      <c r="I104" s="18" t="inlineStr">
        <is>
          <t>Hidrantes</t>
        </is>
      </c>
      <c r="J104" s="6" t="n"/>
    </row>
    <row r="105" ht="20.45" customFormat="1" customHeight="1" s="8">
      <c r="A105" s="14">
        <f>IF($G105="UNIDADE CONSTRUTIVA",OFFSET(A105,-1,0)+1,LARGE(A$3:A104,1))</f>
        <v/>
      </c>
      <c r="B105" s="14">
        <f>IF(G105="UNIDADE CONSTRUTIVA",0,IF(G105="CÉLULA CONSTRUTIVA",OFFSET(B105,-1,0)+1,OFFSET(B105,-1,0)))</f>
        <v/>
      </c>
      <c r="C105" s="14">
        <f>IF(G105="CÉLULA CONSTRUTIVA",0,IF(G105="ETAPA",OFFSET(C105,-1,0)+1,OFFSET(C105,-1,0)))</f>
        <v/>
      </c>
      <c r="D105" s="13">
        <f>IF(G105="ETAPA",0,IF(G105="SUBETAPA",OFFSET(D105,-1,0)+1,OFFSET(D105,-1,0)))</f>
        <v/>
      </c>
      <c r="E105" s="13">
        <f>IF(G105="Subetapa",0,IF(G105="serviço",OFFSET(E105,-1,0)+1,OFFSET(E105,-1,0)))</f>
        <v/>
      </c>
      <c r="F105" s="12" t="n"/>
      <c r="G105" s="19" t="inlineStr">
        <is>
          <t>Subetapa</t>
        </is>
      </c>
      <c r="H105" s="16">
        <f>IF(G105="Unidade Construtiva",TEXT(A105,"00"),IF(G105="Célula Construtiva",TEXT(B105,"00"),IF(G105="Etapa",CONCATENATE(TEXT(B105,"00"),".",TEXT(C105,"000")),IF(G105="Subetapa",CONCATENATE(TEXT(B105,"00"),".",TEXT(C105,"000"),".",TEXT(D105,"000")),IF(G105="Serviço",CONCATENATE(TEXT(B105,"00"),".",TEXT(C105,"000"),".",TEXT(D105,"000"),".",TEXT(E105,"000")),"")))))</f>
        <v/>
      </c>
      <c r="I105" s="18" t="inlineStr">
        <is>
          <t>Sinalização de emergência e extintores</t>
        </is>
      </c>
      <c r="J105" s="6" t="n"/>
    </row>
    <row r="106" ht="20.45" customFormat="1" customHeight="1" s="8">
      <c r="A106" s="14">
        <f>IF($G106="UNIDADE CONSTRUTIVA",OFFSET(A106,-1,0)+1,LARGE(A$3:A105,1))</f>
        <v/>
      </c>
      <c r="B106" s="14">
        <f>IF(G106="UNIDADE CONSTRUTIVA",0,IF(G106="CÉLULA CONSTRUTIVA",OFFSET(B106,-1,0)+1,OFFSET(B106,-1,0)))</f>
        <v/>
      </c>
      <c r="C106" s="14">
        <f>IF(G106="CÉLULA CONSTRUTIVA",0,IF(G106="ETAPA",OFFSET(C106,-1,0)+1,OFFSET(C106,-1,0)))</f>
        <v/>
      </c>
      <c r="D106" s="13">
        <f>IF(G106="ETAPA",0,IF(G106="SUBETAPA",OFFSET(D106,-1,0)+1,OFFSET(D106,-1,0)))</f>
        <v/>
      </c>
      <c r="E106" s="13">
        <f>IF(G106="Subetapa",0,IF(G106="serviço",OFFSET(E106,-1,0)+1,OFFSET(E106,-1,0)))</f>
        <v/>
      </c>
      <c r="F106" s="12" t="n"/>
      <c r="G106" s="19" t="inlineStr">
        <is>
          <t>Subetapa</t>
        </is>
      </c>
      <c r="H106" s="16">
        <f>IF(G106="Unidade Construtiva",TEXT(A106,"00"),IF(G106="Célula Construtiva",TEXT(B106,"00"),IF(G106="Etapa",CONCATENATE(TEXT(B106,"00"),".",TEXT(C106,"000")),IF(G106="Subetapa",CONCATENATE(TEXT(B106,"00"),".",TEXT(C106,"000"),".",TEXT(D106,"000")),IF(G106="Serviço",CONCATENATE(TEXT(B106,"00"),".",TEXT(C106,"000"),".",TEXT(D106,"000"),".",TEXT(E106,"000")),"")))))</f>
        <v/>
      </c>
      <c r="I106" s="18" t="inlineStr">
        <is>
          <t>Instalações de proteção e aterramento -SPDA</t>
        </is>
      </c>
      <c r="J106" s="6" t="n"/>
    </row>
    <row r="107" ht="20.45" customFormat="1" customHeight="1" s="8">
      <c r="A107" s="14">
        <f>IF($G107="UNIDADE CONSTRUTIVA",OFFSET(A107,-1,0)+1,LARGE(A$3:A106,1))</f>
        <v/>
      </c>
      <c r="B107" s="14">
        <f>IF(G107="UNIDADE CONSTRUTIVA",0,IF(G107="CÉLULA CONSTRUTIVA",OFFSET(B107,-1,0)+1,OFFSET(B107,-1,0)))</f>
        <v/>
      </c>
      <c r="C107" s="14">
        <f>IF(G107="CÉLULA CONSTRUTIVA",0,IF(G107="ETAPA",OFFSET(C107,-1,0)+1,OFFSET(C107,-1,0)))</f>
        <v/>
      </c>
      <c r="D107" s="13">
        <f>IF(G107="ETAPA",0,IF(G107="SUBETAPA",OFFSET(D107,-1,0)+1,OFFSET(D107,-1,0)))</f>
        <v/>
      </c>
      <c r="E107" s="13">
        <f>IF(G107="Subetapa",0,IF(G107="serviço",OFFSET(E107,-1,0)+1,OFFSET(E107,-1,0)))</f>
        <v/>
      </c>
      <c r="F107" s="12" t="n"/>
      <c r="G107" s="19" t="inlineStr">
        <is>
          <t>Subetapa</t>
        </is>
      </c>
      <c r="H107" s="16">
        <f>IF(G107="Unidade Construtiva",TEXT(A107,"00"),IF(G107="Célula Construtiva",TEXT(B107,"00"),IF(G107="Etapa",CONCATENATE(TEXT(B107,"00"),".",TEXT(C107,"000")),IF(G107="Subetapa",CONCATENATE(TEXT(B107,"00"),".",TEXT(C107,"000"),".",TEXT(D107,"000")),IF(G107="Serviço",CONCATENATE(TEXT(B107,"00"),".",TEXT(C107,"000"),".",TEXT(D107,"000"),".",TEXT(E107,"000")),"")))))</f>
        <v/>
      </c>
      <c r="I107" s="18" t="inlineStr">
        <is>
          <t>Central de Alarmes</t>
        </is>
      </c>
      <c r="J107" s="6" t="n"/>
    </row>
    <row r="108" ht="20.45" customFormat="1" customHeight="1" s="8">
      <c r="A108" s="14">
        <f>IF($G108="UNIDADE CONSTRUTIVA",OFFSET(A108,-1,0)+1,LARGE(A$3:A107,1))</f>
        <v/>
      </c>
      <c r="B108" s="14">
        <f>IF(G108="UNIDADE CONSTRUTIVA",0,IF(G108="CÉLULA CONSTRUTIVA",OFFSET(B108,-1,0)+1,OFFSET(B108,-1,0)))</f>
        <v/>
      </c>
      <c r="C108" s="14">
        <f>IF(G108="CÉLULA CONSTRUTIVA",0,IF(G108="ETAPA",OFFSET(C108,-1,0)+1,OFFSET(C108,-1,0)))</f>
        <v/>
      </c>
      <c r="D108" s="13">
        <f>IF(G108="ETAPA",0,IF(G108="SUBETAPA",OFFSET(D108,-1,0)+1,OFFSET(D108,-1,0)))</f>
        <v/>
      </c>
      <c r="E108" s="13">
        <f>IF(G108="Subetapa",0,IF(G108="serviço",OFFSET(E108,-1,0)+1,OFFSET(E108,-1,0)))</f>
        <v/>
      </c>
      <c r="F108" s="12" t="n"/>
      <c r="G108" s="19" t="inlineStr">
        <is>
          <t>Subetapa</t>
        </is>
      </c>
      <c r="H108" s="16">
        <f>IF(G108="Unidade Construtiva",TEXT(A108,"00"),IF(G108="Célula Construtiva",TEXT(B108,"00"),IF(G108="Etapa",CONCATENATE(TEXT(B108,"00"),".",TEXT(C108,"000")),IF(G108="Subetapa",CONCATENATE(TEXT(B108,"00"),".",TEXT(C108,"000"),".",TEXT(D108,"000")),IF(G108="Serviço",CONCATENATE(TEXT(B108,"00"),".",TEXT(C108,"000"),".",TEXT(D108,"000"),".",TEXT(E108,"000")),"")))))</f>
        <v/>
      </c>
      <c r="I108" s="18" t="inlineStr">
        <is>
          <t>Sistema de bombas</t>
        </is>
      </c>
      <c r="J108" s="6" t="n"/>
    </row>
    <row r="109" ht="20.45" customFormat="1" customHeight="1" s="8">
      <c r="A109" s="14">
        <f>IF($G109="UNIDADE CONSTRUTIVA",OFFSET(A109,-1,0)+1,LARGE(A$3:A108,1))</f>
        <v/>
      </c>
      <c r="B109" s="14">
        <f>IF(G109="UNIDADE CONSTRUTIVA",0,IF(G109="CÉLULA CONSTRUTIVA",OFFSET(B109,-1,0)+1,OFFSET(B109,-1,0)))</f>
        <v/>
      </c>
      <c r="C109" s="14">
        <f>IF(G109="CÉLULA CONSTRUTIVA",0,IF(G109="ETAPA",OFFSET(C109,-1,0)+1,OFFSET(C109,-1,0)))</f>
        <v/>
      </c>
      <c r="D109" s="13">
        <f>IF(G109="ETAPA",0,IF(G109="SUBETAPA",OFFSET(D109,-1,0)+1,OFFSET(D109,-1,0)))</f>
        <v/>
      </c>
      <c r="E109" s="13">
        <f>IF(G109="Subetapa",0,IF(G109="serviço",OFFSET(E109,-1,0)+1,OFFSET(E109,-1,0)))</f>
        <v/>
      </c>
      <c r="F109" s="12" t="n"/>
      <c r="G109" s="19" t="inlineStr">
        <is>
          <t>Subetapa</t>
        </is>
      </c>
      <c r="H109" s="16">
        <f>IF(G109="Unidade Construtiva",TEXT(A109,"00"),IF(G109="Célula Construtiva",TEXT(B109,"00"),IF(G109="Etapa",CONCATENATE(TEXT(B109,"00"),".",TEXT(C109,"000")),IF(G109="Subetapa",CONCATENATE(TEXT(B109,"00"),".",TEXT(C109,"000"),".",TEXT(D109,"000")),IF(G109="Serviço",CONCATENATE(TEXT(B109,"00"),".",TEXT(C109,"000"),".",TEXT(D109,"000"),".",TEXT(E109,"000")),"")))))</f>
        <v/>
      </c>
      <c r="I109" s="18" t="inlineStr">
        <is>
          <t>Mão de obra</t>
        </is>
      </c>
      <c r="J109" s="6" t="n"/>
    </row>
    <row r="110" ht="20.45" customFormat="1" customHeight="1" s="8">
      <c r="A110" s="14">
        <f>IF($G110="UNIDADE CONSTRUTIVA",OFFSET(A110,-1,0)+1,LARGE(A$3:A109,1))</f>
        <v/>
      </c>
      <c r="B110" s="14">
        <f>IF(G110="UNIDADE CONSTRUTIVA",0,IF(G110="CÉLULA CONSTRUTIVA",OFFSET(B110,-1,0)+1,OFFSET(B110,-1,0)))</f>
        <v/>
      </c>
      <c r="C110" s="14">
        <f>IF(G110="CÉLULA CONSTRUTIVA",0,IF(G110="ETAPA",OFFSET(C110,-1,0)+1,OFFSET(C110,-1,0)))</f>
        <v/>
      </c>
      <c r="D110" s="13">
        <f>IF(G110="ETAPA",0,IF(G110="SUBETAPA",OFFSET(D110,-1,0)+1,OFFSET(D110,-1,0)))</f>
        <v/>
      </c>
      <c r="E110" s="13">
        <f>IF(G110="Subetapa",0,IF(G110="serviço",OFFSET(E110,-1,0)+1,OFFSET(E110,-1,0)))</f>
        <v/>
      </c>
      <c r="F110" s="12" t="n"/>
      <c r="G110" s="17" t="inlineStr">
        <is>
          <t>CÉLULA CONSTRUTIVA</t>
        </is>
      </c>
      <c r="H110" s="16">
        <f>IF(G110="Unidade Construtiva",TEXT(A110,"00"),IF(G110="Célula Construtiva",TEXT(B110,"00"),IF(G110="Etapa",CONCATENATE(TEXT(B110,"00"),".",TEXT(C110,"000")),IF(G110="Subetapa",CONCATENATE(TEXT(B110,"00"),".",TEXT(C110,"000"),".",TEXT(D110,"000")),IF(G110="Serviço",CONCATENATE(TEXT(B110,"00"),".",TEXT(C110,"000"),".",TEXT(D110,"000"),".",TEXT(E110,"000")),"")))))</f>
        <v/>
      </c>
      <c r="I110" s="15" t="inlineStr">
        <is>
          <t>INSTALAÇÕES DE GÁS</t>
        </is>
      </c>
      <c r="J110" s="6" t="n"/>
    </row>
    <row r="111" ht="20.45" customFormat="1" customHeight="1" s="8">
      <c r="A111" s="14">
        <f>IF($G111="UNIDADE CONSTRUTIVA",OFFSET(A111,-1,0)+1,LARGE(A$3:A110,1))</f>
        <v/>
      </c>
      <c r="B111" s="14">
        <f>IF(G111="UNIDADE CONSTRUTIVA",0,IF(G111="CÉLULA CONSTRUTIVA",OFFSET(B111,-1,0)+1,OFFSET(B111,-1,0)))</f>
        <v/>
      </c>
      <c r="C111" s="14">
        <f>IF(G111="CÉLULA CONSTRUTIVA",0,IF(G111="ETAPA",OFFSET(C111,-1,0)+1,OFFSET(C111,-1,0)))</f>
        <v/>
      </c>
      <c r="D111" s="13">
        <f>IF(G111="ETAPA",0,IF(G111="SUBETAPA",OFFSET(D111,-1,0)+1,OFFSET(D111,-1,0)))</f>
        <v/>
      </c>
      <c r="E111" s="13">
        <f>IF(G111="Subetapa",0,IF(G111="serviço",OFFSET(E111,-1,0)+1,OFFSET(E111,-1,0)))</f>
        <v/>
      </c>
      <c r="F111" s="12" t="n"/>
      <c r="G111" s="17" t="inlineStr">
        <is>
          <t>ETAPA</t>
        </is>
      </c>
      <c r="H111" s="16">
        <f>IF(G111="Unidade Construtiva",TEXT(A111,"00"),IF(G111="Célula Construtiva",TEXT(B111,"00"),IF(G111="Etapa",CONCATENATE(TEXT(B111,"00"),".",TEXT(C111,"000")),IF(G111="Subetapa",CONCATENATE(TEXT(B111,"00"),".",TEXT(C111,"000"),".",TEXT(D111,"000")),IF(G111="Serviço",CONCATENATE(TEXT(B111,"00"),".",TEXT(C111,"000"),".",TEXT(D111,"000"),".",TEXT(E111,"000")),"")))))</f>
        <v/>
      </c>
      <c r="I111" s="15" t="inlineStr">
        <is>
          <t>INSTALAÇÕES DE GÁS</t>
        </is>
      </c>
      <c r="J111" s="6" t="n"/>
    </row>
    <row r="112" ht="20.45" customFormat="1" customHeight="1" s="8">
      <c r="A112" s="14">
        <f>IF($G112="UNIDADE CONSTRUTIVA",OFFSET(A112,-1,0)+1,LARGE(A$3:A111,1))</f>
        <v/>
      </c>
      <c r="B112" s="14">
        <f>IF(G112="UNIDADE CONSTRUTIVA",0,IF(G112="CÉLULA CONSTRUTIVA",OFFSET(B112,-1,0)+1,OFFSET(B112,-1,0)))</f>
        <v/>
      </c>
      <c r="C112" s="14">
        <f>IF(G112="CÉLULA CONSTRUTIVA",0,IF(G112="ETAPA",OFFSET(C112,-1,0)+1,OFFSET(C112,-1,0)))</f>
        <v/>
      </c>
      <c r="D112" s="13">
        <f>IF(G112="ETAPA",0,IF(G112="SUBETAPA",OFFSET(D112,-1,0)+1,OFFSET(D112,-1,0)))</f>
        <v/>
      </c>
      <c r="E112" s="13">
        <f>IF(G112="Subetapa",0,IF(G112="serviço",OFFSET(E112,-1,0)+1,OFFSET(E112,-1,0)))</f>
        <v/>
      </c>
      <c r="F112" s="12" t="n"/>
      <c r="G112" s="19" t="inlineStr">
        <is>
          <t>Subetapa</t>
        </is>
      </c>
      <c r="H112" s="16">
        <f>IF(G112="Unidade Construtiva",TEXT(A112,"00"),IF(G112="Célula Construtiva",TEXT(B112,"00"),IF(G112="Etapa",CONCATENATE(TEXT(B112,"00"),".",TEXT(C112,"000")),IF(G112="Subetapa",CONCATENATE(TEXT(B112,"00"),".",TEXT(C112,"000"),".",TEXT(D112,"000")),IF(G112="Serviço",CONCATENATE(TEXT(B112,"00"),".",TEXT(C112,"000"),".",TEXT(D112,"000"),".",TEXT(E112,"000")),"")))))</f>
        <v/>
      </c>
      <c r="I112" s="18" t="inlineStr">
        <is>
          <t>Medidores</t>
        </is>
      </c>
      <c r="J112" s="6" t="n"/>
    </row>
    <row r="113" ht="20.45" customFormat="1" customHeight="1" s="8">
      <c r="A113" s="14">
        <f>IF($G113="UNIDADE CONSTRUTIVA",OFFSET(A113,-1,0)+1,LARGE(A$3:A112,1))</f>
        <v/>
      </c>
      <c r="B113" s="14">
        <f>IF(G113="UNIDADE CONSTRUTIVA",0,IF(G113="CÉLULA CONSTRUTIVA",OFFSET(B113,-1,0)+1,OFFSET(B113,-1,0)))</f>
        <v/>
      </c>
      <c r="C113" s="14">
        <f>IF(G113="CÉLULA CONSTRUTIVA",0,IF(G113="ETAPA",OFFSET(C113,-1,0)+1,OFFSET(C113,-1,0)))</f>
        <v/>
      </c>
      <c r="D113" s="13">
        <f>IF(G113="ETAPA",0,IF(G113="SUBETAPA",OFFSET(D113,-1,0)+1,OFFSET(D113,-1,0)))</f>
        <v/>
      </c>
      <c r="E113" s="13">
        <f>IF(G113="Subetapa",0,IF(G113="serviço",OFFSET(E113,-1,0)+1,OFFSET(E113,-1,0)))</f>
        <v/>
      </c>
      <c r="F113" s="12" t="n"/>
      <c r="G113" s="19" t="inlineStr">
        <is>
          <t>Subetapa</t>
        </is>
      </c>
      <c r="H113" s="16">
        <f>IF(G113="Unidade Construtiva",TEXT(A113,"00"),IF(G113="Célula Construtiva",TEXT(B113,"00"),IF(G113="Etapa",CONCATENATE(TEXT(B113,"00"),".",TEXT(C113,"000")),IF(G113="Subetapa",CONCATENATE(TEXT(B113,"00"),".",TEXT(C113,"000"),".",TEXT(D113,"000")),IF(G113="Serviço",CONCATENATE(TEXT(B113,"00"),".",TEXT(C113,"000"),".",TEXT(D113,"000"),".",TEXT(E113,"000")),"")))))</f>
        <v/>
      </c>
      <c r="I113" s="18" t="inlineStr">
        <is>
          <t>Central de Gás</t>
        </is>
      </c>
      <c r="J113" s="6" t="n"/>
    </row>
    <row r="114" ht="20.45" customFormat="1" customHeight="1" s="8">
      <c r="A114" s="14">
        <f>IF($G114="UNIDADE CONSTRUTIVA",OFFSET(A114,-1,0)+1,LARGE(A$3:A113,1))</f>
        <v/>
      </c>
      <c r="B114" s="14">
        <f>IF(G114="UNIDADE CONSTRUTIVA",0,IF(G114="CÉLULA CONSTRUTIVA",OFFSET(B114,-1,0)+1,OFFSET(B114,-1,0)))</f>
        <v/>
      </c>
      <c r="C114" s="14">
        <f>IF(G114="CÉLULA CONSTRUTIVA",0,IF(G114="ETAPA",OFFSET(C114,-1,0)+1,OFFSET(C114,-1,0)))</f>
        <v/>
      </c>
      <c r="D114" s="13">
        <f>IF(G114="ETAPA",0,IF(G114="SUBETAPA",OFFSET(D114,-1,0)+1,OFFSET(D114,-1,0)))</f>
        <v/>
      </c>
      <c r="E114" s="13">
        <f>IF(G114="Subetapa",0,IF(G114="serviço",OFFSET(E114,-1,0)+1,OFFSET(E114,-1,0)))</f>
        <v/>
      </c>
      <c r="F114" s="12" t="n"/>
      <c r="G114" s="19" t="inlineStr">
        <is>
          <t>Subetapa</t>
        </is>
      </c>
      <c r="H114" s="16">
        <f>IF(G114="Unidade Construtiva",TEXT(A114,"00"),IF(G114="Célula Construtiva",TEXT(B114,"00"),IF(G114="Etapa",CONCATENATE(TEXT(B114,"00"),".",TEXT(C114,"000")),IF(G114="Subetapa",CONCATENATE(TEXT(B114,"00"),".",TEXT(C114,"000"),".",TEXT(D114,"000")),IF(G114="Serviço",CONCATENATE(TEXT(B114,"00"),".",TEXT(C114,"000"),".",TEXT(D114,"000"),".",TEXT(E114,"000")),"")))))</f>
        <v/>
      </c>
      <c r="I114" s="18" t="inlineStr">
        <is>
          <t>Rede Primária</t>
        </is>
      </c>
      <c r="J114" s="6" t="n"/>
    </row>
    <row r="115" ht="20.45" customFormat="1" customHeight="1" s="8">
      <c r="A115" s="14">
        <f>IF($G115="UNIDADE CONSTRUTIVA",OFFSET(A115,-1,0)+1,LARGE(A$3:A114,1))</f>
        <v/>
      </c>
      <c r="B115" s="14">
        <f>IF(G115="UNIDADE CONSTRUTIVA",0,IF(G115="CÉLULA CONSTRUTIVA",OFFSET(B115,-1,0)+1,OFFSET(B115,-1,0)))</f>
        <v/>
      </c>
      <c r="C115" s="14">
        <f>IF(G115="CÉLULA CONSTRUTIVA",0,IF(G115="ETAPA",OFFSET(C115,-1,0)+1,OFFSET(C115,-1,0)))</f>
        <v/>
      </c>
      <c r="D115" s="13">
        <f>IF(G115="ETAPA",0,IF(G115="SUBETAPA",OFFSET(D115,-1,0)+1,OFFSET(D115,-1,0)))</f>
        <v/>
      </c>
      <c r="E115" s="13">
        <f>IF(G115="Subetapa",0,IF(G115="serviço",OFFSET(E115,-1,0)+1,OFFSET(E115,-1,0)))</f>
        <v/>
      </c>
      <c r="F115" s="12" t="n"/>
      <c r="G115" s="19" t="inlineStr">
        <is>
          <t>Subetapa</t>
        </is>
      </c>
      <c r="H115" s="16">
        <f>IF(G115="Unidade Construtiva",TEXT(A115,"00"),IF(G115="Célula Construtiva",TEXT(B115,"00"),IF(G115="Etapa",CONCATENATE(TEXT(B115,"00"),".",TEXT(C115,"000")),IF(G115="Subetapa",CONCATENATE(TEXT(B115,"00"),".",TEXT(C115,"000"),".",TEXT(D115,"000")),IF(G115="Serviço",CONCATENATE(TEXT(B115,"00"),".",TEXT(C115,"000"),".",TEXT(D115,"000"),".",TEXT(E115,"000")),"")))))</f>
        <v/>
      </c>
      <c r="I115" s="18" t="inlineStr">
        <is>
          <t>Rede Secundária</t>
        </is>
      </c>
      <c r="J115" s="6" t="n"/>
    </row>
    <row r="116" ht="20.45" customFormat="1" customHeight="1" s="8">
      <c r="A116" s="14">
        <f>IF($G116="UNIDADE CONSTRUTIVA",OFFSET(A116,-1,0)+1,LARGE(A$3:A115,1))</f>
        <v/>
      </c>
      <c r="B116" s="14">
        <f>IF(G116="UNIDADE CONSTRUTIVA",0,IF(G116="CÉLULA CONSTRUTIVA",OFFSET(B116,-1,0)+1,OFFSET(B116,-1,0)))</f>
        <v/>
      </c>
      <c r="C116" s="14">
        <f>IF(G116="CÉLULA CONSTRUTIVA",0,IF(G116="ETAPA",OFFSET(C116,-1,0)+1,OFFSET(C116,-1,0)))</f>
        <v/>
      </c>
      <c r="D116" s="13">
        <f>IF(G116="ETAPA",0,IF(G116="SUBETAPA",OFFSET(D116,-1,0)+1,OFFSET(D116,-1,0)))</f>
        <v/>
      </c>
      <c r="E116" s="13">
        <f>IF(G116="Subetapa",0,IF(G116="serviço",OFFSET(E116,-1,0)+1,OFFSET(E116,-1,0)))</f>
        <v/>
      </c>
      <c r="F116" s="12" t="n"/>
      <c r="G116" s="19" t="inlineStr">
        <is>
          <t>Subetapa</t>
        </is>
      </c>
      <c r="H116" s="16">
        <f>IF(G116="Unidade Construtiva",TEXT(A116,"00"),IF(G116="Célula Construtiva",TEXT(B116,"00"),IF(G116="Etapa",CONCATENATE(TEXT(B116,"00"),".",TEXT(C116,"000")),IF(G116="Subetapa",CONCATENATE(TEXT(B116,"00"),".",TEXT(C116,"000"),".",TEXT(D116,"000")),IF(G116="Serviço",CONCATENATE(TEXT(B116,"00"),".",TEXT(C116,"000"),".",TEXT(D116,"000"),".",TEXT(E116,"000")),"")))))</f>
        <v/>
      </c>
      <c r="I116" s="18" t="inlineStr">
        <is>
          <t>Mão de obra</t>
        </is>
      </c>
      <c r="J116" s="6" t="n"/>
    </row>
    <row r="117" ht="20.45" customFormat="1" customHeight="1" s="8">
      <c r="A117" s="14">
        <f>IF($G117="UNIDADE CONSTRUTIVA",OFFSET(A117,-1,0)+1,LARGE(A$3:A116,1))</f>
        <v/>
      </c>
      <c r="B117" s="14">
        <f>IF(G117="UNIDADE CONSTRUTIVA",0,IF(G117="CÉLULA CONSTRUTIVA",OFFSET(B117,-1,0)+1,OFFSET(B117,-1,0)))</f>
        <v/>
      </c>
      <c r="C117" s="14">
        <f>IF(G117="CÉLULA CONSTRUTIVA",0,IF(G117="ETAPA",OFFSET(C117,-1,0)+1,OFFSET(C117,-1,0)))</f>
        <v/>
      </c>
      <c r="D117" s="13">
        <f>IF(G117="ETAPA",0,IF(G117="SUBETAPA",OFFSET(D117,-1,0)+1,OFFSET(D117,-1,0)))</f>
        <v/>
      </c>
      <c r="E117" s="13">
        <f>IF(G117="Subetapa",0,IF(G117="serviço",OFFSET(E117,-1,0)+1,OFFSET(E117,-1,0)))</f>
        <v/>
      </c>
      <c r="F117" s="12" t="n"/>
      <c r="G117" s="17" t="inlineStr">
        <is>
          <t>CÉLULA CONSTRUTIVA</t>
        </is>
      </c>
      <c r="H117" s="16">
        <f>IF(G117="Unidade Construtiva",TEXT(A117,"00"),IF(G117="Célula Construtiva",TEXT(B117,"00"),IF(G117="Etapa",CONCATENATE(TEXT(B117,"00"),".",TEXT(C117,"000")),IF(G117="Subetapa",CONCATENATE(TEXT(B117,"00"),".",TEXT(C117,"000"),".",TEXT(D117,"000")),IF(G117="Serviço",CONCATENATE(TEXT(B117,"00"),".",TEXT(C117,"000"),".",TEXT(D117,"000"),".",TEXT(E117,"000")),"")))))</f>
        <v/>
      </c>
      <c r="I117" s="15" t="inlineStr">
        <is>
          <t>INSTALAÇÕES DE COMUNICAÇÕES</t>
        </is>
      </c>
      <c r="J117" s="6" t="n"/>
    </row>
    <row r="118" ht="20.45" customFormat="1" customHeight="1" s="8">
      <c r="A118" s="14">
        <f>IF($G118="UNIDADE CONSTRUTIVA",OFFSET(A118,-1,0)+1,LARGE(A$3:A117,1))</f>
        <v/>
      </c>
      <c r="B118" s="14">
        <f>IF(G118="UNIDADE CONSTRUTIVA",0,IF(G118="CÉLULA CONSTRUTIVA",OFFSET(B118,-1,0)+1,OFFSET(B118,-1,0)))</f>
        <v/>
      </c>
      <c r="C118" s="14">
        <f>IF(G118="CÉLULA CONSTRUTIVA",0,IF(G118="ETAPA",OFFSET(C118,-1,0)+1,OFFSET(C118,-1,0)))</f>
        <v/>
      </c>
      <c r="D118" s="13">
        <f>IF(G118="ETAPA",0,IF(G118="SUBETAPA",OFFSET(D118,-1,0)+1,OFFSET(D118,-1,0)))</f>
        <v/>
      </c>
      <c r="E118" s="13">
        <f>IF(G118="Subetapa",0,IF(G118="serviço",OFFSET(E118,-1,0)+1,OFFSET(E118,-1,0)))</f>
        <v/>
      </c>
      <c r="F118" s="12" t="n"/>
      <c r="G118" s="17" t="inlineStr">
        <is>
          <t>ETAPA</t>
        </is>
      </c>
      <c r="H118" s="16">
        <f>IF(G118="Unidade Construtiva",TEXT(A118,"00"),IF(G118="Célula Construtiva",TEXT(B118,"00"),IF(G118="Etapa",CONCATENATE(TEXT(B118,"00"),".",TEXT(C118,"000")),IF(G118="Subetapa",CONCATENATE(TEXT(B118,"00"),".",TEXT(C118,"000"),".",TEXT(D118,"000")),IF(G118="Serviço",CONCATENATE(TEXT(B118,"00"),".",TEXT(C118,"000"),".",TEXT(D118,"000"),".",TEXT(E118,"000")),"")))))</f>
        <v/>
      </c>
      <c r="I118" s="15" t="inlineStr">
        <is>
          <t>AUTOMAÇÕES</t>
        </is>
      </c>
      <c r="J118" s="6" t="n"/>
    </row>
    <row r="119" ht="20.45" customFormat="1" customHeight="1" s="8">
      <c r="A119" s="14">
        <f>IF($G119="UNIDADE CONSTRUTIVA",OFFSET(A119,-1,0)+1,LARGE(A$3:A118,1))</f>
        <v/>
      </c>
      <c r="B119" s="14">
        <f>IF(G119="UNIDADE CONSTRUTIVA",0,IF(G119="CÉLULA CONSTRUTIVA",OFFSET(B119,-1,0)+1,OFFSET(B119,-1,0)))</f>
        <v/>
      </c>
      <c r="C119" s="14">
        <f>IF(G119="CÉLULA CONSTRUTIVA",0,IF(G119="ETAPA",OFFSET(C119,-1,0)+1,OFFSET(C119,-1,0)))</f>
        <v/>
      </c>
      <c r="D119" s="13">
        <f>IF(G119="ETAPA",0,IF(G119="SUBETAPA",OFFSET(D119,-1,0)+1,OFFSET(D119,-1,0)))</f>
        <v/>
      </c>
      <c r="E119" s="13">
        <f>IF(G119="Subetapa",0,IF(G119="serviço",OFFSET(E119,-1,0)+1,OFFSET(E119,-1,0)))</f>
        <v/>
      </c>
      <c r="F119" s="12" t="n"/>
      <c r="G119" s="19" t="inlineStr">
        <is>
          <t>Subetapa</t>
        </is>
      </c>
      <c r="H119" s="16">
        <f>IF(G119="Unidade Construtiva",TEXT(A119,"00"),IF(G119="Célula Construtiva",TEXT(B119,"00"),IF(G119="Etapa",CONCATENATE(TEXT(B119,"00"),".",TEXT(C119,"000")),IF(G119="Subetapa",CONCATENATE(TEXT(B119,"00"),".",TEXT(C119,"000"),".",TEXT(D119,"000")),IF(G119="Serviço",CONCATENATE(TEXT(B119,"00"),".",TEXT(C119,"000"),".",TEXT(D119,"000"),".",TEXT(E119,"000")),"")))))</f>
        <v/>
      </c>
      <c r="I119" s="18" t="inlineStr">
        <is>
          <t>Infraestrutura de automação dos apartamentos (Iluminação, cortinas, áudio, ar cond.)</t>
        </is>
      </c>
      <c r="J119" s="6" t="n"/>
    </row>
    <row r="120" ht="20.45" customFormat="1" customHeight="1" s="8">
      <c r="A120" s="14">
        <f>IF($G120="UNIDADE CONSTRUTIVA",OFFSET(A120,-1,0)+1,LARGE(A$3:A119,1))</f>
        <v/>
      </c>
      <c r="B120" s="14">
        <f>IF(G120="UNIDADE CONSTRUTIVA",0,IF(G120="CÉLULA CONSTRUTIVA",OFFSET(B120,-1,0)+1,OFFSET(B120,-1,0)))</f>
        <v/>
      </c>
      <c r="C120" s="14">
        <f>IF(G120="CÉLULA CONSTRUTIVA",0,IF(G120="ETAPA",OFFSET(C120,-1,0)+1,OFFSET(C120,-1,0)))</f>
        <v/>
      </c>
      <c r="D120" s="13">
        <f>IF(G120="ETAPA",0,IF(G120="SUBETAPA",OFFSET(D120,-1,0)+1,OFFSET(D120,-1,0)))</f>
        <v/>
      </c>
      <c r="E120" s="13">
        <f>IF(G120="Subetapa",0,IF(G120="serviço",OFFSET(E120,-1,0)+1,OFFSET(E120,-1,0)))</f>
        <v/>
      </c>
      <c r="F120" s="12" t="n"/>
      <c r="G120" s="17" t="inlineStr">
        <is>
          <t>ETAPA</t>
        </is>
      </c>
      <c r="H120" s="16">
        <f>IF(G120="Unidade Construtiva",TEXT(A120,"00"),IF(G120="Célula Construtiva",TEXT(B120,"00"),IF(G120="Etapa",CONCATENATE(TEXT(B120,"00"),".",TEXT(C120,"000")),IF(G120="Subetapa",CONCATENATE(TEXT(B120,"00"),".",TEXT(C120,"000"),".",TEXT(D120,"000")),IF(G120="Serviço",CONCATENATE(TEXT(B120,"00"),".",TEXT(C120,"000"),".",TEXT(D120,"000"),".",TEXT(E120,"000")),"")))))</f>
        <v/>
      </c>
      <c r="I120" s="15" t="inlineStr">
        <is>
          <t>INSTALAÇÕES DE COMUNICAÇÕES</t>
        </is>
      </c>
      <c r="J120" s="6" t="n"/>
    </row>
    <row r="121" ht="20.45" customFormat="1" customHeight="1" s="8">
      <c r="A121" s="14">
        <f>IF($G121="UNIDADE CONSTRUTIVA",OFFSET(A121,-1,0)+1,LARGE(A$3:A120,1))</f>
        <v/>
      </c>
      <c r="B121" s="14">
        <f>IF(G121="UNIDADE CONSTRUTIVA",0,IF(G121="CÉLULA CONSTRUTIVA",OFFSET(B121,-1,0)+1,OFFSET(B121,-1,0)))</f>
        <v/>
      </c>
      <c r="C121" s="14">
        <f>IF(G121="CÉLULA CONSTRUTIVA",0,IF(G121="ETAPA",OFFSET(C121,-1,0)+1,OFFSET(C121,-1,0)))</f>
        <v/>
      </c>
      <c r="D121" s="13">
        <f>IF(G121="ETAPA",0,IF(G121="SUBETAPA",OFFSET(D121,-1,0)+1,OFFSET(D121,-1,0)))</f>
        <v/>
      </c>
      <c r="E121" s="13">
        <f>IF(G121="Subetapa",0,IF(G121="serviço",OFFSET(E121,-1,0)+1,OFFSET(E121,-1,0)))</f>
        <v/>
      </c>
      <c r="F121" s="12" t="n"/>
      <c r="G121" s="19" t="inlineStr">
        <is>
          <t>Subetapa</t>
        </is>
      </c>
      <c r="H121" s="16">
        <f>IF(G121="Unidade Construtiva",TEXT(A121,"00"),IF(G121="Célula Construtiva",TEXT(B121,"00"),IF(G121="Etapa",CONCATENATE(TEXT(B121,"00"),".",TEXT(C121,"000")),IF(G121="Subetapa",CONCATENATE(TEXT(B121,"00"),".",TEXT(C121,"000"),".",TEXT(D121,"000")),IF(G121="Serviço",CONCATENATE(TEXT(B121,"00"),".",TEXT(C121,"000"),".",TEXT(D121,"000"),".",TEXT(E121,"000")),"")))))</f>
        <v/>
      </c>
      <c r="I121" s="18" t="inlineStr">
        <is>
          <t>Sistema de interfone / controle de acesso</t>
        </is>
      </c>
      <c r="J121" s="6" t="n"/>
    </row>
    <row r="122" ht="20.45" customFormat="1" customHeight="1" s="8">
      <c r="A122" s="14">
        <f>IF($G122="UNIDADE CONSTRUTIVA",OFFSET(A122,-1,0)+1,LARGE(A$3:A121,1))</f>
        <v/>
      </c>
      <c r="B122" s="14">
        <f>IF(G122="UNIDADE CONSTRUTIVA",0,IF(G122="CÉLULA CONSTRUTIVA",OFFSET(B122,-1,0)+1,OFFSET(B122,-1,0)))</f>
        <v/>
      </c>
      <c r="C122" s="14">
        <f>IF(G122="CÉLULA CONSTRUTIVA",0,IF(G122="ETAPA",OFFSET(C122,-1,0)+1,OFFSET(C122,-1,0)))</f>
        <v/>
      </c>
      <c r="D122" s="13">
        <f>IF(G122="ETAPA",0,IF(G122="SUBETAPA",OFFSET(D122,-1,0)+1,OFFSET(D122,-1,0)))</f>
        <v/>
      </c>
      <c r="E122" s="13">
        <f>IF(G122="Subetapa",0,IF(G122="serviço",OFFSET(E122,-1,0)+1,OFFSET(E122,-1,0)))</f>
        <v/>
      </c>
      <c r="F122" s="12" t="n"/>
      <c r="G122" s="19" t="inlineStr">
        <is>
          <t>Subetapa</t>
        </is>
      </c>
      <c r="H122" s="16">
        <f>IF(G122="Unidade Construtiva",TEXT(A122,"00"),IF(G122="Célula Construtiva",TEXT(B122,"00"),IF(G122="Etapa",CONCATENATE(TEXT(B122,"00"),".",TEXT(C122,"000")),IF(G122="Subetapa",CONCATENATE(TEXT(B122,"00"),".",TEXT(C122,"000"),".",TEXT(D122,"000")),IF(G122="Serviço",CONCATENATE(TEXT(B122,"00"),".",TEXT(C122,"000"),".",TEXT(D122,"000"),".",TEXT(E122,"000")),"")))))</f>
        <v/>
      </c>
      <c r="I122" s="18" t="inlineStr">
        <is>
          <t>Instalação de CFTV</t>
        </is>
      </c>
      <c r="J122" s="6" t="n"/>
    </row>
    <row r="123" ht="20.45" customFormat="1" customHeight="1" s="8">
      <c r="A123" s="14">
        <f>IF($G123="UNIDADE CONSTRUTIVA",OFFSET(A123,-1,0)+1,LARGE(A$3:A122,1))</f>
        <v/>
      </c>
      <c r="B123" s="14">
        <f>IF(G123="UNIDADE CONSTRUTIVA",0,IF(G123="CÉLULA CONSTRUTIVA",OFFSET(B123,-1,0)+1,OFFSET(B123,-1,0)))</f>
        <v/>
      </c>
      <c r="C123" s="14">
        <f>IF(G123="CÉLULA CONSTRUTIVA",0,IF(G123="ETAPA",OFFSET(C123,-1,0)+1,OFFSET(C123,-1,0)))</f>
        <v/>
      </c>
      <c r="D123" s="13">
        <f>IF(G123="ETAPA",0,IF(G123="SUBETAPA",OFFSET(D123,-1,0)+1,OFFSET(D123,-1,0)))</f>
        <v/>
      </c>
      <c r="E123" s="13">
        <f>IF(G123="Subetapa",0,IF(G123="serviço",OFFSET(E123,-1,0)+1,OFFSET(E123,-1,0)))</f>
        <v/>
      </c>
      <c r="F123" s="12" t="n"/>
      <c r="G123" s="19" t="inlineStr">
        <is>
          <t>Subetapa</t>
        </is>
      </c>
      <c r="H123" s="16">
        <f>IF(G123="Unidade Construtiva",TEXT(A123,"00"),IF(G123="Célula Construtiva",TEXT(B123,"00"),IF(G123="Etapa",CONCATENATE(TEXT(B123,"00"),".",TEXT(C123,"000")),IF(G123="Subetapa",CONCATENATE(TEXT(B123,"00"),".",TEXT(C123,"000"),".",TEXT(D123,"000")),IF(G123="Serviço",CONCATENATE(TEXT(B123,"00"),".",TEXT(C123,"000"),".",TEXT(D123,"000"),".",TEXT(E123,"000")),"")))))</f>
        <v/>
      </c>
      <c r="I123" s="18" t="inlineStr">
        <is>
          <t>TV VHF/CABO/SATÉLITE</t>
        </is>
      </c>
      <c r="J123" s="6" t="n"/>
    </row>
    <row r="124" ht="20.45" customFormat="1" customHeight="1" s="8">
      <c r="A124" s="14">
        <f>IF($G124="UNIDADE CONSTRUTIVA",OFFSET(A124,-1,0)+1,LARGE(A$3:A123,1))</f>
        <v/>
      </c>
      <c r="B124" s="14">
        <f>IF(G124="UNIDADE CONSTRUTIVA",0,IF(G124="CÉLULA CONSTRUTIVA",OFFSET(B124,-1,0)+1,OFFSET(B124,-1,0)))</f>
        <v/>
      </c>
      <c r="C124" s="14">
        <f>IF(G124="CÉLULA CONSTRUTIVA",0,IF(G124="ETAPA",OFFSET(C124,-1,0)+1,OFFSET(C124,-1,0)))</f>
        <v/>
      </c>
      <c r="D124" s="13">
        <f>IF(G124="ETAPA",0,IF(G124="SUBETAPA",OFFSET(D124,-1,0)+1,OFFSET(D124,-1,0)))</f>
        <v/>
      </c>
      <c r="E124" s="13">
        <f>IF(G124="Subetapa",0,IF(G124="serviço",OFFSET(E124,-1,0)+1,OFFSET(E124,-1,0)))</f>
        <v/>
      </c>
      <c r="F124" s="12" t="n"/>
      <c r="G124" s="19" t="inlineStr">
        <is>
          <t>Subetapa</t>
        </is>
      </c>
      <c r="H124" s="16">
        <f>IF(G124="Unidade Construtiva",TEXT(A124,"00"),IF(G124="Célula Construtiva",TEXT(B124,"00"),IF(G124="Etapa",CONCATENATE(TEXT(B124,"00"),".",TEXT(C124,"000")),IF(G124="Subetapa",CONCATENATE(TEXT(B124,"00"),".",TEXT(C124,"000"),".",TEXT(D124,"000")),IF(G124="Serviço",CONCATENATE(TEXT(B124,"00"),".",TEXT(C124,"000"),".",TEXT(D124,"000"),".",TEXT(E124,"000")),"")))))</f>
        <v/>
      </c>
      <c r="I124" s="18" t="inlineStr">
        <is>
          <t>Telefonia/lógica/internet</t>
        </is>
      </c>
      <c r="J124" s="6" t="n"/>
    </row>
    <row r="125" ht="20.45" customFormat="1" customHeight="1" s="8">
      <c r="A125" s="14">
        <f>IF($G125="UNIDADE CONSTRUTIVA",OFFSET(A125,-1,0)+1,LARGE(A$3:A124,1))</f>
        <v/>
      </c>
      <c r="B125" s="14">
        <f>IF(G125="UNIDADE CONSTRUTIVA",0,IF(G125="CÉLULA CONSTRUTIVA",OFFSET(B125,-1,0)+1,OFFSET(B125,-1,0)))</f>
        <v/>
      </c>
      <c r="C125" s="14">
        <f>IF(G125="CÉLULA CONSTRUTIVA",0,IF(G125="ETAPA",OFFSET(C125,-1,0)+1,OFFSET(C125,-1,0)))</f>
        <v/>
      </c>
      <c r="D125" s="13">
        <f>IF(G125="ETAPA",0,IF(G125="SUBETAPA",OFFSET(D125,-1,0)+1,OFFSET(D125,-1,0)))</f>
        <v/>
      </c>
      <c r="E125" s="13">
        <f>IF(G125="Subetapa",0,IF(G125="serviço",OFFSET(E125,-1,0)+1,OFFSET(E125,-1,0)))</f>
        <v/>
      </c>
      <c r="F125" s="12" t="n"/>
      <c r="G125" s="17" t="inlineStr">
        <is>
          <t>CÉLULA CONSTRUTIVA</t>
        </is>
      </c>
      <c r="H125" s="16">
        <f>IF(G125="Unidade Construtiva",TEXT(A125,"00"),IF(G125="Célula Construtiva",TEXT(B125,"00"),IF(G125="Etapa",CONCATENATE(TEXT(B125,"00"),".",TEXT(C125,"000")),IF(G125="Subetapa",CONCATENATE(TEXT(B125,"00"),".",TEXT(C125,"000"),".",TEXT(D125,"000")),IF(G125="Serviço",CONCATENATE(TEXT(B125,"00"),".",TEXT(C125,"000"),".",TEXT(D125,"000"),".",TEXT(E125,"000")),"")))))</f>
        <v/>
      </c>
      <c r="I125" s="15" t="inlineStr">
        <is>
          <t>EQUIPAMENTOS E SISTEMAS ESPECIAIS</t>
        </is>
      </c>
      <c r="J125" s="6" t="n"/>
    </row>
    <row r="126" ht="20.45" customFormat="1" customHeight="1" s="8">
      <c r="A126" s="14">
        <f>IF($G126="UNIDADE CONSTRUTIVA",OFFSET(A126,-1,0)+1,LARGE(A$3:A125,1))</f>
        <v/>
      </c>
      <c r="B126" s="14">
        <f>IF(G126="UNIDADE CONSTRUTIVA",0,IF(G126="CÉLULA CONSTRUTIVA",OFFSET(B126,-1,0)+1,OFFSET(B126,-1,0)))</f>
        <v/>
      </c>
      <c r="C126" s="14">
        <f>IF(G126="CÉLULA CONSTRUTIVA",0,IF(G126="ETAPA",OFFSET(C126,-1,0)+1,OFFSET(C126,-1,0)))</f>
        <v/>
      </c>
      <c r="D126" s="13">
        <f>IF(G126="ETAPA",0,IF(G126="SUBETAPA",OFFSET(D126,-1,0)+1,OFFSET(D126,-1,0)))</f>
        <v/>
      </c>
      <c r="E126" s="13">
        <f>IF(G126="Subetapa",0,IF(G126="serviço",OFFSET(E126,-1,0)+1,OFFSET(E126,-1,0)))</f>
        <v/>
      </c>
      <c r="F126" s="12" t="n"/>
      <c r="G126" s="17" t="inlineStr">
        <is>
          <t>ETAPA</t>
        </is>
      </c>
      <c r="H126" s="16">
        <f>IF(G126="Unidade Construtiva",TEXT(A126,"00"),IF(G126="Célula Construtiva",TEXT(B126,"00"),IF(G126="Etapa",CONCATENATE(TEXT(B126,"00"),".",TEXT(C126,"000")),IF(G126="Subetapa",CONCATENATE(TEXT(B126,"00"),".",TEXT(C126,"000"),".",TEXT(D126,"000")),IF(G126="Serviço",CONCATENATE(TEXT(B126,"00"),".",TEXT(C126,"000"),".",TEXT(D126,"000"),".",TEXT(E126,"000")),"")))))</f>
        <v/>
      </c>
      <c r="I126" s="15" t="inlineStr">
        <is>
          <t>PISCINA</t>
        </is>
      </c>
      <c r="J126" s="6" t="n"/>
    </row>
    <row r="127" ht="20.45" customFormat="1" customHeight="1" s="8">
      <c r="A127" s="14">
        <f>IF($G127="UNIDADE CONSTRUTIVA",OFFSET(A127,-1,0)+1,LARGE(A$3:A126,1))</f>
        <v/>
      </c>
      <c r="B127" s="14">
        <f>IF(G127="UNIDADE CONSTRUTIVA",0,IF(G127="CÉLULA CONSTRUTIVA",OFFSET(B127,-1,0)+1,OFFSET(B127,-1,0)))</f>
        <v/>
      </c>
      <c r="C127" s="14">
        <f>IF(G127="CÉLULA CONSTRUTIVA",0,IF(G127="ETAPA",OFFSET(C127,-1,0)+1,OFFSET(C127,-1,0)))</f>
        <v/>
      </c>
      <c r="D127" s="13">
        <f>IF(G127="ETAPA",0,IF(G127="SUBETAPA",OFFSET(D127,-1,0)+1,OFFSET(D127,-1,0)))</f>
        <v/>
      </c>
      <c r="E127" s="13">
        <f>IF(G127="Subetapa",0,IF(G127="serviço",OFFSET(E127,-1,0)+1,OFFSET(E127,-1,0)))</f>
        <v/>
      </c>
      <c r="F127" s="12" t="n"/>
      <c r="G127" s="19" t="inlineStr">
        <is>
          <t>Subetapa</t>
        </is>
      </c>
      <c r="H127" s="16">
        <f>IF(G127="Unidade Construtiva",TEXT(A127,"00"),IF(G127="Célula Construtiva",TEXT(B127,"00"),IF(G127="Etapa",CONCATENATE(TEXT(B127,"00"),".",TEXT(C127,"000")),IF(G127="Subetapa",CONCATENATE(TEXT(B127,"00"),".",TEXT(C127,"000"),".",TEXT(D127,"000")),IF(G127="Serviço",CONCATENATE(TEXT(B127,"00"),".",TEXT(C127,"000"),".",TEXT(D127,"000"),".",TEXT(E127,"000")),"")))))</f>
        <v/>
      </c>
      <c r="I127" s="18" t="inlineStr">
        <is>
          <t>Equipamentos de piscina</t>
        </is>
      </c>
      <c r="J127" s="6" t="n"/>
    </row>
    <row r="128" ht="20.45" customFormat="1" customHeight="1" s="8">
      <c r="A128" s="14">
        <f>IF($G128="UNIDADE CONSTRUTIVA",OFFSET(A128,-1,0)+1,LARGE(A$3:A127,1))</f>
        <v/>
      </c>
      <c r="B128" s="14">
        <f>IF(G128="UNIDADE CONSTRUTIVA",0,IF(G128="CÉLULA CONSTRUTIVA",OFFSET(B128,-1,0)+1,OFFSET(B128,-1,0)))</f>
        <v/>
      </c>
      <c r="C128" s="14">
        <f>IF(G128="CÉLULA CONSTRUTIVA",0,IF(G128="ETAPA",OFFSET(C128,-1,0)+1,OFFSET(C128,-1,0)))</f>
        <v/>
      </c>
      <c r="D128" s="13">
        <f>IF(G128="ETAPA",0,IF(G128="SUBETAPA",OFFSET(D128,-1,0)+1,OFFSET(D128,-1,0)))</f>
        <v/>
      </c>
      <c r="E128" s="13">
        <f>IF(G128="Subetapa",0,IF(G128="serviço",OFFSET(E128,-1,0)+1,OFFSET(E128,-1,0)))</f>
        <v/>
      </c>
      <c r="F128" s="12" t="n"/>
      <c r="G128" s="17" t="inlineStr">
        <is>
          <t>ETAPA</t>
        </is>
      </c>
      <c r="H128" s="16">
        <f>IF(G128="Unidade Construtiva",TEXT(A128,"00"),IF(G128="Célula Construtiva",TEXT(B128,"00"),IF(G128="Etapa",CONCATENATE(TEXT(B128,"00"),".",TEXT(C128,"000")),IF(G128="Subetapa",CONCATENATE(TEXT(B128,"00"),".",TEXT(C128,"000"),".",TEXT(D128,"000")),IF(G128="Serviço",CONCATENATE(TEXT(B128,"00"),".",TEXT(C128,"000"),".",TEXT(D128,"000"),".",TEXT(E128,"000")),"")))))</f>
        <v/>
      </c>
      <c r="I128" s="15" t="inlineStr">
        <is>
          <t>ELEVADORES</t>
        </is>
      </c>
      <c r="J128" s="6" t="n"/>
    </row>
    <row r="129" ht="20.45" customFormat="1" customHeight="1" s="8">
      <c r="A129" s="14">
        <f>IF($G129="UNIDADE CONSTRUTIVA",OFFSET(A129,-1,0)+1,LARGE(A$3:A128,1))</f>
        <v/>
      </c>
      <c r="B129" s="14">
        <f>IF(G129="UNIDADE CONSTRUTIVA",0,IF(G129="CÉLULA CONSTRUTIVA",OFFSET(B129,-1,0)+1,OFFSET(B129,-1,0)))</f>
        <v/>
      </c>
      <c r="C129" s="14">
        <f>IF(G129="CÉLULA CONSTRUTIVA",0,IF(G129="ETAPA",OFFSET(C129,-1,0)+1,OFFSET(C129,-1,0)))</f>
        <v/>
      </c>
      <c r="D129" s="13">
        <f>IF(G129="ETAPA",0,IF(G129="SUBETAPA",OFFSET(D129,-1,0)+1,OFFSET(D129,-1,0)))</f>
        <v/>
      </c>
      <c r="E129" s="13">
        <f>IF(G129="Subetapa",0,IF(G129="serviço",OFFSET(E129,-1,0)+1,OFFSET(E129,-1,0)))</f>
        <v/>
      </c>
      <c r="F129" s="12" t="n"/>
      <c r="G129" s="19" t="inlineStr">
        <is>
          <t>Subetapa</t>
        </is>
      </c>
      <c r="H129" s="16">
        <f>IF(G129="Unidade Construtiva",TEXT(A129,"00"),IF(G129="Célula Construtiva",TEXT(B129,"00"),IF(G129="Etapa",CONCATENATE(TEXT(B129,"00"),".",TEXT(C129,"000")),IF(G129="Subetapa",CONCATENATE(TEXT(B129,"00"),".",TEXT(C129,"000"),".",TEXT(D129,"000")),IF(G129="Serviço",CONCATENATE(TEXT(B129,"00"),".",TEXT(C129,"000"),".",TEXT(D129,"000"),".",TEXT(E129,"000")),"")))))</f>
        <v/>
      </c>
      <c r="I129" s="18" t="inlineStr">
        <is>
          <t>Elevadores</t>
        </is>
      </c>
      <c r="J129" s="6" t="n"/>
    </row>
    <row r="130" ht="20.45" customFormat="1" customHeight="1" s="8">
      <c r="A130" s="14">
        <f>IF($G130="UNIDADE CONSTRUTIVA",OFFSET(A130,-1,0)+1,LARGE(A$3:A129,1))</f>
        <v/>
      </c>
      <c r="B130" s="14">
        <f>IF(G130="UNIDADE CONSTRUTIVA",0,IF(G130="CÉLULA CONSTRUTIVA",OFFSET(B130,-1,0)+1,OFFSET(B130,-1,0)))</f>
        <v/>
      </c>
      <c r="C130" s="14">
        <f>IF(G130="CÉLULA CONSTRUTIVA",0,IF(G130="ETAPA",OFFSET(C130,-1,0)+1,OFFSET(C130,-1,0)))</f>
        <v/>
      </c>
      <c r="D130" s="13">
        <f>IF(G130="ETAPA",0,IF(G130="SUBETAPA",OFFSET(D130,-1,0)+1,OFFSET(D130,-1,0)))</f>
        <v/>
      </c>
      <c r="E130" s="13">
        <f>IF(G130="Subetapa",0,IF(G130="serviço",OFFSET(E130,-1,0)+1,OFFSET(E130,-1,0)))</f>
        <v/>
      </c>
      <c r="F130" s="12" t="n"/>
      <c r="G130" s="17" t="inlineStr">
        <is>
          <t>CÉLULA CONSTRUTIVA</t>
        </is>
      </c>
      <c r="H130" s="16">
        <f>IF(G130="Unidade Construtiva",TEXT(A130,"00"),IF(G130="Célula Construtiva",TEXT(B130,"00"),IF(G130="Etapa",CONCATENATE(TEXT(B130,"00"),".",TEXT(C130,"000")),IF(G130="Subetapa",CONCATENATE(TEXT(B130,"00"),".",TEXT(C130,"000"),".",TEXT(D130,"000")),IF(G130="Serviço",CONCATENATE(TEXT(B130,"00"),".",TEXT(C130,"000"),".",TEXT(D130,"000"),".",TEXT(E130,"000")),"")))))</f>
        <v/>
      </c>
      <c r="I130" s="15" t="inlineStr">
        <is>
          <t>CLIMATIZAÇÃO, EXAUSTÃO MECÂNICA E PRESSURIZAÇÃO</t>
        </is>
      </c>
      <c r="J130" s="6" t="n"/>
    </row>
    <row r="131" ht="20.45" customFormat="1" customHeight="1" s="8">
      <c r="A131" s="14">
        <f>IF($G131="UNIDADE CONSTRUTIVA",OFFSET(A131,-1,0)+1,LARGE(A$3:A130,1))</f>
        <v/>
      </c>
      <c r="B131" s="14">
        <f>IF(G131="UNIDADE CONSTRUTIVA",0,IF(G131="CÉLULA CONSTRUTIVA",OFFSET(B131,-1,0)+1,OFFSET(B131,-1,0)))</f>
        <v/>
      </c>
      <c r="C131" s="14">
        <f>IF(G131="CÉLULA CONSTRUTIVA",0,IF(G131="ETAPA",OFFSET(C131,-1,0)+1,OFFSET(C131,-1,0)))</f>
        <v/>
      </c>
      <c r="D131" s="13">
        <f>IF(G131="ETAPA",0,IF(G131="SUBETAPA",OFFSET(D131,-1,0)+1,OFFSET(D131,-1,0)))</f>
        <v/>
      </c>
      <c r="E131" s="13">
        <f>IF(G131="Subetapa",0,IF(G131="serviço",OFFSET(E131,-1,0)+1,OFFSET(E131,-1,0)))</f>
        <v/>
      </c>
      <c r="F131" s="12" t="n"/>
      <c r="G131" s="17" t="inlineStr">
        <is>
          <t>ETAPA</t>
        </is>
      </c>
      <c r="H131" s="16">
        <f>IF(G131="Unidade Construtiva",TEXT(A131,"00"),IF(G131="Célula Construtiva",TEXT(B131,"00"),IF(G131="Etapa",CONCATENATE(TEXT(B131,"00"),".",TEXT(C131,"000")),IF(G131="Subetapa",CONCATENATE(TEXT(B131,"00"),".",TEXT(C131,"000"),".",TEXT(D131,"000")),IF(G131="Serviço",CONCATENATE(TEXT(B131,"00"),".",TEXT(C131,"000"),".",TEXT(D131,"000"),".",TEXT(E131,"000")),"")))))</f>
        <v/>
      </c>
      <c r="I131" s="15" t="inlineStr">
        <is>
          <t>CLIMATIZAÇÃO, EXAUSTÃO MECÂNICA E PRESSURIZAÇÃO</t>
        </is>
      </c>
      <c r="J131" s="6" t="n"/>
    </row>
    <row r="132" ht="20.45" customFormat="1" customHeight="1" s="8">
      <c r="A132" s="14">
        <f>IF($G132="UNIDADE CONSTRUTIVA",OFFSET(A132,-1,0)+1,LARGE(A$3:A131,1))</f>
        <v/>
      </c>
      <c r="B132" s="14">
        <f>IF(G132="UNIDADE CONSTRUTIVA",0,IF(G132="CÉLULA CONSTRUTIVA",OFFSET(B132,-1,0)+1,OFFSET(B132,-1,0)))</f>
        <v/>
      </c>
      <c r="C132" s="14">
        <f>IF(G132="CÉLULA CONSTRUTIVA",0,IF(G132="ETAPA",OFFSET(C132,-1,0)+1,OFFSET(C132,-1,0)))</f>
        <v/>
      </c>
      <c r="D132" s="13">
        <f>IF(G132="ETAPA",0,IF(G132="SUBETAPA",OFFSET(D132,-1,0)+1,OFFSET(D132,-1,0)))</f>
        <v/>
      </c>
      <c r="E132" s="13">
        <f>IF(G132="Subetapa",0,IF(G132="serviço",OFFSET(E132,-1,0)+1,OFFSET(E132,-1,0)))</f>
        <v/>
      </c>
      <c r="F132" s="12" t="n"/>
      <c r="G132" s="19" t="inlineStr">
        <is>
          <t>Subetapa</t>
        </is>
      </c>
      <c r="H132" s="16">
        <f>IF(G132="Unidade Construtiva",TEXT(A132,"00"),IF(G132="Célula Construtiva",TEXT(B132,"00"),IF(G132="Etapa",CONCATENATE(TEXT(B132,"00"),".",TEXT(C132,"000")),IF(G132="Subetapa",CONCATENATE(TEXT(B132,"00"),".",TEXT(C132,"000"),".",TEXT(D132,"000")),IF(G132="Serviço",CONCATENATE(TEXT(B132,"00"),".",TEXT(C132,"000"),".",TEXT(D132,"000"),".",TEXT(E132,"000")),"")))))</f>
        <v/>
      </c>
      <c r="I132" s="18" t="inlineStr">
        <is>
          <t>Climatização</t>
        </is>
      </c>
      <c r="J132" s="6" t="n"/>
    </row>
    <row r="133" ht="20.45" customFormat="1" customHeight="1" s="8">
      <c r="A133" s="14">
        <f>IF($G133="UNIDADE CONSTRUTIVA",OFFSET(A133,-1,0)+1,LARGE(A$3:A132,1))</f>
        <v/>
      </c>
      <c r="B133" s="14">
        <f>IF(G133="UNIDADE CONSTRUTIVA",0,IF(G133="CÉLULA CONSTRUTIVA",OFFSET(B133,-1,0)+1,OFFSET(B133,-1,0)))</f>
        <v/>
      </c>
      <c r="C133" s="14">
        <f>IF(G133="CÉLULA CONSTRUTIVA",0,IF(G133="ETAPA",OFFSET(C133,-1,0)+1,OFFSET(C133,-1,0)))</f>
        <v/>
      </c>
      <c r="D133" s="13">
        <f>IF(G133="ETAPA",0,IF(G133="SUBETAPA",OFFSET(D133,-1,0)+1,OFFSET(D133,-1,0)))</f>
        <v/>
      </c>
      <c r="E133" s="13">
        <f>IF(G133="Subetapa",0,IF(G133="serviço",OFFSET(E133,-1,0)+1,OFFSET(E133,-1,0)))</f>
        <v/>
      </c>
      <c r="F133" s="12" t="n"/>
      <c r="G133" s="19" t="inlineStr">
        <is>
          <t>Subetapa</t>
        </is>
      </c>
      <c r="H133" s="16">
        <f>IF(G133="Unidade Construtiva",TEXT(A133,"00"),IF(G133="Célula Construtiva",TEXT(B133,"00"),IF(G133="Etapa",CONCATENATE(TEXT(B133,"00"),".",TEXT(C133,"000")),IF(G133="Subetapa",CONCATENATE(TEXT(B133,"00"),".",TEXT(C133,"000"),".",TEXT(D133,"000")),IF(G133="Serviço",CONCATENATE(TEXT(B133,"00"),".",TEXT(C133,"000"),".",TEXT(D133,"000"),".",TEXT(E133,"000")),"")))))</f>
        <v/>
      </c>
      <c r="I133" s="18" t="inlineStr">
        <is>
          <t>Exaustão mecânica</t>
        </is>
      </c>
      <c r="J133" s="6" t="n"/>
    </row>
    <row r="134" ht="20.45" customFormat="1" customHeight="1" s="8">
      <c r="A134" s="14">
        <f>IF($G134="UNIDADE CONSTRUTIVA",OFFSET(A134,-1,0)+1,LARGE(A$3:A133,1))</f>
        <v/>
      </c>
      <c r="B134" s="14">
        <f>IF(G134="UNIDADE CONSTRUTIVA",0,IF(G134="CÉLULA CONSTRUTIVA",OFFSET(B134,-1,0)+1,OFFSET(B134,-1,0)))</f>
        <v/>
      </c>
      <c r="C134" s="14">
        <f>IF(G134="CÉLULA CONSTRUTIVA",0,IF(G134="ETAPA",OFFSET(C134,-1,0)+1,OFFSET(C134,-1,0)))</f>
        <v/>
      </c>
      <c r="D134" s="13">
        <f>IF(G134="ETAPA",0,IF(G134="SUBETAPA",OFFSET(D134,-1,0)+1,OFFSET(D134,-1,0)))</f>
        <v/>
      </c>
      <c r="E134" s="13">
        <f>IF(G134="Subetapa",0,IF(G134="serviço",OFFSET(E134,-1,0)+1,OFFSET(E134,-1,0)))</f>
        <v/>
      </c>
      <c r="F134" s="12" t="n"/>
      <c r="G134" s="19" t="inlineStr">
        <is>
          <t>Subetapa</t>
        </is>
      </c>
      <c r="H134" s="16">
        <f>IF(G134="Unidade Construtiva",TEXT(A134,"00"),IF(G134="Célula Construtiva",TEXT(B134,"00"),IF(G134="Etapa",CONCATENATE(TEXT(B134,"00"),".",TEXT(C134,"000")),IF(G134="Subetapa",CONCATENATE(TEXT(B134,"00"),".",TEXT(C134,"000"),".",TEXT(D134,"000")),IF(G134="Serviço",CONCATENATE(TEXT(B134,"00"),".",TEXT(C134,"000"),".",TEXT(D134,"000"),".",TEXT(E134,"000")),"")))))</f>
        <v/>
      </c>
      <c r="I134" s="18" t="inlineStr">
        <is>
          <t>Exaustão de churrasqueiras</t>
        </is>
      </c>
      <c r="J134" s="6" t="n"/>
    </row>
    <row r="135" ht="20.45" customFormat="1" customHeight="1" s="8">
      <c r="A135" s="14">
        <f>IF($G135="UNIDADE CONSTRUTIVA",OFFSET(A135,-1,0)+1,LARGE(A$3:A134,1))</f>
        <v/>
      </c>
      <c r="B135" s="14">
        <f>IF(G135="UNIDADE CONSTRUTIVA",0,IF(G135="CÉLULA CONSTRUTIVA",OFFSET(B135,-1,0)+1,OFFSET(B135,-1,0)))</f>
        <v/>
      </c>
      <c r="C135" s="14">
        <f>IF(G135="CÉLULA CONSTRUTIVA",0,IF(G135="ETAPA",OFFSET(C135,-1,0)+1,OFFSET(C135,-1,0)))</f>
        <v/>
      </c>
      <c r="D135" s="13">
        <f>IF(G135="ETAPA",0,IF(G135="SUBETAPA",OFFSET(D135,-1,0)+1,OFFSET(D135,-1,0)))</f>
        <v/>
      </c>
      <c r="E135" s="13">
        <f>IF(G135="Subetapa",0,IF(G135="serviço",OFFSET(E135,-1,0)+1,OFFSET(E135,-1,0)))</f>
        <v/>
      </c>
      <c r="F135" s="12" t="n"/>
      <c r="G135" s="19" t="inlineStr">
        <is>
          <t>Subetapa</t>
        </is>
      </c>
      <c r="H135" s="16">
        <f>IF(G135="Unidade Construtiva",TEXT(A135,"00"),IF(G135="Célula Construtiva",TEXT(B135,"00"),IF(G135="Etapa",CONCATENATE(TEXT(B135,"00"),".",TEXT(C135,"000")),IF(G135="Subetapa",CONCATENATE(TEXT(B135,"00"),".",TEXT(C135,"000"),".",TEXT(D135,"000")),IF(G135="Serviço",CONCATENATE(TEXT(B135,"00"),".",TEXT(C135,"000"),".",TEXT(D135,"000"),".",TEXT(E135,"000")),"")))))</f>
        <v/>
      </c>
      <c r="I135" s="18" t="inlineStr">
        <is>
          <t>Pressurização das escadas</t>
        </is>
      </c>
      <c r="J135" s="6" t="n"/>
    </row>
    <row r="136" ht="20.45" customFormat="1" customHeight="1" s="8">
      <c r="A136" s="14">
        <f>IF($G136="UNIDADE CONSTRUTIVA",OFFSET(A136,-1,0)+1,LARGE(A$3:A135,1))</f>
        <v/>
      </c>
      <c r="B136" s="14">
        <f>IF(G136="UNIDADE CONSTRUTIVA",0,IF(G136="CÉLULA CONSTRUTIVA",OFFSET(B136,-1,0)+1,OFFSET(B136,-1,0)))</f>
        <v/>
      </c>
      <c r="C136" s="14">
        <f>IF(G136="CÉLULA CONSTRUTIVA",0,IF(G136="ETAPA",OFFSET(C136,-1,0)+1,OFFSET(C136,-1,0)))</f>
        <v/>
      </c>
      <c r="D136" s="13">
        <f>IF(G136="ETAPA",0,IF(G136="SUBETAPA",OFFSET(D136,-1,0)+1,OFFSET(D136,-1,0)))</f>
        <v/>
      </c>
      <c r="E136" s="13">
        <f>IF(G136="Subetapa",0,IF(G136="serviço",OFFSET(E136,-1,0)+1,OFFSET(E136,-1,0)))</f>
        <v/>
      </c>
      <c r="F136" s="12" t="n"/>
      <c r="G136" s="17" t="inlineStr">
        <is>
          <t>CÉLULA CONSTRUTIVA</t>
        </is>
      </c>
      <c r="H136" s="16">
        <f>IF(G136="Unidade Construtiva",TEXT(A136,"00"),IF(G136="Célula Construtiva",TEXT(B136,"00"),IF(G136="Etapa",CONCATENATE(TEXT(B136,"00"),".",TEXT(C136,"000")),IF(G136="Subetapa",CONCATENATE(TEXT(B136,"00"),".",TEXT(C136,"000"),".",TEXT(D136,"000")),IF(G136="Serviço",CONCATENATE(TEXT(B136,"00"),".",TEXT(C136,"000"),".",TEXT(D136,"000"),".",TEXT(E136,"000")),"")))))</f>
        <v/>
      </c>
      <c r="I136" s="15" t="inlineStr">
        <is>
          <t>REVESTIMENTOS ARGAMASSADOS INTERNOS DE PAREDE</t>
        </is>
      </c>
      <c r="J136" s="6" t="n"/>
    </row>
    <row r="137" ht="20.45" customFormat="1" customHeight="1" s="8">
      <c r="A137" s="14">
        <f>IF($G137="UNIDADE CONSTRUTIVA",OFFSET(A137,-1,0)+1,LARGE(A$3:A136,1))</f>
        <v/>
      </c>
      <c r="B137" s="14">
        <f>IF(G137="UNIDADE CONSTRUTIVA",0,IF(G137="CÉLULA CONSTRUTIVA",OFFSET(B137,-1,0)+1,OFFSET(B137,-1,0)))</f>
        <v/>
      </c>
      <c r="C137" s="14">
        <f>IF(G137="CÉLULA CONSTRUTIVA",0,IF(G137="ETAPA",OFFSET(C137,-1,0)+1,OFFSET(C137,-1,0)))</f>
        <v/>
      </c>
      <c r="D137" s="13">
        <f>IF(G137="ETAPA",0,IF(G137="SUBETAPA",OFFSET(D137,-1,0)+1,OFFSET(D137,-1,0)))</f>
        <v/>
      </c>
      <c r="E137" s="13">
        <f>IF(G137="Subetapa",0,IF(G137="serviço",OFFSET(E137,-1,0)+1,OFFSET(E137,-1,0)))</f>
        <v/>
      </c>
      <c r="F137" s="12" t="n"/>
      <c r="G137" s="17" t="inlineStr">
        <is>
          <t>ETAPA</t>
        </is>
      </c>
      <c r="H137" s="16">
        <f>IF(G137="Unidade Construtiva",TEXT(A137,"00"),IF(G137="Célula Construtiva",TEXT(B137,"00"),IF(G137="Etapa",CONCATENATE(TEXT(B137,"00"),".",TEXT(C137,"000")),IF(G137="Subetapa",CONCATENATE(TEXT(B137,"00"),".",TEXT(C137,"000"),".",TEXT(D137,"000")),IF(G137="Serviço",CONCATENATE(TEXT(B137,"00"),".",TEXT(C137,"000"),".",TEXT(D137,"000"),".",TEXT(E137,"000")),"")))))</f>
        <v/>
      </c>
      <c r="I137" s="15" t="inlineStr">
        <is>
          <t>REVESTIMENTOS ARGAMASSADOS INTERNOS DE PAREDE</t>
        </is>
      </c>
      <c r="J137" s="6" t="n"/>
    </row>
    <row r="138" ht="20.45" customFormat="1" customHeight="1" s="8">
      <c r="A138" s="14">
        <f>IF($G138="UNIDADE CONSTRUTIVA",OFFSET(A138,-1,0)+1,LARGE(A$3:A137,1))</f>
        <v/>
      </c>
      <c r="B138" s="14">
        <f>IF(G138="UNIDADE CONSTRUTIVA",0,IF(G138="CÉLULA CONSTRUTIVA",OFFSET(B138,-1,0)+1,OFFSET(B138,-1,0)))</f>
        <v/>
      </c>
      <c r="C138" s="14">
        <f>IF(G138="CÉLULA CONSTRUTIVA",0,IF(G138="ETAPA",OFFSET(C138,-1,0)+1,OFFSET(C138,-1,0)))</f>
        <v/>
      </c>
      <c r="D138" s="13">
        <f>IF(G138="ETAPA",0,IF(G138="SUBETAPA",OFFSET(D138,-1,0)+1,OFFSET(D138,-1,0)))</f>
        <v/>
      </c>
      <c r="E138" s="13">
        <f>IF(G138="Subetapa",0,IF(G138="serviço",OFFSET(E138,-1,0)+1,OFFSET(E138,-1,0)))</f>
        <v/>
      </c>
      <c r="F138" s="12" t="n"/>
      <c r="G138" s="19" t="inlineStr">
        <is>
          <t>Subetapa</t>
        </is>
      </c>
      <c r="H138" s="16">
        <f>IF(G138="Unidade Construtiva",TEXT(A138,"00"),IF(G138="Célula Construtiva",TEXT(B138,"00"),IF(G138="Etapa",CONCATENATE(TEXT(B138,"00"),".",TEXT(C138,"000")),IF(G138="Subetapa",CONCATENATE(TEXT(B138,"00"),".",TEXT(C138,"000"),".",TEXT(D138,"000")),IF(G138="Serviço",CONCATENATE(TEXT(B138,"00"),".",TEXT(C138,"000"),".",TEXT(D138,"000"),".",TEXT(E138,"000")),"")))))</f>
        <v/>
      </c>
      <c r="I138" s="18" t="inlineStr">
        <is>
          <t>Reboco interno</t>
        </is>
      </c>
      <c r="J138" s="6" t="n"/>
    </row>
    <row r="139" ht="20.45" customFormat="1" customHeight="1" s="8">
      <c r="A139" s="14">
        <f>IF($G139="UNIDADE CONSTRUTIVA",OFFSET(A139,-1,0)+1,LARGE(A$3:A138,1))</f>
        <v/>
      </c>
      <c r="B139" s="14">
        <f>IF(G139="UNIDADE CONSTRUTIVA",0,IF(G139="CÉLULA CONSTRUTIVA",OFFSET(B139,-1,0)+1,OFFSET(B139,-1,0)))</f>
        <v/>
      </c>
      <c r="C139" s="14">
        <f>IF(G139="CÉLULA CONSTRUTIVA",0,IF(G139="ETAPA",OFFSET(C139,-1,0)+1,OFFSET(C139,-1,0)))</f>
        <v/>
      </c>
      <c r="D139" s="13">
        <f>IF(G139="ETAPA",0,IF(G139="SUBETAPA",OFFSET(D139,-1,0)+1,OFFSET(D139,-1,0)))</f>
        <v/>
      </c>
      <c r="E139" s="13">
        <f>IF(G139="Subetapa",0,IF(G139="serviço",OFFSET(E139,-1,0)+1,OFFSET(E139,-1,0)))</f>
        <v/>
      </c>
      <c r="F139" s="12" t="n"/>
      <c r="G139" s="19" t="inlineStr">
        <is>
          <t>Subetapa</t>
        </is>
      </c>
      <c r="H139" s="16">
        <f>IF(G139="Unidade Construtiva",TEXT(A139,"00"),IF(G139="Célula Construtiva",TEXT(B139,"00"),IF(G139="Etapa",CONCATENATE(TEXT(B139,"00"),".",TEXT(C139,"000")),IF(G139="Subetapa",CONCATENATE(TEXT(B139,"00"),".",TEXT(C139,"000"),".",TEXT(D139,"000")),IF(G139="Serviço",CONCATENATE(TEXT(B139,"00"),".",TEXT(C139,"000"),".",TEXT(D139,"000"),".",TEXT(E139,"000")),"")))))</f>
        <v/>
      </c>
      <c r="I139" s="18" t="inlineStr">
        <is>
          <t>Isolamento térmico</t>
        </is>
      </c>
      <c r="J139" s="6" t="n"/>
    </row>
    <row r="140" ht="20.45" customFormat="1" customHeight="1" s="8">
      <c r="A140" s="14">
        <f>IF($G140="UNIDADE CONSTRUTIVA",OFFSET(A140,-1,0)+1,LARGE(A$3:A139,1))</f>
        <v/>
      </c>
      <c r="B140" s="14">
        <f>IF(G140="UNIDADE CONSTRUTIVA",0,IF(G140="CÉLULA CONSTRUTIVA",OFFSET(B140,-1,0)+1,OFFSET(B140,-1,0)))</f>
        <v/>
      </c>
      <c r="C140" s="14">
        <f>IF(G140="CÉLULA CONSTRUTIVA",0,IF(G140="ETAPA",OFFSET(C140,-1,0)+1,OFFSET(C140,-1,0)))</f>
        <v/>
      </c>
      <c r="D140" s="13">
        <f>IF(G140="ETAPA",0,IF(G140="SUBETAPA",OFFSET(D140,-1,0)+1,OFFSET(D140,-1,0)))</f>
        <v/>
      </c>
      <c r="E140" s="13">
        <f>IF(G140="Subetapa",0,IF(G140="serviço",OFFSET(E140,-1,0)+1,OFFSET(E140,-1,0)))</f>
        <v/>
      </c>
      <c r="F140" s="12" t="n"/>
      <c r="G140" s="19" t="inlineStr">
        <is>
          <t>Subetapa</t>
        </is>
      </c>
      <c r="H140" s="16">
        <f>IF(G140="Unidade Construtiva",TEXT(A140,"00"),IF(G140="Célula Construtiva",TEXT(B140,"00"),IF(G140="Etapa",CONCATENATE(TEXT(B140,"00"),".",TEXT(C140,"000")),IF(G140="Subetapa",CONCATENATE(TEXT(B140,"00"),".",TEXT(C140,"000"),".",TEXT(D140,"000")),IF(G140="Serviço",CONCATENATE(TEXT(B140,"00"),".",TEXT(C140,"000"),".",TEXT(D140,"000"),".",TEXT(E140,"000")),"")))))</f>
        <v/>
      </c>
      <c r="I140" s="18" t="inlineStr">
        <is>
          <t>Isolamento acústico</t>
        </is>
      </c>
      <c r="J140" s="6" t="n"/>
    </row>
    <row r="141" ht="20.45" customFormat="1" customHeight="1" s="8">
      <c r="A141" s="14">
        <f>IF($G141="UNIDADE CONSTRUTIVA",OFFSET(A141,-1,0)+1,LARGE(A$3:A140,1))</f>
        <v/>
      </c>
      <c r="B141" s="14">
        <f>IF(G141="UNIDADE CONSTRUTIVA",0,IF(G141="CÉLULA CONSTRUTIVA",OFFSET(B141,-1,0)+1,OFFSET(B141,-1,0)))</f>
        <v/>
      </c>
      <c r="C141" s="14">
        <f>IF(G141="CÉLULA CONSTRUTIVA",0,IF(G141="ETAPA",OFFSET(C141,-1,0)+1,OFFSET(C141,-1,0)))</f>
        <v/>
      </c>
      <c r="D141" s="13">
        <f>IF(G141="ETAPA",0,IF(G141="SUBETAPA",OFFSET(D141,-1,0)+1,OFFSET(D141,-1,0)))</f>
        <v/>
      </c>
      <c r="E141" s="13">
        <f>IF(G141="Subetapa",0,IF(G141="serviço",OFFSET(E141,-1,0)+1,OFFSET(E141,-1,0)))</f>
        <v/>
      </c>
      <c r="F141" s="12" t="n"/>
      <c r="G141" s="19" t="inlineStr">
        <is>
          <t>Subetapa</t>
        </is>
      </c>
      <c r="H141" s="16">
        <f>IF(G141="Unidade Construtiva",TEXT(A141,"00"),IF(G141="Célula Construtiva",TEXT(B141,"00"),IF(G141="Etapa",CONCATENATE(TEXT(B141,"00"),".",TEXT(C141,"000")),IF(G141="Subetapa",CONCATENATE(TEXT(B141,"00"),".",TEXT(C141,"000"),".",TEXT(D141,"000")),IF(G141="Serviço",CONCATENATE(TEXT(B141,"00"),".",TEXT(C141,"000"),".",TEXT(D141,"000"),".",TEXT(E141,"000")),"")))))</f>
        <v/>
      </c>
      <c r="I141" s="18" t="inlineStr">
        <is>
          <t>Mão de obra</t>
        </is>
      </c>
      <c r="J141" s="6" t="n"/>
    </row>
    <row r="142" ht="20.45" customFormat="1" customHeight="1" s="8">
      <c r="A142" s="14">
        <f>IF($G142="UNIDADE CONSTRUTIVA",OFFSET(A142,-1,0)+1,LARGE(A$3:A141,1))</f>
        <v/>
      </c>
      <c r="B142" s="14">
        <f>IF(G142="UNIDADE CONSTRUTIVA",0,IF(G142="CÉLULA CONSTRUTIVA",OFFSET(B142,-1,0)+1,OFFSET(B142,-1,0)))</f>
        <v/>
      </c>
      <c r="C142" s="14">
        <f>IF(G142="CÉLULA CONSTRUTIVA",0,IF(G142="ETAPA",OFFSET(C142,-1,0)+1,OFFSET(C142,-1,0)))</f>
        <v/>
      </c>
      <c r="D142" s="13">
        <f>IF(G142="ETAPA",0,IF(G142="SUBETAPA",OFFSET(D142,-1,0)+1,OFFSET(D142,-1,0)))</f>
        <v/>
      </c>
      <c r="E142" s="13">
        <f>IF(G142="Subetapa",0,IF(G142="serviço",OFFSET(E142,-1,0)+1,OFFSET(E142,-1,0)))</f>
        <v/>
      </c>
      <c r="F142" s="12" t="n"/>
      <c r="G142" s="17" t="inlineStr">
        <is>
          <t>CÉLULA CONSTRUTIVA</t>
        </is>
      </c>
      <c r="H142" s="16">
        <f>IF(G142="Unidade Construtiva",TEXT(A142,"00"),IF(G142="Célula Construtiva",TEXT(B142,"00"),IF(G142="Etapa",CONCATENATE(TEXT(B142,"00"),".",TEXT(C142,"000")),IF(G142="Subetapa",CONCATENATE(TEXT(B142,"00"),".",TEXT(C142,"000"),".",TEXT(D142,"000")),IF(G142="Serviço",CONCATENATE(TEXT(B142,"00"),".",TEXT(C142,"000"),".",TEXT(D142,"000"),".",TEXT(E142,"000")),"")))))</f>
        <v/>
      </c>
      <c r="I142" s="15" t="inlineStr">
        <is>
          <t>ACABAMENTOS INTERNOS DE PAREDE</t>
        </is>
      </c>
      <c r="J142" s="6" t="n"/>
    </row>
    <row r="143" ht="20.45" customFormat="1" customHeight="1" s="8">
      <c r="A143" s="14">
        <f>IF($G143="UNIDADE CONSTRUTIVA",OFFSET(A143,-1,0)+1,LARGE(A$3:A142,1))</f>
        <v/>
      </c>
      <c r="B143" s="14">
        <f>IF(G143="UNIDADE CONSTRUTIVA",0,IF(G143="CÉLULA CONSTRUTIVA",OFFSET(B143,-1,0)+1,OFFSET(B143,-1,0)))</f>
        <v/>
      </c>
      <c r="C143" s="14">
        <f>IF(G143="CÉLULA CONSTRUTIVA",0,IF(G143="ETAPA",OFFSET(C143,-1,0)+1,OFFSET(C143,-1,0)))</f>
        <v/>
      </c>
      <c r="D143" s="13">
        <f>IF(G143="ETAPA",0,IF(G143="SUBETAPA",OFFSET(D143,-1,0)+1,OFFSET(D143,-1,0)))</f>
        <v/>
      </c>
      <c r="E143" s="13">
        <f>IF(G143="Subetapa",0,IF(G143="serviço",OFFSET(E143,-1,0)+1,OFFSET(E143,-1,0)))</f>
        <v/>
      </c>
      <c r="F143" s="12" t="n"/>
      <c r="G143" s="17" t="inlineStr">
        <is>
          <t>ETAPA</t>
        </is>
      </c>
      <c r="H143" s="16">
        <f>IF(G143="Unidade Construtiva",TEXT(A143,"00"),IF(G143="Célula Construtiva",TEXT(B143,"00"),IF(G143="Etapa",CONCATENATE(TEXT(B143,"00"),".",TEXT(C143,"000")),IF(G143="Subetapa",CONCATENATE(TEXT(B143,"00"),".",TEXT(C143,"000"),".",TEXT(D143,"000")),IF(G143="Serviço",CONCATENATE(TEXT(B143,"00"),".",TEXT(C143,"000"),".",TEXT(D143,"000"),".",TEXT(E143,"000")),"")))))</f>
        <v/>
      </c>
      <c r="I143" s="15" t="inlineStr">
        <is>
          <t>ACABAMENTOS INTERNOS DE PAREDE</t>
        </is>
      </c>
      <c r="J143" s="6" t="n"/>
    </row>
    <row r="144" ht="20.45" customFormat="1" customHeight="1" s="8">
      <c r="A144" s="14">
        <f>IF($G144="UNIDADE CONSTRUTIVA",OFFSET(A144,-1,0)+1,LARGE(A$3:A143,1))</f>
        <v/>
      </c>
      <c r="B144" s="14">
        <f>IF(G144="UNIDADE CONSTRUTIVA",0,IF(G144="CÉLULA CONSTRUTIVA",OFFSET(B144,-1,0)+1,OFFSET(B144,-1,0)))</f>
        <v/>
      </c>
      <c r="C144" s="14">
        <f>IF(G144="CÉLULA CONSTRUTIVA",0,IF(G144="ETAPA",OFFSET(C144,-1,0)+1,OFFSET(C144,-1,0)))</f>
        <v/>
      </c>
      <c r="D144" s="13">
        <f>IF(G144="ETAPA",0,IF(G144="SUBETAPA",OFFSET(D144,-1,0)+1,OFFSET(D144,-1,0)))</f>
        <v/>
      </c>
      <c r="E144" s="13">
        <f>IF(G144="Subetapa",0,IF(G144="serviço",OFFSET(E144,-1,0)+1,OFFSET(E144,-1,0)))</f>
        <v/>
      </c>
      <c r="F144" s="12" t="n"/>
      <c r="G144" s="19" t="inlineStr">
        <is>
          <t>Subetapa</t>
        </is>
      </c>
      <c r="H144" s="16">
        <f>IF(G144="Unidade Construtiva",TEXT(A144,"00"),IF(G144="Célula Construtiva",TEXT(B144,"00"),IF(G144="Etapa",CONCATENATE(TEXT(B144,"00"),".",TEXT(C144,"000")),IF(G144="Subetapa",CONCATENATE(TEXT(B144,"00"),".",TEXT(C144,"000"),".",TEXT(D144,"000")),IF(G144="Serviço",CONCATENATE(TEXT(B144,"00"),".",TEXT(C144,"000"),".",TEXT(D144,"000"),".",TEXT(E144,"000")),"")))))</f>
        <v/>
      </c>
      <c r="I144" s="18" t="inlineStr">
        <is>
          <t>Acabamentos cerâmicos</t>
        </is>
      </c>
      <c r="J144" s="6" t="n"/>
    </row>
    <row r="145" ht="20.45" customFormat="1" customHeight="1" s="8">
      <c r="A145" s="14">
        <f>IF($G145="UNIDADE CONSTRUTIVA",OFFSET(A145,-1,0)+1,LARGE(A$3:A144,1))</f>
        <v/>
      </c>
      <c r="B145" s="14">
        <f>IF(G145="UNIDADE CONSTRUTIVA",0,IF(G145="CÉLULA CONSTRUTIVA",OFFSET(B145,-1,0)+1,OFFSET(B145,-1,0)))</f>
        <v/>
      </c>
      <c r="C145" s="14">
        <f>IF(G145="CÉLULA CONSTRUTIVA",0,IF(G145="ETAPA",OFFSET(C145,-1,0)+1,OFFSET(C145,-1,0)))</f>
        <v/>
      </c>
      <c r="D145" s="13">
        <f>IF(G145="ETAPA",0,IF(G145="SUBETAPA",OFFSET(D145,-1,0)+1,OFFSET(D145,-1,0)))</f>
        <v/>
      </c>
      <c r="E145" s="13">
        <f>IF(G145="Subetapa",0,IF(G145="serviço",OFFSET(E145,-1,0)+1,OFFSET(E145,-1,0)))</f>
        <v/>
      </c>
      <c r="F145" s="12" t="n"/>
      <c r="G145" s="19" t="inlineStr">
        <is>
          <t>Subetapa</t>
        </is>
      </c>
      <c r="H145" s="16">
        <f>IF(G145="Unidade Construtiva",TEXT(A145,"00"),IF(G145="Célula Construtiva",TEXT(B145,"00"),IF(G145="Etapa",CONCATENATE(TEXT(B145,"00"),".",TEXT(C145,"000")),IF(G145="Subetapa",CONCATENATE(TEXT(B145,"00"),".",TEXT(C145,"000"),".",TEXT(D145,"000")),IF(G145="Serviço",CONCATENATE(TEXT(B145,"00"),".",TEXT(C145,"000"),".",TEXT(D145,"000"),".",TEXT(E145,"000")),"")))))</f>
        <v/>
      </c>
      <c r="I145" s="18" t="inlineStr">
        <is>
          <t>Acabamentos especiais</t>
        </is>
      </c>
      <c r="J145" s="6" t="n"/>
    </row>
    <row r="146" ht="20.45" customFormat="1" customHeight="1" s="8">
      <c r="A146" s="14">
        <f>IF($G146="UNIDADE CONSTRUTIVA",OFFSET(A146,-1,0)+1,LARGE(A$3:A145,1))</f>
        <v/>
      </c>
      <c r="B146" s="14">
        <f>IF(G146="UNIDADE CONSTRUTIVA",0,IF(G146="CÉLULA CONSTRUTIVA",OFFSET(B146,-1,0)+1,OFFSET(B146,-1,0)))</f>
        <v/>
      </c>
      <c r="C146" s="14">
        <f>IF(G146="CÉLULA CONSTRUTIVA",0,IF(G146="ETAPA",OFFSET(C146,-1,0)+1,OFFSET(C146,-1,0)))</f>
        <v/>
      </c>
      <c r="D146" s="13">
        <f>IF(G146="ETAPA",0,IF(G146="SUBETAPA",OFFSET(D146,-1,0)+1,OFFSET(D146,-1,0)))</f>
        <v/>
      </c>
      <c r="E146" s="13">
        <f>IF(G146="Subetapa",0,IF(G146="serviço",OFFSET(E146,-1,0)+1,OFFSET(E146,-1,0)))</f>
        <v/>
      </c>
      <c r="F146" s="12" t="n"/>
      <c r="G146" s="19" t="inlineStr">
        <is>
          <t>Subetapa</t>
        </is>
      </c>
      <c r="H146" s="16">
        <f>IF(G146="Unidade Construtiva",TEXT(A146,"00"),IF(G146="Célula Construtiva",TEXT(B146,"00"),IF(G146="Etapa",CONCATENATE(TEXT(B146,"00"),".",TEXT(C146,"000")),IF(G146="Subetapa",CONCATENATE(TEXT(B146,"00"),".",TEXT(C146,"000"),".",TEXT(D146,"000")),IF(G146="Serviço",CONCATENATE(TEXT(B146,"00"),".",TEXT(C146,"000"),".",TEXT(D146,"000"),".",TEXT(E146,"000")),"")))))</f>
        <v/>
      </c>
      <c r="I146" s="18" t="inlineStr">
        <is>
          <t>Peitoris</t>
        </is>
      </c>
      <c r="J146" s="6" t="n"/>
    </row>
    <row r="147" ht="20.45" customFormat="1" customHeight="1" s="8">
      <c r="A147" s="14">
        <f>IF($G147="UNIDADE CONSTRUTIVA",OFFSET(A147,-1,0)+1,LARGE(A$3:A146,1))</f>
        <v/>
      </c>
      <c r="B147" s="14">
        <f>IF(G147="UNIDADE CONSTRUTIVA",0,IF(G147="CÉLULA CONSTRUTIVA",OFFSET(B147,-1,0)+1,OFFSET(B147,-1,0)))</f>
        <v/>
      </c>
      <c r="C147" s="14">
        <f>IF(G147="CÉLULA CONSTRUTIVA",0,IF(G147="ETAPA",OFFSET(C147,-1,0)+1,OFFSET(C147,-1,0)))</f>
        <v/>
      </c>
      <c r="D147" s="13">
        <f>IF(G147="ETAPA",0,IF(G147="SUBETAPA",OFFSET(D147,-1,0)+1,OFFSET(D147,-1,0)))</f>
        <v/>
      </c>
      <c r="E147" s="13">
        <f>IF(G147="Subetapa",0,IF(G147="serviço",OFFSET(E147,-1,0)+1,OFFSET(E147,-1,0)))</f>
        <v/>
      </c>
      <c r="F147" s="12" t="n"/>
      <c r="G147" s="19" t="inlineStr">
        <is>
          <t>Subetapa</t>
        </is>
      </c>
      <c r="H147" s="16">
        <f>IF(G147="Unidade Construtiva",TEXT(A147,"00"),IF(G147="Célula Construtiva",TEXT(B147,"00"),IF(G147="Etapa",CONCATENATE(TEXT(B147,"00"),".",TEXT(C147,"000")),IF(G147="Subetapa",CONCATENATE(TEXT(B147,"00"),".",TEXT(C147,"000"),".",TEXT(D147,"000")),IF(G147="Serviço",CONCATENATE(TEXT(B147,"00"),".",TEXT(C147,"000"),".",TEXT(D147,"000"),".",TEXT(E147,"000")),"")))))</f>
        <v/>
      </c>
      <c r="I147" s="18" t="inlineStr">
        <is>
          <t>Mão de obra</t>
        </is>
      </c>
      <c r="J147" s="6" t="n"/>
    </row>
    <row r="148" ht="20.45" customFormat="1" customHeight="1" s="8">
      <c r="A148" s="14">
        <f>IF($G148="UNIDADE CONSTRUTIVA",OFFSET(A148,-1,0)+1,LARGE(A$3:A147,1))</f>
        <v/>
      </c>
      <c r="B148" s="14">
        <f>IF(G148="UNIDADE CONSTRUTIVA",0,IF(G148="CÉLULA CONSTRUTIVA",OFFSET(B148,-1,0)+1,OFFSET(B148,-1,0)))</f>
        <v/>
      </c>
      <c r="C148" s="14">
        <f>IF(G148="CÉLULA CONSTRUTIVA",0,IF(G148="ETAPA",OFFSET(C148,-1,0)+1,OFFSET(C148,-1,0)))</f>
        <v/>
      </c>
      <c r="D148" s="13">
        <f>IF(G148="ETAPA",0,IF(G148="SUBETAPA",OFFSET(D148,-1,0)+1,OFFSET(D148,-1,0)))</f>
        <v/>
      </c>
      <c r="E148" s="13">
        <f>IF(G148="Subetapa",0,IF(G148="serviço",OFFSET(E148,-1,0)+1,OFFSET(E148,-1,0)))</f>
        <v/>
      </c>
      <c r="F148" s="12" t="n"/>
      <c r="G148" s="17" t="inlineStr">
        <is>
          <t>CÉLULA CONSTRUTIVA</t>
        </is>
      </c>
      <c r="H148" s="16">
        <f>IF(G148="Unidade Construtiva",TEXT(A148,"00"),IF(G148="Célula Construtiva",TEXT(B148,"00"),IF(G148="Etapa",CONCATENATE(TEXT(B148,"00"),".",TEXT(C148,"000")),IF(G148="Subetapa",CONCATENATE(TEXT(B148,"00"),".",TEXT(C148,"000"),".",TEXT(D148,"000")),IF(G148="Serviço",CONCATENATE(TEXT(B148,"00"),".",TEXT(C148,"000"),".",TEXT(D148,"000"),".",TEXT(E148,"000")),"")))))</f>
        <v/>
      </c>
      <c r="I148" s="15" t="inlineStr">
        <is>
          <t>REVESTIMENTOS INTERNOS EM TETO</t>
        </is>
      </c>
      <c r="J148" s="6" t="n"/>
    </row>
    <row r="149" ht="20.45" customFormat="1" customHeight="1" s="8">
      <c r="A149" s="14">
        <f>IF($G149="UNIDADE CONSTRUTIVA",OFFSET(A149,-1,0)+1,LARGE(A$3:A148,1))</f>
        <v/>
      </c>
      <c r="B149" s="14">
        <f>IF(G149="UNIDADE CONSTRUTIVA",0,IF(G149="CÉLULA CONSTRUTIVA",OFFSET(B149,-1,0)+1,OFFSET(B149,-1,0)))</f>
        <v/>
      </c>
      <c r="C149" s="14">
        <f>IF(G149="CÉLULA CONSTRUTIVA",0,IF(G149="ETAPA",OFFSET(C149,-1,0)+1,OFFSET(C149,-1,0)))</f>
        <v/>
      </c>
      <c r="D149" s="13">
        <f>IF(G149="ETAPA",0,IF(G149="SUBETAPA",OFFSET(D149,-1,0)+1,OFFSET(D149,-1,0)))</f>
        <v/>
      </c>
      <c r="E149" s="13">
        <f>IF(G149="Subetapa",0,IF(G149="serviço",OFFSET(E149,-1,0)+1,OFFSET(E149,-1,0)))</f>
        <v/>
      </c>
      <c r="F149" s="12" t="n"/>
      <c r="G149" s="17" t="inlineStr">
        <is>
          <t>ETAPA</t>
        </is>
      </c>
      <c r="H149" s="16">
        <f>IF(G149="Unidade Construtiva",TEXT(A149,"00"),IF(G149="Célula Construtiva",TEXT(B149,"00"),IF(G149="Etapa",CONCATENATE(TEXT(B149,"00"),".",TEXT(C149,"000")),IF(G149="Subetapa",CONCATENATE(TEXT(B149,"00"),".",TEXT(C149,"000"),".",TEXT(D149,"000")),IF(G149="Serviço",CONCATENATE(TEXT(B149,"00"),".",TEXT(C149,"000"),".",TEXT(D149,"000"),".",TEXT(E149,"000")),"")))))</f>
        <v/>
      </c>
      <c r="I149" s="15" t="inlineStr">
        <is>
          <t>REVESTIMENTOS ARGAMASSADOS INTERNOS EM TETO</t>
        </is>
      </c>
      <c r="J149" s="6" t="n"/>
    </row>
    <row r="150" ht="20.45" customFormat="1" customHeight="1" s="8">
      <c r="A150" s="14">
        <f>IF($G150="UNIDADE CONSTRUTIVA",OFFSET(A150,-1,0)+1,LARGE(A$3:A149,1))</f>
        <v/>
      </c>
      <c r="B150" s="14">
        <f>IF(G150="UNIDADE CONSTRUTIVA",0,IF(G150="CÉLULA CONSTRUTIVA",OFFSET(B150,-1,0)+1,OFFSET(B150,-1,0)))</f>
        <v/>
      </c>
      <c r="C150" s="14">
        <f>IF(G150="CÉLULA CONSTRUTIVA",0,IF(G150="ETAPA",OFFSET(C150,-1,0)+1,OFFSET(C150,-1,0)))</f>
        <v/>
      </c>
      <c r="D150" s="13">
        <f>IF(G150="ETAPA",0,IF(G150="SUBETAPA",OFFSET(D150,-1,0)+1,OFFSET(D150,-1,0)))</f>
        <v/>
      </c>
      <c r="E150" s="13">
        <f>IF(G150="Subetapa",0,IF(G150="serviço",OFFSET(E150,-1,0)+1,OFFSET(E150,-1,0)))</f>
        <v/>
      </c>
      <c r="F150" s="12" t="n"/>
      <c r="G150" s="19" t="inlineStr">
        <is>
          <t>Subetapa</t>
        </is>
      </c>
      <c r="H150" s="16">
        <f>IF(G150="Unidade Construtiva",TEXT(A150,"00"),IF(G150="Célula Construtiva",TEXT(B150,"00"),IF(G150="Etapa",CONCATENATE(TEXT(B150,"00"),".",TEXT(C150,"000")),IF(G150="Subetapa",CONCATENATE(TEXT(B150,"00"),".",TEXT(C150,"000"),".",TEXT(D150,"000")),IF(G150="Serviço",CONCATENATE(TEXT(B150,"00"),".",TEXT(C150,"000"),".",TEXT(D150,"000"),".",TEXT(E150,"000")),"")))))</f>
        <v/>
      </c>
      <c r="I150" s="18" t="inlineStr">
        <is>
          <t>Revestimento interno argamassado em teto</t>
        </is>
      </c>
      <c r="J150" s="6" t="n"/>
    </row>
    <row r="151" ht="20.45" customFormat="1" customHeight="1" s="8">
      <c r="A151" s="14">
        <f>IF($G151="UNIDADE CONSTRUTIVA",OFFSET(A151,-1,0)+1,LARGE(A$3:A150,1))</f>
        <v/>
      </c>
      <c r="B151" s="14">
        <f>IF(G151="UNIDADE CONSTRUTIVA",0,IF(G151="CÉLULA CONSTRUTIVA",OFFSET(B151,-1,0)+1,OFFSET(B151,-1,0)))</f>
        <v/>
      </c>
      <c r="C151" s="14">
        <f>IF(G151="CÉLULA CONSTRUTIVA",0,IF(G151="ETAPA",OFFSET(C151,-1,0)+1,OFFSET(C151,-1,0)))</f>
        <v/>
      </c>
      <c r="D151" s="13">
        <f>IF(G151="ETAPA",0,IF(G151="SUBETAPA",OFFSET(D151,-1,0)+1,OFFSET(D151,-1,0)))</f>
        <v/>
      </c>
      <c r="E151" s="13">
        <f>IF(G151="Subetapa",0,IF(G151="serviço",OFFSET(E151,-1,0)+1,OFFSET(E151,-1,0)))</f>
        <v/>
      </c>
      <c r="F151" s="12" t="n"/>
      <c r="G151" s="19" t="inlineStr">
        <is>
          <t>Subetapa</t>
        </is>
      </c>
      <c r="H151" s="16">
        <f>IF(G151="Unidade Construtiva",TEXT(A151,"00"),IF(G151="Célula Construtiva",TEXT(B151,"00"),IF(G151="Etapa",CONCATENATE(TEXT(B151,"00"),".",TEXT(C151,"000")),IF(G151="Subetapa",CONCATENATE(TEXT(B151,"00"),".",TEXT(C151,"000"),".",TEXT(D151,"000")),IF(G151="Serviço",CONCATENATE(TEXT(B151,"00"),".",TEXT(C151,"000"),".",TEXT(D151,"000"),".",TEXT(E151,"000")),"")))))</f>
        <v/>
      </c>
      <c r="I151" s="18" t="inlineStr">
        <is>
          <t>Mão de obra</t>
        </is>
      </c>
      <c r="J151" s="6" t="n"/>
    </row>
    <row r="152" ht="20.45" customFormat="1" customHeight="1" s="8">
      <c r="A152" s="14">
        <f>IF($G152="UNIDADE CONSTRUTIVA",OFFSET(A152,-1,0)+1,LARGE(A$3:A151,1))</f>
        <v/>
      </c>
      <c r="B152" s="14">
        <f>IF(G152="UNIDADE CONSTRUTIVA",0,IF(G152="CÉLULA CONSTRUTIVA",OFFSET(B152,-1,0)+1,OFFSET(B152,-1,0)))</f>
        <v/>
      </c>
      <c r="C152" s="14">
        <f>IF(G152="CÉLULA CONSTRUTIVA",0,IF(G152="ETAPA",OFFSET(C152,-1,0)+1,OFFSET(C152,-1,0)))</f>
        <v/>
      </c>
      <c r="D152" s="13">
        <f>IF(G152="ETAPA",0,IF(G152="SUBETAPA",OFFSET(D152,-1,0)+1,OFFSET(D152,-1,0)))</f>
        <v/>
      </c>
      <c r="E152" s="13">
        <f>IF(G152="Subetapa",0,IF(G152="serviço",OFFSET(E152,-1,0)+1,OFFSET(E152,-1,0)))</f>
        <v/>
      </c>
      <c r="F152" s="12" t="n"/>
      <c r="G152" s="17" t="inlineStr">
        <is>
          <t>CÉLULA CONSTRUTIVA</t>
        </is>
      </c>
      <c r="H152" s="16">
        <f>IF(G152="Unidade Construtiva",TEXT(A152,"00"),IF(G152="Célula Construtiva",TEXT(B152,"00"),IF(G152="Etapa",CONCATENATE(TEXT(B152,"00"),".",TEXT(C152,"000")),IF(G152="Subetapa",CONCATENATE(TEXT(B152,"00"),".",TEXT(C152,"000"),".",TEXT(D152,"000")),IF(G152="Serviço",CONCATENATE(TEXT(B152,"00"),".",TEXT(C152,"000"),".",TEXT(D152,"000"),".",TEXT(E152,"000")),"")))))</f>
        <v/>
      </c>
      <c r="I152" s="15" t="inlineStr">
        <is>
          <t>ACABAMENTOS INTERNOS EM TETO</t>
        </is>
      </c>
      <c r="J152" s="6" t="n"/>
    </row>
    <row r="153" ht="20.45" customFormat="1" customHeight="1" s="8">
      <c r="A153" s="14">
        <f>IF($G153="UNIDADE CONSTRUTIVA",OFFSET(A153,-1,0)+1,LARGE(A$3:A152,1))</f>
        <v/>
      </c>
      <c r="B153" s="14">
        <f>IF(G153="UNIDADE CONSTRUTIVA",0,IF(G153="CÉLULA CONSTRUTIVA",OFFSET(B153,-1,0)+1,OFFSET(B153,-1,0)))</f>
        <v/>
      </c>
      <c r="C153" s="14">
        <f>IF(G153="CÉLULA CONSTRUTIVA",0,IF(G153="ETAPA",OFFSET(C153,-1,0)+1,OFFSET(C153,-1,0)))</f>
        <v/>
      </c>
      <c r="D153" s="13">
        <f>IF(G153="ETAPA",0,IF(G153="SUBETAPA",OFFSET(D153,-1,0)+1,OFFSET(D153,-1,0)))</f>
        <v/>
      </c>
      <c r="E153" s="13">
        <f>IF(G153="Subetapa",0,IF(G153="serviço",OFFSET(E153,-1,0)+1,OFFSET(E153,-1,0)))</f>
        <v/>
      </c>
      <c r="F153" s="12" t="n"/>
      <c r="G153" s="17" t="inlineStr">
        <is>
          <t>ETAPA</t>
        </is>
      </c>
      <c r="H153" s="16">
        <f>IF(G153="Unidade Construtiva",TEXT(A153,"00"),IF(G153="Célula Construtiva",TEXT(B153,"00"),IF(G153="Etapa",CONCATENATE(TEXT(B153,"00"),".",TEXT(C153,"000")),IF(G153="Subetapa",CONCATENATE(TEXT(B153,"00"),".",TEXT(C153,"000"),".",TEXT(D153,"000")),IF(G153="Serviço",CONCATENATE(TEXT(B153,"00"),".",TEXT(C153,"000"),".",TEXT(D153,"000"),".",TEXT(E153,"000")),"")))))</f>
        <v/>
      </c>
      <c r="I153" s="15" t="inlineStr">
        <is>
          <t>ACABAMENTOS INTERNOS EM TETO</t>
        </is>
      </c>
      <c r="J153" s="6" t="n"/>
    </row>
    <row r="154" ht="20.45" customFormat="1" customHeight="1" s="8">
      <c r="A154" s="14">
        <f>IF($G154="UNIDADE CONSTRUTIVA",OFFSET(A154,-1,0)+1,LARGE(A$3:A153,1))</f>
        <v/>
      </c>
      <c r="B154" s="14">
        <f>IF(G154="UNIDADE CONSTRUTIVA",0,IF(G154="CÉLULA CONSTRUTIVA",OFFSET(B154,-1,0)+1,OFFSET(B154,-1,0)))</f>
        <v/>
      </c>
      <c r="C154" s="14">
        <f>IF(G154="CÉLULA CONSTRUTIVA",0,IF(G154="ETAPA",OFFSET(C154,-1,0)+1,OFFSET(C154,-1,0)))</f>
        <v/>
      </c>
      <c r="D154" s="13">
        <f>IF(G154="ETAPA",0,IF(G154="SUBETAPA",OFFSET(D154,-1,0)+1,OFFSET(D154,-1,0)))</f>
        <v/>
      </c>
      <c r="E154" s="13">
        <f>IF(G154="Subetapa",0,IF(G154="serviço",OFFSET(E154,-1,0)+1,OFFSET(E154,-1,0)))</f>
        <v/>
      </c>
      <c r="F154" s="12" t="n"/>
      <c r="G154" s="19" t="inlineStr">
        <is>
          <t>Subetapa</t>
        </is>
      </c>
      <c r="H154" s="16">
        <f>IF(G154="Unidade Construtiva",TEXT(A154,"00"),IF(G154="Célula Construtiva",TEXT(B154,"00"),IF(G154="Etapa",CONCATENATE(TEXT(B154,"00"),".",TEXT(C154,"000")),IF(G154="Subetapa",CONCATENATE(TEXT(B154,"00"),".",TEXT(C154,"000"),".",TEXT(D154,"000")),IF(G154="Serviço",CONCATENATE(TEXT(B154,"00"),".",TEXT(C154,"000"),".",TEXT(D154,"000"),".",TEXT(E154,"000")),"")))))</f>
        <v/>
      </c>
      <c r="I154" s="18" t="inlineStr">
        <is>
          <t>Acabamento de gesso em teto</t>
        </is>
      </c>
      <c r="J154" s="6" t="n"/>
    </row>
    <row r="155" ht="20.45" customFormat="1" customHeight="1" s="8">
      <c r="A155" s="14">
        <f>IF($G155="UNIDADE CONSTRUTIVA",OFFSET(A155,-1,0)+1,LARGE(A$3:A154,1))</f>
        <v/>
      </c>
      <c r="B155" s="14">
        <f>IF(G155="UNIDADE CONSTRUTIVA",0,IF(G155="CÉLULA CONSTRUTIVA",OFFSET(B155,-1,0)+1,OFFSET(B155,-1,0)))</f>
        <v/>
      </c>
      <c r="C155" s="14">
        <f>IF(G155="CÉLULA CONSTRUTIVA",0,IF(G155="ETAPA",OFFSET(C155,-1,0)+1,OFFSET(C155,-1,0)))</f>
        <v/>
      </c>
      <c r="D155" s="13">
        <f>IF(G155="ETAPA",0,IF(G155="SUBETAPA",OFFSET(D155,-1,0)+1,OFFSET(D155,-1,0)))</f>
        <v/>
      </c>
      <c r="E155" s="13">
        <f>IF(G155="Subetapa",0,IF(G155="serviço",OFFSET(E155,-1,0)+1,OFFSET(E155,-1,0)))</f>
        <v/>
      </c>
      <c r="F155" s="12" t="n"/>
      <c r="G155" s="19" t="inlineStr">
        <is>
          <t>Subetapa</t>
        </is>
      </c>
      <c r="H155" s="16">
        <f>IF(G155="Unidade Construtiva",TEXT(A155,"00"),IF(G155="Célula Construtiva",TEXT(B155,"00"),IF(G155="Etapa",CONCATENATE(TEXT(B155,"00"),".",TEXT(C155,"000")),IF(G155="Subetapa",CONCATENATE(TEXT(B155,"00"),".",TEXT(C155,"000"),".",TEXT(D155,"000")),IF(G155="Serviço",CONCATENATE(TEXT(B155,"00"),".",TEXT(C155,"000"),".",TEXT(D155,"000"),".",TEXT(E155,"000")),"")))))</f>
        <v/>
      </c>
      <c r="I155" s="18" t="inlineStr">
        <is>
          <t>Mão de obra</t>
        </is>
      </c>
      <c r="J155" s="6" t="n"/>
    </row>
    <row r="156" ht="20.45" customFormat="1" customHeight="1" s="8">
      <c r="A156" s="14">
        <f>IF($G156="UNIDADE CONSTRUTIVA",OFFSET(A156,-1,0)+1,LARGE(A$3:A155,1))</f>
        <v/>
      </c>
      <c r="B156" s="14">
        <f>IF(G156="UNIDADE CONSTRUTIVA",0,IF(G156="CÉLULA CONSTRUTIVA",OFFSET(B156,-1,0)+1,OFFSET(B156,-1,0)))</f>
        <v/>
      </c>
      <c r="C156" s="14">
        <f>IF(G156="CÉLULA CONSTRUTIVA",0,IF(G156="ETAPA",OFFSET(C156,-1,0)+1,OFFSET(C156,-1,0)))</f>
        <v/>
      </c>
      <c r="D156" s="13">
        <f>IF(G156="ETAPA",0,IF(G156="SUBETAPA",OFFSET(D156,-1,0)+1,OFFSET(D156,-1,0)))</f>
        <v/>
      </c>
      <c r="E156" s="13">
        <f>IF(G156="Subetapa",0,IF(G156="serviço",OFFSET(E156,-1,0)+1,OFFSET(E156,-1,0)))</f>
        <v/>
      </c>
      <c r="F156" s="12" t="n"/>
      <c r="G156" s="17" t="inlineStr">
        <is>
          <t>CÉLULA CONSTRUTIVA</t>
        </is>
      </c>
      <c r="H156" s="16">
        <f>IF(G156="Unidade Construtiva",TEXT(A156,"00"),IF(G156="Célula Construtiva",TEXT(B156,"00"),IF(G156="Etapa",CONCATENATE(TEXT(B156,"00"),".",TEXT(C156,"000")),IF(G156="Subetapa",CONCATENATE(TEXT(B156,"00"),".",TEXT(C156,"000"),".",TEXT(D156,"000")),IF(G156="Serviço",CONCATENATE(TEXT(B156,"00"),".",TEXT(C156,"000"),".",TEXT(D156,"000"),".",TEXT(E156,"000")),"")))))</f>
        <v/>
      </c>
      <c r="I156" s="15" t="inlineStr">
        <is>
          <t>REVESTIMENTOS ARGAMASSADOS EM PISO E PAVIMENTAÇÕES</t>
        </is>
      </c>
      <c r="J156" s="6" t="n"/>
    </row>
    <row r="157" ht="20.45" customFormat="1" customHeight="1" s="8">
      <c r="A157" s="14">
        <f>IF($G157="UNIDADE CONSTRUTIVA",OFFSET(A157,-1,0)+1,LARGE(A$3:A156,1))</f>
        <v/>
      </c>
      <c r="B157" s="14">
        <f>IF(G157="UNIDADE CONSTRUTIVA",0,IF(G157="CÉLULA CONSTRUTIVA",OFFSET(B157,-1,0)+1,OFFSET(B157,-1,0)))</f>
        <v/>
      </c>
      <c r="C157" s="14">
        <f>IF(G157="CÉLULA CONSTRUTIVA",0,IF(G157="ETAPA",OFFSET(C157,-1,0)+1,OFFSET(C157,-1,0)))</f>
        <v/>
      </c>
      <c r="D157" s="13">
        <f>IF(G157="ETAPA",0,IF(G157="SUBETAPA",OFFSET(D157,-1,0)+1,OFFSET(D157,-1,0)))</f>
        <v/>
      </c>
      <c r="E157" s="13">
        <f>IF(G157="Subetapa",0,IF(G157="serviço",OFFSET(E157,-1,0)+1,OFFSET(E157,-1,0)))</f>
        <v/>
      </c>
      <c r="F157" s="12" t="n"/>
      <c r="G157" s="17" t="inlineStr">
        <is>
          <t>ETAPA</t>
        </is>
      </c>
      <c r="H157" s="16">
        <f>IF(G157="Unidade Construtiva",TEXT(A157,"00"),IF(G157="Célula Construtiva",TEXT(B157,"00"),IF(G157="Etapa",CONCATENATE(TEXT(B157,"00"),".",TEXT(C157,"000")),IF(G157="Subetapa",CONCATENATE(TEXT(B157,"00"),".",TEXT(C157,"000"),".",TEXT(D157,"000")),IF(G157="Serviço",CONCATENATE(TEXT(B157,"00"),".",TEXT(C157,"000"),".",TEXT(D157,"000"),".",TEXT(E157,"000")),"")))))</f>
        <v/>
      </c>
      <c r="I157" s="15" t="inlineStr">
        <is>
          <t>REVESTIMENTOS ARGAMASSADOS EM PISO E PAVIMENTAÇÕES</t>
        </is>
      </c>
      <c r="J157" s="6" t="n"/>
    </row>
    <row r="158" ht="20.45" customFormat="1" customHeight="1" s="8">
      <c r="A158" s="14">
        <f>IF($G158="UNIDADE CONSTRUTIVA",OFFSET(A158,-1,0)+1,LARGE(A$3:A157,1))</f>
        <v/>
      </c>
      <c r="B158" s="14">
        <f>IF(G158="UNIDADE CONSTRUTIVA",0,IF(G158="CÉLULA CONSTRUTIVA",OFFSET(B158,-1,0)+1,OFFSET(B158,-1,0)))</f>
        <v/>
      </c>
      <c r="C158" s="14">
        <f>IF(G158="CÉLULA CONSTRUTIVA",0,IF(G158="ETAPA",OFFSET(C158,-1,0)+1,OFFSET(C158,-1,0)))</f>
        <v/>
      </c>
      <c r="D158" s="13">
        <f>IF(G158="ETAPA",0,IF(G158="SUBETAPA",OFFSET(D158,-1,0)+1,OFFSET(D158,-1,0)))</f>
        <v/>
      </c>
      <c r="E158" s="13">
        <f>IF(G158="Subetapa",0,IF(G158="serviço",OFFSET(E158,-1,0)+1,OFFSET(E158,-1,0)))</f>
        <v/>
      </c>
      <c r="F158" s="12" t="n"/>
      <c r="G158" s="19" t="inlineStr">
        <is>
          <t>Subetapa</t>
        </is>
      </c>
      <c r="H158" s="16">
        <f>IF(G158="Unidade Construtiva",TEXT(A158,"00"),IF(G158="Célula Construtiva",TEXT(B158,"00"),IF(G158="Etapa",CONCATENATE(TEXT(B158,"00"),".",TEXT(C158,"000")),IF(G158="Subetapa",CONCATENATE(TEXT(B158,"00"),".",TEXT(C158,"000"),".",TEXT(D158,"000")),IF(G158="Serviço",CONCATENATE(TEXT(B158,"00"),".",TEXT(C158,"000"),".",TEXT(D158,"000"),".",TEXT(E158,"000")),"")))))</f>
        <v/>
      </c>
      <c r="I158" s="18" t="inlineStr">
        <is>
          <t>Contrapiso</t>
        </is>
      </c>
      <c r="J158" s="6" t="n"/>
    </row>
    <row r="159" ht="20.45" customFormat="1" customHeight="1" s="8">
      <c r="A159" s="14">
        <f>IF($G159="UNIDADE CONSTRUTIVA",OFFSET(A159,-1,0)+1,LARGE(A$3:A158,1))</f>
        <v/>
      </c>
      <c r="B159" s="14">
        <f>IF(G159="UNIDADE CONSTRUTIVA",0,IF(G159="CÉLULA CONSTRUTIVA",OFFSET(B159,-1,0)+1,OFFSET(B159,-1,0)))</f>
        <v/>
      </c>
      <c r="C159" s="14">
        <f>IF(G159="CÉLULA CONSTRUTIVA",0,IF(G159="ETAPA",OFFSET(C159,-1,0)+1,OFFSET(C159,-1,0)))</f>
        <v/>
      </c>
      <c r="D159" s="13">
        <f>IF(G159="ETAPA",0,IF(G159="SUBETAPA",OFFSET(D159,-1,0)+1,OFFSET(D159,-1,0)))</f>
        <v/>
      </c>
      <c r="E159" s="13">
        <f>IF(G159="Subetapa",0,IF(G159="serviço",OFFSET(E159,-1,0)+1,OFFSET(E159,-1,0)))</f>
        <v/>
      </c>
      <c r="F159" s="12" t="n"/>
      <c r="G159" s="19" t="inlineStr">
        <is>
          <t>Subetapa</t>
        </is>
      </c>
      <c r="H159" s="16">
        <f>IF(G159="Unidade Construtiva",TEXT(A159,"00"),IF(G159="Célula Construtiva",TEXT(B159,"00"),IF(G159="Etapa",CONCATENATE(TEXT(B159,"00"),".",TEXT(C159,"000")),IF(G159="Subetapa",CONCATENATE(TEXT(B159,"00"),".",TEXT(C159,"000"),".",TEXT(D159,"000")),IF(G159="Serviço",CONCATENATE(TEXT(B159,"00"),".",TEXT(C159,"000"),".",TEXT(D159,"000"),".",TEXT(E159,"000")),"")))))</f>
        <v/>
      </c>
      <c r="I159" s="18" t="inlineStr">
        <is>
          <t>Isolamento térmico</t>
        </is>
      </c>
      <c r="J159" s="6" t="n"/>
    </row>
    <row r="160" ht="20.45" customFormat="1" customHeight="1" s="8">
      <c r="A160" s="14">
        <f>IF($G160="UNIDADE CONSTRUTIVA",OFFSET(A160,-1,0)+1,LARGE(A$3:A159,1))</f>
        <v/>
      </c>
      <c r="B160" s="14">
        <f>IF(G160="UNIDADE CONSTRUTIVA",0,IF(G160="CÉLULA CONSTRUTIVA",OFFSET(B160,-1,0)+1,OFFSET(B160,-1,0)))</f>
        <v/>
      </c>
      <c r="C160" s="14">
        <f>IF(G160="CÉLULA CONSTRUTIVA",0,IF(G160="ETAPA",OFFSET(C160,-1,0)+1,OFFSET(C160,-1,0)))</f>
        <v/>
      </c>
      <c r="D160" s="13">
        <f>IF(G160="ETAPA",0,IF(G160="SUBETAPA",OFFSET(D160,-1,0)+1,OFFSET(D160,-1,0)))</f>
        <v/>
      </c>
      <c r="E160" s="13">
        <f>IF(G160="Subetapa",0,IF(G160="serviço",OFFSET(E160,-1,0)+1,OFFSET(E160,-1,0)))</f>
        <v/>
      </c>
      <c r="F160" s="12" t="n"/>
      <c r="G160" s="19" t="inlineStr">
        <is>
          <t>Subetapa</t>
        </is>
      </c>
      <c r="H160" s="16">
        <f>IF(G160="Unidade Construtiva",TEXT(A160,"00"),IF(G160="Célula Construtiva",TEXT(B160,"00"),IF(G160="Etapa",CONCATENATE(TEXT(B160,"00"),".",TEXT(C160,"000")),IF(G160="Subetapa",CONCATENATE(TEXT(B160,"00"),".",TEXT(C160,"000"),".",TEXT(D160,"000")),IF(G160="Serviço",CONCATENATE(TEXT(B160,"00"),".",TEXT(C160,"000"),".",TEXT(D160,"000"),".",TEXT(E160,"000")),"")))))</f>
        <v/>
      </c>
      <c r="I160" s="18" t="inlineStr">
        <is>
          <t>Isolamento acústico</t>
        </is>
      </c>
      <c r="J160" s="6" t="n"/>
    </row>
    <row r="161" ht="20.45" customFormat="1" customHeight="1" s="8">
      <c r="A161" s="14">
        <f>IF($G161="UNIDADE CONSTRUTIVA",OFFSET(A161,-1,0)+1,LARGE(A$3:A160,1))</f>
        <v/>
      </c>
      <c r="B161" s="14">
        <f>IF(G161="UNIDADE CONSTRUTIVA",0,IF(G161="CÉLULA CONSTRUTIVA",OFFSET(B161,-1,0)+1,OFFSET(B161,-1,0)))</f>
        <v/>
      </c>
      <c r="C161" s="14">
        <f>IF(G161="CÉLULA CONSTRUTIVA",0,IF(G161="ETAPA",OFFSET(C161,-1,0)+1,OFFSET(C161,-1,0)))</f>
        <v/>
      </c>
      <c r="D161" s="13">
        <f>IF(G161="ETAPA",0,IF(G161="SUBETAPA",OFFSET(D161,-1,0)+1,OFFSET(D161,-1,0)))</f>
        <v/>
      </c>
      <c r="E161" s="13">
        <f>IF(G161="Subetapa",0,IF(G161="serviço",OFFSET(E161,-1,0)+1,OFFSET(E161,-1,0)))</f>
        <v/>
      </c>
      <c r="F161" s="12" t="n"/>
      <c r="G161" s="19" t="inlineStr">
        <is>
          <t>Subetapa</t>
        </is>
      </c>
      <c r="H161" s="16">
        <f>IF(G161="Unidade Construtiva",TEXT(A161,"00"),IF(G161="Célula Construtiva",TEXT(B161,"00"),IF(G161="Etapa",CONCATENATE(TEXT(B161,"00"),".",TEXT(C161,"000")),IF(G161="Subetapa",CONCATENATE(TEXT(B161,"00"),".",TEXT(C161,"000"),".",TEXT(D161,"000")),IF(G161="Serviço",CONCATENATE(TEXT(B161,"00"),".",TEXT(C161,"000"),".",TEXT(D161,"000"),".",TEXT(E161,"000")),"")))))</f>
        <v/>
      </c>
      <c r="I161" s="18" t="inlineStr">
        <is>
          <t>Acabamentos cimentados em piso</t>
        </is>
      </c>
      <c r="J161" s="6" t="n"/>
    </row>
    <row r="162" ht="20.45" customFormat="1" customHeight="1" s="8">
      <c r="A162" s="14">
        <f>IF($G162="UNIDADE CONSTRUTIVA",OFFSET(A162,-1,0)+1,LARGE(A$3:A161,1))</f>
        <v/>
      </c>
      <c r="B162" s="14">
        <f>IF(G162="UNIDADE CONSTRUTIVA",0,IF(G162="CÉLULA CONSTRUTIVA",OFFSET(B162,-1,0)+1,OFFSET(B162,-1,0)))</f>
        <v/>
      </c>
      <c r="C162" s="14">
        <f>IF(G162="CÉLULA CONSTRUTIVA",0,IF(G162="ETAPA",OFFSET(C162,-1,0)+1,OFFSET(C162,-1,0)))</f>
        <v/>
      </c>
      <c r="D162" s="13">
        <f>IF(G162="ETAPA",0,IF(G162="SUBETAPA",OFFSET(D162,-1,0)+1,OFFSET(D162,-1,0)))</f>
        <v/>
      </c>
      <c r="E162" s="13">
        <f>IF(G162="Subetapa",0,IF(G162="serviço",OFFSET(E162,-1,0)+1,OFFSET(E162,-1,0)))</f>
        <v/>
      </c>
      <c r="F162" s="12" t="n"/>
      <c r="G162" s="19" t="inlineStr">
        <is>
          <t>Subetapa</t>
        </is>
      </c>
      <c r="H162" s="16">
        <f>IF(G162="Unidade Construtiva",TEXT(A162,"00"),IF(G162="Célula Construtiva",TEXT(B162,"00"),IF(G162="Etapa",CONCATENATE(TEXT(B162,"00"),".",TEXT(C162,"000")),IF(G162="Subetapa",CONCATENATE(TEXT(B162,"00"),".",TEXT(C162,"000"),".",TEXT(D162,"000")),IF(G162="Serviço",CONCATENATE(TEXT(B162,"00"),".",TEXT(C162,"000"),".",TEXT(D162,"000"),".",TEXT(E162,"000")),"")))))</f>
        <v/>
      </c>
      <c r="I162" s="18" t="inlineStr">
        <is>
          <t>Mão de obra</t>
        </is>
      </c>
      <c r="J162" s="6" t="n"/>
    </row>
    <row r="163" ht="20.45" customFormat="1" customHeight="1" s="8">
      <c r="A163" s="14">
        <f>IF($G163="UNIDADE CONSTRUTIVA",OFFSET(A163,-1,0)+1,LARGE(A$3:A162,1))</f>
        <v/>
      </c>
      <c r="B163" s="14">
        <f>IF(G163="UNIDADE CONSTRUTIVA",0,IF(G163="CÉLULA CONSTRUTIVA",OFFSET(B163,-1,0)+1,OFFSET(B163,-1,0)))</f>
        <v/>
      </c>
      <c r="C163" s="14">
        <f>IF(G163="CÉLULA CONSTRUTIVA",0,IF(G163="ETAPA",OFFSET(C163,-1,0)+1,OFFSET(C163,-1,0)))</f>
        <v/>
      </c>
      <c r="D163" s="13">
        <f>IF(G163="ETAPA",0,IF(G163="SUBETAPA",OFFSET(D163,-1,0)+1,OFFSET(D163,-1,0)))</f>
        <v/>
      </c>
      <c r="E163" s="13">
        <f>IF(G163="Subetapa",0,IF(G163="serviço",OFFSET(E163,-1,0)+1,OFFSET(E163,-1,0)))</f>
        <v/>
      </c>
      <c r="F163" s="12" t="n"/>
      <c r="G163" s="17" t="inlineStr">
        <is>
          <t>CÉLULA CONSTRUTIVA</t>
        </is>
      </c>
      <c r="H163" s="16">
        <f>IF(G163="Unidade Construtiva",TEXT(A163,"00"),IF(G163="Célula Construtiva",TEXT(B163,"00"),IF(G163="Etapa",CONCATENATE(TEXT(B163,"00"),".",TEXT(C163,"000")),IF(G163="Subetapa",CONCATENATE(TEXT(B163,"00"),".",TEXT(C163,"000"),".",TEXT(D163,"000")),IF(G163="Serviço",CONCATENATE(TEXT(B163,"00"),".",TEXT(C163,"000"),".",TEXT(D163,"000"),".",TEXT(E163,"000")),"")))))</f>
        <v/>
      </c>
      <c r="I163" s="15" t="inlineStr">
        <is>
          <t>ACABAMENTOS EM PISO E PAVIMENTAÇÕES</t>
        </is>
      </c>
      <c r="J163" s="6" t="n"/>
    </row>
    <row r="164" ht="20.45" customFormat="1" customHeight="1" s="8">
      <c r="A164" s="14">
        <f>IF($G164="UNIDADE CONSTRUTIVA",OFFSET(A164,-1,0)+1,LARGE(A$3:A163,1))</f>
        <v/>
      </c>
      <c r="B164" s="14">
        <f>IF(G164="UNIDADE CONSTRUTIVA",0,IF(G164="CÉLULA CONSTRUTIVA",OFFSET(B164,-1,0)+1,OFFSET(B164,-1,0)))</f>
        <v/>
      </c>
      <c r="C164" s="14">
        <f>IF(G164="CÉLULA CONSTRUTIVA",0,IF(G164="ETAPA",OFFSET(C164,-1,0)+1,OFFSET(C164,-1,0)))</f>
        <v/>
      </c>
      <c r="D164" s="13">
        <f>IF(G164="ETAPA",0,IF(G164="SUBETAPA",OFFSET(D164,-1,0)+1,OFFSET(D164,-1,0)))</f>
        <v/>
      </c>
      <c r="E164" s="13">
        <f>IF(G164="Subetapa",0,IF(G164="serviço",OFFSET(E164,-1,0)+1,OFFSET(E164,-1,0)))</f>
        <v/>
      </c>
      <c r="F164" s="12" t="n"/>
      <c r="G164" s="17" t="inlineStr">
        <is>
          <t>ETAPA</t>
        </is>
      </c>
      <c r="H164" s="16">
        <f>IF(G164="Unidade Construtiva",TEXT(A164,"00"),IF(G164="Célula Construtiva",TEXT(B164,"00"),IF(G164="Etapa",CONCATENATE(TEXT(B164,"00"),".",TEXT(C164,"000")),IF(G164="Subetapa",CONCATENATE(TEXT(B164,"00"),".",TEXT(C164,"000"),".",TEXT(D164,"000")),IF(G164="Serviço",CONCATENATE(TEXT(B164,"00"),".",TEXT(C164,"000"),".",TEXT(D164,"000"),".",TEXT(E164,"000")),"")))))</f>
        <v/>
      </c>
      <c r="I164" s="15" t="inlineStr">
        <is>
          <t>ACABAMENTOS EM PISO E PAVIMENTAÇÕES</t>
        </is>
      </c>
      <c r="J164" s="6" t="n"/>
    </row>
    <row r="165" ht="20.45" customFormat="1" customHeight="1" s="8">
      <c r="A165" s="14">
        <f>IF($G165="UNIDADE CONSTRUTIVA",OFFSET(A165,-1,0)+1,LARGE(A$3:A164,1))</f>
        <v/>
      </c>
      <c r="B165" s="14">
        <f>IF(G165="UNIDADE CONSTRUTIVA",0,IF(G165="CÉLULA CONSTRUTIVA",OFFSET(B165,-1,0)+1,OFFSET(B165,-1,0)))</f>
        <v/>
      </c>
      <c r="C165" s="14">
        <f>IF(G165="CÉLULA CONSTRUTIVA",0,IF(G165="ETAPA",OFFSET(C165,-1,0)+1,OFFSET(C165,-1,0)))</f>
        <v/>
      </c>
      <c r="D165" s="13">
        <f>IF(G165="ETAPA",0,IF(G165="SUBETAPA",OFFSET(D165,-1,0)+1,OFFSET(D165,-1,0)))</f>
        <v/>
      </c>
      <c r="E165" s="13">
        <f>IF(G165="Subetapa",0,IF(G165="serviço",OFFSET(E165,-1,0)+1,OFFSET(E165,-1,0)))</f>
        <v/>
      </c>
      <c r="F165" s="12" t="n"/>
      <c r="G165" s="19" t="inlineStr">
        <is>
          <t>Subetapa</t>
        </is>
      </c>
      <c r="H165" s="16">
        <f>IF(G165="Unidade Construtiva",TEXT(A165,"00"),IF(G165="Célula Construtiva",TEXT(B165,"00"),IF(G165="Etapa",CONCATENATE(TEXT(B165,"00"),".",TEXT(C165,"000")),IF(G165="Subetapa",CONCATENATE(TEXT(B165,"00"),".",TEXT(C165,"000"),".",TEXT(D165,"000")),IF(G165="Serviço",CONCATENATE(TEXT(B165,"00"),".",TEXT(C165,"000"),".",TEXT(D165,"000"),".",TEXT(E165,"000")),"")))))</f>
        <v/>
      </c>
      <c r="I165" s="18" t="inlineStr">
        <is>
          <t>Acabamentos cerâmicos em piso</t>
        </is>
      </c>
      <c r="J165" s="6" t="n"/>
    </row>
    <row r="166" ht="20.45" customFormat="1" customHeight="1" s="8">
      <c r="A166" s="14">
        <f>IF($G166="UNIDADE CONSTRUTIVA",OFFSET(A166,-1,0)+1,LARGE(A$3:A165,1))</f>
        <v/>
      </c>
      <c r="B166" s="14">
        <f>IF(G166="UNIDADE CONSTRUTIVA",0,IF(G166="CÉLULA CONSTRUTIVA",OFFSET(B166,-1,0)+1,OFFSET(B166,-1,0)))</f>
        <v/>
      </c>
      <c r="C166" s="14">
        <f>IF(G166="CÉLULA CONSTRUTIVA",0,IF(G166="ETAPA",OFFSET(C166,-1,0)+1,OFFSET(C166,-1,0)))</f>
        <v/>
      </c>
      <c r="D166" s="13">
        <f>IF(G166="ETAPA",0,IF(G166="SUBETAPA",OFFSET(D166,-1,0)+1,OFFSET(D166,-1,0)))</f>
        <v/>
      </c>
      <c r="E166" s="13">
        <f>IF(G166="Subetapa",0,IF(G166="serviço",OFFSET(E166,-1,0)+1,OFFSET(E166,-1,0)))</f>
        <v/>
      </c>
      <c r="F166" s="12" t="n"/>
      <c r="G166" s="19" t="inlineStr">
        <is>
          <t>Subetapa</t>
        </is>
      </c>
      <c r="H166" s="16">
        <f>IF(G166="Unidade Construtiva",TEXT(A166,"00"),IF(G166="Célula Construtiva",TEXT(B166,"00"),IF(G166="Etapa",CONCATENATE(TEXT(B166,"00"),".",TEXT(C166,"000")),IF(G166="Subetapa",CONCATENATE(TEXT(B166,"00"),".",TEXT(C166,"000"),".",TEXT(D166,"000")),IF(G166="Serviço",CONCATENATE(TEXT(B166,"00"),".",TEXT(C166,"000"),".",TEXT(D166,"000"),".",TEXT(E166,"000")),"")))))</f>
        <v/>
      </c>
      <c r="I166" s="18" t="inlineStr">
        <is>
          <t>Acabamentos de madeira</t>
        </is>
      </c>
      <c r="J166" s="6" t="n"/>
    </row>
    <row r="167" ht="20.45" customFormat="1" customHeight="1" s="8">
      <c r="A167" s="14">
        <f>IF($G167="UNIDADE CONSTRUTIVA",OFFSET(A167,-1,0)+1,LARGE(A$3:A166,1))</f>
        <v/>
      </c>
      <c r="B167" s="14">
        <f>IF(G167="UNIDADE CONSTRUTIVA",0,IF(G167="CÉLULA CONSTRUTIVA",OFFSET(B167,-1,0)+1,OFFSET(B167,-1,0)))</f>
        <v/>
      </c>
      <c r="C167" s="14">
        <f>IF(G167="CÉLULA CONSTRUTIVA",0,IF(G167="ETAPA",OFFSET(C167,-1,0)+1,OFFSET(C167,-1,0)))</f>
        <v/>
      </c>
      <c r="D167" s="13">
        <f>IF(G167="ETAPA",0,IF(G167="SUBETAPA",OFFSET(D167,-1,0)+1,OFFSET(D167,-1,0)))</f>
        <v/>
      </c>
      <c r="E167" s="13">
        <f>IF(G167="Subetapa",0,IF(G167="serviço",OFFSET(E167,-1,0)+1,OFFSET(E167,-1,0)))</f>
        <v/>
      </c>
      <c r="F167" s="12" t="n"/>
      <c r="G167" s="19" t="inlineStr">
        <is>
          <t>Subetapa</t>
        </is>
      </c>
      <c r="H167" s="16">
        <f>IF(G167="Unidade Construtiva",TEXT(A167,"00"),IF(G167="Célula Construtiva",TEXT(B167,"00"),IF(G167="Etapa",CONCATENATE(TEXT(B167,"00"),".",TEXT(C167,"000")),IF(G167="Subetapa",CONCATENATE(TEXT(B167,"00"),".",TEXT(C167,"000"),".",TEXT(D167,"000")),IF(G167="Serviço",CONCATENATE(TEXT(B167,"00"),".",TEXT(C167,"000"),".",TEXT(D167,"000"),".",TEXT(E167,"000")),"")))))</f>
        <v/>
      </c>
      <c r="I167" s="18" t="inlineStr">
        <is>
          <t>Acabamentos em pedra</t>
        </is>
      </c>
      <c r="J167" s="6" t="n"/>
    </row>
    <row r="168" ht="20.45" customFormat="1" customHeight="1" s="8">
      <c r="A168" s="14">
        <f>IF($G168="UNIDADE CONSTRUTIVA",OFFSET(A168,-1,0)+1,LARGE(A$3:A167,1))</f>
        <v/>
      </c>
      <c r="B168" s="14">
        <f>IF(G168="UNIDADE CONSTRUTIVA",0,IF(G168="CÉLULA CONSTRUTIVA",OFFSET(B168,-1,0)+1,OFFSET(B168,-1,0)))</f>
        <v/>
      </c>
      <c r="C168" s="14">
        <f>IF(G168="CÉLULA CONSTRUTIVA",0,IF(G168="ETAPA",OFFSET(C168,-1,0)+1,OFFSET(C168,-1,0)))</f>
        <v/>
      </c>
      <c r="D168" s="13">
        <f>IF(G168="ETAPA",0,IF(G168="SUBETAPA",OFFSET(D168,-1,0)+1,OFFSET(D168,-1,0)))</f>
        <v/>
      </c>
      <c r="E168" s="13">
        <f>IF(G168="Subetapa",0,IF(G168="serviço",OFFSET(E168,-1,0)+1,OFFSET(E168,-1,0)))</f>
        <v/>
      </c>
      <c r="F168" s="12" t="n"/>
      <c r="G168" s="19" t="inlineStr">
        <is>
          <t>Subetapa</t>
        </is>
      </c>
      <c r="H168" s="16">
        <f>IF(G168="Unidade Construtiva",TEXT(A168,"00"),IF(G168="Célula Construtiva",TEXT(B168,"00"),IF(G168="Etapa",CONCATENATE(TEXT(B168,"00"),".",TEXT(C168,"000")),IF(G168="Subetapa",CONCATENATE(TEXT(B168,"00"),".",TEXT(C168,"000"),".",TEXT(D168,"000")),IF(G168="Serviço",CONCATENATE(TEXT(B168,"00"),".",TEXT(C168,"000"),".",TEXT(D168,"000"),".",TEXT(E168,"000")),"")))))</f>
        <v/>
      </c>
      <c r="I168" s="18" t="inlineStr">
        <is>
          <t>Acabamentos especiais</t>
        </is>
      </c>
      <c r="J168" s="6" t="n"/>
    </row>
    <row r="169" ht="20.45" customFormat="1" customHeight="1" s="8">
      <c r="A169" s="14">
        <f>IF($G169="UNIDADE CONSTRUTIVA",OFFSET(A169,-1,0)+1,LARGE(A$3:A168,1))</f>
        <v/>
      </c>
      <c r="B169" s="14">
        <f>IF(G169="UNIDADE CONSTRUTIVA",0,IF(G169="CÉLULA CONSTRUTIVA",OFFSET(B169,-1,0)+1,OFFSET(B169,-1,0)))</f>
        <v/>
      </c>
      <c r="C169" s="14">
        <f>IF(G169="CÉLULA CONSTRUTIVA",0,IF(G169="ETAPA",OFFSET(C169,-1,0)+1,OFFSET(C169,-1,0)))</f>
        <v/>
      </c>
      <c r="D169" s="13">
        <f>IF(G169="ETAPA",0,IF(G169="SUBETAPA",OFFSET(D169,-1,0)+1,OFFSET(D169,-1,0)))</f>
        <v/>
      </c>
      <c r="E169" s="13">
        <f>IF(G169="Subetapa",0,IF(G169="serviço",OFFSET(E169,-1,0)+1,OFFSET(E169,-1,0)))</f>
        <v/>
      </c>
      <c r="F169" s="12" t="n"/>
      <c r="G169" s="19" t="inlineStr">
        <is>
          <t>Subetapa</t>
        </is>
      </c>
      <c r="H169" s="16">
        <f>IF(G169="Unidade Construtiva",TEXT(A169,"00"),IF(G169="Célula Construtiva",TEXT(B169,"00"),IF(G169="Etapa",CONCATENATE(TEXT(B169,"00"),".",TEXT(C169,"000")),IF(G169="Subetapa",CONCATENATE(TEXT(B169,"00"),".",TEXT(C169,"000"),".",TEXT(D169,"000")),IF(G169="Serviço",CONCATENATE(TEXT(B169,"00"),".",TEXT(C169,"000"),".",TEXT(D169,"000"),".",TEXT(E169,"000")),"")))))</f>
        <v/>
      </c>
      <c r="I169" s="18" t="inlineStr">
        <is>
          <t>Rodapés</t>
        </is>
      </c>
      <c r="J169" s="6" t="n"/>
    </row>
    <row r="170" ht="20.45" customFormat="1" customHeight="1" s="8">
      <c r="A170" s="14">
        <f>IF($G170="UNIDADE CONSTRUTIVA",OFFSET(A170,-1,0)+1,LARGE(A$3:A169,1))</f>
        <v/>
      </c>
      <c r="B170" s="14">
        <f>IF(G170="UNIDADE CONSTRUTIVA",0,IF(G170="CÉLULA CONSTRUTIVA",OFFSET(B170,-1,0)+1,OFFSET(B170,-1,0)))</f>
        <v/>
      </c>
      <c r="C170" s="14">
        <f>IF(G170="CÉLULA CONSTRUTIVA",0,IF(G170="ETAPA",OFFSET(C170,-1,0)+1,OFFSET(C170,-1,0)))</f>
        <v/>
      </c>
      <c r="D170" s="13">
        <f>IF(G170="ETAPA",0,IF(G170="SUBETAPA",OFFSET(D170,-1,0)+1,OFFSET(D170,-1,0)))</f>
        <v/>
      </c>
      <c r="E170" s="13">
        <f>IF(G170="Subetapa",0,IF(G170="serviço",OFFSET(E170,-1,0)+1,OFFSET(E170,-1,0)))</f>
        <v/>
      </c>
      <c r="F170" s="12" t="n"/>
      <c r="G170" s="19" t="inlineStr">
        <is>
          <t>Subetapa</t>
        </is>
      </c>
      <c r="H170" s="16">
        <f>IF(G170="Unidade Construtiva",TEXT(A170,"00"),IF(G170="Célula Construtiva",TEXT(B170,"00"),IF(G170="Etapa",CONCATENATE(TEXT(B170,"00"),".",TEXT(C170,"000")),IF(G170="Subetapa",CONCATENATE(TEXT(B170,"00"),".",TEXT(C170,"000"),".",TEXT(D170,"000")),IF(G170="Serviço",CONCATENATE(TEXT(B170,"00"),".",TEXT(C170,"000"),".",TEXT(D170,"000"),".",TEXT(E170,"000")),"")))))</f>
        <v/>
      </c>
      <c r="I170" s="18" t="inlineStr">
        <is>
          <t>Soleiras</t>
        </is>
      </c>
      <c r="J170" s="6" t="n"/>
    </row>
    <row r="171" ht="20.45" customFormat="1" customHeight="1" s="8">
      <c r="A171" s="14">
        <f>IF($G171="UNIDADE CONSTRUTIVA",OFFSET(A171,-1,0)+1,LARGE(A$3:A170,1))</f>
        <v/>
      </c>
      <c r="B171" s="14">
        <f>IF(G171="UNIDADE CONSTRUTIVA",0,IF(G171="CÉLULA CONSTRUTIVA",OFFSET(B171,-1,0)+1,OFFSET(B171,-1,0)))</f>
        <v/>
      </c>
      <c r="C171" s="14">
        <f>IF(G171="CÉLULA CONSTRUTIVA",0,IF(G171="ETAPA",OFFSET(C171,-1,0)+1,OFFSET(C171,-1,0)))</f>
        <v/>
      </c>
      <c r="D171" s="13">
        <f>IF(G171="ETAPA",0,IF(G171="SUBETAPA",OFFSET(D171,-1,0)+1,OFFSET(D171,-1,0)))</f>
        <v/>
      </c>
      <c r="E171" s="13">
        <f>IF(G171="Subetapa",0,IF(G171="serviço",OFFSET(E171,-1,0)+1,OFFSET(E171,-1,0)))</f>
        <v/>
      </c>
      <c r="F171" s="12" t="n"/>
      <c r="G171" s="19" t="inlineStr">
        <is>
          <t>Subetapa</t>
        </is>
      </c>
      <c r="H171" s="16">
        <f>IF(G171="Unidade Construtiva",TEXT(A171,"00"),IF(G171="Célula Construtiva",TEXT(B171,"00"),IF(G171="Etapa",CONCATENATE(TEXT(B171,"00"),".",TEXT(C171,"000")),IF(G171="Subetapa",CONCATENATE(TEXT(B171,"00"),".",TEXT(C171,"000"),".",TEXT(D171,"000")),IF(G171="Serviço",CONCATENATE(TEXT(B171,"00"),".",TEXT(C171,"000"),".",TEXT(D171,"000"),".",TEXT(E171,"000")),"")))))</f>
        <v/>
      </c>
      <c r="I171" s="18" t="inlineStr">
        <is>
          <t>Mão de obra</t>
        </is>
      </c>
      <c r="J171" s="6" t="n"/>
    </row>
    <row r="172" ht="20.45" customFormat="1" customHeight="1" s="8">
      <c r="A172" s="14">
        <f>IF($G172="UNIDADE CONSTRUTIVA",OFFSET(A172,-1,0)+1,LARGE(A$3:A171,1))</f>
        <v/>
      </c>
      <c r="B172" s="14">
        <f>IF(G172="UNIDADE CONSTRUTIVA",0,IF(G172="CÉLULA CONSTRUTIVA",OFFSET(B172,-1,0)+1,OFFSET(B172,-1,0)))</f>
        <v/>
      </c>
      <c r="C172" s="14">
        <f>IF(G172="CÉLULA CONSTRUTIVA",0,IF(G172="ETAPA",OFFSET(C172,-1,0)+1,OFFSET(C172,-1,0)))</f>
        <v/>
      </c>
      <c r="D172" s="13">
        <f>IF(G172="ETAPA",0,IF(G172="SUBETAPA",OFFSET(D172,-1,0)+1,OFFSET(D172,-1,0)))</f>
        <v/>
      </c>
      <c r="E172" s="13">
        <f>IF(G172="Subetapa",0,IF(G172="serviço",OFFSET(E172,-1,0)+1,OFFSET(E172,-1,0)))</f>
        <v/>
      </c>
      <c r="F172" s="12" t="n"/>
      <c r="G172" s="17" t="inlineStr">
        <is>
          <t>CÉLULA CONSTRUTIVA</t>
        </is>
      </c>
      <c r="H172" s="16">
        <f>IF(G172="Unidade Construtiva",TEXT(A172,"00"),IF(G172="Célula Construtiva",TEXT(B172,"00"),IF(G172="Etapa",CONCATENATE(TEXT(B172,"00"),".",TEXT(C172,"000")),IF(G172="Subetapa",CONCATENATE(TEXT(B172,"00"),".",TEXT(C172,"000"),".",TEXT(D172,"000")),IF(G172="Serviço",CONCATENATE(TEXT(B172,"00"),".",TEXT(C172,"000"),".",TEXT(D172,"000"),".",TEXT(E172,"000")),"")))))</f>
        <v/>
      </c>
      <c r="I172" s="15" t="inlineStr">
        <is>
          <t>SISTEMAS DE PINTURA INTERNA</t>
        </is>
      </c>
      <c r="J172" s="6" t="n"/>
    </row>
    <row r="173" ht="20.45" customFormat="1" customHeight="1" s="8">
      <c r="A173" s="14">
        <f>IF($G173="UNIDADE CONSTRUTIVA",OFFSET(A173,-1,0)+1,LARGE(A$3:A172,1))</f>
        <v/>
      </c>
      <c r="B173" s="14">
        <f>IF(G173="UNIDADE CONSTRUTIVA",0,IF(G173="CÉLULA CONSTRUTIVA",OFFSET(B173,-1,0)+1,OFFSET(B173,-1,0)))</f>
        <v/>
      </c>
      <c r="C173" s="14">
        <f>IF(G173="CÉLULA CONSTRUTIVA",0,IF(G173="ETAPA",OFFSET(C173,-1,0)+1,OFFSET(C173,-1,0)))</f>
        <v/>
      </c>
      <c r="D173" s="13">
        <f>IF(G173="ETAPA",0,IF(G173="SUBETAPA",OFFSET(D173,-1,0)+1,OFFSET(D173,-1,0)))</f>
        <v/>
      </c>
      <c r="E173" s="13">
        <f>IF(G173="Subetapa",0,IF(G173="serviço",OFFSET(E173,-1,0)+1,OFFSET(E173,-1,0)))</f>
        <v/>
      </c>
      <c r="F173" s="12" t="n"/>
      <c r="G173" s="17" t="inlineStr">
        <is>
          <t>ETAPA</t>
        </is>
      </c>
      <c r="H173" s="16">
        <f>IF(G173="Unidade Construtiva",TEXT(A173,"00"),IF(G173="Célula Construtiva",TEXT(B173,"00"),IF(G173="Etapa",CONCATENATE(TEXT(B173,"00"),".",TEXT(C173,"000")),IF(G173="Subetapa",CONCATENATE(TEXT(B173,"00"),".",TEXT(C173,"000"),".",TEXT(D173,"000")),IF(G173="Serviço",CONCATENATE(TEXT(B173,"00"),".",TEXT(C173,"000"),".",TEXT(D173,"000"),".",TEXT(E173,"000")),"")))))</f>
        <v/>
      </c>
      <c r="I173" s="15" t="inlineStr">
        <is>
          <t>PINTURA INTERNA</t>
        </is>
      </c>
      <c r="J173" s="6" t="n"/>
    </row>
    <row r="174" ht="20.45" customFormat="1" customHeight="1" s="8">
      <c r="A174" s="14">
        <f>IF($G174="UNIDADE CONSTRUTIVA",OFFSET(A174,-1,0)+1,LARGE(A$3:A173,1))</f>
        <v/>
      </c>
      <c r="B174" s="14">
        <f>IF(G174="UNIDADE CONSTRUTIVA",0,IF(G174="CÉLULA CONSTRUTIVA",OFFSET(B174,-1,0)+1,OFFSET(B174,-1,0)))</f>
        <v/>
      </c>
      <c r="C174" s="14">
        <f>IF(G174="CÉLULA CONSTRUTIVA",0,IF(G174="ETAPA",OFFSET(C174,-1,0)+1,OFFSET(C174,-1,0)))</f>
        <v/>
      </c>
      <c r="D174" s="13">
        <f>IF(G174="ETAPA",0,IF(G174="SUBETAPA",OFFSET(D174,-1,0)+1,OFFSET(D174,-1,0)))</f>
        <v/>
      </c>
      <c r="E174" s="13">
        <f>IF(G174="Subetapa",0,IF(G174="serviço",OFFSET(E174,-1,0)+1,OFFSET(E174,-1,0)))</f>
        <v/>
      </c>
      <c r="F174" s="12" t="n"/>
      <c r="G174" s="19" t="inlineStr">
        <is>
          <t>Subetapa</t>
        </is>
      </c>
      <c r="H174" s="16">
        <f>IF(G174="Unidade Construtiva",TEXT(A174,"00"),IF(G174="Célula Construtiva",TEXT(B174,"00"),IF(G174="Etapa",CONCATENATE(TEXT(B174,"00"),".",TEXT(C174,"000")),IF(G174="Subetapa",CONCATENATE(TEXT(B174,"00"),".",TEXT(C174,"000"),".",TEXT(D174,"000")),IF(G174="Serviço",CONCATENATE(TEXT(B174,"00"),".",TEXT(C174,"000"),".",TEXT(D174,"000"),".",TEXT(E174,"000")),"")))))</f>
        <v/>
      </c>
      <c r="I174" s="18" t="inlineStr">
        <is>
          <t>Sistema de pintura em piso</t>
        </is>
      </c>
      <c r="J174" s="6" t="n"/>
    </row>
    <row r="175" ht="20.45" customFormat="1" customHeight="1" s="8">
      <c r="A175" s="14">
        <f>IF($G175="UNIDADE CONSTRUTIVA",OFFSET(A175,-1,0)+1,LARGE(A$3:A174,1))</f>
        <v/>
      </c>
      <c r="B175" s="14">
        <f>IF(G175="UNIDADE CONSTRUTIVA",0,IF(G175="CÉLULA CONSTRUTIVA",OFFSET(B175,-1,0)+1,OFFSET(B175,-1,0)))</f>
        <v/>
      </c>
      <c r="C175" s="14">
        <f>IF(G175="CÉLULA CONSTRUTIVA",0,IF(G175="ETAPA",OFFSET(C175,-1,0)+1,OFFSET(C175,-1,0)))</f>
        <v/>
      </c>
      <c r="D175" s="13">
        <f>IF(G175="ETAPA",0,IF(G175="SUBETAPA",OFFSET(D175,-1,0)+1,OFFSET(D175,-1,0)))</f>
        <v/>
      </c>
      <c r="E175" s="13">
        <f>IF(G175="Subetapa",0,IF(G175="serviço",OFFSET(E175,-1,0)+1,OFFSET(E175,-1,0)))</f>
        <v/>
      </c>
      <c r="F175" s="12" t="n"/>
      <c r="G175" s="19" t="inlineStr">
        <is>
          <t>Subetapa</t>
        </is>
      </c>
      <c r="H175" s="16">
        <f>IF(G175="Unidade Construtiva",TEXT(A175,"00"),IF(G175="Célula Construtiva",TEXT(B175,"00"),IF(G175="Etapa",CONCATENATE(TEXT(B175,"00"),".",TEXT(C175,"000")),IF(G175="Subetapa",CONCATENATE(TEXT(B175,"00"),".",TEXT(C175,"000"),".",TEXT(D175,"000")),IF(G175="Serviço",CONCATENATE(TEXT(B175,"00"),".",TEXT(C175,"000"),".",TEXT(D175,"000"),".",TEXT(E175,"000")),"")))))</f>
        <v/>
      </c>
      <c r="I175" s="18" t="inlineStr">
        <is>
          <t>Sistema de pintura em parede</t>
        </is>
      </c>
      <c r="J175" s="6" t="n"/>
    </row>
    <row r="176" ht="20.45" customFormat="1" customHeight="1" s="8">
      <c r="A176" s="14">
        <f>IF($G176="UNIDADE CONSTRUTIVA",OFFSET(A176,-1,0)+1,LARGE(A$3:A175,1))</f>
        <v/>
      </c>
      <c r="B176" s="14">
        <f>IF(G176="UNIDADE CONSTRUTIVA",0,IF(G176="CÉLULA CONSTRUTIVA",OFFSET(B176,-1,0)+1,OFFSET(B176,-1,0)))</f>
        <v/>
      </c>
      <c r="C176" s="14">
        <f>IF(G176="CÉLULA CONSTRUTIVA",0,IF(G176="ETAPA",OFFSET(C176,-1,0)+1,OFFSET(C176,-1,0)))</f>
        <v/>
      </c>
      <c r="D176" s="13">
        <f>IF(G176="ETAPA",0,IF(G176="SUBETAPA",OFFSET(D176,-1,0)+1,OFFSET(D176,-1,0)))</f>
        <v/>
      </c>
      <c r="E176" s="13">
        <f>IF(G176="Subetapa",0,IF(G176="serviço",OFFSET(E176,-1,0)+1,OFFSET(E176,-1,0)))</f>
        <v/>
      </c>
      <c r="F176" s="12" t="n"/>
      <c r="G176" s="19" t="inlineStr">
        <is>
          <t>Subetapa</t>
        </is>
      </c>
      <c r="H176" s="16">
        <f>IF(G176="Unidade Construtiva",TEXT(A176,"00"),IF(G176="Célula Construtiva",TEXT(B176,"00"),IF(G176="Etapa",CONCATENATE(TEXT(B176,"00"),".",TEXT(C176,"000")),IF(G176="Subetapa",CONCATENATE(TEXT(B176,"00"),".",TEXT(C176,"000"),".",TEXT(D176,"000")),IF(G176="Serviço",CONCATENATE(TEXT(B176,"00"),".",TEXT(C176,"000"),".",TEXT(D176,"000"),".",TEXT(E176,"000")),"")))))</f>
        <v/>
      </c>
      <c r="I176" s="18" t="inlineStr">
        <is>
          <t>Sistema de pintura em teto</t>
        </is>
      </c>
      <c r="J176" s="6" t="n"/>
    </row>
    <row r="177" ht="20.45" customFormat="1" customHeight="1" s="8">
      <c r="A177" s="14">
        <f>IF($G177="UNIDADE CONSTRUTIVA",OFFSET(A177,-1,0)+1,LARGE(A$3:A176,1))</f>
        <v/>
      </c>
      <c r="B177" s="14">
        <f>IF(G177="UNIDADE CONSTRUTIVA",0,IF(G177="CÉLULA CONSTRUTIVA",OFFSET(B177,-1,0)+1,OFFSET(B177,-1,0)))</f>
        <v/>
      </c>
      <c r="C177" s="14">
        <f>IF(G177="CÉLULA CONSTRUTIVA",0,IF(G177="ETAPA",OFFSET(C177,-1,0)+1,OFFSET(C177,-1,0)))</f>
        <v/>
      </c>
      <c r="D177" s="13">
        <f>IF(G177="ETAPA",0,IF(G177="SUBETAPA",OFFSET(D177,-1,0)+1,OFFSET(D177,-1,0)))</f>
        <v/>
      </c>
      <c r="E177" s="13">
        <f>IF(G177="Subetapa",0,IF(G177="serviço",OFFSET(E177,-1,0)+1,OFFSET(E177,-1,0)))</f>
        <v/>
      </c>
      <c r="F177" s="12" t="n"/>
      <c r="G177" s="19" t="inlineStr">
        <is>
          <t>Subetapa</t>
        </is>
      </c>
      <c r="H177" s="16">
        <f>IF(G177="Unidade Construtiva",TEXT(A177,"00"),IF(G177="Célula Construtiva",TEXT(B177,"00"),IF(G177="Etapa",CONCATENATE(TEXT(B177,"00"),".",TEXT(C177,"000")),IF(G177="Subetapa",CONCATENATE(TEXT(B177,"00"),".",TEXT(C177,"000"),".",TEXT(D177,"000")),IF(G177="Serviço",CONCATENATE(TEXT(B177,"00"),".",TEXT(C177,"000"),".",TEXT(D177,"000"),".",TEXT(E177,"000")),"")))))</f>
        <v/>
      </c>
      <c r="I177" s="18" t="inlineStr">
        <is>
          <t>Pinturas diversas</t>
        </is>
      </c>
      <c r="J177" s="6" t="n"/>
    </row>
    <row r="178" ht="20.45" customFormat="1" customHeight="1" s="8">
      <c r="A178" s="14">
        <f>IF($G178="UNIDADE CONSTRUTIVA",OFFSET(A178,-1,0)+1,LARGE(A$3:A177,1))</f>
        <v/>
      </c>
      <c r="B178" s="14">
        <f>IF(G178="UNIDADE CONSTRUTIVA",0,IF(G178="CÉLULA CONSTRUTIVA",OFFSET(B178,-1,0)+1,OFFSET(B178,-1,0)))</f>
        <v/>
      </c>
      <c r="C178" s="14">
        <f>IF(G178="CÉLULA CONSTRUTIVA",0,IF(G178="ETAPA",OFFSET(C178,-1,0)+1,OFFSET(C178,-1,0)))</f>
        <v/>
      </c>
      <c r="D178" s="13">
        <f>IF(G178="ETAPA",0,IF(G178="SUBETAPA",OFFSET(D178,-1,0)+1,OFFSET(D178,-1,0)))</f>
        <v/>
      </c>
      <c r="E178" s="13">
        <f>IF(G178="Subetapa",0,IF(G178="serviço",OFFSET(E178,-1,0)+1,OFFSET(E178,-1,0)))</f>
        <v/>
      </c>
      <c r="F178" s="12" t="n"/>
      <c r="G178" s="19" t="inlineStr">
        <is>
          <t>Subetapa</t>
        </is>
      </c>
      <c r="H178" s="16">
        <f>IF(G178="Unidade Construtiva",TEXT(A178,"00"),IF(G178="Célula Construtiva",TEXT(B178,"00"),IF(G178="Etapa",CONCATENATE(TEXT(B178,"00"),".",TEXT(C178,"000")),IF(G178="Subetapa",CONCATENATE(TEXT(B178,"00"),".",TEXT(C178,"000"),".",TEXT(D178,"000")),IF(G178="Serviço",CONCATENATE(TEXT(B178,"00"),".",TEXT(C178,"000"),".",TEXT(D178,"000"),".",TEXT(E178,"000")),"")))))</f>
        <v/>
      </c>
      <c r="I178" s="18" t="inlineStr">
        <is>
          <t>Mão de obra</t>
        </is>
      </c>
      <c r="J178" s="6" t="n"/>
    </row>
    <row r="179" ht="20.45" customFormat="1" customHeight="1" s="8">
      <c r="A179" s="14">
        <f>IF($G179="UNIDADE CONSTRUTIVA",OFFSET(A179,-1,0)+1,LARGE(A$3:A178,1))</f>
        <v/>
      </c>
      <c r="B179" s="14">
        <f>IF(G179="UNIDADE CONSTRUTIVA",0,IF(G179="CÉLULA CONSTRUTIVA",OFFSET(B179,-1,0)+1,OFFSET(B179,-1,0)))</f>
        <v/>
      </c>
      <c r="C179" s="14">
        <f>IF(G179="CÉLULA CONSTRUTIVA",0,IF(G179="ETAPA",OFFSET(C179,-1,0)+1,OFFSET(C179,-1,0)))</f>
        <v/>
      </c>
      <c r="D179" s="13">
        <f>IF(G179="ETAPA",0,IF(G179="SUBETAPA",OFFSET(D179,-1,0)+1,OFFSET(D179,-1,0)))</f>
        <v/>
      </c>
      <c r="E179" s="13">
        <f>IF(G179="Subetapa",0,IF(G179="serviço",OFFSET(E179,-1,0)+1,OFFSET(E179,-1,0)))</f>
        <v/>
      </c>
      <c r="F179" s="12" t="n"/>
      <c r="G179" s="17" t="inlineStr">
        <is>
          <t>CÉLULA CONSTRUTIVA</t>
        </is>
      </c>
      <c r="H179" s="16">
        <f>IF(G179="Unidade Construtiva",TEXT(A179,"00"),IF(G179="Célula Construtiva",TEXT(B179,"00"),IF(G179="Etapa",CONCATENATE(TEXT(B179,"00"),".",TEXT(C179,"000")),IF(G179="Subetapa",CONCATENATE(TEXT(B179,"00"),".",TEXT(C179,"000"),".",TEXT(D179,"000")),IF(G179="Serviço",CONCATENATE(TEXT(B179,"00"),".",TEXT(C179,"000"),".",TEXT(D179,"000"),".",TEXT(E179,"000")),"")))))</f>
        <v/>
      </c>
      <c r="I179" s="15" t="inlineStr">
        <is>
          <t>ESQUADRIAS, VIDROS E FERRAGENS</t>
        </is>
      </c>
      <c r="J179" s="6" t="n"/>
    </row>
    <row r="180" ht="20.45" customFormat="1" customHeight="1" s="8">
      <c r="A180" s="14">
        <f>IF($G180="UNIDADE CONSTRUTIVA",OFFSET(A180,-1,0)+1,LARGE(A$3:A179,1))</f>
        <v/>
      </c>
      <c r="B180" s="14">
        <f>IF(G180="UNIDADE CONSTRUTIVA",0,IF(G180="CÉLULA CONSTRUTIVA",OFFSET(B180,-1,0)+1,OFFSET(B180,-1,0)))</f>
        <v/>
      </c>
      <c r="C180" s="14">
        <f>IF(G180="CÉLULA CONSTRUTIVA",0,IF(G180="ETAPA",OFFSET(C180,-1,0)+1,OFFSET(C180,-1,0)))</f>
        <v/>
      </c>
      <c r="D180" s="13">
        <f>IF(G180="ETAPA",0,IF(G180="SUBETAPA",OFFSET(D180,-1,0)+1,OFFSET(D180,-1,0)))</f>
        <v/>
      </c>
      <c r="E180" s="13">
        <f>IF(G180="Subetapa",0,IF(G180="serviço",OFFSET(E180,-1,0)+1,OFFSET(E180,-1,0)))</f>
        <v/>
      </c>
      <c r="F180" s="12" t="n"/>
      <c r="G180" s="17" t="inlineStr">
        <is>
          <t>ETAPA</t>
        </is>
      </c>
      <c r="H180" s="16">
        <f>IF(G180="Unidade Construtiva",TEXT(A180,"00"),IF(G180="Célula Construtiva",TEXT(B180,"00"),IF(G180="Etapa",CONCATENATE(TEXT(B180,"00"),".",TEXT(C180,"000")),IF(G180="Subetapa",CONCATENATE(TEXT(B180,"00"),".",TEXT(C180,"000"),".",TEXT(D180,"000")),IF(G180="Serviço",CONCATENATE(TEXT(B180,"00"),".",TEXT(C180,"000"),".",TEXT(D180,"000"),".",TEXT(E180,"000")),"")))))</f>
        <v/>
      </c>
      <c r="I180" s="15" t="inlineStr">
        <is>
          <t>ESQUADRIAS DE ALUMÍNIO</t>
        </is>
      </c>
      <c r="J180" s="6" t="n"/>
    </row>
    <row r="181" ht="20.45" customFormat="1" customHeight="1" s="8">
      <c r="A181" s="14">
        <f>IF($G181="UNIDADE CONSTRUTIVA",OFFSET(A181,-1,0)+1,LARGE(A$3:A180,1))</f>
        <v/>
      </c>
      <c r="B181" s="14">
        <f>IF(G181="UNIDADE CONSTRUTIVA",0,IF(G181="CÉLULA CONSTRUTIVA",OFFSET(B181,-1,0)+1,OFFSET(B181,-1,0)))</f>
        <v/>
      </c>
      <c r="C181" s="14">
        <f>IF(G181="CÉLULA CONSTRUTIVA",0,IF(G181="ETAPA",OFFSET(C181,-1,0)+1,OFFSET(C181,-1,0)))</f>
        <v/>
      </c>
      <c r="D181" s="13">
        <f>IF(G181="ETAPA",0,IF(G181="SUBETAPA",OFFSET(D181,-1,0)+1,OFFSET(D181,-1,0)))</f>
        <v/>
      </c>
      <c r="E181" s="13">
        <f>IF(G181="Subetapa",0,IF(G181="serviço",OFFSET(E181,-1,0)+1,OFFSET(E181,-1,0)))</f>
        <v/>
      </c>
      <c r="F181" s="12" t="n"/>
      <c r="G181" s="19" t="inlineStr">
        <is>
          <t>Subetapa</t>
        </is>
      </c>
      <c r="H181" s="16">
        <f>IF(G181="Unidade Construtiva",TEXT(A181,"00"),IF(G181="Célula Construtiva",TEXT(B181,"00"),IF(G181="Etapa",CONCATENATE(TEXT(B181,"00"),".",TEXT(C181,"000")),IF(G181="Subetapa",CONCATENATE(TEXT(B181,"00"),".",TEXT(C181,"000"),".",TEXT(D181,"000")),IF(G181="Serviço",CONCATENATE(TEXT(B181,"00"),".",TEXT(C181,"000"),".",TEXT(D181,"000"),".",TEXT(E181,"000")),"")))))</f>
        <v/>
      </c>
      <c r="I181" s="18" t="inlineStr">
        <is>
          <t>Contramarco</t>
        </is>
      </c>
      <c r="J181" s="6" t="n"/>
    </row>
    <row r="182" ht="20.45" customFormat="1" customHeight="1" s="8">
      <c r="A182" s="14">
        <f>IF($G182="UNIDADE CONSTRUTIVA",OFFSET(A182,-1,0)+1,LARGE(A$3:A181,1))</f>
        <v/>
      </c>
      <c r="B182" s="14">
        <f>IF(G182="UNIDADE CONSTRUTIVA",0,IF(G182="CÉLULA CONSTRUTIVA",OFFSET(B182,-1,0)+1,OFFSET(B182,-1,0)))</f>
        <v/>
      </c>
      <c r="C182" s="14">
        <f>IF(G182="CÉLULA CONSTRUTIVA",0,IF(G182="ETAPA",OFFSET(C182,-1,0)+1,OFFSET(C182,-1,0)))</f>
        <v/>
      </c>
      <c r="D182" s="13">
        <f>IF(G182="ETAPA",0,IF(G182="SUBETAPA",OFFSET(D182,-1,0)+1,OFFSET(D182,-1,0)))</f>
        <v/>
      </c>
      <c r="E182" s="13">
        <f>IF(G182="Subetapa",0,IF(G182="serviço",OFFSET(E182,-1,0)+1,OFFSET(E182,-1,0)))</f>
        <v/>
      </c>
      <c r="F182" s="12" t="n"/>
      <c r="G182" s="19" t="inlineStr">
        <is>
          <t>Subetapa</t>
        </is>
      </c>
      <c r="H182" s="16">
        <f>IF(G182="Unidade Construtiva",TEXT(A182,"00"),IF(G182="Célula Construtiva",TEXT(B182,"00"),IF(G182="Etapa",CONCATENATE(TEXT(B182,"00"),".",TEXT(C182,"000")),IF(G182="Subetapa",CONCATENATE(TEXT(B182,"00"),".",TEXT(C182,"000"),".",TEXT(D182,"000")),IF(G182="Serviço",CONCATENATE(TEXT(B182,"00"),".",TEXT(C182,"000"),".",TEXT(D182,"000"),".",TEXT(E182,"000")),"")))))</f>
        <v/>
      </c>
      <c r="I182" s="18" t="inlineStr">
        <is>
          <t>Esquadrias de alumínio</t>
        </is>
      </c>
      <c r="J182" s="6" t="n"/>
    </row>
    <row r="183" ht="20.45" customFormat="1" customHeight="1" s="8">
      <c r="A183" s="14">
        <f>IF($G183="UNIDADE CONSTRUTIVA",OFFSET(A183,-1,0)+1,LARGE(A$3:A182,1))</f>
        <v/>
      </c>
      <c r="B183" s="14">
        <f>IF(G183="UNIDADE CONSTRUTIVA",0,IF(G183="CÉLULA CONSTRUTIVA",OFFSET(B183,-1,0)+1,OFFSET(B183,-1,0)))</f>
        <v/>
      </c>
      <c r="C183" s="14">
        <f>IF(G183="CÉLULA CONSTRUTIVA",0,IF(G183="ETAPA",OFFSET(C183,-1,0)+1,OFFSET(C183,-1,0)))</f>
        <v/>
      </c>
      <c r="D183" s="13">
        <f>IF(G183="ETAPA",0,IF(G183="SUBETAPA",OFFSET(D183,-1,0)+1,OFFSET(D183,-1,0)))</f>
        <v/>
      </c>
      <c r="E183" s="13">
        <f>IF(G183="Subetapa",0,IF(G183="serviço",OFFSET(E183,-1,0)+1,OFFSET(E183,-1,0)))</f>
        <v/>
      </c>
      <c r="F183" s="12" t="n"/>
      <c r="G183" s="19" t="inlineStr">
        <is>
          <t>Subetapa</t>
        </is>
      </c>
      <c r="H183" s="16">
        <f>IF(G183="Unidade Construtiva",TEXT(A183,"00"),IF(G183="Célula Construtiva",TEXT(B183,"00"),IF(G183="Etapa",CONCATENATE(TEXT(B183,"00"),".",TEXT(C183,"000")),IF(G183="Subetapa",CONCATENATE(TEXT(B183,"00"),".",TEXT(C183,"000"),".",TEXT(D183,"000")),IF(G183="Serviço",CONCATENATE(TEXT(B183,"00"),".",TEXT(C183,"000"),".",TEXT(D183,"000"),".",TEXT(E183,"000")),"")))))</f>
        <v/>
      </c>
      <c r="I183" s="18" t="inlineStr">
        <is>
          <t>Guarda corpo</t>
        </is>
      </c>
      <c r="J183" s="6" t="n"/>
    </row>
    <row r="184" ht="20.45" customFormat="1" customHeight="1" s="8">
      <c r="A184" s="14">
        <f>IF($G184="UNIDADE CONSTRUTIVA",OFFSET(A184,-1,0)+1,LARGE(A$3:A183,1))</f>
        <v/>
      </c>
      <c r="B184" s="14">
        <f>IF(G184="UNIDADE CONSTRUTIVA",0,IF(G184="CÉLULA CONSTRUTIVA",OFFSET(B184,-1,0)+1,OFFSET(B184,-1,0)))</f>
        <v/>
      </c>
      <c r="C184" s="14">
        <f>IF(G184="CÉLULA CONSTRUTIVA",0,IF(G184="ETAPA",OFFSET(C184,-1,0)+1,OFFSET(C184,-1,0)))</f>
        <v/>
      </c>
      <c r="D184" s="13">
        <f>IF(G184="ETAPA",0,IF(G184="SUBETAPA",OFFSET(D184,-1,0)+1,OFFSET(D184,-1,0)))</f>
        <v/>
      </c>
      <c r="E184" s="13">
        <f>IF(G184="Subetapa",0,IF(G184="serviço",OFFSET(E184,-1,0)+1,OFFSET(E184,-1,0)))</f>
        <v/>
      </c>
      <c r="F184" s="12" t="n"/>
      <c r="G184" s="19" t="inlineStr">
        <is>
          <t>Subetapa</t>
        </is>
      </c>
      <c r="H184" s="16">
        <f>IF(G184="Unidade Construtiva",TEXT(A184,"00"),IF(G184="Célula Construtiva",TEXT(B184,"00"),IF(G184="Etapa",CONCATENATE(TEXT(B184,"00"),".",TEXT(C184,"000")),IF(G184="Subetapa",CONCATENATE(TEXT(B184,"00"),".",TEXT(C184,"000"),".",TEXT(D184,"000")),IF(G184="Serviço",CONCATENATE(TEXT(B184,"00"),".",TEXT(C184,"000"),".",TEXT(D184,"000"),".",TEXT(E184,"000")),"")))))</f>
        <v/>
      </c>
      <c r="I184" s="18" t="inlineStr">
        <is>
          <t>Pele de vidro</t>
        </is>
      </c>
      <c r="J184" s="6" t="n"/>
    </row>
    <row r="185" ht="20.45" customFormat="1" customHeight="1" s="8">
      <c r="A185" s="14">
        <f>IF($G185="UNIDADE CONSTRUTIVA",OFFSET(A185,-1,0)+1,LARGE(A$3:A184,1))</f>
        <v/>
      </c>
      <c r="B185" s="14">
        <f>IF(G185="UNIDADE CONSTRUTIVA",0,IF(G185="CÉLULA CONSTRUTIVA",OFFSET(B185,-1,0)+1,OFFSET(B185,-1,0)))</f>
        <v/>
      </c>
      <c r="C185" s="14">
        <f>IF(G185="CÉLULA CONSTRUTIVA",0,IF(G185="ETAPA",OFFSET(C185,-1,0)+1,OFFSET(C185,-1,0)))</f>
        <v/>
      </c>
      <c r="D185" s="13">
        <f>IF(G185="ETAPA",0,IF(G185="SUBETAPA",OFFSET(D185,-1,0)+1,OFFSET(D185,-1,0)))</f>
        <v/>
      </c>
      <c r="E185" s="13">
        <f>IF(G185="Subetapa",0,IF(G185="serviço",OFFSET(E185,-1,0)+1,OFFSET(E185,-1,0)))</f>
        <v/>
      </c>
      <c r="F185" s="12" t="n"/>
      <c r="G185" s="19" t="inlineStr">
        <is>
          <t>Subetapa</t>
        </is>
      </c>
      <c r="H185" s="16">
        <f>IF(G185="Unidade Construtiva",TEXT(A185,"00"),IF(G185="Célula Construtiva",TEXT(B185,"00"),IF(G185="Etapa",CONCATENATE(TEXT(B185,"00"),".",TEXT(C185,"000")),IF(G185="Subetapa",CONCATENATE(TEXT(B185,"00"),".",TEXT(C185,"000"),".",TEXT(D185,"000")),IF(G185="Serviço",CONCATENATE(TEXT(B185,"00"),".",TEXT(C185,"000"),".",TEXT(D185,"000"),".",TEXT(E185,"000")),"")))))</f>
        <v/>
      </c>
      <c r="I185" s="18" t="inlineStr">
        <is>
          <t>Mão de obra</t>
        </is>
      </c>
      <c r="J185" s="6" t="n"/>
    </row>
    <row r="186" ht="20.45" customFormat="1" customHeight="1" s="8">
      <c r="A186" s="14">
        <f>IF($G186="UNIDADE CONSTRUTIVA",OFFSET(A186,-1,0)+1,LARGE(A$3:A185,1))</f>
        <v/>
      </c>
      <c r="B186" s="14">
        <f>IF(G186="UNIDADE CONSTRUTIVA",0,IF(G186="CÉLULA CONSTRUTIVA",OFFSET(B186,-1,0)+1,OFFSET(B186,-1,0)))</f>
        <v/>
      </c>
      <c r="C186" s="14">
        <f>IF(G186="CÉLULA CONSTRUTIVA",0,IF(G186="ETAPA",OFFSET(C186,-1,0)+1,OFFSET(C186,-1,0)))</f>
        <v/>
      </c>
      <c r="D186" s="13">
        <f>IF(G186="ETAPA",0,IF(G186="SUBETAPA",OFFSET(D186,-1,0)+1,OFFSET(D186,-1,0)))</f>
        <v/>
      </c>
      <c r="E186" s="13">
        <f>IF(G186="Subetapa",0,IF(G186="serviço",OFFSET(E186,-1,0)+1,OFFSET(E186,-1,0)))</f>
        <v/>
      </c>
      <c r="F186" s="12" t="n"/>
      <c r="G186" s="17" t="inlineStr">
        <is>
          <t>ETAPA</t>
        </is>
      </c>
      <c r="H186" s="16">
        <f>IF(G186="Unidade Construtiva",TEXT(A186,"00"),IF(G186="Célula Construtiva",TEXT(B186,"00"),IF(G186="Etapa",CONCATENATE(TEXT(B186,"00"),".",TEXT(C186,"000")),IF(G186="Subetapa",CONCATENATE(TEXT(B186,"00"),".",TEXT(C186,"000"),".",TEXT(D186,"000")),IF(G186="Serviço",CONCATENATE(TEXT(B186,"00"),".",TEXT(C186,"000"),".",TEXT(D186,"000"),".",TEXT(E186,"000")),"")))))</f>
        <v/>
      </c>
      <c r="I186" s="15" t="inlineStr">
        <is>
          <t>ESQUADRIAS DE MADEIRA</t>
        </is>
      </c>
      <c r="J186" s="6" t="n"/>
    </row>
    <row r="187" ht="20.45" customFormat="1" customHeight="1" s="8">
      <c r="A187" s="14">
        <f>IF($G187="UNIDADE CONSTRUTIVA",OFFSET(A187,-1,0)+1,LARGE(A$3:A186,1))</f>
        <v/>
      </c>
      <c r="B187" s="14">
        <f>IF(G187="UNIDADE CONSTRUTIVA",0,IF(G187="CÉLULA CONSTRUTIVA",OFFSET(B187,-1,0)+1,OFFSET(B187,-1,0)))</f>
        <v/>
      </c>
      <c r="C187" s="14">
        <f>IF(G187="CÉLULA CONSTRUTIVA",0,IF(G187="ETAPA",OFFSET(C187,-1,0)+1,OFFSET(C187,-1,0)))</f>
        <v/>
      </c>
      <c r="D187" s="13">
        <f>IF(G187="ETAPA",0,IF(G187="SUBETAPA",OFFSET(D187,-1,0)+1,OFFSET(D187,-1,0)))</f>
        <v/>
      </c>
      <c r="E187" s="13">
        <f>IF(G187="Subetapa",0,IF(G187="serviço",OFFSET(E187,-1,0)+1,OFFSET(E187,-1,0)))</f>
        <v/>
      </c>
      <c r="F187" s="12" t="n"/>
      <c r="G187" s="19" t="inlineStr">
        <is>
          <t>Subetapa</t>
        </is>
      </c>
      <c r="H187" s="16">
        <f>IF(G187="Unidade Construtiva",TEXT(A187,"00"),IF(G187="Célula Construtiva",TEXT(B187,"00"),IF(G187="Etapa",CONCATENATE(TEXT(B187,"00"),".",TEXT(C187,"000")),IF(G187="Subetapa",CONCATENATE(TEXT(B187,"00"),".",TEXT(C187,"000"),".",TEXT(D187,"000")),IF(G187="Serviço",CONCATENATE(TEXT(B187,"00"),".",TEXT(C187,"000"),".",TEXT(D187,"000"),".",TEXT(E187,"000")),"")))))</f>
        <v/>
      </c>
      <c r="I187" s="18" t="inlineStr">
        <is>
          <t>Esquadrias de madeira</t>
        </is>
      </c>
      <c r="J187" s="6" t="n"/>
    </row>
    <row r="188" ht="20.45" customFormat="1" customHeight="1" s="8">
      <c r="A188" s="14">
        <f>IF($G188="UNIDADE CONSTRUTIVA",OFFSET(A188,-1,0)+1,LARGE(A$3:A187,1))</f>
        <v/>
      </c>
      <c r="B188" s="14">
        <f>IF(G188="UNIDADE CONSTRUTIVA",0,IF(G188="CÉLULA CONSTRUTIVA",OFFSET(B188,-1,0)+1,OFFSET(B188,-1,0)))</f>
        <v/>
      </c>
      <c r="C188" s="14">
        <f>IF(G188="CÉLULA CONSTRUTIVA",0,IF(G188="ETAPA",OFFSET(C188,-1,0)+1,OFFSET(C188,-1,0)))</f>
        <v/>
      </c>
      <c r="D188" s="13">
        <f>IF(G188="ETAPA",0,IF(G188="SUBETAPA",OFFSET(D188,-1,0)+1,OFFSET(D188,-1,0)))</f>
        <v/>
      </c>
      <c r="E188" s="13">
        <f>IF(G188="Subetapa",0,IF(G188="serviço",OFFSET(E188,-1,0)+1,OFFSET(E188,-1,0)))</f>
        <v/>
      </c>
      <c r="F188" s="12" t="n"/>
      <c r="G188" s="19" t="inlineStr">
        <is>
          <t>Subetapa</t>
        </is>
      </c>
      <c r="H188" s="16">
        <f>IF(G188="Unidade Construtiva",TEXT(A188,"00"),IF(G188="Célula Construtiva",TEXT(B188,"00"),IF(G188="Etapa",CONCATENATE(TEXT(B188,"00"),".",TEXT(C188,"000")),IF(G188="Subetapa",CONCATENATE(TEXT(B188,"00"),".",TEXT(C188,"000"),".",TEXT(D188,"000")),IF(G188="Serviço",CONCATENATE(TEXT(B188,"00"),".",TEXT(C188,"000"),".",TEXT(D188,"000"),".",TEXT(E188,"000")),"")))))</f>
        <v/>
      </c>
      <c r="I188" s="18" t="inlineStr">
        <is>
          <t>Corrimão de madeira</t>
        </is>
      </c>
      <c r="J188" s="6" t="n"/>
    </row>
    <row r="189" ht="20.45" customFormat="1" customHeight="1" s="8">
      <c r="A189" s="14">
        <f>IF($G189="UNIDADE CONSTRUTIVA",OFFSET(A189,-1,0)+1,LARGE(A$3:A188,1))</f>
        <v/>
      </c>
      <c r="B189" s="14">
        <f>IF(G189="UNIDADE CONSTRUTIVA",0,IF(G189="CÉLULA CONSTRUTIVA",OFFSET(B189,-1,0)+1,OFFSET(B189,-1,0)))</f>
        <v/>
      </c>
      <c r="C189" s="14">
        <f>IF(G189="CÉLULA CONSTRUTIVA",0,IF(G189="ETAPA",OFFSET(C189,-1,0)+1,OFFSET(C189,-1,0)))</f>
        <v/>
      </c>
      <c r="D189" s="13">
        <f>IF(G189="ETAPA",0,IF(G189="SUBETAPA",OFFSET(D189,-1,0)+1,OFFSET(D189,-1,0)))</f>
        <v/>
      </c>
      <c r="E189" s="13">
        <f>IF(G189="Subetapa",0,IF(G189="serviço",OFFSET(E189,-1,0)+1,OFFSET(E189,-1,0)))</f>
        <v/>
      </c>
      <c r="F189" s="12" t="n"/>
      <c r="G189" s="19" t="inlineStr">
        <is>
          <t>Subetapa</t>
        </is>
      </c>
      <c r="H189" s="16">
        <f>IF(G189="Unidade Construtiva",TEXT(A189,"00"),IF(G189="Célula Construtiva",TEXT(B189,"00"),IF(G189="Etapa",CONCATENATE(TEXT(B189,"00"),".",TEXT(C189,"000")),IF(G189="Subetapa",CONCATENATE(TEXT(B189,"00"),".",TEXT(C189,"000"),".",TEXT(D189,"000")),IF(G189="Serviço",CONCATENATE(TEXT(B189,"00"),".",TEXT(C189,"000"),".",TEXT(D189,"000"),".",TEXT(E189,"000")),"")))))</f>
        <v/>
      </c>
      <c r="I189" s="18" t="inlineStr">
        <is>
          <t>Acessórios e ferragens</t>
        </is>
      </c>
      <c r="J189" s="6" t="n"/>
    </row>
    <row r="190" ht="20.45" customFormat="1" customHeight="1" s="8">
      <c r="A190" s="14">
        <f>IF($G190="UNIDADE CONSTRUTIVA",OFFSET(A190,-1,0)+1,LARGE(A$3:A189,1))</f>
        <v/>
      </c>
      <c r="B190" s="14">
        <f>IF(G190="UNIDADE CONSTRUTIVA",0,IF(G190="CÉLULA CONSTRUTIVA",OFFSET(B190,-1,0)+1,OFFSET(B190,-1,0)))</f>
        <v/>
      </c>
      <c r="C190" s="14">
        <f>IF(G190="CÉLULA CONSTRUTIVA",0,IF(G190="ETAPA",OFFSET(C190,-1,0)+1,OFFSET(C190,-1,0)))</f>
        <v/>
      </c>
      <c r="D190" s="13">
        <f>IF(G190="ETAPA",0,IF(G190="SUBETAPA",OFFSET(D190,-1,0)+1,OFFSET(D190,-1,0)))</f>
        <v/>
      </c>
      <c r="E190" s="13">
        <f>IF(G190="Subetapa",0,IF(G190="serviço",OFFSET(E190,-1,0)+1,OFFSET(E190,-1,0)))</f>
        <v/>
      </c>
      <c r="F190" s="12" t="n"/>
      <c r="G190" s="19" t="inlineStr">
        <is>
          <t>Subetapa</t>
        </is>
      </c>
      <c r="H190" s="16">
        <f>IF(G190="Unidade Construtiva",TEXT(A190,"00"),IF(G190="Célula Construtiva",TEXT(B190,"00"),IF(G190="Etapa",CONCATENATE(TEXT(B190,"00"),".",TEXT(C190,"000")),IF(G190="Subetapa",CONCATENATE(TEXT(B190,"00"),".",TEXT(C190,"000"),".",TEXT(D190,"000")),IF(G190="Serviço",CONCATENATE(TEXT(B190,"00"),".",TEXT(C190,"000"),".",TEXT(D190,"000"),".",TEXT(E190,"000")),"")))))</f>
        <v/>
      </c>
      <c r="I190" s="18" t="inlineStr">
        <is>
          <t>Marcenaria</t>
        </is>
      </c>
      <c r="J190" s="6" t="n"/>
    </row>
    <row r="191" ht="20.45" customFormat="1" customHeight="1" s="8">
      <c r="A191" s="14">
        <f>IF($G191="UNIDADE CONSTRUTIVA",OFFSET(A191,-1,0)+1,LARGE(A$3:A190,1))</f>
        <v/>
      </c>
      <c r="B191" s="14">
        <f>IF(G191="UNIDADE CONSTRUTIVA",0,IF(G191="CÉLULA CONSTRUTIVA",OFFSET(B191,-1,0)+1,OFFSET(B191,-1,0)))</f>
        <v/>
      </c>
      <c r="C191" s="14">
        <f>IF(G191="CÉLULA CONSTRUTIVA",0,IF(G191="ETAPA",OFFSET(C191,-1,0)+1,OFFSET(C191,-1,0)))</f>
        <v/>
      </c>
      <c r="D191" s="13">
        <f>IF(G191="ETAPA",0,IF(G191="SUBETAPA",OFFSET(D191,-1,0)+1,OFFSET(D191,-1,0)))</f>
        <v/>
      </c>
      <c r="E191" s="13">
        <f>IF(G191="Subetapa",0,IF(G191="serviço",OFFSET(E191,-1,0)+1,OFFSET(E191,-1,0)))</f>
        <v/>
      </c>
      <c r="F191" s="12" t="n"/>
      <c r="G191" s="19" t="inlineStr">
        <is>
          <t>Subetapa</t>
        </is>
      </c>
      <c r="H191" s="16">
        <f>IF(G191="Unidade Construtiva",TEXT(A191,"00"),IF(G191="Célula Construtiva",TEXT(B191,"00"),IF(G191="Etapa",CONCATENATE(TEXT(B191,"00"),".",TEXT(C191,"000")),IF(G191="Subetapa",CONCATENATE(TEXT(B191,"00"),".",TEXT(C191,"000"),".",TEXT(D191,"000")),IF(G191="Serviço",CONCATENATE(TEXT(B191,"00"),".",TEXT(C191,"000"),".",TEXT(D191,"000"),".",TEXT(E191,"000")),"")))))</f>
        <v/>
      </c>
      <c r="I191" s="18" t="inlineStr">
        <is>
          <t>Mão de obra</t>
        </is>
      </c>
      <c r="J191" s="6" t="n"/>
    </row>
    <row r="192" ht="20.45" customFormat="1" customHeight="1" s="8">
      <c r="A192" s="14">
        <f>IF($G192="UNIDADE CONSTRUTIVA",OFFSET(A192,-1,0)+1,LARGE(A$3:A191,1))</f>
        <v/>
      </c>
      <c r="B192" s="14">
        <f>IF(G192="UNIDADE CONSTRUTIVA",0,IF(G192="CÉLULA CONSTRUTIVA",OFFSET(B192,-1,0)+1,OFFSET(B192,-1,0)))</f>
        <v/>
      </c>
      <c r="C192" s="14">
        <f>IF(G192="CÉLULA CONSTRUTIVA",0,IF(G192="ETAPA",OFFSET(C192,-1,0)+1,OFFSET(C192,-1,0)))</f>
        <v/>
      </c>
      <c r="D192" s="13">
        <f>IF(G192="ETAPA",0,IF(G192="SUBETAPA",OFFSET(D192,-1,0)+1,OFFSET(D192,-1,0)))</f>
        <v/>
      </c>
      <c r="E192" s="13">
        <f>IF(G192="Subetapa",0,IF(G192="serviço",OFFSET(E192,-1,0)+1,OFFSET(E192,-1,0)))</f>
        <v/>
      </c>
      <c r="F192" s="12" t="n"/>
      <c r="G192" s="17" t="inlineStr">
        <is>
          <t>ETAPA</t>
        </is>
      </c>
      <c r="H192" s="16">
        <f>IF(G192="Unidade Construtiva",TEXT(A192,"00"),IF(G192="Célula Construtiva",TEXT(B192,"00"),IF(G192="Etapa",CONCATENATE(TEXT(B192,"00"),".",TEXT(C192,"000")),IF(G192="Subetapa",CONCATENATE(TEXT(B192,"00"),".",TEXT(C192,"000"),".",TEXT(D192,"000")),IF(G192="Serviço",CONCATENATE(TEXT(B192,"00"),".",TEXT(C192,"000"),".",TEXT(D192,"000"),".",TEXT(E192,"000")),"")))))</f>
        <v/>
      </c>
      <c r="I192" s="15" t="inlineStr">
        <is>
          <t>ESQUADRIAS METÁLICAS</t>
        </is>
      </c>
      <c r="J192" s="6" t="n"/>
    </row>
    <row r="193" ht="20.45" customFormat="1" customHeight="1" s="8">
      <c r="A193" s="14">
        <f>IF($G193="UNIDADE CONSTRUTIVA",OFFSET(A193,-1,0)+1,LARGE(A$3:A192,1))</f>
        <v/>
      </c>
      <c r="B193" s="14">
        <f>IF(G193="UNIDADE CONSTRUTIVA",0,IF(G193="CÉLULA CONSTRUTIVA",OFFSET(B193,-1,0)+1,OFFSET(B193,-1,0)))</f>
        <v/>
      </c>
      <c r="C193" s="14">
        <f>IF(G193="CÉLULA CONSTRUTIVA",0,IF(G193="ETAPA",OFFSET(C193,-1,0)+1,OFFSET(C193,-1,0)))</f>
        <v/>
      </c>
      <c r="D193" s="13">
        <f>IF(G193="ETAPA",0,IF(G193="SUBETAPA",OFFSET(D193,-1,0)+1,OFFSET(D193,-1,0)))</f>
        <v/>
      </c>
      <c r="E193" s="13">
        <f>IF(G193="Subetapa",0,IF(G193="serviço",OFFSET(E193,-1,0)+1,OFFSET(E193,-1,0)))</f>
        <v/>
      </c>
      <c r="F193" s="12" t="n"/>
      <c r="G193" s="19" t="inlineStr">
        <is>
          <t>Subetapa</t>
        </is>
      </c>
      <c r="H193" s="16">
        <f>IF(G193="Unidade Construtiva",TEXT(A193,"00"),IF(G193="Célula Construtiva",TEXT(B193,"00"),IF(G193="Etapa",CONCATENATE(TEXT(B193,"00"),".",TEXT(C193,"000")),IF(G193="Subetapa",CONCATENATE(TEXT(B193,"00"),".",TEXT(C193,"000"),".",TEXT(D193,"000")),IF(G193="Serviço",CONCATENATE(TEXT(B193,"00"),".",TEXT(C193,"000"),".",TEXT(D193,"000"),".",TEXT(E193,"000")),"")))))</f>
        <v/>
      </c>
      <c r="I193" s="18" t="inlineStr">
        <is>
          <t>Esquadrias metálicas</t>
        </is>
      </c>
      <c r="J193" s="6" t="n"/>
    </row>
    <row r="194" ht="20.45" customFormat="1" customHeight="1" s="8">
      <c r="A194" s="14">
        <f>IF($G194="UNIDADE CONSTRUTIVA",OFFSET(A194,-1,0)+1,LARGE(A$3:A193,1))</f>
        <v/>
      </c>
      <c r="B194" s="14">
        <f>IF(G194="UNIDADE CONSTRUTIVA",0,IF(G194="CÉLULA CONSTRUTIVA",OFFSET(B194,-1,0)+1,OFFSET(B194,-1,0)))</f>
        <v/>
      </c>
      <c r="C194" s="14">
        <f>IF(G194="CÉLULA CONSTRUTIVA",0,IF(G194="ETAPA",OFFSET(C194,-1,0)+1,OFFSET(C194,-1,0)))</f>
        <v/>
      </c>
      <c r="D194" s="13">
        <f>IF(G194="ETAPA",0,IF(G194="SUBETAPA",OFFSET(D194,-1,0)+1,OFFSET(D194,-1,0)))</f>
        <v/>
      </c>
      <c r="E194" s="13">
        <f>IF(G194="Subetapa",0,IF(G194="serviço",OFFSET(E194,-1,0)+1,OFFSET(E194,-1,0)))</f>
        <v/>
      </c>
      <c r="F194" s="12" t="n"/>
      <c r="G194" s="19" t="inlineStr">
        <is>
          <t>Subetapa</t>
        </is>
      </c>
      <c r="H194" s="16">
        <f>IF(G194="Unidade Construtiva",TEXT(A194,"00"),IF(G194="Célula Construtiva",TEXT(B194,"00"),IF(G194="Etapa",CONCATENATE(TEXT(B194,"00"),".",TEXT(C194,"000")),IF(G194="Subetapa",CONCATENATE(TEXT(B194,"00"),".",TEXT(C194,"000"),".",TEXT(D194,"000")),IF(G194="Serviço",CONCATENATE(TEXT(B194,"00"),".",TEXT(C194,"000"),".",TEXT(D194,"000"),".",TEXT(E194,"000")),"")))))</f>
        <v/>
      </c>
      <c r="I194" s="18" t="inlineStr">
        <is>
          <t>Serralheria</t>
        </is>
      </c>
      <c r="J194" s="6" t="n"/>
    </row>
    <row r="195" ht="20.45" customFormat="1" customHeight="1" s="8">
      <c r="A195" s="14">
        <f>IF($G195="UNIDADE CONSTRUTIVA",OFFSET(A195,-1,0)+1,LARGE(A$3:A194,1))</f>
        <v/>
      </c>
      <c r="B195" s="14">
        <f>IF(G195="UNIDADE CONSTRUTIVA",0,IF(G195="CÉLULA CONSTRUTIVA",OFFSET(B195,-1,0)+1,OFFSET(B195,-1,0)))</f>
        <v/>
      </c>
      <c r="C195" s="14">
        <f>IF(G195="CÉLULA CONSTRUTIVA",0,IF(G195="ETAPA",OFFSET(C195,-1,0)+1,OFFSET(C195,-1,0)))</f>
        <v/>
      </c>
      <c r="D195" s="13">
        <f>IF(G195="ETAPA",0,IF(G195="SUBETAPA",OFFSET(D195,-1,0)+1,OFFSET(D195,-1,0)))</f>
        <v/>
      </c>
      <c r="E195" s="13">
        <f>IF(G195="Subetapa",0,IF(G195="serviço",OFFSET(E195,-1,0)+1,OFFSET(E195,-1,0)))</f>
        <v/>
      </c>
      <c r="F195" s="12" t="n"/>
      <c r="G195" s="17" t="inlineStr">
        <is>
          <t>CÉLULA CONSTRUTIVA</t>
        </is>
      </c>
      <c r="H195" s="16">
        <f>IF(G195="Unidade Construtiva",TEXT(A195,"00"),IF(G195="Célula Construtiva",TEXT(B195,"00"),IF(G195="Etapa",CONCATENATE(TEXT(B195,"00"),".",TEXT(C195,"000")),IF(G195="Subetapa",CONCATENATE(TEXT(B195,"00"),".",TEXT(C195,"000"),".",TEXT(D195,"000")),IF(G195="Serviço",CONCATENATE(TEXT(B195,"00"),".",TEXT(C195,"000"),".",TEXT(D195,"000"),".",TEXT(E195,"000")),"")))))</f>
        <v/>
      </c>
      <c r="I195" s="15" t="inlineStr">
        <is>
          <t>LOUÇAS E METAIS</t>
        </is>
      </c>
      <c r="J195" s="6" t="n"/>
    </row>
    <row r="196" ht="20.45" customFormat="1" customHeight="1" s="8">
      <c r="A196" s="14">
        <f>IF($G196="UNIDADE CONSTRUTIVA",OFFSET(A196,-1,0)+1,LARGE(A$3:A195,1))</f>
        <v/>
      </c>
      <c r="B196" s="14">
        <f>IF(G196="UNIDADE CONSTRUTIVA",0,IF(G196="CÉLULA CONSTRUTIVA",OFFSET(B196,-1,0)+1,OFFSET(B196,-1,0)))</f>
        <v/>
      </c>
      <c r="C196" s="14">
        <f>IF(G196="CÉLULA CONSTRUTIVA",0,IF(G196="ETAPA",OFFSET(C196,-1,0)+1,OFFSET(C196,-1,0)))</f>
        <v/>
      </c>
      <c r="D196" s="13">
        <f>IF(G196="ETAPA",0,IF(G196="SUBETAPA",OFFSET(D196,-1,0)+1,OFFSET(D196,-1,0)))</f>
        <v/>
      </c>
      <c r="E196" s="13">
        <f>IF(G196="Subetapa",0,IF(G196="serviço",OFFSET(E196,-1,0)+1,OFFSET(E196,-1,0)))</f>
        <v/>
      </c>
      <c r="F196" s="12" t="n"/>
      <c r="G196" s="17" t="inlineStr">
        <is>
          <t>ETAPA</t>
        </is>
      </c>
      <c r="H196" s="16">
        <f>IF(G196="Unidade Construtiva",TEXT(A196,"00"),IF(G196="Célula Construtiva",TEXT(B196,"00"),IF(G196="Etapa",CONCATENATE(TEXT(B196,"00"),".",TEXT(C196,"000")),IF(G196="Subetapa",CONCATENATE(TEXT(B196,"00"),".",TEXT(C196,"000"),".",TEXT(D196,"000")),IF(G196="Serviço",CONCATENATE(TEXT(B196,"00"),".",TEXT(C196,"000"),".",TEXT(D196,"000"),".",TEXT(E196,"000")),"")))))</f>
        <v/>
      </c>
      <c r="I196" s="15" t="inlineStr">
        <is>
          <t>LOUÇAS E METAIS</t>
        </is>
      </c>
      <c r="J196" s="6" t="n"/>
    </row>
    <row r="197" ht="20.45" customFormat="1" customHeight="1" s="8">
      <c r="A197" s="14">
        <f>IF($G197="UNIDADE CONSTRUTIVA",OFFSET(A197,-1,0)+1,LARGE(A$3:A196,1))</f>
        <v/>
      </c>
      <c r="B197" s="14">
        <f>IF(G197="UNIDADE CONSTRUTIVA",0,IF(G197="CÉLULA CONSTRUTIVA",OFFSET(B197,-1,0)+1,OFFSET(B197,-1,0)))</f>
        <v/>
      </c>
      <c r="C197" s="14">
        <f>IF(G197="CÉLULA CONSTRUTIVA",0,IF(G197="ETAPA",OFFSET(C197,-1,0)+1,OFFSET(C197,-1,0)))</f>
        <v/>
      </c>
      <c r="D197" s="13">
        <f>IF(G197="ETAPA",0,IF(G197="SUBETAPA",OFFSET(D197,-1,0)+1,OFFSET(D197,-1,0)))</f>
        <v/>
      </c>
      <c r="E197" s="13">
        <f>IF(G197="Subetapa",0,IF(G197="serviço",OFFSET(E197,-1,0)+1,OFFSET(E197,-1,0)))</f>
        <v/>
      </c>
      <c r="F197" s="12" t="n"/>
      <c r="G197" s="19" t="inlineStr">
        <is>
          <t>Subetapa</t>
        </is>
      </c>
      <c r="H197" s="16">
        <f>IF(G197="Unidade Construtiva",TEXT(A197,"00"),IF(G197="Célula Construtiva",TEXT(B197,"00"),IF(G197="Etapa",CONCATENATE(TEXT(B197,"00"),".",TEXT(C197,"000")),IF(G197="Subetapa",CONCATENATE(TEXT(B197,"00"),".",TEXT(C197,"000"),".",TEXT(D197,"000")),IF(G197="Serviço",CONCATENATE(TEXT(B197,"00"),".",TEXT(C197,"000"),".",TEXT(D197,"000"),".",TEXT(E197,"000")),"")))))</f>
        <v/>
      </c>
      <c r="I197" s="18" t="inlineStr">
        <is>
          <t>Louças</t>
        </is>
      </c>
      <c r="J197" s="6" t="n"/>
    </row>
    <row r="198" ht="20.45" customFormat="1" customHeight="1" s="8">
      <c r="A198" s="14">
        <f>IF($G198="UNIDADE CONSTRUTIVA",OFFSET(A198,-1,0)+1,LARGE(A$3:A197,1))</f>
        <v/>
      </c>
      <c r="B198" s="14">
        <f>IF(G198="UNIDADE CONSTRUTIVA",0,IF(G198="CÉLULA CONSTRUTIVA",OFFSET(B198,-1,0)+1,OFFSET(B198,-1,0)))</f>
        <v/>
      </c>
      <c r="C198" s="14">
        <f>IF(G198="CÉLULA CONSTRUTIVA",0,IF(G198="ETAPA",OFFSET(C198,-1,0)+1,OFFSET(C198,-1,0)))</f>
        <v/>
      </c>
      <c r="D198" s="13">
        <f>IF(G198="ETAPA",0,IF(G198="SUBETAPA",OFFSET(D198,-1,0)+1,OFFSET(D198,-1,0)))</f>
        <v/>
      </c>
      <c r="E198" s="13">
        <f>IF(G198="Subetapa",0,IF(G198="serviço",OFFSET(E198,-1,0)+1,OFFSET(E198,-1,0)))</f>
        <v/>
      </c>
      <c r="F198" s="12" t="n"/>
      <c r="G198" s="19" t="inlineStr">
        <is>
          <t>Subetapa</t>
        </is>
      </c>
      <c r="H198" s="16">
        <f>IF(G198="Unidade Construtiva",TEXT(A198,"00"),IF(G198="Célula Construtiva",TEXT(B198,"00"),IF(G198="Etapa",CONCATENATE(TEXT(B198,"00"),".",TEXT(C198,"000")),IF(G198="Subetapa",CONCATENATE(TEXT(B198,"00"),".",TEXT(C198,"000"),".",TEXT(D198,"000")),IF(G198="Serviço",CONCATENATE(TEXT(B198,"00"),".",TEXT(C198,"000"),".",TEXT(D198,"000"),".",TEXT(E198,"000")),"")))))</f>
        <v/>
      </c>
      <c r="I198" s="18" t="inlineStr">
        <is>
          <t>Metais e acessórios</t>
        </is>
      </c>
      <c r="J198" s="6" t="n"/>
    </row>
    <row r="199" ht="20.45" customFormat="1" customHeight="1" s="8">
      <c r="A199" s="14">
        <f>IF($G199="UNIDADE CONSTRUTIVA",OFFSET(A199,-1,0)+1,LARGE(A$3:A198,1))</f>
        <v/>
      </c>
      <c r="B199" s="14">
        <f>IF(G199="UNIDADE CONSTRUTIVA",0,IF(G199="CÉLULA CONSTRUTIVA",OFFSET(B199,-1,0)+1,OFFSET(B199,-1,0)))</f>
        <v/>
      </c>
      <c r="C199" s="14">
        <f>IF(G199="CÉLULA CONSTRUTIVA",0,IF(G199="ETAPA",OFFSET(C199,-1,0)+1,OFFSET(C199,-1,0)))</f>
        <v/>
      </c>
      <c r="D199" s="13">
        <f>IF(G199="ETAPA",0,IF(G199="SUBETAPA",OFFSET(D199,-1,0)+1,OFFSET(D199,-1,0)))</f>
        <v/>
      </c>
      <c r="E199" s="13">
        <f>IF(G199="Subetapa",0,IF(G199="serviço",OFFSET(E199,-1,0)+1,OFFSET(E199,-1,0)))</f>
        <v/>
      </c>
      <c r="F199" s="12" t="n"/>
      <c r="G199" s="19" t="inlineStr">
        <is>
          <t>Subetapa</t>
        </is>
      </c>
      <c r="H199" s="16">
        <f>IF(G199="Unidade Construtiva",TEXT(A199,"00"),IF(G199="Célula Construtiva",TEXT(B199,"00"),IF(G199="Etapa",CONCATENATE(TEXT(B199,"00"),".",TEXT(C199,"000")),IF(G199="Subetapa",CONCATENATE(TEXT(B199,"00"),".",TEXT(C199,"000"),".",TEXT(D199,"000")),IF(G199="Serviço",CONCATENATE(TEXT(B199,"00"),".",TEXT(C199,"000"),".",TEXT(D199,"000"),".",TEXT(E199,"000")),"")))))</f>
        <v/>
      </c>
      <c r="I199" s="18" t="inlineStr">
        <is>
          <t>Bancadas, pias e divisórias</t>
        </is>
      </c>
      <c r="J199" s="6" t="n"/>
    </row>
    <row r="200" ht="20.45" customFormat="1" customHeight="1" s="8">
      <c r="A200" s="14">
        <f>IF($G200="UNIDADE CONSTRUTIVA",OFFSET(A200,-1,0)+1,LARGE(A$3:A199,1))</f>
        <v/>
      </c>
      <c r="B200" s="14">
        <f>IF(G200="UNIDADE CONSTRUTIVA",0,IF(G200="CÉLULA CONSTRUTIVA",OFFSET(B200,-1,0)+1,OFFSET(B200,-1,0)))</f>
        <v/>
      </c>
      <c r="C200" s="14">
        <f>IF(G200="CÉLULA CONSTRUTIVA",0,IF(G200="ETAPA",OFFSET(C200,-1,0)+1,OFFSET(C200,-1,0)))</f>
        <v/>
      </c>
      <c r="D200" s="13">
        <f>IF(G200="ETAPA",0,IF(G200="SUBETAPA",OFFSET(D200,-1,0)+1,OFFSET(D200,-1,0)))</f>
        <v/>
      </c>
      <c r="E200" s="13">
        <f>IF(G200="Subetapa",0,IF(G200="serviço",OFFSET(E200,-1,0)+1,OFFSET(E200,-1,0)))</f>
        <v/>
      </c>
      <c r="F200" s="12" t="n"/>
      <c r="G200" s="19" t="inlineStr">
        <is>
          <t>Subetapa</t>
        </is>
      </c>
      <c r="H200" s="16">
        <f>IF(G200="Unidade Construtiva",TEXT(A200,"00"),IF(G200="Célula Construtiva",TEXT(B200,"00"),IF(G200="Etapa",CONCATENATE(TEXT(B200,"00"),".",TEXT(C200,"000")),IF(G200="Subetapa",CONCATENATE(TEXT(B200,"00"),".",TEXT(C200,"000"),".",TEXT(D200,"000")),IF(G200="Serviço",CONCATENATE(TEXT(B200,"00"),".",TEXT(C200,"000"),".",TEXT(D200,"000"),".",TEXT(E200,"000")),"")))))</f>
        <v/>
      </c>
      <c r="I200" s="18" t="inlineStr">
        <is>
          <t>Mão de obra</t>
        </is>
      </c>
      <c r="J200" s="6" t="n"/>
    </row>
    <row r="201" ht="20.45" customFormat="1" customHeight="1" s="8">
      <c r="A201" s="14">
        <f>IF($G201="UNIDADE CONSTRUTIVA",OFFSET(A201,-1,0)+1,LARGE(A$3:A200,1))</f>
        <v/>
      </c>
      <c r="B201" s="14">
        <f>IF(G201="UNIDADE CONSTRUTIVA",0,IF(G201="CÉLULA CONSTRUTIVA",OFFSET(B201,-1,0)+1,OFFSET(B201,-1,0)))</f>
        <v/>
      </c>
      <c r="C201" s="14">
        <f>IF(G201="CÉLULA CONSTRUTIVA",0,IF(G201="ETAPA",OFFSET(C201,-1,0)+1,OFFSET(C201,-1,0)))</f>
        <v/>
      </c>
      <c r="D201" s="13">
        <f>IF(G201="ETAPA",0,IF(G201="SUBETAPA",OFFSET(D201,-1,0)+1,OFFSET(D201,-1,0)))</f>
        <v/>
      </c>
      <c r="E201" s="13">
        <f>IF(G201="Subetapa",0,IF(G201="serviço",OFFSET(E201,-1,0)+1,OFFSET(E201,-1,0)))</f>
        <v/>
      </c>
      <c r="F201" s="12" t="n"/>
      <c r="G201" s="17" t="inlineStr">
        <is>
          <t>CÉLULA CONSTRUTIVA</t>
        </is>
      </c>
      <c r="H201" s="16">
        <f>IF(G201="Unidade Construtiva",TEXT(A201,"00"),IF(G201="Célula Construtiva",TEXT(B201,"00"),IF(G201="Etapa",CONCATENATE(TEXT(B201,"00"),".",TEXT(C201,"000")),IF(G201="Subetapa",CONCATENATE(TEXT(B201,"00"),".",TEXT(C201,"000"),".",TEXT(D201,"000")),IF(G201="Serviço",CONCATENATE(TEXT(B201,"00"),".",TEXT(C201,"000"),".",TEXT(D201,"000"),".",TEXT(E201,"000")),"")))))</f>
        <v/>
      </c>
      <c r="I201" s="15" t="inlineStr">
        <is>
          <t>COBERTURA</t>
        </is>
      </c>
      <c r="J201" s="6" t="n"/>
    </row>
    <row r="202" ht="20.45" customFormat="1" customHeight="1" s="8">
      <c r="A202" s="14">
        <f>IF($G202="UNIDADE CONSTRUTIVA",OFFSET(A202,-1,0)+1,LARGE(A$3:A201,1))</f>
        <v/>
      </c>
      <c r="B202" s="14">
        <f>IF(G202="UNIDADE CONSTRUTIVA",0,IF(G202="CÉLULA CONSTRUTIVA",OFFSET(B202,-1,0)+1,OFFSET(B202,-1,0)))</f>
        <v/>
      </c>
      <c r="C202" s="14">
        <f>IF(G202="CÉLULA CONSTRUTIVA",0,IF(G202="ETAPA",OFFSET(C202,-1,0)+1,OFFSET(C202,-1,0)))</f>
        <v/>
      </c>
      <c r="D202" s="13">
        <f>IF(G202="ETAPA",0,IF(G202="SUBETAPA",OFFSET(D202,-1,0)+1,OFFSET(D202,-1,0)))</f>
        <v/>
      </c>
      <c r="E202" s="13">
        <f>IF(G202="Subetapa",0,IF(G202="serviço",OFFSET(E202,-1,0)+1,OFFSET(E202,-1,0)))</f>
        <v/>
      </c>
      <c r="F202" s="12" t="n"/>
      <c r="G202" s="17" t="inlineStr">
        <is>
          <t>ETAPA</t>
        </is>
      </c>
      <c r="H202" s="16">
        <f>IF(G202="Unidade Construtiva",TEXT(A202,"00"),IF(G202="Célula Construtiva",TEXT(B202,"00"),IF(G202="Etapa",CONCATENATE(TEXT(B202,"00"),".",TEXT(C202,"000")),IF(G202="Subetapa",CONCATENATE(TEXT(B202,"00"),".",TEXT(C202,"000"),".",TEXT(D202,"000")),IF(G202="Serviço",CONCATENATE(TEXT(B202,"00"),".",TEXT(C202,"000"),".",TEXT(D202,"000"),".",TEXT(E202,"000")),"")))))</f>
        <v/>
      </c>
      <c r="I202" s="15" t="inlineStr">
        <is>
          <t>COBERTURA</t>
        </is>
      </c>
      <c r="J202" s="6" t="n"/>
    </row>
    <row r="203" ht="20.45" customFormat="1" customHeight="1" s="8">
      <c r="A203" s="14">
        <f>IF($G203="UNIDADE CONSTRUTIVA",OFFSET(A203,-1,0)+1,LARGE(A$3:A202,1))</f>
        <v/>
      </c>
      <c r="B203" s="14">
        <f>IF(G203="UNIDADE CONSTRUTIVA",0,IF(G203="CÉLULA CONSTRUTIVA",OFFSET(B203,-1,0)+1,OFFSET(B203,-1,0)))</f>
        <v/>
      </c>
      <c r="C203" s="14">
        <f>IF(G203="CÉLULA CONSTRUTIVA",0,IF(G203="ETAPA",OFFSET(C203,-1,0)+1,OFFSET(C203,-1,0)))</f>
        <v/>
      </c>
      <c r="D203" s="13">
        <f>IF(G203="ETAPA",0,IF(G203="SUBETAPA",OFFSET(D203,-1,0)+1,OFFSET(D203,-1,0)))</f>
        <v/>
      </c>
      <c r="E203" s="13">
        <f>IF(G203="Subetapa",0,IF(G203="serviço",OFFSET(E203,-1,0)+1,OFFSET(E203,-1,0)))</f>
        <v/>
      </c>
      <c r="F203" s="12" t="n"/>
      <c r="G203" s="19" t="inlineStr">
        <is>
          <t>Subetapa</t>
        </is>
      </c>
      <c r="H203" s="16">
        <f>IF(G203="Unidade Construtiva",TEXT(A203,"00"),IF(G203="Célula Construtiva",TEXT(B203,"00"),IF(G203="Etapa",CONCATENATE(TEXT(B203,"00"),".",TEXT(C203,"000")),IF(G203="Subetapa",CONCATENATE(TEXT(B203,"00"),".",TEXT(C203,"000"),".",TEXT(D203,"000")),IF(G203="Serviço",CONCATENATE(TEXT(B203,"00"),".",TEXT(C203,"000"),".",TEXT(D203,"000"),".",TEXT(E203,"000")),"")))))</f>
        <v/>
      </c>
      <c r="I203" s="18" t="inlineStr">
        <is>
          <t>Estrutura e trama para cobertura</t>
        </is>
      </c>
      <c r="J203" s="6" t="n"/>
    </row>
    <row r="204" ht="20.45" customFormat="1" customHeight="1" s="8">
      <c r="A204" s="14">
        <f>IF($G204="UNIDADE CONSTRUTIVA",OFFSET(A204,-1,0)+1,LARGE(A$3:A203,1))</f>
        <v/>
      </c>
      <c r="B204" s="14">
        <f>IF(G204="UNIDADE CONSTRUTIVA",0,IF(G204="CÉLULA CONSTRUTIVA",OFFSET(B204,-1,0)+1,OFFSET(B204,-1,0)))</f>
        <v/>
      </c>
      <c r="C204" s="14">
        <f>IF(G204="CÉLULA CONSTRUTIVA",0,IF(G204="ETAPA",OFFSET(C204,-1,0)+1,OFFSET(C204,-1,0)))</f>
        <v/>
      </c>
      <c r="D204" s="13">
        <f>IF(G204="ETAPA",0,IF(G204="SUBETAPA",OFFSET(D204,-1,0)+1,OFFSET(D204,-1,0)))</f>
        <v/>
      </c>
      <c r="E204" s="13">
        <f>IF(G204="Subetapa",0,IF(G204="serviço",OFFSET(E204,-1,0)+1,OFFSET(E204,-1,0)))</f>
        <v/>
      </c>
      <c r="F204" s="12" t="n"/>
      <c r="G204" s="19" t="inlineStr">
        <is>
          <t>Subetapa</t>
        </is>
      </c>
      <c r="H204" s="16">
        <f>IF(G204="Unidade Construtiva",TEXT(A204,"00"),IF(G204="Célula Construtiva",TEXT(B204,"00"),IF(G204="Etapa",CONCATENATE(TEXT(B204,"00"),".",TEXT(C204,"000")),IF(G204="Subetapa",CONCATENATE(TEXT(B204,"00"),".",TEXT(C204,"000"),".",TEXT(D204,"000")),IF(G204="Serviço",CONCATENATE(TEXT(B204,"00"),".",TEXT(C204,"000"),".",TEXT(D204,"000"),".",TEXT(E204,"000")),"")))))</f>
        <v/>
      </c>
      <c r="I204" s="18" t="inlineStr">
        <is>
          <t>Telhamento para cobertura</t>
        </is>
      </c>
      <c r="J204" s="6" t="n"/>
    </row>
    <row r="205" ht="20.45" customFormat="1" customHeight="1" s="8">
      <c r="A205" s="14">
        <f>IF($G205="UNIDADE CONSTRUTIVA",OFFSET(A205,-1,0)+1,LARGE(A$3:A204,1))</f>
        <v/>
      </c>
      <c r="B205" s="14">
        <f>IF(G205="UNIDADE CONSTRUTIVA",0,IF(G205="CÉLULA CONSTRUTIVA",OFFSET(B205,-1,0)+1,OFFSET(B205,-1,0)))</f>
        <v/>
      </c>
      <c r="C205" s="14">
        <f>IF(G205="CÉLULA CONSTRUTIVA",0,IF(G205="ETAPA",OFFSET(C205,-1,0)+1,OFFSET(C205,-1,0)))</f>
        <v/>
      </c>
      <c r="D205" s="13">
        <f>IF(G205="ETAPA",0,IF(G205="SUBETAPA",OFFSET(D205,-1,0)+1,OFFSET(D205,-1,0)))</f>
        <v/>
      </c>
      <c r="E205" s="13">
        <f>IF(G205="Subetapa",0,IF(G205="serviço",OFFSET(E205,-1,0)+1,OFFSET(E205,-1,0)))</f>
        <v/>
      </c>
      <c r="F205" s="12" t="n"/>
      <c r="G205" s="19" t="inlineStr">
        <is>
          <t>Subetapa</t>
        </is>
      </c>
      <c r="H205" s="16">
        <f>IF(G205="Unidade Construtiva",TEXT(A205,"00"),IF(G205="Célula Construtiva",TEXT(B205,"00"),IF(G205="Etapa",CONCATENATE(TEXT(B205,"00"),".",TEXT(C205,"000")),IF(G205="Subetapa",CONCATENATE(TEXT(B205,"00"),".",TEXT(C205,"000"),".",TEXT(D205,"000")),IF(G205="Serviço",CONCATENATE(TEXT(B205,"00"),".",TEXT(C205,"000"),".",TEXT(D205,"000"),".",TEXT(E205,"000")),"")))))</f>
        <v/>
      </c>
      <c r="I205" s="18" t="inlineStr">
        <is>
          <t>Serviços complementares</t>
        </is>
      </c>
      <c r="J205" s="6" t="n"/>
    </row>
    <row r="206" ht="20.45" customFormat="1" customHeight="1" s="8">
      <c r="A206" s="14">
        <f>IF($G206="UNIDADE CONSTRUTIVA",OFFSET(A206,-1,0)+1,LARGE(A$3:A205,1))</f>
        <v/>
      </c>
      <c r="B206" s="14">
        <f>IF(G206="UNIDADE CONSTRUTIVA",0,IF(G206="CÉLULA CONSTRUTIVA",OFFSET(B206,-1,0)+1,OFFSET(B206,-1,0)))</f>
        <v/>
      </c>
      <c r="C206" s="14">
        <f>IF(G206="CÉLULA CONSTRUTIVA",0,IF(G206="ETAPA",OFFSET(C206,-1,0)+1,OFFSET(C206,-1,0)))</f>
        <v/>
      </c>
      <c r="D206" s="13">
        <f>IF(G206="ETAPA",0,IF(G206="SUBETAPA",OFFSET(D206,-1,0)+1,OFFSET(D206,-1,0)))</f>
        <v/>
      </c>
      <c r="E206" s="13">
        <f>IF(G206="Subetapa",0,IF(G206="serviço",OFFSET(E206,-1,0)+1,OFFSET(E206,-1,0)))</f>
        <v/>
      </c>
      <c r="F206" s="12" t="n"/>
      <c r="G206" s="19" t="inlineStr">
        <is>
          <t>Subetapa</t>
        </is>
      </c>
      <c r="H206" s="16">
        <f>IF(G206="Unidade Construtiva",TEXT(A206,"00"),IF(G206="Célula Construtiva",TEXT(B206,"00"),IF(G206="Etapa",CONCATENATE(TEXT(B206,"00"),".",TEXT(C206,"000")),IF(G206="Subetapa",CONCATENATE(TEXT(B206,"00"),".",TEXT(C206,"000"),".",TEXT(D206,"000")),IF(G206="Serviço",CONCATENATE(TEXT(B206,"00"),".",TEXT(C206,"000"),".",TEXT(D206,"000"),".",TEXT(E206,"000")),"")))))</f>
        <v/>
      </c>
      <c r="I206" s="18" t="inlineStr">
        <is>
          <t>Coberturas especiais</t>
        </is>
      </c>
      <c r="J206" s="6" t="n"/>
    </row>
    <row r="207" ht="20.45" customFormat="1" customHeight="1" s="8">
      <c r="A207" s="14">
        <f>IF($G207="UNIDADE CONSTRUTIVA",OFFSET(A207,-1,0)+1,LARGE(A$3:A206,1))</f>
        <v/>
      </c>
      <c r="B207" s="14">
        <f>IF(G207="UNIDADE CONSTRUTIVA",0,IF(G207="CÉLULA CONSTRUTIVA",OFFSET(B207,-1,0)+1,OFFSET(B207,-1,0)))</f>
        <v/>
      </c>
      <c r="C207" s="14">
        <f>IF(G207="CÉLULA CONSTRUTIVA",0,IF(G207="ETAPA",OFFSET(C207,-1,0)+1,OFFSET(C207,-1,0)))</f>
        <v/>
      </c>
      <c r="D207" s="13">
        <f>IF(G207="ETAPA",0,IF(G207="SUBETAPA",OFFSET(D207,-1,0)+1,OFFSET(D207,-1,0)))</f>
        <v/>
      </c>
      <c r="E207" s="13">
        <f>IF(G207="Subetapa",0,IF(G207="serviço",OFFSET(E207,-1,0)+1,OFFSET(E207,-1,0)))</f>
        <v/>
      </c>
      <c r="F207" s="12" t="n"/>
      <c r="G207" s="19" t="inlineStr">
        <is>
          <t>Subetapa</t>
        </is>
      </c>
      <c r="H207" s="16">
        <f>IF(G207="Unidade Construtiva",TEXT(A207,"00"),IF(G207="Célula Construtiva",TEXT(B207,"00"),IF(G207="Etapa",CONCATENATE(TEXT(B207,"00"),".",TEXT(C207,"000")),IF(G207="Subetapa",CONCATENATE(TEXT(B207,"00"),".",TEXT(C207,"000"),".",TEXT(D207,"000")),IF(G207="Serviço",CONCATENATE(TEXT(B207,"00"),".",TEXT(C207,"000"),".",TEXT(D207,"000"),".",TEXT(E207,"000")),"")))))</f>
        <v/>
      </c>
      <c r="I207" s="18" t="inlineStr">
        <is>
          <t>Mão de obra</t>
        </is>
      </c>
      <c r="J207" s="6" t="n"/>
    </row>
    <row r="208" ht="20.45" customFormat="1" customHeight="1" s="8">
      <c r="A208" s="14">
        <f>IF($G208="UNIDADE CONSTRUTIVA",OFFSET(A208,-1,0)+1,LARGE(A$3:A207,1))</f>
        <v/>
      </c>
      <c r="B208" s="14">
        <f>IF(G208="UNIDADE CONSTRUTIVA",0,IF(G208="CÉLULA CONSTRUTIVA",OFFSET(B208,-1,0)+1,OFFSET(B208,-1,0)))</f>
        <v/>
      </c>
      <c r="C208" s="14">
        <f>IF(G208="CÉLULA CONSTRUTIVA",0,IF(G208="ETAPA",OFFSET(C208,-1,0)+1,OFFSET(C208,-1,0)))</f>
        <v/>
      </c>
      <c r="D208" s="13">
        <f>IF(G208="ETAPA",0,IF(G208="SUBETAPA",OFFSET(D208,-1,0)+1,OFFSET(D208,-1,0)))</f>
        <v/>
      </c>
      <c r="E208" s="13">
        <f>IF(G208="Subetapa",0,IF(G208="serviço",OFFSET(E208,-1,0)+1,OFFSET(E208,-1,0)))</f>
        <v/>
      </c>
      <c r="F208" s="12" t="n"/>
      <c r="G208" s="17" t="inlineStr">
        <is>
          <t>CÉLULA CONSTRUTIVA</t>
        </is>
      </c>
      <c r="H208" s="16">
        <f>IF(G208="Unidade Construtiva",TEXT(A208,"00"),IF(G208="Célula Construtiva",TEXT(B208,"00"),IF(G208="Etapa",CONCATENATE(TEXT(B208,"00"),".",TEXT(C208,"000")),IF(G208="Subetapa",CONCATENATE(TEXT(B208,"00"),".",TEXT(C208,"000"),".",TEXT(D208,"000")),IF(G208="Serviço",CONCATENATE(TEXT(B208,"00"),".",TEXT(C208,"000"),".",TEXT(D208,"000"),".",TEXT(E208,"000")),"")))))</f>
        <v/>
      </c>
      <c r="I208" s="15" t="inlineStr">
        <is>
          <t>REVESTIMENTOS E ACABAMENTOS EM FACHADA</t>
        </is>
      </c>
      <c r="J208" s="6" t="n"/>
    </row>
    <row r="209" ht="20.45" customFormat="1" customHeight="1" s="8">
      <c r="A209" s="14">
        <f>IF($G209="UNIDADE CONSTRUTIVA",OFFSET(A209,-1,0)+1,LARGE(A$3:A208,1))</f>
        <v/>
      </c>
      <c r="B209" s="14">
        <f>IF(G209="UNIDADE CONSTRUTIVA",0,IF(G209="CÉLULA CONSTRUTIVA",OFFSET(B209,-1,0)+1,OFFSET(B209,-1,0)))</f>
        <v/>
      </c>
      <c r="C209" s="14">
        <f>IF(G209="CÉLULA CONSTRUTIVA",0,IF(G209="ETAPA",OFFSET(C209,-1,0)+1,OFFSET(C209,-1,0)))</f>
        <v/>
      </c>
      <c r="D209" s="13">
        <f>IF(G209="ETAPA",0,IF(G209="SUBETAPA",OFFSET(D209,-1,0)+1,OFFSET(D209,-1,0)))</f>
        <v/>
      </c>
      <c r="E209" s="13">
        <f>IF(G209="Subetapa",0,IF(G209="serviço",OFFSET(E209,-1,0)+1,OFFSET(E209,-1,0)))</f>
        <v/>
      </c>
      <c r="F209" s="12" t="n"/>
      <c r="G209" s="17" t="inlineStr">
        <is>
          <t>ETAPA</t>
        </is>
      </c>
      <c r="H209" s="16">
        <f>IF(G209="Unidade Construtiva",TEXT(A209,"00"),IF(G209="Célula Construtiva",TEXT(B209,"00"),IF(G209="Etapa",CONCATENATE(TEXT(B209,"00"),".",TEXT(C209,"000")),IF(G209="Subetapa",CONCATENATE(TEXT(B209,"00"),".",TEXT(C209,"000"),".",TEXT(D209,"000")),IF(G209="Serviço",CONCATENATE(TEXT(B209,"00"),".",TEXT(C209,"000"),".",TEXT(D209,"000"),".",TEXT(E209,"000")),"")))))</f>
        <v/>
      </c>
      <c r="I209" s="15" t="inlineStr">
        <is>
          <t>REVESTIMENTOS E ACABAMENTOS EM FACHADA</t>
        </is>
      </c>
      <c r="J209" s="6" t="n"/>
    </row>
    <row r="210" ht="20.45" customFormat="1" customHeight="1" s="8">
      <c r="A210" s="14">
        <f>IF($G210="UNIDADE CONSTRUTIVA",OFFSET(A210,-1,0)+1,LARGE(A$3:A209,1))</f>
        <v/>
      </c>
      <c r="B210" s="14">
        <f>IF(G210="UNIDADE CONSTRUTIVA",0,IF(G210="CÉLULA CONSTRUTIVA",OFFSET(B210,-1,0)+1,OFFSET(B210,-1,0)))</f>
        <v/>
      </c>
      <c r="C210" s="14">
        <f>IF(G210="CÉLULA CONSTRUTIVA",0,IF(G210="ETAPA",OFFSET(C210,-1,0)+1,OFFSET(C210,-1,0)))</f>
        <v/>
      </c>
      <c r="D210" s="13">
        <f>IF(G210="ETAPA",0,IF(G210="SUBETAPA",OFFSET(D210,-1,0)+1,OFFSET(D210,-1,0)))</f>
        <v/>
      </c>
      <c r="E210" s="13">
        <f>IF(G210="Subetapa",0,IF(G210="serviço",OFFSET(E210,-1,0)+1,OFFSET(E210,-1,0)))</f>
        <v/>
      </c>
      <c r="F210" s="12" t="n"/>
      <c r="G210" s="19" t="inlineStr">
        <is>
          <t>Subetapa</t>
        </is>
      </c>
      <c r="H210" s="16">
        <f>IF(G210="Unidade Construtiva",TEXT(A210,"00"),IF(G210="Célula Construtiva",TEXT(B210,"00"),IF(G210="Etapa",CONCATENATE(TEXT(B210,"00"),".",TEXT(C210,"000")),IF(G210="Subetapa",CONCATENATE(TEXT(B210,"00"),".",TEXT(C210,"000"),".",TEXT(D210,"000")),IF(G210="Serviço",CONCATENATE(TEXT(B210,"00"),".",TEXT(C210,"000"),".",TEXT(D210,"000"),".",TEXT(E210,"000")),"")))))</f>
        <v/>
      </c>
      <c r="I210" s="18" t="inlineStr">
        <is>
          <t>Revestimento argamassado em fachada</t>
        </is>
      </c>
      <c r="J210" s="6" t="n"/>
    </row>
    <row r="211" ht="20.45" customFormat="1" customHeight="1" s="8">
      <c r="A211" s="14">
        <f>IF($G211="UNIDADE CONSTRUTIVA",OFFSET(A211,-1,0)+1,LARGE(A$3:A210,1))</f>
        <v/>
      </c>
      <c r="B211" s="14">
        <f>IF(G211="UNIDADE CONSTRUTIVA",0,IF(G211="CÉLULA CONSTRUTIVA",OFFSET(B211,-1,0)+1,OFFSET(B211,-1,0)))</f>
        <v/>
      </c>
      <c r="C211" s="14">
        <f>IF(G211="CÉLULA CONSTRUTIVA",0,IF(G211="ETAPA",OFFSET(C211,-1,0)+1,OFFSET(C211,-1,0)))</f>
        <v/>
      </c>
      <c r="D211" s="13">
        <f>IF(G211="ETAPA",0,IF(G211="SUBETAPA",OFFSET(D211,-1,0)+1,OFFSET(D211,-1,0)))</f>
        <v/>
      </c>
      <c r="E211" s="13">
        <f>IF(G211="Subetapa",0,IF(G211="serviço",OFFSET(E211,-1,0)+1,OFFSET(E211,-1,0)))</f>
        <v/>
      </c>
      <c r="F211" s="12" t="n"/>
      <c r="G211" s="19" t="inlineStr">
        <is>
          <t>Subetapa</t>
        </is>
      </c>
      <c r="H211" s="16">
        <f>IF(G211="Unidade Construtiva",TEXT(A211,"00"),IF(G211="Célula Construtiva",TEXT(B211,"00"),IF(G211="Etapa",CONCATENATE(TEXT(B211,"00"),".",TEXT(C211,"000")),IF(G211="Subetapa",CONCATENATE(TEXT(B211,"00"),".",TEXT(C211,"000"),".",TEXT(D211,"000")),IF(G211="Serviço",CONCATENATE(TEXT(B211,"00"),".",TEXT(C211,"000"),".",TEXT(D211,"000"),".",TEXT(E211,"000")),"")))))</f>
        <v/>
      </c>
      <c r="I211" s="18" t="inlineStr">
        <is>
          <t>Pintura e textura em fachada</t>
        </is>
      </c>
      <c r="J211" s="6" t="n"/>
    </row>
    <row r="212" ht="20.45" customFormat="1" customHeight="1" s="8">
      <c r="A212" s="14">
        <f>IF($G212="UNIDADE CONSTRUTIVA",OFFSET(A212,-1,0)+1,LARGE(A$3:A211,1))</f>
        <v/>
      </c>
      <c r="B212" s="14">
        <f>IF(G212="UNIDADE CONSTRUTIVA",0,IF(G212="CÉLULA CONSTRUTIVA",OFFSET(B212,-1,0)+1,OFFSET(B212,-1,0)))</f>
        <v/>
      </c>
      <c r="C212" s="14">
        <f>IF(G212="CÉLULA CONSTRUTIVA",0,IF(G212="ETAPA",OFFSET(C212,-1,0)+1,OFFSET(C212,-1,0)))</f>
        <v/>
      </c>
      <c r="D212" s="13">
        <f>IF(G212="ETAPA",0,IF(G212="SUBETAPA",OFFSET(D212,-1,0)+1,OFFSET(D212,-1,0)))</f>
        <v/>
      </c>
      <c r="E212" s="13">
        <f>IF(G212="Subetapa",0,IF(G212="serviço",OFFSET(E212,-1,0)+1,OFFSET(E212,-1,0)))</f>
        <v/>
      </c>
      <c r="F212" s="12" t="n"/>
      <c r="G212" s="19" t="inlineStr">
        <is>
          <t>Subetapa</t>
        </is>
      </c>
      <c r="H212" s="16">
        <f>IF(G212="Unidade Construtiva",TEXT(A212,"00"),IF(G212="Célula Construtiva",TEXT(B212,"00"),IF(G212="Etapa",CONCATENATE(TEXT(B212,"00"),".",TEXT(C212,"000")),IF(G212="Subetapa",CONCATENATE(TEXT(B212,"00"),".",TEXT(C212,"000"),".",TEXT(D212,"000")),IF(G212="Serviço",CONCATENATE(TEXT(B212,"00"),".",TEXT(C212,"000"),".",TEXT(D212,"000"),".",TEXT(E212,"000")),"")))))</f>
        <v/>
      </c>
      <c r="I212" s="18" t="inlineStr">
        <is>
          <t>Acabamentos especiais em fachada</t>
        </is>
      </c>
      <c r="J212" s="6" t="n"/>
    </row>
    <row r="213" ht="20.45" customFormat="1" customHeight="1" s="8">
      <c r="A213" s="14">
        <f>IF($G213="UNIDADE CONSTRUTIVA",OFFSET(A213,-1,0)+1,LARGE(A$3:A212,1))</f>
        <v/>
      </c>
      <c r="B213" s="14">
        <f>IF(G213="UNIDADE CONSTRUTIVA",0,IF(G213="CÉLULA CONSTRUTIVA",OFFSET(B213,-1,0)+1,OFFSET(B213,-1,0)))</f>
        <v/>
      </c>
      <c r="C213" s="14">
        <f>IF(G213="CÉLULA CONSTRUTIVA",0,IF(G213="ETAPA",OFFSET(C213,-1,0)+1,OFFSET(C213,-1,0)))</f>
        <v/>
      </c>
      <c r="D213" s="13">
        <f>IF(G213="ETAPA",0,IF(G213="SUBETAPA",OFFSET(D213,-1,0)+1,OFFSET(D213,-1,0)))</f>
        <v/>
      </c>
      <c r="E213" s="13">
        <f>IF(G213="Subetapa",0,IF(G213="serviço",OFFSET(E213,-1,0)+1,OFFSET(E213,-1,0)))</f>
        <v/>
      </c>
      <c r="F213" s="12" t="n"/>
      <c r="G213" s="19" t="inlineStr">
        <is>
          <t>Subetapa</t>
        </is>
      </c>
      <c r="H213" s="16">
        <f>IF(G213="Unidade Construtiva",TEXT(A213,"00"),IF(G213="Célula Construtiva",TEXT(B213,"00"),IF(G213="Etapa",CONCATENATE(TEXT(B213,"00"),".",TEXT(C213,"000")),IF(G213="Subetapa",CONCATENATE(TEXT(B213,"00"),".",TEXT(C213,"000"),".",TEXT(D213,"000")),IF(G213="Serviço",CONCATENATE(TEXT(B213,"00"),".",TEXT(C213,"000"),".",TEXT(D213,"000"),".",TEXT(E213,"000")),"")))))</f>
        <v/>
      </c>
      <c r="I213" s="18" t="inlineStr">
        <is>
          <t>Tratamentos de fachada</t>
        </is>
      </c>
      <c r="J213" s="6" t="n"/>
    </row>
    <row r="214" ht="20.45" customFormat="1" customHeight="1" s="8">
      <c r="A214" s="14">
        <f>IF($G214="UNIDADE CONSTRUTIVA",OFFSET(A214,-1,0)+1,LARGE(A$3:A213,1))</f>
        <v/>
      </c>
      <c r="B214" s="14">
        <f>IF(G214="UNIDADE CONSTRUTIVA",0,IF(G214="CÉLULA CONSTRUTIVA",OFFSET(B214,-1,0)+1,OFFSET(B214,-1,0)))</f>
        <v/>
      </c>
      <c r="C214" s="14">
        <f>IF(G214="CÉLULA CONSTRUTIVA",0,IF(G214="ETAPA",OFFSET(C214,-1,0)+1,OFFSET(C214,-1,0)))</f>
        <v/>
      </c>
      <c r="D214" s="13">
        <f>IF(G214="ETAPA",0,IF(G214="SUBETAPA",OFFSET(D214,-1,0)+1,OFFSET(D214,-1,0)))</f>
        <v/>
      </c>
      <c r="E214" s="13">
        <f>IF(G214="Subetapa",0,IF(G214="serviço",OFFSET(E214,-1,0)+1,OFFSET(E214,-1,0)))</f>
        <v/>
      </c>
      <c r="F214" s="12" t="n"/>
      <c r="G214" s="19" t="inlineStr">
        <is>
          <t>Subetapa</t>
        </is>
      </c>
      <c r="H214" s="16">
        <f>IF(G214="Unidade Construtiva",TEXT(A214,"00"),IF(G214="Célula Construtiva",TEXT(B214,"00"),IF(G214="Etapa",CONCATENATE(TEXT(B214,"00"),".",TEXT(C214,"000")),IF(G214="Subetapa",CONCATENATE(TEXT(B214,"00"),".",TEXT(C214,"000"),".",TEXT(D214,"000")),IF(G214="Serviço",CONCATENATE(TEXT(B214,"00"),".",TEXT(C214,"000"),".",TEXT(D214,"000"),".",TEXT(E214,"000")),"")))))</f>
        <v/>
      </c>
      <c r="I214" s="18" t="inlineStr">
        <is>
          <t>Mão de obra</t>
        </is>
      </c>
      <c r="J214" s="6" t="n"/>
    </row>
    <row r="215" ht="20.45" customFormat="1" customHeight="1" s="8">
      <c r="A215" s="14">
        <f>IF($G215="UNIDADE CONSTRUTIVA",OFFSET(A215,-1,0)+1,LARGE(A$3:A214,1))</f>
        <v/>
      </c>
      <c r="B215" s="14">
        <f>IF(G215="UNIDADE CONSTRUTIVA",0,IF(G215="CÉLULA CONSTRUTIVA",OFFSET(B215,-1,0)+1,OFFSET(B215,-1,0)))</f>
        <v/>
      </c>
      <c r="C215" s="14">
        <f>IF(G215="CÉLULA CONSTRUTIVA",0,IF(G215="ETAPA",OFFSET(C215,-1,0)+1,OFFSET(C215,-1,0)))</f>
        <v/>
      </c>
      <c r="D215" s="13">
        <f>IF(G215="ETAPA",0,IF(G215="SUBETAPA",OFFSET(D215,-1,0)+1,OFFSET(D215,-1,0)))</f>
        <v/>
      </c>
      <c r="E215" s="13">
        <f>IF(G215="Subetapa",0,IF(G215="serviço",OFFSET(E215,-1,0)+1,OFFSET(E215,-1,0)))</f>
        <v/>
      </c>
      <c r="F215" s="12" t="n"/>
      <c r="G215" s="17" t="inlineStr">
        <is>
          <t>CÉLULA CONSTRUTIVA</t>
        </is>
      </c>
      <c r="H215" s="16">
        <f>IF(G215="Unidade Construtiva",TEXT(A215,"00"),IF(G215="Célula Construtiva",TEXT(B215,"00"),IF(G215="Etapa",CONCATENATE(TEXT(B215,"00"),".",TEXT(C215,"000")),IF(G215="Subetapa",CONCATENATE(TEXT(B215,"00"),".",TEXT(C215,"000"),".",TEXT(D215,"000")),IF(G215="Serviço",CONCATENATE(TEXT(B215,"00"),".",TEXT(C215,"000"),".",TEXT(D215,"000"),".",TEXT(E215,"000")),"")))))</f>
        <v/>
      </c>
      <c r="I215" s="15" t="inlineStr">
        <is>
          <t>SERVIÇOS COMPLEMENTARES E FINAIS</t>
        </is>
      </c>
      <c r="J215" s="6" t="n"/>
    </row>
    <row r="216" ht="20.45" customFormat="1" customHeight="1" s="8">
      <c r="A216" s="14">
        <f>IF($G216="UNIDADE CONSTRUTIVA",OFFSET(A216,-1,0)+1,LARGE(A$3:A215,1))</f>
        <v/>
      </c>
      <c r="B216" s="14">
        <f>IF(G216="UNIDADE CONSTRUTIVA",0,IF(G216="CÉLULA CONSTRUTIVA",OFFSET(B216,-1,0)+1,OFFSET(B216,-1,0)))</f>
        <v/>
      </c>
      <c r="C216" s="14">
        <f>IF(G216="CÉLULA CONSTRUTIVA",0,IF(G216="ETAPA",OFFSET(C216,-1,0)+1,OFFSET(C216,-1,0)))</f>
        <v/>
      </c>
      <c r="D216" s="13">
        <f>IF(G216="ETAPA",0,IF(G216="SUBETAPA",OFFSET(D216,-1,0)+1,OFFSET(D216,-1,0)))</f>
        <v/>
      </c>
      <c r="E216" s="13">
        <f>IF(G216="Subetapa",0,IF(G216="serviço",OFFSET(E216,-1,0)+1,OFFSET(E216,-1,0)))</f>
        <v/>
      </c>
      <c r="F216" s="12" t="n"/>
      <c r="G216" s="17" t="inlineStr">
        <is>
          <t>ETAPA</t>
        </is>
      </c>
      <c r="H216" s="16">
        <f>IF(G216="Unidade Construtiva",TEXT(A216,"00"),IF(G216="Célula Construtiva",TEXT(B216,"00"),IF(G216="Etapa",CONCATENATE(TEXT(B216,"00"),".",TEXT(C216,"000")),IF(G216="Subetapa",CONCATENATE(TEXT(B216,"00"),".",TEXT(C216,"000"),".",TEXT(D216,"000")),IF(G216="Serviço",CONCATENATE(TEXT(B216,"00"),".",TEXT(C216,"000"),".",TEXT(D216,"000"),".",TEXT(E216,"000")),"")))))</f>
        <v/>
      </c>
      <c r="I216" s="15" t="inlineStr">
        <is>
          <t>SERVIÇOS COMPLEMENTARES EXTERNOS</t>
        </is>
      </c>
      <c r="J216" s="6" t="n"/>
    </row>
    <row r="217" ht="20.45" customFormat="1" customHeight="1" s="8">
      <c r="A217" s="14">
        <f>IF($G217="UNIDADE CONSTRUTIVA",OFFSET(A217,-1,0)+1,LARGE(A$3:A216,1))</f>
        <v/>
      </c>
      <c r="B217" s="14">
        <f>IF(G217="UNIDADE CONSTRUTIVA",0,IF(G217="CÉLULA CONSTRUTIVA",OFFSET(B217,-1,0)+1,OFFSET(B217,-1,0)))</f>
        <v/>
      </c>
      <c r="C217" s="14">
        <f>IF(G217="CÉLULA CONSTRUTIVA",0,IF(G217="ETAPA",OFFSET(C217,-1,0)+1,OFFSET(C217,-1,0)))</f>
        <v/>
      </c>
      <c r="D217" s="13">
        <f>IF(G217="ETAPA",0,IF(G217="SUBETAPA",OFFSET(D217,-1,0)+1,OFFSET(D217,-1,0)))</f>
        <v/>
      </c>
      <c r="E217" s="13">
        <f>IF(G217="Subetapa",0,IF(G217="serviço",OFFSET(E217,-1,0)+1,OFFSET(E217,-1,0)))</f>
        <v/>
      </c>
      <c r="F217" s="12" t="n"/>
      <c r="G217" s="19" t="inlineStr">
        <is>
          <t>Subetapa</t>
        </is>
      </c>
      <c r="H217" s="16">
        <f>IF(G217="Unidade Construtiva",TEXT(A217,"00"),IF(G217="Célula Construtiva",TEXT(B217,"00"),IF(G217="Etapa",CONCATENATE(TEXT(B217,"00"),".",TEXT(C217,"000")),IF(G217="Subetapa",CONCATENATE(TEXT(B217,"00"),".",TEXT(C217,"000"),".",TEXT(D217,"000")),IF(G217="Serviço",CONCATENATE(TEXT(B217,"00"),".",TEXT(C217,"000"),".",TEXT(D217,"000"),".",TEXT(E217,"000")),"")))))</f>
        <v/>
      </c>
      <c r="I217" s="18" t="inlineStr">
        <is>
          <t>Calçadas e Passeios</t>
        </is>
      </c>
      <c r="J217" s="6" t="n"/>
    </row>
    <row r="218" ht="20.45" customFormat="1" customHeight="1" s="8">
      <c r="A218" s="14">
        <f>IF($G218="UNIDADE CONSTRUTIVA",OFFSET(A218,-1,0)+1,LARGE(A$3:A217,1))</f>
        <v/>
      </c>
      <c r="B218" s="14">
        <f>IF(G218="UNIDADE CONSTRUTIVA",0,IF(G218="CÉLULA CONSTRUTIVA",OFFSET(B218,-1,0)+1,OFFSET(B218,-1,0)))</f>
        <v/>
      </c>
      <c r="C218" s="14">
        <f>IF(G218="CÉLULA CONSTRUTIVA",0,IF(G218="ETAPA",OFFSET(C218,-1,0)+1,OFFSET(C218,-1,0)))</f>
        <v/>
      </c>
      <c r="D218" s="13">
        <f>IF(G218="ETAPA",0,IF(G218="SUBETAPA",OFFSET(D218,-1,0)+1,OFFSET(D218,-1,0)))</f>
        <v/>
      </c>
      <c r="E218" s="13">
        <f>IF(G218="Subetapa",0,IF(G218="serviço",OFFSET(E218,-1,0)+1,OFFSET(E218,-1,0)))</f>
        <v/>
      </c>
      <c r="F218" s="12" t="n"/>
      <c r="G218" s="19" t="inlineStr">
        <is>
          <t>Subetapa</t>
        </is>
      </c>
      <c r="H218" s="16">
        <f>IF(G218="Unidade Construtiva",TEXT(A218,"00"),IF(G218="Célula Construtiva",TEXT(B218,"00"),IF(G218="Etapa",CONCATENATE(TEXT(B218,"00"),".",TEXT(C218,"000")),IF(G218="Subetapa",CONCATENATE(TEXT(B218,"00"),".",TEXT(C218,"000"),".",TEXT(D218,"000")),IF(G218="Serviço",CONCATENATE(TEXT(B218,"00"),".",TEXT(C218,"000"),".",TEXT(D218,"000"),".",TEXT(E218,"000")),"")))))</f>
        <v/>
      </c>
      <c r="I218" s="18" t="inlineStr">
        <is>
          <t>Muros externos</t>
        </is>
      </c>
      <c r="J218" s="6" t="n"/>
    </row>
    <row r="219" ht="20.45" customFormat="1" customHeight="1" s="8">
      <c r="A219" s="14">
        <f>IF($G219="UNIDADE CONSTRUTIVA",OFFSET(A219,-1,0)+1,LARGE(A$3:A218,1))</f>
        <v/>
      </c>
      <c r="B219" s="14">
        <f>IF(G219="UNIDADE CONSTRUTIVA",0,IF(G219="CÉLULA CONSTRUTIVA",OFFSET(B219,-1,0)+1,OFFSET(B219,-1,0)))</f>
        <v/>
      </c>
      <c r="C219" s="14">
        <f>IF(G219="CÉLULA CONSTRUTIVA",0,IF(G219="ETAPA",OFFSET(C219,-1,0)+1,OFFSET(C219,-1,0)))</f>
        <v/>
      </c>
      <c r="D219" s="13">
        <f>IF(G219="ETAPA",0,IF(G219="SUBETAPA",OFFSET(D219,-1,0)+1,OFFSET(D219,-1,0)))</f>
        <v/>
      </c>
      <c r="E219" s="13">
        <f>IF(G219="Subetapa",0,IF(G219="serviço",OFFSET(E219,-1,0)+1,OFFSET(E219,-1,0)))</f>
        <v/>
      </c>
      <c r="F219" s="12" t="n"/>
      <c r="G219" s="19" t="inlineStr">
        <is>
          <t>Subetapa</t>
        </is>
      </c>
      <c r="H219" s="16">
        <f>IF(G219="Unidade Construtiva",TEXT(A219,"00"),IF(G219="Célula Construtiva",TEXT(B219,"00"),IF(G219="Etapa",CONCATENATE(TEXT(B219,"00"),".",TEXT(C219,"000")),IF(G219="Subetapa",CONCATENATE(TEXT(B219,"00"),".",TEXT(C219,"000"),".",TEXT(D219,"000")),IF(G219="Serviço",CONCATENATE(TEXT(B219,"00"),".",TEXT(C219,"000"),".",TEXT(D219,"000"),".",TEXT(E219,"000")),"")))))</f>
        <v/>
      </c>
      <c r="I219" s="18" t="inlineStr">
        <is>
          <t>Rede de drenagem</t>
        </is>
      </c>
      <c r="J219" s="6" t="n"/>
    </row>
    <row r="220" ht="20.45" customFormat="1" customHeight="1" s="8">
      <c r="A220" s="14">
        <f>IF($G220="UNIDADE CONSTRUTIVA",OFFSET(A220,-1,0)+1,LARGE(A$3:A219,1))</f>
        <v/>
      </c>
      <c r="B220" s="14">
        <f>IF(G220="UNIDADE CONSTRUTIVA",0,IF(G220="CÉLULA CONSTRUTIVA",OFFSET(B220,-1,0)+1,OFFSET(B220,-1,0)))</f>
        <v/>
      </c>
      <c r="C220" s="14">
        <f>IF(G220="CÉLULA CONSTRUTIVA",0,IF(G220="ETAPA",OFFSET(C220,-1,0)+1,OFFSET(C220,-1,0)))</f>
        <v/>
      </c>
      <c r="D220" s="13">
        <f>IF(G220="ETAPA",0,IF(G220="SUBETAPA",OFFSET(D220,-1,0)+1,OFFSET(D220,-1,0)))</f>
        <v/>
      </c>
      <c r="E220" s="13">
        <f>IF(G220="Subetapa",0,IF(G220="serviço",OFFSET(E220,-1,0)+1,OFFSET(E220,-1,0)))</f>
        <v/>
      </c>
      <c r="F220" s="12" t="n"/>
      <c r="G220" s="19" t="inlineStr">
        <is>
          <t>Subetapa</t>
        </is>
      </c>
      <c r="H220" s="16">
        <f>IF(G220="Unidade Construtiva",TEXT(A220,"00"),IF(G220="Célula Construtiva",TEXT(B220,"00"),IF(G220="Etapa",CONCATENATE(TEXT(B220,"00"),".",TEXT(C220,"000")),IF(G220="Subetapa",CONCATENATE(TEXT(B220,"00"),".",TEXT(C220,"000"),".",TEXT(D220,"000")),IF(G220="Serviço",CONCATENATE(TEXT(B220,"00"),".",TEXT(C220,"000"),".",TEXT(D220,"000"),".",TEXT(E220,"000")),"")))))</f>
        <v/>
      </c>
      <c r="I220" s="18" t="inlineStr">
        <is>
          <t>Reforço de rede elétrica</t>
        </is>
      </c>
      <c r="J220" s="6" t="n"/>
    </row>
    <row r="221" ht="20.45" customFormat="1" customHeight="1" s="8">
      <c r="A221" s="14">
        <f>IF($G221="UNIDADE CONSTRUTIVA",OFFSET(A221,-1,0)+1,LARGE(A$3:A220,1))</f>
        <v/>
      </c>
      <c r="B221" s="14">
        <f>IF(G221="UNIDADE CONSTRUTIVA",0,IF(G221="CÉLULA CONSTRUTIVA",OFFSET(B221,-1,0)+1,OFFSET(B221,-1,0)))</f>
        <v/>
      </c>
      <c r="C221" s="14">
        <f>IF(G221="CÉLULA CONSTRUTIVA",0,IF(G221="ETAPA",OFFSET(C221,-1,0)+1,OFFSET(C221,-1,0)))</f>
        <v/>
      </c>
      <c r="D221" s="13">
        <f>IF(G221="ETAPA",0,IF(G221="SUBETAPA",OFFSET(D221,-1,0)+1,OFFSET(D221,-1,0)))</f>
        <v/>
      </c>
      <c r="E221" s="13">
        <f>IF(G221="Subetapa",0,IF(G221="serviço",OFFSET(E221,-1,0)+1,OFFSET(E221,-1,0)))</f>
        <v/>
      </c>
      <c r="F221" s="12" t="n"/>
      <c r="G221" s="17" t="inlineStr">
        <is>
          <t>ETAPA</t>
        </is>
      </c>
      <c r="H221" s="16">
        <f>IF(G221="Unidade Construtiva",TEXT(A221,"00"),IF(G221="Célula Construtiva",TEXT(B221,"00"),IF(G221="Etapa",CONCATENATE(TEXT(B221,"00"),".",TEXT(C221,"000")),IF(G221="Subetapa",CONCATENATE(TEXT(B221,"00"),".",TEXT(C221,"000"),".",TEXT(D221,"000")),IF(G221="Serviço",CONCATENATE(TEXT(B221,"00"),".",TEXT(C221,"000"),".",TEXT(D221,"000"),".",TEXT(E221,"000")),"")))))</f>
        <v/>
      </c>
      <c r="I221" s="15" t="inlineStr">
        <is>
          <t>SERVIÇOS COMPLEMENTARES E FINAIS</t>
        </is>
      </c>
      <c r="J221" s="6" t="n"/>
    </row>
    <row r="222" ht="20.45" customFormat="1" customHeight="1" s="8">
      <c r="A222" s="14">
        <f>IF($G222="UNIDADE CONSTRUTIVA",OFFSET(A222,-1,0)+1,LARGE(A$3:A221,1))</f>
        <v/>
      </c>
      <c r="B222" s="14">
        <f>IF(G222="UNIDADE CONSTRUTIVA",0,IF(G222="CÉLULA CONSTRUTIVA",OFFSET(B222,-1,0)+1,OFFSET(B222,-1,0)))</f>
        <v/>
      </c>
      <c r="C222" s="14">
        <f>IF(G222="CÉLULA CONSTRUTIVA",0,IF(G222="ETAPA",OFFSET(C222,-1,0)+1,OFFSET(C222,-1,0)))</f>
        <v/>
      </c>
      <c r="D222" s="13">
        <f>IF(G222="ETAPA",0,IF(G222="SUBETAPA",OFFSET(D222,-1,0)+1,OFFSET(D222,-1,0)))</f>
        <v/>
      </c>
      <c r="E222" s="13">
        <f>IF(G222="Subetapa",0,IF(G222="serviço",OFFSET(E222,-1,0)+1,OFFSET(E222,-1,0)))</f>
        <v/>
      </c>
      <c r="F222" s="12" t="n"/>
      <c r="G222" s="19" t="inlineStr">
        <is>
          <t>Subetapa</t>
        </is>
      </c>
      <c r="H222" s="16">
        <f>IF(G222="Unidade Construtiva",TEXT(A222,"00"),IF(G222="Célula Construtiva",TEXT(B222,"00"),IF(G222="Etapa",CONCATENATE(TEXT(B222,"00"),".",TEXT(C222,"000")),IF(G222="Subetapa",CONCATENATE(TEXT(B222,"00"),".",TEXT(C222,"000"),".",TEXT(D222,"000")),IF(G222="Serviço",CONCATENATE(TEXT(B222,"00"),".",TEXT(C222,"000"),".",TEXT(D222,"000"),".",TEXT(E222,"000")),"")))))</f>
        <v/>
      </c>
      <c r="I222" s="18" t="inlineStr">
        <is>
          <t>Mobiliário e decoração</t>
        </is>
      </c>
      <c r="J222" s="6" t="n"/>
    </row>
    <row r="223" ht="20.45" customFormat="1" customHeight="1" s="8">
      <c r="A223" s="14">
        <f>IF($G223="UNIDADE CONSTRUTIVA",OFFSET(A223,-1,0)+1,LARGE(A$3:A222,1))</f>
        <v/>
      </c>
      <c r="B223" s="14">
        <f>IF(G223="UNIDADE CONSTRUTIVA",0,IF(G223="CÉLULA CONSTRUTIVA",OFFSET(B223,-1,0)+1,OFFSET(B223,-1,0)))</f>
        <v/>
      </c>
      <c r="C223" s="14">
        <f>IF(G223="CÉLULA CONSTRUTIVA",0,IF(G223="ETAPA",OFFSET(C223,-1,0)+1,OFFSET(C223,-1,0)))</f>
        <v/>
      </c>
      <c r="D223" s="13">
        <f>IF(G223="ETAPA",0,IF(G223="SUBETAPA",OFFSET(D223,-1,0)+1,OFFSET(D223,-1,0)))</f>
        <v/>
      </c>
      <c r="E223" s="13">
        <f>IF(G223="Subetapa",0,IF(G223="serviço",OFFSET(E223,-1,0)+1,OFFSET(E223,-1,0)))</f>
        <v/>
      </c>
      <c r="F223" s="12" t="n"/>
      <c r="G223" s="19" t="inlineStr">
        <is>
          <t>Subetapa</t>
        </is>
      </c>
      <c r="H223" s="16">
        <f>IF(G223="Unidade Construtiva",TEXT(A223,"00"),IF(G223="Célula Construtiva",TEXT(B223,"00"),IF(G223="Etapa",CONCATENATE(TEXT(B223,"00"),".",TEXT(C223,"000")),IF(G223="Subetapa",CONCATENATE(TEXT(B223,"00"),".",TEXT(C223,"000"),".",TEXT(D223,"000")),IF(G223="Serviço",CONCATENATE(TEXT(B223,"00"),".",TEXT(C223,"000"),".",TEXT(D223,"000"),".",TEXT(E223,"000")),"")))))</f>
        <v/>
      </c>
      <c r="I223" s="18" t="inlineStr">
        <is>
          <t>Paisagismo</t>
        </is>
      </c>
      <c r="J223" s="6" t="n"/>
    </row>
    <row r="224" ht="20.45" customFormat="1" customHeight="1" s="8">
      <c r="A224" s="14">
        <f>IF($G224="UNIDADE CONSTRUTIVA",OFFSET(A224,-1,0)+1,LARGE(A$3:A223,1))</f>
        <v/>
      </c>
      <c r="B224" s="14">
        <f>IF(G224="UNIDADE CONSTRUTIVA",0,IF(G224="CÉLULA CONSTRUTIVA",OFFSET(B224,-1,0)+1,OFFSET(B224,-1,0)))</f>
        <v/>
      </c>
      <c r="C224" s="14">
        <f>IF(G224="CÉLULA CONSTRUTIVA",0,IF(G224="ETAPA",OFFSET(C224,-1,0)+1,OFFSET(C224,-1,0)))</f>
        <v/>
      </c>
      <c r="D224" s="13">
        <f>IF(G224="ETAPA",0,IF(G224="SUBETAPA",OFFSET(D224,-1,0)+1,OFFSET(D224,-1,0)))</f>
        <v/>
      </c>
      <c r="E224" s="13">
        <f>IF(G224="Subetapa",0,IF(G224="serviço",OFFSET(E224,-1,0)+1,OFFSET(E224,-1,0)))</f>
        <v/>
      </c>
      <c r="F224" s="12" t="n"/>
      <c r="G224" s="19" t="inlineStr">
        <is>
          <t>Subetapa</t>
        </is>
      </c>
      <c r="H224" s="16">
        <f>IF(G224="Unidade Construtiva",TEXT(A224,"00"),IF(G224="Célula Construtiva",TEXT(B224,"00"),IF(G224="Etapa",CONCATENATE(TEXT(B224,"00"),".",TEXT(C224,"000")),IF(G224="Subetapa",CONCATENATE(TEXT(B224,"00"),".",TEXT(C224,"000"),".",TEXT(D224,"000")),IF(G224="Serviço",CONCATENATE(TEXT(B224,"00"),".",TEXT(C224,"000"),".",TEXT(D224,"000"),".",TEXT(E224,"000")),"")))))</f>
        <v/>
      </c>
      <c r="I224" s="18" t="inlineStr">
        <is>
          <t>Serviços Finais</t>
        </is>
      </c>
      <c r="J224" s="6" t="n"/>
    </row>
    <row r="225" ht="20.45" customFormat="1" customHeight="1" s="8">
      <c r="A225" s="14">
        <f>IF($G225="UNIDADE CONSTRUTIVA",OFFSET(A225,-1,0)+1,LARGE(A$3:A224,1))</f>
        <v/>
      </c>
      <c r="B225" s="14">
        <f>IF(G225="UNIDADE CONSTRUTIVA",0,IF(G225="CÉLULA CONSTRUTIVA",OFFSET(B225,-1,0)+1,OFFSET(B225,-1,0)))</f>
        <v/>
      </c>
      <c r="C225" s="14">
        <f>IF(G225="CÉLULA CONSTRUTIVA",0,IF(G225="ETAPA",OFFSET(C225,-1,0)+1,OFFSET(C225,-1,0)))</f>
        <v/>
      </c>
      <c r="D225" s="13">
        <f>IF(G225="ETAPA",0,IF(G225="SUBETAPA",OFFSET(D225,-1,0)+1,OFFSET(D225,-1,0)))</f>
        <v/>
      </c>
      <c r="E225" s="13">
        <f>IF(G225="Subetapa",0,IF(G225="serviço",OFFSET(E225,-1,0)+1,OFFSET(E225,-1,0)))</f>
        <v/>
      </c>
      <c r="F225" s="12" t="n"/>
      <c r="G225" s="19" t="inlineStr">
        <is>
          <t>Subetapa</t>
        </is>
      </c>
      <c r="H225" s="16">
        <f>IF(G225="Unidade Construtiva",TEXT(A225,"00"),IF(G225="Célula Construtiva",TEXT(B225,"00"),IF(G225="Etapa",CONCATENATE(TEXT(B225,"00"),".",TEXT(C225,"000")),IF(G225="Subetapa",CONCATENATE(TEXT(B225,"00"),".",TEXT(C225,"000"),".",TEXT(D225,"000")),IF(G225="Serviço",CONCATENATE(TEXT(B225,"00"),".",TEXT(C225,"000"),".",TEXT(D225,"000"),".",TEXT(E225,"000")),"")))))</f>
        <v/>
      </c>
      <c r="I225" s="18" t="inlineStr">
        <is>
          <t>Ligações definitivas</t>
        </is>
      </c>
      <c r="J225" s="6" t="n"/>
    </row>
    <row r="226" ht="20.45" customFormat="1" customHeight="1" s="8">
      <c r="A226" s="14">
        <f>IF($G226="UNIDADE CONSTRUTIVA",OFFSET(A226,-1,0)+1,LARGE(A$3:A225,1))</f>
        <v/>
      </c>
      <c r="B226" s="14">
        <f>IF(G226="UNIDADE CONSTRUTIVA",0,IF(G226="CÉLULA CONSTRUTIVA",OFFSET(B226,-1,0)+1,OFFSET(B226,-1,0)))</f>
        <v/>
      </c>
      <c r="C226" s="14">
        <f>IF(G226="CÉLULA CONSTRUTIVA",0,IF(G226="ETAPA",OFFSET(C226,-1,0)+1,OFFSET(C226,-1,0)))</f>
        <v/>
      </c>
      <c r="D226" s="13">
        <f>IF(G226="ETAPA",0,IF(G226="SUBETAPA",OFFSET(D226,-1,0)+1,OFFSET(D226,-1,0)))</f>
        <v/>
      </c>
      <c r="E226" s="13">
        <f>IF(G226="Subetapa",0,IF(G226="serviço",OFFSET(E226,-1,0)+1,OFFSET(E226,-1,0)))</f>
        <v/>
      </c>
      <c r="F226" s="12" t="n"/>
      <c r="G226" s="17" t="inlineStr">
        <is>
          <t>CÉLULA CONSTRUTIVA</t>
        </is>
      </c>
      <c r="H226" s="16">
        <f>IF(G226="Unidade Construtiva",TEXT(A226,"00"),IF(G226="Célula Construtiva",TEXT(B226,"00"),IF(G226="Etapa",CONCATENATE(TEXT(B226,"00"),".",TEXT(C226,"000")),IF(G226="Subetapa",CONCATENATE(TEXT(B226,"00"),".",TEXT(C226,"000"),".",TEXT(D226,"000")),IF(G226="Serviço",CONCATENATE(TEXT(B226,"00"),".",TEXT(C226,"000"),".",TEXT(D226,"000"),".",TEXT(E226,"000")),"")))))</f>
        <v/>
      </c>
      <c r="I226" s="15" t="inlineStr">
        <is>
          <t>IMPREVISTOS E CONTINGÊNCIAS</t>
        </is>
      </c>
      <c r="J226" s="6" t="n"/>
    </row>
    <row r="227" ht="20.45" customFormat="1" customHeight="1" s="8">
      <c r="A227" s="14">
        <f>IF($G227="UNIDADE CONSTRUTIVA",OFFSET(A227,-1,0)+1,LARGE(A$3:A226,1))</f>
        <v/>
      </c>
      <c r="B227" s="14">
        <f>IF(G227="UNIDADE CONSTRUTIVA",0,IF(G227="CÉLULA CONSTRUTIVA",OFFSET(B227,-1,0)+1,OFFSET(B227,-1,0)))</f>
        <v/>
      </c>
      <c r="C227" s="14">
        <f>IF(G227="CÉLULA CONSTRUTIVA",0,IF(G227="ETAPA",OFFSET(C227,-1,0)+1,OFFSET(C227,-1,0)))</f>
        <v/>
      </c>
      <c r="D227" s="13">
        <f>IF(G227="ETAPA",0,IF(G227="SUBETAPA",OFFSET(D227,-1,0)+1,OFFSET(D227,-1,0)))</f>
        <v/>
      </c>
      <c r="E227" s="13">
        <f>IF(G227="Subetapa",0,IF(G227="serviço",OFFSET(E227,-1,0)+1,OFFSET(E227,-1,0)))</f>
        <v/>
      </c>
      <c r="F227" s="12" t="n"/>
      <c r="G227" s="17" t="inlineStr">
        <is>
          <t>ETAPA</t>
        </is>
      </c>
      <c r="H227" s="16">
        <f>IF(G227="Unidade Construtiva",TEXT(A227,"00"),IF(G227="Célula Construtiva",TEXT(B227,"00"),IF(G227="Etapa",CONCATENATE(TEXT(B227,"00"),".",TEXT(C227,"000")),IF(G227="Subetapa",CONCATENATE(TEXT(B227,"00"),".",TEXT(C227,"000"),".",TEXT(D227,"000")),IF(G227="Serviço",CONCATENATE(TEXT(B227,"00"),".",TEXT(C227,"000"),".",TEXT(D227,"000"),".",TEXT(E227,"000")),"")))))</f>
        <v/>
      </c>
      <c r="I227" s="15" t="inlineStr">
        <is>
          <t>IMPREVISTOS E CONTINGÊNCIAS</t>
        </is>
      </c>
      <c r="J227" s="6" t="n"/>
    </row>
    <row r="228" ht="20.45" customFormat="1" customHeight="1" s="8">
      <c r="A228" s="14">
        <f>IF($G228="UNIDADE CONSTRUTIVA",OFFSET(A228,-1,0)+1,LARGE(A$3:A227,1))</f>
        <v/>
      </c>
      <c r="B228" s="14">
        <f>IF(G228="UNIDADE CONSTRUTIVA",0,IF(G228="CÉLULA CONSTRUTIVA",OFFSET(B228,-1,0)+1,OFFSET(B228,-1,0)))</f>
        <v/>
      </c>
      <c r="C228" s="14">
        <f>IF(G228="CÉLULA CONSTRUTIVA",0,IF(G228="ETAPA",OFFSET(C228,-1,0)+1,OFFSET(C228,-1,0)))</f>
        <v/>
      </c>
      <c r="D228" s="13">
        <f>IF(G228="ETAPA",0,IF(G228="SUBETAPA",OFFSET(D228,-1,0)+1,OFFSET(D228,-1,0)))</f>
        <v/>
      </c>
      <c r="E228" s="13">
        <f>IF(G228="Subetapa",0,IF(G228="serviço",OFFSET(E228,-1,0)+1,OFFSET(E228,-1,0)))</f>
        <v/>
      </c>
      <c r="F228" s="12" t="n"/>
      <c r="G228" s="19" t="inlineStr">
        <is>
          <t>Subetapa</t>
        </is>
      </c>
      <c r="H228" s="16">
        <f>IF(G228="Unidade Construtiva",TEXT(A228,"00"),IF(G228="Célula Construtiva",TEXT(B228,"00"),IF(G228="Etapa",CONCATENATE(TEXT(B228,"00"),".",TEXT(C228,"000")),IF(G228="Subetapa",CONCATENATE(TEXT(B228,"00"),".",TEXT(C228,"000"),".",TEXT(D228,"000")),IF(G228="Serviço",CONCATENATE(TEXT(B228,"00"),".",TEXT(C228,"000"),".",TEXT(D228,"000"),".",TEXT(E228,"000")),"")))))</f>
        <v/>
      </c>
      <c r="I228" s="18" t="inlineStr">
        <is>
          <t>Imprevistos e contingências</t>
        </is>
      </c>
      <c r="J228" s="6" t="n"/>
    </row>
    <row r="229" ht="20.45" customFormat="1" customHeight="1" s="8">
      <c r="A229" s="14">
        <f>IF($G229="UNIDADE CONSTRUTIVA",OFFSET(A229,-1,0)+1,LARGE(A$3:A228,1))</f>
        <v/>
      </c>
      <c r="B229" s="14">
        <f>IF(G229="UNIDADE CONSTRUTIVA",0,IF(G229="CÉLULA CONSTRUTIVA",OFFSET(B229,-1,0)+1,OFFSET(B229,-1,0)))</f>
        <v/>
      </c>
      <c r="C229" s="14">
        <f>IF(G229="CÉLULA CONSTRUTIVA",0,IF(G229="ETAPA",OFFSET(C229,-1,0)+1,OFFSET(C229,-1,0)))</f>
        <v/>
      </c>
      <c r="D229" s="13">
        <f>IF(G229="ETAPA",0,IF(G229="SUBETAPA",OFFSET(D229,-1,0)+1,OFFSET(D229,-1,0)))</f>
        <v/>
      </c>
      <c r="E229" s="13">
        <f>IF(G229="Subetapa",0,IF(G229="serviço",OFFSET(E229,-1,0)+1,OFFSET(E229,-1,0)))</f>
        <v/>
      </c>
      <c r="F229" s="12" t="n"/>
      <c r="G229" s="25" t="inlineStr">
        <is>
          <t>UNIDADE CONSTRUTIVA</t>
        </is>
      </c>
      <c r="H229" s="16">
        <f>IF(G229="Unidade Construtiva",TEXT(A229,"00"),IF(G229="Célula Construtiva",TEXT(B229,"00"),IF(G229="Etapa",CONCATENATE(TEXT(B229,"00"),".",TEXT(C229,"000")),IF(G229="Subetapa",CONCATENATE(TEXT(B229,"00"),".",TEXT(C229,"000"),".",TEXT(D229,"000")),IF(G229="Serviço",CONCATENATE(TEXT(B229,"00"),".",TEXT(C229,"000"),".",TEXT(D229,"000"),".",TEXT(E229,"000")),"")))))</f>
        <v/>
      </c>
      <c r="I229" s="27" t="inlineStr">
        <is>
          <t>TORRE A</t>
        </is>
      </c>
      <c r="J229" s="6" t="n"/>
    </row>
    <row r="230" ht="20.45" customFormat="1" customHeight="1" s="8">
      <c r="A230" s="14">
        <f>IF($G230="UNIDADE CONSTRUTIVA",OFFSET(A230,-1,0)+1,LARGE(A$3:A229,1))</f>
        <v/>
      </c>
      <c r="B230" s="14">
        <f>IF(G230="UNIDADE CONSTRUTIVA",0,IF(G230="CÉLULA CONSTRUTIVA",OFFSET(B230,-1,0)+1,OFFSET(B230,-1,0)))</f>
        <v/>
      </c>
      <c r="C230" s="14">
        <f>IF(G230="CÉLULA CONSTRUTIVA",0,IF(G230="ETAPA",OFFSET(C230,-1,0)+1,OFFSET(C230,-1,0)))</f>
        <v/>
      </c>
      <c r="D230" s="13">
        <f>IF(G230="ETAPA",0,IF(G230="SUBETAPA",OFFSET(D230,-1,0)+1,OFFSET(D230,-1,0)))</f>
        <v/>
      </c>
      <c r="E230" s="13">
        <f>IF(G230="Subetapa",0,IF(G230="serviço",OFFSET(E230,-1,0)+1,OFFSET(E230,-1,0)))</f>
        <v/>
      </c>
      <c r="F230" s="12" t="n"/>
      <c r="G230" s="17" t="inlineStr">
        <is>
          <t>CÉLULA CONSTRUTIVA</t>
        </is>
      </c>
      <c r="H230" s="16">
        <f>IF(G230="Unidade Construtiva",TEXT(A230,"00"),IF(G230="Célula Construtiva",TEXT(B230,"00"),IF(G230="Etapa",CONCATENATE(TEXT(B230,"00"),".",TEXT(C230,"000")),IF(G230="Subetapa",CONCATENATE(TEXT(B230,"00"),".",TEXT(C230,"000"),".",TEXT(D230,"000")),IF(G230="Serviço",CONCATENATE(TEXT(B230,"00"),".",TEXT(C230,"000"),".",TEXT(D230,"000"),".",TEXT(E230,"000")),"")))))</f>
        <v/>
      </c>
      <c r="I230" s="15" t="inlineStr">
        <is>
          <t>SUPRAESTRUTURA</t>
        </is>
      </c>
      <c r="J230" s="6" t="n"/>
    </row>
    <row r="231" ht="20.45" customFormat="1" customHeight="1" s="8">
      <c r="A231" s="14">
        <f>IF($G231="UNIDADE CONSTRUTIVA",OFFSET(A231,-1,0)+1,LARGE(A$3:A230,1))</f>
        <v/>
      </c>
      <c r="B231" s="14">
        <f>IF(G231="UNIDADE CONSTRUTIVA",0,IF(G231="CÉLULA CONSTRUTIVA",OFFSET(B231,-1,0)+1,OFFSET(B231,-1,0)))</f>
        <v/>
      </c>
      <c r="C231" s="14">
        <f>IF(G231="CÉLULA CONSTRUTIVA",0,IF(G231="ETAPA",OFFSET(C231,-1,0)+1,OFFSET(C231,-1,0)))</f>
        <v/>
      </c>
      <c r="D231" s="13">
        <f>IF(G231="ETAPA",0,IF(G231="SUBETAPA",OFFSET(D231,-1,0)+1,OFFSET(D231,-1,0)))</f>
        <v/>
      </c>
      <c r="E231" s="13">
        <f>IF(G231="Subetapa",0,IF(G231="serviço",OFFSET(E231,-1,0)+1,OFFSET(E231,-1,0)))</f>
        <v/>
      </c>
      <c r="F231" s="12" t="n"/>
      <c r="G231" s="17" t="inlineStr">
        <is>
          <t>ETAPA</t>
        </is>
      </c>
      <c r="H231" s="16">
        <f>IF(G231="Unidade Construtiva",TEXT(A231,"00"),IF(G231="Célula Construtiva",TEXT(B231,"00"),IF(G231="Etapa",CONCATENATE(TEXT(B231,"00"),".",TEXT(C231,"000")),IF(G231="Subetapa",CONCATENATE(TEXT(B231,"00"),".",TEXT(C231,"000"),".",TEXT(D231,"000")),IF(G231="Serviço",CONCATENATE(TEXT(B231,"00"),".",TEXT(C231,"000"),".",TEXT(D231,"000"),".",TEXT(E231,"000")),"")))))</f>
        <v/>
      </c>
      <c r="I231" s="15" t="inlineStr">
        <is>
          <t>SUPRAESTRUTURA</t>
        </is>
      </c>
      <c r="J231" s="6" t="n"/>
    </row>
    <row r="232" ht="20.45" customFormat="1" customHeight="1" s="8">
      <c r="A232" s="14">
        <f>IF($G232="UNIDADE CONSTRUTIVA",OFFSET(A232,-1,0)+1,LARGE(A$3:A231,1))</f>
        <v/>
      </c>
      <c r="B232" s="14">
        <f>IF(G232="UNIDADE CONSTRUTIVA",0,IF(G232="CÉLULA CONSTRUTIVA",OFFSET(B232,-1,0)+1,OFFSET(B232,-1,0)))</f>
        <v/>
      </c>
      <c r="C232" s="14">
        <f>IF(G232="CÉLULA CONSTRUTIVA",0,IF(G232="ETAPA",OFFSET(C232,-1,0)+1,OFFSET(C232,-1,0)))</f>
        <v/>
      </c>
      <c r="D232" s="13">
        <f>IF(G232="ETAPA",0,IF(G232="SUBETAPA",OFFSET(D232,-1,0)+1,OFFSET(D232,-1,0)))</f>
        <v/>
      </c>
      <c r="E232" s="13">
        <f>IF(G232="Subetapa",0,IF(G232="serviço",OFFSET(E232,-1,0)+1,OFFSET(E232,-1,0)))</f>
        <v/>
      </c>
      <c r="F232" s="12" t="n"/>
      <c r="G232" s="19" t="inlineStr">
        <is>
          <t>Subetapa</t>
        </is>
      </c>
      <c r="H232" s="16">
        <f>IF(G232="Unidade Construtiva",TEXT(A232,"00"),IF(G232="Célula Construtiva",TEXT(B232,"00"),IF(G232="Etapa",CONCATENATE(TEXT(B232,"00"),".",TEXT(C232,"000")),IF(G232="Subetapa",CONCATENATE(TEXT(B232,"00"),".",TEXT(C232,"000"),".",TEXT(D232,"000")),IF(G232="Serviço",CONCATENATE(TEXT(B232,"00"),".",TEXT(C232,"000"),".",TEXT(D232,"000"),".",TEXT(E232,"000")),"")))))</f>
        <v/>
      </c>
      <c r="I232" s="18" t="inlineStr">
        <is>
          <t>Forma</t>
        </is>
      </c>
      <c r="J232" s="6" t="n"/>
    </row>
    <row r="233" ht="20.45" customFormat="1" customHeight="1" s="8">
      <c r="A233" s="14">
        <f>IF($G233="UNIDADE CONSTRUTIVA",OFFSET(A233,-1,0)+1,LARGE(A$3:A232,1))</f>
        <v/>
      </c>
      <c r="B233" s="14">
        <f>IF(G233="UNIDADE CONSTRUTIVA",0,IF(G233="CÉLULA CONSTRUTIVA",OFFSET(B233,-1,0)+1,OFFSET(B233,-1,0)))</f>
        <v/>
      </c>
      <c r="C233" s="14">
        <f>IF(G233="CÉLULA CONSTRUTIVA",0,IF(G233="ETAPA",OFFSET(C233,-1,0)+1,OFFSET(C233,-1,0)))</f>
        <v/>
      </c>
      <c r="D233" s="13">
        <f>IF(G233="ETAPA",0,IF(G233="SUBETAPA",OFFSET(D233,-1,0)+1,OFFSET(D233,-1,0)))</f>
        <v/>
      </c>
      <c r="E233" s="13">
        <f>IF(G233="Subetapa",0,IF(G233="serviço",OFFSET(E233,-1,0)+1,OFFSET(E233,-1,0)))</f>
        <v/>
      </c>
      <c r="F233" s="12" t="n"/>
      <c r="G233" s="19" t="inlineStr">
        <is>
          <t>Subetapa</t>
        </is>
      </c>
      <c r="H233" s="16">
        <f>IF(G233="Unidade Construtiva",TEXT(A233,"00"),IF(G233="Célula Construtiva",TEXT(B233,"00"),IF(G233="Etapa",CONCATENATE(TEXT(B233,"00"),".",TEXT(C233,"000")),IF(G233="Subetapa",CONCATENATE(TEXT(B233,"00"),".",TEXT(C233,"000"),".",TEXT(D233,"000")),IF(G233="Serviço",CONCATENATE(TEXT(B233,"00"),".",TEXT(C233,"000"),".",TEXT(D233,"000"),".",TEXT(E233,"000")),"")))))</f>
        <v/>
      </c>
      <c r="I233" s="18" t="inlineStr">
        <is>
          <t>Armadura</t>
        </is>
      </c>
      <c r="J233" s="6" t="n"/>
    </row>
    <row r="234" ht="20.45" customFormat="1" customHeight="1" s="8">
      <c r="A234" s="14">
        <f>IF($G234="UNIDADE CONSTRUTIVA",OFFSET(A234,-1,0)+1,LARGE(A$3:A233,1))</f>
        <v/>
      </c>
      <c r="B234" s="14">
        <f>IF(G234="UNIDADE CONSTRUTIVA",0,IF(G234="CÉLULA CONSTRUTIVA",OFFSET(B234,-1,0)+1,OFFSET(B234,-1,0)))</f>
        <v/>
      </c>
      <c r="C234" s="14">
        <f>IF(G234="CÉLULA CONSTRUTIVA",0,IF(G234="ETAPA",OFFSET(C234,-1,0)+1,OFFSET(C234,-1,0)))</f>
        <v/>
      </c>
      <c r="D234" s="13">
        <f>IF(G234="ETAPA",0,IF(G234="SUBETAPA",OFFSET(D234,-1,0)+1,OFFSET(D234,-1,0)))</f>
        <v/>
      </c>
      <c r="E234" s="13">
        <f>IF(G234="Subetapa",0,IF(G234="serviço",OFFSET(E234,-1,0)+1,OFFSET(E234,-1,0)))</f>
        <v/>
      </c>
      <c r="F234" s="12" t="n"/>
      <c r="G234" s="19" t="inlineStr">
        <is>
          <t>Subetapa</t>
        </is>
      </c>
      <c r="H234" s="16">
        <f>IF(G234="Unidade Construtiva",TEXT(A234,"00"),IF(G234="Célula Construtiva",TEXT(B234,"00"),IF(G234="Etapa",CONCATENATE(TEXT(B234,"00"),".",TEXT(C234,"000")),IF(G234="Subetapa",CONCATENATE(TEXT(B234,"00"),".",TEXT(C234,"000"),".",TEXT(D234,"000")),IF(G234="Serviço",CONCATENATE(TEXT(B234,"00"),".",TEXT(C234,"000"),".",TEXT(D234,"000"),".",TEXT(E234,"000")),"")))))</f>
        <v/>
      </c>
      <c r="I234" s="18" t="inlineStr">
        <is>
          <t>Concreto</t>
        </is>
      </c>
      <c r="J234" s="6" t="n"/>
    </row>
    <row r="235" ht="20.45" customFormat="1" customHeight="1" s="8">
      <c r="A235" s="14">
        <f>IF($G235="UNIDADE CONSTRUTIVA",OFFSET(A235,-1,0)+1,LARGE(A$3:A234,1))</f>
        <v/>
      </c>
      <c r="B235" s="14">
        <f>IF(G235="UNIDADE CONSTRUTIVA",0,IF(G235="CÉLULA CONSTRUTIVA",OFFSET(B235,-1,0)+1,OFFSET(B235,-1,0)))</f>
        <v/>
      </c>
      <c r="C235" s="14">
        <f>IF(G235="CÉLULA CONSTRUTIVA",0,IF(G235="ETAPA",OFFSET(C235,-1,0)+1,OFFSET(C235,-1,0)))</f>
        <v/>
      </c>
      <c r="D235" s="13">
        <f>IF(G235="ETAPA",0,IF(G235="SUBETAPA",OFFSET(D235,-1,0)+1,OFFSET(D235,-1,0)))</f>
        <v/>
      </c>
      <c r="E235" s="13">
        <f>IF(G235="Subetapa",0,IF(G235="serviço",OFFSET(E235,-1,0)+1,OFFSET(E235,-1,0)))</f>
        <v/>
      </c>
      <c r="F235" s="12" t="n"/>
      <c r="G235" s="19" t="inlineStr">
        <is>
          <t>Subetapa</t>
        </is>
      </c>
      <c r="H235" s="16">
        <f>IF(G235="Unidade Construtiva",TEXT(A235,"00"),IF(G235="Célula Construtiva",TEXT(B235,"00"),IF(G235="Etapa",CONCATENATE(TEXT(B235,"00"),".",TEXT(C235,"000")),IF(G235="Subetapa",CONCATENATE(TEXT(B235,"00"),".",TEXT(C235,"000"),".",TEXT(D235,"000")),IF(G235="Serviço",CONCATENATE(TEXT(B235,"00"),".",TEXT(C235,"000"),".",TEXT(D235,"000"),".",TEXT(E235,"000")),"")))))</f>
        <v/>
      </c>
      <c r="I235" s="18" t="inlineStr">
        <is>
          <t>Complementares</t>
        </is>
      </c>
      <c r="J235" s="6" t="n"/>
    </row>
    <row r="236" ht="20.45" customFormat="1" customHeight="1" s="8">
      <c r="A236" s="14">
        <f>IF($G236="UNIDADE CONSTRUTIVA",OFFSET(A236,-1,0)+1,LARGE(A$3:A235,1))</f>
        <v/>
      </c>
      <c r="B236" s="14">
        <f>IF(G236="UNIDADE CONSTRUTIVA",0,IF(G236="CÉLULA CONSTRUTIVA",OFFSET(B236,-1,0)+1,OFFSET(B236,-1,0)))</f>
        <v/>
      </c>
      <c r="C236" s="14">
        <f>IF(G236="CÉLULA CONSTRUTIVA",0,IF(G236="ETAPA",OFFSET(C236,-1,0)+1,OFFSET(C236,-1,0)))</f>
        <v/>
      </c>
      <c r="D236" s="13">
        <f>IF(G236="ETAPA",0,IF(G236="SUBETAPA",OFFSET(D236,-1,0)+1,OFFSET(D236,-1,0)))</f>
        <v/>
      </c>
      <c r="E236" s="13">
        <f>IF(G236="Subetapa",0,IF(G236="serviço",OFFSET(E236,-1,0)+1,OFFSET(E236,-1,0)))</f>
        <v/>
      </c>
      <c r="F236" s="12" t="n"/>
      <c r="G236" s="19" t="inlineStr">
        <is>
          <t>Subetapa</t>
        </is>
      </c>
      <c r="H236" s="16">
        <f>IF(G236="Unidade Construtiva",TEXT(A236,"00"),IF(G236="Célula Construtiva",TEXT(B236,"00"),IF(G236="Etapa",CONCATENATE(TEXT(B236,"00"),".",TEXT(C236,"000")),IF(G236="Subetapa",CONCATENATE(TEXT(B236,"00"),".",TEXT(C236,"000"),".",TEXT(D236,"000")),IF(G236="Serviço",CONCATENATE(TEXT(B236,"00"),".",TEXT(C236,"000"),".",TEXT(D236,"000"),".",TEXT(E236,"000")),"")))))</f>
        <v/>
      </c>
      <c r="I236" s="18" t="inlineStr">
        <is>
          <t>Mão de obra</t>
        </is>
      </c>
      <c r="J236" s="6" t="n"/>
    </row>
    <row r="237" ht="20.45" customFormat="1" customHeight="1" s="8">
      <c r="A237" s="14">
        <f>IF($G237="UNIDADE CONSTRUTIVA",OFFSET(A237,-1,0)+1,LARGE(A$3:A236,1))</f>
        <v/>
      </c>
      <c r="B237" s="14">
        <f>IF(G237="UNIDADE CONSTRUTIVA",0,IF(G237="CÉLULA CONSTRUTIVA",OFFSET(B237,-1,0)+1,OFFSET(B237,-1,0)))</f>
        <v/>
      </c>
      <c r="C237" s="14">
        <f>IF(G237="CÉLULA CONSTRUTIVA",0,IF(G237="ETAPA",OFFSET(C237,-1,0)+1,OFFSET(C237,-1,0)))</f>
        <v/>
      </c>
      <c r="D237" s="13">
        <f>IF(G237="ETAPA",0,IF(G237="SUBETAPA",OFFSET(D237,-1,0)+1,OFFSET(D237,-1,0)))</f>
        <v/>
      </c>
      <c r="E237" s="13">
        <f>IF(G237="Subetapa",0,IF(G237="serviço",OFFSET(E237,-1,0)+1,OFFSET(E237,-1,0)))</f>
        <v/>
      </c>
      <c r="F237" s="12" t="n"/>
      <c r="G237" s="17" t="inlineStr">
        <is>
          <t>CÉLULA CONSTRUTIVA</t>
        </is>
      </c>
      <c r="H237" s="16">
        <f>IF(G237="Unidade Construtiva",TEXT(A237,"00"),IF(G237="Célula Construtiva",TEXT(B237,"00"),IF(G237="Etapa",CONCATENATE(TEXT(B237,"00"),".",TEXT(C237,"000")),IF(G237="Subetapa",CONCATENATE(TEXT(B237,"00"),".",TEXT(C237,"000"),".",TEXT(D237,"000")),IF(G237="Serviço",CONCATENATE(TEXT(B237,"00"),".",TEXT(C237,"000"),".",TEXT(D237,"000"),".",TEXT(E237,"000")),"")))))</f>
        <v/>
      </c>
      <c r="I237" s="15" t="inlineStr">
        <is>
          <t>PAREDES E PAINÉIS</t>
        </is>
      </c>
      <c r="J237" s="6" t="n"/>
    </row>
    <row r="238" ht="20.45" customFormat="1" customHeight="1" s="8">
      <c r="A238" s="14">
        <f>IF($G238="UNIDADE CONSTRUTIVA",OFFSET(A238,-1,0)+1,LARGE(A$3:A237,1))</f>
        <v/>
      </c>
      <c r="B238" s="14">
        <f>IF(G238="UNIDADE CONSTRUTIVA",0,IF(G238="CÉLULA CONSTRUTIVA",OFFSET(B238,-1,0)+1,OFFSET(B238,-1,0)))</f>
        <v/>
      </c>
      <c r="C238" s="14">
        <f>IF(G238="CÉLULA CONSTRUTIVA",0,IF(G238="ETAPA",OFFSET(C238,-1,0)+1,OFFSET(C238,-1,0)))</f>
        <v/>
      </c>
      <c r="D238" s="13">
        <f>IF(G238="ETAPA",0,IF(G238="SUBETAPA",OFFSET(D238,-1,0)+1,OFFSET(D238,-1,0)))</f>
        <v/>
      </c>
      <c r="E238" s="13">
        <f>IF(G238="Subetapa",0,IF(G238="serviço",OFFSET(E238,-1,0)+1,OFFSET(E238,-1,0)))</f>
        <v/>
      </c>
      <c r="F238" s="12" t="n"/>
      <c r="G238" s="17" t="inlineStr">
        <is>
          <t>ETAPA</t>
        </is>
      </c>
      <c r="H238" s="16">
        <f>IF(G238="Unidade Construtiva",TEXT(A238,"00"),IF(G238="Célula Construtiva",TEXT(B238,"00"),IF(G238="Etapa",CONCATENATE(TEXT(B238,"00"),".",TEXT(C238,"000")),IF(G238="Subetapa",CONCATENATE(TEXT(B238,"00"),".",TEXT(C238,"000"),".",TEXT(D238,"000")),IF(G238="Serviço",CONCATENATE(TEXT(B238,"00"),".",TEXT(C238,"000"),".",TEXT(D238,"000"),".",TEXT(E238,"000")),"")))))</f>
        <v/>
      </c>
      <c r="I238" s="15" t="inlineStr">
        <is>
          <t>PAREDES E PAINÉIS</t>
        </is>
      </c>
      <c r="J238" s="6" t="n"/>
    </row>
    <row r="239" ht="20.45" customFormat="1" customHeight="1" s="8">
      <c r="A239" s="14">
        <f>IF($G239="UNIDADE CONSTRUTIVA",OFFSET(A239,-1,0)+1,LARGE(A$3:A238,1))</f>
        <v/>
      </c>
      <c r="B239" s="14">
        <f>IF(G239="UNIDADE CONSTRUTIVA",0,IF(G239="CÉLULA CONSTRUTIVA",OFFSET(B239,-1,0)+1,OFFSET(B239,-1,0)))</f>
        <v/>
      </c>
      <c r="C239" s="14">
        <f>IF(G239="CÉLULA CONSTRUTIVA",0,IF(G239="ETAPA",OFFSET(C239,-1,0)+1,OFFSET(C239,-1,0)))</f>
        <v/>
      </c>
      <c r="D239" s="13">
        <f>IF(G239="ETAPA",0,IF(G239="SUBETAPA",OFFSET(D239,-1,0)+1,OFFSET(D239,-1,0)))</f>
        <v/>
      </c>
      <c r="E239" s="13">
        <f>IF(G239="Subetapa",0,IF(G239="serviço",OFFSET(E239,-1,0)+1,OFFSET(E239,-1,0)))</f>
        <v/>
      </c>
      <c r="F239" s="12" t="n"/>
      <c r="G239" s="19" t="inlineStr">
        <is>
          <t>Subetapa</t>
        </is>
      </c>
      <c r="H239" s="16">
        <f>IF(G239="Unidade Construtiva",TEXT(A239,"00"),IF(G239="Célula Construtiva",TEXT(B239,"00"),IF(G239="Etapa",CONCATENATE(TEXT(B239,"00"),".",TEXT(C239,"000")),IF(G239="Subetapa",CONCATENATE(TEXT(B239,"00"),".",TEXT(C239,"000"),".",TEXT(D239,"000")),IF(G239="Serviço",CONCATENATE(TEXT(B239,"00"),".",TEXT(C239,"000"),".",TEXT(D239,"000"),".",TEXT(E239,"000")),"")))))</f>
        <v/>
      </c>
      <c r="I239" s="18" t="inlineStr">
        <is>
          <t>Alvenaria de vedação com blocos cerâmicos</t>
        </is>
      </c>
      <c r="J239" s="6" t="n"/>
    </row>
    <row r="240" ht="20.45" customFormat="1" customHeight="1" s="8">
      <c r="A240" s="14">
        <f>IF($G240="UNIDADE CONSTRUTIVA",OFFSET(A240,-1,0)+1,LARGE(A$3:A239,1))</f>
        <v/>
      </c>
      <c r="B240" s="14">
        <f>IF(G240="UNIDADE CONSTRUTIVA",0,IF(G240="CÉLULA CONSTRUTIVA",OFFSET(B240,-1,0)+1,OFFSET(B240,-1,0)))</f>
        <v/>
      </c>
      <c r="C240" s="14">
        <f>IF(G240="CÉLULA CONSTRUTIVA",0,IF(G240="ETAPA",OFFSET(C240,-1,0)+1,OFFSET(C240,-1,0)))</f>
        <v/>
      </c>
      <c r="D240" s="13">
        <f>IF(G240="ETAPA",0,IF(G240="SUBETAPA",OFFSET(D240,-1,0)+1,OFFSET(D240,-1,0)))</f>
        <v/>
      </c>
      <c r="E240" s="13">
        <f>IF(G240="Subetapa",0,IF(G240="serviço",OFFSET(E240,-1,0)+1,OFFSET(E240,-1,0)))</f>
        <v/>
      </c>
      <c r="F240" s="12" t="n"/>
      <c r="G240" s="19" t="inlineStr">
        <is>
          <t>Subetapa</t>
        </is>
      </c>
      <c r="H240" s="16">
        <f>IF(G240="Unidade Construtiva",TEXT(A240,"00"),IF(G240="Célula Construtiva",TEXT(B240,"00"),IF(G240="Etapa",CONCATENATE(TEXT(B240,"00"),".",TEXT(C240,"000")),IF(G240="Subetapa",CONCATENATE(TEXT(B240,"00"),".",TEXT(C240,"000"),".",TEXT(D240,"000")),IF(G240="Serviço",CONCATENATE(TEXT(B240,"00"),".",TEXT(C240,"000"),".",TEXT(D240,"000"),".",TEXT(E240,"000")),"")))))</f>
        <v/>
      </c>
      <c r="I240" s="18" t="inlineStr">
        <is>
          <t>Alvenaria de vedação com bocos de concreto</t>
        </is>
      </c>
      <c r="J240" s="6" t="n"/>
    </row>
    <row r="241" ht="20.45" customFormat="1" customHeight="1" s="8">
      <c r="A241" s="14">
        <f>IF($G241="UNIDADE CONSTRUTIVA",OFFSET(A241,-1,0)+1,LARGE(A$3:A240,1))</f>
        <v/>
      </c>
      <c r="B241" s="14">
        <f>IF(G241="UNIDADE CONSTRUTIVA",0,IF(G241="CÉLULA CONSTRUTIVA",OFFSET(B241,-1,0)+1,OFFSET(B241,-1,0)))</f>
        <v/>
      </c>
      <c r="C241" s="14">
        <f>IF(G241="CÉLULA CONSTRUTIVA",0,IF(G241="ETAPA",OFFSET(C241,-1,0)+1,OFFSET(C241,-1,0)))</f>
        <v/>
      </c>
      <c r="D241" s="13">
        <f>IF(G241="ETAPA",0,IF(G241="SUBETAPA",OFFSET(D241,-1,0)+1,OFFSET(D241,-1,0)))</f>
        <v/>
      </c>
      <c r="E241" s="13">
        <f>IF(G241="Subetapa",0,IF(G241="serviço",OFFSET(E241,-1,0)+1,OFFSET(E241,-1,0)))</f>
        <v/>
      </c>
      <c r="F241" s="12" t="n"/>
      <c r="G241" s="19" t="inlineStr">
        <is>
          <t>Subetapa</t>
        </is>
      </c>
      <c r="H241" s="16">
        <f>IF(G241="Unidade Construtiva",TEXT(A241,"00"),IF(G241="Célula Construtiva",TEXT(B241,"00"),IF(G241="Etapa",CONCATENATE(TEXT(B241,"00"),".",TEXT(C241,"000")),IF(G241="Subetapa",CONCATENATE(TEXT(B241,"00"),".",TEXT(C241,"000"),".",TEXT(D241,"000")),IF(G241="Serviço",CONCATENATE(TEXT(B241,"00"),".",TEXT(C241,"000"),".",TEXT(D241,"000"),".",TEXT(E241,"000")),"")))))</f>
        <v/>
      </c>
      <c r="I241" s="18" t="inlineStr">
        <is>
          <t>Serviços complementares para alvenaria de vedação</t>
        </is>
      </c>
      <c r="J241" s="6" t="n"/>
    </row>
    <row r="242" ht="20.45" customFormat="1" customHeight="1" s="8">
      <c r="A242" s="14">
        <f>IF($G242="UNIDADE CONSTRUTIVA",OFFSET(A242,-1,0)+1,LARGE(A$3:A241,1))</f>
        <v/>
      </c>
      <c r="B242" s="14">
        <f>IF(G242="UNIDADE CONSTRUTIVA",0,IF(G242="CÉLULA CONSTRUTIVA",OFFSET(B242,-1,0)+1,OFFSET(B242,-1,0)))</f>
        <v/>
      </c>
      <c r="C242" s="14">
        <f>IF(G242="CÉLULA CONSTRUTIVA",0,IF(G242="ETAPA",OFFSET(C242,-1,0)+1,OFFSET(C242,-1,0)))</f>
        <v/>
      </c>
      <c r="D242" s="13">
        <f>IF(G242="ETAPA",0,IF(G242="SUBETAPA",OFFSET(D242,-1,0)+1,OFFSET(D242,-1,0)))</f>
        <v/>
      </c>
      <c r="E242" s="13">
        <f>IF(G242="Subetapa",0,IF(G242="serviço",OFFSET(E242,-1,0)+1,OFFSET(E242,-1,0)))</f>
        <v/>
      </c>
      <c r="F242" s="12" t="n"/>
      <c r="G242" s="19" t="inlineStr">
        <is>
          <t>Subetapa</t>
        </is>
      </c>
      <c r="H242" s="16">
        <f>IF(G242="Unidade Construtiva",TEXT(A242,"00"),IF(G242="Célula Construtiva",TEXT(B242,"00"),IF(G242="Etapa",CONCATENATE(TEXT(B242,"00"),".",TEXT(C242,"000")),IF(G242="Subetapa",CONCATENATE(TEXT(B242,"00"),".",TEXT(C242,"000"),".",TEXT(D242,"000")),IF(G242="Serviço",CONCATENATE(TEXT(B242,"00"),".",TEXT(C242,"000"),".",TEXT(D242,"000"),".",TEXT(E242,"000")),"")))))</f>
        <v/>
      </c>
      <c r="I242" s="18" t="inlineStr">
        <is>
          <t>Drywall</t>
        </is>
      </c>
      <c r="J242" s="6" t="n"/>
    </row>
    <row r="243" ht="20.45" customFormat="1" customHeight="1" s="8">
      <c r="A243" s="14">
        <f>IF($G243="UNIDADE CONSTRUTIVA",OFFSET(A243,-1,0)+1,LARGE(A$3:A242,1))</f>
        <v/>
      </c>
      <c r="B243" s="14">
        <f>IF(G243="UNIDADE CONSTRUTIVA",0,IF(G243="CÉLULA CONSTRUTIVA",OFFSET(B243,-1,0)+1,OFFSET(B243,-1,0)))</f>
        <v/>
      </c>
      <c r="C243" s="14">
        <f>IF(G243="CÉLULA CONSTRUTIVA",0,IF(G243="ETAPA",OFFSET(C243,-1,0)+1,OFFSET(C243,-1,0)))</f>
        <v/>
      </c>
      <c r="D243" s="13">
        <f>IF(G243="ETAPA",0,IF(G243="SUBETAPA",OFFSET(D243,-1,0)+1,OFFSET(D243,-1,0)))</f>
        <v/>
      </c>
      <c r="E243" s="13">
        <f>IF(G243="Subetapa",0,IF(G243="serviço",OFFSET(E243,-1,0)+1,OFFSET(E243,-1,0)))</f>
        <v/>
      </c>
      <c r="F243" s="12" t="n"/>
      <c r="G243" s="19" t="inlineStr">
        <is>
          <t>Subetapa</t>
        </is>
      </c>
      <c r="H243" s="16">
        <f>IF(G243="Unidade Construtiva",TEXT(A243,"00"),IF(G243="Célula Construtiva",TEXT(B243,"00"),IF(G243="Etapa",CONCATENATE(TEXT(B243,"00"),".",TEXT(C243,"000")),IF(G243="Subetapa",CONCATENATE(TEXT(B243,"00"),".",TEXT(C243,"000"),".",TEXT(D243,"000")),IF(G243="Serviço",CONCATENATE(TEXT(B243,"00"),".",TEXT(C243,"000"),".",TEXT(D243,"000"),".",TEXT(E243,"000")),"")))))</f>
        <v/>
      </c>
      <c r="I243" s="18" t="inlineStr">
        <is>
          <t>Mão de obra</t>
        </is>
      </c>
      <c r="J243" s="6" t="n"/>
    </row>
    <row r="244" ht="20.45" customFormat="1" customHeight="1" s="8">
      <c r="A244" s="14">
        <f>IF($G244="UNIDADE CONSTRUTIVA",OFFSET(A244,-1,0)+1,LARGE(A$3:A243,1))</f>
        <v/>
      </c>
      <c r="B244" s="14">
        <f>IF(G244="UNIDADE CONSTRUTIVA",0,IF(G244="CÉLULA CONSTRUTIVA",OFFSET(B244,-1,0)+1,OFFSET(B244,-1,0)))</f>
        <v/>
      </c>
      <c r="C244" s="14">
        <f>IF(G244="CÉLULA CONSTRUTIVA",0,IF(G244="ETAPA",OFFSET(C244,-1,0)+1,OFFSET(C244,-1,0)))</f>
        <v/>
      </c>
      <c r="D244" s="13">
        <f>IF(G244="ETAPA",0,IF(G244="SUBETAPA",OFFSET(D244,-1,0)+1,OFFSET(D244,-1,0)))</f>
        <v/>
      </c>
      <c r="E244" s="13">
        <f>IF(G244="Subetapa",0,IF(G244="serviço",OFFSET(E244,-1,0)+1,OFFSET(E244,-1,0)))</f>
        <v/>
      </c>
      <c r="F244" s="12" t="n"/>
      <c r="G244" s="17" t="inlineStr">
        <is>
          <t>CÉLULA CONSTRUTIVA</t>
        </is>
      </c>
      <c r="H244" s="16">
        <f>IF(G244="Unidade Construtiva",TEXT(A244,"00"),IF(G244="Célula Construtiva",TEXT(B244,"00"),IF(G244="Etapa",CONCATENATE(TEXT(B244,"00"),".",TEXT(C244,"000")),IF(G244="Subetapa",CONCATENATE(TEXT(B244,"00"),".",TEXT(C244,"000"),".",TEXT(D244,"000")),IF(G244="Serviço",CONCATENATE(TEXT(B244,"00"),".",TEXT(C244,"000"),".",TEXT(D244,"000"),".",TEXT(E244,"000")),"")))))</f>
        <v/>
      </c>
      <c r="I244" s="15" t="inlineStr">
        <is>
          <t>IMPERMEABILIZAÇÃO E TRATAMENTOS</t>
        </is>
      </c>
      <c r="J244" s="6" t="n"/>
    </row>
    <row r="245" ht="20.45" customFormat="1" customHeight="1" s="8">
      <c r="A245" s="14">
        <f>IF($G245="UNIDADE CONSTRUTIVA",OFFSET(A245,-1,0)+1,LARGE(A$3:A244,1))</f>
        <v/>
      </c>
      <c r="B245" s="14">
        <f>IF(G245="UNIDADE CONSTRUTIVA",0,IF(G245="CÉLULA CONSTRUTIVA",OFFSET(B245,-1,0)+1,OFFSET(B245,-1,0)))</f>
        <v/>
      </c>
      <c r="C245" s="14">
        <f>IF(G245="CÉLULA CONSTRUTIVA",0,IF(G245="ETAPA",OFFSET(C245,-1,0)+1,OFFSET(C245,-1,0)))</f>
        <v/>
      </c>
      <c r="D245" s="13">
        <f>IF(G245="ETAPA",0,IF(G245="SUBETAPA",OFFSET(D245,-1,0)+1,OFFSET(D245,-1,0)))</f>
        <v/>
      </c>
      <c r="E245" s="13">
        <f>IF(G245="Subetapa",0,IF(G245="serviço",OFFSET(E245,-1,0)+1,OFFSET(E245,-1,0)))</f>
        <v/>
      </c>
      <c r="F245" s="12" t="n"/>
      <c r="G245" s="17" t="inlineStr">
        <is>
          <t>ETAPA</t>
        </is>
      </c>
      <c r="H245" s="16">
        <f>IF(G245="Unidade Construtiva",TEXT(A245,"00"),IF(G245="Célula Construtiva",TEXT(B245,"00"),IF(G245="Etapa",CONCATENATE(TEXT(B245,"00"),".",TEXT(C245,"000")),IF(G245="Subetapa",CONCATENATE(TEXT(B245,"00"),".",TEXT(C245,"000"),".",TEXT(D245,"000")),IF(G245="Serviço",CONCATENATE(TEXT(B245,"00"),".",TEXT(C245,"000"),".",TEXT(D245,"000"),".",TEXT(E245,"000")),"")))))</f>
        <v/>
      </c>
      <c r="I245" s="15" t="inlineStr">
        <is>
          <t>IMPERMEABILIZAÇÃO E TRATAMENTOS</t>
        </is>
      </c>
      <c r="J245" s="6" t="n"/>
    </row>
    <row r="246" ht="20.45" customFormat="1" customHeight="1" s="8">
      <c r="A246" s="14">
        <f>IF($G246="UNIDADE CONSTRUTIVA",OFFSET(A246,-1,0)+1,LARGE(A$3:A245,1))</f>
        <v/>
      </c>
      <c r="B246" s="14">
        <f>IF(G246="UNIDADE CONSTRUTIVA",0,IF(G246="CÉLULA CONSTRUTIVA",OFFSET(B246,-1,0)+1,OFFSET(B246,-1,0)))</f>
        <v/>
      </c>
      <c r="C246" s="14">
        <f>IF(G246="CÉLULA CONSTRUTIVA",0,IF(G246="ETAPA",OFFSET(C246,-1,0)+1,OFFSET(C246,-1,0)))</f>
        <v/>
      </c>
      <c r="D246" s="13">
        <f>IF(G246="ETAPA",0,IF(G246="SUBETAPA",OFFSET(D246,-1,0)+1,OFFSET(D246,-1,0)))</f>
        <v/>
      </c>
      <c r="E246" s="13">
        <f>IF(G246="Subetapa",0,IF(G246="serviço",OFFSET(E246,-1,0)+1,OFFSET(E246,-1,0)))</f>
        <v/>
      </c>
      <c r="F246" s="12" t="n"/>
      <c r="G246" s="19" t="inlineStr">
        <is>
          <t>Subetapa</t>
        </is>
      </c>
      <c r="H246" s="16">
        <f>IF(G246="Unidade Construtiva",TEXT(A246,"00"),IF(G246="Célula Construtiva",TEXT(B246,"00"),IF(G246="Etapa",CONCATENATE(TEXT(B246,"00"),".",TEXT(C246,"000")),IF(G246="Subetapa",CONCATENATE(TEXT(B246,"00"),".",TEXT(C246,"000"),".",TEXT(D246,"000")),IF(G246="Serviço",CONCATENATE(TEXT(B246,"00"),".",TEXT(C246,"000"),".",TEXT(D246,"000"),".",TEXT(E246,"000")),"")))))</f>
        <v/>
      </c>
      <c r="I246" s="18" t="inlineStr">
        <is>
          <t>Regularização e proteção mecânica</t>
        </is>
      </c>
      <c r="J246" s="6" t="n"/>
    </row>
    <row r="247" ht="20.45" customFormat="1" customHeight="1" s="8">
      <c r="A247" s="14">
        <f>IF($G247="UNIDADE CONSTRUTIVA",OFFSET(A247,-1,0)+1,LARGE(A$3:A246,1))</f>
        <v/>
      </c>
      <c r="B247" s="14">
        <f>IF(G247="UNIDADE CONSTRUTIVA",0,IF(G247="CÉLULA CONSTRUTIVA",OFFSET(B247,-1,0)+1,OFFSET(B247,-1,0)))</f>
        <v/>
      </c>
      <c r="C247" s="14">
        <f>IF(G247="CÉLULA CONSTRUTIVA",0,IF(G247="ETAPA",OFFSET(C247,-1,0)+1,OFFSET(C247,-1,0)))</f>
        <v/>
      </c>
      <c r="D247" s="13">
        <f>IF(G247="ETAPA",0,IF(G247="SUBETAPA",OFFSET(D247,-1,0)+1,OFFSET(D247,-1,0)))</f>
        <v/>
      </c>
      <c r="E247" s="13">
        <f>IF(G247="Subetapa",0,IF(G247="serviço",OFFSET(E247,-1,0)+1,OFFSET(E247,-1,0)))</f>
        <v/>
      </c>
      <c r="F247" s="12" t="n"/>
      <c r="G247" s="19" t="inlineStr">
        <is>
          <t>Subetapa</t>
        </is>
      </c>
      <c r="H247" s="16">
        <f>IF(G247="Unidade Construtiva",TEXT(A247,"00"),IF(G247="Célula Construtiva",TEXT(B247,"00"),IF(G247="Etapa",CONCATENATE(TEXT(B247,"00"),".",TEXT(C247,"000")),IF(G247="Subetapa",CONCATENATE(TEXT(B247,"00"),".",TEXT(C247,"000"),".",TEXT(D247,"000")),IF(G247="Serviço",CONCATENATE(TEXT(B247,"00"),".",TEXT(C247,"000"),".",TEXT(D247,"000"),".",TEXT(E247,"000")),"")))))</f>
        <v/>
      </c>
      <c r="I247" s="18" t="inlineStr">
        <is>
          <t>Impermeabilização de cisternas</t>
        </is>
      </c>
      <c r="J247" s="6" t="n"/>
    </row>
    <row r="248" ht="20.45" customFormat="1" customHeight="1" s="8">
      <c r="A248" s="14">
        <f>IF($G248="UNIDADE CONSTRUTIVA",OFFSET(A248,-1,0)+1,LARGE(A$3:A247,1))</f>
        <v/>
      </c>
      <c r="B248" s="14">
        <f>IF(G248="UNIDADE CONSTRUTIVA",0,IF(G248="CÉLULA CONSTRUTIVA",OFFSET(B248,-1,0)+1,OFFSET(B248,-1,0)))</f>
        <v/>
      </c>
      <c r="C248" s="14">
        <f>IF(G248="CÉLULA CONSTRUTIVA",0,IF(G248="ETAPA",OFFSET(C248,-1,0)+1,OFFSET(C248,-1,0)))</f>
        <v/>
      </c>
      <c r="D248" s="13">
        <f>IF(G248="ETAPA",0,IF(G248="SUBETAPA",OFFSET(D248,-1,0)+1,OFFSET(D248,-1,0)))</f>
        <v/>
      </c>
      <c r="E248" s="13">
        <f>IF(G248="Subetapa",0,IF(G248="serviço",OFFSET(E248,-1,0)+1,OFFSET(E248,-1,0)))</f>
        <v/>
      </c>
      <c r="F248" s="12" t="n"/>
      <c r="G248" s="19" t="inlineStr">
        <is>
          <t>Subetapa</t>
        </is>
      </c>
      <c r="H248" s="16">
        <f>IF(G248="Unidade Construtiva",TEXT(A248,"00"),IF(G248="Célula Construtiva",TEXT(B248,"00"),IF(G248="Etapa",CONCATENATE(TEXT(B248,"00"),".",TEXT(C248,"000")),IF(G248="Subetapa",CONCATENATE(TEXT(B248,"00"),".",TEXT(C248,"000"),".",TEXT(D248,"000")),IF(G248="Serviço",CONCATENATE(TEXT(B248,"00"),".",TEXT(C248,"000"),".",TEXT(D248,"000"),".",TEXT(E248,"000")),"")))))</f>
        <v/>
      </c>
      <c r="I248" s="18" t="inlineStr">
        <is>
          <t>Impermeabilização de fundação e contenção</t>
        </is>
      </c>
      <c r="J248" s="6" t="n"/>
    </row>
    <row r="249" ht="20.45" customFormat="1" customHeight="1" s="8">
      <c r="A249" s="14">
        <f>IF($G249="UNIDADE CONSTRUTIVA",OFFSET(A249,-1,0)+1,LARGE(A$3:A248,1))</f>
        <v/>
      </c>
      <c r="B249" s="14">
        <f>IF(G249="UNIDADE CONSTRUTIVA",0,IF(G249="CÉLULA CONSTRUTIVA",OFFSET(B249,-1,0)+1,OFFSET(B249,-1,0)))</f>
        <v/>
      </c>
      <c r="C249" s="14">
        <f>IF(G249="CÉLULA CONSTRUTIVA",0,IF(G249="ETAPA",OFFSET(C249,-1,0)+1,OFFSET(C249,-1,0)))</f>
        <v/>
      </c>
      <c r="D249" s="13">
        <f>IF(G249="ETAPA",0,IF(G249="SUBETAPA",OFFSET(D249,-1,0)+1,OFFSET(D249,-1,0)))</f>
        <v/>
      </c>
      <c r="E249" s="13">
        <f>IF(G249="Subetapa",0,IF(G249="serviço",OFFSET(E249,-1,0)+1,OFFSET(E249,-1,0)))</f>
        <v/>
      </c>
      <c r="F249" s="12" t="n"/>
      <c r="G249" s="19" t="inlineStr">
        <is>
          <t>Subetapa</t>
        </is>
      </c>
      <c r="H249" s="16">
        <f>IF(G249="Unidade Construtiva",TEXT(A249,"00"),IF(G249="Célula Construtiva",TEXT(B249,"00"),IF(G249="Etapa",CONCATENATE(TEXT(B249,"00"),".",TEXT(C249,"000")),IF(G249="Subetapa",CONCATENATE(TEXT(B249,"00"),".",TEXT(C249,"000"),".",TEXT(D249,"000")),IF(G249="Serviço",CONCATENATE(TEXT(B249,"00"),".",TEXT(C249,"000"),".",TEXT(D249,"000"),".",TEXT(E249,"000")),"")))))</f>
        <v/>
      </c>
      <c r="I249" s="18" t="inlineStr">
        <is>
          <t>Impermeabilização de lajes e terraços</t>
        </is>
      </c>
      <c r="J249" s="6" t="n"/>
    </row>
    <row r="250" ht="20.45" customFormat="1" customHeight="1" s="8">
      <c r="A250" s="14">
        <f>IF($G250="UNIDADE CONSTRUTIVA",OFFSET(A250,-1,0)+1,LARGE(A$3:A249,1))</f>
        <v/>
      </c>
      <c r="B250" s="14">
        <f>IF(G250="UNIDADE CONSTRUTIVA",0,IF(G250="CÉLULA CONSTRUTIVA",OFFSET(B250,-1,0)+1,OFFSET(B250,-1,0)))</f>
        <v/>
      </c>
      <c r="C250" s="14">
        <f>IF(G250="CÉLULA CONSTRUTIVA",0,IF(G250="ETAPA",OFFSET(C250,-1,0)+1,OFFSET(C250,-1,0)))</f>
        <v/>
      </c>
      <c r="D250" s="13">
        <f>IF(G250="ETAPA",0,IF(G250="SUBETAPA",OFFSET(D250,-1,0)+1,OFFSET(D250,-1,0)))</f>
        <v/>
      </c>
      <c r="E250" s="13">
        <f>IF(G250="Subetapa",0,IF(G250="serviço",OFFSET(E250,-1,0)+1,OFFSET(E250,-1,0)))</f>
        <v/>
      </c>
      <c r="F250" s="12" t="n"/>
      <c r="G250" s="19" t="inlineStr">
        <is>
          <t>Subetapa</t>
        </is>
      </c>
      <c r="H250" s="16">
        <f>IF(G250="Unidade Construtiva",TEXT(A250,"00"),IF(G250="Célula Construtiva",TEXT(B250,"00"),IF(G250="Etapa",CONCATENATE(TEXT(B250,"00"),".",TEXT(C250,"000")),IF(G250="Subetapa",CONCATENATE(TEXT(B250,"00"),".",TEXT(C250,"000"),".",TEXT(D250,"000")),IF(G250="Serviço",CONCATENATE(TEXT(B250,"00"),".",TEXT(C250,"000"),".",TEXT(D250,"000"),".",TEXT(E250,"000")),"")))))</f>
        <v/>
      </c>
      <c r="I250" s="18" t="inlineStr">
        <is>
          <t>Impermeabilização de piscinas e espelhos d´água</t>
        </is>
      </c>
      <c r="J250" s="6" t="n"/>
    </row>
    <row r="251" ht="20.45" customFormat="1" customHeight="1" s="8">
      <c r="A251" s="14">
        <f>IF($G251="UNIDADE CONSTRUTIVA",OFFSET(A251,-1,0)+1,LARGE(A$3:A250,1))</f>
        <v/>
      </c>
      <c r="B251" s="14">
        <f>IF(G251="UNIDADE CONSTRUTIVA",0,IF(G251="CÉLULA CONSTRUTIVA",OFFSET(B251,-1,0)+1,OFFSET(B251,-1,0)))</f>
        <v/>
      </c>
      <c r="C251" s="14">
        <f>IF(G251="CÉLULA CONSTRUTIVA",0,IF(G251="ETAPA",OFFSET(C251,-1,0)+1,OFFSET(C251,-1,0)))</f>
        <v/>
      </c>
      <c r="D251" s="13">
        <f>IF(G251="ETAPA",0,IF(G251="SUBETAPA",OFFSET(D251,-1,0)+1,OFFSET(D251,-1,0)))</f>
        <v/>
      </c>
      <c r="E251" s="13">
        <f>IF(G251="Subetapa",0,IF(G251="serviço",OFFSET(E251,-1,0)+1,OFFSET(E251,-1,0)))</f>
        <v/>
      </c>
      <c r="F251" s="12" t="n"/>
      <c r="G251" s="19" t="inlineStr">
        <is>
          <t>Subetapa</t>
        </is>
      </c>
      <c r="H251" s="16">
        <f>IF(G251="Unidade Construtiva",TEXT(A251,"00"),IF(G251="Célula Construtiva",TEXT(B251,"00"),IF(G251="Etapa",CONCATENATE(TEXT(B251,"00"),".",TEXT(C251,"000")),IF(G251="Subetapa",CONCATENATE(TEXT(B251,"00"),".",TEXT(C251,"000"),".",TEXT(D251,"000")),IF(G251="Serviço",CONCATENATE(TEXT(B251,"00"),".",TEXT(C251,"000"),".",TEXT(D251,"000"),".",TEXT(E251,"000")),"")))))</f>
        <v/>
      </c>
      <c r="I251" s="18" t="inlineStr">
        <is>
          <t>Impermeabilização de banheiro, cozinha e sacada</t>
        </is>
      </c>
      <c r="J251" s="6" t="n"/>
    </row>
    <row r="252" ht="20.45" customFormat="1" customHeight="1" s="8">
      <c r="A252" s="14">
        <f>IF($G252="UNIDADE CONSTRUTIVA",OFFSET(A252,-1,0)+1,LARGE(A$3:A251,1))</f>
        <v/>
      </c>
      <c r="B252" s="14">
        <f>IF(G252="UNIDADE CONSTRUTIVA",0,IF(G252="CÉLULA CONSTRUTIVA",OFFSET(B252,-1,0)+1,OFFSET(B252,-1,0)))</f>
        <v/>
      </c>
      <c r="C252" s="14">
        <f>IF(G252="CÉLULA CONSTRUTIVA",0,IF(G252="ETAPA",OFFSET(C252,-1,0)+1,OFFSET(C252,-1,0)))</f>
        <v/>
      </c>
      <c r="D252" s="13">
        <f>IF(G252="ETAPA",0,IF(G252="SUBETAPA",OFFSET(D252,-1,0)+1,OFFSET(D252,-1,0)))</f>
        <v/>
      </c>
      <c r="E252" s="13">
        <f>IF(G252="Subetapa",0,IF(G252="serviço",OFFSET(E252,-1,0)+1,OFFSET(E252,-1,0)))</f>
        <v/>
      </c>
      <c r="F252" s="12" t="n"/>
      <c r="G252" s="19" t="inlineStr">
        <is>
          <t>Subetapa</t>
        </is>
      </c>
      <c r="H252" s="16">
        <f>IF(G252="Unidade Construtiva",TEXT(A252,"00"),IF(G252="Célula Construtiva",TEXT(B252,"00"),IF(G252="Etapa",CONCATENATE(TEXT(B252,"00"),".",TEXT(C252,"000")),IF(G252="Subetapa",CONCATENATE(TEXT(B252,"00"),".",TEXT(C252,"000"),".",TEXT(D252,"000")),IF(G252="Serviço",CONCATENATE(TEXT(B252,"00"),".",TEXT(C252,"000"),".",TEXT(D252,"000"),".",TEXT(E252,"000")),"")))))</f>
        <v/>
      </c>
      <c r="I252" s="18" t="inlineStr">
        <is>
          <t>Impermeabilização de esquadrias</t>
        </is>
      </c>
      <c r="J252" s="6" t="n"/>
    </row>
    <row r="253" ht="20.45" customFormat="1" customHeight="1" s="8">
      <c r="A253" s="14">
        <f>IF($G253="UNIDADE CONSTRUTIVA",OFFSET(A253,-1,0)+1,LARGE(A$3:A252,1))</f>
        <v/>
      </c>
      <c r="B253" s="14">
        <f>IF(G253="UNIDADE CONSTRUTIVA",0,IF(G253="CÉLULA CONSTRUTIVA",OFFSET(B253,-1,0)+1,OFFSET(B253,-1,0)))</f>
        <v/>
      </c>
      <c r="C253" s="14">
        <f>IF(G253="CÉLULA CONSTRUTIVA",0,IF(G253="ETAPA",OFFSET(C253,-1,0)+1,OFFSET(C253,-1,0)))</f>
        <v/>
      </c>
      <c r="D253" s="13">
        <f>IF(G253="ETAPA",0,IF(G253="SUBETAPA",OFFSET(D253,-1,0)+1,OFFSET(D253,-1,0)))</f>
        <v/>
      </c>
      <c r="E253" s="13">
        <f>IF(G253="Subetapa",0,IF(G253="serviço",OFFSET(E253,-1,0)+1,OFFSET(E253,-1,0)))</f>
        <v/>
      </c>
      <c r="F253" s="12" t="n"/>
      <c r="G253" s="19" t="inlineStr">
        <is>
          <t>Subetapa</t>
        </is>
      </c>
      <c r="H253" s="16">
        <f>IF(G253="Unidade Construtiva",TEXT(A253,"00"),IF(G253="Célula Construtiva",TEXT(B253,"00"),IF(G253="Etapa",CONCATENATE(TEXT(B253,"00"),".",TEXT(C253,"000")),IF(G253="Subetapa",CONCATENATE(TEXT(B253,"00"),".",TEXT(C253,"000"),".",TEXT(D253,"000")),IF(G253="Serviço",CONCATENATE(TEXT(B253,"00"),".",TEXT(C253,"000"),".",TEXT(D253,"000"),".",TEXT(E253,"000")),"")))))</f>
        <v/>
      </c>
      <c r="I253" s="18" t="inlineStr">
        <is>
          <t>Impermeabilização de ralos</t>
        </is>
      </c>
      <c r="J253" s="6" t="n"/>
    </row>
    <row r="254" ht="20.45" customFormat="1" customHeight="1" s="8">
      <c r="A254" s="14">
        <f>IF($G254="UNIDADE CONSTRUTIVA",OFFSET(A254,-1,0)+1,LARGE(A$3:A253,1))</f>
        <v/>
      </c>
      <c r="B254" s="14">
        <f>IF(G254="UNIDADE CONSTRUTIVA",0,IF(G254="CÉLULA CONSTRUTIVA",OFFSET(B254,-1,0)+1,OFFSET(B254,-1,0)))</f>
        <v/>
      </c>
      <c r="C254" s="14">
        <f>IF(G254="CÉLULA CONSTRUTIVA",0,IF(G254="ETAPA",OFFSET(C254,-1,0)+1,OFFSET(C254,-1,0)))</f>
        <v/>
      </c>
      <c r="D254" s="13">
        <f>IF(G254="ETAPA",0,IF(G254="SUBETAPA",OFFSET(D254,-1,0)+1,OFFSET(D254,-1,0)))</f>
        <v/>
      </c>
      <c r="E254" s="13">
        <f>IF(G254="Subetapa",0,IF(G254="serviço",OFFSET(E254,-1,0)+1,OFFSET(E254,-1,0)))</f>
        <v/>
      </c>
      <c r="F254" s="12" t="n"/>
      <c r="G254" s="19" t="inlineStr">
        <is>
          <t>Subetapa</t>
        </is>
      </c>
      <c r="H254" s="16">
        <f>IF(G254="Unidade Construtiva",TEXT(A254,"00"),IF(G254="Célula Construtiva",TEXT(B254,"00"),IF(G254="Etapa",CONCATENATE(TEXT(B254,"00"),".",TEXT(C254,"000")),IF(G254="Subetapa",CONCATENATE(TEXT(B254,"00"),".",TEXT(C254,"000"),".",TEXT(D254,"000")),IF(G254="Serviço",CONCATENATE(TEXT(B254,"00"),".",TEXT(C254,"000"),".",TEXT(D254,"000"),".",TEXT(E254,"000")),"")))))</f>
        <v/>
      </c>
      <c r="I254" s="18" t="inlineStr">
        <is>
          <t>Impermeabilização de floreiras</t>
        </is>
      </c>
      <c r="J254" s="6" t="n"/>
    </row>
    <row r="255" ht="20.45" customFormat="1" customHeight="1" s="8">
      <c r="A255" s="14">
        <f>IF($G255="UNIDADE CONSTRUTIVA",OFFSET(A255,-1,0)+1,LARGE(A$3:A254,1))</f>
        <v/>
      </c>
      <c r="B255" s="14">
        <f>IF(G255="UNIDADE CONSTRUTIVA",0,IF(G255="CÉLULA CONSTRUTIVA",OFFSET(B255,-1,0)+1,OFFSET(B255,-1,0)))</f>
        <v/>
      </c>
      <c r="C255" s="14">
        <f>IF(G255="CÉLULA CONSTRUTIVA",0,IF(G255="ETAPA",OFFSET(C255,-1,0)+1,OFFSET(C255,-1,0)))</f>
        <v/>
      </c>
      <c r="D255" s="13">
        <f>IF(G255="ETAPA",0,IF(G255="SUBETAPA",OFFSET(D255,-1,0)+1,OFFSET(D255,-1,0)))</f>
        <v/>
      </c>
      <c r="E255" s="13">
        <f>IF(G255="Subetapa",0,IF(G255="serviço",OFFSET(E255,-1,0)+1,OFFSET(E255,-1,0)))</f>
        <v/>
      </c>
      <c r="F255" s="12" t="n"/>
      <c r="G255" s="19" t="inlineStr">
        <is>
          <t>Subetapa</t>
        </is>
      </c>
      <c r="H255" s="16">
        <f>IF(G255="Unidade Construtiva",TEXT(A255,"00"),IF(G255="Célula Construtiva",TEXT(B255,"00"),IF(G255="Etapa",CONCATENATE(TEXT(B255,"00"),".",TEXT(C255,"000")),IF(G255="Subetapa",CONCATENATE(TEXT(B255,"00"),".",TEXT(C255,"000"),".",TEXT(D255,"000")),IF(G255="Serviço",CONCATENATE(TEXT(B255,"00"),".",TEXT(C255,"000"),".",TEXT(D255,"000"),".",TEXT(E255,"000")),"")))))</f>
        <v/>
      </c>
      <c r="I255" s="18" t="inlineStr">
        <is>
          <t>Impermeabilização de reservatórios</t>
        </is>
      </c>
      <c r="J255" s="6" t="n"/>
    </row>
    <row r="256" ht="20.45" customFormat="1" customHeight="1" s="8">
      <c r="A256" s="14">
        <f>IF($G256="UNIDADE CONSTRUTIVA",OFFSET(A256,-1,0)+1,LARGE(A$3:A255,1))</f>
        <v/>
      </c>
      <c r="B256" s="14">
        <f>IF(G256="UNIDADE CONSTRUTIVA",0,IF(G256="CÉLULA CONSTRUTIVA",OFFSET(B256,-1,0)+1,OFFSET(B256,-1,0)))</f>
        <v/>
      </c>
      <c r="C256" s="14">
        <f>IF(G256="CÉLULA CONSTRUTIVA",0,IF(G256="ETAPA",OFFSET(C256,-1,0)+1,OFFSET(C256,-1,0)))</f>
        <v/>
      </c>
      <c r="D256" s="13">
        <f>IF(G256="ETAPA",0,IF(G256="SUBETAPA",OFFSET(D256,-1,0)+1,OFFSET(D256,-1,0)))</f>
        <v/>
      </c>
      <c r="E256" s="13">
        <f>IF(G256="Subetapa",0,IF(G256="serviço",OFFSET(E256,-1,0)+1,OFFSET(E256,-1,0)))</f>
        <v/>
      </c>
      <c r="F256" s="12" t="n"/>
      <c r="G256" s="19" t="inlineStr">
        <is>
          <t>Subetapa</t>
        </is>
      </c>
      <c r="H256" s="16">
        <f>IF(G256="Unidade Construtiva",TEXT(A256,"00"),IF(G256="Célula Construtiva",TEXT(B256,"00"),IF(G256="Etapa",CONCATENATE(TEXT(B256,"00"),".",TEXT(C256,"000")),IF(G256="Subetapa",CONCATENATE(TEXT(B256,"00"),".",TEXT(C256,"000"),".",TEXT(D256,"000")),IF(G256="Serviço",CONCATENATE(TEXT(B256,"00"),".",TEXT(C256,"000"),".",TEXT(D256,"000"),".",TEXT(E256,"000")),"")))))</f>
        <v/>
      </c>
      <c r="I256" s="18" t="inlineStr">
        <is>
          <t>Mão de obra</t>
        </is>
      </c>
      <c r="J256" s="6" t="n"/>
    </row>
    <row r="257" ht="20.45" customFormat="1" customHeight="1" s="8">
      <c r="A257" s="14">
        <f>IF($G257="UNIDADE CONSTRUTIVA",OFFSET(A257,-1,0)+1,LARGE(A$3:A256,1))</f>
        <v/>
      </c>
      <c r="B257" s="14">
        <f>IF(G257="UNIDADE CONSTRUTIVA",0,IF(G257="CÉLULA CONSTRUTIVA",OFFSET(B257,-1,0)+1,OFFSET(B257,-1,0)))</f>
        <v/>
      </c>
      <c r="C257" s="14">
        <f>IF(G257="CÉLULA CONSTRUTIVA",0,IF(G257="ETAPA",OFFSET(C257,-1,0)+1,OFFSET(C257,-1,0)))</f>
        <v/>
      </c>
      <c r="D257" s="13">
        <f>IF(G257="ETAPA",0,IF(G257="SUBETAPA",OFFSET(D257,-1,0)+1,OFFSET(D257,-1,0)))</f>
        <v/>
      </c>
      <c r="E257" s="13">
        <f>IF(G257="Subetapa",0,IF(G257="serviço",OFFSET(E257,-1,0)+1,OFFSET(E257,-1,0)))</f>
        <v/>
      </c>
      <c r="F257" s="12" t="n"/>
      <c r="G257" s="17" t="inlineStr">
        <is>
          <t>CÉLULA CONSTRUTIVA</t>
        </is>
      </c>
      <c r="H257" s="16">
        <f>IF(G257="Unidade Construtiva",TEXT(A257,"00"),IF(G257="Célula Construtiva",TEXT(B257,"00"),IF(G257="Etapa",CONCATENATE(TEXT(B257,"00"),".",TEXT(C257,"000")),IF(G257="Subetapa",CONCATENATE(TEXT(B257,"00"),".",TEXT(C257,"000"),".",TEXT(D257,"000")),IF(G257="Serviço",CONCATENATE(TEXT(B257,"00"),".",TEXT(C257,"000"),".",TEXT(D257,"000"),".",TEXT(E257,"000")),"")))))</f>
        <v/>
      </c>
      <c r="I257" s="15" t="inlineStr">
        <is>
          <t>SISTEMAS E INSTALAÇÕES HIDROSSANITÁRIAS E DRENAGEM</t>
        </is>
      </c>
      <c r="J257" s="6" t="n"/>
    </row>
    <row r="258" ht="20.45" customFormat="1" customHeight="1" s="8">
      <c r="A258" s="14">
        <f>IF($G258="UNIDADE CONSTRUTIVA",OFFSET(A258,-1,0)+1,LARGE(A$3:A257,1))</f>
        <v/>
      </c>
      <c r="B258" s="14">
        <f>IF(G258="UNIDADE CONSTRUTIVA",0,IF(G258="CÉLULA CONSTRUTIVA",OFFSET(B258,-1,0)+1,OFFSET(B258,-1,0)))</f>
        <v/>
      </c>
      <c r="C258" s="14">
        <f>IF(G258="CÉLULA CONSTRUTIVA",0,IF(G258="ETAPA",OFFSET(C258,-1,0)+1,OFFSET(C258,-1,0)))</f>
        <v/>
      </c>
      <c r="D258" s="13">
        <f>IF(G258="ETAPA",0,IF(G258="SUBETAPA",OFFSET(D258,-1,0)+1,OFFSET(D258,-1,0)))</f>
        <v/>
      </c>
      <c r="E258" s="13">
        <f>IF(G258="Subetapa",0,IF(G258="serviço",OFFSET(E258,-1,0)+1,OFFSET(E258,-1,0)))</f>
        <v/>
      </c>
      <c r="F258" s="12" t="n"/>
      <c r="G258" s="17" t="inlineStr">
        <is>
          <t>ETAPA</t>
        </is>
      </c>
      <c r="H258" s="16">
        <f>IF(G258="Unidade Construtiva",TEXT(A258,"00"),IF(G258="Célula Construtiva",TEXT(B258,"00"),IF(G258="Etapa",CONCATENATE(TEXT(B258,"00"),".",TEXT(C258,"000")),IF(G258="Subetapa",CONCATENATE(TEXT(B258,"00"),".",TEXT(C258,"000"),".",TEXT(D258,"000")),IF(G258="Serviço",CONCATENATE(TEXT(B258,"00"),".",TEXT(C258,"000"),".",TEXT(D258,"000"),".",TEXT(E258,"000")),"")))))</f>
        <v/>
      </c>
      <c r="I258" s="15" t="inlineStr">
        <is>
          <t>SISTEMAS E INSTALAÇÕES HIDROSSANITÁRIAS E DRENAGEM</t>
        </is>
      </c>
      <c r="J258" s="6" t="n"/>
    </row>
    <row r="259" ht="20.45" customFormat="1" customHeight="1" s="8">
      <c r="A259" s="14">
        <f>IF($G259="UNIDADE CONSTRUTIVA",OFFSET(A259,-1,0)+1,LARGE(A$3:A258,1))</f>
        <v/>
      </c>
      <c r="B259" s="14">
        <f>IF(G259="UNIDADE CONSTRUTIVA",0,IF(G259="CÉLULA CONSTRUTIVA",OFFSET(B259,-1,0)+1,OFFSET(B259,-1,0)))</f>
        <v/>
      </c>
      <c r="C259" s="14">
        <f>IF(G259="CÉLULA CONSTRUTIVA",0,IF(G259="ETAPA",OFFSET(C259,-1,0)+1,OFFSET(C259,-1,0)))</f>
        <v/>
      </c>
      <c r="D259" s="13">
        <f>IF(G259="ETAPA",0,IF(G259="SUBETAPA",OFFSET(D259,-1,0)+1,OFFSET(D259,-1,0)))</f>
        <v/>
      </c>
      <c r="E259" s="13">
        <f>IF(G259="Subetapa",0,IF(G259="serviço",OFFSET(E259,-1,0)+1,OFFSET(E259,-1,0)))</f>
        <v/>
      </c>
      <c r="F259" s="12" t="n"/>
      <c r="G259" s="19" t="inlineStr">
        <is>
          <t>Subetapa</t>
        </is>
      </c>
      <c r="H259" s="16">
        <f>IF(G259="Unidade Construtiva",TEXT(A259,"00"),IF(G259="Célula Construtiva",TEXT(B259,"00"),IF(G259="Etapa",CONCATENATE(TEXT(B259,"00"),".",TEXT(C259,"000")),IF(G259="Subetapa",CONCATENATE(TEXT(B259,"00"),".",TEXT(C259,"000"),".",TEXT(D259,"000")),IF(G259="Serviço",CONCATENATE(TEXT(B259,"00"),".",TEXT(C259,"000"),".",TEXT(D259,"000"),".",TEXT(E259,"000")),"")))))</f>
        <v/>
      </c>
      <c r="I259" s="18" t="inlineStr">
        <is>
          <t>Instalações de água fria</t>
        </is>
      </c>
      <c r="J259" s="6" t="n"/>
    </row>
    <row r="260" ht="20.45" customFormat="1" customHeight="1" s="8">
      <c r="A260" s="14">
        <f>IF($G260="UNIDADE CONSTRUTIVA",OFFSET(A260,-1,0)+1,LARGE(A$3:A259,1))</f>
        <v/>
      </c>
      <c r="B260" s="14">
        <f>IF(G260="UNIDADE CONSTRUTIVA",0,IF(G260="CÉLULA CONSTRUTIVA",OFFSET(B260,-1,0)+1,OFFSET(B260,-1,0)))</f>
        <v/>
      </c>
      <c r="C260" s="14">
        <f>IF(G260="CÉLULA CONSTRUTIVA",0,IF(G260="ETAPA",OFFSET(C260,-1,0)+1,OFFSET(C260,-1,0)))</f>
        <v/>
      </c>
      <c r="D260" s="13">
        <f>IF(G260="ETAPA",0,IF(G260="SUBETAPA",OFFSET(D260,-1,0)+1,OFFSET(D260,-1,0)))</f>
        <v/>
      </c>
      <c r="E260" s="13">
        <f>IF(G260="Subetapa",0,IF(G260="serviço",OFFSET(E260,-1,0)+1,OFFSET(E260,-1,0)))</f>
        <v/>
      </c>
      <c r="F260" s="12" t="n"/>
      <c r="G260" s="19" t="inlineStr">
        <is>
          <t>Subetapa</t>
        </is>
      </c>
      <c r="H260" s="16">
        <f>IF(G260="Unidade Construtiva",TEXT(A260,"00"),IF(G260="Célula Construtiva",TEXT(B260,"00"),IF(G260="Etapa",CONCATENATE(TEXT(B260,"00"),".",TEXT(C260,"000")),IF(G260="Subetapa",CONCATENATE(TEXT(B260,"00"),".",TEXT(C260,"000"),".",TEXT(D260,"000")),IF(G260="Serviço",CONCATENATE(TEXT(B260,"00"),".",TEXT(C260,"000"),".",TEXT(D260,"000"),".",TEXT(E260,"000")),"")))))</f>
        <v/>
      </c>
      <c r="I260" s="18" t="inlineStr">
        <is>
          <t>Instalações de água quente</t>
        </is>
      </c>
      <c r="J260" s="6" t="n"/>
    </row>
    <row r="261" ht="20.45" customFormat="1" customHeight="1" s="8">
      <c r="A261" s="14">
        <f>IF($G261="UNIDADE CONSTRUTIVA",OFFSET(A261,-1,0)+1,LARGE(A$3:A260,1))</f>
        <v/>
      </c>
      <c r="B261" s="14">
        <f>IF(G261="UNIDADE CONSTRUTIVA",0,IF(G261="CÉLULA CONSTRUTIVA",OFFSET(B261,-1,0)+1,OFFSET(B261,-1,0)))</f>
        <v/>
      </c>
      <c r="C261" s="14">
        <f>IF(G261="CÉLULA CONSTRUTIVA",0,IF(G261="ETAPA",OFFSET(C261,-1,0)+1,OFFSET(C261,-1,0)))</f>
        <v/>
      </c>
      <c r="D261" s="13">
        <f>IF(G261="ETAPA",0,IF(G261="SUBETAPA",OFFSET(D261,-1,0)+1,OFFSET(D261,-1,0)))</f>
        <v/>
      </c>
      <c r="E261" s="13">
        <f>IF(G261="Subetapa",0,IF(G261="serviço",OFFSET(E261,-1,0)+1,OFFSET(E261,-1,0)))</f>
        <v/>
      </c>
      <c r="F261" s="12" t="n"/>
      <c r="G261" s="19" t="inlineStr">
        <is>
          <t>Subetapa</t>
        </is>
      </c>
      <c r="H261" s="16">
        <f>IF(G261="Unidade Construtiva",TEXT(A261,"00"),IF(G261="Célula Construtiva",TEXT(B261,"00"),IF(G261="Etapa",CONCATENATE(TEXT(B261,"00"),".",TEXT(C261,"000")),IF(G261="Subetapa",CONCATENATE(TEXT(B261,"00"),".",TEXT(C261,"000"),".",TEXT(D261,"000")),IF(G261="Serviço",CONCATENATE(TEXT(B261,"00"),".",TEXT(C261,"000"),".",TEXT(D261,"000"),".",TEXT(E261,"000")),"")))))</f>
        <v/>
      </c>
      <c r="I261" s="18" t="inlineStr">
        <is>
          <t>Instalações de esgoto e pluviais</t>
        </is>
      </c>
      <c r="J261" s="6" t="n"/>
    </row>
    <row r="262" ht="20.45" customFormat="1" customHeight="1" s="8">
      <c r="A262" s="14">
        <f>IF($G262="UNIDADE CONSTRUTIVA",OFFSET(A262,-1,0)+1,LARGE(A$3:A261,1))</f>
        <v/>
      </c>
      <c r="B262" s="14">
        <f>IF(G262="UNIDADE CONSTRUTIVA",0,IF(G262="CÉLULA CONSTRUTIVA",OFFSET(B262,-1,0)+1,OFFSET(B262,-1,0)))</f>
        <v/>
      </c>
      <c r="C262" s="14">
        <f>IF(G262="CÉLULA CONSTRUTIVA",0,IF(G262="ETAPA",OFFSET(C262,-1,0)+1,OFFSET(C262,-1,0)))</f>
        <v/>
      </c>
      <c r="D262" s="13">
        <f>IF(G262="ETAPA",0,IF(G262="SUBETAPA",OFFSET(D262,-1,0)+1,OFFSET(D262,-1,0)))</f>
        <v/>
      </c>
      <c r="E262" s="13">
        <f>IF(G262="Subetapa",0,IF(G262="serviço",OFFSET(E262,-1,0)+1,OFFSET(E262,-1,0)))</f>
        <v/>
      </c>
      <c r="F262" s="12" t="n"/>
      <c r="G262" s="19" t="inlineStr">
        <is>
          <t>Subetapa</t>
        </is>
      </c>
      <c r="H262" s="16">
        <f>IF(G262="Unidade Construtiva",TEXT(A262,"00"),IF(G262="Célula Construtiva",TEXT(B262,"00"),IF(G262="Etapa",CONCATENATE(TEXT(B262,"00"),".",TEXT(C262,"000")),IF(G262="Subetapa",CONCATENATE(TEXT(B262,"00"),".",TEXT(C262,"000"),".",TEXT(D262,"000")),IF(G262="Serviço",CONCATENATE(TEXT(B262,"00"),".",TEXT(C262,"000"),".",TEXT(D262,"000"),".",TEXT(E262,"000")),"")))))</f>
        <v/>
      </c>
      <c r="I262" s="18" t="inlineStr">
        <is>
          <t>Cisterna</t>
        </is>
      </c>
      <c r="J262" s="6" t="n"/>
    </row>
    <row r="263" ht="20.45" customFormat="1" customHeight="1" s="8">
      <c r="A263" s="14">
        <f>IF($G263="UNIDADE CONSTRUTIVA",OFFSET(A263,-1,0)+1,LARGE(A$3:A262,1))</f>
        <v/>
      </c>
      <c r="B263" s="14">
        <f>IF(G263="UNIDADE CONSTRUTIVA",0,IF(G263="CÉLULA CONSTRUTIVA",OFFSET(B263,-1,0)+1,OFFSET(B263,-1,0)))</f>
        <v/>
      </c>
      <c r="C263" s="14">
        <f>IF(G263="CÉLULA CONSTRUTIVA",0,IF(G263="ETAPA",OFFSET(C263,-1,0)+1,OFFSET(C263,-1,0)))</f>
        <v/>
      </c>
      <c r="D263" s="13">
        <f>IF(G263="ETAPA",0,IF(G263="SUBETAPA",OFFSET(D263,-1,0)+1,OFFSET(D263,-1,0)))</f>
        <v/>
      </c>
      <c r="E263" s="13">
        <f>IF(G263="Subetapa",0,IF(G263="serviço",OFFSET(E263,-1,0)+1,OFFSET(E263,-1,0)))</f>
        <v/>
      </c>
      <c r="F263" s="12" t="n"/>
      <c r="G263" s="19" t="inlineStr">
        <is>
          <t>Subetapa</t>
        </is>
      </c>
      <c r="H263" s="16">
        <f>IF(G263="Unidade Construtiva",TEXT(A263,"00"),IF(G263="Célula Construtiva",TEXT(B263,"00"),IF(G263="Etapa",CONCATENATE(TEXT(B263,"00"),".",TEXT(C263,"000")),IF(G263="Subetapa",CONCATENATE(TEXT(B263,"00"),".",TEXT(C263,"000"),".",TEXT(D263,"000")),IF(G263="Serviço",CONCATENATE(TEXT(B263,"00"),".",TEXT(C263,"000"),".",TEXT(D263,"000"),".",TEXT(E263,"000")),"")))))</f>
        <v/>
      </c>
      <c r="I263" s="18" t="inlineStr">
        <is>
          <t>Hidrômetros</t>
        </is>
      </c>
      <c r="J263" s="6" t="n"/>
    </row>
    <row r="264" ht="20.45" customFormat="1" customHeight="1" s="8">
      <c r="A264" s="14">
        <f>IF($G264="UNIDADE CONSTRUTIVA",OFFSET(A264,-1,0)+1,LARGE(A$3:A263,1))</f>
        <v/>
      </c>
      <c r="B264" s="14">
        <f>IF(G264="UNIDADE CONSTRUTIVA",0,IF(G264="CÉLULA CONSTRUTIVA",OFFSET(B264,-1,0)+1,OFFSET(B264,-1,0)))</f>
        <v/>
      </c>
      <c r="C264" s="14">
        <f>IF(G264="CÉLULA CONSTRUTIVA",0,IF(G264="ETAPA",OFFSET(C264,-1,0)+1,OFFSET(C264,-1,0)))</f>
        <v/>
      </c>
      <c r="D264" s="13">
        <f>IF(G264="ETAPA",0,IF(G264="SUBETAPA",OFFSET(D264,-1,0)+1,OFFSET(D264,-1,0)))</f>
        <v/>
      </c>
      <c r="E264" s="13">
        <f>IF(G264="Subetapa",0,IF(G264="serviço",OFFSET(E264,-1,0)+1,OFFSET(E264,-1,0)))</f>
        <v/>
      </c>
      <c r="F264" s="12" t="n"/>
      <c r="G264" s="19" t="inlineStr">
        <is>
          <t>Subetapa</t>
        </is>
      </c>
      <c r="H264" s="16">
        <f>IF(G264="Unidade Construtiva",TEXT(A264,"00"),IF(G264="Célula Construtiva",TEXT(B264,"00"),IF(G264="Etapa",CONCATENATE(TEXT(B264,"00"),".",TEXT(C264,"000")),IF(G264="Subetapa",CONCATENATE(TEXT(B264,"00"),".",TEXT(C264,"000"),".",TEXT(D264,"000")),IF(G264="Serviço",CONCATENATE(TEXT(B264,"00"),".",TEXT(C264,"000"),".",TEXT(D264,"000"),".",TEXT(E264,"000")),"")))))</f>
        <v/>
      </c>
      <c r="I264" s="18" t="inlineStr">
        <is>
          <t>Reservatórios</t>
        </is>
      </c>
      <c r="J264" s="6" t="n"/>
    </row>
    <row r="265" ht="20.45" customFormat="1" customHeight="1" s="8">
      <c r="A265" s="14">
        <f>IF($G265="UNIDADE CONSTRUTIVA",OFFSET(A265,-1,0)+1,LARGE(A$3:A264,1))</f>
        <v/>
      </c>
      <c r="B265" s="14">
        <f>IF(G265="UNIDADE CONSTRUTIVA",0,IF(G265="CÉLULA CONSTRUTIVA",OFFSET(B265,-1,0)+1,OFFSET(B265,-1,0)))</f>
        <v/>
      </c>
      <c r="C265" s="14">
        <f>IF(G265="CÉLULA CONSTRUTIVA",0,IF(G265="ETAPA",OFFSET(C265,-1,0)+1,OFFSET(C265,-1,0)))</f>
        <v/>
      </c>
      <c r="D265" s="13">
        <f>IF(G265="ETAPA",0,IF(G265="SUBETAPA",OFFSET(D265,-1,0)+1,OFFSET(D265,-1,0)))</f>
        <v/>
      </c>
      <c r="E265" s="13">
        <f>IF(G265="Subetapa",0,IF(G265="serviço",OFFSET(E265,-1,0)+1,OFFSET(E265,-1,0)))</f>
        <v/>
      </c>
      <c r="F265" s="12" t="n"/>
      <c r="G265" s="19" t="inlineStr">
        <is>
          <t>Subetapa</t>
        </is>
      </c>
      <c r="H265" s="16">
        <f>IF(G265="Unidade Construtiva",TEXT(A265,"00"),IF(G265="Célula Construtiva",TEXT(B265,"00"),IF(G265="Etapa",CONCATENATE(TEXT(B265,"00"),".",TEXT(C265,"000")),IF(G265="Subetapa",CONCATENATE(TEXT(B265,"00"),".",TEXT(C265,"000"),".",TEXT(D265,"000")),IF(G265="Serviço",CONCATENATE(TEXT(B265,"00"),".",TEXT(C265,"000"),".",TEXT(D265,"000"),".",TEXT(E265,"000")),"")))))</f>
        <v/>
      </c>
      <c r="I265" s="18" t="inlineStr">
        <is>
          <t>Sistema de bombas</t>
        </is>
      </c>
      <c r="J265" s="6" t="n"/>
    </row>
    <row r="266" ht="20.45" customFormat="1" customHeight="1" s="8">
      <c r="A266" s="14">
        <f>IF($G266="UNIDADE CONSTRUTIVA",OFFSET(A266,-1,0)+1,LARGE(A$3:A265,1))</f>
        <v/>
      </c>
      <c r="B266" s="14">
        <f>IF(G266="UNIDADE CONSTRUTIVA",0,IF(G266="CÉLULA CONSTRUTIVA",OFFSET(B266,-1,0)+1,OFFSET(B266,-1,0)))</f>
        <v/>
      </c>
      <c r="C266" s="14">
        <f>IF(G266="CÉLULA CONSTRUTIVA",0,IF(G266="ETAPA",OFFSET(C266,-1,0)+1,OFFSET(C266,-1,0)))</f>
        <v/>
      </c>
      <c r="D266" s="13">
        <f>IF(G266="ETAPA",0,IF(G266="SUBETAPA",OFFSET(D266,-1,0)+1,OFFSET(D266,-1,0)))</f>
        <v/>
      </c>
      <c r="E266" s="13">
        <f>IF(G266="Subetapa",0,IF(G266="serviço",OFFSET(E266,-1,0)+1,OFFSET(E266,-1,0)))</f>
        <v/>
      </c>
      <c r="F266" s="12" t="n"/>
      <c r="G266" s="19" t="inlineStr">
        <is>
          <t>Subetapa</t>
        </is>
      </c>
      <c r="H266" s="16">
        <f>IF(G266="Unidade Construtiva",TEXT(A266,"00"),IF(G266="Célula Construtiva",TEXT(B266,"00"),IF(G266="Etapa",CONCATENATE(TEXT(B266,"00"),".",TEXT(C266,"000")),IF(G266="Subetapa",CONCATENATE(TEXT(B266,"00"),".",TEXT(C266,"000"),".",TEXT(D266,"000")),IF(G266="Serviço",CONCATENATE(TEXT(B266,"00"),".",TEXT(C266,"000"),".",TEXT(D266,"000"),".",TEXT(E266,"000")),"")))))</f>
        <v/>
      </c>
      <c r="I266" s="18" t="inlineStr">
        <is>
          <t>Mão de obra</t>
        </is>
      </c>
      <c r="J266" s="6" t="n"/>
    </row>
    <row r="267" ht="20.45" customFormat="1" customHeight="1" s="8">
      <c r="A267" s="14">
        <f>IF($G267="UNIDADE CONSTRUTIVA",OFFSET(A267,-1,0)+1,LARGE(A$3:A266,1))</f>
        <v/>
      </c>
      <c r="B267" s="14">
        <f>IF(G267="UNIDADE CONSTRUTIVA",0,IF(G267="CÉLULA CONSTRUTIVA",OFFSET(B267,-1,0)+1,OFFSET(B267,-1,0)))</f>
        <v/>
      </c>
      <c r="C267" s="14">
        <f>IF(G267="CÉLULA CONSTRUTIVA",0,IF(G267="ETAPA",OFFSET(C267,-1,0)+1,OFFSET(C267,-1,0)))</f>
        <v/>
      </c>
      <c r="D267" s="13">
        <f>IF(G267="ETAPA",0,IF(G267="SUBETAPA",OFFSET(D267,-1,0)+1,OFFSET(D267,-1,0)))</f>
        <v/>
      </c>
      <c r="E267" s="13">
        <f>IF(G267="Subetapa",0,IF(G267="serviço",OFFSET(E267,-1,0)+1,OFFSET(E267,-1,0)))</f>
        <v/>
      </c>
      <c r="F267" s="12" t="n"/>
      <c r="G267" s="17" t="inlineStr">
        <is>
          <t>CÉLULA CONSTRUTIVA</t>
        </is>
      </c>
      <c r="H267" s="16">
        <f>IF(G267="Unidade Construtiva",TEXT(A267,"00"),IF(G267="Célula Construtiva",TEXT(B267,"00"),IF(G267="Etapa",CONCATENATE(TEXT(B267,"00"),".",TEXT(C267,"000")),IF(G267="Subetapa",CONCATENATE(TEXT(B267,"00"),".",TEXT(C267,"000"),".",TEXT(D267,"000")),IF(G267="Serviço",CONCATENATE(TEXT(B267,"00"),".",TEXT(C267,"000"),".",TEXT(D267,"000"),".",TEXT(E267,"000")),"")))))</f>
        <v/>
      </c>
      <c r="I267" s="15" t="inlineStr">
        <is>
          <t>SISTEMAS E INSTALAÇÕES ELÉTRICAS</t>
        </is>
      </c>
      <c r="J267" s="6" t="n"/>
    </row>
    <row r="268" ht="20.45" customFormat="1" customHeight="1" s="8">
      <c r="A268" s="14">
        <f>IF($G268="UNIDADE CONSTRUTIVA",OFFSET(A268,-1,0)+1,LARGE(A$3:A267,1))</f>
        <v/>
      </c>
      <c r="B268" s="14">
        <f>IF(G268="UNIDADE CONSTRUTIVA",0,IF(G268="CÉLULA CONSTRUTIVA",OFFSET(B268,-1,0)+1,OFFSET(B268,-1,0)))</f>
        <v/>
      </c>
      <c r="C268" s="14">
        <f>IF(G268="CÉLULA CONSTRUTIVA",0,IF(G268="ETAPA",OFFSET(C268,-1,0)+1,OFFSET(C268,-1,0)))</f>
        <v/>
      </c>
      <c r="D268" s="13">
        <f>IF(G268="ETAPA",0,IF(G268="SUBETAPA",OFFSET(D268,-1,0)+1,OFFSET(D268,-1,0)))</f>
        <v/>
      </c>
      <c r="E268" s="13">
        <f>IF(G268="Subetapa",0,IF(G268="serviço",OFFSET(E268,-1,0)+1,OFFSET(E268,-1,0)))</f>
        <v/>
      </c>
      <c r="F268" s="12" t="n"/>
      <c r="G268" s="17" t="inlineStr">
        <is>
          <t>ETAPA</t>
        </is>
      </c>
      <c r="H268" s="16">
        <f>IF(G268="Unidade Construtiva",TEXT(A268,"00"),IF(G268="Célula Construtiva",TEXT(B268,"00"),IF(G268="Etapa",CONCATENATE(TEXT(B268,"00"),".",TEXT(C268,"000")),IF(G268="Subetapa",CONCATENATE(TEXT(B268,"00"),".",TEXT(C268,"000"),".",TEXT(D268,"000")),IF(G268="Serviço",CONCATENATE(TEXT(B268,"00"),".",TEXT(C268,"000"),".",TEXT(D268,"000"),".",TEXT(E268,"000")),"")))))</f>
        <v/>
      </c>
      <c r="I268" s="15" t="inlineStr">
        <is>
          <t>SISTEMAS E INSTALAÇÕES ELÉTRICAS</t>
        </is>
      </c>
      <c r="J268" s="6" t="n"/>
    </row>
    <row r="269" ht="20.45" customFormat="1" customHeight="1" s="8">
      <c r="A269" s="14">
        <f>IF($G269="UNIDADE CONSTRUTIVA",OFFSET(A269,-1,0)+1,LARGE(A$3:A268,1))</f>
        <v/>
      </c>
      <c r="B269" s="14">
        <f>IF(G269="UNIDADE CONSTRUTIVA",0,IF(G269="CÉLULA CONSTRUTIVA",OFFSET(B269,-1,0)+1,OFFSET(B269,-1,0)))</f>
        <v/>
      </c>
      <c r="C269" s="14">
        <f>IF(G269="CÉLULA CONSTRUTIVA",0,IF(G269="ETAPA",OFFSET(C269,-1,0)+1,OFFSET(C269,-1,0)))</f>
        <v/>
      </c>
      <c r="D269" s="13">
        <f>IF(G269="ETAPA",0,IF(G269="SUBETAPA",OFFSET(D269,-1,0)+1,OFFSET(D269,-1,0)))</f>
        <v/>
      </c>
      <c r="E269" s="13">
        <f>IF(G269="Subetapa",0,IF(G269="serviço",OFFSET(E269,-1,0)+1,OFFSET(E269,-1,0)))</f>
        <v/>
      </c>
      <c r="F269" s="12" t="n"/>
      <c r="G269" s="19" t="inlineStr">
        <is>
          <t>Subetapa</t>
        </is>
      </c>
      <c r="H269" s="16">
        <f>IF(G269="Unidade Construtiva",TEXT(A269,"00"),IF(G269="Célula Construtiva",TEXT(B269,"00"),IF(G269="Etapa",CONCATENATE(TEXT(B269,"00"),".",TEXT(C269,"000")),IF(G269="Subetapa",CONCATENATE(TEXT(B269,"00"),".",TEXT(C269,"000"),".",TEXT(D269,"000")),IF(G269="Serviço",CONCATENATE(TEXT(B269,"00"),".",TEXT(C269,"000"),".",TEXT(D269,"000"),".",TEXT(E269,"000")),"")))))</f>
        <v/>
      </c>
      <c r="I269" s="18" t="inlineStr">
        <is>
          <t>Entrada de Energia</t>
        </is>
      </c>
      <c r="J269" s="6" t="n"/>
    </row>
    <row r="270" ht="20.45" customFormat="1" customHeight="1" s="8">
      <c r="A270" s="14">
        <f>IF($G270="UNIDADE CONSTRUTIVA",OFFSET(A270,-1,0)+1,LARGE(A$3:A269,1))</f>
        <v/>
      </c>
      <c r="B270" s="14">
        <f>IF(G270="UNIDADE CONSTRUTIVA",0,IF(G270="CÉLULA CONSTRUTIVA",OFFSET(B270,-1,0)+1,OFFSET(B270,-1,0)))</f>
        <v/>
      </c>
      <c r="C270" s="14">
        <f>IF(G270="CÉLULA CONSTRUTIVA",0,IF(G270="ETAPA",OFFSET(C270,-1,0)+1,OFFSET(C270,-1,0)))</f>
        <v/>
      </c>
      <c r="D270" s="13">
        <f>IF(G270="ETAPA",0,IF(G270="SUBETAPA",OFFSET(D270,-1,0)+1,OFFSET(D270,-1,0)))</f>
        <v/>
      </c>
      <c r="E270" s="13">
        <f>IF(G270="Subetapa",0,IF(G270="serviço",OFFSET(E270,-1,0)+1,OFFSET(E270,-1,0)))</f>
        <v/>
      </c>
      <c r="F270" s="12" t="n"/>
      <c r="G270" s="19" t="inlineStr">
        <is>
          <t>Subetapa</t>
        </is>
      </c>
      <c r="H270" s="16">
        <f>IF(G270="Unidade Construtiva",TEXT(A270,"00"),IF(G270="Célula Construtiva",TEXT(B270,"00"),IF(G270="Etapa",CONCATENATE(TEXT(B270,"00"),".",TEXT(C270,"000")),IF(G270="Subetapa",CONCATENATE(TEXT(B270,"00"),".",TEXT(C270,"000"),".",TEXT(D270,"000")),IF(G270="Serviço",CONCATENATE(TEXT(B270,"00"),".",TEXT(C270,"000"),".",TEXT(D270,"000"),".",TEXT(E270,"000")),"")))))</f>
        <v/>
      </c>
      <c r="I270" s="18" t="inlineStr">
        <is>
          <t>Subestação de Energia</t>
        </is>
      </c>
      <c r="J270" s="6" t="n"/>
    </row>
    <row r="271" ht="20.45" customFormat="1" customHeight="1" s="8">
      <c r="A271" s="14">
        <f>IF($G271="UNIDADE CONSTRUTIVA",OFFSET(A271,-1,0)+1,LARGE(A$3:A270,1))</f>
        <v/>
      </c>
      <c r="B271" s="14">
        <f>IF(G271="UNIDADE CONSTRUTIVA",0,IF(G271="CÉLULA CONSTRUTIVA",OFFSET(B271,-1,0)+1,OFFSET(B271,-1,0)))</f>
        <v/>
      </c>
      <c r="C271" s="14">
        <f>IF(G271="CÉLULA CONSTRUTIVA",0,IF(G271="ETAPA",OFFSET(C271,-1,0)+1,OFFSET(C271,-1,0)))</f>
        <v/>
      </c>
      <c r="D271" s="13">
        <f>IF(G271="ETAPA",0,IF(G271="SUBETAPA",OFFSET(D271,-1,0)+1,OFFSET(D271,-1,0)))</f>
        <v/>
      </c>
      <c r="E271" s="13">
        <f>IF(G271="Subetapa",0,IF(G271="serviço",OFFSET(E271,-1,0)+1,OFFSET(E271,-1,0)))</f>
        <v/>
      </c>
      <c r="F271" s="12" t="n"/>
      <c r="G271" s="19" t="inlineStr">
        <is>
          <t>Subetapa</t>
        </is>
      </c>
      <c r="H271" s="16">
        <f>IF(G271="Unidade Construtiva",TEXT(A271,"00"),IF(G271="Célula Construtiva",TEXT(B271,"00"),IF(G271="Etapa",CONCATENATE(TEXT(B271,"00"),".",TEXT(C271,"000")),IF(G271="Subetapa",CONCATENATE(TEXT(B271,"00"),".",TEXT(C271,"000"),".",TEXT(D271,"000")),IF(G271="Serviço",CONCATENATE(TEXT(B271,"00"),".",TEXT(C271,"000"),".",TEXT(D271,"000"),".",TEXT(E271,"000")),"")))))</f>
        <v/>
      </c>
      <c r="I271" s="18" t="inlineStr">
        <is>
          <t>Grupo gerador</t>
        </is>
      </c>
      <c r="J271" s="6" t="n"/>
    </row>
    <row r="272" ht="20.45" customFormat="1" customHeight="1" s="8">
      <c r="A272" s="14">
        <f>IF($G272="UNIDADE CONSTRUTIVA",OFFSET(A272,-1,0)+1,LARGE(A$3:A271,1))</f>
        <v/>
      </c>
      <c r="B272" s="14">
        <f>IF(G272="UNIDADE CONSTRUTIVA",0,IF(G272="CÉLULA CONSTRUTIVA",OFFSET(B272,-1,0)+1,OFFSET(B272,-1,0)))</f>
        <v/>
      </c>
      <c r="C272" s="14">
        <f>IF(G272="CÉLULA CONSTRUTIVA",0,IF(G272="ETAPA",OFFSET(C272,-1,0)+1,OFFSET(C272,-1,0)))</f>
        <v/>
      </c>
      <c r="D272" s="13">
        <f>IF(G272="ETAPA",0,IF(G272="SUBETAPA",OFFSET(D272,-1,0)+1,OFFSET(D272,-1,0)))</f>
        <v/>
      </c>
      <c r="E272" s="13">
        <f>IF(G272="Subetapa",0,IF(G272="serviço",OFFSET(E272,-1,0)+1,OFFSET(E272,-1,0)))</f>
        <v/>
      </c>
      <c r="F272" s="12" t="n"/>
      <c r="G272" s="19" t="inlineStr">
        <is>
          <t>Subetapa</t>
        </is>
      </c>
      <c r="H272" s="16">
        <f>IF(G272="Unidade Construtiva",TEXT(A272,"00"),IF(G272="Célula Construtiva",TEXT(B272,"00"),IF(G272="Etapa",CONCATENATE(TEXT(B272,"00"),".",TEXT(C272,"000")),IF(G272="Subetapa",CONCATENATE(TEXT(B272,"00"),".",TEXT(C272,"000"),".",TEXT(D272,"000")),IF(G272="Serviço",CONCATENATE(TEXT(B272,"00"),".",TEXT(C272,"000"),".",TEXT(D272,"000"),".",TEXT(E272,"000")),"")))))</f>
        <v/>
      </c>
      <c r="I272" s="18" t="inlineStr">
        <is>
          <t>Quadros elétricos e disjuntores</t>
        </is>
      </c>
      <c r="J272" s="6" t="n"/>
    </row>
    <row r="273" ht="20.45" customFormat="1" customHeight="1" s="8">
      <c r="A273" s="14">
        <f>IF($G273="UNIDADE CONSTRUTIVA",OFFSET(A273,-1,0)+1,LARGE(A$3:A272,1))</f>
        <v/>
      </c>
      <c r="B273" s="14">
        <f>IF(G273="UNIDADE CONSTRUTIVA",0,IF(G273="CÉLULA CONSTRUTIVA",OFFSET(B273,-1,0)+1,OFFSET(B273,-1,0)))</f>
        <v/>
      </c>
      <c r="C273" s="14">
        <f>IF(G273="CÉLULA CONSTRUTIVA",0,IF(G273="ETAPA",OFFSET(C273,-1,0)+1,OFFSET(C273,-1,0)))</f>
        <v/>
      </c>
      <c r="D273" s="13">
        <f>IF(G273="ETAPA",0,IF(G273="SUBETAPA",OFFSET(D273,-1,0)+1,OFFSET(D273,-1,0)))</f>
        <v/>
      </c>
      <c r="E273" s="13">
        <f>IF(G273="Subetapa",0,IF(G273="serviço",OFFSET(E273,-1,0)+1,OFFSET(E273,-1,0)))</f>
        <v/>
      </c>
      <c r="F273" s="12" t="n"/>
      <c r="G273" s="19" t="inlineStr">
        <is>
          <t>Subetapa</t>
        </is>
      </c>
      <c r="H273" s="16">
        <f>IF(G273="Unidade Construtiva",TEXT(A273,"00"),IF(G273="Célula Construtiva",TEXT(B273,"00"),IF(G273="Etapa",CONCATENATE(TEXT(B273,"00"),".",TEXT(C273,"000")),IF(G273="Subetapa",CONCATENATE(TEXT(B273,"00"),".",TEXT(C273,"000"),".",TEXT(D273,"000")),IF(G273="Serviço",CONCATENATE(TEXT(B273,"00"),".",TEXT(C273,"000"),".",TEXT(D273,"000"),".",TEXT(E273,"000")),"")))))</f>
        <v/>
      </c>
      <c r="I273" s="18" t="inlineStr">
        <is>
          <t>Eletrodutos e eletrocalhas</t>
        </is>
      </c>
      <c r="J273" s="6" t="n"/>
    </row>
    <row r="274" ht="20.45" customFormat="1" customHeight="1" s="8">
      <c r="A274" s="14">
        <f>IF($G274="UNIDADE CONSTRUTIVA",OFFSET(A274,-1,0)+1,LARGE(A$3:A273,1))</f>
        <v/>
      </c>
      <c r="B274" s="14">
        <f>IF(G274="UNIDADE CONSTRUTIVA",0,IF(G274="CÉLULA CONSTRUTIVA",OFFSET(B274,-1,0)+1,OFFSET(B274,-1,0)))</f>
        <v/>
      </c>
      <c r="C274" s="14">
        <f>IF(G274="CÉLULA CONSTRUTIVA",0,IF(G274="ETAPA",OFFSET(C274,-1,0)+1,OFFSET(C274,-1,0)))</f>
        <v/>
      </c>
      <c r="D274" s="13">
        <f>IF(G274="ETAPA",0,IF(G274="SUBETAPA",OFFSET(D274,-1,0)+1,OFFSET(D274,-1,0)))</f>
        <v/>
      </c>
      <c r="E274" s="13">
        <f>IF(G274="Subetapa",0,IF(G274="serviço",OFFSET(E274,-1,0)+1,OFFSET(E274,-1,0)))</f>
        <v/>
      </c>
      <c r="F274" s="12" t="n"/>
      <c r="G274" s="19" t="inlineStr">
        <is>
          <t>Subetapa</t>
        </is>
      </c>
      <c r="H274" s="16">
        <f>IF(G274="Unidade Construtiva",TEXT(A274,"00"),IF(G274="Célula Construtiva",TEXT(B274,"00"),IF(G274="Etapa",CONCATENATE(TEXT(B274,"00"),".",TEXT(C274,"000")),IF(G274="Subetapa",CONCATENATE(TEXT(B274,"00"),".",TEXT(C274,"000"),".",TEXT(D274,"000")),IF(G274="Serviço",CONCATENATE(TEXT(B274,"00"),".",TEXT(C274,"000"),".",TEXT(D274,"000"),".",TEXT(E274,"000")),"")))))</f>
        <v/>
      </c>
      <c r="I274" s="18" t="inlineStr">
        <is>
          <t>Fios e cabos elétricos</t>
        </is>
      </c>
      <c r="J274" s="6" t="n"/>
    </row>
    <row r="275" ht="20.45" customFormat="1" customHeight="1" s="8">
      <c r="A275" s="14">
        <f>IF($G275="UNIDADE CONSTRUTIVA",OFFSET(A275,-1,0)+1,LARGE(A$3:A274,1))</f>
        <v/>
      </c>
      <c r="B275" s="14">
        <f>IF(G275="UNIDADE CONSTRUTIVA",0,IF(G275="CÉLULA CONSTRUTIVA",OFFSET(B275,-1,0)+1,OFFSET(B275,-1,0)))</f>
        <v/>
      </c>
      <c r="C275" s="14">
        <f>IF(G275="CÉLULA CONSTRUTIVA",0,IF(G275="ETAPA",OFFSET(C275,-1,0)+1,OFFSET(C275,-1,0)))</f>
        <v/>
      </c>
      <c r="D275" s="13">
        <f>IF(G275="ETAPA",0,IF(G275="SUBETAPA",OFFSET(D275,-1,0)+1,OFFSET(D275,-1,0)))</f>
        <v/>
      </c>
      <c r="E275" s="13">
        <f>IF(G275="Subetapa",0,IF(G275="serviço",OFFSET(E275,-1,0)+1,OFFSET(E275,-1,0)))</f>
        <v/>
      </c>
      <c r="F275" s="12" t="n"/>
      <c r="G275" s="19" t="inlineStr">
        <is>
          <t>Subetapa</t>
        </is>
      </c>
      <c r="H275" s="16">
        <f>IF(G275="Unidade Construtiva",TEXT(A275,"00"),IF(G275="Célula Construtiva",TEXT(B275,"00"),IF(G275="Etapa",CONCATENATE(TEXT(B275,"00"),".",TEXT(C275,"000")),IF(G275="Subetapa",CONCATENATE(TEXT(B275,"00"),".",TEXT(C275,"000"),".",TEXT(D275,"000")),IF(G275="Serviço",CONCATENATE(TEXT(B275,"00"),".",TEXT(C275,"000"),".",TEXT(D275,"000"),".",TEXT(E275,"000")),"")))))</f>
        <v/>
      </c>
      <c r="I275" s="18" t="inlineStr">
        <is>
          <t>Pontos de tomadas e interruptores</t>
        </is>
      </c>
      <c r="J275" s="6" t="n"/>
    </row>
    <row r="276" ht="20.45" customFormat="1" customHeight="1" s="8">
      <c r="A276" s="14">
        <f>IF($G276="UNIDADE CONSTRUTIVA",OFFSET(A276,-1,0)+1,LARGE(A$3:A275,1))</f>
        <v/>
      </c>
      <c r="B276" s="14">
        <f>IF(G276="UNIDADE CONSTRUTIVA",0,IF(G276="CÉLULA CONSTRUTIVA",OFFSET(B276,-1,0)+1,OFFSET(B276,-1,0)))</f>
        <v/>
      </c>
      <c r="C276" s="14">
        <f>IF(G276="CÉLULA CONSTRUTIVA",0,IF(G276="ETAPA",OFFSET(C276,-1,0)+1,OFFSET(C276,-1,0)))</f>
        <v/>
      </c>
      <c r="D276" s="13">
        <f>IF(G276="ETAPA",0,IF(G276="SUBETAPA",OFFSET(D276,-1,0)+1,OFFSET(D276,-1,0)))</f>
        <v/>
      </c>
      <c r="E276" s="13">
        <f>IF(G276="Subetapa",0,IF(G276="serviço",OFFSET(E276,-1,0)+1,OFFSET(E276,-1,0)))</f>
        <v/>
      </c>
      <c r="F276" s="12" t="n"/>
      <c r="G276" s="19" t="inlineStr">
        <is>
          <t>Subetapa</t>
        </is>
      </c>
      <c r="H276" s="16">
        <f>IF(G276="Unidade Construtiva",TEXT(A276,"00"),IF(G276="Célula Construtiva",TEXT(B276,"00"),IF(G276="Etapa",CONCATENATE(TEXT(B276,"00"),".",TEXT(C276,"000")),IF(G276="Subetapa",CONCATENATE(TEXT(B276,"00"),".",TEXT(C276,"000"),".",TEXT(D276,"000")),IF(G276="Serviço",CONCATENATE(TEXT(B276,"00"),".",TEXT(C276,"000"),".",TEXT(D276,"000"),".",TEXT(E276,"000")),"")))))</f>
        <v/>
      </c>
      <c r="I276" s="18" t="inlineStr">
        <is>
          <t>Luminárias, lâmpadas e acessórios</t>
        </is>
      </c>
      <c r="J276" s="6" t="n"/>
    </row>
    <row r="277" ht="20.45" customFormat="1" customHeight="1" s="8">
      <c r="A277" s="14">
        <f>IF($G277="UNIDADE CONSTRUTIVA",OFFSET(A277,-1,0)+1,LARGE(A$3:A276,1))</f>
        <v/>
      </c>
      <c r="B277" s="14">
        <f>IF(G277="UNIDADE CONSTRUTIVA",0,IF(G277="CÉLULA CONSTRUTIVA",OFFSET(B277,-1,0)+1,OFFSET(B277,-1,0)))</f>
        <v/>
      </c>
      <c r="C277" s="14">
        <f>IF(G277="CÉLULA CONSTRUTIVA",0,IF(G277="ETAPA",OFFSET(C277,-1,0)+1,OFFSET(C277,-1,0)))</f>
        <v/>
      </c>
      <c r="D277" s="13">
        <f>IF(G277="ETAPA",0,IF(G277="SUBETAPA",OFFSET(D277,-1,0)+1,OFFSET(D277,-1,0)))</f>
        <v/>
      </c>
      <c r="E277" s="13">
        <f>IF(G277="Subetapa",0,IF(G277="serviço",OFFSET(E277,-1,0)+1,OFFSET(E277,-1,0)))</f>
        <v/>
      </c>
      <c r="F277" s="12" t="n"/>
      <c r="G277" s="19" t="inlineStr">
        <is>
          <t>Subetapa</t>
        </is>
      </c>
      <c r="H277" s="16">
        <f>IF(G277="Unidade Construtiva",TEXT(A277,"00"),IF(G277="Célula Construtiva",TEXT(B277,"00"),IF(G277="Etapa",CONCATENATE(TEXT(B277,"00"),".",TEXT(C277,"000")),IF(G277="Subetapa",CONCATENATE(TEXT(B277,"00"),".",TEXT(C277,"000"),".",TEXT(D277,"000")),IF(G277="Serviço",CONCATENATE(TEXT(B277,"00"),".",TEXT(C277,"000"),".",TEXT(D277,"000"),".",TEXT(E277,"000")),"")))))</f>
        <v/>
      </c>
      <c r="I277" s="18" t="inlineStr">
        <is>
          <t>Mão de obra</t>
        </is>
      </c>
      <c r="J277" s="6" t="n"/>
    </row>
    <row r="278" ht="20.45" customFormat="1" customHeight="1" s="8">
      <c r="A278" s="14">
        <f>IF($G278="UNIDADE CONSTRUTIVA",OFFSET(A278,-1,0)+1,LARGE(A$3:A277,1))</f>
        <v/>
      </c>
      <c r="B278" s="14">
        <f>IF(G278="UNIDADE CONSTRUTIVA",0,IF(G278="CÉLULA CONSTRUTIVA",OFFSET(B278,-1,0)+1,OFFSET(B278,-1,0)))</f>
        <v/>
      </c>
      <c r="C278" s="14">
        <f>IF(G278="CÉLULA CONSTRUTIVA",0,IF(G278="ETAPA",OFFSET(C278,-1,0)+1,OFFSET(C278,-1,0)))</f>
        <v/>
      </c>
      <c r="D278" s="13">
        <f>IF(G278="ETAPA",0,IF(G278="SUBETAPA",OFFSET(D278,-1,0)+1,OFFSET(D278,-1,0)))</f>
        <v/>
      </c>
      <c r="E278" s="13">
        <f>IF(G278="Subetapa",0,IF(G278="serviço",OFFSET(E278,-1,0)+1,OFFSET(E278,-1,0)))</f>
        <v/>
      </c>
      <c r="F278" s="12" t="n"/>
      <c r="G278" s="17" t="inlineStr">
        <is>
          <t>CÉLULA CONSTRUTIVA</t>
        </is>
      </c>
      <c r="H278" s="16">
        <f>IF(G278="Unidade Construtiva",TEXT(A278,"00"),IF(G278="Célula Construtiva",TEXT(B278,"00"),IF(G278="Etapa",CONCATENATE(TEXT(B278,"00"),".",TEXT(C278,"000")),IF(G278="Subetapa",CONCATENATE(TEXT(B278,"00"),".",TEXT(C278,"000"),".",TEXT(D278,"000")),IF(G278="Serviço",CONCATENATE(TEXT(B278,"00"),".",TEXT(C278,"000"),".",TEXT(D278,"000"),".",TEXT(E278,"000")),"")))))</f>
        <v/>
      </c>
      <c r="I278" s="15" t="inlineStr">
        <is>
          <t>INSTALAÇÕES PREVENTIVAS</t>
        </is>
      </c>
      <c r="J278" s="6" t="n"/>
    </row>
    <row r="279" ht="20.45" customFormat="1" customHeight="1" s="8">
      <c r="A279" s="14">
        <f>IF($G279="UNIDADE CONSTRUTIVA",OFFSET(A279,-1,0)+1,LARGE(A$3:A278,1))</f>
        <v/>
      </c>
      <c r="B279" s="14">
        <f>IF(G279="UNIDADE CONSTRUTIVA",0,IF(G279="CÉLULA CONSTRUTIVA",OFFSET(B279,-1,0)+1,OFFSET(B279,-1,0)))</f>
        <v/>
      </c>
      <c r="C279" s="14">
        <f>IF(G279="CÉLULA CONSTRUTIVA",0,IF(G279="ETAPA",OFFSET(C279,-1,0)+1,OFFSET(C279,-1,0)))</f>
        <v/>
      </c>
      <c r="D279" s="13">
        <f>IF(G279="ETAPA",0,IF(G279="SUBETAPA",OFFSET(D279,-1,0)+1,OFFSET(D279,-1,0)))</f>
        <v/>
      </c>
      <c r="E279" s="13">
        <f>IF(G279="Subetapa",0,IF(G279="serviço",OFFSET(E279,-1,0)+1,OFFSET(E279,-1,0)))</f>
        <v/>
      </c>
      <c r="F279" s="12" t="n"/>
      <c r="G279" s="17" t="inlineStr">
        <is>
          <t>ETAPA</t>
        </is>
      </c>
      <c r="H279" s="16">
        <f>IF(G279="Unidade Construtiva",TEXT(A279,"00"),IF(G279="Célula Construtiva",TEXT(B279,"00"),IF(G279="Etapa",CONCATENATE(TEXT(B279,"00"),".",TEXT(C279,"000")),IF(G279="Subetapa",CONCATENATE(TEXT(B279,"00"),".",TEXT(C279,"000"),".",TEXT(D279,"000")),IF(G279="Serviço",CONCATENATE(TEXT(B279,"00"),".",TEXT(C279,"000"),".",TEXT(D279,"000"),".",TEXT(E279,"000")),"")))))</f>
        <v/>
      </c>
      <c r="I279" s="15" t="inlineStr">
        <is>
          <t>INSTALAÇÕES PREVENTIVAS</t>
        </is>
      </c>
      <c r="J279" s="6" t="n"/>
    </row>
    <row r="280" ht="20.45" customFormat="1" customHeight="1" s="8">
      <c r="A280" s="14">
        <f>IF($G280="UNIDADE CONSTRUTIVA",OFFSET(A280,-1,0)+1,LARGE(A$3:A279,1))</f>
        <v/>
      </c>
      <c r="B280" s="14">
        <f>IF(G280="UNIDADE CONSTRUTIVA",0,IF(G280="CÉLULA CONSTRUTIVA",OFFSET(B280,-1,0)+1,OFFSET(B280,-1,0)))</f>
        <v/>
      </c>
      <c r="C280" s="14">
        <f>IF(G280="CÉLULA CONSTRUTIVA",0,IF(G280="ETAPA",OFFSET(C280,-1,0)+1,OFFSET(C280,-1,0)))</f>
        <v/>
      </c>
      <c r="D280" s="13">
        <f>IF(G280="ETAPA",0,IF(G280="SUBETAPA",OFFSET(D280,-1,0)+1,OFFSET(D280,-1,0)))</f>
        <v/>
      </c>
      <c r="E280" s="13">
        <f>IF(G280="Subetapa",0,IF(G280="serviço",OFFSET(E280,-1,0)+1,OFFSET(E280,-1,0)))</f>
        <v/>
      </c>
      <c r="F280" s="12" t="n"/>
      <c r="G280" s="19" t="inlineStr">
        <is>
          <t>Subetapa</t>
        </is>
      </c>
      <c r="H280" s="16">
        <f>IF(G280="Unidade Construtiva",TEXT(A280,"00"),IF(G280="Célula Construtiva",TEXT(B280,"00"),IF(G280="Etapa",CONCATENATE(TEXT(B280,"00"),".",TEXT(C280,"000")),IF(G280="Subetapa",CONCATENATE(TEXT(B280,"00"),".",TEXT(C280,"000"),".",TEXT(D280,"000")),IF(G280="Serviço",CONCATENATE(TEXT(B280,"00"),".",TEXT(C280,"000"),".",TEXT(D280,"000"),".",TEXT(E280,"000")),"")))))</f>
        <v/>
      </c>
      <c r="I280" s="18" t="inlineStr">
        <is>
          <t>Hidrantes</t>
        </is>
      </c>
      <c r="J280" s="6" t="n"/>
    </row>
    <row r="281" ht="20.45" customFormat="1" customHeight="1" s="8">
      <c r="A281" s="14">
        <f>IF($G281="UNIDADE CONSTRUTIVA",OFFSET(A281,-1,0)+1,LARGE(A$3:A280,1))</f>
        <v/>
      </c>
      <c r="B281" s="14">
        <f>IF(G281="UNIDADE CONSTRUTIVA",0,IF(G281="CÉLULA CONSTRUTIVA",OFFSET(B281,-1,0)+1,OFFSET(B281,-1,0)))</f>
        <v/>
      </c>
      <c r="C281" s="14">
        <f>IF(G281="CÉLULA CONSTRUTIVA",0,IF(G281="ETAPA",OFFSET(C281,-1,0)+1,OFFSET(C281,-1,0)))</f>
        <v/>
      </c>
      <c r="D281" s="13">
        <f>IF(G281="ETAPA",0,IF(G281="SUBETAPA",OFFSET(D281,-1,0)+1,OFFSET(D281,-1,0)))</f>
        <v/>
      </c>
      <c r="E281" s="13">
        <f>IF(G281="Subetapa",0,IF(G281="serviço",OFFSET(E281,-1,0)+1,OFFSET(E281,-1,0)))</f>
        <v/>
      </c>
      <c r="F281" s="12" t="n"/>
      <c r="G281" s="19" t="inlineStr">
        <is>
          <t>Subetapa</t>
        </is>
      </c>
      <c r="H281" s="16">
        <f>IF(G281="Unidade Construtiva",TEXT(A281,"00"),IF(G281="Célula Construtiva",TEXT(B281,"00"),IF(G281="Etapa",CONCATENATE(TEXT(B281,"00"),".",TEXT(C281,"000")),IF(G281="Subetapa",CONCATENATE(TEXT(B281,"00"),".",TEXT(C281,"000"),".",TEXT(D281,"000")),IF(G281="Serviço",CONCATENATE(TEXT(B281,"00"),".",TEXT(C281,"000"),".",TEXT(D281,"000"),".",TEXT(E281,"000")),"")))))</f>
        <v/>
      </c>
      <c r="I281" s="18" t="inlineStr">
        <is>
          <t>Sinalização de emergência e extintores</t>
        </is>
      </c>
      <c r="J281" s="6" t="n"/>
    </row>
    <row r="282" ht="20.45" customFormat="1" customHeight="1" s="8">
      <c r="A282" s="14">
        <f>IF($G282="UNIDADE CONSTRUTIVA",OFFSET(A282,-1,0)+1,LARGE(A$3:A281,1))</f>
        <v/>
      </c>
      <c r="B282" s="14">
        <f>IF(G282="UNIDADE CONSTRUTIVA",0,IF(G282="CÉLULA CONSTRUTIVA",OFFSET(B282,-1,0)+1,OFFSET(B282,-1,0)))</f>
        <v/>
      </c>
      <c r="C282" s="14">
        <f>IF(G282="CÉLULA CONSTRUTIVA",0,IF(G282="ETAPA",OFFSET(C282,-1,0)+1,OFFSET(C282,-1,0)))</f>
        <v/>
      </c>
      <c r="D282" s="13">
        <f>IF(G282="ETAPA",0,IF(G282="SUBETAPA",OFFSET(D282,-1,0)+1,OFFSET(D282,-1,0)))</f>
        <v/>
      </c>
      <c r="E282" s="13">
        <f>IF(G282="Subetapa",0,IF(G282="serviço",OFFSET(E282,-1,0)+1,OFFSET(E282,-1,0)))</f>
        <v/>
      </c>
      <c r="F282" s="12" t="n"/>
      <c r="G282" s="19" t="inlineStr">
        <is>
          <t>Subetapa</t>
        </is>
      </c>
      <c r="H282" s="16">
        <f>IF(G282="Unidade Construtiva",TEXT(A282,"00"),IF(G282="Célula Construtiva",TEXT(B282,"00"),IF(G282="Etapa",CONCATENATE(TEXT(B282,"00"),".",TEXT(C282,"000")),IF(G282="Subetapa",CONCATENATE(TEXT(B282,"00"),".",TEXT(C282,"000"),".",TEXT(D282,"000")),IF(G282="Serviço",CONCATENATE(TEXT(B282,"00"),".",TEXT(C282,"000"),".",TEXT(D282,"000"),".",TEXT(E282,"000")),"")))))</f>
        <v/>
      </c>
      <c r="I282" s="18" t="inlineStr">
        <is>
          <t>Instalações de proteção e aterramento -SPDA</t>
        </is>
      </c>
      <c r="J282" s="6" t="n"/>
    </row>
    <row r="283" ht="20.45" customFormat="1" customHeight="1" s="8">
      <c r="A283" s="14">
        <f>IF($G283="UNIDADE CONSTRUTIVA",OFFSET(A283,-1,0)+1,LARGE(A$3:A282,1))</f>
        <v/>
      </c>
      <c r="B283" s="14">
        <f>IF(G283="UNIDADE CONSTRUTIVA",0,IF(G283="CÉLULA CONSTRUTIVA",OFFSET(B283,-1,0)+1,OFFSET(B283,-1,0)))</f>
        <v/>
      </c>
      <c r="C283" s="14">
        <f>IF(G283="CÉLULA CONSTRUTIVA",0,IF(G283="ETAPA",OFFSET(C283,-1,0)+1,OFFSET(C283,-1,0)))</f>
        <v/>
      </c>
      <c r="D283" s="13">
        <f>IF(G283="ETAPA",0,IF(G283="SUBETAPA",OFFSET(D283,-1,0)+1,OFFSET(D283,-1,0)))</f>
        <v/>
      </c>
      <c r="E283" s="13">
        <f>IF(G283="Subetapa",0,IF(G283="serviço",OFFSET(E283,-1,0)+1,OFFSET(E283,-1,0)))</f>
        <v/>
      </c>
      <c r="F283" s="12" t="n"/>
      <c r="G283" s="19" t="inlineStr">
        <is>
          <t>Subetapa</t>
        </is>
      </c>
      <c r="H283" s="16">
        <f>IF(G283="Unidade Construtiva",TEXT(A283,"00"),IF(G283="Célula Construtiva",TEXT(B283,"00"),IF(G283="Etapa",CONCATENATE(TEXT(B283,"00"),".",TEXT(C283,"000")),IF(G283="Subetapa",CONCATENATE(TEXT(B283,"00"),".",TEXT(C283,"000"),".",TEXT(D283,"000")),IF(G283="Serviço",CONCATENATE(TEXT(B283,"00"),".",TEXT(C283,"000"),".",TEXT(D283,"000"),".",TEXT(E283,"000")),"")))))</f>
        <v/>
      </c>
      <c r="I283" s="18" t="inlineStr">
        <is>
          <t>Central de Alarmes</t>
        </is>
      </c>
      <c r="J283" s="6" t="n"/>
    </row>
    <row r="284" ht="20.45" customFormat="1" customHeight="1" s="8">
      <c r="A284" s="14">
        <f>IF($G284="UNIDADE CONSTRUTIVA",OFFSET(A284,-1,0)+1,LARGE(A$3:A283,1))</f>
        <v/>
      </c>
      <c r="B284" s="14">
        <f>IF(G284="UNIDADE CONSTRUTIVA",0,IF(G284="CÉLULA CONSTRUTIVA",OFFSET(B284,-1,0)+1,OFFSET(B284,-1,0)))</f>
        <v/>
      </c>
      <c r="C284" s="14">
        <f>IF(G284="CÉLULA CONSTRUTIVA",0,IF(G284="ETAPA",OFFSET(C284,-1,0)+1,OFFSET(C284,-1,0)))</f>
        <v/>
      </c>
      <c r="D284" s="13">
        <f>IF(G284="ETAPA",0,IF(G284="SUBETAPA",OFFSET(D284,-1,0)+1,OFFSET(D284,-1,0)))</f>
        <v/>
      </c>
      <c r="E284" s="13">
        <f>IF(G284="Subetapa",0,IF(G284="serviço",OFFSET(E284,-1,0)+1,OFFSET(E284,-1,0)))</f>
        <v/>
      </c>
      <c r="F284" s="12" t="n"/>
      <c r="G284" s="19" t="inlineStr">
        <is>
          <t>Subetapa</t>
        </is>
      </c>
      <c r="H284" s="16">
        <f>IF(G284="Unidade Construtiva",TEXT(A284,"00"),IF(G284="Célula Construtiva",TEXT(B284,"00"),IF(G284="Etapa",CONCATENATE(TEXT(B284,"00"),".",TEXT(C284,"000")),IF(G284="Subetapa",CONCATENATE(TEXT(B284,"00"),".",TEXT(C284,"000"),".",TEXT(D284,"000")),IF(G284="Serviço",CONCATENATE(TEXT(B284,"00"),".",TEXT(C284,"000"),".",TEXT(D284,"000"),".",TEXT(E284,"000")),"")))))</f>
        <v/>
      </c>
      <c r="I284" s="18" t="inlineStr">
        <is>
          <t>Sistema de bombas</t>
        </is>
      </c>
      <c r="J284" s="6" t="n"/>
    </row>
    <row r="285" ht="20.45" customFormat="1" customHeight="1" s="8">
      <c r="A285" s="14">
        <f>IF($G285="UNIDADE CONSTRUTIVA",OFFSET(A285,-1,0)+1,LARGE(A$3:A284,1))</f>
        <v/>
      </c>
      <c r="B285" s="14">
        <f>IF(G285="UNIDADE CONSTRUTIVA",0,IF(G285="CÉLULA CONSTRUTIVA",OFFSET(B285,-1,0)+1,OFFSET(B285,-1,0)))</f>
        <v/>
      </c>
      <c r="C285" s="14">
        <f>IF(G285="CÉLULA CONSTRUTIVA",0,IF(G285="ETAPA",OFFSET(C285,-1,0)+1,OFFSET(C285,-1,0)))</f>
        <v/>
      </c>
      <c r="D285" s="13">
        <f>IF(G285="ETAPA",0,IF(G285="SUBETAPA",OFFSET(D285,-1,0)+1,OFFSET(D285,-1,0)))</f>
        <v/>
      </c>
      <c r="E285" s="13">
        <f>IF(G285="Subetapa",0,IF(G285="serviço",OFFSET(E285,-1,0)+1,OFFSET(E285,-1,0)))</f>
        <v/>
      </c>
      <c r="F285" s="12" t="n"/>
      <c r="G285" s="19" t="inlineStr">
        <is>
          <t>Subetapa</t>
        </is>
      </c>
      <c r="H285" s="16">
        <f>IF(G285="Unidade Construtiva",TEXT(A285,"00"),IF(G285="Célula Construtiva",TEXT(B285,"00"),IF(G285="Etapa",CONCATENATE(TEXT(B285,"00"),".",TEXT(C285,"000")),IF(G285="Subetapa",CONCATENATE(TEXT(B285,"00"),".",TEXT(C285,"000"),".",TEXT(D285,"000")),IF(G285="Serviço",CONCATENATE(TEXT(B285,"00"),".",TEXT(C285,"000"),".",TEXT(D285,"000"),".",TEXT(E285,"000")),"")))))</f>
        <v/>
      </c>
      <c r="I285" s="18" t="inlineStr">
        <is>
          <t>Mão de obra</t>
        </is>
      </c>
      <c r="J285" s="6" t="n"/>
    </row>
    <row r="286" ht="20.45" customFormat="1" customHeight="1" s="8">
      <c r="A286" s="14">
        <f>IF($G286="UNIDADE CONSTRUTIVA",OFFSET(A286,-1,0)+1,LARGE(A$3:A285,1))</f>
        <v/>
      </c>
      <c r="B286" s="14">
        <f>IF(G286="UNIDADE CONSTRUTIVA",0,IF(G286="CÉLULA CONSTRUTIVA",OFFSET(B286,-1,0)+1,OFFSET(B286,-1,0)))</f>
        <v/>
      </c>
      <c r="C286" s="14">
        <f>IF(G286="CÉLULA CONSTRUTIVA",0,IF(G286="ETAPA",OFFSET(C286,-1,0)+1,OFFSET(C286,-1,0)))</f>
        <v/>
      </c>
      <c r="D286" s="13">
        <f>IF(G286="ETAPA",0,IF(G286="SUBETAPA",OFFSET(D286,-1,0)+1,OFFSET(D286,-1,0)))</f>
        <v/>
      </c>
      <c r="E286" s="13">
        <f>IF(G286="Subetapa",0,IF(G286="serviço",OFFSET(E286,-1,0)+1,OFFSET(E286,-1,0)))</f>
        <v/>
      </c>
      <c r="F286" s="12" t="n"/>
      <c r="G286" s="17" t="inlineStr">
        <is>
          <t>CÉLULA CONSTRUTIVA</t>
        </is>
      </c>
      <c r="H286" s="16">
        <f>IF(G286="Unidade Construtiva",TEXT(A286,"00"),IF(G286="Célula Construtiva",TEXT(B286,"00"),IF(G286="Etapa",CONCATENATE(TEXT(B286,"00"),".",TEXT(C286,"000")),IF(G286="Subetapa",CONCATENATE(TEXT(B286,"00"),".",TEXT(C286,"000"),".",TEXT(D286,"000")),IF(G286="Serviço",CONCATENATE(TEXT(B286,"00"),".",TEXT(C286,"000"),".",TEXT(D286,"000"),".",TEXT(E286,"000")),"")))))</f>
        <v/>
      </c>
      <c r="I286" s="15" t="inlineStr">
        <is>
          <t>INSTALAÇÕES DE GÁS</t>
        </is>
      </c>
      <c r="J286" s="6" t="n"/>
    </row>
    <row r="287" ht="20.45" customFormat="1" customHeight="1" s="8">
      <c r="A287" s="14">
        <f>IF($G287="UNIDADE CONSTRUTIVA",OFFSET(A287,-1,0)+1,LARGE(A$3:A286,1))</f>
        <v/>
      </c>
      <c r="B287" s="14">
        <f>IF(G287="UNIDADE CONSTRUTIVA",0,IF(G287="CÉLULA CONSTRUTIVA",OFFSET(B287,-1,0)+1,OFFSET(B287,-1,0)))</f>
        <v/>
      </c>
      <c r="C287" s="14">
        <f>IF(G287="CÉLULA CONSTRUTIVA",0,IF(G287="ETAPA",OFFSET(C287,-1,0)+1,OFFSET(C287,-1,0)))</f>
        <v/>
      </c>
      <c r="D287" s="13">
        <f>IF(G287="ETAPA",0,IF(G287="SUBETAPA",OFFSET(D287,-1,0)+1,OFFSET(D287,-1,0)))</f>
        <v/>
      </c>
      <c r="E287" s="13">
        <f>IF(G287="Subetapa",0,IF(G287="serviço",OFFSET(E287,-1,0)+1,OFFSET(E287,-1,0)))</f>
        <v/>
      </c>
      <c r="F287" s="12" t="n"/>
      <c r="G287" s="17" t="inlineStr">
        <is>
          <t>ETAPA</t>
        </is>
      </c>
      <c r="H287" s="16">
        <f>IF(G287="Unidade Construtiva",TEXT(A287,"00"),IF(G287="Célula Construtiva",TEXT(B287,"00"),IF(G287="Etapa",CONCATENATE(TEXT(B287,"00"),".",TEXT(C287,"000")),IF(G287="Subetapa",CONCATENATE(TEXT(B287,"00"),".",TEXT(C287,"000"),".",TEXT(D287,"000")),IF(G287="Serviço",CONCATENATE(TEXT(B287,"00"),".",TEXT(C287,"000"),".",TEXT(D287,"000"),".",TEXT(E287,"000")),"")))))</f>
        <v/>
      </c>
      <c r="I287" s="15" t="inlineStr">
        <is>
          <t>INSTALAÇÕES DE GÁS</t>
        </is>
      </c>
      <c r="J287" s="6" t="n"/>
    </row>
    <row r="288" ht="20.45" customFormat="1" customHeight="1" s="8">
      <c r="A288" s="14">
        <f>IF($G288="UNIDADE CONSTRUTIVA",OFFSET(A288,-1,0)+1,LARGE(A$3:A287,1))</f>
        <v/>
      </c>
      <c r="B288" s="14">
        <f>IF(G288="UNIDADE CONSTRUTIVA",0,IF(G288="CÉLULA CONSTRUTIVA",OFFSET(B288,-1,0)+1,OFFSET(B288,-1,0)))</f>
        <v/>
      </c>
      <c r="C288" s="14">
        <f>IF(G288="CÉLULA CONSTRUTIVA",0,IF(G288="ETAPA",OFFSET(C288,-1,0)+1,OFFSET(C288,-1,0)))</f>
        <v/>
      </c>
      <c r="D288" s="13">
        <f>IF(G288="ETAPA",0,IF(G288="SUBETAPA",OFFSET(D288,-1,0)+1,OFFSET(D288,-1,0)))</f>
        <v/>
      </c>
      <c r="E288" s="13">
        <f>IF(G288="Subetapa",0,IF(G288="serviço",OFFSET(E288,-1,0)+1,OFFSET(E288,-1,0)))</f>
        <v/>
      </c>
      <c r="F288" s="12" t="n"/>
      <c r="G288" s="19" t="inlineStr">
        <is>
          <t>Subetapa</t>
        </is>
      </c>
      <c r="H288" s="16">
        <f>IF(G288="Unidade Construtiva",TEXT(A288,"00"),IF(G288="Célula Construtiva",TEXT(B288,"00"),IF(G288="Etapa",CONCATENATE(TEXT(B288,"00"),".",TEXT(C288,"000")),IF(G288="Subetapa",CONCATENATE(TEXT(B288,"00"),".",TEXT(C288,"000"),".",TEXT(D288,"000")),IF(G288="Serviço",CONCATENATE(TEXT(B288,"00"),".",TEXT(C288,"000"),".",TEXT(D288,"000"),".",TEXT(E288,"000")),"")))))</f>
        <v/>
      </c>
      <c r="I288" s="18" t="inlineStr">
        <is>
          <t>Medidores</t>
        </is>
      </c>
      <c r="J288" s="6" t="n"/>
    </row>
    <row r="289" ht="20.45" customFormat="1" customHeight="1" s="8">
      <c r="A289" s="14">
        <f>IF($G289="UNIDADE CONSTRUTIVA",OFFSET(A289,-1,0)+1,LARGE(A$3:A288,1))</f>
        <v/>
      </c>
      <c r="B289" s="14">
        <f>IF(G289="UNIDADE CONSTRUTIVA",0,IF(G289="CÉLULA CONSTRUTIVA",OFFSET(B289,-1,0)+1,OFFSET(B289,-1,0)))</f>
        <v/>
      </c>
      <c r="C289" s="14">
        <f>IF(G289="CÉLULA CONSTRUTIVA",0,IF(G289="ETAPA",OFFSET(C289,-1,0)+1,OFFSET(C289,-1,0)))</f>
        <v/>
      </c>
      <c r="D289" s="13">
        <f>IF(G289="ETAPA",0,IF(G289="SUBETAPA",OFFSET(D289,-1,0)+1,OFFSET(D289,-1,0)))</f>
        <v/>
      </c>
      <c r="E289" s="13">
        <f>IF(G289="Subetapa",0,IF(G289="serviço",OFFSET(E289,-1,0)+1,OFFSET(E289,-1,0)))</f>
        <v/>
      </c>
      <c r="F289" s="12" t="n"/>
      <c r="G289" s="19" t="inlineStr">
        <is>
          <t>Subetapa</t>
        </is>
      </c>
      <c r="H289" s="16">
        <f>IF(G289="Unidade Construtiva",TEXT(A289,"00"),IF(G289="Célula Construtiva",TEXT(B289,"00"),IF(G289="Etapa",CONCATENATE(TEXT(B289,"00"),".",TEXT(C289,"000")),IF(G289="Subetapa",CONCATENATE(TEXT(B289,"00"),".",TEXT(C289,"000"),".",TEXT(D289,"000")),IF(G289="Serviço",CONCATENATE(TEXT(B289,"00"),".",TEXT(C289,"000"),".",TEXT(D289,"000"),".",TEXT(E289,"000")),"")))))</f>
        <v/>
      </c>
      <c r="I289" s="18" t="inlineStr">
        <is>
          <t>Central de Gás</t>
        </is>
      </c>
      <c r="J289" s="6" t="n"/>
    </row>
    <row r="290" ht="20.45" customFormat="1" customHeight="1" s="8">
      <c r="A290" s="14">
        <f>IF($G290="UNIDADE CONSTRUTIVA",OFFSET(A290,-1,0)+1,LARGE(A$3:A289,1))</f>
        <v/>
      </c>
      <c r="B290" s="14">
        <f>IF(G290="UNIDADE CONSTRUTIVA",0,IF(G290="CÉLULA CONSTRUTIVA",OFFSET(B290,-1,0)+1,OFFSET(B290,-1,0)))</f>
        <v/>
      </c>
      <c r="C290" s="14">
        <f>IF(G290="CÉLULA CONSTRUTIVA",0,IF(G290="ETAPA",OFFSET(C290,-1,0)+1,OFFSET(C290,-1,0)))</f>
        <v/>
      </c>
      <c r="D290" s="13">
        <f>IF(G290="ETAPA",0,IF(G290="SUBETAPA",OFFSET(D290,-1,0)+1,OFFSET(D290,-1,0)))</f>
        <v/>
      </c>
      <c r="E290" s="13">
        <f>IF(G290="Subetapa",0,IF(G290="serviço",OFFSET(E290,-1,0)+1,OFFSET(E290,-1,0)))</f>
        <v/>
      </c>
      <c r="F290" s="12" t="n"/>
      <c r="G290" s="19" t="inlineStr">
        <is>
          <t>Subetapa</t>
        </is>
      </c>
      <c r="H290" s="16">
        <f>IF(G290="Unidade Construtiva",TEXT(A290,"00"),IF(G290="Célula Construtiva",TEXT(B290,"00"),IF(G290="Etapa",CONCATENATE(TEXT(B290,"00"),".",TEXT(C290,"000")),IF(G290="Subetapa",CONCATENATE(TEXT(B290,"00"),".",TEXT(C290,"000"),".",TEXT(D290,"000")),IF(G290="Serviço",CONCATENATE(TEXT(B290,"00"),".",TEXT(C290,"000"),".",TEXT(D290,"000"),".",TEXT(E290,"000")),"")))))</f>
        <v/>
      </c>
      <c r="I290" s="18" t="inlineStr">
        <is>
          <t>Rede Primária</t>
        </is>
      </c>
      <c r="J290" s="6" t="n"/>
    </row>
    <row r="291" ht="20.45" customFormat="1" customHeight="1" s="8">
      <c r="A291" s="14">
        <f>IF($G291="UNIDADE CONSTRUTIVA",OFFSET(A291,-1,0)+1,LARGE(A$3:A290,1))</f>
        <v/>
      </c>
      <c r="B291" s="14">
        <f>IF(G291="UNIDADE CONSTRUTIVA",0,IF(G291="CÉLULA CONSTRUTIVA",OFFSET(B291,-1,0)+1,OFFSET(B291,-1,0)))</f>
        <v/>
      </c>
      <c r="C291" s="14">
        <f>IF(G291="CÉLULA CONSTRUTIVA",0,IF(G291="ETAPA",OFFSET(C291,-1,0)+1,OFFSET(C291,-1,0)))</f>
        <v/>
      </c>
      <c r="D291" s="13">
        <f>IF(G291="ETAPA",0,IF(G291="SUBETAPA",OFFSET(D291,-1,0)+1,OFFSET(D291,-1,0)))</f>
        <v/>
      </c>
      <c r="E291" s="13">
        <f>IF(G291="Subetapa",0,IF(G291="serviço",OFFSET(E291,-1,0)+1,OFFSET(E291,-1,0)))</f>
        <v/>
      </c>
      <c r="F291" s="12" t="n"/>
      <c r="G291" s="19" t="inlineStr">
        <is>
          <t>Subetapa</t>
        </is>
      </c>
      <c r="H291" s="16">
        <f>IF(G291="Unidade Construtiva",TEXT(A291,"00"),IF(G291="Célula Construtiva",TEXT(B291,"00"),IF(G291="Etapa",CONCATENATE(TEXT(B291,"00"),".",TEXT(C291,"000")),IF(G291="Subetapa",CONCATENATE(TEXT(B291,"00"),".",TEXT(C291,"000"),".",TEXT(D291,"000")),IF(G291="Serviço",CONCATENATE(TEXT(B291,"00"),".",TEXT(C291,"000"),".",TEXT(D291,"000"),".",TEXT(E291,"000")),"")))))</f>
        <v/>
      </c>
      <c r="I291" s="18" t="inlineStr">
        <is>
          <t>Rede Secundária</t>
        </is>
      </c>
      <c r="J291" s="6" t="n"/>
    </row>
    <row r="292" ht="20.45" customFormat="1" customHeight="1" s="8">
      <c r="A292" s="14">
        <f>IF($G292="UNIDADE CONSTRUTIVA",OFFSET(A292,-1,0)+1,LARGE(A$3:A291,1))</f>
        <v/>
      </c>
      <c r="B292" s="14">
        <f>IF(G292="UNIDADE CONSTRUTIVA",0,IF(G292="CÉLULA CONSTRUTIVA",OFFSET(B292,-1,0)+1,OFFSET(B292,-1,0)))</f>
        <v/>
      </c>
      <c r="C292" s="14">
        <f>IF(G292="CÉLULA CONSTRUTIVA",0,IF(G292="ETAPA",OFFSET(C292,-1,0)+1,OFFSET(C292,-1,0)))</f>
        <v/>
      </c>
      <c r="D292" s="13">
        <f>IF(G292="ETAPA",0,IF(G292="SUBETAPA",OFFSET(D292,-1,0)+1,OFFSET(D292,-1,0)))</f>
        <v/>
      </c>
      <c r="E292" s="13">
        <f>IF(G292="Subetapa",0,IF(G292="serviço",OFFSET(E292,-1,0)+1,OFFSET(E292,-1,0)))</f>
        <v/>
      </c>
      <c r="F292" s="12" t="n"/>
      <c r="G292" s="19" t="inlineStr">
        <is>
          <t>Subetapa</t>
        </is>
      </c>
      <c r="H292" s="16">
        <f>IF(G292="Unidade Construtiva",TEXT(A292,"00"),IF(G292="Célula Construtiva",TEXT(B292,"00"),IF(G292="Etapa",CONCATENATE(TEXT(B292,"00"),".",TEXT(C292,"000")),IF(G292="Subetapa",CONCATENATE(TEXT(B292,"00"),".",TEXT(C292,"000"),".",TEXT(D292,"000")),IF(G292="Serviço",CONCATENATE(TEXT(B292,"00"),".",TEXT(C292,"000"),".",TEXT(D292,"000"),".",TEXT(E292,"000")),"")))))</f>
        <v/>
      </c>
      <c r="I292" s="18" t="inlineStr">
        <is>
          <t>Mão de obra</t>
        </is>
      </c>
      <c r="J292" s="6" t="n"/>
    </row>
    <row r="293" ht="20.45" customFormat="1" customHeight="1" s="8">
      <c r="A293" s="14">
        <f>IF($G293="UNIDADE CONSTRUTIVA",OFFSET(A293,-1,0)+1,LARGE(A$3:A292,1))</f>
        <v/>
      </c>
      <c r="B293" s="14">
        <f>IF(G293="UNIDADE CONSTRUTIVA",0,IF(G293="CÉLULA CONSTRUTIVA",OFFSET(B293,-1,0)+1,OFFSET(B293,-1,0)))</f>
        <v/>
      </c>
      <c r="C293" s="14">
        <f>IF(G293="CÉLULA CONSTRUTIVA",0,IF(G293="ETAPA",OFFSET(C293,-1,0)+1,OFFSET(C293,-1,0)))</f>
        <v/>
      </c>
      <c r="D293" s="13">
        <f>IF(G293="ETAPA",0,IF(G293="SUBETAPA",OFFSET(D293,-1,0)+1,OFFSET(D293,-1,0)))</f>
        <v/>
      </c>
      <c r="E293" s="13">
        <f>IF(G293="Subetapa",0,IF(G293="serviço",OFFSET(E293,-1,0)+1,OFFSET(E293,-1,0)))</f>
        <v/>
      </c>
      <c r="F293" s="12" t="n"/>
      <c r="G293" s="17" t="inlineStr">
        <is>
          <t>CÉLULA CONSTRUTIVA</t>
        </is>
      </c>
      <c r="H293" s="16">
        <f>IF(G293="Unidade Construtiva",TEXT(A293,"00"),IF(G293="Célula Construtiva",TEXT(B293,"00"),IF(G293="Etapa",CONCATENATE(TEXT(B293,"00"),".",TEXT(C293,"000")),IF(G293="Subetapa",CONCATENATE(TEXT(B293,"00"),".",TEXT(C293,"000"),".",TEXT(D293,"000")),IF(G293="Serviço",CONCATENATE(TEXT(B293,"00"),".",TEXT(C293,"000"),".",TEXT(D293,"000"),".",TEXT(E293,"000")),"")))))</f>
        <v/>
      </c>
      <c r="I293" s="15" t="inlineStr">
        <is>
          <t>INSTALAÇÕES DE COMUNICAÇÕES</t>
        </is>
      </c>
      <c r="J293" s="6" t="n"/>
    </row>
    <row r="294" ht="20.45" customFormat="1" customHeight="1" s="8">
      <c r="A294" s="14">
        <f>IF($G294="UNIDADE CONSTRUTIVA",OFFSET(A294,-1,0)+1,LARGE(A$3:A293,1))</f>
        <v/>
      </c>
      <c r="B294" s="14">
        <f>IF(G294="UNIDADE CONSTRUTIVA",0,IF(G294="CÉLULA CONSTRUTIVA",OFFSET(B294,-1,0)+1,OFFSET(B294,-1,0)))</f>
        <v/>
      </c>
      <c r="C294" s="14">
        <f>IF(G294="CÉLULA CONSTRUTIVA",0,IF(G294="ETAPA",OFFSET(C294,-1,0)+1,OFFSET(C294,-1,0)))</f>
        <v/>
      </c>
      <c r="D294" s="13">
        <f>IF(G294="ETAPA",0,IF(G294="SUBETAPA",OFFSET(D294,-1,0)+1,OFFSET(D294,-1,0)))</f>
        <v/>
      </c>
      <c r="E294" s="13">
        <f>IF(G294="Subetapa",0,IF(G294="serviço",OFFSET(E294,-1,0)+1,OFFSET(E294,-1,0)))</f>
        <v/>
      </c>
      <c r="F294" s="12" t="n"/>
      <c r="G294" s="17" t="inlineStr">
        <is>
          <t>ETAPA</t>
        </is>
      </c>
      <c r="H294" s="16">
        <f>IF(G294="Unidade Construtiva",TEXT(A294,"00"),IF(G294="Célula Construtiva",TEXT(B294,"00"),IF(G294="Etapa",CONCATENATE(TEXT(B294,"00"),".",TEXT(C294,"000")),IF(G294="Subetapa",CONCATENATE(TEXT(B294,"00"),".",TEXT(C294,"000"),".",TEXT(D294,"000")),IF(G294="Serviço",CONCATENATE(TEXT(B294,"00"),".",TEXT(C294,"000"),".",TEXT(D294,"000"),".",TEXT(E294,"000")),"")))))</f>
        <v/>
      </c>
      <c r="I294" s="15" t="inlineStr">
        <is>
          <t>INSTALAÇÕES DE COMUNICAÇÕES</t>
        </is>
      </c>
      <c r="J294" s="6" t="n"/>
    </row>
    <row r="295" ht="20.45" customFormat="1" customHeight="1" s="8">
      <c r="A295" s="14">
        <f>IF($G295="UNIDADE CONSTRUTIVA",OFFSET(A295,-1,0)+1,LARGE(A$3:A294,1))</f>
        <v/>
      </c>
      <c r="B295" s="14">
        <f>IF(G295="UNIDADE CONSTRUTIVA",0,IF(G295="CÉLULA CONSTRUTIVA",OFFSET(B295,-1,0)+1,OFFSET(B295,-1,0)))</f>
        <v/>
      </c>
      <c r="C295" s="14">
        <f>IF(G295="CÉLULA CONSTRUTIVA",0,IF(G295="ETAPA",OFFSET(C295,-1,0)+1,OFFSET(C295,-1,0)))</f>
        <v/>
      </c>
      <c r="D295" s="13">
        <f>IF(G295="ETAPA",0,IF(G295="SUBETAPA",OFFSET(D295,-1,0)+1,OFFSET(D295,-1,0)))</f>
        <v/>
      </c>
      <c r="E295" s="13">
        <f>IF(G295="Subetapa",0,IF(G295="serviço",OFFSET(E295,-1,0)+1,OFFSET(E295,-1,0)))</f>
        <v/>
      </c>
      <c r="F295" s="12" t="n"/>
      <c r="G295" s="19" t="inlineStr">
        <is>
          <t>Subetapa</t>
        </is>
      </c>
      <c r="H295" s="16">
        <f>IF(G295="Unidade Construtiva",TEXT(A295,"00"),IF(G295="Célula Construtiva",TEXT(B295,"00"),IF(G295="Etapa",CONCATENATE(TEXT(B295,"00"),".",TEXT(C295,"000")),IF(G295="Subetapa",CONCATENATE(TEXT(B295,"00"),".",TEXT(C295,"000"),".",TEXT(D295,"000")),IF(G295="Serviço",CONCATENATE(TEXT(B295,"00"),".",TEXT(C295,"000"),".",TEXT(D295,"000"),".",TEXT(E295,"000")),"")))))</f>
        <v/>
      </c>
      <c r="I295" s="18" t="inlineStr">
        <is>
          <t>Sistema de interfone / controle de acesso</t>
        </is>
      </c>
      <c r="J295" s="6" t="n"/>
    </row>
    <row r="296" ht="20.45" customFormat="1" customHeight="1" s="8">
      <c r="A296" s="14">
        <f>IF($G296="UNIDADE CONSTRUTIVA",OFFSET(A296,-1,0)+1,LARGE(A$3:A295,1))</f>
        <v/>
      </c>
      <c r="B296" s="14">
        <f>IF(G296="UNIDADE CONSTRUTIVA",0,IF(G296="CÉLULA CONSTRUTIVA",OFFSET(B296,-1,0)+1,OFFSET(B296,-1,0)))</f>
        <v/>
      </c>
      <c r="C296" s="14">
        <f>IF(G296="CÉLULA CONSTRUTIVA",0,IF(G296="ETAPA",OFFSET(C296,-1,0)+1,OFFSET(C296,-1,0)))</f>
        <v/>
      </c>
      <c r="D296" s="13">
        <f>IF(G296="ETAPA",0,IF(G296="SUBETAPA",OFFSET(D296,-1,0)+1,OFFSET(D296,-1,0)))</f>
        <v/>
      </c>
      <c r="E296" s="13">
        <f>IF(G296="Subetapa",0,IF(G296="serviço",OFFSET(E296,-1,0)+1,OFFSET(E296,-1,0)))</f>
        <v/>
      </c>
      <c r="F296" s="12" t="n"/>
      <c r="G296" s="19" t="inlineStr">
        <is>
          <t>Subetapa</t>
        </is>
      </c>
      <c r="H296" s="16">
        <f>IF(G296="Unidade Construtiva",TEXT(A296,"00"),IF(G296="Célula Construtiva",TEXT(B296,"00"),IF(G296="Etapa",CONCATENATE(TEXT(B296,"00"),".",TEXT(C296,"000")),IF(G296="Subetapa",CONCATENATE(TEXT(B296,"00"),".",TEXT(C296,"000"),".",TEXT(D296,"000")),IF(G296="Serviço",CONCATENATE(TEXT(B296,"00"),".",TEXT(C296,"000"),".",TEXT(D296,"000"),".",TEXT(E296,"000")),"")))))</f>
        <v/>
      </c>
      <c r="I296" s="18" t="inlineStr">
        <is>
          <t>Instalação de CFTV</t>
        </is>
      </c>
      <c r="J296" s="6" t="n"/>
    </row>
    <row r="297" ht="20.45" customFormat="1" customHeight="1" s="8">
      <c r="A297" s="14">
        <f>IF($G297="UNIDADE CONSTRUTIVA",OFFSET(A297,-1,0)+1,LARGE(A$3:A296,1))</f>
        <v/>
      </c>
      <c r="B297" s="14">
        <f>IF(G297="UNIDADE CONSTRUTIVA",0,IF(G297="CÉLULA CONSTRUTIVA",OFFSET(B297,-1,0)+1,OFFSET(B297,-1,0)))</f>
        <v/>
      </c>
      <c r="C297" s="14">
        <f>IF(G297="CÉLULA CONSTRUTIVA",0,IF(G297="ETAPA",OFFSET(C297,-1,0)+1,OFFSET(C297,-1,0)))</f>
        <v/>
      </c>
      <c r="D297" s="13">
        <f>IF(G297="ETAPA",0,IF(G297="SUBETAPA",OFFSET(D297,-1,0)+1,OFFSET(D297,-1,0)))</f>
        <v/>
      </c>
      <c r="E297" s="13">
        <f>IF(G297="Subetapa",0,IF(G297="serviço",OFFSET(E297,-1,0)+1,OFFSET(E297,-1,0)))</f>
        <v/>
      </c>
      <c r="F297" s="12" t="n"/>
      <c r="G297" s="19" t="inlineStr">
        <is>
          <t>Subetapa</t>
        </is>
      </c>
      <c r="H297" s="16">
        <f>IF(G297="Unidade Construtiva",TEXT(A297,"00"),IF(G297="Célula Construtiva",TEXT(B297,"00"),IF(G297="Etapa",CONCATENATE(TEXT(B297,"00"),".",TEXT(C297,"000")),IF(G297="Subetapa",CONCATENATE(TEXT(B297,"00"),".",TEXT(C297,"000"),".",TEXT(D297,"000")),IF(G297="Serviço",CONCATENATE(TEXT(B297,"00"),".",TEXT(C297,"000"),".",TEXT(D297,"000"),".",TEXT(E297,"000")),"")))))</f>
        <v/>
      </c>
      <c r="I297" s="18" t="inlineStr">
        <is>
          <t>TV VHF/CABO/SATÉLITE</t>
        </is>
      </c>
      <c r="J297" s="6" t="n"/>
    </row>
    <row r="298" ht="20.45" customFormat="1" customHeight="1" s="8">
      <c r="A298" s="14">
        <f>IF($G298="UNIDADE CONSTRUTIVA",OFFSET(A298,-1,0)+1,LARGE(A$3:A297,1))</f>
        <v/>
      </c>
      <c r="B298" s="14">
        <f>IF(G298="UNIDADE CONSTRUTIVA",0,IF(G298="CÉLULA CONSTRUTIVA",OFFSET(B298,-1,0)+1,OFFSET(B298,-1,0)))</f>
        <v/>
      </c>
      <c r="C298" s="14">
        <f>IF(G298="CÉLULA CONSTRUTIVA",0,IF(G298="ETAPA",OFFSET(C298,-1,0)+1,OFFSET(C298,-1,0)))</f>
        <v/>
      </c>
      <c r="D298" s="13">
        <f>IF(G298="ETAPA",0,IF(G298="SUBETAPA",OFFSET(D298,-1,0)+1,OFFSET(D298,-1,0)))</f>
        <v/>
      </c>
      <c r="E298" s="13">
        <f>IF(G298="Subetapa",0,IF(G298="serviço",OFFSET(E298,-1,0)+1,OFFSET(E298,-1,0)))</f>
        <v/>
      </c>
      <c r="F298" s="12" t="n"/>
      <c r="G298" s="19" t="inlineStr">
        <is>
          <t>Subetapa</t>
        </is>
      </c>
      <c r="H298" s="16">
        <f>IF(G298="Unidade Construtiva",TEXT(A298,"00"),IF(G298="Célula Construtiva",TEXT(B298,"00"),IF(G298="Etapa",CONCATENATE(TEXT(B298,"00"),".",TEXT(C298,"000")),IF(G298="Subetapa",CONCATENATE(TEXT(B298,"00"),".",TEXT(C298,"000"),".",TEXT(D298,"000")),IF(G298="Serviço",CONCATENATE(TEXT(B298,"00"),".",TEXT(C298,"000"),".",TEXT(D298,"000"),".",TEXT(E298,"000")),"")))))</f>
        <v/>
      </c>
      <c r="I298" s="18" t="inlineStr">
        <is>
          <t>Telefonia/lógica/internet</t>
        </is>
      </c>
      <c r="J298" s="6" t="n"/>
    </row>
    <row r="299" ht="20.45" customFormat="1" customHeight="1" s="8">
      <c r="A299" s="14">
        <f>IF($G299="UNIDADE CONSTRUTIVA",OFFSET(A299,-1,0)+1,LARGE(A$3:A298,1))</f>
        <v/>
      </c>
      <c r="B299" s="14">
        <f>IF(G299="UNIDADE CONSTRUTIVA",0,IF(G299="CÉLULA CONSTRUTIVA",OFFSET(B299,-1,0)+1,OFFSET(B299,-1,0)))</f>
        <v/>
      </c>
      <c r="C299" s="14">
        <f>IF(G299="CÉLULA CONSTRUTIVA",0,IF(G299="ETAPA",OFFSET(C299,-1,0)+1,OFFSET(C299,-1,0)))</f>
        <v/>
      </c>
      <c r="D299" s="13">
        <f>IF(G299="ETAPA",0,IF(G299="SUBETAPA",OFFSET(D299,-1,0)+1,OFFSET(D299,-1,0)))</f>
        <v/>
      </c>
      <c r="E299" s="13">
        <f>IF(G299="Subetapa",0,IF(G299="serviço",OFFSET(E299,-1,0)+1,OFFSET(E299,-1,0)))</f>
        <v/>
      </c>
      <c r="F299" s="12" t="n"/>
      <c r="G299" s="17" t="inlineStr">
        <is>
          <t>CÉLULA CONSTRUTIVA</t>
        </is>
      </c>
      <c r="H299" s="16">
        <f>IF(G299="Unidade Construtiva",TEXT(A299,"00"),IF(G299="Célula Construtiva",TEXT(B299,"00"),IF(G299="Etapa",CONCATENATE(TEXT(B299,"00"),".",TEXT(C299,"000")),IF(G299="Subetapa",CONCATENATE(TEXT(B299,"00"),".",TEXT(C299,"000"),".",TEXT(D299,"000")),IF(G299="Serviço",CONCATENATE(TEXT(B299,"00"),".",TEXT(C299,"000"),".",TEXT(D299,"000"),".",TEXT(E299,"000")),"")))))</f>
        <v/>
      </c>
      <c r="I299" s="15" t="inlineStr">
        <is>
          <t>CLIMATIZAÇÃO, EXAUSTÃO MECÂNICA E PRESSURIZAÇÃO</t>
        </is>
      </c>
      <c r="J299" s="6" t="n"/>
    </row>
    <row r="300" ht="20.45" customFormat="1" customHeight="1" s="8">
      <c r="A300" s="14">
        <f>IF($G300="UNIDADE CONSTRUTIVA",OFFSET(A300,-1,0)+1,LARGE(A$3:A299,1))</f>
        <v/>
      </c>
      <c r="B300" s="14">
        <f>IF(G300="UNIDADE CONSTRUTIVA",0,IF(G300="CÉLULA CONSTRUTIVA",OFFSET(B300,-1,0)+1,OFFSET(B300,-1,0)))</f>
        <v/>
      </c>
      <c r="C300" s="14">
        <f>IF(G300="CÉLULA CONSTRUTIVA",0,IF(G300="ETAPA",OFFSET(C300,-1,0)+1,OFFSET(C300,-1,0)))</f>
        <v/>
      </c>
      <c r="D300" s="13">
        <f>IF(G300="ETAPA",0,IF(G300="SUBETAPA",OFFSET(D300,-1,0)+1,OFFSET(D300,-1,0)))</f>
        <v/>
      </c>
      <c r="E300" s="13">
        <f>IF(G300="Subetapa",0,IF(G300="serviço",OFFSET(E300,-1,0)+1,OFFSET(E300,-1,0)))</f>
        <v/>
      </c>
      <c r="F300" s="12" t="n"/>
      <c r="G300" s="17" t="inlineStr">
        <is>
          <t>ETAPA</t>
        </is>
      </c>
      <c r="H300" s="16">
        <f>IF(G300="Unidade Construtiva",TEXT(A300,"00"),IF(G300="Célula Construtiva",TEXT(B300,"00"),IF(G300="Etapa",CONCATENATE(TEXT(B300,"00"),".",TEXT(C300,"000")),IF(G300="Subetapa",CONCATENATE(TEXT(B300,"00"),".",TEXT(C300,"000"),".",TEXT(D300,"000")),IF(G300="Serviço",CONCATENATE(TEXT(B300,"00"),".",TEXT(C300,"000"),".",TEXT(D300,"000"),".",TEXT(E300,"000")),"")))))</f>
        <v/>
      </c>
      <c r="I300" s="15" t="inlineStr">
        <is>
          <t>CLIMATIZAÇÃO, EXAUSTÃO MECÂNICA E PRESSURIZAÇÃO</t>
        </is>
      </c>
      <c r="J300" s="6" t="n"/>
    </row>
    <row r="301" ht="20.45" customFormat="1" customHeight="1" s="8">
      <c r="A301" s="14">
        <f>IF($G301="UNIDADE CONSTRUTIVA",OFFSET(A301,-1,0)+1,LARGE(A$3:A300,1))</f>
        <v/>
      </c>
      <c r="B301" s="14">
        <f>IF(G301="UNIDADE CONSTRUTIVA",0,IF(G301="CÉLULA CONSTRUTIVA",OFFSET(B301,-1,0)+1,OFFSET(B301,-1,0)))</f>
        <v/>
      </c>
      <c r="C301" s="14">
        <f>IF(G301="CÉLULA CONSTRUTIVA",0,IF(G301="ETAPA",OFFSET(C301,-1,0)+1,OFFSET(C301,-1,0)))</f>
        <v/>
      </c>
      <c r="D301" s="13">
        <f>IF(G301="ETAPA",0,IF(G301="SUBETAPA",OFFSET(D301,-1,0)+1,OFFSET(D301,-1,0)))</f>
        <v/>
      </c>
      <c r="E301" s="13">
        <f>IF(G301="Subetapa",0,IF(G301="serviço",OFFSET(E301,-1,0)+1,OFFSET(E301,-1,0)))</f>
        <v/>
      </c>
      <c r="F301" s="12" t="n"/>
      <c r="G301" s="19" t="inlineStr">
        <is>
          <t>Subetapa</t>
        </is>
      </c>
      <c r="H301" s="16">
        <f>IF(G301="Unidade Construtiva",TEXT(A301,"00"),IF(G301="Célula Construtiva",TEXT(B301,"00"),IF(G301="Etapa",CONCATENATE(TEXT(B301,"00"),".",TEXT(C301,"000")),IF(G301="Subetapa",CONCATENATE(TEXT(B301,"00"),".",TEXT(C301,"000"),".",TEXT(D301,"000")),IF(G301="Serviço",CONCATENATE(TEXT(B301,"00"),".",TEXT(C301,"000"),".",TEXT(D301,"000"),".",TEXT(E301,"000")),"")))))</f>
        <v/>
      </c>
      <c r="I301" s="18" t="inlineStr">
        <is>
          <t>Climatização</t>
        </is>
      </c>
      <c r="J301" s="6" t="n"/>
    </row>
    <row r="302" ht="20.45" customFormat="1" customHeight="1" s="8">
      <c r="A302" s="14">
        <f>IF($G302="UNIDADE CONSTRUTIVA",OFFSET(A302,-1,0)+1,LARGE(A$3:A301,1))</f>
        <v/>
      </c>
      <c r="B302" s="14">
        <f>IF(G302="UNIDADE CONSTRUTIVA",0,IF(G302="CÉLULA CONSTRUTIVA",OFFSET(B302,-1,0)+1,OFFSET(B302,-1,0)))</f>
        <v/>
      </c>
      <c r="C302" s="14">
        <f>IF(G302="CÉLULA CONSTRUTIVA",0,IF(G302="ETAPA",OFFSET(C302,-1,0)+1,OFFSET(C302,-1,0)))</f>
        <v/>
      </c>
      <c r="D302" s="13">
        <f>IF(G302="ETAPA",0,IF(G302="SUBETAPA",OFFSET(D302,-1,0)+1,OFFSET(D302,-1,0)))</f>
        <v/>
      </c>
      <c r="E302" s="13">
        <f>IF(G302="Subetapa",0,IF(G302="serviço",OFFSET(E302,-1,0)+1,OFFSET(E302,-1,0)))</f>
        <v/>
      </c>
      <c r="F302" s="12" t="n"/>
      <c r="G302" s="19" t="inlineStr">
        <is>
          <t>Subetapa</t>
        </is>
      </c>
      <c r="H302" s="16">
        <f>IF(G302="Unidade Construtiva",TEXT(A302,"00"),IF(G302="Célula Construtiva",TEXT(B302,"00"),IF(G302="Etapa",CONCATENATE(TEXT(B302,"00"),".",TEXT(C302,"000")),IF(G302="Subetapa",CONCATENATE(TEXT(B302,"00"),".",TEXT(C302,"000"),".",TEXT(D302,"000")),IF(G302="Serviço",CONCATENATE(TEXT(B302,"00"),".",TEXT(C302,"000"),".",TEXT(D302,"000"),".",TEXT(E302,"000")),"")))))</f>
        <v/>
      </c>
      <c r="I302" s="18" t="inlineStr">
        <is>
          <t>Exaustão mecânica</t>
        </is>
      </c>
      <c r="J302" s="6" t="n"/>
    </row>
    <row r="303" ht="20.45" customFormat="1" customHeight="1" s="8">
      <c r="A303" s="14">
        <f>IF($G303="UNIDADE CONSTRUTIVA",OFFSET(A303,-1,0)+1,LARGE(A$3:A302,1))</f>
        <v/>
      </c>
      <c r="B303" s="14">
        <f>IF(G303="UNIDADE CONSTRUTIVA",0,IF(G303="CÉLULA CONSTRUTIVA",OFFSET(B303,-1,0)+1,OFFSET(B303,-1,0)))</f>
        <v/>
      </c>
      <c r="C303" s="14">
        <f>IF(G303="CÉLULA CONSTRUTIVA",0,IF(G303="ETAPA",OFFSET(C303,-1,0)+1,OFFSET(C303,-1,0)))</f>
        <v/>
      </c>
      <c r="D303" s="13">
        <f>IF(G303="ETAPA",0,IF(G303="SUBETAPA",OFFSET(D303,-1,0)+1,OFFSET(D303,-1,0)))</f>
        <v/>
      </c>
      <c r="E303" s="13">
        <f>IF(G303="Subetapa",0,IF(G303="serviço",OFFSET(E303,-1,0)+1,OFFSET(E303,-1,0)))</f>
        <v/>
      </c>
      <c r="F303" s="12" t="n"/>
      <c r="G303" s="19" t="inlineStr">
        <is>
          <t>Subetapa</t>
        </is>
      </c>
      <c r="H303" s="16">
        <f>IF(G303="Unidade Construtiva",TEXT(A303,"00"),IF(G303="Célula Construtiva",TEXT(B303,"00"),IF(G303="Etapa",CONCATENATE(TEXT(B303,"00"),".",TEXT(C303,"000")),IF(G303="Subetapa",CONCATENATE(TEXT(B303,"00"),".",TEXT(C303,"000"),".",TEXT(D303,"000")),IF(G303="Serviço",CONCATENATE(TEXT(B303,"00"),".",TEXT(C303,"000"),".",TEXT(D303,"000"),".",TEXT(E303,"000")),"")))))</f>
        <v/>
      </c>
      <c r="I303" s="18" t="inlineStr">
        <is>
          <t>Exaustão de churrasqueiras</t>
        </is>
      </c>
      <c r="J303" s="6" t="n"/>
    </row>
    <row r="304" ht="20.45" customFormat="1" customHeight="1" s="8">
      <c r="A304" s="14">
        <f>IF($G304="UNIDADE CONSTRUTIVA",OFFSET(A304,-1,0)+1,LARGE(A$3:A303,1))</f>
        <v/>
      </c>
      <c r="B304" s="14">
        <f>IF(G304="UNIDADE CONSTRUTIVA",0,IF(G304="CÉLULA CONSTRUTIVA",OFFSET(B304,-1,0)+1,OFFSET(B304,-1,0)))</f>
        <v/>
      </c>
      <c r="C304" s="14">
        <f>IF(G304="CÉLULA CONSTRUTIVA",0,IF(G304="ETAPA",OFFSET(C304,-1,0)+1,OFFSET(C304,-1,0)))</f>
        <v/>
      </c>
      <c r="D304" s="13">
        <f>IF(G304="ETAPA",0,IF(G304="SUBETAPA",OFFSET(D304,-1,0)+1,OFFSET(D304,-1,0)))</f>
        <v/>
      </c>
      <c r="E304" s="13">
        <f>IF(G304="Subetapa",0,IF(G304="serviço",OFFSET(E304,-1,0)+1,OFFSET(E304,-1,0)))</f>
        <v/>
      </c>
      <c r="F304" s="12" t="n"/>
      <c r="G304" s="19" t="inlineStr">
        <is>
          <t>Subetapa</t>
        </is>
      </c>
      <c r="H304" s="16">
        <f>IF(G304="Unidade Construtiva",TEXT(A304,"00"),IF(G304="Célula Construtiva",TEXT(B304,"00"),IF(G304="Etapa",CONCATENATE(TEXT(B304,"00"),".",TEXT(C304,"000")),IF(G304="Subetapa",CONCATENATE(TEXT(B304,"00"),".",TEXT(C304,"000"),".",TEXT(D304,"000")),IF(G304="Serviço",CONCATENATE(TEXT(B304,"00"),".",TEXT(C304,"000"),".",TEXT(D304,"000"),".",TEXT(E304,"000")),"")))))</f>
        <v/>
      </c>
      <c r="I304" s="18" t="inlineStr">
        <is>
          <t>Pressurização das escadas</t>
        </is>
      </c>
      <c r="J304" s="6" t="n"/>
    </row>
    <row r="305" ht="20.45" customFormat="1" customHeight="1" s="8">
      <c r="A305" s="14">
        <f>IF($G305="UNIDADE CONSTRUTIVA",OFFSET(A305,-1,0)+1,LARGE(A$3:A304,1))</f>
        <v/>
      </c>
      <c r="B305" s="14">
        <f>IF(G305="UNIDADE CONSTRUTIVA",0,IF(G305="CÉLULA CONSTRUTIVA",OFFSET(B305,-1,0)+1,OFFSET(B305,-1,0)))</f>
        <v/>
      </c>
      <c r="C305" s="14">
        <f>IF(G305="CÉLULA CONSTRUTIVA",0,IF(G305="ETAPA",OFFSET(C305,-1,0)+1,OFFSET(C305,-1,0)))</f>
        <v/>
      </c>
      <c r="D305" s="13">
        <f>IF(G305="ETAPA",0,IF(G305="SUBETAPA",OFFSET(D305,-1,0)+1,OFFSET(D305,-1,0)))</f>
        <v/>
      </c>
      <c r="E305" s="13">
        <f>IF(G305="Subetapa",0,IF(G305="serviço",OFFSET(E305,-1,0)+1,OFFSET(E305,-1,0)))</f>
        <v/>
      </c>
      <c r="F305" s="12" t="n"/>
      <c r="G305" s="17" t="inlineStr">
        <is>
          <t>CÉLULA CONSTRUTIVA</t>
        </is>
      </c>
      <c r="H305" s="16">
        <f>IF(G305="Unidade Construtiva",TEXT(A305,"00"),IF(G305="Célula Construtiva",TEXT(B305,"00"),IF(G305="Etapa",CONCATENATE(TEXT(B305,"00"),".",TEXT(C305,"000")),IF(G305="Subetapa",CONCATENATE(TEXT(B305,"00"),".",TEXT(C305,"000"),".",TEXT(D305,"000")),IF(G305="Serviço",CONCATENATE(TEXT(B305,"00"),".",TEXT(C305,"000"),".",TEXT(D305,"000"),".",TEXT(E305,"000")),"")))))</f>
        <v/>
      </c>
      <c r="I305" s="15" t="inlineStr">
        <is>
          <t>REVESTIMENTOS ARGAMASSADOS INTERNOS DE PAREDE</t>
        </is>
      </c>
      <c r="J305" s="6" t="n"/>
    </row>
    <row r="306" ht="20.45" customFormat="1" customHeight="1" s="8">
      <c r="A306" s="14">
        <f>IF($G306="UNIDADE CONSTRUTIVA",OFFSET(A306,-1,0)+1,LARGE(A$3:A305,1))</f>
        <v/>
      </c>
      <c r="B306" s="14">
        <f>IF(G306="UNIDADE CONSTRUTIVA",0,IF(G306="CÉLULA CONSTRUTIVA",OFFSET(B306,-1,0)+1,OFFSET(B306,-1,0)))</f>
        <v/>
      </c>
      <c r="C306" s="14">
        <f>IF(G306="CÉLULA CONSTRUTIVA",0,IF(G306="ETAPA",OFFSET(C306,-1,0)+1,OFFSET(C306,-1,0)))</f>
        <v/>
      </c>
      <c r="D306" s="13">
        <f>IF(G306="ETAPA",0,IF(G306="SUBETAPA",OFFSET(D306,-1,0)+1,OFFSET(D306,-1,0)))</f>
        <v/>
      </c>
      <c r="E306" s="13">
        <f>IF(G306="Subetapa",0,IF(G306="serviço",OFFSET(E306,-1,0)+1,OFFSET(E306,-1,0)))</f>
        <v/>
      </c>
      <c r="F306" s="12" t="n"/>
      <c r="G306" s="17" t="inlineStr">
        <is>
          <t>ETAPA</t>
        </is>
      </c>
      <c r="H306" s="16">
        <f>IF(G306="Unidade Construtiva",TEXT(A306,"00"),IF(G306="Célula Construtiva",TEXT(B306,"00"),IF(G306="Etapa",CONCATENATE(TEXT(B306,"00"),".",TEXT(C306,"000")),IF(G306="Subetapa",CONCATENATE(TEXT(B306,"00"),".",TEXT(C306,"000"),".",TEXT(D306,"000")),IF(G306="Serviço",CONCATENATE(TEXT(B306,"00"),".",TEXT(C306,"000"),".",TEXT(D306,"000"),".",TEXT(E306,"000")),"")))))</f>
        <v/>
      </c>
      <c r="I306" s="15" t="inlineStr">
        <is>
          <t>REVESTIMENTOS ARGAMASSADOS INTERNOS DE PAREDE</t>
        </is>
      </c>
      <c r="J306" s="6" t="n"/>
    </row>
    <row r="307" ht="20.45" customFormat="1" customHeight="1" s="8">
      <c r="A307" s="14">
        <f>IF($G307="UNIDADE CONSTRUTIVA",OFFSET(A307,-1,0)+1,LARGE(A$3:A306,1))</f>
        <v/>
      </c>
      <c r="B307" s="14">
        <f>IF(G307="UNIDADE CONSTRUTIVA",0,IF(G307="CÉLULA CONSTRUTIVA",OFFSET(B307,-1,0)+1,OFFSET(B307,-1,0)))</f>
        <v/>
      </c>
      <c r="C307" s="14">
        <f>IF(G307="CÉLULA CONSTRUTIVA",0,IF(G307="ETAPA",OFFSET(C307,-1,0)+1,OFFSET(C307,-1,0)))</f>
        <v/>
      </c>
      <c r="D307" s="13">
        <f>IF(G307="ETAPA",0,IF(G307="SUBETAPA",OFFSET(D307,-1,0)+1,OFFSET(D307,-1,0)))</f>
        <v/>
      </c>
      <c r="E307" s="13">
        <f>IF(G307="Subetapa",0,IF(G307="serviço",OFFSET(E307,-1,0)+1,OFFSET(E307,-1,0)))</f>
        <v/>
      </c>
      <c r="F307" s="12" t="n"/>
      <c r="G307" s="19" t="inlineStr">
        <is>
          <t>Subetapa</t>
        </is>
      </c>
      <c r="H307" s="16">
        <f>IF(G307="Unidade Construtiva",TEXT(A307,"00"),IF(G307="Célula Construtiva",TEXT(B307,"00"),IF(G307="Etapa",CONCATENATE(TEXT(B307,"00"),".",TEXT(C307,"000")),IF(G307="Subetapa",CONCATENATE(TEXT(B307,"00"),".",TEXT(C307,"000"),".",TEXT(D307,"000")),IF(G307="Serviço",CONCATENATE(TEXT(B307,"00"),".",TEXT(C307,"000"),".",TEXT(D307,"000"),".",TEXT(E307,"000")),"")))))</f>
        <v/>
      </c>
      <c r="I307" s="18" t="inlineStr">
        <is>
          <t>Reboco interno</t>
        </is>
      </c>
      <c r="J307" s="6" t="n"/>
    </row>
    <row r="308" ht="20.45" customFormat="1" customHeight="1" s="8">
      <c r="A308" s="14">
        <f>IF($G308="UNIDADE CONSTRUTIVA",OFFSET(A308,-1,0)+1,LARGE(A$3:A307,1))</f>
        <v/>
      </c>
      <c r="B308" s="14">
        <f>IF(G308="UNIDADE CONSTRUTIVA",0,IF(G308="CÉLULA CONSTRUTIVA",OFFSET(B308,-1,0)+1,OFFSET(B308,-1,0)))</f>
        <v/>
      </c>
      <c r="C308" s="14">
        <f>IF(G308="CÉLULA CONSTRUTIVA",0,IF(G308="ETAPA",OFFSET(C308,-1,0)+1,OFFSET(C308,-1,0)))</f>
        <v/>
      </c>
      <c r="D308" s="13">
        <f>IF(G308="ETAPA",0,IF(G308="SUBETAPA",OFFSET(D308,-1,0)+1,OFFSET(D308,-1,0)))</f>
        <v/>
      </c>
      <c r="E308" s="13">
        <f>IF(G308="Subetapa",0,IF(G308="serviço",OFFSET(E308,-1,0)+1,OFFSET(E308,-1,0)))</f>
        <v/>
      </c>
      <c r="F308" s="12" t="n"/>
      <c r="G308" s="19" t="inlineStr">
        <is>
          <t>Subetapa</t>
        </is>
      </c>
      <c r="H308" s="16">
        <f>IF(G308="Unidade Construtiva",TEXT(A308,"00"),IF(G308="Célula Construtiva",TEXT(B308,"00"),IF(G308="Etapa",CONCATENATE(TEXT(B308,"00"),".",TEXT(C308,"000")),IF(G308="Subetapa",CONCATENATE(TEXT(B308,"00"),".",TEXT(C308,"000"),".",TEXT(D308,"000")),IF(G308="Serviço",CONCATENATE(TEXT(B308,"00"),".",TEXT(C308,"000"),".",TEXT(D308,"000"),".",TEXT(E308,"000")),"")))))</f>
        <v/>
      </c>
      <c r="I308" s="18" t="inlineStr">
        <is>
          <t>Isolamento térmico</t>
        </is>
      </c>
      <c r="J308" s="6" t="n"/>
    </row>
    <row r="309" ht="20.45" customFormat="1" customHeight="1" s="8">
      <c r="A309" s="14">
        <f>IF($G309="UNIDADE CONSTRUTIVA",OFFSET(A309,-1,0)+1,LARGE(A$3:A308,1))</f>
        <v/>
      </c>
      <c r="B309" s="14">
        <f>IF(G309="UNIDADE CONSTRUTIVA",0,IF(G309="CÉLULA CONSTRUTIVA",OFFSET(B309,-1,0)+1,OFFSET(B309,-1,0)))</f>
        <v/>
      </c>
      <c r="C309" s="14">
        <f>IF(G309="CÉLULA CONSTRUTIVA",0,IF(G309="ETAPA",OFFSET(C309,-1,0)+1,OFFSET(C309,-1,0)))</f>
        <v/>
      </c>
      <c r="D309" s="13">
        <f>IF(G309="ETAPA",0,IF(G309="SUBETAPA",OFFSET(D309,-1,0)+1,OFFSET(D309,-1,0)))</f>
        <v/>
      </c>
      <c r="E309" s="13">
        <f>IF(G309="Subetapa",0,IF(G309="serviço",OFFSET(E309,-1,0)+1,OFFSET(E309,-1,0)))</f>
        <v/>
      </c>
      <c r="F309" s="12" t="n"/>
      <c r="G309" s="19" t="inlineStr">
        <is>
          <t>Subetapa</t>
        </is>
      </c>
      <c r="H309" s="16">
        <f>IF(G309="Unidade Construtiva",TEXT(A309,"00"),IF(G309="Célula Construtiva",TEXT(B309,"00"),IF(G309="Etapa",CONCATENATE(TEXT(B309,"00"),".",TEXT(C309,"000")),IF(G309="Subetapa",CONCATENATE(TEXT(B309,"00"),".",TEXT(C309,"000"),".",TEXT(D309,"000")),IF(G309="Serviço",CONCATENATE(TEXT(B309,"00"),".",TEXT(C309,"000"),".",TEXT(D309,"000"),".",TEXT(E309,"000")),"")))))</f>
        <v/>
      </c>
      <c r="I309" s="18" t="inlineStr">
        <is>
          <t>Isolamento acústico</t>
        </is>
      </c>
      <c r="J309" s="6" t="n"/>
    </row>
    <row r="310" ht="20.45" customFormat="1" customHeight="1" s="8">
      <c r="A310" s="14">
        <f>IF($G310="UNIDADE CONSTRUTIVA",OFFSET(A310,-1,0)+1,LARGE(A$3:A309,1))</f>
        <v/>
      </c>
      <c r="B310" s="14">
        <f>IF(G310="UNIDADE CONSTRUTIVA",0,IF(G310="CÉLULA CONSTRUTIVA",OFFSET(B310,-1,0)+1,OFFSET(B310,-1,0)))</f>
        <v/>
      </c>
      <c r="C310" s="14">
        <f>IF(G310="CÉLULA CONSTRUTIVA",0,IF(G310="ETAPA",OFFSET(C310,-1,0)+1,OFFSET(C310,-1,0)))</f>
        <v/>
      </c>
      <c r="D310" s="13">
        <f>IF(G310="ETAPA",0,IF(G310="SUBETAPA",OFFSET(D310,-1,0)+1,OFFSET(D310,-1,0)))</f>
        <v/>
      </c>
      <c r="E310" s="13">
        <f>IF(G310="Subetapa",0,IF(G310="serviço",OFFSET(E310,-1,0)+1,OFFSET(E310,-1,0)))</f>
        <v/>
      </c>
      <c r="F310" s="12" t="n"/>
      <c r="G310" s="19" t="inlineStr">
        <is>
          <t>Subetapa</t>
        </is>
      </c>
      <c r="H310" s="16">
        <f>IF(G310="Unidade Construtiva",TEXT(A310,"00"),IF(G310="Célula Construtiva",TEXT(B310,"00"),IF(G310="Etapa",CONCATENATE(TEXT(B310,"00"),".",TEXT(C310,"000")),IF(G310="Subetapa",CONCATENATE(TEXT(B310,"00"),".",TEXT(C310,"000"),".",TEXT(D310,"000")),IF(G310="Serviço",CONCATENATE(TEXT(B310,"00"),".",TEXT(C310,"000"),".",TEXT(D310,"000"),".",TEXT(E310,"000")),"")))))</f>
        <v/>
      </c>
      <c r="I310" s="18" t="inlineStr">
        <is>
          <t>Mão de obra</t>
        </is>
      </c>
      <c r="J310" s="6" t="n"/>
    </row>
    <row r="311" ht="20.45" customFormat="1" customHeight="1" s="8">
      <c r="A311" s="14">
        <f>IF($G311="UNIDADE CONSTRUTIVA",OFFSET(A311,-1,0)+1,LARGE(A$3:A310,1))</f>
        <v/>
      </c>
      <c r="B311" s="14">
        <f>IF(G311="UNIDADE CONSTRUTIVA",0,IF(G311="CÉLULA CONSTRUTIVA",OFFSET(B311,-1,0)+1,OFFSET(B311,-1,0)))</f>
        <v/>
      </c>
      <c r="C311" s="14">
        <f>IF(G311="CÉLULA CONSTRUTIVA",0,IF(G311="ETAPA",OFFSET(C311,-1,0)+1,OFFSET(C311,-1,0)))</f>
        <v/>
      </c>
      <c r="D311" s="13">
        <f>IF(G311="ETAPA",0,IF(G311="SUBETAPA",OFFSET(D311,-1,0)+1,OFFSET(D311,-1,0)))</f>
        <v/>
      </c>
      <c r="E311" s="13">
        <f>IF(G311="Subetapa",0,IF(G311="serviço",OFFSET(E311,-1,0)+1,OFFSET(E311,-1,0)))</f>
        <v/>
      </c>
      <c r="F311" s="12" t="n"/>
      <c r="G311" s="17" t="inlineStr">
        <is>
          <t>CÉLULA CONSTRUTIVA</t>
        </is>
      </c>
      <c r="H311" s="16">
        <f>IF(G311="Unidade Construtiva",TEXT(A311,"00"),IF(G311="Célula Construtiva",TEXT(B311,"00"),IF(G311="Etapa",CONCATENATE(TEXT(B311,"00"),".",TEXT(C311,"000")),IF(G311="Subetapa",CONCATENATE(TEXT(B311,"00"),".",TEXT(C311,"000"),".",TEXT(D311,"000")),IF(G311="Serviço",CONCATENATE(TEXT(B311,"00"),".",TEXT(C311,"000"),".",TEXT(D311,"000"),".",TEXT(E311,"000")),"")))))</f>
        <v/>
      </c>
      <c r="I311" s="15" t="inlineStr">
        <is>
          <t>ACABAMENTOS INTERNOS DE PAREDE</t>
        </is>
      </c>
      <c r="J311" s="6" t="n"/>
    </row>
    <row r="312" ht="20.45" customFormat="1" customHeight="1" s="8">
      <c r="A312" s="14">
        <f>IF($G312="UNIDADE CONSTRUTIVA",OFFSET(A312,-1,0)+1,LARGE(A$3:A311,1))</f>
        <v/>
      </c>
      <c r="B312" s="14">
        <f>IF(G312="UNIDADE CONSTRUTIVA",0,IF(G312="CÉLULA CONSTRUTIVA",OFFSET(B312,-1,0)+1,OFFSET(B312,-1,0)))</f>
        <v/>
      </c>
      <c r="C312" s="14">
        <f>IF(G312="CÉLULA CONSTRUTIVA",0,IF(G312="ETAPA",OFFSET(C312,-1,0)+1,OFFSET(C312,-1,0)))</f>
        <v/>
      </c>
      <c r="D312" s="13">
        <f>IF(G312="ETAPA",0,IF(G312="SUBETAPA",OFFSET(D312,-1,0)+1,OFFSET(D312,-1,0)))</f>
        <v/>
      </c>
      <c r="E312" s="13">
        <f>IF(G312="Subetapa",0,IF(G312="serviço",OFFSET(E312,-1,0)+1,OFFSET(E312,-1,0)))</f>
        <v/>
      </c>
      <c r="F312" s="12" t="n"/>
      <c r="G312" s="17" t="inlineStr">
        <is>
          <t>ETAPA</t>
        </is>
      </c>
      <c r="H312" s="16">
        <f>IF(G312="Unidade Construtiva",TEXT(A312,"00"),IF(G312="Célula Construtiva",TEXT(B312,"00"),IF(G312="Etapa",CONCATENATE(TEXT(B312,"00"),".",TEXT(C312,"000")),IF(G312="Subetapa",CONCATENATE(TEXT(B312,"00"),".",TEXT(C312,"000"),".",TEXT(D312,"000")),IF(G312="Serviço",CONCATENATE(TEXT(B312,"00"),".",TEXT(C312,"000"),".",TEXT(D312,"000"),".",TEXT(E312,"000")),"")))))</f>
        <v/>
      </c>
      <c r="I312" s="15" t="inlineStr">
        <is>
          <t>ACABAMENTOS INTERNOS DE PAREDE</t>
        </is>
      </c>
      <c r="J312" s="6" t="n"/>
    </row>
    <row r="313" ht="20.45" customFormat="1" customHeight="1" s="8">
      <c r="A313" s="14">
        <f>IF($G313="UNIDADE CONSTRUTIVA",OFFSET(A313,-1,0)+1,LARGE(A$3:A312,1))</f>
        <v/>
      </c>
      <c r="B313" s="14">
        <f>IF(G313="UNIDADE CONSTRUTIVA",0,IF(G313="CÉLULA CONSTRUTIVA",OFFSET(B313,-1,0)+1,OFFSET(B313,-1,0)))</f>
        <v/>
      </c>
      <c r="C313" s="14">
        <f>IF(G313="CÉLULA CONSTRUTIVA",0,IF(G313="ETAPA",OFFSET(C313,-1,0)+1,OFFSET(C313,-1,0)))</f>
        <v/>
      </c>
      <c r="D313" s="13">
        <f>IF(G313="ETAPA",0,IF(G313="SUBETAPA",OFFSET(D313,-1,0)+1,OFFSET(D313,-1,0)))</f>
        <v/>
      </c>
      <c r="E313" s="13">
        <f>IF(G313="Subetapa",0,IF(G313="serviço",OFFSET(E313,-1,0)+1,OFFSET(E313,-1,0)))</f>
        <v/>
      </c>
      <c r="F313" s="12" t="n"/>
      <c r="G313" s="19" t="inlineStr">
        <is>
          <t>Subetapa</t>
        </is>
      </c>
      <c r="H313" s="16">
        <f>IF(G313="Unidade Construtiva",TEXT(A313,"00"),IF(G313="Célula Construtiva",TEXT(B313,"00"),IF(G313="Etapa",CONCATENATE(TEXT(B313,"00"),".",TEXT(C313,"000")),IF(G313="Subetapa",CONCATENATE(TEXT(B313,"00"),".",TEXT(C313,"000"),".",TEXT(D313,"000")),IF(G313="Serviço",CONCATENATE(TEXT(B313,"00"),".",TEXT(C313,"000"),".",TEXT(D313,"000"),".",TEXT(E313,"000")),"")))))</f>
        <v/>
      </c>
      <c r="I313" s="18" t="inlineStr">
        <is>
          <t>Acabamentos cerâmicos</t>
        </is>
      </c>
      <c r="J313" s="6" t="n"/>
    </row>
    <row r="314" ht="20.45" customFormat="1" customHeight="1" s="8">
      <c r="A314" s="14">
        <f>IF($G314="UNIDADE CONSTRUTIVA",OFFSET(A314,-1,0)+1,LARGE(A$3:A313,1))</f>
        <v/>
      </c>
      <c r="B314" s="14">
        <f>IF(G314="UNIDADE CONSTRUTIVA",0,IF(G314="CÉLULA CONSTRUTIVA",OFFSET(B314,-1,0)+1,OFFSET(B314,-1,0)))</f>
        <v/>
      </c>
      <c r="C314" s="14">
        <f>IF(G314="CÉLULA CONSTRUTIVA",0,IF(G314="ETAPA",OFFSET(C314,-1,0)+1,OFFSET(C314,-1,0)))</f>
        <v/>
      </c>
      <c r="D314" s="13">
        <f>IF(G314="ETAPA",0,IF(G314="SUBETAPA",OFFSET(D314,-1,0)+1,OFFSET(D314,-1,0)))</f>
        <v/>
      </c>
      <c r="E314" s="13">
        <f>IF(G314="Subetapa",0,IF(G314="serviço",OFFSET(E314,-1,0)+1,OFFSET(E314,-1,0)))</f>
        <v/>
      </c>
      <c r="F314" s="12" t="n"/>
      <c r="G314" s="19" t="inlineStr">
        <is>
          <t>Subetapa</t>
        </is>
      </c>
      <c r="H314" s="16">
        <f>IF(G314="Unidade Construtiva",TEXT(A314,"00"),IF(G314="Célula Construtiva",TEXT(B314,"00"),IF(G314="Etapa",CONCATENATE(TEXT(B314,"00"),".",TEXT(C314,"000")),IF(G314="Subetapa",CONCATENATE(TEXT(B314,"00"),".",TEXT(C314,"000"),".",TEXT(D314,"000")),IF(G314="Serviço",CONCATENATE(TEXT(B314,"00"),".",TEXT(C314,"000"),".",TEXT(D314,"000"),".",TEXT(E314,"000")),"")))))</f>
        <v/>
      </c>
      <c r="I314" s="18" t="inlineStr">
        <is>
          <t>Acabamentos especiais</t>
        </is>
      </c>
      <c r="J314" s="6" t="n"/>
    </row>
    <row r="315" ht="20.45" customFormat="1" customHeight="1" s="8">
      <c r="A315" s="14">
        <f>IF($G315="UNIDADE CONSTRUTIVA",OFFSET(A315,-1,0)+1,LARGE(A$3:A314,1))</f>
        <v/>
      </c>
      <c r="B315" s="14">
        <f>IF(G315="UNIDADE CONSTRUTIVA",0,IF(G315="CÉLULA CONSTRUTIVA",OFFSET(B315,-1,0)+1,OFFSET(B315,-1,0)))</f>
        <v/>
      </c>
      <c r="C315" s="14">
        <f>IF(G315="CÉLULA CONSTRUTIVA",0,IF(G315="ETAPA",OFFSET(C315,-1,0)+1,OFFSET(C315,-1,0)))</f>
        <v/>
      </c>
      <c r="D315" s="13">
        <f>IF(G315="ETAPA",0,IF(G315="SUBETAPA",OFFSET(D315,-1,0)+1,OFFSET(D315,-1,0)))</f>
        <v/>
      </c>
      <c r="E315" s="13">
        <f>IF(G315="Subetapa",0,IF(G315="serviço",OFFSET(E315,-1,0)+1,OFFSET(E315,-1,0)))</f>
        <v/>
      </c>
      <c r="F315" s="12" t="n"/>
      <c r="G315" s="19" t="inlineStr">
        <is>
          <t>Subetapa</t>
        </is>
      </c>
      <c r="H315" s="16">
        <f>IF(G315="Unidade Construtiva",TEXT(A315,"00"),IF(G315="Célula Construtiva",TEXT(B315,"00"),IF(G315="Etapa",CONCATENATE(TEXT(B315,"00"),".",TEXT(C315,"000")),IF(G315="Subetapa",CONCATENATE(TEXT(B315,"00"),".",TEXT(C315,"000"),".",TEXT(D315,"000")),IF(G315="Serviço",CONCATENATE(TEXT(B315,"00"),".",TEXT(C315,"000"),".",TEXT(D315,"000"),".",TEXT(E315,"000")),"")))))</f>
        <v/>
      </c>
      <c r="I315" s="18" t="inlineStr">
        <is>
          <t>Peitoris</t>
        </is>
      </c>
      <c r="J315" s="6" t="n"/>
    </row>
    <row r="316" ht="20.45" customFormat="1" customHeight="1" s="8">
      <c r="A316" s="14">
        <f>IF($G316="UNIDADE CONSTRUTIVA",OFFSET(A316,-1,0)+1,LARGE(A$3:A315,1))</f>
        <v/>
      </c>
      <c r="B316" s="14">
        <f>IF(G316="UNIDADE CONSTRUTIVA",0,IF(G316="CÉLULA CONSTRUTIVA",OFFSET(B316,-1,0)+1,OFFSET(B316,-1,0)))</f>
        <v/>
      </c>
      <c r="C316" s="14">
        <f>IF(G316="CÉLULA CONSTRUTIVA",0,IF(G316="ETAPA",OFFSET(C316,-1,0)+1,OFFSET(C316,-1,0)))</f>
        <v/>
      </c>
      <c r="D316" s="13">
        <f>IF(G316="ETAPA",0,IF(G316="SUBETAPA",OFFSET(D316,-1,0)+1,OFFSET(D316,-1,0)))</f>
        <v/>
      </c>
      <c r="E316" s="13">
        <f>IF(G316="Subetapa",0,IF(G316="serviço",OFFSET(E316,-1,0)+1,OFFSET(E316,-1,0)))</f>
        <v/>
      </c>
      <c r="F316" s="12" t="n"/>
      <c r="G316" s="19" t="inlineStr">
        <is>
          <t>Subetapa</t>
        </is>
      </c>
      <c r="H316" s="16">
        <f>IF(G316="Unidade Construtiva",TEXT(A316,"00"),IF(G316="Célula Construtiva",TEXT(B316,"00"),IF(G316="Etapa",CONCATENATE(TEXT(B316,"00"),".",TEXT(C316,"000")),IF(G316="Subetapa",CONCATENATE(TEXT(B316,"00"),".",TEXT(C316,"000"),".",TEXT(D316,"000")),IF(G316="Serviço",CONCATENATE(TEXT(B316,"00"),".",TEXT(C316,"000"),".",TEXT(D316,"000"),".",TEXT(E316,"000")),"")))))</f>
        <v/>
      </c>
      <c r="I316" s="18" t="inlineStr">
        <is>
          <t>Mão de obra</t>
        </is>
      </c>
      <c r="J316" s="6" t="n"/>
    </row>
    <row r="317" ht="20.45" customFormat="1" customHeight="1" s="8">
      <c r="A317" s="14">
        <f>IF($G317="UNIDADE CONSTRUTIVA",OFFSET(A317,-1,0)+1,LARGE(A$3:A316,1))</f>
        <v/>
      </c>
      <c r="B317" s="14">
        <f>IF(G317="UNIDADE CONSTRUTIVA",0,IF(G317="CÉLULA CONSTRUTIVA",OFFSET(B317,-1,0)+1,OFFSET(B317,-1,0)))</f>
        <v/>
      </c>
      <c r="C317" s="14">
        <f>IF(G317="CÉLULA CONSTRUTIVA",0,IF(G317="ETAPA",OFFSET(C317,-1,0)+1,OFFSET(C317,-1,0)))</f>
        <v/>
      </c>
      <c r="D317" s="13">
        <f>IF(G317="ETAPA",0,IF(G317="SUBETAPA",OFFSET(D317,-1,0)+1,OFFSET(D317,-1,0)))</f>
        <v/>
      </c>
      <c r="E317" s="13">
        <f>IF(G317="Subetapa",0,IF(G317="serviço",OFFSET(E317,-1,0)+1,OFFSET(E317,-1,0)))</f>
        <v/>
      </c>
      <c r="F317" s="12" t="n"/>
      <c r="G317" s="17" t="inlineStr">
        <is>
          <t>CÉLULA CONSTRUTIVA</t>
        </is>
      </c>
      <c r="H317" s="16">
        <f>IF(G317="Unidade Construtiva",TEXT(A317,"00"),IF(G317="Célula Construtiva",TEXT(B317,"00"),IF(G317="Etapa",CONCATENATE(TEXT(B317,"00"),".",TEXT(C317,"000")),IF(G317="Subetapa",CONCATENATE(TEXT(B317,"00"),".",TEXT(C317,"000"),".",TEXT(D317,"000")),IF(G317="Serviço",CONCATENATE(TEXT(B317,"00"),".",TEXT(C317,"000"),".",TEXT(D317,"000"),".",TEXT(E317,"000")),"")))))</f>
        <v/>
      </c>
      <c r="I317" s="15" t="inlineStr">
        <is>
          <t>REVESTIMENTOS INTERNOS EM TETO</t>
        </is>
      </c>
      <c r="J317" s="6" t="n"/>
    </row>
    <row r="318" ht="20.45" customFormat="1" customHeight="1" s="8">
      <c r="A318" s="14">
        <f>IF($G318="UNIDADE CONSTRUTIVA",OFFSET(A318,-1,0)+1,LARGE(A$3:A317,1))</f>
        <v/>
      </c>
      <c r="B318" s="14">
        <f>IF(G318="UNIDADE CONSTRUTIVA",0,IF(G318="CÉLULA CONSTRUTIVA",OFFSET(B318,-1,0)+1,OFFSET(B318,-1,0)))</f>
        <v/>
      </c>
      <c r="C318" s="14">
        <f>IF(G318="CÉLULA CONSTRUTIVA",0,IF(G318="ETAPA",OFFSET(C318,-1,0)+1,OFFSET(C318,-1,0)))</f>
        <v/>
      </c>
      <c r="D318" s="13">
        <f>IF(G318="ETAPA",0,IF(G318="SUBETAPA",OFFSET(D318,-1,0)+1,OFFSET(D318,-1,0)))</f>
        <v/>
      </c>
      <c r="E318" s="13">
        <f>IF(G318="Subetapa",0,IF(G318="serviço",OFFSET(E318,-1,0)+1,OFFSET(E318,-1,0)))</f>
        <v/>
      </c>
      <c r="F318" s="12" t="n"/>
      <c r="G318" s="17" t="inlineStr">
        <is>
          <t>ETAPA</t>
        </is>
      </c>
      <c r="H318" s="16">
        <f>IF(G318="Unidade Construtiva",TEXT(A318,"00"),IF(G318="Célula Construtiva",TEXT(B318,"00"),IF(G318="Etapa",CONCATENATE(TEXT(B318,"00"),".",TEXT(C318,"000")),IF(G318="Subetapa",CONCATENATE(TEXT(B318,"00"),".",TEXT(C318,"000"),".",TEXT(D318,"000")),IF(G318="Serviço",CONCATENATE(TEXT(B318,"00"),".",TEXT(C318,"000"),".",TEXT(D318,"000"),".",TEXT(E318,"000")),"")))))</f>
        <v/>
      </c>
      <c r="I318" s="15" t="inlineStr">
        <is>
          <t>REVESTIMENTOS ARGAMASSADOS INTERNOS EM TETO</t>
        </is>
      </c>
      <c r="J318" s="6" t="n"/>
    </row>
    <row r="319" ht="20.45" customFormat="1" customHeight="1" s="8">
      <c r="A319" s="14">
        <f>IF($G319="UNIDADE CONSTRUTIVA",OFFSET(A319,-1,0)+1,LARGE(A$3:A318,1))</f>
        <v/>
      </c>
      <c r="B319" s="14">
        <f>IF(G319="UNIDADE CONSTRUTIVA",0,IF(G319="CÉLULA CONSTRUTIVA",OFFSET(B319,-1,0)+1,OFFSET(B319,-1,0)))</f>
        <v/>
      </c>
      <c r="C319" s="14">
        <f>IF(G319="CÉLULA CONSTRUTIVA",0,IF(G319="ETAPA",OFFSET(C319,-1,0)+1,OFFSET(C319,-1,0)))</f>
        <v/>
      </c>
      <c r="D319" s="13">
        <f>IF(G319="ETAPA",0,IF(G319="SUBETAPA",OFFSET(D319,-1,0)+1,OFFSET(D319,-1,0)))</f>
        <v/>
      </c>
      <c r="E319" s="13">
        <f>IF(G319="Subetapa",0,IF(G319="serviço",OFFSET(E319,-1,0)+1,OFFSET(E319,-1,0)))</f>
        <v/>
      </c>
      <c r="F319" s="12" t="n"/>
      <c r="G319" s="19" t="inlineStr">
        <is>
          <t>Subetapa</t>
        </is>
      </c>
      <c r="H319" s="16">
        <f>IF(G319="Unidade Construtiva",TEXT(A319,"00"),IF(G319="Célula Construtiva",TEXT(B319,"00"),IF(G319="Etapa",CONCATENATE(TEXT(B319,"00"),".",TEXT(C319,"000")),IF(G319="Subetapa",CONCATENATE(TEXT(B319,"00"),".",TEXT(C319,"000"),".",TEXT(D319,"000")),IF(G319="Serviço",CONCATENATE(TEXT(B319,"00"),".",TEXT(C319,"000"),".",TEXT(D319,"000"),".",TEXT(E319,"000")),"")))))</f>
        <v/>
      </c>
      <c r="I319" s="18" t="inlineStr">
        <is>
          <t>Revestimento interno argamassado em teto</t>
        </is>
      </c>
      <c r="J319" s="6" t="n"/>
    </row>
    <row r="320" ht="20.45" customFormat="1" customHeight="1" s="8">
      <c r="A320" s="14">
        <f>IF($G320="UNIDADE CONSTRUTIVA",OFFSET(A320,-1,0)+1,LARGE(A$3:A319,1))</f>
        <v/>
      </c>
      <c r="B320" s="14">
        <f>IF(G320="UNIDADE CONSTRUTIVA",0,IF(G320="CÉLULA CONSTRUTIVA",OFFSET(B320,-1,0)+1,OFFSET(B320,-1,0)))</f>
        <v/>
      </c>
      <c r="C320" s="14">
        <f>IF(G320="CÉLULA CONSTRUTIVA",0,IF(G320="ETAPA",OFFSET(C320,-1,0)+1,OFFSET(C320,-1,0)))</f>
        <v/>
      </c>
      <c r="D320" s="13">
        <f>IF(G320="ETAPA",0,IF(G320="SUBETAPA",OFFSET(D320,-1,0)+1,OFFSET(D320,-1,0)))</f>
        <v/>
      </c>
      <c r="E320" s="13">
        <f>IF(G320="Subetapa",0,IF(G320="serviço",OFFSET(E320,-1,0)+1,OFFSET(E320,-1,0)))</f>
        <v/>
      </c>
      <c r="F320" s="12" t="n"/>
      <c r="G320" s="19" t="inlineStr">
        <is>
          <t>Subetapa</t>
        </is>
      </c>
      <c r="H320" s="16">
        <f>IF(G320="Unidade Construtiva",TEXT(A320,"00"),IF(G320="Célula Construtiva",TEXT(B320,"00"),IF(G320="Etapa",CONCATENATE(TEXT(B320,"00"),".",TEXT(C320,"000")),IF(G320="Subetapa",CONCATENATE(TEXT(B320,"00"),".",TEXT(C320,"000"),".",TEXT(D320,"000")),IF(G320="Serviço",CONCATENATE(TEXT(B320,"00"),".",TEXT(C320,"000"),".",TEXT(D320,"000"),".",TEXT(E320,"000")),"")))))</f>
        <v/>
      </c>
      <c r="I320" s="18" t="inlineStr">
        <is>
          <t>Mão de obra</t>
        </is>
      </c>
      <c r="J320" s="6" t="n"/>
    </row>
    <row r="321" ht="20.45" customFormat="1" customHeight="1" s="8">
      <c r="A321" s="14">
        <f>IF($G321="UNIDADE CONSTRUTIVA",OFFSET(A321,-1,0)+1,LARGE(A$3:A320,1))</f>
        <v/>
      </c>
      <c r="B321" s="14">
        <f>IF(G321="UNIDADE CONSTRUTIVA",0,IF(G321="CÉLULA CONSTRUTIVA",OFFSET(B321,-1,0)+1,OFFSET(B321,-1,0)))</f>
        <v/>
      </c>
      <c r="C321" s="14">
        <f>IF(G321="CÉLULA CONSTRUTIVA",0,IF(G321="ETAPA",OFFSET(C321,-1,0)+1,OFFSET(C321,-1,0)))</f>
        <v/>
      </c>
      <c r="D321" s="13">
        <f>IF(G321="ETAPA",0,IF(G321="SUBETAPA",OFFSET(D321,-1,0)+1,OFFSET(D321,-1,0)))</f>
        <v/>
      </c>
      <c r="E321" s="13">
        <f>IF(G321="Subetapa",0,IF(G321="serviço",OFFSET(E321,-1,0)+1,OFFSET(E321,-1,0)))</f>
        <v/>
      </c>
      <c r="F321" s="12" t="n"/>
      <c r="G321" s="17" t="inlineStr">
        <is>
          <t>CÉLULA CONSTRUTIVA</t>
        </is>
      </c>
      <c r="H321" s="16">
        <f>IF(G321="Unidade Construtiva",TEXT(A321,"00"),IF(G321="Célula Construtiva",TEXT(B321,"00"),IF(G321="Etapa",CONCATENATE(TEXT(B321,"00"),".",TEXT(C321,"000")),IF(G321="Subetapa",CONCATENATE(TEXT(B321,"00"),".",TEXT(C321,"000"),".",TEXT(D321,"000")),IF(G321="Serviço",CONCATENATE(TEXT(B321,"00"),".",TEXT(C321,"000"),".",TEXT(D321,"000"),".",TEXT(E321,"000")),"")))))</f>
        <v/>
      </c>
      <c r="I321" s="15" t="inlineStr">
        <is>
          <t>ACABAMENTOS INTERNOS EM TETO</t>
        </is>
      </c>
      <c r="J321" s="6" t="n"/>
    </row>
    <row r="322" ht="20.45" customFormat="1" customHeight="1" s="8">
      <c r="A322" s="14">
        <f>IF($G322="UNIDADE CONSTRUTIVA",OFFSET(A322,-1,0)+1,LARGE(A$3:A321,1))</f>
        <v/>
      </c>
      <c r="B322" s="14">
        <f>IF(G322="UNIDADE CONSTRUTIVA",0,IF(G322="CÉLULA CONSTRUTIVA",OFFSET(B322,-1,0)+1,OFFSET(B322,-1,0)))</f>
        <v/>
      </c>
      <c r="C322" s="14">
        <f>IF(G322="CÉLULA CONSTRUTIVA",0,IF(G322="ETAPA",OFFSET(C322,-1,0)+1,OFFSET(C322,-1,0)))</f>
        <v/>
      </c>
      <c r="D322" s="13">
        <f>IF(G322="ETAPA",0,IF(G322="SUBETAPA",OFFSET(D322,-1,0)+1,OFFSET(D322,-1,0)))</f>
        <v/>
      </c>
      <c r="E322" s="13">
        <f>IF(G322="Subetapa",0,IF(G322="serviço",OFFSET(E322,-1,0)+1,OFFSET(E322,-1,0)))</f>
        <v/>
      </c>
      <c r="F322" s="12" t="n"/>
      <c r="G322" s="17" t="inlineStr">
        <is>
          <t>ETAPA</t>
        </is>
      </c>
      <c r="H322" s="16">
        <f>IF(G322="Unidade Construtiva",TEXT(A322,"00"),IF(G322="Célula Construtiva",TEXT(B322,"00"),IF(G322="Etapa",CONCATENATE(TEXT(B322,"00"),".",TEXT(C322,"000")),IF(G322="Subetapa",CONCATENATE(TEXT(B322,"00"),".",TEXT(C322,"000"),".",TEXT(D322,"000")),IF(G322="Serviço",CONCATENATE(TEXT(B322,"00"),".",TEXT(C322,"000"),".",TEXT(D322,"000"),".",TEXT(E322,"000")),"")))))</f>
        <v/>
      </c>
      <c r="I322" s="15" t="inlineStr">
        <is>
          <t>ACABAMENTOS INTERNOS EM TETO</t>
        </is>
      </c>
      <c r="J322" s="6" t="n"/>
    </row>
    <row r="323" ht="20.45" customFormat="1" customHeight="1" s="8">
      <c r="A323" s="14">
        <f>IF($G323="UNIDADE CONSTRUTIVA",OFFSET(A323,-1,0)+1,LARGE(A$3:A322,1))</f>
        <v/>
      </c>
      <c r="B323" s="14">
        <f>IF(G323="UNIDADE CONSTRUTIVA",0,IF(G323="CÉLULA CONSTRUTIVA",OFFSET(B323,-1,0)+1,OFFSET(B323,-1,0)))</f>
        <v/>
      </c>
      <c r="C323" s="14">
        <f>IF(G323="CÉLULA CONSTRUTIVA",0,IF(G323="ETAPA",OFFSET(C323,-1,0)+1,OFFSET(C323,-1,0)))</f>
        <v/>
      </c>
      <c r="D323" s="13">
        <f>IF(G323="ETAPA",0,IF(G323="SUBETAPA",OFFSET(D323,-1,0)+1,OFFSET(D323,-1,0)))</f>
        <v/>
      </c>
      <c r="E323" s="13">
        <f>IF(G323="Subetapa",0,IF(G323="serviço",OFFSET(E323,-1,0)+1,OFFSET(E323,-1,0)))</f>
        <v/>
      </c>
      <c r="F323" s="12" t="n"/>
      <c r="G323" s="19" t="inlineStr">
        <is>
          <t>Subetapa</t>
        </is>
      </c>
      <c r="H323" s="16">
        <f>IF(G323="Unidade Construtiva",TEXT(A323,"00"),IF(G323="Célula Construtiva",TEXT(B323,"00"),IF(G323="Etapa",CONCATENATE(TEXT(B323,"00"),".",TEXT(C323,"000")),IF(G323="Subetapa",CONCATENATE(TEXT(B323,"00"),".",TEXT(C323,"000"),".",TEXT(D323,"000")),IF(G323="Serviço",CONCATENATE(TEXT(B323,"00"),".",TEXT(C323,"000"),".",TEXT(D323,"000"),".",TEXT(E323,"000")),"")))))</f>
        <v/>
      </c>
      <c r="I323" s="18" t="inlineStr">
        <is>
          <t>Acabamento de gesso em teto</t>
        </is>
      </c>
      <c r="J323" s="6" t="n"/>
    </row>
    <row r="324" ht="20.45" customFormat="1" customHeight="1" s="8">
      <c r="A324" s="14">
        <f>IF($G324="UNIDADE CONSTRUTIVA",OFFSET(A324,-1,0)+1,LARGE(A$3:A323,1))</f>
        <v/>
      </c>
      <c r="B324" s="14">
        <f>IF(G324="UNIDADE CONSTRUTIVA",0,IF(G324="CÉLULA CONSTRUTIVA",OFFSET(B324,-1,0)+1,OFFSET(B324,-1,0)))</f>
        <v/>
      </c>
      <c r="C324" s="14">
        <f>IF(G324="CÉLULA CONSTRUTIVA",0,IF(G324="ETAPA",OFFSET(C324,-1,0)+1,OFFSET(C324,-1,0)))</f>
        <v/>
      </c>
      <c r="D324" s="13">
        <f>IF(G324="ETAPA",0,IF(G324="SUBETAPA",OFFSET(D324,-1,0)+1,OFFSET(D324,-1,0)))</f>
        <v/>
      </c>
      <c r="E324" s="13">
        <f>IF(G324="Subetapa",0,IF(G324="serviço",OFFSET(E324,-1,0)+1,OFFSET(E324,-1,0)))</f>
        <v/>
      </c>
      <c r="F324" s="12" t="n"/>
      <c r="G324" s="19" t="inlineStr">
        <is>
          <t>Subetapa</t>
        </is>
      </c>
      <c r="H324" s="16">
        <f>IF(G324="Unidade Construtiva",TEXT(A324,"00"),IF(G324="Célula Construtiva",TEXT(B324,"00"),IF(G324="Etapa",CONCATENATE(TEXT(B324,"00"),".",TEXT(C324,"000")),IF(G324="Subetapa",CONCATENATE(TEXT(B324,"00"),".",TEXT(C324,"000"),".",TEXT(D324,"000")),IF(G324="Serviço",CONCATENATE(TEXT(B324,"00"),".",TEXT(C324,"000"),".",TEXT(D324,"000"),".",TEXT(E324,"000")),"")))))</f>
        <v/>
      </c>
      <c r="I324" s="18" t="inlineStr">
        <is>
          <t>Mão de obra</t>
        </is>
      </c>
      <c r="J324" s="6" t="n"/>
    </row>
    <row r="325" ht="20.45" customFormat="1" customHeight="1" s="8">
      <c r="A325" s="14">
        <f>IF($G325="UNIDADE CONSTRUTIVA",OFFSET(A325,-1,0)+1,LARGE(A$3:A324,1))</f>
        <v/>
      </c>
      <c r="B325" s="14">
        <f>IF(G325="UNIDADE CONSTRUTIVA",0,IF(G325="CÉLULA CONSTRUTIVA",OFFSET(B325,-1,0)+1,OFFSET(B325,-1,0)))</f>
        <v/>
      </c>
      <c r="C325" s="14">
        <f>IF(G325="CÉLULA CONSTRUTIVA",0,IF(G325="ETAPA",OFFSET(C325,-1,0)+1,OFFSET(C325,-1,0)))</f>
        <v/>
      </c>
      <c r="D325" s="13">
        <f>IF(G325="ETAPA",0,IF(G325="SUBETAPA",OFFSET(D325,-1,0)+1,OFFSET(D325,-1,0)))</f>
        <v/>
      </c>
      <c r="E325" s="13">
        <f>IF(G325="Subetapa",0,IF(G325="serviço",OFFSET(E325,-1,0)+1,OFFSET(E325,-1,0)))</f>
        <v/>
      </c>
      <c r="F325" s="12" t="n"/>
      <c r="G325" s="17" t="inlineStr">
        <is>
          <t>CÉLULA CONSTRUTIVA</t>
        </is>
      </c>
      <c r="H325" s="16">
        <f>IF(G325="Unidade Construtiva",TEXT(A325,"00"),IF(G325="Célula Construtiva",TEXT(B325,"00"),IF(G325="Etapa",CONCATENATE(TEXT(B325,"00"),".",TEXT(C325,"000")),IF(G325="Subetapa",CONCATENATE(TEXT(B325,"00"),".",TEXT(C325,"000"),".",TEXT(D325,"000")),IF(G325="Serviço",CONCATENATE(TEXT(B325,"00"),".",TEXT(C325,"000"),".",TEXT(D325,"000"),".",TEXT(E325,"000")),"")))))</f>
        <v/>
      </c>
      <c r="I325" s="15" t="inlineStr">
        <is>
          <t>REVESTIMENTOS ARGAMASSADOS EM PISO E PAVIMENTAÇÕES</t>
        </is>
      </c>
      <c r="J325" s="6" t="n"/>
    </row>
    <row r="326" ht="20.45" customFormat="1" customHeight="1" s="8">
      <c r="A326" s="14">
        <f>IF($G326="UNIDADE CONSTRUTIVA",OFFSET(A326,-1,0)+1,LARGE(A$3:A325,1))</f>
        <v/>
      </c>
      <c r="B326" s="14">
        <f>IF(G326="UNIDADE CONSTRUTIVA",0,IF(G326="CÉLULA CONSTRUTIVA",OFFSET(B326,-1,0)+1,OFFSET(B326,-1,0)))</f>
        <v/>
      </c>
      <c r="C326" s="14">
        <f>IF(G326="CÉLULA CONSTRUTIVA",0,IF(G326="ETAPA",OFFSET(C326,-1,0)+1,OFFSET(C326,-1,0)))</f>
        <v/>
      </c>
      <c r="D326" s="13">
        <f>IF(G326="ETAPA",0,IF(G326="SUBETAPA",OFFSET(D326,-1,0)+1,OFFSET(D326,-1,0)))</f>
        <v/>
      </c>
      <c r="E326" s="13">
        <f>IF(G326="Subetapa",0,IF(G326="serviço",OFFSET(E326,-1,0)+1,OFFSET(E326,-1,0)))</f>
        <v/>
      </c>
      <c r="F326" s="12" t="n"/>
      <c r="G326" s="17" t="inlineStr">
        <is>
          <t>ETAPA</t>
        </is>
      </c>
      <c r="H326" s="16">
        <f>IF(G326="Unidade Construtiva",TEXT(A326,"00"),IF(G326="Célula Construtiva",TEXT(B326,"00"),IF(G326="Etapa",CONCATENATE(TEXT(B326,"00"),".",TEXT(C326,"000")),IF(G326="Subetapa",CONCATENATE(TEXT(B326,"00"),".",TEXT(C326,"000"),".",TEXT(D326,"000")),IF(G326="Serviço",CONCATENATE(TEXT(B326,"00"),".",TEXT(C326,"000"),".",TEXT(D326,"000"),".",TEXT(E326,"000")),"")))))</f>
        <v/>
      </c>
      <c r="I326" s="15" t="inlineStr">
        <is>
          <t>REVESTIMENTOS ARGAMASSADOS EM PISO E PAVIMENTAÇÕES</t>
        </is>
      </c>
      <c r="J326" s="6" t="n"/>
    </row>
    <row r="327" ht="20.45" customFormat="1" customHeight="1" s="8">
      <c r="A327" s="14">
        <f>IF($G327="UNIDADE CONSTRUTIVA",OFFSET(A327,-1,0)+1,LARGE(A$3:A326,1))</f>
        <v/>
      </c>
      <c r="B327" s="14">
        <f>IF(G327="UNIDADE CONSTRUTIVA",0,IF(G327="CÉLULA CONSTRUTIVA",OFFSET(B327,-1,0)+1,OFFSET(B327,-1,0)))</f>
        <v/>
      </c>
      <c r="C327" s="14">
        <f>IF(G327="CÉLULA CONSTRUTIVA",0,IF(G327="ETAPA",OFFSET(C327,-1,0)+1,OFFSET(C327,-1,0)))</f>
        <v/>
      </c>
      <c r="D327" s="13">
        <f>IF(G327="ETAPA",0,IF(G327="SUBETAPA",OFFSET(D327,-1,0)+1,OFFSET(D327,-1,0)))</f>
        <v/>
      </c>
      <c r="E327" s="13">
        <f>IF(G327="Subetapa",0,IF(G327="serviço",OFFSET(E327,-1,0)+1,OFFSET(E327,-1,0)))</f>
        <v/>
      </c>
      <c r="F327" s="12" t="n"/>
      <c r="G327" s="19" t="inlineStr">
        <is>
          <t>Subetapa</t>
        </is>
      </c>
      <c r="H327" s="16">
        <f>IF(G327="Unidade Construtiva",TEXT(A327,"00"),IF(G327="Célula Construtiva",TEXT(B327,"00"),IF(G327="Etapa",CONCATENATE(TEXT(B327,"00"),".",TEXT(C327,"000")),IF(G327="Subetapa",CONCATENATE(TEXT(B327,"00"),".",TEXT(C327,"000"),".",TEXT(D327,"000")),IF(G327="Serviço",CONCATENATE(TEXT(B327,"00"),".",TEXT(C327,"000"),".",TEXT(D327,"000"),".",TEXT(E327,"000")),"")))))</f>
        <v/>
      </c>
      <c r="I327" s="18" t="inlineStr">
        <is>
          <t>Contrapiso</t>
        </is>
      </c>
      <c r="J327" s="6" t="n"/>
    </row>
    <row r="328" ht="20.45" customFormat="1" customHeight="1" s="8">
      <c r="A328" s="14">
        <f>IF($G328="UNIDADE CONSTRUTIVA",OFFSET(A328,-1,0)+1,LARGE(A$3:A327,1))</f>
        <v/>
      </c>
      <c r="B328" s="14">
        <f>IF(G328="UNIDADE CONSTRUTIVA",0,IF(G328="CÉLULA CONSTRUTIVA",OFFSET(B328,-1,0)+1,OFFSET(B328,-1,0)))</f>
        <v/>
      </c>
      <c r="C328" s="14">
        <f>IF(G328="CÉLULA CONSTRUTIVA",0,IF(G328="ETAPA",OFFSET(C328,-1,0)+1,OFFSET(C328,-1,0)))</f>
        <v/>
      </c>
      <c r="D328" s="13">
        <f>IF(G328="ETAPA",0,IF(G328="SUBETAPA",OFFSET(D328,-1,0)+1,OFFSET(D328,-1,0)))</f>
        <v/>
      </c>
      <c r="E328" s="13">
        <f>IF(G328="Subetapa",0,IF(G328="serviço",OFFSET(E328,-1,0)+1,OFFSET(E328,-1,0)))</f>
        <v/>
      </c>
      <c r="F328" s="12" t="n"/>
      <c r="G328" s="19" t="inlineStr">
        <is>
          <t>Subetapa</t>
        </is>
      </c>
      <c r="H328" s="16">
        <f>IF(G328="Unidade Construtiva",TEXT(A328,"00"),IF(G328="Célula Construtiva",TEXT(B328,"00"),IF(G328="Etapa",CONCATENATE(TEXT(B328,"00"),".",TEXT(C328,"000")),IF(G328="Subetapa",CONCATENATE(TEXT(B328,"00"),".",TEXT(C328,"000"),".",TEXT(D328,"000")),IF(G328="Serviço",CONCATENATE(TEXT(B328,"00"),".",TEXT(C328,"000"),".",TEXT(D328,"000"),".",TEXT(E328,"000")),"")))))</f>
        <v/>
      </c>
      <c r="I328" s="18" t="inlineStr">
        <is>
          <t>Isolamento térmico</t>
        </is>
      </c>
      <c r="J328" s="6" t="n"/>
    </row>
    <row r="329" ht="20.45" customFormat="1" customHeight="1" s="8">
      <c r="A329" s="14">
        <f>IF($G329="UNIDADE CONSTRUTIVA",OFFSET(A329,-1,0)+1,LARGE(A$3:A328,1))</f>
        <v/>
      </c>
      <c r="B329" s="14">
        <f>IF(G329="UNIDADE CONSTRUTIVA",0,IF(G329="CÉLULA CONSTRUTIVA",OFFSET(B329,-1,0)+1,OFFSET(B329,-1,0)))</f>
        <v/>
      </c>
      <c r="C329" s="14">
        <f>IF(G329="CÉLULA CONSTRUTIVA",0,IF(G329="ETAPA",OFFSET(C329,-1,0)+1,OFFSET(C329,-1,0)))</f>
        <v/>
      </c>
      <c r="D329" s="13">
        <f>IF(G329="ETAPA",0,IF(G329="SUBETAPA",OFFSET(D329,-1,0)+1,OFFSET(D329,-1,0)))</f>
        <v/>
      </c>
      <c r="E329" s="13">
        <f>IF(G329="Subetapa",0,IF(G329="serviço",OFFSET(E329,-1,0)+1,OFFSET(E329,-1,0)))</f>
        <v/>
      </c>
      <c r="F329" s="12" t="n"/>
      <c r="G329" s="19" t="inlineStr">
        <is>
          <t>Subetapa</t>
        </is>
      </c>
      <c r="H329" s="16">
        <f>IF(G329="Unidade Construtiva",TEXT(A329,"00"),IF(G329="Célula Construtiva",TEXT(B329,"00"),IF(G329="Etapa",CONCATENATE(TEXT(B329,"00"),".",TEXT(C329,"000")),IF(G329="Subetapa",CONCATENATE(TEXT(B329,"00"),".",TEXT(C329,"000"),".",TEXT(D329,"000")),IF(G329="Serviço",CONCATENATE(TEXT(B329,"00"),".",TEXT(C329,"000"),".",TEXT(D329,"000"),".",TEXT(E329,"000")),"")))))</f>
        <v/>
      </c>
      <c r="I329" s="18" t="inlineStr">
        <is>
          <t>Isolamento acústico</t>
        </is>
      </c>
      <c r="J329" s="6" t="n"/>
    </row>
    <row r="330" ht="20.45" customFormat="1" customHeight="1" s="8">
      <c r="A330" s="14">
        <f>IF($G330="UNIDADE CONSTRUTIVA",OFFSET(A330,-1,0)+1,LARGE(A$3:A329,1))</f>
        <v/>
      </c>
      <c r="B330" s="14">
        <f>IF(G330="UNIDADE CONSTRUTIVA",0,IF(G330="CÉLULA CONSTRUTIVA",OFFSET(B330,-1,0)+1,OFFSET(B330,-1,0)))</f>
        <v/>
      </c>
      <c r="C330" s="14">
        <f>IF(G330="CÉLULA CONSTRUTIVA",0,IF(G330="ETAPA",OFFSET(C330,-1,0)+1,OFFSET(C330,-1,0)))</f>
        <v/>
      </c>
      <c r="D330" s="13">
        <f>IF(G330="ETAPA",0,IF(G330="SUBETAPA",OFFSET(D330,-1,0)+1,OFFSET(D330,-1,0)))</f>
        <v/>
      </c>
      <c r="E330" s="13">
        <f>IF(G330="Subetapa",0,IF(G330="serviço",OFFSET(E330,-1,0)+1,OFFSET(E330,-1,0)))</f>
        <v/>
      </c>
      <c r="F330" s="12" t="n"/>
      <c r="G330" s="19" t="inlineStr">
        <is>
          <t>Subetapa</t>
        </is>
      </c>
      <c r="H330" s="16">
        <f>IF(G330="Unidade Construtiva",TEXT(A330,"00"),IF(G330="Célula Construtiva",TEXT(B330,"00"),IF(G330="Etapa",CONCATENATE(TEXT(B330,"00"),".",TEXT(C330,"000")),IF(G330="Subetapa",CONCATENATE(TEXT(B330,"00"),".",TEXT(C330,"000"),".",TEXT(D330,"000")),IF(G330="Serviço",CONCATENATE(TEXT(B330,"00"),".",TEXT(C330,"000"),".",TEXT(D330,"000"),".",TEXT(E330,"000")),"")))))</f>
        <v/>
      </c>
      <c r="I330" s="18" t="inlineStr">
        <is>
          <t>Acabamentos cimentados em piso</t>
        </is>
      </c>
      <c r="J330" s="6" t="n"/>
    </row>
    <row r="331" ht="20.45" customFormat="1" customHeight="1" s="8">
      <c r="A331" s="14">
        <f>IF($G331="UNIDADE CONSTRUTIVA",OFFSET(A331,-1,0)+1,LARGE(A$3:A330,1))</f>
        <v/>
      </c>
      <c r="B331" s="14">
        <f>IF(G331="UNIDADE CONSTRUTIVA",0,IF(G331="CÉLULA CONSTRUTIVA",OFFSET(B331,-1,0)+1,OFFSET(B331,-1,0)))</f>
        <v/>
      </c>
      <c r="C331" s="14">
        <f>IF(G331="CÉLULA CONSTRUTIVA",0,IF(G331="ETAPA",OFFSET(C331,-1,0)+1,OFFSET(C331,-1,0)))</f>
        <v/>
      </c>
      <c r="D331" s="13">
        <f>IF(G331="ETAPA",0,IF(G331="SUBETAPA",OFFSET(D331,-1,0)+1,OFFSET(D331,-1,0)))</f>
        <v/>
      </c>
      <c r="E331" s="13">
        <f>IF(G331="Subetapa",0,IF(G331="serviço",OFFSET(E331,-1,0)+1,OFFSET(E331,-1,0)))</f>
        <v/>
      </c>
      <c r="F331" s="12" t="n"/>
      <c r="G331" s="19" t="inlineStr">
        <is>
          <t>Subetapa</t>
        </is>
      </c>
      <c r="H331" s="16">
        <f>IF(G331="Unidade Construtiva",TEXT(A331,"00"),IF(G331="Célula Construtiva",TEXT(B331,"00"),IF(G331="Etapa",CONCATENATE(TEXT(B331,"00"),".",TEXT(C331,"000")),IF(G331="Subetapa",CONCATENATE(TEXT(B331,"00"),".",TEXT(C331,"000"),".",TEXT(D331,"000")),IF(G331="Serviço",CONCATENATE(TEXT(B331,"00"),".",TEXT(C331,"000"),".",TEXT(D331,"000"),".",TEXT(E331,"000")),"")))))</f>
        <v/>
      </c>
      <c r="I331" s="18" t="inlineStr">
        <is>
          <t>Mão de obra</t>
        </is>
      </c>
      <c r="J331" s="6" t="n"/>
    </row>
    <row r="332" ht="20.45" customFormat="1" customHeight="1" s="8">
      <c r="A332" s="14">
        <f>IF($G332="UNIDADE CONSTRUTIVA",OFFSET(A332,-1,0)+1,LARGE(A$3:A331,1))</f>
        <v/>
      </c>
      <c r="B332" s="14">
        <f>IF(G332="UNIDADE CONSTRUTIVA",0,IF(G332="CÉLULA CONSTRUTIVA",OFFSET(B332,-1,0)+1,OFFSET(B332,-1,0)))</f>
        <v/>
      </c>
      <c r="C332" s="14">
        <f>IF(G332="CÉLULA CONSTRUTIVA",0,IF(G332="ETAPA",OFFSET(C332,-1,0)+1,OFFSET(C332,-1,0)))</f>
        <v/>
      </c>
      <c r="D332" s="13">
        <f>IF(G332="ETAPA",0,IF(G332="SUBETAPA",OFFSET(D332,-1,0)+1,OFFSET(D332,-1,0)))</f>
        <v/>
      </c>
      <c r="E332" s="13">
        <f>IF(G332="Subetapa",0,IF(G332="serviço",OFFSET(E332,-1,0)+1,OFFSET(E332,-1,0)))</f>
        <v/>
      </c>
      <c r="F332" s="12" t="n"/>
      <c r="G332" s="17" t="inlineStr">
        <is>
          <t>CÉLULA CONSTRUTIVA</t>
        </is>
      </c>
      <c r="H332" s="16">
        <f>IF(G332="Unidade Construtiva",TEXT(A332,"00"),IF(G332="Célula Construtiva",TEXT(B332,"00"),IF(G332="Etapa",CONCATENATE(TEXT(B332,"00"),".",TEXT(C332,"000")),IF(G332="Subetapa",CONCATENATE(TEXT(B332,"00"),".",TEXT(C332,"000"),".",TEXT(D332,"000")),IF(G332="Serviço",CONCATENATE(TEXT(B332,"00"),".",TEXT(C332,"000"),".",TEXT(D332,"000"),".",TEXT(E332,"000")),"")))))</f>
        <v/>
      </c>
      <c r="I332" s="15" t="inlineStr">
        <is>
          <t>ACABAMENTOS EM PISO E PAVIMENTAÇÕES</t>
        </is>
      </c>
      <c r="J332" s="6" t="n"/>
    </row>
    <row r="333" ht="20.45" customFormat="1" customHeight="1" s="8">
      <c r="A333" s="14">
        <f>IF($G333="UNIDADE CONSTRUTIVA",OFFSET(A333,-1,0)+1,LARGE(A$3:A332,1))</f>
        <v/>
      </c>
      <c r="B333" s="14">
        <f>IF(G333="UNIDADE CONSTRUTIVA",0,IF(G333="CÉLULA CONSTRUTIVA",OFFSET(B333,-1,0)+1,OFFSET(B333,-1,0)))</f>
        <v/>
      </c>
      <c r="C333" s="14">
        <f>IF(G333="CÉLULA CONSTRUTIVA",0,IF(G333="ETAPA",OFFSET(C333,-1,0)+1,OFFSET(C333,-1,0)))</f>
        <v/>
      </c>
      <c r="D333" s="13">
        <f>IF(G333="ETAPA",0,IF(G333="SUBETAPA",OFFSET(D333,-1,0)+1,OFFSET(D333,-1,0)))</f>
        <v/>
      </c>
      <c r="E333" s="13">
        <f>IF(G333="Subetapa",0,IF(G333="serviço",OFFSET(E333,-1,0)+1,OFFSET(E333,-1,0)))</f>
        <v/>
      </c>
      <c r="F333" s="12" t="n"/>
      <c r="G333" s="17" t="inlineStr">
        <is>
          <t>ETAPA</t>
        </is>
      </c>
      <c r="H333" s="16">
        <f>IF(G333="Unidade Construtiva",TEXT(A333,"00"),IF(G333="Célula Construtiva",TEXT(B333,"00"),IF(G333="Etapa",CONCATENATE(TEXT(B333,"00"),".",TEXT(C333,"000")),IF(G333="Subetapa",CONCATENATE(TEXT(B333,"00"),".",TEXT(C333,"000"),".",TEXT(D333,"000")),IF(G333="Serviço",CONCATENATE(TEXT(B333,"00"),".",TEXT(C333,"000"),".",TEXT(D333,"000"),".",TEXT(E333,"000")),"")))))</f>
        <v/>
      </c>
      <c r="I333" s="15" t="inlineStr">
        <is>
          <t>ACABAMENTOS EM PISO E PAVIMENTAÇÕES</t>
        </is>
      </c>
      <c r="J333" s="6" t="n"/>
    </row>
    <row r="334" ht="20.45" customFormat="1" customHeight="1" s="8">
      <c r="A334" s="14">
        <f>IF($G334="UNIDADE CONSTRUTIVA",OFFSET(A334,-1,0)+1,LARGE(A$3:A333,1))</f>
        <v/>
      </c>
      <c r="B334" s="14">
        <f>IF(G334="UNIDADE CONSTRUTIVA",0,IF(G334="CÉLULA CONSTRUTIVA",OFFSET(B334,-1,0)+1,OFFSET(B334,-1,0)))</f>
        <v/>
      </c>
      <c r="C334" s="14">
        <f>IF(G334="CÉLULA CONSTRUTIVA",0,IF(G334="ETAPA",OFFSET(C334,-1,0)+1,OFFSET(C334,-1,0)))</f>
        <v/>
      </c>
      <c r="D334" s="13">
        <f>IF(G334="ETAPA",0,IF(G334="SUBETAPA",OFFSET(D334,-1,0)+1,OFFSET(D334,-1,0)))</f>
        <v/>
      </c>
      <c r="E334" s="13">
        <f>IF(G334="Subetapa",0,IF(G334="serviço",OFFSET(E334,-1,0)+1,OFFSET(E334,-1,0)))</f>
        <v/>
      </c>
      <c r="F334" s="12" t="n"/>
      <c r="G334" s="19" t="inlineStr">
        <is>
          <t>Subetapa</t>
        </is>
      </c>
      <c r="H334" s="16">
        <f>IF(G334="Unidade Construtiva",TEXT(A334,"00"),IF(G334="Célula Construtiva",TEXT(B334,"00"),IF(G334="Etapa",CONCATENATE(TEXT(B334,"00"),".",TEXT(C334,"000")),IF(G334="Subetapa",CONCATENATE(TEXT(B334,"00"),".",TEXT(C334,"000"),".",TEXT(D334,"000")),IF(G334="Serviço",CONCATENATE(TEXT(B334,"00"),".",TEXT(C334,"000"),".",TEXT(D334,"000"),".",TEXT(E334,"000")),"")))))</f>
        <v/>
      </c>
      <c r="I334" s="18" t="inlineStr">
        <is>
          <t>Acabamentos cerâmicos em piso</t>
        </is>
      </c>
      <c r="J334" s="6" t="n"/>
    </row>
    <row r="335" ht="20.45" customFormat="1" customHeight="1" s="8">
      <c r="A335" s="14">
        <f>IF($G335="UNIDADE CONSTRUTIVA",OFFSET(A335,-1,0)+1,LARGE(A$3:A334,1))</f>
        <v/>
      </c>
      <c r="B335" s="14">
        <f>IF(G335="UNIDADE CONSTRUTIVA",0,IF(G335="CÉLULA CONSTRUTIVA",OFFSET(B335,-1,0)+1,OFFSET(B335,-1,0)))</f>
        <v/>
      </c>
      <c r="C335" s="14">
        <f>IF(G335="CÉLULA CONSTRUTIVA",0,IF(G335="ETAPA",OFFSET(C335,-1,0)+1,OFFSET(C335,-1,0)))</f>
        <v/>
      </c>
      <c r="D335" s="13">
        <f>IF(G335="ETAPA",0,IF(G335="SUBETAPA",OFFSET(D335,-1,0)+1,OFFSET(D335,-1,0)))</f>
        <v/>
      </c>
      <c r="E335" s="13">
        <f>IF(G335="Subetapa",0,IF(G335="serviço",OFFSET(E335,-1,0)+1,OFFSET(E335,-1,0)))</f>
        <v/>
      </c>
      <c r="F335" s="12" t="n"/>
      <c r="G335" s="19" t="inlineStr">
        <is>
          <t>Subetapa</t>
        </is>
      </c>
      <c r="H335" s="16">
        <f>IF(G335="Unidade Construtiva",TEXT(A335,"00"),IF(G335="Célula Construtiva",TEXT(B335,"00"),IF(G335="Etapa",CONCATENATE(TEXT(B335,"00"),".",TEXT(C335,"000")),IF(G335="Subetapa",CONCATENATE(TEXT(B335,"00"),".",TEXT(C335,"000"),".",TEXT(D335,"000")),IF(G335="Serviço",CONCATENATE(TEXT(B335,"00"),".",TEXT(C335,"000"),".",TEXT(D335,"000"),".",TEXT(E335,"000")),"")))))</f>
        <v/>
      </c>
      <c r="I335" s="18" t="inlineStr">
        <is>
          <t>Acabamentos de madeira</t>
        </is>
      </c>
      <c r="J335" s="6" t="n"/>
    </row>
    <row r="336" ht="20.45" customFormat="1" customHeight="1" s="8">
      <c r="A336" s="14">
        <f>IF($G336="UNIDADE CONSTRUTIVA",OFFSET(A336,-1,0)+1,LARGE(A$3:A335,1))</f>
        <v/>
      </c>
      <c r="B336" s="14">
        <f>IF(G336="UNIDADE CONSTRUTIVA",0,IF(G336="CÉLULA CONSTRUTIVA",OFFSET(B336,-1,0)+1,OFFSET(B336,-1,0)))</f>
        <v/>
      </c>
      <c r="C336" s="14">
        <f>IF(G336="CÉLULA CONSTRUTIVA",0,IF(G336="ETAPA",OFFSET(C336,-1,0)+1,OFFSET(C336,-1,0)))</f>
        <v/>
      </c>
      <c r="D336" s="13">
        <f>IF(G336="ETAPA",0,IF(G336="SUBETAPA",OFFSET(D336,-1,0)+1,OFFSET(D336,-1,0)))</f>
        <v/>
      </c>
      <c r="E336" s="13">
        <f>IF(G336="Subetapa",0,IF(G336="serviço",OFFSET(E336,-1,0)+1,OFFSET(E336,-1,0)))</f>
        <v/>
      </c>
      <c r="F336" s="12" t="n"/>
      <c r="G336" s="19" t="inlineStr">
        <is>
          <t>Subetapa</t>
        </is>
      </c>
      <c r="H336" s="16">
        <f>IF(G336="Unidade Construtiva",TEXT(A336,"00"),IF(G336="Célula Construtiva",TEXT(B336,"00"),IF(G336="Etapa",CONCATENATE(TEXT(B336,"00"),".",TEXT(C336,"000")),IF(G336="Subetapa",CONCATENATE(TEXT(B336,"00"),".",TEXT(C336,"000"),".",TEXT(D336,"000")),IF(G336="Serviço",CONCATENATE(TEXT(B336,"00"),".",TEXT(C336,"000"),".",TEXT(D336,"000"),".",TEXT(E336,"000")),"")))))</f>
        <v/>
      </c>
      <c r="I336" s="18" t="inlineStr">
        <is>
          <t>Acabamentos em pedra</t>
        </is>
      </c>
      <c r="J336" s="6" t="n"/>
    </row>
    <row r="337" ht="20.45" customFormat="1" customHeight="1" s="8">
      <c r="A337" s="14">
        <f>IF($G337="UNIDADE CONSTRUTIVA",OFFSET(A337,-1,0)+1,LARGE(A$3:A336,1))</f>
        <v/>
      </c>
      <c r="B337" s="14">
        <f>IF(G337="UNIDADE CONSTRUTIVA",0,IF(G337="CÉLULA CONSTRUTIVA",OFFSET(B337,-1,0)+1,OFFSET(B337,-1,0)))</f>
        <v/>
      </c>
      <c r="C337" s="14">
        <f>IF(G337="CÉLULA CONSTRUTIVA",0,IF(G337="ETAPA",OFFSET(C337,-1,0)+1,OFFSET(C337,-1,0)))</f>
        <v/>
      </c>
      <c r="D337" s="13">
        <f>IF(G337="ETAPA",0,IF(G337="SUBETAPA",OFFSET(D337,-1,0)+1,OFFSET(D337,-1,0)))</f>
        <v/>
      </c>
      <c r="E337" s="13">
        <f>IF(G337="Subetapa",0,IF(G337="serviço",OFFSET(E337,-1,0)+1,OFFSET(E337,-1,0)))</f>
        <v/>
      </c>
      <c r="F337" s="12" t="n"/>
      <c r="G337" s="19" t="inlineStr">
        <is>
          <t>Subetapa</t>
        </is>
      </c>
      <c r="H337" s="16">
        <f>IF(G337="Unidade Construtiva",TEXT(A337,"00"),IF(G337="Célula Construtiva",TEXT(B337,"00"),IF(G337="Etapa",CONCATENATE(TEXT(B337,"00"),".",TEXT(C337,"000")),IF(G337="Subetapa",CONCATENATE(TEXT(B337,"00"),".",TEXT(C337,"000"),".",TEXT(D337,"000")),IF(G337="Serviço",CONCATENATE(TEXT(B337,"00"),".",TEXT(C337,"000"),".",TEXT(D337,"000"),".",TEXT(E337,"000")),"")))))</f>
        <v/>
      </c>
      <c r="I337" s="18" t="inlineStr">
        <is>
          <t>Acabamentos especiais</t>
        </is>
      </c>
      <c r="J337" s="6" t="n"/>
    </row>
    <row r="338" ht="20.45" customFormat="1" customHeight="1" s="8">
      <c r="A338" s="14">
        <f>IF($G338="UNIDADE CONSTRUTIVA",OFFSET(A338,-1,0)+1,LARGE(A$3:A337,1))</f>
        <v/>
      </c>
      <c r="B338" s="14">
        <f>IF(G338="UNIDADE CONSTRUTIVA",0,IF(G338="CÉLULA CONSTRUTIVA",OFFSET(B338,-1,0)+1,OFFSET(B338,-1,0)))</f>
        <v/>
      </c>
      <c r="C338" s="14">
        <f>IF(G338="CÉLULA CONSTRUTIVA",0,IF(G338="ETAPA",OFFSET(C338,-1,0)+1,OFFSET(C338,-1,0)))</f>
        <v/>
      </c>
      <c r="D338" s="13">
        <f>IF(G338="ETAPA",0,IF(G338="SUBETAPA",OFFSET(D338,-1,0)+1,OFFSET(D338,-1,0)))</f>
        <v/>
      </c>
      <c r="E338" s="13">
        <f>IF(G338="Subetapa",0,IF(G338="serviço",OFFSET(E338,-1,0)+1,OFFSET(E338,-1,0)))</f>
        <v/>
      </c>
      <c r="F338" s="12" t="n"/>
      <c r="G338" s="19" t="inlineStr">
        <is>
          <t>Subetapa</t>
        </is>
      </c>
      <c r="H338" s="16">
        <f>IF(G338="Unidade Construtiva",TEXT(A338,"00"),IF(G338="Célula Construtiva",TEXT(B338,"00"),IF(G338="Etapa",CONCATENATE(TEXT(B338,"00"),".",TEXT(C338,"000")),IF(G338="Subetapa",CONCATENATE(TEXT(B338,"00"),".",TEXT(C338,"000"),".",TEXT(D338,"000")),IF(G338="Serviço",CONCATENATE(TEXT(B338,"00"),".",TEXT(C338,"000"),".",TEXT(D338,"000"),".",TEXT(E338,"000")),"")))))</f>
        <v/>
      </c>
      <c r="I338" s="18" t="inlineStr">
        <is>
          <t>Rodapés</t>
        </is>
      </c>
      <c r="J338" s="6" t="n"/>
    </row>
    <row r="339" ht="20.45" customFormat="1" customHeight="1" s="8">
      <c r="A339" s="14">
        <f>IF($G339="UNIDADE CONSTRUTIVA",OFFSET(A339,-1,0)+1,LARGE(A$3:A338,1))</f>
        <v/>
      </c>
      <c r="B339" s="14">
        <f>IF(G339="UNIDADE CONSTRUTIVA",0,IF(G339="CÉLULA CONSTRUTIVA",OFFSET(B339,-1,0)+1,OFFSET(B339,-1,0)))</f>
        <v/>
      </c>
      <c r="C339" s="14">
        <f>IF(G339="CÉLULA CONSTRUTIVA",0,IF(G339="ETAPA",OFFSET(C339,-1,0)+1,OFFSET(C339,-1,0)))</f>
        <v/>
      </c>
      <c r="D339" s="13">
        <f>IF(G339="ETAPA",0,IF(G339="SUBETAPA",OFFSET(D339,-1,0)+1,OFFSET(D339,-1,0)))</f>
        <v/>
      </c>
      <c r="E339" s="13">
        <f>IF(G339="Subetapa",0,IF(G339="serviço",OFFSET(E339,-1,0)+1,OFFSET(E339,-1,0)))</f>
        <v/>
      </c>
      <c r="F339" s="12" t="n"/>
      <c r="G339" s="19" t="inlineStr">
        <is>
          <t>Subetapa</t>
        </is>
      </c>
      <c r="H339" s="16">
        <f>IF(G339="Unidade Construtiva",TEXT(A339,"00"),IF(G339="Célula Construtiva",TEXT(B339,"00"),IF(G339="Etapa",CONCATENATE(TEXT(B339,"00"),".",TEXT(C339,"000")),IF(G339="Subetapa",CONCATENATE(TEXT(B339,"00"),".",TEXT(C339,"000"),".",TEXT(D339,"000")),IF(G339="Serviço",CONCATENATE(TEXT(B339,"00"),".",TEXT(C339,"000"),".",TEXT(D339,"000"),".",TEXT(E339,"000")),"")))))</f>
        <v/>
      </c>
      <c r="I339" s="18" t="inlineStr">
        <is>
          <t>Soleiras</t>
        </is>
      </c>
      <c r="J339" s="6" t="n"/>
    </row>
    <row r="340" ht="20.45" customFormat="1" customHeight="1" s="8">
      <c r="A340" s="14">
        <f>IF($G340="UNIDADE CONSTRUTIVA",OFFSET(A340,-1,0)+1,LARGE(A$3:A339,1))</f>
        <v/>
      </c>
      <c r="B340" s="14">
        <f>IF(G340="UNIDADE CONSTRUTIVA",0,IF(G340="CÉLULA CONSTRUTIVA",OFFSET(B340,-1,0)+1,OFFSET(B340,-1,0)))</f>
        <v/>
      </c>
      <c r="C340" s="14">
        <f>IF(G340="CÉLULA CONSTRUTIVA",0,IF(G340="ETAPA",OFFSET(C340,-1,0)+1,OFFSET(C340,-1,0)))</f>
        <v/>
      </c>
      <c r="D340" s="13">
        <f>IF(G340="ETAPA",0,IF(G340="SUBETAPA",OFFSET(D340,-1,0)+1,OFFSET(D340,-1,0)))</f>
        <v/>
      </c>
      <c r="E340" s="13">
        <f>IF(G340="Subetapa",0,IF(G340="serviço",OFFSET(E340,-1,0)+1,OFFSET(E340,-1,0)))</f>
        <v/>
      </c>
      <c r="F340" s="12" t="n"/>
      <c r="G340" s="19" t="inlineStr">
        <is>
          <t>Subetapa</t>
        </is>
      </c>
      <c r="H340" s="16">
        <f>IF(G340="Unidade Construtiva",TEXT(A340,"00"),IF(G340="Célula Construtiva",TEXT(B340,"00"),IF(G340="Etapa",CONCATENATE(TEXT(B340,"00"),".",TEXT(C340,"000")),IF(G340="Subetapa",CONCATENATE(TEXT(B340,"00"),".",TEXT(C340,"000"),".",TEXT(D340,"000")),IF(G340="Serviço",CONCATENATE(TEXT(B340,"00"),".",TEXT(C340,"000"),".",TEXT(D340,"000"),".",TEXT(E340,"000")),"")))))</f>
        <v/>
      </c>
      <c r="I340" s="18" t="inlineStr">
        <is>
          <t>Mão de obra</t>
        </is>
      </c>
      <c r="J340" s="6" t="n"/>
    </row>
    <row r="341" ht="20.45" customFormat="1" customHeight="1" s="8">
      <c r="A341" s="14">
        <f>IF($G341="UNIDADE CONSTRUTIVA",OFFSET(A341,-1,0)+1,LARGE(A$3:A340,1))</f>
        <v/>
      </c>
      <c r="B341" s="14">
        <f>IF(G341="UNIDADE CONSTRUTIVA",0,IF(G341="CÉLULA CONSTRUTIVA",OFFSET(B341,-1,0)+1,OFFSET(B341,-1,0)))</f>
        <v/>
      </c>
      <c r="C341" s="14">
        <f>IF(G341="CÉLULA CONSTRUTIVA",0,IF(G341="ETAPA",OFFSET(C341,-1,0)+1,OFFSET(C341,-1,0)))</f>
        <v/>
      </c>
      <c r="D341" s="13">
        <f>IF(G341="ETAPA",0,IF(G341="SUBETAPA",OFFSET(D341,-1,0)+1,OFFSET(D341,-1,0)))</f>
        <v/>
      </c>
      <c r="E341" s="13">
        <f>IF(G341="Subetapa",0,IF(G341="serviço",OFFSET(E341,-1,0)+1,OFFSET(E341,-1,0)))</f>
        <v/>
      </c>
      <c r="F341" s="12" t="n"/>
      <c r="G341" s="17" t="inlineStr">
        <is>
          <t>CÉLULA CONSTRUTIVA</t>
        </is>
      </c>
      <c r="H341" s="16">
        <f>IF(G341="Unidade Construtiva",TEXT(A341,"00"),IF(G341="Célula Construtiva",TEXT(B341,"00"),IF(G341="Etapa",CONCATENATE(TEXT(B341,"00"),".",TEXT(C341,"000")),IF(G341="Subetapa",CONCATENATE(TEXT(B341,"00"),".",TEXT(C341,"000"),".",TEXT(D341,"000")),IF(G341="Serviço",CONCATENATE(TEXT(B341,"00"),".",TEXT(C341,"000"),".",TEXT(D341,"000"),".",TEXT(E341,"000")),"")))))</f>
        <v/>
      </c>
      <c r="I341" s="15" t="inlineStr">
        <is>
          <t>SISTEMAS DE PINTURA INTERNA</t>
        </is>
      </c>
      <c r="J341" s="6" t="n"/>
    </row>
    <row r="342" ht="20.45" customFormat="1" customHeight="1" s="8">
      <c r="A342" s="14">
        <f>IF($G342="UNIDADE CONSTRUTIVA",OFFSET(A342,-1,0)+1,LARGE(A$3:A341,1))</f>
        <v/>
      </c>
      <c r="B342" s="14">
        <f>IF(G342="UNIDADE CONSTRUTIVA",0,IF(G342="CÉLULA CONSTRUTIVA",OFFSET(B342,-1,0)+1,OFFSET(B342,-1,0)))</f>
        <v/>
      </c>
      <c r="C342" s="14">
        <f>IF(G342="CÉLULA CONSTRUTIVA",0,IF(G342="ETAPA",OFFSET(C342,-1,0)+1,OFFSET(C342,-1,0)))</f>
        <v/>
      </c>
      <c r="D342" s="13">
        <f>IF(G342="ETAPA",0,IF(G342="SUBETAPA",OFFSET(D342,-1,0)+1,OFFSET(D342,-1,0)))</f>
        <v/>
      </c>
      <c r="E342" s="13">
        <f>IF(G342="Subetapa",0,IF(G342="serviço",OFFSET(E342,-1,0)+1,OFFSET(E342,-1,0)))</f>
        <v/>
      </c>
      <c r="F342" s="12" t="n"/>
      <c r="G342" s="17" t="inlineStr">
        <is>
          <t>ETAPA</t>
        </is>
      </c>
      <c r="H342" s="16">
        <f>IF(G342="Unidade Construtiva",TEXT(A342,"00"),IF(G342="Célula Construtiva",TEXT(B342,"00"),IF(G342="Etapa",CONCATENATE(TEXT(B342,"00"),".",TEXT(C342,"000")),IF(G342="Subetapa",CONCATENATE(TEXT(B342,"00"),".",TEXT(C342,"000"),".",TEXT(D342,"000")),IF(G342="Serviço",CONCATENATE(TEXT(B342,"00"),".",TEXT(C342,"000"),".",TEXT(D342,"000"),".",TEXT(E342,"000")),"")))))</f>
        <v/>
      </c>
      <c r="I342" s="15" t="inlineStr">
        <is>
          <t>PINTURA INTERNA</t>
        </is>
      </c>
      <c r="J342" s="6" t="n"/>
    </row>
    <row r="343" ht="20.45" customFormat="1" customHeight="1" s="8">
      <c r="A343" s="14">
        <f>IF($G343="UNIDADE CONSTRUTIVA",OFFSET(A343,-1,0)+1,LARGE(A$3:A342,1))</f>
        <v/>
      </c>
      <c r="B343" s="14">
        <f>IF(G343="UNIDADE CONSTRUTIVA",0,IF(G343="CÉLULA CONSTRUTIVA",OFFSET(B343,-1,0)+1,OFFSET(B343,-1,0)))</f>
        <v/>
      </c>
      <c r="C343" s="14">
        <f>IF(G343="CÉLULA CONSTRUTIVA",0,IF(G343="ETAPA",OFFSET(C343,-1,0)+1,OFFSET(C343,-1,0)))</f>
        <v/>
      </c>
      <c r="D343" s="13">
        <f>IF(G343="ETAPA",0,IF(G343="SUBETAPA",OFFSET(D343,-1,0)+1,OFFSET(D343,-1,0)))</f>
        <v/>
      </c>
      <c r="E343" s="13">
        <f>IF(G343="Subetapa",0,IF(G343="serviço",OFFSET(E343,-1,0)+1,OFFSET(E343,-1,0)))</f>
        <v/>
      </c>
      <c r="F343" s="12" t="n"/>
      <c r="G343" s="19" t="inlineStr">
        <is>
          <t>Subetapa</t>
        </is>
      </c>
      <c r="H343" s="16">
        <f>IF(G343="Unidade Construtiva",TEXT(A343,"00"),IF(G343="Célula Construtiva",TEXT(B343,"00"),IF(G343="Etapa",CONCATENATE(TEXT(B343,"00"),".",TEXT(C343,"000")),IF(G343="Subetapa",CONCATENATE(TEXT(B343,"00"),".",TEXT(C343,"000"),".",TEXT(D343,"000")),IF(G343="Serviço",CONCATENATE(TEXT(B343,"00"),".",TEXT(C343,"000"),".",TEXT(D343,"000"),".",TEXT(E343,"000")),"")))))</f>
        <v/>
      </c>
      <c r="I343" s="18" t="inlineStr">
        <is>
          <t>Sistema de pintura em piso</t>
        </is>
      </c>
      <c r="J343" s="6" t="n"/>
    </row>
    <row r="344" ht="20.45" customFormat="1" customHeight="1" s="8">
      <c r="A344" s="14">
        <f>IF($G344="UNIDADE CONSTRUTIVA",OFFSET(A344,-1,0)+1,LARGE(A$3:A343,1))</f>
        <v/>
      </c>
      <c r="B344" s="14">
        <f>IF(G344="UNIDADE CONSTRUTIVA",0,IF(G344="CÉLULA CONSTRUTIVA",OFFSET(B344,-1,0)+1,OFFSET(B344,-1,0)))</f>
        <v/>
      </c>
      <c r="C344" s="14">
        <f>IF(G344="CÉLULA CONSTRUTIVA",0,IF(G344="ETAPA",OFFSET(C344,-1,0)+1,OFFSET(C344,-1,0)))</f>
        <v/>
      </c>
      <c r="D344" s="13">
        <f>IF(G344="ETAPA",0,IF(G344="SUBETAPA",OFFSET(D344,-1,0)+1,OFFSET(D344,-1,0)))</f>
        <v/>
      </c>
      <c r="E344" s="13">
        <f>IF(G344="Subetapa",0,IF(G344="serviço",OFFSET(E344,-1,0)+1,OFFSET(E344,-1,0)))</f>
        <v/>
      </c>
      <c r="F344" s="12" t="n"/>
      <c r="G344" s="19" t="inlineStr">
        <is>
          <t>Subetapa</t>
        </is>
      </c>
      <c r="H344" s="16">
        <f>IF(G344="Unidade Construtiva",TEXT(A344,"00"),IF(G344="Célula Construtiva",TEXT(B344,"00"),IF(G344="Etapa",CONCATENATE(TEXT(B344,"00"),".",TEXT(C344,"000")),IF(G344="Subetapa",CONCATENATE(TEXT(B344,"00"),".",TEXT(C344,"000"),".",TEXT(D344,"000")),IF(G344="Serviço",CONCATENATE(TEXT(B344,"00"),".",TEXT(C344,"000"),".",TEXT(D344,"000"),".",TEXT(E344,"000")),"")))))</f>
        <v/>
      </c>
      <c r="I344" s="18" t="inlineStr">
        <is>
          <t>Sistema de pintura em parede</t>
        </is>
      </c>
      <c r="J344" s="6" t="n"/>
    </row>
    <row r="345" ht="20.45" customFormat="1" customHeight="1" s="8">
      <c r="A345" s="14">
        <f>IF($G345="UNIDADE CONSTRUTIVA",OFFSET(A345,-1,0)+1,LARGE(A$3:A344,1))</f>
        <v/>
      </c>
      <c r="B345" s="14">
        <f>IF(G345="UNIDADE CONSTRUTIVA",0,IF(G345="CÉLULA CONSTRUTIVA",OFFSET(B345,-1,0)+1,OFFSET(B345,-1,0)))</f>
        <v/>
      </c>
      <c r="C345" s="14">
        <f>IF(G345="CÉLULA CONSTRUTIVA",0,IF(G345="ETAPA",OFFSET(C345,-1,0)+1,OFFSET(C345,-1,0)))</f>
        <v/>
      </c>
      <c r="D345" s="13">
        <f>IF(G345="ETAPA",0,IF(G345="SUBETAPA",OFFSET(D345,-1,0)+1,OFFSET(D345,-1,0)))</f>
        <v/>
      </c>
      <c r="E345" s="13">
        <f>IF(G345="Subetapa",0,IF(G345="serviço",OFFSET(E345,-1,0)+1,OFFSET(E345,-1,0)))</f>
        <v/>
      </c>
      <c r="F345" s="12" t="n"/>
      <c r="G345" s="19" t="inlineStr">
        <is>
          <t>Subetapa</t>
        </is>
      </c>
      <c r="H345" s="16">
        <f>IF(G345="Unidade Construtiva",TEXT(A345,"00"),IF(G345="Célula Construtiva",TEXT(B345,"00"),IF(G345="Etapa",CONCATENATE(TEXT(B345,"00"),".",TEXT(C345,"000")),IF(G345="Subetapa",CONCATENATE(TEXT(B345,"00"),".",TEXT(C345,"000"),".",TEXT(D345,"000")),IF(G345="Serviço",CONCATENATE(TEXT(B345,"00"),".",TEXT(C345,"000"),".",TEXT(D345,"000"),".",TEXT(E345,"000")),"")))))</f>
        <v/>
      </c>
      <c r="I345" s="18" t="inlineStr">
        <is>
          <t>Sistema de pintura em teto</t>
        </is>
      </c>
      <c r="J345" s="6" t="n"/>
    </row>
    <row r="346" ht="20.45" customFormat="1" customHeight="1" s="8">
      <c r="A346" s="14">
        <f>IF($G346="UNIDADE CONSTRUTIVA",OFFSET(A346,-1,0)+1,LARGE(A$3:A345,1))</f>
        <v/>
      </c>
      <c r="B346" s="14">
        <f>IF(G346="UNIDADE CONSTRUTIVA",0,IF(G346="CÉLULA CONSTRUTIVA",OFFSET(B346,-1,0)+1,OFFSET(B346,-1,0)))</f>
        <v/>
      </c>
      <c r="C346" s="14">
        <f>IF(G346="CÉLULA CONSTRUTIVA",0,IF(G346="ETAPA",OFFSET(C346,-1,0)+1,OFFSET(C346,-1,0)))</f>
        <v/>
      </c>
      <c r="D346" s="13">
        <f>IF(G346="ETAPA",0,IF(G346="SUBETAPA",OFFSET(D346,-1,0)+1,OFFSET(D346,-1,0)))</f>
        <v/>
      </c>
      <c r="E346" s="13">
        <f>IF(G346="Subetapa",0,IF(G346="serviço",OFFSET(E346,-1,0)+1,OFFSET(E346,-1,0)))</f>
        <v/>
      </c>
      <c r="F346" s="12" t="n"/>
      <c r="G346" s="19" t="inlineStr">
        <is>
          <t>Subetapa</t>
        </is>
      </c>
      <c r="H346" s="16">
        <f>IF(G346="Unidade Construtiva",TEXT(A346,"00"),IF(G346="Célula Construtiva",TEXT(B346,"00"),IF(G346="Etapa",CONCATENATE(TEXT(B346,"00"),".",TEXT(C346,"000")),IF(G346="Subetapa",CONCATENATE(TEXT(B346,"00"),".",TEXT(C346,"000"),".",TEXT(D346,"000")),IF(G346="Serviço",CONCATENATE(TEXT(B346,"00"),".",TEXT(C346,"000"),".",TEXT(D346,"000"),".",TEXT(E346,"000")),"")))))</f>
        <v/>
      </c>
      <c r="I346" s="18" t="inlineStr">
        <is>
          <t>Pinturas diversas</t>
        </is>
      </c>
      <c r="J346" s="6" t="n"/>
    </row>
    <row r="347" ht="20.45" customFormat="1" customHeight="1" s="8">
      <c r="A347" s="14">
        <f>IF($G347="UNIDADE CONSTRUTIVA",OFFSET(A347,-1,0)+1,LARGE(A$3:A346,1))</f>
        <v/>
      </c>
      <c r="B347" s="14">
        <f>IF(G347="UNIDADE CONSTRUTIVA",0,IF(G347="CÉLULA CONSTRUTIVA",OFFSET(B347,-1,0)+1,OFFSET(B347,-1,0)))</f>
        <v/>
      </c>
      <c r="C347" s="14">
        <f>IF(G347="CÉLULA CONSTRUTIVA",0,IF(G347="ETAPA",OFFSET(C347,-1,0)+1,OFFSET(C347,-1,0)))</f>
        <v/>
      </c>
      <c r="D347" s="13">
        <f>IF(G347="ETAPA",0,IF(G347="SUBETAPA",OFFSET(D347,-1,0)+1,OFFSET(D347,-1,0)))</f>
        <v/>
      </c>
      <c r="E347" s="13">
        <f>IF(G347="Subetapa",0,IF(G347="serviço",OFFSET(E347,-1,0)+1,OFFSET(E347,-1,0)))</f>
        <v/>
      </c>
      <c r="F347" s="12" t="n"/>
      <c r="G347" s="19" t="inlineStr">
        <is>
          <t>Subetapa</t>
        </is>
      </c>
      <c r="H347" s="16">
        <f>IF(G347="Unidade Construtiva",TEXT(A347,"00"),IF(G347="Célula Construtiva",TEXT(B347,"00"),IF(G347="Etapa",CONCATENATE(TEXT(B347,"00"),".",TEXT(C347,"000")),IF(G347="Subetapa",CONCATENATE(TEXT(B347,"00"),".",TEXT(C347,"000"),".",TEXT(D347,"000")),IF(G347="Serviço",CONCATENATE(TEXT(B347,"00"),".",TEXT(C347,"000"),".",TEXT(D347,"000"),".",TEXT(E347,"000")),"")))))</f>
        <v/>
      </c>
      <c r="I347" s="18" t="inlineStr">
        <is>
          <t>Mão de obra</t>
        </is>
      </c>
      <c r="J347" s="6" t="n"/>
    </row>
    <row r="348" ht="20.45" customFormat="1" customHeight="1" s="8">
      <c r="A348" s="14">
        <f>IF($G348="UNIDADE CONSTRUTIVA",OFFSET(A348,-1,0)+1,LARGE(A$3:A347,1))</f>
        <v/>
      </c>
      <c r="B348" s="14">
        <f>IF(G348="UNIDADE CONSTRUTIVA",0,IF(G348="CÉLULA CONSTRUTIVA",OFFSET(B348,-1,0)+1,OFFSET(B348,-1,0)))</f>
        <v/>
      </c>
      <c r="C348" s="14">
        <f>IF(G348="CÉLULA CONSTRUTIVA",0,IF(G348="ETAPA",OFFSET(C348,-1,0)+1,OFFSET(C348,-1,0)))</f>
        <v/>
      </c>
      <c r="D348" s="13">
        <f>IF(G348="ETAPA",0,IF(G348="SUBETAPA",OFFSET(D348,-1,0)+1,OFFSET(D348,-1,0)))</f>
        <v/>
      </c>
      <c r="E348" s="13">
        <f>IF(G348="Subetapa",0,IF(G348="serviço",OFFSET(E348,-1,0)+1,OFFSET(E348,-1,0)))</f>
        <v/>
      </c>
      <c r="F348" s="12" t="n"/>
      <c r="G348" s="17" t="inlineStr">
        <is>
          <t>CÉLULA CONSTRUTIVA</t>
        </is>
      </c>
      <c r="H348" s="16">
        <f>IF(G348="Unidade Construtiva",TEXT(A348,"00"),IF(G348="Célula Construtiva",TEXT(B348,"00"),IF(G348="Etapa",CONCATENATE(TEXT(B348,"00"),".",TEXT(C348,"000")),IF(G348="Subetapa",CONCATENATE(TEXT(B348,"00"),".",TEXT(C348,"000"),".",TEXT(D348,"000")),IF(G348="Serviço",CONCATENATE(TEXT(B348,"00"),".",TEXT(C348,"000"),".",TEXT(D348,"000"),".",TEXT(E348,"000")),"")))))</f>
        <v/>
      </c>
      <c r="I348" s="15" t="inlineStr">
        <is>
          <t>ESQUADRIAS, VIDROS E FERRAGENS</t>
        </is>
      </c>
      <c r="J348" s="6" t="n"/>
    </row>
    <row r="349" ht="20.45" customFormat="1" customHeight="1" s="8">
      <c r="A349" s="14">
        <f>IF($G349="UNIDADE CONSTRUTIVA",OFFSET(A349,-1,0)+1,LARGE(A$3:A348,1))</f>
        <v/>
      </c>
      <c r="B349" s="14">
        <f>IF(G349="UNIDADE CONSTRUTIVA",0,IF(G349="CÉLULA CONSTRUTIVA",OFFSET(B349,-1,0)+1,OFFSET(B349,-1,0)))</f>
        <v/>
      </c>
      <c r="C349" s="14">
        <f>IF(G349="CÉLULA CONSTRUTIVA",0,IF(G349="ETAPA",OFFSET(C349,-1,0)+1,OFFSET(C349,-1,0)))</f>
        <v/>
      </c>
      <c r="D349" s="13">
        <f>IF(G349="ETAPA",0,IF(G349="SUBETAPA",OFFSET(D349,-1,0)+1,OFFSET(D349,-1,0)))</f>
        <v/>
      </c>
      <c r="E349" s="13">
        <f>IF(G349="Subetapa",0,IF(G349="serviço",OFFSET(E349,-1,0)+1,OFFSET(E349,-1,0)))</f>
        <v/>
      </c>
      <c r="F349" s="12" t="n"/>
      <c r="G349" s="17" t="inlineStr">
        <is>
          <t>ETAPA</t>
        </is>
      </c>
      <c r="H349" s="16">
        <f>IF(G349="Unidade Construtiva",TEXT(A349,"00"),IF(G349="Célula Construtiva",TEXT(B349,"00"),IF(G349="Etapa",CONCATENATE(TEXT(B349,"00"),".",TEXT(C349,"000")),IF(G349="Subetapa",CONCATENATE(TEXT(B349,"00"),".",TEXT(C349,"000"),".",TEXT(D349,"000")),IF(G349="Serviço",CONCATENATE(TEXT(B349,"00"),".",TEXT(C349,"000"),".",TEXT(D349,"000"),".",TEXT(E349,"000")),"")))))</f>
        <v/>
      </c>
      <c r="I349" s="15" t="inlineStr">
        <is>
          <t>ESQUADRIAS DE ALUMÍNIO</t>
        </is>
      </c>
      <c r="J349" s="6" t="n"/>
    </row>
    <row r="350" ht="20.45" customFormat="1" customHeight="1" s="8">
      <c r="A350" s="14">
        <f>IF($G350="UNIDADE CONSTRUTIVA",OFFSET(A350,-1,0)+1,LARGE(A$3:A349,1))</f>
        <v/>
      </c>
      <c r="B350" s="14">
        <f>IF(G350="UNIDADE CONSTRUTIVA",0,IF(G350="CÉLULA CONSTRUTIVA",OFFSET(B350,-1,0)+1,OFFSET(B350,-1,0)))</f>
        <v/>
      </c>
      <c r="C350" s="14">
        <f>IF(G350="CÉLULA CONSTRUTIVA",0,IF(G350="ETAPA",OFFSET(C350,-1,0)+1,OFFSET(C350,-1,0)))</f>
        <v/>
      </c>
      <c r="D350" s="13">
        <f>IF(G350="ETAPA",0,IF(G350="SUBETAPA",OFFSET(D350,-1,0)+1,OFFSET(D350,-1,0)))</f>
        <v/>
      </c>
      <c r="E350" s="13">
        <f>IF(G350="Subetapa",0,IF(G350="serviço",OFFSET(E350,-1,0)+1,OFFSET(E350,-1,0)))</f>
        <v/>
      </c>
      <c r="F350" s="12" t="n"/>
      <c r="G350" s="19" t="inlineStr">
        <is>
          <t>Subetapa</t>
        </is>
      </c>
      <c r="H350" s="16">
        <f>IF(G350="Unidade Construtiva",TEXT(A350,"00"),IF(G350="Célula Construtiva",TEXT(B350,"00"),IF(G350="Etapa",CONCATENATE(TEXT(B350,"00"),".",TEXT(C350,"000")),IF(G350="Subetapa",CONCATENATE(TEXT(B350,"00"),".",TEXT(C350,"000"),".",TEXT(D350,"000")),IF(G350="Serviço",CONCATENATE(TEXT(B350,"00"),".",TEXT(C350,"000"),".",TEXT(D350,"000"),".",TEXT(E350,"000")),"")))))</f>
        <v/>
      </c>
      <c r="I350" s="18" t="inlineStr">
        <is>
          <t>Contramarco</t>
        </is>
      </c>
      <c r="J350" s="6" t="n"/>
    </row>
    <row r="351" ht="20.45" customFormat="1" customHeight="1" s="8">
      <c r="A351" s="14">
        <f>IF($G351="UNIDADE CONSTRUTIVA",OFFSET(A351,-1,0)+1,LARGE(A$3:A350,1))</f>
        <v/>
      </c>
      <c r="B351" s="14">
        <f>IF(G351="UNIDADE CONSTRUTIVA",0,IF(G351="CÉLULA CONSTRUTIVA",OFFSET(B351,-1,0)+1,OFFSET(B351,-1,0)))</f>
        <v/>
      </c>
      <c r="C351" s="14">
        <f>IF(G351="CÉLULA CONSTRUTIVA",0,IF(G351="ETAPA",OFFSET(C351,-1,0)+1,OFFSET(C351,-1,0)))</f>
        <v/>
      </c>
      <c r="D351" s="13">
        <f>IF(G351="ETAPA",0,IF(G351="SUBETAPA",OFFSET(D351,-1,0)+1,OFFSET(D351,-1,0)))</f>
        <v/>
      </c>
      <c r="E351" s="13">
        <f>IF(G351="Subetapa",0,IF(G351="serviço",OFFSET(E351,-1,0)+1,OFFSET(E351,-1,0)))</f>
        <v/>
      </c>
      <c r="F351" s="12" t="n"/>
      <c r="G351" s="19" t="inlineStr">
        <is>
          <t>Subetapa</t>
        </is>
      </c>
      <c r="H351" s="16">
        <f>IF(G351="Unidade Construtiva",TEXT(A351,"00"),IF(G351="Célula Construtiva",TEXT(B351,"00"),IF(G351="Etapa",CONCATENATE(TEXT(B351,"00"),".",TEXT(C351,"000")),IF(G351="Subetapa",CONCATENATE(TEXT(B351,"00"),".",TEXT(C351,"000"),".",TEXT(D351,"000")),IF(G351="Serviço",CONCATENATE(TEXT(B351,"00"),".",TEXT(C351,"000"),".",TEXT(D351,"000"),".",TEXT(E351,"000")),"")))))</f>
        <v/>
      </c>
      <c r="I351" s="18" t="inlineStr">
        <is>
          <t>Esquadrias de alumínio</t>
        </is>
      </c>
      <c r="J351" s="6" t="n"/>
    </row>
    <row r="352" ht="20.45" customFormat="1" customHeight="1" s="8">
      <c r="A352" s="14">
        <f>IF($G352="UNIDADE CONSTRUTIVA",OFFSET(A352,-1,0)+1,LARGE(A$3:A351,1))</f>
        <v/>
      </c>
      <c r="B352" s="14">
        <f>IF(G352="UNIDADE CONSTRUTIVA",0,IF(G352="CÉLULA CONSTRUTIVA",OFFSET(B352,-1,0)+1,OFFSET(B352,-1,0)))</f>
        <v/>
      </c>
      <c r="C352" s="14">
        <f>IF(G352="CÉLULA CONSTRUTIVA",0,IF(G352="ETAPA",OFFSET(C352,-1,0)+1,OFFSET(C352,-1,0)))</f>
        <v/>
      </c>
      <c r="D352" s="13">
        <f>IF(G352="ETAPA",0,IF(G352="SUBETAPA",OFFSET(D352,-1,0)+1,OFFSET(D352,-1,0)))</f>
        <v/>
      </c>
      <c r="E352" s="13">
        <f>IF(G352="Subetapa",0,IF(G352="serviço",OFFSET(E352,-1,0)+1,OFFSET(E352,-1,0)))</f>
        <v/>
      </c>
      <c r="F352" s="12" t="n"/>
      <c r="G352" s="19" t="inlineStr">
        <is>
          <t>Subetapa</t>
        </is>
      </c>
      <c r="H352" s="16">
        <f>IF(G352="Unidade Construtiva",TEXT(A352,"00"),IF(G352="Célula Construtiva",TEXT(B352,"00"),IF(G352="Etapa",CONCATENATE(TEXT(B352,"00"),".",TEXT(C352,"000")),IF(G352="Subetapa",CONCATENATE(TEXT(B352,"00"),".",TEXT(C352,"000"),".",TEXT(D352,"000")),IF(G352="Serviço",CONCATENATE(TEXT(B352,"00"),".",TEXT(C352,"000"),".",TEXT(D352,"000"),".",TEXT(E352,"000")),"")))))</f>
        <v/>
      </c>
      <c r="I352" s="18" t="inlineStr">
        <is>
          <t>Guarda corpo</t>
        </is>
      </c>
      <c r="J352" s="6" t="n"/>
    </row>
    <row r="353" ht="20.45" customFormat="1" customHeight="1" s="8">
      <c r="A353" s="14">
        <f>IF($G353="UNIDADE CONSTRUTIVA",OFFSET(A353,-1,0)+1,LARGE(A$3:A352,1))</f>
        <v/>
      </c>
      <c r="B353" s="14">
        <f>IF(G353="UNIDADE CONSTRUTIVA",0,IF(G353="CÉLULA CONSTRUTIVA",OFFSET(B353,-1,0)+1,OFFSET(B353,-1,0)))</f>
        <v/>
      </c>
      <c r="C353" s="14">
        <f>IF(G353="CÉLULA CONSTRUTIVA",0,IF(G353="ETAPA",OFFSET(C353,-1,0)+1,OFFSET(C353,-1,0)))</f>
        <v/>
      </c>
      <c r="D353" s="13">
        <f>IF(G353="ETAPA",0,IF(G353="SUBETAPA",OFFSET(D353,-1,0)+1,OFFSET(D353,-1,0)))</f>
        <v/>
      </c>
      <c r="E353" s="13">
        <f>IF(G353="Subetapa",0,IF(G353="serviço",OFFSET(E353,-1,0)+1,OFFSET(E353,-1,0)))</f>
        <v/>
      </c>
      <c r="F353" s="12" t="n"/>
      <c r="G353" s="19" t="inlineStr">
        <is>
          <t>Subetapa</t>
        </is>
      </c>
      <c r="H353" s="16">
        <f>IF(G353="Unidade Construtiva",TEXT(A353,"00"),IF(G353="Célula Construtiva",TEXT(B353,"00"),IF(G353="Etapa",CONCATENATE(TEXT(B353,"00"),".",TEXT(C353,"000")),IF(G353="Subetapa",CONCATENATE(TEXT(B353,"00"),".",TEXT(C353,"000"),".",TEXT(D353,"000")),IF(G353="Serviço",CONCATENATE(TEXT(B353,"00"),".",TEXT(C353,"000"),".",TEXT(D353,"000"),".",TEXT(E353,"000")),"")))))</f>
        <v/>
      </c>
      <c r="I353" s="18" t="inlineStr">
        <is>
          <t>Pele de vidro</t>
        </is>
      </c>
      <c r="J353" s="6" t="n"/>
    </row>
    <row r="354" ht="20.45" customFormat="1" customHeight="1" s="8">
      <c r="A354" s="14">
        <f>IF($G354="UNIDADE CONSTRUTIVA",OFFSET(A354,-1,0)+1,LARGE(A$3:A353,1))</f>
        <v/>
      </c>
      <c r="B354" s="14">
        <f>IF(G354="UNIDADE CONSTRUTIVA",0,IF(G354="CÉLULA CONSTRUTIVA",OFFSET(B354,-1,0)+1,OFFSET(B354,-1,0)))</f>
        <v/>
      </c>
      <c r="C354" s="14">
        <f>IF(G354="CÉLULA CONSTRUTIVA",0,IF(G354="ETAPA",OFFSET(C354,-1,0)+1,OFFSET(C354,-1,0)))</f>
        <v/>
      </c>
      <c r="D354" s="13">
        <f>IF(G354="ETAPA",0,IF(G354="SUBETAPA",OFFSET(D354,-1,0)+1,OFFSET(D354,-1,0)))</f>
        <v/>
      </c>
      <c r="E354" s="13">
        <f>IF(G354="Subetapa",0,IF(G354="serviço",OFFSET(E354,-1,0)+1,OFFSET(E354,-1,0)))</f>
        <v/>
      </c>
      <c r="F354" s="12" t="n"/>
      <c r="G354" s="19" t="inlineStr">
        <is>
          <t>Subetapa</t>
        </is>
      </c>
      <c r="H354" s="16">
        <f>IF(G354="Unidade Construtiva",TEXT(A354,"00"),IF(G354="Célula Construtiva",TEXT(B354,"00"),IF(G354="Etapa",CONCATENATE(TEXT(B354,"00"),".",TEXT(C354,"000")),IF(G354="Subetapa",CONCATENATE(TEXT(B354,"00"),".",TEXT(C354,"000"),".",TEXT(D354,"000")),IF(G354="Serviço",CONCATENATE(TEXT(B354,"00"),".",TEXT(C354,"000"),".",TEXT(D354,"000"),".",TEXT(E354,"000")),"")))))</f>
        <v/>
      </c>
      <c r="I354" s="18" t="inlineStr">
        <is>
          <t>Mão de obra</t>
        </is>
      </c>
      <c r="J354" s="6" t="n"/>
    </row>
    <row r="355" ht="20.45" customFormat="1" customHeight="1" s="8">
      <c r="A355" s="14">
        <f>IF($G355="UNIDADE CONSTRUTIVA",OFFSET(A355,-1,0)+1,LARGE(A$3:A354,1))</f>
        <v/>
      </c>
      <c r="B355" s="14">
        <f>IF(G355="UNIDADE CONSTRUTIVA",0,IF(G355="CÉLULA CONSTRUTIVA",OFFSET(B355,-1,0)+1,OFFSET(B355,-1,0)))</f>
        <v/>
      </c>
      <c r="C355" s="14">
        <f>IF(G355="CÉLULA CONSTRUTIVA",0,IF(G355="ETAPA",OFFSET(C355,-1,0)+1,OFFSET(C355,-1,0)))</f>
        <v/>
      </c>
      <c r="D355" s="13">
        <f>IF(G355="ETAPA",0,IF(G355="SUBETAPA",OFFSET(D355,-1,0)+1,OFFSET(D355,-1,0)))</f>
        <v/>
      </c>
      <c r="E355" s="13">
        <f>IF(G355="Subetapa",0,IF(G355="serviço",OFFSET(E355,-1,0)+1,OFFSET(E355,-1,0)))</f>
        <v/>
      </c>
      <c r="F355" s="12" t="n"/>
      <c r="G355" s="17" t="inlineStr">
        <is>
          <t>ETAPA</t>
        </is>
      </c>
      <c r="H355" s="16">
        <f>IF(G355="Unidade Construtiva",TEXT(A355,"00"),IF(G355="Célula Construtiva",TEXT(B355,"00"),IF(G355="Etapa",CONCATENATE(TEXT(B355,"00"),".",TEXT(C355,"000")),IF(G355="Subetapa",CONCATENATE(TEXT(B355,"00"),".",TEXT(C355,"000"),".",TEXT(D355,"000")),IF(G355="Serviço",CONCATENATE(TEXT(B355,"00"),".",TEXT(C355,"000"),".",TEXT(D355,"000"),".",TEXT(E355,"000")),"")))))</f>
        <v/>
      </c>
      <c r="I355" s="15" t="inlineStr">
        <is>
          <t>ESQUADRIAS DE MADEIRA</t>
        </is>
      </c>
      <c r="J355" s="6" t="n"/>
    </row>
    <row r="356" ht="20.45" customFormat="1" customHeight="1" s="8">
      <c r="A356" s="14">
        <f>IF($G356="UNIDADE CONSTRUTIVA",OFFSET(A356,-1,0)+1,LARGE(A$3:A355,1))</f>
        <v/>
      </c>
      <c r="B356" s="14">
        <f>IF(G356="UNIDADE CONSTRUTIVA",0,IF(G356="CÉLULA CONSTRUTIVA",OFFSET(B356,-1,0)+1,OFFSET(B356,-1,0)))</f>
        <v/>
      </c>
      <c r="C356" s="14">
        <f>IF(G356="CÉLULA CONSTRUTIVA",0,IF(G356="ETAPA",OFFSET(C356,-1,0)+1,OFFSET(C356,-1,0)))</f>
        <v/>
      </c>
      <c r="D356" s="13">
        <f>IF(G356="ETAPA",0,IF(G356="SUBETAPA",OFFSET(D356,-1,0)+1,OFFSET(D356,-1,0)))</f>
        <v/>
      </c>
      <c r="E356" s="13">
        <f>IF(G356="Subetapa",0,IF(G356="serviço",OFFSET(E356,-1,0)+1,OFFSET(E356,-1,0)))</f>
        <v/>
      </c>
      <c r="F356" s="12" t="n"/>
      <c r="G356" s="19" t="inlineStr">
        <is>
          <t>Subetapa</t>
        </is>
      </c>
      <c r="H356" s="16">
        <f>IF(G356="Unidade Construtiva",TEXT(A356,"00"),IF(G356="Célula Construtiva",TEXT(B356,"00"),IF(G356="Etapa",CONCATENATE(TEXT(B356,"00"),".",TEXT(C356,"000")),IF(G356="Subetapa",CONCATENATE(TEXT(B356,"00"),".",TEXT(C356,"000"),".",TEXT(D356,"000")),IF(G356="Serviço",CONCATENATE(TEXT(B356,"00"),".",TEXT(C356,"000"),".",TEXT(D356,"000"),".",TEXT(E356,"000")),"")))))</f>
        <v/>
      </c>
      <c r="I356" s="18" t="inlineStr">
        <is>
          <t>Esquadrias de madeira</t>
        </is>
      </c>
      <c r="J356" s="6" t="n"/>
    </row>
    <row r="357" ht="20.45" customFormat="1" customHeight="1" s="8">
      <c r="A357" s="14">
        <f>IF($G357="UNIDADE CONSTRUTIVA",OFFSET(A357,-1,0)+1,LARGE(A$3:A356,1))</f>
        <v/>
      </c>
      <c r="B357" s="14">
        <f>IF(G357="UNIDADE CONSTRUTIVA",0,IF(G357="CÉLULA CONSTRUTIVA",OFFSET(B357,-1,0)+1,OFFSET(B357,-1,0)))</f>
        <v/>
      </c>
      <c r="C357" s="14">
        <f>IF(G357="CÉLULA CONSTRUTIVA",0,IF(G357="ETAPA",OFFSET(C357,-1,0)+1,OFFSET(C357,-1,0)))</f>
        <v/>
      </c>
      <c r="D357" s="13">
        <f>IF(G357="ETAPA",0,IF(G357="SUBETAPA",OFFSET(D357,-1,0)+1,OFFSET(D357,-1,0)))</f>
        <v/>
      </c>
      <c r="E357" s="13">
        <f>IF(G357="Subetapa",0,IF(G357="serviço",OFFSET(E357,-1,0)+1,OFFSET(E357,-1,0)))</f>
        <v/>
      </c>
      <c r="F357" s="12" t="n"/>
      <c r="G357" s="19" t="inlineStr">
        <is>
          <t>Subetapa</t>
        </is>
      </c>
      <c r="H357" s="16">
        <f>IF(G357="Unidade Construtiva",TEXT(A357,"00"),IF(G357="Célula Construtiva",TEXT(B357,"00"),IF(G357="Etapa",CONCATENATE(TEXT(B357,"00"),".",TEXT(C357,"000")),IF(G357="Subetapa",CONCATENATE(TEXT(B357,"00"),".",TEXT(C357,"000"),".",TEXT(D357,"000")),IF(G357="Serviço",CONCATENATE(TEXT(B357,"00"),".",TEXT(C357,"000"),".",TEXT(D357,"000"),".",TEXT(E357,"000")),"")))))</f>
        <v/>
      </c>
      <c r="I357" s="18" t="inlineStr">
        <is>
          <t>Corrimão de madeira</t>
        </is>
      </c>
      <c r="J357" s="6" t="n"/>
    </row>
    <row r="358" ht="20.45" customFormat="1" customHeight="1" s="8">
      <c r="A358" s="14">
        <f>IF($G358="UNIDADE CONSTRUTIVA",OFFSET(A358,-1,0)+1,LARGE(A$3:A357,1))</f>
        <v/>
      </c>
      <c r="B358" s="14">
        <f>IF(G358="UNIDADE CONSTRUTIVA",0,IF(G358="CÉLULA CONSTRUTIVA",OFFSET(B358,-1,0)+1,OFFSET(B358,-1,0)))</f>
        <v/>
      </c>
      <c r="C358" s="14">
        <f>IF(G358="CÉLULA CONSTRUTIVA",0,IF(G358="ETAPA",OFFSET(C358,-1,0)+1,OFFSET(C358,-1,0)))</f>
        <v/>
      </c>
      <c r="D358" s="13">
        <f>IF(G358="ETAPA",0,IF(G358="SUBETAPA",OFFSET(D358,-1,0)+1,OFFSET(D358,-1,0)))</f>
        <v/>
      </c>
      <c r="E358" s="13">
        <f>IF(G358="Subetapa",0,IF(G358="serviço",OFFSET(E358,-1,0)+1,OFFSET(E358,-1,0)))</f>
        <v/>
      </c>
      <c r="F358" s="12" t="n"/>
      <c r="G358" s="19" t="inlineStr">
        <is>
          <t>Subetapa</t>
        </is>
      </c>
      <c r="H358" s="16">
        <f>IF(G358="Unidade Construtiva",TEXT(A358,"00"),IF(G358="Célula Construtiva",TEXT(B358,"00"),IF(G358="Etapa",CONCATENATE(TEXT(B358,"00"),".",TEXT(C358,"000")),IF(G358="Subetapa",CONCATENATE(TEXT(B358,"00"),".",TEXT(C358,"000"),".",TEXT(D358,"000")),IF(G358="Serviço",CONCATENATE(TEXT(B358,"00"),".",TEXT(C358,"000"),".",TEXT(D358,"000"),".",TEXT(E358,"000")),"")))))</f>
        <v/>
      </c>
      <c r="I358" s="18" t="inlineStr">
        <is>
          <t>Acessórios e ferragens</t>
        </is>
      </c>
      <c r="J358" s="6" t="n"/>
    </row>
    <row r="359" ht="20.45" customFormat="1" customHeight="1" s="8">
      <c r="A359" s="14">
        <f>IF($G359="UNIDADE CONSTRUTIVA",OFFSET(A359,-1,0)+1,LARGE(A$3:A358,1))</f>
        <v/>
      </c>
      <c r="B359" s="14">
        <f>IF(G359="UNIDADE CONSTRUTIVA",0,IF(G359="CÉLULA CONSTRUTIVA",OFFSET(B359,-1,0)+1,OFFSET(B359,-1,0)))</f>
        <v/>
      </c>
      <c r="C359" s="14">
        <f>IF(G359="CÉLULA CONSTRUTIVA",0,IF(G359="ETAPA",OFFSET(C359,-1,0)+1,OFFSET(C359,-1,0)))</f>
        <v/>
      </c>
      <c r="D359" s="13">
        <f>IF(G359="ETAPA",0,IF(G359="SUBETAPA",OFFSET(D359,-1,0)+1,OFFSET(D359,-1,0)))</f>
        <v/>
      </c>
      <c r="E359" s="13">
        <f>IF(G359="Subetapa",0,IF(G359="serviço",OFFSET(E359,-1,0)+1,OFFSET(E359,-1,0)))</f>
        <v/>
      </c>
      <c r="F359" s="12" t="n"/>
      <c r="G359" s="19" t="inlineStr">
        <is>
          <t>Subetapa</t>
        </is>
      </c>
      <c r="H359" s="16">
        <f>IF(G359="Unidade Construtiva",TEXT(A359,"00"),IF(G359="Célula Construtiva",TEXT(B359,"00"),IF(G359="Etapa",CONCATENATE(TEXT(B359,"00"),".",TEXT(C359,"000")),IF(G359="Subetapa",CONCATENATE(TEXT(B359,"00"),".",TEXT(C359,"000"),".",TEXT(D359,"000")),IF(G359="Serviço",CONCATENATE(TEXT(B359,"00"),".",TEXT(C359,"000"),".",TEXT(D359,"000"),".",TEXT(E359,"000")),"")))))</f>
        <v/>
      </c>
      <c r="I359" s="18" t="inlineStr">
        <is>
          <t>Marcenaria</t>
        </is>
      </c>
      <c r="J359" s="6" t="n"/>
    </row>
    <row r="360" ht="20.45" customFormat="1" customHeight="1" s="8">
      <c r="A360" s="14">
        <f>IF($G360="UNIDADE CONSTRUTIVA",OFFSET(A360,-1,0)+1,LARGE(A$3:A359,1))</f>
        <v/>
      </c>
      <c r="B360" s="14">
        <f>IF(G360="UNIDADE CONSTRUTIVA",0,IF(G360="CÉLULA CONSTRUTIVA",OFFSET(B360,-1,0)+1,OFFSET(B360,-1,0)))</f>
        <v/>
      </c>
      <c r="C360" s="14">
        <f>IF(G360="CÉLULA CONSTRUTIVA",0,IF(G360="ETAPA",OFFSET(C360,-1,0)+1,OFFSET(C360,-1,0)))</f>
        <v/>
      </c>
      <c r="D360" s="13">
        <f>IF(G360="ETAPA",0,IF(G360="SUBETAPA",OFFSET(D360,-1,0)+1,OFFSET(D360,-1,0)))</f>
        <v/>
      </c>
      <c r="E360" s="13">
        <f>IF(G360="Subetapa",0,IF(G360="serviço",OFFSET(E360,-1,0)+1,OFFSET(E360,-1,0)))</f>
        <v/>
      </c>
      <c r="F360" s="12" t="n"/>
      <c r="G360" s="19" t="inlineStr">
        <is>
          <t>Subetapa</t>
        </is>
      </c>
      <c r="H360" s="16">
        <f>IF(G360="Unidade Construtiva",TEXT(A360,"00"),IF(G360="Célula Construtiva",TEXT(B360,"00"),IF(G360="Etapa",CONCATENATE(TEXT(B360,"00"),".",TEXT(C360,"000")),IF(G360="Subetapa",CONCATENATE(TEXT(B360,"00"),".",TEXT(C360,"000"),".",TEXT(D360,"000")),IF(G360="Serviço",CONCATENATE(TEXT(B360,"00"),".",TEXT(C360,"000"),".",TEXT(D360,"000"),".",TEXT(E360,"000")),"")))))</f>
        <v/>
      </c>
      <c r="I360" s="18" t="inlineStr">
        <is>
          <t>Mão de obra</t>
        </is>
      </c>
      <c r="J360" s="6" t="n"/>
    </row>
    <row r="361" ht="20.45" customFormat="1" customHeight="1" s="8">
      <c r="A361" s="14">
        <f>IF($G361="UNIDADE CONSTRUTIVA",OFFSET(A361,-1,0)+1,LARGE(A$3:A360,1))</f>
        <v/>
      </c>
      <c r="B361" s="14">
        <f>IF(G361="UNIDADE CONSTRUTIVA",0,IF(G361="CÉLULA CONSTRUTIVA",OFFSET(B361,-1,0)+1,OFFSET(B361,-1,0)))</f>
        <v/>
      </c>
      <c r="C361" s="14">
        <f>IF(G361="CÉLULA CONSTRUTIVA",0,IF(G361="ETAPA",OFFSET(C361,-1,0)+1,OFFSET(C361,-1,0)))</f>
        <v/>
      </c>
      <c r="D361" s="13">
        <f>IF(G361="ETAPA",0,IF(G361="SUBETAPA",OFFSET(D361,-1,0)+1,OFFSET(D361,-1,0)))</f>
        <v/>
      </c>
      <c r="E361" s="13">
        <f>IF(G361="Subetapa",0,IF(G361="serviço",OFFSET(E361,-1,0)+1,OFFSET(E361,-1,0)))</f>
        <v/>
      </c>
      <c r="F361" s="12" t="n"/>
      <c r="G361" s="17" t="inlineStr">
        <is>
          <t>ETAPA</t>
        </is>
      </c>
      <c r="H361" s="16">
        <f>IF(G361="Unidade Construtiva",TEXT(A361,"00"),IF(G361="Célula Construtiva",TEXT(B361,"00"),IF(G361="Etapa",CONCATENATE(TEXT(B361,"00"),".",TEXT(C361,"000")),IF(G361="Subetapa",CONCATENATE(TEXT(B361,"00"),".",TEXT(C361,"000"),".",TEXT(D361,"000")),IF(G361="Serviço",CONCATENATE(TEXT(B361,"00"),".",TEXT(C361,"000"),".",TEXT(D361,"000"),".",TEXT(E361,"000")),"")))))</f>
        <v/>
      </c>
      <c r="I361" s="15" t="inlineStr">
        <is>
          <t>ESQUADRIAS METÁLICAS</t>
        </is>
      </c>
      <c r="J361" s="6" t="n"/>
    </row>
    <row r="362" ht="20.45" customFormat="1" customHeight="1" s="8">
      <c r="A362" s="14">
        <f>IF($G362="UNIDADE CONSTRUTIVA",OFFSET(A362,-1,0)+1,LARGE(A$3:A361,1))</f>
        <v/>
      </c>
      <c r="B362" s="14">
        <f>IF(G362="UNIDADE CONSTRUTIVA",0,IF(G362="CÉLULA CONSTRUTIVA",OFFSET(B362,-1,0)+1,OFFSET(B362,-1,0)))</f>
        <v/>
      </c>
      <c r="C362" s="14">
        <f>IF(G362="CÉLULA CONSTRUTIVA",0,IF(G362="ETAPA",OFFSET(C362,-1,0)+1,OFFSET(C362,-1,0)))</f>
        <v/>
      </c>
      <c r="D362" s="13">
        <f>IF(G362="ETAPA",0,IF(G362="SUBETAPA",OFFSET(D362,-1,0)+1,OFFSET(D362,-1,0)))</f>
        <v/>
      </c>
      <c r="E362" s="13">
        <f>IF(G362="Subetapa",0,IF(G362="serviço",OFFSET(E362,-1,0)+1,OFFSET(E362,-1,0)))</f>
        <v/>
      </c>
      <c r="F362" s="12" t="n"/>
      <c r="G362" s="19" t="inlineStr">
        <is>
          <t>Subetapa</t>
        </is>
      </c>
      <c r="H362" s="16">
        <f>IF(G362="Unidade Construtiva",TEXT(A362,"00"),IF(G362="Célula Construtiva",TEXT(B362,"00"),IF(G362="Etapa",CONCATENATE(TEXT(B362,"00"),".",TEXT(C362,"000")),IF(G362="Subetapa",CONCATENATE(TEXT(B362,"00"),".",TEXT(C362,"000"),".",TEXT(D362,"000")),IF(G362="Serviço",CONCATENATE(TEXT(B362,"00"),".",TEXT(C362,"000"),".",TEXT(D362,"000"),".",TEXT(E362,"000")),"")))))</f>
        <v/>
      </c>
      <c r="I362" s="18" t="inlineStr">
        <is>
          <t>Esquadrias metálicas</t>
        </is>
      </c>
      <c r="J362" s="6" t="n"/>
    </row>
    <row r="363" ht="20.45" customFormat="1" customHeight="1" s="8">
      <c r="A363" s="14">
        <f>IF($G363="UNIDADE CONSTRUTIVA",OFFSET(A363,-1,0)+1,LARGE(A$3:A362,1))</f>
        <v/>
      </c>
      <c r="B363" s="14">
        <f>IF(G363="UNIDADE CONSTRUTIVA",0,IF(G363="CÉLULA CONSTRUTIVA",OFFSET(B363,-1,0)+1,OFFSET(B363,-1,0)))</f>
        <v/>
      </c>
      <c r="C363" s="14">
        <f>IF(G363="CÉLULA CONSTRUTIVA",0,IF(G363="ETAPA",OFFSET(C363,-1,0)+1,OFFSET(C363,-1,0)))</f>
        <v/>
      </c>
      <c r="D363" s="13">
        <f>IF(G363="ETAPA",0,IF(G363="SUBETAPA",OFFSET(D363,-1,0)+1,OFFSET(D363,-1,0)))</f>
        <v/>
      </c>
      <c r="E363" s="13">
        <f>IF(G363="Subetapa",0,IF(G363="serviço",OFFSET(E363,-1,0)+1,OFFSET(E363,-1,0)))</f>
        <v/>
      </c>
      <c r="F363" s="12" t="n"/>
      <c r="G363" s="19" t="inlineStr">
        <is>
          <t>Subetapa</t>
        </is>
      </c>
      <c r="H363" s="16">
        <f>IF(G363="Unidade Construtiva",TEXT(A363,"00"),IF(G363="Célula Construtiva",TEXT(B363,"00"),IF(G363="Etapa",CONCATENATE(TEXT(B363,"00"),".",TEXT(C363,"000")),IF(G363="Subetapa",CONCATENATE(TEXT(B363,"00"),".",TEXT(C363,"000"),".",TEXT(D363,"000")),IF(G363="Serviço",CONCATENATE(TEXT(B363,"00"),".",TEXT(C363,"000"),".",TEXT(D363,"000"),".",TEXT(E363,"000")),"")))))</f>
        <v/>
      </c>
      <c r="I363" s="18" t="inlineStr">
        <is>
          <t>Serralheria</t>
        </is>
      </c>
      <c r="J363" s="6" t="n"/>
    </row>
    <row r="364" ht="20.45" customFormat="1" customHeight="1" s="8">
      <c r="A364" s="14">
        <f>IF($G364="UNIDADE CONSTRUTIVA",OFFSET(A364,-1,0)+1,LARGE(A$3:A363,1))</f>
        <v/>
      </c>
      <c r="B364" s="14">
        <f>IF(G364="UNIDADE CONSTRUTIVA",0,IF(G364="CÉLULA CONSTRUTIVA",OFFSET(B364,-1,0)+1,OFFSET(B364,-1,0)))</f>
        <v/>
      </c>
      <c r="C364" s="14">
        <f>IF(G364="CÉLULA CONSTRUTIVA",0,IF(G364="ETAPA",OFFSET(C364,-1,0)+1,OFFSET(C364,-1,0)))</f>
        <v/>
      </c>
      <c r="D364" s="13">
        <f>IF(G364="ETAPA",0,IF(G364="SUBETAPA",OFFSET(D364,-1,0)+1,OFFSET(D364,-1,0)))</f>
        <v/>
      </c>
      <c r="E364" s="13">
        <f>IF(G364="Subetapa",0,IF(G364="serviço",OFFSET(E364,-1,0)+1,OFFSET(E364,-1,0)))</f>
        <v/>
      </c>
      <c r="F364" s="12" t="n"/>
      <c r="G364" s="17" t="inlineStr">
        <is>
          <t>CÉLULA CONSTRUTIVA</t>
        </is>
      </c>
      <c r="H364" s="16">
        <f>IF(G364="Unidade Construtiva",TEXT(A364,"00"),IF(G364="Célula Construtiva",TEXT(B364,"00"),IF(G364="Etapa",CONCATENATE(TEXT(B364,"00"),".",TEXT(C364,"000")),IF(G364="Subetapa",CONCATENATE(TEXT(B364,"00"),".",TEXT(C364,"000"),".",TEXT(D364,"000")),IF(G364="Serviço",CONCATENATE(TEXT(B364,"00"),".",TEXT(C364,"000"),".",TEXT(D364,"000"),".",TEXT(E364,"000")),"")))))</f>
        <v/>
      </c>
      <c r="I364" s="15" t="inlineStr">
        <is>
          <t>LOUÇAS E METAIS</t>
        </is>
      </c>
      <c r="J364" s="6" t="n"/>
    </row>
    <row r="365" ht="20.45" customFormat="1" customHeight="1" s="8">
      <c r="A365" s="14">
        <f>IF($G365="UNIDADE CONSTRUTIVA",OFFSET(A365,-1,0)+1,LARGE(A$3:A364,1))</f>
        <v/>
      </c>
      <c r="B365" s="14">
        <f>IF(G365="UNIDADE CONSTRUTIVA",0,IF(G365="CÉLULA CONSTRUTIVA",OFFSET(B365,-1,0)+1,OFFSET(B365,-1,0)))</f>
        <v/>
      </c>
      <c r="C365" s="14">
        <f>IF(G365="CÉLULA CONSTRUTIVA",0,IF(G365="ETAPA",OFFSET(C365,-1,0)+1,OFFSET(C365,-1,0)))</f>
        <v/>
      </c>
      <c r="D365" s="13">
        <f>IF(G365="ETAPA",0,IF(G365="SUBETAPA",OFFSET(D365,-1,0)+1,OFFSET(D365,-1,0)))</f>
        <v/>
      </c>
      <c r="E365" s="13">
        <f>IF(G365="Subetapa",0,IF(G365="serviço",OFFSET(E365,-1,0)+1,OFFSET(E365,-1,0)))</f>
        <v/>
      </c>
      <c r="F365" s="12" t="n"/>
      <c r="G365" s="17" t="inlineStr">
        <is>
          <t>ETAPA</t>
        </is>
      </c>
      <c r="H365" s="16">
        <f>IF(G365="Unidade Construtiva",TEXT(A365,"00"),IF(G365="Célula Construtiva",TEXT(B365,"00"),IF(G365="Etapa",CONCATENATE(TEXT(B365,"00"),".",TEXT(C365,"000")),IF(G365="Subetapa",CONCATENATE(TEXT(B365,"00"),".",TEXT(C365,"000"),".",TEXT(D365,"000")),IF(G365="Serviço",CONCATENATE(TEXT(B365,"00"),".",TEXT(C365,"000"),".",TEXT(D365,"000"),".",TEXT(E365,"000")),"")))))</f>
        <v/>
      </c>
      <c r="I365" s="15" t="inlineStr">
        <is>
          <t>LOUÇAS E METAIS</t>
        </is>
      </c>
      <c r="J365" s="6" t="n"/>
    </row>
    <row r="366" ht="20.45" customFormat="1" customHeight="1" s="8">
      <c r="A366" s="14">
        <f>IF($G366="UNIDADE CONSTRUTIVA",OFFSET(A366,-1,0)+1,LARGE(A$3:A365,1))</f>
        <v/>
      </c>
      <c r="B366" s="14">
        <f>IF(G366="UNIDADE CONSTRUTIVA",0,IF(G366="CÉLULA CONSTRUTIVA",OFFSET(B366,-1,0)+1,OFFSET(B366,-1,0)))</f>
        <v/>
      </c>
      <c r="C366" s="14">
        <f>IF(G366="CÉLULA CONSTRUTIVA",0,IF(G366="ETAPA",OFFSET(C366,-1,0)+1,OFFSET(C366,-1,0)))</f>
        <v/>
      </c>
      <c r="D366" s="13">
        <f>IF(G366="ETAPA",0,IF(G366="SUBETAPA",OFFSET(D366,-1,0)+1,OFFSET(D366,-1,0)))</f>
        <v/>
      </c>
      <c r="E366" s="13">
        <f>IF(G366="Subetapa",0,IF(G366="serviço",OFFSET(E366,-1,0)+1,OFFSET(E366,-1,0)))</f>
        <v/>
      </c>
      <c r="F366" s="12" t="n"/>
      <c r="G366" s="19" t="inlineStr">
        <is>
          <t>Subetapa</t>
        </is>
      </c>
      <c r="H366" s="16">
        <f>IF(G366="Unidade Construtiva",TEXT(A366,"00"),IF(G366="Célula Construtiva",TEXT(B366,"00"),IF(G366="Etapa",CONCATENATE(TEXT(B366,"00"),".",TEXT(C366,"000")),IF(G366="Subetapa",CONCATENATE(TEXT(B366,"00"),".",TEXT(C366,"000"),".",TEXT(D366,"000")),IF(G366="Serviço",CONCATENATE(TEXT(B366,"00"),".",TEXT(C366,"000"),".",TEXT(D366,"000"),".",TEXT(E366,"000")),"")))))</f>
        <v/>
      </c>
      <c r="I366" s="18" t="inlineStr">
        <is>
          <t>Louças</t>
        </is>
      </c>
      <c r="J366" s="6" t="n"/>
    </row>
    <row r="367" ht="20.45" customFormat="1" customHeight="1" s="8">
      <c r="A367" s="14">
        <f>IF($G367="UNIDADE CONSTRUTIVA",OFFSET(A367,-1,0)+1,LARGE(A$3:A366,1))</f>
        <v/>
      </c>
      <c r="B367" s="14">
        <f>IF(G367="UNIDADE CONSTRUTIVA",0,IF(G367="CÉLULA CONSTRUTIVA",OFFSET(B367,-1,0)+1,OFFSET(B367,-1,0)))</f>
        <v/>
      </c>
      <c r="C367" s="14">
        <f>IF(G367="CÉLULA CONSTRUTIVA",0,IF(G367="ETAPA",OFFSET(C367,-1,0)+1,OFFSET(C367,-1,0)))</f>
        <v/>
      </c>
      <c r="D367" s="13">
        <f>IF(G367="ETAPA",0,IF(G367="SUBETAPA",OFFSET(D367,-1,0)+1,OFFSET(D367,-1,0)))</f>
        <v/>
      </c>
      <c r="E367" s="13">
        <f>IF(G367="Subetapa",0,IF(G367="serviço",OFFSET(E367,-1,0)+1,OFFSET(E367,-1,0)))</f>
        <v/>
      </c>
      <c r="F367" s="12" t="n"/>
      <c r="G367" s="19" t="inlineStr">
        <is>
          <t>Subetapa</t>
        </is>
      </c>
      <c r="H367" s="16">
        <f>IF(G367="Unidade Construtiva",TEXT(A367,"00"),IF(G367="Célula Construtiva",TEXT(B367,"00"),IF(G367="Etapa",CONCATENATE(TEXT(B367,"00"),".",TEXT(C367,"000")),IF(G367="Subetapa",CONCATENATE(TEXT(B367,"00"),".",TEXT(C367,"000"),".",TEXT(D367,"000")),IF(G367="Serviço",CONCATENATE(TEXT(B367,"00"),".",TEXT(C367,"000"),".",TEXT(D367,"000"),".",TEXT(E367,"000")),"")))))</f>
        <v/>
      </c>
      <c r="I367" s="18" t="inlineStr">
        <is>
          <t>Metais e acessórios</t>
        </is>
      </c>
      <c r="J367" s="6" t="n"/>
    </row>
    <row r="368" ht="20.45" customFormat="1" customHeight="1" s="8">
      <c r="A368" s="14">
        <f>IF($G368="UNIDADE CONSTRUTIVA",OFFSET(A368,-1,0)+1,LARGE(A$3:A367,1))</f>
        <v/>
      </c>
      <c r="B368" s="14">
        <f>IF(G368="UNIDADE CONSTRUTIVA",0,IF(G368="CÉLULA CONSTRUTIVA",OFFSET(B368,-1,0)+1,OFFSET(B368,-1,0)))</f>
        <v/>
      </c>
      <c r="C368" s="14">
        <f>IF(G368="CÉLULA CONSTRUTIVA",0,IF(G368="ETAPA",OFFSET(C368,-1,0)+1,OFFSET(C368,-1,0)))</f>
        <v/>
      </c>
      <c r="D368" s="13">
        <f>IF(G368="ETAPA",0,IF(G368="SUBETAPA",OFFSET(D368,-1,0)+1,OFFSET(D368,-1,0)))</f>
        <v/>
      </c>
      <c r="E368" s="13">
        <f>IF(G368="Subetapa",0,IF(G368="serviço",OFFSET(E368,-1,0)+1,OFFSET(E368,-1,0)))</f>
        <v/>
      </c>
      <c r="F368" s="12" t="n"/>
      <c r="G368" s="19" t="inlineStr">
        <is>
          <t>Subetapa</t>
        </is>
      </c>
      <c r="H368" s="16">
        <f>IF(G368="Unidade Construtiva",TEXT(A368,"00"),IF(G368="Célula Construtiva",TEXT(B368,"00"),IF(G368="Etapa",CONCATENATE(TEXT(B368,"00"),".",TEXT(C368,"000")),IF(G368="Subetapa",CONCATENATE(TEXT(B368,"00"),".",TEXT(C368,"000"),".",TEXT(D368,"000")),IF(G368="Serviço",CONCATENATE(TEXT(B368,"00"),".",TEXT(C368,"000"),".",TEXT(D368,"000"),".",TEXT(E368,"000")),"")))))</f>
        <v/>
      </c>
      <c r="I368" s="18" t="inlineStr">
        <is>
          <t>Bancadas, pias e divisórias</t>
        </is>
      </c>
      <c r="J368" s="6" t="n"/>
    </row>
    <row r="369" ht="20.45" customFormat="1" customHeight="1" s="8">
      <c r="A369" s="14">
        <f>IF($G369="UNIDADE CONSTRUTIVA",OFFSET(A369,-1,0)+1,LARGE(A$3:A368,1))</f>
        <v/>
      </c>
      <c r="B369" s="14">
        <f>IF(G369="UNIDADE CONSTRUTIVA",0,IF(G369="CÉLULA CONSTRUTIVA",OFFSET(B369,-1,0)+1,OFFSET(B369,-1,0)))</f>
        <v/>
      </c>
      <c r="C369" s="14">
        <f>IF(G369="CÉLULA CONSTRUTIVA",0,IF(G369="ETAPA",OFFSET(C369,-1,0)+1,OFFSET(C369,-1,0)))</f>
        <v/>
      </c>
      <c r="D369" s="13">
        <f>IF(G369="ETAPA",0,IF(G369="SUBETAPA",OFFSET(D369,-1,0)+1,OFFSET(D369,-1,0)))</f>
        <v/>
      </c>
      <c r="E369" s="13">
        <f>IF(G369="Subetapa",0,IF(G369="serviço",OFFSET(E369,-1,0)+1,OFFSET(E369,-1,0)))</f>
        <v/>
      </c>
      <c r="F369" s="12" t="n"/>
      <c r="G369" s="19" t="inlineStr">
        <is>
          <t>Subetapa</t>
        </is>
      </c>
      <c r="H369" s="16">
        <f>IF(G369="Unidade Construtiva",TEXT(A369,"00"),IF(G369="Célula Construtiva",TEXT(B369,"00"),IF(G369="Etapa",CONCATENATE(TEXT(B369,"00"),".",TEXT(C369,"000")),IF(G369="Subetapa",CONCATENATE(TEXT(B369,"00"),".",TEXT(C369,"000"),".",TEXT(D369,"000")),IF(G369="Serviço",CONCATENATE(TEXT(B369,"00"),".",TEXT(C369,"000"),".",TEXT(D369,"000"),".",TEXT(E369,"000")),"")))))</f>
        <v/>
      </c>
      <c r="I369" s="18" t="inlineStr">
        <is>
          <t>Mão de obra</t>
        </is>
      </c>
      <c r="J369" s="6" t="n"/>
    </row>
    <row r="370" ht="20.45" customFormat="1" customHeight="1" s="8">
      <c r="A370" s="14">
        <f>IF($G370="UNIDADE CONSTRUTIVA",OFFSET(A370,-1,0)+1,LARGE(A$3:A369,1))</f>
        <v/>
      </c>
      <c r="B370" s="14">
        <f>IF(G370="UNIDADE CONSTRUTIVA",0,IF(G370="CÉLULA CONSTRUTIVA",OFFSET(B370,-1,0)+1,OFFSET(B370,-1,0)))</f>
        <v/>
      </c>
      <c r="C370" s="14">
        <f>IF(G370="CÉLULA CONSTRUTIVA",0,IF(G370="ETAPA",OFFSET(C370,-1,0)+1,OFFSET(C370,-1,0)))</f>
        <v/>
      </c>
      <c r="D370" s="13">
        <f>IF(G370="ETAPA",0,IF(G370="SUBETAPA",OFFSET(D370,-1,0)+1,OFFSET(D370,-1,0)))</f>
        <v/>
      </c>
      <c r="E370" s="13">
        <f>IF(G370="Subetapa",0,IF(G370="serviço",OFFSET(E370,-1,0)+1,OFFSET(E370,-1,0)))</f>
        <v/>
      </c>
      <c r="F370" s="12" t="n"/>
      <c r="G370" s="17" t="inlineStr">
        <is>
          <t>CÉLULA CONSTRUTIVA</t>
        </is>
      </c>
      <c r="H370" s="16">
        <f>IF(G370="Unidade Construtiva",TEXT(A370,"00"),IF(G370="Célula Construtiva",TEXT(B370,"00"),IF(G370="Etapa",CONCATENATE(TEXT(B370,"00"),".",TEXT(C370,"000")),IF(G370="Subetapa",CONCATENATE(TEXT(B370,"00"),".",TEXT(C370,"000"),".",TEXT(D370,"000")),IF(G370="Serviço",CONCATENATE(TEXT(B370,"00"),".",TEXT(C370,"000"),".",TEXT(D370,"000"),".",TEXT(E370,"000")),"")))))</f>
        <v/>
      </c>
      <c r="I370" s="15" t="inlineStr">
        <is>
          <t>REVESTIMENTOS E ACABAMENTOS EM FACHADA</t>
        </is>
      </c>
      <c r="J370" s="6" t="n"/>
    </row>
    <row r="371" ht="20.45" customFormat="1" customHeight="1" s="8">
      <c r="A371" s="14">
        <f>IF($G371="UNIDADE CONSTRUTIVA",OFFSET(A371,-1,0)+1,LARGE(A$3:A370,1))</f>
        <v/>
      </c>
      <c r="B371" s="14">
        <f>IF(G371="UNIDADE CONSTRUTIVA",0,IF(G371="CÉLULA CONSTRUTIVA",OFFSET(B371,-1,0)+1,OFFSET(B371,-1,0)))</f>
        <v/>
      </c>
      <c r="C371" s="14">
        <f>IF(G371="CÉLULA CONSTRUTIVA",0,IF(G371="ETAPA",OFFSET(C371,-1,0)+1,OFFSET(C371,-1,0)))</f>
        <v/>
      </c>
      <c r="D371" s="13">
        <f>IF(G371="ETAPA",0,IF(G371="SUBETAPA",OFFSET(D371,-1,0)+1,OFFSET(D371,-1,0)))</f>
        <v/>
      </c>
      <c r="E371" s="13">
        <f>IF(G371="Subetapa",0,IF(G371="serviço",OFFSET(E371,-1,0)+1,OFFSET(E371,-1,0)))</f>
        <v/>
      </c>
      <c r="F371" s="12" t="n"/>
      <c r="G371" s="17" t="inlineStr">
        <is>
          <t>ETAPA</t>
        </is>
      </c>
      <c r="H371" s="16">
        <f>IF(G371="Unidade Construtiva",TEXT(A371,"00"),IF(G371="Célula Construtiva",TEXT(B371,"00"),IF(G371="Etapa",CONCATENATE(TEXT(B371,"00"),".",TEXT(C371,"000")),IF(G371="Subetapa",CONCATENATE(TEXT(B371,"00"),".",TEXT(C371,"000"),".",TEXT(D371,"000")),IF(G371="Serviço",CONCATENATE(TEXT(B371,"00"),".",TEXT(C371,"000"),".",TEXT(D371,"000"),".",TEXT(E371,"000")),"")))))</f>
        <v/>
      </c>
      <c r="I371" s="15" t="inlineStr">
        <is>
          <t>REVESTIMENTOS E ACABAMENTOS EM FACHADA</t>
        </is>
      </c>
      <c r="J371" s="6" t="n"/>
    </row>
    <row r="372" ht="20.45" customFormat="1" customHeight="1" s="8">
      <c r="A372" s="14">
        <f>IF($G372="UNIDADE CONSTRUTIVA",OFFSET(A372,-1,0)+1,LARGE(A$3:A371,1))</f>
        <v/>
      </c>
      <c r="B372" s="14">
        <f>IF(G372="UNIDADE CONSTRUTIVA",0,IF(G372="CÉLULA CONSTRUTIVA",OFFSET(B372,-1,0)+1,OFFSET(B372,-1,0)))</f>
        <v/>
      </c>
      <c r="C372" s="14">
        <f>IF(G372="CÉLULA CONSTRUTIVA",0,IF(G372="ETAPA",OFFSET(C372,-1,0)+1,OFFSET(C372,-1,0)))</f>
        <v/>
      </c>
      <c r="D372" s="13">
        <f>IF(G372="ETAPA",0,IF(G372="SUBETAPA",OFFSET(D372,-1,0)+1,OFFSET(D372,-1,0)))</f>
        <v/>
      </c>
      <c r="E372" s="13">
        <f>IF(G372="Subetapa",0,IF(G372="serviço",OFFSET(E372,-1,0)+1,OFFSET(E372,-1,0)))</f>
        <v/>
      </c>
      <c r="F372" s="12" t="n"/>
      <c r="G372" s="19" t="inlineStr">
        <is>
          <t>Subetapa</t>
        </is>
      </c>
      <c r="H372" s="16">
        <f>IF(G372="Unidade Construtiva",TEXT(A372,"00"),IF(G372="Célula Construtiva",TEXT(B372,"00"),IF(G372="Etapa",CONCATENATE(TEXT(B372,"00"),".",TEXT(C372,"000")),IF(G372="Subetapa",CONCATENATE(TEXT(B372,"00"),".",TEXT(C372,"000"),".",TEXT(D372,"000")),IF(G372="Serviço",CONCATENATE(TEXT(B372,"00"),".",TEXT(C372,"000"),".",TEXT(D372,"000"),".",TEXT(E372,"000")),"")))))</f>
        <v/>
      </c>
      <c r="I372" s="18" t="inlineStr">
        <is>
          <t>Revestimento argamassado em fachada</t>
        </is>
      </c>
      <c r="J372" s="6" t="n"/>
    </row>
    <row r="373" ht="20.45" customFormat="1" customHeight="1" s="8">
      <c r="A373" s="14">
        <f>IF($G373="UNIDADE CONSTRUTIVA",OFFSET(A373,-1,0)+1,LARGE(A$3:A372,1))</f>
        <v/>
      </c>
      <c r="B373" s="14">
        <f>IF(G373="UNIDADE CONSTRUTIVA",0,IF(G373="CÉLULA CONSTRUTIVA",OFFSET(B373,-1,0)+1,OFFSET(B373,-1,0)))</f>
        <v/>
      </c>
      <c r="C373" s="14">
        <f>IF(G373="CÉLULA CONSTRUTIVA",0,IF(G373="ETAPA",OFFSET(C373,-1,0)+1,OFFSET(C373,-1,0)))</f>
        <v/>
      </c>
      <c r="D373" s="13">
        <f>IF(G373="ETAPA",0,IF(G373="SUBETAPA",OFFSET(D373,-1,0)+1,OFFSET(D373,-1,0)))</f>
        <v/>
      </c>
      <c r="E373" s="13">
        <f>IF(G373="Subetapa",0,IF(G373="serviço",OFFSET(E373,-1,0)+1,OFFSET(E373,-1,0)))</f>
        <v/>
      </c>
      <c r="F373" s="12" t="n"/>
      <c r="G373" s="19" t="inlineStr">
        <is>
          <t>Subetapa</t>
        </is>
      </c>
      <c r="H373" s="16">
        <f>IF(G373="Unidade Construtiva",TEXT(A373,"00"),IF(G373="Célula Construtiva",TEXT(B373,"00"),IF(G373="Etapa",CONCATENATE(TEXT(B373,"00"),".",TEXT(C373,"000")),IF(G373="Subetapa",CONCATENATE(TEXT(B373,"00"),".",TEXT(C373,"000"),".",TEXT(D373,"000")),IF(G373="Serviço",CONCATENATE(TEXT(B373,"00"),".",TEXT(C373,"000"),".",TEXT(D373,"000"),".",TEXT(E373,"000")),"")))))</f>
        <v/>
      </c>
      <c r="I373" s="18" t="inlineStr">
        <is>
          <t>Pintura e textura em fachada</t>
        </is>
      </c>
      <c r="J373" s="6" t="n"/>
    </row>
    <row r="374" ht="20.45" customFormat="1" customHeight="1" s="8">
      <c r="A374" s="14">
        <f>IF($G374="UNIDADE CONSTRUTIVA",OFFSET(A374,-1,0)+1,LARGE(A$3:A373,1))</f>
        <v/>
      </c>
      <c r="B374" s="14">
        <f>IF(G374="UNIDADE CONSTRUTIVA",0,IF(G374="CÉLULA CONSTRUTIVA",OFFSET(B374,-1,0)+1,OFFSET(B374,-1,0)))</f>
        <v/>
      </c>
      <c r="C374" s="14">
        <f>IF(G374="CÉLULA CONSTRUTIVA",0,IF(G374="ETAPA",OFFSET(C374,-1,0)+1,OFFSET(C374,-1,0)))</f>
        <v/>
      </c>
      <c r="D374" s="13">
        <f>IF(G374="ETAPA",0,IF(G374="SUBETAPA",OFFSET(D374,-1,0)+1,OFFSET(D374,-1,0)))</f>
        <v/>
      </c>
      <c r="E374" s="13">
        <f>IF(G374="Subetapa",0,IF(G374="serviço",OFFSET(E374,-1,0)+1,OFFSET(E374,-1,0)))</f>
        <v/>
      </c>
      <c r="F374" s="12" t="n"/>
      <c r="G374" s="19" t="inlineStr">
        <is>
          <t>Subetapa</t>
        </is>
      </c>
      <c r="H374" s="16">
        <f>IF(G374="Unidade Construtiva",TEXT(A374,"00"),IF(G374="Célula Construtiva",TEXT(B374,"00"),IF(G374="Etapa",CONCATENATE(TEXT(B374,"00"),".",TEXT(C374,"000")),IF(G374="Subetapa",CONCATENATE(TEXT(B374,"00"),".",TEXT(C374,"000"),".",TEXT(D374,"000")),IF(G374="Serviço",CONCATENATE(TEXT(B374,"00"),".",TEXT(C374,"000"),".",TEXT(D374,"000"),".",TEXT(E374,"000")),"")))))</f>
        <v/>
      </c>
      <c r="I374" s="18" t="inlineStr">
        <is>
          <t>Acabamentos especiais em fachada</t>
        </is>
      </c>
      <c r="J374" s="6" t="n"/>
    </row>
    <row r="375" ht="20.45" customFormat="1" customHeight="1" s="8">
      <c r="A375" s="14">
        <f>IF($G375="UNIDADE CONSTRUTIVA",OFFSET(A375,-1,0)+1,LARGE(A$3:A374,1))</f>
        <v/>
      </c>
      <c r="B375" s="14">
        <f>IF(G375="UNIDADE CONSTRUTIVA",0,IF(G375="CÉLULA CONSTRUTIVA",OFFSET(B375,-1,0)+1,OFFSET(B375,-1,0)))</f>
        <v/>
      </c>
      <c r="C375" s="14">
        <f>IF(G375="CÉLULA CONSTRUTIVA",0,IF(G375="ETAPA",OFFSET(C375,-1,0)+1,OFFSET(C375,-1,0)))</f>
        <v/>
      </c>
      <c r="D375" s="13">
        <f>IF(G375="ETAPA",0,IF(G375="SUBETAPA",OFFSET(D375,-1,0)+1,OFFSET(D375,-1,0)))</f>
        <v/>
      </c>
      <c r="E375" s="13">
        <f>IF(G375="Subetapa",0,IF(G375="serviço",OFFSET(E375,-1,0)+1,OFFSET(E375,-1,0)))</f>
        <v/>
      </c>
      <c r="F375" s="12" t="n"/>
      <c r="G375" s="19" t="inlineStr">
        <is>
          <t>Subetapa</t>
        </is>
      </c>
      <c r="H375" s="16">
        <f>IF(G375="Unidade Construtiva",TEXT(A375,"00"),IF(G375="Célula Construtiva",TEXT(B375,"00"),IF(G375="Etapa",CONCATENATE(TEXT(B375,"00"),".",TEXT(C375,"000")),IF(G375="Subetapa",CONCATENATE(TEXT(B375,"00"),".",TEXT(C375,"000"),".",TEXT(D375,"000")),IF(G375="Serviço",CONCATENATE(TEXT(B375,"00"),".",TEXT(C375,"000"),".",TEXT(D375,"000"),".",TEXT(E375,"000")),"")))))</f>
        <v/>
      </c>
      <c r="I375" s="18" t="inlineStr">
        <is>
          <t>Tratamentos de fachada</t>
        </is>
      </c>
      <c r="J375" s="6" t="n"/>
    </row>
    <row r="376" ht="20.45" customFormat="1" customHeight="1" s="8">
      <c r="A376" s="14">
        <f>IF($G376="UNIDADE CONSTRUTIVA",OFFSET(A376,-1,0)+1,LARGE(A$3:A375,1))</f>
        <v/>
      </c>
      <c r="B376" s="14">
        <f>IF(G376="UNIDADE CONSTRUTIVA",0,IF(G376="CÉLULA CONSTRUTIVA",OFFSET(B376,-1,0)+1,OFFSET(B376,-1,0)))</f>
        <v/>
      </c>
      <c r="C376" s="14">
        <f>IF(G376="CÉLULA CONSTRUTIVA",0,IF(G376="ETAPA",OFFSET(C376,-1,0)+1,OFFSET(C376,-1,0)))</f>
        <v/>
      </c>
      <c r="D376" s="13">
        <f>IF(G376="ETAPA",0,IF(G376="SUBETAPA",OFFSET(D376,-1,0)+1,OFFSET(D376,-1,0)))</f>
        <v/>
      </c>
      <c r="E376" s="13">
        <f>IF(G376="Subetapa",0,IF(G376="serviço",OFFSET(E376,-1,0)+1,OFFSET(E376,-1,0)))</f>
        <v/>
      </c>
      <c r="F376" s="12" t="n"/>
      <c r="G376" s="19" t="inlineStr">
        <is>
          <t>Subetapa</t>
        </is>
      </c>
      <c r="H376" s="16">
        <f>IF(G376="Unidade Construtiva",TEXT(A376,"00"),IF(G376="Célula Construtiva",TEXT(B376,"00"),IF(G376="Etapa",CONCATENATE(TEXT(B376,"00"),".",TEXT(C376,"000")),IF(G376="Subetapa",CONCATENATE(TEXT(B376,"00"),".",TEXT(C376,"000"),".",TEXT(D376,"000")),IF(G376="Serviço",CONCATENATE(TEXT(B376,"00"),".",TEXT(C376,"000"),".",TEXT(D376,"000"),".",TEXT(E376,"000")),"")))))</f>
        <v/>
      </c>
      <c r="I376" s="18" t="inlineStr">
        <is>
          <t>Mão de obra</t>
        </is>
      </c>
      <c r="J376" s="6" t="n"/>
    </row>
    <row r="377" ht="20.45" customFormat="1" customHeight="1" s="8">
      <c r="A377" s="14">
        <f>IF($G377="UNIDADE CONSTRUTIVA",OFFSET(A377,-1,0)+1,LARGE(A$3:A376,1))</f>
        <v/>
      </c>
      <c r="B377" s="14">
        <f>IF(G377="UNIDADE CONSTRUTIVA",0,IF(G377="CÉLULA CONSTRUTIVA",OFFSET(B377,-1,0)+1,OFFSET(B377,-1,0)))</f>
        <v/>
      </c>
      <c r="C377" s="14">
        <f>IF(G377="CÉLULA CONSTRUTIVA",0,IF(G377="ETAPA",OFFSET(C377,-1,0)+1,OFFSET(C377,-1,0)))</f>
        <v/>
      </c>
      <c r="D377" s="13">
        <f>IF(G377="ETAPA",0,IF(G377="SUBETAPA",OFFSET(D377,-1,0)+1,OFFSET(D377,-1,0)))</f>
        <v/>
      </c>
      <c r="E377" s="13">
        <f>IF(G377="Subetapa",0,IF(G377="serviço",OFFSET(E377,-1,0)+1,OFFSET(E377,-1,0)))</f>
        <v/>
      </c>
      <c r="F377" s="12" t="n"/>
      <c r="G377" s="25" t="inlineStr">
        <is>
          <t>UNIDADE CONSTRUTIVA</t>
        </is>
      </c>
      <c r="H377" s="16">
        <f>IF(G377="Unidade Construtiva",TEXT(A377,"00"),IF(G377="Célula Construtiva",TEXT(B377,"00"),IF(G377="Etapa",CONCATENATE(TEXT(B377,"00"),".",TEXT(C377,"000")),IF(G377="Subetapa",CONCATENATE(TEXT(B377,"00"),".",TEXT(C377,"000"),".",TEXT(D377,"000")),IF(G377="Serviço",CONCATENATE(TEXT(B377,"00"),".",TEXT(C377,"000"),".",TEXT(D377,"000"),".",TEXT(E377,"000")),"")))))</f>
        <v/>
      </c>
      <c r="I377" s="27" t="inlineStr">
        <is>
          <t>TORRE B</t>
        </is>
      </c>
      <c r="J377" s="6" t="n"/>
    </row>
    <row r="378" ht="20.45" customFormat="1" customHeight="1" s="8">
      <c r="A378" s="14">
        <f>IF($G378="UNIDADE CONSTRUTIVA",OFFSET(A378,-1,0)+1,LARGE(A$3:A377,1))</f>
        <v/>
      </c>
      <c r="B378" s="14">
        <f>IF(G378="UNIDADE CONSTRUTIVA",0,IF(G378="CÉLULA CONSTRUTIVA",OFFSET(B378,-1,0)+1,OFFSET(B378,-1,0)))</f>
        <v/>
      </c>
      <c r="C378" s="14">
        <f>IF(G378="CÉLULA CONSTRUTIVA",0,IF(G378="ETAPA",OFFSET(C378,-1,0)+1,OFFSET(C378,-1,0)))</f>
        <v/>
      </c>
      <c r="D378" s="13">
        <f>IF(G378="ETAPA",0,IF(G378="SUBETAPA",OFFSET(D378,-1,0)+1,OFFSET(D378,-1,0)))</f>
        <v/>
      </c>
      <c r="E378" s="13">
        <f>IF(G378="Subetapa",0,IF(G378="serviço",OFFSET(E378,-1,0)+1,OFFSET(E378,-1,0)))</f>
        <v/>
      </c>
      <c r="F378" s="12" t="n"/>
      <c r="G378" s="17" t="inlineStr">
        <is>
          <t>CÉLULA CONSTRUTIVA</t>
        </is>
      </c>
      <c r="H378" s="16">
        <f>IF(G378="Unidade Construtiva",TEXT(A378,"00"),IF(G378="Célula Construtiva",TEXT(B378,"00"),IF(G378="Etapa",CONCATENATE(TEXT(B378,"00"),".",TEXT(C378,"000")),IF(G378="Subetapa",CONCATENATE(TEXT(B378,"00"),".",TEXT(C378,"000"),".",TEXT(D378,"000")),IF(G378="Serviço",CONCATENATE(TEXT(B378,"00"),".",TEXT(C378,"000"),".",TEXT(D378,"000"),".",TEXT(E378,"000")),"")))))</f>
        <v/>
      </c>
      <c r="I378" s="15" t="inlineStr">
        <is>
          <t>SUPRAESTRUTURA</t>
        </is>
      </c>
      <c r="J378" s="6" t="n"/>
    </row>
    <row r="379" ht="20.45" customFormat="1" customHeight="1" s="8">
      <c r="A379" s="14">
        <f>IF($G379="UNIDADE CONSTRUTIVA",OFFSET(A379,-1,0)+1,LARGE(A$3:A378,1))</f>
        <v/>
      </c>
      <c r="B379" s="14">
        <f>IF(G379="UNIDADE CONSTRUTIVA",0,IF(G379="CÉLULA CONSTRUTIVA",OFFSET(B379,-1,0)+1,OFFSET(B379,-1,0)))</f>
        <v/>
      </c>
      <c r="C379" s="14">
        <f>IF(G379="CÉLULA CONSTRUTIVA",0,IF(G379="ETAPA",OFFSET(C379,-1,0)+1,OFFSET(C379,-1,0)))</f>
        <v/>
      </c>
      <c r="D379" s="13">
        <f>IF(G379="ETAPA",0,IF(G379="SUBETAPA",OFFSET(D379,-1,0)+1,OFFSET(D379,-1,0)))</f>
        <v/>
      </c>
      <c r="E379" s="13">
        <f>IF(G379="Subetapa",0,IF(G379="serviço",OFFSET(E379,-1,0)+1,OFFSET(E379,-1,0)))</f>
        <v/>
      </c>
      <c r="F379" s="12" t="n"/>
      <c r="G379" s="17" t="inlineStr">
        <is>
          <t>ETAPA</t>
        </is>
      </c>
      <c r="H379" s="16">
        <f>IF(G379="Unidade Construtiva",TEXT(A379,"00"),IF(G379="Célula Construtiva",TEXT(B379,"00"),IF(G379="Etapa",CONCATENATE(TEXT(B379,"00"),".",TEXT(C379,"000")),IF(G379="Subetapa",CONCATENATE(TEXT(B379,"00"),".",TEXT(C379,"000"),".",TEXT(D379,"000")),IF(G379="Serviço",CONCATENATE(TEXT(B379,"00"),".",TEXT(C379,"000"),".",TEXT(D379,"000"),".",TEXT(E379,"000")),"")))))</f>
        <v/>
      </c>
      <c r="I379" s="15" t="inlineStr">
        <is>
          <t>SUPRAESTRUTURA</t>
        </is>
      </c>
      <c r="J379" s="6" t="n"/>
    </row>
    <row r="380" ht="20.45" customFormat="1" customHeight="1" s="8">
      <c r="A380" s="14">
        <f>IF($G380="UNIDADE CONSTRUTIVA",OFFSET(A380,-1,0)+1,LARGE(A$3:A379,1))</f>
        <v/>
      </c>
      <c r="B380" s="14">
        <f>IF(G380="UNIDADE CONSTRUTIVA",0,IF(G380="CÉLULA CONSTRUTIVA",OFFSET(B380,-1,0)+1,OFFSET(B380,-1,0)))</f>
        <v/>
      </c>
      <c r="C380" s="14">
        <f>IF(G380="CÉLULA CONSTRUTIVA",0,IF(G380="ETAPA",OFFSET(C380,-1,0)+1,OFFSET(C380,-1,0)))</f>
        <v/>
      </c>
      <c r="D380" s="13">
        <f>IF(G380="ETAPA",0,IF(G380="SUBETAPA",OFFSET(D380,-1,0)+1,OFFSET(D380,-1,0)))</f>
        <v/>
      </c>
      <c r="E380" s="13">
        <f>IF(G380="Subetapa",0,IF(G380="serviço",OFFSET(E380,-1,0)+1,OFFSET(E380,-1,0)))</f>
        <v/>
      </c>
      <c r="F380" s="12" t="n"/>
      <c r="G380" s="19" t="inlineStr">
        <is>
          <t>Subetapa</t>
        </is>
      </c>
      <c r="H380" s="16">
        <f>IF(G380="Unidade Construtiva",TEXT(A380,"00"),IF(G380="Célula Construtiva",TEXT(B380,"00"),IF(G380="Etapa",CONCATENATE(TEXT(B380,"00"),".",TEXT(C380,"000")),IF(G380="Subetapa",CONCATENATE(TEXT(B380,"00"),".",TEXT(C380,"000"),".",TEXT(D380,"000")),IF(G380="Serviço",CONCATENATE(TEXT(B380,"00"),".",TEXT(C380,"000"),".",TEXT(D380,"000"),".",TEXT(E380,"000")),"")))))</f>
        <v/>
      </c>
      <c r="I380" s="18" t="inlineStr">
        <is>
          <t>Forma</t>
        </is>
      </c>
      <c r="J380" s="6" t="n"/>
    </row>
    <row r="381" ht="20.45" customFormat="1" customHeight="1" s="8">
      <c r="A381" s="14">
        <f>IF($G381="UNIDADE CONSTRUTIVA",OFFSET(A381,-1,0)+1,LARGE(A$3:A380,1))</f>
        <v/>
      </c>
      <c r="B381" s="14">
        <f>IF(G381="UNIDADE CONSTRUTIVA",0,IF(G381="CÉLULA CONSTRUTIVA",OFFSET(B381,-1,0)+1,OFFSET(B381,-1,0)))</f>
        <v/>
      </c>
      <c r="C381" s="14">
        <f>IF(G381="CÉLULA CONSTRUTIVA",0,IF(G381="ETAPA",OFFSET(C381,-1,0)+1,OFFSET(C381,-1,0)))</f>
        <v/>
      </c>
      <c r="D381" s="13">
        <f>IF(G381="ETAPA",0,IF(G381="SUBETAPA",OFFSET(D381,-1,0)+1,OFFSET(D381,-1,0)))</f>
        <v/>
      </c>
      <c r="E381" s="13">
        <f>IF(G381="Subetapa",0,IF(G381="serviço",OFFSET(E381,-1,0)+1,OFFSET(E381,-1,0)))</f>
        <v/>
      </c>
      <c r="F381" s="12" t="n"/>
      <c r="G381" s="19" t="inlineStr">
        <is>
          <t>Subetapa</t>
        </is>
      </c>
      <c r="H381" s="16">
        <f>IF(G381="Unidade Construtiva",TEXT(A381,"00"),IF(G381="Célula Construtiva",TEXT(B381,"00"),IF(G381="Etapa",CONCATENATE(TEXT(B381,"00"),".",TEXT(C381,"000")),IF(G381="Subetapa",CONCATENATE(TEXT(B381,"00"),".",TEXT(C381,"000"),".",TEXT(D381,"000")),IF(G381="Serviço",CONCATENATE(TEXT(B381,"00"),".",TEXT(C381,"000"),".",TEXT(D381,"000"),".",TEXT(E381,"000")),"")))))</f>
        <v/>
      </c>
      <c r="I381" s="18" t="inlineStr">
        <is>
          <t>Armadura</t>
        </is>
      </c>
      <c r="J381" s="6" t="n"/>
    </row>
    <row r="382" ht="20.45" customFormat="1" customHeight="1" s="8">
      <c r="A382" s="14">
        <f>IF($G382="UNIDADE CONSTRUTIVA",OFFSET(A382,-1,0)+1,LARGE(A$3:A381,1))</f>
        <v/>
      </c>
      <c r="B382" s="14">
        <f>IF(G382="UNIDADE CONSTRUTIVA",0,IF(G382="CÉLULA CONSTRUTIVA",OFFSET(B382,-1,0)+1,OFFSET(B382,-1,0)))</f>
        <v/>
      </c>
      <c r="C382" s="14">
        <f>IF(G382="CÉLULA CONSTRUTIVA",0,IF(G382="ETAPA",OFFSET(C382,-1,0)+1,OFFSET(C382,-1,0)))</f>
        <v/>
      </c>
      <c r="D382" s="13">
        <f>IF(G382="ETAPA",0,IF(G382="SUBETAPA",OFFSET(D382,-1,0)+1,OFFSET(D382,-1,0)))</f>
        <v/>
      </c>
      <c r="E382" s="13">
        <f>IF(G382="Subetapa",0,IF(G382="serviço",OFFSET(E382,-1,0)+1,OFFSET(E382,-1,0)))</f>
        <v/>
      </c>
      <c r="F382" s="12" t="n"/>
      <c r="G382" s="19" t="inlineStr">
        <is>
          <t>Subetapa</t>
        </is>
      </c>
      <c r="H382" s="16">
        <f>IF(G382="Unidade Construtiva",TEXT(A382,"00"),IF(G382="Célula Construtiva",TEXT(B382,"00"),IF(G382="Etapa",CONCATENATE(TEXT(B382,"00"),".",TEXT(C382,"000")),IF(G382="Subetapa",CONCATENATE(TEXT(B382,"00"),".",TEXT(C382,"000"),".",TEXT(D382,"000")),IF(G382="Serviço",CONCATENATE(TEXT(B382,"00"),".",TEXT(C382,"000"),".",TEXT(D382,"000"),".",TEXT(E382,"000")),"")))))</f>
        <v/>
      </c>
      <c r="I382" s="18" t="inlineStr">
        <is>
          <t>Concreto</t>
        </is>
      </c>
      <c r="J382" s="6" t="n"/>
    </row>
    <row r="383" ht="20.45" customFormat="1" customHeight="1" s="8">
      <c r="A383" s="14">
        <f>IF($G383="UNIDADE CONSTRUTIVA",OFFSET(A383,-1,0)+1,LARGE(A$3:A382,1))</f>
        <v/>
      </c>
      <c r="B383" s="14">
        <f>IF(G383="UNIDADE CONSTRUTIVA",0,IF(G383="CÉLULA CONSTRUTIVA",OFFSET(B383,-1,0)+1,OFFSET(B383,-1,0)))</f>
        <v/>
      </c>
      <c r="C383" s="14">
        <f>IF(G383="CÉLULA CONSTRUTIVA",0,IF(G383="ETAPA",OFFSET(C383,-1,0)+1,OFFSET(C383,-1,0)))</f>
        <v/>
      </c>
      <c r="D383" s="13">
        <f>IF(G383="ETAPA",0,IF(G383="SUBETAPA",OFFSET(D383,-1,0)+1,OFFSET(D383,-1,0)))</f>
        <v/>
      </c>
      <c r="E383" s="13">
        <f>IF(G383="Subetapa",0,IF(G383="serviço",OFFSET(E383,-1,0)+1,OFFSET(E383,-1,0)))</f>
        <v/>
      </c>
      <c r="F383" s="12" t="n"/>
      <c r="G383" s="19" t="inlineStr">
        <is>
          <t>Subetapa</t>
        </is>
      </c>
      <c r="H383" s="16">
        <f>IF(G383="Unidade Construtiva",TEXT(A383,"00"),IF(G383="Célula Construtiva",TEXT(B383,"00"),IF(G383="Etapa",CONCATENATE(TEXT(B383,"00"),".",TEXT(C383,"000")),IF(G383="Subetapa",CONCATENATE(TEXT(B383,"00"),".",TEXT(C383,"000"),".",TEXT(D383,"000")),IF(G383="Serviço",CONCATENATE(TEXT(B383,"00"),".",TEXT(C383,"000"),".",TEXT(D383,"000"),".",TEXT(E383,"000")),"")))))</f>
        <v/>
      </c>
      <c r="I383" s="18" t="inlineStr">
        <is>
          <t>Complementares</t>
        </is>
      </c>
      <c r="J383" s="6" t="n"/>
    </row>
    <row r="384" ht="20.45" customFormat="1" customHeight="1" s="8">
      <c r="A384" s="14">
        <f>IF($G384="UNIDADE CONSTRUTIVA",OFFSET(A384,-1,0)+1,LARGE(A$3:A383,1))</f>
        <v/>
      </c>
      <c r="B384" s="14">
        <f>IF(G384="UNIDADE CONSTRUTIVA",0,IF(G384="CÉLULA CONSTRUTIVA",OFFSET(B384,-1,0)+1,OFFSET(B384,-1,0)))</f>
        <v/>
      </c>
      <c r="C384" s="14">
        <f>IF(G384="CÉLULA CONSTRUTIVA",0,IF(G384="ETAPA",OFFSET(C384,-1,0)+1,OFFSET(C384,-1,0)))</f>
        <v/>
      </c>
      <c r="D384" s="13">
        <f>IF(G384="ETAPA",0,IF(G384="SUBETAPA",OFFSET(D384,-1,0)+1,OFFSET(D384,-1,0)))</f>
        <v/>
      </c>
      <c r="E384" s="13">
        <f>IF(G384="Subetapa",0,IF(G384="serviço",OFFSET(E384,-1,0)+1,OFFSET(E384,-1,0)))</f>
        <v/>
      </c>
      <c r="F384" s="12" t="n"/>
      <c r="G384" s="19" t="inlineStr">
        <is>
          <t>Subetapa</t>
        </is>
      </c>
      <c r="H384" s="16">
        <f>IF(G384="Unidade Construtiva",TEXT(A384,"00"),IF(G384="Célula Construtiva",TEXT(B384,"00"),IF(G384="Etapa",CONCATENATE(TEXT(B384,"00"),".",TEXT(C384,"000")),IF(G384="Subetapa",CONCATENATE(TEXT(B384,"00"),".",TEXT(C384,"000"),".",TEXT(D384,"000")),IF(G384="Serviço",CONCATENATE(TEXT(B384,"00"),".",TEXT(C384,"000"),".",TEXT(D384,"000"),".",TEXT(E384,"000")),"")))))</f>
        <v/>
      </c>
      <c r="I384" s="18" t="inlineStr">
        <is>
          <t>Mão de obra</t>
        </is>
      </c>
      <c r="J384" s="6" t="n"/>
    </row>
    <row r="385" ht="20.45" customFormat="1" customHeight="1" s="8">
      <c r="A385" s="14">
        <f>IF($G385="UNIDADE CONSTRUTIVA",OFFSET(A385,-1,0)+1,LARGE(A$3:A384,1))</f>
        <v/>
      </c>
      <c r="B385" s="14">
        <f>IF(G385="UNIDADE CONSTRUTIVA",0,IF(G385="CÉLULA CONSTRUTIVA",OFFSET(B385,-1,0)+1,OFFSET(B385,-1,0)))</f>
        <v/>
      </c>
      <c r="C385" s="14">
        <f>IF(G385="CÉLULA CONSTRUTIVA",0,IF(G385="ETAPA",OFFSET(C385,-1,0)+1,OFFSET(C385,-1,0)))</f>
        <v/>
      </c>
      <c r="D385" s="13">
        <f>IF(G385="ETAPA",0,IF(G385="SUBETAPA",OFFSET(D385,-1,0)+1,OFFSET(D385,-1,0)))</f>
        <v/>
      </c>
      <c r="E385" s="13">
        <f>IF(G385="Subetapa",0,IF(G385="serviço",OFFSET(E385,-1,0)+1,OFFSET(E385,-1,0)))</f>
        <v/>
      </c>
      <c r="F385" s="12" t="n"/>
      <c r="G385" s="17" t="inlineStr">
        <is>
          <t>CÉLULA CONSTRUTIVA</t>
        </is>
      </c>
      <c r="H385" s="16">
        <f>IF(G385="Unidade Construtiva",TEXT(A385,"00"),IF(G385="Célula Construtiva",TEXT(B385,"00"),IF(G385="Etapa",CONCATENATE(TEXT(B385,"00"),".",TEXT(C385,"000")),IF(G385="Subetapa",CONCATENATE(TEXT(B385,"00"),".",TEXT(C385,"000"),".",TEXT(D385,"000")),IF(G385="Serviço",CONCATENATE(TEXT(B385,"00"),".",TEXT(C385,"000"),".",TEXT(D385,"000"),".",TEXT(E385,"000")),"")))))</f>
        <v/>
      </c>
      <c r="I385" s="15" t="inlineStr">
        <is>
          <t>PAREDES E PAINÉIS</t>
        </is>
      </c>
      <c r="J385" s="6" t="n"/>
    </row>
    <row r="386" ht="20.45" customFormat="1" customHeight="1" s="8">
      <c r="A386" s="14">
        <f>IF($G386="UNIDADE CONSTRUTIVA",OFFSET(A386,-1,0)+1,LARGE(A$3:A385,1))</f>
        <v/>
      </c>
      <c r="B386" s="14">
        <f>IF(G386="UNIDADE CONSTRUTIVA",0,IF(G386="CÉLULA CONSTRUTIVA",OFFSET(B386,-1,0)+1,OFFSET(B386,-1,0)))</f>
        <v/>
      </c>
      <c r="C386" s="14">
        <f>IF(G386="CÉLULA CONSTRUTIVA",0,IF(G386="ETAPA",OFFSET(C386,-1,0)+1,OFFSET(C386,-1,0)))</f>
        <v/>
      </c>
      <c r="D386" s="13">
        <f>IF(G386="ETAPA",0,IF(G386="SUBETAPA",OFFSET(D386,-1,0)+1,OFFSET(D386,-1,0)))</f>
        <v/>
      </c>
      <c r="E386" s="13">
        <f>IF(G386="Subetapa",0,IF(G386="serviço",OFFSET(E386,-1,0)+1,OFFSET(E386,-1,0)))</f>
        <v/>
      </c>
      <c r="F386" s="12" t="n"/>
      <c r="G386" s="17" t="inlineStr">
        <is>
          <t>ETAPA</t>
        </is>
      </c>
      <c r="H386" s="16">
        <f>IF(G386="Unidade Construtiva",TEXT(A386,"00"),IF(G386="Célula Construtiva",TEXT(B386,"00"),IF(G386="Etapa",CONCATENATE(TEXT(B386,"00"),".",TEXT(C386,"000")),IF(G386="Subetapa",CONCATENATE(TEXT(B386,"00"),".",TEXT(C386,"000"),".",TEXT(D386,"000")),IF(G386="Serviço",CONCATENATE(TEXT(B386,"00"),".",TEXT(C386,"000"),".",TEXT(D386,"000"),".",TEXT(E386,"000")),"")))))</f>
        <v/>
      </c>
      <c r="I386" s="15" t="inlineStr">
        <is>
          <t>PAREDES E PAINÉIS</t>
        </is>
      </c>
      <c r="J386" s="6" t="n"/>
    </row>
    <row r="387" ht="20.45" customFormat="1" customHeight="1" s="8">
      <c r="A387" s="14">
        <f>IF($G387="UNIDADE CONSTRUTIVA",OFFSET(A387,-1,0)+1,LARGE(A$3:A386,1))</f>
        <v/>
      </c>
      <c r="B387" s="14">
        <f>IF(G387="UNIDADE CONSTRUTIVA",0,IF(G387="CÉLULA CONSTRUTIVA",OFFSET(B387,-1,0)+1,OFFSET(B387,-1,0)))</f>
        <v/>
      </c>
      <c r="C387" s="14">
        <f>IF(G387="CÉLULA CONSTRUTIVA",0,IF(G387="ETAPA",OFFSET(C387,-1,0)+1,OFFSET(C387,-1,0)))</f>
        <v/>
      </c>
      <c r="D387" s="13">
        <f>IF(G387="ETAPA",0,IF(G387="SUBETAPA",OFFSET(D387,-1,0)+1,OFFSET(D387,-1,0)))</f>
        <v/>
      </c>
      <c r="E387" s="13">
        <f>IF(G387="Subetapa",0,IF(G387="serviço",OFFSET(E387,-1,0)+1,OFFSET(E387,-1,0)))</f>
        <v/>
      </c>
      <c r="F387" s="12" t="n"/>
      <c r="G387" s="19" t="inlineStr">
        <is>
          <t>Subetapa</t>
        </is>
      </c>
      <c r="H387" s="16">
        <f>IF(G387="Unidade Construtiva",TEXT(A387,"00"),IF(G387="Célula Construtiva",TEXT(B387,"00"),IF(G387="Etapa",CONCATENATE(TEXT(B387,"00"),".",TEXT(C387,"000")),IF(G387="Subetapa",CONCATENATE(TEXT(B387,"00"),".",TEXT(C387,"000"),".",TEXT(D387,"000")),IF(G387="Serviço",CONCATENATE(TEXT(B387,"00"),".",TEXT(C387,"000"),".",TEXT(D387,"000"),".",TEXT(E387,"000")),"")))))</f>
        <v/>
      </c>
      <c r="I387" s="18" t="inlineStr">
        <is>
          <t>Alvenaria de vedação com blocos cerâmicos</t>
        </is>
      </c>
      <c r="J387" s="6" t="n"/>
    </row>
    <row r="388" ht="20.45" customFormat="1" customHeight="1" s="8">
      <c r="A388" s="14">
        <f>IF($G388="UNIDADE CONSTRUTIVA",OFFSET(A388,-1,0)+1,LARGE(A$3:A387,1))</f>
        <v/>
      </c>
      <c r="B388" s="14">
        <f>IF(G388="UNIDADE CONSTRUTIVA",0,IF(G388="CÉLULA CONSTRUTIVA",OFFSET(B388,-1,0)+1,OFFSET(B388,-1,0)))</f>
        <v/>
      </c>
      <c r="C388" s="14">
        <f>IF(G388="CÉLULA CONSTRUTIVA",0,IF(G388="ETAPA",OFFSET(C388,-1,0)+1,OFFSET(C388,-1,0)))</f>
        <v/>
      </c>
      <c r="D388" s="13">
        <f>IF(G388="ETAPA",0,IF(G388="SUBETAPA",OFFSET(D388,-1,0)+1,OFFSET(D388,-1,0)))</f>
        <v/>
      </c>
      <c r="E388" s="13">
        <f>IF(G388="Subetapa",0,IF(G388="serviço",OFFSET(E388,-1,0)+1,OFFSET(E388,-1,0)))</f>
        <v/>
      </c>
      <c r="F388" s="12" t="n"/>
      <c r="G388" s="19" t="inlineStr">
        <is>
          <t>Subetapa</t>
        </is>
      </c>
      <c r="H388" s="16">
        <f>IF(G388="Unidade Construtiva",TEXT(A388,"00"),IF(G388="Célula Construtiva",TEXT(B388,"00"),IF(G388="Etapa",CONCATENATE(TEXT(B388,"00"),".",TEXT(C388,"000")),IF(G388="Subetapa",CONCATENATE(TEXT(B388,"00"),".",TEXT(C388,"000"),".",TEXT(D388,"000")),IF(G388="Serviço",CONCATENATE(TEXT(B388,"00"),".",TEXT(C388,"000"),".",TEXT(D388,"000"),".",TEXT(E388,"000")),"")))))</f>
        <v/>
      </c>
      <c r="I388" s="18" t="inlineStr">
        <is>
          <t>Alvenaria de vedação com bocos de concreto</t>
        </is>
      </c>
      <c r="J388" s="6" t="n"/>
    </row>
    <row r="389" ht="20.45" customFormat="1" customHeight="1" s="8">
      <c r="A389" s="14">
        <f>IF($G389="UNIDADE CONSTRUTIVA",OFFSET(A389,-1,0)+1,LARGE(A$3:A388,1))</f>
        <v/>
      </c>
      <c r="B389" s="14">
        <f>IF(G389="UNIDADE CONSTRUTIVA",0,IF(G389="CÉLULA CONSTRUTIVA",OFFSET(B389,-1,0)+1,OFFSET(B389,-1,0)))</f>
        <v/>
      </c>
      <c r="C389" s="14">
        <f>IF(G389="CÉLULA CONSTRUTIVA",0,IF(G389="ETAPA",OFFSET(C389,-1,0)+1,OFFSET(C389,-1,0)))</f>
        <v/>
      </c>
      <c r="D389" s="13">
        <f>IF(G389="ETAPA",0,IF(G389="SUBETAPA",OFFSET(D389,-1,0)+1,OFFSET(D389,-1,0)))</f>
        <v/>
      </c>
      <c r="E389" s="13">
        <f>IF(G389="Subetapa",0,IF(G389="serviço",OFFSET(E389,-1,0)+1,OFFSET(E389,-1,0)))</f>
        <v/>
      </c>
      <c r="F389" s="12" t="n"/>
      <c r="G389" s="19" t="inlineStr">
        <is>
          <t>Subetapa</t>
        </is>
      </c>
      <c r="H389" s="16">
        <f>IF(G389="Unidade Construtiva",TEXT(A389,"00"),IF(G389="Célula Construtiva",TEXT(B389,"00"),IF(G389="Etapa",CONCATENATE(TEXT(B389,"00"),".",TEXT(C389,"000")),IF(G389="Subetapa",CONCATENATE(TEXT(B389,"00"),".",TEXT(C389,"000"),".",TEXT(D389,"000")),IF(G389="Serviço",CONCATENATE(TEXT(B389,"00"),".",TEXT(C389,"000"),".",TEXT(D389,"000"),".",TEXT(E389,"000")),"")))))</f>
        <v/>
      </c>
      <c r="I389" s="18" t="inlineStr">
        <is>
          <t>Serviços complementares para alvenaria de vedação</t>
        </is>
      </c>
      <c r="J389" s="6" t="n"/>
    </row>
    <row r="390" ht="20.45" customFormat="1" customHeight="1" s="8">
      <c r="A390" s="14">
        <f>IF($G390="UNIDADE CONSTRUTIVA",OFFSET(A390,-1,0)+1,LARGE(A$3:A389,1))</f>
        <v/>
      </c>
      <c r="B390" s="14">
        <f>IF(G390="UNIDADE CONSTRUTIVA",0,IF(G390="CÉLULA CONSTRUTIVA",OFFSET(B390,-1,0)+1,OFFSET(B390,-1,0)))</f>
        <v/>
      </c>
      <c r="C390" s="14">
        <f>IF(G390="CÉLULA CONSTRUTIVA",0,IF(G390="ETAPA",OFFSET(C390,-1,0)+1,OFFSET(C390,-1,0)))</f>
        <v/>
      </c>
      <c r="D390" s="13">
        <f>IF(G390="ETAPA",0,IF(G390="SUBETAPA",OFFSET(D390,-1,0)+1,OFFSET(D390,-1,0)))</f>
        <v/>
      </c>
      <c r="E390" s="13">
        <f>IF(G390="Subetapa",0,IF(G390="serviço",OFFSET(E390,-1,0)+1,OFFSET(E390,-1,0)))</f>
        <v/>
      </c>
      <c r="F390" s="12" t="n"/>
      <c r="G390" s="19" t="inlineStr">
        <is>
          <t>Subetapa</t>
        </is>
      </c>
      <c r="H390" s="16">
        <f>IF(G390="Unidade Construtiva",TEXT(A390,"00"),IF(G390="Célula Construtiva",TEXT(B390,"00"),IF(G390="Etapa",CONCATENATE(TEXT(B390,"00"),".",TEXT(C390,"000")),IF(G390="Subetapa",CONCATENATE(TEXT(B390,"00"),".",TEXT(C390,"000"),".",TEXT(D390,"000")),IF(G390="Serviço",CONCATENATE(TEXT(B390,"00"),".",TEXT(C390,"000"),".",TEXT(D390,"000"),".",TEXT(E390,"000")),"")))))</f>
        <v/>
      </c>
      <c r="I390" s="18" t="inlineStr">
        <is>
          <t>Drywall</t>
        </is>
      </c>
      <c r="J390" s="6" t="n"/>
    </row>
    <row r="391" ht="20.45" customFormat="1" customHeight="1" s="8">
      <c r="A391" s="14">
        <f>IF($G391="UNIDADE CONSTRUTIVA",OFFSET(A391,-1,0)+1,LARGE(A$3:A390,1))</f>
        <v/>
      </c>
      <c r="B391" s="14">
        <f>IF(G391="UNIDADE CONSTRUTIVA",0,IF(G391="CÉLULA CONSTRUTIVA",OFFSET(B391,-1,0)+1,OFFSET(B391,-1,0)))</f>
        <v/>
      </c>
      <c r="C391" s="14">
        <f>IF(G391="CÉLULA CONSTRUTIVA",0,IF(G391="ETAPA",OFFSET(C391,-1,0)+1,OFFSET(C391,-1,0)))</f>
        <v/>
      </c>
      <c r="D391" s="13">
        <f>IF(G391="ETAPA",0,IF(G391="SUBETAPA",OFFSET(D391,-1,0)+1,OFFSET(D391,-1,0)))</f>
        <v/>
      </c>
      <c r="E391" s="13">
        <f>IF(G391="Subetapa",0,IF(G391="serviço",OFFSET(E391,-1,0)+1,OFFSET(E391,-1,0)))</f>
        <v/>
      </c>
      <c r="F391" s="12" t="n"/>
      <c r="G391" s="19" t="inlineStr">
        <is>
          <t>Subetapa</t>
        </is>
      </c>
      <c r="H391" s="16">
        <f>IF(G391="Unidade Construtiva",TEXT(A391,"00"),IF(G391="Célula Construtiva",TEXT(B391,"00"),IF(G391="Etapa",CONCATENATE(TEXT(B391,"00"),".",TEXT(C391,"000")),IF(G391="Subetapa",CONCATENATE(TEXT(B391,"00"),".",TEXT(C391,"000"),".",TEXT(D391,"000")),IF(G391="Serviço",CONCATENATE(TEXT(B391,"00"),".",TEXT(C391,"000"),".",TEXT(D391,"000"),".",TEXT(E391,"000")),"")))))</f>
        <v/>
      </c>
      <c r="I391" s="18" t="inlineStr">
        <is>
          <t>Mão de obra</t>
        </is>
      </c>
      <c r="J391" s="6" t="n"/>
    </row>
    <row r="392" ht="20.45" customFormat="1" customHeight="1" s="8">
      <c r="A392" s="14">
        <f>IF($G392="UNIDADE CONSTRUTIVA",OFFSET(A392,-1,0)+1,LARGE(A$3:A391,1))</f>
        <v/>
      </c>
      <c r="B392" s="14">
        <f>IF(G392="UNIDADE CONSTRUTIVA",0,IF(G392="CÉLULA CONSTRUTIVA",OFFSET(B392,-1,0)+1,OFFSET(B392,-1,0)))</f>
        <v/>
      </c>
      <c r="C392" s="14">
        <f>IF(G392="CÉLULA CONSTRUTIVA",0,IF(G392="ETAPA",OFFSET(C392,-1,0)+1,OFFSET(C392,-1,0)))</f>
        <v/>
      </c>
      <c r="D392" s="13">
        <f>IF(G392="ETAPA",0,IF(G392="SUBETAPA",OFFSET(D392,-1,0)+1,OFFSET(D392,-1,0)))</f>
        <v/>
      </c>
      <c r="E392" s="13">
        <f>IF(G392="Subetapa",0,IF(G392="serviço",OFFSET(E392,-1,0)+1,OFFSET(E392,-1,0)))</f>
        <v/>
      </c>
      <c r="F392" s="12" t="n"/>
      <c r="G392" s="17" t="inlineStr">
        <is>
          <t>CÉLULA CONSTRUTIVA</t>
        </is>
      </c>
      <c r="H392" s="16">
        <f>IF(G392="Unidade Construtiva",TEXT(A392,"00"),IF(G392="Célula Construtiva",TEXT(B392,"00"),IF(G392="Etapa",CONCATENATE(TEXT(B392,"00"),".",TEXT(C392,"000")),IF(G392="Subetapa",CONCATENATE(TEXT(B392,"00"),".",TEXT(C392,"000"),".",TEXT(D392,"000")),IF(G392="Serviço",CONCATENATE(TEXT(B392,"00"),".",TEXT(C392,"000"),".",TEXT(D392,"000"),".",TEXT(E392,"000")),"")))))</f>
        <v/>
      </c>
      <c r="I392" s="15" t="inlineStr">
        <is>
          <t>IMPERMEABILIZAÇÃO E TRATAMENTOS</t>
        </is>
      </c>
      <c r="J392" s="6" t="n"/>
    </row>
    <row r="393" ht="20.45" customFormat="1" customHeight="1" s="8">
      <c r="A393" s="14">
        <f>IF($G393="UNIDADE CONSTRUTIVA",OFFSET(A393,-1,0)+1,LARGE(A$3:A392,1))</f>
        <v/>
      </c>
      <c r="B393" s="14">
        <f>IF(G393="UNIDADE CONSTRUTIVA",0,IF(G393="CÉLULA CONSTRUTIVA",OFFSET(B393,-1,0)+1,OFFSET(B393,-1,0)))</f>
        <v/>
      </c>
      <c r="C393" s="14">
        <f>IF(G393="CÉLULA CONSTRUTIVA",0,IF(G393="ETAPA",OFFSET(C393,-1,0)+1,OFFSET(C393,-1,0)))</f>
        <v/>
      </c>
      <c r="D393" s="13">
        <f>IF(G393="ETAPA",0,IF(G393="SUBETAPA",OFFSET(D393,-1,0)+1,OFFSET(D393,-1,0)))</f>
        <v/>
      </c>
      <c r="E393" s="13">
        <f>IF(G393="Subetapa",0,IF(G393="serviço",OFFSET(E393,-1,0)+1,OFFSET(E393,-1,0)))</f>
        <v/>
      </c>
      <c r="F393" s="12" t="n"/>
      <c r="G393" s="17" t="inlineStr">
        <is>
          <t>ETAPA</t>
        </is>
      </c>
      <c r="H393" s="16">
        <f>IF(G393="Unidade Construtiva",TEXT(A393,"00"),IF(G393="Célula Construtiva",TEXT(B393,"00"),IF(G393="Etapa",CONCATENATE(TEXT(B393,"00"),".",TEXT(C393,"000")),IF(G393="Subetapa",CONCATENATE(TEXT(B393,"00"),".",TEXT(C393,"000"),".",TEXT(D393,"000")),IF(G393="Serviço",CONCATENATE(TEXT(B393,"00"),".",TEXT(C393,"000"),".",TEXT(D393,"000"),".",TEXT(E393,"000")),"")))))</f>
        <v/>
      </c>
      <c r="I393" s="15" t="inlineStr">
        <is>
          <t>IMPERMEABILIZAÇÃO E TRATAMENTOS</t>
        </is>
      </c>
      <c r="J393" s="6" t="n"/>
    </row>
    <row r="394" ht="20.45" customFormat="1" customHeight="1" s="8">
      <c r="A394" s="14">
        <f>IF($G394="UNIDADE CONSTRUTIVA",OFFSET(A394,-1,0)+1,LARGE(A$3:A393,1))</f>
        <v/>
      </c>
      <c r="B394" s="14">
        <f>IF(G394="UNIDADE CONSTRUTIVA",0,IF(G394="CÉLULA CONSTRUTIVA",OFFSET(B394,-1,0)+1,OFFSET(B394,-1,0)))</f>
        <v/>
      </c>
      <c r="C394" s="14">
        <f>IF(G394="CÉLULA CONSTRUTIVA",0,IF(G394="ETAPA",OFFSET(C394,-1,0)+1,OFFSET(C394,-1,0)))</f>
        <v/>
      </c>
      <c r="D394" s="13">
        <f>IF(G394="ETAPA",0,IF(G394="SUBETAPA",OFFSET(D394,-1,0)+1,OFFSET(D394,-1,0)))</f>
        <v/>
      </c>
      <c r="E394" s="13">
        <f>IF(G394="Subetapa",0,IF(G394="serviço",OFFSET(E394,-1,0)+1,OFFSET(E394,-1,0)))</f>
        <v/>
      </c>
      <c r="F394" s="12" t="n"/>
      <c r="G394" s="19" t="inlineStr">
        <is>
          <t>Subetapa</t>
        </is>
      </c>
      <c r="H394" s="16">
        <f>IF(G394="Unidade Construtiva",TEXT(A394,"00"),IF(G394="Célula Construtiva",TEXT(B394,"00"),IF(G394="Etapa",CONCATENATE(TEXT(B394,"00"),".",TEXT(C394,"000")),IF(G394="Subetapa",CONCATENATE(TEXT(B394,"00"),".",TEXT(C394,"000"),".",TEXT(D394,"000")),IF(G394="Serviço",CONCATENATE(TEXT(B394,"00"),".",TEXT(C394,"000"),".",TEXT(D394,"000"),".",TEXT(E394,"000")),"")))))</f>
        <v/>
      </c>
      <c r="I394" s="18" t="inlineStr">
        <is>
          <t>Regularização e proteção mecânica</t>
        </is>
      </c>
      <c r="J394" s="6" t="n"/>
    </row>
    <row r="395" ht="20.45" customFormat="1" customHeight="1" s="8">
      <c r="A395" s="14">
        <f>IF($G395="UNIDADE CONSTRUTIVA",OFFSET(A395,-1,0)+1,LARGE(A$3:A394,1))</f>
        <v/>
      </c>
      <c r="B395" s="14">
        <f>IF(G395="UNIDADE CONSTRUTIVA",0,IF(G395="CÉLULA CONSTRUTIVA",OFFSET(B395,-1,0)+1,OFFSET(B395,-1,0)))</f>
        <v/>
      </c>
      <c r="C395" s="14">
        <f>IF(G395="CÉLULA CONSTRUTIVA",0,IF(G395="ETAPA",OFFSET(C395,-1,0)+1,OFFSET(C395,-1,0)))</f>
        <v/>
      </c>
      <c r="D395" s="13">
        <f>IF(G395="ETAPA",0,IF(G395="SUBETAPA",OFFSET(D395,-1,0)+1,OFFSET(D395,-1,0)))</f>
        <v/>
      </c>
      <c r="E395" s="13">
        <f>IF(G395="Subetapa",0,IF(G395="serviço",OFFSET(E395,-1,0)+1,OFFSET(E395,-1,0)))</f>
        <v/>
      </c>
      <c r="F395" s="12" t="n"/>
      <c r="G395" s="19" t="inlineStr">
        <is>
          <t>Subetapa</t>
        </is>
      </c>
      <c r="H395" s="16">
        <f>IF(G395="Unidade Construtiva",TEXT(A395,"00"),IF(G395="Célula Construtiva",TEXT(B395,"00"),IF(G395="Etapa",CONCATENATE(TEXT(B395,"00"),".",TEXT(C395,"000")),IF(G395="Subetapa",CONCATENATE(TEXT(B395,"00"),".",TEXT(C395,"000"),".",TEXT(D395,"000")),IF(G395="Serviço",CONCATENATE(TEXT(B395,"00"),".",TEXT(C395,"000"),".",TEXT(D395,"000"),".",TEXT(E395,"000")),"")))))</f>
        <v/>
      </c>
      <c r="I395" s="18" t="inlineStr">
        <is>
          <t>Impermeabilização de cisternas</t>
        </is>
      </c>
      <c r="J395" s="6" t="n"/>
    </row>
    <row r="396" ht="20.45" customFormat="1" customHeight="1" s="8">
      <c r="A396" s="14">
        <f>IF($G396="UNIDADE CONSTRUTIVA",OFFSET(A396,-1,0)+1,LARGE(A$3:A395,1))</f>
        <v/>
      </c>
      <c r="B396" s="14">
        <f>IF(G396="UNIDADE CONSTRUTIVA",0,IF(G396="CÉLULA CONSTRUTIVA",OFFSET(B396,-1,0)+1,OFFSET(B396,-1,0)))</f>
        <v/>
      </c>
      <c r="C396" s="14">
        <f>IF(G396="CÉLULA CONSTRUTIVA",0,IF(G396="ETAPA",OFFSET(C396,-1,0)+1,OFFSET(C396,-1,0)))</f>
        <v/>
      </c>
      <c r="D396" s="13">
        <f>IF(G396="ETAPA",0,IF(G396="SUBETAPA",OFFSET(D396,-1,0)+1,OFFSET(D396,-1,0)))</f>
        <v/>
      </c>
      <c r="E396" s="13">
        <f>IF(G396="Subetapa",0,IF(G396="serviço",OFFSET(E396,-1,0)+1,OFFSET(E396,-1,0)))</f>
        <v/>
      </c>
      <c r="F396" s="12" t="n"/>
      <c r="G396" s="19" t="inlineStr">
        <is>
          <t>Subetapa</t>
        </is>
      </c>
      <c r="H396" s="16">
        <f>IF(G396="Unidade Construtiva",TEXT(A396,"00"),IF(G396="Célula Construtiva",TEXT(B396,"00"),IF(G396="Etapa",CONCATENATE(TEXT(B396,"00"),".",TEXT(C396,"000")),IF(G396="Subetapa",CONCATENATE(TEXT(B396,"00"),".",TEXT(C396,"000"),".",TEXT(D396,"000")),IF(G396="Serviço",CONCATENATE(TEXT(B396,"00"),".",TEXT(C396,"000"),".",TEXT(D396,"000"),".",TEXT(E396,"000")),"")))))</f>
        <v/>
      </c>
      <c r="I396" s="18" t="inlineStr">
        <is>
          <t>Impermeabilização de fundação e contenção</t>
        </is>
      </c>
      <c r="J396" s="6" t="n"/>
    </row>
    <row r="397" ht="20.45" customFormat="1" customHeight="1" s="8">
      <c r="A397" s="14">
        <f>IF($G397="UNIDADE CONSTRUTIVA",OFFSET(A397,-1,0)+1,LARGE(A$3:A396,1))</f>
        <v/>
      </c>
      <c r="B397" s="14">
        <f>IF(G397="UNIDADE CONSTRUTIVA",0,IF(G397="CÉLULA CONSTRUTIVA",OFFSET(B397,-1,0)+1,OFFSET(B397,-1,0)))</f>
        <v/>
      </c>
      <c r="C397" s="14">
        <f>IF(G397="CÉLULA CONSTRUTIVA",0,IF(G397="ETAPA",OFFSET(C397,-1,0)+1,OFFSET(C397,-1,0)))</f>
        <v/>
      </c>
      <c r="D397" s="13">
        <f>IF(G397="ETAPA",0,IF(G397="SUBETAPA",OFFSET(D397,-1,0)+1,OFFSET(D397,-1,0)))</f>
        <v/>
      </c>
      <c r="E397" s="13">
        <f>IF(G397="Subetapa",0,IF(G397="serviço",OFFSET(E397,-1,0)+1,OFFSET(E397,-1,0)))</f>
        <v/>
      </c>
      <c r="F397" s="12" t="n"/>
      <c r="G397" s="19" t="inlineStr">
        <is>
          <t>Subetapa</t>
        </is>
      </c>
      <c r="H397" s="16">
        <f>IF(G397="Unidade Construtiva",TEXT(A397,"00"),IF(G397="Célula Construtiva",TEXT(B397,"00"),IF(G397="Etapa",CONCATENATE(TEXT(B397,"00"),".",TEXT(C397,"000")),IF(G397="Subetapa",CONCATENATE(TEXT(B397,"00"),".",TEXT(C397,"000"),".",TEXT(D397,"000")),IF(G397="Serviço",CONCATENATE(TEXT(B397,"00"),".",TEXT(C397,"000"),".",TEXT(D397,"000"),".",TEXT(E397,"000")),"")))))</f>
        <v/>
      </c>
      <c r="I397" s="18" t="inlineStr">
        <is>
          <t>Impermeabilização de lajes e terraços</t>
        </is>
      </c>
      <c r="J397" s="6" t="n"/>
    </row>
    <row r="398" ht="20.45" customFormat="1" customHeight="1" s="8">
      <c r="A398" s="14">
        <f>IF($G398="UNIDADE CONSTRUTIVA",OFFSET(A398,-1,0)+1,LARGE(A$3:A397,1))</f>
        <v/>
      </c>
      <c r="B398" s="14">
        <f>IF(G398="UNIDADE CONSTRUTIVA",0,IF(G398="CÉLULA CONSTRUTIVA",OFFSET(B398,-1,0)+1,OFFSET(B398,-1,0)))</f>
        <v/>
      </c>
      <c r="C398" s="14">
        <f>IF(G398="CÉLULA CONSTRUTIVA",0,IF(G398="ETAPA",OFFSET(C398,-1,0)+1,OFFSET(C398,-1,0)))</f>
        <v/>
      </c>
      <c r="D398" s="13">
        <f>IF(G398="ETAPA",0,IF(G398="SUBETAPA",OFFSET(D398,-1,0)+1,OFFSET(D398,-1,0)))</f>
        <v/>
      </c>
      <c r="E398" s="13">
        <f>IF(G398="Subetapa",0,IF(G398="serviço",OFFSET(E398,-1,0)+1,OFFSET(E398,-1,0)))</f>
        <v/>
      </c>
      <c r="F398" s="12" t="n"/>
      <c r="G398" s="19" t="inlineStr">
        <is>
          <t>Subetapa</t>
        </is>
      </c>
      <c r="H398" s="16">
        <f>IF(G398="Unidade Construtiva",TEXT(A398,"00"),IF(G398="Célula Construtiva",TEXT(B398,"00"),IF(G398="Etapa",CONCATENATE(TEXT(B398,"00"),".",TEXT(C398,"000")),IF(G398="Subetapa",CONCATENATE(TEXT(B398,"00"),".",TEXT(C398,"000"),".",TEXT(D398,"000")),IF(G398="Serviço",CONCATENATE(TEXT(B398,"00"),".",TEXT(C398,"000"),".",TEXT(D398,"000"),".",TEXT(E398,"000")),"")))))</f>
        <v/>
      </c>
      <c r="I398" s="18" t="inlineStr">
        <is>
          <t>Impermeabilização de piscinas e espelhos d´água</t>
        </is>
      </c>
      <c r="J398" s="6" t="n"/>
    </row>
    <row r="399" ht="20.45" customFormat="1" customHeight="1" s="8">
      <c r="A399" s="14">
        <f>IF($G399="UNIDADE CONSTRUTIVA",OFFSET(A399,-1,0)+1,LARGE(A$3:A398,1))</f>
        <v/>
      </c>
      <c r="B399" s="14">
        <f>IF(G399="UNIDADE CONSTRUTIVA",0,IF(G399="CÉLULA CONSTRUTIVA",OFFSET(B399,-1,0)+1,OFFSET(B399,-1,0)))</f>
        <v/>
      </c>
      <c r="C399" s="14">
        <f>IF(G399="CÉLULA CONSTRUTIVA",0,IF(G399="ETAPA",OFFSET(C399,-1,0)+1,OFFSET(C399,-1,0)))</f>
        <v/>
      </c>
      <c r="D399" s="13">
        <f>IF(G399="ETAPA",0,IF(G399="SUBETAPA",OFFSET(D399,-1,0)+1,OFFSET(D399,-1,0)))</f>
        <v/>
      </c>
      <c r="E399" s="13">
        <f>IF(G399="Subetapa",0,IF(G399="serviço",OFFSET(E399,-1,0)+1,OFFSET(E399,-1,0)))</f>
        <v/>
      </c>
      <c r="F399" s="12" t="n"/>
      <c r="G399" s="19" t="inlineStr">
        <is>
          <t>Subetapa</t>
        </is>
      </c>
      <c r="H399" s="16">
        <f>IF(G399="Unidade Construtiva",TEXT(A399,"00"),IF(G399="Célula Construtiva",TEXT(B399,"00"),IF(G399="Etapa",CONCATENATE(TEXT(B399,"00"),".",TEXT(C399,"000")),IF(G399="Subetapa",CONCATENATE(TEXT(B399,"00"),".",TEXT(C399,"000"),".",TEXT(D399,"000")),IF(G399="Serviço",CONCATENATE(TEXT(B399,"00"),".",TEXT(C399,"000"),".",TEXT(D399,"000"),".",TEXT(E399,"000")),"")))))</f>
        <v/>
      </c>
      <c r="I399" s="18" t="inlineStr">
        <is>
          <t>Impermeabilização de banheiro, cozinha e sacada</t>
        </is>
      </c>
      <c r="J399" s="6" t="n"/>
    </row>
    <row r="400" ht="20.45" customFormat="1" customHeight="1" s="8">
      <c r="A400" s="14">
        <f>IF($G400="UNIDADE CONSTRUTIVA",OFFSET(A400,-1,0)+1,LARGE(A$3:A399,1))</f>
        <v/>
      </c>
      <c r="B400" s="14">
        <f>IF(G400="UNIDADE CONSTRUTIVA",0,IF(G400="CÉLULA CONSTRUTIVA",OFFSET(B400,-1,0)+1,OFFSET(B400,-1,0)))</f>
        <v/>
      </c>
      <c r="C400" s="14">
        <f>IF(G400="CÉLULA CONSTRUTIVA",0,IF(G400="ETAPA",OFFSET(C400,-1,0)+1,OFFSET(C400,-1,0)))</f>
        <v/>
      </c>
      <c r="D400" s="13">
        <f>IF(G400="ETAPA",0,IF(G400="SUBETAPA",OFFSET(D400,-1,0)+1,OFFSET(D400,-1,0)))</f>
        <v/>
      </c>
      <c r="E400" s="13">
        <f>IF(G400="Subetapa",0,IF(G400="serviço",OFFSET(E400,-1,0)+1,OFFSET(E400,-1,0)))</f>
        <v/>
      </c>
      <c r="F400" s="12" t="n"/>
      <c r="G400" s="19" t="inlineStr">
        <is>
          <t>Subetapa</t>
        </is>
      </c>
      <c r="H400" s="16">
        <f>IF(G400="Unidade Construtiva",TEXT(A400,"00"),IF(G400="Célula Construtiva",TEXT(B400,"00"),IF(G400="Etapa",CONCATENATE(TEXT(B400,"00"),".",TEXT(C400,"000")),IF(G400="Subetapa",CONCATENATE(TEXT(B400,"00"),".",TEXT(C400,"000"),".",TEXT(D400,"000")),IF(G400="Serviço",CONCATENATE(TEXT(B400,"00"),".",TEXT(C400,"000"),".",TEXT(D400,"000"),".",TEXT(E400,"000")),"")))))</f>
        <v/>
      </c>
      <c r="I400" s="18" t="inlineStr">
        <is>
          <t>Impermeabilização de esquadrias</t>
        </is>
      </c>
      <c r="J400" s="6" t="n"/>
    </row>
    <row r="401" ht="20.45" customFormat="1" customHeight="1" s="8">
      <c r="A401" s="14">
        <f>IF($G401="UNIDADE CONSTRUTIVA",OFFSET(A401,-1,0)+1,LARGE(A$3:A400,1))</f>
        <v/>
      </c>
      <c r="B401" s="14">
        <f>IF(G401="UNIDADE CONSTRUTIVA",0,IF(G401="CÉLULA CONSTRUTIVA",OFFSET(B401,-1,0)+1,OFFSET(B401,-1,0)))</f>
        <v/>
      </c>
      <c r="C401" s="14">
        <f>IF(G401="CÉLULA CONSTRUTIVA",0,IF(G401="ETAPA",OFFSET(C401,-1,0)+1,OFFSET(C401,-1,0)))</f>
        <v/>
      </c>
      <c r="D401" s="13">
        <f>IF(G401="ETAPA",0,IF(G401="SUBETAPA",OFFSET(D401,-1,0)+1,OFFSET(D401,-1,0)))</f>
        <v/>
      </c>
      <c r="E401" s="13">
        <f>IF(G401="Subetapa",0,IF(G401="serviço",OFFSET(E401,-1,0)+1,OFFSET(E401,-1,0)))</f>
        <v/>
      </c>
      <c r="F401" s="12" t="n"/>
      <c r="G401" s="19" t="inlineStr">
        <is>
          <t>Subetapa</t>
        </is>
      </c>
      <c r="H401" s="16">
        <f>IF(G401="Unidade Construtiva",TEXT(A401,"00"),IF(G401="Célula Construtiva",TEXT(B401,"00"),IF(G401="Etapa",CONCATENATE(TEXT(B401,"00"),".",TEXT(C401,"000")),IF(G401="Subetapa",CONCATENATE(TEXT(B401,"00"),".",TEXT(C401,"000"),".",TEXT(D401,"000")),IF(G401="Serviço",CONCATENATE(TEXT(B401,"00"),".",TEXT(C401,"000"),".",TEXT(D401,"000"),".",TEXT(E401,"000")),"")))))</f>
        <v/>
      </c>
      <c r="I401" s="18" t="inlineStr">
        <is>
          <t>Impermeabilização de ralos</t>
        </is>
      </c>
      <c r="J401" s="6" t="n"/>
    </row>
    <row r="402" ht="20.45" customFormat="1" customHeight="1" s="8">
      <c r="A402" s="14">
        <f>IF($G402="UNIDADE CONSTRUTIVA",OFFSET(A402,-1,0)+1,LARGE(A$3:A401,1))</f>
        <v/>
      </c>
      <c r="B402" s="14">
        <f>IF(G402="UNIDADE CONSTRUTIVA",0,IF(G402="CÉLULA CONSTRUTIVA",OFFSET(B402,-1,0)+1,OFFSET(B402,-1,0)))</f>
        <v/>
      </c>
      <c r="C402" s="14">
        <f>IF(G402="CÉLULA CONSTRUTIVA",0,IF(G402="ETAPA",OFFSET(C402,-1,0)+1,OFFSET(C402,-1,0)))</f>
        <v/>
      </c>
      <c r="D402" s="13">
        <f>IF(G402="ETAPA",0,IF(G402="SUBETAPA",OFFSET(D402,-1,0)+1,OFFSET(D402,-1,0)))</f>
        <v/>
      </c>
      <c r="E402" s="13">
        <f>IF(G402="Subetapa",0,IF(G402="serviço",OFFSET(E402,-1,0)+1,OFFSET(E402,-1,0)))</f>
        <v/>
      </c>
      <c r="F402" s="12" t="n"/>
      <c r="G402" s="19" t="inlineStr">
        <is>
          <t>Subetapa</t>
        </is>
      </c>
      <c r="H402" s="16">
        <f>IF(G402="Unidade Construtiva",TEXT(A402,"00"),IF(G402="Célula Construtiva",TEXT(B402,"00"),IF(G402="Etapa",CONCATENATE(TEXT(B402,"00"),".",TEXT(C402,"000")),IF(G402="Subetapa",CONCATENATE(TEXT(B402,"00"),".",TEXT(C402,"000"),".",TEXT(D402,"000")),IF(G402="Serviço",CONCATENATE(TEXT(B402,"00"),".",TEXT(C402,"000"),".",TEXT(D402,"000"),".",TEXT(E402,"000")),"")))))</f>
        <v/>
      </c>
      <c r="I402" s="18" t="inlineStr">
        <is>
          <t>Impermeabilização de floreiras</t>
        </is>
      </c>
      <c r="J402" s="6" t="n"/>
    </row>
    <row r="403" ht="20.45" customFormat="1" customHeight="1" s="8">
      <c r="A403" s="14">
        <f>IF($G403="UNIDADE CONSTRUTIVA",OFFSET(A403,-1,0)+1,LARGE(A$3:A402,1))</f>
        <v/>
      </c>
      <c r="B403" s="14">
        <f>IF(G403="UNIDADE CONSTRUTIVA",0,IF(G403="CÉLULA CONSTRUTIVA",OFFSET(B403,-1,0)+1,OFFSET(B403,-1,0)))</f>
        <v/>
      </c>
      <c r="C403" s="14">
        <f>IF(G403="CÉLULA CONSTRUTIVA",0,IF(G403="ETAPA",OFFSET(C403,-1,0)+1,OFFSET(C403,-1,0)))</f>
        <v/>
      </c>
      <c r="D403" s="13">
        <f>IF(G403="ETAPA",0,IF(G403="SUBETAPA",OFFSET(D403,-1,0)+1,OFFSET(D403,-1,0)))</f>
        <v/>
      </c>
      <c r="E403" s="13">
        <f>IF(G403="Subetapa",0,IF(G403="serviço",OFFSET(E403,-1,0)+1,OFFSET(E403,-1,0)))</f>
        <v/>
      </c>
      <c r="F403" s="12" t="n"/>
      <c r="G403" s="19" t="inlineStr">
        <is>
          <t>Subetapa</t>
        </is>
      </c>
      <c r="H403" s="16">
        <f>IF(G403="Unidade Construtiva",TEXT(A403,"00"),IF(G403="Célula Construtiva",TEXT(B403,"00"),IF(G403="Etapa",CONCATENATE(TEXT(B403,"00"),".",TEXT(C403,"000")),IF(G403="Subetapa",CONCATENATE(TEXT(B403,"00"),".",TEXT(C403,"000"),".",TEXT(D403,"000")),IF(G403="Serviço",CONCATENATE(TEXT(B403,"00"),".",TEXT(C403,"000"),".",TEXT(D403,"000"),".",TEXT(E403,"000")),"")))))</f>
        <v/>
      </c>
      <c r="I403" s="18" t="inlineStr">
        <is>
          <t>Impermeabilização de reservatórios</t>
        </is>
      </c>
      <c r="J403" s="6" t="n"/>
    </row>
    <row r="404" ht="20.45" customFormat="1" customHeight="1" s="8">
      <c r="A404" s="14">
        <f>IF($G404="UNIDADE CONSTRUTIVA",OFFSET(A404,-1,0)+1,LARGE(A$3:A403,1))</f>
        <v/>
      </c>
      <c r="B404" s="14">
        <f>IF(G404="UNIDADE CONSTRUTIVA",0,IF(G404="CÉLULA CONSTRUTIVA",OFFSET(B404,-1,0)+1,OFFSET(B404,-1,0)))</f>
        <v/>
      </c>
      <c r="C404" s="14">
        <f>IF(G404="CÉLULA CONSTRUTIVA",0,IF(G404="ETAPA",OFFSET(C404,-1,0)+1,OFFSET(C404,-1,0)))</f>
        <v/>
      </c>
      <c r="D404" s="13">
        <f>IF(G404="ETAPA",0,IF(G404="SUBETAPA",OFFSET(D404,-1,0)+1,OFFSET(D404,-1,0)))</f>
        <v/>
      </c>
      <c r="E404" s="13">
        <f>IF(G404="Subetapa",0,IF(G404="serviço",OFFSET(E404,-1,0)+1,OFFSET(E404,-1,0)))</f>
        <v/>
      </c>
      <c r="F404" s="12" t="n"/>
      <c r="G404" s="19" t="inlineStr">
        <is>
          <t>Subetapa</t>
        </is>
      </c>
      <c r="H404" s="16">
        <f>IF(G404="Unidade Construtiva",TEXT(A404,"00"),IF(G404="Célula Construtiva",TEXT(B404,"00"),IF(G404="Etapa",CONCATENATE(TEXT(B404,"00"),".",TEXT(C404,"000")),IF(G404="Subetapa",CONCATENATE(TEXT(B404,"00"),".",TEXT(C404,"000"),".",TEXT(D404,"000")),IF(G404="Serviço",CONCATENATE(TEXT(B404,"00"),".",TEXT(C404,"000"),".",TEXT(D404,"000"),".",TEXT(E404,"000")),"")))))</f>
        <v/>
      </c>
      <c r="I404" s="18" t="inlineStr">
        <is>
          <t>Mão de obra</t>
        </is>
      </c>
      <c r="J404" s="6" t="n"/>
    </row>
    <row r="405" ht="20.45" customFormat="1" customHeight="1" s="8">
      <c r="A405" s="14">
        <f>IF($G405="UNIDADE CONSTRUTIVA",OFFSET(A405,-1,0)+1,LARGE(A$3:A404,1))</f>
        <v/>
      </c>
      <c r="B405" s="14">
        <f>IF(G405="UNIDADE CONSTRUTIVA",0,IF(G405="CÉLULA CONSTRUTIVA",OFFSET(B405,-1,0)+1,OFFSET(B405,-1,0)))</f>
        <v/>
      </c>
      <c r="C405" s="14">
        <f>IF(G405="CÉLULA CONSTRUTIVA",0,IF(G405="ETAPA",OFFSET(C405,-1,0)+1,OFFSET(C405,-1,0)))</f>
        <v/>
      </c>
      <c r="D405" s="13">
        <f>IF(G405="ETAPA",0,IF(G405="SUBETAPA",OFFSET(D405,-1,0)+1,OFFSET(D405,-1,0)))</f>
        <v/>
      </c>
      <c r="E405" s="13">
        <f>IF(G405="Subetapa",0,IF(G405="serviço",OFFSET(E405,-1,0)+1,OFFSET(E405,-1,0)))</f>
        <v/>
      </c>
      <c r="F405" s="12" t="n"/>
      <c r="G405" s="17" t="inlineStr">
        <is>
          <t>CÉLULA CONSTRUTIVA</t>
        </is>
      </c>
      <c r="H405" s="16">
        <f>IF(G405="Unidade Construtiva",TEXT(A405,"00"),IF(G405="Célula Construtiva",TEXT(B405,"00"),IF(G405="Etapa",CONCATENATE(TEXT(B405,"00"),".",TEXT(C405,"000")),IF(G405="Subetapa",CONCATENATE(TEXT(B405,"00"),".",TEXT(C405,"000"),".",TEXT(D405,"000")),IF(G405="Serviço",CONCATENATE(TEXT(B405,"00"),".",TEXT(C405,"000"),".",TEXT(D405,"000"),".",TEXT(E405,"000")),"")))))</f>
        <v/>
      </c>
      <c r="I405" s="15" t="inlineStr">
        <is>
          <t>SISTEMAS E INSTALAÇÕES HIDROSSANITÁRIAS E DRENAGEM</t>
        </is>
      </c>
      <c r="J405" s="6" t="n"/>
    </row>
    <row r="406" ht="20.45" customFormat="1" customHeight="1" s="8">
      <c r="A406" s="14">
        <f>IF($G406="UNIDADE CONSTRUTIVA",OFFSET(A406,-1,0)+1,LARGE(A$3:A405,1))</f>
        <v/>
      </c>
      <c r="B406" s="14">
        <f>IF(G406="UNIDADE CONSTRUTIVA",0,IF(G406="CÉLULA CONSTRUTIVA",OFFSET(B406,-1,0)+1,OFFSET(B406,-1,0)))</f>
        <v/>
      </c>
      <c r="C406" s="14">
        <f>IF(G406="CÉLULA CONSTRUTIVA",0,IF(G406="ETAPA",OFFSET(C406,-1,0)+1,OFFSET(C406,-1,0)))</f>
        <v/>
      </c>
      <c r="D406" s="13">
        <f>IF(G406="ETAPA",0,IF(G406="SUBETAPA",OFFSET(D406,-1,0)+1,OFFSET(D406,-1,0)))</f>
        <v/>
      </c>
      <c r="E406" s="13">
        <f>IF(G406="Subetapa",0,IF(G406="serviço",OFFSET(E406,-1,0)+1,OFFSET(E406,-1,0)))</f>
        <v/>
      </c>
      <c r="F406" s="12" t="n"/>
      <c r="G406" s="17" t="inlineStr">
        <is>
          <t>ETAPA</t>
        </is>
      </c>
      <c r="H406" s="16">
        <f>IF(G406="Unidade Construtiva",TEXT(A406,"00"),IF(G406="Célula Construtiva",TEXT(B406,"00"),IF(G406="Etapa",CONCATENATE(TEXT(B406,"00"),".",TEXT(C406,"000")),IF(G406="Subetapa",CONCATENATE(TEXT(B406,"00"),".",TEXT(C406,"000"),".",TEXT(D406,"000")),IF(G406="Serviço",CONCATENATE(TEXT(B406,"00"),".",TEXT(C406,"000"),".",TEXT(D406,"000"),".",TEXT(E406,"000")),"")))))</f>
        <v/>
      </c>
      <c r="I406" s="15" t="inlineStr">
        <is>
          <t>SISTEMAS E INSTALAÇÕES HIDROSSANITÁRIAS E DRENAGEM</t>
        </is>
      </c>
      <c r="J406" s="6" t="n"/>
    </row>
    <row r="407" ht="20.45" customFormat="1" customHeight="1" s="8">
      <c r="A407" s="14">
        <f>IF($G407="UNIDADE CONSTRUTIVA",OFFSET(A407,-1,0)+1,LARGE(A$3:A406,1))</f>
        <v/>
      </c>
      <c r="B407" s="14">
        <f>IF(G407="UNIDADE CONSTRUTIVA",0,IF(G407="CÉLULA CONSTRUTIVA",OFFSET(B407,-1,0)+1,OFFSET(B407,-1,0)))</f>
        <v/>
      </c>
      <c r="C407" s="14">
        <f>IF(G407="CÉLULA CONSTRUTIVA",0,IF(G407="ETAPA",OFFSET(C407,-1,0)+1,OFFSET(C407,-1,0)))</f>
        <v/>
      </c>
      <c r="D407" s="13">
        <f>IF(G407="ETAPA",0,IF(G407="SUBETAPA",OFFSET(D407,-1,0)+1,OFFSET(D407,-1,0)))</f>
        <v/>
      </c>
      <c r="E407" s="13">
        <f>IF(G407="Subetapa",0,IF(G407="serviço",OFFSET(E407,-1,0)+1,OFFSET(E407,-1,0)))</f>
        <v/>
      </c>
      <c r="F407" s="12" t="n"/>
      <c r="G407" s="19" t="inlineStr">
        <is>
          <t>Subetapa</t>
        </is>
      </c>
      <c r="H407" s="16">
        <f>IF(G407="Unidade Construtiva",TEXT(A407,"00"),IF(G407="Célula Construtiva",TEXT(B407,"00"),IF(G407="Etapa",CONCATENATE(TEXT(B407,"00"),".",TEXT(C407,"000")),IF(G407="Subetapa",CONCATENATE(TEXT(B407,"00"),".",TEXT(C407,"000"),".",TEXT(D407,"000")),IF(G407="Serviço",CONCATENATE(TEXT(B407,"00"),".",TEXT(C407,"000"),".",TEXT(D407,"000"),".",TEXT(E407,"000")),"")))))</f>
        <v/>
      </c>
      <c r="I407" s="18" t="inlineStr">
        <is>
          <t>Instalações de água fria</t>
        </is>
      </c>
      <c r="J407" s="6" t="n"/>
    </row>
    <row r="408" ht="20.45" customFormat="1" customHeight="1" s="8">
      <c r="A408" s="14">
        <f>IF($G408="UNIDADE CONSTRUTIVA",OFFSET(A408,-1,0)+1,LARGE(A$3:A407,1))</f>
        <v/>
      </c>
      <c r="B408" s="14">
        <f>IF(G408="UNIDADE CONSTRUTIVA",0,IF(G408="CÉLULA CONSTRUTIVA",OFFSET(B408,-1,0)+1,OFFSET(B408,-1,0)))</f>
        <v/>
      </c>
      <c r="C408" s="14">
        <f>IF(G408="CÉLULA CONSTRUTIVA",0,IF(G408="ETAPA",OFFSET(C408,-1,0)+1,OFFSET(C408,-1,0)))</f>
        <v/>
      </c>
      <c r="D408" s="13">
        <f>IF(G408="ETAPA",0,IF(G408="SUBETAPA",OFFSET(D408,-1,0)+1,OFFSET(D408,-1,0)))</f>
        <v/>
      </c>
      <c r="E408" s="13">
        <f>IF(G408="Subetapa",0,IF(G408="serviço",OFFSET(E408,-1,0)+1,OFFSET(E408,-1,0)))</f>
        <v/>
      </c>
      <c r="F408" s="12" t="n"/>
      <c r="G408" s="19" t="inlineStr">
        <is>
          <t>Subetapa</t>
        </is>
      </c>
      <c r="H408" s="16">
        <f>IF(G408="Unidade Construtiva",TEXT(A408,"00"),IF(G408="Célula Construtiva",TEXT(B408,"00"),IF(G408="Etapa",CONCATENATE(TEXT(B408,"00"),".",TEXT(C408,"000")),IF(G408="Subetapa",CONCATENATE(TEXT(B408,"00"),".",TEXT(C408,"000"),".",TEXT(D408,"000")),IF(G408="Serviço",CONCATENATE(TEXT(B408,"00"),".",TEXT(C408,"000"),".",TEXT(D408,"000"),".",TEXT(E408,"000")),"")))))</f>
        <v/>
      </c>
      <c r="I408" s="18" t="inlineStr">
        <is>
          <t>Instalações de água quente</t>
        </is>
      </c>
      <c r="J408" s="6" t="n"/>
    </row>
    <row r="409" ht="20.45" customFormat="1" customHeight="1" s="8">
      <c r="A409" s="14">
        <f>IF($G409="UNIDADE CONSTRUTIVA",OFFSET(A409,-1,0)+1,LARGE(A$3:A408,1))</f>
        <v/>
      </c>
      <c r="B409" s="14">
        <f>IF(G409="UNIDADE CONSTRUTIVA",0,IF(G409="CÉLULA CONSTRUTIVA",OFFSET(B409,-1,0)+1,OFFSET(B409,-1,0)))</f>
        <v/>
      </c>
      <c r="C409" s="14">
        <f>IF(G409="CÉLULA CONSTRUTIVA",0,IF(G409="ETAPA",OFFSET(C409,-1,0)+1,OFFSET(C409,-1,0)))</f>
        <v/>
      </c>
      <c r="D409" s="13">
        <f>IF(G409="ETAPA",0,IF(G409="SUBETAPA",OFFSET(D409,-1,0)+1,OFFSET(D409,-1,0)))</f>
        <v/>
      </c>
      <c r="E409" s="13">
        <f>IF(G409="Subetapa",0,IF(G409="serviço",OFFSET(E409,-1,0)+1,OFFSET(E409,-1,0)))</f>
        <v/>
      </c>
      <c r="F409" s="12" t="n"/>
      <c r="G409" s="19" t="inlineStr">
        <is>
          <t>Subetapa</t>
        </is>
      </c>
      <c r="H409" s="16">
        <f>IF(G409="Unidade Construtiva",TEXT(A409,"00"),IF(G409="Célula Construtiva",TEXT(B409,"00"),IF(G409="Etapa",CONCATENATE(TEXT(B409,"00"),".",TEXT(C409,"000")),IF(G409="Subetapa",CONCATENATE(TEXT(B409,"00"),".",TEXT(C409,"000"),".",TEXT(D409,"000")),IF(G409="Serviço",CONCATENATE(TEXT(B409,"00"),".",TEXT(C409,"000"),".",TEXT(D409,"000"),".",TEXT(E409,"000")),"")))))</f>
        <v/>
      </c>
      <c r="I409" s="18" t="inlineStr">
        <is>
          <t>Instalações de esgoto e pluviais</t>
        </is>
      </c>
      <c r="J409" s="6" t="n"/>
    </row>
    <row r="410" ht="20.45" customFormat="1" customHeight="1" s="8">
      <c r="A410" s="14">
        <f>IF($G410="UNIDADE CONSTRUTIVA",OFFSET(A410,-1,0)+1,LARGE(A$3:A409,1))</f>
        <v/>
      </c>
      <c r="B410" s="14">
        <f>IF(G410="UNIDADE CONSTRUTIVA",0,IF(G410="CÉLULA CONSTRUTIVA",OFFSET(B410,-1,0)+1,OFFSET(B410,-1,0)))</f>
        <v/>
      </c>
      <c r="C410" s="14">
        <f>IF(G410="CÉLULA CONSTRUTIVA",0,IF(G410="ETAPA",OFFSET(C410,-1,0)+1,OFFSET(C410,-1,0)))</f>
        <v/>
      </c>
      <c r="D410" s="13">
        <f>IF(G410="ETAPA",0,IF(G410="SUBETAPA",OFFSET(D410,-1,0)+1,OFFSET(D410,-1,0)))</f>
        <v/>
      </c>
      <c r="E410" s="13">
        <f>IF(G410="Subetapa",0,IF(G410="serviço",OFFSET(E410,-1,0)+1,OFFSET(E410,-1,0)))</f>
        <v/>
      </c>
      <c r="F410" s="12" t="n"/>
      <c r="G410" s="19" t="inlineStr">
        <is>
          <t>Subetapa</t>
        </is>
      </c>
      <c r="H410" s="16">
        <f>IF(G410="Unidade Construtiva",TEXT(A410,"00"),IF(G410="Célula Construtiva",TEXT(B410,"00"),IF(G410="Etapa",CONCATENATE(TEXT(B410,"00"),".",TEXT(C410,"000")),IF(G410="Subetapa",CONCATENATE(TEXT(B410,"00"),".",TEXT(C410,"000"),".",TEXT(D410,"000")),IF(G410="Serviço",CONCATENATE(TEXT(B410,"00"),".",TEXT(C410,"000"),".",TEXT(D410,"000"),".",TEXT(E410,"000")),"")))))</f>
        <v/>
      </c>
      <c r="I410" s="18" t="inlineStr">
        <is>
          <t>Cisterna</t>
        </is>
      </c>
      <c r="J410" s="6" t="n"/>
    </row>
    <row r="411" ht="20.45" customFormat="1" customHeight="1" s="8">
      <c r="A411" s="14">
        <f>IF($G411="UNIDADE CONSTRUTIVA",OFFSET(A411,-1,0)+1,LARGE(A$3:A410,1))</f>
        <v/>
      </c>
      <c r="B411" s="14">
        <f>IF(G411="UNIDADE CONSTRUTIVA",0,IF(G411="CÉLULA CONSTRUTIVA",OFFSET(B411,-1,0)+1,OFFSET(B411,-1,0)))</f>
        <v/>
      </c>
      <c r="C411" s="14">
        <f>IF(G411="CÉLULA CONSTRUTIVA",0,IF(G411="ETAPA",OFFSET(C411,-1,0)+1,OFFSET(C411,-1,0)))</f>
        <v/>
      </c>
      <c r="D411" s="13">
        <f>IF(G411="ETAPA",0,IF(G411="SUBETAPA",OFFSET(D411,-1,0)+1,OFFSET(D411,-1,0)))</f>
        <v/>
      </c>
      <c r="E411" s="13">
        <f>IF(G411="Subetapa",0,IF(G411="serviço",OFFSET(E411,-1,0)+1,OFFSET(E411,-1,0)))</f>
        <v/>
      </c>
      <c r="F411" s="12" t="n"/>
      <c r="G411" s="19" t="inlineStr">
        <is>
          <t>Subetapa</t>
        </is>
      </c>
      <c r="H411" s="16">
        <f>IF(G411="Unidade Construtiva",TEXT(A411,"00"),IF(G411="Célula Construtiva",TEXT(B411,"00"),IF(G411="Etapa",CONCATENATE(TEXT(B411,"00"),".",TEXT(C411,"000")),IF(G411="Subetapa",CONCATENATE(TEXT(B411,"00"),".",TEXT(C411,"000"),".",TEXT(D411,"000")),IF(G411="Serviço",CONCATENATE(TEXT(B411,"00"),".",TEXT(C411,"000"),".",TEXT(D411,"000"),".",TEXT(E411,"000")),"")))))</f>
        <v/>
      </c>
      <c r="I411" s="18" t="inlineStr">
        <is>
          <t>Hidrômetros</t>
        </is>
      </c>
      <c r="J411" s="6" t="n"/>
    </row>
    <row r="412" ht="20.45" customFormat="1" customHeight="1" s="8">
      <c r="A412" s="14">
        <f>IF($G412="UNIDADE CONSTRUTIVA",OFFSET(A412,-1,0)+1,LARGE(A$3:A411,1))</f>
        <v/>
      </c>
      <c r="B412" s="14">
        <f>IF(G412="UNIDADE CONSTRUTIVA",0,IF(G412="CÉLULA CONSTRUTIVA",OFFSET(B412,-1,0)+1,OFFSET(B412,-1,0)))</f>
        <v/>
      </c>
      <c r="C412" s="14">
        <f>IF(G412="CÉLULA CONSTRUTIVA",0,IF(G412="ETAPA",OFFSET(C412,-1,0)+1,OFFSET(C412,-1,0)))</f>
        <v/>
      </c>
      <c r="D412" s="13">
        <f>IF(G412="ETAPA",0,IF(G412="SUBETAPA",OFFSET(D412,-1,0)+1,OFFSET(D412,-1,0)))</f>
        <v/>
      </c>
      <c r="E412" s="13">
        <f>IF(G412="Subetapa",0,IF(G412="serviço",OFFSET(E412,-1,0)+1,OFFSET(E412,-1,0)))</f>
        <v/>
      </c>
      <c r="F412" s="12" t="n"/>
      <c r="G412" s="19" t="inlineStr">
        <is>
          <t>Subetapa</t>
        </is>
      </c>
      <c r="H412" s="16">
        <f>IF(G412="Unidade Construtiva",TEXT(A412,"00"),IF(G412="Célula Construtiva",TEXT(B412,"00"),IF(G412="Etapa",CONCATENATE(TEXT(B412,"00"),".",TEXT(C412,"000")),IF(G412="Subetapa",CONCATENATE(TEXT(B412,"00"),".",TEXT(C412,"000"),".",TEXT(D412,"000")),IF(G412="Serviço",CONCATENATE(TEXT(B412,"00"),".",TEXT(C412,"000"),".",TEXT(D412,"000"),".",TEXT(E412,"000")),"")))))</f>
        <v/>
      </c>
      <c r="I412" s="18" t="inlineStr">
        <is>
          <t>Reservatórios</t>
        </is>
      </c>
      <c r="J412" s="6" t="n"/>
    </row>
    <row r="413" ht="20.45" customFormat="1" customHeight="1" s="8">
      <c r="A413" s="14">
        <f>IF($G413="UNIDADE CONSTRUTIVA",OFFSET(A413,-1,0)+1,LARGE(A$3:A412,1))</f>
        <v/>
      </c>
      <c r="B413" s="14">
        <f>IF(G413="UNIDADE CONSTRUTIVA",0,IF(G413="CÉLULA CONSTRUTIVA",OFFSET(B413,-1,0)+1,OFFSET(B413,-1,0)))</f>
        <v/>
      </c>
      <c r="C413" s="14">
        <f>IF(G413="CÉLULA CONSTRUTIVA",0,IF(G413="ETAPA",OFFSET(C413,-1,0)+1,OFFSET(C413,-1,0)))</f>
        <v/>
      </c>
      <c r="D413" s="13">
        <f>IF(G413="ETAPA",0,IF(G413="SUBETAPA",OFFSET(D413,-1,0)+1,OFFSET(D413,-1,0)))</f>
        <v/>
      </c>
      <c r="E413" s="13">
        <f>IF(G413="Subetapa",0,IF(G413="serviço",OFFSET(E413,-1,0)+1,OFFSET(E413,-1,0)))</f>
        <v/>
      </c>
      <c r="F413" s="12" t="n"/>
      <c r="G413" s="19" t="inlineStr">
        <is>
          <t>Subetapa</t>
        </is>
      </c>
      <c r="H413" s="16">
        <f>IF(G413="Unidade Construtiva",TEXT(A413,"00"),IF(G413="Célula Construtiva",TEXT(B413,"00"),IF(G413="Etapa",CONCATENATE(TEXT(B413,"00"),".",TEXT(C413,"000")),IF(G413="Subetapa",CONCATENATE(TEXT(B413,"00"),".",TEXT(C413,"000"),".",TEXT(D413,"000")),IF(G413="Serviço",CONCATENATE(TEXT(B413,"00"),".",TEXT(C413,"000"),".",TEXT(D413,"000"),".",TEXT(E413,"000")),"")))))</f>
        <v/>
      </c>
      <c r="I413" s="18" t="inlineStr">
        <is>
          <t>Sistema de bombas</t>
        </is>
      </c>
      <c r="J413" s="6" t="n"/>
    </row>
    <row r="414" ht="20.45" customFormat="1" customHeight="1" s="8">
      <c r="A414" s="14">
        <f>IF($G414="UNIDADE CONSTRUTIVA",OFFSET(A414,-1,0)+1,LARGE(A$3:A413,1))</f>
        <v/>
      </c>
      <c r="B414" s="14">
        <f>IF(G414="UNIDADE CONSTRUTIVA",0,IF(G414="CÉLULA CONSTRUTIVA",OFFSET(B414,-1,0)+1,OFFSET(B414,-1,0)))</f>
        <v/>
      </c>
      <c r="C414" s="14">
        <f>IF(G414="CÉLULA CONSTRUTIVA",0,IF(G414="ETAPA",OFFSET(C414,-1,0)+1,OFFSET(C414,-1,0)))</f>
        <v/>
      </c>
      <c r="D414" s="13">
        <f>IF(G414="ETAPA",0,IF(G414="SUBETAPA",OFFSET(D414,-1,0)+1,OFFSET(D414,-1,0)))</f>
        <v/>
      </c>
      <c r="E414" s="13">
        <f>IF(G414="Subetapa",0,IF(G414="serviço",OFFSET(E414,-1,0)+1,OFFSET(E414,-1,0)))</f>
        <v/>
      </c>
      <c r="F414" s="12" t="n"/>
      <c r="G414" s="19" t="inlineStr">
        <is>
          <t>Subetapa</t>
        </is>
      </c>
      <c r="H414" s="16">
        <f>IF(G414="Unidade Construtiva",TEXT(A414,"00"),IF(G414="Célula Construtiva",TEXT(B414,"00"),IF(G414="Etapa",CONCATENATE(TEXT(B414,"00"),".",TEXT(C414,"000")),IF(G414="Subetapa",CONCATENATE(TEXT(B414,"00"),".",TEXT(C414,"000"),".",TEXT(D414,"000")),IF(G414="Serviço",CONCATENATE(TEXT(B414,"00"),".",TEXT(C414,"000"),".",TEXT(D414,"000"),".",TEXT(E414,"000")),"")))))</f>
        <v/>
      </c>
      <c r="I414" s="18" t="inlineStr">
        <is>
          <t>Mão de obra</t>
        </is>
      </c>
      <c r="J414" s="6" t="n"/>
    </row>
    <row r="415" ht="20.45" customFormat="1" customHeight="1" s="8">
      <c r="A415" s="14">
        <f>IF($G415="UNIDADE CONSTRUTIVA",OFFSET(A415,-1,0)+1,LARGE(A$3:A414,1))</f>
        <v/>
      </c>
      <c r="B415" s="14">
        <f>IF(G415="UNIDADE CONSTRUTIVA",0,IF(G415="CÉLULA CONSTRUTIVA",OFFSET(B415,-1,0)+1,OFFSET(B415,-1,0)))</f>
        <v/>
      </c>
      <c r="C415" s="14">
        <f>IF(G415="CÉLULA CONSTRUTIVA",0,IF(G415="ETAPA",OFFSET(C415,-1,0)+1,OFFSET(C415,-1,0)))</f>
        <v/>
      </c>
      <c r="D415" s="13">
        <f>IF(G415="ETAPA",0,IF(G415="SUBETAPA",OFFSET(D415,-1,0)+1,OFFSET(D415,-1,0)))</f>
        <v/>
      </c>
      <c r="E415" s="13">
        <f>IF(G415="Subetapa",0,IF(G415="serviço",OFFSET(E415,-1,0)+1,OFFSET(E415,-1,0)))</f>
        <v/>
      </c>
      <c r="F415" s="12" t="n"/>
      <c r="G415" s="17" t="inlineStr">
        <is>
          <t>CÉLULA CONSTRUTIVA</t>
        </is>
      </c>
      <c r="H415" s="16">
        <f>IF(G415="Unidade Construtiva",TEXT(A415,"00"),IF(G415="Célula Construtiva",TEXT(B415,"00"),IF(G415="Etapa",CONCATENATE(TEXT(B415,"00"),".",TEXT(C415,"000")),IF(G415="Subetapa",CONCATENATE(TEXT(B415,"00"),".",TEXT(C415,"000"),".",TEXT(D415,"000")),IF(G415="Serviço",CONCATENATE(TEXT(B415,"00"),".",TEXT(C415,"000"),".",TEXT(D415,"000"),".",TEXT(E415,"000")),"")))))</f>
        <v/>
      </c>
      <c r="I415" s="15" t="inlineStr">
        <is>
          <t>SISTEMAS E INSTALAÇÕES ELÉTRICAS</t>
        </is>
      </c>
      <c r="J415" s="6" t="n"/>
    </row>
    <row r="416" ht="20.45" customFormat="1" customHeight="1" s="8">
      <c r="A416" s="14">
        <f>IF($G416="UNIDADE CONSTRUTIVA",OFFSET(A416,-1,0)+1,LARGE(A$3:A415,1))</f>
        <v/>
      </c>
      <c r="B416" s="14">
        <f>IF(G416="UNIDADE CONSTRUTIVA",0,IF(G416="CÉLULA CONSTRUTIVA",OFFSET(B416,-1,0)+1,OFFSET(B416,-1,0)))</f>
        <v/>
      </c>
      <c r="C416" s="14">
        <f>IF(G416="CÉLULA CONSTRUTIVA",0,IF(G416="ETAPA",OFFSET(C416,-1,0)+1,OFFSET(C416,-1,0)))</f>
        <v/>
      </c>
      <c r="D416" s="13">
        <f>IF(G416="ETAPA",0,IF(G416="SUBETAPA",OFFSET(D416,-1,0)+1,OFFSET(D416,-1,0)))</f>
        <v/>
      </c>
      <c r="E416" s="13">
        <f>IF(G416="Subetapa",0,IF(G416="serviço",OFFSET(E416,-1,0)+1,OFFSET(E416,-1,0)))</f>
        <v/>
      </c>
      <c r="F416" s="12" t="n"/>
      <c r="G416" s="17" t="inlineStr">
        <is>
          <t>ETAPA</t>
        </is>
      </c>
      <c r="H416" s="16">
        <f>IF(G416="Unidade Construtiva",TEXT(A416,"00"),IF(G416="Célula Construtiva",TEXT(B416,"00"),IF(G416="Etapa",CONCATENATE(TEXT(B416,"00"),".",TEXT(C416,"000")),IF(G416="Subetapa",CONCATENATE(TEXT(B416,"00"),".",TEXT(C416,"000"),".",TEXT(D416,"000")),IF(G416="Serviço",CONCATENATE(TEXT(B416,"00"),".",TEXT(C416,"000"),".",TEXT(D416,"000"),".",TEXT(E416,"000")),"")))))</f>
        <v/>
      </c>
      <c r="I416" s="15" t="inlineStr">
        <is>
          <t>SISTEMAS E INSTALAÇÕES ELÉTRICAS</t>
        </is>
      </c>
      <c r="J416" s="6" t="n"/>
    </row>
    <row r="417" ht="20.45" customFormat="1" customHeight="1" s="8">
      <c r="A417" s="14">
        <f>IF($G417="UNIDADE CONSTRUTIVA",OFFSET(A417,-1,0)+1,LARGE(A$3:A416,1))</f>
        <v/>
      </c>
      <c r="B417" s="14">
        <f>IF(G417="UNIDADE CONSTRUTIVA",0,IF(G417="CÉLULA CONSTRUTIVA",OFFSET(B417,-1,0)+1,OFFSET(B417,-1,0)))</f>
        <v/>
      </c>
      <c r="C417" s="14">
        <f>IF(G417="CÉLULA CONSTRUTIVA",0,IF(G417="ETAPA",OFFSET(C417,-1,0)+1,OFFSET(C417,-1,0)))</f>
        <v/>
      </c>
      <c r="D417" s="13">
        <f>IF(G417="ETAPA",0,IF(G417="SUBETAPA",OFFSET(D417,-1,0)+1,OFFSET(D417,-1,0)))</f>
        <v/>
      </c>
      <c r="E417" s="13">
        <f>IF(G417="Subetapa",0,IF(G417="serviço",OFFSET(E417,-1,0)+1,OFFSET(E417,-1,0)))</f>
        <v/>
      </c>
      <c r="F417" s="12" t="n"/>
      <c r="G417" s="19" t="inlineStr">
        <is>
          <t>Subetapa</t>
        </is>
      </c>
      <c r="H417" s="16">
        <f>IF(G417="Unidade Construtiva",TEXT(A417,"00"),IF(G417="Célula Construtiva",TEXT(B417,"00"),IF(G417="Etapa",CONCATENATE(TEXT(B417,"00"),".",TEXT(C417,"000")),IF(G417="Subetapa",CONCATENATE(TEXT(B417,"00"),".",TEXT(C417,"000"),".",TEXT(D417,"000")),IF(G417="Serviço",CONCATENATE(TEXT(B417,"00"),".",TEXT(C417,"000"),".",TEXT(D417,"000"),".",TEXT(E417,"000")),"")))))</f>
        <v/>
      </c>
      <c r="I417" s="18" t="inlineStr">
        <is>
          <t>Entrada de Energia</t>
        </is>
      </c>
      <c r="J417" s="6" t="n"/>
    </row>
    <row r="418" ht="20.45" customFormat="1" customHeight="1" s="8">
      <c r="A418" s="14">
        <f>IF($G418="UNIDADE CONSTRUTIVA",OFFSET(A418,-1,0)+1,LARGE(A$3:A417,1))</f>
        <v/>
      </c>
      <c r="B418" s="14">
        <f>IF(G418="UNIDADE CONSTRUTIVA",0,IF(G418="CÉLULA CONSTRUTIVA",OFFSET(B418,-1,0)+1,OFFSET(B418,-1,0)))</f>
        <v/>
      </c>
      <c r="C418" s="14">
        <f>IF(G418="CÉLULA CONSTRUTIVA",0,IF(G418="ETAPA",OFFSET(C418,-1,0)+1,OFFSET(C418,-1,0)))</f>
        <v/>
      </c>
      <c r="D418" s="13">
        <f>IF(G418="ETAPA",0,IF(G418="SUBETAPA",OFFSET(D418,-1,0)+1,OFFSET(D418,-1,0)))</f>
        <v/>
      </c>
      <c r="E418" s="13">
        <f>IF(G418="Subetapa",0,IF(G418="serviço",OFFSET(E418,-1,0)+1,OFFSET(E418,-1,0)))</f>
        <v/>
      </c>
      <c r="F418" s="12" t="n"/>
      <c r="G418" s="19" t="inlineStr">
        <is>
          <t>Subetapa</t>
        </is>
      </c>
      <c r="H418" s="16">
        <f>IF(G418="Unidade Construtiva",TEXT(A418,"00"),IF(G418="Célula Construtiva",TEXT(B418,"00"),IF(G418="Etapa",CONCATENATE(TEXT(B418,"00"),".",TEXT(C418,"000")),IF(G418="Subetapa",CONCATENATE(TEXT(B418,"00"),".",TEXT(C418,"000"),".",TEXT(D418,"000")),IF(G418="Serviço",CONCATENATE(TEXT(B418,"00"),".",TEXT(C418,"000"),".",TEXT(D418,"000"),".",TEXT(E418,"000")),"")))))</f>
        <v/>
      </c>
      <c r="I418" s="18" t="inlineStr">
        <is>
          <t>Subestação de Energia</t>
        </is>
      </c>
      <c r="J418" s="6" t="n"/>
    </row>
    <row r="419" ht="20.45" customFormat="1" customHeight="1" s="8">
      <c r="A419" s="14">
        <f>IF($G419="UNIDADE CONSTRUTIVA",OFFSET(A419,-1,0)+1,LARGE(A$3:A418,1))</f>
        <v/>
      </c>
      <c r="B419" s="14">
        <f>IF(G419="UNIDADE CONSTRUTIVA",0,IF(G419="CÉLULA CONSTRUTIVA",OFFSET(B419,-1,0)+1,OFFSET(B419,-1,0)))</f>
        <v/>
      </c>
      <c r="C419" s="14">
        <f>IF(G419="CÉLULA CONSTRUTIVA",0,IF(G419="ETAPA",OFFSET(C419,-1,0)+1,OFFSET(C419,-1,0)))</f>
        <v/>
      </c>
      <c r="D419" s="13">
        <f>IF(G419="ETAPA",0,IF(G419="SUBETAPA",OFFSET(D419,-1,0)+1,OFFSET(D419,-1,0)))</f>
        <v/>
      </c>
      <c r="E419" s="13">
        <f>IF(G419="Subetapa",0,IF(G419="serviço",OFFSET(E419,-1,0)+1,OFFSET(E419,-1,0)))</f>
        <v/>
      </c>
      <c r="F419" s="12" t="n"/>
      <c r="G419" s="19" t="inlineStr">
        <is>
          <t>Subetapa</t>
        </is>
      </c>
      <c r="H419" s="16">
        <f>IF(G419="Unidade Construtiva",TEXT(A419,"00"),IF(G419="Célula Construtiva",TEXT(B419,"00"),IF(G419="Etapa",CONCATENATE(TEXT(B419,"00"),".",TEXT(C419,"000")),IF(G419="Subetapa",CONCATENATE(TEXT(B419,"00"),".",TEXT(C419,"000"),".",TEXT(D419,"000")),IF(G419="Serviço",CONCATENATE(TEXT(B419,"00"),".",TEXT(C419,"000"),".",TEXT(D419,"000"),".",TEXT(E419,"000")),"")))))</f>
        <v/>
      </c>
      <c r="I419" s="18" t="inlineStr">
        <is>
          <t>Grupo gerador</t>
        </is>
      </c>
      <c r="J419" s="6" t="n"/>
    </row>
    <row r="420" ht="20.45" customFormat="1" customHeight="1" s="8">
      <c r="A420" s="14">
        <f>IF($G420="UNIDADE CONSTRUTIVA",OFFSET(A420,-1,0)+1,LARGE(A$3:A419,1))</f>
        <v/>
      </c>
      <c r="B420" s="14">
        <f>IF(G420="UNIDADE CONSTRUTIVA",0,IF(G420="CÉLULA CONSTRUTIVA",OFFSET(B420,-1,0)+1,OFFSET(B420,-1,0)))</f>
        <v/>
      </c>
      <c r="C420" s="14">
        <f>IF(G420="CÉLULA CONSTRUTIVA",0,IF(G420="ETAPA",OFFSET(C420,-1,0)+1,OFFSET(C420,-1,0)))</f>
        <v/>
      </c>
      <c r="D420" s="13">
        <f>IF(G420="ETAPA",0,IF(G420="SUBETAPA",OFFSET(D420,-1,0)+1,OFFSET(D420,-1,0)))</f>
        <v/>
      </c>
      <c r="E420" s="13">
        <f>IF(G420="Subetapa",0,IF(G420="serviço",OFFSET(E420,-1,0)+1,OFFSET(E420,-1,0)))</f>
        <v/>
      </c>
      <c r="F420" s="12" t="n"/>
      <c r="G420" s="19" t="inlineStr">
        <is>
          <t>Subetapa</t>
        </is>
      </c>
      <c r="H420" s="16">
        <f>IF(G420="Unidade Construtiva",TEXT(A420,"00"),IF(G420="Célula Construtiva",TEXT(B420,"00"),IF(G420="Etapa",CONCATENATE(TEXT(B420,"00"),".",TEXT(C420,"000")),IF(G420="Subetapa",CONCATENATE(TEXT(B420,"00"),".",TEXT(C420,"000"),".",TEXT(D420,"000")),IF(G420="Serviço",CONCATENATE(TEXT(B420,"00"),".",TEXT(C420,"000"),".",TEXT(D420,"000"),".",TEXT(E420,"000")),"")))))</f>
        <v/>
      </c>
      <c r="I420" s="18" t="inlineStr">
        <is>
          <t>Quadros elétricos e disjuntores</t>
        </is>
      </c>
      <c r="J420" s="6" t="n"/>
    </row>
    <row r="421" ht="20.45" customFormat="1" customHeight="1" s="8">
      <c r="A421" s="14">
        <f>IF($G421="UNIDADE CONSTRUTIVA",OFFSET(A421,-1,0)+1,LARGE(A$3:A420,1))</f>
        <v/>
      </c>
      <c r="B421" s="14">
        <f>IF(G421="UNIDADE CONSTRUTIVA",0,IF(G421="CÉLULA CONSTRUTIVA",OFFSET(B421,-1,0)+1,OFFSET(B421,-1,0)))</f>
        <v/>
      </c>
      <c r="C421" s="14">
        <f>IF(G421="CÉLULA CONSTRUTIVA",0,IF(G421="ETAPA",OFFSET(C421,-1,0)+1,OFFSET(C421,-1,0)))</f>
        <v/>
      </c>
      <c r="D421" s="13">
        <f>IF(G421="ETAPA",0,IF(G421="SUBETAPA",OFFSET(D421,-1,0)+1,OFFSET(D421,-1,0)))</f>
        <v/>
      </c>
      <c r="E421" s="13">
        <f>IF(G421="Subetapa",0,IF(G421="serviço",OFFSET(E421,-1,0)+1,OFFSET(E421,-1,0)))</f>
        <v/>
      </c>
      <c r="F421" s="12" t="n"/>
      <c r="G421" s="19" t="inlineStr">
        <is>
          <t>Subetapa</t>
        </is>
      </c>
      <c r="H421" s="16">
        <f>IF(G421="Unidade Construtiva",TEXT(A421,"00"),IF(G421="Célula Construtiva",TEXT(B421,"00"),IF(G421="Etapa",CONCATENATE(TEXT(B421,"00"),".",TEXT(C421,"000")),IF(G421="Subetapa",CONCATENATE(TEXT(B421,"00"),".",TEXT(C421,"000"),".",TEXT(D421,"000")),IF(G421="Serviço",CONCATENATE(TEXT(B421,"00"),".",TEXT(C421,"000"),".",TEXT(D421,"000"),".",TEXT(E421,"000")),"")))))</f>
        <v/>
      </c>
      <c r="I421" s="18" t="inlineStr">
        <is>
          <t>Eletrodutos e eletrocalhas</t>
        </is>
      </c>
      <c r="J421" s="6" t="n"/>
    </row>
    <row r="422" ht="20.45" customFormat="1" customHeight="1" s="8">
      <c r="A422" s="14">
        <f>IF($G422="UNIDADE CONSTRUTIVA",OFFSET(A422,-1,0)+1,LARGE(A$3:A421,1))</f>
        <v/>
      </c>
      <c r="B422" s="14">
        <f>IF(G422="UNIDADE CONSTRUTIVA",0,IF(G422="CÉLULA CONSTRUTIVA",OFFSET(B422,-1,0)+1,OFFSET(B422,-1,0)))</f>
        <v/>
      </c>
      <c r="C422" s="14">
        <f>IF(G422="CÉLULA CONSTRUTIVA",0,IF(G422="ETAPA",OFFSET(C422,-1,0)+1,OFFSET(C422,-1,0)))</f>
        <v/>
      </c>
      <c r="D422" s="13">
        <f>IF(G422="ETAPA",0,IF(G422="SUBETAPA",OFFSET(D422,-1,0)+1,OFFSET(D422,-1,0)))</f>
        <v/>
      </c>
      <c r="E422" s="13">
        <f>IF(G422="Subetapa",0,IF(G422="serviço",OFFSET(E422,-1,0)+1,OFFSET(E422,-1,0)))</f>
        <v/>
      </c>
      <c r="F422" s="12" t="n"/>
      <c r="G422" s="19" t="inlineStr">
        <is>
          <t>Subetapa</t>
        </is>
      </c>
      <c r="H422" s="16">
        <f>IF(G422="Unidade Construtiva",TEXT(A422,"00"),IF(G422="Célula Construtiva",TEXT(B422,"00"),IF(G422="Etapa",CONCATENATE(TEXT(B422,"00"),".",TEXT(C422,"000")),IF(G422="Subetapa",CONCATENATE(TEXT(B422,"00"),".",TEXT(C422,"000"),".",TEXT(D422,"000")),IF(G422="Serviço",CONCATENATE(TEXT(B422,"00"),".",TEXT(C422,"000"),".",TEXT(D422,"000"),".",TEXT(E422,"000")),"")))))</f>
        <v/>
      </c>
      <c r="I422" s="18" t="inlineStr">
        <is>
          <t>Fios e cabos elétricos</t>
        </is>
      </c>
      <c r="J422" s="6" t="n"/>
    </row>
    <row r="423" ht="20.45" customFormat="1" customHeight="1" s="8">
      <c r="A423" s="14">
        <f>IF($G423="UNIDADE CONSTRUTIVA",OFFSET(A423,-1,0)+1,LARGE(A$3:A422,1))</f>
        <v/>
      </c>
      <c r="B423" s="14">
        <f>IF(G423="UNIDADE CONSTRUTIVA",0,IF(G423="CÉLULA CONSTRUTIVA",OFFSET(B423,-1,0)+1,OFFSET(B423,-1,0)))</f>
        <v/>
      </c>
      <c r="C423" s="14">
        <f>IF(G423="CÉLULA CONSTRUTIVA",0,IF(G423="ETAPA",OFFSET(C423,-1,0)+1,OFFSET(C423,-1,0)))</f>
        <v/>
      </c>
      <c r="D423" s="13">
        <f>IF(G423="ETAPA",0,IF(G423="SUBETAPA",OFFSET(D423,-1,0)+1,OFFSET(D423,-1,0)))</f>
        <v/>
      </c>
      <c r="E423" s="13">
        <f>IF(G423="Subetapa",0,IF(G423="serviço",OFFSET(E423,-1,0)+1,OFFSET(E423,-1,0)))</f>
        <v/>
      </c>
      <c r="F423" s="12" t="n"/>
      <c r="G423" s="19" t="inlineStr">
        <is>
          <t>Subetapa</t>
        </is>
      </c>
      <c r="H423" s="16">
        <f>IF(G423="Unidade Construtiva",TEXT(A423,"00"),IF(G423="Célula Construtiva",TEXT(B423,"00"),IF(G423="Etapa",CONCATENATE(TEXT(B423,"00"),".",TEXT(C423,"000")),IF(G423="Subetapa",CONCATENATE(TEXT(B423,"00"),".",TEXT(C423,"000"),".",TEXT(D423,"000")),IF(G423="Serviço",CONCATENATE(TEXT(B423,"00"),".",TEXT(C423,"000"),".",TEXT(D423,"000"),".",TEXT(E423,"000")),"")))))</f>
        <v/>
      </c>
      <c r="I423" s="18" t="inlineStr">
        <is>
          <t>Pontos de tomadas e interruptores</t>
        </is>
      </c>
      <c r="J423" s="6" t="n"/>
    </row>
    <row r="424" ht="20.45" customFormat="1" customHeight="1" s="8">
      <c r="A424" s="14">
        <f>IF($G424="UNIDADE CONSTRUTIVA",OFFSET(A424,-1,0)+1,LARGE(A$3:A423,1))</f>
        <v/>
      </c>
      <c r="B424" s="14">
        <f>IF(G424="UNIDADE CONSTRUTIVA",0,IF(G424="CÉLULA CONSTRUTIVA",OFFSET(B424,-1,0)+1,OFFSET(B424,-1,0)))</f>
        <v/>
      </c>
      <c r="C424" s="14">
        <f>IF(G424="CÉLULA CONSTRUTIVA",0,IF(G424="ETAPA",OFFSET(C424,-1,0)+1,OFFSET(C424,-1,0)))</f>
        <v/>
      </c>
      <c r="D424" s="13">
        <f>IF(G424="ETAPA",0,IF(G424="SUBETAPA",OFFSET(D424,-1,0)+1,OFFSET(D424,-1,0)))</f>
        <v/>
      </c>
      <c r="E424" s="13">
        <f>IF(G424="Subetapa",0,IF(G424="serviço",OFFSET(E424,-1,0)+1,OFFSET(E424,-1,0)))</f>
        <v/>
      </c>
      <c r="F424" s="12" t="n"/>
      <c r="G424" s="19" t="inlineStr">
        <is>
          <t>Subetapa</t>
        </is>
      </c>
      <c r="H424" s="16">
        <f>IF(G424="Unidade Construtiva",TEXT(A424,"00"),IF(G424="Célula Construtiva",TEXT(B424,"00"),IF(G424="Etapa",CONCATENATE(TEXT(B424,"00"),".",TEXT(C424,"000")),IF(G424="Subetapa",CONCATENATE(TEXT(B424,"00"),".",TEXT(C424,"000"),".",TEXT(D424,"000")),IF(G424="Serviço",CONCATENATE(TEXT(B424,"00"),".",TEXT(C424,"000"),".",TEXT(D424,"000"),".",TEXT(E424,"000")),"")))))</f>
        <v/>
      </c>
      <c r="I424" s="18" t="inlineStr">
        <is>
          <t>Luminárias, lâmpadas e acessórios</t>
        </is>
      </c>
      <c r="J424" s="6" t="n"/>
    </row>
    <row r="425" ht="20.45" customFormat="1" customHeight="1" s="8">
      <c r="A425" s="14">
        <f>IF($G425="UNIDADE CONSTRUTIVA",OFFSET(A425,-1,0)+1,LARGE(A$3:A424,1))</f>
        <v/>
      </c>
      <c r="B425" s="14">
        <f>IF(G425="UNIDADE CONSTRUTIVA",0,IF(G425="CÉLULA CONSTRUTIVA",OFFSET(B425,-1,0)+1,OFFSET(B425,-1,0)))</f>
        <v/>
      </c>
      <c r="C425" s="14">
        <f>IF(G425="CÉLULA CONSTRUTIVA",0,IF(G425="ETAPA",OFFSET(C425,-1,0)+1,OFFSET(C425,-1,0)))</f>
        <v/>
      </c>
      <c r="D425" s="13">
        <f>IF(G425="ETAPA",0,IF(G425="SUBETAPA",OFFSET(D425,-1,0)+1,OFFSET(D425,-1,0)))</f>
        <v/>
      </c>
      <c r="E425" s="13">
        <f>IF(G425="Subetapa",0,IF(G425="serviço",OFFSET(E425,-1,0)+1,OFFSET(E425,-1,0)))</f>
        <v/>
      </c>
      <c r="F425" s="12" t="n"/>
      <c r="G425" s="19" t="inlineStr">
        <is>
          <t>Subetapa</t>
        </is>
      </c>
      <c r="H425" s="16">
        <f>IF(G425="Unidade Construtiva",TEXT(A425,"00"),IF(G425="Célula Construtiva",TEXT(B425,"00"),IF(G425="Etapa",CONCATENATE(TEXT(B425,"00"),".",TEXT(C425,"000")),IF(G425="Subetapa",CONCATENATE(TEXT(B425,"00"),".",TEXT(C425,"000"),".",TEXT(D425,"000")),IF(G425="Serviço",CONCATENATE(TEXT(B425,"00"),".",TEXT(C425,"000"),".",TEXT(D425,"000"),".",TEXT(E425,"000")),"")))))</f>
        <v/>
      </c>
      <c r="I425" s="18" t="inlineStr">
        <is>
          <t>Mão de obra</t>
        </is>
      </c>
      <c r="J425" s="6" t="n"/>
    </row>
    <row r="426" ht="20.45" customFormat="1" customHeight="1" s="8">
      <c r="A426" s="14">
        <f>IF($G426="UNIDADE CONSTRUTIVA",OFFSET(A426,-1,0)+1,LARGE(A$3:A425,1))</f>
        <v/>
      </c>
      <c r="B426" s="14">
        <f>IF(G426="UNIDADE CONSTRUTIVA",0,IF(G426="CÉLULA CONSTRUTIVA",OFFSET(B426,-1,0)+1,OFFSET(B426,-1,0)))</f>
        <v/>
      </c>
      <c r="C426" s="14">
        <f>IF(G426="CÉLULA CONSTRUTIVA",0,IF(G426="ETAPA",OFFSET(C426,-1,0)+1,OFFSET(C426,-1,0)))</f>
        <v/>
      </c>
      <c r="D426" s="13">
        <f>IF(G426="ETAPA",0,IF(G426="SUBETAPA",OFFSET(D426,-1,0)+1,OFFSET(D426,-1,0)))</f>
        <v/>
      </c>
      <c r="E426" s="13">
        <f>IF(G426="Subetapa",0,IF(G426="serviço",OFFSET(E426,-1,0)+1,OFFSET(E426,-1,0)))</f>
        <v/>
      </c>
      <c r="F426" s="12" t="n"/>
      <c r="G426" s="17" t="inlineStr">
        <is>
          <t>CÉLULA CONSTRUTIVA</t>
        </is>
      </c>
      <c r="H426" s="16">
        <f>IF(G426="Unidade Construtiva",TEXT(A426,"00"),IF(G426="Célula Construtiva",TEXT(B426,"00"),IF(G426="Etapa",CONCATENATE(TEXT(B426,"00"),".",TEXT(C426,"000")),IF(G426="Subetapa",CONCATENATE(TEXT(B426,"00"),".",TEXT(C426,"000"),".",TEXT(D426,"000")),IF(G426="Serviço",CONCATENATE(TEXT(B426,"00"),".",TEXT(C426,"000"),".",TEXT(D426,"000"),".",TEXT(E426,"000")),"")))))</f>
        <v/>
      </c>
      <c r="I426" s="15" t="inlineStr">
        <is>
          <t>INSTALAÇÕES PREVENTIVAS</t>
        </is>
      </c>
      <c r="J426" s="6" t="n"/>
    </row>
    <row r="427" ht="20.45" customFormat="1" customHeight="1" s="8">
      <c r="A427" s="14">
        <f>IF($G427="UNIDADE CONSTRUTIVA",OFFSET(A427,-1,0)+1,LARGE(A$3:A426,1))</f>
        <v/>
      </c>
      <c r="B427" s="14">
        <f>IF(G427="UNIDADE CONSTRUTIVA",0,IF(G427="CÉLULA CONSTRUTIVA",OFFSET(B427,-1,0)+1,OFFSET(B427,-1,0)))</f>
        <v/>
      </c>
      <c r="C427" s="14">
        <f>IF(G427="CÉLULA CONSTRUTIVA",0,IF(G427="ETAPA",OFFSET(C427,-1,0)+1,OFFSET(C427,-1,0)))</f>
        <v/>
      </c>
      <c r="D427" s="13">
        <f>IF(G427="ETAPA",0,IF(G427="SUBETAPA",OFFSET(D427,-1,0)+1,OFFSET(D427,-1,0)))</f>
        <v/>
      </c>
      <c r="E427" s="13">
        <f>IF(G427="Subetapa",0,IF(G427="serviço",OFFSET(E427,-1,0)+1,OFFSET(E427,-1,0)))</f>
        <v/>
      </c>
      <c r="F427" s="12" t="n"/>
      <c r="G427" s="17" t="inlineStr">
        <is>
          <t>ETAPA</t>
        </is>
      </c>
      <c r="H427" s="16">
        <f>IF(G427="Unidade Construtiva",TEXT(A427,"00"),IF(G427="Célula Construtiva",TEXT(B427,"00"),IF(G427="Etapa",CONCATENATE(TEXT(B427,"00"),".",TEXT(C427,"000")),IF(G427="Subetapa",CONCATENATE(TEXT(B427,"00"),".",TEXT(C427,"000"),".",TEXT(D427,"000")),IF(G427="Serviço",CONCATENATE(TEXT(B427,"00"),".",TEXT(C427,"000"),".",TEXT(D427,"000"),".",TEXT(E427,"000")),"")))))</f>
        <v/>
      </c>
      <c r="I427" s="15" t="inlineStr">
        <is>
          <t>INSTALAÇÕES PREVENTIVAS</t>
        </is>
      </c>
      <c r="J427" s="6" t="n"/>
    </row>
    <row r="428" ht="20.45" customFormat="1" customHeight="1" s="8">
      <c r="A428" s="14">
        <f>IF($G428="UNIDADE CONSTRUTIVA",OFFSET(A428,-1,0)+1,LARGE(A$3:A427,1))</f>
        <v/>
      </c>
      <c r="B428" s="14">
        <f>IF(G428="UNIDADE CONSTRUTIVA",0,IF(G428="CÉLULA CONSTRUTIVA",OFFSET(B428,-1,0)+1,OFFSET(B428,-1,0)))</f>
        <v/>
      </c>
      <c r="C428" s="14">
        <f>IF(G428="CÉLULA CONSTRUTIVA",0,IF(G428="ETAPA",OFFSET(C428,-1,0)+1,OFFSET(C428,-1,0)))</f>
        <v/>
      </c>
      <c r="D428" s="13">
        <f>IF(G428="ETAPA",0,IF(G428="SUBETAPA",OFFSET(D428,-1,0)+1,OFFSET(D428,-1,0)))</f>
        <v/>
      </c>
      <c r="E428" s="13">
        <f>IF(G428="Subetapa",0,IF(G428="serviço",OFFSET(E428,-1,0)+1,OFFSET(E428,-1,0)))</f>
        <v/>
      </c>
      <c r="F428" s="12" t="n"/>
      <c r="G428" s="19" t="inlineStr">
        <is>
          <t>Subetapa</t>
        </is>
      </c>
      <c r="H428" s="16">
        <f>IF(G428="Unidade Construtiva",TEXT(A428,"00"),IF(G428="Célula Construtiva",TEXT(B428,"00"),IF(G428="Etapa",CONCATENATE(TEXT(B428,"00"),".",TEXT(C428,"000")),IF(G428="Subetapa",CONCATENATE(TEXT(B428,"00"),".",TEXT(C428,"000"),".",TEXT(D428,"000")),IF(G428="Serviço",CONCATENATE(TEXT(B428,"00"),".",TEXT(C428,"000"),".",TEXT(D428,"000"),".",TEXT(E428,"000")),"")))))</f>
        <v/>
      </c>
      <c r="I428" s="18" t="inlineStr">
        <is>
          <t>Hidrantes</t>
        </is>
      </c>
      <c r="J428" s="6" t="n"/>
    </row>
    <row r="429" ht="20.45" customFormat="1" customHeight="1" s="8">
      <c r="A429" s="14">
        <f>IF($G429="UNIDADE CONSTRUTIVA",OFFSET(A429,-1,0)+1,LARGE(A$3:A428,1))</f>
        <v/>
      </c>
      <c r="B429" s="14">
        <f>IF(G429="UNIDADE CONSTRUTIVA",0,IF(G429="CÉLULA CONSTRUTIVA",OFFSET(B429,-1,0)+1,OFFSET(B429,-1,0)))</f>
        <v/>
      </c>
      <c r="C429" s="14">
        <f>IF(G429="CÉLULA CONSTRUTIVA",0,IF(G429="ETAPA",OFFSET(C429,-1,0)+1,OFFSET(C429,-1,0)))</f>
        <v/>
      </c>
      <c r="D429" s="13">
        <f>IF(G429="ETAPA",0,IF(G429="SUBETAPA",OFFSET(D429,-1,0)+1,OFFSET(D429,-1,0)))</f>
        <v/>
      </c>
      <c r="E429" s="13">
        <f>IF(G429="Subetapa",0,IF(G429="serviço",OFFSET(E429,-1,0)+1,OFFSET(E429,-1,0)))</f>
        <v/>
      </c>
      <c r="F429" s="12" t="n"/>
      <c r="G429" s="19" t="inlineStr">
        <is>
          <t>Subetapa</t>
        </is>
      </c>
      <c r="H429" s="16">
        <f>IF(G429="Unidade Construtiva",TEXT(A429,"00"),IF(G429="Célula Construtiva",TEXT(B429,"00"),IF(G429="Etapa",CONCATENATE(TEXT(B429,"00"),".",TEXT(C429,"000")),IF(G429="Subetapa",CONCATENATE(TEXT(B429,"00"),".",TEXT(C429,"000"),".",TEXT(D429,"000")),IF(G429="Serviço",CONCATENATE(TEXT(B429,"00"),".",TEXT(C429,"000"),".",TEXT(D429,"000"),".",TEXT(E429,"000")),"")))))</f>
        <v/>
      </c>
      <c r="I429" s="18" t="inlineStr">
        <is>
          <t>Sinalização de emergência e extintores</t>
        </is>
      </c>
      <c r="J429" s="6" t="n"/>
    </row>
    <row r="430" ht="20.45" customFormat="1" customHeight="1" s="8">
      <c r="A430" s="14">
        <f>IF($G430="UNIDADE CONSTRUTIVA",OFFSET(A430,-1,0)+1,LARGE(A$3:A429,1))</f>
        <v/>
      </c>
      <c r="B430" s="14">
        <f>IF(G430="UNIDADE CONSTRUTIVA",0,IF(G430="CÉLULA CONSTRUTIVA",OFFSET(B430,-1,0)+1,OFFSET(B430,-1,0)))</f>
        <v/>
      </c>
      <c r="C430" s="14">
        <f>IF(G430="CÉLULA CONSTRUTIVA",0,IF(G430="ETAPA",OFFSET(C430,-1,0)+1,OFFSET(C430,-1,0)))</f>
        <v/>
      </c>
      <c r="D430" s="13">
        <f>IF(G430="ETAPA",0,IF(G430="SUBETAPA",OFFSET(D430,-1,0)+1,OFFSET(D430,-1,0)))</f>
        <v/>
      </c>
      <c r="E430" s="13">
        <f>IF(G430="Subetapa",0,IF(G430="serviço",OFFSET(E430,-1,0)+1,OFFSET(E430,-1,0)))</f>
        <v/>
      </c>
      <c r="F430" s="12" t="n"/>
      <c r="G430" s="19" t="inlineStr">
        <is>
          <t>Subetapa</t>
        </is>
      </c>
      <c r="H430" s="16">
        <f>IF(G430="Unidade Construtiva",TEXT(A430,"00"),IF(G430="Célula Construtiva",TEXT(B430,"00"),IF(G430="Etapa",CONCATENATE(TEXT(B430,"00"),".",TEXT(C430,"000")),IF(G430="Subetapa",CONCATENATE(TEXT(B430,"00"),".",TEXT(C430,"000"),".",TEXT(D430,"000")),IF(G430="Serviço",CONCATENATE(TEXT(B430,"00"),".",TEXT(C430,"000"),".",TEXT(D430,"000"),".",TEXT(E430,"000")),"")))))</f>
        <v/>
      </c>
      <c r="I430" s="18" t="inlineStr">
        <is>
          <t>Instalações de proteção e aterramento -SPDA</t>
        </is>
      </c>
      <c r="J430" s="6" t="n"/>
    </row>
    <row r="431" ht="20.45" customFormat="1" customHeight="1" s="8">
      <c r="A431" s="14">
        <f>IF($G431="UNIDADE CONSTRUTIVA",OFFSET(A431,-1,0)+1,LARGE(A$3:A430,1))</f>
        <v/>
      </c>
      <c r="B431" s="14">
        <f>IF(G431="UNIDADE CONSTRUTIVA",0,IF(G431="CÉLULA CONSTRUTIVA",OFFSET(B431,-1,0)+1,OFFSET(B431,-1,0)))</f>
        <v/>
      </c>
      <c r="C431" s="14">
        <f>IF(G431="CÉLULA CONSTRUTIVA",0,IF(G431="ETAPA",OFFSET(C431,-1,0)+1,OFFSET(C431,-1,0)))</f>
        <v/>
      </c>
      <c r="D431" s="13">
        <f>IF(G431="ETAPA",0,IF(G431="SUBETAPA",OFFSET(D431,-1,0)+1,OFFSET(D431,-1,0)))</f>
        <v/>
      </c>
      <c r="E431" s="13">
        <f>IF(G431="Subetapa",0,IF(G431="serviço",OFFSET(E431,-1,0)+1,OFFSET(E431,-1,0)))</f>
        <v/>
      </c>
      <c r="F431" s="12" t="n"/>
      <c r="G431" s="19" t="inlineStr">
        <is>
          <t>Subetapa</t>
        </is>
      </c>
      <c r="H431" s="16">
        <f>IF(G431="Unidade Construtiva",TEXT(A431,"00"),IF(G431="Célula Construtiva",TEXT(B431,"00"),IF(G431="Etapa",CONCATENATE(TEXT(B431,"00"),".",TEXT(C431,"000")),IF(G431="Subetapa",CONCATENATE(TEXT(B431,"00"),".",TEXT(C431,"000"),".",TEXT(D431,"000")),IF(G431="Serviço",CONCATENATE(TEXT(B431,"00"),".",TEXT(C431,"000"),".",TEXT(D431,"000"),".",TEXT(E431,"000")),"")))))</f>
        <v/>
      </c>
      <c r="I431" s="18" t="inlineStr">
        <is>
          <t>Central de Alarmes</t>
        </is>
      </c>
      <c r="J431" s="6" t="n"/>
    </row>
    <row r="432" ht="20.45" customFormat="1" customHeight="1" s="8">
      <c r="A432" s="14">
        <f>IF($G432="UNIDADE CONSTRUTIVA",OFFSET(A432,-1,0)+1,LARGE(A$3:A431,1))</f>
        <v/>
      </c>
      <c r="B432" s="14">
        <f>IF(G432="UNIDADE CONSTRUTIVA",0,IF(G432="CÉLULA CONSTRUTIVA",OFFSET(B432,-1,0)+1,OFFSET(B432,-1,0)))</f>
        <v/>
      </c>
      <c r="C432" s="14">
        <f>IF(G432="CÉLULA CONSTRUTIVA",0,IF(G432="ETAPA",OFFSET(C432,-1,0)+1,OFFSET(C432,-1,0)))</f>
        <v/>
      </c>
      <c r="D432" s="13">
        <f>IF(G432="ETAPA",0,IF(G432="SUBETAPA",OFFSET(D432,-1,0)+1,OFFSET(D432,-1,0)))</f>
        <v/>
      </c>
      <c r="E432" s="13">
        <f>IF(G432="Subetapa",0,IF(G432="serviço",OFFSET(E432,-1,0)+1,OFFSET(E432,-1,0)))</f>
        <v/>
      </c>
      <c r="F432" s="12" t="n"/>
      <c r="G432" s="19" t="inlineStr">
        <is>
          <t>Subetapa</t>
        </is>
      </c>
      <c r="H432" s="16">
        <f>IF(G432="Unidade Construtiva",TEXT(A432,"00"),IF(G432="Célula Construtiva",TEXT(B432,"00"),IF(G432="Etapa",CONCATENATE(TEXT(B432,"00"),".",TEXT(C432,"000")),IF(G432="Subetapa",CONCATENATE(TEXT(B432,"00"),".",TEXT(C432,"000"),".",TEXT(D432,"000")),IF(G432="Serviço",CONCATENATE(TEXT(B432,"00"),".",TEXT(C432,"000"),".",TEXT(D432,"000"),".",TEXT(E432,"000")),"")))))</f>
        <v/>
      </c>
      <c r="I432" s="18" t="inlineStr">
        <is>
          <t>Sistema de bombas</t>
        </is>
      </c>
      <c r="J432" s="6" t="n"/>
    </row>
    <row r="433" ht="20.45" customFormat="1" customHeight="1" s="8">
      <c r="A433" s="14">
        <f>IF($G433="UNIDADE CONSTRUTIVA",OFFSET(A433,-1,0)+1,LARGE(A$3:A432,1))</f>
        <v/>
      </c>
      <c r="B433" s="14">
        <f>IF(G433="UNIDADE CONSTRUTIVA",0,IF(G433="CÉLULA CONSTRUTIVA",OFFSET(B433,-1,0)+1,OFFSET(B433,-1,0)))</f>
        <v/>
      </c>
      <c r="C433" s="14">
        <f>IF(G433="CÉLULA CONSTRUTIVA",0,IF(G433="ETAPA",OFFSET(C433,-1,0)+1,OFFSET(C433,-1,0)))</f>
        <v/>
      </c>
      <c r="D433" s="13">
        <f>IF(G433="ETAPA",0,IF(G433="SUBETAPA",OFFSET(D433,-1,0)+1,OFFSET(D433,-1,0)))</f>
        <v/>
      </c>
      <c r="E433" s="13">
        <f>IF(G433="Subetapa",0,IF(G433="serviço",OFFSET(E433,-1,0)+1,OFFSET(E433,-1,0)))</f>
        <v/>
      </c>
      <c r="F433" s="12" t="n"/>
      <c r="G433" s="19" t="inlineStr">
        <is>
          <t>Subetapa</t>
        </is>
      </c>
      <c r="H433" s="16">
        <f>IF(G433="Unidade Construtiva",TEXT(A433,"00"),IF(G433="Célula Construtiva",TEXT(B433,"00"),IF(G433="Etapa",CONCATENATE(TEXT(B433,"00"),".",TEXT(C433,"000")),IF(G433="Subetapa",CONCATENATE(TEXT(B433,"00"),".",TEXT(C433,"000"),".",TEXT(D433,"000")),IF(G433="Serviço",CONCATENATE(TEXT(B433,"00"),".",TEXT(C433,"000"),".",TEXT(D433,"000"),".",TEXT(E433,"000")),"")))))</f>
        <v/>
      </c>
      <c r="I433" s="18" t="inlineStr">
        <is>
          <t>Mão de obra</t>
        </is>
      </c>
      <c r="J433" s="6" t="n"/>
    </row>
    <row r="434" ht="20.45" customFormat="1" customHeight="1" s="8">
      <c r="A434" s="14">
        <f>IF($G434="UNIDADE CONSTRUTIVA",OFFSET(A434,-1,0)+1,LARGE(A$3:A433,1))</f>
        <v/>
      </c>
      <c r="B434" s="14">
        <f>IF(G434="UNIDADE CONSTRUTIVA",0,IF(G434="CÉLULA CONSTRUTIVA",OFFSET(B434,-1,0)+1,OFFSET(B434,-1,0)))</f>
        <v/>
      </c>
      <c r="C434" s="14">
        <f>IF(G434="CÉLULA CONSTRUTIVA",0,IF(G434="ETAPA",OFFSET(C434,-1,0)+1,OFFSET(C434,-1,0)))</f>
        <v/>
      </c>
      <c r="D434" s="13">
        <f>IF(G434="ETAPA",0,IF(G434="SUBETAPA",OFFSET(D434,-1,0)+1,OFFSET(D434,-1,0)))</f>
        <v/>
      </c>
      <c r="E434" s="13">
        <f>IF(G434="Subetapa",0,IF(G434="serviço",OFFSET(E434,-1,0)+1,OFFSET(E434,-1,0)))</f>
        <v/>
      </c>
      <c r="F434" s="12" t="n"/>
      <c r="G434" s="17" t="inlineStr">
        <is>
          <t>CÉLULA CONSTRUTIVA</t>
        </is>
      </c>
      <c r="H434" s="16">
        <f>IF(G434="Unidade Construtiva",TEXT(A434,"00"),IF(G434="Célula Construtiva",TEXT(B434,"00"),IF(G434="Etapa",CONCATENATE(TEXT(B434,"00"),".",TEXT(C434,"000")),IF(G434="Subetapa",CONCATENATE(TEXT(B434,"00"),".",TEXT(C434,"000"),".",TEXT(D434,"000")),IF(G434="Serviço",CONCATENATE(TEXT(B434,"00"),".",TEXT(C434,"000"),".",TEXT(D434,"000"),".",TEXT(E434,"000")),"")))))</f>
        <v/>
      </c>
      <c r="I434" s="15" t="inlineStr">
        <is>
          <t>INSTALAÇÕES DE GÁS</t>
        </is>
      </c>
      <c r="J434" s="6" t="n"/>
    </row>
    <row r="435" ht="20.45" customFormat="1" customHeight="1" s="8">
      <c r="A435" s="14">
        <f>IF($G435="UNIDADE CONSTRUTIVA",OFFSET(A435,-1,0)+1,LARGE(A$3:A434,1))</f>
        <v/>
      </c>
      <c r="B435" s="14">
        <f>IF(G435="UNIDADE CONSTRUTIVA",0,IF(G435="CÉLULA CONSTRUTIVA",OFFSET(B435,-1,0)+1,OFFSET(B435,-1,0)))</f>
        <v/>
      </c>
      <c r="C435" s="14">
        <f>IF(G435="CÉLULA CONSTRUTIVA",0,IF(G435="ETAPA",OFFSET(C435,-1,0)+1,OFFSET(C435,-1,0)))</f>
        <v/>
      </c>
      <c r="D435" s="13">
        <f>IF(G435="ETAPA",0,IF(G435="SUBETAPA",OFFSET(D435,-1,0)+1,OFFSET(D435,-1,0)))</f>
        <v/>
      </c>
      <c r="E435" s="13">
        <f>IF(G435="Subetapa",0,IF(G435="serviço",OFFSET(E435,-1,0)+1,OFFSET(E435,-1,0)))</f>
        <v/>
      </c>
      <c r="F435" s="12" t="n"/>
      <c r="G435" s="17" t="inlineStr">
        <is>
          <t>ETAPA</t>
        </is>
      </c>
      <c r="H435" s="16">
        <f>IF(G435="Unidade Construtiva",TEXT(A435,"00"),IF(G435="Célula Construtiva",TEXT(B435,"00"),IF(G435="Etapa",CONCATENATE(TEXT(B435,"00"),".",TEXT(C435,"000")),IF(G435="Subetapa",CONCATENATE(TEXT(B435,"00"),".",TEXT(C435,"000"),".",TEXT(D435,"000")),IF(G435="Serviço",CONCATENATE(TEXT(B435,"00"),".",TEXT(C435,"000"),".",TEXT(D435,"000"),".",TEXT(E435,"000")),"")))))</f>
        <v/>
      </c>
      <c r="I435" s="15" t="inlineStr">
        <is>
          <t>INSTALAÇÕES DE GÁS</t>
        </is>
      </c>
      <c r="J435" s="6" t="n"/>
    </row>
    <row r="436" ht="20.45" customFormat="1" customHeight="1" s="8">
      <c r="A436" s="14">
        <f>IF($G436="UNIDADE CONSTRUTIVA",OFFSET(A436,-1,0)+1,LARGE(A$3:A435,1))</f>
        <v/>
      </c>
      <c r="B436" s="14">
        <f>IF(G436="UNIDADE CONSTRUTIVA",0,IF(G436="CÉLULA CONSTRUTIVA",OFFSET(B436,-1,0)+1,OFFSET(B436,-1,0)))</f>
        <v/>
      </c>
      <c r="C436" s="14">
        <f>IF(G436="CÉLULA CONSTRUTIVA",0,IF(G436="ETAPA",OFFSET(C436,-1,0)+1,OFFSET(C436,-1,0)))</f>
        <v/>
      </c>
      <c r="D436" s="13">
        <f>IF(G436="ETAPA",0,IF(G436="SUBETAPA",OFFSET(D436,-1,0)+1,OFFSET(D436,-1,0)))</f>
        <v/>
      </c>
      <c r="E436" s="13">
        <f>IF(G436="Subetapa",0,IF(G436="serviço",OFFSET(E436,-1,0)+1,OFFSET(E436,-1,0)))</f>
        <v/>
      </c>
      <c r="F436" s="12" t="n"/>
      <c r="G436" s="19" t="inlineStr">
        <is>
          <t>Subetapa</t>
        </is>
      </c>
      <c r="H436" s="16">
        <f>IF(G436="Unidade Construtiva",TEXT(A436,"00"),IF(G436="Célula Construtiva",TEXT(B436,"00"),IF(G436="Etapa",CONCATENATE(TEXT(B436,"00"),".",TEXT(C436,"000")),IF(G436="Subetapa",CONCATENATE(TEXT(B436,"00"),".",TEXT(C436,"000"),".",TEXT(D436,"000")),IF(G436="Serviço",CONCATENATE(TEXT(B436,"00"),".",TEXT(C436,"000"),".",TEXT(D436,"000"),".",TEXT(E436,"000")),"")))))</f>
        <v/>
      </c>
      <c r="I436" s="18" t="inlineStr">
        <is>
          <t>Medidores</t>
        </is>
      </c>
      <c r="J436" s="6" t="n"/>
    </row>
    <row r="437" ht="20.45" customFormat="1" customHeight="1" s="8">
      <c r="A437" s="14">
        <f>IF($G437="UNIDADE CONSTRUTIVA",OFFSET(A437,-1,0)+1,LARGE(A$3:A436,1))</f>
        <v/>
      </c>
      <c r="B437" s="14">
        <f>IF(G437="UNIDADE CONSTRUTIVA",0,IF(G437="CÉLULA CONSTRUTIVA",OFFSET(B437,-1,0)+1,OFFSET(B437,-1,0)))</f>
        <v/>
      </c>
      <c r="C437" s="14">
        <f>IF(G437="CÉLULA CONSTRUTIVA",0,IF(G437="ETAPA",OFFSET(C437,-1,0)+1,OFFSET(C437,-1,0)))</f>
        <v/>
      </c>
      <c r="D437" s="13">
        <f>IF(G437="ETAPA",0,IF(G437="SUBETAPA",OFFSET(D437,-1,0)+1,OFFSET(D437,-1,0)))</f>
        <v/>
      </c>
      <c r="E437" s="13">
        <f>IF(G437="Subetapa",0,IF(G437="serviço",OFFSET(E437,-1,0)+1,OFFSET(E437,-1,0)))</f>
        <v/>
      </c>
      <c r="F437" s="12" t="n"/>
      <c r="G437" s="19" t="inlineStr">
        <is>
          <t>Subetapa</t>
        </is>
      </c>
      <c r="H437" s="16">
        <f>IF(G437="Unidade Construtiva",TEXT(A437,"00"),IF(G437="Célula Construtiva",TEXT(B437,"00"),IF(G437="Etapa",CONCATENATE(TEXT(B437,"00"),".",TEXT(C437,"000")),IF(G437="Subetapa",CONCATENATE(TEXT(B437,"00"),".",TEXT(C437,"000"),".",TEXT(D437,"000")),IF(G437="Serviço",CONCATENATE(TEXT(B437,"00"),".",TEXT(C437,"000"),".",TEXT(D437,"000"),".",TEXT(E437,"000")),"")))))</f>
        <v/>
      </c>
      <c r="I437" s="18" t="inlineStr">
        <is>
          <t>Central de Gás</t>
        </is>
      </c>
      <c r="J437" s="6" t="n"/>
    </row>
    <row r="438" ht="20.45" customFormat="1" customHeight="1" s="8">
      <c r="A438" s="14">
        <f>IF($G438="UNIDADE CONSTRUTIVA",OFFSET(A438,-1,0)+1,LARGE(A$3:A437,1))</f>
        <v/>
      </c>
      <c r="B438" s="14">
        <f>IF(G438="UNIDADE CONSTRUTIVA",0,IF(G438="CÉLULA CONSTRUTIVA",OFFSET(B438,-1,0)+1,OFFSET(B438,-1,0)))</f>
        <v/>
      </c>
      <c r="C438" s="14">
        <f>IF(G438="CÉLULA CONSTRUTIVA",0,IF(G438="ETAPA",OFFSET(C438,-1,0)+1,OFFSET(C438,-1,0)))</f>
        <v/>
      </c>
      <c r="D438" s="13">
        <f>IF(G438="ETAPA",0,IF(G438="SUBETAPA",OFFSET(D438,-1,0)+1,OFFSET(D438,-1,0)))</f>
        <v/>
      </c>
      <c r="E438" s="13">
        <f>IF(G438="Subetapa",0,IF(G438="serviço",OFFSET(E438,-1,0)+1,OFFSET(E438,-1,0)))</f>
        <v/>
      </c>
      <c r="F438" s="12" t="n"/>
      <c r="G438" s="19" t="inlineStr">
        <is>
          <t>Subetapa</t>
        </is>
      </c>
      <c r="H438" s="16">
        <f>IF(G438="Unidade Construtiva",TEXT(A438,"00"),IF(G438="Célula Construtiva",TEXT(B438,"00"),IF(G438="Etapa",CONCATENATE(TEXT(B438,"00"),".",TEXT(C438,"000")),IF(G438="Subetapa",CONCATENATE(TEXT(B438,"00"),".",TEXT(C438,"000"),".",TEXT(D438,"000")),IF(G438="Serviço",CONCATENATE(TEXT(B438,"00"),".",TEXT(C438,"000"),".",TEXT(D438,"000"),".",TEXT(E438,"000")),"")))))</f>
        <v/>
      </c>
      <c r="I438" s="18" t="inlineStr">
        <is>
          <t>Rede Primária</t>
        </is>
      </c>
      <c r="J438" s="6" t="n"/>
    </row>
    <row r="439" ht="20.45" customFormat="1" customHeight="1" s="8">
      <c r="A439" s="14">
        <f>IF($G439="UNIDADE CONSTRUTIVA",OFFSET(A439,-1,0)+1,LARGE(A$3:A438,1))</f>
        <v/>
      </c>
      <c r="B439" s="14">
        <f>IF(G439="UNIDADE CONSTRUTIVA",0,IF(G439="CÉLULA CONSTRUTIVA",OFFSET(B439,-1,0)+1,OFFSET(B439,-1,0)))</f>
        <v/>
      </c>
      <c r="C439" s="14">
        <f>IF(G439="CÉLULA CONSTRUTIVA",0,IF(G439="ETAPA",OFFSET(C439,-1,0)+1,OFFSET(C439,-1,0)))</f>
        <v/>
      </c>
      <c r="D439" s="13">
        <f>IF(G439="ETAPA",0,IF(G439="SUBETAPA",OFFSET(D439,-1,0)+1,OFFSET(D439,-1,0)))</f>
        <v/>
      </c>
      <c r="E439" s="13">
        <f>IF(G439="Subetapa",0,IF(G439="serviço",OFFSET(E439,-1,0)+1,OFFSET(E439,-1,0)))</f>
        <v/>
      </c>
      <c r="F439" s="12" t="n"/>
      <c r="G439" s="19" t="inlineStr">
        <is>
          <t>Subetapa</t>
        </is>
      </c>
      <c r="H439" s="16">
        <f>IF(G439="Unidade Construtiva",TEXT(A439,"00"),IF(G439="Célula Construtiva",TEXT(B439,"00"),IF(G439="Etapa",CONCATENATE(TEXT(B439,"00"),".",TEXT(C439,"000")),IF(G439="Subetapa",CONCATENATE(TEXT(B439,"00"),".",TEXT(C439,"000"),".",TEXT(D439,"000")),IF(G439="Serviço",CONCATENATE(TEXT(B439,"00"),".",TEXT(C439,"000"),".",TEXT(D439,"000"),".",TEXT(E439,"000")),"")))))</f>
        <v/>
      </c>
      <c r="I439" s="18" t="inlineStr">
        <is>
          <t>Rede Secundária</t>
        </is>
      </c>
      <c r="J439" s="6" t="n"/>
    </row>
    <row r="440" ht="20.45" customFormat="1" customHeight="1" s="8">
      <c r="A440" s="14">
        <f>IF($G440="UNIDADE CONSTRUTIVA",OFFSET(A440,-1,0)+1,LARGE(A$3:A439,1))</f>
        <v/>
      </c>
      <c r="B440" s="14">
        <f>IF(G440="UNIDADE CONSTRUTIVA",0,IF(G440="CÉLULA CONSTRUTIVA",OFFSET(B440,-1,0)+1,OFFSET(B440,-1,0)))</f>
        <v/>
      </c>
      <c r="C440" s="14">
        <f>IF(G440="CÉLULA CONSTRUTIVA",0,IF(G440="ETAPA",OFFSET(C440,-1,0)+1,OFFSET(C440,-1,0)))</f>
        <v/>
      </c>
      <c r="D440" s="13">
        <f>IF(G440="ETAPA",0,IF(G440="SUBETAPA",OFFSET(D440,-1,0)+1,OFFSET(D440,-1,0)))</f>
        <v/>
      </c>
      <c r="E440" s="13">
        <f>IF(G440="Subetapa",0,IF(G440="serviço",OFFSET(E440,-1,0)+1,OFFSET(E440,-1,0)))</f>
        <v/>
      </c>
      <c r="F440" s="12" t="n"/>
      <c r="G440" s="19" t="inlineStr">
        <is>
          <t>Subetapa</t>
        </is>
      </c>
      <c r="H440" s="16">
        <f>IF(G440="Unidade Construtiva",TEXT(A440,"00"),IF(G440="Célula Construtiva",TEXT(B440,"00"),IF(G440="Etapa",CONCATENATE(TEXT(B440,"00"),".",TEXT(C440,"000")),IF(G440="Subetapa",CONCATENATE(TEXT(B440,"00"),".",TEXT(C440,"000"),".",TEXT(D440,"000")),IF(G440="Serviço",CONCATENATE(TEXT(B440,"00"),".",TEXT(C440,"000"),".",TEXT(D440,"000"),".",TEXT(E440,"000")),"")))))</f>
        <v/>
      </c>
      <c r="I440" s="18" t="inlineStr">
        <is>
          <t>Mão de obra</t>
        </is>
      </c>
      <c r="J440" s="6" t="n"/>
    </row>
    <row r="441" ht="20.45" customFormat="1" customHeight="1" s="8">
      <c r="A441" s="14">
        <f>IF($G441="UNIDADE CONSTRUTIVA",OFFSET(A441,-1,0)+1,LARGE(A$3:A440,1))</f>
        <v/>
      </c>
      <c r="B441" s="14">
        <f>IF(G441="UNIDADE CONSTRUTIVA",0,IF(G441="CÉLULA CONSTRUTIVA",OFFSET(B441,-1,0)+1,OFFSET(B441,-1,0)))</f>
        <v/>
      </c>
      <c r="C441" s="14">
        <f>IF(G441="CÉLULA CONSTRUTIVA",0,IF(G441="ETAPA",OFFSET(C441,-1,0)+1,OFFSET(C441,-1,0)))</f>
        <v/>
      </c>
      <c r="D441" s="13">
        <f>IF(G441="ETAPA",0,IF(G441="SUBETAPA",OFFSET(D441,-1,0)+1,OFFSET(D441,-1,0)))</f>
        <v/>
      </c>
      <c r="E441" s="13">
        <f>IF(G441="Subetapa",0,IF(G441="serviço",OFFSET(E441,-1,0)+1,OFFSET(E441,-1,0)))</f>
        <v/>
      </c>
      <c r="F441" s="12" t="n"/>
      <c r="G441" s="17" t="inlineStr">
        <is>
          <t>CÉLULA CONSTRUTIVA</t>
        </is>
      </c>
      <c r="H441" s="16">
        <f>IF(G441="Unidade Construtiva",TEXT(A441,"00"),IF(G441="Célula Construtiva",TEXT(B441,"00"),IF(G441="Etapa",CONCATENATE(TEXT(B441,"00"),".",TEXT(C441,"000")),IF(G441="Subetapa",CONCATENATE(TEXT(B441,"00"),".",TEXT(C441,"000"),".",TEXT(D441,"000")),IF(G441="Serviço",CONCATENATE(TEXT(B441,"00"),".",TEXT(C441,"000"),".",TEXT(D441,"000"),".",TEXT(E441,"000")),"")))))</f>
        <v/>
      </c>
      <c r="I441" s="15" t="inlineStr">
        <is>
          <t>INSTALAÇÕES DE COMUNICAÇÕES</t>
        </is>
      </c>
      <c r="J441" s="6" t="n"/>
    </row>
    <row r="442" ht="20.45" customFormat="1" customHeight="1" s="8">
      <c r="A442" s="14">
        <f>IF($G442="UNIDADE CONSTRUTIVA",OFFSET(A442,-1,0)+1,LARGE(A$3:A441,1))</f>
        <v/>
      </c>
      <c r="B442" s="14">
        <f>IF(G442="UNIDADE CONSTRUTIVA",0,IF(G442="CÉLULA CONSTRUTIVA",OFFSET(B442,-1,0)+1,OFFSET(B442,-1,0)))</f>
        <v/>
      </c>
      <c r="C442" s="14">
        <f>IF(G442="CÉLULA CONSTRUTIVA",0,IF(G442="ETAPA",OFFSET(C442,-1,0)+1,OFFSET(C442,-1,0)))</f>
        <v/>
      </c>
      <c r="D442" s="13">
        <f>IF(G442="ETAPA",0,IF(G442="SUBETAPA",OFFSET(D442,-1,0)+1,OFFSET(D442,-1,0)))</f>
        <v/>
      </c>
      <c r="E442" s="13">
        <f>IF(G442="Subetapa",0,IF(G442="serviço",OFFSET(E442,-1,0)+1,OFFSET(E442,-1,0)))</f>
        <v/>
      </c>
      <c r="F442" s="12" t="n"/>
      <c r="G442" s="17" t="inlineStr">
        <is>
          <t>ETAPA</t>
        </is>
      </c>
      <c r="H442" s="16">
        <f>IF(G442="Unidade Construtiva",TEXT(A442,"00"),IF(G442="Célula Construtiva",TEXT(B442,"00"),IF(G442="Etapa",CONCATENATE(TEXT(B442,"00"),".",TEXT(C442,"000")),IF(G442="Subetapa",CONCATENATE(TEXT(B442,"00"),".",TEXT(C442,"000"),".",TEXT(D442,"000")),IF(G442="Serviço",CONCATENATE(TEXT(B442,"00"),".",TEXT(C442,"000"),".",TEXT(D442,"000"),".",TEXT(E442,"000")),"")))))</f>
        <v/>
      </c>
      <c r="I442" s="15" t="inlineStr">
        <is>
          <t>INSTALAÇÕES DE COMUNICAÇÕES</t>
        </is>
      </c>
      <c r="J442" s="6" t="n"/>
    </row>
    <row r="443" ht="20.45" customFormat="1" customHeight="1" s="8">
      <c r="A443" s="14">
        <f>IF($G443="UNIDADE CONSTRUTIVA",OFFSET(A443,-1,0)+1,LARGE(A$3:A442,1))</f>
        <v/>
      </c>
      <c r="B443" s="14">
        <f>IF(G443="UNIDADE CONSTRUTIVA",0,IF(G443="CÉLULA CONSTRUTIVA",OFFSET(B443,-1,0)+1,OFFSET(B443,-1,0)))</f>
        <v/>
      </c>
      <c r="C443" s="14">
        <f>IF(G443="CÉLULA CONSTRUTIVA",0,IF(G443="ETAPA",OFFSET(C443,-1,0)+1,OFFSET(C443,-1,0)))</f>
        <v/>
      </c>
      <c r="D443" s="13">
        <f>IF(G443="ETAPA",0,IF(G443="SUBETAPA",OFFSET(D443,-1,0)+1,OFFSET(D443,-1,0)))</f>
        <v/>
      </c>
      <c r="E443" s="13">
        <f>IF(G443="Subetapa",0,IF(G443="serviço",OFFSET(E443,-1,0)+1,OFFSET(E443,-1,0)))</f>
        <v/>
      </c>
      <c r="F443" s="12" t="n"/>
      <c r="G443" s="19" t="inlineStr">
        <is>
          <t>Subetapa</t>
        </is>
      </c>
      <c r="H443" s="16">
        <f>IF(G443="Unidade Construtiva",TEXT(A443,"00"),IF(G443="Célula Construtiva",TEXT(B443,"00"),IF(G443="Etapa",CONCATENATE(TEXT(B443,"00"),".",TEXT(C443,"000")),IF(G443="Subetapa",CONCATENATE(TEXT(B443,"00"),".",TEXT(C443,"000"),".",TEXT(D443,"000")),IF(G443="Serviço",CONCATENATE(TEXT(B443,"00"),".",TEXT(C443,"000"),".",TEXT(D443,"000"),".",TEXT(E443,"000")),"")))))</f>
        <v/>
      </c>
      <c r="I443" s="18" t="inlineStr">
        <is>
          <t>Sistema de interfone / controle de acesso</t>
        </is>
      </c>
      <c r="J443" s="6" t="n"/>
    </row>
    <row r="444" ht="20.45" customFormat="1" customHeight="1" s="8">
      <c r="A444" s="14">
        <f>IF($G444="UNIDADE CONSTRUTIVA",OFFSET(A444,-1,0)+1,LARGE(A$3:A443,1))</f>
        <v/>
      </c>
      <c r="B444" s="14">
        <f>IF(G444="UNIDADE CONSTRUTIVA",0,IF(G444="CÉLULA CONSTRUTIVA",OFFSET(B444,-1,0)+1,OFFSET(B444,-1,0)))</f>
        <v/>
      </c>
      <c r="C444" s="14">
        <f>IF(G444="CÉLULA CONSTRUTIVA",0,IF(G444="ETAPA",OFFSET(C444,-1,0)+1,OFFSET(C444,-1,0)))</f>
        <v/>
      </c>
      <c r="D444" s="13">
        <f>IF(G444="ETAPA",0,IF(G444="SUBETAPA",OFFSET(D444,-1,0)+1,OFFSET(D444,-1,0)))</f>
        <v/>
      </c>
      <c r="E444" s="13">
        <f>IF(G444="Subetapa",0,IF(G444="serviço",OFFSET(E444,-1,0)+1,OFFSET(E444,-1,0)))</f>
        <v/>
      </c>
      <c r="F444" s="12" t="n"/>
      <c r="G444" s="19" t="inlineStr">
        <is>
          <t>Subetapa</t>
        </is>
      </c>
      <c r="H444" s="16">
        <f>IF(G444="Unidade Construtiva",TEXT(A444,"00"),IF(G444="Célula Construtiva",TEXT(B444,"00"),IF(G444="Etapa",CONCATENATE(TEXT(B444,"00"),".",TEXT(C444,"000")),IF(G444="Subetapa",CONCATENATE(TEXT(B444,"00"),".",TEXT(C444,"000"),".",TEXT(D444,"000")),IF(G444="Serviço",CONCATENATE(TEXT(B444,"00"),".",TEXT(C444,"000"),".",TEXT(D444,"000"),".",TEXT(E444,"000")),"")))))</f>
        <v/>
      </c>
      <c r="I444" s="18" t="inlineStr">
        <is>
          <t>Instalação de CFTV</t>
        </is>
      </c>
      <c r="J444" s="6" t="n"/>
    </row>
    <row r="445" ht="20.45" customFormat="1" customHeight="1" s="8">
      <c r="A445" s="14">
        <f>IF($G445="UNIDADE CONSTRUTIVA",OFFSET(A445,-1,0)+1,LARGE(A$3:A444,1))</f>
        <v/>
      </c>
      <c r="B445" s="14">
        <f>IF(G445="UNIDADE CONSTRUTIVA",0,IF(G445="CÉLULA CONSTRUTIVA",OFFSET(B445,-1,0)+1,OFFSET(B445,-1,0)))</f>
        <v/>
      </c>
      <c r="C445" s="14">
        <f>IF(G445="CÉLULA CONSTRUTIVA",0,IF(G445="ETAPA",OFFSET(C445,-1,0)+1,OFFSET(C445,-1,0)))</f>
        <v/>
      </c>
      <c r="D445" s="13">
        <f>IF(G445="ETAPA",0,IF(G445="SUBETAPA",OFFSET(D445,-1,0)+1,OFFSET(D445,-1,0)))</f>
        <v/>
      </c>
      <c r="E445" s="13">
        <f>IF(G445="Subetapa",0,IF(G445="serviço",OFFSET(E445,-1,0)+1,OFFSET(E445,-1,0)))</f>
        <v/>
      </c>
      <c r="F445" s="12" t="n"/>
      <c r="G445" s="19" t="inlineStr">
        <is>
          <t>Subetapa</t>
        </is>
      </c>
      <c r="H445" s="16">
        <f>IF(G445="Unidade Construtiva",TEXT(A445,"00"),IF(G445="Célula Construtiva",TEXT(B445,"00"),IF(G445="Etapa",CONCATENATE(TEXT(B445,"00"),".",TEXT(C445,"000")),IF(G445="Subetapa",CONCATENATE(TEXT(B445,"00"),".",TEXT(C445,"000"),".",TEXT(D445,"000")),IF(G445="Serviço",CONCATENATE(TEXT(B445,"00"),".",TEXT(C445,"000"),".",TEXT(D445,"000"),".",TEXT(E445,"000")),"")))))</f>
        <v/>
      </c>
      <c r="I445" s="18" t="inlineStr">
        <is>
          <t>TV VHF/CABO/SATÉLITE</t>
        </is>
      </c>
      <c r="J445" s="6" t="n"/>
    </row>
    <row r="446" ht="20.45" customFormat="1" customHeight="1" s="8">
      <c r="A446" s="14">
        <f>IF($G446="UNIDADE CONSTRUTIVA",OFFSET(A446,-1,0)+1,LARGE(A$3:A445,1))</f>
        <v/>
      </c>
      <c r="B446" s="14">
        <f>IF(G446="UNIDADE CONSTRUTIVA",0,IF(G446="CÉLULA CONSTRUTIVA",OFFSET(B446,-1,0)+1,OFFSET(B446,-1,0)))</f>
        <v/>
      </c>
      <c r="C446" s="14">
        <f>IF(G446="CÉLULA CONSTRUTIVA",0,IF(G446="ETAPA",OFFSET(C446,-1,0)+1,OFFSET(C446,-1,0)))</f>
        <v/>
      </c>
      <c r="D446" s="13">
        <f>IF(G446="ETAPA",0,IF(G446="SUBETAPA",OFFSET(D446,-1,0)+1,OFFSET(D446,-1,0)))</f>
        <v/>
      </c>
      <c r="E446" s="13">
        <f>IF(G446="Subetapa",0,IF(G446="serviço",OFFSET(E446,-1,0)+1,OFFSET(E446,-1,0)))</f>
        <v/>
      </c>
      <c r="F446" s="12" t="n"/>
      <c r="G446" s="19" t="inlineStr">
        <is>
          <t>Subetapa</t>
        </is>
      </c>
      <c r="H446" s="16">
        <f>IF(G446="Unidade Construtiva",TEXT(A446,"00"),IF(G446="Célula Construtiva",TEXT(B446,"00"),IF(G446="Etapa",CONCATENATE(TEXT(B446,"00"),".",TEXT(C446,"000")),IF(G446="Subetapa",CONCATENATE(TEXT(B446,"00"),".",TEXT(C446,"000"),".",TEXT(D446,"000")),IF(G446="Serviço",CONCATENATE(TEXT(B446,"00"),".",TEXT(C446,"000"),".",TEXT(D446,"000"),".",TEXT(E446,"000")),"")))))</f>
        <v/>
      </c>
      <c r="I446" s="18" t="inlineStr">
        <is>
          <t>Telefonia/lógica/internet</t>
        </is>
      </c>
      <c r="J446" s="6" t="n"/>
    </row>
    <row r="447" ht="20.45" customFormat="1" customHeight="1" s="8">
      <c r="A447" s="14">
        <f>IF($G447="UNIDADE CONSTRUTIVA",OFFSET(A447,-1,0)+1,LARGE(A$3:A446,1))</f>
        <v/>
      </c>
      <c r="B447" s="14">
        <f>IF(G447="UNIDADE CONSTRUTIVA",0,IF(G447="CÉLULA CONSTRUTIVA",OFFSET(B447,-1,0)+1,OFFSET(B447,-1,0)))</f>
        <v/>
      </c>
      <c r="C447" s="14">
        <f>IF(G447="CÉLULA CONSTRUTIVA",0,IF(G447="ETAPA",OFFSET(C447,-1,0)+1,OFFSET(C447,-1,0)))</f>
        <v/>
      </c>
      <c r="D447" s="13">
        <f>IF(G447="ETAPA",0,IF(G447="SUBETAPA",OFFSET(D447,-1,0)+1,OFFSET(D447,-1,0)))</f>
        <v/>
      </c>
      <c r="E447" s="13">
        <f>IF(G447="Subetapa",0,IF(G447="serviço",OFFSET(E447,-1,0)+1,OFFSET(E447,-1,0)))</f>
        <v/>
      </c>
      <c r="F447" s="12" t="n"/>
      <c r="G447" s="17" t="inlineStr">
        <is>
          <t>CÉLULA CONSTRUTIVA</t>
        </is>
      </c>
      <c r="H447" s="16">
        <f>IF(G447="Unidade Construtiva",TEXT(A447,"00"),IF(G447="Célula Construtiva",TEXT(B447,"00"),IF(G447="Etapa",CONCATENATE(TEXT(B447,"00"),".",TEXT(C447,"000")),IF(G447="Subetapa",CONCATENATE(TEXT(B447,"00"),".",TEXT(C447,"000"),".",TEXT(D447,"000")),IF(G447="Serviço",CONCATENATE(TEXT(B447,"00"),".",TEXT(C447,"000"),".",TEXT(D447,"000"),".",TEXT(E447,"000")),"")))))</f>
        <v/>
      </c>
      <c r="I447" s="15" t="inlineStr">
        <is>
          <t>CLIMATIZAÇÃO, EXAUSTÃO MECÂNICA E PRESSURIZAÇÃO</t>
        </is>
      </c>
      <c r="J447" s="6" t="n"/>
    </row>
    <row r="448" ht="20.45" customFormat="1" customHeight="1" s="8">
      <c r="A448" s="14">
        <f>IF($G448="UNIDADE CONSTRUTIVA",OFFSET(A448,-1,0)+1,LARGE(A$3:A447,1))</f>
        <v/>
      </c>
      <c r="B448" s="14">
        <f>IF(G448="UNIDADE CONSTRUTIVA",0,IF(G448="CÉLULA CONSTRUTIVA",OFFSET(B448,-1,0)+1,OFFSET(B448,-1,0)))</f>
        <v/>
      </c>
      <c r="C448" s="14">
        <f>IF(G448="CÉLULA CONSTRUTIVA",0,IF(G448="ETAPA",OFFSET(C448,-1,0)+1,OFFSET(C448,-1,0)))</f>
        <v/>
      </c>
      <c r="D448" s="13">
        <f>IF(G448="ETAPA",0,IF(G448="SUBETAPA",OFFSET(D448,-1,0)+1,OFFSET(D448,-1,0)))</f>
        <v/>
      </c>
      <c r="E448" s="13">
        <f>IF(G448="Subetapa",0,IF(G448="serviço",OFFSET(E448,-1,0)+1,OFFSET(E448,-1,0)))</f>
        <v/>
      </c>
      <c r="F448" s="12" t="n"/>
      <c r="G448" s="17" t="inlineStr">
        <is>
          <t>ETAPA</t>
        </is>
      </c>
      <c r="H448" s="16">
        <f>IF(G448="Unidade Construtiva",TEXT(A448,"00"),IF(G448="Célula Construtiva",TEXT(B448,"00"),IF(G448="Etapa",CONCATENATE(TEXT(B448,"00"),".",TEXT(C448,"000")),IF(G448="Subetapa",CONCATENATE(TEXT(B448,"00"),".",TEXT(C448,"000"),".",TEXT(D448,"000")),IF(G448="Serviço",CONCATENATE(TEXT(B448,"00"),".",TEXT(C448,"000"),".",TEXT(D448,"000"),".",TEXT(E448,"000")),"")))))</f>
        <v/>
      </c>
      <c r="I448" s="15" t="inlineStr">
        <is>
          <t>CLIMATIZAÇÃO, EXAUSTÃO MECÂNICA E PRESSURIZAÇÃO</t>
        </is>
      </c>
      <c r="J448" s="6" t="n"/>
    </row>
    <row r="449" ht="20.45" customFormat="1" customHeight="1" s="8">
      <c r="A449" s="14">
        <f>IF($G449="UNIDADE CONSTRUTIVA",OFFSET(A449,-1,0)+1,LARGE(A$3:A448,1))</f>
        <v/>
      </c>
      <c r="B449" s="14">
        <f>IF(G449="UNIDADE CONSTRUTIVA",0,IF(G449="CÉLULA CONSTRUTIVA",OFFSET(B449,-1,0)+1,OFFSET(B449,-1,0)))</f>
        <v/>
      </c>
      <c r="C449" s="14">
        <f>IF(G449="CÉLULA CONSTRUTIVA",0,IF(G449="ETAPA",OFFSET(C449,-1,0)+1,OFFSET(C449,-1,0)))</f>
        <v/>
      </c>
      <c r="D449" s="13">
        <f>IF(G449="ETAPA",0,IF(G449="SUBETAPA",OFFSET(D449,-1,0)+1,OFFSET(D449,-1,0)))</f>
        <v/>
      </c>
      <c r="E449" s="13">
        <f>IF(G449="Subetapa",0,IF(G449="serviço",OFFSET(E449,-1,0)+1,OFFSET(E449,-1,0)))</f>
        <v/>
      </c>
      <c r="F449" s="12" t="n"/>
      <c r="G449" s="19" t="inlineStr">
        <is>
          <t>Subetapa</t>
        </is>
      </c>
      <c r="H449" s="16">
        <f>IF(G449="Unidade Construtiva",TEXT(A449,"00"),IF(G449="Célula Construtiva",TEXT(B449,"00"),IF(G449="Etapa",CONCATENATE(TEXT(B449,"00"),".",TEXT(C449,"000")),IF(G449="Subetapa",CONCATENATE(TEXT(B449,"00"),".",TEXT(C449,"000"),".",TEXT(D449,"000")),IF(G449="Serviço",CONCATENATE(TEXT(B449,"00"),".",TEXT(C449,"000"),".",TEXT(D449,"000"),".",TEXT(E449,"000")),"")))))</f>
        <v/>
      </c>
      <c r="I449" s="18" t="inlineStr">
        <is>
          <t>Climatização</t>
        </is>
      </c>
      <c r="J449" s="6" t="n"/>
    </row>
    <row r="450" ht="20.45" customFormat="1" customHeight="1" s="8">
      <c r="A450" s="14">
        <f>IF($G450="UNIDADE CONSTRUTIVA",OFFSET(A450,-1,0)+1,LARGE(A$3:A449,1))</f>
        <v/>
      </c>
      <c r="B450" s="14">
        <f>IF(G450="UNIDADE CONSTRUTIVA",0,IF(G450="CÉLULA CONSTRUTIVA",OFFSET(B450,-1,0)+1,OFFSET(B450,-1,0)))</f>
        <v/>
      </c>
      <c r="C450" s="14">
        <f>IF(G450="CÉLULA CONSTRUTIVA",0,IF(G450="ETAPA",OFFSET(C450,-1,0)+1,OFFSET(C450,-1,0)))</f>
        <v/>
      </c>
      <c r="D450" s="13">
        <f>IF(G450="ETAPA",0,IF(G450="SUBETAPA",OFFSET(D450,-1,0)+1,OFFSET(D450,-1,0)))</f>
        <v/>
      </c>
      <c r="E450" s="13">
        <f>IF(G450="Subetapa",0,IF(G450="serviço",OFFSET(E450,-1,0)+1,OFFSET(E450,-1,0)))</f>
        <v/>
      </c>
      <c r="F450" s="12" t="n"/>
      <c r="G450" s="19" t="inlineStr">
        <is>
          <t>Subetapa</t>
        </is>
      </c>
      <c r="H450" s="16">
        <f>IF(G450="Unidade Construtiva",TEXT(A450,"00"),IF(G450="Célula Construtiva",TEXT(B450,"00"),IF(G450="Etapa",CONCATENATE(TEXT(B450,"00"),".",TEXT(C450,"000")),IF(G450="Subetapa",CONCATENATE(TEXT(B450,"00"),".",TEXT(C450,"000"),".",TEXT(D450,"000")),IF(G450="Serviço",CONCATENATE(TEXT(B450,"00"),".",TEXT(C450,"000"),".",TEXT(D450,"000"),".",TEXT(E450,"000")),"")))))</f>
        <v/>
      </c>
      <c r="I450" s="18" t="inlineStr">
        <is>
          <t>Exaustão mecânica</t>
        </is>
      </c>
      <c r="J450" s="6" t="n"/>
    </row>
    <row r="451" ht="20.45" customFormat="1" customHeight="1" s="8">
      <c r="A451" s="14">
        <f>IF($G451="UNIDADE CONSTRUTIVA",OFFSET(A451,-1,0)+1,LARGE(A$3:A450,1))</f>
        <v/>
      </c>
      <c r="B451" s="14">
        <f>IF(G451="UNIDADE CONSTRUTIVA",0,IF(G451="CÉLULA CONSTRUTIVA",OFFSET(B451,-1,0)+1,OFFSET(B451,-1,0)))</f>
        <v/>
      </c>
      <c r="C451" s="14">
        <f>IF(G451="CÉLULA CONSTRUTIVA",0,IF(G451="ETAPA",OFFSET(C451,-1,0)+1,OFFSET(C451,-1,0)))</f>
        <v/>
      </c>
      <c r="D451" s="13">
        <f>IF(G451="ETAPA",0,IF(G451="SUBETAPA",OFFSET(D451,-1,0)+1,OFFSET(D451,-1,0)))</f>
        <v/>
      </c>
      <c r="E451" s="13">
        <f>IF(G451="Subetapa",0,IF(G451="serviço",OFFSET(E451,-1,0)+1,OFFSET(E451,-1,0)))</f>
        <v/>
      </c>
      <c r="F451" s="12" t="n"/>
      <c r="G451" s="19" t="inlineStr">
        <is>
          <t>Subetapa</t>
        </is>
      </c>
      <c r="H451" s="16">
        <f>IF(G451="Unidade Construtiva",TEXT(A451,"00"),IF(G451="Célula Construtiva",TEXT(B451,"00"),IF(G451="Etapa",CONCATENATE(TEXT(B451,"00"),".",TEXT(C451,"000")),IF(G451="Subetapa",CONCATENATE(TEXT(B451,"00"),".",TEXT(C451,"000"),".",TEXT(D451,"000")),IF(G451="Serviço",CONCATENATE(TEXT(B451,"00"),".",TEXT(C451,"000"),".",TEXT(D451,"000"),".",TEXT(E451,"000")),"")))))</f>
        <v/>
      </c>
      <c r="I451" s="18" t="inlineStr">
        <is>
          <t>Exaustão de churrasqueiras</t>
        </is>
      </c>
      <c r="J451" s="6" t="n"/>
    </row>
    <row r="452" ht="20.45" customFormat="1" customHeight="1" s="8">
      <c r="A452" s="14">
        <f>IF($G452="UNIDADE CONSTRUTIVA",OFFSET(A452,-1,0)+1,LARGE(A$3:A451,1))</f>
        <v/>
      </c>
      <c r="B452" s="14">
        <f>IF(G452="UNIDADE CONSTRUTIVA",0,IF(G452="CÉLULA CONSTRUTIVA",OFFSET(B452,-1,0)+1,OFFSET(B452,-1,0)))</f>
        <v/>
      </c>
      <c r="C452" s="14">
        <f>IF(G452="CÉLULA CONSTRUTIVA",0,IF(G452="ETAPA",OFFSET(C452,-1,0)+1,OFFSET(C452,-1,0)))</f>
        <v/>
      </c>
      <c r="D452" s="13">
        <f>IF(G452="ETAPA",0,IF(G452="SUBETAPA",OFFSET(D452,-1,0)+1,OFFSET(D452,-1,0)))</f>
        <v/>
      </c>
      <c r="E452" s="13">
        <f>IF(G452="Subetapa",0,IF(G452="serviço",OFFSET(E452,-1,0)+1,OFFSET(E452,-1,0)))</f>
        <v/>
      </c>
      <c r="F452" s="12" t="n"/>
      <c r="G452" s="19" t="inlineStr">
        <is>
          <t>Subetapa</t>
        </is>
      </c>
      <c r="H452" s="16">
        <f>IF(G452="Unidade Construtiva",TEXT(A452,"00"),IF(G452="Célula Construtiva",TEXT(B452,"00"),IF(G452="Etapa",CONCATENATE(TEXT(B452,"00"),".",TEXT(C452,"000")),IF(G452="Subetapa",CONCATENATE(TEXT(B452,"00"),".",TEXT(C452,"000"),".",TEXT(D452,"000")),IF(G452="Serviço",CONCATENATE(TEXT(B452,"00"),".",TEXT(C452,"000"),".",TEXT(D452,"000"),".",TEXT(E452,"000")),"")))))</f>
        <v/>
      </c>
      <c r="I452" s="18" t="inlineStr">
        <is>
          <t>Pressurização das escadas</t>
        </is>
      </c>
      <c r="J452" s="6" t="n"/>
    </row>
    <row r="453" ht="20.45" customFormat="1" customHeight="1" s="8">
      <c r="A453" s="14">
        <f>IF($G453="UNIDADE CONSTRUTIVA",OFFSET(A453,-1,0)+1,LARGE(A$3:A452,1))</f>
        <v/>
      </c>
      <c r="B453" s="14">
        <f>IF(G453="UNIDADE CONSTRUTIVA",0,IF(G453="CÉLULA CONSTRUTIVA",OFFSET(B453,-1,0)+1,OFFSET(B453,-1,0)))</f>
        <v/>
      </c>
      <c r="C453" s="14">
        <f>IF(G453="CÉLULA CONSTRUTIVA",0,IF(G453="ETAPA",OFFSET(C453,-1,0)+1,OFFSET(C453,-1,0)))</f>
        <v/>
      </c>
      <c r="D453" s="13">
        <f>IF(G453="ETAPA",0,IF(G453="SUBETAPA",OFFSET(D453,-1,0)+1,OFFSET(D453,-1,0)))</f>
        <v/>
      </c>
      <c r="E453" s="13">
        <f>IF(G453="Subetapa",0,IF(G453="serviço",OFFSET(E453,-1,0)+1,OFFSET(E453,-1,0)))</f>
        <v/>
      </c>
      <c r="F453" s="12" t="n"/>
      <c r="G453" s="17" t="inlineStr">
        <is>
          <t>CÉLULA CONSTRUTIVA</t>
        </is>
      </c>
      <c r="H453" s="16">
        <f>IF(G453="Unidade Construtiva",TEXT(A453,"00"),IF(G453="Célula Construtiva",TEXT(B453,"00"),IF(G453="Etapa",CONCATENATE(TEXT(B453,"00"),".",TEXT(C453,"000")),IF(G453="Subetapa",CONCATENATE(TEXT(B453,"00"),".",TEXT(C453,"000"),".",TEXT(D453,"000")),IF(G453="Serviço",CONCATENATE(TEXT(B453,"00"),".",TEXT(C453,"000"),".",TEXT(D453,"000"),".",TEXT(E453,"000")),"")))))</f>
        <v/>
      </c>
      <c r="I453" s="15" t="inlineStr">
        <is>
          <t>REVESTIMENTOS ARGAMASSADOS INTERNOS DE PAREDE</t>
        </is>
      </c>
      <c r="J453" s="6" t="n"/>
    </row>
    <row r="454" ht="20.45" customFormat="1" customHeight="1" s="8">
      <c r="A454" s="14">
        <f>IF($G454="UNIDADE CONSTRUTIVA",OFFSET(A454,-1,0)+1,LARGE(A$3:A453,1))</f>
        <v/>
      </c>
      <c r="B454" s="14">
        <f>IF(G454="UNIDADE CONSTRUTIVA",0,IF(G454="CÉLULA CONSTRUTIVA",OFFSET(B454,-1,0)+1,OFFSET(B454,-1,0)))</f>
        <v/>
      </c>
      <c r="C454" s="14">
        <f>IF(G454="CÉLULA CONSTRUTIVA",0,IF(G454="ETAPA",OFFSET(C454,-1,0)+1,OFFSET(C454,-1,0)))</f>
        <v/>
      </c>
      <c r="D454" s="13">
        <f>IF(G454="ETAPA",0,IF(G454="SUBETAPA",OFFSET(D454,-1,0)+1,OFFSET(D454,-1,0)))</f>
        <v/>
      </c>
      <c r="E454" s="13">
        <f>IF(G454="Subetapa",0,IF(G454="serviço",OFFSET(E454,-1,0)+1,OFFSET(E454,-1,0)))</f>
        <v/>
      </c>
      <c r="F454" s="12" t="n"/>
      <c r="G454" s="17" t="inlineStr">
        <is>
          <t>ETAPA</t>
        </is>
      </c>
      <c r="H454" s="16">
        <f>IF(G454="Unidade Construtiva",TEXT(A454,"00"),IF(G454="Célula Construtiva",TEXT(B454,"00"),IF(G454="Etapa",CONCATENATE(TEXT(B454,"00"),".",TEXT(C454,"000")),IF(G454="Subetapa",CONCATENATE(TEXT(B454,"00"),".",TEXT(C454,"000"),".",TEXT(D454,"000")),IF(G454="Serviço",CONCATENATE(TEXT(B454,"00"),".",TEXT(C454,"000"),".",TEXT(D454,"000"),".",TEXT(E454,"000")),"")))))</f>
        <v/>
      </c>
      <c r="I454" s="15" t="inlineStr">
        <is>
          <t>REVESTIMENTOS ARGAMASSADOS INTERNOS DE PAREDE</t>
        </is>
      </c>
      <c r="J454" s="6" t="n"/>
    </row>
    <row r="455" ht="20.45" customFormat="1" customHeight="1" s="8">
      <c r="A455" s="14">
        <f>IF($G455="UNIDADE CONSTRUTIVA",OFFSET(A455,-1,0)+1,LARGE(A$3:A454,1))</f>
        <v/>
      </c>
      <c r="B455" s="14">
        <f>IF(G455="UNIDADE CONSTRUTIVA",0,IF(G455="CÉLULA CONSTRUTIVA",OFFSET(B455,-1,0)+1,OFFSET(B455,-1,0)))</f>
        <v/>
      </c>
      <c r="C455" s="14">
        <f>IF(G455="CÉLULA CONSTRUTIVA",0,IF(G455="ETAPA",OFFSET(C455,-1,0)+1,OFFSET(C455,-1,0)))</f>
        <v/>
      </c>
      <c r="D455" s="13">
        <f>IF(G455="ETAPA",0,IF(G455="SUBETAPA",OFFSET(D455,-1,0)+1,OFFSET(D455,-1,0)))</f>
        <v/>
      </c>
      <c r="E455" s="13">
        <f>IF(G455="Subetapa",0,IF(G455="serviço",OFFSET(E455,-1,0)+1,OFFSET(E455,-1,0)))</f>
        <v/>
      </c>
      <c r="F455" s="12" t="n"/>
      <c r="G455" s="19" t="inlineStr">
        <is>
          <t>Subetapa</t>
        </is>
      </c>
      <c r="H455" s="16">
        <f>IF(G455="Unidade Construtiva",TEXT(A455,"00"),IF(G455="Célula Construtiva",TEXT(B455,"00"),IF(G455="Etapa",CONCATENATE(TEXT(B455,"00"),".",TEXT(C455,"000")),IF(G455="Subetapa",CONCATENATE(TEXT(B455,"00"),".",TEXT(C455,"000"),".",TEXT(D455,"000")),IF(G455="Serviço",CONCATENATE(TEXT(B455,"00"),".",TEXT(C455,"000"),".",TEXT(D455,"000"),".",TEXT(E455,"000")),"")))))</f>
        <v/>
      </c>
      <c r="I455" s="18" t="inlineStr">
        <is>
          <t>Reboco interno</t>
        </is>
      </c>
      <c r="J455" s="6" t="n"/>
    </row>
    <row r="456" ht="20.45" customFormat="1" customHeight="1" s="8">
      <c r="A456" s="14">
        <f>IF($G456="UNIDADE CONSTRUTIVA",OFFSET(A456,-1,0)+1,LARGE(A$3:A455,1))</f>
        <v/>
      </c>
      <c r="B456" s="14">
        <f>IF(G456="UNIDADE CONSTRUTIVA",0,IF(G456="CÉLULA CONSTRUTIVA",OFFSET(B456,-1,0)+1,OFFSET(B456,-1,0)))</f>
        <v/>
      </c>
      <c r="C456" s="14">
        <f>IF(G456="CÉLULA CONSTRUTIVA",0,IF(G456="ETAPA",OFFSET(C456,-1,0)+1,OFFSET(C456,-1,0)))</f>
        <v/>
      </c>
      <c r="D456" s="13">
        <f>IF(G456="ETAPA",0,IF(G456="SUBETAPA",OFFSET(D456,-1,0)+1,OFFSET(D456,-1,0)))</f>
        <v/>
      </c>
      <c r="E456" s="13">
        <f>IF(G456="Subetapa",0,IF(G456="serviço",OFFSET(E456,-1,0)+1,OFFSET(E456,-1,0)))</f>
        <v/>
      </c>
      <c r="F456" s="12" t="n"/>
      <c r="G456" s="19" t="inlineStr">
        <is>
          <t>Subetapa</t>
        </is>
      </c>
      <c r="H456" s="16">
        <f>IF(G456="Unidade Construtiva",TEXT(A456,"00"),IF(G456="Célula Construtiva",TEXT(B456,"00"),IF(G456="Etapa",CONCATENATE(TEXT(B456,"00"),".",TEXT(C456,"000")),IF(G456="Subetapa",CONCATENATE(TEXT(B456,"00"),".",TEXT(C456,"000"),".",TEXT(D456,"000")),IF(G456="Serviço",CONCATENATE(TEXT(B456,"00"),".",TEXT(C456,"000"),".",TEXT(D456,"000"),".",TEXT(E456,"000")),"")))))</f>
        <v/>
      </c>
      <c r="I456" s="18" t="inlineStr">
        <is>
          <t>Isolamento térmico</t>
        </is>
      </c>
      <c r="J456" s="6" t="n"/>
    </row>
    <row r="457" ht="20.45" customFormat="1" customHeight="1" s="8">
      <c r="A457" s="14">
        <f>IF($G457="UNIDADE CONSTRUTIVA",OFFSET(A457,-1,0)+1,LARGE(A$3:A456,1))</f>
        <v/>
      </c>
      <c r="B457" s="14">
        <f>IF(G457="UNIDADE CONSTRUTIVA",0,IF(G457="CÉLULA CONSTRUTIVA",OFFSET(B457,-1,0)+1,OFFSET(B457,-1,0)))</f>
        <v/>
      </c>
      <c r="C457" s="14">
        <f>IF(G457="CÉLULA CONSTRUTIVA",0,IF(G457="ETAPA",OFFSET(C457,-1,0)+1,OFFSET(C457,-1,0)))</f>
        <v/>
      </c>
      <c r="D457" s="13">
        <f>IF(G457="ETAPA",0,IF(G457="SUBETAPA",OFFSET(D457,-1,0)+1,OFFSET(D457,-1,0)))</f>
        <v/>
      </c>
      <c r="E457" s="13">
        <f>IF(G457="Subetapa",0,IF(G457="serviço",OFFSET(E457,-1,0)+1,OFFSET(E457,-1,0)))</f>
        <v/>
      </c>
      <c r="F457" s="12" t="n"/>
      <c r="G457" s="19" t="inlineStr">
        <is>
          <t>Subetapa</t>
        </is>
      </c>
      <c r="H457" s="16">
        <f>IF(G457="Unidade Construtiva",TEXT(A457,"00"),IF(G457="Célula Construtiva",TEXT(B457,"00"),IF(G457="Etapa",CONCATENATE(TEXT(B457,"00"),".",TEXT(C457,"000")),IF(G457="Subetapa",CONCATENATE(TEXT(B457,"00"),".",TEXT(C457,"000"),".",TEXT(D457,"000")),IF(G457="Serviço",CONCATENATE(TEXT(B457,"00"),".",TEXT(C457,"000"),".",TEXT(D457,"000"),".",TEXT(E457,"000")),"")))))</f>
        <v/>
      </c>
      <c r="I457" s="18" t="inlineStr">
        <is>
          <t>Isolamento acústico</t>
        </is>
      </c>
      <c r="J457" s="6" t="n"/>
    </row>
    <row r="458" ht="20.45" customFormat="1" customHeight="1" s="8">
      <c r="A458" s="14">
        <f>IF($G458="UNIDADE CONSTRUTIVA",OFFSET(A458,-1,0)+1,LARGE(A$3:A457,1))</f>
        <v/>
      </c>
      <c r="B458" s="14">
        <f>IF(G458="UNIDADE CONSTRUTIVA",0,IF(G458="CÉLULA CONSTRUTIVA",OFFSET(B458,-1,0)+1,OFFSET(B458,-1,0)))</f>
        <v/>
      </c>
      <c r="C458" s="14">
        <f>IF(G458="CÉLULA CONSTRUTIVA",0,IF(G458="ETAPA",OFFSET(C458,-1,0)+1,OFFSET(C458,-1,0)))</f>
        <v/>
      </c>
      <c r="D458" s="13">
        <f>IF(G458="ETAPA",0,IF(G458="SUBETAPA",OFFSET(D458,-1,0)+1,OFFSET(D458,-1,0)))</f>
        <v/>
      </c>
      <c r="E458" s="13">
        <f>IF(G458="Subetapa",0,IF(G458="serviço",OFFSET(E458,-1,0)+1,OFFSET(E458,-1,0)))</f>
        <v/>
      </c>
      <c r="F458" s="12" t="n"/>
      <c r="G458" s="19" t="inlineStr">
        <is>
          <t>Subetapa</t>
        </is>
      </c>
      <c r="H458" s="16">
        <f>IF(G458="Unidade Construtiva",TEXT(A458,"00"),IF(G458="Célula Construtiva",TEXT(B458,"00"),IF(G458="Etapa",CONCATENATE(TEXT(B458,"00"),".",TEXT(C458,"000")),IF(G458="Subetapa",CONCATENATE(TEXT(B458,"00"),".",TEXT(C458,"000"),".",TEXT(D458,"000")),IF(G458="Serviço",CONCATENATE(TEXT(B458,"00"),".",TEXT(C458,"000"),".",TEXT(D458,"000"),".",TEXT(E458,"000")),"")))))</f>
        <v/>
      </c>
      <c r="I458" s="18" t="inlineStr">
        <is>
          <t>Mão de obra</t>
        </is>
      </c>
      <c r="J458" s="6" t="n"/>
    </row>
    <row r="459" ht="20.45" customFormat="1" customHeight="1" s="8">
      <c r="A459" s="14">
        <f>IF($G459="UNIDADE CONSTRUTIVA",OFFSET(A459,-1,0)+1,LARGE(A$3:A458,1))</f>
        <v/>
      </c>
      <c r="B459" s="14">
        <f>IF(G459="UNIDADE CONSTRUTIVA",0,IF(G459="CÉLULA CONSTRUTIVA",OFFSET(B459,-1,0)+1,OFFSET(B459,-1,0)))</f>
        <v/>
      </c>
      <c r="C459" s="14">
        <f>IF(G459="CÉLULA CONSTRUTIVA",0,IF(G459="ETAPA",OFFSET(C459,-1,0)+1,OFFSET(C459,-1,0)))</f>
        <v/>
      </c>
      <c r="D459" s="13">
        <f>IF(G459="ETAPA",0,IF(G459="SUBETAPA",OFFSET(D459,-1,0)+1,OFFSET(D459,-1,0)))</f>
        <v/>
      </c>
      <c r="E459" s="13">
        <f>IF(G459="Subetapa",0,IF(G459="serviço",OFFSET(E459,-1,0)+1,OFFSET(E459,-1,0)))</f>
        <v/>
      </c>
      <c r="F459" s="12" t="n"/>
      <c r="G459" s="17" t="inlineStr">
        <is>
          <t>CÉLULA CONSTRUTIVA</t>
        </is>
      </c>
      <c r="H459" s="16">
        <f>IF(G459="Unidade Construtiva",TEXT(A459,"00"),IF(G459="Célula Construtiva",TEXT(B459,"00"),IF(G459="Etapa",CONCATENATE(TEXT(B459,"00"),".",TEXT(C459,"000")),IF(G459="Subetapa",CONCATENATE(TEXT(B459,"00"),".",TEXT(C459,"000"),".",TEXT(D459,"000")),IF(G459="Serviço",CONCATENATE(TEXT(B459,"00"),".",TEXT(C459,"000"),".",TEXT(D459,"000"),".",TEXT(E459,"000")),"")))))</f>
        <v/>
      </c>
      <c r="I459" s="15" t="inlineStr">
        <is>
          <t>ACABAMENTOS INTERNOS DE PAREDE</t>
        </is>
      </c>
      <c r="J459" s="6" t="n"/>
    </row>
    <row r="460" ht="20.45" customFormat="1" customHeight="1" s="8">
      <c r="A460" s="14">
        <f>IF($G460="UNIDADE CONSTRUTIVA",OFFSET(A460,-1,0)+1,LARGE(A$3:A459,1))</f>
        <v/>
      </c>
      <c r="B460" s="14">
        <f>IF(G460="UNIDADE CONSTRUTIVA",0,IF(G460="CÉLULA CONSTRUTIVA",OFFSET(B460,-1,0)+1,OFFSET(B460,-1,0)))</f>
        <v/>
      </c>
      <c r="C460" s="14">
        <f>IF(G460="CÉLULA CONSTRUTIVA",0,IF(G460="ETAPA",OFFSET(C460,-1,0)+1,OFFSET(C460,-1,0)))</f>
        <v/>
      </c>
      <c r="D460" s="13">
        <f>IF(G460="ETAPA",0,IF(G460="SUBETAPA",OFFSET(D460,-1,0)+1,OFFSET(D460,-1,0)))</f>
        <v/>
      </c>
      <c r="E460" s="13">
        <f>IF(G460="Subetapa",0,IF(G460="serviço",OFFSET(E460,-1,0)+1,OFFSET(E460,-1,0)))</f>
        <v/>
      </c>
      <c r="F460" s="12" t="n"/>
      <c r="G460" s="17" t="inlineStr">
        <is>
          <t>ETAPA</t>
        </is>
      </c>
      <c r="H460" s="16">
        <f>IF(G460="Unidade Construtiva",TEXT(A460,"00"),IF(G460="Célula Construtiva",TEXT(B460,"00"),IF(G460="Etapa",CONCATENATE(TEXT(B460,"00"),".",TEXT(C460,"000")),IF(G460="Subetapa",CONCATENATE(TEXT(B460,"00"),".",TEXT(C460,"000"),".",TEXT(D460,"000")),IF(G460="Serviço",CONCATENATE(TEXT(B460,"00"),".",TEXT(C460,"000"),".",TEXT(D460,"000"),".",TEXT(E460,"000")),"")))))</f>
        <v/>
      </c>
      <c r="I460" s="15" t="inlineStr">
        <is>
          <t>ACABAMENTOS INTERNOS DE PAREDE</t>
        </is>
      </c>
      <c r="J460" s="6" t="n"/>
    </row>
    <row r="461" ht="20.45" customFormat="1" customHeight="1" s="8">
      <c r="A461" s="14">
        <f>IF($G461="UNIDADE CONSTRUTIVA",OFFSET(A461,-1,0)+1,LARGE(A$3:A460,1))</f>
        <v/>
      </c>
      <c r="B461" s="14">
        <f>IF(G461="UNIDADE CONSTRUTIVA",0,IF(G461="CÉLULA CONSTRUTIVA",OFFSET(B461,-1,0)+1,OFFSET(B461,-1,0)))</f>
        <v/>
      </c>
      <c r="C461" s="14">
        <f>IF(G461="CÉLULA CONSTRUTIVA",0,IF(G461="ETAPA",OFFSET(C461,-1,0)+1,OFFSET(C461,-1,0)))</f>
        <v/>
      </c>
      <c r="D461" s="13">
        <f>IF(G461="ETAPA",0,IF(G461="SUBETAPA",OFFSET(D461,-1,0)+1,OFFSET(D461,-1,0)))</f>
        <v/>
      </c>
      <c r="E461" s="13">
        <f>IF(G461="Subetapa",0,IF(G461="serviço",OFFSET(E461,-1,0)+1,OFFSET(E461,-1,0)))</f>
        <v/>
      </c>
      <c r="F461" s="12" t="n"/>
      <c r="G461" s="19" t="inlineStr">
        <is>
          <t>Subetapa</t>
        </is>
      </c>
      <c r="H461" s="16">
        <f>IF(G461="Unidade Construtiva",TEXT(A461,"00"),IF(G461="Célula Construtiva",TEXT(B461,"00"),IF(G461="Etapa",CONCATENATE(TEXT(B461,"00"),".",TEXT(C461,"000")),IF(G461="Subetapa",CONCATENATE(TEXT(B461,"00"),".",TEXT(C461,"000"),".",TEXT(D461,"000")),IF(G461="Serviço",CONCATENATE(TEXT(B461,"00"),".",TEXT(C461,"000"),".",TEXT(D461,"000"),".",TEXT(E461,"000")),"")))))</f>
        <v/>
      </c>
      <c r="I461" s="18" t="inlineStr">
        <is>
          <t>Acabamentos cerâmicos</t>
        </is>
      </c>
      <c r="J461" s="6" t="n"/>
    </row>
    <row r="462" ht="20.45" customFormat="1" customHeight="1" s="8">
      <c r="A462" s="14">
        <f>IF($G462="UNIDADE CONSTRUTIVA",OFFSET(A462,-1,0)+1,LARGE(A$3:A461,1))</f>
        <v/>
      </c>
      <c r="B462" s="14">
        <f>IF(G462="UNIDADE CONSTRUTIVA",0,IF(G462="CÉLULA CONSTRUTIVA",OFFSET(B462,-1,0)+1,OFFSET(B462,-1,0)))</f>
        <v/>
      </c>
      <c r="C462" s="14">
        <f>IF(G462="CÉLULA CONSTRUTIVA",0,IF(G462="ETAPA",OFFSET(C462,-1,0)+1,OFFSET(C462,-1,0)))</f>
        <v/>
      </c>
      <c r="D462" s="13">
        <f>IF(G462="ETAPA",0,IF(G462="SUBETAPA",OFFSET(D462,-1,0)+1,OFFSET(D462,-1,0)))</f>
        <v/>
      </c>
      <c r="E462" s="13">
        <f>IF(G462="Subetapa",0,IF(G462="serviço",OFFSET(E462,-1,0)+1,OFFSET(E462,-1,0)))</f>
        <v/>
      </c>
      <c r="F462" s="12" t="n"/>
      <c r="G462" s="19" t="inlineStr">
        <is>
          <t>Subetapa</t>
        </is>
      </c>
      <c r="H462" s="16">
        <f>IF(G462="Unidade Construtiva",TEXT(A462,"00"),IF(G462="Célula Construtiva",TEXT(B462,"00"),IF(G462="Etapa",CONCATENATE(TEXT(B462,"00"),".",TEXT(C462,"000")),IF(G462="Subetapa",CONCATENATE(TEXT(B462,"00"),".",TEXT(C462,"000"),".",TEXT(D462,"000")),IF(G462="Serviço",CONCATENATE(TEXT(B462,"00"),".",TEXT(C462,"000"),".",TEXT(D462,"000"),".",TEXT(E462,"000")),"")))))</f>
        <v/>
      </c>
      <c r="I462" s="18" t="inlineStr">
        <is>
          <t>Acabamentos especiais</t>
        </is>
      </c>
      <c r="J462" s="6" t="n"/>
    </row>
    <row r="463" ht="20.45" customFormat="1" customHeight="1" s="8">
      <c r="A463" s="14">
        <f>IF($G463="UNIDADE CONSTRUTIVA",OFFSET(A463,-1,0)+1,LARGE(A$3:A462,1))</f>
        <v/>
      </c>
      <c r="B463" s="14">
        <f>IF(G463="UNIDADE CONSTRUTIVA",0,IF(G463="CÉLULA CONSTRUTIVA",OFFSET(B463,-1,0)+1,OFFSET(B463,-1,0)))</f>
        <v/>
      </c>
      <c r="C463" s="14">
        <f>IF(G463="CÉLULA CONSTRUTIVA",0,IF(G463="ETAPA",OFFSET(C463,-1,0)+1,OFFSET(C463,-1,0)))</f>
        <v/>
      </c>
      <c r="D463" s="13">
        <f>IF(G463="ETAPA",0,IF(G463="SUBETAPA",OFFSET(D463,-1,0)+1,OFFSET(D463,-1,0)))</f>
        <v/>
      </c>
      <c r="E463" s="13">
        <f>IF(G463="Subetapa",0,IF(G463="serviço",OFFSET(E463,-1,0)+1,OFFSET(E463,-1,0)))</f>
        <v/>
      </c>
      <c r="F463" s="12" t="n"/>
      <c r="G463" s="19" t="inlineStr">
        <is>
          <t>Subetapa</t>
        </is>
      </c>
      <c r="H463" s="16">
        <f>IF(G463="Unidade Construtiva",TEXT(A463,"00"),IF(G463="Célula Construtiva",TEXT(B463,"00"),IF(G463="Etapa",CONCATENATE(TEXT(B463,"00"),".",TEXT(C463,"000")),IF(G463="Subetapa",CONCATENATE(TEXT(B463,"00"),".",TEXT(C463,"000"),".",TEXT(D463,"000")),IF(G463="Serviço",CONCATENATE(TEXT(B463,"00"),".",TEXT(C463,"000"),".",TEXT(D463,"000"),".",TEXT(E463,"000")),"")))))</f>
        <v/>
      </c>
      <c r="I463" s="18" t="inlineStr">
        <is>
          <t>Peitoris</t>
        </is>
      </c>
      <c r="J463" s="6" t="n"/>
    </row>
    <row r="464" ht="20.45" customFormat="1" customHeight="1" s="8">
      <c r="A464" s="14">
        <f>IF($G464="UNIDADE CONSTRUTIVA",OFFSET(A464,-1,0)+1,LARGE(A$3:A463,1))</f>
        <v/>
      </c>
      <c r="B464" s="14">
        <f>IF(G464="UNIDADE CONSTRUTIVA",0,IF(G464="CÉLULA CONSTRUTIVA",OFFSET(B464,-1,0)+1,OFFSET(B464,-1,0)))</f>
        <v/>
      </c>
      <c r="C464" s="14">
        <f>IF(G464="CÉLULA CONSTRUTIVA",0,IF(G464="ETAPA",OFFSET(C464,-1,0)+1,OFFSET(C464,-1,0)))</f>
        <v/>
      </c>
      <c r="D464" s="13">
        <f>IF(G464="ETAPA",0,IF(G464="SUBETAPA",OFFSET(D464,-1,0)+1,OFFSET(D464,-1,0)))</f>
        <v/>
      </c>
      <c r="E464" s="13">
        <f>IF(G464="Subetapa",0,IF(G464="serviço",OFFSET(E464,-1,0)+1,OFFSET(E464,-1,0)))</f>
        <v/>
      </c>
      <c r="F464" s="12" t="n"/>
      <c r="G464" s="19" t="inlineStr">
        <is>
          <t>Subetapa</t>
        </is>
      </c>
      <c r="H464" s="16">
        <f>IF(G464="Unidade Construtiva",TEXT(A464,"00"),IF(G464="Célula Construtiva",TEXT(B464,"00"),IF(G464="Etapa",CONCATENATE(TEXT(B464,"00"),".",TEXT(C464,"000")),IF(G464="Subetapa",CONCATENATE(TEXT(B464,"00"),".",TEXT(C464,"000"),".",TEXT(D464,"000")),IF(G464="Serviço",CONCATENATE(TEXT(B464,"00"),".",TEXT(C464,"000"),".",TEXT(D464,"000"),".",TEXT(E464,"000")),"")))))</f>
        <v/>
      </c>
      <c r="I464" s="18" t="inlineStr">
        <is>
          <t>Mão de obra</t>
        </is>
      </c>
      <c r="J464" s="6" t="n"/>
    </row>
    <row r="465" ht="20.45" customFormat="1" customHeight="1" s="8">
      <c r="A465" s="14">
        <f>IF($G465="UNIDADE CONSTRUTIVA",OFFSET(A465,-1,0)+1,LARGE(A$3:A464,1))</f>
        <v/>
      </c>
      <c r="B465" s="14">
        <f>IF(G465="UNIDADE CONSTRUTIVA",0,IF(G465="CÉLULA CONSTRUTIVA",OFFSET(B465,-1,0)+1,OFFSET(B465,-1,0)))</f>
        <v/>
      </c>
      <c r="C465" s="14">
        <f>IF(G465="CÉLULA CONSTRUTIVA",0,IF(G465="ETAPA",OFFSET(C465,-1,0)+1,OFFSET(C465,-1,0)))</f>
        <v/>
      </c>
      <c r="D465" s="13">
        <f>IF(G465="ETAPA",0,IF(G465="SUBETAPA",OFFSET(D465,-1,0)+1,OFFSET(D465,-1,0)))</f>
        <v/>
      </c>
      <c r="E465" s="13">
        <f>IF(G465="Subetapa",0,IF(G465="serviço",OFFSET(E465,-1,0)+1,OFFSET(E465,-1,0)))</f>
        <v/>
      </c>
      <c r="F465" s="12" t="n"/>
      <c r="G465" s="17" t="inlineStr">
        <is>
          <t>CÉLULA CONSTRUTIVA</t>
        </is>
      </c>
      <c r="H465" s="16">
        <f>IF(G465="Unidade Construtiva",TEXT(A465,"00"),IF(G465="Célula Construtiva",TEXT(B465,"00"),IF(G465="Etapa",CONCATENATE(TEXT(B465,"00"),".",TEXT(C465,"000")),IF(G465="Subetapa",CONCATENATE(TEXT(B465,"00"),".",TEXT(C465,"000"),".",TEXT(D465,"000")),IF(G465="Serviço",CONCATENATE(TEXT(B465,"00"),".",TEXT(C465,"000"),".",TEXT(D465,"000"),".",TEXT(E465,"000")),"")))))</f>
        <v/>
      </c>
      <c r="I465" s="15" t="inlineStr">
        <is>
          <t>REVESTIMENTOS INTERNOS EM TETO</t>
        </is>
      </c>
      <c r="J465" s="6" t="n"/>
    </row>
    <row r="466" ht="20.45" customFormat="1" customHeight="1" s="8">
      <c r="A466" s="14">
        <f>IF($G466="UNIDADE CONSTRUTIVA",OFFSET(A466,-1,0)+1,LARGE(A$3:A465,1))</f>
        <v/>
      </c>
      <c r="B466" s="14">
        <f>IF(G466="UNIDADE CONSTRUTIVA",0,IF(G466="CÉLULA CONSTRUTIVA",OFFSET(B466,-1,0)+1,OFFSET(B466,-1,0)))</f>
        <v/>
      </c>
      <c r="C466" s="14">
        <f>IF(G466="CÉLULA CONSTRUTIVA",0,IF(G466="ETAPA",OFFSET(C466,-1,0)+1,OFFSET(C466,-1,0)))</f>
        <v/>
      </c>
      <c r="D466" s="13">
        <f>IF(G466="ETAPA",0,IF(G466="SUBETAPA",OFFSET(D466,-1,0)+1,OFFSET(D466,-1,0)))</f>
        <v/>
      </c>
      <c r="E466" s="13">
        <f>IF(G466="Subetapa",0,IF(G466="serviço",OFFSET(E466,-1,0)+1,OFFSET(E466,-1,0)))</f>
        <v/>
      </c>
      <c r="F466" s="12" t="n"/>
      <c r="G466" s="17" t="inlineStr">
        <is>
          <t>ETAPA</t>
        </is>
      </c>
      <c r="H466" s="16">
        <f>IF(G466="Unidade Construtiva",TEXT(A466,"00"),IF(G466="Célula Construtiva",TEXT(B466,"00"),IF(G466="Etapa",CONCATENATE(TEXT(B466,"00"),".",TEXT(C466,"000")),IF(G466="Subetapa",CONCATENATE(TEXT(B466,"00"),".",TEXT(C466,"000"),".",TEXT(D466,"000")),IF(G466="Serviço",CONCATENATE(TEXT(B466,"00"),".",TEXT(C466,"000"),".",TEXT(D466,"000"),".",TEXT(E466,"000")),"")))))</f>
        <v/>
      </c>
      <c r="I466" s="15" t="inlineStr">
        <is>
          <t>REVESTIMENTOS ARGAMASSADOS INTERNOS EM TETO</t>
        </is>
      </c>
      <c r="J466" s="6" t="n"/>
    </row>
    <row r="467" ht="20.45" customFormat="1" customHeight="1" s="8">
      <c r="A467" s="14">
        <f>IF($G467="UNIDADE CONSTRUTIVA",OFFSET(A467,-1,0)+1,LARGE(A$3:A466,1))</f>
        <v/>
      </c>
      <c r="B467" s="14">
        <f>IF(G467="UNIDADE CONSTRUTIVA",0,IF(G467="CÉLULA CONSTRUTIVA",OFFSET(B467,-1,0)+1,OFFSET(B467,-1,0)))</f>
        <v/>
      </c>
      <c r="C467" s="14">
        <f>IF(G467="CÉLULA CONSTRUTIVA",0,IF(G467="ETAPA",OFFSET(C467,-1,0)+1,OFFSET(C467,-1,0)))</f>
        <v/>
      </c>
      <c r="D467" s="13">
        <f>IF(G467="ETAPA",0,IF(G467="SUBETAPA",OFFSET(D467,-1,0)+1,OFFSET(D467,-1,0)))</f>
        <v/>
      </c>
      <c r="E467" s="13">
        <f>IF(G467="Subetapa",0,IF(G467="serviço",OFFSET(E467,-1,0)+1,OFFSET(E467,-1,0)))</f>
        <v/>
      </c>
      <c r="F467" s="12" t="n"/>
      <c r="G467" s="19" t="inlineStr">
        <is>
          <t>Subetapa</t>
        </is>
      </c>
      <c r="H467" s="16">
        <f>IF(G467="Unidade Construtiva",TEXT(A467,"00"),IF(G467="Célula Construtiva",TEXT(B467,"00"),IF(G467="Etapa",CONCATENATE(TEXT(B467,"00"),".",TEXT(C467,"000")),IF(G467="Subetapa",CONCATENATE(TEXT(B467,"00"),".",TEXT(C467,"000"),".",TEXT(D467,"000")),IF(G467="Serviço",CONCATENATE(TEXT(B467,"00"),".",TEXT(C467,"000"),".",TEXT(D467,"000"),".",TEXT(E467,"000")),"")))))</f>
        <v/>
      </c>
      <c r="I467" s="18" t="inlineStr">
        <is>
          <t>Revestimento interno argamassado em teto</t>
        </is>
      </c>
      <c r="J467" s="6" t="n"/>
    </row>
    <row r="468" ht="20.45" customFormat="1" customHeight="1" s="8">
      <c r="A468" s="14">
        <f>IF($G468="UNIDADE CONSTRUTIVA",OFFSET(A468,-1,0)+1,LARGE(A$3:A467,1))</f>
        <v/>
      </c>
      <c r="B468" s="14">
        <f>IF(G468="UNIDADE CONSTRUTIVA",0,IF(G468="CÉLULA CONSTRUTIVA",OFFSET(B468,-1,0)+1,OFFSET(B468,-1,0)))</f>
        <v/>
      </c>
      <c r="C468" s="14">
        <f>IF(G468="CÉLULA CONSTRUTIVA",0,IF(G468="ETAPA",OFFSET(C468,-1,0)+1,OFFSET(C468,-1,0)))</f>
        <v/>
      </c>
      <c r="D468" s="13">
        <f>IF(G468="ETAPA",0,IF(G468="SUBETAPA",OFFSET(D468,-1,0)+1,OFFSET(D468,-1,0)))</f>
        <v/>
      </c>
      <c r="E468" s="13">
        <f>IF(G468="Subetapa",0,IF(G468="serviço",OFFSET(E468,-1,0)+1,OFFSET(E468,-1,0)))</f>
        <v/>
      </c>
      <c r="F468" s="12" t="n"/>
      <c r="G468" s="19" t="inlineStr">
        <is>
          <t>Subetapa</t>
        </is>
      </c>
      <c r="H468" s="16">
        <f>IF(G468="Unidade Construtiva",TEXT(A468,"00"),IF(G468="Célula Construtiva",TEXT(B468,"00"),IF(G468="Etapa",CONCATENATE(TEXT(B468,"00"),".",TEXT(C468,"000")),IF(G468="Subetapa",CONCATENATE(TEXT(B468,"00"),".",TEXT(C468,"000"),".",TEXT(D468,"000")),IF(G468="Serviço",CONCATENATE(TEXT(B468,"00"),".",TEXT(C468,"000"),".",TEXT(D468,"000"),".",TEXT(E468,"000")),"")))))</f>
        <v/>
      </c>
      <c r="I468" s="18" t="inlineStr">
        <is>
          <t>Mão de obra</t>
        </is>
      </c>
      <c r="J468" s="6" t="n"/>
    </row>
    <row r="469" ht="20.45" customFormat="1" customHeight="1" s="8">
      <c r="A469" s="14">
        <f>IF($G469="UNIDADE CONSTRUTIVA",OFFSET(A469,-1,0)+1,LARGE(A$3:A468,1))</f>
        <v/>
      </c>
      <c r="B469" s="14">
        <f>IF(G469="UNIDADE CONSTRUTIVA",0,IF(G469="CÉLULA CONSTRUTIVA",OFFSET(B469,-1,0)+1,OFFSET(B469,-1,0)))</f>
        <v/>
      </c>
      <c r="C469" s="14">
        <f>IF(G469="CÉLULA CONSTRUTIVA",0,IF(G469="ETAPA",OFFSET(C469,-1,0)+1,OFFSET(C469,-1,0)))</f>
        <v/>
      </c>
      <c r="D469" s="13">
        <f>IF(G469="ETAPA",0,IF(G469="SUBETAPA",OFFSET(D469,-1,0)+1,OFFSET(D469,-1,0)))</f>
        <v/>
      </c>
      <c r="E469" s="13">
        <f>IF(G469="Subetapa",0,IF(G469="serviço",OFFSET(E469,-1,0)+1,OFFSET(E469,-1,0)))</f>
        <v/>
      </c>
      <c r="F469" s="12" t="n"/>
      <c r="G469" s="17" t="inlineStr">
        <is>
          <t>CÉLULA CONSTRUTIVA</t>
        </is>
      </c>
      <c r="H469" s="16">
        <f>IF(G469="Unidade Construtiva",TEXT(A469,"00"),IF(G469="Célula Construtiva",TEXT(B469,"00"),IF(G469="Etapa",CONCATENATE(TEXT(B469,"00"),".",TEXT(C469,"000")),IF(G469="Subetapa",CONCATENATE(TEXT(B469,"00"),".",TEXT(C469,"000"),".",TEXT(D469,"000")),IF(G469="Serviço",CONCATENATE(TEXT(B469,"00"),".",TEXT(C469,"000"),".",TEXT(D469,"000"),".",TEXT(E469,"000")),"")))))</f>
        <v/>
      </c>
      <c r="I469" s="15" t="inlineStr">
        <is>
          <t>ACABAMENTOS INTERNOS EM TETO</t>
        </is>
      </c>
      <c r="J469" s="6" t="n"/>
    </row>
    <row r="470" ht="20.45" customFormat="1" customHeight="1" s="8">
      <c r="A470" s="14">
        <f>IF($G470="UNIDADE CONSTRUTIVA",OFFSET(A470,-1,0)+1,LARGE(A$3:A469,1))</f>
        <v/>
      </c>
      <c r="B470" s="14">
        <f>IF(G470="UNIDADE CONSTRUTIVA",0,IF(G470="CÉLULA CONSTRUTIVA",OFFSET(B470,-1,0)+1,OFFSET(B470,-1,0)))</f>
        <v/>
      </c>
      <c r="C470" s="14">
        <f>IF(G470="CÉLULA CONSTRUTIVA",0,IF(G470="ETAPA",OFFSET(C470,-1,0)+1,OFFSET(C470,-1,0)))</f>
        <v/>
      </c>
      <c r="D470" s="13">
        <f>IF(G470="ETAPA",0,IF(G470="SUBETAPA",OFFSET(D470,-1,0)+1,OFFSET(D470,-1,0)))</f>
        <v/>
      </c>
      <c r="E470" s="13">
        <f>IF(G470="Subetapa",0,IF(G470="serviço",OFFSET(E470,-1,0)+1,OFFSET(E470,-1,0)))</f>
        <v/>
      </c>
      <c r="F470" s="12" t="n"/>
      <c r="G470" s="17" t="inlineStr">
        <is>
          <t>ETAPA</t>
        </is>
      </c>
      <c r="H470" s="16">
        <f>IF(G470="Unidade Construtiva",TEXT(A470,"00"),IF(G470="Célula Construtiva",TEXT(B470,"00"),IF(G470="Etapa",CONCATENATE(TEXT(B470,"00"),".",TEXT(C470,"000")),IF(G470="Subetapa",CONCATENATE(TEXT(B470,"00"),".",TEXT(C470,"000"),".",TEXT(D470,"000")),IF(G470="Serviço",CONCATENATE(TEXT(B470,"00"),".",TEXT(C470,"000"),".",TEXT(D470,"000"),".",TEXT(E470,"000")),"")))))</f>
        <v/>
      </c>
      <c r="I470" s="15" t="inlineStr">
        <is>
          <t>ACABAMENTOS INTERNOS EM TETO</t>
        </is>
      </c>
      <c r="J470" s="6" t="n"/>
    </row>
    <row r="471" ht="20.45" customFormat="1" customHeight="1" s="8">
      <c r="A471" s="14">
        <f>IF($G471="UNIDADE CONSTRUTIVA",OFFSET(A471,-1,0)+1,LARGE(A$3:A470,1))</f>
        <v/>
      </c>
      <c r="B471" s="14">
        <f>IF(G471="UNIDADE CONSTRUTIVA",0,IF(G471="CÉLULA CONSTRUTIVA",OFFSET(B471,-1,0)+1,OFFSET(B471,-1,0)))</f>
        <v/>
      </c>
      <c r="C471" s="14">
        <f>IF(G471="CÉLULA CONSTRUTIVA",0,IF(G471="ETAPA",OFFSET(C471,-1,0)+1,OFFSET(C471,-1,0)))</f>
        <v/>
      </c>
      <c r="D471" s="13">
        <f>IF(G471="ETAPA",0,IF(G471="SUBETAPA",OFFSET(D471,-1,0)+1,OFFSET(D471,-1,0)))</f>
        <v/>
      </c>
      <c r="E471" s="13">
        <f>IF(G471="Subetapa",0,IF(G471="serviço",OFFSET(E471,-1,0)+1,OFFSET(E471,-1,0)))</f>
        <v/>
      </c>
      <c r="F471" s="12" t="n"/>
      <c r="G471" s="19" t="inlineStr">
        <is>
          <t>Subetapa</t>
        </is>
      </c>
      <c r="H471" s="16">
        <f>IF(G471="Unidade Construtiva",TEXT(A471,"00"),IF(G471="Célula Construtiva",TEXT(B471,"00"),IF(G471="Etapa",CONCATENATE(TEXT(B471,"00"),".",TEXT(C471,"000")),IF(G471="Subetapa",CONCATENATE(TEXT(B471,"00"),".",TEXT(C471,"000"),".",TEXT(D471,"000")),IF(G471="Serviço",CONCATENATE(TEXT(B471,"00"),".",TEXT(C471,"000"),".",TEXT(D471,"000"),".",TEXT(E471,"000")),"")))))</f>
        <v/>
      </c>
      <c r="I471" s="18" t="inlineStr">
        <is>
          <t>Acabamento de gesso em teto</t>
        </is>
      </c>
      <c r="J471" s="6" t="n"/>
    </row>
    <row r="472" ht="20.45" customFormat="1" customHeight="1" s="8">
      <c r="A472" s="14">
        <f>IF($G472="UNIDADE CONSTRUTIVA",OFFSET(A472,-1,0)+1,LARGE(A$3:A471,1))</f>
        <v/>
      </c>
      <c r="B472" s="14">
        <f>IF(G472="UNIDADE CONSTRUTIVA",0,IF(G472="CÉLULA CONSTRUTIVA",OFFSET(B472,-1,0)+1,OFFSET(B472,-1,0)))</f>
        <v/>
      </c>
      <c r="C472" s="14">
        <f>IF(G472="CÉLULA CONSTRUTIVA",0,IF(G472="ETAPA",OFFSET(C472,-1,0)+1,OFFSET(C472,-1,0)))</f>
        <v/>
      </c>
      <c r="D472" s="13">
        <f>IF(G472="ETAPA",0,IF(G472="SUBETAPA",OFFSET(D472,-1,0)+1,OFFSET(D472,-1,0)))</f>
        <v/>
      </c>
      <c r="E472" s="13">
        <f>IF(G472="Subetapa",0,IF(G472="serviço",OFFSET(E472,-1,0)+1,OFFSET(E472,-1,0)))</f>
        <v/>
      </c>
      <c r="F472" s="12" t="n"/>
      <c r="G472" s="19" t="inlineStr">
        <is>
          <t>Subetapa</t>
        </is>
      </c>
      <c r="H472" s="16">
        <f>IF(G472="Unidade Construtiva",TEXT(A472,"00"),IF(G472="Célula Construtiva",TEXT(B472,"00"),IF(G472="Etapa",CONCATENATE(TEXT(B472,"00"),".",TEXT(C472,"000")),IF(G472="Subetapa",CONCATENATE(TEXT(B472,"00"),".",TEXT(C472,"000"),".",TEXT(D472,"000")),IF(G472="Serviço",CONCATENATE(TEXT(B472,"00"),".",TEXT(C472,"000"),".",TEXT(D472,"000"),".",TEXT(E472,"000")),"")))))</f>
        <v/>
      </c>
      <c r="I472" s="18" t="inlineStr">
        <is>
          <t>Mão de obra</t>
        </is>
      </c>
      <c r="J472" s="6" t="n"/>
    </row>
    <row r="473" ht="20.45" customFormat="1" customHeight="1" s="8">
      <c r="A473" s="14">
        <f>IF($G473="UNIDADE CONSTRUTIVA",OFFSET(A473,-1,0)+1,LARGE(A$3:A472,1))</f>
        <v/>
      </c>
      <c r="B473" s="14">
        <f>IF(G473="UNIDADE CONSTRUTIVA",0,IF(G473="CÉLULA CONSTRUTIVA",OFFSET(B473,-1,0)+1,OFFSET(B473,-1,0)))</f>
        <v/>
      </c>
      <c r="C473" s="14">
        <f>IF(G473="CÉLULA CONSTRUTIVA",0,IF(G473="ETAPA",OFFSET(C473,-1,0)+1,OFFSET(C473,-1,0)))</f>
        <v/>
      </c>
      <c r="D473" s="13">
        <f>IF(G473="ETAPA",0,IF(G473="SUBETAPA",OFFSET(D473,-1,0)+1,OFFSET(D473,-1,0)))</f>
        <v/>
      </c>
      <c r="E473" s="13">
        <f>IF(G473="Subetapa",0,IF(G473="serviço",OFFSET(E473,-1,0)+1,OFFSET(E473,-1,0)))</f>
        <v/>
      </c>
      <c r="F473" s="12" t="n"/>
      <c r="G473" s="17" t="inlineStr">
        <is>
          <t>CÉLULA CONSTRUTIVA</t>
        </is>
      </c>
      <c r="H473" s="16">
        <f>IF(G473="Unidade Construtiva",TEXT(A473,"00"),IF(G473="Célula Construtiva",TEXT(B473,"00"),IF(G473="Etapa",CONCATENATE(TEXT(B473,"00"),".",TEXT(C473,"000")),IF(G473="Subetapa",CONCATENATE(TEXT(B473,"00"),".",TEXT(C473,"000"),".",TEXT(D473,"000")),IF(G473="Serviço",CONCATENATE(TEXT(B473,"00"),".",TEXT(C473,"000"),".",TEXT(D473,"000"),".",TEXT(E473,"000")),"")))))</f>
        <v/>
      </c>
      <c r="I473" s="15" t="inlineStr">
        <is>
          <t>REVESTIMENTOS ARGAMASSADOS EM PISO E PAVIMENTAÇÕES</t>
        </is>
      </c>
      <c r="J473" s="6" t="n"/>
    </row>
    <row r="474" ht="20.45" customFormat="1" customHeight="1" s="8">
      <c r="A474" s="14">
        <f>IF($G474="UNIDADE CONSTRUTIVA",OFFSET(A474,-1,0)+1,LARGE(A$3:A473,1))</f>
        <v/>
      </c>
      <c r="B474" s="14">
        <f>IF(G474="UNIDADE CONSTRUTIVA",0,IF(G474="CÉLULA CONSTRUTIVA",OFFSET(B474,-1,0)+1,OFFSET(B474,-1,0)))</f>
        <v/>
      </c>
      <c r="C474" s="14">
        <f>IF(G474="CÉLULA CONSTRUTIVA",0,IF(G474="ETAPA",OFFSET(C474,-1,0)+1,OFFSET(C474,-1,0)))</f>
        <v/>
      </c>
      <c r="D474" s="13">
        <f>IF(G474="ETAPA",0,IF(G474="SUBETAPA",OFFSET(D474,-1,0)+1,OFFSET(D474,-1,0)))</f>
        <v/>
      </c>
      <c r="E474" s="13">
        <f>IF(G474="Subetapa",0,IF(G474="serviço",OFFSET(E474,-1,0)+1,OFFSET(E474,-1,0)))</f>
        <v/>
      </c>
      <c r="F474" s="12" t="n"/>
      <c r="G474" s="17" t="inlineStr">
        <is>
          <t>ETAPA</t>
        </is>
      </c>
      <c r="H474" s="16">
        <f>IF(G474="Unidade Construtiva",TEXT(A474,"00"),IF(G474="Célula Construtiva",TEXT(B474,"00"),IF(G474="Etapa",CONCATENATE(TEXT(B474,"00"),".",TEXT(C474,"000")),IF(G474="Subetapa",CONCATENATE(TEXT(B474,"00"),".",TEXT(C474,"000"),".",TEXT(D474,"000")),IF(G474="Serviço",CONCATENATE(TEXT(B474,"00"),".",TEXT(C474,"000"),".",TEXT(D474,"000"),".",TEXT(E474,"000")),"")))))</f>
        <v/>
      </c>
      <c r="I474" s="15" t="inlineStr">
        <is>
          <t>REVESTIMENTOS ARGAMASSADOS EM PISO E PAVIMENTAÇÕES</t>
        </is>
      </c>
      <c r="J474" s="6" t="n"/>
    </row>
    <row r="475" ht="20.45" customFormat="1" customHeight="1" s="8">
      <c r="A475" s="14">
        <f>IF($G475="UNIDADE CONSTRUTIVA",OFFSET(A475,-1,0)+1,LARGE(A$3:A474,1))</f>
        <v/>
      </c>
      <c r="B475" s="14">
        <f>IF(G475="UNIDADE CONSTRUTIVA",0,IF(G475="CÉLULA CONSTRUTIVA",OFFSET(B475,-1,0)+1,OFFSET(B475,-1,0)))</f>
        <v/>
      </c>
      <c r="C475" s="14">
        <f>IF(G475="CÉLULA CONSTRUTIVA",0,IF(G475="ETAPA",OFFSET(C475,-1,0)+1,OFFSET(C475,-1,0)))</f>
        <v/>
      </c>
      <c r="D475" s="13">
        <f>IF(G475="ETAPA",0,IF(G475="SUBETAPA",OFFSET(D475,-1,0)+1,OFFSET(D475,-1,0)))</f>
        <v/>
      </c>
      <c r="E475" s="13">
        <f>IF(G475="Subetapa",0,IF(G475="serviço",OFFSET(E475,-1,0)+1,OFFSET(E475,-1,0)))</f>
        <v/>
      </c>
      <c r="F475" s="12" t="n"/>
      <c r="G475" s="19" t="inlineStr">
        <is>
          <t>Subetapa</t>
        </is>
      </c>
      <c r="H475" s="16">
        <f>IF(G475="Unidade Construtiva",TEXT(A475,"00"),IF(G475="Célula Construtiva",TEXT(B475,"00"),IF(G475="Etapa",CONCATENATE(TEXT(B475,"00"),".",TEXT(C475,"000")),IF(G475="Subetapa",CONCATENATE(TEXT(B475,"00"),".",TEXT(C475,"000"),".",TEXT(D475,"000")),IF(G475="Serviço",CONCATENATE(TEXT(B475,"00"),".",TEXT(C475,"000"),".",TEXT(D475,"000"),".",TEXT(E475,"000")),"")))))</f>
        <v/>
      </c>
      <c r="I475" s="18" t="inlineStr">
        <is>
          <t>Contrapiso</t>
        </is>
      </c>
      <c r="J475" s="6" t="n"/>
    </row>
    <row r="476" ht="20.45" customFormat="1" customHeight="1" s="8">
      <c r="A476" s="14">
        <f>IF($G476="UNIDADE CONSTRUTIVA",OFFSET(A476,-1,0)+1,LARGE(A$3:A475,1))</f>
        <v/>
      </c>
      <c r="B476" s="14">
        <f>IF(G476="UNIDADE CONSTRUTIVA",0,IF(G476="CÉLULA CONSTRUTIVA",OFFSET(B476,-1,0)+1,OFFSET(B476,-1,0)))</f>
        <v/>
      </c>
      <c r="C476" s="14">
        <f>IF(G476="CÉLULA CONSTRUTIVA",0,IF(G476="ETAPA",OFFSET(C476,-1,0)+1,OFFSET(C476,-1,0)))</f>
        <v/>
      </c>
      <c r="D476" s="13">
        <f>IF(G476="ETAPA",0,IF(G476="SUBETAPA",OFFSET(D476,-1,0)+1,OFFSET(D476,-1,0)))</f>
        <v/>
      </c>
      <c r="E476" s="13">
        <f>IF(G476="Subetapa",0,IF(G476="serviço",OFFSET(E476,-1,0)+1,OFFSET(E476,-1,0)))</f>
        <v/>
      </c>
      <c r="F476" s="12" t="n"/>
      <c r="G476" s="19" t="inlineStr">
        <is>
          <t>Subetapa</t>
        </is>
      </c>
      <c r="H476" s="16">
        <f>IF(G476="Unidade Construtiva",TEXT(A476,"00"),IF(G476="Célula Construtiva",TEXT(B476,"00"),IF(G476="Etapa",CONCATENATE(TEXT(B476,"00"),".",TEXT(C476,"000")),IF(G476="Subetapa",CONCATENATE(TEXT(B476,"00"),".",TEXT(C476,"000"),".",TEXT(D476,"000")),IF(G476="Serviço",CONCATENATE(TEXT(B476,"00"),".",TEXT(C476,"000"),".",TEXT(D476,"000"),".",TEXT(E476,"000")),"")))))</f>
        <v/>
      </c>
      <c r="I476" s="18" t="inlineStr">
        <is>
          <t>Isolamento térmico</t>
        </is>
      </c>
      <c r="J476" s="6" t="n"/>
    </row>
    <row r="477" ht="20.45" customFormat="1" customHeight="1" s="8">
      <c r="A477" s="14">
        <f>IF($G477="UNIDADE CONSTRUTIVA",OFFSET(A477,-1,0)+1,LARGE(A$3:A476,1))</f>
        <v/>
      </c>
      <c r="B477" s="14">
        <f>IF(G477="UNIDADE CONSTRUTIVA",0,IF(G477="CÉLULA CONSTRUTIVA",OFFSET(B477,-1,0)+1,OFFSET(B477,-1,0)))</f>
        <v/>
      </c>
      <c r="C477" s="14">
        <f>IF(G477="CÉLULA CONSTRUTIVA",0,IF(G477="ETAPA",OFFSET(C477,-1,0)+1,OFFSET(C477,-1,0)))</f>
        <v/>
      </c>
      <c r="D477" s="13">
        <f>IF(G477="ETAPA",0,IF(G477="SUBETAPA",OFFSET(D477,-1,0)+1,OFFSET(D477,-1,0)))</f>
        <v/>
      </c>
      <c r="E477" s="13">
        <f>IF(G477="Subetapa",0,IF(G477="serviço",OFFSET(E477,-1,0)+1,OFFSET(E477,-1,0)))</f>
        <v/>
      </c>
      <c r="F477" s="12" t="n"/>
      <c r="G477" s="19" t="inlineStr">
        <is>
          <t>Subetapa</t>
        </is>
      </c>
      <c r="H477" s="16">
        <f>IF(G477="Unidade Construtiva",TEXT(A477,"00"),IF(G477="Célula Construtiva",TEXT(B477,"00"),IF(G477="Etapa",CONCATENATE(TEXT(B477,"00"),".",TEXT(C477,"000")),IF(G477="Subetapa",CONCATENATE(TEXT(B477,"00"),".",TEXT(C477,"000"),".",TEXT(D477,"000")),IF(G477="Serviço",CONCATENATE(TEXT(B477,"00"),".",TEXT(C477,"000"),".",TEXT(D477,"000"),".",TEXT(E477,"000")),"")))))</f>
        <v/>
      </c>
      <c r="I477" s="18" t="inlineStr">
        <is>
          <t>Isolamento acústico</t>
        </is>
      </c>
      <c r="J477" s="6" t="n"/>
    </row>
    <row r="478" ht="20.45" customFormat="1" customHeight="1" s="8">
      <c r="A478" s="14">
        <f>IF($G478="UNIDADE CONSTRUTIVA",OFFSET(A478,-1,0)+1,LARGE(A$3:A477,1))</f>
        <v/>
      </c>
      <c r="B478" s="14">
        <f>IF(G478="UNIDADE CONSTRUTIVA",0,IF(G478="CÉLULA CONSTRUTIVA",OFFSET(B478,-1,0)+1,OFFSET(B478,-1,0)))</f>
        <v/>
      </c>
      <c r="C478" s="14">
        <f>IF(G478="CÉLULA CONSTRUTIVA",0,IF(G478="ETAPA",OFFSET(C478,-1,0)+1,OFFSET(C478,-1,0)))</f>
        <v/>
      </c>
      <c r="D478" s="13">
        <f>IF(G478="ETAPA",0,IF(G478="SUBETAPA",OFFSET(D478,-1,0)+1,OFFSET(D478,-1,0)))</f>
        <v/>
      </c>
      <c r="E478" s="13">
        <f>IF(G478="Subetapa",0,IF(G478="serviço",OFFSET(E478,-1,0)+1,OFFSET(E478,-1,0)))</f>
        <v/>
      </c>
      <c r="F478" s="12" t="n"/>
      <c r="G478" s="19" t="inlineStr">
        <is>
          <t>Subetapa</t>
        </is>
      </c>
      <c r="H478" s="16">
        <f>IF(G478="Unidade Construtiva",TEXT(A478,"00"),IF(G478="Célula Construtiva",TEXT(B478,"00"),IF(G478="Etapa",CONCATENATE(TEXT(B478,"00"),".",TEXT(C478,"000")),IF(G478="Subetapa",CONCATENATE(TEXT(B478,"00"),".",TEXT(C478,"000"),".",TEXT(D478,"000")),IF(G478="Serviço",CONCATENATE(TEXT(B478,"00"),".",TEXT(C478,"000"),".",TEXT(D478,"000"),".",TEXT(E478,"000")),"")))))</f>
        <v/>
      </c>
      <c r="I478" s="18" t="inlineStr">
        <is>
          <t>Acabamentos cimentados em piso</t>
        </is>
      </c>
      <c r="J478" s="6" t="n"/>
    </row>
    <row r="479" ht="20.45" customFormat="1" customHeight="1" s="8">
      <c r="A479" s="14">
        <f>IF($G479="UNIDADE CONSTRUTIVA",OFFSET(A479,-1,0)+1,LARGE(A$3:A478,1))</f>
        <v/>
      </c>
      <c r="B479" s="14">
        <f>IF(G479="UNIDADE CONSTRUTIVA",0,IF(G479="CÉLULA CONSTRUTIVA",OFFSET(B479,-1,0)+1,OFFSET(B479,-1,0)))</f>
        <v/>
      </c>
      <c r="C479" s="14">
        <f>IF(G479="CÉLULA CONSTRUTIVA",0,IF(G479="ETAPA",OFFSET(C479,-1,0)+1,OFFSET(C479,-1,0)))</f>
        <v/>
      </c>
      <c r="D479" s="13">
        <f>IF(G479="ETAPA",0,IF(G479="SUBETAPA",OFFSET(D479,-1,0)+1,OFFSET(D479,-1,0)))</f>
        <v/>
      </c>
      <c r="E479" s="13">
        <f>IF(G479="Subetapa",0,IF(G479="serviço",OFFSET(E479,-1,0)+1,OFFSET(E479,-1,0)))</f>
        <v/>
      </c>
      <c r="F479" s="12" t="n"/>
      <c r="G479" s="19" t="inlineStr">
        <is>
          <t>Subetapa</t>
        </is>
      </c>
      <c r="H479" s="16">
        <f>IF(G479="Unidade Construtiva",TEXT(A479,"00"),IF(G479="Célula Construtiva",TEXT(B479,"00"),IF(G479="Etapa",CONCATENATE(TEXT(B479,"00"),".",TEXT(C479,"000")),IF(G479="Subetapa",CONCATENATE(TEXT(B479,"00"),".",TEXT(C479,"000"),".",TEXT(D479,"000")),IF(G479="Serviço",CONCATENATE(TEXT(B479,"00"),".",TEXT(C479,"000"),".",TEXT(D479,"000"),".",TEXT(E479,"000")),"")))))</f>
        <v/>
      </c>
      <c r="I479" s="18" t="inlineStr">
        <is>
          <t>Mão de obra</t>
        </is>
      </c>
      <c r="J479" s="6" t="n"/>
    </row>
    <row r="480" ht="20.45" customFormat="1" customHeight="1" s="8">
      <c r="A480" s="14">
        <f>IF($G480="UNIDADE CONSTRUTIVA",OFFSET(A480,-1,0)+1,LARGE(A$3:A479,1))</f>
        <v/>
      </c>
      <c r="B480" s="14">
        <f>IF(G480="UNIDADE CONSTRUTIVA",0,IF(G480="CÉLULA CONSTRUTIVA",OFFSET(B480,-1,0)+1,OFFSET(B480,-1,0)))</f>
        <v/>
      </c>
      <c r="C480" s="14">
        <f>IF(G480="CÉLULA CONSTRUTIVA",0,IF(G480="ETAPA",OFFSET(C480,-1,0)+1,OFFSET(C480,-1,0)))</f>
        <v/>
      </c>
      <c r="D480" s="13">
        <f>IF(G480="ETAPA",0,IF(G480="SUBETAPA",OFFSET(D480,-1,0)+1,OFFSET(D480,-1,0)))</f>
        <v/>
      </c>
      <c r="E480" s="13">
        <f>IF(G480="Subetapa",0,IF(G480="serviço",OFFSET(E480,-1,0)+1,OFFSET(E480,-1,0)))</f>
        <v/>
      </c>
      <c r="F480" s="12" t="n"/>
      <c r="G480" s="17" t="inlineStr">
        <is>
          <t>CÉLULA CONSTRUTIVA</t>
        </is>
      </c>
      <c r="H480" s="16">
        <f>IF(G480="Unidade Construtiva",TEXT(A480,"00"),IF(G480="Célula Construtiva",TEXT(B480,"00"),IF(G480="Etapa",CONCATENATE(TEXT(B480,"00"),".",TEXT(C480,"000")),IF(G480="Subetapa",CONCATENATE(TEXT(B480,"00"),".",TEXT(C480,"000"),".",TEXT(D480,"000")),IF(G480="Serviço",CONCATENATE(TEXT(B480,"00"),".",TEXT(C480,"000"),".",TEXT(D480,"000"),".",TEXT(E480,"000")),"")))))</f>
        <v/>
      </c>
      <c r="I480" s="15" t="inlineStr">
        <is>
          <t>ACABAMENTOS EM PISO E PAVIMENTAÇÕES</t>
        </is>
      </c>
      <c r="J480" s="6" t="n"/>
    </row>
    <row r="481" ht="20.45" customFormat="1" customHeight="1" s="8">
      <c r="A481" s="14">
        <f>IF($G481="UNIDADE CONSTRUTIVA",OFFSET(A481,-1,0)+1,LARGE(A$3:A480,1))</f>
        <v/>
      </c>
      <c r="B481" s="14">
        <f>IF(G481="UNIDADE CONSTRUTIVA",0,IF(G481="CÉLULA CONSTRUTIVA",OFFSET(B481,-1,0)+1,OFFSET(B481,-1,0)))</f>
        <v/>
      </c>
      <c r="C481" s="14">
        <f>IF(G481="CÉLULA CONSTRUTIVA",0,IF(G481="ETAPA",OFFSET(C481,-1,0)+1,OFFSET(C481,-1,0)))</f>
        <v/>
      </c>
      <c r="D481" s="13">
        <f>IF(G481="ETAPA",0,IF(G481="SUBETAPA",OFFSET(D481,-1,0)+1,OFFSET(D481,-1,0)))</f>
        <v/>
      </c>
      <c r="E481" s="13">
        <f>IF(G481="Subetapa",0,IF(G481="serviço",OFFSET(E481,-1,0)+1,OFFSET(E481,-1,0)))</f>
        <v/>
      </c>
      <c r="F481" s="12" t="n"/>
      <c r="G481" s="17" t="inlineStr">
        <is>
          <t>ETAPA</t>
        </is>
      </c>
      <c r="H481" s="16">
        <f>IF(G481="Unidade Construtiva",TEXT(A481,"00"),IF(G481="Célula Construtiva",TEXT(B481,"00"),IF(G481="Etapa",CONCATENATE(TEXT(B481,"00"),".",TEXT(C481,"000")),IF(G481="Subetapa",CONCATENATE(TEXT(B481,"00"),".",TEXT(C481,"000"),".",TEXT(D481,"000")),IF(G481="Serviço",CONCATENATE(TEXT(B481,"00"),".",TEXT(C481,"000"),".",TEXT(D481,"000"),".",TEXT(E481,"000")),"")))))</f>
        <v/>
      </c>
      <c r="I481" s="15" t="inlineStr">
        <is>
          <t>ACABAMENTOS EM PISO E PAVIMENTAÇÕES</t>
        </is>
      </c>
      <c r="J481" s="6" t="n"/>
    </row>
    <row r="482" ht="20.45" customFormat="1" customHeight="1" s="8">
      <c r="A482" s="14">
        <f>IF($G482="UNIDADE CONSTRUTIVA",OFFSET(A482,-1,0)+1,LARGE(A$3:A481,1))</f>
        <v/>
      </c>
      <c r="B482" s="14">
        <f>IF(G482="UNIDADE CONSTRUTIVA",0,IF(G482="CÉLULA CONSTRUTIVA",OFFSET(B482,-1,0)+1,OFFSET(B482,-1,0)))</f>
        <v/>
      </c>
      <c r="C482" s="14">
        <f>IF(G482="CÉLULA CONSTRUTIVA",0,IF(G482="ETAPA",OFFSET(C482,-1,0)+1,OFFSET(C482,-1,0)))</f>
        <v/>
      </c>
      <c r="D482" s="13">
        <f>IF(G482="ETAPA",0,IF(G482="SUBETAPA",OFFSET(D482,-1,0)+1,OFFSET(D482,-1,0)))</f>
        <v/>
      </c>
      <c r="E482" s="13">
        <f>IF(G482="Subetapa",0,IF(G482="serviço",OFFSET(E482,-1,0)+1,OFFSET(E482,-1,0)))</f>
        <v/>
      </c>
      <c r="F482" s="12" t="n"/>
      <c r="G482" s="19" t="inlineStr">
        <is>
          <t>Subetapa</t>
        </is>
      </c>
      <c r="H482" s="16">
        <f>IF(G482="Unidade Construtiva",TEXT(A482,"00"),IF(G482="Célula Construtiva",TEXT(B482,"00"),IF(G482="Etapa",CONCATENATE(TEXT(B482,"00"),".",TEXT(C482,"000")),IF(G482="Subetapa",CONCATENATE(TEXT(B482,"00"),".",TEXT(C482,"000"),".",TEXT(D482,"000")),IF(G482="Serviço",CONCATENATE(TEXT(B482,"00"),".",TEXT(C482,"000"),".",TEXT(D482,"000"),".",TEXT(E482,"000")),"")))))</f>
        <v/>
      </c>
      <c r="I482" s="18" t="inlineStr">
        <is>
          <t>Acabamentos cerâmicos em piso</t>
        </is>
      </c>
      <c r="J482" s="6" t="n"/>
    </row>
    <row r="483" ht="20.45" customFormat="1" customHeight="1" s="8">
      <c r="A483" s="14">
        <f>IF($G483="UNIDADE CONSTRUTIVA",OFFSET(A483,-1,0)+1,LARGE(A$3:A482,1))</f>
        <v/>
      </c>
      <c r="B483" s="14">
        <f>IF(G483="UNIDADE CONSTRUTIVA",0,IF(G483="CÉLULA CONSTRUTIVA",OFFSET(B483,-1,0)+1,OFFSET(B483,-1,0)))</f>
        <v/>
      </c>
      <c r="C483" s="14">
        <f>IF(G483="CÉLULA CONSTRUTIVA",0,IF(G483="ETAPA",OFFSET(C483,-1,0)+1,OFFSET(C483,-1,0)))</f>
        <v/>
      </c>
      <c r="D483" s="13">
        <f>IF(G483="ETAPA",0,IF(G483="SUBETAPA",OFFSET(D483,-1,0)+1,OFFSET(D483,-1,0)))</f>
        <v/>
      </c>
      <c r="E483" s="13">
        <f>IF(G483="Subetapa",0,IF(G483="serviço",OFFSET(E483,-1,0)+1,OFFSET(E483,-1,0)))</f>
        <v/>
      </c>
      <c r="F483" s="12" t="n"/>
      <c r="G483" s="19" t="inlineStr">
        <is>
          <t>Subetapa</t>
        </is>
      </c>
      <c r="H483" s="16">
        <f>IF(G483="Unidade Construtiva",TEXT(A483,"00"),IF(G483="Célula Construtiva",TEXT(B483,"00"),IF(G483="Etapa",CONCATENATE(TEXT(B483,"00"),".",TEXT(C483,"000")),IF(G483="Subetapa",CONCATENATE(TEXT(B483,"00"),".",TEXT(C483,"000"),".",TEXT(D483,"000")),IF(G483="Serviço",CONCATENATE(TEXT(B483,"00"),".",TEXT(C483,"000"),".",TEXT(D483,"000"),".",TEXT(E483,"000")),"")))))</f>
        <v/>
      </c>
      <c r="I483" s="18" t="inlineStr">
        <is>
          <t>Acabamentos de madeira</t>
        </is>
      </c>
      <c r="J483" s="6" t="n"/>
    </row>
    <row r="484" ht="20.45" customFormat="1" customHeight="1" s="8" thickBot="1">
      <c r="A484" s="14">
        <f>IF($G484="UNIDADE CONSTRUTIVA",OFFSET(A484,-1,0)+1,LARGE(A$3:A483,1))</f>
        <v/>
      </c>
      <c r="B484" s="14">
        <f>IF(G484="UNIDADE CONSTRUTIVA",0,IF(G484="CÉLULA CONSTRUTIVA",OFFSET(B484,-1,0)+1,OFFSET(B484,-1,0)))</f>
        <v/>
      </c>
      <c r="C484" s="14">
        <f>IF(G484="CÉLULA CONSTRUTIVA",0,IF(G484="ETAPA",OFFSET(C484,-1,0)+1,OFFSET(C484,-1,0)))</f>
        <v/>
      </c>
      <c r="D484" s="13">
        <f>IF(G484="ETAPA",0,IF(G484="SUBETAPA",OFFSET(D484,-1,0)+1,OFFSET(D484,-1,0)))</f>
        <v/>
      </c>
      <c r="E484" s="13">
        <f>IF(G484="Subetapa",0,IF(G484="serviço",OFFSET(E484,-1,0)+1,OFFSET(E484,-1,0)))</f>
        <v/>
      </c>
      <c r="F484" s="12" t="n"/>
      <c r="G484" s="52" t="inlineStr">
        <is>
          <t>Subetapa</t>
        </is>
      </c>
      <c r="H484" s="16">
        <f>IF(G484="Unidade Construtiva",TEXT(A484,"00"),IF(G484="Célula Construtiva",TEXT(B484,"00"),IF(G484="Etapa",CONCATENATE(TEXT(B484,"00"),".",TEXT(C484,"000")),IF(G484="Subetapa",CONCATENATE(TEXT(B484,"00"),".",TEXT(C484,"000"),".",TEXT(D484,"000")),IF(G484="Serviço",CONCATENATE(TEXT(B484,"00"),".",TEXT(C484,"000"),".",TEXT(D484,"000"),".",TEXT(E484,"000")),"")))))</f>
        <v/>
      </c>
      <c r="I484" s="18" t="inlineStr">
        <is>
          <t>Acabamentos em pedra</t>
        </is>
      </c>
      <c r="J484" s="6" t="n"/>
    </row>
    <row r="485" ht="20.45" customHeight="1">
      <c r="A485" s="53">
        <f>IF($G485="UNIDADE CONSTRUTIVA",OFFSET(A485,-1,0)+1,LARGE(A$3:A484,1))</f>
        <v/>
      </c>
      <c r="B485" s="53">
        <f>IF(G485="UNIDADE CONSTRUTIVA",0,IF(G485="CÉLULA CONSTRUTIVA",OFFSET(B485,-1,0)+1,OFFSET(B485,-1,0)))</f>
        <v/>
      </c>
      <c r="C485" s="53">
        <f>IF(G485="CÉLULA CONSTRUTIVA",0,IF(G485="ETAPA",OFFSET(C485,-1,0)+1,OFFSET(C485,-1,0)))</f>
        <v/>
      </c>
      <c r="D485" s="54">
        <f>IF(G485="ETAPA",0,IF(G485="SUBETAPA",OFFSET(D485,-1,0)+1,OFFSET(D485,-1,0)))</f>
        <v/>
      </c>
      <c r="E485" s="54">
        <f>IF(G485="Subetapa",0,IF(G485="serviço",OFFSET(E485,-1,0)+1,OFFSET(E485,-1,0)))</f>
        <v/>
      </c>
      <c r="G485" s="19" t="inlineStr">
        <is>
          <t>Subetapa</t>
        </is>
      </c>
      <c r="H485" s="55">
        <f>IF(G485="Unidade Construtiva",TEXT(A485,"00"),IF(G485="Célula Construtiva",TEXT(B485,"00"),IF(G485="Etapa",CONCATENATE(TEXT(B485,"00"),".",TEXT(C485,"000")),IF(G485="Subetapa",CONCATENATE(TEXT(B485,"00"),".",TEXT(C485,"000"),".",TEXT(D485,"000")),IF(G485="Serviço",CONCATENATE(TEXT(B485,"00"),".",TEXT(C485,"000"),".",TEXT(D485,"000"),".",TEXT(E485,"000")),"")))))</f>
        <v/>
      </c>
      <c r="I485" s="18" t="inlineStr">
        <is>
          <t>Acabamentos especiais</t>
        </is>
      </c>
      <c r="J485" s="6" t="n"/>
    </row>
    <row r="486" ht="20.45" customHeight="1">
      <c r="A486" s="53">
        <f>IF($G486="UNIDADE CONSTRUTIVA",OFFSET(A486,-1,0)+1,LARGE(A$3:A485,1))</f>
        <v/>
      </c>
      <c r="B486" s="53">
        <f>IF(G486="UNIDADE CONSTRUTIVA",0,IF(G486="CÉLULA CONSTRUTIVA",OFFSET(B486,-1,0)+1,OFFSET(B486,-1,0)))</f>
        <v/>
      </c>
      <c r="C486" s="53">
        <f>IF(G486="CÉLULA CONSTRUTIVA",0,IF(G486="ETAPA",OFFSET(C486,-1,0)+1,OFFSET(C486,-1,0)))</f>
        <v/>
      </c>
      <c r="D486" s="54">
        <f>IF(G486="ETAPA",0,IF(G486="SUBETAPA",OFFSET(D486,-1,0)+1,OFFSET(D486,-1,0)))</f>
        <v/>
      </c>
      <c r="E486" s="54">
        <f>IF(G486="Subetapa",0,IF(G486="serviço",OFFSET(E486,-1,0)+1,OFFSET(E486,-1,0)))</f>
        <v/>
      </c>
      <c r="G486" s="19" t="inlineStr">
        <is>
          <t>Subetapa</t>
        </is>
      </c>
      <c r="H486" s="55">
        <f>IF(G486="Unidade Construtiva",TEXT(A486,"00"),IF(G486="Célula Construtiva",TEXT(B486,"00"),IF(G486="Etapa",CONCATENATE(TEXT(B486,"00"),".",TEXT(C486,"000")),IF(G486="Subetapa",CONCATENATE(TEXT(B486,"00"),".",TEXT(C486,"000"),".",TEXT(D486,"000")),IF(G486="Serviço",CONCATENATE(TEXT(B486,"00"),".",TEXT(C486,"000"),".",TEXT(D486,"000"),".",TEXT(E486,"000")),"")))))</f>
        <v/>
      </c>
      <c r="I486" s="18" t="inlineStr">
        <is>
          <t>Rodapés</t>
        </is>
      </c>
      <c r="J486" s="6" t="n"/>
    </row>
    <row r="487" ht="20.45" customHeight="1">
      <c r="A487" s="53">
        <f>IF($G487="UNIDADE CONSTRUTIVA",OFFSET(A487,-1,0)+1,LARGE(A$3:A486,1))</f>
        <v/>
      </c>
      <c r="B487" s="53">
        <f>IF(G487="UNIDADE CONSTRUTIVA",0,IF(G487="CÉLULA CONSTRUTIVA",OFFSET(B487,-1,0)+1,OFFSET(B487,-1,0)))</f>
        <v/>
      </c>
      <c r="C487" s="53">
        <f>IF(G487="CÉLULA CONSTRUTIVA",0,IF(G487="ETAPA",OFFSET(C487,-1,0)+1,OFFSET(C487,-1,0)))</f>
        <v/>
      </c>
      <c r="D487" s="54">
        <f>IF(G487="ETAPA",0,IF(G487="SUBETAPA",OFFSET(D487,-1,0)+1,OFFSET(D487,-1,0)))</f>
        <v/>
      </c>
      <c r="E487" s="54">
        <f>IF(G487="Subetapa",0,IF(G487="serviço",OFFSET(E487,-1,0)+1,OFFSET(E487,-1,0)))</f>
        <v/>
      </c>
      <c r="G487" s="19" t="inlineStr">
        <is>
          <t>Subetapa</t>
        </is>
      </c>
      <c r="H487" s="55">
        <f>IF(G487="Unidade Construtiva",TEXT(A487,"00"),IF(G487="Célula Construtiva",TEXT(B487,"00"),IF(G487="Etapa",CONCATENATE(TEXT(B487,"00"),".",TEXT(C487,"000")),IF(G487="Subetapa",CONCATENATE(TEXT(B487,"00"),".",TEXT(C487,"000"),".",TEXT(D487,"000")),IF(G487="Serviço",CONCATENATE(TEXT(B487,"00"),".",TEXT(C487,"000"),".",TEXT(D487,"000"),".",TEXT(E487,"000")),"")))))</f>
        <v/>
      </c>
      <c r="I487" s="18" t="inlineStr">
        <is>
          <t>Soleiras</t>
        </is>
      </c>
      <c r="J487" s="6" t="n"/>
    </row>
    <row r="488" ht="20.45" customHeight="1">
      <c r="A488" s="53">
        <f>IF($G488="UNIDADE CONSTRUTIVA",OFFSET(A488,-1,0)+1,LARGE(A$3:A487,1))</f>
        <v/>
      </c>
      <c r="B488" s="53">
        <f>IF(G488="UNIDADE CONSTRUTIVA",0,IF(G488="CÉLULA CONSTRUTIVA",OFFSET(B488,-1,0)+1,OFFSET(B488,-1,0)))</f>
        <v/>
      </c>
      <c r="C488" s="53">
        <f>IF(G488="CÉLULA CONSTRUTIVA",0,IF(G488="ETAPA",OFFSET(C488,-1,0)+1,OFFSET(C488,-1,0)))</f>
        <v/>
      </c>
      <c r="D488" s="54">
        <f>IF(G488="ETAPA",0,IF(G488="SUBETAPA",OFFSET(D488,-1,0)+1,OFFSET(D488,-1,0)))</f>
        <v/>
      </c>
      <c r="E488" s="54">
        <f>IF(G488="Subetapa",0,IF(G488="serviço",OFFSET(E488,-1,0)+1,OFFSET(E488,-1,0)))</f>
        <v/>
      </c>
      <c r="G488" s="19" t="inlineStr">
        <is>
          <t>Subetapa</t>
        </is>
      </c>
      <c r="H488" s="55">
        <f>IF(G488="Unidade Construtiva",TEXT(A488,"00"),IF(G488="Célula Construtiva",TEXT(B488,"00"),IF(G488="Etapa",CONCATENATE(TEXT(B488,"00"),".",TEXT(C488,"000")),IF(G488="Subetapa",CONCATENATE(TEXT(B488,"00"),".",TEXT(C488,"000"),".",TEXT(D488,"000")),IF(G488="Serviço",CONCATENATE(TEXT(B488,"00"),".",TEXT(C488,"000"),".",TEXT(D488,"000"),".",TEXT(E488,"000")),"")))))</f>
        <v/>
      </c>
      <c r="I488" s="18" t="inlineStr">
        <is>
          <t>Mão de obra</t>
        </is>
      </c>
      <c r="J488" s="6" t="n"/>
    </row>
    <row r="489" ht="20.45" customHeight="1">
      <c r="A489" s="53">
        <f>IF($G489="UNIDADE CONSTRUTIVA",OFFSET(A489,-1,0)+1,LARGE(A$3:A488,1))</f>
        <v/>
      </c>
      <c r="B489" s="53">
        <f>IF(G489="UNIDADE CONSTRUTIVA",0,IF(G489="CÉLULA CONSTRUTIVA",OFFSET(B489,-1,0)+1,OFFSET(B489,-1,0)))</f>
        <v/>
      </c>
      <c r="C489" s="53">
        <f>IF(G489="CÉLULA CONSTRUTIVA",0,IF(G489="ETAPA",OFFSET(C489,-1,0)+1,OFFSET(C489,-1,0)))</f>
        <v/>
      </c>
      <c r="D489" s="54">
        <f>IF(G489="ETAPA",0,IF(G489="SUBETAPA",OFFSET(D489,-1,0)+1,OFFSET(D489,-1,0)))</f>
        <v/>
      </c>
      <c r="E489" s="54">
        <f>IF(G489="Subetapa",0,IF(G489="serviço",OFFSET(E489,-1,0)+1,OFFSET(E489,-1,0)))</f>
        <v/>
      </c>
      <c r="G489" s="17" t="inlineStr">
        <is>
          <t>CÉLULA CONSTRUTIVA</t>
        </is>
      </c>
      <c r="H489" s="55">
        <f>IF(G489="Unidade Construtiva",TEXT(A489,"00"),IF(G489="Célula Construtiva",TEXT(B489,"00"),IF(G489="Etapa",CONCATENATE(TEXT(B489,"00"),".",TEXT(C489,"000")),IF(G489="Subetapa",CONCATENATE(TEXT(B489,"00"),".",TEXT(C489,"000"),".",TEXT(D489,"000")),IF(G489="Serviço",CONCATENATE(TEXT(B489,"00"),".",TEXT(C489,"000"),".",TEXT(D489,"000"),".",TEXT(E489,"000")),"")))))</f>
        <v/>
      </c>
      <c r="I489" s="15" t="inlineStr">
        <is>
          <t>SISTEMAS DE PINTURA INTERNA</t>
        </is>
      </c>
      <c r="J489" s="6" t="n"/>
    </row>
    <row r="490" ht="20.45" customHeight="1">
      <c r="A490" s="53">
        <f>IF($G490="UNIDADE CONSTRUTIVA",OFFSET(A490,-1,0)+1,LARGE(A$3:A489,1))</f>
        <v/>
      </c>
      <c r="B490" s="53">
        <f>IF(G490="UNIDADE CONSTRUTIVA",0,IF(G490="CÉLULA CONSTRUTIVA",OFFSET(B490,-1,0)+1,OFFSET(B490,-1,0)))</f>
        <v/>
      </c>
      <c r="C490" s="53">
        <f>IF(G490="CÉLULA CONSTRUTIVA",0,IF(G490="ETAPA",OFFSET(C490,-1,0)+1,OFFSET(C490,-1,0)))</f>
        <v/>
      </c>
      <c r="D490" s="54">
        <f>IF(G490="ETAPA",0,IF(G490="SUBETAPA",OFFSET(D490,-1,0)+1,OFFSET(D490,-1,0)))</f>
        <v/>
      </c>
      <c r="E490" s="54">
        <f>IF(G490="Subetapa",0,IF(G490="serviço",OFFSET(E490,-1,0)+1,OFFSET(E490,-1,0)))</f>
        <v/>
      </c>
      <c r="G490" s="17" t="inlineStr">
        <is>
          <t>ETAPA</t>
        </is>
      </c>
      <c r="H490" s="55">
        <f>IF(G490="Unidade Construtiva",TEXT(A490,"00"),IF(G490="Célula Construtiva",TEXT(B490,"00"),IF(G490="Etapa",CONCATENATE(TEXT(B490,"00"),".",TEXT(C490,"000")),IF(G490="Subetapa",CONCATENATE(TEXT(B490,"00"),".",TEXT(C490,"000"),".",TEXT(D490,"000")),IF(G490="Serviço",CONCATENATE(TEXT(B490,"00"),".",TEXT(C490,"000"),".",TEXT(D490,"000"),".",TEXT(E490,"000")),"")))))</f>
        <v/>
      </c>
      <c r="I490" s="15" t="inlineStr">
        <is>
          <t>PINTURA INTERNA</t>
        </is>
      </c>
      <c r="J490" s="6" t="n"/>
    </row>
    <row r="491" ht="20.45" customHeight="1">
      <c r="A491" s="53">
        <f>IF($G491="UNIDADE CONSTRUTIVA",OFFSET(A491,-1,0)+1,LARGE(A$3:A490,1))</f>
        <v/>
      </c>
      <c r="B491" s="53">
        <f>IF(G491="UNIDADE CONSTRUTIVA",0,IF(G491="CÉLULA CONSTRUTIVA",OFFSET(B491,-1,0)+1,OFFSET(B491,-1,0)))</f>
        <v/>
      </c>
      <c r="C491" s="53">
        <f>IF(G491="CÉLULA CONSTRUTIVA",0,IF(G491="ETAPA",OFFSET(C491,-1,0)+1,OFFSET(C491,-1,0)))</f>
        <v/>
      </c>
      <c r="D491" s="54">
        <f>IF(G491="ETAPA",0,IF(G491="SUBETAPA",OFFSET(D491,-1,0)+1,OFFSET(D491,-1,0)))</f>
        <v/>
      </c>
      <c r="E491" s="54">
        <f>IF(G491="Subetapa",0,IF(G491="serviço",OFFSET(E491,-1,0)+1,OFFSET(E491,-1,0)))</f>
        <v/>
      </c>
      <c r="G491" s="19" t="inlineStr">
        <is>
          <t>Subetapa</t>
        </is>
      </c>
      <c r="H491" s="55">
        <f>IF(G491="Unidade Construtiva",TEXT(A491,"00"),IF(G491="Célula Construtiva",TEXT(B491,"00"),IF(G491="Etapa",CONCATENATE(TEXT(B491,"00"),".",TEXT(C491,"000")),IF(G491="Subetapa",CONCATENATE(TEXT(B491,"00"),".",TEXT(C491,"000"),".",TEXT(D491,"000")),IF(G491="Serviço",CONCATENATE(TEXT(B491,"00"),".",TEXT(C491,"000"),".",TEXT(D491,"000"),".",TEXT(E491,"000")),"")))))</f>
        <v/>
      </c>
      <c r="I491" s="18" t="inlineStr">
        <is>
          <t>Sistema de pintura em piso</t>
        </is>
      </c>
      <c r="J491" s="6" t="n"/>
    </row>
    <row r="492" ht="20.45" customHeight="1">
      <c r="A492" s="53">
        <f>IF($G492="UNIDADE CONSTRUTIVA",OFFSET(A492,-1,0)+1,LARGE(A$3:A491,1))</f>
        <v/>
      </c>
      <c r="B492" s="53">
        <f>IF(G492="UNIDADE CONSTRUTIVA",0,IF(G492="CÉLULA CONSTRUTIVA",OFFSET(B492,-1,0)+1,OFFSET(B492,-1,0)))</f>
        <v/>
      </c>
      <c r="C492" s="53">
        <f>IF(G492="CÉLULA CONSTRUTIVA",0,IF(G492="ETAPA",OFFSET(C492,-1,0)+1,OFFSET(C492,-1,0)))</f>
        <v/>
      </c>
      <c r="D492" s="54">
        <f>IF(G492="ETAPA",0,IF(G492="SUBETAPA",OFFSET(D492,-1,0)+1,OFFSET(D492,-1,0)))</f>
        <v/>
      </c>
      <c r="E492" s="54">
        <f>IF(G492="Subetapa",0,IF(G492="serviço",OFFSET(E492,-1,0)+1,OFFSET(E492,-1,0)))</f>
        <v/>
      </c>
      <c r="G492" s="19" t="inlineStr">
        <is>
          <t>Subetapa</t>
        </is>
      </c>
      <c r="H492" s="55">
        <f>IF(G492="Unidade Construtiva",TEXT(A492,"00"),IF(G492="Célula Construtiva",TEXT(B492,"00"),IF(G492="Etapa",CONCATENATE(TEXT(B492,"00"),".",TEXT(C492,"000")),IF(G492="Subetapa",CONCATENATE(TEXT(B492,"00"),".",TEXT(C492,"000"),".",TEXT(D492,"000")),IF(G492="Serviço",CONCATENATE(TEXT(B492,"00"),".",TEXT(C492,"000"),".",TEXT(D492,"000"),".",TEXT(E492,"000")),"")))))</f>
        <v/>
      </c>
      <c r="I492" s="18" t="inlineStr">
        <is>
          <t>Sistema de pintura em parede</t>
        </is>
      </c>
      <c r="J492" s="6" t="n"/>
    </row>
    <row r="493" ht="20.45" customHeight="1">
      <c r="A493" s="53">
        <f>IF($G493="UNIDADE CONSTRUTIVA",OFFSET(A493,-1,0)+1,LARGE(A$3:A492,1))</f>
        <v/>
      </c>
      <c r="B493" s="53">
        <f>IF(G493="UNIDADE CONSTRUTIVA",0,IF(G493="CÉLULA CONSTRUTIVA",OFFSET(B493,-1,0)+1,OFFSET(B493,-1,0)))</f>
        <v/>
      </c>
      <c r="C493" s="53">
        <f>IF(G493="CÉLULA CONSTRUTIVA",0,IF(G493="ETAPA",OFFSET(C493,-1,0)+1,OFFSET(C493,-1,0)))</f>
        <v/>
      </c>
      <c r="D493" s="54">
        <f>IF(G493="ETAPA",0,IF(G493="SUBETAPA",OFFSET(D493,-1,0)+1,OFFSET(D493,-1,0)))</f>
        <v/>
      </c>
      <c r="E493" s="54">
        <f>IF(G493="Subetapa",0,IF(G493="serviço",OFFSET(E493,-1,0)+1,OFFSET(E493,-1,0)))</f>
        <v/>
      </c>
      <c r="G493" s="19" t="inlineStr">
        <is>
          <t>Subetapa</t>
        </is>
      </c>
      <c r="H493" s="55">
        <f>IF(G493="Unidade Construtiva",TEXT(A493,"00"),IF(G493="Célula Construtiva",TEXT(B493,"00"),IF(G493="Etapa",CONCATENATE(TEXT(B493,"00"),".",TEXT(C493,"000")),IF(G493="Subetapa",CONCATENATE(TEXT(B493,"00"),".",TEXT(C493,"000"),".",TEXT(D493,"000")),IF(G493="Serviço",CONCATENATE(TEXT(B493,"00"),".",TEXT(C493,"000"),".",TEXT(D493,"000"),".",TEXT(E493,"000")),"")))))</f>
        <v/>
      </c>
      <c r="I493" s="18" t="inlineStr">
        <is>
          <t>Sistema de pintura em teto</t>
        </is>
      </c>
      <c r="J493" s="6" t="n"/>
    </row>
    <row r="494" ht="20.45" customHeight="1">
      <c r="A494" s="53">
        <f>IF($G494="UNIDADE CONSTRUTIVA",OFFSET(A494,-1,0)+1,LARGE(A$3:A493,1))</f>
        <v/>
      </c>
      <c r="B494" s="53">
        <f>IF(G494="UNIDADE CONSTRUTIVA",0,IF(G494="CÉLULA CONSTRUTIVA",OFFSET(B494,-1,0)+1,OFFSET(B494,-1,0)))</f>
        <v/>
      </c>
      <c r="C494" s="53">
        <f>IF(G494="CÉLULA CONSTRUTIVA",0,IF(G494="ETAPA",OFFSET(C494,-1,0)+1,OFFSET(C494,-1,0)))</f>
        <v/>
      </c>
      <c r="D494" s="54">
        <f>IF(G494="ETAPA",0,IF(G494="SUBETAPA",OFFSET(D494,-1,0)+1,OFFSET(D494,-1,0)))</f>
        <v/>
      </c>
      <c r="E494" s="54">
        <f>IF(G494="Subetapa",0,IF(G494="serviço",OFFSET(E494,-1,0)+1,OFFSET(E494,-1,0)))</f>
        <v/>
      </c>
      <c r="G494" s="19" t="inlineStr">
        <is>
          <t>Subetapa</t>
        </is>
      </c>
      <c r="H494" s="55">
        <f>IF(G494="Unidade Construtiva",TEXT(A494,"00"),IF(G494="Célula Construtiva",TEXT(B494,"00"),IF(G494="Etapa",CONCATENATE(TEXT(B494,"00"),".",TEXT(C494,"000")),IF(G494="Subetapa",CONCATENATE(TEXT(B494,"00"),".",TEXT(C494,"000"),".",TEXT(D494,"000")),IF(G494="Serviço",CONCATENATE(TEXT(B494,"00"),".",TEXT(C494,"000"),".",TEXT(D494,"000"),".",TEXT(E494,"000")),"")))))</f>
        <v/>
      </c>
      <c r="I494" s="18" t="inlineStr">
        <is>
          <t>Pinturas diversas</t>
        </is>
      </c>
      <c r="J494" s="6" t="n"/>
    </row>
    <row r="495" ht="20.45" customHeight="1">
      <c r="A495" s="53">
        <f>IF($G495="UNIDADE CONSTRUTIVA",OFFSET(A495,-1,0)+1,LARGE(A$3:A494,1))</f>
        <v/>
      </c>
      <c r="B495" s="53">
        <f>IF(G495="UNIDADE CONSTRUTIVA",0,IF(G495="CÉLULA CONSTRUTIVA",OFFSET(B495,-1,0)+1,OFFSET(B495,-1,0)))</f>
        <v/>
      </c>
      <c r="C495" s="53">
        <f>IF(G495="CÉLULA CONSTRUTIVA",0,IF(G495="ETAPA",OFFSET(C495,-1,0)+1,OFFSET(C495,-1,0)))</f>
        <v/>
      </c>
      <c r="D495" s="54">
        <f>IF(G495="ETAPA",0,IF(G495="SUBETAPA",OFFSET(D495,-1,0)+1,OFFSET(D495,-1,0)))</f>
        <v/>
      </c>
      <c r="E495" s="54">
        <f>IF(G495="Subetapa",0,IF(G495="serviço",OFFSET(E495,-1,0)+1,OFFSET(E495,-1,0)))</f>
        <v/>
      </c>
      <c r="G495" s="19" t="inlineStr">
        <is>
          <t>Subetapa</t>
        </is>
      </c>
      <c r="H495" s="55">
        <f>IF(G495="Unidade Construtiva",TEXT(A495,"00"),IF(G495="Célula Construtiva",TEXT(B495,"00"),IF(G495="Etapa",CONCATENATE(TEXT(B495,"00"),".",TEXT(C495,"000")),IF(G495="Subetapa",CONCATENATE(TEXT(B495,"00"),".",TEXT(C495,"000"),".",TEXT(D495,"000")),IF(G495="Serviço",CONCATENATE(TEXT(B495,"00"),".",TEXT(C495,"000"),".",TEXT(D495,"000"),".",TEXT(E495,"000")),"")))))</f>
        <v/>
      </c>
      <c r="I495" s="18" t="inlineStr">
        <is>
          <t>Mão de obra</t>
        </is>
      </c>
      <c r="J495" s="6" t="n"/>
    </row>
    <row r="496" ht="20.45" customHeight="1">
      <c r="A496" s="53">
        <f>IF($G496="UNIDADE CONSTRUTIVA",OFFSET(A496,-1,0)+1,LARGE(A$3:A495,1))</f>
        <v/>
      </c>
      <c r="B496" s="53">
        <f>IF(G496="UNIDADE CONSTRUTIVA",0,IF(G496="CÉLULA CONSTRUTIVA",OFFSET(B496,-1,0)+1,OFFSET(B496,-1,0)))</f>
        <v/>
      </c>
      <c r="C496" s="53">
        <f>IF(G496="CÉLULA CONSTRUTIVA",0,IF(G496="ETAPA",OFFSET(C496,-1,0)+1,OFFSET(C496,-1,0)))</f>
        <v/>
      </c>
      <c r="D496" s="54">
        <f>IF(G496="ETAPA",0,IF(G496="SUBETAPA",OFFSET(D496,-1,0)+1,OFFSET(D496,-1,0)))</f>
        <v/>
      </c>
      <c r="E496" s="54">
        <f>IF(G496="Subetapa",0,IF(G496="serviço",OFFSET(E496,-1,0)+1,OFFSET(E496,-1,0)))</f>
        <v/>
      </c>
      <c r="G496" s="17" t="inlineStr">
        <is>
          <t>CÉLULA CONSTRUTIVA</t>
        </is>
      </c>
      <c r="H496" s="55">
        <f>IF(G496="Unidade Construtiva",TEXT(A496,"00"),IF(G496="Célula Construtiva",TEXT(B496,"00"),IF(G496="Etapa",CONCATENATE(TEXT(B496,"00"),".",TEXT(C496,"000")),IF(G496="Subetapa",CONCATENATE(TEXT(B496,"00"),".",TEXT(C496,"000"),".",TEXT(D496,"000")),IF(G496="Serviço",CONCATENATE(TEXT(B496,"00"),".",TEXT(C496,"000"),".",TEXT(D496,"000"),".",TEXT(E496,"000")),"")))))</f>
        <v/>
      </c>
      <c r="I496" s="15" t="inlineStr">
        <is>
          <t>ESQUADRIAS, VIDROS E FERRAGENS</t>
        </is>
      </c>
      <c r="J496" s="6" t="n"/>
    </row>
    <row r="497" ht="20.45" customHeight="1">
      <c r="A497" s="53">
        <f>IF($G497="UNIDADE CONSTRUTIVA",OFFSET(A497,-1,0)+1,LARGE(A$3:A496,1))</f>
        <v/>
      </c>
      <c r="B497" s="53">
        <f>IF(G497="UNIDADE CONSTRUTIVA",0,IF(G497="CÉLULA CONSTRUTIVA",OFFSET(B497,-1,0)+1,OFFSET(B497,-1,0)))</f>
        <v/>
      </c>
      <c r="C497" s="53">
        <f>IF(G497="CÉLULA CONSTRUTIVA",0,IF(G497="ETAPA",OFFSET(C497,-1,0)+1,OFFSET(C497,-1,0)))</f>
        <v/>
      </c>
      <c r="D497" s="54">
        <f>IF(G497="ETAPA",0,IF(G497="SUBETAPA",OFFSET(D497,-1,0)+1,OFFSET(D497,-1,0)))</f>
        <v/>
      </c>
      <c r="E497" s="54">
        <f>IF(G497="Subetapa",0,IF(G497="serviço",OFFSET(E497,-1,0)+1,OFFSET(E497,-1,0)))</f>
        <v/>
      </c>
      <c r="G497" s="17" t="inlineStr">
        <is>
          <t>ETAPA</t>
        </is>
      </c>
      <c r="H497" s="55">
        <f>IF(G497="Unidade Construtiva",TEXT(A497,"00"),IF(G497="Célula Construtiva",TEXT(B497,"00"),IF(G497="Etapa",CONCATENATE(TEXT(B497,"00"),".",TEXT(C497,"000")),IF(G497="Subetapa",CONCATENATE(TEXT(B497,"00"),".",TEXT(C497,"000"),".",TEXT(D497,"000")),IF(G497="Serviço",CONCATENATE(TEXT(B497,"00"),".",TEXT(C497,"000"),".",TEXT(D497,"000"),".",TEXT(E497,"000")),"")))))</f>
        <v/>
      </c>
      <c r="I497" s="15" t="inlineStr">
        <is>
          <t>ESQUADRIAS DE ALUMÍNIO</t>
        </is>
      </c>
      <c r="J497" s="6" t="n"/>
    </row>
    <row r="498" ht="20.45" customHeight="1">
      <c r="A498" s="53">
        <f>IF($G498="UNIDADE CONSTRUTIVA",OFFSET(A498,-1,0)+1,LARGE(A$3:A497,1))</f>
        <v/>
      </c>
      <c r="B498" s="53">
        <f>IF(G498="UNIDADE CONSTRUTIVA",0,IF(G498="CÉLULA CONSTRUTIVA",OFFSET(B498,-1,0)+1,OFFSET(B498,-1,0)))</f>
        <v/>
      </c>
      <c r="C498" s="53">
        <f>IF(G498="CÉLULA CONSTRUTIVA",0,IF(G498="ETAPA",OFFSET(C498,-1,0)+1,OFFSET(C498,-1,0)))</f>
        <v/>
      </c>
      <c r="D498" s="54">
        <f>IF(G498="ETAPA",0,IF(G498="SUBETAPA",OFFSET(D498,-1,0)+1,OFFSET(D498,-1,0)))</f>
        <v/>
      </c>
      <c r="E498" s="54">
        <f>IF(G498="Subetapa",0,IF(G498="serviço",OFFSET(E498,-1,0)+1,OFFSET(E498,-1,0)))</f>
        <v/>
      </c>
      <c r="G498" s="19" t="inlineStr">
        <is>
          <t>Subetapa</t>
        </is>
      </c>
      <c r="H498" s="55">
        <f>IF(G498="Unidade Construtiva",TEXT(A498,"00"),IF(G498="Célula Construtiva",TEXT(B498,"00"),IF(G498="Etapa",CONCATENATE(TEXT(B498,"00"),".",TEXT(C498,"000")),IF(G498="Subetapa",CONCATENATE(TEXT(B498,"00"),".",TEXT(C498,"000"),".",TEXT(D498,"000")),IF(G498="Serviço",CONCATENATE(TEXT(B498,"00"),".",TEXT(C498,"000"),".",TEXT(D498,"000"),".",TEXT(E498,"000")),"")))))</f>
        <v/>
      </c>
      <c r="I498" s="18" t="inlineStr">
        <is>
          <t>Contramarco</t>
        </is>
      </c>
      <c r="J498" s="6" t="n"/>
    </row>
    <row r="499" ht="20.45" customHeight="1">
      <c r="A499" s="53">
        <f>IF($G499="UNIDADE CONSTRUTIVA",OFFSET(A499,-1,0)+1,LARGE(A$3:A498,1))</f>
        <v/>
      </c>
      <c r="B499" s="53">
        <f>IF(G499="UNIDADE CONSTRUTIVA",0,IF(G499="CÉLULA CONSTRUTIVA",OFFSET(B499,-1,0)+1,OFFSET(B499,-1,0)))</f>
        <v/>
      </c>
      <c r="C499" s="53">
        <f>IF(G499="CÉLULA CONSTRUTIVA",0,IF(G499="ETAPA",OFFSET(C499,-1,0)+1,OFFSET(C499,-1,0)))</f>
        <v/>
      </c>
      <c r="D499" s="54">
        <f>IF(G499="ETAPA",0,IF(G499="SUBETAPA",OFFSET(D499,-1,0)+1,OFFSET(D499,-1,0)))</f>
        <v/>
      </c>
      <c r="E499" s="54">
        <f>IF(G499="Subetapa",0,IF(G499="serviço",OFFSET(E499,-1,0)+1,OFFSET(E499,-1,0)))</f>
        <v/>
      </c>
      <c r="G499" s="19" t="inlineStr">
        <is>
          <t>Subetapa</t>
        </is>
      </c>
      <c r="H499" s="55">
        <f>IF(G499="Unidade Construtiva",TEXT(A499,"00"),IF(G499="Célula Construtiva",TEXT(B499,"00"),IF(G499="Etapa",CONCATENATE(TEXT(B499,"00"),".",TEXT(C499,"000")),IF(G499="Subetapa",CONCATENATE(TEXT(B499,"00"),".",TEXT(C499,"000"),".",TEXT(D499,"000")),IF(G499="Serviço",CONCATENATE(TEXT(B499,"00"),".",TEXT(C499,"000"),".",TEXT(D499,"000"),".",TEXT(E499,"000")),"")))))</f>
        <v/>
      </c>
      <c r="I499" s="18" t="inlineStr">
        <is>
          <t>Esquadrias de alumínio</t>
        </is>
      </c>
      <c r="J499" s="6" t="n"/>
    </row>
    <row r="500" ht="20.45" customHeight="1">
      <c r="A500" s="53">
        <f>IF($G500="UNIDADE CONSTRUTIVA",OFFSET(A500,-1,0)+1,LARGE(A$3:A499,1))</f>
        <v/>
      </c>
      <c r="B500" s="53">
        <f>IF(G500="UNIDADE CONSTRUTIVA",0,IF(G500="CÉLULA CONSTRUTIVA",OFFSET(B500,-1,0)+1,OFFSET(B500,-1,0)))</f>
        <v/>
      </c>
      <c r="C500" s="53">
        <f>IF(G500="CÉLULA CONSTRUTIVA",0,IF(G500="ETAPA",OFFSET(C500,-1,0)+1,OFFSET(C500,-1,0)))</f>
        <v/>
      </c>
      <c r="D500" s="54">
        <f>IF(G500="ETAPA",0,IF(G500="SUBETAPA",OFFSET(D500,-1,0)+1,OFFSET(D500,-1,0)))</f>
        <v/>
      </c>
      <c r="E500" s="54">
        <f>IF(G500="Subetapa",0,IF(G500="serviço",OFFSET(E500,-1,0)+1,OFFSET(E500,-1,0)))</f>
        <v/>
      </c>
      <c r="G500" s="19" t="inlineStr">
        <is>
          <t>Subetapa</t>
        </is>
      </c>
      <c r="H500" s="55">
        <f>IF(G500="Unidade Construtiva",TEXT(A500,"00"),IF(G500="Célula Construtiva",TEXT(B500,"00"),IF(G500="Etapa",CONCATENATE(TEXT(B500,"00"),".",TEXT(C500,"000")),IF(G500="Subetapa",CONCATENATE(TEXT(B500,"00"),".",TEXT(C500,"000"),".",TEXT(D500,"000")),IF(G500="Serviço",CONCATENATE(TEXT(B500,"00"),".",TEXT(C500,"000"),".",TEXT(D500,"000"),".",TEXT(E500,"000")),"")))))</f>
        <v/>
      </c>
      <c r="I500" s="18" t="inlineStr">
        <is>
          <t>Guarda corpo</t>
        </is>
      </c>
      <c r="J500" s="6" t="n"/>
    </row>
    <row r="501" ht="20.45" customHeight="1">
      <c r="A501" s="53">
        <f>IF($G501="UNIDADE CONSTRUTIVA",OFFSET(A501,-1,0)+1,LARGE(A$3:A500,1))</f>
        <v/>
      </c>
      <c r="B501" s="53">
        <f>IF(G501="UNIDADE CONSTRUTIVA",0,IF(G501="CÉLULA CONSTRUTIVA",OFFSET(B501,-1,0)+1,OFFSET(B501,-1,0)))</f>
        <v/>
      </c>
      <c r="C501" s="53">
        <f>IF(G501="CÉLULA CONSTRUTIVA",0,IF(G501="ETAPA",OFFSET(C501,-1,0)+1,OFFSET(C501,-1,0)))</f>
        <v/>
      </c>
      <c r="D501" s="54">
        <f>IF(G501="ETAPA",0,IF(G501="SUBETAPA",OFFSET(D501,-1,0)+1,OFFSET(D501,-1,0)))</f>
        <v/>
      </c>
      <c r="E501" s="54">
        <f>IF(G501="Subetapa",0,IF(G501="serviço",OFFSET(E501,-1,0)+1,OFFSET(E501,-1,0)))</f>
        <v/>
      </c>
      <c r="G501" s="19" t="inlineStr">
        <is>
          <t>Subetapa</t>
        </is>
      </c>
      <c r="H501" s="55">
        <f>IF(G501="Unidade Construtiva",TEXT(A501,"00"),IF(G501="Célula Construtiva",TEXT(B501,"00"),IF(G501="Etapa",CONCATENATE(TEXT(B501,"00"),".",TEXT(C501,"000")),IF(G501="Subetapa",CONCATENATE(TEXT(B501,"00"),".",TEXT(C501,"000"),".",TEXT(D501,"000")),IF(G501="Serviço",CONCATENATE(TEXT(B501,"00"),".",TEXT(C501,"000"),".",TEXT(D501,"000"),".",TEXT(E501,"000")),"")))))</f>
        <v/>
      </c>
      <c r="I501" s="18" t="inlineStr">
        <is>
          <t>Pele de vidro</t>
        </is>
      </c>
      <c r="J501" s="6" t="n"/>
    </row>
    <row r="502" ht="20.45" customHeight="1">
      <c r="A502" s="53">
        <f>IF($G502="UNIDADE CONSTRUTIVA",OFFSET(A502,-1,0)+1,LARGE(A$3:A501,1))</f>
        <v/>
      </c>
      <c r="B502" s="53">
        <f>IF(G502="UNIDADE CONSTRUTIVA",0,IF(G502="CÉLULA CONSTRUTIVA",OFFSET(B502,-1,0)+1,OFFSET(B502,-1,0)))</f>
        <v/>
      </c>
      <c r="C502" s="53">
        <f>IF(G502="CÉLULA CONSTRUTIVA",0,IF(G502="ETAPA",OFFSET(C502,-1,0)+1,OFFSET(C502,-1,0)))</f>
        <v/>
      </c>
      <c r="D502" s="54">
        <f>IF(G502="ETAPA",0,IF(G502="SUBETAPA",OFFSET(D502,-1,0)+1,OFFSET(D502,-1,0)))</f>
        <v/>
      </c>
      <c r="E502" s="54">
        <f>IF(G502="Subetapa",0,IF(G502="serviço",OFFSET(E502,-1,0)+1,OFFSET(E502,-1,0)))</f>
        <v/>
      </c>
      <c r="G502" s="19" t="inlineStr">
        <is>
          <t>Subetapa</t>
        </is>
      </c>
      <c r="H502" s="55">
        <f>IF(G502="Unidade Construtiva",TEXT(A502,"00"),IF(G502="Célula Construtiva",TEXT(B502,"00"),IF(G502="Etapa",CONCATENATE(TEXT(B502,"00"),".",TEXT(C502,"000")),IF(G502="Subetapa",CONCATENATE(TEXT(B502,"00"),".",TEXT(C502,"000"),".",TEXT(D502,"000")),IF(G502="Serviço",CONCATENATE(TEXT(B502,"00"),".",TEXT(C502,"000"),".",TEXT(D502,"000"),".",TEXT(E502,"000")),"")))))</f>
        <v/>
      </c>
      <c r="I502" s="18" t="inlineStr">
        <is>
          <t>Mão de obra</t>
        </is>
      </c>
      <c r="J502" s="6" t="n"/>
    </row>
    <row r="503" ht="20.45" customHeight="1">
      <c r="A503" s="53">
        <f>IF($G503="UNIDADE CONSTRUTIVA",OFFSET(A503,-1,0)+1,LARGE(A$3:A502,1))</f>
        <v/>
      </c>
      <c r="B503" s="53">
        <f>IF(G503="UNIDADE CONSTRUTIVA",0,IF(G503="CÉLULA CONSTRUTIVA",OFFSET(B503,-1,0)+1,OFFSET(B503,-1,0)))</f>
        <v/>
      </c>
      <c r="C503" s="53">
        <f>IF(G503="CÉLULA CONSTRUTIVA",0,IF(G503="ETAPA",OFFSET(C503,-1,0)+1,OFFSET(C503,-1,0)))</f>
        <v/>
      </c>
      <c r="D503" s="54">
        <f>IF(G503="ETAPA",0,IF(G503="SUBETAPA",OFFSET(D503,-1,0)+1,OFFSET(D503,-1,0)))</f>
        <v/>
      </c>
      <c r="E503" s="54">
        <f>IF(G503="Subetapa",0,IF(G503="serviço",OFFSET(E503,-1,0)+1,OFFSET(E503,-1,0)))</f>
        <v/>
      </c>
      <c r="G503" s="17" t="inlineStr">
        <is>
          <t>ETAPA</t>
        </is>
      </c>
      <c r="H503" s="55">
        <f>IF(G503="Unidade Construtiva",TEXT(A503,"00"),IF(G503="Célula Construtiva",TEXT(B503,"00"),IF(G503="Etapa",CONCATENATE(TEXT(B503,"00"),".",TEXT(C503,"000")),IF(G503="Subetapa",CONCATENATE(TEXT(B503,"00"),".",TEXT(C503,"000"),".",TEXT(D503,"000")),IF(G503="Serviço",CONCATENATE(TEXT(B503,"00"),".",TEXT(C503,"000"),".",TEXT(D503,"000"),".",TEXT(E503,"000")),"")))))</f>
        <v/>
      </c>
      <c r="I503" s="15" t="inlineStr">
        <is>
          <t>ESQUADRIAS DE MADEIRA</t>
        </is>
      </c>
      <c r="J503" s="6" t="n"/>
    </row>
    <row r="504" ht="20.45" customHeight="1">
      <c r="A504" s="53">
        <f>IF($G504="UNIDADE CONSTRUTIVA",OFFSET(A504,-1,0)+1,LARGE(A$3:A503,1))</f>
        <v/>
      </c>
      <c r="B504" s="53">
        <f>IF(G504="UNIDADE CONSTRUTIVA",0,IF(G504="CÉLULA CONSTRUTIVA",OFFSET(B504,-1,0)+1,OFFSET(B504,-1,0)))</f>
        <v/>
      </c>
      <c r="C504" s="53">
        <f>IF(G504="CÉLULA CONSTRUTIVA",0,IF(G504="ETAPA",OFFSET(C504,-1,0)+1,OFFSET(C504,-1,0)))</f>
        <v/>
      </c>
      <c r="D504" s="54">
        <f>IF(G504="ETAPA",0,IF(G504="SUBETAPA",OFFSET(D504,-1,0)+1,OFFSET(D504,-1,0)))</f>
        <v/>
      </c>
      <c r="E504" s="54">
        <f>IF(G504="Subetapa",0,IF(G504="serviço",OFFSET(E504,-1,0)+1,OFFSET(E504,-1,0)))</f>
        <v/>
      </c>
      <c r="G504" s="19" t="inlineStr">
        <is>
          <t>Subetapa</t>
        </is>
      </c>
      <c r="H504" s="55">
        <f>IF(G504="Unidade Construtiva",TEXT(A504,"00"),IF(G504="Célula Construtiva",TEXT(B504,"00"),IF(G504="Etapa",CONCATENATE(TEXT(B504,"00"),".",TEXT(C504,"000")),IF(G504="Subetapa",CONCATENATE(TEXT(B504,"00"),".",TEXT(C504,"000"),".",TEXT(D504,"000")),IF(G504="Serviço",CONCATENATE(TEXT(B504,"00"),".",TEXT(C504,"000"),".",TEXT(D504,"000"),".",TEXT(E504,"000")),"")))))</f>
        <v/>
      </c>
      <c r="I504" s="18" t="inlineStr">
        <is>
          <t>Esquadrias de madeira</t>
        </is>
      </c>
      <c r="J504" s="6" t="n"/>
    </row>
    <row r="505" ht="20.45" customHeight="1">
      <c r="A505" s="53">
        <f>IF($G505="UNIDADE CONSTRUTIVA",OFFSET(A505,-1,0)+1,LARGE(A$3:A504,1))</f>
        <v/>
      </c>
      <c r="B505" s="53">
        <f>IF(G505="UNIDADE CONSTRUTIVA",0,IF(G505="CÉLULA CONSTRUTIVA",OFFSET(B505,-1,0)+1,OFFSET(B505,-1,0)))</f>
        <v/>
      </c>
      <c r="C505" s="53">
        <f>IF(G505="CÉLULA CONSTRUTIVA",0,IF(G505="ETAPA",OFFSET(C505,-1,0)+1,OFFSET(C505,-1,0)))</f>
        <v/>
      </c>
      <c r="D505" s="54">
        <f>IF(G505="ETAPA",0,IF(G505="SUBETAPA",OFFSET(D505,-1,0)+1,OFFSET(D505,-1,0)))</f>
        <v/>
      </c>
      <c r="E505" s="54">
        <f>IF(G505="Subetapa",0,IF(G505="serviço",OFFSET(E505,-1,0)+1,OFFSET(E505,-1,0)))</f>
        <v/>
      </c>
      <c r="G505" s="19" t="inlineStr">
        <is>
          <t>Subetapa</t>
        </is>
      </c>
      <c r="H505" s="55">
        <f>IF(G505="Unidade Construtiva",TEXT(A505,"00"),IF(G505="Célula Construtiva",TEXT(B505,"00"),IF(G505="Etapa",CONCATENATE(TEXT(B505,"00"),".",TEXT(C505,"000")),IF(G505="Subetapa",CONCATENATE(TEXT(B505,"00"),".",TEXT(C505,"000"),".",TEXT(D505,"000")),IF(G505="Serviço",CONCATENATE(TEXT(B505,"00"),".",TEXT(C505,"000"),".",TEXT(D505,"000"),".",TEXT(E505,"000")),"")))))</f>
        <v/>
      </c>
      <c r="I505" s="18" t="inlineStr">
        <is>
          <t>Corrimão de madeira</t>
        </is>
      </c>
      <c r="J505" s="6" t="n"/>
    </row>
    <row r="506" ht="20.45" customHeight="1">
      <c r="A506" s="53">
        <f>IF($G506="UNIDADE CONSTRUTIVA",OFFSET(A506,-1,0)+1,LARGE(A$3:A505,1))</f>
        <v/>
      </c>
      <c r="B506" s="53">
        <f>IF(G506="UNIDADE CONSTRUTIVA",0,IF(G506="CÉLULA CONSTRUTIVA",OFFSET(B506,-1,0)+1,OFFSET(B506,-1,0)))</f>
        <v/>
      </c>
      <c r="C506" s="53">
        <f>IF(G506="CÉLULA CONSTRUTIVA",0,IF(G506="ETAPA",OFFSET(C506,-1,0)+1,OFFSET(C506,-1,0)))</f>
        <v/>
      </c>
      <c r="D506" s="54">
        <f>IF(G506="ETAPA",0,IF(G506="SUBETAPA",OFFSET(D506,-1,0)+1,OFFSET(D506,-1,0)))</f>
        <v/>
      </c>
      <c r="E506" s="54">
        <f>IF(G506="Subetapa",0,IF(G506="serviço",OFFSET(E506,-1,0)+1,OFFSET(E506,-1,0)))</f>
        <v/>
      </c>
      <c r="G506" s="19" t="inlineStr">
        <is>
          <t>Subetapa</t>
        </is>
      </c>
      <c r="H506" s="55">
        <f>IF(G506="Unidade Construtiva",TEXT(A506,"00"),IF(G506="Célula Construtiva",TEXT(B506,"00"),IF(G506="Etapa",CONCATENATE(TEXT(B506,"00"),".",TEXT(C506,"000")),IF(G506="Subetapa",CONCATENATE(TEXT(B506,"00"),".",TEXT(C506,"000"),".",TEXT(D506,"000")),IF(G506="Serviço",CONCATENATE(TEXT(B506,"00"),".",TEXT(C506,"000"),".",TEXT(D506,"000"),".",TEXT(E506,"000")),"")))))</f>
        <v/>
      </c>
      <c r="I506" s="18" t="inlineStr">
        <is>
          <t>Acessórios e ferragens</t>
        </is>
      </c>
      <c r="J506" s="6" t="n"/>
    </row>
    <row r="507" ht="20.45" customHeight="1">
      <c r="A507" s="53">
        <f>IF($G507="UNIDADE CONSTRUTIVA",OFFSET(A507,-1,0)+1,LARGE(A$3:A506,1))</f>
        <v/>
      </c>
      <c r="B507" s="53">
        <f>IF(G507="UNIDADE CONSTRUTIVA",0,IF(G507="CÉLULA CONSTRUTIVA",OFFSET(B507,-1,0)+1,OFFSET(B507,-1,0)))</f>
        <v/>
      </c>
      <c r="C507" s="53">
        <f>IF(G507="CÉLULA CONSTRUTIVA",0,IF(G507="ETAPA",OFFSET(C507,-1,0)+1,OFFSET(C507,-1,0)))</f>
        <v/>
      </c>
      <c r="D507" s="54">
        <f>IF(G507="ETAPA",0,IF(G507="SUBETAPA",OFFSET(D507,-1,0)+1,OFFSET(D507,-1,0)))</f>
        <v/>
      </c>
      <c r="E507" s="54">
        <f>IF(G507="Subetapa",0,IF(G507="serviço",OFFSET(E507,-1,0)+1,OFFSET(E507,-1,0)))</f>
        <v/>
      </c>
      <c r="G507" s="19" t="inlineStr">
        <is>
          <t>Subetapa</t>
        </is>
      </c>
      <c r="H507" s="55">
        <f>IF(G507="Unidade Construtiva",TEXT(A507,"00"),IF(G507="Célula Construtiva",TEXT(B507,"00"),IF(G507="Etapa",CONCATENATE(TEXT(B507,"00"),".",TEXT(C507,"000")),IF(G507="Subetapa",CONCATENATE(TEXT(B507,"00"),".",TEXT(C507,"000"),".",TEXT(D507,"000")),IF(G507="Serviço",CONCATENATE(TEXT(B507,"00"),".",TEXT(C507,"000"),".",TEXT(D507,"000"),".",TEXT(E507,"000")),"")))))</f>
        <v/>
      </c>
      <c r="I507" s="18" t="inlineStr">
        <is>
          <t>Marcenaria</t>
        </is>
      </c>
      <c r="J507" s="6" t="n"/>
    </row>
    <row r="508" ht="20.45" customHeight="1">
      <c r="A508" s="53">
        <f>IF($G508="UNIDADE CONSTRUTIVA",OFFSET(A508,-1,0)+1,LARGE(A$3:A507,1))</f>
        <v/>
      </c>
      <c r="B508" s="53">
        <f>IF(G508="UNIDADE CONSTRUTIVA",0,IF(G508="CÉLULA CONSTRUTIVA",OFFSET(B508,-1,0)+1,OFFSET(B508,-1,0)))</f>
        <v/>
      </c>
      <c r="C508" s="53">
        <f>IF(G508="CÉLULA CONSTRUTIVA",0,IF(G508="ETAPA",OFFSET(C508,-1,0)+1,OFFSET(C508,-1,0)))</f>
        <v/>
      </c>
      <c r="D508" s="54">
        <f>IF(G508="ETAPA",0,IF(G508="SUBETAPA",OFFSET(D508,-1,0)+1,OFFSET(D508,-1,0)))</f>
        <v/>
      </c>
      <c r="E508" s="54">
        <f>IF(G508="Subetapa",0,IF(G508="serviço",OFFSET(E508,-1,0)+1,OFFSET(E508,-1,0)))</f>
        <v/>
      </c>
      <c r="G508" s="19" t="inlineStr">
        <is>
          <t>Subetapa</t>
        </is>
      </c>
      <c r="H508" s="55">
        <f>IF(G508="Unidade Construtiva",TEXT(A508,"00"),IF(G508="Célula Construtiva",TEXT(B508,"00"),IF(G508="Etapa",CONCATENATE(TEXT(B508,"00"),".",TEXT(C508,"000")),IF(G508="Subetapa",CONCATENATE(TEXT(B508,"00"),".",TEXT(C508,"000"),".",TEXT(D508,"000")),IF(G508="Serviço",CONCATENATE(TEXT(B508,"00"),".",TEXT(C508,"000"),".",TEXT(D508,"000"),".",TEXT(E508,"000")),"")))))</f>
        <v/>
      </c>
      <c r="I508" s="18" t="inlineStr">
        <is>
          <t>Mão de obra</t>
        </is>
      </c>
      <c r="J508" s="6" t="n"/>
    </row>
    <row r="509" ht="20.45" customHeight="1">
      <c r="A509" s="53">
        <f>IF($G509="UNIDADE CONSTRUTIVA",OFFSET(A509,-1,0)+1,LARGE(A$3:A508,1))</f>
        <v/>
      </c>
      <c r="B509" s="53">
        <f>IF(G509="UNIDADE CONSTRUTIVA",0,IF(G509="CÉLULA CONSTRUTIVA",OFFSET(B509,-1,0)+1,OFFSET(B509,-1,0)))</f>
        <v/>
      </c>
      <c r="C509" s="53">
        <f>IF(G509="CÉLULA CONSTRUTIVA",0,IF(G509="ETAPA",OFFSET(C509,-1,0)+1,OFFSET(C509,-1,0)))</f>
        <v/>
      </c>
      <c r="D509" s="54">
        <f>IF(G509="ETAPA",0,IF(G509="SUBETAPA",OFFSET(D509,-1,0)+1,OFFSET(D509,-1,0)))</f>
        <v/>
      </c>
      <c r="E509" s="54">
        <f>IF(G509="Subetapa",0,IF(G509="serviço",OFFSET(E509,-1,0)+1,OFFSET(E509,-1,0)))</f>
        <v/>
      </c>
      <c r="G509" s="17" t="inlineStr">
        <is>
          <t>ETAPA</t>
        </is>
      </c>
      <c r="H509" s="55">
        <f>IF(G509="Unidade Construtiva",TEXT(A509,"00"),IF(G509="Célula Construtiva",TEXT(B509,"00"),IF(G509="Etapa",CONCATENATE(TEXT(B509,"00"),".",TEXT(C509,"000")),IF(G509="Subetapa",CONCATENATE(TEXT(B509,"00"),".",TEXT(C509,"000"),".",TEXT(D509,"000")),IF(G509="Serviço",CONCATENATE(TEXT(B509,"00"),".",TEXT(C509,"000"),".",TEXT(D509,"000"),".",TEXT(E509,"000")),"")))))</f>
        <v/>
      </c>
      <c r="I509" s="15" t="inlineStr">
        <is>
          <t>ESQUADRIAS METÁLICAS</t>
        </is>
      </c>
      <c r="J509" s="6" t="n"/>
    </row>
    <row r="510" ht="20.45" customHeight="1">
      <c r="A510" s="53">
        <f>IF($G510="UNIDADE CONSTRUTIVA",OFFSET(A510,-1,0)+1,LARGE(A$3:A509,1))</f>
        <v/>
      </c>
      <c r="B510" s="53">
        <f>IF(G510="UNIDADE CONSTRUTIVA",0,IF(G510="CÉLULA CONSTRUTIVA",OFFSET(B510,-1,0)+1,OFFSET(B510,-1,0)))</f>
        <v/>
      </c>
      <c r="C510" s="53">
        <f>IF(G510="CÉLULA CONSTRUTIVA",0,IF(G510="ETAPA",OFFSET(C510,-1,0)+1,OFFSET(C510,-1,0)))</f>
        <v/>
      </c>
      <c r="D510" s="54">
        <f>IF(G510="ETAPA",0,IF(G510="SUBETAPA",OFFSET(D510,-1,0)+1,OFFSET(D510,-1,0)))</f>
        <v/>
      </c>
      <c r="E510" s="54">
        <f>IF(G510="Subetapa",0,IF(G510="serviço",OFFSET(E510,-1,0)+1,OFFSET(E510,-1,0)))</f>
        <v/>
      </c>
      <c r="G510" s="19" t="inlineStr">
        <is>
          <t>Subetapa</t>
        </is>
      </c>
      <c r="H510" s="55">
        <f>IF(G510="Unidade Construtiva",TEXT(A510,"00"),IF(G510="Célula Construtiva",TEXT(B510,"00"),IF(G510="Etapa",CONCATENATE(TEXT(B510,"00"),".",TEXT(C510,"000")),IF(G510="Subetapa",CONCATENATE(TEXT(B510,"00"),".",TEXT(C510,"000"),".",TEXT(D510,"000")),IF(G510="Serviço",CONCATENATE(TEXT(B510,"00"),".",TEXT(C510,"000"),".",TEXT(D510,"000"),".",TEXT(E510,"000")),"")))))</f>
        <v/>
      </c>
      <c r="I510" s="18" t="inlineStr">
        <is>
          <t>Esquadrias metálicas</t>
        </is>
      </c>
      <c r="J510" s="6" t="n"/>
    </row>
    <row r="511" ht="20.45" customHeight="1">
      <c r="A511" s="53">
        <f>IF($G511="UNIDADE CONSTRUTIVA",OFFSET(A511,-1,0)+1,LARGE(A$3:A510,1))</f>
        <v/>
      </c>
      <c r="B511" s="53">
        <f>IF(G511="UNIDADE CONSTRUTIVA",0,IF(G511="CÉLULA CONSTRUTIVA",OFFSET(B511,-1,0)+1,OFFSET(B511,-1,0)))</f>
        <v/>
      </c>
      <c r="C511" s="53">
        <f>IF(G511="CÉLULA CONSTRUTIVA",0,IF(G511="ETAPA",OFFSET(C511,-1,0)+1,OFFSET(C511,-1,0)))</f>
        <v/>
      </c>
      <c r="D511" s="54">
        <f>IF(G511="ETAPA",0,IF(G511="SUBETAPA",OFFSET(D511,-1,0)+1,OFFSET(D511,-1,0)))</f>
        <v/>
      </c>
      <c r="E511" s="54">
        <f>IF(G511="Subetapa",0,IF(G511="serviço",OFFSET(E511,-1,0)+1,OFFSET(E511,-1,0)))</f>
        <v/>
      </c>
      <c r="G511" s="19" t="inlineStr">
        <is>
          <t>Subetapa</t>
        </is>
      </c>
      <c r="H511" s="55">
        <f>IF(G511="Unidade Construtiva",TEXT(A511,"00"),IF(G511="Célula Construtiva",TEXT(B511,"00"),IF(G511="Etapa",CONCATENATE(TEXT(B511,"00"),".",TEXT(C511,"000")),IF(G511="Subetapa",CONCATENATE(TEXT(B511,"00"),".",TEXT(C511,"000"),".",TEXT(D511,"000")),IF(G511="Serviço",CONCATENATE(TEXT(B511,"00"),".",TEXT(C511,"000"),".",TEXT(D511,"000"),".",TEXT(E511,"000")),"")))))</f>
        <v/>
      </c>
      <c r="I511" s="18" t="inlineStr">
        <is>
          <t>Serralheria</t>
        </is>
      </c>
      <c r="J511" s="6" t="n"/>
    </row>
    <row r="512" ht="20.45" customHeight="1">
      <c r="A512" s="53">
        <f>IF($G512="UNIDADE CONSTRUTIVA",OFFSET(A512,-1,0)+1,LARGE(A$3:A511,1))</f>
        <v/>
      </c>
      <c r="B512" s="53">
        <f>IF(G512="UNIDADE CONSTRUTIVA",0,IF(G512="CÉLULA CONSTRUTIVA",OFFSET(B512,-1,0)+1,OFFSET(B512,-1,0)))</f>
        <v/>
      </c>
      <c r="C512" s="53">
        <f>IF(G512="CÉLULA CONSTRUTIVA",0,IF(G512="ETAPA",OFFSET(C512,-1,0)+1,OFFSET(C512,-1,0)))</f>
        <v/>
      </c>
      <c r="D512" s="54">
        <f>IF(G512="ETAPA",0,IF(G512="SUBETAPA",OFFSET(D512,-1,0)+1,OFFSET(D512,-1,0)))</f>
        <v/>
      </c>
      <c r="E512" s="54">
        <f>IF(G512="Subetapa",0,IF(G512="serviço",OFFSET(E512,-1,0)+1,OFFSET(E512,-1,0)))</f>
        <v/>
      </c>
      <c r="G512" s="17" t="inlineStr">
        <is>
          <t>CÉLULA CONSTRUTIVA</t>
        </is>
      </c>
      <c r="H512" s="55">
        <f>IF(G512="Unidade Construtiva",TEXT(A512,"00"),IF(G512="Célula Construtiva",TEXT(B512,"00"),IF(G512="Etapa",CONCATENATE(TEXT(B512,"00"),".",TEXT(C512,"000")),IF(G512="Subetapa",CONCATENATE(TEXT(B512,"00"),".",TEXT(C512,"000"),".",TEXT(D512,"000")),IF(G512="Serviço",CONCATENATE(TEXT(B512,"00"),".",TEXT(C512,"000"),".",TEXT(D512,"000"),".",TEXT(E512,"000")),"")))))</f>
        <v/>
      </c>
      <c r="I512" s="15" t="inlineStr">
        <is>
          <t>LOUÇAS E METAIS</t>
        </is>
      </c>
      <c r="J512" s="6" t="n"/>
    </row>
    <row r="513" ht="20.45" customHeight="1">
      <c r="A513" s="53">
        <f>IF($G513="UNIDADE CONSTRUTIVA",OFFSET(A513,-1,0)+1,LARGE(A$3:A512,1))</f>
        <v/>
      </c>
      <c r="B513" s="53">
        <f>IF(G513="UNIDADE CONSTRUTIVA",0,IF(G513="CÉLULA CONSTRUTIVA",OFFSET(B513,-1,0)+1,OFFSET(B513,-1,0)))</f>
        <v/>
      </c>
      <c r="C513" s="53">
        <f>IF(G513="CÉLULA CONSTRUTIVA",0,IF(G513="ETAPA",OFFSET(C513,-1,0)+1,OFFSET(C513,-1,0)))</f>
        <v/>
      </c>
      <c r="D513" s="54">
        <f>IF(G513="ETAPA",0,IF(G513="SUBETAPA",OFFSET(D513,-1,0)+1,OFFSET(D513,-1,0)))</f>
        <v/>
      </c>
      <c r="E513" s="54">
        <f>IF(G513="Subetapa",0,IF(G513="serviço",OFFSET(E513,-1,0)+1,OFFSET(E513,-1,0)))</f>
        <v/>
      </c>
      <c r="G513" s="17" t="inlineStr">
        <is>
          <t>ETAPA</t>
        </is>
      </c>
      <c r="H513" s="55">
        <f>IF(G513="Unidade Construtiva",TEXT(A513,"00"),IF(G513="Célula Construtiva",TEXT(B513,"00"),IF(G513="Etapa",CONCATENATE(TEXT(B513,"00"),".",TEXT(C513,"000")),IF(G513="Subetapa",CONCATENATE(TEXT(B513,"00"),".",TEXT(C513,"000"),".",TEXT(D513,"000")),IF(G513="Serviço",CONCATENATE(TEXT(B513,"00"),".",TEXT(C513,"000"),".",TEXT(D513,"000"),".",TEXT(E513,"000")),"")))))</f>
        <v/>
      </c>
      <c r="I513" s="15" t="inlineStr">
        <is>
          <t>LOUÇAS E METAIS</t>
        </is>
      </c>
      <c r="J513" s="6" t="n"/>
    </row>
    <row r="514" ht="20.45" customHeight="1">
      <c r="A514" s="53">
        <f>IF($G514="UNIDADE CONSTRUTIVA",OFFSET(A514,-1,0)+1,LARGE(A$3:A513,1))</f>
        <v/>
      </c>
      <c r="B514" s="53">
        <f>IF(G514="UNIDADE CONSTRUTIVA",0,IF(G514="CÉLULA CONSTRUTIVA",OFFSET(B514,-1,0)+1,OFFSET(B514,-1,0)))</f>
        <v/>
      </c>
      <c r="C514" s="53">
        <f>IF(G514="CÉLULA CONSTRUTIVA",0,IF(G514="ETAPA",OFFSET(C514,-1,0)+1,OFFSET(C514,-1,0)))</f>
        <v/>
      </c>
      <c r="D514" s="54">
        <f>IF(G514="ETAPA",0,IF(G514="SUBETAPA",OFFSET(D514,-1,0)+1,OFFSET(D514,-1,0)))</f>
        <v/>
      </c>
      <c r="E514" s="54">
        <f>IF(G514="Subetapa",0,IF(G514="serviço",OFFSET(E514,-1,0)+1,OFFSET(E514,-1,0)))</f>
        <v/>
      </c>
      <c r="G514" s="19" t="inlineStr">
        <is>
          <t>Subetapa</t>
        </is>
      </c>
      <c r="H514" s="55">
        <f>IF(G514="Unidade Construtiva",TEXT(A514,"00"),IF(G514="Célula Construtiva",TEXT(B514,"00"),IF(G514="Etapa",CONCATENATE(TEXT(B514,"00"),".",TEXT(C514,"000")),IF(G514="Subetapa",CONCATENATE(TEXT(B514,"00"),".",TEXT(C514,"000"),".",TEXT(D514,"000")),IF(G514="Serviço",CONCATENATE(TEXT(B514,"00"),".",TEXT(C514,"000"),".",TEXT(D514,"000"),".",TEXT(E514,"000")),"")))))</f>
        <v/>
      </c>
      <c r="I514" s="18" t="inlineStr">
        <is>
          <t>Louças</t>
        </is>
      </c>
      <c r="J514" s="6" t="n"/>
    </row>
    <row r="515" ht="20.45" customHeight="1">
      <c r="A515" s="53">
        <f>IF($G515="UNIDADE CONSTRUTIVA",OFFSET(A515,-1,0)+1,LARGE(A$3:A514,1))</f>
        <v/>
      </c>
      <c r="B515" s="53">
        <f>IF(G515="UNIDADE CONSTRUTIVA",0,IF(G515="CÉLULA CONSTRUTIVA",OFFSET(B515,-1,0)+1,OFFSET(B515,-1,0)))</f>
        <v/>
      </c>
      <c r="C515" s="53">
        <f>IF(G515="CÉLULA CONSTRUTIVA",0,IF(G515="ETAPA",OFFSET(C515,-1,0)+1,OFFSET(C515,-1,0)))</f>
        <v/>
      </c>
      <c r="D515" s="54">
        <f>IF(G515="ETAPA",0,IF(G515="SUBETAPA",OFFSET(D515,-1,0)+1,OFFSET(D515,-1,0)))</f>
        <v/>
      </c>
      <c r="E515" s="54">
        <f>IF(G515="Subetapa",0,IF(G515="serviço",OFFSET(E515,-1,0)+1,OFFSET(E515,-1,0)))</f>
        <v/>
      </c>
      <c r="G515" s="19" t="inlineStr">
        <is>
          <t>Subetapa</t>
        </is>
      </c>
      <c r="H515" s="55">
        <f>IF(G515="Unidade Construtiva",TEXT(A515,"00"),IF(G515="Célula Construtiva",TEXT(B515,"00"),IF(G515="Etapa",CONCATENATE(TEXT(B515,"00"),".",TEXT(C515,"000")),IF(G515="Subetapa",CONCATENATE(TEXT(B515,"00"),".",TEXT(C515,"000"),".",TEXT(D515,"000")),IF(G515="Serviço",CONCATENATE(TEXT(B515,"00"),".",TEXT(C515,"000"),".",TEXT(D515,"000"),".",TEXT(E515,"000")),"")))))</f>
        <v/>
      </c>
      <c r="I515" s="18" t="inlineStr">
        <is>
          <t>Metais e acessórios</t>
        </is>
      </c>
      <c r="J515" s="6" t="n"/>
    </row>
    <row r="516" ht="20.45" customHeight="1">
      <c r="A516" s="53">
        <f>IF($G516="UNIDADE CONSTRUTIVA",OFFSET(A516,-1,0)+1,LARGE(A$3:A515,1))</f>
        <v/>
      </c>
      <c r="B516" s="53">
        <f>IF(G516="UNIDADE CONSTRUTIVA",0,IF(G516="CÉLULA CONSTRUTIVA",OFFSET(B516,-1,0)+1,OFFSET(B516,-1,0)))</f>
        <v/>
      </c>
      <c r="C516" s="53">
        <f>IF(G516="CÉLULA CONSTRUTIVA",0,IF(G516="ETAPA",OFFSET(C516,-1,0)+1,OFFSET(C516,-1,0)))</f>
        <v/>
      </c>
      <c r="D516" s="54">
        <f>IF(G516="ETAPA",0,IF(G516="SUBETAPA",OFFSET(D516,-1,0)+1,OFFSET(D516,-1,0)))</f>
        <v/>
      </c>
      <c r="E516" s="54">
        <f>IF(G516="Subetapa",0,IF(G516="serviço",OFFSET(E516,-1,0)+1,OFFSET(E516,-1,0)))</f>
        <v/>
      </c>
      <c r="G516" s="19" t="inlineStr">
        <is>
          <t>Subetapa</t>
        </is>
      </c>
      <c r="H516" s="55">
        <f>IF(G516="Unidade Construtiva",TEXT(A516,"00"),IF(G516="Célula Construtiva",TEXT(B516,"00"),IF(G516="Etapa",CONCATENATE(TEXT(B516,"00"),".",TEXT(C516,"000")),IF(G516="Subetapa",CONCATENATE(TEXT(B516,"00"),".",TEXT(C516,"000"),".",TEXT(D516,"000")),IF(G516="Serviço",CONCATENATE(TEXT(B516,"00"),".",TEXT(C516,"000"),".",TEXT(D516,"000"),".",TEXT(E516,"000")),"")))))</f>
        <v/>
      </c>
      <c r="I516" s="18" t="inlineStr">
        <is>
          <t>Bancadas, pias e divisórias</t>
        </is>
      </c>
      <c r="J516" s="6" t="n"/>
    </row>
    <row r="517" ht="20.45" customHeight="1">
      <c r="A517" s="53">
        <f>IF($G517="UNIDADE CONSTRUTIVA",OFFSET(A517,-1,0)+1,LARGE(A$3:A516,1))</f>
        <v/>
      </c>
      <c r="B517" s="53">
        <f>IF(G517="UNIDADE CONSTRUTIVA",0,IF(G517="CÉLULA CONSTRUTIVA",OFFSET(B517,-1,0)+1,OFFSET(B517,-1,0)))</f>
        <v/>
      </c>
      <c r="C517" s="53">
        <f>IF(G517="CÉLULA CONSTRUTIVA",0,IF(G517="ETAPA",OFFSET(C517,-1,0)+1,OFFSET(C517,-1,0)))</f>
        <v/>
      </c>
      <c r="D517" s="54">
        <f>IF(G517="ETAPA",0,IF(G517="SUBETAPA",OFFSET(D517,-1,0)+1,OFFSET(D517,-1,0)))</f>
        <v/>
      </c>
      <c r="E517" s="54">
        <f>IF(G517="Subetapa",0,IF(G517="serviço",OFFSET(E517,-1,0)+1,OFFSET(E517,-1,0)))</f>
        <v/>
      </c>
      <c r="G517" s="19" t="inlineStr">
        <is>
          <t>Subetapa</t>
        </is>
      </c>
      <c r="H517" s="55">
        <f>IF(G517="Unidade Construtiva",TEXT(A517,"00"),IF(G517="Célula Construtiva",TEXT(B517,"00"),IF(G517="Etapa",CONCATENATE(TEXT(B517,"00"),".",TEXT(C517,"000")),IF(G517="Subetapa",CONCATENATE(TEXT(B517,"00"),".",TEXT(C517,"000"),".",TEXT(D517,"000")),IF(G517="Serviço",CONCATENATE(TEXT(B517,"00"),".",TEXT(C517,"000"),".",TEXT(D517,"000"),".",TEXT(E517,"000")),"")))))</f>
        <v/>
      </c>
      <c r="I517" s="18" t="inlineStr">
        <is>
          <t>Mão de obra</t>
        </is>
      </c>
      <c r="J517" s="6" t="n"/>
    </row>
    <row r="518" ht="20.45" customHeight="1">
      <c r="A518" s="53">
        <f>IF($G518="UNIDADE CONSTRUTIVA",OFFSET(A518,-1,0)+1,LARGE(A$3:A517,1))</f>
        <v/>
      </c>
      <c r="B518" s="53">
        <f>IF(G518="UNIDADE CONSTRUTIVA",0,IF(G518="CÉLULA CONSTRUTIVA",OFFSET(B518,-1,0)+1,OFFSET(B518,-1,0)))</f>
        <v/>
      </c>
      <c r="C518" s="53">
        <f>IF(G518="CÉLULA CONSTRUTIVA",0,IF(G518="ETAPA",OFFSET(C518,-1,0)+1,OFFSET(C518,-1,0)))</f>
        <v/>
      </c>
      <c r="D518" s="54">
        <f>IF(G518="ETAPA",0,IF(G518="SUBETAPA",OFFSET(D518,-1,0)+1,OFFSET(D518,-1,0)))</f>
        <v/>
      </c>
      <c r="E518" s="54">
        <f>IF(G518="Subetapa",0,IF(G518="serviço",OFFSET(E518,-1,0)+1,OFFSET(E518,-1,0)))</f>
        <v/>
      </c>
      <c r="G518" s="17" t="inlineStr">
        <is>
          <t>CÉLULA CONSTRUTIVA</t>
        </is>
      </c>
      <c r="H518" s="55">
        <f>IF(G518="Unidade Construtiva",TEXT(A518,"00"),IF(G518="Célula Construtiva",TEXT(B518,"00"),IF(G518="Etapa",CONCATENATE(TEXT(B518,"00"),".",TEXT(C518,"000")),IF(G518="Subetapa",CONCATENATE(TEXT(B518,"00"),".",TEXT(C518,"000"),".",TEXT(D518,"000")),IF(G518="Serviço",CONCATENATE(TEXT(B518,"00"),".",TEXT(C518,"000"),".",TEXT(D518,"000"),".",TEXT(E518,"000")),"")))))</f>
        <v/>
      </c>
      <c r="I518" s="15" t="inlineStr">
        <is>
          <t>REVESTIMENTOS E ACABAMENTOS EM FACHADA</t>
        </is>
      </c>
      <c r="J518" s="6" t="n"/>
    </row>
    <row r="519" ht="20.45" customHeight="1">
      <c r="A519" s="53">
        <f>IF($G519="UNIDADE CONSTRUTIVA",OFFSET(A519,-1,0)+1,LARGE(A$3:A518,1))</f>
        <v/>
      </c>
      <c r="B519" s="53">
        <f>IF(G519="UNIDADE CONSTRUTIVA",0,IF(G519="CÉLULA CONSTRUTIVA",OFFSET(B519,-1,0)+1,OFFSET(B519,-1,0)))</f>
        <v/>
      </c>
      <c r="C519" s="53">
        <f>IF(G519="CÉLULA CONSTRUTIVA",0,IF(G519="ETAPA",OFFSET(C519,-1,0)+1,OFFSET(C519,-1,0)))</f>
        <v/>
      </c>
      <c r="D519" s="54">
        <f>IF(G519="ETAPA",0,IF(G519="SUBETAPA",OFFSET(D519,-1,0)+1,OFFSET(D519,-1,0)))</f>
        <v/>
      </c>
      <c r="E519" s="54">
        <f>IF(G519="Subetapa",0,IF(G519="serviço",OFFSET(E519,-1,0)+1,OFFSET(E519,-1,0)))</f>
        <v/>
      </c>
      <c r="G519" s="17" t="inlineStr">
        <is>
          <t>ETAPA</t>
        </is>
      </c>
      <c r="H519" s="55">
        <f>IF(G519="Unidade Construtiva",TEXT(A519,"00"),IF(G519="Célula Construtiva",TEXT(B519,"00"),IF(G519="Etapa",CONCATENATE(TEXT(B519,"00"),".",TEXT(C519,"000")),IF(G519="Subetapa",CONCATENATE(TEXT(B519,"00"),".",TEXT(C519,"000"),".",TEXT(D519,"000")),IF(G519="Serviço",CONCATENATE(TEXT(B519,"00"),".",TEXT(C519,"000"),".",TEXT(D519,"000"),".",TEXT(E519,"000")),"")))))</f>
        <v/>
      </c>
      <c r="I519" s="15" t="inlineStr">
        <is>
          <t>REVESTIMENTOS E ACABAMENTOS EM FACHADA</t>
        </is>
      </c>
      <c r="J519" s="6" t="n"/>
    </row>
    <row r="520" ht="20.45" customHeight="1">
      <c r="A520" s="53">
        <f>IF($G520="UNIDADE CONSTRUTIVA",OFFSET(A520,-1,0)+1,LARGE(A$3:A519,1))</f>
        <v/>
      </c>
      <c r="B520" s="53">
        <f>IF(G520="UNIDADE CONSTRUTIVA",0,IF(G520="CÉLULA CONSTRUTIVA",OFFSET(B520,-1,0)+1,OFFSET(B520,-1,0)))</f>
        <v/>
      </c>
      <c r="C520" s="53">
        <f>IF(G520="CÉLULA CONSTRUTIVA",0,IF(G520="ETAPA",OFFSET(C520,-1,0)+1,OFFSET(C520,-1,0)))</f>
        <v/>
      </c>
      <c r="D520" s="54">
        <f>IF(G520="ETAPA",0,IF(G520="SUBETAPA",OFFSET(D520,-1,0)+1,OFFSET(D520,-1,0)))</f>
        <v/>
      </c>
      <c r="E520" s="54">
        <f>IF(G520="Subetapa",0,IF(G520="serviço",OFFSET(E520,-1,0)+1,OFFSET(E520,-1,0)))</f>
        <v/>
      </c>
      <c r="G520" s="19" t="inlineStr">
        <is>
          <t>Subetapa</t>
        </is>
      </c>
      <c r="H520" s="55">
        <f>IF(G520="Unidade Construtiva",TEXT(A520,"00"),IF(G520="Célula Construtiva",TEXT(B520,"00"),IF(G520="Etapa",CONCATENATE(TEXT(B520,"00"),".",TEXT(C520,"000")),IF(G520="Subetapa",CONCATENATE(TEXT(B520,"00"),".",TEXT(C520,"000"),".",TEXT(D520,"000")),IF(G520="Serviço",CONCATENATE(TEXT(B520,"00"),".",TEXT(C520,"000"),".",TEXT(D520,"000"),".",TEXT(E520,"000")),"")))))</f>
        <v/>
      </c>
      <c r="I520" s="18" t="inlineStr">
        <is>
          <t>Revestimento argamassado em fachada</t>
        </is>
      </c>
      <c r="J520" s="6" t="n"/>
    </row>
    <row r="521" ht="20.45" customHeight="1">
      <c r="A521" s="53">
        <f>IF($G521="UNIDADE CONSTRUTIVA",OFFSET(A521,-1,0)+1,LARGE(A$3:A520,1))</f>
        <v/>
      </c>
      <c r="B521" s="53">
        <f>IF(G521="UNIDADE CONSTRUTIVA",0,IF(G521="CÉLULA CONSTRUTIVA",OFFSET(B521,-1,0)+1,OFFSET(B521,-1,0)))</f>
        <v/>
      </c>
      <c r="C521" s="53">
        <f>IF(G521="CÉLULA CONSTRUTIVA",0,IF(G521="ETAPA",OFFSET(C521,-1,0)+1,OFFSET(C521,-1,0)))</f>
        <v/>
      </c>
      <c r="D521" s="54">
        <f>IF(G521="ETAPA",0,IF(G521="SUBETAPA",OFFSET(D521,-1,0)+1,OFFSET(D521,-1,0)))</f>
        <v/>
      </c>
      <c r="E521" s="54">
        <f>IF(G521="Subetapa",0,IF(G521="serviço",OFFSET(E521,-1,0)+1,OFFSET(E521,-1,0)))</f>
        <v/>
      </c>
      <c r="G521" s="19" t="inlineStr">
        <is>
          <t>Subetapa</t>
        </is>
      </c>
      <c r="H521" s="55">
        <f>IF(G521="Unidade Construtiva",TEXT(A521,"00"),IF(G521="Célula Construtiva",TEXT(B521,"00"),IF(G521="Etapa",CONCATENATE(TEXT(B521,"00"),".",TEXT(C521,"000")),IF(G521="Subetapa",CONCATENATE(TEXT(B521,"00"),".",TEXT(C521,"000"),".",TEXT(D521,"000")),IF(G521="Serviço",CONCATENATE(TEXT(B521,"00"),".",TEXT(C521,"000"),".",TEXT(D521,"000"),".",TEXT(E521,"000")),"")))))</f>
        <v/>
      </c>
      <c r="I521" s="18" t="inlineStr">
        <is>
          <t>Pintura e textura em fachada</t>
        </is>
      </c>
      <c r="J521" s="6" t="n"/>
    </row>
    <row r="522" ht="20.45" customHeight="1">
      <c r="A522" s="53">
        <f>IF($G522="UNIDADE CONSTRUTIVA",OFFSET(A522,-1,0)+1,LARGE(A$3:A521,1))</f>
        <v/>
      </c>
      <c r="B522" s="53">
        <f>IF(G522="UNIDADE CONSTRUTIVA",0,IF(G522="CÉLULA CONSTRUTIVA",OFFSET(B522,-1,0)+1,OFFSET(B522,-1,0)))</f>
        <v/>
      </c>
      <c r="C522" s="53">
        <f>IF(G522="CÉLULA CONSTRUTIVA",0,IF(G522="ETAPA",OFFSET(C522,-1,0)+1,OFFSET(C522,-1,0)))</f>
        <v/>
      </c>
      <c r="D522" s="54">
        <f>IF(G522="ETAPA",0,IF(G522="SUBETAPA",OFFSET(D522,-1,0)+1,OFFSET(D522,-1,0)))</f>
        <v/>
      </c>
      <c r="E522" s="54">
        <f>IF(G522="Subetapa",0,IF(G522="serviço",OFFSET(E522,-1,0)+1,OFFSET(E522,-1,0)))</f>
        <v/>
      </c>
      <c r="G522" s="19" t="inlineStr">
        <is>
          <t>Subetapa</t>
        </is>
      </c>
      <c r="H522" s="55">
        <f>IF(G522="Unidade Construtiva",TEXT(A522,"00"),IF(G522="Célula Construtiva",TEXT(B522,"00"),IF(G522="Etapa",CONCATENATE(TEXT(B522,"00"),".",TEXT(C522,"000")),IF(G522="Subetapa",CONCATENATE(TEXT(B522,"00"),".",TEXT(C522,"000"),".",TEXT(D522,"000")),IF(G522="Serviço",CONCATENATE(TEXT(B522,"00"),".",TEXT(C522,"000"),".",TEXT(D522,"000"),".",TEXT(E522,"000")),"")))))</f>
        <v/>
      </c>
      <c r="I522" s="18" t="inlineStr">
        <is>
          <t>Acabamentos especiais em fachada</t>
        </is>
      </c>
      <c r="J522" s="6" t="n"/>
    </row>
    <row r="523" ht="20.45" customHeight="1">
      <c r="A523" s="53">
        <f>IF($G523="UNIDADE CONSTRUTIVA",OFFSET(A523,-1,0)+1,LARGE(A$3:A522,1))</f>
        <v/>
      </c>
      <c r="B523" s="53">
        <f>IF(G523="UNIDADE CONSTRUTIVA",0,IF(G523="CÉLULA CONSTRUTIVA",OFFSET(B523,-1,0)+1,OFFSET(B523,-1,0)))</f>
        <v/>
      </c>
      <c r="C523" s="53">
        <f>IF(G523="CÉLULA CONSTRUTIVA",0,IF(G523="ETAPA",OFFSET(C523,-1,0)+1,OFFSET(C523,-1,0)))</f>
        <v/>
      </c>
      <c r="D523" s="54">
        <f>IF(G523="ETAPA",0,IF(G523="SUBETAPA",OFFSET(D523,-1,0)+1,OFFSET(D523,-1,0)))</f>
        <v/>
      </c>
      <c r="E523" s="54">
        <f>IF(G523="Subetapa",0,IF(G523="serviço",OFFSET(E523,-1,0)+1,OFFSET(E523,-1,0)))</f>
        <v/>
      </c>
      <c r="G523" s="19" t="inlineStr">
        <is>
          <t>Subetapa</t>
        </is>
      </c>
      <c r="H523" s="55">
        <f>IF(G523="Unidade Construtiva",TEXT(A523,"00"),IF(G523="Célula Construtiva",TEXT(B523,"00"),IF(G523="Etapa",CONCATENATE(TEXT(B523,"00"),".",TEXT(C523,"000")),IF(G523="Subetapa",CONCATENATE(TEXT(B523,"00"),".",TEXT(C523,"000"),".",TEXT(D523,"000")),IF(G523="Serviço",CONCATENATE(TEXT(B523,"00"),".",TEXT(C523,"000"),".",TEXT(D523,"000"),".",TEXT(E523,"000")),"")))))</f>
        <v/>
      </c>
      <c r="I523" s="18" t="inlineStr">
        <is>
          <t>Tratamentos de fachada</t>
        </is>
      </c>
      <c r="J523" s="6" t="n"/>
    </row>
    <row r="524" ht="20.45" customHeight="1">
      <c r="A524" s="53">
        <f>IF($G524="UNIDADE CONSTRUTIVA",OFFSET(A524,-1,0)+1,LARGE(A$3:A523,1))</f>
        <v/>
      </c>
      <c r="B524" s="53">
        <f>IF(G524="UNIDADE CONSTRUTIVA",0,IF(G524="CÉLULA CONSTRUTIVA",OFFSET(B524,-1,0)+1,OFFSET(B524,-1,0)))</f>
        <v/>
      </c>
      <c r="C524" s="53">
        <f>IF(G524="CÉLULA CONSTRUTIVA",0,IF(G524="ETAPA",OFFSET(C524,-1,0)+1,OFFSET(C524,-1,0)))</f>
        <v/>
      </c>
      <c r="D524" s="54">
        <f>IF(G524="ETAPA",0,IF(G524="SUBETAPA",OFFSET(D524,-1,0)+1,OFFSET(D524,-1,0)))</f>
        <v/>
      </c>
      <c r="E524" s="54">
        <f>IF(G524="Subetapa",0,IF(G524="serviço",OFFSET(E524,-1,0)+1,OFFSET(E524,-1,0)))</f>
        <v/>
      </c>
      <c r="G524" s="19" t="inlineStr">
        <is>
          <t>Subetapa</t>
        </is>
      </c>
      <c r="H524" s="55">
        <f>IF(G524="Unidade Construtiva",TEXT(A524,"00"),IF(G524="Célula Construtiva",TEXT(B524,"00"),IF(G524="Etapa",CONCATENATE(TEXT(B524,"00"),".",TEXT(C524,"000")),IF(G524="Subetapa",CONCATENATE(TEXT(B524,"00"),".",TEXT(C524,"000"),".",TEXT(D524,"000")),IF(G524="Serviço",CONCATENATE(TEXT(B524,"00"),".",TEXT(C524,"000"),".",TEXT(D524,"000"),".",TEXT(E524,"000")),"")))))</f>
        <v/>
      </c>
      <c r="I524" s="18" t="inlineStr">
        <is>
          <t>Mão de obra</t>
        </is>
      </c>
      <c r="J524" s="6" t="n"/>
    </row>
    <row r="525">
      <c r="G525" s="7" t="n"/>
      <c r="I525" s="6" t="n"/>
      <c r="J525" s="6" t="n"/>
    </row>
    <row r="526">
      <c r="G526" s="7" t="n"/>
      <c r="I526" s="6" t="n"/>
      <c r="J526" s="6" t="n"/>
    </row>
    <row r="527">
      <c r="G527" s="7" t="n"/>
      <c r="I527" s="6" t="n"/>
      <c r="J527" s="6" t="n"/>
    </row>
    <row r="528">
      <c r="G528" s="7" t="n"/>
      <c r="I528" s="6" t="n"/>
      <c r="J528" s="6" t="n"/>
    </row>
    <row r="529">
      <c r="G529" s="7" t="n"/>
      <c r="I529" s="6" t="n"/>
      <c r="J529" s="6" t="n"/>
    </row>
    <row r="530">
      <c r="G530" s="7" t="n"/>
      <c r="I530" s="6" t="n"/>
      <c r="J530" s="6" t="n"/>
    </row>
    <row r="531">
      <c r="G531" s="7" t="n"/>
      <c r="I531" s="6" t="n"/>
      <c r="J531" s="6" t="n"/>
    </row>
    <row r="532">
      <c r="G532" s="7" t="n"/>
      <c r="I532" s="6" t="n"/>
      <c r="J532" s="6" t="n"/>
    </row>
    <row r="533">
      <c r="G533" s="7" t="n"/>
      <c r="I533" s="6" t="n"/>
      <c r="J533" s="6" t="n"/>
    </row>
    <row r="534">
      <c r="G534" s="7" t="n"/>
      <c r="I534" s="6" t="n"/>
      <c r="J534" s="6" t="n"/>
    </row>
    <row r="535">
      <c r="G535" s="7" t="n"/>
      <c r="I535" s="6" t="n"/>
      <c r="J535" s="6" t="n"/>
    </row>
    <row r="536">
      <c r="G536" s="7" t="n"/>
      <c r="I536" s="6" t="n"/>
      <c r="J536" s="6" t="n"/>
    </row>
    <row r="537">
      <c r="G537" s="7" t="n"/>
      <c r="I537" s="6" t="n"/>
      <c r="J537" s="6" t="n"/>
    </row>
    <row r="538">
      <c r="G538" s="7" t="n"/>
      <c r="I538" s="6" t="n"/>
      <c r="J538" s="6" t="n"/>
    </row>
    <row r="539">
      <c r="G539" s="7" t="n"/>
      <c r="I539" s="6" t="n"/>
      <c r="J539" s="6" t="n"/>
    </row>
    <row r="540">
      <c r="G540" s="7" t="n"/>
      <c r="I540" s="6" t="n"/>
      <c r="J540" s="6" t="n"/>
    </row>
    <row r="541">
      <c r="G541" s="7" t="n"/>
      <c r="I541" s="6" t="n"/>
      <c r="J541" s="6" t="n"/>
    </row>
    <row r="542">
      <c r="G542" s="7" t="n"/>
      <c r="I542" s="6" t="n"/>
      <c r="J542" s="6" t="n"/>
    </row>
    <row r="543">
      <c r="G543" s="7" t="n"/>
      <c r="I543" s="6" t="n"/>
      <c r="J543" s="6" t="n"/>
    </row>
    <row r="544">
      <c r="G544" s="7" t="n"/>
      <c r="I544" s="6" t="n"/>
      <c r="J544" s="6" t="n"/>
    </row>
    <row r="545">
      <c r="G545" s="7" t="n"/>
      <c r="I545" s="6" t="n"/>
      <c r="J545" s="6" t="n"/>
    </row>
    <row r="546">
      <c r="G546" s="7" t="n"/>
      <c r="I546" s="6" t="n"/>
      <c r="J546" s="6" t="n"/>
    </row>
    <row r="547">
      <c r="G547" s="7" t="n"/>
      <c r="I547" s="6" t="n"/>
      <c r="J547" s="6" t="n"/>
    </row>
    <row r="548">
      <c r="G548" s="7" t="n"/>
      <c r="I548" s="6" t="n"/>
      <c r="J548" s="6" t="n"/>
    </row>
    <row r="549">
      <c r="G549" s="7" t="n"/>
      <c r="I549" s="6" t="n"/>
      <c r="J549" s="6" t="n"/>
    </row>
    <row r="550">
      <c r="G550" s="7" t="n"/>
      <c r="I550" s="6" t="n"/>
      <c r="J550" s="6" t="n"/>
    </row>
    <row r="551">
      <c r="G551" s="7" t="n"/>
      <c r="I551" s="6" t="n"/>
      <c r="J551" s="6" t="n"/>
    </row>
    <row r="552">
      <c r="G552" s="7" t="n"/>
      <c r="I552" s="6" t="n"/>
      <c r="J552" s="6" t="n"/>
    </row>
    <row r="553">
      <c r="G553" s="7" t="n"/>
      <c r="I553" s="6" t="n"/>
      <c r="J553" s="6" t="n"/>
    </row>
    <row r="554">
      <c r="G554" s="7" t="n"/>
      <c r="I554" s="6" t="n"/>
      <c r="J554" s="6" t="n"/>
    </row>
    <row r="555">
      <c r="G555" s="7" t="n"/>
      <c r="I555" s="6" t="n"/>
      <c r="J555" s="6" t="n"/>
    </row>
    <row r="556">
      <c r="G556" s="7" t="n"/>
      <c r="I556" s="6" t="n"/>
      <c r="J556" s="6" t="n"/>
    </row>
    <row r="557">
      <c r="G557" s="7" t="n"/>
      <c r="I557" s="6" t="n"/>
      <c r="J557" s="6" t="n"/>
    </row>
    <row r="558">
      <c r="G558" s="7" t="n"/>
      <c r="I558" s="6" t="n"/>
      <c r="J558" s="6" t="n"/>
    </row>
    <row r="559">
      <c r="G559" s="7" t="n"/>
      <c r="I559" s="6" t="n"/>
      <c r="J559" s="6" t="n"/>
    </row>
    <row r="560">
      <c r="G560" s="7" t="n"/>
      <c r="I560" s="6" t="n"/>
      <c r="J560" s="6" t="n"/>
    </row>
    <row r="561">
      <c r="G561" s="7" t="n"/>
      <c r="I561" s="6" t="n"/>
      <c r="J561" s="6" t="n"/>
    </row>
    <row r="562">
      <c r="G562" s="7" t="n"/>
      <c r="I562" s="6" t="n"/>
      <c r="J562" s="6" t="n"/>
    </row>
    <row r="563">
      <c r="G563" s="7" t="n"/>
      <c r="I563" s="6" t="n"/>
      <c r="J563" s="6" t="n"/>
    </row>
    <row r="564">
      <c r="G564" s="7" t="n"/>
      <c r="I564" s="6" t="n"/>
      <c r="J564" s="6" t="n"/>
    </row>
    <row r="565">
      <c r="G565" s="7" t="n"/>
      <c r="I565" s="6" t="n"/>
      <c r="J565" s="6" t="n"/>
    </row>
    <row r="566">
      <c r="G566" s="7" t="n"/>
      <c r="I566" s="6" t="n"/>
      <c r="J566" s="6" t="n"/>
    </row>
    <row r="567">
      <c r="G567" s="7" t="n"/>
      <c r="I567" s="6" t="n"/>
      <c r="J567" s="6" t="n"/>
    </row>
    <row r="568">
      <c r="G568" s="7" t="n"/>
      <c r="I568" s="6" t="n"/>
      <c r="J568" s="6" t="n"/>
    </row>
    <row r="569">
      <c r="G569" s="7" t="n"/>
      <c r="I569" s="6" t="n"/>
      <c r="J569" s="6" t="n"/>
    </row>
    <row r="570">
      <c r="G570" s="7" t="n"/>
      <c r="I570" s="6" t="n"/>
      <c r="J570" s="6" t="n"/>
    </row>
    <row r="571">
      <c r="G571" s="7" t="n"/>
      <c r="I571" s="6" t="n"/>
      <c r="J571" s="6" t="n"/>
    </row>
    <row r="572">
      <c r="G572" s="7" t="n"/>
      <c r="I572" s="6" t="n"/>
      <c r="J572" s="6" t="n"/>
    </row>
    <row r="573">
      <c r="G573" s="7" t="n"/>
      <c r="I573" s="6" t="n"/>
      <c r="J573" s="6" t="n"/>
    </row>
    <row r="574">
      <c r="G574" s="7" t="n"/>
      <c r="I574" s="6" t="n"/>
      <c r="J574" s="6" t="n"/>
    </row>
    <row r="575">
      <c r="G575" s="7" t="n"/>
      <c r="I575" s="6" t="n"/>
      <c r="J575" s="6" t="n"/>
    </row>
    <row r="576">
      <c r="G576" s="7" t="n"/>
      <c r="I576" s="6" t="n"/>
      <c r="J576" s="6" t="n"/>
    </row>
    <row r="577">
      <c r="G577" s="7" t="n"/>
      <c r="I577" s="6" t="n"/>
      <c r="J577" s="6" t="n"/>
    </row>
    <row r="578">
      <c r="G578" s="7" t="n"/>
      <c r="I578" s="6" t="n"/>
      <c r="J578" s="6" t="n"/>
    </row>
    <row r="579">
      <c r="G579" s="7" t="n"/>
      <c r="I579" s="6" t="n"/>
      <c r="J579" s="6" t="n"/>
    </row>
    <row r="580">
      <c r="G580" s="7" t="n"/>
      <c r="I580" s="6" t="n"/>
      <c r="J580" s="6" t="n"/>
    </row>
    <row r="581">
      <c r="G581" s="7" t="n"/>
      <c r="I581" s="6" t="n"/>
      <c r="J581" s="6" t="n"/>
    </row>
    <row r="582">
      <c r="G582" s="7" t="n"/>
      <c r="I582" s="6" t="n"/>
      <c r="J582" s="6" t="n"/>
    </row>
    <row r="583">
      <c r="G583" s="7" t="n"/>
      <c r="I583" s="6" t="n"/>
      <c r="J583" s="6" t="n"/>
    </row>
    <row r="584">
      <c r="G584" s="7" t="n"/>
      <c r="I584" s="6" t="n"/>
      <c r="J584" s="6" t="n"/>
    </row>
    <row r="585">
      <c r="G585" s="7" t="n"/>
      <c r="I585" s="6" t="n"/>
      <c r="J585" s="6" t="n"/>
    </row>
    <row r="586">
      <c r="G586" s="7" t="n"/>
      <c r="I586" s="6" t="n"/>
      <c r="J586" s="6" t="n"/>
    </row>
    <row r="587">
      <c r="G587" s="7" t="n"/>
      <c r="I587" s="6" t="n"/>
      <c r="J587" s="6" t="n"/>
    </row>
    <row r="588">
      <c r="G588" s="7" t="n"/>
      <c r="I588" s="6" t="n"/>
      <c r="J588" s="6" t="n"/>
    </row>
    <row r="589">
      <c r="G589" s="7" t="n"/>
      <c r="I589" s="6" t="n"/>
      <c r="J589" s="6" t="n"/>
    </row>
    <row r="590">
      <c r="G590" s="7" t="n"/>
      <c r="I590" s="6" t="n"/>
      <c r="J590" s="6" t="n"/>
    </row>
    <row r="591">
      <c r="G591" s="7" t="n"/>
      <c r="I591" s="6" t="n"/>
      <c r="J591" s="6" t="n"/>
    </row>
    <row r="592">
      <c r="G592" s="7" t="n"/>
      <c r="I592" s="6" t="n"/>
      <c r="J592" s="6" t="n"/>
    </row>
    <row r="593">
      <c r="G593" s="7" t="n"/>
      <c r="I593" s="6" t="n"/>
      <c r="J593" s="6" t="n"/>
    </row>
    <row r="594">
      <c r="G594" s="7" t="n"/>
      <c r="I594" s="6" t="n"/>
      <c r="J594" s="6" t="n"/>
    </row>
    <row r="595">
      <c r="G595" s="7" t="n"/>
      <c r="I595" s="6" t="n"/>
      <c r="J595" s="6" t="n"/>
    </row>
    <row r="596">
      <c r="G596" s="7" t="n"/>
      <c r="I596" s="6" t="n"/>
      <c r="J596" s="6" t="n"/>
    </row>
    <row r="597">
      <c r="G597" s="7" t="n"/>
      <c r="I597" s="6" t="n"/>
      <c r="J597" s="6" t="n"/>
    </row>
    <row r="598">
      <c r="G598" s="7" t="n"/>
      <c r="I598" s="6" t="n"/>
      <c r="J598" s="6" t="n"/>
    </row>
    <row r="599">
      <c r="G599" s="7" t="n"/>
      <c r="I599" s="6" t="n"/>
      <c r="J599" s="6" t="n"/>
    </row>
    <row r="600">
      <c r="G600" s="7" t="n"/>
      <c r="I600" s="6" t="n"/>
      <c r="J600" s="6" t="n"/>
    </row>
    <row r="601">
      <c r="G601" s="7" t="n"/>
      <c r="I601" s="6" t="n"/>
      <c r="J601" s="6" t="n"/>
    </row>
    <row r="602">
      <c r="G602" s="7" t="n"/>
      <c r="I602" s="6" t="n"/>
      <c r="J602" s="6" t="n"/>
    </row>
    <row r="603">
      <c r="G603" s="7" t="n"/>
      <c r="I603" s="6" t="n"/>
      <c r="J603" s="6" t="n"/>
    </row>
    <row r="604">
      <c r="G604" s="7" t="n"/>
      <c r="I604" s="6" t="n"/>
      <c r="J604" s="6" t="n"/>
    </row>
    <row r="605">
      <c r="G605" s="7" t="n"/>
      <c r="I605" s="6" t="n"/>
      <c r="J605" s="6" t="n"/>
    </row>
    <row r="606">
      <c r="G606" s="7" t="n"/>
      <c r="I606" s="6" t="n"/>
      <c r="J606" s="6" t="n"/>
    </row>
    <row r="607">
      <c r="G607" s="7" t="n"/>
      <c r="I607" s="6" t="n"/>
      <c r="J607" s="6" t="n"/>
    </row>
    <row r="608">
      <c r="G608" s="7" t="n"/>
      <c r="I608" s="6" t="n"/>
      <c r="J608" s="6" t="n"/>
    </row>
    <row r="609">
      <c r="G609" s="7" t="n"/>
      <c r="I609" s="6" t="n"/>
      <c r="J609" s="6" t="n"/>
    </row>
    <row r="610">
      <c r="G610" s="7" t="n"/>
      <c r="I610" s="6" t="n"/>
      <c r="J610" s="6" t="n"/>
    </row>
    <row r="611">
      <c r="G611" s="7" t="n"/>
      <c r="I611" s="6" t="n"/>
      <c r="J611" s="6" t="n"/>
    </row>
    <row r="612">
      <c r="G612" s="7" t="n"/>
      <c r="I612" s="6" t="n"/>
      <c r="J612" s="6" t="n"/>
    </row>
    <row r="613">
      <c r="G613" s="7" t="n"/>
      <c r="I613" s="6" t="n"/>
      <c r="J613" s="6" t="n"/>
    </row>
    <row r="614">
      <c r="G614" s="7" t="n"/>
      <c r="I614" s="6" t="n"/>
      <c r="J614" s="6" t="n"/>
    </row>
    <row r="615">
      <c r="G615" s="7" t="n"/>
      <c r="I615" s="6" t="n"/>
      <c r="J615" s="6" t="n"/>
    </row>
    <row r="616">
      <c r="G616" s="7" t="n"/>
      <c r="I616" s="6" t="n"/>
      <c r="J616" s="6" t="n"/>
    </row>
    <row r="617">
      <c r="G617" s="7" t="n"/>
      <c r="I617" s="6" t="n"/>
      <c r="J617" s="6" t="n"/>
    </row>
    <row r="618">
      <c r="G618" s="7" t="n"/>
      <c r="I618" s="6" t="n"/>
      <c r="J618" s="6" t="n"/>
    </row>
    <row r="619">
      <c r="G619" s="7" t="n"/>
      <c r="I619" s="6" t="n"/>
      <c r="J619" s="6" t="n"/>
    </row>
    <row r="620">
      <c r="G620" s="7" t="n"/>
      <c r="I620" s="6" t="n"/>
      <c r="J620" s="6" t="n"/>
    </row>
    <row r="621">
      <c r="G621" s="7" t="n"/>
      <c r="I621" s="6" t="n"/>
      <c r="J621" s="6" t="n"/>
    </row>
    <row r="622">
      <c r="G622" s="7" t="n"/>
      <c r="I622" s="6" t="n"/>
      <c r="J622" s="6" t="n"/>
    </row>
    <row r="623">
      <c r="G623" s="7" t="n"/>
      <c r="I623" s="6" t="n"/>
      <c r="J623" s="6" t="n"/>
    </row>
    <row r="624">
      <c r="G624" s="7" t="n"/>
      <c r="I624" s="6" t="n"/>
      <c r="J624" s="6" t="n"/>
    </row>
    <row r="625">
      <c r="G625" s="7" t="n"/>
      <c r="I625" s="6" t="n"/>
      <c r="J625" s="6" t="n"/>
    </row>
    <row r="626">
      <c r="G626" s="7" t="n"/>
      <c r="I626" s="6" t="n"/>
      <c r="J626" s="6" t="n"/>
    </row>
    <row r="627">
      <c r="G627" s="7" t="n"/>
      <c r="I627" s="6" t="n"/>
      <c r="J627" s="6" t="n"/>
    </row>
    <row r="628">
      <c r="G628" s="7" t="n"/>
      <c r="I628" s="6" t="n"/>
      <c r="J628" s="6" t="n"/>
    </row>
    <row r="629">
      <c r="G629" s="7" t="n"/>
      <c r="I629" s="6" t="n"/>
      <c r="J629" s="6" t="n"/>
    </row>
    <row r="630">
      <c r="G630" s="7" t="n"/>
      <c r="I630" s="6" t="n"/>
      <c r="J630" s="6" t="n"/>
    </row>
    <row r="631">
      <c r="G631" s="7" t="n"/>
      <c r="I631" s="6" t="n"/>
      <c r="J631" s="6" t="n"/>
    </row>
    <row r="632">
      <c r="G632" s="7" t="n"/>
      <c r="I632" s="6" t="n"/>
      <c r="J632" s="6" t="n"/>
    </row>
    <row r="633">
      <c r="G633" s="7" t="n"/>
      <c r="I633" s="6" t="n"/>
      <c r="J633" s="6" t="n"/>
    </row>
    <row r="634">
      <c r="G634" s="7" t="n"/>
      <c r="I634" s="6" t="n"/>
      <c r="J634" s="6" t="n"/>
    </row>
    <row r="635">
      <c r="G635" s="7" t="n"/>
      <c r="I635" s="6" t="n"/>
      <c r="J635" s="6" t="n"/>
    </row>
    <row r="636">
      <c r="G636" s="7" t="n"/>
      <c r="I636" s="6" t="n"/>
      <c r="J636" s="6" t="n"/>
    </row>
    <row r="637">
      <c r="G637" s="7" t="n"/>
      <c r="I637" s="6" t="n"/>
      <c r="J637" s="6" t="n"/>
    </row>
    <row r="638">
      <c r="G638" s="7" t="n"/>
      <c r="I638" s="6" t="n"/>
      <c r="J638" s="6" t="n"/>
    </row>
    <row r="639">
      <c r="G639" s="7" t="n"/>
      <c r="I639" s="6" t="n"/>
      <c r="J639" s="6" t="n"/>
    </row>
    <row r="640">
      <c r="G640" s="7" t="n"/>
      <c r="I640" s="6" t="n"/>
      <c r="J640" s="6" t="n"/>
    </row>
    <row r="641">
      <c r="G641" s="7" t="n"/>
      <c r="I641" s="6" t="n"/>
      <c r="J641" s="6" t="n"/>
    </row>
    <row r="642">
      <c r="G642" s="7" t="n"/>
      <c r="I642" s="6" t="n"/>
      <c r="J642" s="6" t="n"/>
    </row>
    <row r="643">
      <c r="G643" s="7" t="n"/>
      <c r="I643" s="6" t="n"/>
      <c r="J643" s="6" t="n"/>
    </row>
    <row r="644">
      <c r="G644" s="7" t="n"/>
      <c r="I644" s="6" t="n"/>
      <c r="J644" s="6" t="n"/>
    </row>
    <row r="645">
      <c r="G645" s="7" t="n"/>
      <c r="I645" s="6" t="n"/>
      <c r="J645" s="6" t="n"/>
    </row>
    <row r="646">
      <c r="G646" s="7" t="n"/>
      <c r="I646" s="6" t="n"/>
      <c r="J646" s="6" t="n"/>
    </row>
    <row r="647">
      <c r="G647" s="7" t="n"/>
      <c r="I647" s="6" t="n"/>
      <c r="J647" s="6" t="n"/>
    </row>
    <row r="648">
      <c r="G648" s="7" t="n"/>
      <c r="I648" s="6" t="n"/>
      <c r="J648" s="6" t="n"/>
    </row>
    <row r="649">
      <c r="G649" s="7" t="n"/>
      <c r="I649" s="6" t="n"/>
      <c r="J649" s="6" t="n"/>
    </row>
    <row r="650">
      <c r="G650" s="7" t="n"/>
      <c r="I650" s="6" t="n"/>
      <c r="J650" s="6" t="n"/>
    </row>
    <row r="651">
      <c r="G651" s="7" t="n"/>
      <c r="I651" s="6" t="n"/>
      <c r="J651" s="6" t="n"/>
    </row>
    <row r="652">
      <c r="G652" s="7" t="n"/>
      <c r="I652" s="6" t="n"/>
      <c r="J652" s="6" t="n"/>
    </row>
    <row r="653">
      <c r="G653" s="7" t="n"/>
      <c r="I653" s="6" t="n"/>
      <c r="J653" s="6" t="n"/>
    </row>
    <row r="654">
      <c r="G654" s="7" t="n"/>
      <c r="I654" s="6" t="n"/>
      <c r="J654" s="6" t="n"/>
    </row>
    <row r="655">
      <c r="G655" s="7" t="n"/>
      <c r="I655" s="6" t="n"/>
      <c r="J655" s="6" t="n"/>
    </row>
    <row r="656">
      <c r="G656" s="7" t="n"/>
      <c r="I656" s="6" t="n"/>
      <c r="J656" s="6" t="n"/>
    </row>
    <row r="657">
      <c r="G657" s="7" t="n"/>
      <c r="I657" s="6" t="n"/>
      <c r="J657" s="6" t="n"/>
    </row>
    <row r="658">
      <c r="G658" s="7" t="n"/>
      <c r="I658" s="6" t="n"/>
      <c r="J658" s="6" t="n"/>
    </row>
    <row r="659">
      <c r="G659" s="7" t="n"/>
      <c r="I659" s="6" t="n"/>
      <c r="J659" s="6" t="n"/>
    </row>
    <row r="660">
      <c r="G660" s="7" t="n"/>
      <c r="I660" s="6" t="n"/>
      <c r="J660" s="6" t="n"/>
    </row>
    <row r="661">
      <c r="G661" s="7" t="n"/>
      <c r="J661" s="6" t="n"/>
    </row>
    <row r="662">
      <c r="G662" s="7" t="n"/>
      <c r="J662" s="6" t="n"/>
    </row>
    <row r="663">
      <c r="G663" s="7" t="n"/>
      <c r="J663" s="6" t="n"/>
    </row>
    <row r="664">
      <c r="G664" s="7" t="n"/>
      <c r="J664" s="6" t="n"/>
    </row>
    <row r="665">
      <c r="G665" s="7" t="n"/>
      <c r="J665" s="6" t="n"/>
    </row>
    <row r="666">
      <c r="G666" s="7" t="n"/>
      <c r="J666" s="6" t="n"/>
    </row>
    <row r="667">
      <c r="G667" s="7" t="n"/>
      <c r="J667" s="6" t="n"/>
    </row>
    <row r="668">
      <c r="G668" s="7" t="n"/>
      <c r="J668" s="6" t="n"/>
    </row>
    <row r="669">
      <c r="G669" s="7" t="n"/>
      <c r="J669" s="6" t="n"/>
    </row>
    <row r="670">
      <c r="G670" s="7" t="n"/>
      <c r="J670" s="6" t="n"/>
    </row>
    <row r="671">
      <c r="G671" s="7" t="n"/>
      <c r="J671" s="6" t="n"/>
    </row>
    <row r="672">
      <c r="G672" s="7" t="n"/>
      <c r="J672" s="6" t="n"/>
    </row>
    <row r="673">
      <c r="G673" s="7" t="n"/>
      <c r="J673" s="6" t="n"/>
    </row>
    <row r="674">
      <c r="G674" s="7" t="n"/>
      <c r="J674" s="6" t="n"/>
    </row>
    <row r="675">
      <c r="G675" s="7" t="n"/>
      <c r="J675" s="6" t="n"/>
    </row>
    <row r="676">
      <c r="G676" s="7" t="n"/>
      <c r="J676" s="6" t="n"/>
    </row>
    <row r="677">
      <c r="G677" s="7" t="n"/>
      <c r="J677" s="6" t="n"/>
    </row>
    <row r="678">
      <c r="G678" s="7" t="n"/>
      <c r="J678" s="6" t="n"/>
    </row>
    <row r="679">
      <c r="G679" s="7" t="n"/>
      <c r="J679" s="6" t="n"/>
    </row>
    <row r="680">
      <c r="G680" s="7" t="n"/>
      <c r="J680" s="6" t="n"/>
    </row>
    <row r="681">
      <c r="G681" s="7" t="n"/>
      <c r="J681" s="6" t="n"/>
    </row>
    <row r="682">
      <c r="G682" s="7" t="n"/>
      <c r="J682" s="6" t="n"/>
    </row>
    <row r="683">
      <c r="G683" s="7" t="n"/>
      <c r="J683" s="6" t="n"/>
    </row>
    <row r="684">
      <c r="G684" s="7" t="n"/>
      <c r="J684" s="6" t="n"/>
    </row>
  </sheetData>
  <mergeCells count="2">
    <mergeCell ref="G1:I2"/>
    <mergeCell ref="G3:I3"/>
  </mergeCells>
  <conditionalFormatting sqref="G5:I484">
    <cfRule type="expression" priority="1" dxfId="3">
      <formula>$G5="Serviço"</formula>
    </cfRule>
    <cfRule type="expression" priority="2" dxfId="0">
      <formula>$G5="Célula Construtiva"</formula>
    </cfRule>
    <cfRule type="expression" priority="3" dxfId="1">
      <formula>$G5="Unidade Construtiva"</formula>
    </cfRule>
    <cfRule type="expression" priority="4" dxfId="0">
      <formula>$G5="Etapa"</formula>
    </cfRule>
  </conditionalFormatting>
  <dataValidations count="1">
    <dataValidation sqref="G5:G484" showDropDown="0" showInputMessage="1" showErrorMessage="1" allowBlank="1" type="list">
      <formula1>"UNIDADE CONSTRUTIVA,CÉLULA CONSTRUTIVA,ETAPA,Subetapa,Serviço"</formula1>
    </dataValidation>
  </dataValidations>
  <pageMargins left="0.511811024" right="0.511811024" top="0.787401575" bottom="0.787401575" header="0.31496062" footer="0.31496062"/>
  <pageSetup orientation="portrait" paperSize="9" scale="5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Cartesian</dc:creator>
  <dcterms:created xmlns:dcterms="http://purl.org/dc/terms/" xmlns:xsi="http://www.w3.org/2001/XMLSchema-instance" xsi:type="dcterms:W3CDTF">2026-03-25T00:58:14Z</dcterms:created>
  <dcterms:modified xmlns:dcterms="http://purl.org/dc/terms/" xmlns:xsi="http://www.w3.org/2001/XMLSchema-instance" xsi:type="dcterms:W3CDTF">2026-03-25T01:10:56Z</dcterms:modified>
  <cp:lastModifiedBy>Leonardo Cartesian</cp:lastModifiedBy>
</cp:coreProperties>
</file>