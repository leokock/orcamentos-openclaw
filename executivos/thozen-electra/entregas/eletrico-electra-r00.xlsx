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ÉTRICO" sheetId="1" state="visible" r:id="rId1"/>
  </sheets>
  <definedNames/>
  <calcPr calcId="124519" fullCalcOnLoad="1"/>
</workbook>
</file>

<file path=xl/styles.xml><?xml version="1.0" encoding="utf-8"?>
<styleSheet xmlns="http://schemas.openxmlformats.org/spreadsheetml/2006/main">
  <numFmts count="3">
    <numFmt numFmtId="164" formatCode="dd/mm/yy;@"/>
    <numFmt numFmtId="165" formatCode="_-* #,##0.00_-;\-* #,##0.00_-;_-* &quot;-&quot;??_-;_-@_-"/>
    <numFmt numFmtId="166" formatCode="_-&quot;R$&quot;\ * #,##0.00_-;\-&quot;R$&quot;\ * #,##0.00_-;_-&quot;R$&quot;\ * &quot;-&quot;??_-;_-@_-"/>
  </numFmts>
  <fonts count="12">
    <font>
      <name val="Calibri"/>
      <family val="2"/>
      <color theme="1"/>
      <sz val="11"/>
      <scheme val="minor"/>
    </font>
    <font>
      <name val="Arial"/>
      <family val="2"/>
      <color theme="8" tint="-0.499984740745262"/>
      <sz val="10"/>
      <scheme val="minor"/>
    </font>
    <font>
      <name val="Arial"/>
      <family val="2"/>
      <b val="1"/>
      <sz val="10"/>
      <scheme val="minor"/>
    </font>
    <font>
      <name val="Arial"/>
      <family val="2"/>
      <sz val="10"/>
      <scheme val="minor"/>
    </font>
    <font>
      <name val="Arial"/>
      <family val="2"/>
      <sz val="9.5"/>
      <scheme val="minor"/>
    </font>
    <font>
      <name val="Arial"/>
      <family val="2"/>
      <color theme="1"/>
      <sz val="11"/>
      <scheme val="minor"/>
    </font>
    <font>
      <name val="Arial"/>
      <family val="2"/>
      <b val="1"/>
      <color theme="0"/>
      <sz val="12"/>
      <scheme val="minor"/>
    </font>
    <font>
      <name val="Poppins"/>
      <b val="1"/>
      <color theme="0"/>
      <sz val="10"/>
    </font>
    <font>
      <name val="Arial"/>
      <family val="2"/>
      <sz val="11"/>
      <scheme val="minor"/>
    </font>
    <font>
      <name val="Arial"/>
      <family val="2"/>
      <b val="1"/>
      <color theme="0"/>
      <sz val="11"/>
      <scheme val="minor"/>
    </font>
    <font>
      <name val="Calibri"/>
      <b val="1"/>
      <sz val="9"/>
    </font>
    <font>
      <name val="Calibri"/>
      <b val="1"/>
      <sz val="10"/>
    </font>
  </fonts>
  <fills count="6">
    <fill>
      <patternFill/>
    </fill>
    <fill>
      <patternFill patternType="gray125"/>
    </fill>
    <fill>
      <patternFill patternType="solid">
        <fgColor rgb="FF1851D6"/>
        <bgColor indexed="64"/>
      </patternFill>
    </fill>
    <fill>
      <patternFill patternType="solid">
        <fgColor theme="1" tint="0.0499893185216834"/>
        <bgColor indexed="64"/>
      </patternFill>
    </fill>
    <fill>
      <patternFill patternType="solid">
        <fgColor theme="4" tint="0.5999938962981048"/>
        <bgColor indexed="64"/>
      </patternFill>
    </fill>
    <fill>
      <patternFill patternType="solid">
        <fgColor theme="0" tint="-0.1499984740745262"/>
        <bgColor indexed="64"/>
      </patternFill>
    </fill>
  </fills>
  <borders count="28">
    <border>
      <left/>
      <right/>
      <top/>
      <bottom/>
      <diagonal/>
    </border>
    <border>
      <left style="thin">
        <color rgb="FF29292F"/>
      </left>
      <right/>
      <top style="thin">
        <color rgb="FF29292F"/>
      </top>
      <bottom/>
      <diagonal/>
    </border>
    <border>
      <left/>
      <right/>
      <top style="thin">
        <color rgb="FF29292F"/>
      </top>
      <bottom/>
      <diagonal/>
    </border>
    <border>
      <left style="thin">
        <color rgb="FF29292F"/>
      </left>
      <right/>
      <top style="thin">
        <color rgb="FF29292F"/>
      </top>
      <bottom style="thin">
        <color rgb="FF29292F"/>
      </bottom>
      <diagonal/>
    </border>
    <border>
      <left/>
      <right/>
      <top style="thin">
        <color rgb="FF29292F"/>
      </top>
      <bottom style="thin">
        <color rgb="FF29292F"/>
      </bottom>
      <diagonal/>
    </border>
    <border>
      <left style="thin">
        <color rgb="FF29292F"/>
      </left>
      <right/>
      <top/>
      <bottom/>
      <diagonal/>
    </border>
    <border>
      <left/>
      <right/>
      <top style="thin">
        <color rgb="FF29292F"/>
      </top>
      <bottom style="thin">
        <color indexed="64"/>
      </bottom>
      <diagonal/>
    </border>
    <border>
      <left/>
      <right/>
      <top/>
      <bottom style="thin">
        <color rgb="FF29292F"/>
      </bottom>
      <diagonal/>
    </border>
    <border>
      <left style="thin">
        <color rgb="FF29292F"/>
      </left>
      <right/>
      <top/>
      <bottom style="thin">
        <color rgb="FF29292F"/>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auto="1"/>
      </top>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s>
  <cellStyleXfs count="1">
    <xf numFmtId="0" fontId="0" fillId="0" borderId="0"/>
  </cellStyleXfs>
  <cellXfs count="52">
    <xf numFmtId="0" fontId="0" fillId="0" borderId="0" pivotButton="0" quotePrefix="0" xfId="0"/>
    <xf numFmtId="0" fontId="1" fillId="0" borderId="1" applyAlignment="1" pivotButton="0" quotePrefix="0" xfId="0">
      <alignment vertical="center"/>
    </xf>
    <xf numFmtId="0" fontId="1" fillId="0" borderId="2" applyAlignment="1" pivotButton="0" quotePrefix="0" xfId="0">
      <alignment vertical="center"/>
    </xf>
    <xf numFmtId="0" fontId="2" fillId="0" borderId="3" applyAlignment="1" pivotButton="0" quotePrefix="0" xfId="0">
      <alignment vertical="center"/>
    </xf>
    <xf numFmtId="0" fontId="3" fillId="0" borderId="4" applyAlignment="1" pivotButton="0" quotePrefix="0" xfId="0">
      <alignment vertical="center"/>
    </xf>
    <xf numFmtId="0" fontId="1" fillId="0" borderId="4" applyAlignment="1" pivotButton="0" quotePrefix="0" xfId="0">
      <alignment vertical="center"/>
    </xf>
    <xf numFmtId="0" fontId="3" fillId="0" borderId="5" applyAlignment="1" pivotButton="0" quotePrefix="0" xfId="0">
      <alignment vertical="center"/>
    </xf>
    <xf numFmtId="0" fontId="3" fillId="0" borderId="0" applyAlignment="1" pivotButton="0" quotePrefix="0" xfId="0">
      <alignment vertical="center"/>
    </xf>
    <xf numFmtId="164" fontId="4" fillId="0" borderId="6" applyAlignment="1" pivotButton="0" quotePrefix="0" xfId="0">
      <alignment horizontal="left" vertical="center"/>
    </xf>
    <xf numFmtId="164" fontId="4" fillId="0" borderId="7" applyAlignment="1" pivotButton="0" quotePrefix="0" xfId="0">
      <alignment horizontal="left" vertical="center" wrapText="1"/>
    </xf>
    <xf numFmtId="0" fontId="0" fillId="0" borderId="7" pivotButton="0" quotePrefix="0" xfId="0"/>
    <xf numFmtId="17" fontId="3" fillId="0" borderId="8" applyAlignment="1" pivotButton="0" quotePrefix="0" xfId="0">
      <alignment horizontal="left" vertical="center"/>
    </xf>
    <xf numFmtId="17" fontId="3" fillId="0" borderId="7" applyAlignment="1" pivotButton="0" quotePrefix="0" xfId="0">
      <alignment horizontal="left" vertical="center"/>
    </xf>
    <xf numFmtId="0" fontId="6" fillId="2" borderId="9" applyAlignment="1" pivotButton="0" quotePrefix="0" xfId="0">
      <alignment horizontal="center" vertical="center"/>
    </xf>
    <xf numFmtId="0" fontId="0" fillId="0" borderId="10" pivotButton="0" quotePrefix="0" xfId="0"/>
    <xf numFmtId="0" fontId="0" fillId="0" borderId="15" pivotButton="0" quotePrefix="0" xfId="0"/>
    <xf numFmtId="0" fontId="7" fillId="3" borderId="11" applyAlignment="1" pivotButton="0" quotePrefix="0" xfId="0">
      <alignment horizontal="center" vertical="center"/>
    </xf>
    <xf numFmtId="0" fontId="5" fillId="0" borderId="0" pivotButton="0" quotePrefix="0" xfId="0"/>
    <xf numFmtId="0" fontId="7" fillId="3" borderId="12" applyAlignment="1" pivotButton="0" quotePrefix="0" xfId="0">
      <alignment horizontal="center" vertical="center"/>
    </xf>
    <xf numFmtId="0" fontId="7" fillId="3" borderId="13" applyAlignment="1" pivotButton="0" quotePrefix="0" xfId="0">
      <alignment horizontal="center" vertical="center"/>
    </xf>
    <xf numFmtId="0" fontId="7" fillId="3" borderId="11" applyAlignment="1" pivotButton="0" quotePrefix="0" xfId="0">
      <alignment horizontal="center" vertical="center" wrapText="1"/>
    </xf>
    <xf numFmtId="0" fontId="7" fillId="3" borderId="14" applyAlignment="1" pivotButton="0" quotePrefix="0" xfId="0">
      <alignment horizontal="center" vertical="center" wrapText="1"/>
    </xf>
    <xf numFmtId="0" fontId="5" fillId="4" borderId="16" applyAlignment="1" pivotButton="0" quotePrefix="0" xfId="0">
      <alignment vertical="center"/>
    </xf>
    <xf numFmtId="0" fontId="5" fillId="4" borderId="17" applyAlignment="1" pivotButton="0" quotePrefix="0" xfId="0">
      <alignment vertical="center"/>
    </xf>
    <xf numFmtId="0" fontId="5" fillId="4" borderId="18" applyAlignment="1" pivotButton="0" quotePrefix="0" xfId="0">
      <alignment vertical="center"/>
    </xf>
    <xf numFmtId="165" fontId="5" fillId="4" borderId="18" applyAlignment="1" pivotButton="0" quotePrefix="0" xfId="0">
      <alignment vertical="center"/>
    </xf>
    <xf numFmtId="165" fontId="8" fillId="4" borderId="18" applyAlignment="1" pivotButton="0" quotePrefix="0" xfId="0">
      <alignment vertical="center"/>
    </xf>
    <xf numFmtId="166" fontId="5" fillId="4" borderId="19" applyAlignment="1" pivotButton="0" quotePrefix="0" xfId="0">
      <alignment vertical="center"/>
    </xf>
    <xf numFmtId="165" fontId="5" fillId="4" borderId="20" applyAlignment="1" pivotButton="0" quotePrefix="0" xfId="0">
      <alignment vertical="center"/>
    </xf>
    <xf numFmtId="0" fontId="10" fillId="0" borderId="0" pivotButton="0" quotePrefix="0" xfId="0"/>
    <xf numFmtId="4" fontId="0" fillId="0" borderId="0" pivotButton="0" quotePrefix="0" xfId="0"/>
    <xf numFmtId="4" fontId="10" fillId="0" borderId="0" pivotButton="0" quotePrefix="0" xfId="0"/>
    <xf numFmtId="0" fontId="5" fillId="0" borderId="16" applyAlignment="1" pivotButton="0" quotePrefix="0" xfId="0">
      <alignment vertical="center"/>
    </xf>
    <xf numFmtId="165" fontId="5" fillId="0" borderId="16" applyAlignment="1" pivotButton="0" quotePrefix="0" xfId="0">
      <alignment vertical="center"/>
    </xf>
    <xf numFmtId="165" fontId="5" fillId="0" borderId="21" applyAlignment="1" pivotButton="0" quotePrefix="0" xfId="0">
      <alignment vertical="center"/>
    </xf>
    <xf numFmtId="165" fontId="8" fillId="0" borderId="16" applyAlignment="1" pivotButton="0" quotePrefix="0" xfId="0">
      <alignment vertical="center"/>
    </xf>
    <xf numFmtId="166" fontId="5" fillId="0" borderId="16" applyAlignment="1" pivotButton="0" quotePrefix="0" xfId="0">
      <alignment vertical="center"/>
    </xf>
    <xf numFmtId="165" fontId="5" fillId="5" borderId="20" applyAlignment="1" pivotButton="0" quotePrefix="0" xfId="0">
      <alignment vertical="center"/>
    </xf>
    <xf numFmtId="0" fontId="11" fillId="0" borderId="0" pivotButton="0" quotePrefix="0" xfId="0"/>
    <xf numFmtId="4" fontId="11" fillId="0" borderId="0" pivotButton="0" quotePrefix="0" xfId="0"/>
    <xf numFmtId="0" fontId="5" fillId="4" borderId="22" applyAlignment="1" pivotButton="0" quotePrefix="0" xfId="0">
      <alignment vertical="center"/>
    </xf>
    <xf numFmtId="0" fontId="5" fillId="4" borderId="23" applyAlignment="1" pivotButton="0" quotePrefix="0" xfId="0">
      <alignment vertical="center"/>
    </xf>
    <xf numFmtId="0" fontId="5" fillId="4" borderId="24" applyAlignment="1" pivotButton="0" quotePrefix="0" xfId="0">
      <alignment vertical="center"/>
    </xf>
    <xf numFmtId="165" fontId="5" fillId="4" borderId="24" applyAlignment="1" pivotButton="0" quotePrefix="0" xfId="0">
      <alignment vertical="center"/>
    </xf>
    <xf numFmtId="165" fontId="8" fillId="4" borderId="24" applyAlignment="1" pivotButton="0" quotePrefix="0" xfId="0">
      <alignment vertical="center"/>
    </xf>
    <xf numFmtId="166" fontId="5" fillId="4" borderId="25" applyAlignment="1" pivotButton="0" quotePrefix="0" xfId="0">
      <alignment vertical="center"/>
    </xf>
    <xf numFmtId="165" fontId="5" fillId="4" borderId="26" applyAlignment="1" pivotButton="0" quotePrefix="0" xfId="0">
      <alignment vertical="center"/>
    </xf>
    <xf numFmtId="165" fontId="5" fillId="0" borderId="27" applyAlignment="1" pivotButton="0" quotePrefix="0" xfId="0">
      <alignment vertical="center"/>
    </xf>
    <xf numFmtId="0" fontId="5" fillId="3" borderId="0" applyAlignment="1" pivotButton="0" quotePrefix="0" xfId="0">
      <alignment vertical="center"/>
    </xf>
    <xf numFmtId="0" fontId="9" fillId="3" borderId="0" applyAlignment="1" pivotButton="0" quotePrefix="0" xfId="0">
      <alignment horizontal="right" vertical="center"/>
    </xf>
    <xf numFmtId="165" fontId="9" fillId="3" borderId="0" applyAlignment="1" pivotButton="0" quotePrefix="0" xfId="0">
      <alignment vertical="center"/>
    </xf>
    <xf numFmtId="166" fontId="5"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13"/>
  <sheetViews>
    <sheetView workbookViewId="0">
      <pane ySplit="6" topLeftCell="A7" activePane="bottomLeft" state="frozen"/>
      <selection pane="bottomLeft" activeCell="A1" sqref="A1"/>
    </sheetView>
  </sheetViews>
  <sheetFormatPr baseColWidth="8" defaultRowHeight="15"/>
  <cols>
    <col width="8.125" customWidth="1" min="1" max="1"/>
    <col width="21.5" customWidth="1" min="2" max="2"/>
    <col width="20.375" customWidth="1" min="3" max="3"/>
    <col width="123.875" customWidth="1" min="5" max="5"/>
    <col width="13.5" customWidth="1" min="6" max="6"/>
    <col width="16.375" customWidth="1" min="7" max="7"/>
    <col width="8.375" customWidth="1" min="8" max="8"/>
    <col width="13.25" customWidth="1" min="9" max="9"/>
    <col width="11.625" customWidth="1" min="10" max="10"/>
    <col width="13.25" customWidth="1" min="11" max="11"/>
    <col width="21.875" customWidth="1" min="12" max="12"/>
    <col width="5.5" customWidth="1" min="13" max="13"/>
    <col width="27.625" customWidth="1" min="14" max="14"/>
    <col width="13" customWidth="1" min="15" max="15"/>
    <col width="15.5" customWidth="1" min="16" max="16"/>
    <col width="16.25" customWidth="1" min="17" max="17"/>
    <col width="15" customWidth="1" min="18" max="18"/>
    <col width="15.625" customWidth="1" min="20" max="20"/>
    <col width="15.125" customWidth="1" min="21" max="21"/>
    <col width="16.375" customWidth="1" min="22" max="22"/>
    <col width="13" customWidth="1" min="23" max="23"/>
    <col width="18" customWidth="1" min="24" max="24"/>
    <col width="13" customWidth="1" min="28" max="28"/>
    <col width="15.625" customWidth="1" min="30" max="30"/>
    <col width="13" customWidth="1" min="31" max="31"/>
    <col width="15.5" customWidth="1" min="32" max="32"/>
    <col width="9" customWidth="1" min="33" max="33"/>
  </cols>
  <sheetData>
    <row r="1" ht="15" customHeight="1">
      <c r="A1" s="1" t="n"/>
      <c r="B1" s="2" t="n"/>
      <c r="C1" s="3" t="inlineStr">
        <is>
          <t>Projeto</t>
        </is>
      </c>
      <c r="D1" s="4" t="inlineStr">
        <is>
          <t>Electra Towers</t>
        </is>
      </c>
      <c r="E1" s="4"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row>
    <row r="2" ht="15" customHeight="1">
      <c r="A2" s="6" t="n"/>
      <c r="B2" s="7" t="n"/>
      <c r="C2" s="3" t="inlineStr">
        <is>
          <t>Empresa</t>
        </is>
      </c>
      <c r="D2" s="8" t="inlineStr">
        <is>
          <t>Thozen</t>
        </is>
      </c>
      <c r="E2" s="8"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ht="15" customHeight="1">
      <c r="A3" s="6" t="n"/>
      <c r="B3" s="7" t="n"/>
      <c r="C3" s="3" t="inlineStr">
        <is>
          <t>Origem</t>
        </is>
      </c>
      <c r="D3" s="9" t="inlineStr">
        <is>
          <t>CTN-TZN_ELT-ELE-R00</t>
        </is>
      </c>
      <c r="E3" s="10"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row>
    <row r="4" ht="15" customHeight="1">
      <c r="A4" s="11" t="n"/>
      <c r="B4" s="12" t="n"/>
      <c r="C4" s="3" t="inlineStr">
        <is>
          <t>Revisão</t>
        </is>
      </c>
      <c r="D4" s="4" t="inlineStr">
        <is>
          <t>R00 - Adaptado de Elizabeth II (Gessele) — 25/mar/2026</t>
        </is>
      </c>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ht="22.15" customHeight="1">
      <c r="A5" s="13" t="inlineStr">
        <is>
          <t>ELÉTRICO</t>
        </is>
      </c>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5" t="n"/>
    </row>
    <row r="6" ht="41.25" customHeight="1">
      <c r="A6" s="16" t="inlineStr">
        <is>
          <t>TORRE</t>
        </is>
      </c>
      <c r="B6" s="16" t="inlineStr">
        <is>
          <t>PAVIMENTO</t>
        </is>
      </c>
      <c r="C6" s="16" t="inlineStr">
        <is>
          <t>GRUPO/EAP</t>
        </is>
      </c>
      <c r="D6" s="16" t="inlineStr">
        <is>
          <t>SUBGRUPO</t>
        </is>
      </c>
      <c r="E6" s="16" t="inlineStr">
        <is>
          <t>Descrição</t>
        </is>
      </c>
      <c r="F6" s="16" t="inlineStr">
        <is>
          <t>Quantidade</t>
        </is>
      </c>
      <c r="G6" s="16" t="inlineStr">
        <is>
          <t>Repetição</t>
        </is>
      </c>
      <c r="H6" s="16" t="inlineStr">
        <is>
          <t>Perda</t>
        </is>
      </c>
      <c r="I6" s="16" t="inlineStr">
        <is>
          <t>Qte com perda</t>
        </is>
      </c>
      <c r="J6" s="16" t="inlineStr">
        <is>
          <t>Unidade</t>
        </is>
      </c>
      <c r="K6" s="16" t="inlineStr">
        <is>
          <t>Custo unitário</t>
        </is>
      </c>
      <c r="L6" s="16" t="inlineStr">
        <is>
          <t>Custo Total</t>
        </is>
      </c>
      <c r="M6" s="17" t="n"/>
      <c r="N6" s="18" t="inlineStr">
        <is>
          <t>EAP</t>
        </is>
      </c>
      <c r="O6" s="19" t="inlineStr">
        <is>
          <t>GERAL</t>
        </is>
      </c>
      <c r="P6" s="20" t="inlineStr">
        <is>
          <t>TÉRREO</t>
        </is>
      </c>
      <c r="Q6" s="20" t="inlineStr">
        <is>
          <t>GARAGEM 01</t>
        </is>
      </c>
      <c r="R6" s="20" t="inlineStr">
        <is>
          <t>GARAGEM 02</t>
        </is>
      </c>
      <c r="S6" s="20" t="inlineStr">
        <is>
          <t>GARAGEM 03</t>
        </is>
      </c>
      <c r="T6" s="20" t="inlineStr">
        <is>
          <t>GARAGEM 04</t>
        </is>
      </c>
      <c r="U6" s="20" t="inlineStr">
        <is>
          <t>GARAGEM 05</t>
        </is>
      </c>
      <c r="V6" s="20" t="inlineStr">
        <is>
          <t>LAZER</t>
        </is>
      </c>
      <c r="W6" s="20" t="inlineStr">
        <is>
          <t>PAVIMENTO TIPO</t>
        </is>
      </c>
      <c r="X6" s="20" t="inlineStr">
        <is>
          <t>CASA DE MÁQUINAS</t>
        </is>
      </c>
      <c r="Y6" s="20" t="inlineStr">
        <is>
          <t>TOTAL</t>
        </is>
      </c>
      <c r="Z6" s="20" t="n"/>
      <c r="AA6" s="20" t="n"/>
      <c r="AB6" s="20" t="n"/>
      <c r="AC6" s="20" t="n"/>
      <c r="AD6" s="20" t="n"/>
      <c r="AE6" s="21" t="n"/>
      <c r="AF6" s="18" t="n"/>
    </row>
    <row r="7">
      <c r="A7" s="22" t="inlineStr">
        <is>
          <t>TORRE</t>
        </is>
      </c>
      <c r="B7" s="22" t="inlineStr">
        <is>
          <t>GERAL</t>
        </is>
      </c>
      <c r="C7" s="23" t="n"/>
      <c r="D7" s="24" t="n"/>
      <c r="E7" s="24" t="n"/>
      <c r="F7" s="25" t="n"/>
      <c r="G7" s="25" t="n"/>
      <c r="H7" s="25" t="n"/>
      <c r="I7" s="26" t="n"/>
      <c r="J7" s="25" t="n"/>
      <c r="K7" s="27" t="n"/>
      <c r="L7" s="28">
        <f>SUMIFS($L$7:$L$513,$B$7:$B$513,B7,$E$7:$E$513,"&lt;&gt;"&amp;"")</f>
        <v/>
      </c>
      <c r="N7" s="29" t="inlineStr">
        <is>
          <t>SUBESTAÇÃO</t>
        </is>
      </c>
      <c r="O7" s="30">
        <f>SUMIFS($L$7:$L$513,$D$7:$D$513,$N7,$B$7:$B$513,O$6)</f>
        <v/>
      </c>
      <c r="P7" s="30">
        <f>SUMIFS($L$7:$L$513,$D$7:$D$513,$N7,$B$7:$B$513,P$6)</f>
        <v/>
      </c>
      <c r="Q7" s="30">
        <f>SUMIFS($L$7:$L$513,$D$7:$D$513,$N7,$B$7:$B$513,Q$6)</f>
        <v/>
      </c>
      <c r="R7" s="30">
        <f>SUMIFS($L$7:$L$513,$D$7:$D$513,$N7,$B$7:$B$513,R$6)</f>
        <v/>
      </c>
      <c r="S7" s="30">
        <f>SUMIFS($L$7:$L$513,$D$7:$D$513,$N7,$B$7:$B$513,S$6)</f>
        <v/>
      </c>
      <c r="T7" s="30">
        <f>SUMIFS($L$7:$L$513,$D$7:$D$513,$N7,$B$7:$B$513,T$6)</f>
        <v/>
      </c>
      <c r="U7" s="30">
        <f>SUMIFS($L$7:$L$513,$D$7:$D$513,$N7,$B$7:$B$513,U$6)</f>
        <v/>
      </c>
      <c r="V7" s="30">
        <f>SUMIFS($L$7:$L$513,$D$7:$D$513,$N7,$B$7:$B$513,V$6)</f>
        <v/>
      </c>
      <c r="W7" s="30">
        <f>SUMIFS($L$7:$L$513,$D$7:$D$513,$N7,$B$7:$B$513,W$6)</f>
        <v/>
      </c>
      <c r="X7" s="30">
        <f>SUMIFS($L$7:$L$513,$D$7:$D$513,$N7,$B$7:$B$513,X$6)</f>
        <v/>
      </c>
      <c r="Y7" s="31">
        <f>SUM(O7:X7)</f>
        <v/>
      </c>
    </row>
    <row r="8">
      <c r="A8" s="32" t="inlineStr">
        <is>
          <t>TORRE</t>
        </is>
      </c>
      <c r="B8" s="32" t="inlineStr">
        <is>
          <t>GERAL</t>
        </is>
      </c>
      <c r="C8" s="32" t="inlineStr">
        <is>
          <t>INSTALAÇÕES ELÉTRICAS</t>
        </is>
      </c>
      <c r="D8" s="32" t="inlineStr">
        <is>
          <t>SUBESTAÇÃO</t>
        </is>
      </c>
      <c r="E8" s="32" t="inlineStr">
        <is>
          <t>Suporte para muflas conforme desenho Nº 26 da norma N-321.0002 CELESC</t>
        </is>
      </c>
      <c r="F8" s="33" t="n">
        <v>1</v>
      </c>
      <c r="G8" s="33" t="n">
        <v>1</v>
      </c>
      <c r="H8" s="34" t="n">
        <v>0</v>
      </c>
      <c r="I8" s="35">
        <f>(F8+H8*F8)*G8</f>
        <v/>
      </c>
      <c r="J8" s="33" t="inlineStr">
        <is>
          <t>pç</t>
        </is>
      </c>
      <c r="K8" s="36" t="n">
        <v>168</v>
      </c>
      <c r="L8" s="37">
        <f>I8*K8</f>
        <v/>
      </c>
      <c r="N8" s="29" t="inlineStr">
        <is>
          <t>BARRAMENTO</t>
        </is>
      </c>
      <c r="O8" s="30">
        <f>SUMIFS($L$7:$L$513,$D$7:$D$513,$N8,$B$7:$B$513,O$6)</f>
        <v/>
      </c>
      <c r="P8" s="30">
        <f>SUMIFS($L$7:$L$513,$D$7:$D$513,$N8,$B$7:$B$513,P$6)</f>
        <v/>
      </c>
      <c r="Q8" s="30">
        <f>SUMIFS($L$7:$L$513,$D$7:$D$513,$N8,$B$7:$B$513,Q$6)</f>
        <v/>
      </c>
      <c r="R8" s="30">
        <f>SUMIFS($L$7:$L$513,$D$7:$D$513,$N8,$B$7:$B$513,R$6)</f>
        <v/>
      </c>
      <c r="S8" s="30">
        <f>SUMIFS($L$7:$L$513,$D$7:$D$513,$N8,$B$7:$B$513,S$6)</f>
        <v/>
      </c>
      <c r="T8" s="30">
        <f>SUMIFS($L$7:$L$513,$D$7:$D$513,$N8,$B$7:$B$513,T$6)</f>
        <v/>
      </c>
      <c r="U8" s="30">
        <f>SUMIFS($L$7:$L$513,$D$7:$D$513,$N8,$B$7:$B$513,U$6)</f>
        <v/>
      </c>
      <c r="V8" s="30">
        <f>SUMIFS($L$7:$L$513,$D$7:$D$513,$N8,$B$7:$B$513,V$6)</f>
        <v/>
      </c>
      <c r="W8" s="30">
        <f>SUMIFS($L$7:$L$513,$D$7:$D$513,$N8,$B$7:$B$513,W$6)</f>
        <v/>
      </c>
      <c r="X8" s="30">
        <f>SUMIFS($L$7:$L$513,$D$7:$D$513,$N8,$B$7:$B$513,X$6)</f>
        <v/>
      </c>
      <c r="Y8" s="31">
        <f>SUM(O8:X8)</f>
        <v/>
      </c>
    </row>
    <row r="9">
      <c r="A9" s="32" t="inlineStr">
        <is>
          <t>TORRE</t>
        </is>
      </c>
      <c r="B9" s="32" t="inlineStr">
        <is>
          <t>GERAL</t>
        </is>
      </c>
      <c r="C9" s="32" t="inlineStr">
        <is>
          <t>INSTALAÇÕES ELÉTRICAS</t>
        </is>
      </c>
      <c r="D9" s="32" t="inlineStr">
        <is>
          <t>SUBESTAÇÃO</t>
        </is>
      </c>
      <c r="E9" s="32" t="inlineStr">
        <is>
          <t>Transformador de Potencial em Média tensão, classe 15kV, relação 13.800/115V, 60Hz, 1000VA, isolação em epóxi</t>
        </is>
      </c>
      <c r="F9" s="33" t="n">
        <v>1</v>
      </c>
      <c r="G9" s="33" t="n">
        <v>1</v>
      </c>
      <c r="H9" s="34" t="n">
        <v>0</v>
      </c>
      <c r="I9" s="35">
        <f>(F9+H9*F9)*G9</f>
        <v/>
      </c>
      <c r="J9" s="33" t="inlineStr">
        <is>
          <t>pç</t>
        </is>
      </c>
      <c r="K9" s="36" t="n">
        <v>155906.12</v>
      </c>
      <c r="L9" s="37">
        <f>I9*K9</f>
        <v/>
      </c>
      <c r="N9" s="29" t="inlineStr">
        <is>
          <t>GERADOR</t>
        </is>
      </c>
      <c r="O9" s="30">
        <f>SUMIFS($L$7:$L$513,$D$7:$D$513,$N9,$B$7:$B$513,O$6)</f>
        <v/>
      </c>
      <c r="P9" s="30">
        <f>SUMIFS($L$7:$L$513,$D$7:$D$513,$N9,$B$7:$B$513,P$6)</f>
        <v/>
      </c>
      <c r="Q9" s="30">
        <f>SUMIFS($L$7:$L$513,$D$7:$D$513,$N9,$B$7:$B$513,Q$6)</f>
        <v/>
      </c>
      <c r="R9" s="30">
        <f>SUMIFS($L$7:$L$513,$D$7:$D$513,$N9,$B$7:$B$513,R$6)</f>
        <v/>
      </c>
      <c r="S9" s="30">
        <f>SUMIFS($L$7:$L$513,$D$7:$D$513,$N9,$B$7:$B$513,S$6)</f>
        <v/>
      </c>
      <c r="T9" s="30">
        <f>SUMIFS($L$7:$L$513,$D$7:$D$513,$N9,$B$7:$B$513,T$6)</f>
        <v/>
      </c>
      <c r="U9" s="30">
        <f>SUMIFS($L$7:$L$513,$D$7:$D$513,$N9,$B$7:$B$513,U$6)</f>
        <v/>
      </c>
      <c r="V9" s="30">
        <f>SUMIFS($L$7:$L$513,$D$7:$D$513,$N9,$B$7:$B$513,V$6)</f>
        <v/>
      </c>
      <c r="W9" s="30">
        <f>SUMIFS($L$7:$L$513,$D$7:$D$513,$N9,$B$7:$B$513,W$6)</f>
        <v/>
      </c>
      <c r="X9" s="30">
        <f>SUMIFS($L$7:$L$513,$D$7:$D$513,$N9,$B$7:$B$513,X$6)</f>
        <v/>
      </c>
      <c r="Y9" s="31">
        <f>SUM(O9:X9)</f>
        <v/>
      </c>
    </row>
    <row r="10">
      <c r="A10" s="32" t="inlineStr">
        <is>
          <t>TORRE</t>
        </is>
      </c>
      <c r="B10" s="32" t="inlineStr">
        <is>
          <t>GERAL</t>
        </is>
      </c>
      <c r="C10" s="32" t="inlineStr">
        <is>
          <t>INSTALAÇÕES ELÉTRICAS</t>
        </is>
      </c>
      <c r="D10" s="32" t="inlineStr">
        <is>
          <t>SUBESTAÇÃO</t>
        </is>
      </c>
      <c r="E10" s="32" t="inlineStr">
        <is>
          <t>Mufla Unipolar tipo contrátil, instalação interna, para cabo de cobre classe 15KV</t>
        </is>
      </c>
      <c r="F10" s="33" t="n">
        <v>4</v>
      </c>
      <c r="G10" s="33" t="n">
        <v>1</v>
      </c>
      <c r="H10" s="34" t="n">
        <v>0</v>
      </c>
      <c r="I10" s="35">
        <f>(F10+H10*F10)*G10</f>
        <v/>
      </c>
      <c r="J10" s="33" t="inlineStr">
        <is>
          <t>pç</t>
        </is>
      </c>
      <c r="K10" s="36" t="n">
        <v>250</v>
      </c>
      <c r="L10" s="37">
        <f>I10*K10</f>
        <v/>
      </c>
      <c r="N10" s="29" t="inlineStr">
        <is>
          <t>ENTRADA DE ENERGIA</t>
        </is>
      </c>
      <c r="O10" s="30">
        <f>SUMIFS($L$7:$L$513,$D$7:$D$513,$N10,$B$7:$B$513,O$6)</f>
        <v/>
      </c>
      <c r="P10" s="30">
        <f>SUMIFS($L$7:$L$513,$D$7:$D$513,$N10,$B$7:$B$513,P$6)</f>
        <v/>
      </c>
      <c r="Q10" s="30">
        <f>SUMIFS($L$7:$L$513,$D$7:$D$513,$N10,$B$7:$B$513,Q$6)</f>
        <v/>
      </c>
      <c r="R10" s="30">
        <f>SUMIFS($L$7:$L$513,$D$7:$D$513,$N10,$B$7:$B$513,R$6)</f>
        <v/>
      </c>
      <c r="S10" s="30">
        <f>SUMIFS($L$7:$L$513,$D$7:$D$513,$N10,$B$7:$B$513,S$6)</f>
        <v/>
      </c>
      <c r="T10" s="30">
        <f>SUMIFS($L$7:$L$513,$D$7:$D$513,$N10,$B$7:$B$513,T$6)</f>
        <v/>
      </c>
      <c r="U10" s="30">
        <f>SUMIFS($L$7:$L$513,$D$7:$D$513,$N10,$B$7:$B$513,U$6)</f>
        <v/>
      </c>
      <c r="V10" s="30">
        <f>SUMIFS($L$7:$L$513,$D$7:$D$513,$N10,$B$7:$B$513,V$6)</f>
        <v/>
      </c>
      <c r="W10" s="30">
        <f>SUMIFS($L$7:$L$513,$D$7:$D$513,$N10,$B$7:$B$513,W$6)</f>
        <v/>
      </c>
      <c r="X10" s="30">
        <f>SUMIFS($L$7:$L$513,$D$7:$D$513,$N10,$B$7:$B$513,X$6)</f>
        <v/>
      </c>
      <c r="Y10" s="31">
        <f>SUM(O10:X10)</f>
        <v/>
      </c>
    </row>
    <row r="11">
      <c r="A11" s="32" t="inlineStr">
        <is>
          <t>TORRE</t>
        </is>
      </c>
      <c r="B11" s="32" t="inlineStr">
        <is>
          <t>GERAL</t>
        </is>
      </c>
      <c r="C11" s="32" t="inlineStr">
        <is>
          <t>INSTALAÇÕES ELÉTRICAS</t>
        </is>
      </c>
      <c r="D11" s="32" t="inlineStr">
        <is>
          <t>SUBESTAÇÃO</t>
        </is>
      </c>
      <c r="E11" s="32" t="inlineStr">
        <is>
          <t>Eletroduto de Ø1" PVC Rígido, para interligação do neutro contínuo da concessionária ao BEP</t>
        </is>
      </c>
      <c r="F11" s="33" t="n">
        <v>12</v>
      </c>
      <c r="G11" s="33" t="n">
        <v>1</v>
      </c>
      <c r="H11" s="34" t="n">
        <v>0</v>
      </c>
      <c r="I11" s="35">
        <f>(F11+H11*F11)*G11</f>
        <v/>
      </c>
      <c r="J11" s="33" t="inlineStr">
        <is>
          <t>m</t>
        </is>
      </c>
      <c r="K11" s="36" t="n">
        <v>18.9</v>
      </c>
      <c r="L11" s="37">
        <f>I11*K11</f>
        <v/>
      </c>
      <c r="N11" s="29" t="inlineStr">
        <is>
          <t>CAIXA OCTOGONAL</t>
        </is>
      </c>
      <c r="O11" s="30">
        <f>SUMIFS($L$7:$L$513,$D$7:$D$513,$N11,$B$7:$B$513,O$6)</f>
        <v/>
      </c>
      <c r="P11" s="30">
        <f>SUMIFS($L$7:$L$513,$D$7:$D$513,$N11,$B$7:$B$513,P$6)</f>
        <v/>
      </c>
      <c r="Q11" s="30">
        <f>SUMIFS($L$7:$L$513,$D$7:$D$513,$N11,$B$7:$B$513,Q$6)</f>
        <v/>
      </c>
      <c r="R11" s="30">
        <f>SUMIFS($L$7:$L$513,$D$7:$D$513,$N11,$B$7:$B$513,R$6)</f>
        <v/>
      </c>
      <c r="S11" s="30">
        <f>SUMIFS($L$7:$L$513,$D$7:$D$513,$N11,$B$7:$B$513,S$6)</f>
        <v/>
      </c>
      <c r="T11" s="30">
        <f>SUMIFS($L$7:$L$513,$D$7:$D$513,$N11,$B$7:$B$513,T$6)</f>
        <v/>
      </c>
      <c r="U11" s="30">
        <f>SUMIFS($L$7:$L$513,$D$7:$D$513,$N11,$B$7:$B$513,U$6)</f>
        <v/>
      </c>
      <c r="V11" s="30">
        <f>SUMIFS($L$7:$L$513,$D$7:$D$513,$N11,$B$7:$B$513,V$6)</f>
        <v/>
      </c>
      <c r="W11" s="30">
        <f>SUMIFS($L$7:$L$513,$D$7:$D$513,$N11,$B$7:$B$513,W$6)</f>
        <v/>
      </c>
      <c r="X11" s="30">
        <f>SUMIFS($L$7:$L$513,$D$7:$D$513,$N11,$B$7:$B$513,X$6)</f>
        <v/>
      </c>
      <c r="Y11" s="31">
        <f>SUM(O11:X11)</f>
        <v/>
      </c>
    </row>
    <row r="12">
      <c r="A12" s="32" t="inlineStr">
        <is>
          <t>TORRE</t>
        </is>
      </c>
      <c r="B12" s="32" t="inlineStr">
        <is>
          <t>GERAL</t>
        </is>
      </c>
      <c r="C12" s="32" t="inlineStr">
        <is>
          <t>INSTALAÇÕES ELÉTRICAS</t>
        </is>
      </c>
      <c r="D12" s="32" t="inlineStr">
        <is>
          <t>SUBESTAÇÃO</t>
        </is>
      </c>
      <c r="E12" s="32" t="inlineStr">
        <is>
          <t>4#(35mm²)-EPR-Classe 15kV - Cobre</t>
        </is>
      </c>
      <c r="F12" s="33" t="n">
        <v>160</v>
      </c>
      <c r="G12" s="33" t="n">
        <v>1</v>
      </c>
      <c r="H12" s="34" t="n">
        <v>0</v>
      </c>
      <c r="I12" s="35">
        <f>(F12+H12*F12)*G12</f>
        <v/>
      </c>
      <c r="J12" s="33" t="inlineStr">
        <is>
          <t>m</t>
        </is>
      </c>
      <c r="K12" s="36" t="n">
        <v>56.64</v>
      </c>
      <c r="L12" s="37">
        <f>I12*K12</f>
        <v/>
      </c>
      <c r="N12" s="29" t="inlineStr">
        <is>
          <t>CAIXAS 4x2" E 4x4"</t>
        </is>
      </c>
      <c r="O12" s="30">
        <f>SUMIFS($L$7:$L$513,$D$7:$D$513,$N12,$B$7:$B$513,O$6)</f>
        <v/>
      </c>
      <c r="P12" s="30">
        <f>SUMIFS($L$7:$L$513,$D$7:$D$513,$N12,$B$7:$B$513,P$6)</f>
        <v/>
      </c>
      <c r="Q12" s="30">
        <f>SUMIFS($L$7:$L$513,$D$7:$D$513,$N12,$B$7:$B$513,Q$6)</f>
        <v/>
      </c>
      <c r="R12" s="30">
        <f>SUMIFS($L$7:$L$513,$D$7:$D$513,$N12,$B$7:$B$513,R$6)</f>
        <v/>
      </c>
      <c r="S12" s="30">
        <f>SUMIFS($L$7:$L$513,$D$7:$D$513,$N12,$B$7:$B$513,S$6)</f>
        <v/>
      </c>
      <c r="T12" s="30">
        <f>SUMIFS($L$7:$L$513,$D$7:$D$513,$N12,$B$7:$B$513,T$6)</f>
        <v/>
      </c>
      <c r="U12" s="30">
        <f>SUMIFS($L$7:$L$513,$D$7:$D$513,$N12,$B$7:$B$513,U$6)</f>
        <v/>
      </c>
      <c r="V12" s="30">
        <f>SUMIFS($L$7:$L$513,$D$7:$D$513,$N12,$B$7:$B$513,V$6)</f>
        <v/>
      </c>
      <c r="W12" s="30">
        <f>SUMIFS($L$7:$L$513,$D$7:$D$513,$N12,$B$7:$B$513,W$6)</f>
        <v/>
      </c>
      <c r="X12" s="30">
        <f>SUMIFS($L$7:$L$513,$D$7:$D$513,$N12,$B$7:$B$513,X$6)</f>
        <v/>
      </c>
      <c r="Y12" s="31">
        <f>SUM(O12:X12)</f>
        <v/>
      </c>
    </row>
    <row r="13">
      <c r="A13" s="32" t="inlineStr">
        <is>
          <t>TORRE</t>
        </is>
      </c>
      <c r="B13" s="32" t="inlineStr">
        <is>
          <t>GERAL</t>
        </is>
      </c>
      <c r="C13" s="32" t="inlineStr">
        <is>
          <t>INSTALAÇÕES ELÉTRICAS</t>
        </is>
      </c>
      <c r="D13" s="32" t="inlineStr">
        <is>
          <t>SUBESTAÇÃO</t>
        </is>
      </c>
      <c r="E13" s="32" t="inlineStr">
        <is>
          <t>Neutro #25mm² EPR-1kV - Cobre</t>
        </is>
      </c>
      <c r="F13" s="33" t="n">
        <v>55</v>
      </c>
      <c r="G13" s="33" t="n">
        <v>1</v>
      </c>
      <c r="H13" s="34" t="n">
        <v>0</v>
      </c>
      <c r="I13" s="35">
        <f>(F13+H13*F13)*G13</f>
        <v/>
      </c>
      <c r="J13" s="33" t="inlineStr">
        <is>
          <t>m</t>
        </is>
      </c>
      <c r="K13" s="36" t="n">
        <v>19.79</v>
      </c>
      <c r="L13" s="37">
        <f>I13*K13</f>
        <v/>
      </c>
      <c r="N13" s="29" t="inlineStr">
        <is>
          <t>DISPOSITIVOS DE PROTEÇÃO</t>
        </is>
      </c>
      <c r="O13" s="30">
        <f>SUMIFS($L$7:$L$513,$D$7:$D$513,$N13,$B$7:$B$513,O$6)</f>
        <v/>
      </c>
      <c r="P13" s="30">
        <f>SUMIFS($L$7:$L$513,$D$7:$D$513,$N13,$B$7:$B$513,P$6)</f>
        <v/>
      </c>
      <c r="Q13" s="30">
        <f>SUMIFS($L$7:$L$513,$D$7:$D$513,$N13,$B$7:$B$513,Q$6)</f>
        <v/>
      </c>
      <c r="R13" s="30">
        <f>SUMIFS($L$7:$L$513,$D$7:$D$513,$N13,$B$7:$B$513,R$6)</f>
        <v/>
      </c>
      <c r="S13" s="30">
        <f>SUMIFS($L$7:$L$513,$D$7:$D$513,$N13,$B$7:$B$513,S$6)</f>
        <v/>
      </c>
      <c r="T13" s="30">
        <f>SUMIFS($L$7:$L$513,$D$7:$D$513,$N13,$B$7:$B$513,T$6)</f>
        <v/>
      </c>
      <c r="U13" s="30">
        <f>SUMIFS($L$7:$L$513,$D$7:$D$513,$N13,$B$7:$B$513,U$6)</f>
        <v/>
      </c>
      <c r="V13" s="30">
        <f>SUMIFS($L$7:$L$513,$D$7:$D$513,$N13,$B$7:$B$513,V$6)</f>
        <v/>
      </c>
      <c r="W13" s="30">
        <f>SUMIFS($L$7:$L$513,$D$7:$D$513,$N13,$B$7:$B$513,W$6)</f>
        <v/>
      </c>
      <c r="X13" s="30">
        <f>SUMIFS($L$7:$L$513,$D$7:$D$513,$N13,$B$7:$B$513,X$6)</f>
        <v/>
      </c>
      <c r="Y13" s="31">
        <f>SUM(O13:X13)</f>
        <v/>
      </c>
    </row>
    <row r="14">
      <c r="A14" s="32" t="inlineStr">
        <is>
          <t>TORRE</t>
        </is>
      </c>
      <c r="B14" s="32" t="inlineStr">
        <is>
          <t>GERAL</t>
        </is>
      </c>
      <c r="C14" s="32" t="inlineStr">
        <is>
          <t>INSTALAÇÕES ELÉTRICAS</t>
        </is>
      </c>
      <c r="D14" s="32" t="inlineStr">
        <is>
          <t>SUBESTAÇÃO</t>
        </is>
      </c>
      <c r="E14" s="32" t="inlineStr">
        <is>
          <t>Chave seccionadora tripolar 400A - 15kV, de comando simultâneo, mola de abertura ultrarápida, com lâmina de aterramento e punho de manobra adicional, com dispositivo de bloqueio mecânico, tipo abertura sob carga, com KIRK e dispositivo para cadeados, homologada pela Celesc</t>
        </is>
      </c>
      <c r="F14" s="33" t="n">
        <v>1</v>
      </c>
      <c r="G14" s="33" t="n">
        <v>1</v>
      </c>
      <c r="H14" s="34" t="n">
        <v>0</v>
      </c>
      <c r="I14" s="35">
        <f>(F14+H14*F14)*G14</f>
        <v/>
      </c>
      <c r="J14" s="33" t="inlineStr">
        <is>
          <t>pç</t>
        </is>
      </c>
      <c r="K14" s="36" t="n">
        <v>1410</v>
      </c>
      <c r="L14" s="37">
        <f>I14*K14</f>
        <v/>
      </c>
      <c r="N14" s="29" t="inlineStr">
        <is>
          <t xml:space="preserve">ELETRODUTOS  </t>
        </is>
      </c>
      <c r="O14" s="30">
        <f>SUMIFS($L$7:$L$513,$D$7:$D$513,$N14,$B$7:$B$513,O$6)</f>
        <v/>
      </c>
      <c r="P14" s="30">
        <f>SUMIFS($L$7:$L$513,$D$7:$D$513,$N14,$B$7:$B$513,P$6)</f>
        <v/>
      </c>
      <c r="Q14" s="30">
        <f>SUMIFS($L$7:$L$513,$D$7:$D$513,$N14,$B$7:$B$513,Q$6)</f>
        <v/>
      </c>
      <c r="R14" s="30">
        <f>SUMIFS($L$7:$L$513,$D$7:$D$513,$N14,$B$7:$B$513,R$6)</f>
        <v/>
      </c>
      <c r="S14" s="30">
        <f>SUMIFS($L$7:$L$513,$D$7:$D$513,$N14,$B$7:$B$513,S$6)</f>
        <v/>
      </c>
      <c r="T14" s="30">
        <f>SUMIFS($L$7:$L$513,$D$7:$D$513,$N14,$B$7:$B$513,T$6)</f>
        <v/>
      </c>
      <c r="U14" s="30">
        <f>SUMIFS($L$7:$L$513,$D$7:$D$513,$N14,$B$7:$B$513,U$6)</f>
        <v/>
      </c>
      <c r="V14" s="30">
        <f>SUMIFS($L$7:$L$513,$D$7:$D$513,$N14,$B$7:$B$513,V$6)</f>
        <v/>
      </c>
      <c r="W14" s="30">
        <f>SUMIFS($L$7:$L$513,$D$7:$D$513,$N14,$B$7:$B$513,W$6)</f>
        <v/>
      </c>
      <c r="X14" s="30">
        <f>SUMIFS($L$7:$L$513,$D$7:$D$513,$N14,$B$7:$B$513,X$6)</f>
        <v/>
      </c>
      <c r="Y14" s="31">
        <f>SUM(O14:X14)</f>
        <v/>
      </c>
    </row>
    <row r="15">
      <c r="A15" s="32" t="inlineStr">
        <is>
          <t>TORRE</t>
        </is>
      </c>
      <c r="B15" s="32" t="inlineStr">
        <is>
          <t>GERAL</t>
        </is>
      </c>
      <c r="C15" s="32" t="inlineStr">
        <is>
          <t>INSTALAÇÕES ELÉTRICAS</t>
        </is>
      </c>
      <c r="D15" s="32" t="inlineStr">
        <is>
          <t>SUBESTAÇÃO</t>
        </is>
      </c>
      <c r="E15" s="32" t="inlineStr">
        <is>
          <t>Vergalhão de cobre Ø3/8"</t>
        </is>
      </c>
      <c r="F15" s="33" t="n">
        <v>50</v>
      </c>
      <c r="G15" s="33" t="n">
        <v>1</v>
      </c>
      <c r="H15" s="34" t="n">
        <v>0</v>
      </c>
      <c r="I15" s="35">
        <f>(F15+H15*F15)*G15</f>
        <v/>
      </c>
      <c r="J15" s="33" t="inlineStr">
        <is>
          <t>m</t>
        </is>
      </c>
      <c r="K15" s="36" t="n">
        <v>127</v>
      </c>
      <c r="L15" s="37">
        <f>I15*K15</f>
        <v/>
      </c>
      <c r="N15" s="29" t="inlineStr">
        <is>
          <t>MÓDULOS</t>
        </is>
      </c>
      <c r="O15" s="30">
        <f>SUMIFS($L$7:$L$513,$D$7:$D$513,$N15,$B$7:$B$513,O$6)</f>
        <v/>
      </c>
      <c r="P15" s="30">
        <f>SUMIFS($L$7:$L$513,$D$7:$D$513,$N15,$B$7:$B$513,P$6)</f>
        <v/>
      </c>
      <c r="Q15" s="30">
        <f>SUMIFS($L$7:$L$513,$D$7:$D$513,$N15,$B$7:$B$513,Q$6)</f>
        <v/>
      </c>
      <c r="R15" s="30">
        <f>SUMIFS($L$7:$L$513,$D$7:$D$513,$N15,$B$7:$B$513,R$6)</f>
        <v/>
      </c>
      <c r="S15" s="30">
        <f>SUMIFS($L$7:$L$513,$D$7:$D$513,$N15,$B$7:$B$513,S$6)</f>
        <v/>
      </c>
      <c r="T15" s="30">
        <f>SUMIFS($L$7:$L$513,$D$7:$D$513,$N15,$B$7:$B$513,T$6)</f>
        <v/>
      </c>
      <c r="U15" s="30">
        <f>SUMIFS($L$7:$L$513,$D$7:$D$513,$N15,$B$7:$B$513,U$6)</f>
        <v/>
      </c>
      <c r="V15" s="30">
        <f>SUMIFS($L$7:$L$513,$D$7:$D$513,$N15,$B$7:$B$513,V$6)</f>
        <v/>
      </c>
      <c r="W15" s="30">
        <f>SUMIFS($L$7:$L$513,$D$7:$D$513,$N15,$B$7:$B$513,W$6)</f>
        <v/>
      </c>
      <c r="X15" s="30">
        <f>SUMIFS($L$7:$L$513,$D$7:$D$513,$N15,$B$7:$B$513,X$6)</f>
        <v/>
      </c>
      <c r="Y15" s="31">
        <f>SUM(O15:X15)</f>
        <v/>
      </c>
    </row>
    <row r="16">
      <c r="A16" s="32" t="inlineStr">
        <is>
          <t>TORRE</t>
        </is>
      </c>
      <c r="B16" s="32" t="inlineStr">
        <is>
          <t>GERAL</t>
        </is>
      </c>
      <c r="C16" s="32" t="inlineStr">
        <is>
          <t>INSTALAÇÕES ELÉTRICAS</t>
        </is>
      </c>
      <c r="D16" s="32" t="inlineStr">
        <is>
          <t>SUBESTAÇÃO</t>
        </is>
      </c>
      <c r="E16" s="32" t="inlineStr">
        <is>
          <t>Conjunto Transformador de Corrente em Média tensão, classe 15kV, relação 250/5A, conforme estudo de proteção e seletividade</t>
        </is>
      </c>
      <c r="F16" s="33" t="n">
        <v>1</v>
      </c>
      <c r="G16" s="33" t="n">
        <v>1</v>
      </c>
      <c r="H16" s="34" t="n">
        <v>0</v>
      </c>
      <c r="I16" s="35">
        <f>(F16+H16*F16)*G16</f>
        <v/>
      </c>
      <c r="J16" s="33" t="inlineStr">
        <is>
          <t>pç</t>
        </is>
      </c>
      <c r="K16" s="36" t="n">
        <v>136191.89</v>
      </c>
      <c r="L16" s="37">
        <f>I16*K16</f>
        <v/>
      </c>
      <c r="N16" s="29" t="inlineStr">
        <is>
          <t>QUADROS DE DISTRIBUIÇÃO</t>
        </is>
      </c>
      <c r="O16" s="30">
        <f>SUMIFS($L$7:$L$513,$D$7:$D$513,$N16,$B$7:$B$513,O$6)</f>
        <v/>
      </c>
      <c r="P16" s="30">
        <f>SUMIFS($L$7:$L$513,$D$7:$D$513,$N16,$B$7:$B$513,P$6)</f>
        <v/>
      </c>
      <c r="Q16" s="30">
        <f>SUMIFS($L$7:$L$513,$D$7:$D$513,$N16,$B$7:$B$513,Q$6)</f>
        <v/>
      </c>
      <c r="R16" s="30">
        <f>SUMIFS($L$7:$L$513,$D$7:$D$513,$N16,$B$7:$B$513,R$6)</f>
        <v/>
      </c>
      <c r="S16" s="30">
        <f>SUMIFS($L$7:$L$513,$D$7:$D$513,$N16,$B$7:$B$513,S$6)</f>
        <v/>
      </c>
      <c r="T16" s="30">
        <f>SUMIFS($L$7:$L$513,$D$7:$D$513,$N16,$B$7:$B$513,T$6)</f>
        <v/>
      </c>
      <c r="U16" s="30">
        <f>SUMIFS($L$7:$L$513,$D$7:$D$513,$N16,$B$7:$B$513,U$6)</f>
        <v/>
      </c>
      <c r="V16" s="30">
        <f>SUMIFS($L$7:$L$513,$D$7:$D$513,$N16,$B$7:$B$513,V$6)</f>
        <v/>
      </c>
      <c r="W16" s="30">
        <f>SUMIFS($L$7:$L$513,$D$7:$D$513,$N16,$B$7:$B$513,W$6)</f>
        <v/>
      </c>
      <c r="X16" s="30">
        <f>SUMIFS($L$7:$L$513,$D$7:$D$513,$N16,$B$7:$B$513,X$6)</f>
        <v/>
      </c>
      <c r="Y16" s="31">
        <f>SUM(O16:X16)</f>
        <v/>
      </c>
    </row>
    <row r="17">
      <c r="A17" s="32" t="inlineStr">
        <is>
          <t>TORRE</t>
        </is>
      </c>
      <c r="B17" s="32" t="inlineStr">
        <is>
          <t>GERAL</t>
        </is>
      </c>
      <c r="C17" s="32" t="inlineStr">
        <is>
          <t>INSTALAÇÕES ELÉTRICAS</t>
        </is>
      </c>
      <c r="D17" s="32" t="inlineStr">
        <is>
          <t>SUBESTAÇÃO</t>
        </is>
      </c>
      <c r="E17" s="32" t="inlineStr">
        <is>
          <t>Religador trifásico sieletric 15kv padrão celesc: Uso interno, modelo rec25 externo, tensão nominal 27kv, corrente nominal 630a, capacidade de interrupção de 12,5ka, 30.000 operações, nbi de 125 kv, 06 sensores de tensão nas buchas, 03 sensores de corrente, montado em estrutura de aço, tratamento pintura epoxi, parafusos de fixação inox, com rodas, painel de controle microprocessado rc05_4, funções de sobrecorrente 27-50-51-50n-51n-59, 81, proteção de inrush</t>
        </is>
      </c>
      <c r="F17" s="33" t="n">
        <v>1</v>
      </c>
      <c r="G17" s="33" t="n">
        <v>1</v>
      </c>
      <c r="H17" s="34" t="n">
        <v>0</v>
      </c>
      <c r="I17" s="35">
        <f>(F17+H17*F17)*G17</f>
        <v/>
      </c>
      <c r="J17" s="33" t="inlineStr">
        <is>
          <t>pç</t>
        </is>
      </c>
      <c r="K17" s="36" t="n">
        <v>127057.48</v>
      </c>
      <c r="L17" s="37">
        <f>I17*K17</f>
        <v/>
      </c>
      <c r="N17" s="29" t="inlineStr">
        <is>
          <t>SENSORES</t>
        </is>
      </c>
      <c r="O17" s="30">
        <f>SUMIFS($L$7:$L$513,$D$7:$D$513,$N17,$B$7:$B$513,O$6)</f>
        <v/>
      </c>
      <c r="P17" s="30">
        <f>SUMIFS($L$7:$L$513,$D$7:$D$513,$N17,$B$7:$B$513,P$6)</f>
        <v/>
      </c>
      <c r="Q17" s="30">
        <f>SUMIFS($L$7:$L$513,$D$7:$D$513,$N17,$B$7:$B$513,Q$6)</f>
        <v/>
      </c>
      <c r="R17" s="30">
        <f>SUMIFS($L$7:$L$513,$D$7:$D$513,$N17,$B$7:$B$513,R$6)</f>
        <v/>
      </c>
      <c r="S17" s="30">
        <f>SUMIFS($L$7:$L$513,$D$7:$D$513,$N17,$B$7:$B$513,S$6)</f>
        <v/>
      </c>
      <c r="T17" s="30">
        <f>SUMIFS($L$7:$L$513,$D$7:$D$513,$N17,$B$7:$B$513,T$6)</f>
        <v/>
      </c>
      <c r="U17" s="30">
        <f>SUMIFS($L$7:$L$513,$D$7:$D$513,$N17,$B$7:$B$513,U$6)</f>
        <v/>
      </c>
      <c r="V17" s="30">
        <f>SUMIFS($L$7:$L$513,$D$7:$D$513,$N17,$B$7:$B$513,V$6)</f>
        <v/>
      </c>
      <c r="W17" s="30">
        <f>SUMIFS($L$7:$L$513,$D$7:$D$513,$N17,$B$7:$B$513,W$6)</f>
        <v/>
      </c>
      <c r="X17" s="30">
        <f>SUMIFS($L$7:$L$513,$D$7:$D$513,$N17,$B$7:$B$513,X$6)</f>
        <v/>
      </c>
      <c r="Y17" s="31">
        <f>SUM(O17:X17)</f>
        <v/>
      </c>
    </row>
    <row r="18">
      <c r="A18" s="32" t="inlineStr">
        <is>
          <t>TORRE</t>
        </is>
      </c>
      <c r="B18" s="32" t="inlineStr">
        <is>
          <t>GERAL</t>
        </is>
      </c>
      <c r="C18" s="32" t="inlineStr">
        <is>
          <t>INSTALAÇÕES ELÉTRICAS</t>
        </is>
      </c>
      <c r="D18" s="32" t="inlineStr">
        <is>
          <t>SUBESTAÇÃO</t>
        </is>
      </c>
      <c r="E18" s="32" t="inlineStr">
        <is>
          <t>Conjunto com três Isoladores suporte de pedestal com prensa cabo para barramento vidro ou porcelana classe 15KV</t>
        </is>
      </c>
      <c r="F18" s="33" t="n">
        <v>2</v>
      </c>
      <c r="G18" s="33" t="n">
        <v>1</v>
      </c>
      <c r="H18" s="34" t="n">
        <v>0</v>
      </c>
      <c r="I18" s="35">
        <f>(F18+H18*F18)*G18</f>
        <v/>
      </c>
      <c r="J18" s="33" t="inlineStr">
        <is>
          <t>pç</t>
        </is>
      </c>
      <c r="K18" s="36" t="n">
        <v>279</v>
      </c>
      <c r="L18" s="37">
        <f>I18*K18</f>
        <v/>
      </c>
      <c r="N18" s="29" t="inlineStr">
        <is>
          <t>CABO UNIPOLAR</t>
        </is>
      </c>
      <c r="O18" s="30">
        <f>SUMIFS($L$7:$L$513,$D$7:$D$513,$N18,$B$7:$B$513,O$6)</f>
        <v/>
      </c>
      <c r="P18" s="30">
        <f>SUMIFS($L$7:$L$513,$D$7:$D$513,$N18,$B$7:$B$513,P$6)</f>
        <v/>
      </c>
      <c r="Q18" s="30">
        <f>SUMIFS($L$7:$L$513,$D$7:$D$513,$N18,$B$7:$B$513,Q$6)</f>
        <v/>
      </c>
      <c r="R18" s="30">
        <f>SUMIFS($L$7:$L$513,$D$7:$D$513,$N18,$B$7:$B$513,R$6)</f>
        <v/>
      </c>
      <c r="S18" s="30">
        <f>SUMIFS($L$7:$L$513,$D$7:$D$513,$N18,$B$7:$B$513,S$6)</f>
        <v/>
      </c>
      <c r="T18" s="30">
        <f>SUMIFS($L$7:$L$513,$D$7:$D$513,$N18,$B$7:$B$513,T$6)</f>
        <v/>
      </c>
      <c r="U18" s="30">
        <f>SUMIFS($L$7:$L$513,$D$7:$D$513,$N18,$B$7:$B$513,U$6)</f>
        <v/>
      </c>
      <c r="V18" s="30">
        <f>SUMIFS($L$7:$L$513,$D$7:$D$513,$N18,$B$7:$B$513,V$6)</f>
        <v/>
      </c>
      <c r="W18" s="30">
        <f>SUMIFS($L$7:$L$513,$D$7:$D$513,$N18,$B$7:$B$513,W$6)</f>
        <v/>
      </c>
      <c r="X18" s="30">
        <f>SUMIFS($L$7:$L$513,$D$7:$D$513,$N18,$B$7:$B$513,X$6)</f>
        <v/>
      </c>
      <c r="Y18" s="31">
        <f>SUM(O18:X18)</f>
        <v/>
      </c>
    </row>
    <row r="19">
      <c r="A19" s="32" t="inlineStr">
        <is>
          <t>TORRE</t>
        </is>
      </c>
      <c r="B19" s="32" t="inlineStr">
        <is>
          <t>GERAL</t>
        </is>
      </c>
      <c r="C19" s="32" t="inlineStr">
        <is>
          <t>INSTALAÇÕES ELÉTRICAS</t>
        </is>
      </c>
      <c r="D19" s="32" t="inlineStr">
        <is>
          <t>SUBESTAÇÃO</t>
        </is>
      </c>
      <c r="E19" s="32" t="inlineStr">
        <is>
          <t>Chave seccionadora tripolar 400A - 15kV, de comando simultâneo, mola de abertura ultrarápida, abertura simultânea em caso de queima do fusível. Com base fusível HH 20A, com lâmina de aterramento e punho de manobra adicional, com dispositivo de bloqueio mecânico, tipo abertura sob carga, com KIRK e dispositivo para cadeados, e homologada pela Celesc. Prever pelo menos 3 fusíveis reserva</t>
        </is>
      </c>
      <c r="F19" s="33" t="n">
        <v>2</v>
      </c>
      <c r="G19" s="33" t="n">
        <v>1</v>
      </c>
      <c r="H19" s="34" t="n">
        <v>0</v>
      </c>
      <c r="I19" s="35">
        <f>(F19+H19*F19)*G19</f>
        <v/>
      </c>
      <c r="J19" s="33" t="inlineStr">
        <is>
          <t>pç</t>
        </is>
      </c>
      <c r="K19" s="36" t="n">
        <v>1910</v>
      </c>
      <c r="L19" s="37">
        <f>I19*K19</f>
        <v/>
      </c>
      <c r="N19" s="29" t="inlineStr">
        <is>
          <t>ELETRODUTOS</t>
        </is>
      </c>
      <c r="O19" s="30">
        <f>SUMIFS($L$7:$L$513,$D$7:$D$513,$N19,$B$7:$B$513,O$6)</f>
        <v/>
      </c>
      <c r="P19" s="30">
        <f>SUMIFS($L$7:$L$513,$D$7:$D$513,$N19,$B$7:$B$513,P$6)</f>
        <v/>
      </c>
      <c r="Q19" s="30">
        <f>SUMIFS($L$7:$L$513,$D$7:$D$513,$N19,$B$7:$B$513,Q$6)</f>
        <v/>
      </c>
      <c r="R19" s="30">
        <f>SUMIFS($L$7:$L$513,$D$7:$D$513,$N19,$B$7:$B$513,R$6)</f>
        <v/>
      </c>
      <c r="S19" s="30">
        <f>SUMIFS($L$7:$L$513,$D$7:$D$513,$N19,$B$7:$B$513,S$6)</f>
        <v/>
      </c>
      <c r="T19" s="30">
        <f>SUMIFS($L$7:$L$513,$D$7:$D$513,$N19,$B$7:$B$513,T$6)</f>
        <v/>
      </c>
      <c r="U19" s="30">
        <f>SUMIFS($L$7:$L$513,$D$7:$D$513,$N19,$B$7:$B$513,U$6)</f>
        <v/>
      </c>
      <c r="V19" s="30">
        <f>SUMIFS($L$7:$L$513,$D$7:$D$513,$N19,$B$7:$B$513,V$6)</f>
        <v/>
      </c>
      <c r="W19" s="30">
        <f>SUMIFS($L$7:$L$513,$D$7:$D$513,$N19,$B$7:$B$513,W$6)</f>
        <v/>
      </c>
      <c r="X19" s="30">
        <f>SUMIFS($L$7:$L$513,$D$7:$D$513,$N19,$B$7:$B$513,X$6)</f>
        <v/>
      </c>
      <c r="Y19" s="31">
        <f>SUM(O19:X19)</f>
        <v/>
      </c>
    </row>
    <row r="20">
      <c r="A20" s="32" t="inlineStr">
        <is>
          <t>TORRE</t>
        </is>
      </c>
      <c r="B20" s="32" t="inlineStr">
        <is>
          <t>GERAL</t>
        </is>
      </c>
      <c r="C20" s="32" t="inlineStr">
        <is>
          <t>INSTALAÇÕES ELÉTRICAS</t>
        </is>
      </c>
      <c r="D20" s="32" t="inlineStr">
        <is>
          <t>SUBESTAÇÃO</t>
        </is>
      </c>
      <c r="E20" s="32" t="inlineStr">
        <is>
          <t>Tranformador trifásico resfriado à ar (seco) por circulação natural - potência 300kVA, 13.800/380/220V para condomínio</t>
        </is>
      </c>
      <c r="F20" s="33" t="n">
        <v>1</v>
      </c>
      <c r="G20" s="33" t="n">
        <v>1</v>
      </c>
      <c r="H20" s="34" t="n">
        <v>0</v>
      </c>
      <c r="I20" s="35">
        <f>(F20+H20*F20)*G20</f>
        <v/>
      </c>
      <c r="J20" s="33" t="inlineStr">
        <is>
          <t>pç</t>
        </is>
      </c>
      <c r="K20" s="36" t="n">
        <v>47000</v>
      </c>
      <c r="L20" s="37">
        <f>I20*K20</f>
        <v/>
      </c>
      <c r="N20" s="29" t="inlineStr">
        <is>
          <t>CAIXA DE EMBUTIR</t>
        </is>
      </c>
      <c r="O20" s="30">
        <f>SUMIFS($L$7:$L$513,$D$7:$D$513,$N20,$B$7:$B$513,O$6)</f>
        <v/>
      </c>
      <c r="P20" s="30">
        <f>SUMIFS($L$7:$L$513,$D$7:$D$513,$N20,$B$7:$B$513,P$6)</f>
        <v/>
      </c>
      <c r="Q20" s="30">
        <f>SUMIFS($L$7:$L$513,$D$7:$D$513,$N20,$B$7:$B$513,Q$6)</f>
        <v/>
      </c>
      <c r="R20" s="30">
        <f>SUMIFS($L$7:$L$513,$D$7:$D$513,$N20,$B$7:$B$513,R$6)</f>
        <v/>
      </c>
      <c r="S20" s="30">
        <f>SUMIFS($L$7:$L$513,$D$7:$D$513,$N20,$B$7:$B$513,S$6)</f>
        <v/>
      </c>
      <c r="T20" s="30">
        <f>SUMIFS($L$7:$L$513,$D$7:$D$513,$N20,$B$7:$B$513,T$6)</f>
        <v/>
      </c>
      <c r="U20" s="30">
        <f>SUMIFS($L$7:$L$513,$D$7:$D$513,$N20,$B$7:$B$513,U$6)</f>
        <v/>
      </c>
      <c r="V20" s="30">
        <f>SUMIFS($L$7:$L$513,$D$7:$D$513,$N20,$B$7:$B$513,V$6)</f>
        <v/>
      </c>
      <c r="W20" s="30">
        <f>SUMIFS($L$7:$L$513,$D$7:$D$513,$N20,$B$7:$B$513,W$6)</f>
        <v/>
      </c>
      <c r="X20" s="30">
        <f>SUMIFS($L$7:$L$513,$D$7:$D$513,$N20,$B$7:$B$513,X$6)</f>
        <v/>
      </c>
      <c r="Y20" s="31">
        <f>SUM(O20:X20)</f>
        <v/>
      </c>
    </row>
    <row r="21">
      <c r="A21" s="32" t="inlineStr">
        <is>
          <t>TORRE</t>
        </is>
      </c>
      <c r="B21" s="32" t="inlineStr">
        <is>
          <t>GERAL</t>
        </is>
      </c>
      <c r="C21" s="32" t="inlineStr">
        <is>
          <t>INSTALAÇÕES ELÉTRICAS</t>
        </is>
      </c>
      <c r="D21" s="32" t="inlineStr">
        <is>
          <t>SUBESTAÇÃO</t>
        </is>
      </c>
      <c r="E21" s="32" t="inlineStr">
        <is>
          <t>Relé térmico</t>
        </is>
      </c>
      <c r="F21" s="33" t="n">
        <v>2</v>
      </c>
      <c r="G21" s="33" t="n">
        <v>1</v>
      </c>
      <c r="H21" s="34" t="n">
        <v>0</v>
      </c>
      <c r="I21" s="35">
        <f>(F21+H21*F21)*G21</f>
        <v/>
      </c>
      <c r="J21" s="33" t="inlineStr">
        <is>
          <t>pç</t>
        </is>
      </c>
      <c r="K21" s="36" t="n">
        <v>119.58</v>
      </c>
      <c r="L21" s="37">
        <f>I21*K21</f>
        <v/>
      </c>
      <c r="N21" s="38" t="inlineStr">
        <is>
          <t>TOTAL GERAL</t>
        </is>
      </c>
      <c r="O21" s="39">
        <f>SUM(O7:O20)</f>
        <v/>
      </c>
      <c r="P21" s="39">
        <f>SUM(P7:P20)</f>
        <v/>
      </c>
      <c r="Q21" s="39">
        <f>SUM(Q7:Q20)</f>
        <v/>
      </c>
      <c r="R21" s="39">
        <f>SUM(R7:R20)</f>
        <v/>
      </c>
      <c r="S21" s="39">
        <f>SUM(S7:S20)</f>
        <v/>
      </c>
      <c r="T21" s="39">
        <f>SUM(T7:T20)</f>
        <v/>
      </c>
      <c r="U21" s="39">
        <f>SUM(U7:U20)</f>
        <v/>
      </c>
      <c r="V21" s="39">
        <f>SUM(V7:V20)</f>
        <v/>
      </c>
      <c r="W21" s="39">
        <f>SUM(W7:W20)</f>
        <v/>
      </c>
      <c r="X21" s="39">
        <f>SUM(X7:X20)</f>
        <v/>
      </c>
      <c r="Y21" s="39">
        <f>SUM(Y7:Y20)</f>
        <v/>
      </c>
    </row>
    <row r="22">
      <c r="A22" s="32" t="inlineStr">
        <is>
          <t>TORRE</t>
        </is>
      </c>
      <c r="B22" s="32" t="inlineStr">
        <is>
          <t>GERAL</t>
        </is>
      </c>
      <c r="C22" s="32" t="inlineStr">
        <is>
          <t>INSTALAÇÕES ELÉTRICAS</t>
        </is>
      </c>
      <c r="D22" s="32" t="inlineStr">
        <is>
          <t>SUBESTAÇÃO</t>
        </is>
      </c>
      <c r="E22" s="32" t="inlineStr">
        <is>
          <t>Tubulação PEAD Ø3/4" embutida no piso - alimentação do relé térmico do transformador</t>
        </is>
      </c>
      <c r="F22" s="33" t="n">
        <v>15</v>
      </c>
      <c r="G22" s="33" t="n">
        <v>1</v>
      </c>
      <c r="H22" s="34" t="n">
        <v>0</v>
      </c>
      <c r="I22" s="35">
        <f>(F22+H22*F22)*G22</f>
        <v/>
      </c>
      <c r="J22" s="33" t="inlineStr">
        <is>
          <t>m</t>
        </is>
      </c>
      <c r="K22" s="36" t="n">
        <v>1.57</v>
      </c>
      <c r="L22" s="37">
        <f>I22*K22</f>
        <v/>
      </c>
    </row>
    <row r="23">
      <c r="A23" s="32" t="inlineStr">
        <is>
          <t>TORRE</t>
        </is>
      </c>
      <c r="B23" s="32" t="inlineStr">
        <is>
          <t>GERAL</t>
        </is>
      </c>
      <c r="C23" s="32" t="inlineStr">
        <is>
          <t>INSTALAÇÕES ELÉTRICAS</t>
        </is>
      </c>
      <c r="D23" s="32" t="inlineStr">
        <is>
          <t>SUBESTAÇÃO</t>
        </is>
      </c>
      <c r="E23" s="32" t="inlineStr">
        <is>
          <t>Tranformador trifásico resfriado à ar (seco) por circulação natural - potência 500kVA, 13.800/380/220V para apartamentos</t>
        </is>
      </c>
      <c r="F23" s="33" t="n">
        <v>1</v>
      </c>
      <c r="G23" s="33" t="n">
        <v>1</v>
      </c>
      <c r="H23" s="34" t="n">
        <v>0</v>
      </c>
      <c r="I23" s="35">
        <f>(F23+H23*F23)*G23</f>
        <v/>
      </c>
      <c r="J23" s="33" t="inlineStr">
        <is>
          <t>pç</t>
        </is>
      </c>
      <c r="K23" s="36" t="n">
        <v>79000</v>
      </c>
      <c r="L23" s="37">
        <f>I23*K23</f>
        <v/>
      </c>
    </row>
    <row r="24">
      <c r="A24" s="32" t="inlineStr">
        <is>
          <t>TORRE</t>
        </is>
      </c>
      <c r="B24" s="32" t="inlineStr">
        <is>
          <t>GERAL</t>
        </is>
      </c>
      <c r="C24" s="32" t="inlineStr">
        <is>
          <t>INSTALAÇÕES ELÉTRICAS</t>
        </is>
      </c>
      <c r="D24" s="32" t="inlineStr">
        <is>
          <t>SUBESTAÇÃO</t>
        </is>
      </c>
      <c r="E24" s="32" t="inlineStr">
        <is>
          <t>Suporte de fixação de cabos de baixa tensão do transformador</t>
        </is>
      </c>
      <c r="F24" s="33" t="n">
        <v>2</v>
      </c>
      <c r="G24" s="33" t="n">
        <v>1</v>
      </c>
      <c r="H24" s="34" t="n">
        <v>0</v>
      </c>
      <c r="I24" s="35">
        <f>(F24+H24*F24)*G24</f>
        <v/>
      </c>
      <c r="J24" s="33" t="inlineStr">
        <is>
          <t>pç</t>
        </is>
      </c>
      <c r="K24" s="36" t="n">
        <v>108</v>
      </c>
      <c r="L24" s="37">
        <f>I24*K24</f>
        <v/>
      </c>
    </row>
    <row r="25" ht="15" customHeight="1">
      <c r="A25" s="32" t="inlineStr">
        <is>
          <t>TORRE</t>
        </is>
      </c>
      <c r="B25" s="32" t="inlineStr">
        <is>
          <t>GERAL</t>
        </is>
      </c>
      <c r="C25" s="32" t="inlineStr">
        <is>
          <t>INSTALAÇÕES ELÉTRICAS</t>
        </is>
      </c>
      <c r="D25" s="32" t="inlineStr">
        <is>
          <t>SUBESTAÇÃO</t>
        </is>
      </c>
      <c r="E25" s="32" t="inlineStr">
        <is>
          <t>Tapete de borracha com isolamento de 15kV, para operação da chave Seccionadora</t>
        </is>
      </c>
      <c r="F25" s="33" t="n">
        <v>3</v>
      </c>
      <c r="G25" s="33" t="n">
        <v>1</v>
      </c>
      <c r="H25" s="34" t="n">
        <v>0</v>
      </c>
      <c r="I25" s="35">
        <f>(F25+H25*F25)*G25</f>
        <v/>
      </c>
      <c r="J25" s="33" t="inlineStr">
        <is>
          <t>pç</t>
        </is>
      </c>
      <c r="K25" s="36" t="n">
        <v>185</v>
      </c>
      <c r="L25" s="37">
        <f>I25*K25</f>
        <v/>
      </c>
    </row>
    <row r="26">
      <c r="A26" s="32" t="inlineStr">
        <is>
          <t>TORRE</t>
        </is>
      </c>
      <c r="B26" s="32" t="inlineStr">
        <is>
          <t>GERAL</t>
        </is>
      </c>
      <c r="C26" s="32" t="inlineStr">
        <is>
          <t>INSTALAÇÕES ELÉTRICAS</t>
        </is>
      </c>
      <c r="D26" s="32" t="inlineStr">
        <is>
          <t>SUBESTAÇÃO</t>
        </is>
      </c>
      <c r="E26" s="32" t="inlineStr">
        <is>
          <t>Tampa para canaleta da subestação com largura de 20cm em alumínio ou ferro zincado a quente e acabamento anti-derrapante</t>
        </is>
      </c>
      <c r="F26" s="33" t="n">
        <v>6</v>
      </c>
      <c r="G26" s="33" t="n">
        <v>1</v>
      </c>
      <c r="H26" s="34" t="n">
        <v>0</v>
      </c>
      <c r="I26" s="35">
        <f>(F26+H26*F26)*G26</f>
        <v/>
      </c>
      <c r="J26" s="33" t="inlineStr">
        <is>
          <t>m</t>
        </is>
      </c>
      <c r="K26" s="36" t="n">
        <v>287</v>
      </c>
      <c r="L26" s="37">
        <f>I26*K26</f>
        <v/>
      </c>
    </row>
    <row r="27">
      <c r="A27" s="32" t="inlineStr">
        <is>
          <t>TORRE</t>
        </is>
      </c>
      <c r="B27" s="32" t="inlineStr">
        <is>
          <t>GERAL</t>
        </is>
      </c>
      <c r="C27" s="32" t="inlineStr">
        <is>
          <t>INSTALAÇÕES ELÉTRICAS</t>
        </is>
      </c>
      <c r="D27" s="32" t="inlineStr">
        <is>
          <t>SUBESTAÇÃO</t>
        </is>
      </c>
      <c r="E27" s="32" t="inlineStr">
        <is>
          <t>Caixa para disjuntor Geral de proteção do Condomínio padrão CELESC. - (QGC) Ver Diagrama Unifilar Correspondente</t>
        </is>
      </c>
      <c r="F27" s="33" t="n">
        <v>1</v>
      </c>
      <c r="G27" s="33" t="n">
        <v>1</v>
      </c>
      <c r="H27" s="34" t="n">
        <v>0</v>
      </c>
      <c r="I27" s="35">
        <f>(F27+H27*F27)*G27</f>
        <v/>
      </c>
      <c r="J27" s="33" t="inlineStr">
        <is>
          <t>pç</t>
        </is>
      </c>
      <c r="K27" s="36" t="n">
        <v>19894.21</v>
      </c>
      <c r="L27" s="37">
        <f>I27*K27</f>
        <v/>
      </c>
    </row>
    <row r="28">
      <c r="A28" s="32" t="inlineStr">
        <is>
          <t>TORRE</t>
        </is>
      </c>
      <c r="B28" s="32" t="inlineStr">
        <is>
          <t>GERAL</t>
        </is>
      </c>
      <c r="C28" s="32" t="inlineStr">
        <is>
          <t>INSTALAÇÕES ELÉTRICAS</t>
        </is>
      </c>
      <c r="D28" s="32" t="inlineStr">
        <is>
          <t>SUBESTAÇÃO</t>
        </is>
      </c>
      <c r="E28" s="32" t="inlineStr">
        <is>
          <t>Caixa para transformadores de corrente padrão CELESC, tipo TC2.</t>
        </is>
      </c>
      <c r="F28" s="33" t="n">
        <v>1</v>
      </c>
      <c r="G28" s="33" t="n">
        <v>1</v>
      </c>
      <c r="H28" s="34" t="n">
        <v>0</v>
      </c>
      <c r="I28" s="35">
        <f>(F28+H28*F28)*G28</f>
        <v/>
      </c>
      <c r="J28" s="33" t="inlineStr">
        <is>
          <t>pç</t>
        </is>
      </c>
      <c r="K28" s="36" t="n">
        <v>575</v>
      </c>
      <c r="L28" s="37">
        <f>I28*K28</f>
        <v/>
      </c>
    </row>
    <row r="29" ht="15" customHeight="1">
      <c r="A29" s="32" t="inlineStr">
        <is>
          <t>TORRE</t>
        </is>
      </c>
      <c r="B29" s="32" t="inlineStr">
        <is>
          <t>GERAL</t>
        </is>
      </c>
      <c r="C29" s="32" t="inlineStr">
        <is>
          <t>INSTALAÇÕES ELÉTRICAS</t>
        </is>
      </c>
      <c r="D29" s="32" t="inlineStr">
        <is>
          <t>SUBESTAÇÃO</t>
        </is>
      </c>
      <c r="E29" s="32" t="inlineStr">
        <is>
          <t>Caixa de medição de energia, padrão CELESC, tipo MDR</t>
        </is>
      </c>
      <c r="F29" s="33" t="n">
        <v>1</v>
      </c>
      <c r="G29" s="33" t="n">
        <v>1</v>
      </c>
      <c r="H29" s="34" t="n">
        <v>0</v>
      </c>
      <c r="I29" s="35">
        <f>(F29+H29*F29)*G29</f>
        <v/>
      </c>
      <c r="J29" s="33" t="inlineStr">
        <is>
          <t>pç</t>
        </is>
      </c>
      <c r="K29" s="36" t="n">
        <v>1071</v>
      </c>
      <c r="L29" s="37">
        <f>I29*K29</f>
        <v/>
      </c>
    </row>
    <row r="30">
      <c r="A30" s="32" t="inlineStr">
        <is>
          <t>TORRE</t>
        </is>
      </c>
      <c r="B30" s="32" t="inlineStr">
        <is>
          <t>GERAL</t>
        </is>
      </c>
      <c r="C30" s="32" t="inlineStr">
        <is>
          <t>INSTALAÇÕES ELÉTRICAS</t>
        </is>
      </c>
      <c r="D30" s="32" t="inlineStr">
        <is>
          <t>SUBESTAÇÃO</t>
        </is>
      </c>
      <c r="E30" s="32" t="inlineStr">
        <is>
          <t>Quadro controlador de demanda dos veículos elétricos</t>
        </is>
      </c>
      <c r="F30" s="33" t="n">
        <v>1</v>
      </c>
      <c r="G30" s="33" t="n">
        <v>1</v>
      </c>
      <c r="H30" s="34" t="n">
        <v>0</v>
      </c>
      <c r="I30" s="35">
        <f>(F30+H30*F30)*G30</f>
        <v/>
      </c>
      <c r="J30" s="33" t="inlineStr">
        <is>
          <t>pç</t>
        </is>
      </c>
      <c r="K30" s="36" t="n">
        <v>15900</v>
      </c>
      <c r="L30" s="37">
        <f>I30*K30</f>
        <v/>
      </c>
    </row>
    <row r="31">
      <c r="A31" s="32" t="inlineStr">
        <is>
          <t>TORRE</t>
        </is>
      </c>
      <c r="B31" s="32" t="inlineStr">
        <is>
          <t>GERAL</t>
        </is>
      </c>
      <c r="C31" s="32" t="inlineStr">
        <is>
          <t>INSTALAÇÕES ELÉTRICAS</t>
        </is>
      </c>
      <c r="D31" s="32" t="inlineStr">
        <is>
          <t>SUBESTAÇÃO</t>
        </is>
      </c>
      <c r="E31" s="32" t="inlineStr">
        <is>
          <t>Caixa para barramento de equipotencialização principal em alumínio 1,5mm - BEP 260x520x200mm.</t>
        </is>
      </c>
      <c r="F31" s="33" t="n">
        <v>1</v>
      </c>
      <c r="G31" s="33" t="n">
        <v>1</v>
      </c>
      <c r="H31" s="34" t="n">
        <v>0</v>
      </c>
      <c r="I31" s="35">
        <f>(F31+H31*F31)*G31</f>
        <v/>
      </c>
      <c r="J31" s="33" t="inlineStr">
        <is>
          <t>pç</t>
        </is>
      </c>
      <c r="K31" s="36" t="n">
        <v>290</v>
      </c>
      <c r="L31" s="37">
        <f>I31*K31</f>
        <v/>
      </c>
    </row>
    <row r="32">
      <c r="A32" s="32" t="inlineStr">
        <is>
          <t>TORRE</t>
        </is>
      </c>
      <c r="B32" s="32" t="inlineStr">
        <is>
          <t>GERAL</t>
        </is>
      </c>
      <c r="C32" s="32" t="inlineStr">
        <is>
          <t>INSTALAÇÕES ELÉTRICAS</t>
        </is>
      </c>
      <c r="D32" s="32" t="inlineStr">
        <is>
          <t>SUBESTAÇÃO</t>
        </is>
      </c>
      <c r="E32" s="32" t="inlineStr">
        <is>
          <t>Caixa para quadro Geral de Proteção dos apartamentos e lojas comerciais padrão CELESC. - (QGP) Ver Diagrama Unifilar Correspondente</t>
        </is>
      </c>
      <c r="F32" s="33" t="n">
        <v>1</v>
      </c>
      <c r="G32" s="33" t="n">
        <v>1</v>
      </c>
      <c r="H32" s="34" t="n">
        <v>0</v>
      </c>
      <c r="I32" s="35">
        <f>(F32+H32*F32)*G32</f>
        <v/>
      </c>
      <c r="J32" s="33" t="inlineStr">
        <is>
          <t>pç</t>
        </is>
      </c>
      <c r="K32" s="36" t="n">
        <v>24758.29</v>
      </c>
      <c r="L32" s="37">
        <f>I32*K32</f>
        <v/>
      </c>
    </row>
    <row r="33">
      <c r="A33" s="32" t="inlineStr">
        <is>
          <t>TORRE</t>
        </is>
      </c>
      <c r="B33" s="32" t="inlineStr">
        <is>
          <t>GERAL</t>
        </is>
      </c>
      <c r="C33" s="32" t="inlineStr">
        <is>
          <t>INSTALAÇÕES ELÉTRICAS</t>
        </is>
      </c>
      <c r="D33" s="32" t="inlineStr">
        <is>
          <t>SUBESTAÇÃO</t>
        </is>
      </c>
      <c r="E33" s="32" t="inlineStr">
        <is>
          <t>Armário metálico Nilko - NK1701, contendo 1 par de luvas 15kV, 1 par de luvas 1kV, óculos de proteção, bastão com indicação de presença de tensão 15kV, bastão de manobra 15kV em poste, capacete branco. OS EPIs E EPCs DEVERÃO SER INSPECIONADOS PERIODICAMENTE CONFORME NORMA ESPECÍFICA</t>
        </is>
      </c>
      <c r="F33" s="33" t="n">
        <v>1</v>
      </c>
      <c r="G33" s="33" t="n">
        <v>1</v>
      </c>
      <c r="H33" s="34" t="n">
        <v>0</v>
      </c>
      <c r="I33" s="35">
        <f>(F33+H33*F33)*G33</f>
        <v/>
      </c>
      <c r="J33" s="33" t="inlineStr">
        <is>
          <t>pç</t>
        </is>
      </c>
      <c r="K33" s="36" t="n">
        <v>1355</v>
      </c>
      <c r="L33" s="37">
        <f>I33*K33</f>
        <v/>
      </c>
    </row>
    <row r="34">
      <c r="A34" s="32" t="inlineStr">
        <is>
          <t>TORRE</t>
        </is>
      </c>
      <c r="B34" s="32" t="inlineStr">
        <is>
          <t>GERAL</t>
        </is>
      </c>
      <c r="C34" s="32" t="inlineStr">
        <is>
          <t>INSTALAÇÕES ELÉTRICAS</t>
        </is>
      </c>
      <c r="D34" s="32" t="inlineStr">
        <is>
          <t>SUBESTAÇÃO</t>
        </is>
      </c>
      <c r="E34" s="32" t="inlineStr">
        <is>
          <t>Barramento de cobre, 50x5mm, sobre isoladores pintado de verde para aterramento</t>
        </is>
      </c>
      <c r="F34" s="33" t="n">
        <v>50</v>
      </c>
      <c r="G34" s="33" t="n">
        <v>1</v>
      </c>
      <c r="H34" s="34" t="n">
        <v>0</v>
      </c>
      <c r="I34" s="35">
        <f>(F34+H34*F34)*G34</f>
        <v/>
      </c>
      <c r="J34" s="33" t="inlineStr">
        <is>
          <t>m</t>
        </is>
      </c>
      <c r="K34" s="36" t="n">
        <v>41.89</v>
      </c>
      <c r="L34" s="37">
        <f>I34*K34</f>
        <v/>
      </c>
    </row>
    <row r="35">
      <c r="A35" s="32" t="inlineStr">
        <is>
          <t>TORRE</t>
        </is>
      </c>
      <c r="B35" s="32" t="inlineStr">
        <is>
          <t>GERAL</t>
        </is>
      </c>
      <c r="C35" s="32" t="inlineStr">
        <is>
          <t>INSTALAÇÕES ELÉTRICAS</t>
        </is>
      </c>
      <c r="D35" s="32" t="inlineStr">
        <is>
          <t>SUBESTAÇÃO</t>
        </is>
      </c>
      <c r="E35" s="32" t="inlineStr">
        <is>
          <t>Placa de advertência, padrão CELESC; contendo os seguintes dizeres: "PERIGO DE MORTE ALTA TENSÃO"</t>
        </is>
      </c>
      <c r="F35" s="33" t="n">
        <v>3</v>
      </c>
      <c r="G35" s="33" t="n">
        <v>1</v>
      </c>
      <c r="H35" s="34" t="n">
        <v>0</v>
      </c>
      <c r="I35" s="35">
        <f>(F35+H35*F35)*G35</f>
        <v/>
      </c>
      <c r="J35" s="33" t="inlineStr">
        <is>
          <t>pç</t>
        </is>
      </c>
      <c r="K35" s="36" t="n">
        <v>12</v>
      </c>
      <c r="L35" s="37">
        <f>I35*K35</f>
        <v/>
      </c>
    </row>
    <row r="36">
      <c r="A36" s="32" t="inlineStr">
        <is>
          <t>TORRE</t>
        </is>
      </c>
      <c r="B36" s="32" t="inlineStr">
        <is>
          <t>GERAL</t>
        </is>
      </c>
      <c r="C36" s="32" t="inlineStr">
        <is>
          <t>INSTALAÇÕES ELÉTRICAS</t>
        </is>
      </c>
      <c r="D36" s="32" t="inlineStr">
        <is>
          <t>SUBESTAÇÃO</t>
        </is>
      </c>
      <c r="E36" s="32" t="inlineStr">
        <is>
          <t>Quadro de tela de proteção para cubículos da subestação com armação em cantoneira de ferro galvanizado e painel em tela de arame zincado Nº12BWG, com malha 20x20mm. Dimensões aproximadas de: (AxL) 200x180; 200x180; 200x250; (Conferir no local)</t>
        </is>
      </c>
      <c r="F36" s="33" t="n">
        <v>1</v>
      </c>
      <c r="G36" s="33" t="n">
        <v>1</v>
      </c>
      <c r="H36" s="34" t="n">
        <v>0</v>
      </c>
      <c r="I36" s="35">
        <f>(F36+H36*F36)*G36</f>
        <v/>
      </c>
      <c r="J36" s="33" t="inlineStr">
        <is>
          <t>pç</t>
        </is>
      </c>
      <c r="K36" s="36" t="n">
        <v>35</v>
      </c>
      <c r="L36" s="37">
        <f>I36*K36</f>
        <v/>
      </c>
    </row>
    <row r="37">
      <c r="A37" s="32" t="inlineStr">
        <is>
          <t>TORRE</t>
        </is>
      </c>
      <c r="B37" s="32" t="inlineStr">
        <is>
          <t>GERAL</t>
        </is>
      </c>
      <c r="C37" s="32" t="inlineStr">
        <is>
          <t>INSTALAÇÕES ELÉTRICAS</t>
        </is>
      </c>
      <c r="D37" s="32" t="inlineStr">
        <is>
          <t>SUBESTAÇÃO</t>
        </is>
      </c>
      <c r="E37" s="32" t="inlineStr">
        <is>
          <t>Placa de advertência; contendo os seguintes dizeres: "NÃO OPERE SOB CARGA"</t>
        </is>
      </c>
      <c r="F37" s="33" t="n">
        <v>3</v>
      </c>
      <c r="G37" s="33" t="n">
        <v>1</v>
      </c>
      <c r="H37" s="34" t="n">
        <v>0</v>
      </c>
      <c r="I37" s="35">
        <f>(F37+H37*F37)*G37</f>
        <v/>
      </c>
      <c r="J37" s="33" t="inlineStr">
        <is>
          <t>pç</t>
        </is>
      </c>
      <c r="K37" s="36" t="n">
        <v>12</v>
      </c>
      <c r="L37" s="37">
        <f>I37*K37</f>
        <v/>
      </c>
    </row>
    <row r="38">
      <c r="A38" s="32" t="inlineStr">
        <is>
          <t>TORRE</t>
        </is>
      </c>
      <c r="B38" s="32" t="inlineStr">
        <is>
          <t>GERAL</t>
        </is>
      </c>
      <c r="C38" s="32" t="inlineStr">
        <is>
          <t>INSTALAÇÕES ELÉTRICAS</t>
        </is>
      </c>
      <c r="D38" s="32" t="inlineStr">
        <is>
          <t>SUBESTAÇÃO</t>
        </is>
      </c>
      <c r="E38" s="32" t="inlineStr">
        <is>
          <t>Punho de manobra para chave seccionadora fusível</t>
        </is>
      </c>
      <c r="F38" s="33" t="n">
        <v>4</v>
      </c>
      <c r="G38" s="33" t="n">
        <v>1</v>
      </c>
      <c r="H38" s="34" t="n">
        <v>0</v>
      </c>
      <c r="I38" s="35">
        <f>(F38+H38*F38)*G38</f>
        <v/>
      </c>
      <c r="J38" s="33" t="inlineStr">
        <is>
          <t>pç</t>
        </is>
      </c>
      <c r="K38" s="36" t="n">
        <v>49.9</v>
      </c>
      <c r="L38" s="37">
        <f>I38*K38</f>
        <v/>
      </c>
    </row>
    <row r="39" ht="15" customHeight="1">
      <c r="A39" s="32" t="inlineStr">
        <is>
          <t>TORRE</t>
        </is>
      </c>
      <c r="B39" s="32" t="inlineStr">
        <is>
          <t>GERAL</t>
        </is>
      </c>
      <c r="C39" s="32" t="inlineStr">
        <is>
          <t>INSTALAÇÕES ELÉTRICAS</t>
        </is>
      </c>
      <c r="D39" s="32" t="inlineStr">
        <is>
          <t>SUBESTAÇÃO</t>
        </is>
      </c>
      <c r="E39" s="32" t="inlineStr">
        <is>
          <t>Luminária hermética de sobrepor, para 2 lâmpadas de LED 18W, grau de proteção IP66.</t>
        </is>
      </c>
      <c r="F39" s="33" t="n">
        <v>2</v>
      </c>
      <c r="G39" s="33" t="n">
        <v>1</v>
      </c>
      <c r="H39" s="34" t="n">
        <v>0</v>
      </c>
      <c r="I39" s="35">
        <f>(F39+H39*F39)*G39</f>
        <v/>
      </c>
      <c r="J39" s="33" t="inlineStr">
        <is>
          <t>pç</t>
        </is>
      </c>
      <c r="K39" s="36" t="n">
        <v>67.5</v>
      </c>
      <c r="L39" s="37">
        <f>I39*K39</f>
        <v/>
      </c>
    </row>
    <row r="40">
      <c r="A40" s="32" t="inlineStr">
        <is>
          <t>TORRE</t>
        </is>
      </c>
      <c r="B40" s="32" t="inlineStr">
        <is>
          <t>GERAL</t>
        </is>
      </c>
      <c r="C40" s="32" t="inlineStr">
        <is>
          <t>INSTALAÇÕES ELÉTRICAS</t>
        </is>
      </c>
      <c r="D40" s="32" t="inlineStr">
        <is>
          <t>SUBESTAÇÃO</t>
        </is>
      </c>
      <c r="E40" s="32" t="inlineStr">
        <is>
          <t>Luminária de Emergência com dois faróis, tipo bloco autônomo, 2h de funcionamento.</t>
        </is>
      </c>
      <c r="F40" s="33" t="n">
        <v>1</v>
      </c>
      <c r="G40" s="33" t="n">
        <v>1</v>
      </c>
      <c r="H40" s="34" t="n">
        <v>0</v>
      </c>
      <c r="I40" s="35">
        <f>(F40+H40*F40)*G40</f>
        <v/>
      </c>
      <c r="J40" s="33" t="inlineStr">
        <is>
          <t>pç</t>
        </is>
      </c>
      <c r="K40" s="36" t="n">
        <v>61</v>
      </c>
      <c r="L40" s="37">
        <f>I40*K40</f>
        <v/>
      </c>
    </row>
    <row r="41">
      <c r="A41" s="32" t="inlineStr">
        <is>
          <t>TORRE</t>
        </is>
      </c>
      <c r="B41" s="32" t="inlineStr">
        <is>
          <t>GERAL</t>
        </is>
      </c>
      <c r="C41" s="32" t="inlineStr">
        <is>
          <t>INSTALAÇÕES ELÉTRICAS</t>
        </is>
      </c>
      <c r="D41" s="32" t="inlineStr">
        <is>
          <t>SUBESTAÇÃO</t>
        </is>
      </c>
      <c r="E41" s="32" t="inlineStr">
        <is>
          <t>Cabo de cobre nú com seção mínima #95mm², interligação do BEP e Trafo 1 - Cond.</t>
        </is>
      </c>
      <c r="F41" s="33" t="n">
        <v>5</v>
      </c>
      <c r="G41" s="33" t="n">
        <v>1</v>
      </c>
      <c r="H41" s="34" t="n">
        <v>0</v>
      </c>
      <c r="I41" s="35">
        <f>(F41+H41*F41)*G41</f>
        <v/>
      </c>
      <c r="J41" s="33" t="inlineStr">
        <is>
          <t>m</t>
        </is>
      </c>
      <c r="K41" s="36" t="n">
        <v>93.59</v>
      </c>
      <c r="L41" s="37">
        <f>I41*K41</f>
        <v/>
      </c>
    </row>
    <row r="42">
      <c r="A42" s="32" t="inlineStr">
        <is>
          <t>TORRE</t>
        </is>
      </c>
      <c r="B42" s="32" t="inlineStr">
        <is>
          <t>GERAL</t>
        </is>
      </c>
      <c r="C42" s="32" t="inlineStr">
        <is>
          <t>INSTALAÇÕES ELÉTRICAS</t>
        </is>
      </c>
      <c r="D42" s="32" t="inlineStr">
        <is>
          <t>SUBESTAÇÃO</t>
        </is>
      </c>
      <c r="E42" s="32" t="inlineStr">
        <is>
          <t>Cabo de cobre nú com seção mínima #95mm², interligação do BEP e Trafo 2 - Aptos + Lojas</t>
        </is>
      </c>
      <c r="F42" s="33" t="n">
        <v>9</v>
      </c>
      <c r="G42" s="33" t="n">
        <v>1</v>
      </c>
      <c r="H42" s="34" t="n">
        <v>0</v>
      </c>
      <c r="I42" s="35">
        <f>(F42+H42*F42)*G42</f>
        <v/>
      </c>
      <c r="J42" s="33" t="inlineStr">
        <is>
          <t>m</t>
        </is>
      </c>
      <c r="K42" s="36" t="n">
        <v>93.59</v>
      </c>
      <c r="L42" s="37">
        <f>I42*K42</f>
        <v/>
      </c>
    </row>
    <row r="43">
      <c r="A43" s="32" t="inlineStr">
        <is>
          <t>TORRE</t>
        </is>
      </c>
      <c r="B43" s="32" t="inlineStr">
        <is>
          <t>GERAL</t>
        </is>
      </c>
      <c r="C43" s="32" t="inlineStr">
        <is>
          <t>INSTALAÇÕES ELÉTRICAS</t>
        </is>
      </c>
      <c r="D43" s="32" t="inlineStr">
        <is>
          <t>SUBESTAÇÃO</t>
        </is>
      </c>
      <c r="E43" s="32" t="inlineStr">
        <is>
          <t>T#120mm² (XLPE/EPR), interligação do BEP e QM1</t>
        </is>
      </c>
      <c r="F43" s="33" t="n">
        <v>1.5</v>
      </c>
      <c r="G43" s="33" t="n">
        <v>1</v>
      </c>
      <c r="H43" s="34" t="n">
        <v>0</v>
      </c>
      <c r="I43" s="35">
        <f>(F43+H43*F43)*G43</f>
        <v/>
      </c>
      <c r="J43" s="33" t="inlineStr">
        <is>
          <t>m</t>
        </is>
      </c>
      <c r="K43" s="36" t="n">
        <v>120</v>
      </c>
      <c r="L43" s="37">
        <f>I43*K43</f>
        <v/>
      </c>
    </row>
    <row r="44">
      <c r="A44" s="32" t="inlineStr">
        <is>
          <t>TORRE</t>
        </is>
      </c>
      <c r="B44" s="32" t="inlineStr">
        <is>
          <t>GERAL</t>
        </is>
      </c>
      <c r="C44" s="32" t="inlineStr">
        <is>
          <t>INSTALAÇÕES ELÉTRICAS</t>
        </is>
      </c>
      <c r="D44" s="32" t="inlineStr">
        <is>
          <t>SUBESTAÇÃO</t>
        </is>
      </c>
      <c r="E44" s="32" t="inlineStr">
        <is>
          <t>T#185mm² (XLPE/EPR), interligação do BEP e QGP</t>
        </is>
      </c>
      <c r="F44" s="33" t="n">
        <v>10</v>
      </c>
      <c r="G44" s="33" t="n">
        <v>1</v>
      </c>
      <c r="H44" s="34" t="n">
        <v>0</v>
      </c>
      <c r="I44" s="35">
        <f>(F44+H44*F44)*G44</f>
        <v/>
      </c>
      <c r="J44" s="33" t="inlineStr">
        <is>
          <t>m</t>
        </is>
      </c>
      <c r="K44" s="36" t="n">
        <v>180</v>
      </c>
      <c r="L44" s="37">
        <f>I44*K44</f>
        <v/>
      </c>
    </row>
    <row r="45">
      <c r="A45" s="32" t="inlineStr">
        <is>
          <t>TORRE</t>
        </is>
      </c>
      <c r="B45" s="32" t="inlineStr">
        <is>
          <t>GERAL</t>
        </is>
      </c>
      <c r="C45" s="32" t="inlineStr">
        <is>
          <t>INSTALAÇÕES ELÉTRICAS</t>
        </is>
      </c>
      <c r="D45" s="32" t="inlineStr">
        <is>
          <t>SUBESTAÇÃO</t>
        </is>
      </c>
      <c r="E45" s="32" t="inlineStr">
        <is>
          <t>Ø1.1/2" PVC Rígido para interligação do BEP e QM1</t>
        </is>
      </c>
      <c r="F45" s="33" t="n">
        <v>1.5</v>
      </c>
      <c r="G45" s="33" t="n">
        <v>1</v>
      </c>
      <c r="H45" s="34" t="n">
        <v>0</v>
      </c>
      <c r="I45" s="35">
        <f>(F45+H45*F45)*G45</f>
        <v/>
      </c>
      <c r="J45" s="33" t="inlineStr">
        <is>
          <t>m</t>
        </is>
      </c>
      <c r="K45" s="36" t="n">
        <v>14</v>
      </c>
      <c r="L45" s="37">
        <f>I45*K45</f>
        <v/>
      </c>
    </row>
    <row r="46">
      <c r="A46" s="32" t="inlineStr">
        <is>
          <t>TORRE</t>
        </is>
      </c>
      <c r="B46" s="32" t="inlineStr">
        <is>
          <t>GERAL</t>
        </is>
      </c>
      <c r="C46" s="32" t="inlineStr">
        <is>
          <t>INSTALAÇÕES ELÉTRICAS</t>
        </is>
      </c>
      <c r="D46" s="32" t="inlineStr">
        <is>
          <t>SUBESTAÇÃO</t>
        </is>
      </c>
      <c r="E46" s="32" t="inlineStr">
        <is>
          <t>Ø2" PVC Rígido para interligação do BEP e QGP</t>
        </is>
      </c>
      <c r="F46" s="33" t="n">
        <v>10</v>
      </c>
      <c r="G46" s="33" t="n">
        <v>1</v>
      </c>
      <c r="H46" s="34" t="n">
        <v>0</v>
      </c>
      <c r="I46" s="35">
        <f>(F46+H46*F46)*G46</f>
        <v/>
      </c>
      <c r="J46" s="33" t="inlineStr">
        <is>
          <t>m</t>
        </is>
      </c>
      <c r="K46" s="36" t="n">
        <v>18</v>
      </c>
      <c r="L46" s="37">
        <f>I46*K46</f>
        <v/>
      </c>
    </row>
    <row r="47">
      <c r="A47" s="32" t="inlineStr">
        <is>
          <t>TORRE</t>
        </is>
      </c>
      <c r="B47" s="32" t="inlineStr">
        <is>
          <t>GERAL</t>
        </is>
      </c>
      <c r="C47" s="32" t="inlineStr">
        <is>
          <t>INSTALAÇÕES ELÉTRICAS</t>
        </is>
      </c>
      <c r="D47" s="32" t="inlineStr">
        <is>
          <t>BARRAMENTO</t>
        </is>
      </c>
      <c r="E47" s="32" t="inlineStr">
        <is>
          <t>Barramento Blindado, BWW04-PA800C-55, WEG</t>
        </is>
      </c>
      <c r="F47" s="33" t="n">
        <v>180</v>
      </c>
      <c r="G47" s="33" t="n">
        <v>1</v>
      </c>
      <c r="H47" s="34" t="n">
        <v>0</v>
      </c>
      <c r="I47" s="35">
        <f>(F47+H47*F47)*G47</f>
        <v/>
      </c>
      <c r="J47" s="33" t="inlineStr">
        <is>
          <t>m</t>
        </is>
      </c>
      <c r="K47" s="36" t="n">
        <v>1337.833333333333</v>
      </c>
      <c r="L47" s="37">
        <f>I47*K47</f>
        <v/>
      </c>
    </row>
    <row r="48">
      <c r="A48" s="32" t="inlineStr">
        <is>
          <t>TORRE</t>
        </is>
      </c>
      <c r="B48" s="32" t="inlineStr">
        <is>
          <t>GERAL</t>
        </is>
      </c>
      <c r="C48" s="32" t="inlineStr">
        <is>
          <t>INSTALAÇÕES ELÉTRICAS</t>
        </is>
      </c>
      <c r="D48" s="32" t="inlineStr">
        <is>
          <t>BARRAMENTO</t>
        </is>
      </c>
      <c r="E48" s="32" t="inlineStr">
        <is>
          <t>Curva Horizontal 90º</t>
        </is>
      </c>
      <c r="F48" s="33" t="n">
        <v>2</v>
      </c>
      <c r="G48" s="33" t="n">
        <v>1</v>
      </c>
      <c r="H48" s="34" t="n">
        <v>0</v>
      </c>
      <c r="I48" s="35">
        <f>(F48+H48*F48)*G48</f>
        <v/>
      </c>
      <c r="J48" s="33" t="inlineStr">
        <is>
          <t>pç</t>
        </is>
      </c>
      <c r="K48" s="36" t="n">
        <v>50</v>
      </c>
      <c r="L48" s="37">
        <f>I48*K48</f>
        <v/>
      </c>
    </row>
    <row r="49">
      <c r="A49" s="32" t="inlineStr">
        <is>
          <t>TORRE</t>
        </is>
      </c>
      <c r="B49" s="32" t="inlineStr">
        <is>
          <t>GERAL</t>
        </is>
      </c>
      <c r="C49" s="32" t="inlineStr">
        <is>
          <t>INSTALAÇÕES ELÉTRICAS</t>
        </is>
      </c>
      <c r="D49" s="32" t="inlineStr">
        <is>
          <t>BARRAMENTO</t>
        </is>
      </c>
      <c r="E49" s="32" t="inlineStr">
        <is>
          <t>Curva vertical 90º</t>
        </is>
      </c>
      <c r="F49" s="33" t="n">
        <v>6</v>
      </c>
      <c r="G49" s="33" t="n">
        <v>1</v>
      </c>
      <c r="H49" s="34" t="n">
        <v>0</v>
      </c>
      <c r="I49" s="35">
        <f>(F49+H49*F49)*G49</f>
        <v/>
      </c>
      <c r="J49" s="33" t="inlineStr">
        <is>
          <t>pç</t>
        </is>
      </c>
      <c r="K49" s="36" t="n">
        <v>48</v>
      </c>
      <c r="L49" s="37">
        <f>I49*K49</f>
        <v/>
      </c>
    </row>
    <row r="50">
      <c r="A50" s="32" t="inlineStr">
        <is>
          <t>TORRE</t>
        </is>
      </c>
      <c r="B50" s="32" t="inlineStr">
        <is>
          <t>GERAL</t>
        </is>
      </c>
      <c r="C50" s="32" t="inlineStr">
        <is>
          <t>INSTALAÇÕES ELÉTRICAS</t>
        </is>
      </c>
      <c r="D50" s="32" t="inlineStr">
        <is>
          <t>GERADOR</t>
        </is>
      </c>
      <c r="E50" s="32" t="inlineStr">
        <is>
          <t xml:space="preserve">Conjunto Gerador para Condomínio Residencial, tensão de 380/220V potência mínima de 188 kVA em standby, Modelo de referência: NEMA 1106A-70TAG2 </t>
        </is>
      </c>
      <c r="F50" s="33" t="n">
        <v>1</v>
      </c>
      <c r="G50" s="33" t="n">
        <v>1</v>
      </c>
      <c r="H50" s="34" t="n">
        <v>0</v>
      </c>
      <c r="I50" s="35">
        <f>(F50+H50*F50)*G50</f>
        <v/>
      </c>
      <c r="J50" s="33" t="inlineStr">
        <is>
          <t>pç</t>
        </is>
      </c>
      <c r="K50" s="36" t="n">
        <v>249995</v>
      </c>
      <c r="L50" s="37">
        <f>I50*K50</f>
        <v/>
      </c>
    </row>
    <row r="51">
      <c r="A51" s="32" t="inlineStr">
        <is>
          <t>TORRE</t>
        </is>
      </c>
      <c r="B51" s="32" t="inlineStr">
        <is>
          <t>GERAL</t>
        </is>
      </c>
      <c r="C51" s="32" t="inlineStr">
        <is>
          <t>INSTALAÇÕES ELÉTRICAS</t>
        </is>
      </c>
      <c r="D51" s="32" t="inlineStr">
        <is>
          <t>ENTRADA DE ENERGIA</t>
        </is>
      </c>
      <c r="E51" s="32" t="inlineStr">
        <is>
          <t>Cabo de Força - Cobre PVC - 10mm² - Branco</t>
        </is>
      </c>
      <c r="F51" s="33" t="n">
        <v>204</v>
      </c>
      <c r="G51" s="33" t="n">
        <v>1</v>
      </c>
      <c r="H51" s="34" t="n">
        <v>0</v>
      </c>
      <c r="I51" s="35">
        <f>(F51+H51*F51)*G51</f>
        <v/>
      </c>
      <c r="J51" s="33" t="inlineStr">
        <is>
          <t>m</t>
        </is>
      </c>
      <c r="K51" s="36" t="n">
        <v>10.23</v>
      </c>
      <c r="L51" s="37">
        <f>I51*K51</f>
        <v/>
      </c>
    </row>
    <row r="52">
      <c r="A52" s="32" t="inlineStr">
        <is>
          <t>TORRE</t>
        </is>
      </c>
      <c r="B52" s="32" t="inlineStr">
        <is>
          <t>GERAL</t>
        </is>
      </c>
      <c r="C52" s="32" t="inlineStr">
        <is>
          <t>INSTALAÇÕES ELÉTRICAS</t>
        </is>
      </c>
      <c r="D52" s="32" t="inlineStr">
        <is>
          <t>ENTRADA DE ENERGIA</t>
        </is>
      </c>
      <c r="E52" s="32" t="inlineStr">
        <is>
          <t>Cabo de Força - 10mm² - Preto</t>
        </is>
      </c>
      <c r="F52" s="33" t="n">
        <v>204</v>
      </c>
      <c r="G52" s="33" t="n">
        <v>1</v>
      </c>
      <c r="H52" s="34" t="n">
        <v>0</v>
      </c>
      <c r="I52" s="35">
        <f>(F52+H52*F52)*G52</f>
        <v/>
      </c>
      <c r="J52" s="33" t="inlineStr">
        <is>
          <t>m</t>
        </is>
      </c>
      <c r="K52" s="36" t="n">
        <v>8.359999999999999</v>
      </c>
      <c r="L52" s="37">
        <f>I52*K52</f>
        <v/>
      </c>
    </row>
    <row r="53">
      <c r="A53" s="32" t="inlineStr">
        <is>
          <t>TORRE</t>
        </is>
      </c>
      <c r="B53" s="32" t="inlineStr">
        <is>
          <t>GERAL</t>
        </is>
      </c>
      <c r="C53" s="32" t="inlineStr">
        <is>
          <t>INSTALAÇÕES ELÉTRICAS</t>
        </is>
      </c>
      <c r="D53" s="32" t="inlineStr">
        <is>
          <t>ENTRADA DE ENERGIA</t>
        </is>
      </c>
      <c r="E53" s="32" t="inlineStr">
        <is>
          <t>Cabo de Força - 10mm² - Vermelho</t>
        </is>
      </c>
      <c r="F53" s="33" t="n">
        <v>204</v>
      </c>
      <c r="G53" s="33" t="n">
        <v>1</v>
      </c>
      <c r="H53" s="34" t="n">
        <v>0</v>
      </c>
      <c r="I53" s="35">
        <f>(F53+H53*F53)*G53</f>
        <v/>
      </c>
      <c r="J53" s="33" t="inlineStr">
        <is>
          <t>m</t>
        </is>
      </c>
      <c r="K53" s="36" t="n">
        <v>8.359999999999999</v>
      </c>
      <c r="L53" s="37">
        <f>I53*K53</f>
        <v/>
      </c>
    </row>
    <row r="54">
      <c r="A54" s="32" t="inlineStr">
        <is>
          <t>TORRE</t>
        </is>
      </c>
      <c r="B54" s="32" t="inlineStr">
        <is>
          <t>GERAL</t>
        </is>
      </c>
      <c r="C54" s="32" t="inlineStr">
        <is>
          <t>INSTALAÇÕES ELÉTRICAS</t>
        </is>
      </c>
      <c r="D54" s="32" t="inlineStr">
        <is>
          <t>ENTRADA DE ENERGIA</t>
        </is>
      </c>
      <c r="E54" s="32" t="inlineStr">
        <is>
          <t>Cabo de Força - 10mm² - Azul Claro</t>
        </is>
      </c>
      <c r="F54" s="33" t="n">
        <v>204</v>
      </c>
      <c r="G54" s="33" t="n">
        <v>1</v>
      </c>
      <c r="H54" s="34" t="n">
        <v>0</v>
      </c>
      <c r="I54" s="35">
        <f>(F54+H54*F54)*G54</f>
        <v/>
      </c>
      <c r="J54" s="33" t="inlineStr">
        <is>
          <t>m</t>
        </is>
      </c>
      <c r="K54" s="36" t="n">
        <v>8.359999999999999</v>
      </c>
      <c r="L54" s="37">
        <f>I54*K54</f>
        <v/>
      </c>
    </row>
    <row r="55">
      <c r="A55" s="32" t="inlineStr">
        <is>
          <t>TORRE</t>
        </is>
      </c>
      <c r="B55" s="32" t="inlineStr">
        <is>
          <t>GERAL</t>
        </is>
      </c>
      <c r="C55" s="32" t="inlineStr">
        <is>
          <t>INSTALAÇÕES ELÉTRICAS</t>
        </is>
      </c>
      <c r="D55" s="32" t="inlineStr">
        <is>
          <t>ENTRADA DE ENERGIA</t>
        </is>
      </c>
      <c r="E55" s="32" t="inlineStr">
        <is>
          <t>Cabo de Força - 10mm² - Verde</t>
        </is>
      </c>
      <c r="F55" s="33" t="n">
        <v>204</v>
      </c>
      <c r="G55" s="33" t="n">
        <v>1</v>
      </c>
      <c r="H55" s="34" t="n">
        <v>0</v>
      </c>
      <c r="I55" s="35">
        <f>(F55+H55*F55)*G55</f>
        <v/>
      </c>
      <c r="J55" s="33" t="inlineStr">
        <is>
          <t>m</t>
        </is>
      </c>
      <c r="K55" s="36" t="n">
        <v>8.359999999999999</v>
      </c>
      <c r="L55" s="37">
        <f>I55*K55</f>
        <v/>
      </c>
    </row>
    <row r="56">
      <c r="A56" s="32" t="inlineStr">
        <is>
          <t>TORRE</t>
        </is>
      </c>
      <c r="B56" s="32" t="inlineStr">
        <is>
          <t>GERAL</t>
        </is>
      </c>
      <c r="C56" s="32" t="inlineStr">
        <is>
          <t>INSTALAÇÕES ELÉTRICAS</t>
        </is>
      </c>
      <c r="D56" s="32" t="inlineStr">
        <is>
          <t>ENTRADA DE ENERGIA</t>
        </is>
      </c>
      <c r="E56" s="32" t="inlineStr">
        <is>
          <t>Cabo de Força - Cobre EPR - 4mm² - Branco</t>
        </is>
      </c>
      <c r="F56" s="33" t="n">
        <v>429</v>
      </c>
      <c r="G56" s="33" t="n">
        <v>1</v>
      </c>
      <c r="H56" s="34" t="n">
        <v>0</v>
      </c>
      <c r="I56" s="35">
        <f>(F56+H56*F56)*G56</f>
        <v/>
      </c>
      <c r="J56" s="33" t="inlineStr">
        <is>
          <t>m</t>
        </is>
      </c>
      <c r="K56" s="36" t="n">
        <v>3.95</v>
      </c>
      <c r="L56" s="37">
        <f>I56*K56</f>
        <v/>
      </c>
    </row>
    <row r="57">
      <c r="A57" s="32" t="inlineStr">
        <is>
          <t>TORRE</t>
        </is>
      </c>
      <c r="B57" s="32" t="inlineStr">
        <is>
          <t>GERAL</t>
        </is>
      </c>
      <c r="C57" s="32" t="inlineStr">
        <is>
          <t>INSTALAÇÕES ELÉTRICAS</t>
        </is>
      </c>
      <c r="D57" s="32" t="inlineStr">
        <is>
          <t>ENTRADA DE ENERGIA</t>
        </is>
      </c>
      <c r="E57" s="32" t="inlineStr">
        <is>
          <t>Cabo de Força - Cobre EPR - 4mm² - Preto</t>
        </is>
      </c>
      <c r="F57" s="33" t="n">
        <v>429</v>
      </c>
      <c r="G57" s="33" t="n">
        <v>1</v>
      </c>
      <c r="H57" s="34" t="n">
        <v>0</v>
      </c>
      <c r="I57" s="35">
        <f>(F57+H57*F57)*G57</f>
        <v/>
      </c>
      <c r="J57" s="33" t="inlineStr">
        <is>
          <t>m</t>
        </is>
      </c>
      <c r="K57" s="36" t="n">
        <v>3.95</v>
      </c>
      <c r="L57" s="37">
        <f>I57*K57</f>
        <v/>
      </c>
    </row>
    <row r="58">
      <c r="A58" s="32" t="inlineStr">
        <is>
          <t>TORRE</t>
        </is>
      </c>
      <c r="B58" s="32" t="inlineStr">
        <is>
          <t>GERAL</t>
        </is>
      </c>
      <c r="C58" s="32" t="inlineStr">
        <is>
          <t>INSTALAÇÕES ELÉTRICAS</t>
        </is>
      </c>
      <c r="D58" s="32" t="inlineStr">
        <is>
          <t>ENTRADA DE ENERGIA</t>
        </is>
      </c>
      <c r="E58" s="32" t="inlineStr">
        <is>
          <t>Cabo de Força - Cobre EPR - 4mm² - Vermelho</t>
        </is>
      </c>
      <c r="F58" s="33" t="n">
        <v>429</v>
      </c>
      <c r="G58" s="33" t="n">
        <v>1</v>
      </c>
      <c r="H58" s="34" t="n">
        <v>0</v>
      </c>
      <c r="I58" s="35">
        <f>(F58+H58*F58)*G58</f>
        <v/>
      </c>
      <c r="J58" s="33" t="inlineStr">
        <is>
          <t>m</t>
        </is>
      </c>
      <c r="K58" s="36" t="n">
        <v>3.95</v>
      </c>
      <c r="L58" s="37">
        <f>I58*K58</f>
        <v/>
      </c>
    </row>
    <row r="59">
      <c r="A59" s="32" t="inlineStr">
        <is>
          <t>TORRE</t>
        </is>
      </c>
      <c r="B59" s="32" t="inlineStr">
        <is>
          <t>GERAL</t>
        </is>
      </c>
      <c r="C59" s="32" t="inlineStr">
        <is>
          <t>INSTALAÇÕES ELÉTRICAS</t>
        </is>
      </c>
      <c r="D59" s="32" t="inlineStr">
        <is>
          <t>ENTRADA DE ENERGIA</t>
        </is>
      </c>
      <c r="E59" s="32" t="inlineStr">
        <is>
          <t>Cabo de Força - Cobre EPR - 4mm² - Azul Claro</t>
        </is>
      </c>
      <c r="F59" s="33" t="n">
        <v>429</v>
      </c>
      <c r="G59" s="33" t="n">
        <v>1</v>
      </c>
      <c r="H59" s="34" t="n">
        <v>0</v>
      </c>
      <c r="I59" s="35">
        <f>(F59+H59*F59)*G59</f>
        <v/>
      </c>
      <c r="J59" s="33" t="inlineStr">
        <is>
          <t>m</t>
        </is>
      </c>
      <c r="K59" s="36" t="n">
        <v>3.95</v>
      </c>
      <c r="L59" s="37">
        <f>I59*K59</f>
        <v/>
      </c>
    </row>
    <row r="60">
      <c r="A60" s="32" t="inlineStr">
        <is>
          <t>TORRE</t>
        </is>
      </c>
      <c r="B60" s="32" t="inlineStr">
        <is>
          <t>GERAL</t>
        </is>
      </c>
      <c r="C60" s="32" t="inlineStr">
        <is>
          <t>INSTALAÇÕES ELÉTRICAS</t>
        </is>
      </c>
      <c r="D60" s="32" t="inlineStr">
        <is>
          <t>ENTRADA DE ENERGIA</t>
        </is>
      </c>
      <c r="E60" s="32" t="inlineStr">
        <is>
          <t>Cabo de Força - Cobre EPR - 4mm² - Verde</t>
        </is>
      </c>
      <c r="F60" s="33" t="n">
        <v>429</v>
      </c>
      <c r="G60" s="33" t="n">
        <v>1</v>
      </c>
      <c r="H60" s="34" t="n">
        <v>0</v>
      </c>
      <c r="I60" s="35">
        <f>(F60+H60*F60)*G60</f>
        <v/>
      </c>
      <c r="J60" s="33" t="inlineStr">
        <is>
          <t>m</t>
        </is>
      </c>
      <c r="K60" s="36" t="n">
        <v>3.95</v>
      </c>
      <c r="L60" s="37">
        <f>I60*K60</f>
        <v/>
      </c>
    </row>
    <row r="61">
      <c r="A61" s="32" t="inlineStr">
        <is>
          <t>TORRE</t>
        </is>
      </c>
      <c r="B61" s="32" t="inlineStr">
        <is>
          <t>GERAL</t>
        </is>
      </c>
      <c r="C61" s="32" t="inlineStr">
        <is>
          <t>INSTALAÇÕES ELÉTRICAS</t>
        </is>
      </c>
      <c r="D61" s="32" t="inlineStr">
        <is>
          <t>ENTRADA DE ENERGIA</t>
        </is>
      </c>
      <c r="E61" s="32" t="inlineStr">
        <is>
          <t>Cabo de Força - Cobre EPR - 10mm² - Branco</t>
        </is>
      </c>
      <c r="F61" s="33" t="n">
        <v>864</v>
      </c>
      <c r="G61" s="33" t="n">
        <v>1</v>
      </c>
      <c r="H61" s="34" t="n">
        <v>0</v>
      </c>
      <c r="I61" s="35">
        <f>(F61+H61*F61)*G61</f>
        <v/>
      </c>
      <c r="J61" s="33" t="inlineStr">
        <is>
          <t>m</t>
        </is>
      </c>
      <c r="K61" s="36" t="n">
        <v>10.23</v>
      </c>
      <c r="L61" s="37">
        <f>I61*K61</f>
        <v/>
      </c>
    </row>
    <row r="62">
      <c r="A62" s="32" t="inlineStr">
        <is>
          <t>TORRE</t>
        </is>
      </c>
      <c r="B62" s="32" t="inlineStr">
        <is>
          <t>GERAL</t>
        </is>
      </c>
      <c r="C62" s="32" t="inlineStr">
        <is>
          <t>INSTALAÇÕES ELÉTRICAS</t>
        </is>
      </c>
      <c r="D62" s="32" t="inlineStr">
        <is>
          <t>ENTRADA DE ENERGIA</t>
        </is>
      </c>
      <c r="E62" s="32" t="inlineStr">
        <is>
          <t>Cabo de Força - Cobre EPR - 10mm² - Preto</t>
        </is>
      </c>
      <c r="F62" s="33" t="n">
        <v>887</v>
      </c>
      <c r="G62" s="33" t="n">
        <v>1</v>
      </c>
      <c r="H62" s="34" t="n">
        <v>0</v>
      </c>
      <c r="I62" s="35">
        <f>(F62+H62*F62)*G62</f>
        <v/>
      </c>
      <c r="J62" s="33" t="inlineStr">
        <is>
          <t>m</t>
        </is>
      </c>
      <c r="K62" s="36" t="n">
        <v>10.23</v>
      </c>
      <c r="L62" s="37">
        <f>I62*K62</f>
        <v/>
      </c>
    </row>
    <row r="63">
      <c r="A63" s="32" t="inlineStr">
        <is>
          <t>TORRE</t>
        </is>
      </c>
      <c r="B63" s="32" t="inlineStr">
        <is>
          <t>GERAL</t>
        </is>
      </c>
      <c r="C63" s="32" t="inlineStr">
        <is>
          <t>INSTALAÇÕES ELÉTRICAS</t>
        </is>
      </c>
      <c r="D63" s="32" t="inlineStr">
        <is>
          <t>ENTRADA DE ENERGIA</t>
        </is>
      </c>
      <c r="E63" s="32" t="inlineStr">
        <is>
          <t>Cabo de Força - Cobre EPR - 10mm² - Vermelho</t>
        </is>
      </c>
      <c r="F63" s="33" t="n">
        <v>976</v>
      </c>
      <c r="G63" s="33" t="n">
        <v>1</v>
      </c>
      <c r="H63" s="34" t="n">
        <v>0</v>
      </c>
      <c r="I63" s="35">
        <f>(F63+H63*F63)*G63</f>
        <v/>
      </c>
      <c r="J63" s="33" t="inlineStr">
        <is>
          <t>m</t>
        </is>
      </c>
      <c r="K63" s="36" t="n">
        <v>10.23</v>
      </c>
      <c r="L63" s="37">
        <f>I63*K63</f>
        <v/>
      </c>
    </row>
    <row r="64">
      <c r="A64" s="32" t="inlineStr">
        <is>
          <t>TORRE</t>
        </is>
      </c>
      <c r="B64" s="32" t="inlineStr">
        <is>
          <t>GERAL</t>
        </is>
      </c>
      <c r="C64" s="32" t="inlineStr">
        <is>
          <t>INSTALAÇÕES ELÉTRICAS</t>
        </is>
      </c>
      <c r="D64" s="32" t="inlineStr">
        <is>
          <t>ENTRADA DE ENERGIA</t>
        </is>
      </c>
      <c r="E64" s="32" t="inlineStr">
        <is>
          <t>Cabo de Força - Cobre EPR - 10mm² - Azul Claro</t>
        </is>
      </c>
      <c r="F64" s="33" t="n">
        <v>2069</v>
      </c>
      <c r="G64" s="33" t="n">
        <v>1</v>
      </c>
      <c r="H64" s="34" t="n">
        <v>0</v>
      </c>
      <c r="I64" s="35">
        <f>(F64+H64*F64)*G64</f>
        <v/>
      </c>
      <c r="J64" s="33" t="inlineStr">
        <is>
          <t>m</t>
        </is>
      </c>
      <c r="K64" s="36" t="n">
        <v>10.23</v>
      </c>
      <c r="L64" s="37">
        <f>I64*K64</f>
        <v/>
      </c>
    </row>
    <row r="65">
      <c r="A65" s="32" t="inlineStr">
        <is>
          <t>TORRE</t>
        </is>
      </c>
      <c r="B65" s="32" t="inlineStr">
        <is>
          <t>GERAL</t>
        </is>
      </c>
      <c r="C65" s="32" t="inlineStr">
        <is>
          <t>INSTALAÇÕES ELÉTRICAS</t>
        </is>
      </c>
      <c r="D65" s="32" t="inlineStr">
        <is>
          <t>ENTRADA DE ENERGIA</t>
        </is>
      </c>
      <c r="E65" s="32" t="inlineStr">
        <is>
          <t>Cabo de Força - Cobre EPR - 10mm² - Verde</t>
        </is>
      </c>
      <c r="F65" s="33" t="n">
        <v>2069</v>
      </c>
      <c r="G65" s="33" t="n">
        <v>1</v>
      </c>
      <c r="H65" s="34" t="n">
        <v>0</v>
      </c>
      <c r="I65" s="35">
        <f>(F65+H65*F65)*G65</f>
        <v/>
      </c>
      <c r="J65" s="33" t="inlineStr">
        <is>
          <t>m</t>
        </is>
      </c>
      <c r="K65" s="36" t="n">
        <v>10.23</v>
      </c>
      <c r="L65" s="37">
        <f>I65*K65</f>
        <v/>
      </c>
    </row>
    <row r="66">
      <c r="A66" s="32" t="inlineStr">
        <is>
          <t>TORRE</t>
        </is>
      </c>
      <c r="B66" s="32" t="inlineStr">
        <is>
          <t>GERAL</t>
        </is>
      </c>
      <c r="C66" s="32" t="inlineStr">
        <is>
          <t>INSTALAÇÕES ELÉTRICAS</t>
        </is>
      </c>
      <c r="D66" s="32" t="inlineStr">
        <is>
          <t>ENTRADA DE ENERGIA</t>
        </is>
      </c>
      <c r="E66" s="32" t="inlineStr">
        <is>
          <t>Cabo de Força - Cobre EPR - 16mm² - Branco</t>
        </is>
      </c>
      <c r="F66" s="33" t="n">
        <v>218</v>
      </c>
      <c r="G66" s="33" t="n">
        <v>1</v>
      </c>
      <c r="H66" s="34" t="n">
        <v>0</v>
      </c>
      <c r="I66" s="35">
        <f>(F66+H66*F66)*G66</f>
        <v/>
      </c>
      <c r="J66" s="33" t="inlineStr">
        <is>
          <t>m</t>
        </is>
      </c>
      <c r="K66" s="36" t="n">
        <v>13.49</v>
      </c>
      <c r="L66" s="37">
        <f>I66*K66</f>
        <v/>
      </c>
    </row>
    <row r="67">
      <c r="A67" s="32" t="inlineStr">
        <is>
          <t>TORRE</t>
        </is>
      </c>
      <c r="B67" s="32" t="inlineStr">
        <is>
          <t>GERAL</t>
        </is>
      </c>
      <c r="C67" s="32" t="inlineStr">
        <is>
          <t>INSTALAÇÕES ELÉTRICAS</t>
        </is>
      </c>
      <c r="D67" s="32" t="inlineStr">
        <is>
          <t>ENTRADA DE ENERGIA</t>
        </is>
      </c>
      <c r="E67" s="32" t="inlineStr">
        <is>
          <t>Cabo de Força - Cobre EPR - 16mm² - Preto</t>
        </is>
      </c>
      <c r="F67" s="33" t="n">
        <v>218</v>
      </c>
      <c r="G67" s="33" t="n">
        <v>1</v>
      </c>
      <c r="H67" s="34" t="n">
        <v>0</v>
      </c>
      <c r="I67" s="35">
        <f>(F67+H67*F67)*G67</f>
        <v/>
      </c>
      <c r="J67" s="33" t="inlineStr">
        <is>
          <t>m</t>
        </is>
      </c>
      <c r="K67" s="36" t="n">
        <v>13.49</v>
      </c>
      <c r="L67" s="37">
        <f>I67*K67</f>
        <v/>
      </c>
    </row>
    <row r="68">
      <c r="A68" s="32" t="inlineStr">
        <is>
          <t>TORRE</t>
        </is>
      </c>
      <c r="B68" s="32" t="inlineStr">
        <is>
          <t>GERAL</t>
        </is>
      </c>
      <c r="C68" s="32" t="inlineStr">
        <is>
          <t>INSTALAÇÕES ELÉTRICAS</t>
        </is>
      </c>
      <c r="D68" s="32" t="inlineStr">
        <is>
          <t>ENTRADA DE ENERGIA</t>
        </is>
      </c>
      <c r="E68" s="32" t="inlineStr">
        <is>
          <t>Cabo de Força - Cobre EPR - 16mm² - Vermelho</t>
        </is>
      </c>
      <c r="F68" s="33" t="n">
        <v>218</v>
      </c>
      <c r="G68" s="33" t="n">
        <v>1</v>
      </c>
      <c r="H68" s="34" t="n">
        <v>0</v>
      </c>
      <c r="I68" s="35">
        <f>(F68+H68*F68)*G68</f>
        <v/>
      </c>
      <c r="J68" s="33" t="inlineStr">
        <is>
          <t>m</t>
        </is>
      </c>
      <c r="K68" s="36" t="n">
        <v>13.49</v>
      </c>
      <c r="L68" s="37">
        <f>I68*K68</f>
        <v/>
      </c>
    </row>
    <row r="69">
      <c r="A69" s="32" t="inlineStr">
        <is>
          <t>TORRE</t>
        </is>
      </c>
      <c r="B69" s="32" t="inlineStr">
        <is>
          <t>GERAL</t>
        </is>
      </c>
      <c r="C69" s="32" t="inlineStr">
        <is>
          <t>INSTALAÇÕES ELÉTRICAS</t>
        </is>
      </c>
      <c r="D69" s="32" t="inlineStr">
        <is>
          <t>ENTRADA DE ENERGIA</t>
        </is>
      </c>
      <c r="E69" s="32" t="inlineStr">
        <is>
          <t>Cabo de Força - Cobre EPR - 16mm² - Azul Claro</t>
        </is>
      </c>
      <c r="F69" s="33" t="n">
        <v>218</v>
      </c>
      <c r="G69" s="33" t="n">
        <v>1</v>
      </c>
      <c r="H69" s="34" t="n">
        <v>0</v>
      </c>
      <c r="I69" s="35">
        <f>(F69+H69*F69)*G69</f>
        <v/>
      </c>
      <c r="J69" s="33" t="inlineStr">
        <is>
          <t>m</t>
        </is>
      </c>
      <c r="K69" s="36" t="n">
        <v>13.49</v>
      </c>
      <c r="L69" s="37">
        <f>I69*K69</f>
        <v/>
      </c>
    </row>
    <row r="70">
      <c r="A70" s="32" t="inlineStr">
        <is>
          <t>TORRE</t>
        </is>
      </c>
      <c r="B70" s="32" t="inlineStr">
        <is>
          <t>GERAL</t>
        </is>
      </c>
      <c r="C70" s="32" t="inlineStr">
        <is>
          <t>INSTALAÇÕES ELÉTRICAS</t>
        </is>
      </c>
      <c r="D70" s="32" t="inlineStr">
        <is>
          <t>ENTRADA DE ENERGIA</t>
        </is>
      </c>
      <c r="E70" s="32" t="inlineStr">
        <is>
          <t>Cabo de Força - Cobre EPR - 16mm² - Verde</t>
        </is>
      </c>
      <c r="F70" s="33" t="n">
        <v>631.5</v>
      </c>
      <c r="G70" s="33" t="n">
        <v>1</v>
      </c>
      <c r="H70" s="34" t="n">
        <v>0</v>
      </c>
      <c r="I70" s="35">
        <f>(F70+H70*F70)*G70</f>
        <v/>
      </c>
      <c r="J70" s="33" t="inlineStr">
        <is>
          <t>m</t>
        </is>
      </c>
      <c r="K70" s="36" t="n">
        <v>13.49</v>
      </c>
      <c r="L70" s="37">
        <f>I70*K70</f>
        <v/>
      </c>
    </row>
    <row r="71">
      <c r="A71" s="32" t="inlineStr">
        <is>
          <t>TORRE</t>
        </is>
      </c>
      <c r="B71" s="32" t="inlineStr">
        <is>
          <t>GERAL</t>
        </is>
      </c>
      <c r="C71" s="32" t="inlineStr">
        <is>
          <t>INSTALAÇÕES ELÉTRICAS</t>
        </is>
      </c>
      <c r="D71" s="32" t="inlineStr">
        <is>
          <t>ENTRADA DE ENERGIA</t>
        </is>
      </c>
      <c r="E71" s="32" t="inlineStr">
        <is>
          <t>Cabo de Força - Cobre EPR - 25mm² - Branco</t>
        </is>
      </c>
      <c r="F71" s="33" t="n">
        <v>140</v>
      </c>
      <c r="G71" s="33" t="n">
        <v>1</v>
      </c>
      <c r="H71" s="34" t="n">
        <v>0</v>
      </c>
      <c r="I71" s="35">
        <f>(F71+H71*F71)*G71</f>
        <v/>
      </c>
      <c r="J71" s="33" t="inlineStr">
        <is>
          <t>m</t>
        </is>
      </c>
      <c r="K71" s="36" t="n">
        <v>54</v>
      </c>
      <c r="L71" s="37">
        <f>I71*K71</f>
        <v/>
      </c>
    </row>
    <row r="72">
      <c r="A72" s="32" t="inlineStr">
        <is>
          <t>TORRE</t>
        </is>
      </c>
      <c r="B72" s="32" t="inlineStr">
        <is>
          <t>GERAL</t>
        </is>
      </c>
      <c r="C72" s="32" t="inlineStr">
        <is>
          <t>INSTALAÇÕES ELÉTRICAS</t>
        </is>
      </c>
      <c r="D72" s="32" t="inlineStr">
        <is>
          <t>ENTRADA DE ENERGIA</t>
        </is>
      </c>
      <c r="E72" s="32" t="inlineStr">
        <is>
          <t>Cabo de Força - Cobre EPR - 25mm² - Preto</t>
        </is>
      </c>
      <c r="F72" s="33" t="n">
        <v>140</v>
      </c>
      <c r="G72" s="33" t="n">
        <v>1</v>
      </c>
      <c r="H72" s="34" t="n">
        <v>0</v>
      </c>
      <c r="I72" s="35">
        <f>(F72+H72*F72)*G72</f>
        <v/>
      </c>
      <c r="J72" s="33" t="inlineStr">
        <is>
          <t>m</t>
        </is>
      </c>
      <c r="K72" s="36" t="n">
        <v>54</v>
      </c>
      <c r="L72" s="37">
        <f>I72*K72</f>
        <v/>
      </c>
    </row>
    <row r="73">
      <c r="A73" s="32" t="inlineStr">
        <is>
          <t>TORRE</t>
        </is>
      </c>
      <c r="B73" s="32" t="inlineStr">
        <is>
          <t>GERAL</t>
        </is>
      </c>
      <c r="C73" s="32" t="inlineStr">
        <is>
          <t>INSTALAÇÕES ELÉTRICAS</t>
        </is>
      </c>
      <c r="D73" s="32" t="inlineStr">
        <is>
          <t>ENTRADA DE ENERGIA</t>
        </is>
      </c>
      <c r="E73" s="32" t="inlineStr">
        <is>
          <t>Cabo de Força - Cobre EPR - 25mm² - Vermelho</t>
        </is>
      </c>
      <c r="F73" s="33" t="n">
        <v>140</v>
      </c>
      <c r="G73" s="33" t="n">
        <v>1</v>
      </c>
      <c r="H73" s="34" t="n">
        <v>0</v>
      </c>
      <c r="I73" s="35">
        <f>(F73+H73*F73)*G73</f>
        <v/>
      </c>
      <c r="J73" s="33" t="inlineStr">
        <is>
          <t>m</t>
        </is>
      </c>
      <c r="K73" s="36" t="n">
        <v>54</v>
      </c>
      <c r="L73" s="37">
        <f>I73*K73</f>
        <v/>
      </c>
    </row>
    <row r="74">
      <c r="A74" s="32" t="inlineStr">
        <is>
          <t>TORRE</t>
        </is>
      </c>
      <c r="B74" s="32" t="inlineStr">
        <is>
          <t>GERAL</t>
        </is>
      </c>
      <c r="C74" s="32" t="inlineStr">
        <is>
          <t>INSTALAÇÕES ELÉTRICAS</t>
        </is>
      </c>
      <c r="D74" s="32" t="inlineStr">
        <is>
          <t>ENTRADA DE ENERGIA</t>
        </is>
      </c>
      <c r="E74" s="32" t="inlineStr">
        <is>
          <t>Cabo de Força - Cobre EPR - 25mm² - Azul Claro</t>
        </is>
      </c>
      <c r="F74" s="33" t="n">
        <v>140</v>
      </c>
      <c r="G74" s="33" t="n">
        <v>1</v>
      </c>
      <c r="H74" s="34" t="n">
        <v>0</v>
      </c>
      <c r="I74" s="35">
        <f>(F74+H74*F74)*G74</f>
        <v/>
      </c>
      <c r="J74" s="33" t="inlineStr">
        <is>
          <t>m</t>
        </is>
      </c>
      <c r="K74" s="36" t="n">
        <v>54</v>
      </c>
      <c r="L74" s="37">
        <f>I74*K74</f>
        <v/>
      </c>
    </row>
    <row r="75">
      <c r="A75" s="32" t="inlineStr">
        <is>
          <t>TORRE</t>
        </is>
      </c>
      <c r="B75" s="32" t="inlineStr">
        <is>
          <t>GERAL</t>
        </is>
      </c>
      <c r="C75" s="32" t="inlineStr">
        <is>
          <t>INSTALAÇÕES ELÉTRICAS</t>
        </is>
      </c>
      <c r="D75" s="32" t="inlineStr">
        <is>
          <t>ENTRADA DE ENERGIA</t>
        </is>
      </c>
      <c r="E75" s="32" t="inlineStr">
        <is>
          <t>Cabo de Força - Cobre EPR - 25mm² - Verde</t>
        </is>
      </c>
      <c r="F75" s="33" t="n">
        <v>159</v>
      </c>
      <c r="G75" s="33" t="n">
        <v>1</v>
      </c>
      <c r="H75" s="34" t="n">
        <v>0</v>
      </c>
      <c r="I75" s="35">
        <f>(F75+H75*F75)*G75</f>
        <v/>
      </c>
      <c r="J75" s="33" t="inlineStr">
        <is>
          <t>m</t>
        </is>
      </c>
      <c r="K75" s="36" t="n">
        <v>54</v>
      </c>
      <c r="L75" s="37">
        <f>I75*K75</f>
        <v/>
      </c>
    </row>
    <row r="76">
      <c r="A76" s="32" t="inlineStr">
        <is>
          <t>TORRE</t>
        </is>
      </c>
      <c r="B76" s="32" t="inlineStr">
        <is>
          <t>GERAL</t>
        </is>
      </c>
      <c r="C76" s="32" t="inlineStr">
        <is>
          <t>INSTALAÇÕES ELÉTRICAS</t>
        </is>
      </c>
      <c r="D76" s="32" t="inlineStr">
        <is>
          <t>ENTRADA DE ENERGIA</t>
        </is>
      </c>
      <c r="E76" s="32" t="inlineStr">
        <is>
          <t>Cabo de Força - Cobre EPR - 35mm² - Branco</t>
        </is>
      </c>
      <c r="F76" s="33" t="n">
        <v>413</v>
      </c>
      <c r="G76" s="33" t="n">
        <v>1</v>
      </c>
      <c r="H76" s="34" t="n">
        <v>0</v>
      </c>
      <c r="I76" s="35">
        <f>(F76+H76*F76)*G76</f>
        <v/>
      </c>
      <c r="J76" s="33" t="inlineStr">
        <is>
          <t>m</t>
        </is>
      </c>
      <c r="K76" s="36" t="n">
        <v>56.69</v>
      </c>
      <c r="L76" s="37">
        <f>I76*K76</f>
        <v/>
      </c>
    </row>
    <row r="77">
      <c r="A77" s="32" t="inlineStr">
        <is>
          <t>TORRE</t>
        </is>
      </c>
      <c r="B77" s="32" t="inlineStr">
        <is>
          <t>GERAL</t>
        </is>
      </c>
      <c r="C77" s="32" t="inlineStr">
        <is>
          <t>INSTALAÇÕES ELÉTRICAS</t>
        </is>
      </c>
      <c r="D77" s="32" t="inlineStr">
        <is>
          <t>ENTRADA DE ENERGIA</t>
        </is>
      </c>
      <c r="E77" s="32" t="inlineStr">
        <is>
          <t>Cabo de Força - Cobre EPR - 35mm² - Preto</t>
        </is>
      </c>
      <c r="F77" s="33" t="n">
        <v>413</v>
      </c>
      <c r="G77" s="33" t="n">
        <v>1</v>
      </c>
      <c r="H77" s="34" t="n">
        <v>0</v>
      </c>
      <c r="I77" s="35">
        <f>(F77+H77*F77)*G77</f>
        <v/>
      </c>
      <c r="J77" s="33" t="inlineStr">
        <is>
          <t>m</t>
        </is>
      </c>
      <c r="K77" s="36" t="n">
        <v>56.69</v>
      </c>
      <c r="L77" s="37">
        <f>I77*K77</f>
        <v/>
      </c>
    </row>
    <row r="78">
      <c r="A78" s="32" t="inlineStr">
        <is>
          <t>TORRE</t>
        </is>
      </c>
      <c r="B78" s="32" t="inlineStr">
        <is>
          <t>GERAL</t>
        </is>
      </c>
      <c r="C78" s="32" t="inlineStr">
        <is>
          <t>INSTALAÇÕES ELÉTRICAS</t>
        </is>
      </c>
      <c r="D78" s="32" t="inlineStr">
        <is>
          <t>ENTRADA DE ENERGIA</t>
        </is>
      </c>
      <c r="E78" s="32" t="inlineStr">
        <is>
          <t>Cabo de Força - Cobre EPR - 35mm² - Vermelho</t>
        </is>
      </c>
      <c r="F78" s="33" t="n">
        <v>413</v>
      </c>
      <c r="G78" s="33" t="n">
        <v>1</v>
      </c>
      <c r="H78" s="34" t="n">
        <v>0</v>
      </c>
      <c r="I78" s="35">
        <f>(F78+H78*F78)*G78</f>
        <v/>
      </c>
      <c r="J78" s="33" t="inlineStr">
        <is>
          <t>m</t>
        </is>
      </c>
      <c r="K78" s="36" t="n">
        <v>56.69</v>
      </c>
      <c r="L78" s="37">
        <f>I78*K78</f>
        <v/>
      </c>
    </row>
    <row r="79">
      <c r="A79" s="32" t="inlineStr">
        <is>
          <t>TORRE</t>
        </is>
      </c>
      <c r="B79" s="32" t="inlineStr">
        <is>
          <t>GERAL</t>
        </is>
      </c>
      <c r="C79" s="32" t="inlineStr">
        <is>
          <t>INSTALAÇÕES ELÉTRICAS</t>
        </is>
      </c>
      <c r="D79" s="32" t="inlineStr">
        <is>
          <t>ENTRADA DE ENERGIA</t>
        </is>
      </c>
      <c r="E79" s="32" t="inlineStr">
        <is>
          <t>Cabo de Força - Cobre EPR - 35mm² - Azul Claro</t>
        </is>
      </c>
      <c r="F79" s="33" t="n">
        <v>413</v>
      </c>
      <c r="G79" s="33" t="n">
        <v>1</v>
      </c>
      <c r="H79" s="34" t="n">
        <v>0</v>
      </c>
      <c r="I79" s="35">
        <f>(F79+H79*F79)*G79</f>
        <v/>
      </c>
      <c r="J79" s="33" t="inlineStr">
        <is>
          <t>m</t>
        </is>
      </c>
      <c r="K79" s="36" t="n">
        <v>56.69</v>
      </c>
      <c r="L79" s="37">
        <f>I79*K79</f>
        <v/>
      </c>
    </row>
    <row r="80">
      <c r="A80" s="32" t="inlineStr">
        <is>
          <t>TORRE</t>
        </is>
      </c>
      <c r="B80" s="32" t="inlineStr">
        <is>
          <t>GERAL</t>
        </is>
      </c>
      <c r="C80" s="32" t="inlineStr">
        <is>
          <t>INSTALAÇÕES ELÉTRICAS</t>
        </is>
      </c>
      <c r="D80" s="32" t="inlineStr">
        <is>
          <t>ENTRADA DE ENERGIA</t>
        </is>
      </c>
      <c r="E80" s="32" t="inlineStr">
        <is>
          <t>Cabo de Força - Cobre EPR - 35mm² - Verde</t>
        </is>
      </c>
      <c r="F80" s="33" t="n">
        <v>16</v>
      </c>
      <c r="G80" s="33" t="n">
        <v>1</v>
      </c>
      <c r="H80" s="34" t="n">
        <v>0</v>
      </c>
      <c r="I80" s="35">
        <f>(F80+H80*F80)*G80</f>
        <v/>
      </c>
      <c r="J80" s="33" t="inlineStr">
        <is>
          <t>m</t>
        </is>
      </c>
      <c r="K80" s="36" t="n">
        <v>56.69</v>
      </c>
      <c r="L80" s="37">
        <f>I80*K80</f>
        <v/>
      </c>
    </row>
    <row r="81">
      <c r="A81" s="32" t="inlineStr">
        <is>
          <t>TORRE</t>
        </is>
      </c>
      <c r="B81" s="32" t="inlineStr">
        <is>
          <t>GERAL</t>
        </is>
      </c>
      <c r="C81" s="32" t="inlineStr">
        <is>
          <t>INSTALAÇÕES ELÉTRICAS</t>
        </is>
      </c>
      <c r="D81" s="32" t="inlineStr">
        <is>
          <t>ENTRADA DE ENERGIA</t>
        </is>
      </c>
      <c r="E81" s="32" t="inlineStr">
        <is>
          <t>Cabo de Força - Cobre EPR - 50mm² - Branco</t>
        </is>
      </c>
      <c r="F81" s="33" t="n">
        <v>19</v>
      </c>
      <c r="G81" s="33" t="n">
        <v>1</v>
      </c>
      <c r="H81" s="34" t="n">
        <v>0</v>
      </c>
      <c r="I81" s="35">
        <f>(F81+H81*F81)*G81</f>
        <v/>
      </c>
      <c r="J81" s="33" t="inlineStr">
        <is>
          <t>m</t>
        </is>
      </c>
      <c r="K81" s="36" t="n">
        <v>62</v>
      </c>
      <c r="L81" s="37">
        <f>I81*K81</f>
        <v/>
      </c>
    </row>
    <row r="82">
      <c r="A82" s="32" t="inlineStr">
        <is>
          <t>TORRE</t>
        </is>
      </c>
      <c r="B82" s="32" t="inlineStr">
        <is>
          <t>GERAL</t>
        </is>
      </c>
      <c r="C82" s="32" t="inlineStr">
        <is>
          <t>INSTALAÇÕES ELÉTRICAS</t>
        </is>
      </c>
      <c r="D82" s="32" t="inlineStr">
        <is>
          <t>ENTRADA DE ENERGIA</t>
        </is>
      </c>
      <c r="E82" s="32" t="inlineStr">
        <is>
          <t>Cabo de Força - Cobre EPR - 50mm² - Preto</t>
        </is>
      </c>
      <c r="F82" s="33" t="n">
        <v>19</v>
      </c>
      <c r="G82" s="33" t="n">
        <v>1</v>
      </c>
      <c r="H82" s="34" t="n">
        <v>0</v>
      </c>
      <c r="I82" s="35">
        <f>(F82+H82*F82)*G82</f>
        <v/>
      </c>
      <c r="J82" s="33" t="inlineStr">
        <is>
          <t>m</t>
        </is>
      </c>
      <c r="K82" s="36" t="n">
        <v>62</v>
      </c>
      <c r="L82" s="37">
        <f>I82*K82</f>
        <v/>
      </c>
    </row>
    <row r="83">
      <c r="A83" s="32" t="inlineStr">
        <is>
          <t>TORRE</t>
        </is>
      </c>
      <c r="B83" s="32" t="inlineStr">
        <is>
          <t>GERAL</t>
        </is>
      </c>
      <c r="C83" s="32" t="inlineStr">
        <is>
          <t>INSTALAÇÕES ELÉTRICAS</t>
        </is>
      </c>
      <c r="D83" s="32" t="inlineStr">
        <is>
          <t>ENTRADA DE ENERGIA</t>
        </is>
      </c>
      <c r="E83" s="32" t="inlineStr">
        <is>
          <t>Cabo de Força - Cobre EPR - 50mm² - Vermelho</t>
        </is>
      </c>
      <c r="F83" s="33" t="n">
        <v>19</v>
      </c>
      <c r="G83" s="33" t="n">
        <v>1</v>
      </c>
      <c r="H83" s="34" t="n">
        <v>0</v>
      </c>
      <c r="I83" s="35">
        <f>(F83+H83*F83)*G83</f>
        <v/>
      </c>
      <c r="J83" s="33" t="inlineStr">
        <is>
          <t>m</t>
        </is>
      </c>
      <c r="K83" s="36" t="n">
        <v>62</v>
      </c>
      <c r="L83" s="37">
        <f>I83*K83</f>
        <v/>
      </c>
    </row>
    <row r="84">
      <c r="A84" s="32" t="inlineStr">
        <is>
          <t>TORRE</t>
        </is>
      </c>
      <c r="B84" s="32" t="inlineStr">
        <is>
          <t>GERAL</t>
        </is>
      </c>
      <c r="C84" s="32" t="inlineStr">
        <is>
          <t>INSTALAÇÕES ELÉTRICAS</t>
        </is>
      </c>
      <c r="D84" s="32" t="inlineStr">
        <is>
          <t>ENTRADA DE ENERGIA</t>
        </is>
      </c>
      <c r="E84" s="32" t="inlineStr">
        <is>
          <t>Cabo de Força - Cobre EPR - 50mm² - Azul Claro</t>
        </is>
      </c>
      <c r="F84" s="33" t="n">
        <v>19</v>
      </c>
      <c r="G84" s="33" t="n">
        <v>1</v>
      </c>
      <c r="H84" s="34" t="n">
        <v>0</v>
      </c>
      <c r="I84" s="35">
        <f>(F84+H84*F84)*G84</f>
        <v/>
      </c>
      <c r="J84" s="33" t="inlineStr">
        <is>
          <t>m</t>
        </is>
      </c>
      <c r="K84" s="36" t="n">
        <v>62</v>
      </c>
      <c r="L84" s="37">
        <f>I84*K84</f>
        <v/>
      </c>
    </row>
    <row r="85">
      <c r="A85" s="32" t="inlineStr">
        <is>
          <t>TORRE</t>
        </is>
      </c>
      <c r="B85" s="32" t="inlineStr">
        <is>
          <t>GERAL</t>
        </is>
      </c>
      <c r="C85" s="32" t="inlineStr">
        <is>
          <t>INSTALAÇÕES ELÉTRICAS</t>
        </is>
      </c>
      <c r="D85" s="32" t="inlineStr">
        <is>
          <t>ENTRADA DE ENERGIA</t>
        </is>
      </c>
      <c r="E85" s="32" t="inlineStr">
        <is>
          <t>Cabo de Força - Cobre EPR - 50mm² - Verde</t>
        </is>
      </c>
      <c r="F85" s="33" t="n">
        <v>1</v>
      </c>
      <c r="G85" s="33" t="n">
        <v>1</v>
      </c>
      <c r="H85" s="34" t="n">
        <v>0</v>
      </c>
      <c r="I85" s="35">
        <f>(F85+H85*F85)*G85</f>
        <v/>
      </c>
      <c r="J85" s="33" t="inlineStr">
        <is>
          <t>m</t>
        </is>
      </c>
      <c r="K85" s="36" t="n">
        <v>62</v>
      </c>
      <c r="L85" s="37">
        <f>I85*K85</f>
        <v/>
      </c>
    </row>
    <row r="86">
      <c r="A86" s="32" t="inlineStr">
        <is>
          <t>TORRE</t>
        </is>
      </c>
      <c r="B86" s="32" t="inlineStr">
        <is>
          <t>GERAL</t>
        </is>
      </c>
      <c r="C86" s="32" t="inlineStr">
        <is>
          <t>INSTALAÇÕES ELÉTRICAS</t>
        </is>
      </c>
      <c r="D86" s="32" t="inlineStr">
        <is>
          <t>ENTRADA DE ENERGIA</t>
        </is>
      </c>
      <c r="E86" s="32" t="inlineStr">
        <is>
          <t>Cabo de Força - Cobre EPR - 70mm² - Branco</t>
        </is>
      </c>
      <c r="F86" s="33" t="n">
        <v>16</v>
      </c>
      <c r="G86" s="33" t="n">
        <v>1</v>
      </c>
      <c r="H86" s="34" t="n">
        <v>0</v>
      </c>
      <c r="I86" s="35">
        <f>(F86+H86*F86)*G86</f>
        <v/>
      </c>
      <c r="J86" s="33" t="inlineStr">
        <is>
          <t>m</t>
        </is>
      </c>
      <c r="K86" s="36" t="n">
        <v>87</v>
      </c>
      <c r="L86" s="37">
        <f>I86*K86</f>
        <v/>
      </c>
    </row>
    <row r="87">
      <c r="A87" s="32" t="inlineStr">
        <is>
          <t>TORRE</t>
        </is>
      </c>
      <c r="B87" s="32" t="inlineStr">
        <is>
          <t>GERAL</t>
        </is>
      </c>
      <c r="C87" s="32" t="inlineStr">
        <is>
          <t>INSTALAÇÕES ELÉTRICAS</t>
        </is>
      </c>
      <c r="D87" s="32" t="inlineStr">
        <is>
          <t>ENTRADA DE ENERGIA</t>
        </is>
      </c>
      <c r="E87" s="32" t="inlineStr">
        <is>
          <t>Cabo de Força - Cobre EPR - 70mm² - Preto</t>
        </is>
      </c>
      <c r="F87" s="33" t="n">
        <v>16</v>
      </c>
      <c r="G87" s="33" t="n">
        <v>1</v>
      </c>
      <c r="H87" s="34" t="n">
        <v>0</v>
      </c>
      <c r="I87" s="35">
        <f>(F87+H87*F87)*G87</f>
        <v/>
      </c>
      <c r="J87" s="33" t="inlineStr">
        <is>
          <t>m</t>
        </is>
      </c>
      <c r="K87" s="36" t="n">
        <v>87</v>
      </c>
      <c r="L87" s="37">
        <f>I87*K87</f>
        <v/>
      </c>
    </row>
    <row r="88">
      <c r="A88" s="32" t="inlineStr">
        <is>
          <t>TORRE</t>
        </is>
      </c>
      <c r="B88" s="32" t="inlineStr">
        <is>
          <t>GERAL</t>
        </is>
      </c>
      <c r="C88" s="32" t="inlineStr">
        <is>
          <t>INSTALAÇÕES ELÉTRICAS</t>
        </is>
      </c>
      <c r="D88" s="32" t="inlineStr">
        <is>
          <t>ENTRADA DE ENERGIA</t>
        </is>
      </c>
      <c r="E88" s="32" t="inlineStr">
        <is>
          <t>Cabo de Força - Cobre EPR - 70mm² - Vermelho</t>
        </is>
      </c>
      <c r="F88" s="33" t="n">
        <v>16</v>
      </c>
      <c r="G88" s="33" t="n">
        <v>1</v>
      </c>
      <c r="H88" s="34" t="n">
        <v>0</v>
      </c>
      <c r="I88" s="35">
        <f>(F88+H88*F88)*G88</f>
        <v/>
      </c>
      <c r="J88" s="33" t="inlineStr">
        <is>
          <t>m</t>
        </is>
      </c>
      <c r="K88" s="36" t="n">
        <v>87</v>
      </c>
      <c r="L88" s="37">
        <f>I88*K88</f>
        <v/>
      </c>
    </row>
    <row r="89">
      <c r="A89" s="32" t="inlineStr">
        <is>
          <t>TORRE</t>
        </is>
      </c>
      <c r="B89" s="32" t="inlineStr">
        <is>
          <t>GERAL</t>
        </is>
      </c>
      <c r="C89" s="32" t="inlineStr">
        <is>
          <t>INSTALAÇÕES ELÉTRICAS</t>
        </is>
      </c>
      <c r="D89" s="32" t="inlineStr">
        <is>
          <t>ENTRADA DE ENERGIA</t>
        </is>
      </c>
      <c r="E89" s="32" t="inlineStr">
        <is>
          <t>Cabo de Força - Cobre EPR - 70mm² - Azul Claro</t>
        </is>
      </c>
      <c r="F89" s="33" t="n">
        <v>16</v>
      </c>
      <c r="G89" s="33" t="n">
        <v>1</v>
      </c>
      <c r="H89" s="34" t="n">
        <v>0</v>
      </c>
      <c r="I89" s="35">
        <f>(F89+H89*F89)*G89</f>
        <v/>
      </c>
      <c r="J89" s="33" t="inlineStr">
        <is>
          <t>m</t>
        </is>
      </c>
      <c r="K89" s="36" t="n">
        <v>87</v>
      </c>
      <c r="L89" s="37">
        <f>I89*K89</f>
        <v/>
      </c>
    </row>
    <row r="90">
      <c r="A90" s="32" t="inlineStr">
        <is>
          <t>TORRE</t>
        </is>
      </c>
      <c r="B90" s="32" t="inlineStr">
        <is>
          <t>GERAL</t>
        </is>
      </c>
      <c r="C90" s="32" t="inlineStr">
        <is>
          <t>INSTALAÇÕES ELÉTRICAS</t>
        </is>
      </c>
      <c r="D90" s="32" t="inlineStr">
        <is>
          <t>ENTRADA DE ENERGIA</t>
        </is>
      </c>
      <c r="E90" s="32" t="inlineStr">
        <is>
          <t>Cabo de Força - Cobre EPR - 70mm² - Verde</t>
        </is>
      </c>
      <c r="F90" s="33" t="n">
        <v>1</v>
      </c>
      <c r="G90" s="33" t="n">
        <v>1</v>
      </c>
      <c r="H90" s="34" t="n">
        <v>0</v>
      </c>
      <c r="I90" s="35">
        <f>(F90+H90*F90)*G90</f>
        <v/>
      </c>
      <c r="J90" s="33" t="inlineStr">
        <is>
          <t>m</t>
        </is>
      </c>
      <c r="K90" s="36" t="n">
        <v>87</v>
      </c>
      <c r="L90" s="37">
        <f>I90*K90</f>
        <v/>
      </c>
    </row>
    <row r="91">
      <c r="A91" s="32" t="inlineStr">
        <is>
          <t>TORRE</t>
        </is>
      </c>
      <c r="B91" s="32" t="inlineStr">
        <is>
          <t>GERAL</t>
        </is>
      </c>
      <c r="C91" s="32" t="inlineStr">
        <is>
          <t>INSTALAÇÕES ELÉTRICAS</t>
        </is>
      </c>
      <c r="D91" s="32" t="inlineStr">
        <is>
          <t>ENTRADA DE ENERGIA</t>
        </is>
      </c>
      <c r="E91" s="32" t="inlineStr">
        <is>
          <t>Cabo de Força - Cobre EPR - 95mm² - Branco</t>
        </is>
      </c>
      <c r="F91" s="33" t="n">
        <v>1</v>
      </c>
      <c r="G91" s="33" t="n">
        <v>1</v>
      </c>
      <c r="H91" s="34" t="n">
        <v>0</v>
      </c>
      <c r="I91" s="35">
        <f>(F91+H91*F91)*G91</f>
        <v/>
      </c>
      <c r="J91" s="33" t="inlineStr">
        <is>
          <t>m</t>
        </is>
      </c>
      <c r="K91" s="36" t="n">
        <v>94</v>
      </c>
      <c r="L91" s="37">
        <f>I91*K91</f>
        <v/>
      </c>
    </row>
    <row r="92">
      <c r="A92" s="32" t="inlineStr">
        <is>
          <t>TORRE</t>
        </is>
      </c>
      <c r="B92" s="32" t="inlineStr">
        <is>
          <t>GERAL</t>
        </is>
      </c>
      <c r="C92" s="32" t="inlineStr">
        <is>
          <t>INSTALAÇÕES ELÉTRICAS</t>
        </is>
      </c>
      <c r="D92" s="32" t="inlineStr">
        <is>
          <t>ENTRADA DE ENERGIA</t>
        </is>
      </c>
      <c r="E92" s="32" t="inlineStr">
        <is>
          <t>Cabo de Força - Cobre EPR - 95mm² - Preto</t>
        </is>
      </c>
      <c r="F92" s="33" t="n">
        <v>1</v>
      </c>
      <c r="G92" s="33" t="n">
        <v>1</v>
      </c>
      <c r="H92" s="34" t="n">
        <v>0</v>
      </c>
      <c r="I92" s="35">
        <f>(F92+H92*F92)*G92</f>
        <v/>
      </c>
      <c r="J92" s="33" t="inlineStr">
        <is>
          <t>m</t>
        </is>
      </c>
      <c r="K92" s="36" t="n">
        <v>94</v>
      </c>
      <c r="L92" s="37">
        <f>I92*K92</f>
        <v/>
      </c>
    </row>
    <row r="93">
      <c r="A93" s="32" t="inlineStr">
        <is>
          <t>TORRE</t>
        </is>
      </c>
      <c r="B93" s="32" t="inlineStr">
        <is>
          <t>GERAL</t>
        </is>
      </c>
      <c r="C93" s="32" t="inlineStr">
        <is>
          <t>INSTALAÇÕES ELÉTRICAS</t>
        </is>
      </c>
      <c r="D93" s="32" t="inlineStr">
        <is>
          <t>ENTRADA DE ENERGIA</t>
        </is>
      </c>
      <c r="E93" s="32" t="inlineStr">
        <is>
          <t>Cabo de Força - Cobre EPR - 95mm² - Vermelho</t>
        </is>
      </c>
      <c r="F93" s="33" t="n">
        <v>1</v>
      </c>
      <c r="G93" s="33" t="n">
        <v>1</v>
      </c>
      <c r="H93" s="34" t="n">
        <v>0</v>
      </c>
      <c r="I93" s="35">
        <f>(F93+H93*F93)*G93</f>
        <v/>
      </c>
      <c r="J93" s="33" t="inlineStr">
        <is>
          <t>m</t>
        </is>
      </c>
      <c r="K93" s="36" t="n">
        <v>94</v>
      </c>
      <c r="L93" s="37">
        <f>I93*K93</f>
        <v/>
      </c>
    </row>
    <row r="94">
      <c r="A94" s="32" t="inlineStr">
        <is>
          <t>TORRE</t>
        </is>
      </c>
      <c r="B94" s="32" t="inlineStr">
        <is>
          <t>GERAL</t>
        </is>
      </c>
      <c r="C94" s="32" t="inlineStr">
        <is>
          <t>INSTALAÇÕES ELÉTRICAS</t>
        </is>
      </c>
      <c r="D94" s="32" t="inlineStr">
        <is>
          <t>ENTRADA DE ENERGIA</t>
        </is>
      </c>
      <c r="E94" s="32" t="inlineStr">
        <is>
          <t>Cabo de Força - Cobre EPR - 95mm² - Azul Claro</t>
        </is>
      </c>
      <c r="F94" s="33" t="n">
        <v>1</v>
      </c>
      <c r="G94" s="33" t="n">
        <v>1</v>
      </c>
      <c r="H94" s="34" t="n">
        <v>0</v>
      </c>
      <c r="I94" s="35">
        <f>(F94+H94*F94)*G94</f>
        <v/>
      </c>
      <c r="J94" s="33" t="inlineStr">
        <is>
          <t>m</t>
        </is>
      </c>
      <c r="K94" s="36" t="n">
        <v>94</v>
      </c>
      <c r="L94" s="37">
        <f>I94*K94</f>
        <v/>
      </c>
    </row>
    <row r="95">
      <c r="A95" s="32" t="inlineStr">
        <is>
          <t>TORRE</t>
        </is>
      </c>
      <c r="B95" s="32" t="inlineStr">
        <is>
          <t>GERAL</t>
        </is>
      </c>
      <c r="C95" s="32" t="inlineStr">
        <is>
          <t>INSTALAÇÕES ELÉTRICAS</t>
        </is>
      </c>
      <c r="D95" s="32" t="inlineStr">
        <is>
          <t>ENTRADA DE ENERGIA</t>
        </is>
      </c>
      <c r="E95" s="32" t="inlineStr">
        <is>
          <t>Cabo de Força - Cobre EPR - 95mm² - Verde</t>
        </is>
      </c>
      <c r="F95" s="33" t="n">
        <v>1</v>
      </c>
      <c r="G95" s="33" t="n">
        <v>1</v>
      </c>
      <c r="H95" s="34" t="n">
        <v>0</v>
      </c>
      <c r="I95" s="35">
        <f>(F95+H95*F95)*G95</f>
        <v/>
      </c>
      <c r="J95" s="33" t="inlineStr">
        <is>
          <t>m</t>
        </is>
      </c>
      <c r="K95" s="36" t="n">
        <v>94</v>
      </c>
      <c r="L95" s="37">
        <f>I95*K95</f>
        <v/>
      </c>
    </row>
    <row r="96">
      <c r="A96" s="32" t="inlineStr">
        <is>
          <t>TORRE</t>
        </is>
      </c>
      <c r="B96" s="32" t="inlineStr">
        <is>
          <t>GERAL</t>
        </is>
      </c>
      <c r="C96" s="32" t="inlineStr">
        <is>
          <t>INSTALAÇÕES ELÉTRICAS</t>
        </is>
      </c>
      <c r="D96" s="32" t="inlineStr">
        <is>
          <t>ENTRADA DE ENERGIA</t>
        </is>
      </c>
      <c r="E96" s="32" t="inlineStr">
        <is>
          <t>Cabo de Força - Cobre EPR - 120mm² - Branco</t>
        </is>
      </c>
      <c r="F96" s="33" t="n">
        <v>181</v>
      </c>
      <c r="G96" s="33" t="n">
        <v>1</v>
      </c>
      <c r="H96" s="34" t="n">
        <v>0</v>
      </c>
      <c r="I96" s="35">
        <f>(F96+H96*F96)*G96</f>
        <v/>
      </c>
      <c r="J96" s="33" t="inlineStr">
        <is>
          <t>m</t>
        </is>
      </c>
      <c r="K96" s="36" t="n">
        <v>92.69</v>
      </c>
      <c r="L96" s="37">
        <f>I96*K96</f>
        <v/>
      </c>
    </row>
    <row r="97">
      <c r="A97" s="32" t="inlineStr">
        <is>
          <t>TORRE</t>
        </is>
      </c>
      <c r="B97" s="32" t="inlineStr">
        <is>
          <t>GERAL</t>
        </is>
      </c>
      <c r="C97" s="32" t="inlineStr">
        <is>
          <t>INSTALAÇÕES ELÉTRICAS</t>
        </is>
      </c>
      <c r="D97" s="32" t="inlineStr">
        <is>
          <t>ENTRADA DE ENERGIA</t>
        </is>
      </c>
      <c r="E97" s="32" t="inlineStr">
        <is>
          <t>Cabo de Força - Cobre EPR - 120mm² - Preto</t>
        </is>
      </c>
      <c r="F97" s="33" t="n">
        <v>181</v>
      </c>
      <c r="G97" s="33" t="n">
        <v>1</v>
      </c>
      <c r="H97" s="34" t="n">
        <v>0</v>
      </c>
      <c r="I97" s="35">
        <f>(F97+H97*F97)*G97</f>
        <v/>
      </c>
      <c r="J97" s="33" t="inlineStr">
        <is>
          <t>m</t>
        </is>
      </c>
      <c r="K97" s="36" t="n">
        <v>92.69</v>
      </c>
      <c r="L97" s="37">
        <f>I97*K97</f>
        <v/>
      </c>
    </row>
    <row r="98">
      <c r="A98" s="32" t="inlineStr">
        <is>
          <t>TORRE</t>
        </is>
      </c>
      <c r="B98" s="32" t="inlineStr">
        <is>
          <t>GERAL</t>
        </is>
      </c>
      <c r="C98" s="32" t="inlineStr">
        <is>
          <t>INSTALAÇÕES ELÉTRICAS</t>
        </is>
      </c>
      <c r="D98" s="32" t="inlineStr">
        <is>
          <t>ENTRADA DE ENERGIA</t>
        </is>
      </c>
      <c r="E98" s="32" t="inlineStr">
        <is>
          <t>Cabo de Força - Cobre EPR - 120mm² - Vermelho</t>
        </is>
      </c>
      <c r="F98" s="33" t="n">
        <v>181</v>
      </c>
      <c r="G98" s="33" t="n">
        <v>1</v>
      </c>
      <c r="H98" s="34" t="n">
        <v>0</v>
      </c>
      <c r="I98" s="35">
        <f>(F98+H98*F98)*G98</f>
        <v/>
      </c>
      <c r="J98" s="33" t="inlineStr">
        <is>
          <t>m</t>
        </is>
      </c>
      <c r="K98" s="36" t="n">
        <v>92.69</v>
      </c>
      <c r="L98" s="37">
        <f>I98*K98</f>
        <v/>
      </c>
    </row>
    <row r="99">
      <c r="A99" s="32" t="inlineStr">
        <is>
          <t>TORRE</t>
        </is>
      </c>
      <c r="B99" s="32" t="inlineStr">
        <is>
          <t>GERAL</t>
        </is>
      </c>
      <c r="C99" s="32" t="inlineStr">
        <is>
          <t>INSTALAÇÕES ELÉTRICAS</t>
        </is>
      </c>
      <c r="D99" s="32" t="inlineStr">
        <is>
          <t>ENTRADA DE ENERGIA</t>
        </is>
      </c>
      <c r="E99" s="32" t="inlineStr">
        <is>
          <t>Cabo de Força - Cobre EPR - 120mm² - Azul Claro</t>
        </is>
      </c>
      <c r="F99" s="33" t="n">
        <v>181</v>
      </c>
      <c r="G99" s="33" t="n">
        <v>1</v>
      </c>
      <c r="H99" s="34" t="n">
        <v>0</v>
      </c>
      <c r="I99" s="35">
        <f>(F99+H99*F99)*G99</f>
        <v/>
      </c>
      <c r="J99" s="33" t="inlineStr">
        <is>
          <t>m</t>
        </is>
      </c>
      <c r="K99" s="36" t="n">
        <v>92.69</v>
      </c>
      <c r="L99" s="37">
        <f>I99*K99</f>
        <v/>
      </c>
    </row>
    <row r="100">
      <c r="A100" s="32" t="inlineStr">
        <is>
          <t>TORRE</t>
        </is>
      </c>
      <c r="B100" s="32" t="inlineStr">
        <is>
          <t>GERAL</t>
        </is>
      </c>
      <c r="C100" s="32" t="inlineStr">
        <is>
          <t>INSTALAÇÕES ELÉTRICAS</t>
        </is>
      </c>
      <c r="D100" s="32" t="inlineStr">
        <is>
          <t>ENTRADA DE ENERGIA</t>
        </is>
      </c>
      <c r="E100" s="32" t="inlineStr">
        <is>
          <t>Cabo de Força - Cobre EPR - 120mm² - Verde</t>
        </is>
      </c>
      <c r="F100" s="33" t="n">
        <v>93.5</v>
      </c>
      <c r="G100" s="33" t="n">
        <v>1</v>
      </c>
      <c r="H100" s="34" t="n">
        <v>0</v>
      </c>
      <c r="I100" s="35">
        <f>(F100+H100*F100)*G100</f>
        <v/>
      </c>
      <c r="J100" s="33" t="inlineStr">
        <is>
          <t>m</t>
        </is>
      </c>
      <c r="K100" s="36" t="n">
        <v>92.69</v>
      </c>
      <c r="L100" s="37">
        <f>I100*K100</f>
        <v/>
      </c>
    </row>
    <row r="101">
      <c r="A101" s="32" t="inlineStr">
        <is>
          <t>TORRE</t>
        </is>
      </c>
      <c r="B101" s="32" t="inlineStr">
        <is>
          <t>GERAL</t>
        </is>
      </c>
      <c r="C101" s="32" t="inlineStr">
        <is>
          <t>INSTALAÇÕES ELÉTRICAS</t>
        </is>
      </c>
      <c r="D101" s="32" t="inlineStr">
        <is>
          <t>ENTRADA DE ENERGIA</t>
        </is>
      </c>
      <c r="E101" s="32" t="inlineStr">
        <is>
          <t>Cabo de Força - Cobre EPR - 185mm² - Branco</t>
        </is>
      </c>
      <c r="F101" s="33" t="n">
        <v>27</v>
      </c>
      <c r="G101" s="33" t="n">
        <v>1</v>
      </c>
      <c r="H101" s="34" t="n">
        <v>0</v>
      </c>
      <c r="I101" s="35">
        <f>(F101+H101*F101)*G101</f>
        <v/>
      </c>
      <c r="J101" s="33" t="inlineStr">
        <is>
          <t>m</t>
        </is>
      </c>
      <c r="K101" s="36" t="n">
        <v>139.4</v>
      </c>
      <c r="L101" s="37">
        <f>I101*K101</f>
        <v/>
      </c>
    </row>
    <row r="102">
      <c r="A102" s="32" t="inlineStr">
        <is>
          <t>TORRE</t>
        </is>
      </c>
      <c r="B102" s="32" t="inlineStr">
        <is>
          <t>GERAL</t>
        </is>
      </c>
      <c r="C102" s="32" t="inlineStr">
        <is>
          <t>INSTALAÇÕES ELÉTRICAS</t>
        </is>
      </c>
      <c r="D102" s="32" t="inlineStr">
        <is>
          <t>ENTRADA DE ENERGIA</t>
        </is>
      </c>
      <c r="E102" s="32" t="inlineStr">
        <is>
          <t>Cabo de Força - Cobre EPR - 185mm² - Preto</t>
        </is>
      </c>
      <c r="F102" s="33" t="n">
        <v>27</v>
      </c>
      <c r="G102" s="33" t="n">
        <v>1</v>
      </c>
      <c r="H102" s="34" t="n">
        <v>0</v>
      </c>
      <c r="I102" s="35">
        <f>(F102+H102*F102)*G102</f>
        <v/>
      </c>
      <c r="J102" s="33" t="inlineStr">
        <is>
          <t>m</t>
        </is>
      </c>
      <c r="K102" s="36" t="n">
        <v>139.4</v>
      </c>
      <c r="L102" s="37">
        <f>I102*K102</f>
        <v/>
      </c>
    </row>
    <row r="103">
      <c r="A103" s="32" t="inlineStr">
        <is>
          <t>TORRE</t>
        </is>
      </c>
      <c r="B103" s="32" t="inlineStr">
        <is>
          <t>GERAL</t>
        </is>
      </c>
      <c r="C103" s="32" t="inlineStr">
        <is>
          <t>INSTALAÇÕES ELÉTRICAS</t>
        </is>
      </c>
      <c r="D103" s="32" t="inlineStr">
        <is>
          <t>ENTRADA DE ENERGIA</t>
        </is>
      </c>
      <c r="E103" s="32" t="inlineStr">
        <is>
          <t>Cabo de Força - Cobre EPR - 185mm² - Vermelho</t>
        </is>
      </c>
      <c r="F103" s="33" t="n">
        <v>27</v>
      </c>
      <c r="G103" s="33" t="n">
        <v>1</v>
      </c>
      <c r="H103" s="34" t="n">
        <v>0</v>
      </c>
      <c r="I103" s="35">
        <f>(F103+H103*F103)*G103</f>
        <v/>
      </c>
      <c r="J103" s="33" t="inlineStr">
        <is>
          <t>m</t>
        </is>
      </c>
      <c r="K103" s="36" t="n">
        <v>139.4</v>
      </c>
      <c r="L103" s="37">
        <f>I103*K103</f>
        <v/>
      </c>
    </row>
    <row r="104">
      <c r="A104" s="32" t="inlineStr">
        <is>
          <t>TORRE</t>
        </is>
      </c>
      <c r="B104" s="32" t="inlineStr">
        <is>
          <t>GERAL</t>
        </is>
      </c>
      <c r="C104" s="32" t="inlineStr">
        <is>
          <t>INSTALAÇÕES ELÉTRICAS</t>
        </is>
      </c>
      <c r="D104" s="32" t="inlineStr">
        <is>
          <t>ENTRADA DE ENERGIA</t>
        </is>
      </c>
      <c r="E104" s="32" t="inlineStr">
        <is>
          <t>Cabo de Força - Cobre EPR - 185mm² - Azul Claro</t>
        </is>
      </c>
      <c r="F104" s="33" t="n">
        <v>27</v>
      </c>
      <c r="G104" s="33" t="n">
        <v>1</v>
      </c>
      <c r="H104" s="34" t="n">
        <v>0</v>
      </c>
      <c r="I104" s="35">
        <f>(F104+H104*F104)*G104</f>
        <v/>
      </c>
      <c r="J104" s="33" t="inlineStr">
        <is>
          <t>m</t>
        </is>
      </c>
      <c r="K104" s="36" t="n">
        <v>139.4</v>
      </c>
      <c r="L104" s="37">
        <f>I104*K104</f>
        <v/>
      </c>
    </row>
    <row r="105">
      <c r="A105" s="32" t="inlineStr">
        <is>
          <t>TORRE</t>
        </is>
      </c>
      <c r="B105" s="32" t="inlineStr">
        <is>
          <t>GERAL</t>
        </is>
      </c>
      <c r="C105" s="32" t="inlineStr">
        <is>
          <t>INSTALAÇÕES ELÉTRICAS</t>
        </is>
      </c>
      <c r="D105" s="32" t="inlineStr">
        <is>
          <t>ENTRADA DE ENERGIA</t>
        </is>
      </c>
      <c r="E105" s="32" t="inlineStr">
        <is>
          <t>Cabo de Força - Cobre EPR - 185mm² - Verde</t>
        </is>
      </c>
      <c r="F105" s="33" t="n">
        <v>13</v>
      </c>
      <c r="G105" s="33" t="n">
        <v>1</v>
      </c>
      <c r="H105" s="34" t="n">
        <v>0</v>
      </c>
      <c r="I105" s="35">
        <f>(F105+H105*F105)*G105</f>
        <v/>
      </c>
      <c r="J105" s="33" t="inlineStr">
        <is>
          <t>m</t>
        </is>
      </c>
      <c r="K105" s="36" t="n">
        <v>139.4</v>
      </c>
      <c r="L105" s="37">
        <f>I105*K105</f>
        <v/>
      </c>
    </row>
    <row r="106">
      <c r="A106" s="32" t="inlineStr">
        <is>
          <t>TORRE</t>
        </is>
      </c>
      <c r="B106" s="32" t="inlineStr">
        <is>
          <t>GERAL</t>
        </is>
      </c>
      <c r="C106" s="32" t="inlineStr">
        <is>
          <t>INSTALAÇÕES ELÉTRICAS</t>
        </is>
      </c>
      <c r="D106" s="32" t="inlineStr">
        <is>
          <t>ENTRADA DE ENERGIA</t>
        </is>
      </c>
      <c r="E106" s="32" t="inlineStr">
        <is>
          <t xml:space="preserve">Quadro de medição coletiva para 6 medidores - padrão barramento blindado em alumínio - 162x50x25cm - PADRÃO CELESC </t>
        </is>
      </c>
      <c r="F106" s="33" t="n">
        <v>1</v>
      </c>
      <c r="G106" s="33" t="n">
        <v>1</v>
      </c>
      <c r="H106" s="34" t="n">
        <v>0</v>
      </c>
      <c r="I106" s="35">
        <f>(F106+H106*F106)*G106</f>
        <v/>
      </c>
      <c r="J106" s="33" t="inlineStr">
        <is>
          <t>pç</t>
        </is>
      </c>
      <c r="K106" s="36" t="n">
        <v>1587</v>
      </c>
      <c r="L106" s="37">
        <f>I106*K106</f>
        <v/>
      </c>
    </row>
    <row r="107">
      <c r="A107" s="32" t="inlineStr">
        <is>
          <t>TORRE</t>
        </is>
      </c>
      <c r="B107" s="32" t="inlineStr">
        <is>
          <t>GERAL</t>
        </is>
      </c>
      <c r="C107" s="32" t="inlineStr">
        <is>
          <t>INSTALAÇÕES ELÉTRICAS</t>
        </is>
      </c>
      <c r="D107" s="32" t="inlineStr">
        <is>
          <t>ENTRADA DE ENERGIA</t>
        </is>
      </c>
      <c r="E107" s="32" t="inlineStr">
        <is>
          <t xml:space="preserve">Quadro de medição coletiva para 04 medidores - padrão barramento blindado em alumínio - barramento blindado - 140x50x25cm - PADRÃO CELESC </t>
        </is>
      </c>
      <c r="F107" s="33" t="n">
        <v>5</v>
      </c>
      <c r="G107" s="33" t="n">
        <v>1</v>
      </c>
      <c r="H107" s="34" t="n">
        <v>0</v>
      </c>
      <c r="I107" s="35">
        <f>(F107+H107*F107)*G107</f>
        <v/>
      </c>
      <c r="J107" s="33" t="inlineStr">
        <is>
          <t>pç</t>
        </is>
      </c>
      <c r="K107" s="36" t="n">
        <v>1100</v>
      </c>
      <c r="L107" s="37">
        <f>I107*K107</f>
        <v/>
      </c>
    </row>
    <row r="108">
      <c r="A108" s="32" t="inlineStr">
        <is>
          <t>TORRE</t>
        </is>
      </c>
      <c r="B108" s="32" t="inlineStr">
        <is>
          <t>GERAL</t>
        </is>
      </c>
      <c r="C108" s="32" t="inlineStr">
        <is>
          <t>INSTALAÇÕES ELÉTRICAS</t>
        </is>
      </c>
      <c r="D108" s="32" t="inlineStr">
        <is>
          <t>ENTRADA DE ENERGIA</t>
        </is>
      </c>
      <c r="E108" s="32" t="inlineStr">
        <is>
          <t xml:space="preserve">Quadro de medição coletiva para 02 medidores - padrão barramento blindado em alumínio - barramento blindado - 100x50x25cm - PADRÃO CELESC </t>
        </is>
      </c>
      <c r="F108" s="33" t="n">
        <v>11</v>
      </c>
      <c r="G108" s="33" t="n">
        <v>1</v>
      </c>
      <c r="H108" s="34" t="n">
        <v>0</v>
      </c>
      <c r="I108" s="35">
        <f>(F108+H108*F108)*G108</f>
        <v/>
      </c>
      <c r="J108" s="33" t="inlineStr">
        <is>
          <t>pç</t>
        </is>
      </c>
      <c r="K108" s="36" t="n">
        <v>920</v>
      </c>
      <c r="L108" s="37">
        <f>I108*K108</f>
        <v/>
      </c>
    </row>
    <row r="109">
      <c r="A109" s="32" t="inlineStr">
        <is>
          <t>TORRE</t>
        </is>
      </c>
      <c r="B109" s="32" t="inlineStr">
        <is>
          <t>GERAL</t>
        </is>
      </c>
      <c r="C109" s="32" t="inlineStr">
        <is>
          <t>INSTALAÇÕES ELÉTRICAS</t>
        </is>
      </c>
      <c r="D109" s="32" t="inlineStr">
        <is>
          <t>ENTRADA DE ENERGIA</t>
        </is>
      </c>
      <c r="E109" s="32" t="inlineStr">
        <is>
          <t>Eletroduto de aço galvanizado, com Rosca BSP conforme NBR5598 Ø100</t>
        </is>
      </c>
      <c r="F109" s="33" t="n">
        <v>34.18</v>
      </c>
      <c r="G109" s="33" t="n">
        <v>1</v>
      </c>
      <c r="H109" s="34" t="n">
        <v>0</v>
      </c>
      <c r="I109" s="35">
        <f>(F109+H109*F109)*G109</f>
        <v/>
      </c>
      <c r="J109" s="33" t="inlineStr">
        <is>
          <t>m</t>
        </is>
      </c>
      <c r="K109" s="36" t="n">
        <v>58.33</v>
      </c>
      <c r="L109" s="37">
        <f>I109*K109</f>
        <v/>
      </c>
    </row>
    <row r="110">
      <c r="A110" s="32" t="inlineStr">
        <is>
          <t>TORRE</t>
        </is>
      </c>
      <c r="B110" s="32" t="inlineStr">
        <is>
          <t>GERAL</t>
        </is>
      </c>
      <c r="C110" s="32" t="inlineStr">
        <is>
          <t>INSTALAÇÕES ELÉTRICAS</t>
        </is>
      </c>
      <c r="D110" s="32" t="inlineStr">
        <is>
          <t>ENTRADA DE ENERGIA</t>
        </is>
      </c>
      <c r="E110" s="32" t="inlineStr">
        <is>
          <t>Eletroduto de aço galvanizado, com Rosca BSP conforme NBR5598 Ø50</t>
        </is>
      </c>
      <c r="F110" s="33" t="n">
        <v>62.04</v>
      </c>
      <c r="G110" s="33" t="n">
        <v>1</v>
      </c>
      <c r="H110" s="34" t="n">
        <v>0</v>
      </c>
      <c r="I110" s="35">
        <f>(F110+H110*F110)*G110</f>
        <v/>
      </c>
      <c r="J110" s="33" t="inlineStr">
        <is>
          <t>m</t>
        </is>
      </c>
      <c r="K110" s="36" t="n">
        <v>41.5</v>
      </c>
      <c r="L110" s="37">
        <f>I110*K110</f>
        <v/>
      </c>
    </row>
    <row r="111">
      <c r="A111" s="32" t="inlineStr">
        <is>
          <t>TORRE</t>
        </is>
      </c>
      <c r="B111" s="32" t="inlineStr">
        <is>
          <t>GERAL</t>
        </is>
      </c>
      <c r="C111" s="32" t="inlineStr">
        <is>
          <t>INSTALAÇÕES ELÉTRICAS</t>
        </is>
      </c>
      <c r="D111" s="32" t="inlineStr">
        <is>
          <t>ENTRADA DE ENERGIA</t>
        </is>
      </c>
      <c r="E111" s="32" t="inlineStr">
        <is>
          <t>Eletroduto de aço galvanizado, com Rosca BSP conforme NBR5598 Ø40</t>
        </is>
      </c>
      <c r="F111" s="33" t="n">
        <v>18.06</v>
      </c>
      <c r="G111" s="33" t="n">
        <v>1</v>
      </c>
      <c r="H111" s="34" t="n">
        <v>0</v>
      </c>
      <c r="I111" s="35">
        <f>(F111+H111*F111)*G111</f>
        <v/>
      </c>
      <c r="J111" s="33" t="inlineStr">
        <is>
          <t>m</t>
        </is>
      </c>
      <c r="K111" s="36" t="n">
        <v>38.49</v>
      </c>
      <c r="L111" s="37">
        <f>I111*K111</f>
        <v/>
      </c>
    </row>
    <row r="112">
      <c r="A112" s="32" t="inlineStr">
        <is>
          <t>TORRE</t>
        </is>
      </c>
      <c r="B112" s="32" t="inlineStr">
        <is>
          <t>GERAL</t>
        </is>
      </c>
      <c r="C112" s="32" t="inlineStr">
        <is>
          <t>INSTALAÇÕES ELÉTRICAS</t>
        </is>
      </c>
      <c r="D112" s="32" t="inlineStr">
        <is>
          <t>ENTRADA DE ENERGIA</t>
        </is>
      </c>
      <c r="E112" s="32" t="inlineStr">
        <is>
          <t>Eletroduto de PVC Rígido Roscável, anti chama, na cor preta, conforme NBR 15465 Ø100</t>
        </is>
      </c>
      <c r="F112" s="33" t="n">
        <v>32.04</v>
      </c>
      <c r="G112" s="33" t="n">
        <v>1</v>
      </c>
      <c r="H112" s="34" t="n">
        <v>0</v>
      </c>
      <c r="I112" s="35">
        <f>(F112+H112*F112)*G112</f>
        <v/>
      </c>
      <c r="J112" s="33" t="inlineStr">
        <is>
          <t>m</t>
        </is>
      </c>
      <c r="K112" s="36" t="n">
        <v>25.9</v>
      </c>
      <c r="L112" s="37">
        <f>I112*K112</f>
        <v/>
      </c>
    </row>
    <row r="113">
      <c r="A113" s="32" t="inlineStr">
        <is>
          <t>TORRE</t>
        </is>
      </c>
      <c r="B113" s="32" t="inlineStr">
        <is>
          <t>GERAL</t>
        </is>
      </c>
      <c r="C113" s="32" t="inlineStr">
        <is>
          <t>INSTALAÇÕES ELÉTRICAS</t>
        </is>
      </c>
      <c r="D113" s="32" t="inlineStr">
        <is>
          <t>ENTRADA DE ENERGIA</t>
        </is>
      </c>
      <c r="E113" s="32" t="inlineStr">
        <is>
          <t>Eletroduto de PVC Rígido Roscável, anti chama, na cor preta, conforme NBR 15465 Ø80</t>
        </is>
      </c>
      <c r="F113" s="33" t="n">
        <v>7.47</v>
      </c>
      <c r="G113" s="33" t="n">
        <v>1</v>
      </c>
      <c r="H113" s="34" t="n">
        <v>0</v>
      </c>
      <c r="I113" s="35">
        <f>(F113+H113*F113)*G113</f>
        <v/>
      </c>
      <c r="J113" s="33" t="inlineStr">
        <is>
          <t>m</t>
        </is>
      </c>
      <c r="K113" s="36" t="n">
        <v>19.8</v>
      </c>
      <c r="L113" s="37">
        <f>I113*K113</f>
        <v/>
      </c>
    </row>
    <row r="114">
      <c r="A114" s="32" t="inlineStr">
        <is>
          <t>TORRE</t>
        </is>
      </c>
      <c r="B114" s="32" t="inlineStr">
        <is>
          <t>GERAL</t>
        </is>
      </c>
      <c r="C114" s="32" t="inlineStr">
        <is>
          <t>INSTALAÇÕES ELÉTRICAS</t>
        </is>
      </c>
      <c r="D114" s="32" t="inlineStr">
        <is>
          <t>ENTRADA DE ENERGIA</t>
        </is>
      </c>
      <c r="E114" s="32" t="inlineStr">
        <is>
          <t>Eletroduto de PVC Rígido Roscável, anti chama, na cor preta, conforme NBR 15465 Ø65</t>
        </is>
      </c>
      <c r="F114" s="33" t="n">
        <v>12.89</v>
      </c>
      <c r="G114" s="33" t="n">
        <v>1</v>
      </c>
      <c r="H114" s="34" t="n">
        <v>0</v>
      </c>
      <c r="I114" s="35">
        <f>(F114+H114*F114)*G114</f>
        <v/>
      </c>
      <c r="J114" s="33" t="inlineStr">
        <is>
          <t>m</t>
        </is>
      </c>
      <c r="K114" s="36" t="n">
        <v>15.6</v>
      </c>
      <c r="L114" s="37">
        <f>I114*K114</f>
        <v/>
      </c>
    </row>
    <row r="115">
      <c r="A115" s="32" t="inlineStr">
        <is>
          <t>TORRE</t>
        </is>
      </c>
      <c r="B115" s="32" t="inlineStr">
        <is>
          <t>GERAL</t>
        </is>
      </c>
      <c r="C115" s="32" t="inlineStr">
        <is>
          <t>INSTALAÇÕES ELÉTRICAS</t>
        </is>
      </c>
      <c r="D115" s="32" t="inlineStr">
        <is>
          <t>ENTRADA DE ENERGIA</t>
        </is>
      </c>
      <c r="E115" s="32" t="inlineStr">
        <is>
          <t>Eletroduto de PVC Rígido Roscável, anti chama, na cor preta, conforme NBR 15465 Ø50</t>
        </is>
      </c>
      <c r="F115" s="33" t="n">
        <v>1254.82</v>
      </c>
      <c r="G115" s="33" t="n">
        <v>1</v>
      </c>
      <c r="H115" s="34" t="n">
        <v>0</v>
      </c>
      <c r="I115" s="35">
        <f>(F115+H115*F115)*G115</f>
        <v/>
      </c>
      <c r="J115" s="33" t="inlineStr">
        <is>
          <t>m</t>
        </is>
      </c>
      <c r="K115" s="36" t="n">
        <v>11.5</v>
      </c>
      <c r="L115" s="37">
        <f>I115*K115</f>
        <v/>
      </c>
    </row>
    <row r="116">
      <c r="A116" s="32" t="inlineStr">
        <is>
          <t>TORRE</t>
        </is>
      </c>
      <c r="B116" s="32" t="inlineStr">
        <is>
          <t>GERAL</t>
        </is>
      </c>
      <c r="C116" s="32" t="inlineStr">
        <is>
          <t>INSTALAÇÕES ELÉTRICAS</t>
        </is>
      </c>
      <c r="D116" s="32" t="inlineStr">
        <is>
          <t>ENTRADA DE ENERGIA</t>
        </is>
      </c>
      <c r="E116" s="32" t="inlineStr">
        <is>
          <t>Eletroduto de PVC Rígido Roscável, anti chama, na cor preta, conforme NBR 15465 Ø40</t>
        </is>
      </c>
      <c r="F116" s="33" t="n">
        <v>168.82</v>
      </c>
      <c r="G116" s="33" t="n">
        <v>1</v>
      </c>
      <c r="H116" s="34" t="n">
        <v>0</v>
      </c>
      <c r="I116" s="35">
        <f>(F116+H116*F116)*G116</f>
        <v/>
      </c>
      <c r="J116" s="33" t="inlineStr">
        <is>
          <t>m</t>
        </is>
      </c>
      <c r="K116" s="36" t="n">
        <v>9.9</v>
      </c>
      <c r="L116" s="37">
        <f>I116*K116</f>
        <v/>
      </c>
    </row>
    <row r="117">
      <c r="A117" s="32" t="inlineStr">
        <is>
          <t>TORRE</t>
        </is>
      </c>
      <c r="B117" s="32" t="inlineStr">
        <is>
          <t>GERAL</t>
        </is>
      </c>
      <c r="C117" s="32" t="inlineStr">
        <is>
          <t>INSTALAÇÕES ELÉTRICAS</t>
        </is>
      </c>
      <c r="D117" s="32" t="inlineStr">
        <is>
          <t>ENTRADA DE ENERGIA</t>
        </is>
      </c>
      <c r="E117" s="32" t="inlineStr">
        <is>
          <t>Eletroduto de PVC Rígido Roscável, anti chama, na cor preta, conforme NBR 15465 Ø32</t>
        </is>
      </c>
      <c r="F117" s="33" t="n">
        <v>540.74</v>
      </c>
      <c r="G117" s="33" t="n">
        <v>1</v>
      </c>
      <c r="H117" s="34" t="n">
        <v>0</v>
      </c>
      <c r="I117" s="35">
        <f>(F117+H117*F117)*G117</f>
        <v/>
      </c>
      <c r="J117" s="33" t="inlineStr">
        <is>
          <t>m</t>
        </is>
      </c>
      <c r="K117" s="36" t="n">
        <v>7.9</v>
      </c>
      <c r="L117" s="37">
        <f>I117*K117</f>
        <v/>
      </c>
    </row>
    <row r="118">
      <c r="A118" s="32" t="inlineStr">
        <is>
          <t>TORRE</t>
        </is>
      </c>
      <c r="B118" s="32" t="inlineStr">
        <is>
          <t>GERAL</t>
        </is>
      </c>
      <c r="C118" s="32" t="inlineStr">
        <is>
          <t>INSTALAÇÕES ELÉTRICAS</t>
        </is>
      </c>
      <c r="D118" s="32" t="inlineStr">
        <is>
          <t>ENTRADA DE ENERGIA</t>
        </is>
      </c>
      <c r="E118" s="32" t="inlineStr">
        <is>
          <t>Eletroduto de PVC Rígido Roscável, anti chama, na cor preta, conforme NBR 15465 Ø25</t>
        </is>
      </c>
      <c r="F118" s="33" t="n">
        <v>953.48</v>
      </c>
      <c r="G118" s="33" t="n">
        <v>1</v>
      </c>
      <c r="H118" s="34" t="n">
        <v>0</v>
      </c>
      <c r="I118" s="35">
        <f>(F118+H118*F118)*G118</f>
        <v/>
      </c>
      <c r="J118" s="33" t="inlineStr">
        <is>
          <t>m</t>
        </is>
      </c>
      <c r="K118" s="36" t="n">
        <v>6.8</v>
      </c>
      <c r="L118" s="37">
        <f>I118*K118</f>
        <v/>
      </c>
    </row>
    <row r="119">
      <c r="A119" s="32" t="inlineStr">
        <is>
          <t>TORRE</t>
        </is>
      </c>
      <c r="B119" s="32" t="inlineStr">
        <is>
          <t>GERAL</t>
        </is>
      </c>
      <c r="C119" s="32" t="inlineStr">
        <is>
          <t>INSTALAÇÕES ELÉTRICAS</t>
        </is>
      </c>
      <c r="D119" s="32" t="inlineStr">
        <is>
          <t>ENTRADA DE ENERGIA</t>
        </is>
      </c>
      <c r="E119" s="32" t="inlineStr">
        <is>
          <t>Eletroduto flexível corrugado PEAD, conforme NBR15715 Ø110</t>
        </is>
      </c>
      <c r="F119" s="33" t="n">
        <v>7.63</v>
      </c>
      <c r="G119" s="33" t="n">
        <v>1</v>
      </c>
      <c r="H119" s="34" t="n">
        <v>0</v>
      </c>
      <c r="I119" s="35">
        <f>(F119+H119*F119)*G119</f>
        <v/>
      </c>
      <c r="J119" s="33" t="inlineStr">
        <is>
          <t>m</t>
        </is>
      </c>
      <c r="K119" s="36" t="n">
        <v>8.9</v>
      </c>
      <c r="L119" s="37">
        <f>I119*K119</f>
        <v/>
      </c>
    </row>
    <row r="120">
      <c r="A120" s="32" t="inlineStr">
        <is>
          <t>TORRE</t>
        </is>
      </c>
      <c r="B120" s="32" t="inlineStr">
        <is>
          <t>GERAL</t>
        </is>
      </c>
      <c r="C120" s="32" t="inlineStr">
        <is>
          <t>INSTALAÇÕES ELÉTRICAS</t>
        </is>
      </c>
      <c r="D120" s="32" t="inlineStr">
        <is>
          <t>ENTRADA DE ENERGIA</t>
        </is>
      </c>
      <c r="E120" s="32" t="inlineStr">
        <is>
          <t>Eletroduto flexível corrugado PEAD, conforme NBR15715 Ø50</t>
        </is>
      </c>
      <c r="F120" s="33" t="n">
        <v>369.66</v>
      </c>
      <c r="G120" s="33" t="n">
        <v>1</v>
      </c>
      <c r="H120" s="34" t="n">
        <v>0</v>
      </c>
      <c r="I120" s="35">
        <f>(F120+H120*F120)*G120</f>
        <v/>
      </c>
      <c r="J120" s="33" t="inlineStr">
        <is>
          <t>m</t>
        </is>
      </c>
      <c r="K120" s="36" t="n">
        <v>4.9</v>
      </c>
      <c r="L120" s="37">
        <f>I120*K120</f>
        <v/>
      </c>
    </row>
    <row r="121">
      <c r="A121" s="32" t="inlineStr">
        <is>
          <t>TORRE</t>
        </is>
      </c>
      <c r="B121" s="32" t="inlineStr">
        <is>
          <t>GERAL</t>
        </is>
      </c>
      <c r="C121" s="32" t="inlineStr">
        <is>
          <t>INSTALAÇÕES ELÉTRICAS</t>
        </is>
      </c>
      <c r="D121" s="32" t="inlineStr">
        <is>
          <t>ENTRADA DE ENERGIA</t>
        </is>
      </c>
      <c r="E121" s="32" t="inlineStr">
        <is>
          <t>Eletroduto flexível corrugado Reforçado, em PVC na cor laranja antichamas, conforme NBR15465 Ø32</t>
        </is>
      </c>
      <c r="F121" s="33" t="n">
        <v>275.35</v>
      </c>
      <c r="G121" s="33" t="n">
        <v>1</v>
      </c>
      <c r="H121" s="34" t="n">
        <v>0</v>
      </c>
      <c r="I121" s="35">
        <f>(F121+H121*F121)*G121</f>
        <v/>
      </c>
      <c r="J121" s="33" t="inlineStr">
        <is>
          <t>m</t>
        </is>
      </c>
      <c r="K121" s="36" t="n">
        <v>5.9</v>
      </c>
      <c r="L121" s="37">
        <f>I121*K121</f>
        <v/>
      </c>
    </row>
    <row r="122">
      <c r="A122" s="32" t="inlineStr">
        <is>
          <t>TORRE</t>
        </is>
      </c>
      <c r="B122" s="32" t="inlineStr">
        <is>
          <t>GERAL</t>
        </is>
      </c>
      <c r="C122" s="32" t="inlineStr">
        <is>
          <t>INSTALAÇÕES ELÉTRICAS</t>
        </is>
      </c>
      <c r="D122" s="32" t="inlineStr">
        <is>
          <t>ENTRADA DE ENERGIA</t>
        </is>
      </c>
      <c r="E122" s="32" t="inlineStr">
        <is>
          <t>Condulete Multiplo com conectores_Condulete X sem Rosca com tampa cega Te Ø 1''</t>
        </is>
      </c>
      <c r="F122" s="33" t="n">
        <v>48</v>
      </c>
      <c r="G122" s="33" t="n">
        <v>1</v>
      </c>
      <c r="H122" s="34" t="n">
        <v>0</v>
      </c>
      <c r="I122" s="35">
        <f>(F122+H122*F122)*G122</f>
        <v/>
      </c>
      <c r="J122" s="33" t="inlineStr">
        <is>
          <t>pç</t>
        </is>
      </c>
      <c r="K122" s="36" t="n">
        <v>11.69</v>
      </c>
      <c r="L122" s="37">
        <f>I122*K122</f>
        <v/>
      </c>
    </row>
    <row r="123">
      <c r="A123" s="32" t="inlineStr">
        <is>
          <t>TORRE</t>
        </is>
      </c>
      <c r="B123" s="32" t="inlineStr">
        <is>
          <t>GERAL</t>
        </is>
      </c>
      <c r="C123" s="32" t="inlineStr">
        <is>
          <t>INSTALAÇÕES ELÉTRICAS</t>
        </is>
      </c>
      <c r="D123" s="32" t="inlineStr">
        <is>
          <t>ENTRADA DE ENERGIA</t>
        </is>
      </c>
      <c r="E123" s="32" t="inlineStr">
        <is>
          <t>Conector para Condulete Multiplo para Eletroduto S ROSCA Ø 1''</t>
        </is>
      </c>
      <c r="F123" s="33" t="n">
        <v>48</v>
      </c>
      <c r="G123" s="33" t="n">
        <v>1</v>
      </c>
      <c r="H123" s="34" t="n">
        <v>0</v>
      </c>
      <c r="I123" s="35">
        <f>(F123+H123*F123)*G123</f>
        <v/>
      </c>
      <c r="J123" s="33" t="inlineStr">
        <is>
          <t>pç</t>
        </is>
      </c>
      <c r="K123" s="36" t="n">
        <v>2.5</v>
      </c>
      <c r="L123" s="37">
        <f>I123*K123</f>
        <v/>
      </c>
    </row>
    <row r="124">
      <c r="A124" s="32" t="inlineStr">
        <is>
          <t>TORRE</t>
        </is>
      </c>
      <c r="B124" s="32" t="inlineStr">
        <is>
          <t>GERAL</t>
        </is>
      </c>
      <c r="C124" s="32" t="inlineStr">
        <is>
          <t>INSTALAÇÕES ELÉTRICAS</t>
        </is>
      </c>
      <c r="D124" s="32" t="inlineStr">
        <is>
          <t>ENTRADA DE ENERGIA</t>
        </is>
      </c>
      <c r="E124" s="32" t="inlineStr">
        <is>
          <t>PVC Roscavel_Curvas Ø 1''</t>
        </is>
      </c>
      <c r="F124" s="33" t="n">
        <v>98</v>
      </c>
      <c r="G124" s="33" t="n">
        <v>1</v>
      </c>
      <c r="H124" s="34" t="n">
        <v>0</v>
      </c>
      <c r="I124" s="35">
        <f>(F124+H124*F124)*G124</f>
        <v/>
      </c>
      <c r="J124" s="33" t="inlineStr">
        <is>
          <t>pç</t>
        </is>
      </c>
      <c r="K124" s="36" t="n">
        <v>8</v>
      </c>
      <c r="L124" s="37">
        <f>I124*K124</f>
        <v/>
      </c>
    </row>
    <row r="125">
      <c r="A125" s="32" t="inlineStr">
        <is>
          <t>TORRE</t>
        </is>
      </c>
      <c r="B125" s="32" t="inlineStr">
        <is>
          <t>GERAL</t>
        </is>
      </c>
      <c r="C125" s="32" t="inlineStr">
        <is>
          <t>INSTALAÇÕES ELÉTRICAS</t>
        </is>
      </c>
      <c r="D125" s="32" t="inlineStr">
        <is>
          <t>ENTRADA DE ENERGIA</t>
        </is>
      </c>
      <c r="E125" s="32" t="inlineStr">
        <is>
          <t>PVC Roscavel_Luva Para Conexão Ø 1''</t>
        </is>
      </c>
      <c r="F125" s="33" t="n">
        <v>196</v>
      </c>
      <c r="G125" s="33" t="n">
        <v>1</v>
      </c>
      <c r="H125" s="34" t="n">
        <v>0</v>
      </c>
      <c r="I125" s="35">
        <f>(F125+H125*F125)*G125</f>
        <v/>
      </c>
      <c r="J125" s="33" t="inlineStr">
        <is>
          <t>pç</t>
        </is>
      </c>
      <c r="K125" s="36" t="n">
        <v>5.5</v>
      </c>
      <c r="L125" s="37">
        <f>I125*K125</f>
        <v/>
      </c>
    </row>
    <row r="126">
      <c r="A126" s="32" t="inlineStr">
        <is>
          <t>TORRE</t>
        </is>
      </c>
      <c r="B126" s="32" t="inlineStr">
        <is>
          <t>GERAL</t>
        </is>
      </c>
      <c r="C126" s="32" t="inlineStr">
        <is>
          <t>INSTALAÇÕES ELÉTRICAS</t>
        </is>
      </c>
      <c r="D126" s="32" t="inlineStr">
        <is>
          <t>ENTRADA DE ENERGIA</t>
        </is>
      </c>
      <c r="E126" s="32" t="inlineStr">
        <is>
          <t>PVC Roscavel_Curvas Ø 1.1/2''</t>
        </is>
      </c>
      <c r="F126" s="33" t="n">
        <v>8</v>
      </c>
      <c r="G126" s="33" t="n">
        <v>1</v>
      </c>
      <c r="H126" s="34" t="n">
        <v>0</v>
      </c>
      <c r="I126" s="35">
        <f>(F126+H126*F126)*G126</f>
        <v/>
      </c>
      <c r="J126" s="33" t="inlineStr">
        <is>
          <t>pç</t>
        </is>
      </c>
      <c r="K126" s="36" t="n">
        <v>8.9</v>
      </c>
      <c r="L126" s="37">
        <f>I126*K126</f>
        <v/>
      </c>
    </row>
    <row r="127">
      <c r="A127" s="32" t="inlineStr">
        <is>
          <t>TORRE</t>
        </is>
      </c>
      <c r="B127" s="32" t="inlineStr">
        <is>
          <t>GERAL</t>
        </is>
      </c>
      <c r="C127" s="32" t="inlineStr">
        <is>
          <t>INSTALAÇÕES ELÉTRICAS</t>
        </is>
      </c>
      <c r="D127" s="32" t="inlineStr">
        <is>
          <t>ENTRADA DE ENERGIA</t>
        </is>
      </c>
      <c r="E127" s="32" t="inlineStr">
        <is>
          <t>PVC Roscavel_Luva Para Conexão Ø 1.1/2''</t>
        </is>
      </c>
      <c r="F127" s="33" t="n">
        <v>16</v>
      </c>
      <c r="G127" s="33" t="n">
        <v>1</v>
      </c>
      <c r="H127" s="34" t="n">
        <v>0</v>
      </c>
      <c r="I127" s="35">
        <f>(F127+H127*F127)*G127</f>
        <v/>
      </c>
      <c r="J127" s="33" t="inlineStr">
        <is>
          <t>pç</t>
        </is>
      </c>
      <c r="K127" s="36" t="n">
        <v>6.1</v>
      </c>
      <c r="L127" s="37">
        <f>I127*K127</f>
        <v/>
      </c>
    </row>
    <row r="128">
      <c r="A128" s="32" t="inlineStr">
        <is>
          <t>TORRE</t>
        </is>
      </c>
      <c r="B128" s="32" t="inlineStr">
        <is>
          <t>GERAL</t>
        </is>
      </c>
      <c r="C128" s="32" t="inlineStr">
        <is>
          <t>INSTALAÇÕES ELÉTRICAS</t>
        </is>
      </c>
      <c r="D128" s="32" t="inlineStr">
        <is>
          <t>ENTRADA DE ENERGIA</t>
        </is>
      </c>
      <c r="E128" s="32" t="inlineStr">
        <is>
          <t>PVC Roscavel_Curvas Ø 1.1/4''</t>
        </is>
      </c>
      <c r="F128" s="33" t="n">
        <v>102</v>
      </c>
      <c r="G128" s="33" t="n">
        <v>1</v>
      </c>
      <c r="H128" s="34" t="n">
        <v>0</v>
      </c>
      <c r="I128" s="35">
        <f>(F128+H128*F128)*G128</f>
        <v/>
      </c>
      <c r="J128" s="33" t="inlineStr">
        <is>
          <t>pç</t>
        </is>
      </c>
      <c r="K128" s="36" t="n">
        <v>8.5</v>
      </c>
      <c r="L128" s="37">
        <f>I128*K128</f>
        <v/>
      </c>
    </row>
    <row r="129">
      <c r="A129" s="32" t="inlineStr">
        <is>
          <t>TORRE</t>
        </is>
      </c>
      <c r="B129" s="32" t="inlineStr">
        <is>
          <t>GERAL</t>
        </is>
      </c>
      <c r="C129" s="32" t="inlineStr">
        <is>
          <t>INSTALAÇÕES ELÉTRICAS</t>
        </is>
      </c>
      <c r="D129" s="32" t="inlineStr">
        <is>
          <t>ENTRADA DE ENERGIA</t>
        </is>
      </c>
      <c r="E129" s="32" t="inlineStr">
        <is>
          <t>PVC Roscavel_Luva Para Conexão Ø 1.1/4''</t>
        </is>
      </c>
      <c r="F129" s="33" t="n">
        <v>204</v>
      </c>
      <c r="G129" s="33" t="n">
        <v>1</v>
      </c>
      <c r="H129" s="34" t="n">
        <v>0</v>
      </c>
      <c r="I129" s="35">
        <f>(F129+H129*F129)*G129</f>
        <v/>
      </c>
      <c r="J129" s="33" t="inlineStr">
        <is>
          <t>pç</t>
        </is>
      </c>
      <c r="K129" s="36" t="n">
        <v>6</v>
      </c>
      <c r="L129" s="37">
        <f>I129*K129</f>
        <v/>
      </c>
    </row>
    <row r="130">
      <c r="A130" s="32" t="inlineStr">
        <is>
          <t>TORRE</t>
        </is>
      </c>
      <c r="B130" s="32" t="inlineStr">
        <is>
          <t>GERAL</t>
        </is>
      </c>
      <c r="C130" s="32" t="inlineStr">
        <is>
          <t>INSTALAÇÕES ELÉTRICAS</t>
        </is>
      </c>
      <c r="D130" s="32" t="inlineStr">
        <is>
          <t>ENTRADA DE ENERGIA</t>
        </is>
      </c>
      <c r="E130" s="32" t="inlineStr">
        <is>
          <t>PVC Roscavel_Curvas Ø 2''</t>
        </is>
      </c>
      <c r="F130" s="33" t="n">
        <v>54</v>
      </c>
      <c r="G130" s="33" t="n">
        <v>1</v>
      </c>
      <c r="H130" s="34" t="n">
        <v>0</v>
      </c>
      <c r="I130" s="35">
        <f>(F130+H130*F130)*G130</f>
        <v/>
      </c>
      <c r="J130" s="33" t="inlineStr">
        <is>
          <t>pç</t>
        </is>
      </c>
      <c r="K130" s="36" t="n">
        <v>16</v>
      </c>
      <c r="L130" s="37">
        <f>I130*K130</f>
        <v/>
      </c>
    </row>
    <row r="131">
      <c r="A131" s="32" t="inlineStr">
        <is>
          <t>TORRE</t>
        </is>
      </c>
      <c r="B131" s="32" t="inlineStr">
        <is>
          <t>GERAL</t>
        </is>
      </c>
      <c r="C131" s="32" t="inlineStr">
        <is>
          <t>INSTALAÇÕES ELÉTRICAS</t>
        </is>
      </c>
      <c r="D131" s="32" t="inlineStr">
        <is>
          <t>ENTRADA DE ENERGIA</t>
        </is>
      </c>
      <c r="E131" s="32" t="inlineStr">
        <is>
          <t>PVC Roscavel_Luva Para Conexão Ø 2''</t>
        </is>
      </c>
      <c r="F131" s="33" t="n">
        <v>108</v>
      </c>
      <c r="G131" s="33" t="n">
        <v>1</v>
      </c>
      <c r="H131" s="34" t="n">
        <v>0</v>
      </c>
      <c r="I131" s="35">
        <f>(F131+H131*F131)*G131</f>
        <v/>
      </c>
      <c r="J131" s="33" t="inlineStr">
        <is>
          <t>pç</t>
        </is>
      </c>
      <c r="K131" s="36" t="n">
        <v>8</v>
      </c>
      <c r="L131" s="37">
        <f>I131*K131</f>
        <v/>
      </c>
    </row>
    <row r="132">
      <c r="A132" s="32" t="inlineStr">
        <is>
          <t>TORRE</t>
        </is>
      </c>
      <c r="B132" s="32" t="inlineStr">
        <is>
          <t>GERAL</t>
        </is>
      </c>
      <c r="C132" s="32" t="inlineStr">
        <is>
          <t>INSTALAÇÕES ELÉTRICAS</t>
        </is>
      </c>
      <c r="D132" s="32" t="inlineStr">
        <is>
          <t>ENTRADA DE ENERGIA</t>
        </is>
      </c>
      <c r="E132" s="32" t="inlineStr">
        <is>
          <t>PVC Roscavel_Curvas Ø 2.1/2''</t>
        </is>
      </c>
      <c r="F132" s="33" t="n">
        <v>1</v>
      </c>
      <c r="G132" s="33" t="n">
        <v>1</v>
      </c>
      <c r="H132" s="34" t="n">
        <v>0</v>
      </c>
      <c r="I132" s="35">
        <f>(F132+H132*F132)*G132</f>
        <v/>
      </c>
      <c r="J132" s="33" t="inlineStr">
        <is>
          <t>pç</t>
        </is>
      </c>
      <c r="K132" s="36" t="n">
        <v>18</v>
      </c>
      <c r="L132" s="37">
        <f>I132*K132</f>
        <v/>
      </c>
    </row>
    <row r="133">
      <c r="A133" s="32" t="inlineStr">
        <is>
          <t>TORRE</t>
        </is>
      </c>
      <c r="B133" s="32" t="inlineStr">
        <is>
          <t>GERAL</t>
        </is>
      </c>
      <c r="C133" s="32" t="inlineStr">
        <is>
          <t>INSTALAÇÕES ELÉTRICAS</t>
        </is>
      </c>
      <c r="D133" s="32" t="inlineStr">
        <is>
          <t>ENTRADA DE ENERGIA</t>
        </is>
      </c>
      <c r="E133" s="32" t="inlineStr">
        <is>
          <t>PVC Roscavel_Luva Para Conexão Ø 2.1/2''</t>
        </is>
      </c>
      <c r="F133" s="33" t="n">
        <v>2</v>
      </c>
      <c r="G133" s="33" t="n">
        <v>1</v>
      </c>
      <c r="H133" s="34" t="n">
        <v>0</v>
      </c>
      <c r="I133" s="35">
        <f>(F133+H133*F133)*G133</f>
        <v/>
      </c>
      <c r="J133" s="33" t="inlineStr">
        <is>
          <t>pç</t>
        </is>
      </c>
      <c r="K133" s="36" t="n">
        <v>8.5</v>
      </c>
      <c r="L133" s="37">
        <f>I133*K133</f>
        <v/>
      </c>
    </row>
    <row r="134">
      <c r="A134" s="32" t="inlineStr">
        <is>
          <t>TORRE</t>
        </is>
      </c>
      <c r="B134" s="32" t="inlineStr">
        <is>
          <t>GERAL</t>
        </is>
      </c>
      <c r="C134" s="32" t="inlineStr">
        <is>
          <t>INSTALAÇÕES ELÉTRICAS</t>
        </is>
      </c>
      <c r="D134" s="32" t="inlineStr">
        <is>
          <t>ENTRADA DE ENERGIA</t>
        </is>
      </c>
      <c r="E134" s="32" t="inlineStr">
        <is>
          <t>PVC Roscavel_Curvas Ø 3''</t>
        </is>
      </c>
      <c r="F134" s="33" t="n">
        <v>8</v>
      </c>
      <c r="G134" s="33" t="n">
        <v>1</v>
      </c>
      <c r="H134" s="34" t="n">
        <v>0</v>
      </c>
      <c r="I134" s="35">
        <f>(F134+H134*F134)*G134</f>
        <v/>
      </c>
      <c r="J134" s="33" t="inlineStr">
        <is>
          <t>pç</t>
        </is>
      </c>
      <c r="K134" s="36" t="n">
        <v>21</v>
      </c>
      <c r="L134" s="37">
        <f>I134*K134</f>
        <v/>
      </c>
    </row>
    <row r="135">
      <c r="A135" s="32" t="inlineStr">
        <is>
          <t>TORRE</t>
        </is>
      </c>
      <c r="B135" s="32" t="inlineStr">
        <is>
          <t>GERAL</t>
        </is>
      </c>
      <c r="C135" s="32" t="inlineStr">
        <is>
          <t>INSTALAÇÕES ELÉTRICAS</t>
        </is>
      </c>
      <c r="D135" s="32" t="inlineStr">
        <is>
          <t>ENTRADA DE ENERGIA</t>
        </is>
      </c>
      <c r="E135" s="32" t="inlineStr">
        <is>
          <t>Eletrocalha lisa com tampa 300mm x 50mm</t>
        </is>
      </c>
      <c r="F135" s="33" t="n">
        <v>6</v>
      </c>
      <c r="G135" s="33" t="n">
        <v>1</v>
      </c>
      <c r="H135" s="34" t="n">
        <v>0</v>
      </c>
      <c r="I135" s="35">
        <f>(F135+H135*F135)*G135</f>
        <v/>
      </c>
      <c r="J135" s="33" t="inlineStr">
        <is>
          <t>m</t>
        </is>
      </c>
      <c r="K135" s="36" t="n">
        <v>43.49</v>
      </c>
      <c r="L135" s="37">
        <f>I135*K135</f>
        <v/>
      </c>
    </row>
    <row r="136">
      <c r="A136" s="32" t="inlineStr">
        <is>
          <t>TORRE</t>
        </is>
      </c>
      <c r="B136" s="32" t="inlineStr">
        <is>
          <t>GERAL</t>
        </is>
      </c>
      <c r="C136" s="32" t="inlineStr">
        <is>
          <t>INSTALAÇÕES ELÉTRICAS</t>
        </is>
      </c>
      <c r="D136" s="32" t="inlineStr">
        <is>
          <t>ENTRADA DE ENERGIA</t>
        </is>
      </c>
      <c r="E136" s="32" t="inlineStr">
        <is>
          <t>Eletrocalha perfurada com tampa 200mm x 50mm</t>
        </is>
      </c>
      <c r="F136" s="33" t="n">
        <v>322</v>
      </c>
      <c r="G136" s="33" t="n">
        <v>1</v>
      </c>
      <c r="H136" s="34" t="n">
        <v>0</v>
      </c>
      <c r="I136" s="35">
        <f>(F136+H136*F136)*G136</f>
        <v/>
      </c>
      <c r="J136" s="33" t="inlineStr">
        <is>
          <t>m</t>
        </is>
      </c>
      <c r="K136" s="36" t="n">
        <v>81</v>
      </c>
      <c r="L136" s="37">
        <f>I136*K136</f>
        <v/>
      </c>
    </row>
    <row r="137">
      <c r="A137" s="32" t="inlineStr">
        <is>
          <t>TORRE</t>
        </is>
      </c>
      <c r="B137" s="32" t="inlineStr">
        <is>
          <t>GERAL</t>
        </is>
      </c>
      <c r="C137" s="32" t="inlineStr">
        <is>
          <t>INSTALAÇÕES ELÉTRICAS</t>
        </is>
      </c>
      <c r="D137" s="32" t="inlineStr">
        <is>
          <t>ENTRADA DE ENERGIA</t>
        </is>
      </c>
      <c r="E137" s="32" t="inlineStr">
        <is>
          <t>Eletrocalha perfurada com tampa 300mm x 50mm</t>
        </is>
      </c>
      <c r="F137" s="33" t="n">
        <v>82</v>
      </c>
      <c r="G137" s="33" t="n">
        <v>1</v>
      </c>
      <c r="H137" s="34" t="n">
        <v>0</v>
      </c>
      <c r="I137" s="35">
        <f>(F137+H137*F137)*G137</f>
        <v/>
      </c>
      <c r="J137" s="33" t="inlineStr">
        <is>
          <t>m</t>
        </is>
      </c>
      <c r="K137" s="36" t="n">
        <v>92</v>
      </c>
      <c r="L137" s="37">
        <f>I137*K137</f>
        <v/>
      </c>
    </row>
    <row r="138">
      <c r="A138" s="32" t="inlineStr">
        <is>
          <t>TORRE</t>
        </is>
      </c>
      <c r="B138" s="32" t="inlineStr">
        <is>
          <t>GERAL</t>
        </is>
      </c>
      <c r="C138" s="32" t="inlineStr">
        <is>
          <t>INSTALAÇÕES ELÉTRICAS</t>
        </is>
      </c>
      <c r="D138" s="32" t="inlineStr">
        <is>
          <t>ENTRADA DE ENERGIA</t>
        </is>
      </c>
      <c r="E138" s="32" t="inlineStr">
        <is>
          <t>Eletrocalha perfurada com tampa 400mm x 50mm</t>
        </is>
      </c>
      <c r="F138" s="33" t="n">
        <v>2</v>
      </c>
      <c r="G138" s="33" t="n">
        <v>1</v>
      </c>
      <c r="H138" s="34" t="n">
        <v>0</v>
      </c>
      <c r="I138" s="35">
        <f>(F138+H138*F138)*G138</f>
        <v/>
      </c>
      <c r="J138" s="33" t="inlineStr">
        <is>
          <t>m</t>
        </is>
      </c>
      <c r="K138" s="36" t="n">
        <v>101.5</v>
      </c>
      <c r="L138" s="37">
        <f>I138*K138</f>
        <v/>
      </c>
    </row>
    <row r="139">
      <c r="A139" s="32" t="inlineStr">
        <is>
          <t>TORRE</t>
        </is>
      </c>
      <c r="B139" s="32" t="inlineStr">
        <is>
          <t>GERAL</t>
        </is>
      </c>
      <c r="C139" s="32" t="inlineStr">
        <is>
          <t>INSTALAÇÕES ELÉTRICAS</t>
        </is>
      </c>
      <c r="D139" s="32" t="inlineStr">
        <is>
          <t>ENTRADA DE ENERGIA</t>
        </is>
      </c>
      <c r="E139" s="32" t="inlineStr">
        <is>
          <t>Perfilado Perfurado, de chapa de aço carbono galvanizada 38mm x 38mm</t>
        </is>
      </c>
      <c r="F139" s="33" t="n">
        <v>52</v>
      </c>
      <c r="G139" s="33" t="n">
        <v>1</v>
      </c>
      <c r="H139" s="34" t="n">
        <v>0</v>
      </c>
      <c r="I139" s="35">
        <f>(F139+H139*F139)*G139</f>
        <v/>
      </c>
      <c r="J139" s="33" t="inlineStr">
        <is>
          <t>m</t>
        </is>
      </c>
      <c r="K139" s="36" t="n">
        <v>25</v>
      </c>
      <c r="L139" s="37">
        <f>I139*K139</f>
        <v/>
      </c>
    </row>
    <row r="140">
      <c r="A140" s="32" t="inlineStr">
        <is>
          <t>TORRE</t>
        </is>
      </c>
      <c r="B140" s="32" t="inlineStr">
        <is>
          <t>GERAL</t>
        </is>
      </c>
      <c r="C140" s="32" t="inlineStr">
        <is>
          <t>INSTALAÇÕES ELÉTRICAS</t>
        </is>
      </c>
      <c r="D140" s="32" t="inlineStr">
        <is>
          <t>ENTRADA DE ENERGIA</t>
        </is>
      </c>
      <c r="E140" s="32" t="inlineStr">
        <is>
          <t>Curva Horizontal 90°, para eletrocalha, chapa de aço carbono galvanizada, largura 200 mm e altura da aba 50 mm</t>
        </is>
      </c>
      <c r="F140" s="33" t="n">
        <v>13</v>
      </c>
      <c r="G140" s="33" t="n">
        <v>1</v>
      </c>
      <c r="H140" s="34" t="n">
        <v>0</v>
      </c>
      <c r="I140" s="35">
        <f>(F140+H140*F140)*G140</f>
        <v/>
      </c>
      <c r="J140" s="33" t="inlineStr">
        <is>
          <t>pç</t>
        </is>
      </c>
      <c r="K140" s="36" t="n">
        <v>37</v>
      </c>
      <c r="L140" s="37">
        <f>I140*K140</f>
        <v/>
      </c>
    </row>
    <row r="141">
      <c r="A141" s="32" t="inlineStr">
        <is>
          <t>TORRE</t>
        </is>
      </c>
      <c r="B141" s="32" t="inlineStr">
        <is>
          <t>GERAL</t>
        </is>
      </c>
      <c r="C141" s="32" t="inlineStr">
        <is>
          <t>INSTALAÇÕES ELÉTRICAS</t>
        </is>
      </c>
      <c r="D141" s="32" t="inlineStr">
        <is>
          <t>ENTRADA DE ENERGIA</t>
        </is>
      </c>
      <c r="E141" s="32" t="inlineStr">
        <is>
          <t>Curva Horizontal 90°, para eletrocalha, chapa de aço carbono galvanizada, largura 300 mm e altura da aba 50 mm</t>
        </is>
      </c>
      <c r="F141" s="33" t="n">
        <v>4</v>
      </c>
      <c r="G141" s="33" t="n">
        <v>1</v>
      </c>
      <c r="H141" s="34" t="n">
        <v>0</v>
      </c>
      <c r="I141" s="35">
        <f>(F141+H141*F141)*G141</f>
        <v/>
      </c>
      <c r="J141" s="33" t="inlineStr">
        <is>
          <t>pç</t>
        </is>
      </c>
      <c r="K141" s="36" t="n">
        <v>45</v>
      </c>
      <c r="L141" s="37">
        <f>I141*K141</f>
        <v/>
      </c>
    </row>
    <row r="142">
      <c r="A142" s="32" t="inlineStr">
        <is>
          <t>TORRE</t>
        </is>
      </c>
      <c r="B142" s="32" t="inlineStr">
        <is>
          <t>GERAL</t>
        </is>
      </c>
      <c r="C142" s="32" t="inlineStr">
        <is>
          <t>INSTALAÇÕES ELÉTRICAS</t>
        </is>
      </c>
      <c r="D142" s="32" t="inlineStr">
        <is>
          <t>ENTRADA DE ENERGIA</t>
        </is>
      </c>
      <c r="E142" s="32" t="inlineStr">
        <is>
          <t>Curva Horizontal 90°, para eletrocalha, chapa de aço carbono galvanizada, largura 400 mm e altura da aba 50 mm</t>
        </is>
      </c>
      <c r="F142" s="33" t="n">
        <v>1</v>
      </c>
      <c r="G142" s="33" t="n">
        <v>1</v>
      </c>
      <c r="H142" s="34" t="n">
        <v>0</v>
      </c>
      <c r="I142" s="35">
        <f>(F142+H142*F142)*G142</f>
        <v/>
      </c>
      <c r="J142" s="33" t="inlineStr">
        <is>
          <t>pç</t>
        </is>
      </c>
      <c r="K142" s="36" t="n">
        <v>51</v>
      </c>
      <c r="L142" s="37">
        <f>I142*K142</f>
        <v/>
      </c>
    </row>
    <row r="143">
      <c r="A143" s="32" t="inlineStr">
        <is>
          <t>TORRE</t>
        </is>
      </c>
      <c r="B143" s="32" t="inlineStr">
        <is>
          <t>GERAL</t>
        </is>
      </c>
      <c r="C143" s="32" t="inlineStr">
        <is>
          <t>INSTALAÇÕES ELÉTRICAS</t>
        </is>
      </c>
      <c r="D143" s="32" t="inlineStr">
        <is>
          <t>ENTRADA DE ENERGIA</t>
        </is>
      </c>
      <c r="E143" s="32" t="inlineStr">
        <is>
          <t>Curva Vertical Externa 90°, para eletrocalha, chapa de aço carbono galvanizada, largura 200 mm e altura da aba 50 mm</t>
        </is>
      </c>
      <c r="F143" s="33" t="n">
        <v>4</v>
      </c>
      <c r="G143" s="33" t="n">
        <v>1</v>
      </c>
      <c r="H143" s="34" t="n">
        <v>0</v>
      </c>
      <c r="I143" s="35">
        <f>(F143+H143*F143)*G143</f>
        <v/>
      </c>
      <c r="J143" s="33" t="inlineStr">
        <is>
          <t>pç</t>
        </is>
      </c>
      <c r="K143" s="36" t="n">
        <v>31</v>
      </c>
      <c r="L143" s="37">
        <f>I143*K143</f>
        <v/>
      </c>
    </row>
    <row r="144">
      <c r="A144" s="32" t="inlineStr">
        <is>
          <t>TORRE</t>
        </is>
      </c>
      <c r="B144" s="32" t="inlineStr">
        <is>
          <t>GERAL</t>
        </is>
      </c>
      <c r="C144" s="32" t="inlineStr">
        <is>
          <t>INSTALAÇÕES ELÉTRICAS</t>
        </is>
      </c>
      <c r="D144" s="32" t="inlineStr">
        <is>
          <t>ENTRADA DE ENERGIA</t>
        </is>
      </c>
      <c r="E144" s="32" t="inlineStr">
        <is>
          <t>Curva Vertical Externa 90°, para eletrocalha, chapa de aço carbono galvanizada, largura 300 mm e altura da aba 50 mm</t>
        </is>
      </c>
      <c r="F144" s="33" t="n">
        <v>3</v>
      </c>
      <c r="G144" s="33" t="n">
        <v>1</v>
      </c>
      <c r="H144" s="34" t="n">
        <v>0</v>
      </c>
      <c r="I144" s="35">
        <f>(F144+H144*F144)*G144</f>
        <v/>
      </c>
      <c r="J144" s="33" t="inlineStr">
        <is>
          <t>pç</t>
        </is>
      </c>
      <c r="K144" s="36" t="n">
        <v>42</v>
      </c>
      <c r="L144" s="37">
        <f>I144*K144</f>
        <v/>
      </c>
    </row>
    <row r="145">
      <c r="A145" s="32" t="inlineStr">
        <is>
          <t>TORRE</t>
        </is>
      </c>
      <c r="B145" s="32" t="inlineStr">
        <is>
          <t>GERAL</t>
        </is>
      </c>
      <c r="C145" s="32" t="inlineStr">
        <is>
          <t>INSTALAÇÕES ELÉTRICAS</t>
        </is>
      </c>
      <c r="D145" s="32" t="inlineStr">
        <is>
          <t>ENTRADA DE ENERGIA</t>
        </is>
      </c>
      <c r="E145" s="32" t="inlineStr">
        <is>
          <t>Curva Vertical Externa 90°, para eletrocalha, chapa de aço carbono galvanizada, largura 400 mm e altura da aba 50 mm</t>
        </is>
      </c>
      <c r="F145" s="33" t="n">
        <v>1</v>
      </c>
      <c r="G145" s="33" t="n">
        <v>1</v>
      </c>
      <c r="H145" s="34" t="n">
        <v>0</v>
      </c>
      <c r="I145" s="35">
        <f>(F145+H145*F145)*G145</f>
        <v/>
      </c>
      <c r="J145" s="33" t="inlineStr">
        <is>
          <t>pç</t>
        </is>
      </c>
      <c r="K145" s="36" t="n">
        <v>49</v>
      </c>
      <c r="L145" s="37">
        <f>I145*K145</f>
        <v/>
      </c>
    </row>
    <row r="146">
      <c r="A146" s="32" t="inlineStr">
        <is>
          <t>TORRE</t>
        </is>
      </c>
      <c r="B146" s="32" t="inlineStr">
        <is>
          <t>GERAL</t>
        </is>
      </c>
      <c r="C146" s="32" t="inlineStr">
        <is>
          <t>INSTALAÇÕES ELÉTRICAS</t>
        </is>
      </c>
      <c r="D146" s="32" t="inlineStr">
        <is>
          <t>ENTRADA DE ENERGIA</t>
        </is>
      </c>
      <c r="E146" s="32" t="inlineStr">
        <is>
          <t>Emenda Interna, para eletrocalha, chapa de aço carbono galvanizada, largura de 200mm altura da aba 50 mm</t>
        </is>
      </c>
      <c r="F146" s="33" t="n">
        <v>39</v>
      </c>
      <c r="G146" s="33" t="n">
        <v>1</v>
      </c>
      <c r="H146" s="34" t="n">
        <v>0</v>
      </c>
      <c r="I146" s="35">
        <f>(F146+H146*F146)*G146</f>
        <v/>
      </c>
      <c r="J146" s="33" t="inlineStr">
        <is>
          <t>pç</t>
        </is>
      </c>
      <c r="K146" s="36" t="n">
        <v>17</v>
      </c>
      <c r="L146" s="37">
        <f>I146*K146</f>
        <v/>
      </c>
    </row>
    <row r="147">
      <c r="A147" s="32" t="inlineStr">
        <is>
          <t>TORRE</t>
        </is>
      </c>
      <c r="B147" s="32" t="inlineStr">
        <is>
          <t>GERAL</t>
        </is>
      </c>
      <c r="C147" s="32" t="inlineStr">
        <is>
          <t>INSTALAÇÕES ELÉTRICAS</t>
        </is>
      </c>
      <c r="D147" s="32" t="inlineStr">
        <is>
          <t>ENTRADA DE ENERGIA</t>
        </is>
      </c>
      <c r="E147" s="32" t="inlineStr">
        <is>
          <t>Emenda Interna, para eletrocalha, chapa de aço carbono galvanizada, largura de 300mm altura da aba 50 mm</t>
        </is>
      </c>
      <c r="F147" s="33" t="n">
        <v>16</v>
      </c>
      <c r="G147" s="33" t="n">
        <v>1</v>
      </c>
      <c r="H147" s="34" t="n">
        <v>0</v>
      </c>
      <c r="I147" s="35">
        <f>(F147+H147*F147)*G147</f>
        <v/>
      </c>
      <c r="J147" s="33" t="inlineStr">
        <is>
          <t>pç</t>
        </is>
      </c>
      <c r="K147" s="36" t="n">
        <v>14</v>
      </c>
      <c r="L147" s="37">
        <f>I147*K147</f>
        <v/>
      </c>
    </row>
    <row r="148">
      <c r="A148" s="32" t="inlineStr">
        <is>
          <t>TORRE</t>
        </is>
      </c>
      <c r="B148" s="32" t="inlineStr">
        <is>
          <t>GERAL</t>
        </is>
      </c>
      <c r="C148" s="32" t="inlineStr">
        <is>
          <t>INSTALAÇÕES ELÉTRICAS</t>
        </is>
      </c>
      <c r="D148" s="32" t="inlineStr">
        <is>
          <t>ENTRADA DE ENERGIA</t>
        </is>
      </c>
      <c r="E148" s="32" t="inlineStr">
        <is>
          <t>Emenda Interna, para eletrocalha, chapa de aço carbono galvanizada, largura de 400mm altura da aba 50 mm</t>
        </is>
      </c>
      <c r="F148" s="33" t="n">
        <v>4</v>
      </c>
      <c r="G148" s="33" t="n">
        <v>1</v>
      </c>
      <c r="H148" s="34" t="n">
        <v>0</v>
      </c>
      <c r="I148" s="35">
        <f>(F148+H148*F148)*G148</f>
        <v/>
      </c>
      <c r="J148" s="33" t="inlineStr">
        <is>
          <t>pç</t>
        </is>
      </c>
      <c r="K148" s="36" t="n">
        <v>28</v>
      </c>
      <c r="L148" s="37">
        <f>I148*K148</f>
        <v/>
      </c>
    </row>
    <row r="149">
      <c r="A149" s="32" t="inlineStr">
        <is>
          <t>TORRE</t>
        </is>
      </c>
      <c r="B149" s="32" t="inlineStr">
        <is>
          <t>GERAL</t>
        </is>
      </c>
      <c r="C149" s="32" t="inlineStr">
        <is>
          <t>INSTALAÇÕES ELÉTRICAS</t>
        </is>
      </c>
      <c r="D149" s="32" t="inlineStr">
        <is>
          <t>ENTRADA DE ENERGIA</t>
        </is>
      </c>
      <c r="E149" s="32" t="inlineStr">
        <is>
          <t>Redução Concêntrica, para eletrocalha, chapa de aço carbono galvanizada, largura de 300 mm x 200 mm e altura da aba 50 mm.</t>
        </is>
      </c>
      <c r="F149" s="33" t="n">
        <v>2</v>
      </c>
      <c r="G149" s="33" t="n">
        <v>1</v>
      </c>
      <c r="H149" s="34" t="n">
        <v>0</v>
      </c>
      <c r="I149" s="35">
        <f>(F149+H149*F149)*G149</f>
        <v/>
      </c>
      <c r="J149" s="33" t="inlineStr">
        <is>
          <t>pç</t>
        </is>
      </c>
      <c r="K149" s="36" t="n">
        <v>44.5</v>
      </c>
      <c r="L149" s="37">
        <f>I149*K149</f>
        <v/>
      </c>
    </row>
    <row r="150">
      <c r="A150" s="32" t="inlineStr">
        <is>
          <t>TORRE</t>
        </is>
      </c>
      <c r="B150" s="32" t="inlineStr">
        <is>
          <t>GERAL</t>
        </is>
      </c>
      <c r="C150" s="32" t="inlineStr">
        <is>
          <t>INSTALAÇÕES ELÉTRICAS</t>
        </is>
      </c>
      <c r="D150" s="32" t="inlineStr">
        <is>
          <t>ENTRADA DE ENERGIA</t>
        </is>
      </c>
      <c r="E150" s="32" t="inlineStr">
        <is>
          <t>Redução Concêntrica, para eletrocalha, chapa de aço carbono galvanizada, largura de 400 mm x 300 mm e altura da aba 50 mm.</t>
        </is>
      </c>
      <c r="F150" s="33" t="n">
        <v>1</v>
      </c>
      <c r="G150" s="33" t="n">
        <v>1</v>
      </c>
      <c r="H150" s="34" t="n">
        <v>0</v>
      </c>
      <c r="I150" s="35">
        <f>(F150+H150*F150)*G150</f>
        <v/>
      </c>
      <c r="J150" s="33" t="inlineStr">
        <is>
          <t>pç</t>
        </is>
      </c>
      <c r="K150" s="36" t="n">
        <v>53.8</v>
      </c>
      <c r="L150" s="37">
        <f>I150*K150</f>
        <v/>
      </c>
    </row>
    <row r="151">
      <c r="A151" s="32" t="inlineStr">
        <is>
          <t>TORRE</t>
        </is>
      </c>
      <c r="B151" s="32" t="inlineStr">
        <is>
          <t>GERAL</t>
        </is>
      </c>
      <c r="C151" s="32" t="inlineStr">
        <is>
          <t>INSTALAÇÕES ELÉTRICAS</t>
        </is>
      </c>
      <c r="D151" s="32" t="inlineStr">
        <is>
          <t>ENTRADA DE ENERGIA</t>
        </is>
      </c>
      <c r="E151" s="32" t="inlineStr">
        <is>
          <t>Tê Horizontal 90°, para eletrocalha, chapa de aço carbono galvanizada, largura de 200 mm e altura da aba 50 mm</t>
        </is>
      </c>
      <c r="F151" s="33" t="n">
        <v>3</v>
      </c>
      <c r="G151" s="33" t="n">
        <v>1</v>
      </c>
      <c r="H151" s="34" t="n">
        <v>0</v>
      </c>
      <c r="I151" s="35">
        <f>(F151+H151*F151)*G151</f>
        <v/>
      </c>
      <c r="J151" s="33" t="inlineStr">
        <is>
          <t>pç</t>
        </is>
      </c>
      <c r="K151" s="36" t="n">
        <v>30.2</v>
      </c>
      <c r="L151" s="37">
        <f>I151*K151</f>
        <v/>
      </c>
    </row>
    <row r="152" ht="15" customHeight="1">
      <c r="A152" s="32" t="inlineStr">
        <is>
          <t>TORRE</t>
        </is>
      </c>
      <c r="B152" s="32" t="inlineStr">
        <is>
          <t>GERAL</t>
        </is>
      </c>
      <c r="C152" s="32" t="inlineStr">
        <is>
          <t>INSTALAÇÕES ELÉTRICAS</t>
        </is>
      </c>
      <c r="D152" s="32" t="inlineStr">
        <is>
          <t>ENTRADA DE ENERGIA</t>
        </is>
      </c>
      <c r="E152" s="32" t="inlineStr">
        <is>
          <t>Tê Horizontal 90°, para eletrocalha, chapa de aço carbono galvanizada, largura de 300 mm e altura da aba 50 mm</t>
        </is>
      </c>
      <c r="F152" s="33" t="n">
        <v>2</v>
      </c>
      <c r="G152" s="33" t="n">
        <v>1</v>
      </c>
      <c r="H152" s="34" t="n">
        <v>0</v>
      </c>
      <c r="I152" s="35">
        <f>(F152+H152*F152)*G152</f>
        <v/>
      </c>
      <c r="J152" s="33" t="inlineStr">
        <is>
          <t>pç</t>
        </is>
      </c>
      <c r="K152" s="36" t="n">
        <v>38</v>
      </c>
      <c r="L152" s="37">
        <f>I152*K152</f>
        <v/>
      </c>
    </row>
    <row r="153" ht="15" customHeight="1">
      <c r="A153" s="40" t="inlineStr">
        <is>
          <t>TORRE</t>
        </is>
      </c>
      <c r="B153" s="40" t="inlineStr">
        <is>
          <t>TÉRREO</t>
        </is>
      </c>
      <c r="C153" s="41" t="n"/>
      <c r="D153" s="42" t="n"/>
      <c r="E153" s="42" t="n"/>
      <c r="F153" s="43" t="n"/>
      <c r="G153" s="43" t="n"/>
      <c r="H153" s="43" t="n"/>
      <c r="I153" s="44" t="n"/>
      <c r="J153" s="43" t="n"/>
      <c r="K153" s="45" t="n"/>
      <c r="L153" s="28">
        <f>SUMIFS($L$7:$L$513,$B$7:$B$513,B153,$E$7:$E$513,"&lt;&gt;"&amp;"")</f>
        <v/>
      </c>
    </row>
    <row r="154">
      <c r="A154" s="32" t="inlineStr">
        <is>
          <t>TORRE</t>
        </is>
      </c>
      <c r="B154" s="32" t="inlineStr">
        <is>
          <t>TÉRREO</t>
        </is>
      </c>
      <c r="C154" s="32" t="inlineStr">
        <is>
          <t>INSTALAÇÕES ELÉTRICAS</t>
        </is>
      </c>
      <c r="D154" s="32" t="inlineStr">
        <is>
          <t>CAIXA OCTOGONAL</t>
        </is>
      </c>
      <c r="E154" s="32" t="inlineStr">
        <is>
          <t>Caixa Octogonal Padrão NBR IEC 60670</t>
        </is>
      </c>
      <c r="F154" s="34" t="n">
        <v>77</v>
      </c>
      <c r="G154" s="33" t="n">
        <v>1</v>
      </c>
      <c r="H154" s="34" t="n">
        <v>0</v>
      </c>
      <c r="I154" s="35">
        <f>(F154+H154*F154)*G154</f>
        <v/>
      </c>
      <c r="J154" s="34" t="inlineStr">
        <is>
          <t>pç</t>
        </is>
      </c>
      <c r="K154" s="36" t="n">
        <v>3.55</v>
      </c>
      <c r="L154" s="37">
        <f>I154*K154</f>
        <v/>
      </c>
    </row>
    <row r="155">
      <c r="A155" s="32" t="inlineStr">
        <is>
          <t>TORRE</t>
        </is>
      </c>
      <c r="B155" s="32" t="inlineStr">
        <is>
          <t>TÉRREO</t>
        </is>
      </c>
      <c r="C155" s="32" t="inlineStr">
        <is>
          <t>INSTALAÇÕES ELÉTRICAS</t>
        </is>
      </c>
      <c r="D155" s="32" t="inlineStr">
        <is>
          <t>CAIXA OCTOGONAL</t>
        </is>
      </c>
      <c r="E155" s="32" t="inlineStr">
        <is>
          <t>Placa cega para caixa octogonal Padrão NBR IEC 60670</t>
        </is>
      </c>
      <c r="F155" s="34" t="n">
        <v>1</v>
      </c>
      <c r="G155" s="33" t="n">
        <v>1</v>
      </c>
      <c r="H155" s="34" t="n">
        <v>0</v>
      </c>
      <c r="I155" s="35">
        <f>(F155+H155*F155)*G155</f>
        <v/>
      </c>
      <c r="J155" s="34" t="inlineStr">
        <is>
          <t>pç</t>
        </is>
      </c>
      <c r="K155" s="36" t="n">
        <v>14.9</v>
      </c>
      <c r="L155" s="37">
        <f>I155*K155</f>
        <v/>
      </c>
    </row>
    <row r="156">
      <c r="A156" s="32" t="inlineStr">
        <is>
          <t>TORRE</t>
        </is>
      </c>
      <c r="B156" s="32" t="inlineStr">
        <is>
          <t>TÉRREO</t>
        </is>
      </c>
      <c r="C156" s="32" t="inlineStr">
        <is>
          <t>INSTALAÇÕES ELÉTRICAS</t>
        </is>
      </c>
      <c r="D156" s="32" t="inlineStr">
        <is>
          <t>CAIXAS 4x2" E 4x4"</t>
        </is>
      </c>
      <c r="E156" s="32" t="inlineStr">
        <is>
          <t>Caixa 4x2" de Embutir em PVC Padrão NBR IEC 60670</t>
        </is>
      </c>
      <c r="F156" s="34" t="n">
        <v>126</v>
      </c>
      <c r="G156" s="33" t="n">
        <v>1</v>
      </c>
      <c r="H156" s="34" t="n">
        <v>0</v>
      </c>
      <c r="I156" s="35">
        <f>(F156+H156*F156)*G156</f>
        <v/>
      </c>
      <c r="J156" s="34" t="inlineStr">
        <is>
          <t>pç</t>
        </is>
      </c>
      <c r="K156" s="36" t="n">
        <v>2.2</v>
      </c>
      <c r="L156" s="37">
        <f>I156*K156</f>
        <v/>
      </c>
    </row>
    <row r="157">
      <c r="A157" s="32" t="inlineStr">
        <is>
          <t>TORRE</t>
        </is>
      </c>
      <c r="B157" s="32" t="inlineStr">
        <is>
          <t>TÉRREO</t>
        </is>
      </c>
      <c r="C157" s="32" t="inlineStr">
        <is>
          <t>INSTALAÇÕES ELÉTRICAS</t>
        </is>
      </c>
      <c r="D157" s="32" t="inlineStr">
        <is>
          <t>CAIXAS 4x2" E 4x4"</t>
        </is>
      </c>
      <c r="E157" s="32" t="inlineStr">
        <is>
          <t>Caixa 4x4" de Embutir em PVC Padrão NBR IEC 60670</t>
        </is>
      </c>
      <c r="F157" s="34" t="n">
        <v>2</v>
      </c>
      <c r="G157" s="33" t="n">
        <v>1</v>
      </c>
      <c r="H157" s="34" t="n">
        <v>0</v>
      </c>
      <c r="I157" s="35">
        <f>(F157+H157*F157)*G157</f>
        <v/>
      </c>
      <c r="J157" s="34" t="inlineStr">
        <is>
          <t>pç</t>
        </is>
      </c>
      <c r="K157" s="36" t="n">
        <v>2.67</v>
      </c>
      <c r="L157" s="37">
        <f>I157*K157</f>
        <v/>
      </c>
    </row>
    <row r="158">
      <c r="A158" s="32" t="inlineStr">
        <is>
          <t>TORRE</t>
        </is>
      </c>
      <c r="B158" s="32" t="inlineStr">
        <is>
          <t>TÉRREO</t>
        </is>
      </c>
      <c r="C158" s="32" t="inlineStr">
        <is>
          <t>INSTALAÇÕES ELÉTRICAS</t>
        </is>
      </c>
      <c r="D158" s="32" t="inlineStr">
        <is>
          <t>CAIXAS 4x2" E 4x4"</t>
        </is>
      </c>
      <c r="E158" s="32" t="inlineStr">
        <is>
          <t>Placa 4x2" cega Padrão NBR IEC 60670</t>
        </is>
      </c>
      <c r="F158" s="34" t="n">
        <v>8</v>
      </c>
      <c r="G158" s="33" t="n">
        <v>1</v>
      </c>
      <c r="H158" s="34" t="n">
        <v>0</v>
      </c>
      <c r="I158" s="35">
        <f>(F158+H158*F158)*G158</f>
        <v/>
      </c>
      <c r="J158" s="34" t="inlineStr">
        <is>
          <t>pç</t>
        </is>
      </c>
      <c r="K158" s="36" t="n">
        <v>8.9</v>
      </c>
      <c r="L158" s="37">
        <f>I158*K158</f>
        <v/>
      </c>
    </row>
    <row r="159">
      <c r="A159" s="32" t="inlineStr">
        <is>
          <t>TORRE</t>
        </is>
      </c>
      <c r="B159" s="32" t="inlineStr">
        <is>
          <t>TÉRREO</t>
        </is>
      </c>
      <c r="C159" s="32" t="inlineStr">
        <is>
          <t>INSTALAÇÕES ELÉTRICAS</t>
        </is>
      </c>
      <c r="D159" s="32" t="inlineStr">
        <is>
          <t>CAIXAS 4x2" E 4x4"</t>
        </is>
      </c>
      <c r="E159" s="32" t="inlineStr">
        <is>
          <t>Placa 4x2" para 1 função Padrão NBR IEC 60670</t>
        </is>
      </c>
      <c r="F159" s="34" t="n">
        <v>73</v>
      </c>
      <c r="G159" s="33" t="n">
        <v>1</v>
      </c>
      <c r="H159" s="34" t="n">
        <v>0</v>
      </c>
      <c r="I159" s="35">
        <f>(F159+H159*F159)*G159</f>
        <v/>
      </c>
      <c r="J159" s="34" t="inlineStr">
        <is>
          <t>pç</t>
        </is>
      </c>
      <c r="K159" s="36" t="n">
        <v>8.9</v>
      </c>
      <c r="L159" s="37">
        <f>I159*K159</f>
        <v/>
      </c>
    </row>
    <row r="160">
      <c r="A160" s="32" t="inlineStr">
        <is>
          <t>TORRE</t>
        </is>
      </c>
      <c r="B160" s="32" t="inlineStr">
        <is>
          <t>TÉRREO</t>
        </is>
      </c>
      <c r="C160" s="32" t="inlineStr">
        <is>
          <t>INSTALAÇÕES ELÉTRICAS</t>
        </is>
      </c>
      <c r="D160" s="32" t="inlineStr">
        <is>
          <t>CAIXAS 4x2" E 4x4"</t>
        </is>
      </c>
      <c r="E160" s="32" t="inlineStr">
        <is>
          <t>Placa 4x2" para 2 funções Padrão NBR IEC 60670</t>
        </is>
      </c>
      <c r="F160" s="34" t="n">
        <v>19</v>
      </c>
      <c r="G160" s="33" t="n">
        <v>1</v>
      </c>
      <c r="H160" s="34" t="n">
        <v>0</v>
      </c>
      <c r="I160" s="35">
        <f>(F160+H160*F160)*G160</f>
        <v/>
      </c>
      <c r="J160" s="34" t="inlineStr">
        <is>
          <t>pç</t>
        </is>
      </c>
      <c r="K160" s="36" t="n">
        <v>11</v>
      </c>
      <c r="L160" s="37">
        <f>I160*K160</f>
        <v/>
      </c>
    </row>
    <row r="161">
      <c r="A161" s="32" t="inlineStr">
        <is>
          <t>TORRE</t>
        </is>
      </c>
      <c r="B161" s="32" t="inlineStr">
        <is>
          <t>TÉRREO</t>
        </is>
      </c>
      <c r="C161" s="32" t="inlineStr">
        <is>
          <t>INSTALAÇÕES ELÉTRICAS</t>
        </is>
      </c>
      <c r="D161" s="32" t="inlineStr">
        <is>
          <t>CAIXAS 4x2" E 4x4"</t>
        </is>
      </c>
      <c r="E161" s="32" t="inlineStr">
        <is>
          <t>Placa 4x2" para 3 funções Padrão NBR IEC 60670</t>
        </is>
      </c>
      <c r="F161" s="34" t="n">
        <v>1</v>
      </c>
      <c r="G161" s="33" t="n">
        <v>1</v>
      </c>
      <c r="H161" s="34" t="n">
        <v>0</v>
      </c>
      <c r="I161" s="35">
        <f>(F161+H161*F161)*G161</f>
        <v/>
      </c>
      <c r="J161" s="34" t="inlineStr">
        <is>
          <t>pç</t>
        </is>
      </c>
      <c r="K161" s="36" t="n">
        <v>14.5</v>
      </c>
      <c r="L161" s="37">
        <f>I161*K161</f>
        <v/>
      </c>
    </row>
    <row r="162">
      <c r="A162" s="32" t="inlineStr">
        <is>
          <t>TORRE</t>
        </is>
      </c>
      <c r="B162" s="32" t="inlineStr">
        <is>
          <t>TÉRREO</t>
        </is>
      </c>
      <c r="C162" s="32" t="inlineStr">
        <is>
          <t>INSTALAÇÕES ELÉTRICAS</t>
        </is>
      </c>
      <c r="D162" s="32" t="inlineStr">
        <is>
          <t>CAIXAS 4x2" E 4x4"</t>
        </is>
      </c>
      <c r="E162" s="32" t="inlineStr">
        <is>
          <t>Placa 4x4" cega Padrão NBR IEC 60670</t>
        </is>
      </c>
      <c r="F162" s="34" t="n">
        <v>2</v>
      </c>
      <c r="G162" s="33" t="n">
        <v>1</v>
      </c>
      <c r="H162" s="34" t="n">
        <v>0</v>
      </c>
      <c r="I162" s="35">
        <f>(F162+H162*F162)*G162</f>
        <v/>
      </c>
      <c r="J162" s="34" t="inlineStr">
        <is>
          <t>pç</t>
        </is>
      </c>
      <c r="K162" s="36" t="n">
        <v>16.5</v>
      </c>
      <c r="L162" s="37">
        <f>I162*K162</f>
        <v/>
      </c>
    </row>
    <row r="163">
      <c r="A163" s="32" t="inlineStr">
        <is>
          <t>TORRE</t>
        </is>
      </c>
      <c r="B163" s="32" t="inlineStr">
        <is>
          <t>TÉRREO</t>
        </is>
      </c>
      <c r="C163" s="32" t="inlineStr">
        <is>
          <t>INSTALAÇÕES ELÉTRICAS</t>
        </is>
      </c>
      <c r="D163" s="32" t="inlineStr">
        <is>
          <t>CAIXAS 4x2" E 4x4"</t>
        </is>
      </c>
      <c r="E163" s="32" t="inlineStr">
        <is>
          <t>Placa 4x4" para 1 função Padrão NBR IEC 60670</t>
        </is>
      </c>
      <c r="F163" s="34" t="n">
        <v>25</v>
      </c>
      <c r="G163" s="33" t="n">
        <v>1</v>
      </c>
      <c r="H163" s="34" t="n">
        <v>0</v>
      </c>
      <c r="I163" s="35">
        <f>(F163+H163*F163)*G163</f>
        <v/>
      </c>
      <c r="J163" s="34" t="inlineStr">
        <is>
          <t>pç</t>
        </is>
      </c>
      <c r="K163" s="36" t="n">
        <v>16.5</v>
      </c>
      <c r="L163" s="37">
        <f>I163*K163</f>
        <v/>
      </c>
    </row>
    <row r="164">
      <c r="A164" s="32" t="inlineStr">
        <is>
          <t>TORRE</t>
        </is>
      </c>
      <c r="B164" s="32" t="inlineStr">
        <is>
          <t>TÉRREO</t>
        </is>
      </c>
      <c r="C164" s="32" t="inlineStr">
        <is>
          <t>INSTALAÇÕES ELÉTRICAS</t>
        </is>
      </c>
      <c r="D164" s="32" t="inlineStr">
        <is>
          <t>CAIXAS 4x2" E 4x4"</t>
        </is>
      </c>
      <c r="E164" s="32" t="inlineStr">
        <is>
          <t>Suporte p/ caixa 4x2" Padrão NBR IEC 60670</t>
        </is>
      </c>
      <c r="F164" s="34" t="n">
        <v>126</v>
      </c>
      <c r="G164" s="33" t="n">
        <v>1</v>
      </c>
      <c r="H164" s="34" t="n">
        <v>0</v>
      </c>
      <c r="I164" s="35">
        <f>(F164+H164*F164)*G164</f>
        <v/>
      </c>
      <c r="J164" s="34" t="inlineStr">
        <is>
          <t>pç</t>
        </is>
      </c>
      <c r="K164" s="36" t="n">
        <v>1.85</v>
      </c>
      <c r="L164" s="37">
        <f>I164*K164</f>
        <v/>
      </c>
    </row>
    <row r="165">
      <c r="A165" s="32" t="inlineStr">
        <is>
          <t>TORRE</t>
        </is>
      </c>
      <c r="B165" s="32" t="inlineStr">
        <is>
          <t>TÉRREO</t>
        </is>
      </c>
      <c r="C165" s="32" t="inlineStr">
        <is>
          <t>INSTALAÇÕES ELÉTRICAS</t>
        </is>
      </c>
      <c r="D165" s="32" t="inlineStr">
        <is>
          <t>CAIXAS 4x2" E 4x4"</t>
        </is>
      </c>
      <c r="E165" s="32" t="inlineStr">
        <is>
          <t>Suporte p/ caixa 4x4" Padrão NBR IEC 60670</t>
        </is>
      </c>
      <c r="F165" s="34" t="n">
        <v>2</v>
      </c>
      <c r="G165" s="33" t="n">
        <v>1</v>
      </c>
      <c r="H165" s="34" t="n">
        <v>0</v>
      </c>
      <c r="I165" s="35">
        <f>(F165+H165*F165)*G165</f>
        <v/>
      </c>
      <c r="J165" s="34" t="inlineStr">
        <is>
          <t>pç</t>
        </is>
      </c>
      <c r="K165" s="36" t="n">
        <v>2.23</v>
      </c>
      <c r="L165" s="37">
        <f>I165*K165</f>
        <v/>
      </c>
    </row>
    <row r="166">
      <c r="A166" s="32" t="inlineStr">
        <is>
          <t>TORRE</t>
        </is>
      </c>
      <c r="B166" s="32" t="inlineStr">
        <is>
          <t>TÉRREO</t>
        </is>
      </c>
      <c r="C166" s="32" t="inlineStr">
        <is>
          <t>INSTALAÇÕES ELÉTRICAS</t>
        </is>
      </c>
      <c r="D166" s="32" t="inlineStr">
        <is>
          <t>DISPOSITIVOS DE PROTEÇÃO</t>
        </is>
      </c>
      <c r="E166" s="32" t="inlineStr">
        <is>
          <t>Disjuntores Monopolares DIN 10 A - 3 kA - Curva C - NBR NM 60898</t>
        </is>
      </c>
      <c r="F166" s="34" t="n">
        <v>6</v>
      </c>
      <c r="G166" s="33" t="n">
        <v>1</v>
      </c>
      <c r="H166" s="34" t="n">
        <v>0</v>
      </c>
      <c r="I166" s="35">
        <f>(F166+H166*F166)*G166</f>
        <v/>
      </c>
      <c r="J166" s="34" t="inlineStr">
        <is>
          <t>pç</t>
        </is>
      </c>
      <c r="K166" s="36" t="n">
        <v>12.16</v>
      </c>
      <c r="L166" s="37">
        <f>I166*K166</f>
        <v/>
      </c>
    </row>
    <row r="167">
      <c r="A167" s="32" t="inlineStr">
        <is>
          <t>TORRE</t>
        </is>
      </c>
      <c r="B167" s="32" t="inlineStr">
        <is>
          <t>TÉRREO</t>
        </is>
      </c>
      <c r="C167" s="32" t="inlineStr">
        <is>
          <t>INSTALAÇÕES ELÉTRICAS</t>
        </is>
      </c>
      <c r="D167" s="32" t="inlineStr">
        <is>
          <t>DISPOSITIVOS DE PROTEÇÃO</t>
        </is>
      </c>
      <c r="E167" s="32" t="inlineStr">
        <is>
          <t>Disjuntores Monopolares DIN 16 A - 3 kA - Curva C - NBR NM 60898</t>
        </is>
      </c>
      <c r="F167" s="34" t="n">
        <v>25</v>
      </c>
      <c r="G167" s="33" t="n">
        <v>1</v>
      </c>
      <c r="H167" s="34" t="n">
        <v>0</v>
      </c>
      <c r="I167" s="35">
        <f>(F167+H167*F167)*G167</f>
        <v/>
      </c>
      <c r="J167" s="34" t="inlineStr">
        <is>
          <t>pç</t>
        </is>
      </c>
      <c r="K167" s="36" t="n">
        <v>13.05</v>
      </c>
      <c r="L167" s="37">
        <f>I167*K167</f>
        <v/>
      </c>
    </row>
    <row r="168">
      <c r="A168" s="32" t="inlineStr">
        <is>
          <t>TORRE</t>
        </is>
      </c>
      <c r="B168" s="32" t="inlineStr">
        <is>
          <t>TÉRREO</t>
        </is>
      </c>
      <c r="C168" s="32" t="inlineStr">
        <is>
          <t>INSTALAÇÕES ELÉTRICAS</t>
        </is>
      </c>
      <c r="D168" s="32" t="inlineStr">
        <is>
          <t>DISPOSITIVOS DE PROTEÇÃO</t>
        </is>
      </c>
      <c r="E168" s="32" t="inlineStr">
        <is>
          <t>Disjuntores Monopolares DIN 20 A - 3 kA - Curva C - NBR NM 60898</t>
        </is>
      </c>
      <c r="F168" s="34" t="n">
        <v>10</v>
      </c>
      <c r="G168" s="33" t="n">
        <v>1</v>
      </c>
      <c r="H168" s="34" t="n">
        <v>0</v>
      </c>
      <c r="I168" s="35">
        <f>(F168+H168*F168)*G168</f>
        <v/>
      </c>
      <c r="J168" s="34" t="inlineStr">
        <is>
          <t>pç</t>
        </is>
      </c>
      <c r="K168" s="36" t="n">
        <v>14</v>
      </c>
      <c r="L168" s="37">
        <f>I168*K168</f>
        <v/>
      </c>
    </row>
    <row r="169">
      <c r="A169" s="32" t="inlineStr">
        <is>
          <t>TORRE</t>
        </is>
      </c>
      <c r="B169" s="32" t="inlineStr">
        <is>
          <t>TÉRREO</t>
        </is>
      </c>
      <c r="C169" s="32" t="inlineStr">
        <is>
          <t>INSTALAÇÕES ELÉTRICAS</t>
        </is>
      </c>
      <c r="D169" s="32" t="inlineStr">
        <is>
          <t>DISPOSITIVOS DE PROTEÇÃO</t>
        </is>
      </c>
      <c r="E169" s="32" t="inlineStr">
        <is>
          <t>Disjuntores Monopolares DIN 32 A - 3 kA - Curva C - NBR NM 60898</t>
        </is>
      </c>
      <c r="F169" s="34" t="n">
        <v>20</v>
      </c>
      <c r="G169" s="33" t="n">
        <v>1</v>
      </c>
      <c r="H169" s="34" t="n">
        <v>0</v>
      </c>
      <c r="I169" s="35">
        <f>(F169+H169*F169)*G169</f>
        <v/>
      </c>
      <c r="J169" s="34" t="inlineStr">
        <is>
          <t>pç</t>
        </is>
      </c>
      <c r="K169" s="36" t="n">
        <v>21</v>
      </c>
      <c r="L169" s="37">
        <f>I169*K169</f>
        <v/>
      </c>
    </row>
    <row r="170">
      <c r="A170" s="32" t="inlineStr">
        <is>
          <t>TORRE</t>
        </is>
      </c>
      <c r="B170" s="32" t="inlineStr">
        <is>
          <t>TÉRREO</t>
        </is>
      </c>
      <c r="C170" s="32" t="inlineStr">
        <is>
          <t>INSTALAÇÕES ELÉTRICAS</t>
        </is>
      </c>
      <c r="D170" s="32" t="inlineStr">
        <is>
          <t>DISPOSITIVOS DE PROTEÇÃO</t>
        </is>
      </c>
      <c r="E170" s="32" t="inlineStr">
        <is>
          <t>Disjuntores Tripolares DIN 20 A - 10 kA - Curva C - NBR 60947-2</t>
        </is>
      </c>
      <c r="F170" s="34" t="n">
        <v>1</v>
      </c>
      <c r="G170" s="33" t="n">
        <v>1</v>
      </c>
      <c r="H170" s="34" t="n">
        <v>0</v>
      </c>
      <c r="I170" s="35">
        <f>(F170+H170*F170)*G170</f>
        <v/>
      </c>
      <c r="J170" s="34" t="inlineStr">
        <is>
          <t>pç</t>
        </is>
      </c>
      <c r="K170" s="36" t="n">
        <v>37.1</v>
      </c>
      <c r="L170" s="37">
        <f>I170*K170</f>
        <v/>
      </c>
    </row>
    <row r="171">
      <c r="A171" s="32" t="inlineStr">
        <is>
          <t>TORRE</t>
        </is>
      </c>
      <c r="B171" s="32" t="inlineStr">
        <is>
          <t>TÉRREO</t>
        </is>
      </c>
      <c r="C171" s="32" t="inlineStr">
        <is>
          <t>INSTALAÇÕES ELÉTRICAS</t>
        </is>
      </c>
      <c r="D171" s="32" t="inlineStr">
        <is>
          <t>DISPOSITIVOS DE PROTEÇÃO</t>
        </is>
      </c>
      <c r="E171" s="32" t="inlineStr">
        <is>
          <t>Disjuntores Tripolares DIN 50 A - 10 kA - Curva C - NBR 60947-2</t>
        </is>
      </c>
      <c r="F171" s="34" t="n">
        <v>6</v>
      </c>
      <c r="G171" s="33" t="n">
        <v>1</v>
      </c>
      <c r="H171" s="34" t="n">
        <v>0</v>
      </c>
      <c r="I171" s="35">
        <f>(F171+H171*F171)*G171</f>
        <v/>
      </c>
      <c r="J171" s="34" t="inlineStr">
        <is>
          <t>pç</t>
        </is>
      </c>
      <c r="K171" s="36" t="n">
        <v>64.90000000000001</v>
      </c>
      <c r="L171" s="37">
        <f>I171*K171</f>
        <v/>
      </c>
    </row>
    <row r="172">
      <c r="A172" s="32" t="inlineStr">
        <is>
          <t>TORRE</t>
        </is>
      </c>
      <c r="B172" s="32" t="inlineStr">
        <is>
          <t>TÉRREO</t>
        </is>
      </c>
      <c r="C172" s="32" t="inlineStr">
        <is>
          <t>INSTALAÇÕES ELÉTRICAS</t>
        </is>
      </c>
      <c r="D172" s="32" t="inlineStr">
        <is>
          <t>DISPOSITIVOS DE PROTEÇÃO</t>
        </is>
      </c>
      <c r="E172" s="32" t="inlineStr">
        <is>
          <t>Dispositivos de Proteção Contra Surto 275V - Classe I/II - In=30kA - Imáx.=60kA - NBR IEC 61643-1</t>
        </is>
      </c>
      <c r="F172" s="34" t="n">
        <v>24</v>
      </c>
      <c r="G172" s="33" t="n">
        <v>1</v>
      </c>
      <c r="H172" s="34" t="n">
        <v>0</v>
      </c>
      <c r="I172" s="35">
        <f>(F172+H172*F172)*G172</f>
        <v/>
      </c>
      <c r="J172" s="34" t="inlineStr">
        <is>
          <t>pç</t>
        </is>
      </c>
      <c r="K172" s="36" t="n">
        <v>97</v>
      </c>
      <c r="L172" s="37">
        <f>I172*K172</f>
        <v/>
      </c>
    </row>
    <row r="173">
      <c r="A173" s="32" t="inlineStr">
        <is>
          <t>TORRE</t>
        </is>
      </c>
      <c r="B173" s="32" t="inlineStr">
        <is>
          <t>TÉRREO</t>
        </is>
      </c>
      <c r="C173" s="32" t="inlineStr">
        <is>
          <t>INSTALAÇÕES ELÉTRICAS</t>
        </is>
      </c>
      <c r="D173" s="32" t="inlineStr">
        <is>
          <t>DISPOSITIVOS DE PROTEÇÃO</t>
        </is>
      </c>
      <c r="E173" s="32" t="inlineStr">
        <is>
          <t>Interruptores Diferenciais Residuais Bipolares DIN 25A - 30mA - Tipo AC -230V - NBR NM 61008-1</t>
        </is>
      </c>
      <c r="F173" s="34" t="n">
        <v>5</v>
      </c>
      <c r="G173" s="33" t="n">
        <v>1</v>
      </c>
      <c r="H173" s="34" t="n">
        <v>0</v>
      </c>
      <c r="I173" s="35">
        <f>(F173+H173*F173)*G173</f>
        <v/>
      </c>
      <c r="J173" s="34" t="inlineStr">
        <is>
          <t>pç</t>
        </is>
      </c>
      <c r="K173" s="36" t="n">
        <v>137</v>
      </c>
      <c r="L173" s="37">
        <f>I173*K173</f>
        <v/>
      </c>
    </row>
    <row r="174">
      <c r="A174" s="32" t="inlineStr">
        <is>
          <t>TORRE</t>
        </is>
      </c>
      <c r="B174" s="32" t="inlineStr">
        <is>
          <t>TÉRREO</t>
        </is>
      </c>
      <c r="C174" s="32" t="inlineStr">
        <is>
          <t>INSTALAÇÕES ELÉTRICAS</t>
        </is>
      </c>
      <c r="D174" s="32" t="inlineStr">
        <is>
          <t>DISPOSITIVOS DE PROTEÇÃO</t>
        </is>
      </c>
      <c r="E174" s="32" t="inlineStr">
        <is>
          <t>Interruptores Diferenciais Residuais Bipolares DIN 40A - 30mA - Tipo AC -230V - NBR NM 61008-1</t>
        </is>
      </c>
      <c r="F174" s="34" t="n">
        <v>5</v>
      </c>
      <c r="G174" s="33" t="n">
        <v>1</v>
      </c>
      <c r="H174" s="34" t="n">
        <v>0</v>
      </c>
      <c r="I174" s="35">
        <f>(F174+H174*F174)*G174</f>
        <v/>
      </c>
      <c r="J174" s="34" t="inlineStr">
        <is>
          <t>pç</t>
        </is>
      </c>
      <c r="K174" s="36" t="n">
        <v>160</v>
      </c>
      <c r="L174" s="37">
        <f>I174*K174</f>
        <v/>
      </c>
    </row>
    <row r="175">
      <c r="A175" s="32" t="inlineStr">
        <is>
          <t>TORRE</t>
        </is>
      </c>
      <c r="B175" s="32" t="inlineStr">
        <is>
          <t>TÉRREO</t>
        </is>
      </c>
      <c r="C175" s="32" t="inlineStr">
        <is>
          <t>INSTALAÇÕES ELÉTRICAS</t>
        </is>
      </c>
      <c r="D175" s="32" t="inlineStr">
        <is>
          <t>DISPOSITIVOS DE PROTEÇÃO</t>
        </is>
      </c>
      <c r="E175" s="32" t="inlineStr">
        <is>
          <t>Interruptores Diferenciais Residuais Tetrapolares DIN 63A - 30mA - Tipo AC - 400V - NBR NM 61008-1</t>
        </is>
      </c>
      <c r="F175" s="34" t="n">
        <v>1</v>
      </c>
      <c r="G175" s="33" t="n">
        <v>1</v>
      </c>
      <c r="H175" s="34" t="n">
        <v>0</v>
      </c>
      <c r="I175" s="35">
        <f>(F175+H175*F175)*G175</f>
        <v/>
      </c>
      <c r="J175" s="34" t="inlineStr">
        <is>
          <t>pç</t>
        </is>
      </c>
      <c r="K175" s="36" t="n">
        <v>201</v>
      </c>
      <c r="L175" s="37">
        <f>I175*K175</f>
        <v/>
      </c>
    </row>
    <row r="176">
      <c r="A176" s="32" t="inlineStr">
        <is>
          <t>TORRE</t>
        </is>
      </c>
      <c r="B176" s="32" t="inlineStr">
        <is>
          <t>TÉRREO</t>
        </is>
      </c>
      <c r="C176" s="32" t="inlineStr">
        <is>
          <t>INSTALAÇÕES ELÉTRICAS</t>
        </is>
      </c>
      <c r="D176" s="32" t="inlineStr">
        <is>
          <t xml:space="preserve">ELETRODUTOS  </t>
        </is>
      </c>
      <c r="E176" s="32" t="inlineStr">
        <is>
          <t>PVC Flexível Antichama - NBR 15465 ø1"</t>
        </is>
      </c>
      <c r="F176" s="34" t="n">
        <v>118</v>
      </c>
      <c r="G176" s="33" t="n">
        <v>1</v>
      </c>
      <c r="H176" s="34" t="n">
        <v>0</v>
      </c>
      <c r="I176" s="35">
        <f>(F176+H176*F176)*G176</f>
        <v/>
      </c>
      <c r="J176" s="34" t="inlineStr">
        <is>
          <t>m</t>
        </is>
      </c>
      <c r="K176" s="36" t="n">
        <v>5</v>
      </c>
      <c r="L176" s="37">
        <f>I176*K176</f>
        <v/>
      </c>
    </row>
    <row r="177">
      <c r="A177" s="32" t="inlineStr">
        <is>
          <t>TORRE</t>
        </is>
      </c>
      <c r="B177" s="32" t="inlineStr">
        <is>
          <t>TÉRREO</t>
        </is>
      </c>
      <c r="C177" s="32" t="inlineStr">
        <is>
          <t>INSTALAÇÕES ELÉTRICAS</t>
        </is>
      </c>
      <c r="D177" s="32" t="inlineStr">
        <is>
          <t xml:space="preserve">ELETRODUTOS  </t>
        </is>
      </c>
      <c r="E177" s="32" t="inlineStr">
        <is>
          <t>PVC Flexível Antichama - NBR 15465 ø3/4"</t>
        </is>
      </c>
      <c r="F177" s="34" t="n">
        <v>498.3</v>
      </c>
      <c r="G177" s="33" t="n">
        <v>1</v>
      </c>
      <c r="H177" s="34" t="n">
        <v>0</v>
      </c>
      <c r="I177" s="35">
        <f>(F177+H177*F177)*G177</f>
        <v/>
      </c>
      <c r="J177" s="34" t="inlineStr">
        <is>
          <t>m</t>
        </is>
      </c>
      <c r="K177" s="36" t="n">
        <v>3.5</v>
      </c>
      <c r="L177" s="37">
        <f>I177*K177</f>
        <v/>
      </c>
    </row>
    <row r="178">
      <c r="A178" s="32" t="inlineStr">
        <is>
          <t>TORRE</t>
        </is>
      </c>
      <c r="B178" s="32" t="inlineStr">
        <is>
          <t>TÉRREO</t>
        </is>
      </c>
      <c r="C178" s="32" t="inlineStr">
        <is>
          <t>INSTALAÇÕES ELÉTRICAS</t>
        </is>
      </c>
      <c r="D178" s="32" t="inlineStr">
        <is>
          <t>MÓDULOS</t>
        </is>
      </c>
      <c r="E178" s="32" t="inlineStr">
        <is>
          <t>Tomada 2P+T 10A Padrão NBR 14136</t>
        </is>
      </c>
      <c r="F178" s="34" t="n">
        <v>91</v>
      </c>
      <c r="G178" s="33" t="n">
        <v>1</v>
      </c>
      <c r="H178" s="34" t="n">
        <v>0</v>
      </c>
      <c r="I178" s="35">
        <f>(F178+H178*F178)*G178</f>
        <v/>
      </c>
      <c r="J178" s="34" t="inlineStr">
        <is>
          <t>pç</t>
        </is>
      </c>
      <c r="K178" s="36" t="n">
        <v>8</v>
      </c>
      <c r="L178" s="37">
        <f>I178*K178</f>
        <v/>
      </c>
    </row>
    <row r="179">
      <c r="A179" s="32" t="inlineStr">
        <is>
          <t>TORRE</t>
        </is>
      </c>
      <c r="B179" s="32" t="inlineStr">
        <is>
          <t>TÉRREO</t>
        </is>
      </c>
      <c r="C179" s="32" t="inlineStr">
        <is>
          <t>INSTALAÇÕES ELÉTRICAS</t>
        </is>
      </c>
      <c r="D179" s="32" t="inlineStr">
        <is>
          <t>MÓDULOS</t>
        </is>
      </c>
      <c r="E179" s="32" t="inlineStr">
        <is>
          <t>Tomada 2P+T 20A Padrão NBR 14136</t>
        </is>
      </c>
      <c r="F179" s="34" t="n">
        <v>19</v>
      </c>
      <c r="G179" s="33" t="n">
        <v>1</v>
      </c>
      <c r="H179" s="34" t="n">
        <v>0</v>
      </c>
      <c r="I179" s="35">
        <f>(F179+H179*F179)*G179</f>
        <v/>
      </c>
      <c r="J179" s="34" t="inlineStr">
        <is>
          <t>pç</t>
        </is>
      </c>
      <c r="K179" s="36" t="n">
        <v>14</v>
      </c>
      <c r="L179" s="37">
        <f>I179*K179</f>
        <v/>
      </c>
    </row>
    <row r="180">
      <c r="A180" s="32" t="inlineStr">
        <is>
          <t>TORRE</t>
        </is>
      </c>
      <c r="B180" s="32" t="inlineStr">
        <is>
          <t>TÉRREO</t>
        </is>
      </c>
      <c r="C180" s="32" t="inlineStr">
        <is>
          <t>INSTALAÇÕES ELÉTRICAS</t>
        </is>
      </c>
      <c r="D180" s="32" t="inlineStr">
        <is>
          <t>MÓDULOS</t>
        </is>
      </c>
      <c r="E180" s="32" t="inlineStr">
        <is>
          <t>Interruptor Paralelo 250V/10A Padrão NBRNM60669</t>
        </is>
      </c>
      <c r="F180" s="34" t="n">
        <v>6</v>
      </c>
      <c r="G180" s="33" t="n">
        <v>1</v>
      </c>
      <c r="H180" s="34" t="n">
        <v>0</v>
      </c>
      <c r="I180" s="35">
        <f>(F180+H180*F180)*G180</f>
        <v/>
      </c>
      <c r="J180" s="34" t="inlineStr">
        <is>
          <t>pç</t>
        </is>
      </c>
      <c r="K180" s="36" t="n">
        <v>21</v>
      </c>
      <c r="L180" s="37">
        <f>I180*K180</f>
        <v/>
      </c>
    </row>
    <row r="181">
      <c r="A181" s="32" t="inlineStr">
        <is>
          <t>TORRE</t>
        </is>
      </c>
      <c r="B181" s="32" t="inlineStr">
        <is>
          <t>TÉRREO</t>
        </is>
      </c>
      <c r="C181" s="32" t="inlineStr">
        <is>
          <t>INSTALAÇÕES ELÉTRICAS</t>
        </is>
      </c>
      <c r="D181" s="32" t="inlineStr">
        <is>
          <t>MÓDULOS</t>
        </is>
      </c>
      <c r="E181" s="32" t="inlineStr">
        <is>
          <t>Interruptor Simples 250V/10A Padrão NBRNM60669</t>
        </is>
      </c>
      <c r="F181" s="34" t="n">
        <v>23</v>
      </c>
      <c r="G181" s="33" t="n">
        <v>1</v>
      </c>
      <c r="H181" s="34" t="n">
        <v>0</v>
      </c>
      <c r="I181" s="35">
        <f>(F181+H181*F181)*G181</f>
        <v/>
      </c>
      <c r="J181" s="34" t="inlineStr">
        <is>
          <t>pç</t>
        </is>
      </c>
      <c r="K181" s="36" t="n">
        <v>7</v>
      </c>
      <c r="L181" s="37">
        <f>I181*K181</f>
        <v/>
      </c>
    </row>
    <row r="182">
      <c r="A182" s="32" t="inlineStr">
        <is>
          <t>TORRE</t>
        </is>
      </c>
      <c r="B182" s="32" t="inlineStr">
        <is>
          <t>TÉRREO</t>
        </is>
      </c>
      <c r="C182" s="32" t="inlineStr">
        <is>
          <t>INSTALAÇÕES ELÉTRICAS</t>
        </is>
      </c>
      <c r="D182" s="32" t="inlineStr">
        <is>
          <t>QUADROS DE DISTRIBUIÇÃO</t>
        </is>
      </c>
      <c r="E182" s="32" t="inlineStr">
        <is>
          <t>Quadro de dist. de embutir em PVC com cap. de 36 espaços DIN</t>
        </is>
      </c>
      <c r="F182" s="34" t="n">
        <v>6</v>
      </c>
      <c r="G182" s="33" t="n">
        <v>1</v>
      </c>
      <c r="H182" s="34" t="n">
        <v>0</v>
      </c>
      <c r="I182" s="35">
        <f>(F182+H182*F182)*G182</f>
        <v/>
      </c>
      <c r="J182" s="34" t="inlineStr">
        <is>
          <t>pç</t>
        </is>
      </c>
      <c r="K182" s="36" t="n">
        <v>192</v>
      </c>
      <c r="L182" s="37">
        <f>I182*K182</f>
        <v/>
      </c>
    </row>
    <row r="183">
      <c r="A183" s="32" t="inlineStr">
        <is>
          <t>TORRE</t>
        </is>
      </c>
      <c r="B183" s="32" t="inlineStr">
        <is>
          <t>TÉRREO</t>
        </is>
      </c>
      <c r="C183" s="32" t="inlineStr">
        <is>
          <t>INSTALAÇÕES ELÉTRICAS</t>
        </is>
      </c>
      <c r="D183" s="32" t="inlineStr">
        <is>
          <t>SENSORES</t>
        </is>
      </c>
      <c r="E183" s="32" t="inlineStr">
        <is>
          <t>Sensor de Presença</t>
        </is>
      </c>
      <c r="F183" s="34" t="n">
        <v>6</v>
      </c>
      <c r="G183" s="33" t="n">
        <v>1</v>
      </c>
      <c r="H183" s="34" t="n">
        <v>0</v>
      </c>
      <c r="I183" s="35">
        <f>(F183+H183*F183)*G183</f>
        <v/>
      </c>
      <c r="J183" s="34" t="inlineStr">
        <is>
          <t>pç</t>
        </is>
      </c>
      <c r="K183" s="36" t="n">
        <v>29</v>
      </c>
      <c r="L183" s="37">
        <f>I183*K183</f>
        <v/>
      </c>
    </row>
    <row r="184">
      <c r="A184" s="32" t="inlineStr">
        <is>
          <t>TORRE</t>
        </is>
      </c>
      <c r="B184" s="32" t="inlineStr">
        <is>
          <t>TÉRREO</t>
        </is>
      </c>
      <c r="C184" s="32" t="inlineStr">
        <is>
          <t>INSTALAÇÕES ELÉTRICAS</t>
        </is>
      </c>
      <c r="D184" s="32" t="inlineStr">
        <is>
          <t>CABO UNIPOLAR</t>
        </is>
      </c>
      <c r="E184" s="32" t="inlineStr">
        <is>
          <t>Isolação em PVC (70ºC) 1.5 mm² - Amarelo</t>
        </is>
      </c>
      <c r="F184" s="34" t="n">
        <v>194.8</v>
      </c>
      <c r="G184" s="33" t="n">
        <v>1</v>
      </c>
      <c r="H184" s="34" t="n">
        <v>0</v>
      </c>
      <c r="I184" s="35">
        <f>(F184+H184*F184)*G184</f>
        <v/>
      </c>
      <c r="J184" s="34" t="inlineStr">
        <is>
          <t>m</t>
        </is>
      </c>
      <c r="K184" s="36" t="n">
        <v>1.14</v>
      </c>
      <c r="L184" s="37">
        <f>I184*K184</f>
        <v/>
      </c>
    </row>
    <row r="185">
      <c r="A185" s="32" t="inlineStr">
        <is>
          <t>TORRE</t>
        </is>
      </c>
      <c r="B185" s="32" t="inlineStr">
        <is>
          <t>TÉRREO</t>
        </is>
      </c>
      <c r="C185" s="32" t="inlineStr">
        <is>
          <t>INSTALAÇÕES ELÉTRICAS</t>
        </is>
      </c>
      <c r="D185" s="32" t="inlineStr">
        <is>
          <t>CABO UNIPOLAR</t>
        </is>
      </c>
      <c r="E185" s="32" t="inlineStr">
        <is>
          <t>Isolação em PVC (70ºC) 1.5 mm² - Azul claro</t>
        </is>
      </c>
      <c r="F185" s="34" t="n">
        <v>214.7</v>
      </c>
      <c r="G185" s="33" t="n">
        <v>1</v>
      </c>
      <c r="H185" s="34" t="n">
        <v>0</v>
      </c>
      <c r="I185" s="35">
        <f>(F185+H185*F185)*G185</f>
        <v/>
      </c>
      <c r="J185" s="34" t="inlineStr">
        <is>
          <t>m</t>
        </is>
      </c>
      <c r="K185" s="36" t="n">
        <v>1.14</v>
      </c>
      <c r="L185" s="37">
        <f>I185*K185</f>
        <v/>
      </c>
    </row>
    <row r="186">
      <c r="A186" s="32" t="inlineStr">
        <is>
          <t>TORRE</t>
        </is>
      </c>
      <c r="B186" s="32" t="inlineStr">
        <is>
          <t>TÉRREO</t>
        </is>
      </c>
      <c r="C186" s="32" t="inlineStr">
        <is>
          <t>INSTALAÇÕES ELÉTRICAS</t>
        </is>
      </c>
      <c r="D186" s="32" t="inlineStr">
        <is>
          <t>CABO UNIPOLAR</t>
        </is>
      </c>
      <c r="E186" s="32" t="inlineStr">
        <is>
          <t>Isolação em PVC (70ºC) 1.5 mm² - Branco</t>
        </is>
      </c>
      <c r="F186" s="34" t="n">
        <v>177.5</v>
      </c>
      <c r="G186" s="33" t="n">
        <v>1</v>
      </c>
      <c r="H186" s="34" t="n">
        <v>0</v>
      </c>
      <c r="I186" s="35">
        <f>(F186+H186*F186)*G186</f>
        <v/>
      </c>
      <c r="J186" s="34" t="inlineStr">
        <is>
          <t>m</t>
        </is>
      </c>
      <c r="K186" s="36" t="n">
        <v>1.14</v>
      </c>
      <c r="L186" s="37">
        <f>I186*K186</f>
        <v/>
      </c>
    </row>
    <row r="187">
      <c r="A187" s="32" t="inlineStr">
        <is>
          <t>TORRE</t>
        </is>
      </c>
      <c r="B187" s="32" t="inlineStr">
        <is>
          <t>TÉRREO</t>
        </is>
      </c>
      <c r="C187" s="32" t="inlineStr">
        <is>
          <t>INSTALAÇÕES ELÉTRICAS</t>
        </is>
      </c>
      <c r="D187" s="32" t="inlineStr">
        <is>
          <t>CABO UNIPOLAR</t>
        </is>
      </c>
      <c r="E187" s="32" t="inlineStr">
        <is>
          <t>Isolação em PVC (70ºC) 1.5 mm² - Preto</t>
        </is>
      </c>
      <c r="F187" s="34" t="n">
        <v>58.5</v>
      </c>
      <c r="G187" s="33" t="n">
        <v>1</v>
      </c>
      <c r="H187" s="34" t="n">
        <v>0</v>
      </c>
      <c r="I187" s="35">
        <f>(F187+H187*F187)*G187</f>
        <v/>
      </c>
      <c r="J187" s="34" t="inlineStr">
        <is>
          <t>m</t>
        </is>
      </c>
      <c r="K187" s="36" t="n">
        <v>1.14</v>
      </c>
      <c r="L187" s="37">
        <f>I187*K187</f>
        <v/>
      </c>
    </row>
    <row r="188">
      <c r="A188" s="32" t="inlineStr">
        <is>
          <t>TORRE</t>
        </is>
      </c>
      <c r="B188" s="32" t="inlineStr">
        <is>
          <t>TÉRREO</t>
        </is>
      </c>
      <c r="C188" s="32" t="inlineStr">
        <is>
          <t>INSTALAÇÕES ELÉTRICAS</t>
        </is>
      </c>
      <c r="D188" s="32" t="inlineStr">
        <is>
          <t>CABO UNIPOLAR</t>
        </is>
      </c>
      <c r="E188" s="32" t="inlineStr">
        <is>
          <t>Isolação em PVC (70ºC) 1.5 mm² - Verde-amarelo</t>
        </is>
      </c>
      <c r="F188" s="34" t="n">
        <v>28.4</v>
      </c>
      <c r="G188" s="33" t="n">
        <v>1</v>
      </c>
      <c r="H188" s="34" t="n">
        <v>0</v>
      </c>
      <c r="I188" s="35">
        <f>(F188+H188*F188)*G188</f>
        <v/>
      </c>
      <c r="J188" s="34" t="inlineStr">
        <is>
          <t>m</t>
        </is>
      </c>
      <c r="K188" s="36" t="n">
        <v>1.14</v>
      </c>
      <c r="L188" s="37">
        <f>I188*K188</f>
        <v/>
      </c>
    </row>
    <row r="189">
      <c r="A189" s="32" t="inlineStr">
        <is>
          <t>TORRE</t>
        </is>
      </c>
      <c r="B189" s="32" t="inlineStr">
        <is>
          <t>TÉRREO</t>
        </is>
      </c>
      <c r="C189" s="32" t="inlineStr">
        <is>
          <t>INSTALAÇÕES ELÉTRICAS</t>
        </is>
      </c>
      <c r="D189" s="32" t="inlineStr">
        <is>
          <t>CABO UNIPOLAR</t>
        </is>
      </c>
      <c r="E189" s="32" t="inlineStr">
        <is>
          <t>Isolação em PVC (70ºC) 2.5 mm² - Azul claro</t>
        </is>
      </c>
      <c r="F189" s="34" t="n">
        <v>709.2</v>
      </c>
      <c r="G189" s="33" t="n">
        <v>1</v>
      </c>
      <c r="H189" s="34" t="n">
        <v>0</v>
      </c>
      <c r="I189" s="35">
        <f>(F189+H189*F189)*G189</f>
        <v/>
      </c>
      <c r="J189" s="34" t="inlineStr">
        <is>
          <t>m</t>
        </is>
      </c>
      <c r="K189" s="36" t="n">
        <v>2.12</v>
      </c>
      <c r="L189" s="37">
        <f>I189*K189</f>
        <v/>
      </c>
    </row>
    <row r="190">
      <c r="A190" s="32" t="inlineStr">
        <is>
          <t>TORRE</t>
        </is>
      </c>
      <c r="B190" s="32" t="inlineStr">
        <is>
          <t>TÉRREO</t>
        </is>
      </c>
      <c r="C190" s="32" t="inlineStr">
        <is>
          <t>INSTALAÇÕES ELÉTRICAS</t>
        </is>
      </c>
      <c r="D190" s="32" t="inlineStr">
        <is>
          <t>CABO UNIPOLAR</t>
        </is>
      </c>
      <c r="E190" s="32" t="inlineStr">
        <is>
          <t>Isolação em PVC (70ºC) 2.5 mm² - Branco</t>
        </is>
      </c>
      <c r="F190" s="34" t="n">
        <v>240.9</v>
      </c>
      <c r="G190" s="33" t="n">
        <v>1</v>
      </c>
      <c r="H190" s="34" t="n">
        <v>0</v>
      </c>
      <c r="I190" s="35">
        <f>(F190+H190*F190)*G190</f>
        <v/>
      </c>
      <c r="J190" s="34" t="inlineStr">
        <is>
          <t>m</t>
        </is>
      </c>
      <c r="K190" s="36" t="n">
        <v>2.12</v>
      </c>
      <c r="L190" s="37">
        <f>I190*K190</f>
        <v/>
      </c>
    </row>
    <row r="191">
      <c r="A191" s="32" t="inlineStr">
        <is>
          <t>TORRE</t>
        </is>
      </c>
      <c r="B191" s="32" t="inlineStr">
        <is>
          <t>TÉRREO</t>
        </is>
      </c>
      <c r="C191" s="32" t="inlineStr">
        <is>
          <t>INSTALAÇÕES ELÉTRICAS</t>
        </is>
      </c>
      <c r="D191" s="32" t="inlineStr">
        <is>
          <t>CABO UNIPOLAR</t>
        </is>
      </c>
      <c r="E191" s="32" t="inlineStr">
        <is>
          <t>Isolação em PVC (70ºC) 2.5 mm² - Preto</t>
        </is>
      </c>
      <c r="F191" s="34" t="n">
        <v>313.1</v>
      </c>
      <c r="G191" s="33" t="n">
        <v>1</v>
      </c>
      <c r="H191" s="34" t="n">
        <v>0</v>
      </c>
      <c r="I191" s="35">
        <f>(F191+H191*F191)*G191</f>
        <v/>
      </c>
      <c r="J191" s="34" t="inlineStr">
        <is>
          <t>m</t>
        </is>
      </c>
      <c r="K191" s="36" t="n">
        <v>2.12</v>
      </c>
      <c r="L191" s="37">
        <f>I191*K191</f>
        <v/>
      </c>
    </row>
    <row r="192">
      <c r="A192" s="32" t="inlineStr">
        <is>
          <t>TORRE</t>
        </is>
      </c>
      <c r="B192" s="32" t="inlineStr">
        <is>
          <t>TÉRREO</t>
        </is>
      </c>
      <c r="C192" s="32" t="inlineStr">
        <is>
          <t>INSTALAÇÕES ELÉTRICAS</t>
        </is>
      </c>
      <c r="D192" s="32" t="inlineStr">
        <is>
          <t>CABO UNIPOLAR</t>
        </is>
      </c>
      <c r="E192" s="32" t="inlineStr">
        <is>
          <t>Isolação em PVC (70ºC) 2.5 mm² - Verde-amarelo</t>
        </is>
      </c>
      <c r="F192" s="34" t="n">
        <v>403.4</v>
      </c>
      <c r="G192" s="33" t="n">
        <v>1</v>
      </c>
      <c r="H192" s="34" t="n">
        <v>0</v>
      </c>
      <c r="I192" s="35">
        <f>(F192+H192*F192)*G192</f>
        <v/>
      </c>
      <c r="J192" s="34" t="inlineStr">
        <is>
          <t>m</t>
        </is>
      </c>
      <c r="K192" s="36" t="n">
        <v>2.12</v>
      </c>
      <c r="L192" s="37">
        <f>I192*K192</f>
        <v/>
      </c>
    </row>
    <row r="193">
      <c r="A193" s="32" t="inlineStr">
        <is>
          <t>TORRE</t>
        </is>
      </c>
      <c r="B193" s="32" t="inlineStr">
        <is>
          <t>TÉRREO</t>
        </is>
      </c>
      <c r="C193" s="32" t="inlineStr">
        <is>
          <t>INSTALAÇÕES ELÉTRICAS</t>
        </is>
      </c>
      <c r="D193" s="32" t="inlineStr">
        <is>
          <t>CABO UNIPOLAR</t>
        </is>
      </c>
      <c r="E193" s="32" t="inlineStr">
        <is>
          <t>Isolação em PVC (70ºC) 2.5 mm² - Vermelho</t>
        </is>
      </c>
      <c r="F193" s="34" t="n">
        <v>155.2</v>
      </c>
      <c r="G193" s="33" t="n">
        <v>1</v>
      </c>
      <c r="H193" s="34" t="n">
        <v>0</v>
      </c>
      <c r="I193" s="35">
        <f>(F193+H193*F193)*G193</f>
        <v/>
      </c>
      <c r="J193" s="34" t="inlineStr">
        <is>
          <t>m</t>
        </is>
      </c>
      <c r="K193" s="36" t="n">
        <v>2.12</v>
      </c>
      <c r="L193" s="37">
        <f>I193*K193</f>
        <v/>
      </c>
    </row>
    <row r="194">
      <c r="A194" s="32" t="inlineStr">
        <is>
          <t>TORRE</t>
        </is>
      </c>
      <c r="B194" s="32" t="inlineStr">
        <is>
          <t>TÉRREO</t>
        </is>
      </c>
      <c r="C194" s="32" t="inlineStr">
        <is>
          <t>INSTALAÇÕES ELÉTRICAS</t>
        </is>
      </c>
      <c r="D194" s="32" t="inlineStr">
        <is>
          <t>CABO UNIPOLAR</t>
        </is>
      </c>
      <c r="E194" s="32" t="inlineStr">
        <is>
          <t>Isolação em PVC (70ºC) 4 mm² - Azul claro</t>
        </is>
      </c>
      <c r="F194" s="34" t="n">
        <v>133.8</v>
      </c>
      <c r="G194" s="33" t="n">
        <v>1</v>
      </c>
      <c r="H194" s="34" t="n">
        <v>0</v>
      </c>
      <c r="I194" s="35">
        <f>(F194+H194*F194)*G194</f>
        <v/>
      </c>
      <c r="J194" s="34" t="inlineStr">
        <is>
          <t>m</t>
        </is>
      </c>
      <c r="K194" s="36" t="n">
        <v>3.51</v>
      </c>
      <c r="L194" s="37">
        <f>I194*K194</f>
        <v/>
      </c>
    </row>
    <row r="195">
      <c r="A195" s="32" t="inlineStr">
        <is>
          <t>TORRE</t>
        </is>
      </c>
      <c r="B195" s="32" t="inlineStr">
        <is>
          <t>TÉRREO</t>
        </is>
      </c>
      <c r="C195" s="32" t="inlineStr">
        <is>
          <t>INSTALAÇÕES ELÉTRICAS</t>
        </is>
      </c>
      <c r="D195" s="32" t="inlineStr">
        <is>
          <t>CABO UNIPOLAR</t>
        </is>
      </c>
      <c r="E195" s="32" t="inlineStr">
        <is>
          <t>Isolação em PVC (70ºC) 4 mm² - Branco</t>
        </is>
      </c>
      <c r="F195" s="34" t="n">
        <v>53.4</v>
      </c>
      <c r="G195" s="33" t="n">
        <v>1</v>
      </c>
      <c r="H195" s="34" t="n">
        <v>0</v>
      </c>
      <c r="I195" s="35">
        <f>(F195+H195*F195)*G195</f>
        <v/>
      </c>
      <c r="J195" s="34" t="inlineStr">
        <is>
          <t>m</t>
        </is>
      </c>
      <c r="K195" s="36" t="n">
        <v>3.51</v>
      </c>
      <c r="L195" s="37">
        <f>I195*K195</f>
        <v/>
      </c>
    </row>
    <row r="196">
      <c r="A196" s="32" t="inlineStr">
        <is>
          <t>TORRE</t>
        </is>
      </c>
      <c r="B196" s="32" t="inlineStr">
        <is>
          <t>TÉRREO</t>
        </is>
      </c>
      <c r="C196" s="32" t="inlineStr">
        <is>
          <t>INSTALAÇÕES ELÉTRICAS</t>
        </is>
      </c>
      <c r="D196" s="32" t="inlineStr">
        <is>
          <t>CABO UNIPOLAR</t>
        </is>
      </c>
      <c r="E196" s="32" t="inlineStr">
        <is>
          <t>Isolação em PVC (70ºC) 4 mm² - Preto</t>
        </is>
      </c>
      <c r="F196" s="34" t="n">
        <v>43.4</v>
      </c>
      <c r="G196" s="33" t="n">
        <v>1</v>
      </c>
      <c r="H196" s="34" t="n">
        <v>0</v>
      </c>
      <c r="I196" s="35">
        <f>(F196+H196*F196)*G196</f>
        <v/>
      </c>
      <c r="J196" s="34" t="inlineStr">
        <is>
          <t>m</t>
        </is>
      </c>
      <c r="K196" s="36" t="n">
        <v>3.51</v>
      </c>
      <c r="L196" s="37">
        <f>I196*K196</f>
        <v/>
      </c>
    </row>
    <row r="197">
      <c r="A197" s="32" t="inlineStr">
        <is>
          <t>TORRE</t>
        </is>
      </c>
      <c r="B197" s="32" t="inlineStr">
        <is>
          <t>TÉRREO</t>
        </is>
      </c>
      <c r="C197" s="32" t="inlineStr">
        <is>
          <t>INSTALAÇÕES ELÉTRICAS</t>
        </is>
      </c>
      <c r="D197" s="32" t="inlineStr">
        <is>
          <t>CABO UNIPOLAR</t>
        </is>
      </c>
      <c r="E197" s="32" t="inlineStr">
        <is>
          <t>Isolação em PVC (70ºC) 4 mm² - Verde-amarelo</t>
        </is>
      </c>
      <c r="F197" s="34" t="n">
        <v>116.2</v>
      </c>
      <c r="G197" s="33" t="n">
        <v>1</v>
      </c>
      <c r="H197" s="34" t="n">
        <v>0</v>
      </c>
      <c r="I197" s="35">
        <f>(F197+H197*F197)*G197</f>
        <v/>
      </c>
      <c r="J197" s="34" t="inlineStr">
        <is>
          <t>m</t>
        </is>
      </c>
      <c r="K197" s="36" t="n">
        <v>3.51</v>
      </c>
      <c r="L197" s="37">
        <f>I197*K197</f>
        <v/>
      </c>
    </row>
    <row r="198">
      <c r="A198" s="32" t="inlineStr">
        <is>
          <t>TORRE</t>
        </is>
      </c>
      <c r="B198" s="32" t="inlineStr">
        <is>
          <t>TÉRREO</t>
        </is>
      </c>
      <c r="C198" s="32" t="inlineStr">
        <is>
          <t>INSTALAÇÕES ELÉTRICAS</t>
        </is>
      </c>
      <c r="D198" s="32" t="inlineStr">
        <is>
          <t>CABO UNIPOLAR</t>
        </is>
      </c>
      <c r="E198" s="32" t="inlineStr">
        <is>
          <t>Isolação em PVC (70ºC) 4 mm² - Vermelho</t>
        </is>
      </c>
      <c r="F198" s="34" t="n">
        <v>68.3</v>
      </c>
      <c r="G198" s="33" t="n">
        <v>1</v>
      </c>
      <c r="H198" s="34" t="n">
        <v>0</v>
      </c>
      <c r="I198" s="35">
        <f>(F198+H198*F198)*G198</f>
        <v/>
      </c>
      <c r="J198" s="34" t="inlineStr">
        <is>
          <t>m</t>
        </is>
      </c>
      <c r="K198" s="36" t="n">
        <v>3.51</v>
      </c>
      <c r="L198" s="37">
        <f>I198*K198</f>
        <v/>
      </c>
    </row>
    <row r="199">
      <c r="A199" s="32" t="inlineStr">
        <is>
          <t>TORRE</t>
        </is>
      </c>
      <c r="B199" s="32" t="inlineStr">
        <is>
          <t>TÉRREO</t>
        </is>
      </c>
      <c r="C199" s="32" t="inlineStr">
        <is>
          <t>INSTALAÇÕES ELÉTRICAS</t>
        </is>
      </c>
      <c r="D199" s="32" t="inlineStr">
        <is>
          <t>CABO UNIPOLAR</t>
        </is>
      </c>
      <c r="E199" s="32" t="inlineStr">
        <is>
          <t>Isolação em PVC (70ºC) 6 mm² - Azul claro</t>
        </is>
      </c>
      <c r="F199" s="34" t="n">
        <v>4.8</v>
      </c>
      <c r="G199" s="33" t="n">
        <v>1</v>
      </c>
      <c r="H199" s="34" t="n">
        <v>0</v>
      </c>
      <c r="I199" s="35">
        <f>(F199+H199*F199)*G199</f>
        <v/>
      </c>
      <c r="J199" s="34" t="inlineStr">
        <is>
          <t>m</t>
        </is>
      </c>
      <c r="K199" s="36" t="n">
        <v>8</v>
      </c>
      <c r="L199" s="37">
        <f>I199*K199</f>
        <v/>
      </c>
    </row>
    <row r="200">
      <c r="A200" s="32" t="inlineStr">
        <is>
          <t>TORRE</t>
        </is>
      </c>
      <c r="B200" s="32" t="inlineStr">
        <is>
          <t>TÉRREO</t>
        </is>
      </c>
      <c r="C200" s="32" t="inlineStr">
        <is>
          <t>INSTALAÇÕES ELÉTRICAS</t>
        </is>
      </c>
      <c r="D200" s="32" t="inlineStr">
        <is>
          <t>CABO UNIPOLAR</t>
        </is>
      </c>
      <c r="E200" s="32" t="inlineStr">
        <is>
          <t>Isolação em PVC (70ºC) 6 mm² - Preto</t>
        </is>
      </c>
      <c r="F200" s="34" t="n">
        <v>4.8</v>
      </c>
      <c r="G200" s="33" t="n">
        <v>1</v>
      </c>
      <c r="H200" s="34" t="n">
        <v>0</v>
      </c>
      <c r="I200" s="35">
        <f>(F200+H200*F200)*G200</f>
        <v/>
      </c>
      <c r="J200" s="34" t="inlineStr">
        <is>
          <t>m</t>
        </is>
      </c>
      <c r="K200" s="36" t="n">
        <v>8</v>
      </c>
      <c r="L200" s="37">
        <f>I200*K200</f>
        <v/>
      </c>
    </row>
    <row r="201" ht="15" customHeight="1">
      <c r="A201" s="32" t="inlineStr">
        <is>
          <t>TORRE</t>
        </is>
      </c>
      <c r="B201" s="32" t="inlineStr">
        <is>
          <t>TÉRREO</t>
        </is>
      </c>
      <c r="C201" s="32" t="inlineStr">
        <is>
          <t>INSTALAÇÕES ELÉTRICAS</t>
        </is>
      </c>
      <c r="D201" s="32" t="inlineStr">
        <is>
          <t>CABO UNIPOLAR</t>
        </is>
      </c>
      <c r="E201" s="32" t="inlineStr">
        <is>
          <t>Isolação em PVC (70ºC) 6 mm² - Verde-amarelo</t>
        </is>
      </c>
      <c r="F201" s="34" t="n">
        <v>4.8</v>
      </c>
      <c r="G201" s="33" t="n">
        <v>1</v>
      </c>
      <c r="H201" s="34" t="n">
        <v>0</v>
      </c>
      <c r="I201" s="35">
        <f>(F201+H201*F201)*G201</f>
        <v/>
      </c>
      <c r="J201" s="34" t="inlineStr">
        <is>
          <t>m</t>
        </is>
      </c>
      <c r="K201" s="36" t="n">
        <v>8</v>
      </c>
      <c r="L201" s="37">
        <f>I201*K201</f>
        <v/>
      </c>
    </row>
    <row r="202" ht="15" customHeight="1">
      <c r="A202" s="40" t="inlineStr">
        <is>
          <t>TORRE</t>
        </is>
      </c>
      <c r="B202" s="40" t="inlineStr">
        <is>
          <t>GARAGEM 01</t>
        </is>
      </c>
      <c r="C202" s="41" t="n"/>
      <c r="D202" s="42" t="n"/>
      <c r="E202" s="42" t="n"/>
      <c r="F202" s="43" t="n"/>
      <c r="G202" s="43" t="n"/>
      <c r="H202" s="43" t="n"/>
      <c r="I202" s="44" t="n"/>
      <c r="J202" s="43" t="n"/>
      <c r="K202" s="45" t="n"/>
      <c r="L202" s="28">
        <f>SUMIFS($L$7:$L$513,$B$7:$B$513,B202,$E$7:$E$513,"&lt;&gt;"&amp;"")</f>
        <v/>
      </c>
    </row>
    <row r="203">
      <c r="A203" s="32" t="inlineStr">
        <is>
          <t>TORRE</t>
        </is>
      </c>
      <c r="B203" s="32" t="inlineStr">
        <is>
          <t>GARAGEM 01</t>
        </is>
      </c>
      <c r="C203" s="32" t="inlineStr">
        <is>
          <t>INSTALAÇÕES ELÉTRICAS</t>
        </is>
      </c>
      <c r="D203" s="32" t="inlineStr">
        <is>
          <t>CAIXA OCTOGONAL</t>
        </is>
      </c>
      <c r="E203" s="32" t="inlineStr">
        <is>
          <t>Caixa Octogonal Padrão NBR IEC 60670</t>
        </is>
      </c>
      <c r="F203" s="33" t="n">
        <v>93</v>
      </c>
      <c r="G203" s="33" t="n">
        <v>1</v>
      </c>
      <c r="H203" s="33" t="n">
        <v>0</v>
      </c>
      <c r="I203" s="35">
        <f>(F203+H203*F203)*G203</f>
        <v/>
      </c>
      <c r="J203" s="33" t="inlineStr">
        <is>
          <t>pç</t>
        </is>
      </c>
      <c r="K203" s="36" t="n">
        <v>3.55</v>
      </c>
      <c r="L203" s="37">
        <f>I203*K203</f>
        <v/>
      </c>
    </row>
    <row r="204">
      <c r="A204" s="32" t="inlineStr">
        <is>
          <t>TORRE</t>
        </is>
      </c>
      <c r="B204" s="32" t="inlineStr">
        <is>
          <t>GARAGEM 01</t>
        </is>
      </c>
      <c r="C204" s="32" t="inlineStr">
        <is>
          <t>INSTALAÇÕES ELÉTRICAS</t>
        </is>
      </c>
      <c r="D204" s="32" t="inlineStr">
        <is>
          <t>CAIXA OCTOGONAL</t>
        </is>
      </c>
      <c r="E204" s="32" t="inlineStr">
        <is>
          <t>Placa cega para caixa octogonal Padrão NBR IEC 60670</t>
        </is>
      </c>
      <c r="F204" s="33" t="n">
        <v>6</v>
      </c>
      <c r="G204" s="33" t="n">
        <v>1</v>
      </c>
      <c r="H204" s="33" t="n">
        <v>0</v>
      </c>
      <c r="I204" s="35">
        <f>(F204+H204*F204)*G204</f>
        <v/>
      </c>
      <c r="J204" s="33" t="inlineStr">
        <is>
          <t>pç</t>
        </is>
      </c>
      <c r="K204" s="36" t="n">
        <v>14.9</v>
      </c>
      <c r="L204" s="37">
        <f>I204*K204</f>
        <v/>
      </c>
    </row>
    <row r="205">
      <c r="A205" s="32" t="inlineStr">
        <is>
          <t>TORRE</t>
        </is>
      </c>
      <c r="B205" s="32" t="inlineStr">
        <is>
          <t>GARAGEM 01</t>
        </is>
      </c>
      <c r="C205" s="32" t="inlineStr">
        <is>
          <t>INSTALAÇÕES ELÉTRICAS</t>
        </is>
      </c>
      <c r="D205" s="32" t="inlineStr">
        <is>
          <t>CAIXAS 4x2" E 4x4"</t>
        </is>
      </c>
      <c r="E205" s="32" t="inlineStr">
        <is>
          <t>Caixa 4x2" de Embutir em PVC Padrão NBR IEC 60670</t>
        </is>
      </c>
      <c r="F205" s="33" t="n">
        <v>48</v>
      </c>
      <c r="G205" s="33" t="n">
        <v>1</v>
      </c>
      <c r="H205" s="33" t="n">
        <v>0</v>
      </c>
      <c r="I205" s="35">
        <f>(F205+H205*F205)*G205</f>
        <v/>
      </c>
      <c r="J205" s="33" t="inlineStr">
        <is>
          <t>pç</t>
        </is>
      </c>
      <c r="K205" s="36" t="n">
        <v>2.2</v>
      </c>
      <c r="L205" s="37">
        <f>I205*K205</f>
        <v/>
      </c>
    </row>
    <row r="206">
      <c r="A206" s="32" t="inlineStr">
        <is>
          <t>TORRE</t>
        </is>
      </c>
      <c r="B206" s="32" t="inlineStr">
        <is>
          <t>GARAGEM 01</t>
        </is>
      </c>
      <c r="C206" s="32" t="inlineStr">
        <is>
          <t>INSTALAÇÕES ELÉTRICAS</t>
        </is>
      </c>
      <c r="D206" s="32" t="inlineStr">
        <is>
          <t>CAIXAS 4x2" E 4x4"</t>
        </is>
      </c>
      <c r="E206" s="32" t="inlineStr">
        <is>
          <t>Caixa 4x4" de Embutir em PVC Padrão NBR IEC 60670</t>
        </is>
      </c>
      <c r="F206" s="33" t="n">
        <v>8</v>
      </c>
      <c r="G206" s="33" t="n">
        <v>1</v>
      </c>
      <c r="H206" s="33" t="n">
        <v>0</v>
      </c>
      <c r="I206" s="35">
        <f>(F206+H206*F206)*G206</f>
        <v/>
      </c>
      <c r="J206" s="33" t="inlineStr">
        <is>
          <t>pç</t>
        </is>
      </c>
      <c r="K206" s="36" t="n">
        <v>2.67</v>
      </c>
      <c r="L206" s="37">
        <f>I206*K206</f>
        <v/>
      </c>
    </row>
    <row r="207">
      <c r="A207" s="32" t="inlineStr">
        <is>
          <t>TORRE</t>
        </is>
      </c>
      <c r="B207" s="32" t="inlineStr">
        <is>
          <t>GARAGEM 01</t>
        </is>
      </c>
      <c r="C207" s="32" t="inlineStr">
        <is>
          <t>INSTALAÇÕES ELÉTRICAS</t>
        </is>
      </c>
      <c r="D207" s="32" t="inlineStr">
        <is>
          <t>CAIXAS 4x2" E 4x4"</t>
        </is>
      </c>
      <c r="E207" s="32" t="inlineStr">
        <is>
          <t>Placa 4x2" cega Padrão NBR IEC 60670</t>
        </is>
      </c>
      <c r="F207" s="33" t="n">
        <v>6</v>
      </c>
      <c r="G207" s="33" t="n">
        <v>1</v>
      </c>
      <c r="H207" s="33" t="n">
        <v>0</v>
      </c>
      <c r="I207" s="35">
        <f>(F207+H207*F207)*G207</f>
        <v/>
      </c>
      <c r="J207" s="33" t="inlineStr">
        <is>
          <t>pç</t>
        </is>
      </c>
      <c r="K207" s="36" t="n">
        <v>8.9</v>
      </c>
      <c r="L207" s="37">
        <f>I207*K207</f>
        <v/>
      </c>
    </row>
    <row r="208">
      <c r="A208" s="32" t="inlineStr">
        <is>
          <t>TORRE</t>
        </is>
      </c>
      <c r="B208" s="32" t="inlineStr">
        <is>
          <t>GARAGEM 01</t>
        </is>
      </c>
      <c r="C208" s="32" t="inlineStr">
        <is>
          <t>INSTALAÇÕES ELÉTRICAS</t>
        </is>
      </c>
      <c r="D208" s="32" t="inlineStr">
        <is>
          <t>CAIXAS 4x2" E 4x4"</t>
        </is>
      </c>
      <c r="E208" s="32" t="inlineStr">
        <is>
          <t>Placa 4x2" para 1 função Padrão NBR IEC 60670</t>
        </is>
      </c>
      <c r="F208" s="33" t="n">
        <v>27</v>
      </c>
      <c r="G208" s="33" t="n">
        <v>1</v>
      </c>
      <c r="H208" s="33" t="n">
        <v>0</v>
      </c>
      <c r="I208" s="35">
        <f>(F208+H208*F208)*G208</f>
        <v/>
      </c>
      <c r="J208" s="33" t="inlineStr">
        <is>
          <t>pç</t>
        </is>
      </c>
      <c r="K208" s="36" t="n">
        <v>8.9</v>
      </c>
      <c r="L208" s="37">
        <f>I208*K208</f>
        <v/>
      </c>
    </row>
    <row r="209">
      <c r="A209" s="32" t="inlineStr">
        <is>
          <t>TORRE</t>
        </is>
      </c>
      <c r="B209" s="32" t="inlineStr">
        <is>
          <t>GARAGEM 01</t>
        </is>
      </c>
      <c r="C209" s="32" t="inlineStr">
        <is>
          <t>INSTALAÇÕES ELÉTRICAS</t>
        </is>
      </c>
      <c r="D209" s="32" t="inlineStr">
        <is>
          <t>CAIXAS 4x2" E 4x4"</t>
        </is>
      </c>
      <c r="E209" s="32" t="inlineStr">
        <is>
          <t>Placa 4x2" para 2 funções Padrão NBR IEC 60670</t>
        </is>
      </c>
      <c r="F209" s="33" t="n">
        <v>3</v>
      </c>
      <c r="G209" s="33" t="n">
        <v>1</v>
      </c>
      <c r="H209" s="33" t="n">
        <v>0</v>
      </c>
      <c r="I209" s="35">
        <f>(F209+H209*F209)*G209</f>
        <v/>
      </c>
      <c r="J209" s="33" t="inlineStr">
        <is>
          <t>pç</t>
        </is>
      </c>
      <c r="K209" s="36" t="n">
        <v>11</v>
      </c>
      <c r="L209" s="37">
        <f>I209*K209</f>
        <v/>
      </c>
    </row>
    <row r="210">
      <c r="A210" s="32" t="inlineStr">
        <is>
          <t>TORRE</t>
        </is>
      </c>
      <c r="B210" s="32" t="inlineStr">
        <is>
          <t>GARAGEM 01</t>
        </is>
      </c>
      <c r="C210" s="32" t="inlineStr">
        <is>
          <t>INSTALAÇÕES ELÉTRICAS</t>
        </is>
      </c>
      <c r="D210" s="32" t="inlineStr">
        <is>
          <t>CAIXAS 4x2" E 4x4"</t>
        </is>
      </c>
      <c r="E210" s="32" t="inlineStr">
        <is>
          <t>Placa 4x4" cega Padrão NBR IEC 60670</t>
        </is>
      </c>
      <c r="F210" s="33" t="n">
        <v>8</v>
      </c>
      <c r="G210" s="33" t="n">
        <v>1</v>
      </c>
      <c r="H210" s="33" t="n">
        <v>0</v>
      </c>
      <c r="I210" s="35">
        <f>(F210+H210*F210)*G210</f>
        <v/>
      </c>
      <c r="J210" s="33" t="inlineStr">
        <is>
          <t>pç</t>
        </is>
      </c>
      <c r="K210" s="36" t="n">
        <v>16.5</v>
      </c>
      <c r="L210" s="37">
        <f>I210*K210</f>
        <v/>
      </c>
    </row>
    <row r="211">
      <c r="A211" s="32" t="inlineStr">
        <is>
          <t>TORRE</t>
        </is>
      </c>
      <c r="B211" s="32" t="inlineStr">
        <is>
          <t>GARAGEM 01</t>
        </is>
      </c>
      <c r="C211" s="32" t="inlineStr">
        <is>
          <t>INSTALAÇÕES ELÉTRICAS</t>
        </is>
      </c>
      <c r="D211" s="32" t="inlineStr">
        <is>
          <t>CAIXAS 4x2" E 4x4"</t>
        </is>
      </c>
      <c r="E211" s="32" t="inlineStr">
        <is>
          <t>Placa 4x4" para 1 função Padrão NBR IEC 60670</t>
        </is>
      </c>
      <c r="F211" s="33" t="n">
        <v>12</v>
      </c>
      <c r="G211" s="33" t="n">
        <v>1</v>
      </c>
      <c r="H211" s="33" t="n">
        <v>0</v>
      </c>
      <c r="I211" s="35">
        <f>(F211+H211*F211)*G211</f>
        <v/>
      </c>
      <c r="J211" s="33" t="inlineStr">
        <is>
          <t>pç</t>
        </is>
      </c>
      <c r="K211" s="36" t="n">
        <v>16.5</v>
      </c>
      <c r="L211" s="37">
        <f>I211*K211</f>
        <v/>
      </c>
    </row>
    <row r="212">
      <c r="A212" s="32" t="inlineStr">
        <is>
          <t>TORRE</t>
        </is>
      </c>
      <c r="B212" s="32" t="inlineStr">
        <is>
          <t>GARAGEM 01</t>
        </is>
      </c>
      <c r="C212" s="32" t="inlineStr">
        <is>
          <t>INSTALAÇÕES ELÉTRICAS</t>
        </is>
      </c>
      <c r="D212" s="32" t="inlineStr">
        <is>
          <t>CAIXAS 4x2" E 4x4"</t>
        </is>
      </c>
      <c r="E212" s="32" t="inlineStr">
        <is>
          <t>Suporte p/ caixa 4x2" Padrão NBR IEC 60670</t>
        </is>
      </c>
      <c r="F212" s="33" t="n">
        <v>48</v>
      </c>
      <c r="G212" s="33" t="n">
        <v>1</v>
      </c>
      <c r="H212" s="33" t="n">
        <v>0</v>
      </c>
      <c r="I212" s="35">
        <f>(F212+H212*F212)*G212</f>
        <v/>
      </c>
      <c r="J212" s="33" t="inlineStr">
        <is>
          <t>pç</t>
        </is>
      </c>
      <c r="K212" s="36" t="n">
        <v>1.85</v>
      </c>
      <c r="L212" s="37">
        <f>I212*K212</f>
        <v/>
      </c>
    </row>
    <row r="213">
      <c r="A213" s="32" t="inlineStr">
        <is>
          <t>TORRE</t>
        </is>
      </c>
      <c r="B213" s="32" t="inlineStr">
        <is>
          <t>GARAGEM 01</t>
        </is>
      </c>
      <c r="C213" s="32" t="inlineStr">
        <is>
          <t>INSTALAÇÕES ELÉTRICAS</t>
        </is>
      </c>
      <c r="D213" s="32" t="inlineStr">
        <is>
          <t>CAIXAS 4x2" E 4x4"</t>
        </is>
      </c>
      <c r="E213" s="32" t="inlineStr">
        <is>
          <t>Suporte p/ caixa 4x4" Padrão NBR IEC 60670</t>
        </is>
      </c>
      <c r="F213" s="33" t="n">
        <v>8</v>
      </c>
      <c r="G213" s="33" t="n">
        <v>1</v>
      </c>
      <c r="H213" s="33" t="n">
        <v>0</v>
      </c>
      <c r="I213" s="35">
        <f>(F213+H213*F213)*G213</f>
        <v/>
      </c>
      <c r="J213" s="33" t="inlineStr">
        <is>
          <t>pç</t>
        </is>
      </c>
      <c r="K213" s="36" t="n">
        <v>2.23</v>
      </c>
      <c r="L213" s="37">
        <f>I213*K213</f>
        <v/>
      </c>
    </row>
    <row r="214">
      <c r="A214" s="32" t="inlineStr">
        <is>
          <t>TORRE</t>
        </is>
      </c>
      <c r="B214" s="32" t="inlineStr">
        <is>
          <t>GARAGEM 01</t>
        </is>
      </c>
      <c r="C214" s="32" t="inlineStr">
        <is>
          <t>INSTALAÇÕES ELÉTRICAS</t>
        </is>
      </c>
      <c r="D214" s="32" t="inlineStr">
        <is>
          <t>DISPOSITIVOS DE PROTEÇÃO</t>
        </is>
      </c>
      <c r="E214" s="32" t="inlineStr">
        <is>
          <t>Disjuntores Monopolares DIN 10 A - 3 kA - Curva C - NBR NM 60898</t>
        </is>
      </c>
      <c r="F214" s="33" t="n">
        <v>2</v>
      </c>
      <c r="G214" s="33" t="n">
        <v>1</v>
      </c>
      <c r="H214" s="33" t="n">
        <v>0</v>
      </c>
      <c r="I214" s="35">
        <f>(F214+H214*F214)*G214</f>
        <v/>
      </c>
      <c r="J214" s="33" t="inlineStr">
        <is>
          <t>pç</t>
        </is>
      </c>
      <c r="K214" s="36" t="n">
        <v>12.16</v>
      </c>
      <c r="L214" s="37">
        <f>I214*K214</f>
        <v/>
      </c>
    </row>
    <row r="215">
      <c r="A215" s="32" t="inlineStr">
        <is>
          <t>TORRE</t>
        </is>
      </c>
      <c r="B215" s="32" t="inlineStr">
        <is>
          <t>GARAGEM 01</t>
        </is>
      </c>
      <c r="C215" s="32" t="inlineStr">
        <is>
          <t>INSTALAÇÕES ELÉTRICAS</t>
        </is>
      </c>
      <c r="D215" s="32" t="inlineStr">
        <is>
          <t>DISPOSITIVOS DE PROTEÇÃO</t>
        </is>
      </c>
      <c r="E215" s="32" t="inlineStr">
        <is>
          <t>Disjuntores Monopolares DIN 16 A - 3 kA - Curva C - NBR NM 60898</t>
        </is>
      </c>
      <c r="F215" s="33" t="n">
        <v>2</v>
      </c>
      <c r="G215" s="33" t="n">
        <v>1</v>
      </c>
      <c r="H215" s="33" t="n">
        <v>0</v>
      </c>
      <c r="I215" s="35">
        <f>(F215+H215*F215)*G215</f>
        <v/>
      </c>
      <c r="J215" s="33" t="inlineStr">
        <is>
          <t>pç</t>
        </is>
      </c>
      <c r="K215" s="36" t="n">
        <v>13.05</v>
      </c>
      <c r="L215" s="37">
        <f>I215*K215</f>
        <v/>
      </c>
    </row>
    <row r="216">
      <c r="A216" s="32" t="inlineStr">
        <is>
          <t>TORRE</t>
        </is>
      </c>
      <c r="B216" s="32" t="inlineStr">
        <is>
          <t>GARAGEM 01</t>
        </is>
      </c>
      <c r="C216" s="32" t="inlineStr">
        <is>
          <t>INSTALAÇÕES ELÉTRICAS</t>
        </is>
      </c>
      <c r="D216" s="32" t="inlineStr">
        <is>
          <t>DISPOSITIVOS DE PROTEÇÃO</t>
        </is>
      </c>
      <c r="E216" s="32" t="inlineStr">
        <is>
          <t>Disjuntores Monopolares DIN 20 A - 3 kA - Curva C - NBR NM 60898</t>
        </is>
      </c>
      <c r="F216" s="33" t="n">
        <v>1</v>
      </c>
      <c r="G216" s="33" t="n">
        <v>1</v>
      </c>
      <c r="H216" s="33" t="n">
        <v>0</v>
      </c>
      <c r="I216" s="35">
        <f>(F216+H216*F216)*G216</f>
        <v/>
      </c>
      <c r="J216" s="33" t="inlineStr">
        <is>
          <t>pç</t>
        </is>
      </c>
      <c r="K216" s="36" t="n">
        <v>14</v>
      </c>
      <c r="L216" s="37">
        <f>I216*K216</f>
        <v/>
      </c>
    </row>
    <row r="217">
      <c r="A217" s="32" t="inlineStr">
        <is>
          <t>TORRE</t>
        </is>
      </c>
      <c r="B217" s="32" t="inlineStr">
        <is>
          <t>GARAGEM 01</t>
        </is>
      </c>
      <c r="C217" s="32" t="inlineStr">
        <is>
          <t>INSTALAÇÕES ELÉTRICAS</t>
        </is>
      </c>
      <c r="D217" s="32" t="inlineStr">
        <is>
          <t>DISPOSITIVOS DE PROTEÇÃO</t>
        </is>
      </c>
      <c r="E217" s="32" t="inlineStr">
        <is>
          <t>Disjuntores Monopolares DIN 32 A - 3 kA - Curva C - NBR NM 60898</t>
        </is>
      </c>
      <c r="F217" s="33" t="n">
        <v>3</v>
      </c>
      <c r="G217" s="33" t="n">
        <v>1</v>
      </c>
      <c r="H217" s="33" t="n">
        <v>0</v>
      </c>
      <c r="I217" s="35">
        <f>(F217+H217*F217)*G217</f>
        <v/>
      </c>
      <c r="J217" s="33" t="inlineStr">
        <is>
          <t>pç</t>
        </is>
      </c>
      <c r="K217" s="36" t="n">
        <v>21</v>
      </c>
      <c r="L217" s="37">
        <f>I217*K217</f>
        <v/>
      </c>
    </row>
    <row r="218">
      <c r="A218" s="32" t="inlineStr">
        <is>
          <t>TORRE</t>
        </is>
      </c>
      <c r="B218" s="32" t="inlineStr">
        <is>
          <t>GARAGEM 01</t>
        </is>
      </c>
      <c r="C218" s="32" t="inlineStr">
        <is>
          <t>INSTALAÇÕES ELÉTRICAS</t>
        </is>
      </c>
      <c r="D218" s="32" t="inlineStr">
        <is>
          <t>DISPOSITIVOS DE PROTEÇÃO</t>
        </is>
      </c>
      <c r="E218" s="32" t="inlineStr">
        <is>
          <t>Disjuntores Tripolares DIN 50 A - 10 kA - Curva C - NBR 60947-2</t>
        </is>
      </c>
      <c r="F218" s="33" t="n">
        <v>1</v>
      </c>
      <c r="G218" s="33" t="n">
        <v>1</v>
      </c>
      <c r="H218" s="33" t="n">
        <v>0</v>
      </c>
      <c r="I218" s="35">
        <f>(F218+H218*F218)*G218</f>
        <v/>
      </c>
      <c r="J218" s="33" t="inlineStr">
        <is>
          <t>pç</t>
        </is>
      </c>
      <c r="K218" s="36" t="n">
        <v>64.90000000000001</v>
      </c>
      <c r="L218" s="37">
        <f>I218*K218</f>
        <v/>
      </c>
    </row>
    <row r="219">
      <c r="A219" s="32" t="inlineStr">
        <is>
          <t>TORRE</t>
        </is>
      </c>
      <c r="B219" s="32" t="inlineStr">
        <is>
          <t>GARAGEM 01</t>
        </is>
      </c>
      <c r="C219" s="32" t="inlineStr">
        <is>
          <t>INSTALAÇÕES ELÉTRICAS</t>
        </is>
      </c>
      <c r="D219" s="32" t="inlineStr">
        <is>
          <t>DISPOSITIVOS DE PROTEÇÃO</t>
        </is>
      </c>
      <c r="E219" s="32" t="inlineStr">
        <is>
          <t>Dispositivos de Proteção Contra Surto 275V - Classe I/II - In=30kA - Imáx.=60kA - NBR IEC 61643-1</t>
        </is>
      </c>
      <c r="F219" s="33" t="n">
        <v>4</v>
      </c>
      <c r="G219" s="33" t="n">
        <v>1</v>
      </c>
      <c r="H219" s="33" t="n">
        <v>0</v>
      </c>
      <c r="I219" s="35">
        <f>(F219+H219*F219)*G219</f>
        <v/>
      </c>
      <c r="J219" s="33" t="inlineStr">
        <is>
          <t>pç</t>
        </is>
      </c>
      <c r="K219" s="36" t="n">
        <v>97</v>
      </c>
      <c r="L219" s="37">
        <f>I219*K219</f>
        <v/>
      </c>
    </row>
    <row r="220">
      <c r="A220" s="32" t="inlineStr">
        <is>
          <t>TORRE</t>
        </is>
      </c>
      <c r="B220" s="32" t="inlineStr">
        <is>
          <t>GARAGEM 01</t>
        </is>
      </c>
      <c r="C220" s="32" t="inlineStr">
        <is>
          <t>INSTALAÇÕES ELÉTRICAS</t>
        </is>
      </c>
      <c r="D220" s="32" t="inlineStr">
        <is>
          <t>DISPOSITIVOS DE PROTEÇÃO</t>
        </is>
      </c>
      <c r="E220" s="32" t="inlineStr">
        <is>
          <t>Interruptores Diferenciais Residuais Tetrapolares DIN 63A - 30mA - Tipo AC - 400V - NBR NM 61008-1</t>
        </is>
      </c>
      <c r="F220" s="33" t="n">
        <v>1</v>
      </c>
      <c r="G220" s="33" t="n">
        <v>1</v>
      </c>
      <c r="H220" s="33" t="n">
        <v>0</v>
      </c>
      <c r="I220" s="35">
        <f>(F220+H220*F220)*G220</f>
        <v/>
      </c>
      <c r="J220" s="33" t="inlineStr">
        <is>
          <t>pç</t>
        </is>
      </c>
      <c r="K220" s="36" t="n">
        <v>201</v>
      </c>
      <c r="L220" s="37">
        <f>I220*K220</f>
        <v/>
      </c>
    </row>
    <row r="221">
      <c r="A221" s="32" t="inlineStr">
        <is>
          <t>TORRE</t>
        </is>
      </c>
      <c r="B221" s="32" t="inlineStr">
        <is>
          <t>GARAGEM 01</t>
        </is>
      </c>
      <c r="C221" s="32" t="inlineStr">
        <is>
          <t>INSTALAÇÕES ELÉTRICAS</t>
        </is>
      </c>
      <c r="D221" s="32" t="inlineStr">
        <is>
          <t xml:space="preserve">ELETRODUTOS  </t>
        </is>
      </c>
      <c r="E221" s="32" t="inlineStr">
        <is>
          <t>PVC Flexível Antichama - NBR 15465 ø1"</t>
        </is>
      </c>
      <c r="F221" s="33" t="n">
        <v>159.3</v>
      </c>
      <c r="G221" s="33" t="n">
        <v>1</v>
      </c>
      <c r="H221" s="33" t="n">
        <v>0</v>
      </c>
      <c r="I221" s="35">
        <f>(F221+H221*F221)*G221</f>
        <v/>
      </c>
      <c r="J221" s="33" t="inlineStr">
        <is>
          <t>m</t>
        </is>
      </c>
      <c r="K221" s="36" t="n">
        <v>5</v>
      </c>
      <c r="L221" s="37">
        <f>I221*K221</f>
        <v/>
      </c>
    </row>
    <row r="222">
      <c r="A222" s="32" t="inlineStr">
        <is>
          <t>TORRE</t>
        </is>
      </c>
      <c r="B222" s="32" t="inlineStr">
        <is>
          <t>GARAGEM 01</t>
        </is>
      </c>
      <c r="C222" s="32" t="inlineStr">
        <is>
          <t>INSTALAÇÕES ELÉTRICAS</t>
        </is>
      </c>
      <c r="D222" s="32" t="inlineStr">
        <is>
          <t xml:space="preserve">ELETRODUTOS  </t>
        </is>
      </c>
      <c r="E222" s="32" t="inlineStr">
        <is>
          <t>PVC Flexível Antichama - NBR 15465 ø3/4"</t>
        </is>
      </c>
      <c r="F222" s="33" t="n">
        <v>517.7</v>
      </c>
      <c r="G222" s="33" t="n">
        <v>1</v>
      </c>
      <c r="H222" s="33" t="n">
        <v>0</v>
      </c>
      <c r="I222" s="35">
        <f>(F222+H222*F222)*G222</f>
        <v/>
      </c>
      <c r="J222" s="33" t="inlineStr">
        <is>
          <t>m</t>
        </is>
      </c>
      <c r="K222" s="36" t="n">
        <v>3.5</v>
      </c>
      <c r="L222" s="37">
        <f>I222*K222</f>
        <v/>
      </c>
    </row>
    <row r="223">
      <c r="A223" s="32" t="inlineStr">
        <is>
          <t>TORRE</t>
        </is>
      </c>
      <c r="B223" s="32" t="inlineStr">
        <is>
          <t>GARAGEM 01</t>
        </is>
      </c>
      <c r="C223" s="32" t="inlineStr">
        <is>
          <t>INSTALAÇÕES ELÉTRICAS</t>
        </is>
      </c>
      <c r="D223" s="32" t="inlineStr">
        <is>
          <t>MÓDULOS</t>
        </is>
      </c>
      <c r="E223" s="32" t="inlineStr">
        <is>
          <t>Tomada 2P+T 10A Padrão NBR 14136</t>
        </is>
      </c>
      <c r="F223" s="33" t="n">
        <v>34</v>
      </c>
      <c r="G223" s="33" t="n">
        <v>1</v>
      </c>
      <c r="H223" s="33" t="n">
        <v>0</v>
      </c>
      <c r="I223" s="35">
        <f>(F223+H223*F223)*G223</f>
        <v/>
      </c>
      <c r="J223" s="33" t="inlineStr">
        <is>
          <t>pç</t>
        </is>
      </c>
      <c r="K223" s="36" t="n">
        <v>8</v>
      </c>
      <c r="L223" s="37">
        <f>I223*K223</f>
        <v/>
      </c>
    </row>
    <row r="224">
      <c r="A224" s="32" t="inlineStr">
        <is>
          <t>TORRE</t>
        </is>
      </c>
      <c r="B224" s="32" t="inlineStr">
        <is>
          <t>GARAGEM 01</t>
        </is>
      </c>
      <c r="C224" s="32" t="inlineStr">
        <is>
          <t>INSTALAÇÕES ELÉTRICAS</t>
        </is>
      </c>
      <c r="D224" s="32" t="inlineStr">
        <is>
          <t>MÓDULOS</t>
        </is>
      </c>
      <c r="E224" s="32" t="inlineStr">
        <is>
          <t>Tomada 2P+T 20A Padrão NBR 14136</t>
        </is>
      </c>
      <c r="F224" s="33" t="n">
        <v>3</v>
      </c>
      <c r="G224" s="33" t="n">
        <v>1</v>
      </c>
      <c r="H224" s="33" t="n">
        <v>0</v>
      </c>
      <c r="I224" s="35">
        <f>(F224+H224*F224)*G224</f>
        <v/>
      </c>
      <c r="J224" s="33" t="inlineStr">
        <is>
          <t>pç</t>
        </is>
      </c>
      <c r="K224" s="36" t="n">
        <v>14</v>
      </c>
      <c r="L224" s="37">
        <f>I224*K224</f>
        <v/>
      </c>
    </row>
    <row r="225">
      <c r="A225" s="32" t="inlineStr">
        <is>
          <t>TORRE</t>
        </is>
      </c>
      <c r="B225" s="32" t="inlineStr">
        <is>
          <t>GARAGEM 01</t>
        </is>
      </c>
      <c r="C225" s="32" t="inlineStr">
        <is>
          <t>INSTALAÇÕES ELÉTRICAS</t>
        </is>
      </c>
      <c r="D225" s="32" t="inlineStr">
        <is>
          <t>MÓDULOS</t>
        </is>
      </c>
      <c r="E225" s="32" t="inlineStr">
        <is>
          <t>Interruptor Intermediário 250V/10A Padrão NBRNM60669</t>
        </is>
      </c>
      <c r="F225" s="33" t="n">
        <v>1</v>
      </c>
      <c r="G225" s="33" t="n">
        <v>1</v>
      </c>
      <c r="H225" s="33" t="n">
        <v>0</v>
      </c>
      <c r="I225" s="35">
        <f>(F225+H225*F225)*G225</f>
        <v/>
      </c>
      <c r="J225" s="33" t="inlineStr">
        <is>
          <t>pç</t>
        </is>
      </c>
      <c r="K225" s="36" t="n">
        <v>24</v>
      </c>
      <c r="L225" s="37">
        <f>I225*K225</f>
        <v/>
      </c>
    </row>
    <row r="226">
      <c r="A226" s="32" t="inlineStr">
        <is>
          <t>TORRE</t>
        </is>
      </c>
      <c r="B226" s="32" t="inlineStr">
        <is>
          <t>GARAGEM 01</t>
        </is>
      </c>
      <c r="C226" s="32" t="inlineStr">
        <is>
          <t>INSTALAÇÕES ELÉTRICAS</t>
        </is>
      </c>
      <c r="D226" s="32" t="inlineStr">
        <is>
          <t>MÓDULOS</t>
        </is>
      </c>
      <c r="E226" s="32" t="inlineStr">
        <is>
          <t>Interruptor Paralelo 250V/10A Padrão NBRNM60669</t>
        </is>
      </c>
      <c r="F226" s="33" t="n">
        <v>6</v>
      </c>
      <c r="G226" s="33" t="n">
        <v>1</v>
      </c>
      <c r="H226" s="33" t="n">
        <v>0</v>
      </c>
      <c r="I226" s="35">
        <f>(F226+H226*F226)*G226</f>
        <v/>
      </c>
      <c r="J226" s="33" t="inlineStr">
        <is>
          <t>pç</t>
        </is>
      </c>
      <c r="K226" s="36" t="n">
        <v>21</v>
      </c>
      <c r="L226" s="37">
        <f>I226*K226</f>
        <v/>
      </c>
    </row>
    <row r="227">
      <c r="A227" s="32" t="inlineStr">
        <is>
          <t>TORRE</t>
        </is>
      </c>
      <c r="B227" s="32" t="inlineStr">
        <is>
          <t>GARAGEM 01</t>
        </is>
      </c>
      <c r="C227" s="32" t="inlineStr">
        <is>
          <t>INSTALAÇÕES ELÉTRICAS</t>
        </is>
      </c>
      <c r="D227" s="32" t="inlineStr">
        <is>
          <t>MÓDULOS</t>
        </is>
      </c>
      <c r="E227" s="32" t="inlineStr">
        <is>
          <t>Interruptor Simples 250V/10A Padrão NBRNM60669</t>
        </is>
      </c>
      <c r="F227" s="33" t="n">
        <v>1</v>
      </c>
      <c r="G227" s="33" t="n">
        <v>1</v>
      </c>
      <c r="H227" s="33" t="n">
        <v>0</v>
      </c>
      <c r="I227" s="35">
        <f>(F227+H227*F227)*G227</f>
        <v/>
      </c>
      <c r="J227" s="33" t="inlineStr">
        <is>
          <t>pç</t>
        </is>
      </c>
      <c r="K227" s="36" t="n">
        <v>7</v>
      </c>
      <c r="L227" s="37">
        <f>I227*K227</f>
        <v/>
      </c>
    </row>
    <row r="228">
      <c r="A228" s="32" t="inlineStr">
        <is>
          <t>TORRE</t>
        </is>
      </c>
      <c r="B228" s="32" t="inlineStr">
        <is>
          <t>GARAGEM 01</t>
        </is>
      </c>
      <c r="C228" s="32" t="inlineStr">
        <is>
          <t>INSTALAÇÕES ELÉTRICAS</t>
        </is>
      </c>
      <c r="D228" s="32" t="inlineStr">
        <is>
          <t>QUADROS DE DISTRIBUIÇÃO</t>
        </is>
      </c>
      <c r="E228" s="32" t="inlineStr">
        <is>
          <t>Quadro de dist. de embutir em PVC com cap. de 36 espaços DIN</t>
        </is>
      </c>
      <c r="F228" s="33" t="n">
        <v>1</v>
      </c>
      <c r="G228" s="33" t="n">
        <v>1</v>
      </c>
      <c r="H228" s="33" t="n">
        <v>0</v>
      </c>
      <c r="I228" s="35">
        <f>(F228+H228*F228)*G228</f>
        <v/>
      </c>
      <c r="J228" s="33" t="inlineStr">
        <is>
          <t>pç</t>
        </is>
      </c>
      <c r="K228" s="36" t="n">
        <v>192</v>
      </c>
      <c r="L228" s="37">
        <f>I228*K228</f>
        <v/>
      </c>
    </row>
    <row r="229">
      <c r="A229" s="32" t="inlineStr">
        <is>
          <t>TORRE</t>
        </is>
      </c>
      <c r="B229" s="32" t="inlineStr">
        <is>
          <t>GARAGEM 01</t>
        </is>
      </c>
      <c r="C229" s="32" t="inlineStr">
        <is>
          <t>INSTALAÇÕES ELÉTRICAS</t>
        </is>
      </c>
      <c r="D229" s="32" t="inlineStr">
        <is>
          <t>SENSORES</t>
        </is>
      </c>
      <c r="E229" s="32" t="inlineStr">
        <is>
          <t>Sensor de Presença</t>
        </is>
      </c>
      <c r="F229" s="33" t="n">
        <v>10</v>
      </c>
      <c r="G229" s="33" t="n">
        <v>1</v>
      </c>
      <c r="H229" s="33" t="n">
        <v>0</v>
      </c>
      <c r="I229" s="35">
        <f>(F229+H229*F229)*G229</f>
        <v/>
      </c>
      <c r="J229" s="33" t="inlineStr">
        <is>
          <t>pç</t>
        </is>
      </c>
      <c r="K229" s="36" t="n">
        <v>29</v>
      </c>
      <c r="L229" s="37">
        <f>I229*K229</f>
        <v/>
      </c>
    </row>
    <row r="230">
      <c r="A230" s="32" t="inlineStr">
        <is>
          <t>TORRE</t>
        </is>
      </c>
      <c r="B230" s="32" t="inlineStr">
        <is>
          <t>GARAGEM 01</t>
        </is>
      </c>
      <c r="C230" s="32" t="inlineStr">
        <is>
          <t>INSTALAÇÕES ELÉTRICAS</t>
        </is>
      </c>
      <c r="D230" s="32" t="inlineStr">
        <is>
          <t>CABO UNIPOLAR</t>
        </is>
      </c>
      <c r="E230" s="32" t="inlineStr">
        <is>
          <t>Isolação em PVC (70ºC) 1.5 mm² - Amarelo</t>
        </is>
      </c>
      <c r="F230" s="33" t="n">
        <v>692.8</v>
      </c>
      <c r="G230" s="33" t="n">
        <v>1</v>
      </c>
      <c r="H230" s="33" t="n">
        <v>0</v>
      </c>
      <c r="I230" s="35">
        <f>(F230+H230*F230)*G230</f>
        <v/>
      </c>
      <c r="J230" s="33" t="inlineStr">
        <is>
          <t>m</t>
        </is>
      </c>
      <c r="K230" s="36" t="n">
        <v>1.14</v>
      </c>
      <c r="L230" s="37">
        <f>I230*K230</f>
        <v/>
      </c>
    </row>
    <row r="231">
      <c r="A231" s="32" t="inlineStr">
        <is>
          <t>TORRE</t>
        </is>
      </c>
      <c r="B231" s="32" t="inlineStr">
        <is>
          <t>GARAGEM 01</t>
        </is>
      </c>
      <c r="C231" s="32" t="inlineStr">
        <is>
          <t>INSTALAÇÕES ELÉTRICAS</t>
        </is>
      </c>
      <c r="D231" s="32" t="inlineStr">
        <is>
          <t>CABO UNIPOLAR</t>
        </is>
      </c>
      <c r="E231" s="32" t="inlineStr">
        <is>
          <t>Isolação em PVC (70ºC) 1.5 mm² - Azul claro</t>
        </is>
      </c>
      <c r="F231" s="33" t="n">
        <v>315</v>
      </c>
      <c r="G231" s="33" t="n">
        <v>1</v>
      </c>
      <c r="H231" s="33" t="n">
        <v>0</v>
      </c>
      <c r="I231" s="35">
        <f>(F231+H231*F231)*G231</f>
        <v/>
      </c>
      <c r="J231" s="33" t="inlineStr">
        <is>
          <t>m</t>
        </is>
      </c>
      <c r="K231" s="36" t="n">
        <v>1.14</v>
      </c>
      <c r="L231" s="37">
        <f>I231*K231</f>
        <v/>
      </c>
    </row>
    <row r="232">
      <c r="A232" s="32" t="inlineStr">
        <is>
          <t>TORRE</t>
        </is>
      </c>
      <c r="B232" s="32" t="inlineStr">
        <is>
          <t>GARAGEM 01</t>
        </is>
      </c>
      <c r="C232" s="32" t="inlineStr">
        <is>
          <t>INSTALAÇÕES ELÉTRICAS</t>
        </is>
      </c>
      <c r="D232" s="32" t="inlineStr">
        <is>
          <t>CABO UNIPOLAR</t>
        </is>
      </c>
      <c r="E232" s="32" t="inlineStr">
        <is>
          <t>Isolação em PVC (70ºC) 1.5 mm² - Branco</t>
        </is>
      </c>
      <c r="F232" s="33" t="n">
        <v>114.9</v>
      </c>
      <c r="G232" s="33" t="n">
        <v>1</v>
      </c>
      <c r="H232" s="33" t="n">
        <v>0</v>
      </c>
      <c r="I232" s="35">
        <f>(F232+H232*F232)*G232</f>
        <v/>
      </c>
      <c r="J232" s="33" t="inlineStr">
        <is>
          <t>m</t>
        </is>
      </c>
      <c r="K232" s="36" t="n">
        <v>1.14</v>
      </c>
      <c r="L232" s="37">
        <f>I232*K232</f>
        <v/>
      </c>
    </row>
    <row r="233">
      <c r="A233" s="32" t="inlineStr">
        <is>
          <t>TORRE</t>
        </is>
      </c>
      <c r="B233" s="32" t="inlineStr">
        <is>
          <t>GARAGEM 01</t>
        </is>
      </c>
      <c r="C233" s="32" t="inlineStr">
        <is>
          <t>INSTALAÇÕES ELÉTRICAS</t>
        </is>
      </c>
      <c r="D233" s="32" t="inlineStr">
        <is>
          <t>CABO UNIPOLAR</t>
        </is>
      </c>
      <c r="E233" s="32" t="inlineStr">
        <is>
          <t>Isolação em PVC (70ºC) 1.5 mm² - Preto</t>
        </is>
      </c>
      <c r="F233" s="33" t="n">
        <v>142</v>
      </c>
      <c r="G233" s="33" t="n">
        <v>1</v>
      </c>
      <c r="H233" s="33" t="n">
        <v>0</v>
      </c>
      <c r="I233" s="35">
        <f>(F233+H233*F233)*G233</f>
        <v/>
      </c>
      <c r="J233" s="33" t="inlineStr">
        <is>
          <t>m</t>
        </is>
      </c>
      <c r="K233" s="36" t="n">
        <v>1.14</v>
      </c>
      <c r="L233" s="37">
        <f>I233*K233</f>
        <v/>
      </c>
    </row>
    <row r="234">
      <c r="A234" s="32" t="inlineStr">
        <is>
          <t>TORRE</t>
        </is>
      </c>
      <c r="B234" s="32" t="inlineStr">
        <is>
          <t>GARAGEM 01</t>
        </is>
      </c>
      <c r="C234" s="32" t="inlineStr">
        <is>
          <t>INSTALAÇÕES ELÉTRICAS</t>
        </is>
      </c>
      <c r="D234" s="32" t="inlineStr">
        <is>
          <t>CABO UNIPOLAR</t>
        </is>
      </c>
      <c r="E234" s="32" t="inlineStr">
        <is>
          <t>Isolação em PVC (70ºC) 1.5 mm² - Verde-amarelo</t>
        </is>
      </c>
      <c r="F234" s="33" t="n">
        <v>76.40000000000001</v>
      </c>
      <c r="G234" s="33" t="n">
        <v>1</v>
      </c>
      <c r="H234" s="33" t="n">
        <v>0</v>
      </c>
      <c r="I234" s="35">
        <f>(F234+H234*F234)*G234</f>
        <v/>
      </c>
      <c r="J234" s="33" t="inlineStr">
        <is>
          <t>m</t>
        </is>
      </c>
      <c r="K234" s="36" t="n">
        <v>1.14</v>
      </c>
      <c r="L234" s="37">
        <f>I234*K234</f>
        <v/>
      </c>
    </row>
    <row r="235">
      <c r="A235" s="32" t="inlineStr">
        <is>
          <t>TORRE</t>
        </is>
      </c>
      <c r="B235" s="32" t="inlineStr">
        <is>
          <t>GARAGEM 01</t>
        </is>
      </c>
      <c r="C235" s="32" t="inlineStr">
        <is>
          <t>INSTALAÇÕES ELÉTRICAS</t>
        </is>
      </c>
      <c r="D235" s="32" t="inlineStr">
        <is>
          <t>CABO UNIPOLAR</t>
        </is>
      </c>
      <c r="E235" s="32" t="inlineStr">
        <is>
          <t>Isolação em PVC (70ºC) 2.5 mm² - Azul claro</t>
        </is>
      </c>
      <c r="F235" s="33" t="n">
        <v>669.3</v>
      </c>
      <c r="G235" s="33" t="n">
        <v>1</v>
      </c>
      <c r="H235" s="33" t="n">
        <v>0</v>
      </c>
      <c r="I235" s="35">
        <f>(F235+H235*F235)*G235</f>
        <v/>
      </c>
      <c r="J235" s="33" t="inlineStr">
        <is>
          <t>m</t>
        </is>
      </c>
      <c r="K235" s="36" t="n">
        <v>2.12</v>
      </c>
      <c r="L235" s="37">
        <f>I235*K235</f>
        <v/>
      </c>
    </row>
    <row r="236">
      <c r="A236" s="32" t="inlineStr">
        <is>
          <t>TORRE</t>
        </is>
      </c>
      <c r="B236" s="32" t="inlineStr">
        <is>
          <t>GARAGEM 01</t>
        </is>
      </c>
      <c r="C236" s="32" t="inlineStr">
        <is>
          <t>INSTALAÇÕES ELÉTRICAS</t>
        </is>
      </c>
      <c r="D236" s="32" t="inlineStr">
        <is>
          <t>CABO UNIPOLAR</t>
        </is>
      </c>
      <c r="E236" s="32" t="inlineStr">
        <is>
          <t>Isolação em PVC (70ºC) 2.5 mm² - Branco</t>
        </is>
      </c>
      <c r="F236" s="33" t="n">
        <v>222.7</v>
      </c>
      <c r="G236" s="33" t="n">
        <v>1</v>
      </c>
      <c r="H236" s="33" t="n">
        <v>0</v>
      </c>
      <c r="I236" s="35">
        <f>(F236+H236*F236)*G236</f>
        <v/>
      </c>
      <c r="J236" s="33" t="inlineStr">
        <is>
          <t>m</t>
        </is>
      </c>
      <c r="K236" s="36" t="n">
        <v>2.12</v>
      </c>
      <c r="L236" s="37">
        <f>I236*K236</f>
        <v/>
      </c>
    </row>
    <row r="237">
      <c r="A237" s="32" t="inlineStr">
        <is>
          <t>TORRE</t>
        </is>
      </c>
      <c r="B237" s="32" t="inlineStr">
        <is>
          <t>GARAGEM 01</t>
        </is>
      </c>
      <c r="C237" s="32" t="inlineStr">
        <is>
          <t>INSTALAÇÕES ELÉTRICAS</t>
        </is>
      </c>
      <c r="D237" s="32" t="inlineStr">
        <is>
          <t>CABO UNIPOLAR</t>
        </is>
      </c>
      <c r="E237" s="32" t="inlineStr">
        <is>
          <t>Isolação em PVC (70ºC) 2.5 mm² - Preto</t>
        </is>
      </c>
      <c r="F237" s="33" t="n">
        <v>241.4</v>
      </c>
      <c r="G237" s="33" t="n">
        <v>1</v>
      </c>
      <c r="H237" s="33" t="n">
        <v>0</v>
      </c>
      <c r="I237" s="35">
        <f>(F237+H237*F237)*G237</f>
        <v/>
      </c>
      <c r="J237" s="33" t="inlineStr">
        <is>
          <t>m</t>
        </is>
      </c>
      <c r="K237" s="36" t="n">
        <v>2.12</v>
      </c>
      <c r="L237" s="37">
        <f>I237*K237</f>
        <v/>
      </c>
    </row>
    <row r="238">
      <c r="A238" s="32" t="inlineStr">
        <is>
          <t>TORRE</t>
        </is>
      </c>
      <c r="B238" s="32" t="inlineStr">
        <is>
          <t>GARAGEM 01</t>
        </is>
      </c>
      <c r="C238" s="32" t="inlineStr">
        <is>
          <t>INSTALAÇÕES ELÉTRICAS</t>
        </is>
      </c>
      <c r="D238" s="32" t="inlineStr">
        <is>
          <t>CABO UNIPOLAR</t>
        </is>
      </c>
      <c r="E238" s="32" t="inlineStr">
        <is>
          <t>Isolação em PVC (70ºC) 2.5 mm² - Verde-amarelo</t>
        </is>
      </c>
      <c r="F238" s="33" t="n">
        <v>346.6</v>
      </c>
      <c r="G238" s="33" t="n">
        <v>1</v>
      </c>
      <c r="H238" s="33" t="n">
        <v>0</v>
      </c>
      <c r="I238" s="35">
        <f>(F238+H238*F238)*G238</f>
        <v/>
      </c>
      <c r="J238" s="33" t="inlineStr">
        <is>
          <t>m</t>
        </is>
      </c>
      <c r="K238" s="36" t="n">
        <v>2.12</v>
      </c>
      <c r="L238" s="37">
        <f>I238*K238</f>
        <v/>
      </c>
    </row>
    <row r="239">
      <c r="A239" s="32" t="inlineStr">
        <is>
          <t>TORRE</t>
        </is>
      </c>
      <c r="B239" s="32" t="inlineStr">
        <is>
          <t>GARAGEM 01</t>
        </is>
      </c>
      <c r="C239" s="32" t="inlineStr">
        <is>
          <t>INSTALAÇÕES ELÉTRICAS</t>
        </is>
      </c>
      <c r="D239" s="32" t="inlineStr">
        <is>
          <t>CABO UNIPOLAR</t>
        </is>
      </c>
      <c r="E239" s="32" t="inlineStr">
        <is>
          <t>Isolação em PVC (70ºC) 2.5 mm² - Vermelho</t>
        </is>
      </c>
      <c r="F239" s="33" t="n">
        <v>205.2</v>
      </c>
      <c r="G239" s="33" t="n">
        <v>1</v>
      </c>
      <c r="H239" s="33" t="n">
        <v>0</v>
      </c>
      <c r="I239" s="35">
        <f>(F239+H239*F239)*G239</f>
        <v/>
      </c>
      <c r="J239" s="33" t="inlineStr">
        <is>
          <t>m</t>
        </is>
      </c>
      <c r="K239" s="36" t="n">
        <v>2.12</v>
      </c>
      <c r="L239" s="37">
        <f>I239*K239</f>
        <v/>
      </c>
    </row>
    <row r="240">
      <c r="A240" s="32" t="inlineStr">
        <is>
          <t>TORRE</t>
        </is>
      </c>
      <c r="B240" s="32" t="inlineStr">
        <is>
          <t>GARAGEM 01</t>
        </is>
      </c>
      <c r="C240" s="32" t="inlineStr">
        <is>
          <t>INSTALAÇÕES ELÉTRICAS</t>
        </is>
      </c>
      <c r="D240" s="32" t="inlineStr">
        <is>
          <t>CABO UNIPOLAR</t>
        </is>
      </c>
      <c r="E240" s="32" t="inlineStr">
        <is>
          <t>Isolação em PVC (70ºC) 4 mm² - Azul claro</t>
        </is>
      </c>
      <c r="F240" s="33" t="n">
        <v>198.5</v>
      </c>
      <c r="G240" s="33" t="n">
        <v>1</v>
      </c>
      <c r="H240" s="33" t="n">
        <v>0</v>
      </c>
      <c r="I240" s="35">
        <f>(F240+H240*F240)*G240</f>
        <v/>
      </c>
      <c r="J240" s="33" t="inlineStr">
        <is>
          <t>m</t>
        </is>
      </c>
      <c r="K240" s="36" t="n">
        <v>3.51</v>
      </c>
      <c r="L240" s="37">
        <f>I240*K240</f>
        <v/>
      </c>
    </row>
    <row r="241">
      <c r="A241" s="32" t="inlineStr">
        <is>
          <t>TORRE</t>
        </is>
      </c>
      <c r="B241" s="32" t="inlineStr">
        <is>
          <t>GARAGEM 01</t>
        </is>
      </c>
      <c r="C241" s="32" t="inlineStr">
        <is>
          <t>INSTALAÇÕES ELÉTRICAS</t>
        </is>
      </c>
      <c r="D241" s="32" t="inlineStr">
        <is>
          <t>CABO UNIPOLAR</t>
        </is>
      </c>
      <c r="E241" s="32" t="inlineStr">
        <is>
          <t>Isolação em PVC (70ºC) 4 mm² - Branco</t>
        </is>
      </c>
      <c r="F241" s="33" t="n">
        <v>103</v>
      </c>
      <c r="G241" s="33" t="n">
        <v>1</v>
      </c>
      <c r="H241" s="33" t="n">
        <v>0</v>
      </c>
      <c r="I241" s="35">
        <f>(F241+H241*F241)*G241</f>
        <v/>
      </c>
      <c r="J241" s="33" t="inlineStr">
        <is>
          <t>m</t>
        </is>
      </c>
      <c r="K241" s="36" t="n">
        <v>3.51</v>
      </c>
      <c r="L241" s="37">
        <f>I241*K241</f>
        <v/>
      </c>
    </row>
    <row r="242">
      <c r="A242" s="32" t="inlineStr">
        <is>
          <t>TORRE</t>
        </is>
      </c>
      <c r="B242" s="32" t="inlineStr">
        <is>
          <t>GARAGEM 01</t>
        </is>
      </c>
      <c r="C242" s="32" t="inlineStr">
        <is>
          <t>INSTALAÇÕES ELÉTRICAS</t>
        </is>
      </c>
      <c r="D242" s="32" t="inlineStr">
        <is>
          <t>CABO UNIPOLAR</t>
        </is>
      </c>
      <c r="E242" s="32" t="inlineStr">
        <is>
          <t>Isolação em PVC (70ºC) 4 mm² - Preto</t>
        </is>
      </c>
      <c r="F242" s="33" t="n">
        <v>54.9</v>
      </c>
      <c r="G242" s="33" t="n">
        <v>1</v>
      </c>
      <c r="H242" s="33" t="n">
        <v>0</v>
      </c>
      <c r="I242" s="35">
        <f>(F242+H242*F242)*G242</f>
        <v/>
      </c>
      <c r="J242" s="33" t="inlineStr">
        <is>
          <t>m</t>
        </is>
      </c>
      <c r="K242" s="36" t="n">
        <v>3.51</v>
      </c>
      <c r="L242" s="37">
        <f>I242*K242</f>
        <v/>
      </c>
    </row>
    <row r="243">
      <c r="A243" s="32" t="inlineStr">
        <is>
          <t>TORRE</t>
        </is>
      </c>
      <c r="B243" s="32" t="inlineStr">
        <is>
          <t>GARAGEM 01</t>
        </is>
      </c>
      <c r="C243" s="32" t="inlineStr">
        <is>
          <t>INSTALAÇÕES ELÉTRICAS</t>
        </is>
      </c>
      <c r="D243" s="32" t="inlineStr">
        <is>
          <t>CABO UNIPOLAR</t>
        </is>
      </c>
      <c r="E243" s="32" t="inlineStr">
        <is>
          <t>Isolação em PVC (70ºC) 4 mm² - Verde-amarelo</t>
        </is>
      </c>
      <c r="F243" s="33" t="n">
        <v>162.4</v>
      </c>
      <c r="G243" s="33" t="n">
        <v>1</v>
      </c>
      <c r="H243" s="33" t="n">
        <v>0</v>
      </c>
      <c r="I243" s="35">
        <f>(F243+H243*F243)*G243</f>
        <v/>
      </c>
      <c r="J243" s="33" t="inlineStr">
        <is>
          <t>m</t>
        </is>
      </c>
      <c r="K243" s="36" t="n">
        <v>3.51</v>
      </c>
      <c r="L243" s="37">
        <f>I243*K243</f>
        <v/>
      </c>
    </row>
    <row r="244">
      <c r="A244" s="32" t="inlineStr">
        <is>
          <t>TORRE</t>
        </is>
      </c>
      <c r="B244" s="32" t="inlineStr">
        <is>
          <t>GARAGEM 01</t>
        </is>
      </c>
      <c r="C244" s="32" t="inlineStr">
        <is>
          <t>INSTALAÇÕES ELÉTRICAS</t>
        </is>
      </c>
      <c r="D244" s="32" t="inlineStr">
        <is>
          <t>CABO UNIPOLAR</t>
        </is>
      </c>
      <c r="E244" s="32" t="inlineStr">
        <is>
          <t>Isolação em PVC (70ºC) 4 mm² - Vermelho</t>
        </is>
      </c>
      <c r="F244" s="33" t="n">
        <v>66.3</v>
      </c>
      <c r="G244" s="33" t="n">
        <v>1</v>
      </c>
      <c r="H244" s="33" t="n">
        <v>0</v>
      </c>
      <c r="I244" s="35">
        <f>(F244+H244*F244)*G244</f>
        <v/>
      </c>
      <c r="J244" s="33" t="inlineStr">
        <is>
          <t>m</t>
        </is>
      </c>
      <c r="K244" s="36" t="n">
        <v>3.51</v>
      </c>
      <c r="L244" s="37">
        <f>I244*K244</f>
        <v/>
      </c>
    </row>
    <row r="245">
      <c r="A245" s="32" t="inlineStr">
        <is>
          <t>TORRE</t>
        </is>
      </c>
      <c r="B245" s="32" t="inlineStr">
        <is>
          <t>GARAGEM 01</t>
        </is>
      </c>
      <c r="C245" s="32" t="inlineStr">
        <is>
          <t>INSTALAÇÕES ELÉTRICAS</t>
        </is>
      </c>
      <c r="D245" s="32" t="inlineStr">
        <is>
          <t>CABO UNIPOLAR</t>
        </is>
      </c>
      <c r="E245" s="32" t="inlineStr">
        <is>
          <t>Isolação em PVC (70ºC) 6 mm² - Azul claro</t>
        </is>
      </c>
      <c r="F245" s="33" t="n">
        <v>33.9</v>
      </c>
      <c r="G245" s="33" t="n">
        <v>1</v>
      </c>
      <c r="H245" s="33" t="n">
        <v>0</v>
      </c>
      <c r="I245" s="35">
        <f>(F245+H245*F245)*G245</f>
        <v/>
      </c>
      <c r="J245" s="33" t="inlineStr">
        <is>
          <t>m</t>
        </is>
      </c>
      <c r="K245" s="36" t="n">
        <v>8</v>
      </c>
      <c r="L245" s="37">
        <f>I245*K245</f>
        <v/>
      </c>
    </row>
    <row r="246">
      <c r="A246" s="32" t="inlineStr">
        <is>
          <t>TORRE</t>
        </is>
      </c>
      <c r="B246" s="32" t="inlineStr">
        <is>
          <t>GARAGEM 01</t>
        </is>
      </c>
      <c r="C246" s="32" t="inlineStr">
        <is>
          <t>INSTALAÇÕES ELÉTRICAS</t>
        </is>
      </c>
      <c r="D246" s="32" t="inlineStr">
        <is>
          <t>CABO UNIPOLAR</t>
        </is>
      </c>
      <c r="E246" s="32" t="inlineStr">
        <is>
          <t>Isolação em PVC (70ºC) 6 mm² - Preto</t>
        </is>
      </c>
      <c r="F246" s="33" t="n">
        <v>33.9</v>
      </c>
      <c r="G246" s="33" t="n">
        <v>1</v>
      </c>
      <c r="H246" s="33" t="n">
        <v>0</v>
      </c>
      <c r="I246" s="35">
        <f>(F246+H246*F246)*G246</f>
        <v/>
      </c>
      <c r="J246" s="33" t="inlineStr">
        <is>
          <t>m</t>
        </is>
      </c>
      <c r="K246" s="36" t="n">
        <v>8</v>
      </c>
      <c r="L246" s="37">
        <f>I246*K246</f>
        <v/>
      </c>
    </row>
    <row r="247" ht="15" customHeight="1">
      <c r="A247" s="32" t="inlineStr">
        <is>
          <t>TORRE</t>
        </is>
      </c>
      <c r="B247" s="32" t="inlineStr">
        <is>
          <t>GARAGEM 01</t>
        </is>
      </c>
      <c r="C247" s="32" t="inlineStr">
        <is>
          <t>INSTALAÇÕES ELÉTRICAS</t>
        </is>
      </c>
      <c r="D247" s="32" t="inlineStr">
        <is>
          <t>CABO UNIPOLAR</t>
        </is>
      </c>
      <c r="E247" s="32" t="inlineStr">
        <is>
          <t>Isolação em PVC (70ºC) 6 mm² - Verde-amarelo</t>
        </is>
      </c>
      <c r="F247" s="33" t="n">
        <v>33.9</v>
      </c>
      <c r="G247" s="33" t="n">
        <v>1</v>
      </c>
      <c r="H247" s="33" t="n">
        <v>0</v>
      </c>
      <c r="I247" s="35">
        <f>(F247+H247*F247)*G247</f>
        <v/>
      </c>
      <c r="J247" s="33" t="inlineStr">
        <is>
          <t>m</t>
        </is>
      </c>
      <c r="K247" s="36" t="n">
        <v>8</v>
      </c>
      <c r="L247" s="37">
        <f>I247*K247</f>
        <v/>
      </c>
    </row>
    <row r="248" ht="15" customHeight="1">
      <c r="A248" s="40" t="inlineStr">
        <is>
          <t>TORRE</t>
        </is>
      </c>
      <c r="B248" s="40" t="inlineStr">
        <is>
          <t>GARAGEM 02</t>
        </is>
      </c>
      <c r="C248" s="41" t="n"/>
      <c r="D248" s="42" t="n"/>
      <c r="E248" s="42" t="n"/>
      <c r="F248" s="43" t="n"/>
      <c r="G248" s="43" t="n"/>
      <c r="H248" s="43" t="n"/>
      <c r="I248" s="44" t="n"/>
      <c r="J248" s="43" t="n"/>
      <c r="K248" s="45" t="n"/>
      <c r="L248" s="46">
        <f>SUMIFS($L$7:$L$513,$B$7:$B$513,B248,$E$7:$E$513,"&lt;&gt;"&amp;"")</f>
        <v/>
      </c>
    </row>
    <row r="249">
      <c r="A249" s="32" t="inlineStr">
        <is>
          <t>TORRE</t>
        </is>
      </c>
      <c r="B249" s="32" t="inlineStr">
        <is>
          <t>GARAGEM 02</t>
        </is>
      </c>
      <c r="C249" s="32" t="inlineStr">
        <is>
          <t>INSTALAÇÕES ELÉTRICAS</t>
        </is>
      </c>
      <c r="D249" s="32" t="inlineStr">
        <is>
          <t>CAIXA OCTOGONAL</t>
        </is>
      </c>
      <c r="E249" s="32" t="inlineStr">
        <is>
          <t>Caixa Octogonal Padrão NBR IEC 60670</t>
        </is>
      </c>
      <c r="F249" s="33" t="n">
        <v>58</v>
      </c>
      <c r="G249" s="33" t="n">
        <v>1</v>
      </c>
      <c r="H249" s="33" t="n">
        <v>0</v>
      </c>
      <c r="I249" s="35">
        <f>(F249+H249*F249)*G249</f>
        <v/>
      </c>
      <c r="J249" s="33" t="inlineStr">
        <is>
          <t>pç</t>
        </is>
      </c>
      <c r="K249" s="36" t="n">
        <v>3.55</v>
      </c>
      <c r="L249" s="37">
        <f>I249*K249</f>
        <v/>
      </c>
    </row>
    <row r="250">
      <c r="A250" s="32" t="inlineStr">
        <is>
          <t>TORRE</t>
        </is>
      </c>
      <c r="B250" s="32" t="inlineStr">
        <is>
          <t>GARAGEM 02</t>
        </is>
      </c>
      <c r="C250" s="32" t="inlineStr">
        <is>
          <t>INSTALAÇÕES ELÉTRICAS</t>
        </is>
      </c>
      <c r="D250" s="32" t="inlineStr">
        <is>
          <t>CAIXAS 4x2" E 4x4"</t>
        </is>
      </c>
      <c r="E250" s="32" t="inlineStr">
        <is>
          <t>Caixa 4x2" de Embutir em PVC Padrão NBR IEC 60670</t>
        </is>
      </c>
      <c r="F250" s="33" t="n">
        <v>7</v>
      </c>
      <c r="G250" s="33" t="n">
        <v>1</v>
      </c>
      <c r="H250" s="33" t="n">
        <v>0</v>
      </c>
      <c r="I250" s="35">
        <f>(F250+H250*F250)*G250</f>
        <v/>
      </c>
      <c r="J250" s="33" t="inlineStr">
        <is>
          <t>pç</t>
        </is>
      </c>
      <c r="K250" s="36" t="n">
        <v>2.2</v>
      </c>
      <c r="L250" s="37">
        <f>I250*K250</f>
        <v/>
      </c>
    </row>
    <row r="251">
      <c r="A251" s="32" t="inlineStr">
        <is>
          <t>TORRE</t>
        </is>
      </c>
      <c r="B251" s="32" t="inlineStr">
        <is>
          <t>GARAGEM 02</t>
        </is>
      </c>
      <c r="C251" s="32" t="inlineStr">
        <is>
          <t>INSTALAÇÕES ELÉTRICAS</t>
        </is>
      </c>
      <c r="D251" s="32" t="inlineStr">
        <is>
          <t>CAIXAS 4x2" E 4x4"</t>
        </is>
      </c>
      <c r="E251" s="32" t="inlineStr">
        <is>
          <t>Caixa 4x4" de Embutir em PVC Padrão NBR IEC 60670</t>
        </is>
      </c>
      <c r="F251" s="33" t="n">
        <v>8</v>
      </c>
      <c r="G251" s="33" t="n">
        <v>1</v>
      </c>
      <c r="H251" s="33" t="n">
        <v>0</v>
      </c>
      <c r="I251" s="35">
        <f>(F251+H251*F251)*G251</f>
        <v/>
      </c>
      <c r="J251" s="33" t="inlineStr">
        <is>
          <t>pç</t>
        </is>
      </c>
      <c r="K251" s="36" t="n">
        <v>2.67</v>
      </c>
      <c r="L251" s="37">
        <f>I251*K251</f>
        <v/>
      </c>
    </row>
    <row r="252">
      <c r="A252" s="32" t="inlineStr">
        <is>
          <t>TORRE</t>
        </is>
      </c>
      <c r="B252" s="32" t="inlineStr">
        <is>
          <t>GARAGEM 02</t>
        </is>
      </c>
      <c r="C252" s="32" t="inlineStr">
        <is>
          <t>INSTALAÇÕES ELÉTRICAS</t>
        </is>
      </c>
      <c r="D252" s="32" t="inlineStr">
        <is>
          <t>CAIXAS 4x2" E 4x4"</t>
        </is>
      </c>
      <c r="E252" s="32" t="inlineStr">
        <is>
          <t>Placa 4x2" para 1 função Padrão NBR IEC 60670</t>
        </is>
      </c>
      <c r="F252" s="33" t="n">
        <v>7</v>
      </c>
      <c r="G252" s="33" t="n">
        <v>1</v>
      </c>
      <c r="H252" s="33" t="n">
        <v>0</v>
      </c>
      <c r="I252" s="35">
        <f>(F252+H252*F252)*G252</f>
        <v/>
      </c>
      <c r="J252" s="33" t="inlineStr">
        <is>
          <t>pç</t>
        </is>
      </c>
      <c r="K252" s="36" t="n">
        <v>8.9</v>
      </c>
      <c r="L252" s="37">
        <f>I252*K252</f>
        <v/>
      </c>
    </row>
    <row r="253">
      <c r="A253" s="32" t="inlineStr">
        <is>
          <t>TORRE</t>
        </is>
      </c>
      <c r="B253" s="32" t="inlineStr">
        <is>
          <t>GARAGEM 02</t>
        </is>
      </c>
      <c r="C253" s="32" t="inlineStr">
        <is>
          <t>INSTALAÇÕES ELÉTRICAS</t>
        </is>
      </c>
      <c r="D253" s="32" t="inlineStr">
        <is>
          <t>CAIXAS 4x2" E 4x4"</t>
        </is>
      </c>
      <c r="E253" s="32" t="inlineStr">
        <is>
          <t>Placa 4x4" cega Padrão NBR IEC 60670</t>
        </is>
      </c>
      <c r="F253" s="33" t="n">
        <v>8</v>
      </c>
      <c r="G253" s="33" t="n">
        <v>1</v>
      </c>
      <c r="H253" s="33" t="n">
        <v>0</v>
      </c>
      <c r="I253" s="35">
        <f>(F253+H253*F253)*G253</f>
        <v/>
      </c>
      <c r="J253" s="33" t="inlineStr">
        <is>
          <t>pç</t>
        </is>
      </c>
      <c r="K253" s="36" t="n">
        <v>16.5</v>
      </c>
      <c r="L253" s="37">
        <f>I253*K253</f>
        <v/>
      </c>
    </row>
    <row r="254">
      <c r="A254" s="32" t="inlineStr">
        <is>
          <t>TORRE</t>
        </is>
      </c>
      <c r="B254" s="32" t="inlineStr">
        <is>
          <t>GARAGEM 02</t>
        </is>
      </c>
      <c r="C254" s="32" t="inlineStr">
        <is>
          <t>INSTALAÇÕES ELÉTRICAS</t>
        </is>
      </c>
      <c r="D254" s="32" t="inlineStr">
        <is>
          <t>CAIXAS 4x2" E 4x4"</t>
        </is>
      </c>
      <c r="E254" s="32" t="inlineStr">
        <is>
          <t>Suporte p/ caixa 4x2" Padrão NBR IEC 60670</t>
        </is>
      </c>
      <c r="F254" s="33" t="n">
        <v>7</v>
      </c>
      <c r="G254" s="33" t="n">
        <v>1</v>
      </c>
      <c r="H254" s="33" t="n">
        <v>0</v>
      </c>
      <c r="I254" s="35">
        <f>(F254+H254*F254)*G254</f>
        <v/>
      </c>
      <c r="J254" s="33" t="inlineStr">
        <is>
          <t>pç</t>
        </is>
      </c>
      <c r="K254" s="36" t="n">
        <v>1.85</v>
      </c>
      <c r="L254" s="37">
        <f>I254*K254</f>
        <v/>
      </c>
    </row>
    <row r="255">
      <c r="A255" s="32" t="inlineStr">
        <is>
          <t>TORRE</t>
        </is>
      </c>
      <c r="B255" s="32" t="inlineStr">
        <is>
          <t>GARAGEM 02</t>
        </is>
      </c>
      <c r="C255" s="32" t="inlineStr">
        <is>
          <t>INSTALAÇÕES ELÉTRICAS</t>
        </is>
      </c>
      <c r="D255" s="32" t="inlineStr">
        <is>
          <t>CAIXAS 4x2" E 4x4"</t>
        </is>
      </c>
      <c r="E255" s="32" t="inlineStr">
        <is>
          <t>Suporte p/ caixa 4x4" Padrão NBR IEC 60670</t>
        </is>
      </c>
      <c r="F255" s="33" t="n">
        <v>8</v>
      </c>
      <c r="G255" s="33" t="n">
        <v>1</v>
      </c>
      <c r="H255" s="33" t="n">
        <v>0</v>
      </c>
      <c r="I255" s="35">
        <f>(F255+H255*F255)*G255</f>
        <v/>
      </c>
      <c r="J255" s="33" t="inlineStr">
        <is>
          <t>pç</t>
        </is>
      </c>
      <c r="K255" s="36" t="n">
        <v>2.23</v>
      </c>
      <c r="L255" s="37">
        <f>I255*K255</f>
        <v/>
      </c>
    </row>
    <row r="256">
      <c r="A256" s="32" t="inlineStr">
        <is>
          <t>TORRE</t>
        </is>
      </c>
      <c r="B256" s="32" t="inlineStr">
        <is>
          <t>GARAGEM 02</t>
        </is>
      </c>
      <c r="C256" s="32" t="inlineStr">
        <is>
          <t>INSTALAÇÕES ELÉTRICAS</t>
        </is>
      </c>
      <c r="D256" s="32" t="inlineStr">
        <is>
          <t>DISPOSITIVOS DE PROTEÇÃO</t>
        </is>
      </c>
      <c r="E256" s="32" t="inlineStr">
        <is>
          <t>Disjuntores Monopolares DIN 10 A - 3 kA - Curva C - NBR NM 60898</t>
        </is>
      </c>
      <c r="F256" s="33" t="n">
        <v>2</v>
      </c>
      <c r="G256" s="33" t="n">
        <v>1</v>
      </c>
      <c r="H256" s="33" t="n">
        <v>0</v>
      </c>
      <c r="I256" s="35">
        <f>(F256+H256*F256)*G256</f>
        <v/>
      </c>
      <c r="J256" s="34" t="inlineStr">
        <is>
          <t>pç</t>
        </is>
      </c>
      <c r="K256" s="36" t="n">
        <v>12.16</v>
      </c>
      <c r="L256" s="37">
        <f>I256*K256</f>
        <v/>
      </c>
    </row>
    <row r="257">
      <c r="A257" s="32" t="inlineStr">
        <is>
          <t>TORRE</t>
        </is>
      </c>
      <c r="B257" s="32" t="inlineStr">
        <is>
          <t>GARAGEM 02</t>
        </is>
      </c>
      <c r="C257" s="32" t="inlineStr">
        <is>
          <t>INSTALAÇÕES ELÉTRICAS</t>
        </is>
      </c>
      <c r="D257" s="32" t="inlineStr">
        <is>
          <t>DISPOSITIVOS DE PROTEÇÃO</t>
        </is>
      </c>
      <c r="E257" s="32" t="inlineStr">
        <is>
          <t>Disjuntores Monopolares DIN 16 A - 3 kA - Curva C - NBR NM 60898</t>
        </is>
      </c>
      <c r="F257" s="33" t="n">
        <v>1</v>
      </c>
      <c r="G257" s="33" t="n">
        <v>1</v>
      </c>
      <c r="H257" s="33" t="n">
        <v>0</v>
      </c>
      <c r="I257" s="35">
        <f>(F257+H257*F257)*G257</f>
        <v/>
      </c>
      <c r="J257" s="34" t="inlineStr">
        <is>
          <t>pç</t>
        </is>
      </c>
      <c r="K257" s="36" t="n">
        <v>13.05</v>
      </c>
      <c r="L257" s="37">
        <f>I257*K257</f>
        <v/>
      </c>
    </row>
    <row r="258">
      <c r="A258" s="32" t="inlineStr">
        <is>
          <t>TORRE</t>
        </is>
      </c>
      <c r="B258" s="32" t="inlineStr">
        <is>
          <t>GARAGEM 02</t>
        </is>
      </c>
      <c r="C258" s="32" t="inlineStr">
        <is>
          <t>INSTALAÇÕES ELÉTRICAS</t>
        </is>
      </c>
      <c r="D258" s="32" t="inlineStr">
        <is>
          <t>DISPOSITIVOS DE PROTEÇÃO</t>
        </is>
      </c>
      <c r="E258" s="32" t="inlineStr">
        <is>
          <t>Disjuntores Monopolares DIN 20 A - 3 kA - Curva C - NBR NM 60898</t>
        </is>
      </c>
      <c r="F258" s="33" t="n">
        <v>1</v>
      </c>
      <c r="G258" s="33" t="n">
        <v>1</v>
      </c>
      <c r="H258" s="33" t="n">
        <v>0</v>
      </c>
      <c r="I258" s="35">
        <f>(F258+H258*F258)*G258</f>
        <v/>
      </c>
      <c r="J258" s="34" t="inlineStr">
        <is>
          <t>pç</t>
        </is>
      </c>
      <c r="K258" s="36" t="n">
        <v>14</v>
      </c>
      <c r="L258" s="37">
        <f>I258*K258</f>
        <v/>
      </c>
    </row>
    <row r="259">
      <c r="A259" s="32" t="inlineStr">
        <is>
          <t>TORRE</t>
        </is>
      </c>
      <c r="B259" s="32" t="inlineStr">
        <is>
          <t>GARAGEM 02</t>
        </is>
      </c>
      <c r="C259" s="32" t="inlineStr">
        <is>
          <t>INSTALAÇÕES ELÉTRICAS</t>
        </is>
      </c>
      <c r="D259" s="32" t="inlineStr">
        <is>
          <t>DISPOSITIVOS DE PROTEÇÃO</t>
        </is>
      </c>
      <c r="E259" s="32" t="inlineStr">
        <is>
          <t>Disjuntores Monopolares DIN 32 A - 3 kA - Curva C - NBR NM 60898</t>
        </is>
      </c>
      <c r="F259" s="33" t="n">
        <v>3</v>
      </c>
      <c r="G259" s="33" t="n">
        <v>1</v>
      </c>
      <c r="H259" s="33" t="n">
        <v>0</v>
      </c>
      <c r="I259" s="35">
        <f>(F259+H259*F259)*G259</f>
        <v/>
      </c>
      <c r="J259" s="34" t="inlineStr">
        <is>
          <t>pç</t>
        </is>
      </c>
      <c r="K259" s="36" t="n">
        <v>21</v>
      </c>
      <c r="L259" s="37">
        <f>I259*K259</f>
        <v/>
      </c>
    </row>
    <row r="260">
      <c r="A260" s="32" t="inlineStr">
        <is>
          <t>TORRE</t>
        </is>
      </c>
      <c r="B260" s="32" t="inlineStr">
        <is>
          <t>GARAGEM 02</t>
        </is>
      </c>
      <c r="C260" s="32" t="inlineStr">
        <is>
          <t>INSTALAÇÕES ELÉTRICAS</t>
        </is>
      </c>
      <c r="D260" s="32" t="inlineStr">
        <is>
          <t>DISPOSITIVOS DE PROTEÇÃO</t>
        </is>
      </c>
      <c r="E260" s="32" t="inlineStr">
        <is>
          <t>Disjuntores Tripolares DIN 50 A - 10 kA - Curva C - NBR 60947-2</t>
        </is>
      </c>
      <c r="F260" s="33" t="n">
        <v>1</v>
      </c>
      <c r="G260" s="33" t="n">
        <v>1</v>
      </c>
      <c r="H260" s="33" t="n">
        <v>0</v>
      </c>
      <c r="I260" s="35">
        <f>(F260+H260*F260)*G260</f>
        <v/>
      </c>
      <c r="J260" s="34" t="inlineStr">
        <is>
          <t>pç</t>
        </is>
      </c>
      <c r="K260" s="36" t="n">
        <v>64.90000000000001</v>
      </c>
      <c r="L260" s="37">
        <f>I260*K260</f>
        <v/>
      </c>
    </row>
    <row r="261">
      <c r="A261" s="32" t="inlineStr">
        <is>
          <t>TORRE</t>
        </is>
      </c>
      <c r="B261" s="32" t="inlineStr">
        <is>
          <t>GARAGEM 02</t>
        </is>
      </c>
      <c r="C261" s="32" t="inlineStr">
        <is>
          <t>INSTALAÇÕES ELÉTRICAS</t>
        </is>
      </c>
      <c r="D261" s="32" t="inlineStr">
        <is>
          <t>DISPOSITIVOS DE PROTEÇÃO</t>
        </is>
      </c>
      <c r="E261" s="32" t="inlineStr">
        <is>
          <t>Dispositivos de Proteção Contra Surto 275V - Classe I/II - In=30kA - Imáx.=60kA - NBR IEC 61643-1</t>
        </is>
      </c>
      <c r="F261" s="33" t="n">
        <v>4</v>
      </c>
      <c r="G261" s="33" t="n">
        <v>1</v>
      </c>
      <c r="H261" s="33" t="n">
        <v>0</v>
      </c>
      <c r="I261" s="35">
        <f>(F261+H261*F261)*G261</f>
        <v/>
      </c>
      <c r="J261" s="34" t="inlineStr">
        <is>
          <t>pç</t>
        </is>
      </c>
      <c r="K261" s="36" t="n">
        <v>97</v>
      </c>
      <c r="L261" s="37">
        <f>I261*K261</f>
        <v/>
      </c>
    </row>
    <row r="262">
      <c r="A262" s="32" t="inlineStr">
        <is>
          <t>TORRE</t>
        </is>
      </c>
      <c r="B262" s="32" t="inlineStr">
        <is>
          <t>GARAGEM 02</t>
        </is>
      </c>
      <c r="C262" s="32" t="inlineStr">
        <is>
          <t>INSTALAÇÕES ELÉTRICAS</t>
        </is>
      </c>
      <c r="D262" s="32" t="inlineStr">
        <is>
          <t>DISPOSITIVOS DE PROTEÇÃO</t>
        </is>
      </c>
      <c r="E262" s="32" t="inlineStr">
        <is>
          <t>Interruptores Diferenciais Residuais Tetrapolares DIN 63A - 30mA - Tipo AC - 400V - NBR NM 61008-1</t>
        </is>
      </c>
      <c r="F262" s="33" t="n">
        <v>1</v>
      </c>
      <c r="G262" s="33" t="n">
        <v>1</v>
      </c>
      <c r="H262" s="33" t="n">
        <v>0</v>
      </c>
      <c r="I262" s="35">
        <f>(F262+H262*F262)*G262</f>
        <v/>
      </c>
      <c r="J262" s="34" t="inlineStr">
        <is>
          <t>pç</t>
        </is>
      </c>
      <c r="K262" s="36" t="n">
        <v>201</v>
      </c>
      <c r="L262" s="37">
        <f>I262*K262</f>
        <v/>
      </c>
    </row>
    <row r="263">
      <c r="A263" s="32" t="inlineStr">
        <is>
          <t>TORRE</t>
        </is>
      </c>
      <c r="B263" s="32" t="inlineStr">
        <is>
          <t>GARAGEM 02</t>
        </is>
      </c>
      <c r="C263" s="32" t="inlineStr">
        <is>
          <t>INSTALAÇÕES ELÉTRICAS</t>
        </is>
      </c>
      <c r="D263" s="32" t="inlineStr">
        <is>
          <t xml:space="preserve">ELETRODUTOS  </t>
        </is>
      </c>
      <c r="E263" s="32" t="inlineStr">
        <is>
          <t>PVC Flexível Antichama - NBR 15465 ø1"</t>
        </is>
      </c>
      <c r="F263" s="33" t="n">
        <v>42.4</v>
      </c>
      <c r="G263" s="33" t="n">
        <v>1</v>
      </c>
      <c r="H263" s="33" t="n">
        <v>0</v>
      </c>
      <c r="I263" s="35">
        <f>(F263+H263*F263)*G263</f>
        <v/>
      </c>
      <c r="J263" s="34" t="inlineStr">
        <is>
          <t>m</t>
        </is>
      </c>
      <c r="K263" s="36" t="n">
        <v>5</v>
      </c>
      <c r="L263" s="37">
        <f>I263*K263</f>
        <v/>
      </c>
    </row>
    <row r="264">
      <c r="A264" s="32" t="inlineStr">
        <is>
          <t>TORRE</t>
        </is>
      </c>
      <c r="B264" s="32" t="inlineStr">
        <is>
          <t>GARAGEM 02</t>
        </is>
      </c>
      <c r="C264" s="32" t="inlineStr">
        <is>
          <t>INSTALAÇÕES ELÉTRICAS</t>
        </is>
      </c>
      <c r="D264" s="32" t="inlineStr">
        <is>
          <t xml:space="preserve">ELETRODUTOS  </t>
        </is>
      </c>
      <c r="E264" s="32" t="inlineStr">
        <is>
          <t>PVC Flexível Antichama - NBR 15465 ø3/4"</t>
        </is>
      </c>
      <c r="F264" s="33" t="n">
        <v>211.7</v>
      </c>
      <c r="G264" s="33" t="n">
        <v>1</v>
      </c>
      <c r="H264" s="33" t="n">
        <v>0</v>
      </c>
      <c r="I264" s="35">
        <f>(F264+H264*F264)*G264</f>
        <v/>
      </c>
      <c r="J264" s="34" t="inlineStr">
        <is>
          <t>m</t>
        </is>
      </c>
      <c r="K264" s="36" t="n">
        <v>3.5</v>
      </c>
      <c r="L264" s="37">
        <f>I264*K264</f>
        <v/>
      </c>
    </row>
    <row r="265">
      <c r="A265" s="32" t="inlineStr">
        <is>
          <t>TORRE</t>
        </is>
      </c>
      <c r="B265" s="32" t="inlineStr">
        <is>
          <t>GARAGEM 02</t>
        </is>
      </c>
      <c r="C265" s="32" t="inlineStr">
        <is>
          <t>INSTALAÇÕES ELÉTRICAS</t>
        </is>
      </c>
      <c r="D265" s="32" t="inlineStr">
        <is>
          <t>MÓDULOS</t>
        </is>
      </c>
      <c r="E265" s="32" t="inlineStr">
        <is>
          <t>Tomada 2P+T 10A Padrão NBR 14136</t>
        </is>
      </c>
      <c r="F265" s="33" t="n">
        <v>6</v>
      </c>
      <c r="G265" s="33" t="n">
        <v>1</v>
      </c>
      <c r="H265" s="33" t="n">
        <v>0</v>
      </c>
      <c r="I265" s="35">
        <f>(F265+H265*F265)*G265</f>
        <v/>
      </c>
      <c r="J265" s="34" t="inlineStr">
        <is>
          <t>pç</t>
        </is>
      </c>
      <c r="K265" s="36" t="n">
        <v>8</v>
      </c>
      <c r="L265" s="37">
        <f>I265*K265</f>
        <v/>
      </c>
    </row>
    <row r="266">
      <c r="A266" s="32" t="inlineStr">
        <is>
          <t>TORRE</t>
        </is>
      </c>
      <c r="B266" s="32" t="inlineStr">
        <is>
          <t>GARAGEM 02</t>
        </is>
      </c>
      <c r="C266" s="32" t="inlineStr">
        <is>
          <t>INSTALAÇÕES ELÉTRICAS</t>
        </is>
      </c>
      <c r="D266" s="32" t="inlineStr">
        <is>
          <t>MÓDULOS</t>
        </is>
      </c>
      <c r="E266" s="32" t="inlineStr">
        <is>
          <t>Interruptor Simples 250V/10A Padrão NBRNM60669</t>
        </is>
      </c>
      <c r="F266" s="33" t="n">
        <v>1</v>
      </c>
      <c r="G266" s="33" t="n">
        <v>1</v>
      </c>
      <c r="H266" s="33" t="n">
        <v>0</v>
      </c>
      <c r="I266" s="35">
        <f>(F266+H266*F266)*G266</f>
        <v/>
      </c>
      <c r="J266" s="34" t="inlineStr">
        <is>
          <t>pç</t>
        </is>
      </c>
      <c r="K266" s="36" t="n">
        <v>7</v>
      </c>
      <c r="L266" s="37">
        <f>I266*K266</f>
        <v/>
      </c>
    </row>
    <row r="267">
      <c r="A267" s="32" t="inlineStr">
        <is>
          <t>TORRE</t>
        </is>
      </c>
      <c r="B267" s="32" t="inlineStr">
        <is>
          <t>GARAGEM 02</t>
        </is>
      </c>
      <c r="C267" s="32" t="inlineStr">
        <is>
          <t>INSTALAÇÕES ELÉTRICAS</t>
        </is>
      </c>
      <c r="D267" s="32" t="inlineStr">
        <is>
          <t>QUADROS DE DISTRIBUIÇÃO</t>
        </is>
      </c>
      <c r="E267" s="32" t="inlineStr">
        <is>
          <t>Quadro de dist. de embutir em PVC com cap. de 36 espaços DIN</t>
        </is>
      </c>
      <c r="F267" s="33" t="n">
        <v>1</v>
      </c>
      <c r="G267" s="33" t="n">
        <v>1</v>
      </c>
      <c r="H267" s="33" t="n">
        <v>0</v>
      </c>
      <c r="I267" s="35">
        <f>(F267+H267*F267)*G267</f>
        <v/>
      </c>
      <c r="J267" s="34" t="inlineStr">
        <is>
          <t>pç</t>
        </is>
      </c>
      <c r="K267" s="36" t="n">
        <v>192</v>
      </c>
      <c r="L267" s="37">
        <f>I267*K267</f>
        <v/>
      </c>
    </row>
    <row r="268">
      <c r="A268" s="32" t="inlineStr">
        <is>
          <t>TORRE</t>
        </is>
      </c>
      <c r="B268" s="32" t="inlineStr">
        <is>
          <t>GARAGEM 02</t>
        </is>
      </c>
      <c r="C268" s="32" t="inlineStr">
        <is>
          <t>INSTALAÇÕES ELÉTRICAS</t>
        </is>
      </c>
      <c r="D268" s="32" t="inlineStr">
        <is>
          <t>SENSORES</t>
        </is>
      </c>
      <c r="E268" s="32" t="inlineStr">
        <is>
          <t>Sensor de Presença</t>
        </is>
      </c>
      <c r="F268" s="33" t="n">
        <v>19</v>
      </c>
      <c r="G268" s="33" t="n">
        <v>1</v>
      </c>
      <c r="H268" s="33" t="n">
        <v>0</v>
      </c>
      <c r="I268" s="35">
        <f>(F268+H268*F268)*G268</f>
        <v/>
      </c>
      <c r="J268" s="34" t="inlineStr">
        <is>
          <t>pç</t>
        </is>
      </c>
      <c r="K268" s="36" t="n">
        <v>29</v>
      </c>
      <c r="L268" s="37">
        <f>I268*K268</f>
        <v/>
      </c>
    </row>
    <row r="269">
      <c r="A269" s="32" t="inlineStr">
        <is>
          <t>TORRE</t>
        </is>
      </c>
      <c r="B269" s="32" t="inlineStr">
        <is>
          <t>GARAGEM 02</t>
        </is>
      </c>
      <c r="C269" s="32" t="inlineStr">
        <is>
          <t>INSTALAÇÕES ELÉTRICAS</t>
        </is>
      </c>
      <c r="D269" s="32" t="inlineStr">
        <is>
          <t>CABO UNIPOLAR</t>
        </is>
      </c>
      <c r="E269" s="32" t="inlineStr">
        <is>
          <t>Isolação em PVC (70ºC) 1.5 mm² - Amarelo</t>
        </is>
      </c>
      <c r="F269" s="33" t="n">
        <v>128.9</v>
      </c>
      <c r="G269" s="33" t="n">
        <v>1</v>
      </c>
      <c r="H269" s="33" t="n">
        <v>0</v>
      </c>
      <c r="I269" s="35">
        <f>(F269+H269*F269)*G269</f>
        <v/>
      </c>
      <c r="J269" s="34" t="inlineStr">
        <is>
          <t>m</t>
        </is>
      </c>
      <c r="K269" s="36" t="n">
        <v>1.14</v>
      </c>
      <c r="L269" s="37">
        <f>I269*K269</f>
        <v/>
      </c>
    </row>
    <row r="270">
      <c r="A270" s="32" t="inlineStr">
        <is>
          <t>TORRE</t>
        </is>
      </c>
      <c r="B270" s="32" t="inlineStr">
        <is>
          <t>GARAGEM 02</t>
        </is>
      </c>
      <c r="C270" s="32" t="inlineStr">
        <is>
          <t>INSTALAÇÕES ELÉTRICAS</t>
        </is>
      </c>
      <c r="D270" s="32" t="inlineStr">
        <is>
          <t>CABO UNIPOLAR</t>
        </is>
      </c>
      <c r="E270" s="32" t="inlineStr">
        <is>
          <t>Isolação em PVC (70ºC) 1.5 mm² - Azul claro</t>
        </is>
      </c>
      <c r="F270" s="33" t="n">
        <v>190.8</v>
      </c>
      <c r="G270" s="33" t="n">
        <v>1</v>
      </c>
      <c r="H270" s="33" t="n">
        <v>0</v>
      </c>
      <c r="I270" s="35">
        <f>(F270+H270*F270)*G270</f>
        <v/>
      </c>
      <c r="J270" s="34" t="inlineStr">
        <is>
          <t>m</t>
        </is>
      </c>
      <c r="K270" s="36" t="n">
        <v>1.14</v>
      </c>
      <c r="L270" s="37">
        <f>I270*K270</f>
        <v/>
      </c>
    </row>
    <row r="271">
      <c r="A271" s="32" t="inlineStr">
        <is>
          <t>TORRE</t>
        </is>
      </c>
      <c r="B271" s="32" t="inlineStr">
        <is>
          <t>GARAGEM 02</t>
        </is>
      </c>
      <c r="C271" s="32" t="inlineStr">
        <is>
          <t>INSTALAÇÕES ELÉTRICAS</t>
        </is>
      </c>
      <c r="D271" s="32" t="inlineStr">
        <is>
          <t>CABO UNIPOLAR</t>
        </is>
      </c>
      <c r="E271" s="32" t="inlineStr">
        <is>
          <t>Isolação em PVC (70ºC) 1.5 mm² - Branco</t>
        </is>
      </c>
      <c r="F271" s="33" t="n">
        <v>88.40000000000001</v>
      </c>
      <c r="G271" s="33" t="n">
        <v>1</v>
      </c>
      <c r="H271" s="33" t="n">
        <v>0</v>
      </c>
      <c r="I271" s="35">
        <f>(F271+H271*F271)*G271</f>
        <v/>
      </c>
      <c r="J271" s="34" t="inlineStr">
        <is>
          <t>m</t>
        </is>
      </c>
      <c r="K271" s="36" t="n">
        <v>1.14</v>
      </c>
      <c r="L271" s="37">
        <f>I271*K271</f>
        <v/>
      </c>
    </row>
    <row r="272">
      <c r="A272" s="32" t="inlineStr">
        <is>
          <t>TORRE</t>
        </is>
      </c>
      <c r="B272" s="32" t="inlineStr">
        <is>
          <t>GARAGEM 02</t>
        </is>
      </c>
      <c r="C272" s="32" t="inlineStr">
        <is>
          <t>INSTALAÇÕES ELÉTRICAS</t>
        </is>
      </c>
      <c r="D272" s="32" t="inlineStr">
        <is>
          <t>CABO UNIPOLAR</t>
        </is>
      </c>
      <c r="E272" s="32" t="inlineStr">
        <is>
          <t>Isolação em PVC (70ºC) 1.5 mm² - Preto</t>
        </is>
      </c>
      <c r="F272" s="33" t="n">
        <v>68.5</v>
      </c>
      <c r="G272" s="33" t="n">
        <v>1</v>
      </c>
      <c r="H272" s="33" t="n">
        <v>0</v>
      </c>
      <c r="I272" s="35">
        <f>(F272+H272*F272)*G272</f>
        <v/>
      </c>
      <c r="J272" s="34" t="inlineStr">
        <is>
          <t>m</t>
        </is>
      </c>
      <c r="K272" s="36" t="n">
        <v>1.14</v>
      </c>
      <c r="L272" s="37">
        <f>I272*K272</f>
        <v/>
      </c>
    </row>
    <row r="273">
      <c r="A273" s="32" t="inlineStr">
        <is>
          <t>TORRE</t>
        </is>
      </c>
      <c r="B273" s="32" t="inlineStr">
        <is>
          <t>GARAGEM 02</t>
        </is>
      </c>
      <c r="C273" s="32" t="inlineStr">
        <is>
          <t>INSTALAÇÕES ELÉTRICAS</t>
        </is>
      </c>
      <c r="D273" s="32" t="inlineStr">
        <is>
          <t>CABO UNIPOLAR</t>
        </is>
      </c>
      <c r="E273" s="32" t="inlineStr">
        <is>
          <t>Isolação em PVC (70ºC) 1.5 mm² - Verde-amarelo</t>
        </is>
      </c>
      <c r="F273" s="33" t="n">
        <v>100.6</v>
      </c>
      <c r="G273" s="33" t="n">
        <v>1</v>
      </c>
      <c r="H273" s="33" t="n">
        <v>0</v>
      </c>
      <c r="I273" s="35">
        <f>(F273+H273*F273)*G273</f>
        <v/>
      </c>
      <c r="J273" s="34" t="inlineStr">
        <is>
          <t>m</t>
        </is>
      </c>
      <c r="K273" s="36" t="n">
        <v>1.14</v>
      </c>
      <c r="L273" s="37">
        <f>I273*K273</f>
        <v/>
      </c>
    </row>
    <row r="274">
      <c r="A274" s="32" t="inlineStr">
        <is>
          <t>TORRE</t>
        </is>
      </c>
      <c r="B274" s="32" t="inlineStr">
        <is>
          <t>GARAGEM 02</t>
        </is>
      </c>
      <c r="C274" s="32" t="inlineStr">
        <is>
          <t>INSTALAÇÕES ELÉTRICAS</t>
        </is>
      </c>
      <c r="D274" s="32" t="inlineStr">
        <is>
          <t>CABO UNIPOLAR</t>
        </is>
      </c>
      <c r="E274" s="32" t="inlineStr">
        <is>
          <t>Isolação em PVC (70ºC) 2.5 mm² - Azul claro</t>
        </is>
      </c>
      <c r="F274" s="33" t="n">
        <v>20.4</v>
      </c>
      <c r="G274" s="33" t="n">
        <v>1</v>
      </c>
      <c r="H274" s="33" t="n">
        <v>0</v>
      </c>
      <c r="I274" s="35">
        <f>(F274+H274*F274)*G274</f>
        <v/>
      </c>
      <c r="J274" s="34" t="inlineStr">
        <is>
          <t>m</t>
        </is>
      </c>
      <c r="K274" s="36" t="n">
        <v>2.12</v>
      </c>
      <c r="L274" s="37">
        <f>I274*K274</f>
        <v/>
      </c>
    </row>
    <row r="275">
      <c r="A275" s="32" t="inlineStr">
        <is>
          <t>TORRE</t>
        </is>
      </c>
      <c r="B275" s="32" t="inlineStr">
        <is>
          <t>GARAGEM 02</t>
        </is>
      </c>
      <c r="C275" s="32" t="inlineStr">
        <is>
          <t>INSTALAÇÕES ELÉTRICAS</t>
        </is>
      </c>
      <c r="D275" s="32" t="inlineStr">
        <is>
          <t>CABO UNIPOLAR</t>
        </is>
      </c>
      <c r="E275" s="32" t="inlineStr">
        <is>
          <t>Isolação em PVC (70ºC) 2.5 mm² - Branco</t>
        </is>
      </c>
      <c r="F275" s="33" t="n">
        <v>20.4</v>
      </c>
      <c r="G275" s="33" t="n">
        <v>1</v>
      </c>
      <c r="H275" s="33" t="n">
        <v>0</v>
      </c>
      <c r="I275" s="35">
        <f>(F275+H275*F275)*G275</f>
        <v/>
      </c>
      <c r="J275" s="34" t="inlineStr">
        <is>
          <t>m</t>
        </is>
      </c>
      <c r="K275" s="36" t="n">
        <v>2.12</v>
      </c>
      <c r="L275" s="37">
        <f>I275*K275</f>
        <v/>
      </c>
    </row>
    <row r="276">
      <c r="A276" s="32" t="inlineStr">
        <is>
          <t>TORRE</t>
        </is>
      </c>
      <c r="B276" s="32" t="inlineStr">
        <is>
          <t>GARAGEM 02</t>
        </is>
      </c>
      <c r="C276" s="32" t="inlineStr">
        <is>
          <t>INSTALAÇÕES ELÉTRICAS</t>
        </is>
      </c>
      <c r="D276" s="32" t="inlineStr">
        <is>
          <t>CABO UNIPOLAR</t>
        </is>
      </c>
      <c r="E276" s="32" t="inlineStr">
        <is>
          <t>Isolação em PVC (70ºC) 2.5 mm² - Verde-amarelo</t>
        </is>
      </c>
      <c r="F276" s="33" t="n">
        <v>14.2</v>
      </c>
      <c r="G276" s="33" t="n">
        <v>1</v>
      </c>
      <c r="H276" s="33" t="n">
        <v>0</v>
      </c>
      <c r="I276" s="35">
        <f>(F276+H276*F276)*G276</f>
        <v/>
      </c>
      <c r="J276" s="34" t="inlineStr">
        <is>
          <t>m</t>
        </is>
      </c>
      <c r="K276" s="36" t="n">
        <v>2.12</v>
      </c>
      <c r="L276" s="37">
        <f>I276*K276</f>
        <v/>
      </c>
    </row>
    <row r="277">
      <c r="A277" s="32" t="inlineStr">
        <is>
          <t>TORRE</t>
        </is>
      </c>
      <c r="B277" s="32" t="inlineStr">
        <is>
          <t>GARAGEM 02</t>
        </is>
      </c>
      <c r="C277" s="32" t="inlineStr">
        <is>
          <t>INSTALAÇÕES ELÉTRICAS</t>
        </is>
      </c>
      <c r="D277" s="32" t="inlineStr">
        <is>
          <t>CABO UNIPOLAR</t>
        </is>
      </c>
      <c r="E277" s="32" t="inlineStr">
        <is>
          <t>Isolação em PVC (70ºC) 4 mm² - Azul claro</t>
        </is>
      </c>
      <c r="F277" s="33" t="n">
        <v>140.6</v>
      </c>
      <c r="G277" s="33" t="n">
        <v>1</v>
      </c>
      <c r="H277" s="33" t="n">
        <v>0</v>
      </c>
      <c r="I277" s="35">
        <f>(F277+H277*F277)*G277</f>
        <v/>
      </c>
      <c r="J277" s="34" t="inlineStr">
        <is>
          <t>m</t>
        </is>
      </c>
      <c r="K277" s="36" t="n">
        <v>3.51</v>
      </c>
      <c r="L277" s="37">
        <f>I277*K277</f>
        <v/>
      </c>
    </row>
    <row r="278">
      <c r="A278" s="32" t="inlineStr">
        <is>
          <t>TORRE</t>
        </is>
      </c>
      <c r="B278" s="32" t="inlineStr">
        <is>
          <t>GARAGEM 02</t>
        </is>
      </c>
      <c r="C278" s="32" t="inlineStr">
        <is>
          <t>INSTALAÇÕES ELÉTRICAS</t>
        </is>
      </c>
      <c r="D278" s="32" t="inlineStr">
        <is>
          <t>CABO UNIPOLAR</t>
        </is>
      </c>
      <c r="E278" s="32" t="inlineStr">
        <is>
          <t>Isolação em PVC (70ºC) 4 mm² - Branco</t>
        </is>
      </c>
      <c r="F278" s="33" t="n">
        <v>14.6</v>
      </c>
      <c r="G278" s="33" t="n">
        <v>1</v>
      </c>
      <c r="H278" s="33" t="n">
        <v>0</v>
      </c>
      <c r="I278" s="35">
        <f>(F278+H278*F278)*G278</f>
        <v/>
      </c>
      <c r="J278" s="34" t="inlineStr">
        <is>
          <t>m</t>
        </is>
      </c>
      <c r="K278" s="36" t="n">
        <v>3.51</v>
      </c>
      <c r="L278" s="37">
        <f>I278*K278</f>
        <v/>
      </c>
    </row>
    <row r="279">
      <c r="A279" s="32" t="inlineStr">
        <is>
          <t>TORRE</t>
        </is>
      </c>
      <c r="B279" s="32" t="inlineStr">
        <is>
          <t>GARAGEM 02</t>
        </is>
      </c>
      <c r="C279" s="32" t="inlineStr">
        <is>
          <t>INSTALAÇÕES ELÉTRICAS</t>
        </is>
      </c>
      <c r="D279" s="32" t="inlineStr">
        <is>
          <t>CABO UNIPOLAR</t>
        </is>
      </c>
      <c r="E279" s="32" t="inlineStr">
        <is>
          <t>Isolação em PVC (70ºC) 4 mm² - Preto</t>
        </is>
      </c>
      <c r="F279" s="33" t="n">
        <v>14.9</v>
      </c>
      <c r="G279" s="33" t="n">
        <v>1</v>
      </c>
      <c r="H279" s="33" t="n">
        <v>0</v>
      </c>
      <c r="I279" s="35">
        <f>(F279+H279*F279)*G279</f>
        <v/>
      </c>
      <c r="J279" s="34" t="inlineStr">
        <is>
          <t>m</t>
        </is>
      </c>
      <c r="K279" s="36" t="n">
        <v>3.51</v>
      </c>
      <c r="L279" s="37">
        <f>I279*K279</f>
        <v/>
      </c>
    </row>
    <row r="280">
      <c r="A280" s="32" t="inlineStr">
        <is>
          <t>TORRE</t>
        </is>
      </c>
      <c r="B280" s="32" t="inlineStr">
        <is>
          <t>GARAGEM 02</t>
        </is>
      </c>
      <c r="C280" s="32" t="inlineStr">
        <is>
          <t>INSTALAÇÕES ELÉTRICAS</t>
        </is>
      </c>
      <c r="D280" s="32" t="inlineStr">
        <is>
          <t>CABO UNIPOLAR</t>
        </is>
      </c>
      <c r="E280" s="32" t="inlineStr">
        <is>
          <t>Isolação em PVC (70ºC) 4 mm² - Verde-amarelo</t>
        </is>
      </c>
      <c r="F280" s="33" t="n">
        <v>126.5</v>
      </c>
      <c r="G280" s="33" t="n">
        <v>1</v>
      </c>
      <c r="H280" s="33" t="n">
        <v>0</v>
      </c>
      <c r="I280" s="35">
        <f>(F280+H280*F280)*G280</f>
        <v/>
      </c>
      <c r="J280" s="34" t="inlineStr">
        <is>
          <t>m</t>
        </is>
      </c>
      <c r="K280" s="36" t="n">
        <v>3.51</v>
      </c>
      <c r="L280" s="37">
        <f>I280*K280</f>
        <v/>
      </c>
    </row>
    <row r="281">
      <c r="A281" s="32" t="inlineStr">
        <is>
          <t>TORRE</t>
        </is>
      </c>
      <c r="B281" s="32" t="inlineStr">
        <is>
          <t>GARAGEM 02</t>
        </is>
      </c>
      <c r="C281" s="32" t="inlineStr">
        <is>
          <t>INSTALAÇÕES ELÉTRICAS</t>
        </is>
      </c>
      <c r="D281" s="32" t="inlineStr">
        <is>
          <t>CABO UNIPOLAR</t>
        </is>
      </c>
      <c r="E281" s="32" t="inlineStr">
        <is>
          <t>Isolação em PVC (70ºC) 4 mm² - Vermelho</t>
        </is>
      </c>
      <c r="F281" s="33" t="n">
        <v>112.7</v>
      </c>
      <c r="G281" s="33" t="n">
        <v>1</v>
      </c>
      <c r="H281" s="33" t="n">
        <v>0</v>
      </c>
      <c r="I281" s="35">
        <f>(F281+H281*F281)*G281</f>
        <v/>
      </c>
      <c r="J281" s="34" t="inlineStr">
        <is>
          <t>m</t>
        </is>
      </c>
      <c r="K281" s="36" t="n">
        <v>3.51</v>
      </c>
      <c r="L281" s="37">
        <f>I281*K281</f>
        <v/>
      </c>
    </row>
    <row r="282">
      <c r="A282" s="32" t="inlineStr">
        <is>
          <t>TORRE</t>
        </is>
      </c>
      <c r="B282" s="32" t="inlineStr">
        <is>
          <t>GARAGEM 02</t>
        </is>
      </c>
      <c r="C282" s="32" t="inlineStr">
        <is>
          <t>INSTALAÇÕES ELÉTRICAS</t>
        </is>
      </c>
      <c r="D282" s="32" t="inlineStr">
        <is>
          <t>CABO UNIPOLAR</t>
        </is>
      </c>
      <c r="E282" s="32" t="inlineStr">
        <is>
          <t>Isolação em PVC (70ºC) 6 mm² - Azul claro</t>
        </is>
      </c>
      <c r="F282" s="33" t="n">
        <v>2.9</v>
      </c>
      <c r="G282" s="33" t="n">
        <v>1</v>
      </c>
      <c r="H282" s="33" t="n">
        <v>0</v>
      </c>
      <c r="I282" s="35">
        <f>(F282+H282*F282)*G282</f>
        <v/>
      </c>
      <c r="J282" s="34" t="inlineStr">
        <is>
          <t>m</t>
        </is>
      </c>
      <c r="K282" s="36" t="n">
        <v>8</v>
      </c>
      <c r="L282" s="37">
        <f>I282*K282</f>
        <v/>
      </c>
    </row>
    <row r="283">
      <c r="A283" s="32" t="inlineStr">
        <is>
          <t>TORRE</t>
        </is>
      </c>
      <c r="B283" s="32" t="inlineStr">
        <is>
          <t>GARAGEM 02</t>
        </is>
      </c>
      <c r="C283" s="32" t="inlineStr">
        <is>
          <t>INSTALAÇÕES ELÉTRICAS</t>
        </is>
      </c>
      <c r="D283" s="32" t="inlineStr">
        <is>
          <t>CABO UNIPOLAR</t>
        </is>
      </c>
      <c r="E283" s="32" t="inlineStr">
        <is>
          <t>Isolação em PVC (70ºC) 6 mm² - Preto</t>
        </is>
      </c>
      <c r="F283" s="33" t="n">
        <v>2.9</v>
      </c>
      <c r="G283" s="33" t="n">
        <v>1</v>
      </c>
      <c r="H283" s="33" t="n">
        <v>0</v>
      </c>
      <c r="I283" s="35">
        <f>(F283+H283*F283)*G283</f>
        <v/>
      </c>
      <c r="J283" s="34" t="inlineStr">
        <is>
          <t>m</t>
        </is>
      </c>
      <c r="K283" s="36" t="n">
        <v>8</v>
      </c>
      <c r="L283" s="37">
        <f>I283*K283</f>
        <v/>
      </c>
    </row>
    <row r="284" ht="15" customHeight="1">
      <c r="A284" s="32" t="inlineStr">
        <is>
          <t>TORRE</t>
        </is>
      </c>
      <c r="B284" s="32" t="inlineStr">
        <is>
          <t>GARAGEM 02</t>
        </is>
      </c>
      <c r="C284" s="32" t="inlineStr">
        <is>
          <t>INSTALAÇÕES ELÉTRICAS</t>
        </is>
      </c>
      <c r="D284" s="32" t="inlineStr">
        <is>
          <t>CABO UNIPOLAR</t>
        </is>
      </c>
      <c r="E284" s="32" t="inlineStr">
        <is>
          <t>Isolação em PVC (70ºC) 6 mm² - Verde-amarelo</t>
        </is>
      </c>
      <c r="F284" s="33" t="n">
        <v>2.9</v>
      </c>
      <c r="G284" s="33" t="n">
        <v>1</v>
      </c>
      <c r="H284" s="33" t="n">
        <v>0</v>
      </c>
      <c r="I284" s="35">
        <f>(F284+H284*F284)*G284</f>
        <v/>
      </c>
      <c r="J284" s="34" t="inlineStr">
        <is>
          <t>m</t>
        </is>
      </c>
      <c r="K284" s="36" t="n">
        <v>8</v>
      </c>
      <c r="L284" s="37">
        <f>I284*K284</f>
        <v/>
      </c>
    </row>
    <row r="285" ht="15" customHeight="1">
      <c r="A285" s="40" t="inlineStr">
        <is>
          <t>TORRE</t>
        </is>
      </c>
      <c r="B285" s="40" t="inlineStr">
        <is>
          <t>GARAGEM 03</t>
        </is>
      </c>
      <c r="C285" s="41" t="n"/>
      <c r="D285" s="42" t="n"/>
      <c r="E285" s="42" t="n"/>
      <c r="F285" s="43" t="n"/>
      <c r="G285" s="43" t="n"/>
      <c r="H285" s="43" t="n"/>
      <c r="I285" s="44" t="n"/>
      <c r="J285" s="43" t="n"/>
      <c r="K285" s="45" t="n"/>
      <c r="L285" s="46">
        <f>SUMIFS($L$7:$L$513,$B$7:$B$513,B285,$E$7:$E$513,"&lt;&gt;"&amp;"")</f>
        <v/>
      </c>
    </row>
    <row r="286" ht="14.25" customHeight="1">
      <c r="A286" s="32" t="inlineStr">
        <is>
          <t>TORRE</t>
        </is>
      </c>
      <c r="B286" s="32" t="inlineStr">
        <is>
          <t>GARAGEM 03</t>
        </is>
      </c>
      <c r="C286" s="32" t="inlineStr">
        <is>
          <t>INSTALAÇÕES ELÉTRICAS</t>
        </is>
      </c>
      <c r="D286" s="32" t="inlineStr">
        <is>
          <t>CAIXA OCTOGONAL</t>
        </is>
      </c>
      <c r="E286" s="32" t="inlineStr">
        <is>
          <t>Caixa Octogonal Padrão NBR IEC 60670</t>
        </is>
      </c>
      <c r="F286" s="33" t="n">
        <v>61</v>
      </c>
      <c r="G286" s="33" t="n">
        <v>1</v>
      </c>
      <c r="H286" s="33" t="n">
        <v>0</v>
      </c>
      <c r="I286" s="35">
        <f>(F286+H286*F286)*G286</f>
        <v/>
      </c>
      <c r="J286" s="33" t="inlineStr">
        <is>
          <t>pç</t>
        </is>
      </c>
      <c r="K286" s="36" t="n">
        <v>3.55</v>
      </c>
      <c r="L286" s="37">
        <f>I286*K286</f>
        <v/>
      </c>
    </row>
    <row r="287" ht="14.25" customHeight="1">
      <c r="A287" s="32" t="inlineStr">
        <is>
          <t>TORRE</t>
        </is>
      </c>
      <c r="B287" s="32" t="inlineStr">
        <is>
          <t>GARAGEM 03</t>
        </is>
      </c>
      <c r="C287" s="32" t="inlineStr">
        <is>
          <t>INSTALAÇÕES ELÉTRICAS</t>
        </is>
      </c>
      <c r="D287" s="32" t="inlineStr">
        <is>
          <t>CAIXAS 4x2" E 4x4"</t>
        </is>
      </c>
      <c r="E287" s="32" t="inlineStr">
        <is>
          <t>Caixa 4x2" de Embutir em PVC Padrão NBR IEC 60670</t>
        </is>
      </c>
      <c r="F287" s="33" t="n">
        <v>12</v>
      </c>
      <c r="G287" s="33" t="n">
        <v>1</v>
      </c>
      <c r="H287" s="33" t="n">
        <v>0</v>
      </c>
      <c r="I287" s="35">
        <f>(F287+H287*F287)*G287</f>
        <v/>
      </c>
      <c r="J287" s="33" t="inlineStr">
        <is>
          <t>pç</t>
        </is>
      </c>
      <c r="K287" s="36" t="n">
        <v>2.2</v>
      </c>
      <c r="L287" s="37">
        <f>I287*K287</f>
        <v/>
      </c>
    </row>
    <row r="288" ht="14.25" customHeight="1">
      <c r="A288" s="32" t="inlineStr">
        <is>
          <t>TORRE</t>
        </is>
      </c>
      <c r="B288" s="32" t="inlineStr">
        <is>
          <t>GARAGEM 03</t>
        </is>
      </c>
      <c r="C288" s="32" t="inlineStr">
        <is>
          <t>INSTALAÇÕES ELÉTRICAS</t>
        </is>
      </c>
      <c r="D288" s="32" t="inlineStr">
        <is>
          <t>CAIXAS 4x2" E 4x4"</t>
        </is>
      </c>
      <c r="E288" s="32" t="inlineStr">
        <is>
          <t>Placa 4x2" cega Padrão NBR IEC 60670</t>
        </is>
      </c>
      <c r="F288" s="33" t="n">
        <v>2</v>
      </c>
      <c r="G288" s="33" t="n">
        <v>1</v>
      </c>
      <c r="H288" s="33" t="n">
        <v>0</v>
      </c>
      <c r="I288" s="35">
        <f>(F288+H288*F288)*G288</f>
        <v/>
      </c>
      <c r="J288" s="33" t="inlineStr">
        <is>
          <t>pç</t>
        </is>
      </c>
      <c r="K288" s="36" t="n">
        <v>8.9</v>
      </c>
      <c r="L288" s="37">
        <f>I288*K288</f>
        <v/>
      </c>
    </row>
    <row r="289" ht="14.25" customHeight="1">
      <c r="A289" s="32" t="inlineStr">
        <is>
          <t>TORRE</t>
        </is>
      </c>
      <c r="B289" s="32" t="inlineStr">
        <is>
          <t>GARAGEM 03</t>
        </is>
      </c>
      <c r="C289" s="32" t="inlineStr">
        <is>
          <t>INSTALAÇÕES ELÉTRICAS</t>
        </is>
      </c>
      <c r="D289" s="32" t="inlineStr">
        <is>
          <t>CAIXAS 4x2" E 4x4"</t>
        </is>
      </c>
      <c r="E289" s="32" t="inlineStr">
        <is>
          <t>Placa 4x2" para 1 função Padrão NBR IEC 60670</t>
        </is>
      </c>
      <c r="F289" s="33" t="n">
        <v>10</v>
      </c>
      <c r="G289" s="33" t="n">
        <v>1</v>
      </c>
      <c r="H289" s="33" t="n">
        <v>0</v>
      </c>
      <c r="I289" s="35">
        <f>(F289+H289*F289)*G289</f>
        <v/>
      </c>
      <c r="J289" s="33" t="inlineStr">
        <is>
          <t>pç</t>
        </is>
      </c>
      <c r="K289" s="36" t="n">
        <v>8.9</v>
      </c>
      <c r="L289" s="37">
        <f>I289*K289</f>
        <v/>
      </c>
    </row>
    <row r="290" ht="14.25" customHeight="1">
      <c r="A290" s="32" t="inlineStr">
        <is>
          <t>TORRE</t>
        </is>
      </c>
      <c r="B290" s="32" t="inlineStr">
        <is>
          <t>GARAGEM 03</t>
        </is>
      </c>
      <c r="C290" s="32" t="inlineStr">
        <is>
          <t>INSTALAÇÕES ELÉTRICAS</t>
        </is>
      </c>
      <c r="D290" s="32" t="inlineStr">
        <is>
          <t>CAIXAS 4x2" E 4x4"</t>
        </is>
      </c>
      <c r="E290" s="32" t="inlineStr">
        <is>
          <t>Suporte p/ caixa 4x2" Padrão NBR IEC 60670</t>
        </is>
      </c>
      <c r="F290" s="33" t="n">
        <v>12</v>
      </c>
      <c r="G290" s="33" t="n">
        <v>1</v>
      </c>
      <c r="H290" s="33" t="n">
        <v>0</v>
      </c>
      <c r="I290" s="35">
        <f>(F290+H290*F290)*G290</f>
        <v/>
      </c>
      <c r="J290" s="33" t="inlineStr">
        <is>
          <t>pç</t>
        </is>
      </c>
      <c r="K290" s="36" t="n">
        <v>1.85</v>
      </c>
      <c r="L290" s="37">
        <f>I290*K290</f>
        <v/>
      </c>
    </row>
    <row r="291" ht="14.25" customHeight="1">
      <c r="A291" s="32" t="inlineStr">
        <is>
          <t>TORRE</t>
        </is>
      </c>
      <c r="B291" s="32" t="inlineStr">
        <is>
          <t>GARAGEM 03</t>
        </is>
      </c>
      <c r="C291" s="32" t="inlineStr">
        <is>
          <t>INSTALAÇÕES ELÉTRICAS</t>
        </is>
      </c>
      <c r="D291" s="32" t="inlineStr">
        <is>
          <t>DISPOSITIVOS DE PROTEÇÃO</t>
        </is>
      </c>
      <c r="E291" s="32" t="inlineStr">
        <is>
          <t>Disjuntores Monopolares DIN 10 A - 3 kA - Curva C - NBR NM 60898</t>
        </is>
      </c>
      <c r="F291" s="33" t="n">
        <v>2</v>
      </c>
      <c r="G291" s="33" t="n">
        <v>1</v>
      </c>
      <c r="H291" s="33" t="n">
        <v>0</v>
      </c>
      <c r="I291" s="35">
        <f>(F291+H291*F291)*G291</f>
        <v/>
      </c>
      <c r="J291" s="33" t="inlineStr">
        <is>
          <t>pç</t>
        </is>
      </c>
      <c r="K291" s="36" t="n">
        <v>12.16</v>
      </c>
      <c r="L291" s="37">
        <f>I291*K291</f>
        <v/>
      </c>
    </row>
    <row r="292" ht="14.25" customHeight="1">
      <c r="A292" s="32" t="inlineStr">
        <is>
          <t>TORRE</t>
        </is>
      </c>
      <c r="B292" s="32" t="inlineStr">
        <is>
          <t>GARAGEM 03</t>
        </is>
      </c>
      <c r="C292" s="32" t="inlineStr">
        <is>
          <t>INSTALAÇÕES ELÉTRICAS</t>
        </is>
      </c>
      <c r="D292" s="32" t="inlineStr">
        <is>
          <t>DISPOSITIVOS DE PROTEÇÃO</t>
        </is>
      </c>
      <c r="E292" s="32" t="inlineStr">
        <is>
          <t>Disjuntores Monopolares DIN 16 A - 3 kA - Curva C - NBR NM 60898</t>
        </is>
      </c>
      <c r="F292" s="33" t="n">
        <v>1</v>
      </c>
      <c r="G292" s="33" t="n">
        <v>1</v>
      </c>
      <c r="H292" s="33" t="n">
        <v>0</v>
      </c>
      <c r="I292" s="35">
        <f>(F292+H292*F292)*G292</f>
        <v/>
      </c>
      <c r="J292" s="33" t="inlineStr">
        <is>
          <t>pç</t>
        </is>
      </c>
      <c r="K292" s="36" t="n">
        <v>13.05</v>
      </c>
      <c r="L292" s="37">
        <f>I292*K292</f>
        <v/>
      </c>
    </row>
    <row r="293" ht="14.25" customHeight="1">
      <c r="A293" s="32" t="inlineStr">
        <is>
          <t>TORRE</t>
        </is>
      </c>
      <c r="B293" s="32" t="inlineStr">
        <is>
          <t>GARAGEM 03</t>
        </is>
      </c>
      <c r="C293" s="32" t="inlineStr">
        <is>
          <t>INSTALAÇÕES ELÉTRICAS</t>
        </is>
      </c>
      <c r="D293" s="32" t="inlineStr">
        <is>
          <t>DISPOSITIVOS DE PROTEÇÃO</t>
        </is>
      </c>
      <c r="E293" s="32" t="inlineStr">
        <is>
          <t>Disjuntores Monopolares DIN 20 A - 3 kA - Curva C - NBR NM 60898</t>
        </is>
      </c>
      <c r="F293" s="33" t="n">
        <v>1</v>
      </c>
      <c r="G293" s="33" t="n">
        <v>1</v>
      </c>
      <c r="H293" s="33" t="n">
        <v>0</v>
      </c>
      <c r="I293" s="35">
        <f>(F293+H293*F293)*G293</f>
        <v/>
      </c>
      <c r="J293" s="33" t="inlineStr">
        <is>
          <t>pç</t>
        </is>
      </c>
      <c r="K293" s="36" t="n">
        <v>14</v>
      </c>
      <c r="L293" s="37">
        <f>I293*K293</f>
        <v/>
      </c>
    </row>
    <row r="294" ht="14.25" customHeight="1">
      <c r="A294" s="32" t="inlineStr">
        <is>
          <t>TORRE</t>
        </is>
      </c>
      <c r="B294" s="32" t="inlineStr">
        <is>
          <t>GARAGEM 03</t>
        </is>
      </c>
      <c r="C294" s="32" t="inlineStr">
        <is>
          <t>INSTALAÇÕES ELÉTRICAS</t>
        </is>
      </c>
      <c r="D294" s="32" t="inlineStr">
        <is>
          <t>DISPOSITIVOS DE PROTEÇÃO</t>
        </is>
      </c>
      <c r="E294" s="32" t="inlineStr">
        <is>
          <t>Disjuntores Monopolares DIN 32 A - 3 kA - Curva C - NBR NM 60898</t>
        </is>
      </c>
      <c r="F294" s="33" t="n">
        <v>3</v>
      </c>
      <c r="G294" s="33" t="n">
        <v>1</v>
      </c>
      <c r="H294" s="33" t="n">
        <v>0</v>
      </c>
      <c r="I294" s="35">
        <f>(F294+H294*F294)*G294</f>
        <v/>
      </c>
      <c r="J294" s="33" t="inlineStr">
        <is>
          <t>pç</t>
        </is>
      </c>
      <c r="K294" s="36" t="n">
        <v>21</v>
      </c>
      <c r="L294" s="37">
        <f>I294*K294</f>
        <v/>
      </c>
    </row>
    <row r="295" ht="14.25" customHeight="1">
      <c r="A295" s="32" t="inlineStr">
        <is>
          <t>TORRE</t>
        </is>
      </c>
      <c r="B295" s="32" t="inlineStr">
        <is>
          <t>GARAGEM 03</t>
        </is>
      </c>
      <c r="C295" s="32" t="inlineStr">
        <is>
          <t>INSTALAÇÕES ELÉTRICAS</t>
        </is>
      </c>
      <c r="D295" s="32" t="inlineStr">
        <is>
          <t>DISPOSITIVOS DE PROTEÇÃO</t>
        </is>
      </c>
      <c r="E295" s="32" t="inlineStr">
        <is>
          <t>Disjuntores Tripolares DIN 50 A - 10 kA - Curva C - NBR 60947-2</t>
        </is>
      </c>
      <c r="F295" s="33" t="n">
        <v>1</v>
      </c>
      <c r="G295" s="33" t="n">
        <v>1</v>
      </c>
      <c r="H295" s="33" t="n">
        <v>0</v>
      </c>
      <c r="I295" s="35">
        <f>(F295+H295*F295)*G295</f>
        <v/>
      </c>
      <c r="J295" s="33" t="inlineStr">
        <is>
          <t>pç</t>
        </is>
      </c>
      <c r="K295" s="36" t="n">
        <v>64.90000000000001</v>
      </c>
      <c r="L295" s="37">
        <f>I295*K295</f>
        <v/>
      </c>
    </row>
    <row r="296" ht="14.25" customHeight="1">
      <c r="A296" s="32" t="inlineStr">
        <is>
          <t>TORRE</t>
        </is>
      </c>
      <c r="B296" s="32" t="inlineStr">
        <is>
          <t>GARAGEM 03</t>
        </is>
      </c>
      <c r="C296" s="32" t="inlineStr">
        <is>
          <t>INSTALAÇÕES ELÉTRICAS</t>
        </is>
      </c>
      <c r="D296" s="32" t="inlineStr">
        <is>
          <t>DISPOSITIVOS DE PROTEÇÃO</t>
        </is>
      </c>
      <c r="E296" s="32" t="inlineStr">
        <is>
          <t>Dispositivos de Proteção Contra Surto 275V - Classe I/II - In=30kA - Imáx.=60kA - NBR IEC 61643-1</t>
        </is>
      </c>
      <c r="F296" s="33" t="n">
        <v>4</v>
      </c>
      <c r="G296" s="33" t="n">
        <v>1</v>
      </c>
      <c r="H296" s="33" t="n">
        <v>0</v>
      </c>
      <c r="I296" s="35">
        <f>(F296+H296*F296)*G296</f>
        <v/>
      </c>
      <c r="J296" s="33" t="inlineStr">
        <is>
          <t>pç</t>
        </is>
      </c>
      <c r="K296" s="36" t="n">
        <v>97</v>
      </c>
      <c r="L296" s="37">
        <f>I296*K296</f>
        <v/>
      </c>
    </row>
    <row r="297" ht="14.25" customHeight="1">
      <c r="A297" s="32" t="inlineStr">
        <is>
          <t>TORRE</t>
        </is>
      </c>
      <c r="B297" s="32" t="inlineStr">
        <is>
          <t>GARAGEM 03</t>
        </is>
      </c>
      <c r="C297" s="32" t="inlineStr">
        <is>
          <t>INSTALAÇÕES ELÉTRICAS</t>
        </is>
      </c>
      <c r="D297" s="32" t="inlineStr">
        <is>
          <t>DISPOSITIVOS DE PROTEÇÃO</t>
        </is>
      </c>
      <c r="E297" s="32" t="inlineStr">
        <is>
          <t>Interruptores Diferenciais Residuais Tetrapolares DIN 63A - 30mA - Tipo AC - 400V - NBR NM 61008-1</t>
        </is>
      </c>
      <c r="F297" s="33" t="n">
        <v>1</v>
      </c>
      <c r="G297" s="33" t="n">
        <v>1</v>
      </c>
      <c r="H297" s="33" t="n">
        <v>0</v>
      </c>
      <c r="I297" s="35">
        <f>(F297+H297*F297)*G297</f>
        <v/>
      </c>
      <c r="J297" s="33" t="inlineStr">
        <is>
          <t>pç</t>
        </is>
      </c>
      <c r="K297" s="36" t="n">
        <v>201</v>
      </c>
      <c r="L297" s="37">
        <f>I297*K297</f>
        <v/>
      </c>
    </row>
    <row r="298" ht="14.25" customHeight="1">
      <c r="A298" s="32" t="inlineStr">
        <is>
          <t>TORRE</t>
        </is>
      </c>
      <c r="B298" s="32" t="inlineStr">
        <is>
          <t>GARAGEM 03</t>
        </is>
      </c>
      <c r="C298" s="32" t="inlineStr">
        <is>
          <t>INSTALAÇÕES ELÉTRICAS</t>
        </is>
      </c>
      <c r="D298" s="32" t="inlineStr">
        <is>
          <t xml:space="preserve">ELETRODUTOS  </t>
        </is>
      </c>
      <c r="E298" s="32" t="inlineStr">
        <is>
          <t>PVC Flexível Antichama - NBR 15465 ø1"</t>
        </is>
      </c>
      <c r="F298" s="33" t="n">
        <v>7.8</v>
      </c>
      <c r="G298" s="33" t="n">
        <v>1</v>
      </c>
      <c r="H298" s="33" t="n">
        <v>0</v>
      </c>
      <c r="I298" s="35">
        <f>(F298+H298*F298)*G298</f>
        <v/>
      </c>
      <c r="J298" s="33" t="inlineStr">
        <is>
          <t>m</t>
        </is>
      </c>
      <c r="K298" s="36" t="n">
        <v>5</v>
      </c>
      <c r="L298" s="37">
        <f>I298*K298</f>
        <v/>
      </c>
    </row>
    <row r="299" ht="14.25" customHeight="1">
      <c r="A299" s="32" t="inlineStr">
        <is>
          <t>TORRE</t>
        </is>
      </c>
      <c r="B299" s="32" t="inlineStr">
        <is>
          <t>GARAGEM 03</t>
        </is>
      </c>
      <c r="C299" s="32" t="inlineStr">
        <is>
          <t>INSTALAÇÕES ELÉTRICAS</t>
        </is>
      </c>
      <c r="D299" s="32" t="inlineStr">
        <is>
          <t xml:space="preserve">ELETRODUTOS  </t>
        </is>
      </c>
      <c r="E299" s="32" t="inlineStr">
        <is>
          <t>PVC Flexível Antichama - NBR 15465 ø3/4"</t>
        </is>
      </c>
      <c r="F299" s="33" t="n">
        <v>243.3</v>
      </c>
      <c r="G299" s="33" t="n">
        <v>1</v>
      </c>
      <c r="H299" s="33" t="n">
        <v>0</v>
      </c>
      <c r="I299" s="35">
        <f>(F299+H299*F299)*G299</f>
        <v/>
      </c>
      <c r="J299" s="33" t="inlineStr">
        <is>
          <t>m</t>
        </is>
      </c>
      <c r="K299" s="36" t="n">
        <v>3.5</v>
      </c>
      <c r="L299" s="37">
        <f>I299*K299</f>
        <v/>
      </c>
    </row>
    <row r="300" ht="14.25" customHeight="1">
      <c r="A300" s="32" t="inlineStr">
        <is>
          <t>TORRE</t>
        </is>
      </c>
      <c r="B300" s="32" t="inlineStr">
        <is>
          <t>GARAGEM 03</t>
        </is>
      </c>
      <c r="C300" s="32" t="inlineStr">
        <is>
          <t>INSTALAÇÕES ELÉTRICAS</t>
        </is>
      </c>
      <c r="D300" s="32" t="inlineStr">
        <is>
          <t>MÓDULOS</t>
        </is>
      </c>
      <c r="E300" s="32" t="inlineStr">
        <is>
          <t>Tomada 2P+T 10A Padrão NBR 14136</t>
        </is>
      </c>
      <c r="F300" s="33" t="n">
        <v>2</v>
      </c>
      <c r="G300" s="33" t="n">
        <v>1</v>
      </c>
      <c r="H300" s="33" t="n">
        <v>0</v>
      </c>
      <c r="I300" s="35">
        <f>(F300+H300*F300)*G300</f>
        <v/>
      </c>
      <c r="J300" s="33" t="inlineStr">
        <is>
          <t>pç</t>
        </is>
      </c>
      <c r="K300" s="36" t="n">
        <v>8</v>
      </c>
      <c r="L300" s="37">
        <f>I300*K300</f>
        <v/>
      </c>
    </row>
    <row r="301" ht="14.25" customHeight="1">
      <c r="A301" s="32" t="inlineStr">
        <is>
          <t>TORRE</t>
        </is>
      </c>
      <c r="B301" s="32" t="inlineStr">
        <is>
          <t>GARAGEM 03</t>
        </is>
      </c>
      <c r="C301" s="32" t="inlineStr">
        <is>
          <t>INSTALAÇÕES ELÉTRICAS</t>
        </is>
      </c>
      <c r="D301" s="32" t="inlineStr">
        <is>
          <t>MÓDULOS</t>
        </is>
      </c>
      <c r="E301" s="32" t="inlineStr">
        <is>
          <t>Tomada 2P+T 20A Padrão NBR 14136</t>
        </is>
      </c>
      <c r="F301" s="33" t="n">
        <v>7</v>
      </c>
      <c r="G301" s="33" t="n">
        <v>1</v>
      </c>
      <c r="H301" s="33" t="n">
        <v>0</v>
      </c>
      <c r="I301" s="35">
        <f>(F301+H301*F301)*G301</f>
        <v/>
      </c>
      <c r="J301" s="33" t="inlineStr">
        <is>
          <t>pç</t>
        </is>
      </c>
      <c r="K301" s="36" t="n">
        <v>14</v>
      </c>
      <c r="L301" s="37">
        <f>I301*K301</f>
        <v/>
      </c>
    </row>
    <row r="302" ht="14.25" customHeight="1">
      <c r="A302" s="32" t="inlineStr">
        <is>
          <t>TORRE</t>
        </is>
      </c>
      <c r="B302" s="32" t="inlineStr">
        <is>
          <t>GARAGEM 03</t>
        </is>
      </c>
      <c r="C302" s="32" t="inlineStr">
        <is>
          <t>INSTALAÇÕES ELÉTRICAS</t>
        </is>
      </c>
      <c r="D302" s="32" t="inlineStr">
        <is>
          <t>MÓDULOS</t>
        </is>
      </c>
      <c r="E302" s="32" t="inlineStr">
        <is>
          <t>Interruptor Simples 250V/10A Padrão NBRNM60669</t>
        </is>
      </c>
      <c r="F302" s="33" t="n">
        <v>1</v>
      </c>
      <c r="G302" s="33" t="n">
        <v>1</v>
      </c>
      <c r="H302" s="33" t="n">
        <v>0</v>
      </c>
      <c r="I302" s="35">
        <f>(F302+H302*F302)*G302</f>
        <v/>
      </c>
      <c r="J302" s="33" t="inlineStr">
        <is>
          <t>pç</t>
        </is>
      </c>
      <c r="K302" s="36" t="n">
        <v>7</v>
      </c>
      <c r="L302" s="37">
        <f>I302*K302</f>
        <v/>
      </c>
    </row>
    <row r="303" ht="14.25" customHeight="1">
      <c r="A303" s="32" t="inlineStr">
        <is>
          <t>TORRE</t>
        </is>
      </c>
      <c r="B303" s="32" t="inlineStr">
        <is>
          <t>GARAGEM 03</t>
        </is>
      </c>
      <c r="C303" s="32" t="inlineStr">
        <is>
          <t>INSTALAÇÕES ELÉTRICAS</t>
        </is>
      </c>
      <c r="D303" s="32" t="inlineStr">
        <is>
          <t>QUADROS DE DISTRIBUIÇÃO</t>
        </is>
      </c>
      <c r="E303" s="32" t="inlineStr">
        <is>
          <t>Quadro de dist. de embutir em PVC com cap. de 36 espaços DIN</t>
        </is>
      </c>
      <c r="F303" s="33" t="n">
        <v>1</v>
      </c>
      <c r="G303" s="33" t="n">
        <v>1</v>
      </c>
      <c r="H303" s="33" t="n">
        <v>0</v>
      </c>
      <c r="I303" s="35">
        <f>(F303+H303*F303)*G303</f>
        <v/>
      </c>
      <c r="J303" s="33" t="inlineStr">
        <is>
          <t>pç</t>
        </is>
      </c>
      <c r="K303" s="36" t="n">
        <v>192</v>
      </c>
      <c r="L303" s="37">
        <f>I303*K303</f>
        <v/>
      </c>
    </row>
    <row r="304" ht="14.25" customHeight="1">
      <c r="A304" s="32" t="inlineStr">
        <is>
          <t>TORRE</t>
        </is>
      </c>
      <c r="B304" s="32" t="inlineStr">
        <is>
          <t>GARAGEM 03</t>
        </is>
      </c>
      <c r="C304" s="32" t="inlineStr">
        <is>
          <t>INSTALAÇÕES ELÉTRICAS</t>
        </is>
      </c>
      <c r="D304" s="32" t="inlineStr">
        <is>
          <t>SENSORES</t>
        </is>
      </c>
      <c r="E304" s="32" t="inlineStr">
        <is>
          <t>Sensor de Presença</t>
        </is>
      </c>
      <c r="F304" s="33" t="n">
        <v>19</v>
      </c>
      <c r="G304" s="33" t="n">
        <v>1</v>
      </c>
      <c r="H304" s="33" t="n">
        <v>0</v>
      </c>
      <c r="I304" s="35">
        <f>(F304+H304*F304)*G304</f>
        <v/>
      </c>
      <c r="J304" s="33" t="inlineStr">
        <is>
          <t>pç</t>
        </is>
      </c>
      <c r="K304" s="36" t="n">
        <v>29</v>
      </c>
      <c r="L304" s="37">
        <f>I304*K304</f>
        <v/>
      </c>
    </row>
    <row r="305" ht="14.25" customHeight="1">
      <c r="A305" s="32" t="inlineStr">
        <is>
          <t>TORRE</t>
        </is>
      </c>
      <c r="B305" s="32" t="inlineStr">
        <is>
          <t>GARAGEM 03</t>
        </is>
      </c>
      <c r="C305" s="32" t="inlineStr">
        <is>
          <t>INSTALAÇÕES ELÉTRICAS</t>
        </is>
      </c>
      <c r="D305" s="32" t="inlineStr">
        <is>
          <t>CABO UNIPOLAR</t>
        </is>
      </c>
      <c r="E305" s="32" t="inlineStr">
        <is>
          <t>Isolação em PVC (70ºC) 1.5 mm² - Amarelo</t>
        </is>
      </c>
      <c r="F305" s="33" t="n">
        <v>152.8</v>
      </c>
      <c r="G305" s="33" t="n">
        <v>1</v>
      </c>
      <c r="H305" s="33" t="n">
        <v>0</v>
      </c>
      <c r="I305" s="35">
        <f>(F305+H305*F305)*G305</f>
        <v/>
      </c>
      <c r="J305" s="33" t="inlineStr">
        <is>
          <t>m</t>
        </is>
      </c>
      <c r="K305" s="36" t="n">
        <v>1.14</v>
      </c>
      <c r="L305" s="37">
        <f>I305*K305</f>
        <v/>
      </c>
    </row>
    <row r="306" ht="14.25" customHeight="1">
      <c r="A306" s="32" t="inlineStr">
        <is>
          <t>TORRE</t>
        </is>
      </c>
      <c r="B306" s="32" t="inlineStr">
        <is>
          <t>GARAGEM 03</t>
        </is>
      </c>
      <c r="C306" s="32" t="inlineStr">
        <is>
          <t>INSTALAÇÕES ELÉTRICAS</t>
        </is>
      </c>
      <c r="D306" s="32" t="inlineStr">
        <is>
          <t>CABO UNIPOLAR</t>
        </is>
      </c>
      <c r="E306" s="32" t="inlineStr">
        <is>
          <t>Isolação em PVC (70ºC) 1.5 mm² - Azul claro</t>
        </is>
      </c>
      <c r="F306" s="33" t="n">
        <v>216.4</v>
      </c>
      <c r="G306" s="33" t="n">
        <v>1</v>
      </c>
      <c r="H306" s="33" t="n">
        <v>0</v>
      </c>
      <c r="I306" s="35">
        <f>(F306+H306*F306)*G306</f>
        <v/>
      </c>
      <c r="J306" s="33" t="inlineStr">
        <is>
          <t>m</t>
        </is>
      </c>
      <c r="K306" s="36" t="n">
        <v>1.14</v>
      </c>
      <c r="L306" s="37">
        <f>I306*K306</f>
        <v/>
      </c>
    </row>
    <row r="307" ht="14.25" customHeight="1">
      <c r="A307" s="32" t="inlineStr">
        <is>
          <t>TORRE</t>
        </is>
      </c>
      <c r="B307" s="32" t="inlineStr">
        <is>
          <t>GARAGEM 03</t>
        </is>
      </c>
      <c r="C307" s="32" t="inlineStr">
        <is>
          <t>INSTALAÇÕES ELÉTRICAS</t>
        </is>
      </c>
      <c r="D307" s="32" t="inlineStr">
        <is>
          <t>CABO UNIPOLAR</t>
        </is>
      </c>
      <c r="E307" s="32" t="inlineStr">
        <is>
          <t>Isolação em PVC (70ºC) 1.5 mm² - Branco</t>
        </is>
      </c>
      <c r="F307" s="33" t="n">
        <v>6.2</v>
      </c>
      <c r="G307" s="33" t="n">
        <v>1</v>
      </c>
      <c r="H307" s="33" t="n">
        <v>0</v>
      </c>
      <c r="I307" s="35">
        <f>(F307+H307*F307)*G307</f>
        <v/>
      </c>
      <c r="J307" s="33" t="inlineStr">
        <is>
          <t>m</t>
        </is>
      </c>
      <c r="K307" s="36" t="n">
        <v>1.14</v>
      </c>
      <c r="L307" s="37">
        <f>I307*K307</f>
        <v/>
      </c>
    </row>
    <row r="308" ht="14.25" customHeight="1">
      <c r="A308" s="32" t="inlineStr">
        <is>
          <t>TORRE</t>
        </is>
      </c>
      <c r="B308" s="32" t="inlineStr">
        <is>
          <t>GARAGEM 03</t>
        </is>
      </c>
      <c r="C308" s="32" t="inlineStr">
        <is>
          <t>INSTALAÇÕES ELÉTRICAS</t>
        </is>
      </c>
      <c r="D308" s="32" t="inlineStr">
        <is>
          <t>CABO UNIPOLAR</t>
        </is>
      </c>
      <c r="E308" s="32" t="inlineStr">
        <is>
          <t>Isolação em PVC (70ºC) 1.5 mm² - Preto</t>
        </is>
      </c>
      <c r="F308" s="33" t="n">
        <v>74.3</v>
      </c>
      <c r="G308" s="33" t="n">
        <v>1</v>
      </c>
      <c r="H308" s="33" t="n">
        <v>0</v>
      </c>
      <c r="I308" s="35">
        <f>(F308+H308*F308)*G308</f>
        <v/>
      </c>
      <c r="J308" s="33" t="inlineStr">
        <is>
          <t>m</t>
        </is>
      </c>
      <c r="K308" s="36" t="n">
        <v>1.14</v>
      </c>
      <c r="L308" s="37">
        <f>I308*K308</f>
        <v/>
      </c>
    </row>
    <row r="309" ht="14.25" customHeight="1">
      <c r="A309" s="32" t="inlineStr">
        <is>
          <t>TORRE</t>
        </is>
      </c>
      <c r="B309" s="32" t="inlineStr">
        <is>
          <t>GARAGEM 03</t>
        </is>
      </c>
      <c r="C309" s="32" t="inlineStr">
        <is>
          <t>INSTALAÇÕES ELÉTRICAS</t>
        </is>
      </c>
      <c r="D309" s="32" t="inlineStr">
        <is>
          <t>CABO UNIPOLAR</t>
        </is>
      </c>
      <c r="E309" s="32" t="inlineStr">
        <is>
          <t>Isolação em PVC (70ºC) 1.5 mm² - Verde-amarelo</t>
        </is>
      </c>
      <c r="F309" s="33" t="n">
        <v>105.4</v>
      </c>
      <c r="G309" s="33" t="n">
        <v>1</v>
      </c>
      <c r="H309" s="33" t="n">
        <v>0</v>
      </c>
      <c r="I309" s="35">
        <f>(F309+H309*F309)*G309</f>
        <v/>
      </c>
      <c r="J309" s="33" t="inlineStr">
        <is>
          <t>m</t>
        </is>
      </c>
      <c r="K309" s="36" t="n">
        <v>1.14</v>
      </c>
      <c r="L309" s="37">
        <f>I309*K309</f>
        <v/>
      </c>
    </row>
    <row r="310" ht="14.25" customHeight="1">
      <c r="A310" s="32" t="inlineStr">
        <is>
          <t>TORRE</t>
        </is>
      </c>
      <c r="B310" s="32" t="inlineStr">
        <is>
          <t>GARAGEM 03</t>
        </is>
      </c>
      <c r="C310" s="32" t="inlineStr">
        <is>
          <t>INSTALAÇÕES ELÉTRICAS</t>
        </is>
      </c>
      <c r="D310" s="32" t="inlineStr">
        <is>
          <t>CABO UNIPOLAR</t>
        </is>
      </c>
      <c r="E310" s="32" t="inlineStr">
        <is>
          <t>Isolação em PVC (70ºC) 1.5 mm² - Vermelho</t>
        </is>
      </c>
      <c r="F310" s="33" t="n">
        <v>90</v>
      </c>
      <c r="G310" s="33" t="n">
        <v>1</v>
      </c>
      <c r="H310" s="33" t="n">
        <v>0</v>
      </c>
      <c r="I310" s="35">
        <f>(F310+H310*F310)*G310</f>
        <v/>
      </c>
      <c r="J310" s="33" t="inlineStr">
        <is>
          <t>m</t>
        </is>
      </c>
      <c r="K310" s="36" t="n">
        <v>1.14</v>
      </c>
      <c r="L310" s="37">
        <f>I310*K310</f>
        <v/>
      </c>
    </row>
    <row r="311" ht="14.25" customHeight="1">
      <c r="A311" s="32" t="inlineStr">
        <is>
          <t>TORRE</t>
        </is>
      </c>
      <c r="B311" s="32" t="inlineStr">
        <is>
          <t>GARAGEM 03</t>
        </is>
      </c>
      <c r="C311" s="32" t="inlineStr">
        <is>
          <t>INSTALAÇÕES ELÉTRICAS</t>
        </is>
      </c>
      <c r="D311" s="32" t="inlineStr">
        <is>
          <t>CABO UNIPOLAR</t>
        </is>
      </c>
      <c r="E311" s="32" t="inlineStr">
        <is>
          <t>Isolação em PVC (70ºC) 2.5 mm² - Azul claro</t>
        </is>
      </c>
      <c r="F311" s="33" t="n">
        <v>19.8</v>
      </c>
      <c r="G311" s="33" t="n">
        <v>1</v>
      </c>
      <c r="H311" s="33" t="n">
        <v>0</v>
      </c>
      <c r="I311" s="35">
        <f>(F311+H311*F311)*G311</f>
        <v/>
      </c>
      <c r="J311" s="33" t="inlineStr">
        <is>
          <t>m</t>
        </is>
      </c>
      <c r="K311" s="36" t="n">
        <v>2.12</v>
      </c>
      <c r="L311" s="37">
        <f>I311*K311</f>
        <v/>
      </c>
    </row>
    <row r="312" ht="14.25" customHeight="1">
      <c r="A312" s="32" t="inlineStr">
        <is>
          <t>TORRE</t>
        </is>
      </c>
      <c r="B312" s="32" t="inlineStr">
        <is>
          <t>GARAGEM 03</t>
        </is>
      </c>
      <c r="C312" s="32" t="inlineStr">
        <is>
          <t>INSTALAÇÕES ELÉTRICAS</t>
        </is>
      </c>
      <c r="D312" s="32" t="inlineStr">
        <is>
          <t>CABO UNIPOLAR</t>
        </is>
      </c>
      <c r="E312" s="32" t="inlineStr">
        <is>
          <t>Isolação em PVC (70ºC) 2.5 mm² - Branco</t>
        </is>
      </c>
      <c r="F312" s="33" t="n">
        <v>19.8</v>
      </c>
      <c r="G312" s="33" t="n">
        <v>1</v>
      </c>
      <c r="H312" s="33" t="n">
        <v>0</v>
      </c>
      <c r="I312" s="35">
        <f>(F312+H312*F312)*G312</f>
        <v/>
      </c>
      <c r="J312" s="33" t="inlineStr">
        <is>
          <t>m</t>
        </is>
      </c>
      <c r="K312" s="36" t="n">
        <v>2.12</v>
      </c>
      <c r="L312" s="37">
        <f>I312*K312</f>
        <v/>
      </c>
    </row>
    <row r="313" ht="14.25" customHeight="1">
      <c r="A313" s="32" t="inlineStr">
        <is>
          <t>TORRE</t>
        </is>
      </c>
      <c r="B313" s="32" t="inlineStr">
        <is>
          <t>GARAGEM 03</t>
        </is>
      </c>
      <c r="C313" s="32" t="inlineStr">
        <is>
          <t>INSTALAÇÕES ELÉTRICAS</t>
        </is>
      </c>
      <c r="D313" s="32" t="inlineStr">
        <is>
          <t>CABO UNIPOLAR</t>
        </is>
      </c>
      <c r="E313" s="32" t="inlineStr">
        <is>
          <t>Isolação em PVC (70ºC) 2.5 mm² - Verde-amarelo</t>
        </is>
      </c>
      <c r="F313" s="33" t="n">
        <v>13.7</v>
      </c>
      <c r="G313" s="33" t="n">
        <v>1</v>
      </c>
      <c r="H313" s="33" t="n">
        <v>0</v>
      </c>
      <c r="I313" s="35">
        <f>(F313+H313*F313)*G313</f>
        <v/>
      </c>
      <c r="J313" s="33" t="inlineStr">
        <is>
          <t>m</t>
        </is>
      </c>
      <c r="K313" s="36" t="n">
        <v>2.12</v>
      </c>
      <c r="L313" s="37">
        <f>I313*K313</f>
        <v/>
      </c>
    </row>
    <row r="314" ht="14.25" customHeight="1">
      <c r="A314" s="32" t="inlineStr">
        <is>
          <t>TORRE</t>
        </is>
      </c>
      <c r="B314" s="32" t="inlineStr">
        <is>
          <t>GARAGEM 03</t>
        </is>
      </c>
      <c r="C314" s="32" t="inlineStr">
        <is>
          <t>INSTALAÇÕES ELÉTRICAS</t>
        </is>
      </c>
      <c r="D314" s="32" t="inlineStr">
        <is>
          <t>CABO UNIPOLAR</t>
        </is>
      </c>
      <c r="E314" s="32" t="inlineStr">
        <is>
          <t>Isolação em PVC (70ºC) 4 mm² - Azul claro</t>
        </is>
      </c>
      <c r="F314" s="33" t="n">
        <v>121.9</v>
      </c>
      <c r="G314" s="33" t="n">
        <v>1</v>
      </c>
      <c r="H314" s="33" t="n">
        <v>0</v>
      </c>
      <c r="I314" s="35">
        <f>(F314+H314*F314)*G314</f>
        <v/>
      </c>
      <c r="J314" s="33" t="inlineStr">
        <is>
          <t>m</t>
        </is>
      </c>
      <c r="K314" s="36" t="n">
        <v>3.51</v>
      </c>
      <c r="L314" s="37">
        <f>I314*K314</f>
        <v/>
      </c>
    </row>
    <row r="315" ht="14.25" customHeight="1">
      <c r="A315" s="32" t="inlineStr">
        <is>
          <t>TORRE</t>
        </is>
      </c>
      <c r="B315" s="32" t="inlineStr">
        <is>
          <t>GARAGEM 03</t>
        </is>
      </c>
      <c r="C315" s="32" t="inlineStr">
        <is>
          <t>INSTALAÇÕES ELÉTRICAS</t>
        </is>
      </c>
      <c r="D315" s="32" t="inlineStr">
        <is>
          <t>CABO UNIPOLAR</t>
        </is>
      </c>
      <c r="E315" s="32" t="inlineStr">
        <is>
          <t>Isolação em PVC (70ºC) 4 mm² - Branco</t>
        </is>
      </c>
      <c r="F315" s="33" t="n">
        <v>121.9</v>
      </c>
      <c r="G315" s="33" t="n">
        <v>1</v>
      </c>
      <c r="H315" s="33" t="n">
        <v>0</v>
      </c>
      <c r="I315" s="35">
        <f>(F315+H315*F315)*G315</f>
        <v/>
      </c>
      <c r="J315" s="33" t="inlineStr">
        <is>
          <t>m</t>
        </is>
      </c>
      <c r="K315" s="36" t="n">
        <v>3.51</v>
      </c>
      <c r="L315" s="37">
        <f>I315*K315</f>
        <v/>
      </c>
    </row>
    <row r="316" ht="14.25" customHeight="1">
      <c r="A316" s="32" t="inlineStr">
        <is>
          <t>TORRE</t>
        </is>
      </c>
      <c r="B316" s="32" t="inlineStr">
        <is>
          <t>GARAGEM 03</t>
        </is>
      </c>
      <c r="C316" s="32" t="inlineStr">
        <is>
          <t>INSTALAÇÕES ELÉTRICAS</t>
        </is>
      </c>
      <c r="D316" s="32" t="inlineStr">
        <is>
          <t>CABO UNIPOLAR</t>
        </is>
      </c>
      <c r="E316" s="32" t="inlineStr">
        <is>
          <t>Isolação em PVC (70ºC) 4 mm² - Verde-amarelo</t>
        </is>
      </c>
      <c r="F316" s="33" t="n">
        <v>121.9</v>
      </c>
      <c r="G316" s="33" t="n">
        <v>1</v>
      </c>
      <c r="H316" s="33" t="n">
        <v>0</v>
      </c>
      <c r="I316" s="35">
        <f>(F316+H316*F316)*G316</f>
        <v/>
      </c>
      <c r="J316" s="33" t="inlineStr">
        <is>
          <t>m</t>
        </is>
      </c>
      <c r="K316" s="36" t="n">
        <v>3.51</v>
      </c>
      <c r="L316" s="37">
        <f>I316*K316</f>
        <v/>
      </c>
    </row>
    <row r="317" ht="15" customHeight="1">
      <c r="A317" s="40" t="inlineStr">
        <is>
          <t>TORRE</t>
        </is>
      </c>
      <c r="B317" s="40" t="inlineStr">
        <is>
          <t>GARAGEM 04</t>
        </is>
      </c>
      <c r="C317" s="41" t="n"/>
      <c r="D317" s="42" t="n"/>
      <c r="E317" s="42" t="n"/>
      <c r="F317" s="43" t="n"/>
      <c r="G317" s="43" t="n"/>
      <c r="H317" s="43" t="n"/>
      <c r="I317" s="44" t="n"/>
      <c r="J317" s="43" t="n"/>
      <c r="K317" s="45" t="n"/>
      <c r="L317" s="46">
        <f>SUMIFS($L$7:$L$513,$B$7:$B$513,B317,$E$7:$E$513,"&lt;&gt;"&amp;"")</f>
        <v/>
      </c>
    </row>
    <row r="318">
      <c r="A318" s="32" t="inlineStr">
        <is>
          <t>TORRE</t>
        </is>
      </c>
      <c r="B318" s="32" t="inlineStr">
        <is>
          <t>GARAGEM 04</t>
        </is>
      </c>
      <c r="C318" s="32" t="inlineStr">
        <is>
          <t>INSTALAÇÕES ELÉTRICAS</t>
        </is>
      </c>
      <c r="D318" s="32" t="inlineStr">
        <is>
          <t>CAIXA OCTOGONAL</t>
        </is>
      </c>
      <c r="E318" s="32" t="inlineStr">
        <is>
          <t>Caixa Octogonal Padrão NBR IEC 60670</t>
        </is>
      </c>
      <c r="F318" s="33" t="n">
        <v>62</v>
      </c>
      <c r="G318" s="33" t="n">
        <v>1</v>
      </c>
      <c r="H318" s="47" t="n">
        <v>0</v>
      </c>
      <c r="I318" s="35">
        <f>(F318+H318*F318)*G318</f>
        <v/>
      </c>
      <c r="J318" s="33" t="inlineStr">
        <is>
          <t>pç</t>
        </is>
      </c>
      <c r="K318" s="36" t="n">
        <v>3.55</v>
      </c>
      <c r="L318" s="37">
        <f>I318*K318</f>
        <v/>
      </c>
    </row>
    <row r="319">
      <c r="A319" s="32" t="inlineStr">
        <is>
          <t>TORRE</t>
        </is>
      </c>
      <c r="B319" s="32" t="inlineStr">
        <is>
          <t>GARAGEM 04</t>
        </is>
      </c>
      <c r="C319" s="32" t="inlineStr">
        <is>
          <t>INSTALAÇÕES ELÉTRICAS</t>
        </is>
      </c>
      <c r="D319" s="32" t="inlineStr">
        <is>
          <t>CAIXA OCTOGONAL</t>
        </is>
      </c>
      <c r="E319" s="32" t="inlineStr">
        <is>
          <t>Placa cega para caixa octogonal Padrão NBR IEC 60670</t>
        </is>
      </c>
      <c r="F319" s="33" t="n">
        <v>1</v>
      </c>
      <c r="G319" s="33" t="n">
        <v>1</v>
      </c>
      <c r="H319" s="33" t="n">
        <v>0</v>
      </c>
      <c r="I319" s="35">
        <f>(F319+H319*F319)*G319</f>
        <v/>
      </c>
      <c r="J319" s="33" t="inlineStr">
        <is>
          <t>pç</t>
        </is>
      </c>
      <c r="K319" s="36" t="n">
        <v>14.9</v>
      </c>
      <c r="L319" s="37">
        <f>I319*K319</f>
        <v/>
      </c>
    </row>
    <row r="320">
      <c r="A320" s="32" t="inlineStr">
        <is>
          <t>TORRE</t>
        </is>
      </c>
      <c r="B320" s="32" t="inlineStr">
        <is>
          <t>GARAGEM 04</t>
        </is>
      </c>
      <c r="C320" s="32" t="inlineStr">
        <is>
          <t>INSTALAÇÕES ELÉTRICAS</t>
        </is>
      </c>
      <c r="D320" s="32" t="inlineStr">
        <is>
          <t>CAIXAS 4x2" E 4x4"</t>
        </is>
      </c>
      <c r="E320" s="32" t="inlineStr">
        <is>
          <t>Caixa 4x2" de Embutir em PVC Padrão NBR IEC 60670</t>
        </is>
      </c>
      <c r="F320" s="33" t="n">
        <v>14</v>
      </c>
      <c r="G320" s="33" t="n">
        <v>1</v>
      </c>
      <c r="H320" s="33" t="n">
        <v>0</v>
      </c>
      <c r="I320" s="35">
        <f>(F320+H320*F320)*G320</f>
        <v/>
      </c>
      <c r="J320" s="33" t="inlineStr">
        <is>
          <t>pç</t>
        </is>
      </c>
      <c r="K320" s="36" t="n">
        <v>2.2</v>
      </c>
      <c r="L320" s="37">
        <f>I320*K320</f>
        <v/>
      </c>
    </row>
    <row r="321">
      <c r="A321" s="32" t="inlineStr">
        <is>
          <t>TORRE</t>
        </is>
      </c>
      <c r="B321" s="32" t="inlineStr">
        <is>
          <t>GARAGEM 04</t>
        </is>
      </c>
      <c r="C321" s="32" t="inlineStr">
        <is>
          <t>INSTALAÇÕES ELÉTRICAS</t>
        </is>
      </c>
      <c r="D321" s="32" t="inlineStr">
        <is>
          <t>CAIXAS 4x2" E 4x4"</t>
        </is>
      </c>
      <c r="E321" s="32" t="inlineStr">
        <is>
          <t>Caixa 4x4" de Embutir em PVC Padrão NBR IEC 60670</t>
        </is>
      </c>
      <c r="F321" s="33" t="n">
        <v>1</v>
      </c>
      <c r="G321" s="33" t="n">
        <v>1</v>
      </c>
      <c r="H321" s="33" t="n">
        <v>0</v>
      </c>
      <c r="I321" s="35">
        <f>(F321+H321*F321)*G321</f>
        <v/>
      </c>
      <c r="J321" s="33" t="inlineStr">
        <is>
          <t>pç</t>
        </is>
      </c>
      <c r="K321" s="36" t="n">
        <v>2.67</v>
      </c>
      <c r="L321" s="37">
        <f>I321*K321</f>
        <v/>
      </c>
    </row>
    <row r="322">
      <c r="A322" s="32" t="inlineStr">
        <is>
          <t>TORRE</t>
        </is>
      </c>
      <c r="B322" s="32" t="inlineStr">
        <is>
          <t>GARAGEM 04</t>
        </is>
      </c>
      <c r="C322" s="32" t="inlineStr">
        <is>
          <t>INSTALAÇÕES ELÉTRICAS</t>
        </is>
      </c>
      <c r="D322" s="32" t="inlineStr">
        <is>
          <t>CAIXAS 4x2" E 4x4"</t>
        </is>
      </c>
      <c r="E322" s="32" t="inlineStr">
        <is>
          <t>Placa 4x2" cega Padrão NBR IEC 60670</t>
        </is>
      </c>
      <c r="F322" s="33" t="n">
        <v>3</v>
      </c>
      <c r="G322" s="33" t="n">
        <v>1</v>
      </c>
      <c r="H322" s="33" t="n">
        <v>0</v>
      </c>
      <c r="I322" s="35">
        <f>(F322+H322*F322)*G322</f>
        <v/>
      </c>
      <c r="J322" s="33" t="inlineStr">
        <is>
          <t>pç</t>
        </is>
      </c>
      <c r="K322" s="36" t="n">
        <v>8.9</v>
      </c>
      <c r="L322" s="37">
        <f>I322*K322</f>
        <v/>
      </c>
    </row>
    <row r="323">
      <c r="A323" s="32" t="inlineStr">
        <is>
          <t>TORRE</t>
        </is>
      </c>
      <c r="B323" s="32" t="inlineStr">
        <is>
          <t>GARAGEM 04</t>
        </is>
      </c>
      <c r="C323" s="32" t="inlineStr">
        <is>
          <t>INSTALAÇÕES ELÉTRICAS</t>
        </is>
      </c>
      <c r="D323" s="32" t="inlineStr">
        <is>
          <t>CAIXAS 4x2" E 4x4"</t>
        </is>
      </c>
      <c r="E323" s="32" t="inlineStr">
        <is>
          <t>Placa 4x2" para 1 função Padrão NBR IEC 60670</t>
        </is>
      </c>
      <c r="F323" s="33" t="n">
        <v>11</v>
      </c>
      <c r="G323" s="33" t="n">
        <v>1</v>
      </c>
      <c r="H323" s="33" t="n">
        <v>0</v>
      </c>
      <c r="I323" s="35">
        <f>(F323+H323*F323)*G323</f>
        <v/>
      </c>
      <c r="J323" s="33" t="inlineStr">
        <is>
          <t>pç</t>
        </is>
      </c>
      <c r="K323" s="36" t="n">
        <v>8.9</v>
      </c>
      <c r="L323" s="37">
        <f>I323*K323</f>
        <v/>
      </c>
    </row>
    <row r="324">
      <c r="A324" s="32" t="inlineStr">
        <is>
          <t>TORRE</t>
        </is>
      </c>
      <c r="B324" s="32" t="inlineStr">
        <is>
          <t>GARAGEM 04</t>
        </is>
      </c>
      <c r="C324" s="32" t="inlineStr">
        <is>
          <t>INSTALAÇÕES ELÉTRICAS</t>
        </is>
      </c>
      <c r="D324" s="32" t="inlineStr">
        <is>
          <t>CAIXAS 4x2" E 4x4"</t>
        </is>
      </c>
      <c r="E324" s="32" t="inlineStr">
        <is>
          <t>Placa 4x4" cega Padrão NBR IEC 60670</t>
        </is>
      </c>
      <c r="F324" s="33" t="n">
        <v>1</v>
      </c>
      <c r="G324" s="33" t="n">
        <v>1</v>
      </c>
      <c r="H324" s="33" t="n">
        <v>0</v>
      </c>
      <c r="I324" s="35">
        <f>(F324+H324*F324)*G324</f>
        <v/>
      </c>
      <c r="J324" s="33" t="inlineStr">
        <is>
          <t>pç</t>
        </is>
      </c>
      <c r="K324" s="36" t="n">
        <v>16.5</v>
      </c>
      <c r="L324" s="37">
        <f>I324*K324</f>
        <v/>
      </c>
    </row>
    <row r="325">
      <c r="A325" s="32" t="inlineStr">
        <is>
          <t>TORRE</t>
        </is>
      </c>
      <c r="B325" s="32" t="inlineStr">
        <is>
          <t>GARAGEM 04</t>
        </is>
      </c>
      <c r="C325" s="32" t="inlineStr">
        <is>
          <t>INSTALAÇÕES ELÉTRICAS</t>
        </is>
      </c>
      <c r="D325" s="32" t="inlineStr">
        <is>
          <t>CAIXAS 4x2" E 4x4"</t>
        </is>
      </c>
      <c r="E325" s="32" t="inlineStr">
        <is>
          <t>Suporte p/ caixa 4x2" Padrão NBR IEC 60670</t>
        </is>
      </c>
      <c r="F325" s="33" t="n">
        <v>14</v>
      </c>
      <c r="G325" s="33" t="n">
        <v>1</v>
      </c>
      <c r="H325" s="33" t="n">
        <v>0</v>
      </c>
      <c r="I325" s="35">
        <f>(F325+H325*F325)*G325</f>
        <v/>
      </c>
      <c r="J325" s="33" t="inlineStr">
        <is>
          <t>pç</t>
        </is>
      </c>
      <c r="K325" s="36" t="n">
        <v>1.85</v>
      </c>
      <c r="L325" s="37">
        <f>I325*K325</f>
        <v/>
      </c>
    </row>
    <row r="326">
      <c r="A326" s="32" t="inlineStr">
        <is>
          <t>TORRE</t>
        </is>
      </c>
      <c r="B326" s="32" t="inlineStr">
        <is>
          <t>GARAGEM 04</t>
        </is>
      </c>
      <c r="C326" s="32" t="inlineStr">
        <is>
          <t>INSTALAÇÕES ELÉTRICAS</t>
        </is>
      </c>
      <c r="D326" s="32" t="inlineStr">
        <is>
          <t>CAIXAS 4x2" E 4x4"</t>
        </is>
      </c>
      <c r="E326" s="32" t="inlineStr">
        <is>
          <t>Suporte p/ caixa 4x4" Padrão NBR IEC 60670</t>
        </is>
      </c>
      <c r="F326" s="33" t="n">
        <v>1</v>
      </c>
      <c r="G326" s="33" t="n">
        <v>1</v>
      </c>
      <c r="H326" s="33" t="n">
        <v>0</v>
      </c>
      <c r="I326" s="35">
        <f>(F326+H326*F326)*G326</f>
        <v/>
      </c>
      <c r="J326" s="33" t="inlineStr">
        <is>
          <t>pç</t>
        </is>
      </c>
      <c r="K326" s="36" t="n">
        <v>2.23</v>
      </c>
      <c r="L326" s="37">
        <f>I326*K326</f>
        <v/>
      </c>
    </row>
    <row r="327">
      <c r="A327" s="32" t="inlineStr">
        <is>
          <t>TORRE</t>
        </is>
      </c>
      <c r="B327" s="32" t="inlineStr">
        <is>
          <t>GARAGEM 04</t>
        </is>
      </c>
      <c r="C327" s="32" t="inlineStr">
        <is>
          <t>INSTALAÇÕES ELÉTRICAS</t>
        </is>
      </c>
      <c r="D327" s="32" t="inlineStr">
        <is>
          <t>DISPOSITIVOS DE PROTEÇÃO</t>
        </is>
      </c>
      <c r="E327" s="32" t="inlineStr">
        <is>
          <t>Disjuntores Monopolares DIN 10 A - 3 kA - Curva C - NBR NM 60898</t>
        </is>
      </c>
      <c r="F327" s="33" t="n">
        <v>2</v>
      </c>
      <c r="G327" s="33" t="n">
        <v>1</v>
      </c>
      <c r="H327" s="33" t="n">
        <v>0</v>
      </c>
      <c r="I327" s="35">
        <f>(F327+H327*F327)*G327</f>
        <v/>
      </c>
      <c r="J327" s="33" t="inlineStr">
        <is>
          <t>pç</t>
        </is>
      </c>
      <c r="K327" s="36" t="n">
        <v>12.16</v>
      </c>
      <c r="L327" s="37">
        <f>I327*K327</f>
        <v/>
      </c>
    </row>
    <row r="328">
      <c r="A328" s="32" t="inlineStr">
        <is>
          <t>TORRE</t>
        </is>
      </c>
      <c r="B328" s="32" t="inlineStr">
        <is>
          <t>GARAGEM 04</t>
        </is>
      </c>
      <c r="C328" s="32" t="inlineStr">
        <is>
          <t>INSTALAÇÕES ELÉTRICAS</t>
        </is>
      </c>
      <c r="D328" s="32" t="inlineStr">
        <is>
          <t>DISPOSITIVOS DE PROTEÇÃO</t>
        </is>
      </c>
      <c r="E328" s="32" t="inlineStr">
        <is>
          <t>Disjuntores Monopolares DIN 16 A - 3 kA - Curva C - NBR NM 60898</t>
        </is>
      </c>
      <c r="F328" s="33" t="n">
        <v>2</v>
      </c>
      <c r="G328" s="33" t="n">
        <v>1</v>
      </c>
      <c r="H328" s="33" t="n">
        <v>0</v>
      </c>
      <c r="I328" s="35">
        <f>(F328+H328*F328)*G328</f>
        <v/>
      </c>
      <c r="J328" s="33" t="inlineStr">
        <is>
          <t>pç</t>
        </is>
      </c>
      <c r="K328" s="36" t="n">
        <v>13.05</v>
      </c>
      <c r="L328" s="37">
        <f>I328*K328</f>
        <v/>
      </c>
    </row>
    <row r="329">
      <c r="A329" s="32" t="inlineStr">
        <is>
          <t>TORRE</t>
        </is>
      </c>
      <c r="B329" s="32" t="inlineStr">
        <is>
          <t>GARAGEM 04</t>
        </is>
      </c>
      <c r="C329" s="32" t="inlineStr">
        <is>
          <t>INSTALAÇÕES ELÉTRICAS</t>
        </is>
      </c>
      <c r="D329" s="32" t="inlineStr">
        <is>
          <t>DISPOSITIVOS DE PROTEÇÃO</t>
        </is>
      </c>
      <c r="E329" s="32" t="inlineStr">
        <is>
          <t>Disjuntores Monopolares DIN 20 A - 3 kA - Curva C - NBR NM 60898</t>
        </is>
      </c>
      <c r="F329" s="33" t="n">
        <v>1</v>
      </c>
      <c r="G329" s="33" t="n">
        <v>1</v>
      </c>
      <c r="H329" s="33" t="n">
        <v>0</v>
      </c>
      <c r="I329" s="35">
        <f>(F329+H329*F329)*G329</f>
        <v/>
      </c>
      <c r="J329" s="33" t="inlineStr">
        <is>
          <t>pç</t>
        </is>
      </c>
      <c r="K329" s="36" t="n">
        <v>14</v>
      </c>
      <c r="L329" s="37">
        <f>I329*K329</f>
        <v/>
      </c>
    </row>
    <row r="330">
      <c r="A330" s="32" t="inlineStr">
        <is>
          <t>TORRE</t>
        </is>
      </c>
      <c r="B330" s="32" t="inlineStr">
        <is>
          <t>GARAGEM 04</t>
        </is>
      </c>
      <c r="C330" s="32" t="inlineStr">
        <is>
          <t>INSTALAÇÕES ELÉTRICAS</t>
        </is>
      </c>
      <c r="D330" s="32" t="inlineStr">
        <is>
          <t>DISPOSITIVOS DE PROTEÇÃO</t>
        </is>
      </c>
      <c r="E330" s="32" t="inlineStr">
        <is>
          <t>Disjuntores Monopolares DIN 32 A - 3 kA - Curva C - NBR NM 60898</t>
        </is>
      </c>
      <c r="F330" s="33" t="n">
        <v>3</v>
      </c>
      <c r="G330" s="33" t="n">
        <v>1</v>
      </c>
      <c r="H330" s="33" t="n">
        <v>0</v>
      </c>
      <c r="I330" s="35">
        <f>(F330+H330*F330)*G330</f>
        <v/>
      </c>
      <c r="J330" s="33" t="inlineStr">
        <is>
          <t>pç</t>
        </is>
      </c>
      <c r="K330" s="36" t="n">
        <v>21</v>
      </c>
      <c r="L330" s="37">
        <f>I330*K330</f>
        <v/>
      </c>
    </row>
    <row r="331">
      <c r="A331" s="32" t="inlineStr">
        <is>
          <t>TORRE</t>
        </is>
      </c>
      <c r="B331" s="32" t="inlineStr">
        <is>
          <t>GARAGEM 04</t>
        </is>
      </c>
      <c r="C331" s="32" t="inlineStr">
        <is>
          <t>INSTALAÇÕES ELÉTRICAS</t>
        </is>
      </c>
      <c r="D331" s="32" t="inlineStr">
        <is>
          <t>DISPOSITIVOS DE PROTEÇÃO</t>
        </is>
      </c>
      <c r="E331" s="32" t="inlineStr">
        <is>
          <t>Disjuntores Tripolares DIN 50 A - 10 kA - Curva C - NBR 60947-2</t>
        </is>
      </c>
      <c r="F331" s="33" t="n">
        <v>1</v>
      </c>
      <c r="G331" s="33" t="n">
        <v>1</v>
      </c>
      <c r="H331" s="33" t="n">
        <v>0</v>
      </c>
      <c r="I331" s="35">
        <f>(F331+H331*F331)*G331</f>
        <v/>
      </c>
      <c r="J331" s="33" t="inlineStr">
        <is>
          <t>pç</t>
        </is>
      </c>
      <c r="K331" s="36" t="n">
        <v>64.90000000000001</v>
      </c>
      <c r="L331" s="37">
        <f>I331*K331</f>
        <v/>
      </c>
    </row>
    <row r="332">
      <c r="A332" s="32" t="inlineStr">
        <is>
          <t>TORRE</t>
        </is>
      </c>
      <c r="B332" s="32" t="inlineStr">
        <is>
          <t>GARAGEM 04</t>
        </is>
      </c>
      <c r="C332" s="32" t="inlineStr">
        <is>
          <t>INSTALAÇÕES ELÉTRICAS</t>
        </is>
      </c>
      <c r="D332" s="32" t="inlineStr">
        <is>
          <t>DISPOSITIVOS DE PROTEÇÃO</t>
        </is>
      </c>
      <c r="E332" s="32" t="inlineStr">
        <is>
          <t>Dispositivos de Proteção Contra Surto 275V - Classe I/II - In=30kA - Imáx.=60kA - NBR IEC 61643-1</t>
        </is>
      </c>
      <c r="F332" s="33" t="n">
        <v>4</v>
      </c>
      <c r="G332" s="33" t="n">
        <v>1</v>
      </c>
      <c r="H332" s="33" t="n">
        <v>0</v>
      </c>
      <c r="I332" s="35">
        <f>(F332+H332*F332)*G332</f>
        <v/>
      </c>
      <c r="J332" s="33" t="inlineStr">
        <is>
          <t>pç</t>
        </is>
      </c>
      <c r="K332" s="36" t="n">
        <v>97</v>
      </c>
      <c r="L332" s="37">
        <f>I332*K332</f>
        <v/>
      </c>
    </row>
    <row r="333">
      <c r="A333" s="32" t="inlineStr">
        <is>
          <t>TORRE</t>
        </is>
      </c>
      <c r="B333" s="32" t="inlineStr">
        <is>
          <t>GARAGEM 04</t>
        </is>
      </c>
      <c r="C333" s="32" t="inlineStr">
        <is>
          <t>INSTALAÇÕES ELÉTRICAS</t>
        </is>
      </c>
      <c r="D333" s="32" t="inlineStr">
        <is>
          <t>DISPOSITIVOS DE PROTEÇÃO</t>
        </is>
      </c>
      <c r="E333" s="32" t="inlineStr">
        <is>
          <t>Interruptores Diferenciais Residuais Tetrapolares DIN 63A - 30mA - Tipo AC - 400V - NBR NM 61008-1</t>
        </is>
      </c>
      <c r="F333" s="33" t="n">
        <v>1</v>
      </c>
      <c r="G333" s="33" t="n">
        <v>1</v>
      </c>
      <c r="H333" s="33" t="n">
        <v>0</v>
      </c>
      <c r="I333" s="35">
        <f>(F333+H333*F333)*G333</f>
        <v/>
      </c>
      <c r="J333" s="33" t="inlineStr">
        <is>
          <t>pç</t>
        </is>
      </c>
      <c r="K333" s="36" t="n">
        <v>201</v>
      </c>
      <c r="L333" s="37">
        <f>I333*K333</f>
        <v/>
      </c>
    </row>
    <row r="334">
      <c r="A334" s="32" t="inlineStr">
        <is>
          <t>TORRE</t>
        </is>
      </c>
      <c r="B334" s="32" t="inlineStr">
        <is>
          <t>GARAGEM 04</t>
        </is>
      </c>
      <c r="C334" s="32" t="inlineStr">
        <is>
          <t>INSTALAÇÕES ELÉTRICAS</t>
        </is>
      </c>
      <c r="D334" s="32" t="inlineStr">
        <is>
          <t>ELETRODUTOS</t>
        </is>
      </c>
      <c r="E334" s="32" t="inlineStr">
        <is>
          <t>PVC Flexível Antichama - NBR 15465 ø1"</t>
        </is>
      </c>
      <c r="F334" s="33" t="n">
        <v>25.5</v>
      </c>
      <c r="G334" s="33" t="n">
        <v>1</v>
      </c>
      <c r="H334" s="33" t="n">
        <v>0</v>
      </c>
      <c r="I334" s="35">
        <f>(F334+H334*F334)*G334</f>
        <v/>
      </c>
      <c r="J334" s="33" t="inlineStr">
        <is>
          <t>m</t>
        </is>
      </c>
      <c r="K334" s="36" t="n">
        <v>5</v>
      </c>
      <c r="L334" s="37">
        <f>I334*K334</f>
        <v/>
      </c>
    </row>
    <row r="335">
      <c r="A335" s="32" t="inlineStr">
        <is>
          <t>TORRE</t>
        </is>
      </c>
      <c r="B335" s="32" t="inlineStr">
        <is>
          <t>GARAGEM 04</t>
        </is>
      </c>
      <c r="C335" s="32" t="inlineStr">
        <is>
          <t>INSTALAÇÕES ELÉTRICAS</t>
        </is>
      </c>
      <c r="D335" s="32" t="inlineStr">
        <is>
          <t>ELETRODUTOS</t>
        </is>
      </c>
      <c r="E335" s="32" t="inlineStr">
        <is>
          <t>PVC Flexível Antichama - NBR 15465 ø3/4"</t>
        </is>
      </c>
      <c r="F335" s="33" t="n">
        <v>225.8</v>
      </c>
      <c r="G335" s="33" t="n">
        <v>1</v>
      </c>
      <c r="H335" s="33" t="n">
        <v>0</v>
      </c>
      <c r="I335" s="35">
        <f>(F335+H335*F335)*G335</f>
        <v/>
      </c>
      <c r="J335" s="33" t="inlineStr">
        <is>
          <t>m</t>
        </is>
      </c>
      <c r="K335" s="36" t="n">
        <v>3.5</v>
      </c>
      <c r="L335" s="37">
        <f>I335*K335</f>
        <v/>
      </c>
    </row>
    <row r="336">
      <c r="A336" s="32" t="inlineStr">
        <is>
          <t>TORRE</t>
        </is>
      </c>
      <c r="B336" s="32" t="inlineStr">
        <is>
          <t>GARAGEM 04</t>
        </is>
      </c>
      <c r="C336" s="32" t="inlineStr">
        <is>
          <t>INSTALAÇÕES ELÉTRICAS</t>
        </is>
      </c>
      <c r="D336" s="32" t="inlineStr">
        <is>
          <t>MÓDULOS</t>
        </is>
      </c>
      <c r="E336" s="32" t="inlineStr">
        <is>
          <t>Tomada 2P+T 10A Padrão NBR 14136</t>
        </is>
      </c>
      <c r="F336" s="33" t="n">
        <v>3</v>
      </c>
      <c r="G336" s="33" t="n">
        <v>1</v>
      </c>
      <c r="H336" s="33" t="n">
        <v>0</v>
      </c>
      <c r="I336" s="35">
        <f>(F336+H336*F336)*G336</f>
        <v/>
      </c>
      <c r="J336" s="33" t="inlineStr">
        <is>
          <t>pç</t>
        </is>
      </c>
      <c r="K336" s="36" t="n">
        <v>8</v>
      </c>
      <c r="L336" s="37">
        <f>I336*K336</f>
        <v/>
      </c>
    </row>
    <row r="337">
      <c r="A337" s="32" t="inlineStr">
        <is>
          <t>TORRE</t>
        </is>
      </c>
      <c r="B337" s="32" t="inlineStr">
        <is>
          <t>GARAGEM 04</t>
        </is>
      </c>
      <c r="C337" s="32" t="inlineStr">
        <is>
          <t>INSTALAÇÕES ELÉTRICAS</t>
        </is>
      </c>
      <c r="D337" s="32" t="inlineStr">
        <is>
          <t>MÓDULOS</t>
        </is>
      </c>
      <c r="E337" s="32" t="inlineStr">
        <is>
          <t>Tomada 2P+T 20A Padrão NBR 14136</t>
        </is>
      </c>
      <c r="F337" s="33" t="n">
        <v>7</v>
      </c>
      <c r="G337" s="33" t="n">
        <v>1</v>
      </c>
      <c r="H337" s="33" t="n">
        <v>0</v>
      </c>
      <c r="I337" s="35">
        <f>(F337+H337*F337)*G337</f>
        <v/>
      </c>
      <c r="J337" s="33" t="inlineStr">
        <is>
          <t>pç</t>
        </is>
      </c>
      <c r="K337" s="36" t="n">
        <v>14</v>
      </c>
      <c r="L337" s="37">
        <f>I337*K337</f>
        <v/>
      </c>
    </row>
    <row r="338">
      <c r="A338" s="32" t="inlineStr">
        <is>
          <t>TORRE</t>
        </is>
      </c>
      <c r="B338" s="32" t="inlineStr">
        <is>
          <t>GARAGEM 04</t>
        </is>
      </c>
      <c r="C338" s="32" t="inlineStr">
        <is>
          <t>INSTALAÇÕES ELÉTRICAS</t>
        </is>
      </c>
      <c r="D338" s="32" t="inlineStr">
        <is>
          <t>MÓDULOS</t>
        </is>
      </c>
      <c r="E338" s="32" t="inlineStr">
        <is>
          <t>Interruptor Simples 250V/10A Padrão NBRNM60669</t>
        </is>
      </c>
      <c r="F338" s="33" t="n">
        <v>1</v>
      </c>
      <c r="G338" s="33" t="n">
        <v>1</v>
      </c>
      <c r="H338" s="33" t="n">
        <v>0</v>
      </c>
      <c r="I338" s="35">
        <f>(F338+H338*F338)*G338</f>
        <v/>
      </c>
      <c r="J338" s="33" t="inlineStr">
        <is>
          <t>pç</t>
        </is>
      </c>
      <c r="K338" s="36" t="n">
        <v>7</v>
      </c>
      <c r="L338" s="37">
        <f>I338*K338</f>
        <v/>
      </c>
    </row>
    <row r="339">
      <c r="A339" s="32" t="inlineStr">
        <is>
          <t>TORRE</t>
        </is>
      </c>
      <c r="B339" s="32" t="inlineStr">
        <is>
          <t>GARAGEM 04</t>
        </is>
      </c>
      <c r="C339" s="32" t="inlineStr">
        <is>
          <t>INSTALAÇÕES ELÉTRICAS</t>
        </is>
      </c>
      <c r="D339" s="32" t="inlineStr">
        <is>
          <t>QUADROS DE DISTRIBUIÇÃO</t>
        </is>
      </c>
      <c r="E339" s="32" t="inlineStr">
        <is>
          <t>Quadro de dist. de embutir em PVC com cap. de 36 espaços DIN</t>
        </is>
      </c>
      <c r="F339" s="33" t="n">
        <v>1</v>
      </c>
      <c r="G339" s="33" t="n">
        <v>1</v>
      </c>
      <c r="H339" s="33" t="n">
        <v>0</v>
      </c>
      <c r="I339" s="35">
        <f>(F339+H339*F339)*G339</f>
        <v/>
      </c>
      <c r="J339" s="33" t="inlineStr">
        <is>
          <t>pç</t>
        </is>
      </c>
      <c r="K339" s="36" t="n">
        <v>192</v>
      </c>
      <c r="L339" s="37">
        <f>I339*K339</f>
        <v/>
      </c>
    </row>
    <row r="340">
      <c r="A340" s="32" t="inlineStr">
        <is>
          <t>TORRE</t>
        </is>
      </c>
      <c r="B340" s="32" t="inlineStr">
        <is>
          <t>GARAGEM 04</t>
        </is>
      </c>
      <c r="C340" s="32" t="inlineStr">
        <is>
          <t>INSTALAÇÕES ELÉTRICAS</t>
        </is>
      </c>
      <c r="D340" s="32" t="inlineStr">
        <is>
          <t>SENSORES</t>
        </is>
      </c>
      <c r="E340" s="32" t="inlineStr">
        <is>
          <t>Sensor de Presença</t>
        </is>
      </c>
      <c r="F340" s="33" t="n">
        <v>19</v>
      </c>
      <c r="G340" s="33" t="n">
        <v>1</v>
      </c>
      <c r="H340" s="33" t="n">
        <v>0</v>
      </c>
      <c r="I340" s="35">
        <f>(F340+H340*F340)*G340</f>
        <v/>
      </c>
      <c r="J340" s="33" t="inlineStr">
        <is>
          <t>pç</t>
        </is>
      </c>
      <c r="K340" s="36" t="n">
        <v>29</v>
      </c>
      <c r="L340" s="37">
        <f>I340*K340</f>
        <v/>
      </c>
    </row>
    <row r="341">
      <c r="A341" s="32" t="inlineStr">
        <is>
          <t>TORRE</t>
        </is>
      </c>
      <c r="B341" s="32" t="inlineStr">
        <is>
          <t>GARAGEM 04</t>
        </is>
      </c>
      <c r="C341" s="32" t="inlineStr">
        <is>
          <t>INSTALAÇÕES ELÉTRICAS</t>
        </is>
      </c>
      <c r="D341" s="32" t="inlineStr">
        <is>
          <t>CABO UNIPOLAR</t>
        </is>
      </c>
      <c r="E341" s="32" t="inlineStr">
        <is>
          <t>Isolação em PVC (70ºC) 1.5 mm² - Amarelo</t>
        </is>
      </c>
      <c r="F341" s="33" t="n">
        <v>137.8</v>
      </c>
      <c r="G341" s="33" t="n">
        <v>1</v>
      </c>
      <c r="H341" s="33" t="n">
        <v>0</v>
      </c>
      <c r="I341" s="35">
        <f>(F341+H341*F341)*G341</f>
        <v/>
      </c>
      <c r="J341" s="33" t="inlineStr">
        <is>
          <t>m</t>
        </is>
      </c>
      <c r="K341" s="36" t="n">
        <v>1.14</v>
      </c>
      <c r="L341" s="37">
        <f>I341*K341</f>
        <v/>
      </c>
    </row>
    <row r="342">
      <c r="A342" s="32" t="inlineStr">
        <is>
          <t>TORRE</t>
        </is>
      </c>
      <c r="B342" s="32" t="inlineStr">
        <is>
          <t>GARAGEM 04</t>
        </is>
      </c>
      <c r="C342" s="32" t="inlineStr">
        <is>
          <t>INSTALAÇÕES ELÉTRICAS</t>
        </is>
      </c>
      <c r="D342" s="32" t="inlineStr">
        <is>
          <t>CABO UNIPOLAR</t>
        </is>
      </c>
      <c r="E342" s="32" t="inlineStr">
        <is>
          <t>Isolação em PVC (70ºC) 1.5 mm² - Azul claro</t>
        </is>
      </c>
      <c r="F342" s="33" t="n">
        <v>197.9</v>
      </c>
      <c r="G342" s="33" t="n">
        <v>1</v>
      </c>
      <c r="H342" s="33" t="n">
        <v>0</v>
      </c>
      <c r="I342" s="35">
        <f>(F342+H342*F342)*G342</f>
        <v/>
      </c>
      <c r="J342" s="33" t="inlineStr">
        <is>
          <t>m</t>
        </is>
      </c>
      <c r="K342" s="36" t="n">
        <v>1.14</v>
      </c>
      <c r="L342" s="37">
        <f>I342*K342</f>
        <v/>
      </c>
    </row>
    <row r="343">
      <c r="A343" s="32" t="inlineStr">
        <is>
          <t>TORRE</t>
        </is>
      </c>
      <c r="B343" s="32" t="inlineStr">
        <is>
          <t>GARAGEM 04</t>
        </is>
      </c>
      <c r="C343" s="32" t="inlineStr">
        <is>
          <t>INSTALAÇÕES ELÉTRICAS</t>
        </is>
      </c>
      <c r="D343" s="32" t="inlineStr">
        <is>
          <t>CABO UNIPOLAR</t>
        </is>
      </c>
      <c r="E343" s="32" t="inlineStr">
        <is>
          <t>Isolação em PVC (70ºC) 1.5 mm² - Branco</t>
        </is>
      </c>
      <c r="F343" s="33" t="n">
        <v>159.1</v>
      </c>
      <c r="G343" s="33" t="n">
        <v>1</v>
      </c>
      <c r="H343" s="33" t="n">
        <v>0</v>
      </c>
      <c r="I343" s="35">
        <f>(F343+H343*F343)*G343</f>
        <v/>
      </c>
      <c r="J343" s="33" t="inlineStr">
        <is>
          <t>m</t>
        </is>
      </c>
      <c r="K343" s="36" t="n">
        <v>1.14</v>
      </c>
      <c r="L343" s="37">
        <f>I343*K343</f>
        <v/>
      </c>
    </row>
    <row r="344">
      <c r="A344" s="32" t="inlineStr">
        <is>
          <t>TORRE</t>
        </is>
      </c>
      <c r="B344" s="32" t="inlineStr">
        <is>
          <t>GARAGEM 04</t>
        </is>
      </c>
      <c r="C344" s="32" t="inlineStr">
        <is>
          <t>INSTALAÇÕES ELÉTRICAS</t>
        </is>
      </c>
      <c r="D344" s="32" t="inlineStr">
        <is>
          <t>CABO UNIPOLAR</t>
        </is>
      </c>
      <c r="E344" s="32" t="inlineStr">
        <is>
          <t>Isolação em PVC (70ºC) 1.5 mm² - Verde-amarelo</t>
        </is>
      </c>
      <c r="F344" s="33" t="n">
        <v>96</v>
      </c>
      <c r="G344" s="33" t="n">
        <v>1</v>
      </c>
      <c r="H344" s="33" t="n">
        <v>0</v>
      </c>
      <c r="I344" s="35">
        <f>(F344+H344*F344)*G344</f>
        <v/>
      </c>
      <c r="J344" s="33" t="inlineStr">
        <is>
          <t>m</t>
        </is>
      </c>
      <c r="K344" s="36" t="n">
        <v>1.14</v>
      </c>
      <c r="L344" s="37">
        <f>I344*K344</f>
        <v/>
      </c>
    </row>
    <row r="345">
      <c r="A345" s="32" t="inlineStr">
        <is>
          <t>TORRE</t>
        </is>
      </c>
      <c r="B345" s="32" t="inlineStr">
        <is>
          <t>GARAGEM 04</t>
        </is>
      </c>
      <c r="C345" s="32" t="inlineStr">
        <is>
          <t>INSTALAÇÕES ELÉTRICAS</t>
        </is>
      </c>
      <c r="D345" s="32" t="inlineStr">
        <is>
          <t>CABO UNIPOLAR</t>
        </is>
      </c>
      <c r="E345" s="32" t="inlineStr">
        <is>
          <t>Isolação em PVC (70ºC) 2.5 mm² - Azul claro</t>
        </is>
      </c>
      <c r="F345" s="33" t="n">
        <v>39.5</v>
      </c>
      <c r="G345" s="33" t="n">
        <v>1</v>
      </c>
      <c r="H345" s="33" t="n">
        <v>0</v>
      </c>
      <c r="I345" s="35">
        <f>(F345+H345*F345)*G345</f>
        <v/>
      </c>
      <c r="J345" s="33" t="inlineStr">
        <is>
          <t>m</t>
        </is>
      </c>
      <c r="K345" s="36" t="n">
        <v>2.12</v>
      </c>
      <c r="L345" s="37">
        <f>I345*K345</f>
        <v/>
      </c>
    </row>
    <row r="346">
      <c r="A346" s="32" t="inlineStr">
        <is>
          <t>TORRE</t>
        </is>
      </c>
      <c r="B346" s="32" t="inlineStr">
        <is>
          <t>GARAGEM 04</t>
        </is>
      </c>
      <c r="C346" s="32" t="inlineStr">
        <is>
          <t>INSTALAÇÕES ELÉTRICAS</t>
        </is>
      </c>
      <c r="D346" s="32" t="inlineStr">
        <is>
          <t>CABO UNIPOLAR</t>
        </is>
      </c>
      <c r="E346" s="32" t="inlineStr">
        <is>
          <t>Isolação em PVC (70ºC) 2.5 mm² - Branco</t>
        </is>
      </c>
      <c r="F346" s="33" t="n">
        <v>19.6</v>
      </c>
      <c r="G346" s="33" t="n">
        <v>1</v>
      </c>
      <c r="H346" s="33" t="n">
        <v>0</v>
      </c>
      <c r="I346" s="35">
        <f>(F346+H346*F346)*G346</f>
        <v/>
      </c>
      <c r="J346" s="33" t="inlineStr">
        <is>
          <t>m</t>
        </is>
      </c>
      <c r="K346" s="36" t="n">
        <v>2.12</v>
      </c>
      <c r="L346" s="37">
        <f>I346*K346</f>
        <v/>
      </c>
    </row>
    <row r="347">
      <c r="A347" s="32" t="inlineStr">
        <is>
          <t>TORRE</t>
        </is>
      </c>
      <c r="B347" s="32" t="inlineStr">
        <is>
          <t>GARAGEM 04</t>
        </is>
      </c>
      <c r="C347" s="32" t="inlineStr">
        <is>
          <t>INSTALAÇÕES ELÉTRICAS</t>
        </is>
      </c>
      <c r="D347" s="32" t="inlineStr">
        <is>
          <t>CABO UNIPOLAR</t>
        </is>
      </c>
      <c r="E347" s="32" t="inlineStr">
        <is>
          <t>Isolação em PVC (70ºC) 2.5 mm² - Preto</t>
        </is>
      </c>
      <c r="F347" s="33" t="n">
        <v>1.8</v>
      </c>
      <c r="G347" s="33" t="n">
        <v>1</v>
      </c>
      <c r="H347" s="33" t="n">
        <v>0</v>
      </c>
      <c r="I347" s="35">
        <f>(F347+H347*F347)*G347</f>
        <v/>
      </c>
      <c r="J347" s="33" t="inlineStr">
        <is>
          <t>m</t>
        </is>
      </c>
      <c r="K347" s="36" t="n">
        <v>2.12</v>
      </c>
      <c r="L347" s="37">
        <f>I347*K347</f>
        <v/>
      </c>
    </row>
    <row r="348">
      <c r="A348" s="32" t="inlineStr">
        <is>
          <t>TORRE</t>
        </is>
      </c>
      <c r="B348" s="32" t="inlineStr">
        <is>
          <t>GARAGEM 04</t>
        </is>
      </c>
      <c r="C348" s="32" t="inlineStr">
        <is>
          <t>INSTALAÇÕES ELÉTRICAS</t>
        </is>
      </c>
      <c r="D348" s="32" t="inlineStr">
        <is>
          <t>CABO UNIPOLAR</t>
        </is>
      </c>
      <c r="E348" s="32" t="inlineStr">
        <is>
          <t>Isolação em PVC (70ºC) 2.5 mm² - Verde-amarelo</t>
        </is>
      </c>
      <c r="F348" s="33" t="n">
        <v>32.3</v>
      </c>
      <c r="G348" s="33" t="n">
        <v>1</v>
      </c>
      <c r="H348" s="33" t="n">
        <v>0</v>
      </c>
      <c r="I348" s="35">
        <f>(F348+H348*F348)*G348</f>
        <v/>
      </c>
      <c r="J348" s="33" t="inlineStr">
        <is>
          <t>m</t>
        </is>
      </c>
      <c r="K348" s="36" t="n">
        <v>2.12</v>
      </c>
      <c r="L348" s="37">
        <f>I348*K348</f>
        <v/>
      </c>
    </row>
    <row r="349">
      <c r="A349" s="32" t="inlineStr">
        <is>
          <t>TORRE</t>
        </is>
      </c>
      <c r="B349" s="32" t="inlineStr">
        <is>
          <t>GARAGEM 04</t>
        </is>
      </c>
      <c r="C349" s="32" t="inlineStr">
        <is>
          <t>INSTALAÇÕES ELÉTRICAS</t>
        </is>
      </c>
      <c r="D349" s="32" t="inlineStr">
        <is>
          <t>CABO UNIPOLAR</t>
        </is>
      </c>
      <c r="E349" s="32" t="inlineStr">
        <is>
          <t>Isolação em PVC (70ºC) 2.5 mm² - Vermelho</t>
        </is>
      </c>
      <c r="F349" s="33" t="n">
        <v>18.1</v>
      </c>
      <c r="G349" s="33" t="n">
        <v>1</v>
      </c>
      <c r="H349" s="33" t="n">
        <v>0</v>
      </c>
      <c r="I349" s="35">
        <f>(F349+H349*F349)*G349</f>
        <v/>
      </c>
      <c r="J349" s="33" t="inlineStr">
        <is>
          <t>m</t>
        </is>
      </c>
      <c r="K349" s="36" t="n">
        <v>2.12</v>
      </c>
      <c r="L349" s="37">
        <f>I349*K349</f>
        <v/>
      </c>
    </row>
    <row r="350">
      <c r="A350" s="32" t="inlineStr">
        <is>
          <t>TORRE</t>
        </is>
      </c>
      <c r="B350" s="32" t="inlineStr">
        <is>
          <t>GARAGEM 04</t>
        </is>
      </c>
      <c r="C350" s="32" t="inlineStr">
        <is>
          <t>INSTALAÇÕES ELÉTRICAS</t>
        </is>
      </c>
      <c r="D350" s="32" t="inlineStr">
        <is>
          <t>CABO UNIPOLAR</t>
        </is>
      </c>
      <c r="E350" s="32" t="inlineStr">
        <is>
          <t>Isolação em PVC (70ºC) 4 mm² - Azul claro</t>
        </is>
      </c>
      <c r="F350" s="33" t="n">
        <v>113.5</v>
      </c>
      <c r="G350" s="33" t="n">
        <v>1</v>
      </c>
      <c r="H350" s="33" t="n">
        <v>0</v>
      </c>
      <c r="I350" s="35">
        <f>(F350+H350*F350)*G350</f>
        <v/>
      </c>
      <c r="J350" s="33" t="inlineStr">
        <is>
          <t>m</t>
        </is>
      </c>
      <c r="K350" s="36" t="n">
        <v>3.51</v>
      </c>
      <c r="L350" s="37">
        <f>I350*K350</f>
        <v/>
      </c>
    </row>
    <row r="351">
      <c r="A351" s="32" t="inlineStr">
        <is>
          <t>TORRE</t>
        </is>
      </c>
      <c r="B351" s="32" t="inlineStr">
        <is>
          <t>GARAGEM 04</t>
        </is>
      </c>
      <c r="C351" s="32" t="inlineStr">
        <is>
          <t>INSTALAÇÕES ELÉTRICAS</t>
        </is>
      </c>
      <c r="D351" s="32" t="inlineStr">
        <is>
          <t>CABO UNIPOLAR</t>
        </is>
      </c>
      <c r="E351" s="32" t="inlineStr">
        <is>
          <t>Isolação em PVC (70ºC) 4 mm² - Preto</t>
        </is>
      </c>
      <c r="F351" s="33" t="n">
        <v>113.5</v>
      </c>
      <c r="G351" s="33" t="n">
        <v>1</v>
      </c>
      <c r="H351" s="33" t="n">
        <v>0</v>
      </c>
      <c r="I351" s="35">
        <f>(F351+H351*F351)*G351</f>
        <v/>
      </c>
      <c r="J351" s="33" t="inlineStr">
        <is>
          <t>m</t>
        </is>
      </c>
      <c r="K351" s="36" t="n">
        <v>3.51</v>
      </c>
      <c r="L351" s="37">
        <f>I351*K351</f>
        <v/>
      </c>
    </row>
    <row r="352" ht="15" customHeight="1">
      <c r="A352" s="32" t="inlineStr">
        <is>
          <t>TORRE</t>
        </is>
      </c>
      <c r="B352" s="32" t="inlineStr">
        <is>
          <t>GARAGEM 04</t>
        </is>
      </c>
      <c r="C352" s="32" t="inlineStr">
        <is>
          <t>INSTALAÇÕES ELÉTRICAS</t>
        </is>
      </c>
      <c r="D352" s="32" t="inlineStr">
        <is>
          <t>CABO UNIPOLAR</t>
        </is>
      </c>
      <c r="E352" s="32" t="inlineStr">
        <is>
          <t>Isolação em PVC (70ºC) 4 mm² - Verde-amarelo</t>
        </is>
      </c>
      <c r="F352" s="33" t="n">
        <v>113.5</v>
      </c>
      <c r="G352" s="33" t="n">
        <v>1</v>
      </c>
      <c r="H352" s="33" t="n">
        <v>0</v>
      </c>
      <c r="I352" s="35">
        <f>(F352+H352*F352)*G352</f>
        <v/>
      </c>
      <c r="J352" s="33" t="inlineStr">
        <is>
          <t>m</t>
        </is>
      </c>
      <c r="K352" s="36" t="n">
        <v>3.51</v>
      </c>
      <c r="L352" s="37">
        <f>I352*K352</f>
        <v/>
      </c>
    </row>
    <row r="353" ht="15" customHeight="1">
      <c r="A353" s="40" t="inlineStr">
        <is>
          <t>TORRE</t>
        </is>
      </c>
      <c r="B353" s="40" t="inlineStr">
        <is>
          <t>GARAGEM 05</t>
        </is>
      </c>
      <c r="C353" s="41" t="n"/>
      <c r="D353" s="42" t="n"/>
      <c r="E353" s="42" t="n"/>
      <c r="F353" s="43" t="n"/>
      <c r="G353" s="43" t="n"/>
      <c r="H353" s="43" t="n"/>
      <c r="I353" s="44" t="n"/>
      <c r="J353" s="43" t="n"/>
      <c r="K353" s="45" t="n"/>
      <c r="L353" s="46">
        <f>SUMIFS($L$7:$L$513,$B$7:$B$513,B353,$E$7:$E$513,"&lt;&gt;"&amp;"")</f>
        <v/>
      </c>
    </row>
    <row r="354">
      <c r="A354" s="32" t="inlineStr">
        <is>
          <t>TORRE</t>
        </is>
      </c>
      <c r="B354" s="32" t="inlineStr">
        <is>
          <t>GARAGEM 05</t>
        </is>
      </c>
      <c r="C354" s="32" t="inlineStr">
        <is>
          <t>INSTALAÇÕES ELÉTRICAS</t>
        </is>
      </c>
      <c r="D354" s="32" t="inlineStr">
        <is>
          <t>CAIXA OCTOGONAL</t>
        </is>
      </c>
      <c r="E354" s="32" t="inlineStr">
        <is>
          <t>Caixa Octogonal Padrão NBR IEC 60670</t>
        </is>
      </c>
      <c r="F354" s="33" t="n">
        <v>62</v>
      </c>
      <c r="G354" s="33" t="n">
        <v>1</v>
      </c>
      <c r="H354" s="33" t="n">
        <v>0</v>
      </c>
      <c r="I354" s="35">
        <f>(F354+H354*F354)*G354</f>
        <v/>
      </c>
      <c r="J354" s="33" t="inlineStr">
        <is>
          <t>pç</t>
        </is>
      </c>
      <c r="K354" s="36" t="n">
        <v>3.55</v>
      </c>
      <c r="L354" s="37">
        <f>I354*K354</f>
        <v/>
      </c>
    </row>
    <row r="355">
      <c r="A355" s="32" t="inlineStr">
        <is>
          <t>TORRE</t>
        </is>
      </c>
      <c r="B355" s="32" t="inlineStr">
        <is>
          <t>GARAGEM 05</t>
        </is>
      </c>
      <c r="C355" s="32" t="inlineStr">
        <is>
          <t>INSTALAÇÕES ELÉTRICAS</t>
        </is>
      </c>
      <c r="D355" s="32" t="inlineStr">
        <is>
          <t>CAIXA OCTOGONAL</t>
        </is>
      </c>
      <c r="E355" s="32" t="inlineStr">
        <is>
          <t>Placa cega para caixa octogonal Padrão NBR IEC 60670</t>
        </is>
      </c>
      <c r="F355" s="33" t="n">
        <v>2</v>
      </c>
      <c r="G355" s="33" t="n">
        <v>1</v>
      </c>
      <c r="H355" s="33" t="n">
        <v>0</v>
      </c>
      <c r="I355" s="35">
        <f>(F355+H355*F355)*G355</f>
        <v/>
      </c>
      <c r="J355" s="33" t="inlineStr">
        <is>
          <t>pç</t>
        </is>
      </c>
      <c r="K355" s="36" t="n">
        <v>14.9</v>
      </c>
      <c r="L355" s="37">
        <f>I355*K355</f>
        <v/>
      </c>
    </row>
    <row r="356">
      <c r="A356" s="32" t="inlineStr">
        <is>
          <t>TORRE</t>
        </is>
      </c>
      <c r="B356" s="32" t="inlineStr">
        <is>
          <t>GARAGEM 05</t>
        </is>
      </c>
      <c r="C356" s="32" t="inlineStr">
        <is>
          <t>INSTALAÇÕES ELÉTRICAS</t>
        </is>
      </c>
      <c r="D356" s="32" t="inlineStr">
        <is>
          <t>CAIXAS 4x2" E 4x4"</t>
        </is>
      </c>
      <c r="E356" s="32" t="inlineStr">
        <is>
          <t>Caixa 4x2" de Embutir em PVC Padrão NBR IEC 60670</t>
        </is>
      </c>
      <c r="F356" s="33" t="n">
        <v>8</v>
      </c>
      <c r="G356" s="33" t="n">
        <v>1</v>
      </c>
      <c r="H356" s="33" t="n">
        <v>0</v>
      </c>
      <c r="I356" s="35">
        <f>(F356+H356*F356)*G356</f>
        <v/>
      </c>
      <c r="J356" s="33" t="inlineStr">
        <is>
          <t>pç</t>
        </is>
      </c>
      <c r="K356" s="36" t="n">
        <v>2.2</v>
      </c>
      <c r="L356" s="37">
        <f>I356*K356</f>
        <v/>
      </c>
    </row>
    <row r="357">
      <c r="A357" s="32" t="inlineStr">
        <is>
          <t>TORRE</t>
        </is>
      </c>
      <c r="B357" s="32" t="inlineStr">
        <is>
          <t>GARAGEM 05</t>
        </is>
      </c>
      <c r="C357" s="32" t="inlineStr">
        <is>
          <t>INSTALAÇÕES ELÉTRICAS</t>
        </is>
      </c>
      <c r="D357" s="32" t="inlineStr">
        <is>
          <t>CAIXAS 4x2" E 4x4"</t>
        </is>
      </c>
      <c r="E357" s="32" t="inlineStr">
        <is>
          <t>Placa 4x2" cega Padrão NBR IEC 60670</t>
        </is>
      </c>
      <c r="F357" s="33" t="n">
        <v>1</v>
      </c>
      <c r="G357" s="33" t="n">
        <v>1</v>
      </c>
      <c r="H357" s="33" t="n"/>
      <c r="I357" s="35">
        <f>(F357+H357*F357)*G357</f>
        <v/>
      </c>
      <c r="J357" s="33" t="inlineStr">
        <is>
          <t>pç</t>
        </is>
      </c>
      <c r="K357" s="36" t="n">
        <v>8.9</v>
      </c>
      <c r="L357" s="37">
        <f>I357*K357</f>
        <v/>
      </c>
    </row>
    <row r="358">
      <c r="A358" s="32" t="inlineStr">
        <is>
          <t>TORRE</t>
        </is>
      </c>
      <c r="B358" s="32" t="inlineStr">
        <is>
          <t>GARAGEM 05</t>
        </is>
      </c>
      <c r="C358" s="32" t="inlineStr">
        <is>
          <t>INSTALAÇÕES ELÉTRICAS</t>
        </is>
      </c>
      <c r="D358" s="32" t="inlineStr">
        <is>
          <t>CAIXAS 4x2" E 4x4"</t>
        </is>
      </c>
      <c r="E358" s="32" t="inlineStr">
        <is>
          <t>Placa 4x2" para 1 função Padrão NBR IEC 60670</t>
        </is>
      </c>
      <c r="F358" s="33" t="n">
        <v>6</v>
      </c>
      <c r="G358" s="33" t="n">
        <v>1</v>
      </c>
      <c r="H358" s="33" t="n"/>
      <c r="I358" s="35">
        <f>(F358+H358*F358)*G358</f>
        <v/>
      </c>
      <c r="J358" s="33" t="inlineStr">
        <is>
          <t>pç</t>
        </is>
      </c>
      <c r="K358" s="36" t="n">
        <v>8.9</v>
      </c>
      <c r="L358" s="37">
        <f>I358*K358</f>
        <v/>
      </c>
    </row>
    <row r="359">
      <c r="A359" s="32" t="inlineStr">
        <is>
          <t>TORRE</t>
        </is>
      </c>
      <c r="B359" s="32" t="inlineStr">
        <is>
          <t>GARAGEM 05</t>
        </is>
      </c>
      <c r="C359" s="32" t="inlineStr">
        <is>
          <t>INSTALAÇÕES ELÉTRICAS</t>
        </is>
      </c>
      <c r="D359" s="32" t="inlineStr">
        <is>
          <t>CAIXAS 4x2" E 4x4"</t>
        </is>
      </c>
      <c r="E359" s="32" t="inlineStr">
        <is>
          <t>Placa 4x2" para 2 funções Padrão NBR IEC 60670</t>
        </is>
      </c>
      <c r="F359" s="33" t="n">
        <v>1</v>
      </c>
      <c r="G359" s="33" t="n">
        <v>1</v>
      </c>
      <c r="H359" s="33" t="n"/>
      <c r="I359" s="35">
        <f>(F359+H359*F359)*G359</f>
        <v/>
      </c>
      <c r="J359" s="33" t="inlineStr">
        <is>
          <t>pç</t>
        </is>
      </c>
      <c r="K359" s="36" t="n">
        <v>11</v>
      </c>
      <c r="L359" s="37">
        <f>I359*K359</f>
        <v/>
      </c>
    </row>
    <row r="360">
      <c r="A360" s="32" t="inlineStr">
        <is>
          <t>TORRE</t>
        </is>
      </c>
      <c r="B360" s="32" t="inlineStr">
        <is>
          <t>GARAGEM 05</t>
        </is>
      </c>
      <c r="C360" s="32" t="inlineStr">
        <is>
          <t>INSTALAÇÕES ELÉTRICAS</t>
        </is>
      </c>
      <c r="D360" s="32" t="inlineStr">
        <is>
          <t>CAIXAS 4x2" E 4x4"</t>
        </is>
      </c>
      <c r="E360" s="32" t="inlineStr">
        <is>
          <t>Suporte p/ caixa 4x2" Padrão NBR IEC 60670</t>
        </is>
      </c>
      <c r="F360" s="33" t="n">
        <v>8</v>
      </c>
      <c r="G360" s="33" t="n">
        <v>1</v>
      </c>
      <c r="H360" s="33" t="n"/>
      <c r="I360" s="35">
        <f>(F360+H360*F360)*G360</f>
        <v/>
      </c>
      <c r="J360" s="33" t="inlineStr">
        <is>
          <t>pç</t>
        </is>
      </c>
      <c r="K360" s="36" t="n">
        <v>1.85</v>
      </c>
      <c r="L360" s="37">
        <f>I360*K360</f>
        <v/>
      </c>
    </row>
    <row r="361">
      <c r="A361" s="32" t="inlineStr">
        <is>
          <t>TORRE</t>
        </is>
      </c>
      <c r="B361" s="32" t="inlineStr">
        <is>
          <t>GARAGEM 05</t>
        </is>
      </c>
      <c r="C361" s="32" t="inlineStr">
        <is>
          <t>INSTALAÇÕES ELÉTRICAS</t>
        </is>
      </c>
      <c r="D361" s="32" t="inlineStr">
        <is>
          <t>DISPOSITIVOS DE PROTEÇÃO</t>
        </is>
      </c>
      <c r="E361" s="32" t="inlineStr">
        <is>
          <t>Disjuntores Monopolares DIN 10 A - 3 kA - Curva C - NBR NM 60898</t>
        </is>
      </c>
      <c r="F361" s="33" t="n">
        <v>2</v>
      </c>
      <c r="G361" s="33" t="n">
        <v>1</v>
      </c>
      <c r="H361" s="33" t="n"/>
      <c r="I361" s="35">
        <f>(F361+H361*F361)*G361</f>
        <v/>
      </c>
      <c r="J361" s="33" t="inlineStr">
        <is>
          <t>pç</t>
        </is>
      </c>
      <c r="K361" s="36" t="n">
        <v>12.16</v>
      </c>
      <c r="L361" s="37">
        <f>I361*K361</f>
        <v/>
      </c>
    </row>
    <row r="362">
      <c r="A362" s="32" t="inlineStr">
        <is>
          <t>TORRE</t>
        </is>
      </c>
      <c r="B362" s="32" t="inlineStr">
        <is>
          <t>GARAGEM 05</t>
        </is>
      </c>
      <c r="C362" s="32" t="inlineStr">
        <is>
          <t>INSTALAÇÕES ELÉTRICAS</t>
        </is>
      </c>
      <c r="D362" s="32" t="inlineStr">
        <is>
          <t>DISPOSITIVOS DE PROTEÇÃO</t>
        </is>
      </c>
      <c r="E362" s="32" t="inlineStr">
        <is>
          <t>Disjuntores Monopolares DIN 16 A - 3 kA - Curva C - NBR NM 60898</t>
        </is>
      </c>
      <c r="F362" s="33" t="n">
        <v>1</v>
      </c>
      <c r="G362" s="33" t="n">
        <v>1</v>
      </c>
      <c r="H362" s="33" t="n"/>
      <c r="I362" s="35">
        <f>(F362+H362*F362)*G362</f>
        <v/>
      </c>
      <c r="J362" s="33" t="inlineStr">
        <is>
          <t>pç</t>
        </is>
      </c>
      <c r="K362" s="36" t="n">
        <v>13.05</v>
      </c>
      <c r="L362" s="37">
        <f>I362*K362</f>
        <v/>
      </c>
    </row>
    <row r="363">
      <c r="A363" s="32" t="inlineStr">
        <is>
          <t>TORRE</t>
        </is>
      </c>
      <c r="B363" s="32" t="inlineStr">
        <is>
          <t>GARAGEM 05</t>
        </is>
      </c>
      <c r="C363" s="32" t="inlineStr">
        <is>
          <t>INSTALAÇÕES ELÉTRICAS</t>
        </is>
      </c>
      <c r="D363" s="32" t="inlineStr">
        <is>
          <t>DISPOSITIVOS DE PROTEÇÃO</t>
        </is>
      </c>
      <c r="E363" s="32" t="inlineStr">
        <is>
          <t>Disjuntores Monopolares DIN 20 A - 3 kA - Curva C - NBR NM 60898</t>
        </is>
      </c>
      <c r="F363" s="33" t="n">
        <v>1</v>
      </c>
      <c r="G363" s="33" t="n">
        <v>1</v>
      </c>
      <c r="H363" s="33" t="n"/>
      <c r="I363" s="35">
        <f>(F363+H363*F363)*G363</f>
        <v/>
      </c>
      <c r="J363" s="33" t="inlineStr">
        <is>
          <t>pç</t>
        </is>
      </c>
      <c r="K363" s="36" t="n">
        <v>14</v>
      </c>
      <c r="L363" s="37">
        <f>I363*K363</f>
        <v/>
      </c>
    </row>
    <row r="364">
      <c r="A364" s="32" t="inlineStr">
        <is>
          <t>TORRE</t>
        </is>
      </c>
      <c r="B364" s="32" t="inlineStr">
        <is>
          <t>GARAGEM 05</t>
        </is>
      </c>
      <c r="C364" s="32" t="inlineStr">
        <is>
          <t>INSTALAÇÕES ELÉTRICAS</t>
        </is>
      </c>
      <c r="D364" s="32" t="inlineStr">
        <is>
          <t>DISPOSITIVOS DE PROTEÇÃO</t>
        </is>
      </c>
      <c r="E364" s="32" t="inlineStr">
        <is>
          <t>Disjuntores Monopolares DIN 32 A - 3 kA - Curva C - NBR NM 60898</t>
        </is>
      </c>
      <c r="F364" s="33" t="n">
        <v>3</v>
      </c>
      <c r="G364" s="33" t="n">
        <v>1</v>
      </c>
      <c r="H364" s="33" t="n"/>
      <c r="I364" s="35">
        <f>(F364+H364*F364)*G364</f>
        <v/>
      </c>
      <c r="J364" s="33" t="inlineStr">
        <is>
          <t>pç</t>
        </is>
      </c>
      <c r="K364" s="36" t="n">
        <v>21</v>
      </c>
      <c r="L364" s="37">
        <f>I364*K364</f>
        <v/>
      </c>
    </row>
    <row r="365">
      <c r="A365" s="32" t="inlineStr">
        <is>
          <t>TORRE</t>
        </is>
      </c>
      <c r="B365" s="32" t="inlineStr">
        <is>
          <t>GARAGEM 05</t>
        </is>
      </c>
      <c r="C365" s="32" t="inlineStr">
        <is>
          <t>INSTALAÇÕES ELÉTRICAS</t>
        </is>
      </c>
      <c r="D365" s="32" t="inlineStr">
        <is>
          <t>DISPOSITIVOS DE PROTEÇÃO</t>
        </is>
      </c>
      <c r="E365" s="32" t="inlineStr">
        <is>
          <t>Disjuntores Tripolares DIN 50 A - 10 kA - Curva C - NBR 60947-2</t>
        </is>
      </c>
      <c r="F365" s="33" t="n">
        <v>1</v>
      </c>
      <c r="G365" s="33" t="n">
        <v>1</v>
      </c>
      <c r="H365" s="33" t="n"/>
      <c r="I365" s="35">
        <f>(F365+H365*F365)*G365</f>
        <v/>
      </c>
      <c r="J365" s="33" t="inlineStr">
        <is>
          <t>pç</t>
        </is>
      </c>
      <c r="K365" s="36" t="n">
        <v>64.90000000000001</v>
      </c>
      <c r="L365" s="37">
        <f>I365*K365</f>
        <v/>
      </c>
    </row>
    <row r="366">
      <c r="A366" s="32" t="inlineStr">
        <is>
          <t>TORRE</t>
        </is>
      </c>
      <c r="B366" s="32" t="inlineStr">
        <is>
          <t>GARAGEM 05</t>
        </is>
      </c>
      <c r="C366" s="32" t="inlineStr">
        <is>
          <t>INSTALAÇÕES ELÉTRICAS</t>
        </is>
      </c>
      <c r="D366" s="32" t="inlineStr">
        <is>
          <t>DISPOSITIVOS DE PROTEÇÃO</t>
        </is>
      </c>
      <c r="E366" s="32" t="inlineStr">
        <is>
          <t>Dispositivos de Proteção Contra Surto 275V - Classe I/II - In=30kA - Imáx.=60kA - NBR IEC 61643-1</t>
        </is>
      </c>
      <c r="F366" s="33" t="n">
        <v>4</v>
      </c>
      <c r="G366" s="33" t="n">
        <v>1</v>
      </c>
      <c r="H366" s="33" t="n"/>
      <c r="I366" s="35">
        <f>(F366+H366*F366)*G366</f>
        <v/>
      </c>
      <c r="J366" s="33" t="inlineStr">
        <is>
          <t>pç</t>
        </is>
      </c>
      <c r="K366" s="36" t="n">
        <v>97</v>
      </c>
      <c r="L366" s="37">
        <f>I366*K366</f>
        <v/>
      </c>
    </row>
    <row r="367">
      <c r="A367" s="32" t="inlineStr">
        <is>
          <t>TORRE</t>
        </is>
      </c>
      <c r="B367" s="32" t="inlineStr">
        <is>
          <t>GARAGEM 05</t>
        </is>
      </c>
      <c r="C367" s="32" t="inlineStr">
        <is>
          <t>INSTALAÇÕES ELÉTRICAS</t>
        </is>
      </c>
      <c r="D367" s="32" t="inlineStr">
        <is>
          <t>DISPOSITIVOS DE PROTEÇÃO</t>
        </is>
      </c>
      <c r="E367" s="32" t="inlineStr">
        <is>
          <t>Interruptores Diferenciais Residuais Tetrapolares DIN 63A - 30mA - Tipo AC - 400V - NBR NM 61008-1</t>
        </is>
      </c>
      <c r="F367" s="33" t="n">
        <v>1</v>
      </c>
      <c r="G367" s="33" t="n">
        <v>1</v>
      </c>
      <c r="H367" s="33" t="n"/>
      <c r="I367" s="35">
        <f>(F367+H367*F367)*G367</f>
        <v/>
      </c>
      <c r="J367" s="33" t="inlineStr">
        <is>
          <t>pç</t>
        </is>
      </c>
      <c r="K367" s="36" t="n">
        <v>170</v>
      </c>
      <c r="L367" s="37">
        <f>I367*K367</f>
        <v/>
      </c>
    </row>
    <row r="368">
      <c r="A368" s="32" t="inlineStr">
        <is>
          <t>TORRE</t>
        </is>
      </c>
      <c r="B368" s="32" t="inlineStr">
        <is>
          <t>GARAGEM 05</t>
        </is>
      </c>
      <c r="C368" s="32" t="inlineStr">
        <is>
          <t>INSTALAÇÕES ELÉTRICAS</t>
        </is>
      </c>
      <c r="D368" s="32" t="inlineStr">
        <is>
          <t>ELETRODUTOS</t>
        </is>
      </c>
      <c r="E368" s="32" t="inlineStr">
        <is>
          <t>PVC Flexível Antichama - NBR 15465 ø1"</t>
        </is>
      </c>
      <c r="F368" s="33" t="n">
        <v>19.3</v>
      </c>
      <c r="G368" s="33" t="n">
        <v>1</v>
      </c>
      <c r="H368" s="33" t="n"/>
      <c r="I368" s="35">
        <f>(F368+H368*F368)*G368</f>
        <v/>
      </c>
      <c r="J368" s="33" t="inlineStr">
        <is>
          <t>m</t>
        </is>
      </c>
      <c r="K368" s="36" t="n">
        <v>5</v>
      </c>
      <c r="L368" s="37">
        <f>I368*K368</f>
        <v/>
      </c>
    </row>
    <row r="369">
      <c r="A369" s="32" t="inlineStr">
        <is>
          <t>TORRE</t>
        </is>
      </c>
      <c r="B369" s="32" t="inlineStr">
        <is>
          <t>GARAGEM 05</t>
        </is>
      </c>
      <c r="C369" s="32" t="inlineStr">
        <is>
          <t>INSTALAÇÕES ELÉTRICAS</t>
        </is>
      </c>
      <c r="D369" s="32" t="inlineStr">
        <is>
          <t>ELETRODUTOS</t>
        </is>
      </c>
      <c r="E369" s="32" t="inlineStr">
        <is>
          <t>PVC Flexível Antichama - NBR 15465 ø3/4"</t>
        </is>
      </c>
      <c r="F369" s="33" t="n">
        <v>258.3</v>
      </c>
      <c r="G369" s="33" t="n">
        <v>1</v>
      </c>
      <c r="H369" s="33" t="n"/>
      <c r="I369" s="35">
        <f>(F369+H369*F369)*G369</f>
        <v/>
      </c>
      <c r="J369" s="33" t="inlineStr">
        <is>
          <t>m</t>
        </is>
      </c>
      <c r="K369" s="36" t="n">
        <v>3.5</v>
      </c>
      <c r="L369" s="37">
        <f>I369*K369</f>
        <v/>
      </c>
    </row>
    <row r="370">
      <c r="A370" s="32" t="inlineStr">
        <is>
          <t>TORRE</t>
        </is>
      </c>
      <c r="B370" s="32" t="inlineStr">
        <is>
          <t>GARAGEM 05</t>
        </is>
      </c>
      <c r="C370" s="32" t="inlineStr">
        <is>
          <t>INSTALAÇÕES ELÉTRICAS</t>
        </is>
      </c>
      <c r="D370" s="32" t="inlineStr">
        <is>
          <t>MÓDULOS</t>
        </is>
      </c>
      <c r="E370" s="32" t="inlineStr">
        <is>
          <t>Tomada 2P+T 10A Padrão NBR 14136</t>
        </is>
      </c>
      <c r="F370" s="33" t="n">
        <v>1</v>
      </c>
      <c r="G370" s="33" t="n">
        <v>1</v>
      </c>
      <c r="H370" s="33" t="n"/>
      <c r="I370" s="35">
        <f>(F370+H370*F370)*G370</f>
        <v/>
      </c>
      <c r="J370" s="33" t="inlineStr">
        <is>
          <t>pç</t>
        </is>
      </c>
      <c r="K370" s="36" t="n">
        <v>8</v>
      </c>
      <c r="L370" s="37">
        <f>I370*K370</f>
        <v/>
      </c>
    </row>
    <row r="371">
      <c r="A371" s="32" t="inlineStr">
        <is>
          <t>TORRE</t>
        </is>
      </c>
      <c r="B371" s="32" t="inlineStr">
        <is>
          <t>GARAGEM 05</t>
        </is>
      </c>
      <c r="C371" s="32" t="inlineStr">
        <is>
          <t>INSTALAÇÕES ELÉTRICAS</t>
        </is>
      </c>
      <c r="D371" s="32" t="inlineStr">
        <is>
          <t>MÓDULOS</t>
        </is>
      </c>
      <c r="E371" s="32" t="inlineStr">
        <is>
          <t>Tomada 2P+T 20A Padrão NBR 14136</t>
        </is>
      </c>
      <c r="F371" s="33" t="n">
        <v>6</v>
      </c>
      <c r="G371" s="33" t="n">
        <v>1</v>
      </c>
      <c r="H371" s="33" t="n"/>
      <c r="I371" s="35">
        <f>(F371+H371*F371)*G371</f>
        <v/>
      </c>
      <c r="J371" s="33" t="inlineStr">
        <is>
          <t>pç</t>
        </is>
      </c>
      <c r="K371" s="36" t="n">
        <v>14</v>
      </c>
      <c r="L371" s="37">
        <f>I371*K371</f>
        <v/>
      </c>
    </row>
    <row r="372">
      <c r="A372" s="32" t="inlineStr">
        <is>
          <t>TORRE</t>
        </is>
      </c>
      <c r="B372" s="32" t="inlineStr">
        <is>
          <t>GARAGEM 05</t>
        </is>
      </c>
      <c r="C372" s="32" t="inlineStr">
        <is>
          <t>INSTALAÇÕES ELÉTRICAS</t>
        </is>
      </c>
      <c r="D372" s="32" t="inlineStr">
        <is>
          <t>MÓDULOS</t>
        </is>
      </c>
      <c r="E372" s="32" t="inlineStr">
        <is>
          <t>Interruptor Simples 250V/10A Padrão NBRNM60669</t>
        </is>
      </c>
      <c r="F372" s="33" t="n">
        <v>1</v>
      </c>
      <c r="G372" s="33" t="n">
        <v>1</v>
      </c>
      <c r="H372" s="33" t="n"/>
      <c r="I372" s="35">
        <f>(F372+H372*F372)*G372</f>
        <v/>
      </c>
      <c r="J372" s="33" t="inlineStr">
        <is>
          <t>pç</t>
        </is>
      </c>
      <c r="K372" s="36" t="n">
        <v>7</v>
      </c>
      <c r="L372" s="37">
        <f>I372*K372</f>
        <v/>
      </c>
    </row>
    <row r="373">
      <c r="A373" s="32" t="inlineStr">
        <is>
          <t>TORRE</t>
        </is>
      </c>
      <c r="B373" s="32" t="inlineStr">
        <is>
          <t>GARAGEM 05</t>
        </is>
      </c>
      <c r="C373" s="32" t="inlineStr">
        <is>
          <t>INSTALAÇÕES ELÉTRICAS</t>
        </is>
      </c>
      <c r="D373" s="32" t="inlineStr">
        <is>
          <t>QUADROS DE DISTRIBUIÇÃO</t>
        </is>
      </c>
      <c r="E373" s="32" t="inlineStr">
        <is>
          <t>Quadro de dist. de embutir em PVC com cap. de 36 espaços DIN</t>
        </is>
      </c>
      <c r="F373" s="33" t="n">
        <v>1</v>
      </c>
      <c r="G373" s="33" t="n">
        <v>1</v>
      </c>
      <c r="H373" s="33" t="n"/>
      <c r="I373" s="35">
        <f>(F373+H373*F373)*G373</f>
        <v/>
      </c>
      <c r="J373" s="33" t="inlineStr">
        <is>
          <t>pç</t>
        </is>
      </c>
      <c r="K373" s="36" t="n">
        <v>192</v>
      </c>
      <c r="L373" s="37">
        <f>I373*K373</f>
        <v/>
      </c>
    </row>
    <row r="374">
      <c r="A374" s="32" t="inlineStr">
        <is>
          <t>TORRE</t>
        </is>
      </c>
      <c r="B374" s="32" t="inlineStr">
        <is>
          <t>GARAGEM 05</t>
        </is>
      </c>
      <c r="C374" s="32" t="inlineStr">
        <is>
          <t>INSTALAÇÕES ELÉTRICAS</t>
        </is>
      </c>
      <c r="D374" s="32" t="inlineStr">
        <is>
          <t>SENSORES</t>
        </is>
      </c>
      <c r="E374" s="32" t="inlineStr">
        <is>
          <t>Sensor de Presença</t>
        </is>
      </c>
      <c r="F374" s="33" t="n">
        <v>19</v>
      </c>
      <c r="G374" s="33" t="n">
        <v>1</v>
      </c>
      <c r="H374" s="33" t="n"/>
      <c r="I374" s="35">
        <f>(F374+H374*F374)*G374</f>
        <v/>
      </c>
      <c r="J374" s="33" t="inlineStr">
        <is>
          <t>pç</t>
        </is>
      </c>
      <c r="K374" s="36" t="n">
        <v>29</v>
      </c>
      <c r="L374" s="37">
        <f>I374*K374</f>
        <v/>
      </c>
    </row>
    <row r="375">
      <c r="A375" s="32" t="inlineStr">
        <is>
          <t>TORRE</t>
        </is>
      </c>
      <c r="B375" s="32" t="inlineStr">
        <is>
          <t>GARAGEM 05</t>
        </is>
      </c>
      <c r="C375" s="32" t="inlineStr">
        <is>
          <t>INSTALAÇÕES ELÉTRICAS</t>
        </is>
      </c>
      <c r="D375" s="32" t="inlineStr">
        <is>
          <t>CABO UNIPOLAR</t>
        </is>
      </c>
      <c r="E375" s="32" t="inlineStr">
        <is>
          <t>Isolação em PVC (70ºC) 1.5 mm² - Amarelo</t>
        </is>
      </c>
      <c r="F375" s="33" t="n">
        <v>159.7</v>
      </c>
      <c r="G375" s="33" t="n">
        <v>1</v>
      </c>
      <c r="H375" s="33" t="n"/>
      <c r="I375" s="35">
        <f>(F375+H375*F375)*G375</f>
        <v/>
      </c>
      <c r="J375" s="33" t="inlineStr">
        <is>
          <t>m</t>
        </is>
      </c>
      <c r="K375" s="36" t="n">
        <v>1.14</v>
      </c>
      <c r="L375" s="37">
        <f>I375*K375</f>
        <v/>
      </c>
    </row>
    <row r="376">
      <c r="A376" s="32" t="inlineStr">
        <is>
          <t>TORRE</t>
        </is>
      </c>
      <c r="B376" s="32" t="inlineStr">
        <is>
          <t>GARAGEM 05</t>
        </is>
      </c>
      <c r="C376" s="32" t="inlineStr">
        <is>
          <t>INSTALAÇÕES ELÉTRICAS</t>
        </is>
      </c>
      <c r="D376" s="32" t="inlineStr">
        <is>
          <t>CABO UNIPOLAR</t>
        </is>
      </c>
      <c r="E376" s="32" t="inlineStr">
        <is>
          <t>Isolação em PVC (70ºC) 1.5 mm² - Azul claro</t>
        </is>
      </c>
      <c r="F376" s="33" t="n">
        <v>279.1</v>
      </c>
      <c r="G376" s="33" t="n">
        <v>1</v>
      </c>
      <c r="H376" s="33" t="n"/>
      <c r="I376" s="35">
        <f>(F376+H376*F376)*G376</f>
        <v/>
      </c>
      <c r="J376" s="33" t="inlineStr">
        <is>
          <t>m</t>
        </is>
      </c>
      <c r="K376" s="36" t="n">
        <v>1.14</v>
      </c>
      <c r="L376" s="37">
        <f>I376*K376</f>
        <v/>
      </c>
    </row>
    <row r="377">
      <c r="A377" s="32" t="inlineStr">
        <is>
          <t>TORRE</t>
        </is>
      </c>
      <c r="B377" s="32" t="inlineStr">
        <is>
          <t>GARAGEM 05</t>
        </is>
      </c>
      <c r="C377" s="32" t="inlineStr">
        <is>
          <t>INSTALAÇÕES ELÉTRICAS</t>
        </is>
      </c>
      <c r="D377" s="32" t="inlineStr">
        <is>
          <t>CABO UNIPOLAR</t>
        </is>
      </c>
      <c r="E377" s="32" t="inlineStr">
        <is>
          <t>Isolação em PVC (70ºC) 1.5 mm² - Branco</t>
        </is>
      </c>
      <c r="F377" s="33" t="n">
        <v>96.2</v>
      </c>
      <c r="G377" s="33" t="n">
        <v>1</v>
      </c>
      <c r="H377" s="33" t="n"/>
      <c r="I377" s="35">
        <f>(F377+H377*F377)*G377</f>
        <v/>
      </c>
      <c r="J377" s="33" t="inlineStr">
        <is>
          <t>m</t>
        </is>
      </c>
      <c r="K377" s="36" t="n">
        <v>1.14</v>
      </c>
      <c r="L377" s="37">
        <f>I377*K377</f>
        <v/>
      </c>
    </row>
    <row r="378">
      <c r="A378" s="32" t="inlineStr">
        <is>
          <t>TORRE</t>
        </is>
      </c>
      <c r="B378" s="32" t="inlineStr">
        <is>
          <t>GARAGEM 05</t>
        </is>
      </c>
      <c r="C378" s="32" t="inlineStr">
        <is>
          <t>INSTALAÇÕES ELÉTRICAS</t>
        </is>
      </c>
      <c r="D378" s="32" t="inlineStr">
        <is>
          <t>CABO UNIPOLAR</t>
        </is>
      </c>
      <c r="E378" s="32" t="inlineStr">
        <is>
          <t>Isolação em PVC (70ºC) 1.5 mm² - Preto</t>
        </is>
      </c>
      <c r="F378" s="33" t="n">
        <v>136.9</v>
      </c>
      <c r="G378" s="33" t="n">
        <v>1</v>
      </c>
      <c r="H378" s="33" t="n"/>
      <c r="I378" s="35">
        <f>(F378+H378*F378)*G378</f>
        <v/>
      </c>
      <c r="J378" s="33" t="inlineStr">
        <is>
          <t>m</t>
        </is>
      </c>
      <c r="K378" s="36" t="n">
        <v>1.14</v>
      </c>
      <c r="L378" s="37">
        <f>I378*K378</f>
        <v/>
      </c>
    </row>
    <row r="379">
      <c r="A379" s="32" t="inlineStr">
        <is>
          <t>TORRE</t>
        </is>
      </c>
      <c r="B379" s="32" t="inlineStr">
        <is>
          <t>GARAGEM 05</t>
        </is>
      </c>
      <c r="C379" s="32" t="inlineStr">
        <is>
          <t>INSTALAÇÕES ELÉTRICAS</t>
        </is>
      </c>
      <c r="D379" s="32" t="inlineStr">
        <is>
          <t>CABO UNIPOLAR</t>
        </is>
      </c>
      <c r="E379" s="32" t="inlineStr">
        <is>
          <t>Isolação em PVC (70ºC) 1.5 mm² - Verde-amarelo</t>
        </is>
      </c>
      <c r="F379" s="33" t="n">
        <v>113.7</v>
      </c>
      <c r="G379" s="33" t="n">
        <v>1</v>
      </c>
      <c r="H379" s="33" t="n"/>
      <c r="I379" s="35">
        <f>(F379+H379*F379)*G379</f>
        <v/>
      </c>
      <c r="J379" s="33" t="inlineStr">
        <is>
          <t>m</t>
        </is>
      </c>
      <c r="K379" s="36" t="n">
        <v>1.14</v>
      </c>
      <c r="L379" s="37">
        <f>I379*K379</f>
        <v/>
      </c>
    </row>
    <row r="380">
      <c r="A380" s="32" t="inlineStr">
        <is>
          <t>TORRE</t>
        </is>
      </c>
      <c r="B380" s="32" t="inlineStr">
        <is>
          <t>GARAGEM 05</t>
        </is>
      </c>
      <c r="C380" s="32" t="inlineStr">
        <is>
          <t>INSTALAÇÕES ELÉTRICAS</t>
        </is>
      </c>
      <c r="D380" s="32" t="inlineStr">
        <is>
          <t>CABO UNIPOLAR</t>
        </is>
      </c>
      <c r="E380" s="32" t="inlineStr">
        <is>
          <t>Isolação em PVC (70ºC) 10 mm² - Azul claro</t>
        </is>
      </c>
      <c r="F380" s="33" t="n">
        <v>11.5</v>
      </c>
      <c r="G380" s="33" t="n">
        <v>1</v>
      </c>
      <c r="H380" s="33" t="n"/>
      <c r="I380" s="35">
        <f>(F380+H380*F380)*G380</f>
        <v/>
      </c>
      <c r="J380" s="33" t="inlineStr">
        <is>
          <t>m</t>
        </is>
      </c>
      <c r="K380" s="36" t="n">
        <v>9</v>
      </c>
      <c r="L380" s="37">
        <f>I380*K380</f>
        <v/>
      </c>
    </row>
    <row r="381">
      <c r="A381" s="32" t="inlineStr">
        <is>
          <t>TORRE</t>
        </is>
      </c>
      <c r="B381" s="32" t="inlineStr">
        <is>
          <t>GARAGEM 05</t>
        </is>
      </c>
      <c r="C381" s="32" t="inlineStr">
        <is>
          <t>INSTALAÇÕES ELÉTRICAS</t>
        </is>
      </c>
      <c r="D381" s="32" t="inlineStr">
        <is>
          <t>CABO UNIPOLAR</t>
        </is>
      </c>
      <c r="E381" s="32" t="inlineStr">
        <is>
          <t>Isolação em PVC (70ºC) 10 mm² - Branco</t>
        </is>
      </c>
      <c r="F381" s="33" t="n">
        <v>11.5</v>
      </c>
      <c r="G381" s="33" t="n">
        <v>1</v>
      </c>
      <c r="H381" s="33" t="n"/>
      <c r="I381" s="35">
        <f>(F381+H381*F381)*G381</f>
        <v/>
      </c>
      <c r="J381" s="33" t="inlineStr">
        <is>
          <t>m</t>
        </is>
      </c>
      <c r="K381" s="36" t="n">
        <v>9</v>
      </c>
      <c r="L381" s="37">
        <f>I381*K381</f>
        <v/>
      </c>
    </row>
    <row r="382">
      <c r="A382" s="32" t="inlineStr">
        <is>
          <t>TORRE</t>
        </is>
      </c>
      <c r="B382" s="32" t="inlineStr">
        <is>
          <t>GARAGEM 05</t>
        </is>
      </c>
      <c r="C382" s="32" t="inlineStr">
        <is>
          <t>INSTALAÇÕES ELÉTRICAS</t>
        </is>
      </c>
      <c r="D382" s="32" t="inlineStr">
        <is>
          <t>CABO UNIPOLAR</t>
        </is>
      </c>
      <c r="E382" s="32" t="inlineStr">
        <is>
          <t>Isolação em PVC (70ºC) 10 mm² - Preto</t>
        </is>
      </c>
      <c r="F382" s="33" t="n">
        <v>11.5</v>
      </c>
      <c r="G382" s="33" t="n">
        <v>1</v>
      </c>
      <c r="H382" s="33" t="n"/>
      <c r="I382" s="35">
        <f>(F382+H382*F382)*G382</f>
        <v/>
      </c>
      <c r="J382" s="33" t="inlineStr">
        <is>
          <t>m</t>
        </is>
      </c>
      <c r="K382" s="36" t="n">
        <v>9</v>
      </c>
      <c r="L382" s="37">
        <f>I382*K382</f>
        <v/>
      </c>
    </row>
    <row r="383">
      <c r="A383" s="32" t="inlineStr">
        <is>
          <t>TORRE</t>
        </is>
      </c>
      <c r="B383" s="32" t="inlineStr">
        <is>
          <t>GARAGEM 05</t>
        </is>
      </c>
      <c r="C383" s="32" t="inlineStr">
        <is>
          <t>INSTALAÇÕES ELÉTRICAS</t>
        </is>
      </c>
      <c r="D383" s="32" t="inlineStr">
        <is>
          <t>CABO UNIPOLAR</t>
        </is>
      </c>
      <c r="E383" s="32" t="inlineStr">
        <is>
          <t>Isolação em PVC (70ºC) 10 mm² - Verde-amarelo</t>
        </is>
      </c>
      <c r="F383" s="33" t="n">
        <v>11.5</v>
      </c>
      <c r="G383" s="33" t="n">
        <v>1</v>
      </c>
      <c r="H383" s="33" t="n"/>
      <c r="I383" s="35">
        <f>(F383+H383*F383)*G383</f>
        <v/>
      </c>
      <c r="J383" s="33" t="inlineStr">
        <is>
          <t>m</t>
        </is>
      </c>
      <c r="K383" s="36" t="n">
        <v>9</v>
      </c>
      <c r="L383" s="37">
        <f>I383*K383</f>
        <v/>
      </c>
    </row>
    <row r="384">
      <c r="A384" s="32" t="inlineStr">
        <is>
          <t>TORRE</t>
        </is>
      </c>
      <c r="B384" s="32" t="inlineStr">
        <is>
          <t>GARAGEM 05</t>
        </is>
      </c>
      <c r="C384" s="32" t="inlineStr">
        <is>
          <t>INSTALAÇÕES ELÉTRICAS</t>
        </is>
      </c>
      <c r="D384" s="32" t="inlineStr">
        <is>
          <t>CABO UNIPOLAR</t>
        </is>
      </c>
      <c r="E384" s="32" t="inlineStr">
        <is>
          <t>Isolação em PVC (70ºC) 10 mm² - Vermelho</t>
        </is>
      </c>
      <c r="F384" s="33" t="n">
        <v>11.5</v>
      </c>
      <c r="G384" s="33" t="n">
        <v>1</v>
      </c>
      <c r="H384" s="33" t="n"/>
      <c r="I384" s="35">
        <f>(F384+H384*F384)*G384</f>
        <v/>
      </c>
      <c r="J384" s="33" t="inlineStr">
        <is>
          <t>m</t>
        </is>
      </c>
      <c r="K384" s="36" t="n">
        <v>9</v>
      </c>
      <c r="L384" s="37">
        <f>I384*K384</f>
        <v/>
      </c>
    </row>
    <row r="385">
      <c r="A385" s="32" t="inlineStr">
        <is>
          <t>TORRE</t>
        </is>
      </c>
      <c r="B385" s="32" t="inlineStr">
        <is>
          <t>GARAGEM 05</t>
        </is>
      </c>
      <c r="C385" s="32" t="inlineStr">
        <is>
          <t>INSTALAÇÕES ELÉTRICAS</t>
        </is>
      </c>
      <c r="D385" s="32" t="inlineStr">
        <is>
          <t>CABO UNIPOLAR</t>
        </is>
      </c>
      <c r="E385" s="32" t="inlineStr">
        <is>
          <t>Isolação em PVC (70ºC) 2.5 mm² - Azul claro</t>
        </is>
      </c>
      <c r="F385" s="33" t="n">
        <v>97.09999999999999</v>
      </c>
      <c r="G385" s="33" t="n">
        <v>1</v>
      </c>
      <c r="H385" s="33" t="n"/>
      <c r="I385" s="35">
        <f>(F385+H385*F385)*G385</f>
        <v/>
      </c>
      <c r="J385" s="33" t="inlineStr">
        <is>
          <t>m</t>
        </is>
      </c>
      <c r="K385" s="36" t="n">
        <v>2.12</v>
      </c>
      <c r="L385" s="37">
        <f>I385*K385</f>
        <v/>
      </c>
    </row>
    <row r="386">
      <c r="A386" s="32" t="inlineStr">
        <is>
          <t>TORRE</t>
        </is>
      </c>
      <c r="B386" s="32" t="inlineStr">
        <is>
          <t>GARAGEM 05</t>
        </is>
      </c>
      <c r="C386" s="32" t="inlineStr">
        <is>
          <t>INSTALAÇÕES ELÉTRICAS</t>
        </is>
      </c>
      <c r="D386" s="32" t="inlineStr">
        <is>
          <t>CABO UNIPOLAR</t>
        </is>
      </c>
      <c r="E386" s="32" t="inlineStr">
        <is>
          <t>Isolação em PVC (70ºC) 2.5 mm² - Branco</t>
        </is>
      </c>
      <c r="F386" s="33" t="n">
        <v>97.09999999999999</v>
      </c>
      <c r="G386" s="33" t="n">
        <v>1</v>
      </c>
      <c r="H386" s="33" t="n"/>
      <c r="I386" s="35">
        <f>(F386+H386*F386)*G386</f>
        <v/>
      </c>
      <c r="J386" s="33" t="inlineStr">
        <is>
          <t>m</t>
        </is>
      </c>
      <c r="K386" s="36" t="n">
        <v>2.12</v>
      </c>
      <c r="L386" s="37">
        <f>I386*K386</f>
        <v/>
      </c>
    </row>
    <row r="387">
      <c r="A387" s="32" t="inlineStr">
        <is>
          <t>TORRE</t>
        </is>
      </c>
      <c r="B387" s="32" t="inlineStr">
        <is>
          <t>GARAGEM 05</t>
        </is>
      </c>
      <c r="C387" s="32" t="inlineStr">
        <is>
          <t>INSTALAÇÕES ELÉTRICAS</t>
        </is>
      </c>
      <c r="D387" s="32" t="inlineStr">
        <is>
          <t>CABO UNIPOLAR</t>
        </is>
      </c>
      <c r="E387" s="32" t="inlineStr">
        <is>
          <t>Isolação em PVC (70ºC) 2.5 mm² - Verde-amarelo</t>
        </is>
      </c>
      <c r="F387" s="33" t="n">
        <v>37.7</v>
      </c>
      <c r="G387" s="33" t="n">
        <v>1</v>
      </c>
      <c r="H387" s="33" t="n"/>
      <c r="I387" s="35">
        <f>(F387+H387*F387)*G387</f>
        <v/>
      </c>
      <c r="J387" s="33" t="inlineStr">
        <is>
          <t>m</t>
        </is>
      </c>
      <c r="K387" s="36" t="n">
        <v>2.12</v>
      </c>
      <c r="L387" s="37">
        <f>I387*K387</f>
        <v/>
      </c>
    </row>
    <row r="388">
      <c r="A388" s="32" t="inlineStr">
        <is>
          <t>TORRE</t>
        </is>
      </c>
      <c r="B388" s="32" t="inlineStr">
        <is>
          <t>GARAGEM 05</t>
        </is>
      </c>
      <c r="C388" s="32" t="inlineStr">
        <is>
          <t>INSTALAÇÕES ELÉTRICAS</t>
        </is>
      </c>
      <c r="D388" s="32" t="inlineStr">
        <is>
          <t>CABO UNIPOLAR</t>
        </is>
      </c>
      <c r="E388" s="32" t="inlineStr">
        <is>
          <t>Isolação em PVC (70ºC) 4 mm² - Azul claro</t>
        </is>
      </c>
      <c r="F388" s="33" t="n">
        <v>107.7</v>
      </c>
      <c r="G388" s="33" t="n">
        <v>1</v>
      </c>
      <c r="H388" s="33" t="n"/>
      <c r="I388" s="35">
        <f>(F388+H388*F388)*G388</f>
        <v/>
      </c>
      <c r="J388" s="33" t="inlineStr">
        <is>
          <t>m</t>
        </is>
      </c>
      <c r="K388" s="36" t="n">
        <v>3.51</v>
      </c>
      <c r="L388" s="37">
        <f>I388*K388</f>
        <v/>
      </c>
    </row>
    <row r="389">
      <c r="A389" s="32" t="inlineStr">
        <is>
          <t>TORRE</t>
        </is>
      </c>
      <c r="B389" s="32" t="inlineStr">
        <is>
          <t>GARAGEM 05</t>
        </is>
      </c>
      <c r="C389" s="32" t="inlineStr">
        <is>
          <t>INSTALAÇÕES ELÉTRICAS</t>
        </is>
      </c>
      <c r="D389" s="32" t="inlineStr">
        <is>
          <t>CABO UNIPOLAR</t>
        </is>
      </c>
      <c r="E389" s="32" t="inlineStr">
        <is>
          <t>Isolação em PVC (70ºC) 4 mm² - Verde-amarelo</t>
        </is>
      </c>
      <c r="F389" s="33" t="n">
        <v>107.7</v>
      </c>
      <c r="G389" s="33" t="n">
        <v>1</v>
      </c>
      <c r="H389" s="33" t="n"/>
      <c r="I389" s="35">
        <f>(F389+H389*F389)*G389</f>
        <v/>
      </c>
      <c r="J389" s="33" t="inlineStr">
        <is>
          <t>m</t>
        </is>
      </c>
      <c r="K389" s="36" t="n">
        <v>3.51</v>
      </c>
      <c r="L389" s="37">
        <f>I389*K389</f>
        <v/>
      </c>
    </row>
    <row r="390" ht="15" customHeight="1">
      <c r="A390" s="32" t="inlineStr">
        <is>
          <t>TORRE</t>
        </is>
      </c>
      <c r="B390" s="32" t="inlineStr">
        <is>
          <t>GARAGEM 05</t>
        </is>
      </c>
      <c r="C390" s="32" t="inlineStr">
        <is>
          <t>INSTALAÇÕES ELÉTRICAS</t>
        </is>
      </c>
      <c r="D390" s="32" t="inlineStr">
        <is>
          <t>CABO UNIPOLAR</t>
        </is>
      </c>
      <c r="E390" s="32" t="inlineStr">
        <is>
          <t>Isolação em PVC (70ºC) 4 mm² - Vermelho</t>
        </is>
      </c>
      <c r="F390" s="33" t="n">
        <v>107.7</v>
      </c>
      <c r="G390" s="33" t="n">
        <v>1</v>
      </c>
      <c r="H390" s="33" t="n"/>
      <c r="I390" s="35">
        <f>(F390+H390*F390)*G390</f>
        <v/>
      </c>
      <c r="J390" s="33" t="inlineStr">
        <is>
          <t>m</t>
        </is>
      </c>
      <c r="K390" s="36" t="n">
        <v>3.51</v>
      </c>
      <c r="L390" s="37">
        <f>I390*K390</f>
        <v/>
      </c>
    </row>
    <row r="391" ht="15" customHeight="1">
      <c r="A391" s="40" t="inlineStr">
        <is>
          <t>TORRE</t>
        </is>
      </c>
      <c r="B391" s="40" t="inlineStr">
        <is>
          <t>LAZER</t>
        </is>
      </c>
      <c r="C391" s="41" t="n"/>
      <c r="D391" s="42" t="n"/>
      <c r="E391" s="42" t="n"/>
      <c r="F391" s="43" t="n"/>
      <c r="G391" s="43" t="n"/>
      <c r="H391" s="43" t="n"/>
      <c r="I391" s="44" t="n"/>
      <c r="J391" s="43" t="n"/>
      <c r="K391" s="45" t="n"/>
      <c r="L391" s="46">
        <f>SUMIFS($L$7:$L$513,$B$7:$B$513,B391,$E$7:$E$513,"&lt;&gt;"&amp;"")</f>
        <v/>
      </c>
    </row>
    <row r="392">
      <c r="A392" s="32" t="inlineStr">
        <is>
          <t>TORRE</t>
        </is>
      </c>
      <c r="B392" s="32" t="inlineStr">
        <is>
          <t>LAZER</t>
        </is>
      </c>
      <c r="C392" s="32" t="inlineStr">
        <is>
          <t>INSTALAÇÕES ELÉTRICAS</t>
        </is>
      </c>
      <c r="D392" s="32" t="inlineStr">
        <is>
          <t>CAIXA OCTOGONAL</t>
        </is>
      </c>
      <c r="E392" s="32" t="inlineStr">
        <is>
          <t>Caixa Octogonal Padrão NBR IEC 60670</t>
        </is>
      </c>
      <c r="F392" s="33" t="n">
        <v>51</v>
      </c>
      <c r="G392" s="33" t="n">
        <v>1</v>
      </c>
      <c r="H392" s="33" t="n">
        <v>0</v>
      </c>
      <c r="I392" s="35">
        <f>(F392+H392*F392)*G392</f>
        <v/>
      </c>
      <c r="J392" s="33" t="inlineStr">
        <is>
          <t>pç</t>
        </is>
      </c>
      <c r="K392" s="36" t="n">
        <v>3.55</v>
      </c>
      <c r="L392" s="37">
        <f>I392*K392</f>
        <v/>
      </c>
    </row>
    <row r="393">
      <c r="A393" s="32" t="inlineStr">
        <is>
          <t>TORRE</t>
        </is>
      </c>
      <c r="B393" s="32" t="inlineStr">
        <is>
          <t>LAZER</t>
        </is>
      </c>
      <c r="C393" s="32" t="inlineStr">
        <is>
          <t>INSTALAÇÕES ELÉTRICAS</t>
        </is>
      </c>
      <c r="D393" s="32" t="inlineStr">
        <is>
          <t>CAIXA OCTOGONAL</t>
        </is>
      </c>
      <c r="E393" s="32" t="inlineStr">
        <is>
          <t>Placa cega para caixa octogonal Padrão NBR IEC 60670</t>
        </is>
      </c>
      <c r="F393" s="33" t="n">
        <v>11</v>
      </c>
      <c r="G393" s="33" t="n">
        <v>1</v>
      </c>
      <c r="H393" s="33" t="n">
        <v>0</v>
      </c>
      <c r="I393" s="35">
        <f>(F393+H393*F393)*G393</f>
        <v/>
      </c>
      <c r="J393" s="33" t="inlineStr">
        <is>
          <t>pç</t>
        </is>
      </c>
      <c r="K393" s="36" t="n">
        <v>14.9</v>
      </c>
      <c r="L393" s="37">
        <f>I393*K393</f>
        <v/>
      </c>
    </row>
    <row r="394">
      <c r="A394" s="32" t="inlineStr">
        <is>
          <t>TORRE</t>
        </is>
      </c>
      <c r="B394" s="32" t="inlineStr">
        <is>
          <t>LAZER</t>
        </is>
      </c>
      <c r="C394" s="32" t="inlineStr">
        <is>
          <t>INSTALAÇÕES ELÉTRICAS</t>
        </is>
      </c>
      <c r="D394" s="32" t="inlineStr">
        <is>
          <t>CAIXAS 4x2" E 4x4"</t>
        </is>
      </c>
      <c r="E394" s="32" t="inlineStr">
        <is>
          <t>Caixa 4x2" de Embutir em PVC Padrão NBR IEC 60670</t>
        </is>
      </c>
      <c r="F394" s="33" t="n">
        <v>109</v>
      </c>
      <c r="G394" s="33" t="n">
        <v>1</v>
      </c>
      <c r="H394" s="33" t="n"/>
      <c r="I394" s="35">
        <f>(F394+H394*F394)*G394</f>
        <v/>
      </c>
      <c r="J394" s="33" t="inlineStr">
        <is>
          <t>pç</t>
        </is>
      </c>
      <c r="K394" s="36" t="n">
        <v>2.2</v>
      </c>
      <c r="L394" s="37">
        <f>I394*K394</f>
        <v/>
      </c>
    </row>
    <row r="395">
      <c r="A395" s="32" t="inlineStr">
        <is>
          <t>TORRE</t>
        </is>
      </c>
      <c r="B395" s="32" t="inlineStr">
        <is>
          <t>LAZER</t>
        </is>
      </c>
      <c r="C395" s="32" t="inlineStr">
        <is>
          <t>INSTALAÇÕES ELÉTRICAS</t>
        </is>
      </c>
      <c r="D395" s="32" t="inlineStr">
        <is>
          <t>CAIXAS 4x2" E 4x4"</t>
        </is>
      </c>
      <c r="E395" s="32" t="inlineStr">
        <is>
          <t>Caixa 4x4" de Embutir em PVC Padrão NBR IEC 60670</t>
        </is>
      </c>
      <c r="F395" s="33" t="n">
        <v>5</v>
      </c>
      <c r="G395" s="33" t="n">
        <v>1</v>
      </c>
      <c r="H395" s="33" t="n"/>
      <c r="I395" s="35">
        <f>(F395+H395*F395)*G395</f>
        <v/>
      </c>
      <c r="J395" s="33" t="inlineStr">
        <is>
          <t>pç</t>
        </is>
      </c>
      <c r="K395" s="36" t="n">
        <v>2.67</v>
      </c>
      <c r="L395" s="37">
        <f>I395*K395</f>
        <v/>
      </c>
    </row>
    <row r="396">
      <c r="A396" s="32" t="inlineStr">
        <is>
          <t>TORRE</t>
        </is>
      </c>
      <c r="B396" s="32" t="inlineStr">
        <is>
          <t>LAZER</t>
        </is>
      </c>
      <c r="C396" s="32" t="inlineStr">
        <is>
          <t>INSTALAÇÕES ELÉTRICAS</t>
        </is>
      </c>
      <c r="D396" s="32" t="inlineStr">
        <is>
          <t>CAIXAS 4x2" E 4x4"</t>
        </is>
      </c>
      <c r="E396" s="32" t="inlineStr">
        <is>
          <t>Placa 4x2" cega Padrão NBR IEC 60670</t>
        </is>
      </c>
      <c r="F396" s="33" t="n">
        <v>35</v>
      </c>
      <c r="G396" s="33" t="n">
        <v>1</v>
      </c>
      <c r="H396" s="33" t="n"/>
      <c r="I396" s="35">
        <f>(F396+H396*F396)*G396</f>
        <v/>
      </c>
      <c r="J396" s="33" t="inlineStr">
        <is>
          <t>pç</t>
        </is>
      </c>
      <c r="K396" s="36" t="n">
        <v>8.9</v>
      </c>
      <c r="L396" s="37">
        <f>I396*K396</f>
        <v/>
      </c>
    </row>
    <row r="397">
      <c r="A397" s="32" t="inlineStr">
        <is>
          <t>TORRE</t>
        </is>
      </c>
      <c r="B397" s="32" t="inlineStr">
        <is>
          <t>LAZER</t>
        </is>
      </c>
      <c r="C397" s="32" t="inlineStr">
        <is>
          <t>INSTALAÇÕES ELÉTRICAS</t>
        </is>
      </c>
      <c r="D397" s="32" t="inlineStr">
        <is>
          <t>CAIXAS 4x2" E 4x4"</t>
        </is>
      </c>
      <c r="E397" s="32" t="inlineStr">
        <is>
          <t>Placa 4x2" com furo para saída de cabos Padrão NBR IEC 60670</t>
        </is>
      </c>
      <c r="F397" s="33" t="n">
        <v>1</v>
      </c>
      <c r="G397" s="33" t="n">
        <v>1</v>
      </c>
      <c r="H397" s="33" t="n"/>
      <c r="I397" s="35">
        <f>(F397+H397*F397)*G397</f>
        <v/>
      </c>
      <c r="J397" s="33" t="inlineStr">
        <is>
          <t>pç</t>
        </is>
      </c>
      <c r="K397" s="36" t="n">
        <v>8.9</v>
      </c>
      <c r="L397" s="37">
        <f>I397*K397</f>
        <v/>
      </c>
    </row>
    <row r="398">
      <c r="A398" s="32" t="inlineStr">
        <is>
          <t>TORRE</t>
        </is>
      </c>
      <c r="B398" s="32" t="inlineStr">
        <is>
          <t>LAZER</t>
        </is>
      </c>
      <c r="C398" s="32" t="inlineStr">
        <is>
          <t>INSTALAÇÕES ELÉTRICAS</t>
        </is>
      </c>
      <c r="D398" s="32" t="inlineStr">
        <is>
          <t>CAIXAS 4x2" E 4x4"</t>
        </is>
      </c>
      <c r="E398" s="32" t="inlineStr">
        <is>
          <t>Placa 4x2" para 1 função Padrão NBR IEC 60670</t>
        </is>
      </c>
      <c r="F398" s="33" t="n">
        <v>54</v>
      </c>
      <c r="G398" s="33" t="n">
        <v>1</v>
      </c>
      <c r="H398" s="33" t="n"/>
      <c r="I398" s="35">
        <f>(F398+H398*F398)*G398</f>
        <v/>
      </c>
      <c r="J398" s="33" t="inlineStr">
        <is>
          <t>pç</t>
        </is>
      </c>
      <c r="K398" s="36" t="n">
        <v>8.9</v>
      </c>
      <c r="L398" s="37">
        <f>I398*K398</f>
        <v/>
      </c>
    </row>
    <row r="399">
      <c r="A399" s="32" t="inlineStr">
        <is>
          <t>TORRE</t>
        </is>
      </c>
      <c r="B399" s="32" t="inlineStr">
        <is>
          <t>LAZER</t>
        </is>
      </c>
      <c r="C399" s="32" t="inlineStr">
        <is>
          <t>INSTALAÇÕES ELÉTRICAS</t>
        </is>
      </c>
      <c r="D399" s="32" t="inlineStr">
        <is>
          <t>CAIXAS 4x2" E 4x4"</t>
        </is>
      </c>
      <c r="E399" s="32" t="inlineStr">
        <is>
          <t>Placa 4x2" para 2 funções Padrão NBR IEC 60670</t>
        </is>
      </c>
      <c r="F399" s="33" t="n">
        <v>15</v>
      </c>
      <c r="G399" s="33" t="n">
        <v>1</v>
      </c>
      <c r="H399" s="33" t="n"/>
      <c r="I399" s="35">
        <f>(F399+H399*F399)*G399</f>
        <v/>
      </c>
      <c r="J399" s="33" t="inlineStr">
        <is>
          <t>pç</t>
        </is>
      </c>
      <c r="K399" s="36" t="n">
        <v>11</v>
      </c>
      <c r="L399" s="37">
        <f>I399*K399</f>
        <v/>
      </c>
    </row>
    <row r="400">
      <c r="A400" s="32" t="inlineStr">
        <is>
          <t>TORRE</t>
        </is>
      </c>
      <c r="B400" s="32" t="inlineStr">
        <is>
          <t>LAZER</t>
        </is>
      </c>
      <c r="C400" s="32" t="inlineStr">
        <is>
          <t>INSTALAÇÕES ELÉTRICAS</t>
        </is>
      </c>
      <c r="D400" s="32" t="inlineStr">
        <is>
          <t>CAIXAS 4x2" E 4x4"</t>
        </is>
      </c>
      <c r="E400" s="32" t="inlineStr">
        <is>
          <t>Placa 4x2" para 3 funções Padrão NBR IEC 60670</t>
        </is>
      </c>
      <c r="F400" s="33" t="n">
        <v>4</v>
      </c>
      <c r="G400" s="33" t="n">
        <v>1</v>
      </c>
      <c r="H400" s="33" t="n"/>
      <c r="I400" s="35">
        <f>(F400+H400*F400)*G400</f>
        <v/>
      </c>
      <c r="J400" s="33" t="inlineStr">
        <is>
          <t>pç</t>
        </is>
      </c>
      <c r="K400" s="36" t="n">
        <v>14.5</v>
      </c>
      <c r="L400" s="37">
        <f>I400*K400</f>
        <v/>
      </c>
    </row>
    <row r="401">
      <c r="A401" s="32" t="inlineStr">
        <is>
          <t>TORRE</t>
        </is>
      </c>
      <c r="B401" s="32" t="inlineStr">
        <is>
          <t>LAZER</t>
        </is>
      </c>
      <c r="C401" s="32" t="inlineStr">
        <is>
          <t>INSTALAÇÕES ELÉTRICAS</t>
        </is>
      </c>
      <c r="D401" s="32" t="inlineStr">
        <is>
          <t>CAIXAS 4x2" E 4x4"</t>
        </is>
      </c>
      <c r="E401" s="32" t="inlineStr">
        <is>
          <t>Placa 4x4" cega Padrão NBR IEC 60670</t>
        </is>
      </c>
      <c r="F401" s="33" t="n">
        <v>5</v>
      </c>
      <c r="G401" s="33" t="n">
        <v>1</v>
      </c>
      <c r="H401" s="33" t="n"/>
      <c r="I401" s="35">
        <f>(F401+H401*F401)*G401</f>
        <v/>
      </c>
      <c r="J401" s="33" t="inlineStr">
        <is>
          <t>pç</t>
        </is>
      </c>
      <c r="K401" s="36" t="n">
        <v>16.5</v>
      </c>
      <c r="L401" s="37">
        <f>I401*K401</f>
        <v/>
      </c>
    </row>
    <row r="402">
      <c r="A402" s="32" t="inlineStr">
        <is>
          <t>TORRE</t>
        </is>
      </c>
      <c r="B402" s="32" t="inlineStr">
        <is>
          <t>LAZER</t>
        </is>
      </c>
      <c r="C402" s="32" t="inlineStr">
        <is>
          <t>INSTALAÇÕES ELÉTRICAS</t>
        </is>
      </c>
      <c r="D402" s="32" t="inlineStr">
        <is>
          <t>CAIXAS 4x2" E 4x4"</t>
        </is>
      </c>
      <c r="E402" s="32" t="inlineStr">
        <is>
          <t>Suporte p/ caixa 4x2" Padrão NBR IEC 60670</t>
        </is>
      </c>
      <c r="F402" s="33" t="n">
        <v>109</v>
      </c>
      <c r="G402" s="33" t="n">
        <v>1</v>
      </c>
      <c r="H402" s="33" t="n"/>
      <c r="I402" s="35">
        <f>(F402+H402*F402)*G402</f>
        <v/>
      </c>
      <c r="J402" s="33" t="inlineStr">
        <is>
          <t>pç</t>
        </is>
      </c>
      <c r="K402" s="36" t="n">
        <v>1.85</v>
      </c>
      <c r="L402" s="37">
        <f>I402*K402</f>
        <v/>
      </c>
    </row>
    <row r="403">
      <c r="A403" s="32" t="inlineStr">
        <is>
          <t>TORRE</t>
        </is>
      </c>
      <c r="B403" s="32" t="inlineStr">
        <is>
          <t>LAZER</t>
        </is>
      </c>
      <c r="C403" s="32" t="inlineStr">
        <is>
          <t>INSTALAÇÕES ELÉTRICAS</t>
        </is>
      </c>
      <c r="D403" s="32" t="inlineStr">
        <is>
          <t>CAIXAS 4x2" E 4x4"</t>
        </is>
      </c>
      <c r="E403" s="32" t="inlineStr">
        <is>
          <t>Suporte p/ caixa 4x4" Padrão NBR IEC 60670</t>
        </is>
      </c>
      <c r="F403" s="33" t="n">
        <v>5</v>
      </c>
      <c r="G403" s="33" t="n">
        <v>1</v>
      </c>
      <c r="H403" s="33" t="n"/>
      <c r="I403" s="35">
        <f>(F403+H403*F403)*G403</f>
        <v/>
      </c>
      <c r="J403" s="33" t="inlineStr">
        <is>
          <t>pç</t>
        </is>
      </c>
      <c r="K403" s="36" t="n">
        <v>2.23</v>
      </c>
      <c r="L403" s="37">
        <f>I403*K403</f>
        <v/>
      </c>
    </row>
    <row r="404">
      <c r="A404" s="32" t="inlineStr">
        <is>
          <t>TORRE</t>
        </is>
      </c>
      <c r="B404" s="32" t="inlineStr">
        <is>
          <t>LAZER</t>
        </is>
      </c>
      <c r="C404" s="32" t="inlineStr">
        <is>
          <t>INSTALAÇÕES ELÉTRICAS</t>
        </is>
      </c>
      <c r="D404" s="32" t="inlineStr">
        <is>
          <t>DISPOSITIVOS DE PROTEÇÃO</t>
        </is>
      </c>
      <c r="E404" s="32" t="inlineStr">
        <is>
          <t>Disjuntores Monopolares DIN 10 A - 3 kA - Curva C - NBR NM 60898</t>
        </is>
      </c>
      <c r="F404" s="33" t="n">
        <v>4</v>
      </c>
      <c r="G404" s="33" t="n">
        <v>1</v>
      </c>
      <c r="H404" s="33" t="n"/>
      <c r="I404" s="35">
        <f>(F404+H404*F404)*G404</f>
        <v/>
      </c>
      <c r="J404" s="33" t="inlineStr">
        <is>
          <t>pç</t>
        </is>
      </c>
      <c r="K404" s="36" t="n">
        <v>12.16</v>
      </c>
      <c r="L404" s="37">
        <f>I404*K404</f>
        <v/>
      </c>
    </row>
    <row r="405">
      <c r="A405" s="32" t="inlineStr">
        <is>
          <t>TORRE</t>
        </is>
      </c>
      <c r="B405" s="32" t="inlineStr">
        <is>
          <t>LAZER</t>
        </is>
      </c>
      <c r="C405" s="32" t="inlineStr">
        <is>
          <t>INSTALAÇÕES ELÉTRICAS</t>
        </is>
      </c>
      <c r="D405" s="32" t="inlineStr">
        <is>
          <t>DISPOSITIVOS DE PROTEÇÃO</t>
        </is>
      </c>
      <c r="E405" s="32" t="inlineStr">
        <is>
          <t>Disjuntores Monopolares DIN 16 A - 3 kA - Curva C - NBR NM 60898</t>
        </is>
      </c>
      <c r="F405" s="33" t="n">
        <v>12</v>
      </c>
      <c r="G405" s="33" t="n">
        <v>1</v>
      </c>
      <c r="H405" s="33" t="n"/>
      <c r="I405" s="35">
        <f>(F405+H405*F405)*G405</f>
        <v/>
      </c>
      <c r="J405" s="33" t="inlineStr">
        <is>
          <t>pç</t>
        </is>
      </c>
      <c r="K405" s="36" t="n">
        <v>13.05</v>
      </c>
      <c r="L405" s="37">
        <f>I405*K405</f>
        <v/>
      </c>
    </row>
    <row r="406">
      <c r="A406" s="32" t="inlineStr">
        <is>
          <t>TORRE</t>
        </is>
      </c>
      <c r="B406" s="32" t="inlineStr">
        <is>
          <t>LAZER</t>
        </is>
      </c>
      <c r="C406" s="32" t="inlineStr">
        <is>
          <t>INSTALAÇÕES ELÉTRICAS</t>
        </is>
      </c>
      <c r="D406" s="32" t="inlineStr">
        <is>
          <t>DISPOSITIVOS DE PROTEÇÃO</t>
        </is>
      </c>
      <c r="E406" s="32" t="inlineStr">
        <is>
          <t>Disjuntores Monopolares DIN 20 A - 3 kA - Curva C - NBR NM 60898</t>
        </is>
      </c>
      <c r="F406" s="33" t="n">
        <v>17</v>
      </c>
      <c r="G406" s="33" t="n">
        <v>1</v>
      </c>
      <c r="H406" s="33" t="n"/>
      <c r="I406" s="35">
        <f>(F406+H406*F406)*G406</f>
        <v/>
      </c>
      <c r="J406" s="33" t="inlineStr">
        <is>
          <t>pç</t>
        </is>
      </c>
      <c r="K406" s="36" t="n">
        <v>14</v>
      </c>
      <c r="L406" s="37">
        <f>I406*K406</f>
        <v/>
      </c>
    </row>
    <row r="407">
      <c r="A407" s="32" t="inlineStr">
        <is>
          <t>TORRE</t>
        </is>
      </c>
      <c r="B407" s="32" t="inlineStr">
        <is>
          <t>LAZER</t>
        </is>
      </c>
      <c r="C407" s="32" t="inlineStr">
        <is>
          <t>INSTALAÇÕES ELÉTRICAS</t>
        </is>
      </c>
      <c r="D407" s="32" t="inlineStr">
        <is>
          <t>DISPOSITIVOS DE PROTEÇÃO</t>
        </is>
      </c>
      <c r="E407" s="32" t="inlineStr">
        <is>
          <t>Disjuntores Monopolares DIN 32 A - 3 kA - Curva C - NBR NM 60898</t>
        </is>
      </c>
      <c r="F407" s="33" t="n">
        <v>3</v>
      </c>
      <c r="G407" s="33" t="n">
        <v>1</v>
      </c>
      <c r="H407" s="33" t="n"/>
      <c r="I407" s="35">
        <f>(F407+H407*F407)*G407</f>
        <v/>
      </c>
      <c r="J407" s="33" t="inlineStr">
        <is>
          <t>pç</t>
        </is>
      </c>
      <c r="K407" s="36" t="n">
        <v>21</v>
      </c>
      <c r="L407" s="37">
        <f>I407*K407</f>
        <v/>
      </c>
    </row>
    <row r="408">
      <c r="A408" s="32" t="inlineStr">
        <is>
          <t>TORRE</t>
        </is>
      </c>
      <c r="B408" s="32" t="inlineStr">
        <is>
          <t>LAZER</t>
        </is>
      </c>
      <c r="C408" s="32" t="inlineStr">
        <is>
          <t>INSTALAÇÕES ELÉTRICAS</t>
        </is>
      </c>
      <c r="D408" s="32" t="inlineStr">
        <is>
          <t>DISPOSITIVOS DE PROTEÇÃO</t>
        </is>
      </c>
      <c r="E408" s="32" t="inlineStr">
        <is>
          <t>Disjuntores Tripolares DIN 16 A - 3kA - Curva C - NBR 60947-2</t>
        </is>
      </c>
      <c r="F408" s="33" t="n">
        <v>1</v>
      </c>
      <c r="G408" s="33" t="n">
        <v>1</v>
      </c>
      <c r="H408" s="33" t="n"/>
      <c r="I408" s="35">
        <f>(F408+H408*F408)*G408</f>
        <v/>
      </c>
      <c r="J408" s="33" t="inlineStr">
        <is>
          <t>pç</t>
        </is>
      </c>
      <c r="K408" s="36" t="n">
        <v>31</v>
      </c>
      <c r="L408" s="37">
        <f>I408*K408</f>
        <v/>
      </c>
    </row>
    <row r="409">
      <c r="A409" s="32" t="inlineStr">
        <is>
          <t>TORRE</t>
        </is>
      </c>
      <c r="B409" s="32" t="inlineStr">
        <is>
          <t>LAZER</t>
        </is>
      </c>
      <c r="C409" s="32" t="inlineStr">
        <is>
          <t>INSTALAÇÕES ELÉTRICAS</t>
        </is>
      </c>
      <c r="D409" s="32" t="inlineStr">
        <is>
          <t>DISPOSITIVOS DE PROTEÇÃO</t>
        </is>
      </c>
      <c r="E409" s="32" t="inlineStr">
        <is>
          <t>Disjuntores Tripolares DIN 80 A - 10 kA - Curva C - NBR 60947-2</t>
        </is>
      </c>
      <c r="F409" s="33" t="n">
        <v>1</v>
      </c>
      <c r="G409" s="33" t="n">
        <v>1</v>
      </c>
      <c r="H409" s="33" t="n"/>
      <c r="I409" s="35">
        <f>(F409+H409*F409)*G409</f>
        <v/>
      </c>
      <c r="J409" s="33" t="inlineStr">
        <is>
          <t>pç</t>
        </is>
      </c>
      <c r="K409" s="36" t="n">
        <v>68.90000000000001</v>
      </c>
      <c r="L409" s="37">
        <f>I409*K409</f>
        <v/>
      </c>
    </row>
    <row r="410">
      <c r="A410" s="32" t="inlineStr">
        <is>
          <t>TORRE</t>
        </is>
      </c>
      <c r="B410" s="32" t="inlineStr">
        <is>
          <t>LAZER</t>
        </is>
      </c>
      <c r="C410" s="32" t="inlineStr">
        <is>
          <t>INSTALAÇÕES ELÉTRICAS</t>
        </is>
      </c>
      <c r="D410" s="32" t="inlineStr">
        <is>
          <t>DISPOSITIVOS DE PROTEÇÃO</t>
        </is>
      </c>
      <c r="E410" s="32" t="inlineStr">
        <is>
          <t>Dispositivos de Proteção Contra Surto 275V - Classe I/II - In=30kA - Imáx.=60kA - NBR IEC 61643-1</t>
        </is>
      </c>
      <c r="F410" s="33" t="n">
        <v>4</v>
      </c>
      <c r="G410" s="33" t="n">
        <v>1</v>
      </c>
      <c r="H410" s="33" t="n"/>
      <c r="I410" s="35">
        <f>(F410+H410*F410)*G410</f>
        <v/>
      </c>
      <c r="J410" s="33" t="inlineStr">
        <is>
          <t>pç</t>
        </is>
      </c>
      <c r="K410" s="36" t="n">
        <v>97</v>
      </c>
      <c r="L410" s="37">
        <f>I410*K410</f>
        <v/>
      </c>
    </row>
    <row r="411">
      <c r="A411" s="32" t="inlineStr">
        <is>
          <t>TORRE</t>
        </is>
      </c>
      <c r="B411" s="32" t="inlineStr">
        <is>
          <t>LAZER</t>
        </is>
      </c>
      <c r="C411" s="32" t="inlineStr">
        <is>
          <t>INSTALAÇÕES ELÉTRICAS</t>
        </is>
      </c>
      <c r="D411" s="32" t="inlineStr">
        <is>
          <t>DISPOSITIVOS DE PROTEÇÃO</t>
        </is>
      </c>
      <c r="E411" s="32" t="inlineStr">
        <is>
          <t>Interruptores Diferenciais Residuais Tetrapolares DIN 40A - 30mA - Tipo AC - 230V - NBR NM 61008-1</t>
        </is>
      </c>
      <c r="F411" s="33" t="n">
        <v>4</v>
      </c>
      <c r="G411" s="33" t="n">
        <v>1</v>
      </c>
      <c r="H411" s="33" t="n"/>
      <c r="I411" s="35">
        <f>(F411+H411*F411)*G411</f>
        <v/>
      </c>
      <c r="J411" s="33" t="inlineStr">
        <is>
          <t>pç</t>
        </is>
      </c>
      <c r="K411" s="36" t="n">
        <v>170</v>
      </c>
      <c r="L411" s="37">
        <f>I411*K411</f>
        <v/>
      </c>
    </row>
    <row r="412">
      <c r="A412" s="32" t="inlineStr">
        <is>
          <t>TORRE</t>
        </is>
      </c>
      <c r="B412" s="32" t="inlineStr">
        <is>
          <t>LAZER</t>
        </is>
      </c>
      <c r="C412" s="32" t="inlineStr">
        <is>
          <t>INSTALAÇÕES ELÉTRICAS</t>
        </is>
      </c>
      <c r="D412" s="32" t="inlineStr">
        <is>
          <t>DISPOSITIVOS DE PROTEÇÃO</t>
        </is>
      </c>
      <c r="E412" s="32" t="inlineStr">
        <is>
          <t>Interruptores Diferenciais Residuais Tetrapolares DIN 63A - 30mA - Tipo AC - 230V - NBR NM 61008-1</t>
        </is>
      </c>
      <c r="F412" s="33" t="n">
        <v>1</v>
      </c>
      <c r="G412" s="33" t="n">
        <v>1</v>
      </c>
      <c r="H412" s="33" t="n"/>
      <c r="I412" s="35">
        <f>(F412+H412*F412)*G412</f>
        <v/>
      </c>
      <c r="J412" s="33" t="inlineStr">
        <is>
          <t>pç</t>
        </is>
      </c>
      <c r="K412" s="36" t="n">
        <v>170</v>
      </c>
      <c r="L412" s="37">
        <f>I412*K412</f>
        <v/>
      </c>
    </row>
    <row r="413">
      <c r="A413" s="32" t="inlineStr">
        <is>
          <t>TORRE</t>
        </is>
      </c>
      <c r="B413" s="32" t="inlineStr">
        <is>
          <t>LAZER</t>
        </is>
      </c>
      <c r="C413" s="32" t="inlineStr">
        <is>
          <t>INSTALAÇÕES ELÉTRICAS</t>
        </is>
      </c>
      <c r="D413" s="32" t="inlineStr">
        <is>
          <t>ELETRODUTOS</t>
        </is>
      </c>
      <c r="E413" s="32" t="inlineStr">
        <is>
          <t>PVC Flexível Antichama - NBR 15465 ø1"</t>
        </is>
      </c>
      <c r="F413" s="33" t="n">
        <v>127.8</v>
      </c>
      <c r="G413" s="33" t="n">
        <v>1</v>
      </c>
      <c r="H413" s="33" t="n"/>
      <c r="I413" s="35">
        <f>(F413+H413*F413)*G413</f>
        <v/>
      </c>
      <c r="J413" s="33" t="inlineStr">
        <is>
          <t>m</t>
        </is>
      </c>
      <c r="K413" s="36" t="n">
        <v>5</v>
      </c>
      <c r="L413" s="37">
        <f>I413*K413</f>
        <v/>
      </c>
    </row>
    <row r="414">
      <c r="A414" s="32" t="inlineStr">
        <is>
          <t>TORRE</t>
        </is>
      </c>
      <c r="B414" s="32" t="inlineStr">
        <is>
          <t>LAZER</t>
        </is>
      </c>
      <c r="C414" s="32" t="inlineStr">
        <is>
          <t>INSTALAÇÕES ELÉTRICAS</t>
        </is>
      </c>
      <c r="D414" s="32" t="inlineStr">
        <is>
          <t>ELETRODUTOS</t>
        </is>
      </c>
      <c r="E414" s="32" t="inlineStr">
        <is>
          <t>PVC Flexível Antichama - NBR 15465 ø3/4"</t>
        </is>
      </c>
      <c r="F414" s="33" t="n">
        <v>635.7</v>
      </c>
      <c r="G414" s="33" t="n">
        <v>1</v>
      </c>
      <c r="H414" s="33" t="n"/>
      <c r="I414" s="35">
        <f>(F414+H414*F414)*G414</f>
        <v/>
      </c>
      <c r="J414" s="33" t="inlineStr">
        <is>
          <t>m</t>
        </is>
      </c>
      <c r="K414" s="36" t="n">
        <v>3.5</v>
      </c>
      <c r="L414" s="37">
        <f>I414*K414</f>
        <v/>
      </c>
    </row>
    <row r="415">
      <c r="A415" s="32" t="inlineStr">
        <is>
          <t>TORRE</t>
        </is>
      </c>
      <c r="B415" s="32" t="inlineStr">
        <is>
          <t>LAZER</t>
        </is>
      </c>
      <c r="C415" s="32" t="inlineStr">
        <is>
          <t>INSTALAÇÕES ELÉTRICAS</t>
        </is>
      </c>
      <c r="D415" s="32" t="inlineStr">
        <is>
          <t>MÓDULOS</t>
        </is>
      </c>
      <c r="E415" s="32" t="inlineStr">
        <is>
          <t>Tomada 2P+T 10A Padrão NBR 14136</t>
        </is>
      </c>
      <c r="F415" s="33" t="n">
        <v>44</v>
      </c>
      <c r="G415" s="33" t="n">
        <v>1</v>
      </c>
      <c r="H415" s="33" t="n"/>
      <c r="I415" s="35">
        <f>(F415+H415*F415)*G415</f>
        <v/>
      </c>
      <c r="J415" s="33" t="inlineStr">
        <is>
          <t>pç</t>
        </is>
      </c>
      <c r="K415" s="36" t="n">
        <v>8</v>
      </c>
      <c r="L415" s="37">
        <f>I415*K415</f>
        <v/>
      </c>
    </row>
    <row r="416">
      <c r="A416" s="32" t="inlineStr">
        <is>
          <t>TORRE</t>
        </is>
      </c>
      <c r="B416" s="32" t="inlineStr">
        <is>
          <t>LAZER</t>
        </is>
      </c>
      <c r="C416" s="32" t="inlineStr">
        <is>
          <t>INSTALAÇÕES ELÉTRICAS</t>
        </is>
      </c>
      <c r="D416" s="32" t="inlineStr">
        <is>
          <t>MÓDULOS</t>
        </is>
      </c>
      <c r="E416" s="32" t="inlineStr">
        <is>
          <t>Tomada 2P+T 20A Padrão NBR 14136</t>
        </is>
      </c>
      <c r="F416" s="33" t="n">
        <v>22</v>
      </c>
      <c r="G416" s="33" t="n">
        <v>1</v>
      </c>
      <c r="H416" s="33" t="n"/>
      <c r="I416" s="35">
        <f>(F416+H416*F416)*G416</f>
        <v/>
      </c>
      <c r="J416" s="33" t="inlineStr">
        <is>
          <t>pç</t>
        </is>
      </c>
      <c r="K416" s="36" t="n">
        <v>14</v>
      </c>
      <c r="L416" s="37">
        <f>I416*K416</f>
        <v/>
      </c>
    </row>
    <row r="417">
      <c r="A417" s="32" t="inlineStr">
        <is>
          <t>TORRE</t>
        </is>
      </c>
      <c r="B417" s="32" t="inlineStr">
        <is>
          <t>LAZER</t>
        </is>
      </c>
      <c r="C417" s="32" t="inlineStr">
        <is>
          <t>INSTALAÇÕES ELÉTRICAS</t>
        </is>
      </c>
      <c r="D417" s="32" t="inlineStr">
        <is>
          <t>MÓDULOS</t>
        </is>
      </c>
      <c r="E417" s="32" t="inlineStr">
        <is>
          <t>Interruptor Simples 250V/10A Padrão NBRNM60669</t>
        </is>
      </c>
      <c r="F417" s="33" t="n">
        <v>29</v>
      </c>
      <c r="G417" s="33" t="n">
        <v>1</v>
      </c>
      <c r="H417" s="33" t="n"/>
      <c r="I417" s="35">
        <f>(F417+H417*F417)*G417</f>
        <v/>
      </c>
      <c r="J417" s="33" t="inlineStr">
        <is>
          <t>pç</t>
        </is>
      </c>
      <c r="K417" s="36" t="n">
        <v>7</v>
      </c>
      <c r="L417" s="37">
        <f>I417*K417</f>
        <v/>
      </c>
    </row>
    <row r="418">
      <c r="A418" s="32" t="inlineStr">
        <is>
          <t>TORRE</t>
        </is>
      </c>
      <c r="B418" s="32" t="inlineStr">
        <is>
          <t>LAZER</t>
        </is>
      </c>
      <c r="C418" s="32" t="inlineStr">
        <is>
          <t>INSTALAÇÕES ELÉTRICAS</t>
        </is>
      </c>
      <c r="D418" s="32" t="inlineStr">
        <is>
          <t>QUADROS DE DISTRIBUIÇÃO</t>
        </is>
      </c>
      <c r="E418" s="32" t="inlineStr">
        <is>
          <t>Quadro de dist. de embutir em PVC com cap. de 54 espaços DIN</t>
        </is>
      </c>
      <c r="F418" s="33" t="n">
        <v>1</v>
      </c>
      <c r="G418" s="33" t="n">
        <v>1</v>
      </c>
      <c r="H418" s="33" t="n"/>
      <c r="I418" s="35">
        <f>(F418+H418*F418)*G418</f>
        <v/>
      </c>
      <c r="J418" s="33" t="inlineStr">
        <is>
          <t>pç</t>
        </is>
      </c>
      <c r="K418" s="36" t="n">
        <v>257</v>
      </c>
      <c r="L418" s="37">
        <f>I418*K418</f>
        <v/>
      </c>
    </row>
    <row r="419">
      <c r="A419" s="32" t="inlineStr">
        <is>
          <t>TORRE</t>
        </is>
      </c>
      <c r="B419" s="32" t="inlineStr">
        <is>
          <t>LAZER</t>
        </is>
      </c>
      <c r="C419" s="32" t="inlineStr">
        <is>
          <t>INSTALAÇÕES ELÉTRICAS</t>
        </is>
      </c>
      <c r="D419" s="32" t="inlineStr">
        <is>
          <t>SENSORES</t>
        </is>
      </c>
      <c r="E419" s="32" t="inlineStr">
        <is>
          <t>Sensor de Presença</t>
        </is>
      </c>
      <c r="F419" s="33" t="n">
        <v>7</v>
      </c>
      <c r="G419" s="33" t="n">
        <v>1</v>
      </c>
      <c r="H419" s="33" t="n"/>
      <c r="I419" s="35">
        <f>(F419+H419*F419)*G419</f>
        <v/>
      </c>
      <c r="J419" s="33" t="inlineStr">
        <is>
          <t>pç</t>
        </is>
      </c>
      <c r="K419" s="36" t="n">
        <v>29</v>
      </c>
      <c r="L419" s="37">
        <f>I419*K419</f>
        <v/>
      </c>
    </row>
    <row r="420">
      <c r="A420" s="32" t="inlineStr">
        <is>
          <t>TORRE</t>
        </is>
      </c>
      <c r="B420" s="32" t="inlineStr">
        <is>
          <t>LAZER</t>
        </is>
      </c>
      <c r="C420" s="32" t="inlineStr">
        <is>
          <t>INSTALAÇÕES ELÉTRICAS</t>
        </is>
      </c>
      <c r="D420" s="32" t="inlineStr">
        <is>
          <t>CABO UNIPOLAR</t>
        </is>
      </c>
      <c r="E420" s="32" t="inlineStr">
        <is>
          <t>Isolação em PVC (70ºC) 1.5 mm² - Amarelo</t>
        </is>
      </c>
      <c r="F420" s="33" t="n">
        <v>573.3</v>
      </c>
      <c r="G420" s="33" t="n">
        <v>1</v>
      </c>
      <c r="H420" s="33" t="n"/>
      <c r="I420" s="35">
        <f>(F420+H420*F420)*G420</f>
        <v/>
      </c>
      <c r="J420" s="33" t="inlineStr">
        <is>
          <t>m</t>
        </is>
      </c>
      <c r="K420" s="36" t="n">
        <v>1.14</v>
      </c>
      <c r="L420" s="37">
        <f>I420*K420</f>
        <v/>
      </c>
    </row>
    <row r="421">
      <c r="A421" s="32" t="inlineStr">
        <is>
          <t>TORRE</t>
        </is>
      </c>
      <c r="B421" s="32" t="inlineStr">
        <is>
          <t>LAZER</t>
        </is>
      </c>
      <c r="C421" s="32" t="inlineStr">
        <is>
          <t>INSTALAÇÕES ELÉTRICAS</t>
        </is>
      </c>
      <c r="D421" s="32" t="inlineStr">
        <is>
          <t>CABO UNIPOLAR</t>
        </is>
      </c>
      <c r="E421" s="32" t="inlineStr">
        <is>
          <t>Isolação em PVC (70ºC) 1.5 mm² - Azul claro</t>
        </is>
      </c>
      <c r="F421" s="33" t="n">
        <v>283.9</v>
      </c>
      <c r="G421" s="33" t="n">
        <v>1</v>
      </c>
      <c r="H421" s="33" t="n"/>
      <c r="I421" s="35">
        <f>(F421+H421*F421)*G421</f>
        <v/>
      </c>
      <c r="J421" s="33" t="inlineStr">
        <is>
          <t>m</t>
        </is>
      </c>
      <c r="K421" s="36" t="n">
        <v>1.14</v>
      </c>
      <c r="L421" s="37">
        <f>I421*K421</f>
        <v/>
      </c>
    </row>
    <row r="422">
      <c r="A422" s="32" t="inlineStr">
        <is>
          <t>TORRE</t>
        </is>
      </c>
      <c r="B422" s="32" t="inlineStr">
        <is>
          <t>LAZER</t>
        </is>
      </c>
      <c r="C422" s="32" t="inlineStr">
        <is>
          <t>INSTALAÇÕES ELÉTRICAS</t>
        </is>
      </c>
      <c r="D422" s="32" t="inlineStr">
        <is>
          <t>CABO UNIPOLAR</t>
        </is>
      </c>
      <c r="E422" s="32" t="inlineStr">
        <is>
          <t>Isolação em PVC (70ºC) 1.5 mm² - Branco</t>
        </is>
      </c>
      <c r="F422" s="33" t="n">
        <v>73.90000000000001</v>
      </c>
      <c r="G422" s="33" t="n">
        <v>1</v>
      </c>
      <c r="H422" s="33" t="n"/>
      <c r="I422" s="35">
        <f>(F422+H422*F422)*G422</f>
        <v/>
      </c>
      <c r="J422" s="33" t="inlineStr">
        <is>
          <t>m</t>
        </is>
      </c>
      <c r="K422" s="36" t="n">
        <v>1.14</v>
      </c>
      <c r="L422" s="37">
        <f>I422*K422</f>
        <v/>
      </c>
    </row>
    <row r="423">
      <c r="A423" s="32" t="inlineStr">
        <is>
          <t>TORRE</t>
        </is>
      </c>
      <c r="B423" s="32" t="inlineStr">
        <is>
          <t>LAZER</t>
        </is>
      </c>
      <c r="C423" s="32" t="inlineStr">
        <is>
          <t>INSTALAÇÕES ELÉTRICAS</t>
        </is>
      </c>
      <c r="D423" s="32" t="inlineStr">
        <is>
          <t>CABO UNIPOLAR</t>
        </is>
      </c>
      <c r="E423" s="32" t="inlineStr">
        <is>
          <t>Isolação em PVC (70ºC) 1.5 mm² - Preto</t>
        </is>
      </c>
      <c r="F423" s="33" t="n">
        <v>65</v>
      </c>
      <c r="G423" s="33" t="n">
        <v>1</v>
      </c>
      <c r="H423" s="33" t="n"/>
      <c r="I423" s="35">
        <f>(F423+H423*F423)*G423</f>
        <v/>
      </c>
      <c r="J423" s="33" t="inlineStr">
        <is>
          <t>m</t>
        </is>
      </c>
      <c r="K423" s="36" t="n">
        <v>1.14</v>
      </c>
      <c r="L423" s="37">
        <f>I423*K423</f>
        <v/>
      </c>
    </row>
    <row r="424">
      <c r="A424" s="32" t="inlineStr">
        <is>
          <t>TORRE</t>
        </is>
      </c>
      <c r="B424" s="32" t="inlineStr">
        <is>
          <t>LAZER</t>
        </is>
      </c>
      <c r="C424" s="32" t="inlineStr">
        <is>
          <t>INSTALAÇÕES ELÉTRICAS</t>
        </is>
      </c>
      <c r="D424" s="32" t="inlineStr">
        <is>
          <t>CABO UNIPOLAR</t>
        </is>
      </c>
      <c r="E424" s="32" t="inlineStr">
        <is>
          <t>Isolação em PVC (70ºC) 1.5 mm² - Verde-amarelo</t>
        </is>
      </c>
      <c r="F424" s="33" t="n">
        <v>61.5</v>
      </c>
      <c r="G424" s="33" t="n">
        <v>1</v>
      </c>
      <c r="H424" s="33" t="n"/>
      <c r="I424" s="35">
        <f>(F424+H424*F424)*G424</f>
        <v/>
      </c>
      <c r="J424" s="33" t="inlineStr">
        <is>
          <t>m</t>
        </is>
      </c>
      <c r="K424" s="36" t="n">
        <v>1.14</v>
      </c>
      <c r="L424" s="37">
        <f>I424*K424</f>
        <v/>
      </c>
    </row>
    <row r="425">
      <c r="A425" s="32" t="inlineStr">
        <is>
          <t>TORRE</t>
        </is>
      </c>
      <c r="B425" s="32" t="inlineStr">
        <is>
          <t>LAZER</t>
        </is>
      </c>
      <c r="C425" s="32" t="inlineStr">
        <is>
          <t>INSTALAÇÕES ELÉTRICAS</t>
        </is>
      </c>
      <c r="D425" s="32" t="inlineStr">
        <is>
          <t>CABO UNIPOLAR</t>
        </is>
      </c>
      <c r="E425" s="32" t="inlineStr">
        <is>
          <t>Isolação em PVC (70ºC) 1.5 mm² - Vermelho</t>
        </is>
      </c>
      <c r="F425" s="33" t="n">
        <v>66</v>
      </c>
      <c r="G425" s="33" t="n">
        <v>1</v>
      </c>
      <c r="H425" s="33" t="n"/>
      <c r="I425" s="35">
        <f>(F425+H425*F425)*G425</f>
        <v/>
      </c>
      <c r="J425" s="33" t="inlineStr">
        <is>
          <t>m</t>
        </is>
      </c>
      <c r="K425" s="36" t="n">
        <v>1.14</v>
      </c>
      <c r="L425" s="37">
        <f>I425*K425</f>
        <v/>
      </c>
    </row>
    <row r="426">
      <c r="A426" s="32" t="inlineStr">
        <is>
          <t>TORRE</t>
        </is>
      </c>
      <c r="B426" s="32" t="inlineStr">
        <is>
          <t>LAZER</t>
        </is>
      </c>
      <c r="C426" s="32" t="inlineStr">
        <is>
          <t>INSTALAÇÕES ELÉTRICAS</t>
        </is>
      </c>
      <c r="D426" s="32" t="inlineStr">
        <is>
          <t>CABO UNIPOLAR</t>
        </is>
      </c>
      <c r="E426" s="32" t="inlineStr">
        <is>
          <t>Isolação em PVC (70ºC) 2.5 mm² - Amarelo</t>
        </is>
      </c>
      <c r="F426" s="33" t="n">
        <v>126.7</v>
      </c>
      <c r="G426" s="33" t="n">
        <v>1</v>
      </c>
      <c r="H426" s="33" t="n"/>
      <c r="I426" s="35">
        <f>(F426+H426*F426)*G426</f>
        <v/>
      </c>
      <c r="J426" s="33" t="inlineStr">
        <is>
          <t>m</t>
        </is>
      </c>
      <c r="K426" s="36" t="n">
        <v>2.12</v>
      </c>
      <c r="L426" s="37">
        <f>I426*K426</f>
        <v/>
      </c>
    </row>
    <row r="427">
      <c r="A427" s="32" t="inlineStr">
        <is>
          <t>TORRE</t>
        </is>
      </c>
      <c r="B427" s="32" t="inlineStr">
        <is>
          <t>LAZER</t>
        </is>
      </c>
      <c r="C427" s="32" t="inlineStr">
        <is>
          <t>INSTALAÇÕES ELÉTRICAS</t>
        </is>
      </c>
      <c r="D427" s="32" t="inlineStr">
        <is>
          <t>CABO UNIPOLAR</t>
        </is>
      </c>
      <c r="E427" s="32" t="inlineStr">
        <is>
          <t>Isolação em PVC (70ºC) 2.5 mm² - Azul claro</t>
        </is>
      </c>
      <c r="F427" s="33" t="n">
        <v>501</v>
      </c>
      <c r="G427" s="33" t="n">
        <v>1</v>
      </c>
      <c r="H427" s="33" t="n"/>
      <c r="I427" s="35">
        <f>(F427+H427*F427)*G427</f>
        <v/>
      </c>
      <c r="J427" s="33" t="inlineStr">
        <is>
          <t>m</t>
        </is>
      </c>
      <c r="K427" s="36" t="n">
        <v>2.12</v>
      </c>
      <c r="L427" s="37">
        <f>I427*K427</f>
        <v/>
      </c>
    </row>
    <row r="428">
      <c r="A428" s="32" t="inlineStr">
        <is>
          <t>TORRE</t>
        </is>
      </c>
      <c r="B428" s="32" t="inlineStr">
        <is>
          <t>LAZER</t>
        </is>
      </c>
      <c r="C428" s="32" t="inlineStr">
        <is>
          <t>INSTALAÇÕES ELÉTRICAS</t>
        </is>
      </c>
      <c r="D428" s="32" t="inlineStr">
        <is>
          <t>CABO UNIPOLAR</t>
        </is>
      </c>
      <c r="E428" s="32" t="inlineStr">
        <is>
          <t>Isolação em PVC (70ºC) 2.5 mm² - Branco</t>
        </is>
      </c>
      <c r="F428" s="33" t="n">
        <v>193.9</v>
      </c>
      <c r="G428" s="33" t="n">
        <v>1</v>
      </c>
      <c r="H428" s="33" t="n"/>
      <c r="I428" s="35">
        <f>(F428+H428*F428)*G428</f>
        <v/>
      </c>
      <c r="J428" s="33" t="inlineStr">
        <is>
          <t>m</t>
        </is>
      </c>
      <c r="K428" s="36" t="n">
        <v>2.12</v>
      </c>
      <c r="L428" s="37">
        <f>I428*K428</f>
        <v/>
      </c>
    </row>
    <row r="429">
      <c r="A429" s="32" t="inlineStr">
        <is>
          <t>TORRE</t>
        </is>
      </c>
      <c r="B429" s="32" t="inlineStr">
        <is>
          <t>LAZER</t>
        </is>
      </c>
      <c r="C429" s="32" t="inlineStr">
        <is>
          <t>INSTALAÇÕES ELÉTRICAS</t>
        </is>
      </c>
      <c r="D429" s="32" t="inlineStr">
        <is>
          <t>CABO UNIPOLAR</t>
        </is>
      </c>
      <c r="E429" s="32" t="inlineStr">
        <is>
          <t>Isolação em PVC (70ºC) 2.5 mm² - Preto</t>
        </is>
      </c>
      <c r="F429" s="33" t="n">
        <v>132.4</v>
      </c>
      <c r="G429" s="33" t="n">
        <v>1</v>
      </c>
      <c r="H429" s="33" t="n"/>
      <c r="I429" s="35">
        <f>(F429+H429*F429)*G429</f>
        <v/>
      </c>
      <c r="J429" s="33" t="inlineStr">
        <is>
          <t>m</t>
        </is>
      </c>
      <c r="K429" s="36" t="n">
        <v>2.12</v>
      </c>
      <c r="L429" s="37">
        <f>I429*K429</f>
        <v/>
      </c>
    </row>
    <row r="430">
      <c r="A430" s="32" t="inlineStr">
        <is>
          <t>TORRE</t>
        </is>
      </c>
      <c r="B430" s="32" t="inlineStr">
        <is>
          <t>LAZER</t>
        </is>
      </c>
      <c r="C430" s="32" t="inlineStr">
        <is>
          <t>INSTALAÇÕES ELÉTRICAS</t>
        </is>
      </c>
      <c r="D430" s="32" t="inlineStr">
        <is>
          <t>CABO UNIPOLAR</t>
        </is>
      </c>
      <c r="E430" s="32" t="inlineStr">
        <is>
          <t>Isolação em PVC (70ºC) 2.5 mm² - Verde-amarelo</t>
        </is>
      </c>
      <c r="F430" s="33" t="n">
        <v>346.8</v>
      </c>
      <c r="G430" s="33" t="n">
        <v>1</v>
      </c>
      <c r="H430" s="33" t="n"/>
      <c r="I430" s="35">
        <f>(F430+H430*F430)*G430</f>
        <v/>
      </c>
      <c r="J430" s="33" t="inlineStr">
        <is>
          <t>m</t>
        </is>
      </c>
      <c r="K430" s="36" t="n">
        <v>2.12</v>
      </c>
      <c r="L430" s="37">
        <f>I430*K430</f>
        <v/>
      </c>
    </row>
    <row r="431">
      <c r="A431" s="32" t="inlineStr">
        <is>
          <t>TORRE</t>
        </is>
      </c>
      <c r="B431" s="32" t="inlineStr">
        <is>
          <t>LAZER</t>
        </is>
      </c>
      <c r="C431" s="32" t="inlineStr">
        <is>
          <t>INSTALAÇÕES ELÉTRICAS</t>
        </is>
      </c>
      <c r="D431" s="32" t="inlineStr">
        <is>
          <t>CABO UNIPOLAR</t>
        </is>
      </c>
      <c r="E431" s="32" t="inlineStr">
        <is>
          <t>Isolação em PVC (70ºC) 2.5 mm² - Vermelho</t>
        </is>
      </c>
      <c r="F431" s="33" t="n">
        <v>89.3</v>
      </c>
      <c r="G431" s="33" t="n">
        <v>1</v>
      </c>
      <c r="H431" s="33" t="n"/>
      <c r="I431" s="35">
        <f>(F431+H431*F431)*G431</f>
        <v/>
      </c>
      <c r="J431" s="33" t="inlineStr">
        <is>
          <t>m</t>
        </is>
      </c>
      <c r="K431" s="36" t="n">
        <v>2.12</v>
      </c>
      <c r="L431" s="37">
        <f>I431*K431</f>
        <v/>
      </c>
    </row>
    <row r="432">
      <c r="A432" s="32" t="inlineStr">
        <is>
          <t>TORRE</t>
        </is>
      </c>
      <c r="B432" s="32" t="inlineStr">
        <is>
          <t>LAZER</t>
        </is>
      </c>
      <c r="C432" s="32" t="inlineStr">
        <is>
          <t>INSTALAÇÕES ELÉTRICAS</t>
        </is>
      </c>
      <c r="D432" s="32" t="inlineStr">
        <is>
          <t>CABO UNIPOLAR</t>
        </is>
      </c>
      <c r="E432" s="32" t="inlineStr">
        <is>
          <t>Isolação em PVC (70ºC) 4 mm² - Azul claro</t>
        </is>
      </c>
      <c r="F432" s="33" t="n">
        <v>469.4</v>
      </c>
      <c r="G432" s="33" t="n">
        <v>1</v>
      </c>
      <c r="H432" s="33" t="n"/>
      <c r="I432" s="35">
        <f>(F432+H432*F432)*G432</f>
        <v/>
      </c>
      <c r="J432" s="33" t="inlineStr">
        <is>
          <t>m</t>
        </is>
      </c>
      <c r="K432" s="36" t="n">
        <v>3.51</v>
      </c>
      <c r="L432" s="37">
        <f>I432*K432</f>
        <v/>
      </c>
    </row>
    <row r="433">
      <c r="A433" s="32" t="inlineStr">
        <is>
          <t>TORRE</t>
        </is>
      </c>
      <c r="B433" s="32" t="inlineStr">
        <is>
          <t>LAZER</t>
        </is>
      </c>
      <c r="C433" s="32" t="inlineStr">
        <is>
          <t>INSTALAÇÕES ELÉTRICAS</t>
        </is>
      </c>
      <c r="D433" s="32" t="inlineStr">
        <is>
          <t>CABO UNIPOLAR</t>
        </is>
      </c>
      <c r="E433" s="32" t="inlineStr">
        <is>
          <t>Isolação em PVC (70ºC) 4 mm² - Branco</t>
        </is>
      </c>
      <c r="F433" s="33" t="n">
        <v>217.4</v>
      </c>
      <c r="G433" s="33" t="n">
        <v>1</v>
      </c>
      <c r="H433" s="33" t="n"/>
      <c r="I433" s="35">
        <f>(F433+H433*F433)*G433</f>
        <v/>
      </c>
      <c r="J433" s="33" t="inlineStr">
        <is>
          <t>m</t>
        </is>
      </c>
      <c r="K433" s="36" t="n">
        <v>3.51</v>
      </c>
      <c r="L433" s="37">
        <f>I433*K433</f>
        <v/>
      </c>
    </row>
    <row r="434">
      <c r="A434" s="32" t="inlineStr">
        <is>
          <t>TORRE</t>
        </is>
      </c>
      <c r="B434" s="32" t="inlineStr">
        <is>
          <t>LAZER</t>
        </is>
      </c>
      <c r="C434" s="32" t="inlineStr">
        <is>
          <t>INSTALAÇÕES ELÉTRICAS</t>
        </is>
      </c>
      <c r="D434" s="32" t="inlineStr">
        <is>
          <t>CABO UNIPOLAR</t>
        </is>
      </c>
      <c r="E434" s="32" t="inlineStr">
        <is>
          <t>Isolação em PVC (70ºC) 4 mm² - Preto</t>
        </is>
      </c>
      <c r="F434" s="33" t="n">
        <v>141.6</v>
      </c>
      <c r="G434" s="33" t="n">
        <v>1</v>
      </c>
      <c r="H434" s="33" t="n"/>
      <c r="I434" s="35">
        <f>(F434+H434*F434)*G434</f>
        <v/>
      </c>
      <c r="J434" s="33" t="inlineStr">
        <is>
          <t>m</t>
        </is>
      </c>
      <c r="K434" s="36" t="n">
        <v>3.51</v>
      </c>
      <c r="L434" s="37">
        <f>I434*K434</f>
        <v/>
      </c>
    </row>
    <row r="435">
      <c r="A435" s="32" t="inlineStr">
        <is>
          <t>TORRE</t>
        </is>
      </c>
      <c r="B435" s="32" t="inlineStr">
        <is>
          <t>LAZER</t>
        </is>
      </c>
      <c r="C435" s="32" t="inlineStr">
        <is>
          <t>INSTALAÇÕES ELÉTRICAS</t>
        </is>
      </c>
      <c r="D435" s="32" t="inlineStr">
        <is>
          <t>CABO UNIPOLAR</t>
        </is>
      </c>
      <c r="E435" s="32" t="inlineStr">
        <is>
          <t>Isolação em PVC (70ºC) 4 mm² - Verde-amarelo</t>
        </is>
      </c>
      <c r="F435" s="33" t="n">
        <v>182.7</v>
      </c>
      <c r="G435" s="33" t="n">
        <v>1</v>
      </c>
      <c r="H435" s="33" t="n"/>
      <c r="I435" s="35">
        <f>(F435+H435*F435)*G435</f>
        <v/>
      </c>
      <c r="J435" s="33" t="inlineStr">
        <is>
          <t>m</t>
        </is>
      </c>
      <c r="K435" s="36" t="n">
        <v>3.51</v>
      </c>
      <c r="L435" s="37">
        <f>I435*K435</f>
        <v/>
      </c>
    </row>
    <row r="436" ht="15" customHeight="1">
      <c r="A436" s="32" t="inlineStr">
        <is>
          <t>TORRE</t>
        </is>
      </c>
      <c r="B436" s="32" t="inlineStr">
        <is>
          <t>LAZER</t>
        </is>
      </c>
      <c r="C436" s="32" t="inlineStr">
        <is>
          <t>INSTALAÇÕES ELÉTRICAS</t>
        </is>
      </c>
      <c r="D436" s="32" t="inlineStr">
        <is>
          <t>CABO UNIPOLAR</t>
        </is>
      </c>
      <c r="E436" s="32" t="inlineStr">
        <is>
          <t>Isolação em PVC (70ºC) 4 mm² - Vermelho</t>
        </is>
      </c>
      <c r="F436" s="33" t="n">
        <v>110.4</v>
      </c>
      <c r="G436" s="33" t="n">
        <v>1</v>
      </c>
      <c r="H436" s="33" t="n"/>
      <c r="I436" s="35">
        <f>(F436+H436*F436)*G436</f>
        <v/>
      </c>
      <c r="J436" s="33" t="inlineStr">
        <is>
          <t>m</t>
        </is>
      </c>
      <c r="K436" s="36" t="n">
        <v>3.51</v>
      </c>
      <c r="L436" s="37">
        <f>I436*K436</f>
        <v/>
      </c>
    </row>
    <row r="437" ht="15" customHeight="1">
      <c r="A437" s="40" t="inlineStr">
        <is>
          <t>TORRE</t>
        </is>
      </c>
      <c r="B437" s="40" t="inlineStr">
        <is>
          <t>PAVIMENTO TIPO</t>
        </is>
      </c>
      <c r="C437" s="41" t="n"/>
      <c r="D437" s="42" t="n"/>
      <c r="E437" s="42" t="n"/>
      <c r="F437" s="43" t="n"/>
      <c r="G437" s="43" t="n"/>
      <c r="H437" s="43" t="n"/>
      <c r="I437" s="44" t="n"/>
      <c r="J437" s="43" t="n"/>
      <c r="K437" s="45" t="n"/>
      <c r="L437" s="46">
        <f>SUMIFS($L$7:$L$513,$B$7:$B$513,B437,$E$7:$E$513,"&lt;&gt;"&amp;"")</f>
        <v/>
      </c>
    </row>
    <row r="438">
      <c r="A438" s="32" t="inlineStr">
        <is>
          <t>TORRE</t>
        </is>
      </c>
      <c r="B438" s="32" t="inlineStr">
        <is>
          <t>PAVIMENTO TIPO</t>
        </is>
      </c>
      <c r="C438" s="32" t="inlineStr">
        <is>
          <t>INSTALAÇÕES ELÉTRICAS</t>
        </is>
      </c>
      <c r="D438" s="32" t="inlineStr">
        <is>
          <t>CAIXA OCTOGONAL</t>
        </is>
      </c>
      <c r="E438" s="32" t="inlineStr">
        <is>
          <t>Caixa Octogonal Padrão NBR IEC 60670</t>
        </is>
      </c>
      <c r="F438" s="33" t="n">
        <v>73</v>
      </c>
      <c r="G438" s="33" t="n">
        <v>24</v>
      </c>
      <c r="H438" s="33" t="n">
        <v>0</v>
      </c>
      <c r="I438" s="35">
        <f>(F438+H438*F438)*G438</f>
        <v/>
      </c>
      <c r="J438" s="33" t="inlineStr">
        <is>
          <t>pç</t>
        </is>
      </c>
      <c r="K438" s="36" t="n">
        <v>3.55</v>
      </c>
      <c r="L438" s="37">
        <f>I438*K438</f>
        <v/>
      </c>
    </row>
    <row r="439">
      <c r="A439" s="32" t="inlineStr">
        <is>
          <t>TORRE</t>
        </is>
      </c>
      <c r="B439" s="32" t="inlineStr">
        <is>
          <t>PAVIMENTO TIPO</t>
        </is>
      </c>
      <c r="C439" s="32" t="inlineStr">
        <is>
          <t>INSTALAÇÕES ELÉTRICAS</t>
        </is>
      </c>
      <c r="D439" s="32" t="inlineStr">
        <is>
          <t>CAIXA OCTOGONAL</t>
        </is>
      </c>
      <c r="E439" s="32" t="inlineStr">
        <is>
          <t>Placa cega para caixa octogonal Padrão NBR IEC 60670</t>
        </is>
      </c>
      <c r="F439" s="33" t="n">
        <v>2</v>
      </c>
      <c r="G439" s="33" t="n">
        <v>24</v>
      </c>
      <c r="H439" s="33" t="n">
        <v>0</v>
      </c>
      <c r="I439" s="35">
        <f>(F439+H439*F439)*G439</f>
        <v/>
      </c>
      <c r="J439" s="33" t="inlineStr">
        <is>
          <t>pç</t>
        </is>
      </c>
      <c r="K439" s="36" t="n">
        <v>14.9</v>
      </c>
      <c r="L439" s="37">
        <f>I439*K439</f>
        <v/>
      </c>
    </row>
    <row r="440">
      <c r="A440" s="32" t="inlineStr">
        <is>
          <t>TORRE</t>
        </is>
      </c>
      <c r="B440" s="32" t="inlineStr">
        <is>
          <t>PAVIMENTO TIPO</t>
        </is>
      </c>
      <c r="C440" s="32" t="inlineStr">
        <is>
          <t>INSTALAÇÕES ELÉTRICAS</t>
        </is>
      </c>
      <c r="D440" s="32" t="inlineStr">
        <is>
          <t>CAIXAS 4x2" E 4x4"</t>
        </is>
      </c>
      <c r="E440" s="32" t="inlineStr">
        <is>
          <t>Caixa 2x2" de Embutir em PVC Padrão NBR IEC 60670</t>
        </is>
      </c>
      <c r="F440" s="33" t="n">
        <v>12</v>
      </c>
      <c r="G440" s="33" t="n">
        <v>24</v>
      </c>
      <c r="H440" s="33" t="n">
        <v>0</v>
      </c>
      <c r="I440" s="35">
        <f>(F440+H440*F440)*G440</f>
        <v/>
      </c>
      <c r="J440" s="33" t="inlineStr">
        <is>
          <t>pç</t>
        </is>
      </c>
      <c r="K440" s="36" t="n">
        <v>1.71</v>
      </c>
      <c r="L440" s="37">
        <f>I440*K440</f>
        <v/>
      </c>
    </row>
    <row r="441">
      <c r="A441" s="32" t="inlineStr">
        <is>
          <t>TORRE</t>
        </is>
      </c>
      <c r="B441" s="32" t="inlineStr">
        <is>
          <t>PAVIMENTO TIPO</t>
        </is>
      </c>
      <c r="C441" s="32" t="inlineStr">
        <is>
          <t>INSTALAÇÕES ELÉTRICAS</t>
        </is>
      </c>
      <c r="D441" s="32" t="inlineStr">
        <is>
          <t>CAIXAS 4x2" E 4x4"</t>
        </is>
      </c>
      <c r="E441" s="32" t="inlineStr">
        <is>
          <t>Caixa 4x2" de Embutir em PVC Padrão NBR IEC 60670</t>
        </is>
      </c>
      <c r="F441" s="33" t="n">
        <v>162</v>
      </c>
      <c r="G441" s="33" t="n">
        <v>24</v>
      </c>
      <c r="H441" s="33" t="n">
        <v>0</v>
      </c>
      <c r="I441" s="35">
        <f>(F441+H441*F441)*G441</f>
        <v/>
      </c>
      <c r="J441" s="33" t="inlineStr">
        <is>
          <t>pç</t>
        </is>
      </c>
      <c r="K441" s="36" t="n">
        <v>2.2</v>
      </c>
      <c r="L441" s="37">
        <f>I441*K441</f>
        <v/>
      </c>
    </row>
    <row r="442">
      <c r="A442" s="32" t="inlineStr">
        <is>
          <t>TORRE</t>
        </is>
      </c>
      <c r="B442" s="32" t="inlineStr">
        <is>
          <t>PAVIMENTO TIPO</t>
        </is>
      </c>
      <c r="C442" s="32" t="inlineStr">
        <is>
          <t>INSTALAÇÕES ELÉTRICAS</t>
        </is>
      </c>
      <c r="D442" s="32" t="inlineStr">
        <is>
          <t>CAIXAS 4x2" E 4x4"</t>
        </is>
      </c>
      <c r="E442" s="32" t="inlineStr">
        <is>
          <t>Condulete Múltiplo em Ferro Galvanizado 3/4"</t>
        </is>
      </c>
      <c r="F442" s="33" t="n">
        <v>1</v>
      </c>
      <c r="G442" s="33" t="n">
        <v>24</v>
      </c>
      <c r="H442" s="33" t="n">
        <v>0</v>
      </c>
      <c r="I442" s="35">
        <f>(F442+H442*F442)*G442</f>
        <v/>
      </c>
      <c r="J442" s="33" t="inlineStr">
        <is>
          <t>pç</t>
        </is>
      </c>
      <c r="K442" s="36" t="n">
        <v>8.029999999999999</v>
      </c>
      <c r="L442" s="37">
        <f>I442*K442</f>
        <v/>
      </c>
    </row>
    <row r="443">
      <c r="A443" s="32" t="inlineStr">
        <is>
          <t>TORRE</t>
        </is>
      </c>
      <c r="B443" s="32" t="inlineStr">
        <is>
          <t>PAVIMENTO TIPO</t>
        </is>
      </c>
      <c r="C443" s="32" t="inlineStr">
        <is>
          <t>INSTALAÇÕES ELÉTRICAS</t>
        </is>
      </c>
      <c r="D443" s="32" t="inlineStr">
        <is>
          <t>CAIXAS 4x2" E 4x4"</t>
        </is>
      </c>
      <c r="E443" s="32" t="inlineStr">
        <is>
          <t>Placa 4x2" cega Padrão NBR IEC 60670</t>
        </is>
      </c>
      <c r="F443" s="33" t="n">
        <v>24</v>
      </c>
      <c r="G443" s="33" t="n">
        <v>24</v>
      </c>
      <c r="H443" s="33" t="n"/>
      <c r="I443" s="35">
        <f>(F443+H443*F443)*G443</f>
        <v/>
      </c>
      <c r="J443" s="33" t="inlineStr">
        <is>
          <t>pç</t>
        </is>
      </c>
      <c r="K443" s="36" t="n">
        <v>8.9</v>
      </c>
      <c r="L443" s="37">
        <f>I443*K443</f>
        <v/>
      </c>
    </row>
    <row r="444">
      <c r="A444" s="32" t="inlineStr">
        <is>
          <t>TORRE</t>
        </is>
      </c>
      <c r="B444" s="32" t="inlineStr">
        <is>
          <t>PAVIMENTO TIPO</t>
        </is>
      </c>
      <c r="C444" s="32" t="inlineStr">
        <is>
          <t>INSTALAÇÕES ELÉTRICAS</t>
        </is>
      </c>
      <c r="D444" s="32" t="inlineStr">
        <is>
          <t>CAIXAS 4x2" E 4x4"</t>
        </is>
      </c>
      <c r="E444" s="32" t="inlineStr">
        <is>
          <t>Placa 4x2" cega em alumínio para caixa de piso Padrão NRB IEC 60670</t>
        </is>
      </c>
      <c r="F444" s="33" t="n">
        <v>2</v>
      </c>
      <c r="G444" s="33" t="n">
        <v>24</v>
      </c>
      <c r="H444" s="33" t="n"/>
      <c r="I444" s="35">
        <f>(F444+H444*F444)*G444</f>
        <v/>
      </c>
      <c r="J444" s="33" t="inlineStr">
        <is>
          <t>pç</t>
        </is>
      </c>
      <c r="K444" s="36" t="n">
        <v>21</v>
      </c>
      <c r="L444" s="37">
        <f>I444*K444</f>
        <v/>
      </c>
    </row>
    <row r="445">
      <c r="A445" s="32" t="inlineStr">
        <is>
          <t>TORRE</t>
        </is>
      </c>
      <c r="B445" s="32" t="inlineStr">
        <is>
          <t>PAVIMENTO TIPO</t>
        </is>
      </c>
      <c r="C445" s="32" t="inlineStr">
        <is>
          <t>INSTALAÇÕES ELÉTRICAS</t>
        </is>
      </c>
      <c r="D445" s="32" t="inlineStr">
        <is>
          <t>CAIXAS 4x2" E 4x4"</t>
        </is>
      </c>
      <c r="E445" s="32" t="inlineStr">
        <is>
          <t>Placa 4x2" com furo para saída de cabos Padrão NBR IEC 60670</t>
        </is>
      </c>
      <c r="F445" s="33" t="n">
        <v>2</v>
      </c>
      <c r="G445" s="33" t="n">
        <v>24</v>
      </c>
      <c r="H445" s="33" t="n"/>
      <c r="I445" s="35">
        <f>(F445+H445*F445)*G445</f>
        <v/>
      </c>
      <c r="J445" s="33" t="inlineStr">
        <is>
          <t>pç</t>
        </is>
      </c>
      <c r="K445" s="36" t="n">
        <v>8.9</v>
      </c>
      <c r="L445" s="37">
        <f>I445*K445</f>
        <v/>
      </c>
    </row>
    <row r="446">
      <c r="A446" s="32" t="inlineStr">
        <is>
          <t>TORRE</t>
        </is>
      </c>
      <c r="B446" s="32" t="inlineStr">
        <is>
          <t>PAVIMENTO TIPO</t>
        </is>
      </c>
      <c r="C446" s="32" t="inlineStr">
        <is>
          <t>INSTALAÇÕES ELÉTRICAS</t>
        </is>
      </c>
      <c r="D446" s="32" t="inlineStr">
        <is>
          <t>CAIXAS 4x2" E 4x4"</t>
        </is>
      </c>
      <c r="E446" s="32" t="inlineStr">
        <is>
          <t>Placa 4x2" para 1 função Padrão NBR IEC 60670</t>
        </is>
      </c>
      <c r="F446" s="33" t="n">
        <v>99</v>
      </c>
      <c r="G446" s="33" t="n">
        <v>24</v>
      </c>
      <c r="H446" s="33" t="n"/>
      <c r="I446" s="35">
        <f>(F446+H446*F446)*G446</f>
        <v/>
      </c>
      <c r="J446" s="33" t="inlineStr">
        <is>
          <t>pç</t>
        </is>
      </c>
      <c r="K446" s="36" t="n">
        <v>8.9</v>
      </c>
      <c r="L446" s="37">
        <f>I446*K446</f>
        <v/>
      </c>
    </row>
    <row r="447">
      <c r="A447" s="32" t="inlineStr">
        <is>
          <t>TORRE</t>
        </is>
      </c>
      <c r="B447" s="32" t="inlineStr">
        <is>
          <t>PAVIMENTO TIPO</t>
        </is>
      </c>
      <c r="C447" s="32" t="inlineStr">
        <is>
          <t>INSTALAÇÕES ELÉTRICAS</t>
        </is>
      </c>
      <c r="D447" s="32" t="inlineStr">
        <is>
          <t>CAIXAS 4x2" E 4x4"</t>
        </is>
      </c>
      <c r="E447" s="32" t="inlineStr">
        <is>
          <t>Placa 4x2" para 2 funções Padrão NBR IEC 60670</t>
        </is>
      </c>
      <c r="F447" s="33" t="n">
        <v>19</v>
      </c>
      <c r="G447" s="33" t="n">
        <v>24</v>
      </c>
      <c r="H447" s="33" t="n">
        <v>0</v>
      </c>
      <c r="I447" s="35">
        <f>(F447+H447*F447)*G447</f>
        <v/>
      </c>
      <c r="J447" s="33" t="inlineStr">
        <is>
          <t>pç</t>
        </is>
      </c>
      <c r="K447" s="36" t="n">
        <v>11</v>
      </c>
      <c r="L447" s="37">
        <f>I447*K447</f>
        <v/>
      </c>
    </row>
    <row r="448">
      <c r="A448" s="32" t="inlineStr">
        <is>
          <t>TORRE</t>
        </is>
      </c>
      <c r="B448" s="32" t="inlineStr">
        <is>
          <t>PAVIMENTO TIPO</t>
        </is>
      </c>
      <c r="C448" s="32" t="inlineStr">
        <is>
          <t>INSTALAÇÕES ELÉTRICAS</t>
        </is>
      </c>
      <c r="D448" s="32" t="inlineStr">
        <is>
          <t>CAIXAS 4x2" E 4x4"</t>
        </is>
      </c>
      <c r="E448" s="32" t="inlineStr">
        <is>
          <t>Placa 4x2" para 3 funções Padrão NBR IEC 60670</t>
        </is>
      </c>
      <c r="F448" s="33" t="n">
        <v>16</v>
      </c>
      <c r="G448" s="33" t="n">
        <v>24</v>
      </c>
      <c r="H448" s="33" t="n">
        <v>0</v>
      </c>
      <c r="I448" s="35">
        <f>(F448+H448*F448)*G448</f>
        <v/>
      </c>
      <c r="J448" s="33" t="inlineStr">
        <is>
          <t>pç</t>
        </is>
      </c>
      <c r="K448" s="36" t="n">
        <v>14.5</v>
      </c>
      <c r="L448" s="37">
        <f>I448*K448</f>
        <v/>
      </c>
    </row>
    <row r="449">
      <c r="A449" s="32" t="inlineStr">
        <is>
          <t>TORRE</t>
        </is>
      </c>
      <c r="B449" s="32" t="inlineStr">
        <is>
          <t>PAVIMENTO TIPO</t>
        </is>
      </c>
      <c r="C449" s="32" t="inlineStr">
        <is>
          <t>INSTALAÇÕES ELÉTRICAS</t>
        </is>
      </c>
      <c r="D449" s="32" t="inlineStr">
        <is>
          <t>CAIXAS 4x2" E 4x4"</t>
        </is>
      </c>
      <c r="E449" s="32" t="inlineStr">
        <is>
          <t>Suporte p/ caixa 4x2" Padrão NBR IEC 60670</t>
        </is>
      </c>
      <c r="F449" s="33" t="n">
        <v>160</v>
      </c>
      <c r="G449" s="33" t="n">
        <v>24</v>
      </c>
      <c r="H449" s="33" t="n">
        <v>0</v>
      </c>
      <c r="I449" s="35">
        <f>(F449+H449*F449)*G449</f>
        <v/>
      </c>
      <c r="J449" s="33" t="inlineStr">
        <is>
          <t>pç</t>
        </is>
      </c>
      <c r="K449" s="36" t="n">
        <v>1.85</v>
      </c>
      <c r="L449" s="37">
        <f>I449*K449</f>
        <v/>
      </c>
    </row>
    <row r="450">
      <c r="A450" s="32" t="inlineStr">
        <is>
          <t>TORRE</t>
        </is>
      </c>
      <c r="B450" s="32" t="inlineStr">
        <is>
          <t>PAVIMENTO TIPO</t>
        </is>
      </c>
      <c r="C450" s="32" t="inlineStr">
        <is>
          <t>INSTALAÇÕES ELÉTRICAS</t>
        </is>
      </c>
      <c r="D450" s="32" t="inlineStr">
        <is>
          <t>CAIXA DE EMBUTIR</t>
        </is>
      </c>
      <c r="E450" s="32" t="inlineStr">
        <is>
          <t>Cx de passagem de embutir com dimensão de 20x20x10 cm</t>
        </is>
      </c>
      <c r="F450" s="33" t="n">
        <v>2</v>
      </c>
      <c r="G450" s="33" t="n">
        <v>24</v>
      </c>
      <c r="H450" s="33" t="n">
        <v>0</v>
      </c>
      <c r="I450" s="35">
        <f>(F450+H450*F450)*G450</f>
        <v/>
      </c>
      <c r="J450" s="33" t="inlineStr">
        <is>
          <t>pç</t>
        </is>
      </c>
      <c r="K450" s="36" t="n">
        <v>31.69</v>
      </c>
      <c r="L450" s="37">
        <f>I450*K450</f>
        <v/>
      </c>
    </row>
    <row r="451">
      <c r="A451" s="32" t="inlineStr">
        <is>
          <t>TORRE</t>
        </is>
      </c>
      <c r="B451" s="32" t="inlineStr">
        <is>
          <t>PAVIMENTO TIPO</t>
        </is>
      </c>
      <c r="C451" s="32" t="inlineStr">
        <is>
          <t>INSTALAÇÕES ELÉTRICAS</t>
        </is>
      </c>
      <c r="D451" s="32" t="inlineStr">
        <is>
          <t>DISPOSITIVOS DE PROTEÇÃO</t>
        </is>
      </c>
      <c r="E451" s="32" t="inlineStr">
        <is>
          <t>Disjuntores Monopolares DIN 10 A - 3 kA - Curva C - NBR NM 60898</t>
        </is>
      </c>
      <c r="F451" s="33" t="n">
        <v>4</v>
      </c>
      <c r="G451" s="33" t="n">
        <v>24</v>
      </c>
      <c r="H451" s="33" t="n">
        <v>0</v>
      </c>
      <c r="I451" s="35">
        <f>(F451+H451*F451)*G451</f>
        <v/>
      </c>
      <c r="J451" s="33" t="inlineStr">
        <is>
          <t>pç</t>
        </is>
      </c>
      <c r="K451" s="36" t="n">
        <v>12.16</v>
      </c>
      <c r="L451" s="37">
        <f>I451*K451</f>
        <v/>
      </c>
    </row>
    <row r="452">
      <c r="A452" s="32" t="inlineStr">
        <is>
          <t>TORRE</t>
        </is>
      </c>
      <c r="B452" s="32" t="inlineStr">
        <is>
          <t>PAVIMENTO TIPO</t>
        </is>
      </c>
      <c r="C452" s="32" t="inlineStr">
        <is>
          <t>INSTALAÇÕES ELÉTRICAS</t>
        </is>
      </c>
      <c r="D452" s="32" t="inlineStr">
        <is>
          <t>DISPOSITIVOS DE PROTEÇÃO</t>
        </is>
      </c>
      <c r="E452" s="32" t="inlineStr">
        <is>
          <t>Disjuntores Monopolares DIN 16 A - 3 kA - Curva C - NBR NM 60898</t>
        </is>
      </c>
      <c r="F452" s="33" t="n">
        <v>16</v>
      </c>
      <c r="G452" s="33" t="n">
        <v>24</v>
      </c>
      <c r="H452" s="33" t="n">
        <v>0</v>
      </c>
      <c r="I452" s="35">
        <f>(F452+H452*F452)*G452</f>
        <v/>
      </c>
      <c r="J452" s="33" t="inlineStr">
        <is>
          <t>pç</t>
        </is>
      </c>
      <c r="K452" s="36" t="n">
        <v>13.05</v>
      </c>
      <c r="L452" s="37">
        <f>I452*K452</f>
        <v/>
      </c>
    </row>
    <row r="453">
      <c r="A453" s="32" t="inlineStr">
        <is>
          <t>TORRE</t>
        </is>
      </c>
      <c r="B453" s="32" t="inlineStr">
        <is>
          <t>PAVIMENTO TIPO</t>
        </is>
      </c>
      <c r="C453" s="32" t="inlineStr">
        <is>
          <t>INSTALAÇÕES ELÉTRICAS</t>
        </is>
      </c>
      <c r="D453" s="32" t="inlineStr">
        <is>
          <t>DISPOSITIVOS DE PROTEÇÃO</t>
        </is>
      </c>
      <c r="E453" s="32" t="inlineStr">
        <is>
          <t>Disjuntores Monopolares DIN 20 A - 3 kA - Curva C - NBR NM 60898</t>
        </is>
      </c>
      <c r="F453" s="33" t="n">
        <v>18</v>
      </c>
      <c r="G453" s="33" t="n">
        <v>24</v>
      </c>
      <c r="H453" s="33" t="n">
        <v>0</v>
      </c>
      <c r="I453" s="35">
        <f>(F453+H453*F453)*G453</f>
        <v/>
      </c>
      <c r="J453" s="33" t="inlineStr">
        <is>
          <t>pç</t>
        </is>
      </c>
      <c r="K453" s="36" t="n">
        <v>14</v>
      </c>
      <c r="L453" s="37">
        <f>I453*K453</f>
        <v/>
      </c>
    </row>
    <row r="454">
      <c r="A454" s="32" t="inlineStr">
        <is>
          <t>TORRE</t>
        </is>
      </c>
      <c r="B454" s="32" t="inlineStr">
        <is>
          <t>PAVIMENTO TIPO</t>
        </is>
      </c>
      <c r="C454" s="32" t="inlineStr">
        <is>
          <t>INSTALAÇÕES ELÉTRICAS</t>
        </is>
      </c>
      <c r="D454" s="32" t="inlineStr">
        <is>
          <t>DISPOSITIVOS DE PROTEÇÃO</t>
        </is>
      </c>
      <c r="E454" s="32" t="inlineStr">
        <is>
          <t>Disjuntores Monopolares DIN 32 A - 3 kA - Curva C - NBR NM 60898</t>
        </is>
      </c>
      <c r="F454" s="33" t="n">
        <v>6</v>
      </c>
      <c r="G454" s="33" t="n">
        <v>24</v>
      </c>
      <c r="H454" s="33" t="n">
        <v>0</v>
      </c>
      <c r="I454" s="35">
        <f>(F454+H454*F454)*G454</f>
        <v/>
      </c>
      <c r="J454" s="33" t="inlineStr">
        <is>
          <t>pç</t>
        </is>
      </c>
      <c r="K454" s="36" t="n">
        <v>21</v>
      </c>
      <c r="L454" s="37">
        <f>I454*K454</f>
        <v/>
      </c>
    </row>
    <row r="455">
      <c r="A455" s="32" t="inlineStr">
        <is>
          <t>TORRE</t>
        </is>
      </c>
      <c r="B455" s="32" t="inlineStr">
        <is>
          <t>PAVIMENTO TIPO</t>
        </is>
      </c>
      <c r="C455" s="32" t="inlineStr">
        <is>
          <t>INSTALAÇÕES ELÉTRICAS</t>
        </is>
      </c>
      <c r="D455" s="32" t="inlineStr">
        <is>
          <t>DISPOSITIVOS DE PROTEÇÃO</t>
        </is>
      </c>
      <c r="E455" s="32" t="inlineStr">
        <is>
          <t>Disjuntores Tripolares DIN 50 A - 10 kA - Curva C - NBR 60947-2</t>
        </is>
      </c>
      <c r="F455" s="33" t="n">
        <v>2</v>
      </c>
      <c r="G455" s="33" t="n">
        <v>24</v>
      </c>
      <c r="H455" s="33" t="n">
        <v>0</v>
      </c>
      <c r="I455" s="35">
        <f>(F455+H455*F455)*G455</f>
        <v/>
      </c>
      <c r="J455" s="33" t="inlineStr">
        <is>
          <t>pç</t>
        </is>
      </c>
      <c r="K455" s="36" t="n">
        <v>64.90000000000001</v>
      </c>
      <c r="L455" s="37">
        <f>I455*K455</f>
        <v/>
      </c>
    </row>
    <row r="456">
      <c r="A456" s="32" t="inlineStr">
        <is>
          <t>TORRE</t>
        </is>
      </c>
      <c r="B456" s="32" t="inlineStr">
        <is>
          <t>PAVIMENTO TIPO</t>
        </is>
      </c>
      <c r="C456" s="32" t="inlineStr">
        <is>
          <t>INSTALAÇÕES ELÉTRICAS</t>
        </is>
      </c>
      <c r="D456" s="32" t="inlineStr">
        <is>
          <t>DISPOSITIVOS DE PROTEÇÃO</t>
        </is>
      </c>
      <c r="E456" s="32" t="inlineStr">
        <is>
          <t>Dispositivos de Proteção Contra Surto 275V - Classe I/II - In=30kA - Imáx.=60kA - NBR IEC 61643-1</t>
        </is>
      </c>
      <c r="F456" s="33" t="n">
        <v>8</v>
      </c>
      <c r="G456" s="33" t="n">
        <v>24</v>
      </c>
      <c r="H456" s="33" t="n">
        <v>0</v>
      </c>
      <c r="I456" s="35">
        <f>(F456+H456*F456)*G456</f>
        <v/>
      </c>
      <c r="J456" s="33" t="inlineStr">
        <is>
          <t>pç</t>
        </is>
      </c>
      <c r="K456" s="36" t="n">
        <v>97</v>
      </c>
      <c r="L456" s="37">
        <f>I456*K456</f>
        <v/>
      </c>
    </row>
    <row r="457">
      <c r="A457" s="32" t="inlineStr">
        <is>
          <t>TORRE</t>
        </is>
      </c>
      <c r="B457" s="32" t="inlineStr">
        <is>
          <t>PAVIMENTO TIPO</t>
        </is>
      </c>
      <c r="C457" s="32" t="inlineStr">
        <is>
          <t>INSTALAÇÕES ELÉTRICAS</t>
        </is>
      </c>
      <c r="D457" s="32" t="inlineStr">
        <is>
          <t>DISPOSITIVOS DE PROTEÇÃO</t>
        </is>
      </c>
      <c r="E457" s="32" t="inlineStr">
        <is>
          <t>Interruptores Diferenciais Residuais Tetrapolares DIN 40A - 30mA - Tipo AC - 230V - NBR NM 61008-1</t>
        </is>
      </c>
      <c r="F457" s="33" t="n">
        <v>4</v>
      </c>
      <c r="G457" s="33" t="n">
        <v>24</v>
      </c>
      <c r="H457" s="33" t="n">
        <v>0</v>
      </c>
      <c r="I457" s="35">
        <f>(F457+H457*F457)*G457</f>
        <v/>
      </c>
      <c r="J457" s="33" t="inlineStr">
        <is>
          <t>pç</t>
        </is>
      </c>
      <c r="K457" s="36" t="n">
        <v>170</v>
      </c>
      <c r="L457" s="37">
        <f>I457*K457</f>
        <v/>
      </c>
    </row>
    <row r="458">
      <c r="A458" s="32" t="inlineStr">
        <is>
          <t>TORRE</t>
        </is>
      </c>
      <c r="B458" s="32" t="inlineStr">
        <is>
          <t>PAVIMENTO TIPO</t>
        </is>
      </c>
      <c r="C458" s="32" t="inlineStr">
        <is>
          <t>INSTALAÇÕES ELÉTRICAS</t>
        </is>
      </c>
      <c r="D458" s="32" t="inlineStr">
        <is>
          <t>ELETRODUTOS</t>
        </is>
      </c>
      <c r="E458" s="32" t="inlineStr">
        <is>
          <t>PVC Flexível Antichama - NBR 15465 ø1"</t>
        </is>
      </c>
      <c r="F458" s="33" t="n">
        <v>142.8</v>
      </c>
      <c r="G458" s="33" t="n">
        <v>24</v>
      </c>
      <c r="H458" s="33" t="n">
        <v>0</v>
      </c>
      <c r="I458" s="35">
        <f>(F458+H458*F458)*G458</f>
        <v/>
      </c>
      <c r="J458" s="33" t="inlineStr">
        <is>
          <t>m</t>
        </is>
      </c>
      <c r="K458" s="36" t="n">
        <v>5</v>
      </c>
      <c r="L458" s="37">
        <f>I458*K458</f>
        <v/>
      </c>
    </row>
    <row r="459">
      <c r="A459" s="32" t="inlineStr">
        <is>
          <t>TORRE</t>
        </is>
      </c>
      <c r="B459" s="32" t="inlineStr">
        <is>
          <t>PAVIMENTO TIPO</t>
        </is>
      </c>
      <c r="C459" s="32" t="inlineStr">
        <is>
          <t>INSTALAÇÕES ELÉTRICAS</t>
        </is>
      </c>
      <c r="D459" s="32" t="inlineStr">
        <is>
          <t>ELETRODUTOS</t>
        </is>
      </c>
      <c r="E459" s="32" t="inlineStr">
        <is>
          <t>PVC Flexível Antichama - NBR 15465 ø3/4"</t>
        </is>
      </c>
      <c r="F459" s="33" t="n">
        <v>558.7</v>
      </c>
      <c r="G459" s="33" t="n">
        <v>24</v>
      </c>
      <c r="H459" s="33" t="n">
        <v>0</v>
      </c>
      <c r="I459" s="35">
        <f>(F459+H459*F459)*G459</f>
        <v/>
      </c>
      <c r="J459" s="33" t="inlineStr">
        <is>
          <t>m</t>
        </is>
      </c>
      <c r="K459" s="36" t="n">
        <v>3.5</v>
      </c>
      <c r="L459" s="37">
        <f>I459*K459</f>
        <v/>
      </c>
    </row>
    <row r="460">
      <c r="A460" s="32" t="inlineStr">
        <is>
          <t>TORRE</t>
        </is>
      </c>
      <c r="B460" s="32" t="inlineStr">
        <is>
          <t>PAVIMENTO TIPO</t>
        </is>
      </c>
      <c r="C460" s="32" t="inlineStr">
        <is>
          <t>INSTALAÇÕES ELÉTRICAS</t>
        </is>
      </c>
      <c r="D460" s="32" t="inlineStr">
        <is>
          <t>MÓDULOS</t>
        </is>
      </c>
      <c r="E460" s="32" t="inlineStr">
        <is>
          <t>Tomada 2P+T 10A Padrão NBR 14136</t>
        </is>
      </c>
      <c r="F460" s="33" t="n">
        <v>64</v>
      </c>
      <c r="G460" s="33" t="n">
        <v>24</v>
      </c>
      <c r="H460" s="33" t="n">
        <v>0</v>
      </c>
      <c r="I460" s="35">
        <f>(F460+H460*F460)*G460</f>
        <v/>
      </c>
      <c r="J460" s="33" t="inlineStr">
        <is>
          <t>pç</t>
        </is>
      </c>
      <c r="K460" s="36" t="n">
        <v>8</v>
      </c>
      <c r="L460" s="37">
        <f>I460*K460</f>
        <v/>
      </c>
    </row>
    <row r="461">
      <c r="A461" s="32" t="inlineStr">
        <is>
          <t>TORRE</t>
        </is>
      </c>
      <c r="B461" s="32" t="inlineStr">
        <is>
          <t>PAVIMENTO TIPO</t>
        </is>
      </c>
      <c r="C461" s="32" t="inlineStr">
        <is>
          <t>INSTALAÇÕES ELÉTRICAS</t>
        </is>
      </c>
      <c r="D461" s="32" t="inlineStr">
        <is>
          <t>MÓDULOS</t>
        </is>
      </c>
      <c r="E461" s="32" t="inlineStr">
        <is>
          <t>Tomada 2P+T 20A Padrão NBR 14136</t>
        </is>
      </c>
      <c r="F461" s="33" t="n">
        <v>30</v>
      </c>
      <c r="G461" s="33" t="n">
        <v>24</v>
      </c>
      <c r="H461" s="33" t="n">
        <v>0</v>
      </c>
      <c r="I461" s="35">
        <f>(F461+H461*F461)*G461</f>
        <v/>
      </c>
      <c r="J461" s="33" t="inlineStr">
        <is>
          <t>pç</t>
        </is>
      </c>
      <c r="K461" s="36" t="n">
        <v>14</v>
      </c>
      <c r="L461" s="37">
        <f>I461*K461</f>
        <v/>
      </c>
    </row>
    <row r="462">
      <c r="A462" s="32" t="inlineStr">
        <is>
          <t>TORRE</t>
        </is>
      </c>
      <c r="B462" s="32" t="inlineStr">
        <is>
          <t>PAVIMENTO TIPO</t>
        </is>
      </c>
      <c r="C462" s="32" t="inlineStr">
        <is>
          <t>INSTALAÇÕES ELÉTRICAS</t>
        </is>
      </c>
      <c r="D462" s="32" t="inlineStr">
        <is>
          <t>MÓDULOS</t>
        </is>
      </c>
      <c r="E462" s="32" t="inlineStr">
        <is>
          <t>Interruptor Intermediário 250V/10A Padrão NBRNM60669</t>
        </is>
      </c>
      <c r="F462" s="33" t="n">
        <v>5</v>
      </c>
      <c r="G462" s="33" t="n">
        <v>24</v>
      </c>
      <c r="H462" s="33" t="n">
        <v>0</v>
      </c>
      <c r="I462" s="35">
        <f>(F462+H462*F462)*G462</f>
        <v/>
      </c>
      <c r="J462" s="33" t="inlineStr">
        <is>
          <t>pç</t>
        </is>
      </c>
      <c r="K462" s="36" t="n">
        <v>24</v>
      </c>
      <c r="L462" s="37">
        <f>I462*K462</f>
        <v/>
      </c>
    </row>
    <row r="463">
      <c r="A463" s="32" t="inlineStr">
        <is>
          <t>TORRE</t>
        </is>
      </c>
      <c r="B463" s="32" t="inlineStr">
        <is>
          <t>PAVIMENTO TIPO</t>
        </is>
      </c>
      <c r="C463" s="32" t="inlineStr">
        <is>
          <t>INSTALAÇÕES ELÉTRICAS</t>
        </is>
      </c>
      <c r="D463" s="32" t="inlineStr">
        <is>
          <t>MÓDULOS</t>
        </is>
      </c>
      <c r="E463" s="32" t="inlineStr">
        <is>
          <t>Interruptor Paralelo 250V/10A Padrão NBRNM60669</t>
        </is>
      </c>
      <c r="F463" s="33" t="n">
        <v>34</v>
      </c>
      <c r="G463" s="33" t="n">
        <v>24</v>
      </c>
      <c r="H463" s="33" t="n">
        <v>0</v>
      </c>
      <c r="I463" s="35">
        <f>(F463+H463*F463)*G463</f>
        <v/>
      </c>
      <c r="J463" s="33" t="inlineStr">
        <is>
          <t>pç</t>
        </is>
      </c>
      <c r="K463" s="36" t="n">
        <v>21</v>
      </c>
      <c r="L463" s="37">
        <f>I463*K463</f>
        <v/>
      </c>
    </row>
    <row r="464">
      <c r="A464" s="32" t="inlineStr">
        <is>
          <t>TORRE</t>
        </is>
      </c>
      <c r="B464" s="32" t="inlineStr">
        <is>
          <t>PAVIMENTO TIPO</t>
        </is>
      </c>
      <c r="C464" s="32" t="inlineStr">
        <is>
          <t>INSTALAÇÕES ELÉTRICAS</t>
        </is>
      </c>
      <c r="D464" s="32" t="inlineStr">
        <is>
          <t>MÓDULOS</t>
        </is>
      </c>
      <c r="E464" s="32" t="inlineStr">
        <is>
          <t>Interruptor Pulsador 250V/10A Padrão NBRNM60669</t>
        </is>
      </c>
      <c r="F464" s="33" t="n">
        <v>10</v>
      </c>
      <c r="G464" s="33" t="n">
        <v>24</v>
      </c>
      <c r="H464" s="33" t="n">
        <v>0</v>
      </c>
      <c r="I464" s="35">
        <f>(F464+H464*F464)*G464</f>
        <v/>
      </c>
      <c r="J464" s="33" t="inlineStr">
        <is>
          <t>pç</t>
        </is>
      </c>
      <c r="K464" s="36" t="n">
        <v>14</v>
      </c>
      <c r="L464" s="37">
        <f>I464*K464</f>
        <v/>
      </c>
    </row>
    <row r="465">
      <c r="A465" s="32" t="inlineStr">
        <is>
          <t>TORRE</t>
        </is>
      </c>
      <c r="B465" s="32" t="inlineStr">
        <is>
          <t>PAVIMENTO TIPO</t>
        </is>
      </c>
      <c r="C465" s="32" t="inlineStr">
        <is>
          <t>INSTALAÇÕES ELÉTRICAS</t>
        </is>
      </c>
      <c r="D465" s="32" t="inlineStr">
        <is>
          <t>MÓDULOS</t>
        </is>
      </c>
      <c r="E465" s="32" t="inlineStr">
        <is>
          <t>Interruptor Simples 250V/10A Padrão NBRNM60669</t>
        </is>
      </c>
      <c r="F465" s="33" t="n">
        <v>42</v>
      </c>
      <c r="G465" s="33" t="n">
        <v>24</v>
      </c>
      <c r="H465" s="33" t="n">
        <v>0</v>
      </c>
      <c r="I465" s="35">
        <f>(F465+H465*F465)*G465</f>
        <v/>
      </c>
      <c r="J465" s="33" t="inlineStr">
        <is>
          <t>pç</t>
        </is>
      </c>
      <c r="K465" s="36" t="n">
        <v>7</v>
      </c>
      <c r="L465" s="37">
        <f>I465*K465</f>
        <v/>
      </c>
    </row>
    <row r="466">
      <c r="A466" s="32" t="inlineStr">
        <is>
          <t>TORRE</t>
        </is>
      </c>
      <c r="B466" s="32" t="inlineStr">
        <is>
          <t>PAVIMENTO TIPO</t>
        </is>
      </c>
      <c r="C466" s="32" t="inlineStr">
        <is>
          <t>INSTALAÇÕES ELÉTRICAS</t>
        </is>
      </c>
      <c r="D466" s="32" t="inlineStr">
        <is>
          <t>QUADROS DE DISTRIBUIÇÃO</t>
        </is>
      </c>
      <c r="E466" s="32" t="inlineStr">
        <is>
          <t>Quadro de dist. de embutir em PVC com cap. de 54 espaços DIN</t>
        </is>
      </c>
      <c r="F466" s="33" t="n">
        <v>2</v>
      </c>
      <c r="G466" s="33" t="n">
        <v>24</v>
      </c>
      <c r="H466" s="33" t="n">
        <v>0</v>
      </c>
      <c r="I466" s="35">
        <f>(F466+H466*F466)*G466</f>
        <v/>
      </c>
      <c r="J466" s="33" t="inlineStr">
        <is>
          <t>pç</t>
        </is>
      </c>
      <c r="K466" s="36" t="n">
        <v>257</v>
      </c>
      <c r="L466" s="37">
        <f>I466*K466</f>
        <v/>
      </c>
    </row>
    <row r="467">
      <c r="A467" s="32" t="inlineStr">
        <is>
          <t>TORRE</t>
        </is>
      </c>
      <c r="B467" s="32" t="inlineStr">
        <is>
          <t>PAVIMENTO TIPO</t>
        </is>
      </c>
      <c r="C467" s="32" t="inlineStr">
        <is>
          <t>INSTALAÇÕES ELÉTRICAS</t>
        </is>
      </c>
      <c r="D467" s="32" t="inlineStr">
        <is>
          <t>SENSORES</t>
        </is>
      </c>
      <c r="E467" s="32" t="inlineStr">
        <is>
          <t>Sensor de Presença</t>
        </is>
      </c>
      <c r="F467" s="33" t="n">
        <v>1</v>
      </c>
      <c r="G467" s="33" t="n">
        <v>24</v>
      </c>
      <c r="H467" s="33" t="n">
        <v>0</v>
      </c>
      <c r="I467" s="35">
        <f>(F467+H467*F467)*G467</f>
        <v/>
      </c>
      <c r="J467" s="33" t="inlineStr">
        <is>
          <t>pç</t>
        </is>
      </c>
      <c r="K467" s="36" t="n">
        <v>29</v>
      </c>
      <c r="L467" s="37">
        <f>I467*K467</f>
        <v/>
      </c>
    </row>
    <row r="468">
      <c r="A468" s="32" t="inlineStr">
        <is>
          <t>TORRE</t>
        </is>
      </c>
      <c r="B468" s="32" t="inlineStr">
        <is>
          <t>PAVIMENTO TIPO</t>
        </is>
      </c>
      <c r="C468" s="32" t="inlineStr">
        <is>
          <t>INSTALAÇÕES ELÉTRICAS</t>
        </is>
      </c>
      <c r="D468" s="32" t="inlineStr">
        <is>
          <t>CABO UNIPOLAR</t>
        </is>
      </c>
      <c r="E468" s="32" t="inlineStr">
        <is>
          <t>Isolação em PVC (70ºC) 1.5 mm² - Amarelo</t>
        </is>
      </c>
      <c r="F468" s="33" t="n">
        <v>798.5</v>
      </c>
      <c r="G468" s="33" t="n">
        <v>24</v>
      </c>
      <c r="H468" s="33" t="n">
        <v>0</v>
      </c>
      <c r="I468" s="35">
        <f>(F468+H468*F468)*G468</f>
        <v/>
      </c>
      <c r="J468" s="33" t="inlineStr">
        <is>
          <t>m</t>
        </is>
      </c>
      <c r="K468" s="36" t="n">
        <v>1.14</v>
      </c>
      <c r="L468" s="37">
        <f>I468*K468</f>
        <v/>
      </c>
    </row>
    <row r="469">
      <c r="A469" s="32" t="inlineStr">
        <is>
          <t>TORRE</t>
        </is>
      </c>
      <c r="B469" s="32" t="inlineStr">
        <is>
          <t>PAVIMENTO TIPO</t>
        </is>
      </c>
      <c r="C469" s="32" t="inlineStr">
        <is>
          <t>INSTALAÇÕES ELÉTRICAS</t>
        </is>
      </c>
      <c r="D469" s="32" t="inlineStr">
        <is>
          <t>CABO UNIPOLAR</t>
        </is>
      </c>
      <c r="E469" s="32" t="inlineStr">
        <is>
          <t>Isolação em PVC (70ºC) 1.5 mm² - Azul claro</t>
        </is>
      </c>
      <c r="F469" s="33" t="n">
        <v>244.6</v>
      </c>
      <c r="G469" s="33" t="n">
        <v>24</v>
      </c>
      <c r="H469" s="33" t="n">
        <v>0</v>
      </c>
      <c r="I469" s="35">
        <f>(F469+H469*F469)*G469</f>
        <v/>
      </c>
      <c r="J469" s="33" t="inlineStr">
        <is>
          <t>m</t>
        </is>
      </c>
      <c r="K469" s="36" t="n">
        <v>1.14</v>
      </c>
      <c r="L469" s="37">
        <f>I469*K469</f>
        <v/>
      </c>
    </row>
    <row r="470">
      <c r="A470" s="32" t="inlineStr">
        <is>
          <t>TORRE</t>
        </is>
      </c>
      <c r="B470" s="32" t="inlineStr">
        <is>
          <t>PAVIMENTO TIPO</t>
        </is>
      </c>
      <c r="C470" s="32" t="inlineStr">
        <is>
          <t>INSTALAÇÕES ELÉTRICAS</t>
        </is>
      </c>
      <c r="D470" s="32" t="inlineStr">
        <is>
          <t>CABO UNIPOLAR</t>
        </is>
      </c>
      <c r="E470" s="32" t="inlineStr">
        <is>
          <t>Isolação em PVC (70ºC) 1.5 mm² - Branco</t>
        </is>
      </c>
      <c r="F470" s="33" t="n">
        <v>127.9</v>
      </c>
      <c r="G470" s="33" t="n">
        <v>24</v>
      </c>
      <c r="H470" s="33" t="n">
        <v>0</v>
      </c>
      <c r="I470" s="35">
        <f>(F470+H470*F470)*G470</f>
        <v/>
      </c>
      <c r="J470" s="33" t="inlineStr">
        <is>
          <t>m</t>
        </is>
      </c>
      <c r="K470" s="36" t="n">
        <v>1.14</v>
      </c>
      <c r="L470" s="37">
        <f>I470*K470</f>
        <v/>
      </c>
    </row>
    <row r="471">
      <c r="A471" s="32" t="inlineStr">
        <is>
          <t>TORRE</t>
        </is>
      </c>
      <c r="B471" s="32" t="inlineStr">
        <is>
          <t>PAVIMENTO TIPO</t>
        </is>
      </c>
      <c r="C471" s="32" t="inlineStr">
        <is>
          <t>INSTALAÇÕES ELÉTRICAS</t>
        </is>
      </c>
      <c r="D471" s="32" t="inlineStr">
        <is>
          <t>CABO UNIPOLAR</t>
        </is>
      </c>
      <c r="E471" s="32" t="inlineStr">
        <is>
          <t>Isolação em PVC (70ºC) 1.5 mm² - Preto</t>
        </is>
      </c>
      <c r="F471" s="33" t="n">
        <v>179.4</v>
      </c>
      <c r="G471" s="33" t="n">
        <v>24</v>
      </c>
      <c r="H471" s="33" t="n">
        <v>0</v>
      </c>
      <c r="I471" s="35">
        <f>(F471+H471*F471)*G471</f>
        <v/>
      </c>
      <c r="J471" s="33" t="inlineStr">
        <is>
          <t>m</t>
        </is>
      </c>
      <c r="K471" s="36" t="n">
        <v>1.14</v>
      </c>
      <c r="L471" s="37">
        <f>I471*K471</f>
        <v/>
      </c>
    </row>
    <row r="472">
      <c r="A472" s="32" t="inlineStr">
        <is>
          <t>TORRE</t>
        </is>
      </c>
      <c r="B472" s="32" t="inlineStr">
        <is>
          <t>PAVIMENTO TIPO</t>
        </is>
      </c>
      <c r="C472" s="32" t="inlineStr">
        <is>
          <t>INSTALAÇÕES ELÉTRICAS</t>
        </is>
      </c>
      <c r="D472" s="32" t="inlineStr">
        <is>
          <t>CABO UNIPOLAR</t>
        </is>
      </c>
      <c r="E472" s="32" t="inlineStr">
        <is>
          <t>Isolação em PVC (70ºC) 1.5 mm² - Verde-amarelo</t>
        </is>
      </c>
      <c r="F472" s="33" t="n">
        <v>39.4</v>
      </c>
      <c r="G472" s="33" t="n">
        <v>24</v>
      </c>
      <c r="H472" s="33" t="n">
        <v>0</v>
      </c>
      <c r="I472" s="35">
        <f>(F472+H472*F472)*G472</f>
        <v/>
      </c>
      <c r="J472" s="33" t="inlineStr">
        <is>
          <t>m</t>
        </is>
      </c>
      <c r="K472" s="36" t="n">
        <v>1.14</v>
      </c>
      <c r="L472" s="37">
        <f>I472*K472</f>
        <v/>
      </c>
    </row>
    <row r="473">
      <c r="A473" s="32" t="inlineStr">
        <is>
          <t>TORRE</t>
        </is>
      </c>
      <c r="B473" s="32" t="inlineStr">
        <is>
          <t>PAVIMENTO TIPO</t>
        </is>
      </c>
      <c r="C473" s="32" t="inlineStr">
        <is>
          <t>INSTALAÇÕES ELÉTRICAS</t>
        </is>
      </c>
      <c r="D473" s="32" t="inlineStr">
        <is>
          <t>CABO UNIPOLAR</t>
        </is>
      </c>
      <c r="E473" s="32" t="inlineStr">
        <is>
          <t>Isolação em PVC (70ºC) 2.5 mm² - Amarelo</t>
        </is>
      </c>
      <c r="F473" s="33" t="n">
        <v>81</v>
      </c>
      <c r="G473" s="33" t="n">
        <v>24</v>
      </c>
      <c r="H473" s="33" t="n">
        <v>0</v>
      </c>
      <c r="I473" s="35">
        <f>(F473+H473*F473)*G473</f>
        <v/>
      </c>
      <c r="J473" s="33" t="inlineStr">
        <is>
          <t>m</t>
        </is>
      </c>
      <c r="K473" s="36" t="n">
        <v>2.12</v>
      </c>
      <c r="L473" s="37">
        <f>I473*K473</f>
        <v/>
      </c>
    </row>
    <row r="474">
      <c r="A474" s="32" t="inlineStr">
        <is>
          <t>TORRE</t>
        </is>
      </c>
      <c r="B474" s="32" t="inlineStr">
        <is>
          <t>PAVIMENTO TIPO</t>
        </is>
      </c>
      <c r="C474" s="32" t="inlineStr">
        <is>
          <t>INSTALAÇÕES ELÉTRICAS</t>
        </is>
      </c>
      <c r="D474" s="32" t="inlineStr">
        <is>
          <t>CABO UNIPOLAR</t>
        </is>
      </c>
      <c r="E474" s="32" t="inlineStr">
        <is>
          <t>Isolação em PVC (70ºC) 2.5 mm² - Azul claro</t>
        </is>
      </c>
      <c r="F474" s="33" t="n">
        <v>532.3</v>
      </c>
      <c r="G474" s="33" t="n">
        <v>24</v>
      </c>
      <c r="H474" s="33" t="n">
        <v>0</v>
      </c>
      <c r="I474" s="35">
        <f>(F474+H474*F474)*G474</f>
        <v/>
      </c>
      <c r="J474" s="33" t="inlineStr">
        <is>
          <t>m</t>
        </is>
      </c>
      <c r="K474" s="36" t="n">
        <v>2.12</v>
      </c>
      <c r="L474" s="37">
        <f>I474*K474</f>
        <v/>
      </c>
    </row>
    <row r="475">
      <c r="A475" s="32" t="inlineStr">
        <is>
          <t>TORRE</t>
        </is>
      </c>
      <c r="B475" s="32" t="inlineStr">
        <is>
          <t>PAVIMENTO TIPO</t>
        </is>
      </c>
      <c r="C475" s="32" t="inlineStr">
        <is>
          <t>INSTALAÇÕES ELÉTRICAS</t>
        </is>
      </c>
      <c r="D475" s="32" t="inlineStr">
        <is>
          <t>CABO UNIPOLAR</t>
        </is>
      </c>
      <c r="E475" s="32" t="inlineStr">
        <is>
          <t>Isolação em PVC (70ºC) 2.5 mm² - Branco</t>
        </is>
      </c>
      <c r="F475" s="33" t="n">
        <v>156.3</v>
      </c>
      <c r="G475" s="33" t="n">
        <v>24</v>
      </c>
      <c r="H475" s="33" t="n">
        <v>0</v>
      </c>
      <c r="I475" s="35">
        <f>(F475+H475*F475)*G475</f>
        <v/>
      </c>
      <c r="J475" s="33" t="inlineStr">
        <is>
          <t>m</t>
        </is>
      </c>
      <c r="K475" s="36" t="n">
        <v>2.12</v>
      </c>
      <c r="L475" s="37">
        <f>I475*K475</f>
        <v/>
      </c>
    </row>
    <row r="476">
      <c r="A476" s="32" t="inlineStr">
        <is>
          <t>TORRE</t>
        </is>
      </c>
      <c r="B476" s="32" t="inlineStr">
        <is>
          <t>PAVIMENTO TIPO</t>
        </is>
      </c>
      <c r="C476" s="32" t="inlineStr">
        <is>
          <t>INSTALAÇÕES ELÉTRICAS</t>
        </is>
      </c>
      <c r="D476" s="32" t="inlineStr">
        <is>
          <t>CABO UNIPOLAR</t>
        </is>
      </c>
      <c r="E476" s="32" t="inlineStr">
        <is>
          <t>Isolação em PVC (70ºC) 2.5 mm² - Preto</t>
        </is>
      </c>
      <c r="F476" s="33" t="n">
        <v>140.3</v>
      </c>
      <c r="G476" s="33" t="n">
        <v>24</v>
      </c>
      <c r="H476" s="33" t="n">
        <v>0</v>
      </c>
      <c r="I476" s="35">
        <f>(F476+H476*F476)*G476</f>
        <v/>
      </c>
      <c r="J476" s="33" t="inlineStr">
        <is>
          <t>m</t>
        </is>
      </c>
      <c r="K476" s="36" t="n">
        <v>2.12</v>
      </c>
      <c r="L476" s="37">
        <f>I476*K476</f>
        <v/>
      </c>
    </row>
    <row r="477">
      <c r="A477" s="32" t="inlineStr">
        <is>
          <t>TORRE</t>
        </is>
      </c>
      <c r="B477" s="32" t="inlineStr">
        <is>
          <t>PAVIMENTO TIPO</t>
        </is>
      </c>
      <c r="C477" s="32" t="inlineStr">
        <is>
          <t>INSTALAÇÕES ELÉTRICAS</t>
        </is>
      </c>
      <c r="D477" s="32" t="inlineStr">
        <is>
          <t>CABO UNIPOLAR</t>
        </is>
      </c>
      <c r="E477" s="32" t="inlineStr">
        <is>
          <t>Isolação em PVC (70ºC) 2.5 mm² - Verde-amarelo</t>
        </is>
      </c>
      <c r="F477" s="33" t="n">
        <v>331.4</v>
      </c>
      <c r="G477" s="33" t="n">
        <v>24</v>
      </c>
      <c r="H477" s="33" t="n">
        <v>0</v>
      </c>
      <c r="I477" s="35">
        <f>(F477+H477*F477)*G477</f>
        <v/>
      </c>
      <c r="J477" s="33" t="inlineStr">
        <is>
          <t>m</t>
        </is>
      </c>
      <c r="K477" s="36" t="n">
        <v>2.12</v>
      </c>
      <c r="L477" s="37">
        <f>I477*K477</f>
        <v/>
      </c>
    </row>
    <row r="478">
      <c r="A478" s="32" t="inlineStr">
        <is>
          <t>TORRE</t>
        </is>
      </c>
      <c r="B478" s="32" t="inlineStr">
        <is>
          <t>PAVIMENTO TIPO</t>
        </is>
      </c>
      <c r="C478" s="32" t="inlineStr">
        <is>
          <t>INSTALAÇÕES ELÉTRICAS</t>
        </is>
      </c>
      <c r="D478" s="32" t="inlineStr">
        <is>
          <t>CABO UNIPOLAR</t>
        </is>
      </c>
      <c r="E478" s="32" t="inlineStr">
        <is>
          <t>Isolação em PVC (70ºC) 2.5 mm² - Vermelho</t>
        </is>
      </c>
      <c r="F478" s="33" t="n">
        <v>241.4</v>
      </c>
      <c r="G478" s="33" t="n">
        <v>24</v>
      </c>
      <c r="H478" s="33" t="n">
        <v>0</v>
      </c>
      <c r="I478" s="35">
        <f>(F478+H478*F478)*G478</f>
        <v/>
      </c>
      <c r="J478" s="33" t="inlineStr">
        <is>
          <t>m</t>
        </is>
      </c>
      <c r="K478" s="36" t="n">
        <v>2.12</v>
      </c>
      <c r="L478" s="37">
        <f>I478*K478</f>
        <v/>
      </c>
    </row>
    <row r="479">
      <c r="A479" s="32" t="inlineStr">
        <is>
          <t>TORRE</t>
        </is>
      </c>
      <c r="B479" s="32" t="inlineStr">
        <is>
          <t>PAVIMENTO TIPO</t>
        </is>
      </c>
      <c r="C479" s="32" t="inlineStr">
        <is>
          <t>INSTALAÇÕES ELÉTRICAS</t>
        </is>
      </c>
      <c r="D479" s="32" t="inlineStr">
        <is>
          <t>CABO UNIPOLAR</t>
        </is>
      </c>
      <c r="E479" s="32" t="inlineStr">
        <is>
          <t>Isolação em PVC (70ºC) 4 mm² - Amarelo</t>
        </is>
      </c>
      <c r="F479" s="33" t="n">
        <v>1.8</v>
      </c>
      <c r="G479" s="33" t="n">
        <v>24</v>
      </c>
      <c r="H479" s="33" t="n">
        <v>0</v>
      </c>
      <c r="I479" s="35">
        <f>(F479+H479*F479)*G479</f>
        <v/>
      </c>
      <c r="J479" s="33" t="inlineStr">
        <is>
          <t>m</t>
        </is>
      </c>
      <c r="K479" s="36" t="n">
        <v>3.51</v>
      </c>
      <c r="L479" s="37">
        <f>I479*K479</f>
        <v/>
      </c>
    </row>
    <row r="480">
      <c r="A480" s="32" t="inlineStr">
        <is>
          <t>TORRE</t>
        </is>
      </c>
      <c r="B480" s="32" t="inlineStr">
        <is>
          <t>PAVIMENTO TIPO</t>
        </is>
      </c>
      <c r="C480" s="32" t="inlineStr">
        <is>
          <t>INSTALAÇÕES ELÉTRICAS</t>
        </is>
      </c>
      <c r="D480" s="32" t="inlineStr">
        <is>
          <t>CABO UNIPOLAR</t>
        </is>
      </c>
      <c r="E480" s="32" t="inlineStr">
        <is>
          <t>Isolação em PVC (70ºC) 4 mm² - Azul claro</t>
        </is>
      </c>
      <c r="F480" s="33" t="n">
        <v>336.9</v>
      </c>
      <c r="G480" s="33" t="n">
        <v>24</v>
      </c>
      <c r="H480" s="33" t="n">
        <v>0</v>
      </c>
      <c r="I480" s="35">
        <f>(F480+H480*F480)*G480</f>
        <v/>
      </c>
      <c r="J480" s="33" t="inlineStr">
        <is>
          <t>m</t>
        </is>
      </c>
      <c r="K480" s="36" t="n">
        <v>3.51</v>
      </c>
      <c r="L480" s="37">
        <f>I480*K480</f>
        <v/>
      </c>
    </row>
    <row r="481">
      <c r="A481" s="32" t="inlineStr">
        <is>
          <t>TORRE</t>
        </is>
      </c>
      <c r="B481" s="32" t="inlineStr">
        <is>
          <t>PAVIMENTO TIPO</t>
        </is>
      </c>
      <c r="C481" s="32" t="inlineStr">
        <is>
          <t>INSTALAÇÕES ELÉTRICAS</t>
        </is>
      </c>
      <c r="D481" s="32" t="inlineStr">
        <is>
          <t>CABO UNIPOLAR</t>
        </is>
      </c>
      <c r="E481" s="32" t="inlineStr">
        <is>
          <t>Isolação em PVC (70ºC) 4 mm² - Branco</t>
        </is>
      </c>
      <c r="F481" s="33" t="n">
        <v>128.7</v>
      </c>
      <c r="G481" s="33" t="n">
        <v>24</v>
      </c>
      <c r="H481" s="33" t="n">
        <v>0</v>
      </c>
      <c r="I481" s="35">
        <f>(F481+H481*F481)*G481</f>
        <v/>
      </c>
      <c r="J481" s="33" t="inlineStr">
        <is>
          <t>m</t>
        </is>
      </c>
      <c r="K481" s="36" t="n">
        <v>3.51</v>
      </c>
      <c r="L481" s="37">
        <f>I481*K481</f>
        <v/>
      </c>
    </row>
    <row r="482">
      <c r="A482" s="32" t="inlineStr">
        <is>
          <t>TORRE</t>
        </is>
      </c>
      <c r="B482" s="32" t="inlineStr">
        <is>
          <t>PAVIMENTO TIPO</t>
        </is>
      </c>
      <c r="C482" s="32" t="inlineStr">
        <is>
          <t>INSTALAÇÕES ELÉTRICAS</t>
        </is>
      </c>
      <c r="D482" s="32" t="inlineStr">
        <is>
          <t>CABO UNIPOLAR</t>
        </is>
      </c>
      <c r="E482" s="32" t="inlineStr">
        <is>
          <t>Isolação em PVC (70ºC) 4 mm² - Preto</t>
        </is>
      </c>
      <c r="F482" s="33" t="n">
        <v>118.1</v>
      </c>
      <c r="G482" s="33" t="n">
        <v>24</v>
      </c>
      <c r="H482" s="33" t="n">
        <v>0</v>
      </c>
      <c r="I482" s="35">
        <f>(F482+H482*F482)*G482</f>
        <v/>
      </c>
      <c r="J482" s="33" t="inlineStr">
        <is>
          <t>m</t>
        </is>
      </c>
      <c r="K482" s="36" t="n">
        <v>3.51</v>
      </c>
      <c r="L482" s="37">
        <f>I482*K482</f>
        <v/>
      </c>
    </row>
    <row r="483">
      <c r="A483" s="32" t="inlineStr">
        <is>
          <t>TORRE</t>
        </is>
      </c>
      <c r="B483" s="32" t="inlineStr">
        <is>
          <t>PAVIMENTO TIPO</t>
        </is>
      </c>
      <c r="C483" s="32" t="inlineStr">
        <is>
          <t>INSTALAÇÕES ELÉTRICAS</t>
        </is>
      </c>
      <c r="D483" s="32" t="inlineStr">
        <is>
          <t>CABO UNIPOLAR</t>
        </is>
      </c>
      <c r="E483" s="32" t="inlineStr">
        <is>
          <t>Isolação em PVC (70ºC) 4 mm² - Verde-amarelo</t>
        </is>
      </c>
      <c r="F483" s="33" t="n">
        <v>189.5</v>
      </c>
      <c r="G483" s="33" t="n">
        <v>24</v>
      </c>
      <c r="H483" s="33" t="n">
        <v>0</v>
      </c>
      <c r="I483" s="35">
        <f>(F483+H483*F483)*G483</f>
        <v/>
      </c>
      <c r="J483" s="33" t="inlineStr">
        <is>
          <t>m</t>
        </is>
      </c>
      <c r="K483" s="36" t="n">
        <v>3.51</v>
      </c>
      <c r="L483" s="37">
        <f>I483*K483</f>
        <v/>
      </c>
    </row>
    <row r="484" ht="15" customHeight="1">
      <c r="A484" s="32" t="inlineStr">
        <is>
          <t>TORRE</t>
        </is>
      </c>
      <c r="B484" s="32" t="inlineStr">
        <is>
          <t>PAVIMENTO TIPO</t>
        </is>
      </c>
      <c r="C484" s="32" t="inlineStr">
        <is>
          <t>INSTALAÇÕES ELÉTRICAS</t>
        </is>
      </c>
      <c r="D484" s="32" t="inlineStr">
        <is>
          <t>CABO UNIPOLAR</t>
        </is>
      </c>
      <c r="E484" s="32" t="inlineStr">
        <is>
          <t>Isolação em PVC (70ºC) 4 mm² - Vermelho</t>
        </is>
      </c>
      <c r="F484" s="33" t="n">
        <v>92</v>
      </c>
      <c r="G484" s="33" t="n">
        <v>24</v>
      </c>
      <c r="H484" s="33" t="n">
        <v>0</v>
      </c>
      <c r="I484" s="35">
        <f>(F484+H484*F484)*G484</f>
        <v/>
      </c>
      <c r="J484" s="33" t="inlineStr">
        <is>
          <t>m</t>
        </is>
      </c>
      <c r="K484" s="36" t="n">
        <v>3.51</v>
      </c>
      <c r="L484" s="37">
        <f>I484*K484</f>
        <v/>
      </c>
    </row>
    <row r="485" ht="15" customHeight="1">
      <c r="A485" s="40" t="inlineStr">
        <is>
          <t>TORRE</t>
        </is>
      </c>
      <c r="B485" s="40" t="inlineStr">
        <is>
          <t>CASA DE MÁQUINAS</t>
        </is>
      </c>
      <c r="C485" s="41" t="n"/>
      <c r="D485" s="42" t="n"/>
      <c r="E485" s="42" t="n"/>
      <c r="F485" s="43" t="n"/>
      <c r="G485" s="43" t="n"/>
      <c r="H485" s="43" t="n"/>
      <c r="I485" s="44" t="n"/>
      <c r="J485" s="43" t="n"/>
      <c r="K485" s="45" t="n"/>
      <c r="L485" s="46">
        <f>SUMIFS($L$7:$L$513,$B$7:$B$513,B485,$E$7:$E$513,"&lt;&gt;"&amp;"")</f>
        <v/>
      </c>
    </row>
    <row r="486">
      <c r="A486" s="32" t="inlineStr">
        <is>
          <t>TORRE</t>
        </is>
      </c>
      <c r="B486" s="32" t="inlineStr">
        <is>
          <t>CASA DE MÁQUINAS</t>
        </is>
      </c>
      <c r="C486" s="32" t="inlineStr">
        <is>
          <t>INSTALAÇÕES ELÉTRICAS</t>
        </is>
      </c>
      <c r="D486" s="32" t="inlineStr">
        <is>
          <t>CAIXA OCTOGONAL</t>
        </is>
      </c>
      <c r="E486" s="32" t="inlineStr">
        <is>
          <t>Caixa Octogonal Padrão NBR IEC 60670</t>
        </is>
      </c>
      <c r="F486" s="33" t="n">
        <v>10</v>
      </c>
      <c r="G486" s="33" t="n">
        <v>1</v>
      </c>
      <c r="H486" s="33" t="n">
        <v>0</v>
      </c>
      <c r="I486" s="35">
        <f>(F486+H486*F486)*G486</f>
        <v/>
      </c>
      <c r="J486" s="33" t="inlineStr">
        <is>
          <t>pç</t>
        </is>
      </c>
      <c r="K486" s="36" t="n">
        <v>3.55</v>
      </c>
      <c r="L486" s="37">
        <f>I486*K486</f>
        <v/>
      </c>
    </row>
    <row r="487">
      <c r="A487" s="32" t="inlineStr">
        <is>
          <t>TORRE</t>
        </is>
      </c>
      <c r="B487" s="32" t="inlineStr">
        <is>
          <t>CASA DE MÁQUINAS</t>
        </is>
      </c>
      <c r="C487" s="32" t="inlineStr">
        <is>
          <t>INSTALAÇÕES ELÉTRICAS</t>
        </is>
      </c>
      <c r="D487" s="32" t="inlineStr">
        <is>
          <t>CAIXAS 4x2" E 4x4"</t>
        </is>
      </c>
      <c r="E487" s="32" t="inlineStr">
        <is>
          <t>Caixa 4x2" de Embutir em PVC Padrão NBR IEC 60670</t>
        </is>
      </c>
      <c r="F487" s="33" t="n">
        <v>10</v>
      </c>
      <c r="G487" s="33" t="n">
        <v>1</v>
      </c>
      <c r="H487" s="33" t="n">
        <v>0</v>
      </c>
      <c r="I487" s="35">
        <f>(F487+H487*F487)*G487</f>
        <v/>
      </c>
      <c r="J487" s="33" t="inlineStr">
        <is>
          <t>pç</t>
        </is>
      </c>
      <c r="K487" s="36" t="n">
        <v>2.2</v>
      </c>
      <c r="L487" s="37">
        <f>I487*K487</f>
        <v/>
      </c>
    </row>
    <row r="488">
      <c r="A488" s="32" t="inlineStr">
        <is>
          <t>TORRE</t>
        </is>
      </c>
      <c r="B488" s="32" t="inlineStr">
        <is>
          <t>CASA DE MÁQUINAS</t>
        </is>
      </c>
      <c r="C488" s="32" t="inlineStr">
        <is>
          <t>INSTALAÇÕES ELÉTRICAS</t>
        </is>
      </c>
      <c r="D488" s="32" t="inlineStr">
        <is>
          <t>CAIXAS 4x2" E 4x4"</t>
        </is>
      </c>
      <c r="E488" s="32" t="inlineStr">
        <is>
          <t>Caixa 4x4" de Embutir em PVC Padrão NBR IEC 60670</t>
        </is>
      </c>
      <c r="F488" s="33" t="n">
        <v>1</v>
      </c>
      <c r="G488" s="33" t="n">
        <v>1</v>
      </c>
      <c r="H488" s="33" t="n"/>
      <c r="I488" s="35">
        <f>(F488+H488*F488)*G488</f>
        <v/>
      </c>
      <c r="J488" s="33" t="inlineStr">
        <is>
          <t>pç</t>
        </is>
      </c>
      <c r="K488" s="36" t="n">
        <v>2.67</v>
      </c>
      <c r="L488" s="37">
        <f>I488*K488</f>
        <v/>
      </c>
    </row>
    <row r="489">
      <c r="A489" s="32" t="inlineStr">
        <is>
          <t>TORRE</t>
        </is>
      </c>
      <c r="B489" s="32" t="inlineStr">
        <is>
          <t>CASA DE MÁQUINAS</t>
        </is>
      </c>
      <c r="C489" s="32" t="inlineStr">
        <is>
          <t>INSTALAÇÕES ELÉTRICAS</t>
        </is>
      </c>
      <c r="D489" s="32" t="inlineStr">
        <is>
          <t>CAIXAS 4x2" E 4x4"</t>
        </is>
      </c>
      <c r="E489" s="32" t="inlineStr">
        <is>
          <t>Placa 4x2" para 1 função Padrão NBR IEC 60670</t>
        </is>
      </c>
      <c r="F489" s="33" t="n">
        <v>10</v>
      </c>
      <c r="G489" s="33" t="n">
        <v>1</v>
      </c>
      <c r="H489" s="33" t="n"/>
      <c r="I489" s="35">
        <f>(F489+H489*F489)*G489</f>
        <v/>
      </c>
      <c r="J489" s="33" t="inlineStr">
        <is>
          <t>pç</t>
        </is>
      </c>
      <c r="K489" s="36" t="n">
        <v>8.9</v>
      </c>
      <c r="L489" s="37">
        <f>I489*K489</f>
        <v/>
      </c>
    </row>
    <row r="490">
      <c r="A490" s="32" t="inlineStr">
        <is>
          <t>TORRE</t>
        </is>
      </c>
      <c r="B490" s="32" t="inlineStr">
        <is>
          <t>CASA DE MÁQUINAS</t>
        </is>
      </c>
      <c r="C490" s="32" t="inlineStr">
        <is>
          <t>INSTALAÇÕES ELÉTRICAS</t>
        </is>
      </c>
      <c r="D490" s="32" t="inlineStr">
        <is>
          <t>CAIXAS 4x2" E 4x4"</t>
        </is>
      </c>
      <c r="E490" s="32" t="inlineStr">
        <is>
          <t>Placa 4x4" cega Padrão NBR IEC 60670</t>
        </is>
      </c>
      <c r="F490" s="33" t="n">
        <v>1</v>
      </c>
      <c r="G490" s="33" t="n">
        <v>1</v>
      </c>
      <c r="H490" s="33" t="n"/>
      <c r="I490" s="35">
        <f>(F490+H490*F490)*G490</f>
        <v/>
      </c>
      <c r="J490" s="33" t="inlineStr">
        <is>
          <t>pç</t>
        </is>
      </c>
      <c r="K490" s="36" t="n">
        <v>16.5</v>
      </c>
      <c r="L490" s="37">
        <f>I490*K490</f>
        <v/>
      </c>
    </row>
    <row r="491">
      <c r="A491" s="32" t="inlineStr">
        <is>
          <t>TORRE</t>
        </is>
      </c>
      <c r="B491" s="32" t="inlineStr">
        <is>
          <t>CASA DE MÁQUINAS</t>
        </is>
      </c>
      <c r="C491" s="32" t="inlineStr">
        <is>
          <t>INSTALAÇÕES ELÉTRICAS</t>
        </is>
      </c>
      <c r="D491" s="32" t="inlineStr">
        <is>
          <t>CAIXAS 4x2" E 4x4"</t>
        </is>
      </c>
      <c r="E491" s="32" t="inlineStr">
        <is>
          <t>Suporte p/ caixa 4x2" Padrão NBR IEC 60670</t>
        </is>
      </c>
      <c r="F491" s="33" t="n">
        <v>10</v>
      </c>
      <c r="G491" s="33" t="n">
        <v>1</v>
      </c>
      <c r="H491" s="33" t="n"/>
      <c r="I491" s="35">
        <f>(F491+H491*F491)*G491</f>
        <v/>
      </c>
      <c r="J491" s="33" t="inlineStr">
        <is>
          <t>pç</t>
        </is>
      </c>
      <c r="K491" s="36" t="n">
        <v>1.85</v>
      </c>
      <c r="L491" s="37">
        <f>I491*K491</f>
        <v/>
      </c>
    </row>
    <row r="492">
      <c r="A492" s="32" t="inlineStr">
        <is>
          <t>TORRE</t>
        </is>
      </c>
      <c r="B492" s="32" t="inlineStr">
        <is>
          <t>CASA DE MÁQUINAS</t>
        </is>
      </c>
      <c r="C492" s="32" t="inlineStr">
        <is>
          <t>INSTALAÇÕES ELÉTRICAS</t>
        </is>
      </c>
      <c r="D492" s="32" t="inlineStr">
        <is>
          <t>CAIXAS 4x2" E 4x4"</t>
        </is>
      </c>
      <c r="E492" s="32" t="inlineStr">
        <is>
          <t>Suporte p/ caixa 4x4" Padrão NBR IEC 60670</t>
        </is>
      </c>
      <c r="F492" s="33" t="n">
        <v>1</v>
      </c>
      <c r="G492" s="33" t="n">
        <v>1</v>
      </c>
      <c r="H492" s="33" t="n"/>
      <c r="I492" s="35">
        <f>(F492+H492*F492)*G492</f>
        <v/>
      </c>
      <c r="J492" s="33" t="inlineStr">
        <is>
          <t>pç</t>
        </is>
      </c>
      <c r="K492" s="36" t="n">
        <v>2.23</v>
      </c>
      <c r="L492" s="37">
        <f>I492*K492</f>
        <v/>
      </c>
    </row>
    <row r="493">
      <c r="A493" s="32" t="inlineStr">
        <is>
          <t>TORRE</t>
        </is>
      </c>
      <c r="B493" s="32" t="inlineStr">
        <is>
          <t>CASA DE MÁQUINAS</t>
        </is>
      </c>
      <c r="C493" s="32" t="inlineStr">
        <is>
          <t>INSTALAÇÕES ELÉTRICAS</t>
        </is>
      </c>
      <c r="D493" s="32" t="inlineStr">
        <is>
          <t>DISPOSITIVOS DE PROTEÇÃO</t>
        </is>
      </c>
      <c r="E493" s="32" t="inlineStr">
        <is>
          <t>Disjuntores Monopolares DIN 10 A - 3 kA - Curva C - NBR NM 60898</t>
        </is>
      </c>
      <c r="F493" s="33" t="n">
        <v>2</v>
      </c>
      <c r="G493" s="33" t="n">
        <v>1</v>
      </c>
      <c r="H493" s="33" t="n"/>
      <c r="I493" s="35">
        <f>(F493+H493*F493)*G493</f>
        <v/>
      </c>
      <c r="J493" s="33" t="inlineStr">
        <is>
          <t>pç</t>
        </is>
      </c>
      <c r="K493" s="36" t="n">
        <v>12.16</v>
      </c>
      <c r="L493" s="37">
        <f>I493*K493</f>
        <v/>
      </c>
    </row>
    <row r="494">
      <c r="A494" s="32" t="inlineStr">
        <is>
          <t>TORRE</t>
        </is>
      </c>
      <c r="B494" s="32" t="inlineStr">
        <is>
          <t>CASA DE MÁQUINAS</t>
        </is>
      </c>
      <c r="C494" s="32" t="inlineStr">
        <is>
          <t>INSTALAÇÕES ELÉTRICAS</t>
        </is>
      </c>
      <c r="D494" s="32" t="inlineStr">
        <is>
          <t>DISPOSITIVOS DE PROTEÇÃO</t>
        </is>
      </c>
      <c r="E494" s="32" t="inlineStr">
        <is>
          <t>Disjuntores Monopolares DIN 16 A - 3 kA - Curva C - NBR NM 60898</t>
        </is>
      </c>
      <c r="F494" s="33" t="n">
        <v>6</v>
      </c>
      <c r="G494" s="33" t="n">
        <v>1</v>
      </c>
      <c r="H494" s="33" t="n"/>
      <c r="I494" s="35">
        <f>(F494+H494*F494)*G494</f>
        <v/>
      </c>
      <c r="J494" s="33" t="inlineStr">
        <is>
          <t>pç</t>
        </is>
      </c>
      <c r="K494" s="36" t="n">
        <v>13.05</v>
      </c>
      <c r="L494" s="37">
        <f>I494*K494</f>
        <v/>
      </c>
    </row>
    <row r="495">
      <c r="A495" s="32" t="inlineStr">
        <is>
          <t>TORRE</t>
        </is>
      </c>
      <c r="B495" s="32" t="inlineStr">
        <is>
          <t>CASA DE MÁQUINAS</t>
        </is>
      </c>
      <c r="C495" s="32" t="inlineStr">
        <is>
          <t>INSTALAÇÕES ELÉTRICAS</t>
        </is>
      </c>
      <c r="D495" s="32" t="inlineStr">
        <is>
          <t>DISPOSITIVOS DE PROTEÇÃO</t>
        </is>
      </c>
      <c r="E495" s="32" t="inlineStr">
        <is>
          <t>Disjuntores Monopolares DIN 25 A - 3 kA - Curva C - NBR NM 60898</t>
        </is>
      </c>
      <c r="F495" s="33" t="n">
        <v>3</v>
      </c>
      <c r="G495" s="33" t="n">
        <v>1</v>
      </c>
      <c r="H495" s="33" t="n"/>
      <c r="I495" s="35">
        <f>(F495+H495*F495)*G495</f>
        <v/>
      </c>
      <c r="J495" s="33" t="inlineStr">
        <is>
          <t>pç</t>
        </is>
      </c>
      <c r="K495" s="36" t="n">
        <v>18</v>
      </c>
      <c r="L495" s="37">
        <f>I495*K495</f>
        <v/>
      </c>
    </row>
    <row r="496">
      <c r="A496" s="32" t="inlineStr">
        <is>
          <t>TORRE</t>
        </is>
      </c>
      <c r="B496" s="32" t="inlineStr">
        <is>
          <t>CASA DE MÁQUINAS</t>
        </is>
      </c>
      <c r="C496" s="32" t="inlineStr">
        <is>
          <t>INSTALAÇÕES ELÉTRICAS</t>
        </is>
      </c>
      <c r="D496" s="32" t="inlineStr">
        <is>
          <t>DISPOSITIVOS DE PROTEÇÃO</t>
        </is>
      </c>
      <c r="E496" s="32" t="inlineStr">
        <is>
          <t>Disjuntores Tripolares DIN 50 A - 10 kA - Curva C - NBR 60947-2</t>
        </is>
      </c>
      <c r="F496" s="33" t="n">
        <v>1</v>
      </c>
      <c r="G496" s="33" t="n">
        <v>1</v>
      </c>
      <c r="H496" s="33" t="n"/>
      <c r="I496" s="35">
        <f>(F496+H496*F496)*G496</f>
        <v/>
      </c>
      <c r="J496" s="33" t="inlineStr">
        <is>
          <t>pç</t>
        </is>
      </c>
      <c r="K496" s="36" t="n">
        <v>64.90000000000001</v>
      </c>
      <c r="L496" s="37">
        <f>I496*K496</f>
        <v/>
      </c>
    </row>
    <row r="497">
      <c r="A497" s="32" t="inlineStr">
        <is>
          <t>TORRE</t>
        </is>
      </c>
      <c r="B497" s="32" t="inlineStr">
        <is>
          <t>CASA DE MÁQUINAS</t>
        </is>
      </c>
      <c r="C497" s="32" t="inlineStr">
        <is>
          <t>INSTALAÇÕES ELÉTRICAS</t>
        </is>
      </c>
      <c r="D497" s="32" t="inlineStr">
        <is>
          <t>DISPOSITIVOS DE PROTEÇÃO</t>
        </is>
      </c>
      <c r="E497" s="32" t="inlineStr">
        <is>
          <t>Dispositivos de Proteção Contra Surto 275V - Classe I/II - In=30kA - Imáx.=60kA - NBR IEC 61643-1</t>
        </is>
      </c>
      <c r="F497" s="33" t="n">
        <v>4</v>
      </c>
      <c r="G497" s="33" t="n">
        <v>1</v>
      </c>
      <c r="H497" s="33" t="n"/>
      <c r="I497" s="35">
        <f>(F497+H497*F497)*G497</f>
        <v/>
      </c>
      <c r="J497" s="33" t="inlineStr">
        <is>
          <t>pç</t>
        </is>
      </c>
      <c r="K497" s="36" t="n">
        <v>97</v>
      </c>
      <c r="L497" s="37">
        <f>I497*K497</f>
        <v/>
      </c>
    </row>
    <row r="498">
      <c r="A498" s="32" t="inlineStr">
        <is>
          <t>TORRE</t>
        </is>
      </c>
      <c r="B498" s="32" t="inlineStr">
        <is>
          <t>CASA DE MÁQUINAS</t>
        </is>
      </c>
      <c r="C498" s="32" t="inlineStr">
        <is>
          <t>INSTALAÇÕES ELÉTRICAS</t>
        </is>
      </c>
      <c r="D498" s="32" t="inlineStr">
        <is>
          <t>DISPOSITIVOS DE PROTEÇÃO</t>
        </is>
      </c>
      <c r="E498" s="32" t="inlineStr">
        <is>
          <t>Interruptores Diferenciais Residuais Tetrapolares DIN 40A - 30mA - Tipo AC - 230V - NBR NM 61008-1</t>
        </is>
      </c>
      <c r="F498" s="33" t="n">
        <v>2</v>
      </c>
      <c r="G498" s="33" t="n">
        <v>1</v>
      </c>
      <c r="H498" s="33" t="n"/>
      <c r="I498" s="35">
        <f>(F498+H498*F498)*G498</f>
        <v/>
      </c>
      <c r="J498" s="33" t="inlineStr">
        <is>
          <t>pç</t>
        </is>
      </c>
      <c r="K498" s="36" t="n">
        <v>170</v>
      </c>
      <c r="L498" s="37">
        <f>I498*K498</f>
        <v/>
      </c>
    </row>
    <row r="499">
      <c r="A499" s="32" t="inlineStr">
        <is>
          <t>TORRE</t>
        </is>
      </c>
      <c r="B499" s="32" t="inlineStr">
        <is>
          <t>CASA DE MÁQUINAS</t>
        </is>
      </c>
      <c r="C499" s="32" t="inlineStr">
        <is>
          <t>INSTALAÇÕES ELÉTRICAS</t>
        </is>
      </c>
      <c r="D499" s="32" t="inlineStr">
        <is>
          <t>ELETRODUTOS</t>
        </is>
      </c>
      <c r="E499" s="32" t="inlineStr">
        <is>
          <t>PVC Flexível Antichama - NBR 15465 ø1"</t>
        </is>
      </c>
      <c r="F499" s="33" t="n">
        <v>5.1</v>
      </c>
      <c r="G499" s="33" t="n">
        <v>1</v>
      </c>
      <c r="H499" s="33" t="n"/>
      <c r="I499" s="35">
        <f>(F499+H499*F499)*G499</f>
        <v/>
      </c>
      <c r="J499" s="33" t="inlineStr">
        <is>
          <t>m</t>
        </is>
      </c>
      <c r="K499" s="36" t="n">
        <v>5</v>
      </c>
      <c r="L499" s="37">
        <f>I499*K499</f>
        <v/>
      </c>
    </row>
    <row r="500">
      <c r="A500" s="32" t="inlineStr">
        <is>
          <t>TORRE</t>
        </is>
      </c>
      <c r="B500" s="32" t="inlineStr">
        <is>
          <t>CASA DE MÁQUINAS</t>
        </is>
      </c>
      <c r="C500" s="32" t="inlineStr">
        <is>
          <t>INSTALAÇÕES ELÉTRICAS</t>
        </is>
      </c>
      <c r="D500" s="32" t="inlineStr">
        <is>
          <t>ELETRODUTOS</t>
        </is>
      </c>
      <c r="E500" s="32" t="inlineStr">
        <is>
          <t>PVC Flexível Antichama - NBR 15465 ø3/4"</t>
        </is>
      </c>
      <c r="F500" s="33" t="n">
        <v>65.3</v>
      </c>
      <c r="G500" s="33" t="n">
        <v>1</v>
      </c>
      <c r="H500" s="33" t="n"/>
      <c r="I500" s="35">
        <f>(F500+H500*F500)*G500</f>
        <v/>
      </c>
      <c r="J500" s="33" t="inlineStr">
        <is>
          <t>m</t>
        </is>
      </c>
      <c r="K500" s="36" t="n">
        <v>3.5</v>
      </c>
      <c r="L500" s="37">
        <f>I500*K500</f>
        <v/>
      </c>
    </row>
    <row r="501">
      <c r="A501" s="32" t="inlineStr">
        <is>
          <t>TORRE</t>
        </is>
      </c>
      <c r="B501" s="32" t="inlineStr">
        <is>
          <t>CASA DE MÁQUINAS</t>
        </is>
      </c>
      <c r="C501" s="32" t="inlineStr">
        <is>
          <t>INSTALAÇÕES ELÉTRICAS</t>
        </is>
      </c>
      <c r="D501" s="32" t="inlineStr">
        <is>
          <t>MÓDULOS</t>
        </is>
      </c>
      <c r="E501" s="32" t="inlineStr">
        <is>
          <t>Tomada 2P+T 10A Padrão NBR 14136</t>
        </is>
      </c>
      <c r="F501" s="33" t="n">
        <v>5</v>
      </c>
      <c r="G501" s="33" t="n">
        <v>1</v>
      </c>
      <c r="H501" s="33" t="n"/>
      <c r="I501" s="35">
        <f>(F501+H501*F501)*G501</f>
        <v/>
      </c>
      <c r="J501" s="33" t="inlineStr">
        <is>
          <t>pç</t>
        </is>
      </c>
      <c r="K501" s="36" t="n">
        <v>8</v>
      </c>
      <c r="L501" s="37">
        <f>I501*K501</f>
        <v/>
      </c>
    </row>
    <row r="502">
      <c r="A502" s="32" t="inlineStr">
        <is>
          <t>TORRE</t>
        </is>
      </c>
      <c r="B502" s="32" t="inlineStr">
        <is>
          <t>CASA DE MÁQUINAS</t>
        </is>
      </c>
      <c r="C502" s="32" t="inlineStr">
        <is>
          <t>INSTALAÇÕES ELÉTRICAS</t>
        </is>
      </c>
      <c r="D502" s="32" t="inlineStr">
        <is>
          <t>MÓDULOS</t>
        </is>
      </c>
      <c r="E502" s="32" t="inlineStr">
        <is>
          <t>Interruptor Simples 250V/10A Padrão NBRNM60669</t>
        </is>
      </c>
      <c r="F502" s="33" t="n">
        <v>5</v>
      </c>
      <c r="G502" s="33" t="n">
        <v>1</v>
      </c>
      <c r="H502" s="33" t="n"/>
      <c r="I502" s="35">
        <f>(F502+H502*F502)*G502</f>
        <v/>
      </c>
      <c r="J502" s="33" t="inlineStr">
        <is>
          <t>pç</t>
        </is>
      </c>
      <c r="K502" s="36" t="n">
        <v>7</v>
      </c>
      <c r="L502" s="37">
        <f>I502*K502</f>
        <v/>
      </c>
    </row>
    <row r="503">
      <c r="A503" s="32" t="inlineStr">
        <is>
          <t>TORRE</t>
        </is>
      </c>
      <c r="B503" s="32" t="inlineStr">
        <is>
          <t>CASA DE MÁQUINAS</t>
        </is>
      </c>
      <c r="C503" s="32" t="inlineStr">
        <is>
          <t>INSTALAÇÕES ELÉTRICAS</t>
        </is>
      </c>
      <c r="D503" s="32" t="inlineStr">
        <is>
          <t>CABO UNIPOLAR</t>
        </is>
      </c>
      <c r="E503" s="32" t="inlineStr">
        <is>
          <t>Isolação em PVC (70ºC) 1.5 mm² - Amarelo</t>
        </is>
      </c>
      <c r="F503" s="33" t="n">
        <v>32.2</v>
      </c>
      <c r="G503" s="33" t="n">
        <v>1</v>
      </c>
      <c r="H503" s="33" t="n"/>
      <c r="I503" s="35">
        <f>(F503+H503*F503)*G503</f>
        <v/>
      </c>
      <c r="J503" s="33" t="inlineStr">
        <is>
          <t>m</t>
        </is>
      </c>
      <c r="K503" s="36" t="n">
        <v>1.14</v>
      </c>
      <c r="L503" s="37">
        <f>I503*K503</f>
        <v/>
      </c>
    </row>
    <row r="504">
      <c r="A504" s="32" t="inlineStr">
        <is>
          <t>TORRE</t>
        </is>
      </c>
      <c r="B504" s="32" t="inlineStr">
        <is>
          <t>CASA DE MÁQUINAS</t>
        </is>
      </c>
      <c r="C504" s="32" t="inlineStr">
        <is>
          <t>INSTALAÇÕES ELÉTRICAS</t>
        </is>
      </c>
      <c r="D504" s="32" t="inlineStr">
        <is>
          <t>CABO UNIPOLAR</t>
        </is>
      </c>
      <c r="E504" s="32" t="inlineStr">
        <is>
          <t>Isolação em PVC (70ºC) 1.5 mm² - Azul claro</t>
        </is>
      </c>
      <c r="F504" s="33" t="n">
        <v>39.5</v>
      </c>
      <c r="G504" s="33" t="n">
        <v>1</v>
      </c>
      <c r="H504" s="33" t="n"/>
      <c r="I504" s="35">
        <f>(F504+H504*F504)*G504</f>
        <v/>
      </c>
      <c r="J504" s="33" t="inlineStr">
        <is>
          <t>m</t>
        </is>
      </c>
      <c r="K504" s="36" t="n">
        <v>1.14</v>
      </c>
      <c r="L504" s="37">
        <f>I504*K504</f>
        <v/>
      </c>
    </row>
    <row r="505">
      <c r="A505" s="32" t="inlineStr">
        <is>
          <t>TORRE</t>
        </is>
      </c>
      <c r="B505" s="32" t="inlineStr">
        <is>
          <t>CASA DE MÁQUINAS</t>
        </is>
      </c>
      <c r="C505" s="32" t="inlineStr">
        <is>
          <t>INSTALAÇÕES ELÉTRICAS</t>
        </is>
      </c>
      <c r="D505" s="32" t="inlineStr">
        <is>
          <t>CABO UNIPOLAR</t>
        </is>
      </c>
      <c r="E505" s="32" t="inlineStr">
        <is>
          <t>Isolação em PVC (70ºC) 1.5 mm² - Branco</t>
        </is>
      </c>
      <c r="F505" s="33" t="n">
        <v>56</v>
      </c>
      <c r="G505" s="33" t="n">
        <v>1</v>
      </c>
      <c r="H505" s="33" t="n"/>
      <c r="I505" s="35">
        <f>(F505+H505*F505)*G505</f>
        <v/>
      </c>
      <c r="J505" s="33" t="inlineStr">
        <is>
          <t>m</t>
        </is>
      </c>
      <c r="K505" s="36" t="n">
        <v>1.14</v>
      </c>
      <c r="L505" s="37">
        <f>I505*K505</f>
        <v/>
      </c>
    </row>
    <row r="506">
      <c r="A506" s="32" t="inlineStr">
        <is>
          <t>TORRE</t>
        </is>
      </c>
      <c r="B506" s="32" t="inlineStr">
        <is>
          <t>CASA DE MÁQUINAS</t>
        </is>
      </c>
      <c r="C506" s="32" t="inlineStr">
        <is>
          <t>INSTALAÇÕES ELÉTRICAS</t>
        </is>
      </c>
      <c r="D506" s="32" t="inlineStr">
        <is>
          <t>CABO UNIPOLAR</t>
        </is>
      </c>
      <c r="E506" s="32" t="inlineStr">
        <is>
          <t>Isolação em PVC (70ºC) 2.5 mm² - Azul claro</t>
        </is>
      </c>
      <c r="F506" s="33" t="n">
        <v>113.6</v>
      </c>
      <c r="G506" s="33" t="n">
        <v>1</v>
      </c>
      <c r="H506" s="33" t="n"/>
      <c r="I506" s="35">
        <f>(F506+H506*F506)*G506</f>
        <v/>
      </c>
      <c r="J506" s="33" t="inlineStr">
        <is>
          <t>m</t>
        </is>
      </c>
      <c r="K506" s="36" t="n">
        <v>2.12</v>
      </c>
      <c r="L506" s="37">
        <f>I506*K506</f>
        <v/>
      </c>
    </row>
    <row r="507">
      <c r="A507" s="32" t="inlineStr">
        <is>
          <t>TORRE</t>
        </is>
      </c>
      <c r="B507" s="32" t="inlineStr">
        <is>
          <t>CASA DE MÁQUINAS</t>
        </is>
      </c>
      <c r="C507" s="32" t="inlineStr">
        <is>
          <t>INSTALAÇÕES ELÉTRICAS</t>
        </is>
      </c>
      <c r="D507" s="32" t="inlineStr">
        <is>
          <t>CABO UNIPOLAR</t>
        </is>
      </c>
      <c r="E507" s="32" t="inlineStr">
        <is>
          <t>Isolação em PVC (70ºC) 2.5 mm² - Branco</t>
        </is>
      </c>
      <c r="F507" s="33" t="n">
        <v>113.6</v>
      </c>
      <c r="G507" s="33" t="n">
        <v>1</v>
      </c>
      <c r="H507" s="33" t="n"/>
      <c r="I507" s="35">
        <f>(F507+H507*F507)*G507</f>
        <v/>
      </c>
      <c r="J507" s="33" t="inlineStr">
        <is>
          <t>m</t>
        </is>
      </c>
      <c r="K507" s="36" t="n">
        <v>2.12</v>
      </c>
      <c r="L507" s="37">
        <f>I507*K507</f>
        <v/>
      </c>
    </row>
    <row r="508">
      <c r="A508" s="32" t="inlineStr">
        <is>
          <t>TORRE</t>
        </is>
      </c>
      <c r="B508" s="32" t="inlineStr">
        <is>
          <t>CASA DE MÁQUINAS</t>
        </is>
      </c>
      <c r="C508" s="32" t="inlineStr">
        <is>
          <t>INSTALAÇÕES ELÉTRICAS</t>
        </is>
      </c>
      <c r="D508" s="32" t="inlineStr">
        <is>
          <t>CABO UNIPOLAR</t>
        </is>
      </c>
      <c r="E508" s="32" t="inlineStr">
        <is>
          <t>Isolação em PVC (70ºC) 2.5 mm² - Verde-amarelo</t>
        </is>
      </c>
      <c r="F508" s="33" t="n">
        <v>69.5</v>
      </c>
      <c r="G508" s="33" t="n">
        <v>1</v>
      </c>
      <c r="H508" s="33" t="n"/>
      <c r="I508" s="35">
        <f>(F508+H508*F508)*G508</f>
        <v/>
      </c>
      <c r="J508" s="33" t="inlineStr">
        <is>
          <t>m</t>
        </is>
      </c>
      <c r="K508" s="36" t="n">
        <v>2.12</v>
      </c>
      <c r="L508" s="37">
        <f>I508*K508</f>
        <v/>
      </c>
    </row>
    <row r="509">
      <c r="A509" s="32" t="inlineStr">
        <is>
          <t>TORRE</t>
        </is>
      </c>
      <c r="B509" s="32" t="inlineStr">
        <is>
          <t>CASA DE MÁQUINAS</t>
        </is>
      </c>
      <c r="C509" s="32" t="inlineStr">
        <is>
          <t>INSTALAÇÕES ELÉTRICAS</t>
        </is>
      </c>
      <c r="D509" s="32" t="inlineStr">
        <is>
          <t>CABO UNIPOLAR</t>
        </is>
      </c>
      <c r="E509" s="32" t="inlineStr">
        <is>
          <t>Isolação em PVC (70ºC) 2.5 mm² - Azul claro</t>
        </is>
      </c>
      <c r="F509" s="33" t="n">
        <v>54.9</v>
      </c>
      <c r="G509" s="33" t="n">
        <v>1</v>
      </c>
      <c r="H509" s="33" t="n"/>
      <c r="I509" s="35">
        <f>(F509+H509*F509)*G509</f>
        <v/>
      </c>
      <c r="J509" s="33" t="inlineStr">
        <is>
          <t>m</t>
        </is>
      </c>
      <c r="K509" s="36" t="n">
        <v>2.12</v>
      </c>
      <c r="L509" s="37">
        <f>I509*K509</f>
        <v/>
      </c>
    </row>
    <row r="510">
      <c r="A510" s="32" t="inlineStr">
        <is>
          <t>TORRE</t>
        </is>
      </c>
      <c r="B510" s="32" t="inlineStr">
        <is>
          <t>CASA DE MÁQUINAS</t>
        </is>
      </c>
      <c r="C510" s="32" t="inlineStr">
        <is>
          <t>INSTALAÇÕES ELÉTRICAS</t>
        </is>
      </c>
      <c r="D510" s="32" t="inlineStr">
        <is>
          <t>CABO UNIPOLAR</t>
        </is>
      </c>
      <c r="E510" s="32" t="inlineStr">
        <is>
          <t>Isolação em PVC (70ºC) 2.5 mm² - Branco</t>
        </is>
      </c>
      <c r="F510" s="33" t="n">
        <v>54.9</v>
      </c>
      <c r="G510" s="33" t="n">
        <v>1</v>
      </c>
      <c r="H510" s="33" t="n"/>
      <c r="I510" s="35">
        <f>(F510+H510*F510)*G510</f>
        <v/>
      </c>
      <c r="J510" s="33" t="inlineStr">
        <is>
          <t>m</t>
        </is>
      </c>
      <c r="K510" s="36" t="n">
        <v>2.12</v>
      </c>
      <c r="L510" s="37">
        <f>I510*K510</f>
        <v/>
      </c>
    </row>
    <row r="511" ht="15" customHeight="1">
      <c r="A511" s="32" t="inlineStr">
        <is>
          <t>TORRE</t>
        </is>
      </c>
      <c r="B511" s="32" t="inlineStr">
        <is>
          <t>CASA DE MÁQUINAS</t>
        </is>
      </c>
      <c r="C511" s="32" t="inlineStr">
        <is>
          <t>INSTALAÇÕES ELÉTRICAS</t>
        </is>
      </c>
      <c r="D511" s="32" t="inlineStr">
        <is>
          <t>CABO UNIPOLAR</t>
        </is>
      </c>
      <c r="E511" s="32" t="inlineStr">
        <is>
          <t>Isolação em PVC (70ºC) 2.5 mm² - Verde-amarelo</t>
        </is>
      </c>
      <c r="F511" s="33" t="n">
        <v>16</v>
      </c>
      <c r="G511" s="33" t="n">
        <v>1</v>
      </c>
      <c r="H511" s="33" t="n"/>
      <c r="I511" s="35">
        <f>(F511+H511*F511)*G511</f>
        <v/>
      </c>
      <c r="J511" s="33" t="inlineStr">
        <is>
          <t>m</t>
        </is>
      </c>
      <c r="K511" s="36" t="n">
        <v>2.12</v>
      </c>
      <c r="L511" s="37">
        <f>I511*K511</f>
        <v/>
      </c>
    </row>
    <row r="512" ht="15" customHeight="1">
      <c r="A512" s="48" t="n"/>
      <c r="B512" s="48" t="n"/>
      <c r="C512" s="48" t="n"/>
      <c r="D512" s="48" t="n"/>
      <c r="E512" s="48" t="n"/>
      <c r="F512" s="48" t="n"/>
      <c r="G512" s="48" t="n"/>
      <c r="H512" s="48" t="n"/>
      <c r="I512" s="48" t="n"/>
      <c r="J512" s="48" t="n"/>
      <c r="K512" s="49" t="inlineStr">
        <is>
          <t>TOTAL:</t>
        </is>
      </c>
      <c r="L512" s="50" t="n">
        <v>2111834.390799993</v>
      </c>
    </row>
    <row r="513">
      <c r="A513" s="17" t="n"/>
      <c r="B513" s="17" t="n"/>
      <c r="C513" s="17" t="n"/>
      <c r="D513" s="17" t="n"/>
      <c r="E513" s="17" t="n"/>
      <c r="F513" s="17" t="n"/>
      <c r="G513" s="17" t="n"/>
      <c r="H513" s="17" t="n"/>
      <c r="I513" s="17" t="n"/>
      <c r="J513" s="17" t="n"/>
      <c r="K513" s="17" t="n"/>
      <c r="L513" s="51" t="n">
        <v>2111834.390799998</v>
      </c>
    </row>
  </sheetData>
  <mergeCells count="2">
    <mergeCell ref="D3:E3"/>
    <mergeCell ref="A5:A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2026-03-25T03:27:03Z</dcterms:created>
  <dcterms:modified xmlns:dcterms="http://purl.org/dc/terms/" xmlns:xsi="http://www.w3.org/2001/XMLSchema-instance" xsi:type="dcterms:W3CDTF">2026-03-25T03:27:04Z</dcterms:modified>
</cp:coreProperties>
</file>