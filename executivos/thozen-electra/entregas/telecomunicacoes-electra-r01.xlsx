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xmlns:r="http://schemas.openxmlformats.org/officeDocument/2006/relationships" name="TELECOMUNICAÇÃO" sheetId="1" state="visible" r:id="rId1"/>
  </sheets>
  <externalReferences>
    <externalReference xmlns:r="http://schemas.openxmlformats.org/officeDocument/2006/relationships" r:id="rId2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Print_Area_MI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0" localSheetId="0">#REF!</definedName>
    <definedName name="\a" localSheetId="0">#REF!</definedName>
    <definedName name="\m" localSheetId="0">#REF!</definedName>
    <definedName name="\xasd" localSheetId="0" hidden="1">{#N/A,#N/A,FALSE,"Plan1";#N/A,#N/A,FALSE,"Plan2"}</definedName>
    <definedName name="_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" localSheetId="0">#REF!</definedName>
    <definedName name="aaaa" localSheetId="0">#REF!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ngelo" localSheetId="0">#REF!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>#REF!</definedName>
    <definedName name="Areaimpresso" localSheetId="0">#REF!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ux" localSheetId="0">#REF!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A" localSheetId="0">#REF!</definedName>
    <definedName name="bdfjghf" localSheetId="0" hidden="1">{#N/A,#N/A,FALSE,"Plan1";#N/A,#N/A,FALSE,"Plan2"}</definedName>
    <definedName name="BDI" localSheetId="0">#REF!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ORDA1" localSheetId="0">#N/A</definedName>
    <definedName name="bxnzfmkzxbhdf" localSheetId="0" hidden="1">{#N/A,#N/A,FALSE,"Plan1";#N/A,#N/A,FALSE,"Plan2"}</definedName>
    <definedName name="ca" localSheetId="0">#REF!</definedName>
    <definedName name="CAB" localSheetId="0">#N/A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pa" localSheetId="0">#REF!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cronograma" localSheetId="0">#REF!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0">#REF!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ireto" localSheetId="0">#REF!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" localSheetId="0">#REF!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0">#REF!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FFFFF" localSheetId="0">#REF!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_1" localSheetId="0">#REF!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" localSheetId="0">#REF!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NU" localSheetId="0">#REF!</definedName>
    <definedName name="MENU1" localSheetId="0">#REF!</definedName>
    <definedName name="MENU2" localSheetId="0">#REF!</definedName>
    <definedName name="MENU3" localSheetId="0">#REF!</definedName>
    <definedName name="MENU4" localSheetId="0">#REF!</definedName>
    <definedName name="MENU5" localSheetId="0">#REF!</definedName>
    <definedName name="MENU6" localSheetId="0">#REF!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" localSheetId="0">#REF!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AE" localSheetId="0">#REF!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aramValues1" localSheetId="0">#REF!</definedName>
    <definedName name="PAV" localSheetId="0">#REF!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ntura" localSheetId="0">#REF!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" localSheetId="0">#REF!</definedName>
    <definedName name="PRE" localSheetId="0">#REF!</definedName>
    <definedName name="print" localSheetId="0" hidden="1">{#N/A,#N/A,FALSE,"$170M Cash";#N/A,#N/A,FALSE,"$250M Cash";#N/A,#N/A,FALSE,"$325M Cash"}</definedName>
    <definedName name="Print_Area_MI" localSheetId="0">#REF!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e" localSheetId="0">#REF!</definedName>
    <definedName name="qee" localSheetId="0">#REF!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0">#REF!</definedName>
    <definedName name="ren" localSheetId="0">#REF!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EV" localSheetId="0">#REF!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>#REF!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0">#REF!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 localSheetId="0">#N/A</definedName>
    <definedName name="SHARED_FORMULA_1" localSheetId="0">#N/A</definedName>
    <definedName name="SHARED_FORMULA_10" localSheetId="0">#N/A</definedName>
    <definedName name="SHARED_FORMULA_11" localSheetId="0">#N/A</definedName>
    <definedName name="SHARED_FORMULA_12" localSheetId="0">#N/A</definedName>
    <definedName name="SHARED_FORMULA_13" localSheetId="0">#N/A</definedName>
    <definedName name="SHARED_FORMULA_14" localSheetId="0">#N/A</definedName>
    <definedName name="SHARED_FORMULA_15" localSheetId="0">#N/A</definedName>
    <definedName name="SHARED_FORMULA_16" localSheetId="0">#N/A</definedName>
    <definedName name="SHARED_FORMULA_17" localSheetId="0">#N/A</definedName>
    <definedName name="SHARED_FORMULA_18" localSheetId="0">#N/A</definedName>
    <definedName name="SHARED_FORMULA_19" localSheetId="0">#N/A</definedName>
    <definedName name="SHARED_FORMULA_2" localSheetId="0">#N/A</definedName>
    <definedName name="SHARED_FORMULA_20" localSheetId="0">#N/A</definedName>
    <definedName name="SHARED_FORMULA_21" localSheetId="0">#N/A</definedName>
    <definedName name="SHARED_FORMULA_22" localSheetId="0">#N/A</definedName>
    <definedName name="SHARED_FORMULA_23" localSheetId="0">#N/A</definedName>
    <definedName name="SHARED_FORMULA_24" localSheetId="0">#N/A</definedName>
    <definedName name="SHARED_FORMULA_25" localSheetId="0">#N/A</definedName>
    <definedName name="SHARED_FORMULA_26" localSheetId="0">#N/A</definedName>
    <definedName name="SHARED_FORMULA_27" localSheetId="0">#N/A</definedName>
    <definedName name="SHARED_FORMULA_28" localSheetId="0">#N/A</definedName>
    <definedName name="SHARED_FORMULA_29" localSheetId="0">#N/A</definedName>
    <definedName name="SHARED_FORMULA_3" localSheetId="0">#N/A</definedName>
    <definedName name="SHARED_FORMULA_30" localSheetId="0">#N/A</definedName>
    <definedName name="SHARED_FORMULA_31" localSheetId="0">#N/A</definedName>
    <definedName name="SHARED_FORMULA_32" localSheetId="0">#N/A</definedName>
    <definedName name="SHARED_FORMULA_33" localSheetId="0">#N/A</definedName>
    <definedName name="SHARED_FORMULA_34" localSheetId="0">#N/A</definedName>
    <definedName name="SHARED_FORMULA_35" localSheetId="0">#N/A</definedName>
    <definedName name="SHARED_FORMULA_36" localSheetId="0">#N/A</definedName>
    <definedName name="SHARED_FORMULA_37" localSheetId="0">#N/A</definedName>
    <definedName name="SHARED_FORMULA_38" localSheetId="0">#N/A</definedName>
    <definedName name="SHARED_FORMULA_39" localSheetId="0">#N/A</definedName>
    <definedName name="SHARED_FORMULA_4" localSheetId="0">#N/A</definedName>
    <definedName name="SHARED_FORMULA_40" localSheetId="0">#N/A</definedName>
    <definedName name="SHARED_FORMULA_41" localSheetId="0">#N/A</definedName>
    <definedName name="SHARED_FORMULA_42" localSheetId="0">#N/A</definedName>
    <definedName name="SHARED_FORMULA_43" localSheetId="0">#N/A</definedName>
    <definedName name="SHARED_FORMULA_44" localSheetId="0">#N/A</definedName>
    <definedName name="SHARED_FORMULA_45" localSheetId="0">#N/A</definedName>
    <definedName name="SHARED_FORMULA_46" localSheetId="0">#N/A</definedName>
    <definedName name="SHARED_FORMULA_47" localSheetId="0">#N/A</definedName>
    <definedName name="SHARED_FORMULA_48" localSheetId="0">#N/A</definedName>
    <definedName name="SHARED_FORMULA_49" localSheetId="0">#N/A</definedName>
    <definedName name="SHARED_FORMULA_5" localSheetId="0">#N/A</definedName>
    <definedName name="SHARED_FORMULA_50" localSheetId="0">#N/A</definedName>
    <definedName name="SHARED_FORMULA_51" localSheetId="0">#N/A</definedName>
    <definedName name="SHARED_FORMULA_52" localSheetId="0">#N/A</definedName>
    <definedName name="SHARED_FORMULA_53" localSheetId="0">#N/A</definedName>
    <definedName name="SHARED_FORMULA_54" localSheetId="0">#N/A</definedName>
    <definedName name="SHARED_FORMULA_55" localSheetId="0">#N/A</definedName>
    <definedName name="SHARED_FORMULA_56" localSheetId="0">#N/A</definedName>
    <definedName name="SHARED_FORMULA_57" localSheetId="0">#N/A</definedName>
    <definedName name="SHARED_FORMULA_58" localSheetId="0">#N/A</definedName>
    <definedName name="SHARED_FORMULA_59" localSheetId="0">#N/A</definedName>
    <definedName name="SHARED_FORMULA_6" localSheetId="0">#N/A</definedName>
    <definedName name="SHARED_FORMULA_60" localSheetId="0">#N/A</definedName>
    <definedName name="SHARED_FORMULA_61" localSheetId="0">#N/A</definedName>
    <definedName name="SHARED_FORMULA_62" localSheetId="0">#N/A</definedName>
    <definedName name="SHARED_FORMULA_7" localSheetId="0">#N/A</definedName>
    <definedName name="SHARED_FORMULA_8" localSheetId="0">#N/A</definedName>
    <definedName name="SHARED_FORMULA_9" localSheetId="0">#N/A</definedName>
    <definedName name="SIH" localSheetId="0">#REF!</definedName>
    <definedName name="SIV" localSheetId="0">#REF!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0">#REF!</definedName>
    <definedName name="susref" localSheetId="0">#REF!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nia" localSheetId="0">#REF!</definedName>
    <definedName name="tc" localSheetId="0">#REF!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itulos" localSheetId="0">#REF!</definedName>
    <definedName name="TOT" localSheetId="0">#REF!</definedName>
    <definedName name="Total" localSheetId="0">#REF!</definedName>
    <definedName name="trjyidih" localSheetId="0" hidden="1">{#N/A,#N/A,FALSE,"Plan1";#N/A,#N/A,FALSE,"Plan2"}</definedName>
    <definedName name="TRP" localSheetId="0">#REF!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>#REF!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수당" localSheetId="0" hidden="1">#N/A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'TELECOMUNICAÇÃO'!$A$6:$L$204</definedName>
    <definedName name="_xlnm.Print_Area" localSheetId="0">'TELECOMUNICAÇÃO'!$A$1:$AJ$202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_-* #,##0.00_-;\-* #,##0.00_-;_-* &quot;-&quot;??_-;_-@_-"/>
    <numFmt numFmtId="166" formatCode="_-&quot;R$&quot;\ * #,##0.00_-;\-&quot;R$&quot;\ * #,##0.00_-;_-&quot;R$&quot;\ * &quot;-&quot;??_-;_-@_-"/>
  </numFmts>
  <fonts count="14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sz val="8"/>
    </font>
    <font>
      <name val="Arial"/>
      <family val="2"/>
      <color theme="8" tint="-0.499984740745262"/>
      <sz val="10"/>
      <scheme val="minor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Arial"/>
      <family val="2"/>
      <sz val="10"/>
    </font>
    <font>
      <name val="Arial"/>
      <family val="2"/>
      <sz val="9.5"/>
      <scheme val="minor"/>
    </font>
    <font>
      <name val="Arial"/>
      <family val="2"/>
      <sz val="9"/>
      <scheme val="minor"/>
    </font>
    <font>
      <name val="Trebuchet MS"/>
      <family val="2"/>
      <sz val="8"/>
    </font>
    <font>
      <name val="Arial"/>
      <family val="2"/>
      <b val="1"/>
      <color theme="0"/>
      <sz val="12"/>
      <scheme val="minor"/>
    </font>
    <font>
      <name val="Poppins"/>
      <b val="1"/>
      <color theme="0"/>
      <sz val="10"/>
    </font>
    <font>
      <name val="Arial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36">
    <border>
      <left/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0" fontId="3" fillId="0" borderId="0"/>
    <xf numFmtId="43" fontId="7" fillId="0" borderId="0"/>
    <xf numFmtId="0" fontId="10" fillId="0" borderId="0"/>
    <xf numFmtId="0" fontId="1" fillId="0" borderId="0"/>
    <xf numFmtId="43" fontId="7" fillId="0" borderId="0"/>
    <xf numFmtId="43" fontId="1" fillId="0" borderId="0"/>
    <xf numFmtId="44" fontId="1" fillId="0" borderId="0"/>
    <xf numFmtId="0" fontId="7" fillId="0" borderId="0"/>
    <xf numFmtId="44" fontId="7" fillId="0" borderId="0"/>
  </cellStyleXfs>
  <cellXfs count="110">
    <xf numFmtId="0" fontId="0" fillId="0" borderId="0" pivotButton="0" quotePrefix="0" xfId="0"/>
    <xf numFmtId="0" fontId="4" fillId="0" borderId="1" applyAlignment="1" pivotButton="0" quotePrefix="0" xfId="1">
      <alignment vertical="center"/>
    </xf>
    <xf numFmtId="0" fontId="4" fillId="0" borderId="2" applyAlignment="1" pivotButton="0" quotePrefix="0" xfId="1">
      <alignment vertical="center"/>
    </xf>
    <xf numFmtId="0" fontId="5" fillId="0" borderId="3" applyAlignment="1" pivotButton="0" quotePrefix="0" xfId="1">
      <alignment vertical="center"/>
    </xf>
    <xf numFmtId="0" fontId="6" fillId="0" borderId="4" applyAlignment="1" pivotButton="0" quotePrefix="0" xfId="1">
      <alignment vertical="center"/>
    </xf>
    <xf numFmtId="0" fontId="4" fillId="0" borderId="4" applyAlignment="1" pivotButton="0" quotePrefix="0" xfId="1">
      <alignment vertical="center"/>
    </xf>
    <xf numFmtId="0" fontId="4" fillId="0" borderId="5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6" fillId="0" borderId="6" applyAlignment="1" pivotButton="0" quotePrefix="0" xfId="1">
      <alignment vertical="center"/>
    </xf>
    <xf numFmtId="164" fontId="8" fillId="0" borderId="7" applyAlignment="1" pivotButton="0" quotePrefix="1" xfId="2">
      <alignment horizontal="left" vertical="center"/>
    </xf>
    <xf numFmtId="0" fontId="6" fillId="0" borderId="5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164" fontId="8" fillId="0" borderId="8" applyAlignment="1" pivotButton="0" quotePrefix="1" xfId="2">
      <alignment horizontal="left" vertical="center" wrapText="1"/>
    </xf>
    <xf numFmtId="17" fontId="6" fillId="0" borderId="9" applyAlignment="1" pivotButton="0" quotePrefix="0" xfId="1">
      <alignment horizontal="left" vertical="center"/>
    </xf>
    <xf numFmtId="17" fontId="6" fillId="0" borderId="8" applyAlignment="1" pivotButton="0" quotePrefix="0" xfId="1">
      <alignment horizontal="left" vertical="center"/>
    </xf>
    <xf numFmtId="17" fontId="6" fillId="0" borderId="10" applyAlignment="1" pivotButton="0" quotePrefix="0" xfId="1">
      <alignment horizontal="left" vertical="center"/>
    </xf>
    <xf numFmtId="0" fontId="11" fillId="2" borderId="11" applyAlignment="1" pivotButton="0" quotePrefix="0" xfId="3">
      <alignment horizontal="center" vertical="center"/>
    </xf>
    <xf numFmtId="0" fontId="11" fillId="2" borderId="12" applyAlignment="1" pivotButton="0" quotePrefix="0" xfId="3">
      <alignment horizontal="center" vertical="center"/>
    </xf>
    <xf numFmtId="0" fontId="11" fillId="2" borderId="13" applyAlignment="1" pivotButton="0" quotePrefix="0" xfId="3">
      <alignment horizontal="center" vertical="center"/>
    </xf>
    <xf numFmtId="0" fontId="12" fillId="3" borderId="14" applyAlignment="1" pivotButton="0" quotePrefix="0" xfId="4">
      <alignment horizontal="center" vertical="center"/>
    </xf>
    <xf numFmtId="0" fontId="1" fillId="0" borderId="0" applyAlignment="1" pivotButton="0" quotePrefix="0" xfId="4">
      <alignment vertical="center"/>
    </xf>
    <xf numFmtId="0" fontId="12" fillId="3" borderId="15" applyAlignment="1" pivotButton="0" quotePrefix="0" xfId="5">
      <alignment horizontal="center" vertical="center"/>
    </xf>
    <xf numFmtId="0" fontId="12" fillId="3" borderId="14" applyAlignment="1" pivotButton="0" quotePrefix="0" xfId="5">
      <alignment horizontal="center" vertical="center"/>
    </xf>
    <xf numFmtId="0" fontId="12" fillId="3" borderId="14" applyAlignment="1" pivotButton="0" quotePrefix="0" xfId="5">
      <alignment horizontal="center" vertical="center" wrapText="1"/>
    </xf>
    <xf numFmtId="0" fontId="12" fillId="3" borderId="16" applyAlignment="1" pivotButton="0" quotePrefix="0" xfId="5">
      <alignment horizontal="center" vertical="center"/>
    </xf>
    <xf numFmtId="0" fontId="1" fillId="4" borderId="17" applyAlignment="1" pivotButton="0" quotePrefix="0" xfId="4">
      <alignment vertical="center"/>
    </xf>
    <xf numFmtId="0" fontId="1" fillId="4" borderId="18" applyAlignment="1" pivotButton="0" quotePrefix="0" xfId="4">
      <alignment vertical="center"/>
    </xf>
    <xf numFmtId="0" fontId="1" fillId="4" borderId="19" applyAlignment="1" pivotButton="0" quotePrefix="0" xfId="4">
      <alignment vertical="center"/>
    </xf>
    <xf numFmtId="165" fontId="0" fillId="4" borderId="19" applyAlignment="1" pivotButton="0" quotePrefix="0" xfId="6">
      <alignment vertical="center"/>
    </xf>
    <xf numFmtId="165" fontId="13" fillId="4" borderId="19" applyAlignment="1" pivotButton="0" quotePrefix="0" xfId="6">
      <alignment vertical="center"/>
    </xf>
    <xf numFmtId="166" fontId="0" fillId="4" borderId="20" applyAlignment="1" pivotButton="0" quotePrefix="0" xfId="7">
      <alignment vertical="center"/>
    </xf>
    <xf numFmtId="165" fontId="0" fillId="4" borderId="21" applyAlignment="1" pivotButton="0" quotePrefix="0" xfId="6">
      <alignment vertical="center"/>
    </xf>
    <xf numFmtId="165" fontId="13" fillId="0" borderId="22" applyAlignment="1" pivotButton="0" quotePrefix="0" xfId="6">
      <alignment vertical="center"/>
    </xf>
    <xf numFmtId="165" fontId="13" fillId="0" borderId="23" applyAlignment="1" pivotButton="0" quotePrefix="0" xfId="6">
      <alignment vertical="center"/>
    </xf>
    <xf numFmtId="165" fontId="13" fillId="0" borderId="17" applyAlignment="1" pivotButton="0" quotePrefix="0" xfId="6">
      <alignment vertical="center"/>
    </xf>
    <xf numFmtId="165" fontId="13" fillId="5" borderId="23" applyAlignment="1" pivotButton="0" quotePrefix="0" xfId="6">
      <alignment vertical="center"/>
    </xf>
    <xf numFmtId="165" fontId="13" fillId="5" borderId="24" applyAlignment="1" pivotButton="0" quotePrefix="0" xfId="6">
      <alignment vertical="center"/>
    </xf>
    <xf numFmtId="0" fontId="1" fillId="0" borderId="17" applyAlignment="1" pivotButton="0" quotePrefix="0" xfId="4">
      <alignment vertical="center"/>
    </xf>
    <xf numFmtId="165" fontId="0" fillId="0" borderId="17" applyAlignment="1" pivotButton="0" quotePrefix="0" xfId="6">
      <alignment vertical="center"/>
    </xf>
    <xf numFmtId="165" fontId="0" fillId="0" borderId="25" applyAlignment="1" pivotButton="0" quotePrefix="0" xfId="6">
      <alignment vertical="center"/>
    </xf>
    <xf numFmtId="166" fontId="0" fillId="0" borderId="17" applyAlignment="1" pivotButton="0" quotePrefix="0" xfId="7">
      <alignment vertical="center"/>
    </xf>
    <xf numFmtId="165" fontId="0" fillId="6" borderId="21" applyAlignment="1" pivotButton="0" quotePrefix="0" xfId="6">
      <alignment vertical="center"/>
    </xf>
    <xf numFmtId="165" fontId="13" fillId="0" borderId="26" applyAlignment="1" pivotButton="0" quotePrefix="0" xfId="6">
      <alignment vertical="center"/>
    </xf>
    <xf numFmtId="165" fontId="13" fillId="5" borderId="17" applyAlignment="1" pivotButton="0" quotePrefix="0" xfId="6">
      <alignment vertical="center"/>
    </xf>
    <xf numFmtId="165" fontId="13" fillId="5" borderId="21" applyAlignment="1" pivotButton="0" quotePrefix="0" xfId="6">
      <alignment vertical="center"/>
    </xf>
    <xf numFmtId="165" fontId="13" fillId="0" borderId="27" applyAlignment="1" pivotButton="0" quotePrefix="0" xfId="6">
      <alignment vertical="center"/>
    </xf>
    <xf numFmtId="165" fontId="13" fillId="0" borderId="28" applyAlignment="1" pivotButton="0" quotePrefix="0" xfId="6">
      <alignment vertical="center"/>
    </xf>
    <xf numFmtId="165" fontId="13" fillId="5" borderId="28" applyAlignment="1" pivotButton="0" quotePrefix="0" xfId="6">
      <alignment vertical="center"/>
    </xf>
    <xf numFmtId="165" fontId="13" fillId="5" borderId="29" applyAlignment="1" pivotButton="0" quotePrefix="0" xfId="6">
      <alignment vertical="center"/>
    </xf>
    <xf numFmtId="0" fontId="7" fillId="0" borderId="0" pivotButton="0" quotePrefix="0" xfId="8"/>
    <xf numFmtId="0" fontId="7" fillId="0" borderId="0" applyAlignment="1" pivotButton="0" quotePrefix="0" xfId="8">
      <alignment vertical="center"/>
    </xf>
    <xf numFmtId="165" fontId="7" fillId="0" borderId="0" applyAlignment="1" pivotButton="0" quotePrefix="0" xfId="8">
      <alignment vertical="center"/>
    </xf>
    <xf numFmtId="0" fontId="1" fillId="4" borderId="30" applyAlignment="1" pivotButton="0" quotePrefix="0" xfId="4">
      <alignment vertical="center"/>
    </xf>
    <xf numFmtId="0" fontId="1" fillId="4" borderId="31" applyAlignment="1" pivotButton="0" quotePrefix="0" xfId="4">
      <alignment vertical="center"/>
    </xf>
    <xf numFmtId="0" fontId="1" fillId="4" borderId="32" applyAlignment="1" pivotButton="0" quotePrefix="0" xfId="4">
      <alignment vertical="center"/>
    </xf>
    <xf numFmtId="165" fontId="0" fillId="4" borderId="32" applyAlignment="1" pivotButton="0" quotePrefix="0" xfId="6">
      <alignment vertical="center"/>
    </xf>
    <xf numFmtId="165" fontId="13" fillId="4" borderId="32" applyAlignment="1" pivotButton="0" quotePrefix="0" xfId="6">
      <alignment vertical="center"/>
    </xf>
    <xf numFmtId="166" fontId="0" fillId="4" borderId="33" applyAlignment="1" pivotButton="0" quotePrefix="0" xfId="7">
      <alignment vertical="center"/>
    </xf>
    <xf numFmtId="165" fontId="0" fillId="4" borderId="34" applyAlignment="1" pivotButton="0" quotePrefix="0" xfId="6">
      <alignment vertical="center"/>
    </xf>
    <xf numFmtId="0" fontId="1" fillId="3" borderId="0" applyAlignment="1" pivotButton="0" quotePrefix="0" xfId="4">
      <alignment vertical="center"/>
    </xf>
    <xf numFmtId="0" fontId="2" fillId="3" borderId="0" applyAlignment="1" pivotButton="0" quotePrefix="0" xfId="4">
      <alignment horizontal="right" vertical="center"/>
    </xf>
    <xf numFmtId="165" fontId="2" fillId="3" borderId="0" applyAlignment="1" pivotButton="0" quotePrefix="0" xfId="6">
      <alignment vertical="center"/>
    </xf>
    <xf numFmtId="166" fontId="1" fillId="0" borderId="0" applyAlignment="1" pivotButton="0" quotePrefix="0" xfId="9">
      <alignment vertical="center"/>
    </xf>
    <xf numFmtId="164" fontId="8" fillId="0" borderId="7" applyAlignment="1" pivotButton="0" quotePrefix="1" xfId="2">
      <alignment horizontal="left" vertical="center"/>
    </xf>
    <xf numFmtId="164" fontId="8" fillId="0" borderId="8" applyAlignment="1" pivotButton="0" quotePrefix="1" xfId="2">
      <alignment horizontal="left" vertical="center" wrapText="1"/>
    </xf>
    <xf numFmtId="0" fontId="0" fillId="0" borderId="8" pivotButton="0" quotePrefix="0" xfId="0"/>
    <xf numFmtId="0" fontId="11" fillId="2" borderId="35" applyAlignment="1" pivotButton="0" quotePrefix="0" xfId="3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5" fontId="1" fillId="4" borderId="19" applyAlignment="1" pivotButton="0" quotePrefix="0" xfId="6">
      <alignment vertical="center"/>
    </xf>
    <xf numFmtId="165" fontId="13" fillId="4" borderId="19" applyAlignment="1" pivotButton="0" quotePrefix="0" xfId="6">
      <alignment vertical="center"/>
    </xf>
    <xf numFmtId="166" fontId="1" fillId="4" borderId="20" applyAlignment="1" pivotButton="0" quotePrefix="0" xfId="7">
      <alignment vertical="center"/>
    </xf>
    <xf numFmtId="165" fontId="1" fillId="4" borderId="21" applyAlignment="1" pivotButton="0" quotePrefix="0" xfId="6">
      <alignment vertical="center"/>
    </xf>
    <xf numFmtId="0" fontId="1" fillId="0" borderId="0" pivotButton="0" quotePrefix="0" xfId="0"/>
    <xf numFmtId="165" fontId="13" fillId="0" borderId="22" applyAlignment="1" pivotButton="0" quotePrefix="0" xfId="6">
      <alignment vertical="center"/>
    </xf>
    <xf numFmtId="165" fontId="13" fillId="0" borderId="23" applyAlignment="1" pivotButton="0" quotePrefix="0" xfId="6">
      <alignment vertical="center"/>
    </xf>
    <xf numFmtId="165" fontId="13" fillId="5" borderId="23" applyAlignment="1" pivotButton="0" quotePrefix="0" xfId="6">
      <alignment vertical="center"/>
    </xf>
    <xf numFmtId="165" fontId="13" fillId="5" borderId="24" applyAlignment="1" pivotButton="0" quotePrefix="0" xfId="6">
      <alignment vertical="center"/>
    </xf>
    <xf numFmtId="165" fontId="1" fillId="0" borderId="17" applyAlignment="1" pivotButton="0" quotePrefix="0" xfId="6">
      <alignment vertical="center"/>
    </xf>
    <xf numFmtId="165" fontId="1" fillId="0" borderId="25" applyAlignment="1" pivotButton="0" quotePrefix="0" xfId="6">
      <alignment vertical="center"/>
    </xf>
    <xf numFmtId="165" fontId="13" fillId="0" borderId="17" applyAlignment="1" pivotButton="0" quotePrefix="0" xfId="6">
      <alignment vertical="center"/>
    </xf>
    <xf numFmtId="166" fontId="1" fillId="0" borderId="17" applyAlignment="1" pivotButton="0" quotePrefix="0" xfId="7">
      <alignment vertical="center"/>
    </xf>
    <xf numFmtId="165" fontId="1" fillId="6" borderId="21" applyAlignment="1" pivotButton="0" quotePrefix="0" xfId="6">
      <alignment vertical="center"/>
    </xf>
    <xf numFmtId="165" fontId="13" fillId="0" borderId="26" applyAlignment="1" pivotButton="0" quotePrefix="0" xfId="6">
      <alignment vertical="center"/>
    </xf>
    <xf numFmtId="165" fontId="13" fillId="5" borderId="17" applyAlignment="1" pivotButton="0" quotePrefix="0" xfId="6">
      <alignment vertical="center"/>
    </xf>
    <xf numFmtId="165" fontId="13" fillId="5" borderId="21" applyAlignment="1" pivotButton="0" quotePrefix="0" xfId="6">
      <alignment vertical="center"/>
    </xf>
    <xf numFmtId="165" fontId="13" fillId="0" borderId="27" applyAlignment="1" pivotButton="0" quotePrefix="0" xfId="6">
      <alignment vertical="center"/>
    </xf>
    <xf numFmtId="165" fontId="13" fillId="0" borderId="28" applyAlignment="1" pivotButton="0" quotePrefix="0" xfId="6">
      <alignment vertical="center"/>
    </xf>
    <xf numFmtId="165" fontId="13" fillId="5" borderId="28" applyAlignment="1" pivotButton="0" quotePrefix="0" xfId="6">
      <alignment vertical="center"/>
    </xf>
    <xf numFmtId="165" fontId="13" fillId="5" borderId="29" applyAlignment="1" pivotButton="0" quotePrefix="0" xfId="6">
      <alignment vertical="center"/>
    </xf>
    <xf numFmtId="165" fontId="7" fillId="0" borderId="0" applyAlignment="1" pivotButton="0" quotePrefix="0" xfId="8">
      <alignment vertical="center"/>
    </xf>
    <xf numFmtId="0" fontId="13" fillId="0" borderId="22" applyAlignment="1" pivotButton="0" quotePrefix="0" xfId="8">
      <alignment vertical="center"/>
    </xf>
    <xf numFmtId="0" fontId="13" fillId="0" borderId="23" applyAlignment="1" pivotButton="0" quotePrefix="0" xfId="8">
      <alignment vertical="center"/>
    </xf>
    <xf numFmtId="0" fontId="13" fillId="5" borderId="23" applyAlignment="1" pivotButton="0" quotePrefix="0" xfId="8">
      <alignment vertical="center"/>
    </xf>
    <xf numFmtId="0" fontId="13" fillId="5" borderId="24" applyAlignment="1" pivotButton="0" quotePrefix="0" xfId="8">
      <alignment vertical="center"/>
    </xf>
    <xf numFmtId="165" fontId="0" fillId="0" borderId="17" applyAlignment="1" pivotButton="0" quotePrefix="0" xfId="6">
      <alignment vertical="center"/>
    </xf>
    <xf numFmtId="166" fontId="0" fillId="0" borderId="17" applyAlignment="1" pivotButton="0" quotePrefix="0" xfId="7">
      <alignment vertical="center"/>
    </xf>
    <xf numFmtId="165" fontId="0" fillId="6" borderId="21" applyAlignment="1" pivotButton="0" quotePrefix="0" xfId="6">
      <alignment vertical="center"/>
    </xf>
    <xf numFmtId="165" fontId="0" fillId="4" borderId="32" applyAlignment="1" pivotButton="0" quotePrefix="0" xfId="6">
      <alignment vertical="center"/>
    </xf>
    <xf numFmtId="165" fontId="13" fillId="4" borderId="32" applyAlignment="1" pivotButton="0" quotePrefix="0" xfId="6">
      <alignment vertical="center"/>
    </xf>
    <xf numFmtId="166" fontId="0" fillId="4" borderId="33" applyAlignment="1" pivotButton="0" quotePrefix="0" xfId="7">
      <alignment vertical="center"/>
    </xf>
    <xf numFmtId="165" fontId="0" fillId="4" borderId="34" applyAlignment="1" pivotButton="0" quotePrefix="0" xfId="6">
      <alignment vertical="center"/>
    </xf>
    <xf numFmtId="165" fontId="2" fillId="3" borderId="0" applyAlignment="1" pivotButton="0" quotePrefix="0" xfId="6">
      <alignment vertical="center"/>
    </xf>
    <xf numFmtId="166" fontId="1" fillId="0" borderId="0" applyAlignment="1" pivotButton="0" quotePrefix="0" xfId="9">
      <alignment vertical="center"/>
    </xf>
    <xf numFmtId="0" fontId="1" fillId="0" borderId="17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165" fontId="1" fillId="0" borderId="25" applyAlignment="1" pivotButton="0" quotePrefix="0" xfId="0">
      <alignment vertical="center"/>
    </xf>
    <xf numFmtId="165" fontId="13" fillId="0" borderId="17" applyAlignment="1" pivotButton="0" quotePrefix="0" xfId="0">
      <alignment vertical="center"/>
    </xf>
    <xf numFmtId="166" fontId="1" fillId="0" borderId="17" applyAlignment="1" pivotButton="0" quotePrefix="0" xfId="0">
      <alignment vertical="center"/>
    </xf>
    <xf numFmtId="165" fontId="1" fillId="6" borderId="21" applyAlignment="1" pivotButton="0" quotePrefix="0" xfId="0">
      <alignment vertical="center"/>
    </xf>
  </cellXfs>
  <cellStyles count="10">
    <cellStyle name="Normal" xfId="0" builtinId="0"/>
    <cellStyle name="Normal 10" xfId="1"/>
    <cellStyle name="Vírgula 3 2" xfId="2"/>
    <cellStyle name="Normal 8" xfId="3"/>
    <cellStyle name="Normal 34 2 2 2" xfId="4"/>
    <cellStyle name="Vírgula 5 2" xfId="5"/>
    <cellStyle name="Vírgula 31 3 2" xfId="6"/>
    <cellStyle name="Moeda 16 2 2" xfId="7"/>
    <cellStyle name="Normal 2 4" xfId="8"/>
    <cellStyle name="Moeda 2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103991</colOff>
      <row>0</row>
      <rowOff>149679</rowOff>
    </from>
    <ext cx="1800289" cy="388204"/>
    <pic>
      <nvPicPr>
        <cNvPr id="2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991" y="149679"/>
          <a:ext cx="1800289" cy="3882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G:\Drives%20compartilhados\03%20CTN%20Projetos\2.%20Projetos%20em%20Andamento\Thozen\Electra%20Towers\04.%20Custo\04.3%20Custo%20-%20Executivo\02%20-%20Elabora&#231;&#227;o\CTN-TZN_ELT%20-%20Or&#231;amento%20Executivo_R00_Le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PROJETOS"/>
      <sheetName val="Ger_Tec e Adm"/>
      <sheetName val="Ger_Executivo_Cartesian"/>
      <sheetName val="EAP"/>
      <sheetName val="EAP - app"/>
      <sheetName val="EPCs"/>
      <sheetName val="CANTEIRO"/>
      <sheetName val="Cont.Tecnol."/>
      <sheetName val="ESQUADRIAS"/>
      <sheetName val="CPU"/>
      <sheetName val="Insumos"/>
      <sheetName val="Estacas"/>
      <sheetName val="Fund. Rasa | Contenção"/>
      <sheetName val="Resumo Estrutura"/>
      <sheetName val="Cálculo de apoio"/>
      <sheetName val="Escoramento"/>
      <sheetName val="M.O. ESTRUTURA - MP"/>
      <sheetName val="IMPERMEABILIZAÇÃO"/>
      <sheetName val="LOUÇAS E METAIS"/>
      <sheetName val="PISCINA"/>
      <sheetName val="Equipamentos Especiais"/>
      <sheetName val="ELÉTRICO"/>
      <sheetName val="HIDROSSANITÁRIO"/>
      <sheetName val="PPCI"/>
      <sheetName val="SPRINKLER"/>
      <sheetName val="MÃO DE OBRA ELETRICA"/>
      <sheetName val="MÃO DE OBRA HIDRO"/>
      <sheetName val="TELECOMUNICAÇÃO"/>
      <sheetName val="Bombeamento - Extra"/>
      <sheetName val="GÁS"/>
      <sheetName val="AUTOMAÇÃO"/>
      <sheetName val="CLIMATIZAÇÃO"/>
      <sheetName val="ILUMIN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J307"/>
  <sheetViews>
    <sheetView showGridLines="0" tabSelected="1" view="pageBreakPreview" zoomScale="85" zoomScaleNormal="85" zoomScaleSheetLayoutView="85" workbookViewId="0">
      <pane ySplit="6" topLeftCell="A7" activePane="bottomLeft" state="frozen"/>
      <selection activeCell="X67" sqref="X67"/>
      <selection pane="bottomLeft" activeCell="X67" sqref="X67"/>
    </sheetView>
  </sheetViews>
  <sheetFormatPr baseColWidth="8" defaultRowHeight="14.25"/>
  <cols>
    <col width="14" bestFit="1" customWidth="1" style="20" min="1" max="1"/>
    <col width="22" customWidth="1" style="20" min="2" max="2"/>
    <col width="34" customWidth="1" style="20" min="3" max="3"/>
    <col width="21.5" customWidth="1" style="20" min="4" max="4"/>
    <col width="61.125" customWidth="1" style="20" min="5" max="5"/>
    <col width="13.5" bestFit="1" customWidth="1" style="20" min="6" max="6"/>
    <col width="16.375" bestFit="1" customWidth="1" style="20" min="7" max="7"/>
    <col width="8.375" bestFit="1" customWidth="1" style="20" min="8" max="8"/>
    <col width="13.25" bestFit="1" customWidth="1" style="20" min="9" max="9"/>
    <col width="11.625" bestFit="1" customWidth="1" style="20" min="10" max="10"/>
    <col width="13.25" bestFit="1" customWidth="1" style="20" min="11" max="11"/>
    <col width="21.875" customWidth="1" style="20" min="12" max="12"/>
    <col width="5.5" customWidth="1" style="20" min="13" max="13"/>
    <col width="13" bestFit="1" customWidth="1" style="20" min="14" max="14"/>
    <col width="21.75" customWidth="1" style="20" min="15" max="15"/>
    <col width="13" customWidth="1" style="20" min="16" max="16"/>
    <col width="15.5" customWidth="1" style="20" min="17" max="17"/>
    <col width="16.25" customWidth="1" style="20" min="18" max="18"/>
    <col width="15" customWidth="1" style="20" min="19" max="20"/>
    <col width="15.625" customWidth="1" style="20" min="21" max="21"/>
    <col width="13" customWidth="1" style="20" min="22" max="22"/>
    <col width="16.375" customWidth="1" style="20" min="23" max="23"/>
    <col width="13" customWidth="1" style="20" min="24" max="24"/>
    <col width="15.625" customWidth="1" style="20" min="25" max="25"/>
    <col width="13" customWidth="1" style="20" min="26" max="30"/>
    <col width="15.625" customWidth="1" style="20" min="31" max="31"/>
    <col width="13" customWidth="1" style="20" min="32" max="32"/>
    <col width="16.25" customWidth="1" style="20" min="33" max="33"/>
    <col width="15.125" customWidth="1" style="20" min="34" max="34"/>
    <col width="14.375" bestFit="1" customWidth="1" style="20" min="35" max="35"/>
    <col width="9" customWidth="1" style="20" min="36" max="16384"/>
  </cols>
  <sheetData>
    <row r="1" ht="15" customFormat="1" customHeight="1" s="7">
      <c r="A1" s="1" t="n"/>
      <c r="B1" s="2" t="n"/>
      <c r="C1" s="3" t="inlineStr">
        <is>
          <t>Projeto</t>
        </is>
      </c>
      <c r="D1" s="4" t="inlineStr">
        <is>
          <t>Electra Towers</t>
        </is>
      </c>
      <c r="E1" s="4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6" t="n"/>
    </row>
    <row r="2" ht="15" customFormat="1" customHeight="1" s="11">
      <c r="A2" s="8" t="n"/>
      <c r="B2" s="7" t="n"/>
      <c r="C2" s="3" t="inlineStr">
        <is>
          <t>Empresa</t>
        </is>
      </c>
      <c r="D2" s="63" t="inlineStr">
        <is>
          <t>Thozen</t>
        </is>
      </c>
      <c r="E2" s="63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10" t="n"/>
    </row>
    <row r="3" ht="15" customFormat="1" customHeight="1" s="11">
      <c r="A3" s="8" t="n"/>
      <c r="B3" s="7" t="n"/>
      <c r="C3" s="3" t="inlineStr">
        <is>
          <t>Origem</t>
        </is>
      </c>
      <c r="D3" s="64" t="inlineStr">
        <is>
          <t>CTN-TZN_ELT-TEL-R00</t>
        </is>
      </c>
      <c r="E3" s="65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10" t="n"/>
    </row>
    <row r="4" ht="15" customFormat="1" customHeight="1" s="11">
      <c r="A4" s="13" t="n"/>
      <c r="B4" s="14" t="n"/>
      <c r="C4" s="3" t="inlineStr">
        <is>
          <t>Revisão</t>
        </is>
      </c>
      <c r="D4" s="4" t="inlineStr">
        <is>
          <t>R01 - Jarvis/IFC+DWG 24/03/2026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15" t="n"/>
    </row>
    <row r="5" ht="22.15" customFormat="1" customHeight="1" s="7" thickBot="1">
      <c r="A5" s="66" t="inlineStr">
        <is>
          <t>TELECOMUNICAÇÃO</t>
        </is>
      </c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n"/>
      <c r="AH5" s="67" t="n"/>
      <c r="AI5" s="67" t="n"/>
      <c r="AJ5" s="68" t="n"/>
    </row>
    <row r="6" ht="41.25" customHeight="1" thickBot="1">
      <c r="A6" s="19" t="inlineStr">
        <is>
          <t>TORRE</t>
        </is>
      </c>
      <c r="B6" s="19" t="inlineStr">
        <is>
          <t>PAVIMENTO</t>
        </is>
      </c>
      <c r="C6" s="19" t="inlineStr">
        <is>
          <t>GRUPO/EAP</t>
        </is>
      </c>
      <c r="D6" s="19" t="inlineStr">
        <is>
          <t>SUBGRUPO</t>
        </is>
      </c>
      <c r="E6" s="19" t="inlineStr">
        <is>
          <t>Descrição</t>
        </is>
      </c>
      <c r="F6" s="19" t="inlineStr">
        <is>
          <t>Quantidade</t>
        </is>
      </c>
      <c r="G6" s="19" t="inlineStr">
        <is>
          <t>Repetição</t>
        </is>
      </c>
      <c r="H6" s="19" t="inlineStr">
        <is>
          <t>Perda</t>
        </is>
      </c>
      <c r="I6" s="19" t="inlineStr">
        <is>
          <t>Qte com perda</t>
        </is>
      </c>
      <c r="J6" s="19" t="inlineStr">
        <is>
          <t>Unidade</t>
        </is>
      </c>
      <c r="K6" s="19" t="inlineStr">
        <is>
          <t>Custo unitário</t>
        </is>
      </c>
      <c r="L6" s="19" t="inlineStr">
        <is>
          <t>Custo Total</t>
        </is>
      </c>
      <c r="N6" s="21" t="inlineStr">
        <is>
          <t>Torre</t>
        </is>
      </c>
      <c r="O6" s="22" t="inlineStr">
        <is>
          <t>EAP</t>
        </is>
      </c>
      <c r="P6" s="22" t="inlineStr">
        <is>
          <t>TÉRREO</t>
        </is>
      </c>
      <c r="Q6" s="23" t="inlineStr">
        <is>
          <t>GARAGEM 01</t>
        </is>
      </c>
      <c r="R6" s="23" t="inlineStr">
        <is>
          <t>GARAGEM 02</t>
        </is>
      </c>
      <c r="S6" s="23" t="inlineStr">
        <is>
          <t>GARAGEM 03</t>
        </is>
      </c>
      <c r="T6" s="23" t="inlineStr">
        <is>
          <t>GARAGEM 04</t>
        </is>
      </c>
      <c r="U6" s="23" t="inlineStr">
        <is>
          <t>GARAGEM 05</t>
        </is>
      </c>
      <c r="V6" s="23" t="inlineStr">
        <is>
          <t>LAZER</t>
        </is>
      </c>
      <c r="W6" s="23" t="inlineStr">
        <is>
          <t>PAVIMENTO TIPO</t>
        </is>
      </c>
      <c r="X6" s="23" t="inlineStr">
        <is>
          <t>CASA DE MÁQUINAS</t>
        </is>
      </c>
      <c r="Y6" s="23" t="inlineStr">
        <is>
          <t>TOTAL</t>
        </is>
      </c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4" t="n"/>
    </row>
    <row r="7">
      <c r="A7" s="25" t="inlineStr">
        <is>
          <t>TORRE</t>
        </is>
      </c>
      <c r="B7" s="25" t="inlineStr">
        <is>
          <t>TÉRREO</t>
        </is>
      </c>
      <c r="C7" s="26" t="n"/>
      <c r="D7" s="27" t="n"/>
      <c r="E7" s="27" t="n"/>
      <c r="F7" s="69" t="n"/>
      <c r="G7" s="69" t="n"/>
      <c r="H7" s="69" t="n"/>
      <c r="I7" s="70" t="n"/>
      <c r="J7" s="69" t="n"/>
      <c r="K7" s="71" t="n"/>
      <c r="L7" s="72">
        <f>IF(SUM(F7:K7)=0,SUMIFS($L8:$L$535,$B8:$B$535,$B7,$A8:$A$535,$A7),I7*K7)</f>
        <v/>
      </c>
      <c r="M7" s="73" t="n"/>
      <c r="N7" s="74" t="inlineStr">
        <is>
          <t>TORRE</t>
        </is>
      </c>
      <c r="O7" s="75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  <c r="AA7" s="76" t="n"/>
      <c r="AB7" s="76" t="n"/>
      <c r="AC7" s="76" t="n"/>
      <c r="AD7" s="76" t="n"/>
      <c r="AE7" s="76" t="n"/>
      <c r="AF7" s="76" t="n"/>
      <c r="AG7" s="76" t="n"/>
      <c r="AH7" s="76" t="n"/>
      <c r="AI7" s="77" t="n"/>
      <c r="AJ7" s="73" t="n"/>
    </row>
    <row r="8">
      <c r="A8" s="37">
        <f>A7</f>
        <v/>
      </c>
      <c r="B8" s="37">
        <f>B7</f>
        <v/>
      </c>
      <c r="C8" s="37" t="inlineStr">
        <is>
          <t>INSTALAÇÕES DE TELECOMUNICAÇÃO</t>
        </is>
      </c>
      <c r="D8" s="37" t="inlineStr">
        <is>
          <t>CAIXA OCTOGONAL</t>
        </is>
      </c>
      <c r="E8" s="37" t="inlineStr">
        <is>
          <t>Caixa Octogonal Padrão NBR IEC 60670</t>
        </is>
      </c>
      <c r="F8" s="78" t="n">
        <v>61</v>
      </c>
      <c r="G8" s="78" t="n">
        <v>1</v>
      </c>
      <c r="H8" s="79" t="n">
        <v>0</v>
      </c>
      <c r="I8" s="80">
        <f>(F8+H8*F8)*G8</f>
        <v/>
      </c>
      <c r="J8" s="78" t="inlineStr">
        <is>
          <t>pç</t>
        </is>
      </c>
      <c r="K8" s="81" t="n">
        <v>9.800000000000001</v>
      </c>
      <c r="L8" s="82">
        <f>IF(SUM(F8:K8)=0,SUMIFS($L9:$L$535,$B9:$B$535,$B8,$A9:$A$535,$A8),I8*K8)</f>
        <v/>
      </c>
      <c r="N8" s="83" t="inlineStr">
        <is>
          <t>TORRE</t>
        </is>
      </c>
      <c r="O8" s="80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4" t="n"/>
      <c r="AE8" s="84" t="n"/>
      <c r="AF8" s="84" t="n"/>
      <c r="AG8" s="84" t="n"/>
      <c r="AH8" s="84" t="n"/>
      <c r="AI8" s="85" t="n"/>
    </row>
    <row r="9">
      <c r="A9" s="37">
        <f>A8</f>
        <v/>
      </c>
      <c r="B9" s="37">
        <f>B8</f>
        <v/>
      </c>
      <c r="C9" s="37" t="inlineStr">
        <is>
          <t>INSTALAÇÕES DE TELECOMUNICAÇÃO</t>
        </is>
      </c>
      <c r="D9" s="37" t="inlineStr">
        <is>
          <t>CAIXA OCTOGONAL</t>
        </is>
      </c>
      <c r="E9" s="37" t="inlineStr">
        <is>
          <t>Placa cega para caixa octogonal Padrão NBR IEC 60670</t>
        </is>
      </c>
      <c r="F9" s="78" t="n">
        <v>10</v>
      </c>
      <c r="G9" s="78" t="n">
        <v>1</v>
      </c>
      <c r="H9" s="79" t="n">
        <v>0</v>
      </c>
      <c r="I9" s="80">
        <f>(F9+H9*F9)*G9</f>
        <v/>
      </c>
      <c r="J9" s="78" t="inlineStr">
        <is>
          <t>pç</t>
        </is>
      </c>
      <c r="K9" s="81" t="n">
        <v>6.5</v>
      </c>
      <c r="L9" s="82">
        <f>IF(SUM(F9:K9)=0,SUMIFS($L10:$L$535,$B10:$B$535,$B9,$A10:$A$535,$A9),I9*K9)</f>
        <v/>
      </c>
      <c r="N9" s="83" t="inlineStr">
        <is>
          <t>TORRE</t>
        </is>
      </c>
      <c r="O9" s="80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  <c r="AA9" s="84" t="n"/>
      <c r="AB9" s="84" t="n"/>
      <c r="AC9" s="84" t="n"/>
      <c r="AD9" s="84" t="n"/>
      <c r="AE9" s="84" t="n"/>
      <c r="AF9" s="84" t="n"/>
      <c r="AG9" s="84" t="n"/>
      <c r="AH9" s="84" t="n"/>
      <c r="AI9" s="85" t="n"/>
    </row>
    <row r="10">
      <c r="A10" s="37">
        <f>A9</f>
        <v/>
      </c>
      <c r="B10" s="37">
        <f>B9</f>
        <v/>
      </c>
      <c r="C10" s="37" t="inlineStr">
        <is>
          <t>INSTALAÇÕES DE TELECOMUNICAÇÃO</t>
        </is>
      </c>
      <c r="D10" s="37" t="inlineStr">
        <is>
          <t>CAIXA 4x2" E 4x4"</t>
        </is>
      </c>
      <c r="E10" s="37" t="inlineStr">
        <is>
          <t>Caixa 4x2" de Embutir em PVC Padrão NBR IEC 60670</t>
        </is>
      </c>
      <c r="F10" s="78" t="n">
        <v>193</v>
      </c>
      <c r="G10" s="78" t="n">
        <v>1</v>
      </c>
      <c r="H10" s="79" t="n">
        <v>0</v>
      </c>
      <c r="I10" s="80">
        <f>(F10+H10*F10)*G10</f>
        <v/>
      </c>
      <c r="J10" s="78" t="inlineStr">
        <is>
          <t>pç</t>
        </is>
      </c>
      <c r="K10" s="81" t="n">
        <v>5.9</v>
      </c>
      <c r="L10" s="82">
        <f>IF(SUM(F10:K10)=0,SUMIFS($L11:$L$535,$B11:$B$535,$B10,$A11:$A$535,$A10),I10*K10)</f>
        <v/>
      </c>
      <c r="N10" s="83" t="inlineStr">
        <is>
          <t>TORRE</t>
        </is>
      </c>
      <c r="O10" s="80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84" t="n"/>
      <c r="AB10" s="84" t="n"/>
      <c r="AC10" s="84" t="n"/>
      <c r="AD10" s="84" t="n"/>
      <c r="AE10" s="84" t="n"/>
      <c r="AF10" s="84" t="n"/>
      <c r="AG10" s="84" t="n"/>
      <c r="AH10" s="84" t="n"/>
      <c r="AI10" s="85" t="n"/>
    </row>
    <row r="11" ht="15" customHeight="1" thickBot="1">
      <c r="A11" s="37">
        <f>A10</f>
        <v/>
      </c>
      <c r="B11" s="37">
        <f>B10</f>
        <v/>
      </c>
      <c r="C11" s="37" t="inlineStr">
        <is>
          <t>INSTALAÇÕES DE TELECOMUNICAÇÃO</t>
        </is>
      </c>
      <c r="D11" s="37" t="inlineStr">
        <is>
          <t>CAIXA 4x2" E 4x4"</t>
        </is>
      </c>
      <c r="E11" s="37" t="inlineStr">
        <is>
          <t>Caixa 4x4" de Embutir em PVC Padrão NBR IEC 60670</t>
        </is>
      </c>
      <c r="F11" s="78" t="n">
        <v>68</v>
      </c>
      <c r="G11" s="78" t="n">
        <v>1</v>
      </c>
      <c r="H11" s="79" t="n">
        <v>0</v>
      </c>
      <c r="I11" s="80">
        <f>(F11+H11*F11)*G11</f>
        <v/>
      </c>
      <c r="J11" s="78" t="inlineStr">
        <is>
          <t>pç</t>
        </is>
      </c>
      <c r="K11" s="81" t="n">
        <v>8.9</v>
      </c>
      <c r="L11" s="82">
        <f>IF(SUM(F11:K11)=0,SUMIFS($L12:$L$535,$B12:$B$535,$B11,$A12:$A$535,$A11),I11*K11)</f>
        <v/>
      </c>
      <c r="N11" s="86" t="inlineStr">
        <is>
          <t>TORRE</t>
        </is>
      </c>
      <c r="O11" s="87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8" t="n"/>
      <c r="AB11" s="88" t="n"/>
      <c r="AC11" s="88" t="n"/>
      <c r="AD11" s="88" t="n"/>
      <c r="AE11" s="88" t="n"/>
      <c r="AF11" s="88" t="n"/>
      <c r="AG11" s="88" t="n"/>
      <c r="AH11" s="88" t="n"/>
      <c r="AI11" s="89" t="n"/>
    </row>
    <row r="12">
      <c r="A12" s="37">
        <f>A11</f>
        <v/>
      </c>
      <c r="B12" s="37">
        <f>B11</f>
        <v/>
      </c>
      <c r="C12" s="37" t="inlineStr">
        <is>
          <t>INSTALAÇÕES DE TELECOMUNICAÇÃO</t>
        </is>
      </c>
      <c r="D12" s="37" t="inlineStr">
        <is>
          <t>CAIXA 4x2" E 4x4"</t>
        </is>
      </c>
      <c r="E12" s="37" t="inlineStr">
        <is>
          <t>Placa 4x2" cega Padrão NBR IEC 60670</t>
        </is>
      </c>
      <c r="F12" s="78" t="n">
        <v>90</v>
      </c>
      <c r="G12" s="78" t="n">
        <v>1</v>
      </c>
      <c r="H12" s="79" t="n">
        <v>0</v>
      </c>
      <c r="I12" s="80">
        <f>(F12+H12*F12)*G12</f>
        <v/>
      </c>
      <c r="J12" s="78" t="inlineStr">
        <is>
          <t>pç</t>
        </is>
      </c>
      <c r="K12" s="81" t="n">
        <v>4.5</v>
      </c>
      <c r="L12" s="82">
        <f>IF(SUM(F12:K12)=0,SUMIFS($L13:$L$535,$B13:$B$535,$B12,$A13:$A$535,$A12),I12*K12)</f>
        <v/>
      </c>
      <c r="N12" s="49" t="inlineStr">
        <is>
          <t>TORRE</t>
        </is>
      </c>
      <c r="O12" s="49" t="n"/>
      <c r="P12" s="50" t="n"/>
      <c r="Q12" s="50" t="n"/>
      <c r="R12" s="49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  <c r="AH12" s="50" t="n"/>
      <c r="AI12" s="90" t="n"/>
    </row>
    <row r="13">
      <c r="A13" s="37">
        <f>A12</f>
        <v/>
      </c>
      <c r="B13" s="37">
        <f>B12</f>
        <v/>
      </c>
      <c r="C13" s="37" t="inlineStr">
        <is>
          <t>INSTALAÇÕES DE TELECOMUNICAÇÃO</t>
        </is>
      </c>
      <c r="D13" s="37" t="inlineStr">
        <is>
          <t>CAIXA 4x2" E 4x4"</t>
        </is>
      </c>
      <c r="E13" s="37" t="inlineStr">
        <is>
          <t>Placa 4x2" para 2 funções Padrão NBR IEC 60670</t>
        </is>
      </c>
      <c r="F13" s="78" t="n">
        <v>12</v>
      </c>
      <c r="G13" s="78" t="n">
        <v>1</v>
      </c>
      <c r="H13" s="79" t="n">
        <v>0</v>
      </c>
      <c r="I13" s="80">
        <f>(F13+H13*F13)*G13</f>
        <v/>
      </c>
      <c r="J13" s="78" t="inlineStr">
        <is>
          <t>pç</t>
        </is>
      </c>
      <c r="K13" s="81" t="n">
        <v>7.8</v>
      </c>
      <c r="L13" s="82">
        <f>IF(SUM(F13:K13)=0,SUMIFS($L14:$L$535,$B14:$B$535,$B13,$A14:$A$535,$A13),I13*K13)</f>
        <v/>
      </c>
      <c r="N13" s="49" t="inlineStr">
        <is>
          <t>TORRE</t>
        </is>
      </c>
      <c r="O13" s="49" t="n"/>
      <c r="P13" s="50" t="n"/>
      <c r="Q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</row>
    <row r="14">
      <c r="A14" s="37">
        <f>A13</f>
        <v/>
      </c>
      <c r="B14" s="37">
        <f>B13</f>
        <v/>
      </c>
      <c r="C14" s="37" t="inlineStr">
        <is>
          <t>INSTALAÇÕES DE TELECOMUNICAÇÃO</t>
        </is>
      </c>
      <c r="D14" s="37" t="inlineStr">
        <is>
          <t>CAIXA 4x2" E 4x4"</t>
        </is>
      </c>
      <c r="E14" s="37" t="inlineStr">
        <is>
          <t>Placa 4x2" para 3 funções Padrão NBR IEC 60670</t>
        </is>
      </c>
      <c r="F14" s="78" t="n">
        <v>8</v>
      </c>
      <c r="G14" s="78" t="n">
        <v>1</v>
      </c>
      <c r="H14" s="79" t="n">
        <v>0</v>
      </c>
      <c r="I14" s="80">
        <f>(F14+H14*F14)*G14</f>
        <v/>
      </c>
      <c r="J14" s="78" t="inlineStr">
        <is>
          <t>pç</t>
        </is>
      </c>
      <c r="K14" s="81" t="n">
        <v>8.9</v>
      </c>
      <c r="L14" s="82">
        <f>IF(SUM(F14:K14)=0,SUMIFS($L15:$L$535,$B15:$B$535,$B14,$A15:$A$535,$A14),I14*K14)</f>
        <v/>
      </c>
      <c r="N14" s="49" t="inlineStr">
        <is>
          <t>TORRE</t>
        </is>
      </c>
      <c r="O14" s="49" t="n"/>
      <c r="P14" s="50" t="n"/>
      <c r="Q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</row>
    <row r="15">
      <c r="A15" s="37">
        <f>A14</f>
        <v/>
      </c>
      <c r="B15" s="37">
        <f>B14</f>
        <v/>
      </c>
      <c r="C15" s="37" t="inlineStr">
        <is>
          <t>INSTALAÇÕES DE TELECOMUNICAÇÃO</t>
        </is>
      </c>
      <c r="D15" s="37" t="inlineStr">
        <is>
          <t>CAIXA 4x2" E 4x4"</t>
        </is>
      </c>
      <c r="E15" s="37" t="inlineStr">
        <is>
          <t>Placa 4x4" cega Padrão NBR IEC 60670</t>
        </is>
      </c>
      <c r="F15" s="78" t="n">
        <v>68</v>
      </c>
      <c r="G15" s="78" t="n">
        <v>1</v>
      </c>
      <c r="H15" s="79" t="n">
        <v>0</v>
      </c>
      <c r="I15" s="80">
        <f>(F15+H15*F15)*G15</f>
        <v/>
      </c>
      <c r="J15" s="78" t="inlineStr">
        <is>
          <t>pç</t>
        </is>
      </c>
      <c r="K15" s="81" t="n">
        <v>7.5</v>
      </c>
      <c r="L15" s="82">
        <f>IF(SUM(F15:K15)=0,SUMIFS($L16:$L$535,$B16:$B$535,$B15,$A16:$A$535,$A15),I15*K15)</f>
        <v/>
      </c>
      <c r="N15" s="49" t="inlineStr">
        <is>
          <t>TORRE</t>
        </is>
      </c>
      <c r="O15" s="49" t="n"/>
      <c r="P15" s="50" t="n"/>
      <c r="Q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</row>
    <row r="16">
      <c r="A16" s="37">
        <f>A15</f>
        <v/>
      </c>
      <c r="B16" s="37">
        <f>B15</f>
        <v/>
      </c>
      <c r="C16" s="37" t="inlineStr">
        <is>
          <t>INSTALAÇÕES DE TELECOMUNICAÇÃO</t>
        </is>
      </c>
      <c r="D16" s="37" t="inlineStr">
        <is>
          <t>CAIXA 4x2" E 4x4"</t>
        </is>
      </c>
      <c r="E16" s="37" t="inlineStr">
        <is>
          <t>Suporte p/ caixa 4x2" Padrão NBR IEC 60670</t>
        </is>
      </c>
      <c r="F16" s="78" t="n">
        <v>193</v>
      </c>
      <c r="G16" s="78" t="n">
        <v>1</v>
      </c>
      <c r="H16" s="79" t="n">
        <v>0</v>
      </c>
      <c r="I16" s="80">
        <f>(F16+H16*F16)*G16</f>
        <v/>
      </c>
      <c r="J16" s="78" t="inlineStr">
        <is>
          <t>pç</t>
        </is>
      </c>
      <c r="K16" s="81" t="n">
        <v>2.4</v>
      </c>
      <c r="L16" s="82">
        <f>IF(SUM(F16:K16)=0,SUMIFS($L17:$L$535,$B17:$B$535,$B16,$A17:$A$535,$A16),I16*K16)</f>
        <v/>
      </c>
      <c r="N16" s="49" t="inlineStr">
        <is>
          <t>TORRE</t>
        </is>
      </c>
      <c r="O16" s="49" t="n"/>
      <c r="P16" s="50" t="n"/>
      <c r="Q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</row>
    <row r="17">
      <c r="A17" s="37">
        <f>A16</f>
        <v/>
      </c>
      <c r="B17" s="37">
        <f>B16</f>
        <v/>
      </c>
      <c r="C17" s="37" t="inlineStr">
        <is>
          <t>INSTALAÇÕES DE TELECOMUNICAÇÃO</t>
        </is>
      </c>
      <c r="D17" s="37" t="inlineStr">
        <is>
          <t>CAIXA 4x2" E 4x4"</t>
        </is>
      </c>
      <c r="E17" s="37" t="inlineStr">
        <is>
          <t>Suporte p/ caixa 4x4" Padrão NBR IEC 60670</t>
        </is>
      </c>
      <c r="F17" s="78" t="n">
        <v>68</v>
      </c>
      <c r="G17" s="78" t="n">
        <v>1</v>
      </c>
      <c r="H17" s="79" t="n">
        <v>0</v>
      </c>
      <c r="I17" s="80">
        <f>(F17+H17*F17)*G17</f>
        <v/>
      </c>
      <c r="J17" s="78" t="inlineStr">
        <is>
          <t>pç</t>
        </is>
      </c>
      <c r="K17" s="81" t="n">
        <v>3.2</v>
      </c>
      <c r="L17" s="82">
        <f>IF(SUM(F17:K17)=0,SUMIFS($L18:$L$535,$B18:$B$535,$B17,$A18:$A$535,$A17),I17*K17)</f>
        <v/>
      </c>
      <c r="N17" s="49" t="inlineStr">
        <is>
          <t>TORRE</t>
        </is>
      </c>
      <c r="O17" s="49" t="n"/>
      <c r="P17" s="50" t="n"/>
      <c r="Q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50" t="n"/>
    </row>
    <row r="18">
      <c r="A18" s="37">
        <f>A17</f>
        <v/>
      </c>
      <c r="B18" s="37">
        <f>B17</f>
        <v/>
      </c>
      <c r="C18" s="37" t="inlineStr">
        <is>
          <t>INSTALAÇÕES DE TELECOMUNICAÇÃO</t>
        </is>
      </c>
      <c r="D18" s="37" t="inlineStr">
        <is>
          <t>CAIXA DE PASSAGEM</t>
        </is>
      </c>
      <c r="E18" s="37" t="inlineStr">
        <is>
          <t>Cx de passagem de embutir com dimensão de 30x30x12 cm</t>
        </is>
      </c>
      <c r="F18" s="78" t="n">
        <v>4</v>
      </c>
      <c r="G18" s="78" t="n">
        <v>1</v>
      </c>
      <c r="H18" s="79" t="n">
        <v>0</v>
      </c>
      <c r="I18" s="80">
        <f>(F18+H18*F18)*G18</f>
        <v/>
      </c>
      <c r="J18" s="78" t="inlineStr">
        <is>
          <t>pç</t>
        </is>
      </c>
      <c r="K18" s="81" t="n">
        <v>145</v>
      </c>
      <c r="L18" s="82">
        <f>IF(SUM(F18:K18)=0,SUMIFS($L19:$L$535,$B19:$B$535,$B18,$A19:$A$535,$A18),I18*K18)</f>
        <v/>
      </c>
      <c r="N18" s="49" t="inlineStr">
        <is>
          <t>TORRE</t>
        </is>
      </c>
      <c r="O18" s="49" t="n"/>
      <c r="P18" s="50" t="n"/>
      <c r="Q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  <c r="AH18" s="50" t="n"/>
      <c r="AI18" s="50" t="n"/>
    </row>
    <row r="19">
      <c r="A19" s="37">
        <f>A18</f>
        <v/>
      </c>
      <c r="B19" s="37">
        <f>B18</f>
        <v/>
      </c>
      <c r="C19" s="37" t="inlineStr">
        <is>
          <t>INSTALAÇÕES DE TELECOMUNICAÇÃO</t>
        </is>
      </c>
      <c r="D19" s="37" t="inlineStr">
        <is>
          <t>ELETRODUTOS</t>
        </is>
      </c>
      <c r="E19" s="37" t="inlineStr">
        <is>
          <t>PVC Flexível Antichama - NBR 15465 ø1"</t>
        </is>
      </c>
      <c r="F19" s="78" t="n">
        <v>672</v>
      </c>
      <c r="G19" s="78" t="n">
        <v>1</v>
      </c>
      <c r="H19" s="79" t="n">
        <v>0</v>
      </c>
      <c r="I19" s="80">
        <f>(F19+H19*F19)*G19</f>
        <v/>
      </c>
      <c r="J19" s="78" t="inlineStr">
        <is>
          <t>m</t>
        </is>
      </c>
      <c r="K19" s="81" t="n">
        <v>11.9</v>
      </c>
      <c r="L19" s="82">
        <f>IF(SUM(F19:K19)=0,SUMIFS($L20:$L$535,$B20:$B$535,$B19,$A20:$A$535,$A19),I19*K19)</f>
        <v/>
      </c>
      <c r="N19" s="49" t="inlineStr">
        <is>
          <t>TORRE</t>
        </is>
      </c>
      <c r="O19" s="49" t="n"/>
      <c r="P19" s="50" t="n"/>
      <c r="Q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0" t="n"/>
      <c r="AE19" s="50" t="n"/>
      <c r="AF19" s="50" t="n"/>
      <c r="AG19" s="50" t="n"/>
      <c r="AH19" s="50" t="n"/>
      <c r="AI19" s="50" t="n"/>
    </row>
    <row r="20">
      <c r="A20" s="37">
        <f>A19</f>
        <v/>
      </c>
      <c r="B20" s="37">
        <f>B19</f>
        <v/>
      </c>
      <c r="C20" s="37" t="inlineStr">
        <is>
          <t>INSTALAÇÕES DE TELECOMUNICAÇÃO</t>
        </is>
      </c>
      <c r="D20" s="37" t="inlineStr">
        <is>
          <t>ELETRODUTOS</t>
        </is>
      </c>
      <c r="E20" s="37" t="inlineStr">
        <is>
          <t>PVC Flexível Antichama - NBR 15465 ø3/4"</t>
        </is>
      </c>
      <c r="F20" s="78" t="n">
        <v>1011</v>
      </c>
      <c r="G20" s="78" t="n">
        <v>1</v>
      </c>
      <c r="H20" s="79" t="n">
        <v>0</v>
      </c>
      <c r="I20" s="80">
        <f>(F20+H20*F20)*G20</f>
        <v/>
      </c>
      <c r="J20" s="78" t="inlineStr">
        <is>
          <t>m</t>
        </is>
      </c>
      <c r="K20" s="81" t="n">
        <v>7.5</v>
      </c>
      <c r="L20" s="82">
        <f>IF(SUM(F20:K20)=0,SUMIFS($L21:$L$535,$B21:$B$535,$B20,$A21:$A$535,$A20),I20*K20)</f>
        <v/>
      </c>
      <c r="N20" s="49" t="inlineStr">
        <is>
          <t>TORRE</t>
        </is>
      </c>
      <c r="O20" s="49" t="n"/>
      <c r="P20" s="50" t="n"/>
      <c r="Q20" s="50" t="n"/>
      <c r="S20" s="50" t="n"/>
      <c r="T20" s="50" t="n"/>
      <c r="U20" s="50" t="n"/>
      <c r="V20" s="50" t="n"/>
      <c r="W20" s="50" t="n"/>
      <c r="X20" s="50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  <c r="AH20" s="50" t="n"/>
      <c r="AI20" s="50" t="n"/>
    </row>
    <row r="21">
      <c r="A21" s="37">
        <f>A20</f>
        <v/>
      </c>
      <c r="B21" s="37">
        <f>B20</f>
        <v/>
      </c>
      <c r="C21" s="37" t="inlineStr">
        <is>
          <t>INSTALAÇÕES DE TELECOMUNICAÇÃO</t>
        </is>
      </c>
      <c r="D21" s="37" t="inlineStr">
        <is>
          <t>MÓDULOS</t>
        </is>
      </c>
      <c r="E21" s="37" t="inlineStr">
        <is>
          <t>Módulo Coaxial</t>
        </is>
      </c>
      <c r="F21" s="78" t="n">
        <v>10</v>
      </c>
      <c r="G21" s="78" t="n">
        <v>1</v>
      </c>
      <c r="H21" s="79" t="n">
        <v>0</v>
      </c>
      <c r="I21" s="80">
        <f>(F21+H21*F21)*G21</f>
        <v/>
      </c>
      <c r="J21" s="78" t="inlineStr">
        <is>
          <t>pç</t>
        </is>
      </c>
      <c r="K21" s="81" t="n">
        <v>18.5</v>
      </c>
      <c r="L21" s="82">
        <f>IF(SUM(F21:K21)=0,SUMIFS($L22:$L$535,$B22:$B$535,$B21,$A22:$A$535,$A21),I21*K21)</f>
        <v/>
      </c>
      <c r="N21" s="49" t="inlineStr">
        <is>
          <t>TORRE</t>
        </is>
      </c>
      <c r="O21" s="49" t="n"/>
      <c r="P21" s="50" t="n"/>
      <c r="Q21" s="50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  <c r="AH21" s="50" t="n"/>
      <c r="AI21" s="50" t="n"/>
    </row>
    <row r="22" ht="15" customHeight="1" thickBot="1">
      <c r="A22" s="37">
        <f>A21</f>
        <v/>
      </c>
      <c r="B22" s="37">
        <f>B21</f>
        <v/>
      </c>
      <c r="C22" s="37" t="inlineStr">
        <is>
          <t>INSTALAÇÕES DE TELECOMUNICAÇÃO</t>
        </is>
      </c>
      <c r="D22" s="37" t="inlineStr">
        <is>
          <t>MÓDULOS</t>
        </is>
      </c>
      <c r="E22" s="37" t="inlineStr">
        <is>
          <t>Módulo RJ11</t>
        </is>
      </c>
      <c r="F22" s="78" t="n">
        <v>36</v>
      </c>
      <c r="G22" s="78" t="n">
        <v>1</v>
      </c>
      <c r="H22" s="79" t="n">
        <v>0</v>
      </c>
      <c r="I22" s="80">
        <f>(F22+H22*F22)*G22</f>
        <v/>
      </c>
      <c r="J22" s="78" t="inlineStr">
        <is>
          <t>pç</t>
        </is>
      </c>
      <c r="K22" s="81" t="n">
        <v>16.8</v>
      </c>
      <c r="L22" s="82">
        <f>IF(SUM(F22:K22)=0,SUMIFS($L23:$L$535,$B23:$B$535,$B22,$A23:$A$535,$A22),I22*K22)</f>
        <v/>
      </c>
      <c r="N22" s="49" t="inlineStr">
        <is>
          <t>TORRE</t>
        </is>
      </c>
      <c r="O22" s="49" t="n"/>
      <c r="P22" s="50" t="n"/>
      <c r="Q22" s="50" t="n"/>
      <c r="S22" s="50" t="n"/>
      <c r="T22" s="50" t="n"/>
      <c r="U22" s="50" t="n"/>
      <c r="V22" s="50" t="n"/>
      <c r="W22" s="50" t="n"/>
      <c r="X22" s="50" t="n"/>
      <c r="Y22" s="50" t="n"/>
      <c r="Z22" s="50" t="n"/>
      <c r="AA22" s="50" t="n"/>
      <c r="AB22" s="50" t="n"/>
      <c r="AC22" s="50" t="n"/>
      <c r="AD22" s="50" t="n"/>
      <c r="AE22" s="50" t="n"/>
      <c r="AF22" s="50" t="n"/>
      <c r="AG22" s="50" t="n"/>
      <c r="AH22" s="50" t="n"/>
      <c r="AI22" s="50" t="n"/>
    </row>
    <row r="23" ht="15" customHeight="1" thickTop="1">
      <c r="A23" s="37">
        <f>A22</f>
        <v/>
      </c>
      <c r="B23" s="37">
        <f>B22</f>
        <v/>
      </c>
      <c r="C23" s="37" t="inlineStr">
        <is>
          <t>INSTALAÇÕES DE TELECOMUNICAÇÃO</t>
        </is>
      </c>
      <c r="D23" s="37" t="inlineStr">
        <is>
          <t>MÓDULOS</t>
        </is>
      </c>
      <c r="E23" s="37" t="inlineStr">
        <is>
          <t>Módulo RJ45</t>
        </is>
      </c>
      <c r="F23" s="78" t="n">
        <v>46</v>
      </c>
      <c r="G23" s="78" t="n">
        <v>1</v>
      </c>
      <c r="H23" s="79" t="n">
        <v>0</v>
      </c>
      <c r="I23" s="80">
        <f>(F23+H23*F23)*G23</f>
        <v/>
      </c>
      <c r="J23" s="78" t="inlineStr">
        <is>
          <t>pç</t>
        </is>
      </c>
      <c r="K23" s="81" t="n">
        <v>22.9</v>
      </c>
      <c r="L23" s="82">
        <f>IF(SUM(F23:K23)=0,SUMIFS($L24:$L$535,$B24:$B$535,$B23,$A24:$A$535,$A23),I23*K23)</f>
        <v/>
      </c>
      <c r="N23" s="49" t="inlineStr">
        <is>
          <t>TORRE</t>
        </is>
      </c>
      <c r="O23" s="49" t="n"/>
      <c r="P23" s="50" t="n"/>
      <c r="Q23" s="50" t="n"/>
      <c r="R23" s="49" t="n"/>
      <c r="S23" s="50" t="n"/>
      <c r="T23" s="50" t="n"/>
      <c r="U23" s="50" t="n"/>
      <c r="V23" s="50" t="n"/>
      <c r="W23" s="50" t="n"/>
      <c r="X23" s="50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  <c r="AH23" s="50" t="n"/>
      <c r="AI23" s="50" t="n"/>
    </row>
    <row r="24">
      <c r="A24" s="37">
        <f>A23</f>
        <v/>
      </c>
      <c r="B24" s="37">
        <f>B23</f>
        <v/>
      </c>
      <c r="C24" s="37" t="inlineStr">
        <is>
          <t>INSTALAÇÕES DE TELECOMUNICAÇÃO</t>
        </is>
      </c>
      <c r="D24" s="37" t="inlineStr">
        <is>
          <t>QUADROS DE DISTRIBUIÇÃO</t>
        </is>
      </c>
      <c r="E24" s="37" t="inlineStr">
        <is>
          <t>Embutir - 396x510x107mm</t>
        </is>
      </c>
      <c r="F24" s="78" t="n">
        <v>6</v>
      </c>
      <c r="G24" s="78" t="n">
        <v>1</v>
      </c>
      <c r="H24" s="79" t="n">
        <v>0</v>
      </c>
      <c r="I24" s="80">
        <f>(F24+H24*F24)*G24</f>
        <v/>
      </c>
      <c r="J24" s="78" t="inlineStr">
        <is>
          <t>pç</t>
        </is>
      </c>
      <c r="K24" s="81" t="n">
        <v>420</v>
      </c>
      <c r="L24" s="82">
        <f>IF(SUM(F24:K24)=0,SUMIFS($L25:$L$535,$B25:$B$535,$B24,$A25:$A$535,$A24),I24*K24)</f>
        <v/>
      </c>
      <c r="N24" s="49" t="inlineStr">
        <is>
          <t>TORRE</t>
        </is>
      </c>
      <c r="O24" s="49" t="n"/>
      <c r="P24" s="50" t="n"/>
      <c r="Q24" s="50" t="n"/>
      <c r="R24" s="49" t="n"/>
      <c r="S24" s="50" t="n"/>
      <c r="T24" s="50" t="n"/>
      <c r="U24" s="50" t="n"/>
      <c r="V24" s="50" t="n"/>
      <c r="W24" s="50" t="n"/>
      <c r="X24" s="50" t="n"/>
      <c r="Y24" s="50" t="n"/>
      <c r="Z24" s="50" t="n"/>
      <c r="AA24" s="50" t="n"/>
      <c r="AB24" s="50" t="n"/>
      <c r="AC24" s="50" t="n"/>
      <c r="AD24" s="50" t="n"/>
      <c r="AE24" s="50" t="n"/>
      <c r="AF24" s="50" t="n"/>
      <c r="AG24" s="50" t="n"/>
      <c r="AH24" s="50" t="n"/>
      <c r="AI24" s="50" t="n"/>
    </row>
    <row r="25">
      <c r="A25" s="104">
        <f>A24</f>
        <v/>
      </c>
      <c r="B25" s="104">
        <f>B24</f>
        <v/>
      </c>
      <c r="C25" s="104" t="inlineStr">
        <is>
          <t>INSTALAÇÕES DE TELECOMUNICAÇÃO</t>
        </is>
      </c>
      <c r="D25" s="104" t="inlineStr">
        <is>
          <t>ELETRODUTOS</t>
        </is>
      </c>
      <c r="E25" s="104" t="inlineStr">
        <is>
          <t>PVC Flexível Antichama - NBR 15465 ø1.1/4"</t>
        </is>
      </c>
      <c r="F25" s="105" t="n">
        <v>32</v>
      </c>
      <c r="G25" s="105" t="n">
        <v>1</v>
      </c>
      <c r="H25" s="106" t="n">
        <v>0</v>
      </c>
      <c r="I25" s="107">
        <f>(F25+H25*F25)*G25</f>
        <v/>
      </c>
      <c r="J25" s="105" t="inlineStr">
        <is>
          <t>m</t>
        </is>
      </c>
      <c r="K25" s="108" t="n">
        <v>0</v>
      </c>
      <c r="L25" s="109">
        <f>IF(SUM(F25:K25)=0,SUMIFS($L26:$L$535,$B26:$B$535,$B25,$A26:$A$535,$A25),I25*K25)</f>
        <v/>
      </c>
    </row>
    <row r="26">
      <c r="A26" s="104">
        <f>A25</f>
        <v/>
      </c>
      <c r="B26" s="104">
        <f>B25</f>
        <v/>
      </c>
      <c r="C26" s="104" t="inlineStr">
        <is>
          <t>INSTALAÇÕES DE TELECOMUNICAÇÃO</t>
        </is>
      </c>
      <c r="D26" s="104" t="inlineStr">
        <is>
          <t>CAIXA DE PASSAGEM</t>
        </is>
      </c>
      <c r="E26" s="104" t="inlineStr">
        <is>
          <t>Cx de passagem de embutir com dimensão de 60x60x12cm</t>
        </is>
      </c>
      <c r="F26" s="105" t="n">
        <v>1</v>
      </c>
      <c r="G26" s="105" t="n">
        <v>1</v>
      </c>
      <c r="H26" s="106" t="n">
        <v>0</v>
      </c>
      <c r="I26" s="107">
        <f>(F26+H26*F26)*G26</f>
        <v/>
      </c>
      <c r="J26" s="105" t="inlineStr">
        <is>
          <t>pç</t>
        </is>
      </c>
      <c r="K26" s="108" t="n">
        <v>0</v>
      </c>
      <c r="L26" s="109">
        <f>IF(SUM(F26:K26)=0,SUMIFS($L27:$L$535,$B27:$B$535,$B26,$A27:$A$535,$A26),I26*K26)</f>
        <v/>
      </c>
    </row>
    <row r="27">
      <c r="A27" s="104">
        <f>A26</f>
        <v/>
      </c>
      <c r="B27" s="104">
        <f>B26</f>
        <v/>
      </c>
      <c r="C27" s="104" t="inlineStr">
        <is>
          <t>INSTALAÇÕES DE TELECOMUNICAÇÃO</t>
        </is>
      </c>
      <c r="D27" s="104" t="inlineStr">
        <is>
          <t>CAIXA DE PASSAGEM</t>
        </is>
      </c>
      <c r="E27" s="104" t="inlineStr">
        <is>
          <t>Cx de passagem de embutir com dimensão de 80x120x20cm</t>
        </is>
      </c>
      <c r="F27" s="105" t="n">
        <v>2</v>
      </c>
      <c r="G27" s="105" t="n">
        <v>1</v>
      </c>
      <c r="H27" s="106" t="n">
        <v>0</v>
      </c>
      <c r="I27" s="107">
        <f>(F27+H27*F27)*G27</f>
        <v/>
      </c>
      <c r="J27" s="105" t="inlineStr">
        <is>
          <t>pç</t>
        </is>
      </c>
      <c r="K27" s="108" t="n">
        <v>0</v>
      </c>
      <c r="L27" s="109">
        <f>IF(SUM(F27:K27)=0,SUMIFS($L28:$L$535,$B28:$B$535,$B27,$A28:$A$535,$A27),I27*K27)</f>
        <v/>
      </c>
    </row>
    <row r="28">
      <c r="A28" s="104">
        <f>A27</f>
        <v/>
      </c>
      <c r="B28" s="104">
        <f>B27</f>
        <v/>
      </c>
      <c r="C28" s="104" t="inlineStr">
        <is>
          <t>INSTALAÇÕES DE TELECOMUNICAÇÃO</t>
        </is>
      </c>
      <c r="D28" s="104" t="inlineStr">
        <is>
          <t>CAIXA DE PASSAGEM</t>
        </is>
      </c>
      <c r="E28" s="104" t="inlineStr">
        <is>
          <t>Cx de passagem de embutir com dimensão de 60x120x20cm</t>
        </is>
      </c>
      <c r="F28" s="105" t="n">
        <v>1</v>
      </c>
      <c r="G28" s="105" t="n">
        <v>1</v>
      </c>
      <c r="H28" s="106" t="n">
        <v>0</v>
      </c>
      <c r="I28" s="107">
        <f>(F28+H28*F28)*G28</f>
        <v/>
      </c>
      <c r="J28" s="105" t="inlineStr">
        <is>
          <t>pç</t>
        </is>
      </c>
      <c r="K28" s="108" t="n">
        <v>0</v>
      </c>
      <c r="L28" s="109">
        <f>IF(SUM(F28:K28)=0,SUMIFS($L29:$L$535,$B29:$B$535,$B28,$A29:$A$535,$A28),I28*K28)</f>
        <v/>
      </c>
    </row>
    <row r="29">
      <c r="A29" s="104">
        <f>A28</f>
        <v/>
      </c>
      <c r="B29" s="104">
        <f>B28</f>
        <v/>
      </c>
      <c r="C29" s="104" t="inlineStr">
        <is>
          <t>INSTALAÇÕES DE TELECOMUNICAÇÃO</t>
        </is>
      </c>
      <c r="D29" s="104" t="inlineStr">
        <is>
          <t>COTOVELOS</t>
        </is>
      </c>
      <c r="E29" s="104" t="inlineStr">
        <is>
          <t>Cotovelo para eletroduto flexível PVC amarelo</t>
        </is>
      </c>
      <c r="F29" s="105" t="n">
        <v>1337</v>
      </c>
      <c r="G29" s="105" t="n">
        <v>1</v>
      </c>
      <c r="H29" s="106" t="n">
        <v>0</v>
      </c>
      <c r="I29" s="107">
        <f>(F29+H29*F29)*G29</f>
        <v/>
      </c>
      <c r="J29" s="105" t="inlineStr">
        <is>
          <t>un</t>
        </is>
      </c>
      <c r="K29" s="108" t="n">
        <v>0</v>
      </c>
      <c r="L29" s="109">
        <f>IF(SUM(F29:K29)=0,SUMIFS($L30:$L$535,$B30:$B$535,$B29,$A30:$A$535,$A29),I29*K29)</f>
        <v/>
      </c>
    </row>
    <row r="30">
      <c r="A30" s="104">
        <f>A29</f>
        <v/>
      </c>
      <c r="B30" s="104">
        <f>B29</f>
        <v/>
      </c>
      <c r="C30" s="104" t="inlineStr">
        <is>
          <t>INSTALAÇÕES DE TELECOMUNICAÇÃO</t>
        </is>
      </c>
      <c r="D30" s="104" t="inlineStr">
        <is>
          <t>CONECTORES E BUCHAS</t>
        </is>
      </c>
      <c r="E30" s="104" t="inlineStr">
        <is>
          <t>Conector box e arruela - Alumínio padrão</t>
        </is>
      </c>
      <c r="F30" s="105" t="n">
        <v>83</v>
      </c>
      <c r="G30" s="105" t="n">
        <v>1</v>
      </c>
      <c r="H30" s="106" t="n">
        <v>0</v>
      </c>
      <c r="I30" s="107">
        <f>(F30+H30*F30)*G30</f>
        <v/>
      </c>
      <c r="J30" s="105" t="inlineStr">
        <is>
          <t>un</t>
        </is>
      </c>
      <c r="K30" s="108" t="n">
        <v>0</v>
      </c>
      <c r="L30" s="109">
        <f>IF(SUM(F30:K30)=0,SUMIFS($L31:$L$535,$B31:$B$535,$B30,$A31:$A$535,$A30),I30*K30)</f>
        <v/>
      </c>
    </row>
    <row r="31">
      <c r="A31" s="104">
        <f>A30</f>
        <v/>
      </c>
      <c r="B31" s="104">
        <f>B30</f>
        <v/>
      </c>
      <c r="C31" s="104" t="inlineStr">
        <is>
          <t>INSTALAÇÕES DE TELECOMUNICAÇÃO</t>
        </is>
      </c>
      <c r="D31" s="104" t="inlineStr">
        <is>
          <t>CONECTORES E BUCHAS</t>
        </is>
      </c>
      <c r="E31" s="104" t="inlineStr">
        <is>
          <t>Bucha terminal simples - Alumínio padrão</t>
        </is>
      </c>
      <c r="F31" s="105" t="n">
        <v>22</v>
      </c>
      <c r="G31" s="105" t="n">
        <v>1</v>
      </c>
      <c r="H31" s="106" t="n">
        <v>0</v>
      </c>
      <c r="I31" s="107">
        <f>(F31+H31*F31)*G31</f>
        <v/>
      </c>
      <c r="J31" s="105" t="inlineStr">
        <is>
          <t>un</t>
        </is>
      </c>
      <c r="K31" s="108" t="n">
        <v>0</v>
      </c>
      <c r="L31" s="109">
        <f>IF(SUM(F31:K31)=0,SUMIFS($L32:$L$535,$B32:$B$535,$B31,$A32:$A$535,$A31),I31*K31)</f>
        <v/>
      </c>
    </row>
    <row r="32">
      <c r="A32" s="104">
        <f>A31</f>
        <v/>
      </c>
      <c r="B32" s="104">
        <f>B31</f>
        <v/>
      </c>
      <c r="C32" s="104" t="inlineStr">
        <is>
          <t>INSTALAÇÕES DE TELECOMUNICAÇÃO</t>
        </is>
      </c>
      <c r="D32" s="104" t="inlineStr">
        <is>
          <t>CONDUTORES TELECOM</t>
        </is>
      </c>
      <c r="E32" s="104" t="inlineStr">
        <is>
          <t>Condutor CFTV</t>
        </is>
      </c>
      <c r="F32" s="105" t="n">
        <v>52</v>
      </c>
      <c r="G32" s="105" t="n">
        <v>1</v>
      </c>
      <c r="H32" s="106" t="n">
        <v>0</v>
      </c>
      <c r="I32" s="107">
        <f>(F32+H32*F32)*G32</f>
        <v/>
      </c>
      <c r="J32" s="105" t="inlineStr">
        <is>
          <t>un</t>
        </is>
      </c>
      <c r="K32" s="108" t="n">
        <v>0</v>
      </c>
      <c r="L32" s="109">
        <f>IF(SUM(F32:K32)=0,SUMIFS($L33:$L$535,$B33:$B$535,$B32,$A33:$A$535,$A32),I32*K32)</f>
        <v/>
      </c>
    </row>
    <row r="33">
      <c r="A33" s="104">
        <f>A32</f>
        <v/>
      </c>
      <c r="B33" s="104">
        <f>B32</f>
        <v/>
      </c>
      <c r="C33" s="104" t="inlineStr">
        <is>
          <t>INSTALAÇÕES DE TELECOMUNICAÇÃO</t>
        </is>
      </c>
      <c r="D33" s="104" t="inlineStr">
        <is>
          <t>CONDUTORES TELECOM</t>
        </is>
      </c>
      <c r="E33" s="104" t="inlineStr">
        <is>
          <t>Condutor UTP</t>
        </is>
      </c>
      <c r="F33" s="105" t="n">
        <v>47</v>
      </c>
      <c r="G33" s="105" t="n">
        <v>1</v>
      </c>
      <c r="H33" s="106" t="n">
        <v>0</v>
      </c>
      <c r="I33" s="107">
        <f>(F33+H33*F33)*G33</f>
        <v/>
      </c>
      <c r="J33" s="105" t="inlineStr">
        <is>
          <t>un</t>
        </is>
      </c>
      <c r="K33" s="108" t="n">
        <v>0</v>
      </c>
      <c r="L33" s="109">
        <f>IF(SUM(F33:K33)=0,SUMIFS($L34:$L$535,$B34:$B$535,$B33,$A34:$A$535,$A33),I33*K33)</f>
        <v/>
      </c>
    </row>
    <row r="34" ht="15" customHeight="1" thickBot="1">
      <c r="A34" s="104">
        <f>A33</f>
        <v/>
      </c>
      <c r="B34" s="104">
        <f>B33</f>
        <v/>
      </c>
      <c r="C34" s="104" t="inlineStr">
        <is>
          <t>INSTALAÇÕES DE TELECOMUNICAÇÃO</t>
        </is>
      </c>
      <c r="D34" s="104" t="inlineStr">
        <is>
          <t>CONDUTORES TELECOM</t>
        </is>
      </c>
      <c r="E34" s="104" t="inlineStr">
        <is>
          <t>Condutor CCI</t>
        </is>
      </c>
      <c r="F34" s="105" t="n">
        <v>45</v>
      </c>
      <c r="G34" s="105" t="n">
        <v>1</v>
      </c>
      <c r="H34" s="106" t="n">
        <v>0</v>
      </c>
      <c r="I34" s="107">
        <f>(F34+H34*F34)*G34</f>
        <v/>
      </c>
      <c r="J34" s="105" t="inlineStr">
        <is>
          <t>un</t>
        </is>
      </c>
      <c r="K34" s="108" t="n">
        <v>0</v>
      </c>
      <c r="L34" s="109">
        <f>IF(SUM(F34:K34)=0,SUMIFS($L35:$L$535,$B35:$B$535,$B34,$A35:$A$535,$A34),I34*K34)</f>
        <v/>
      </c>
    </row>
    <row r="35" ht="15" customHeight="1" thickTop="1">
      <c r="A35" s="104">
        <f>A34</f>
        <v/>
      </c>
      <c r="B35" s="104">
        <f>B34</f>
        <v/>
      </c>
      <c r="C35" s="104" t="inlineStr">
        <is>
          <t>INSTALAÇÕES DE TELECOMUNICAÇÃO</t>
        </is>
      </c>
      <c r="D35" s="104" t="inlineStr">
        <is>
          <t>CONDUTORES TELECOM</t>
        </is>
      </c>
      <c r="E35" s="104" t="inlineStr">
        <is>
          <t>Condutor Cordplast</t>
        </is>
      </c>
      <c r="F35" s="105" t="n">
        <v>52</v>
      </c>
      <c r="G35" s="105" t="n">
        <v>1</v>
      </c>
      <c r="H35" s="106" t="n">
        <v>0</v>
      </c>
      <c r="I35" s="107">
        <f>(F35+H35*F35)*G35</f>
        <v/>
      </c>
      <c r="J35" s="105" t="inlineStr">
        <is>
          <t>un</t>
        </is>
      </c>
      <c r="K35" s="108" t="n">
        <v>0</v>
      </c>
      <c r="L35" s="109">
        <f>IF(SUM(F35:K35)=0,SUMIFS($L36:$L$535,$B36:$B$535,$B35,$A36:$A$535,$A35),I35*K35)</f>
        <v/>
      </c>
    </row>
    <row r="36">
      <c r="A36" s="104">
        <f>A35</f>
        <v/>
      </c>
      <c r="B36" s="104">
        <f>B35</f>
        <v/>
      </c>
      <c r="C36" s="104" t="inlineStr">
        <is>
          <t>INSTALAÇÕES DE TELECOMUNICAÇÃO</t>
        </is>
      </c>
      <c r="D36" s="104" t="inlineStr">
        <is>
          <t>PONTOS DE USO</t>
        </is>
      </c>
      <c r="E36" s="104" t="inlineStr">
        <is>
          <t>Caixa 4x2 - Interfone</t>
        </is>
      </c>
      <c r="F36" s="105" t="n">
        <v>10</v>
      </c>
      <c r="G36" s="105" t="n">
        <v>1</v>
      </c>
      <c r="H36" s="106" t="n">
        <v>0</v>
      </c>
      <c r="I36" s="107">
        <f>(F36+H36*F36)*G36</f>
        <v/>
      </c>
      <c r="J36" s="105" t="inlineStr">
        <is>
          <t>un</t>
        </is>
      </c>
      <c r="K36" s="108" t="n">
        <v>0</v>
      </c>
      <c r="L36" s="109">
        <f>IF(SUM(F36:K36)=0,SUMIFS($L37:$L$535,$B37:$B$535,$B36,$A37:$A$535,$A36),I36*K36)</f>
        <v/>
      </c>
    </row>
    <row r="37">
      <c r="A37" s="104">
        <f>A36</f>
        <v/>
      </c>
      <c r="B37" s="104">
        <f>B36</f>
        <v/>
      </c>
      <c r="C37" s="104" t="inlineStr">
        <is>
          <t>INSTALAÇÕES DE TELECOMUNICAÇÃO</t>
        </is>
      </c>
      <c r="D37" s="104" t="inlineStr">
        <is>
          <t>PONTOS DE USO</t>
        </is>
      </c>
      <c r="E37" s="104" t="inlineStr">
        <is>
          <t>Caixa 4x2 - Câmera CFTV</t>
        </is>
      </c>
      <c r="F37" s="105" t="n">
        <v>2</v>
      </c>
      <c r="G37" s="105" t="n">
        <v>1</v>
      </c>
      <c r="H37" s="106" t="n">
        <v>0</v>
      </c>
      <c r="I37" s="107">
        <f>(F37+H37*F37)*G37</f>
        <v/>
      </c>
      <c r="J37" s="105" t="inlineStr">
        <is>
          <t>un</t>
        </is>
      </c>
      <c r="K37" s="108" t="n">
        <v>0</v>
      </c>
      <c r="L37" s="109">
        <f>IF(SUM(F37:K37)=0,SUMIFS($L38:$L$535,$B38:$B$535,$B37,$A38:$A$535,$A37),I37*K37)</f>
        <v/>
      </c>
    </row>
    <row r="38">
      <c r="A38" s="104">
        <f>A37</f>
        <v/>
      </c>
      <c r="B38" s="104">
        <f>B37</f>
        <v/>
      </c>
      <c r="C38" s="104" t="inlineStr">
        <is>
          <t>INSTALAÇÕES DE TELECOMUNICAÇÃO</t>
        </is>
      </c>
      <c r="D38" s="104" t="inlineStr">
        <is>
          <t>PONTOS DE USO</t>
        </is>
      </c>
      <c r="E38" s="104" t="inlineStr">
        <is>
          <t>Caixa 4x2 - Controle de Acesso</t>
        </is>
      </c>
      <c r="F38" s="105" t="n">
        <v>32</v>
      </c>
      <c r="G38" s="105" t="n">
        <v>1</v>
      </c>
      <c r="H38" s="106" t="n">
        <v>0</v>
      </c>
      <c r="I38" s="107">
        <f>(F38+H38*F38)*G38</f>
        <v/>
      </c>
      <c r="J38" s="105" t="inlineStr">
        <is>
          <t>un</t>
        </is>
      </c>
      <c r="K38" s="108" t="n">
        <v>0</v>
      </c>
      <c r="L38" s="109">
        <f>IF(SUM(F38:K38)=0,SUMIFS($L39:$L$535,$B39:$B$535,$B38,$A39:$A$535,$A38),I38*K38)</f>
        <v/>
      </c>
    </row>
    <row r="39">
      <c r="A39" s="104">
        <f>A38</f>
        <v/>
      </c>
      <c r="B39" s="104">
        <f>B38</f>
        <v/>
      </c>
      <c r="C39" s="104" t="inlineStr">
        <is>
          <t>INSTALAÇÕES DE TELECOMUNICAÇÃO</t>
        </is>
      </c>
      <c r="D39" s="104" t="inlineStr">
        <is>
          <t>PONTOS DE USO</t>
        </is>
      </c>
      <c r="E39" s="104" t="inlineStr">
        <is>
          <t>Caixa 4x4 - Dados/Telefone (RJ45/RJ11)</t>
        </is>
      </c>
      <c r="F39" s="105" t="n">
        <v>36</v>
      </c>
      <c r="G39" s="105" t="n">
        <v>1</v>
      </c>
      <c r="H39" s="106" t="n">
        <v>0</v>
      </c>
      <c r="I39" s="107">
        <f>(F39+H39*F39)*G39</f>
        <v/>
      </c>
      <c r="J39" s="105" t="inlineStr">
        <is>
          <t>un</t>
        </is>
      </c>
      <c r="K39" s="108" t="n">
        <v>0</v>
      </c>
      <c r="L39" s="109">
        <f>IF(SUM(F39:K39)=0,SUMIFS($L40:$L$535,$B40:$B$535,$B39,$A40:$A$535,$A39),I39*K39)</f>
        <v/>
      </c>
    </row>
    <row r="40">
      <c r="A40" s="25" t="inlineStr">
        <is>
          <t>TORRE</t>
        </is>
      </c>
      <c r="B40" s="25" t="inlineStr">
        <is>
          <t>GARAGEM 01</t>
        </is>
      </c>
      <c r="C40" s="26" t="n"/>
      <c r="D40" s="27" t="n"/>
      <c r="E40" s="27" t="n"/>
      <c r="F40" s="69" t="n"/>
      <c r="G40" s="69" t="n"/>
      <c r="H40" s="69" t="n"/>
      <c r="I40" s="70" t="n"/>
      <c r="J40" s="69" t="n"/>
      <c r="K40" s="71" t="n"/>
      <c r="L40" s="72">
        <f>IF(SUM(F25:K25)=0,SUMIFS($L26:$L$535,$B26:$B$535,$B25,$A26:$A$535,$A25),I25*K25)</f>
        <v/>
      </c>
      <c r="M40" s="73" t="n"/>
      <c r="N40" s="91" t="inlineStr">
        <is>
          <t>TORRE</t>
        </is>
      </c>
      <c r="O40" s="92" t="n"/>
      <c r="P40" s="93" t="n"/>
      <c r="Q40" s="93" t="n"/>
      <c r="R40" s="93" t="n"/>
      <c r="S40" s="93" t="n"/>
      <c r="T40" s="93" t="n"/>
      <c r="U40" s="93" t="n"/>
      <c r="V40" s="93" t="n"/>
      <c r="W40" s="93" t="n"/>
      <c r="X40" s="93" t="n"/>
      <c r="Y40" s="93" t="n"/>
      <c r="Z40" s="93" t="n"/>
      <c r="AA40" s="93" t="n"/>
      <c r="AB40" s="93" t="n"/>
      <c r="AC40" s="93" t="n"/>
      <c r="AD40" s="93" t="n"/>
      <c r="AE40" s="93" t="n"/>
      <c r="AF40" s="93" t="n"/>
      <c r="AG40" s="93" t="n"/>
      <c r="AH40" s="93" t="n"/>
      <c r="AI40" s="94" t="n"/>
      <c r="AJ40" s="73" t="n"/>
    </row>
    <row r="41">
      <c r="A41" s="37">
        <f>A25</f>
        <v/>
      </c>
      <c r="B41" s="37">
        <f>B25</f>
        <v/>
      </c>
      <c r="C41" s="37" t="inlineStr">
        <is>
          <t>INSTALAÇÕES DE TELECOMUNICAÇÃO</t>
        </is>
      </c>
      <c r="D41" s="37" t="inlineStr">
        <is>
          <t>CAIXA OCTOGONAL</t>
        </is>
      </c>
      <c r="E41" s="37" t="inlineStr">
        <is>
          <t>Caixa Octogonal Padrão NBR IEC 60670</t>
        </is>
      </c>
      <c r="F41" s="78" t="n">
        <v>60</v>
      </c>
      <c r="G41" s="78" t="n">
        <v>1</v>
      </c>
      <c r="H41" s="79" t="n">
        <v>0</v>
      </c>
      <c r="I41" s="80">
        <f>(F26+H26*F26)*G26</f>
        <v/>
      </c>
      <c r="J41" s="78" t="inlineStr">
        <is>
          <t>pç</t>
        </is>
      </c>
      <c r="K41" s="81" t="n">
        <v>9.800000000000001</v>
      </c>
      <c r="L41" s="82">
        <f>IF(SUM(F26:K26)=0,SUMIFS($L27:$L$535,$B27:$B$535,$B26,$A27:$A$535,$A26),I26*K26)</f>
        <v/>
      </c>
      <c r="N41" s="49" t="inlineStr">
        <is>
          <t>TORRE</t>
        </is>
      </c>
      <c r="O41" s="49" t="n"/>
      <c r="P41" s="50" t="n"/>
      <c r="Q41" s="50" t="n"/>
      <c r="R41" s="49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</row>
    <row r="42">
      <c r="A42" s="37">
        <f>A26</f>
        <v/>
      </c>
      <c r="B42" s="37">
        <f>B26</f>
        <v/>
      </c>
      <c r="C42" s="37" t="inlineStr">
        <is>
          <t>INSTALAÇÕES DE TELECOMUNICAÇÃO</t>
        </is>
      </c>
      <c r="D42" s="37" t="inlineStr">
        <is>
          <t>CAIXA OCTOGONAL</t>
        </is>
      </c>
      <c r="E42" s="37" t="inlineStr">
        <is>
          <t>Placa cega para caixa octogonal Padrão NBR IEC 60670</t>
        </is>
      </c>
      <c r="F42" s="78" t="n">
        <v>5</v>
      </c>
      <c r="G42" s="78" t="n">
        <v>1</v>
      </c>
      <c r="H42" s="79" t="n">
        <v>0</v>
      </c>
      <c r="I42" s="80">
        <f>(F27+H27*F27)*G27</f>
        <v/>
      </c>
      <c r="J42" s="78" t="inlineStr">
        <is>
          <t>pç</t>
        </is>
      </c>
      <c r="K42" s="81" t="n">
        <v>6.5</v>
      </c>
      <c r="L42" s="82">
        <f>IF(SUM(F27:K27)=0,SUMIFS($L28:$L$535,$B28:$B$535,$B27,$A28:$A$535,$A27),I27*K27)</f>
        <v/>
      </c>
      <c r="N42" s="49" t="inlineStr">
        <is>
          <t>TORRE</t>
        </is>
      </c>
      <c r="O42" s="49" t="n"/>
      <c r="P42" s="50" t="n"/>
      <c r="Q42" s="50" t="n"/>
      <c r="R42" s="49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</row>
    <row r="43" ht="15" customHeight="1" thickBot="1">
      <c r="A43" s="37">
        <f>A27</f>
        <v/>
      </c>
      <c r="B43" s="37">
        <f>B27</f>
        <v/>
      </c>
      <c r="C43" s="37" t="inlineStr">
        <is>
          <t>INSTALAÇÕES DE TELECOMUNICAÇÃO</t>
        </is>
      </c>
      <c r="D43" s="37" t="inlineStr">
        <is>
          <t>CAIXA 4x2" E 4x4"</t>
        </is>
      </c>
      <c r="E43" s="37" t="inlineStr">
        <is>
          <t>Caixa 4x2" de Embutir em PVC Padrão NBR IEC 60670</t>
        </is>
      </c>
      <c r="F43" s="78" t="n">
        <v>4</v>
      </c>
      <c r="G43" s="78" t="n">
        <v>1</v>
      </c>
      <c r="H43" s="79" t="n">
        <v>0</v>
      </c>
      <c r="I43" s="80">
        <f>(F28+H28*F28)*G28</f>
        <v/>
      </c>
      <c r="J43" s="78" t="inlineStr">
        <is>
          <t>pç</t>
        </is>
      </c>
      <c r="K43" s="81" t="n">
        <v>5.9</v>
      </c>
      <c r="L43" s="82">
        <f>IF(SUM(F28:K28)=0,SUMIFS($L29:$L$535,$B29:$B$535,$B28,$A29:$A$535,$A28),I28*K28)</f>
        <v/>
      </c>
      <c r="N43" s="49" t="inlineStr">
        <is>
          <t>TORRE</t>
        </is>
      </c>
      <c r="O43" s="49" t="n"/>
      <c r="P43" s="50" t="n"/>
      <c r="Q43" s="50" t="n"/>
      <c r="R43" s="49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</row>
    <row r="44" ht="15" customHeight="1" thickTop="1">
      <c r="A44" s="37">
        <f>A28</f>
        <v/>
      </c>
      <c r="B44" s="37">
        <f>B28</f>
        <v/>
      </c>
      <c r="C44" s="37" t="inlineStr">
        <is>
          <t>INSTALAÇÕES DE TELECOMUNICAÇÃO</t>
        </is>
      </c>
      <c r="D44" s="37" t="inlineStr">
        <is>
          <t>CAIXA 4x2" E 4x4"</t>
        </is>
      </c>
      <c r="E44" s="37" t="inlineStr">
        <is>
          <t>Placa 4x2" cega Padrão NBR IEC 60670</t>
        </is>
      </c>
      <c r="F44" s="78" t="n">
        <v>3</v>
      </c>
      <c r="G44" s="78" t="n">
        <v>1</v>
      </c>
      <c r="H44" s="79" t="n">
        <v>0</v>
      </c>
      <c r="I44" s="80">
        <f>(F29+H29*F29)*G29</f>
        <v/>
      </c>
      <c r="J44" s="78" t="inlineStr">
        <is>
          <t>pç</t>
        </is>
      </c>
      <c r="K44" s="81" t="n">
        <v>4.5</v>
      </c>
      <c r="L44" s="82">
        <f>IF(SUM(F29:K29)=0,SUMIFS($L30:$L$535,$B30:$B$535,$B29,$A30:$A$535,$A29),I29*K29)</f>
        <v/>
      </c>
      <c r="N44" s="49" t="inlineStr">
        <is>
          <t>TORRE</t>
        </is>
      </c>
      <c r="O44" s="49" t="n"/>
      <c r="P44" s="50" t="n"/>
      <c r="Q44" s="50" t="n"/>
      <c r="R44" s="49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50" t="n"/>
    </row>
    <row r="45">
      <c r="A45" s="37">
        <f>A29</f>
        <v/>
      </c>
      <c r="B45" s="37">
        <f>B29</f>
        <v/>
      </c>
      <c r="C45" s="37" t="inlineStr">
        <is>
          <t>INSTALAÇÕES DE TELECOMUNICAÇÃO</t>
        </is>
      </c>
      <c r="D45" s="37" t="inlineStr">
        <is>
          <t>CAIXA 4x2" E 4x4"</t>
        </is>
      </c>
      <c r="E45" s="37" t="inlineStr">
        <is>
          <t>Placa 4x2" para 1 função Padrão NBR IEC 60670</t>
        </is>
      </c>
      <c r="F45" s="78" t="n">
        <v>3</v>
      </c>
      <c r="G45" s="78" t="n">
        <v>1</v>
      </c>
      <c r="H45" s="79" t="n">
        <v>0</v>
      </c>
      <c r="I45" s="80">
        <f>(F30+H30*F30)*G30</f>
        <v/>
      </c>
      <c r="J45" s="78" t="inlineStr">
        <is>
          <t>pç</t>
        </is>
      </c>
      <c r="K45" s="81" t="n">
        <v>6.5</v>
      </c>
      <c r="L45" s="82">
        <f>IF(SUM(F30:K30)=0,SUMIFS($L31:$L$535,$B31:$B$535,$B30,$A31:$A$535,$A30),I30*K30)</f>
        <v/>
      </c>
      <c r="N45" s="49" t="inlineStr">
        <is>
          <t>TORRE</t>
        </is>
      </c>
      <c r="O45" s="49" t="n"/>
      <c r="P45" s="50" t="n"/>
      <c r="Q45" s="50" t="n"/>
      <c r="R45" s="49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</row>
    <row r="46">
      <c r="A46" s="37">
        <f>A30</f>
        <v/>
      </c>
      <c r="B46" s="37">
        <f>B30</f>
        <v/>
      </c>
      <c r="C46" s="37" t="inlineStr">
        <is>
          <t>INSTALAÇÕES DE TELECOMUNICAÇÃO</t>
        </is>
      </c>
      <c r="D46" s="37" t="inlineStr">
        <is>
          <t>CAIXA 4x2" E 4x4"</t>
        </is>
      </c>
      <c r="E46" s="37" t="inlineStr">
        <is>
          <t>Suporte p/ caixa 4x2" Padrão NBR IEC 60670</t>
        </is>
      </c>
      <c r="F46" s="78" t="n">
        <v>4</v>
      </c>
      <c r="G46" s="78" t="n">
        <v>1</v>
      </c>
      <c r="H46" s="79" t="n">
        <v>0</v>
      </c>
      <c r="I46" s="80">
        <f>(F31+H31*F31)*G31</f>
        <v/>
      </c>
      <c r="J46" s="78" t="inlineStr">
        <is>
          <t>pç</t>
        </is>
      </c>
      <c r="K46" s="81" t="n">
        <v>2.4</v>
      </c>
      <c r="L46" s="82">
        <f>IF(SUM(F31:K31)=0,SUMIFS($L32:$L$535,$B32:$B$535,$B31,$A32:$A$535,$A31),I31*K31)</f>
        <v/>
      </c>
      <c r="N46" s="49" t="inlineStr">
        <is>
          <t>TORRE</t>
        </is>
      </c>
      <c r="O46" s="49" t="n"/>
      <c r="P46" s="50" t="n"/>
      <c r="Q46" s="50" t="n"/>
      <c r="R46" s="49" t="n"/>
      <c r="S46" s="50" t="n"/>
      <c r="T46" s="50" t="n"/>
      <c r="U46" s="50" t="n"/>
      <c r="V46" s="50" t="n"/>
      <c r="W46" s="50" t="n"/>
      <c r="X46" s="50" t="n"/>
      <c r="Y46" s="50" t="n"/>
      <c r="Z46" s="50" t="n"/>
      <c r="AA46" s="50" t="n"/>
      <c r="AB46" s="50" t="n"/>
      <c r="AC46" s="50" t="n"/>
      <c r="AD46" s="50" t="n"/>
      <c r="AE46" s="50" t="n"/>
      <c r="AF46" s="50" t="n"/>
      <c r="AG46" s="50" t="n"/>
      <c r="AH46" s="50" t="n"/>
      <c r="AI46" s="50" t="n"/>
    </row>
    <row r="47">
      <c r="A47" s="37">
        <f>A31</f>
        <v/>
      </c>
      <c r="B47" s="37">
        <f>B31</f>
        <v/>
      </c>
      <c r="C47" s="37" t="inlineStr">
        <is>
          <t>INSTALAÇÕES DE TELECOMUNICAÇÃO</t>
        </is>
      </c>
      <c r="D47" s="37" t="inlineStr">
        <is>
          <t>CAIXA DE PASSAGEM</t>
        </is>
      </c>
      <c r="E47" s="37" t="inlineStr">
        <is>
          <t>Cx de passagem de embutir com dimensão de 30x30x12 cm</t>
        </is>
      </c>
      <c r="F47" s="78" t="n">
        <v>4</v>
      </c>
      <c r="G47" s="78" t="n">
        <v>1</v>
      </c>
      <c r="H47" s="79" t="n">
        <v>0</v>
      </c>
      <c r="I47" s="80">
        <f>(F32+H32*F32)*G32</f>
        <v/>
      </c>
      <c r="J47" s="78" t="inlineStr">
        <is>
          <t>pç</t>
        </is>
      </c>
      <c r="K47" s="81" t="n">
        <v>145</v>
      </c>
      <c r="L47" s="82">
        <f>IF(SUM(F32:K32)=0,SUMIFS($L33:$L$535,$B33:$B$535,$B32,$A33:$A$535,$A32),I32*K32)</f>
        <v/>
      </c>
      <c r="N47" s="49" t="inlineStr">
        <is>
          <t>TORRE</t>
        </is>
      </c>
      <c r="O47" s="49" t="n"/>
      <c r="P47" s="50" t="n"/>
      <c r="Q47" s="50" t="n"/>
      <c r="R47" s="49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50" t="n"/>
      <c r="AI47" s="50" t="n"/>
    </row>
    <row r="48">
      <c r="A48" s="37">
        <f>A32</f>
        <v/>
      </c>
      <c r="B48" s="37">
        <f>B32</f>
        <v/>
      </c>
      <c r="C48" s="37" t="inlineStr">
        <is>
          <t>INSTALAÇÕES DE TELECOMUNICAÇÃO</t>
        </is>
      </c>
      <c r="D48" s="37" t="inlineStr">
        <is>
          <t>ELETRODUTOS</t>
        </is>
      </c>
      <c r="E48" s="37" t="inlineStr">
        <is>
          <t>PVC Flexível Antichama - NBR 15465 ø1"</t>
        </is>
      </c>
      <c r="F48" s="78" t="n">
        <v>312</v>
      </c>
      <c r="G48" s="78" t="n">
        <v>1</v>
      </c>
      <c r="H48" s="79" t="n">
        <v>0</v>
      </c>
      <c r="I48" s="80">
        <f>(F33+H33*F33)*G33</f>
        <v/>
      </c>
      <c r="J48" s="78" t="inlineStr">
        <is>
          <t>m</t>
        </is>
      </c>
      <c r="K48" s="81" t="n">
        <v>11.9</v>
      </c>
      <c r="L48" s="82">
        <f>IF(SUM(F33:K33)=0,SUMIFS($L34:$L$535,$B34:$B$535,$B33,$A34:$A$535,$A33),I33*K33)</f>
        <v/>
      </c>
      <c r="N48" s="49" t="inlineStr">
        <is>
          <t>TORRE</t>
        </is>
      </c>
      <c r="O48" s="49" t="n"/>
      <c r="P48" s="50" t="n"/>
      <c r="Q48" s="50" t="n"/>
      <c r="R48" s="49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  <c r="AH48" s="50" t="n"/>
      <c r="AI48" s="50" t="n"/>
    </row>
    <row r="49">
      <c r="A49" s="37">
        <f>A33</f>
        <v/>
      </c>
      <c r="B49" s="37">
        <f>B33</f>
        <v/>
      </c>
      <c r="C49" s="37" t="inlineStr">
        <is>
          <t>INSTALAÇÕES DE TELECOMUNICAÇÃO</t>
        </is>
      </c>
      <c r="D49" s="37" t="inlineStr">
        <is>
          <t>ELETRODUTOS</t>
        </is>
      </c>
      <c r="E49" s="37" t="inlineStr">
        <is>
          <t>PVC Flexível Antichama - NBR 15465 ø3/4"</t>
        </is>
      </c>
      <c r="F49" s="78" t="n">
        <v>208</v>
      </c>
      <c r="G49" s="78" t="n">
        <v>1</v>
      </c>
      <c r="H49" s="79" t="n">
        <v>0</v>
      </c>
      <c r="I49" s="80">
        <f>(F34+H34*F34)*G34</f>
        <v/>
      </c>
      <c r="J49" s="78" t="inlineStr">
        <is>
          <t>m</t>
        </is>
      </c>
      <c r="K49" s="81" t="n">
        <v>7.5</v>
      </c>
      <c r="L49" s="82">
        <f>IF(SUM(F34:K34)=0,SUMIFS($L35:$L$535,$B35:$B$535,$B34,$A35:$A$535,$A34),I34*K34)</f>
        <v/>
      </c>
      <c r="N49" s="49" t="inlineStr">
        <is>
          <t>TORRE</t>
        </is>
      </c>
      <c r="O49" s="49" t="n"/>
      <c r="P49" s="50" t="n"/>
      <c r="Q49" s="50" t="n"/>
      <c r="R49" s="49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</row>
    <row r="50">
      <c r="A50" s="37">
        <f>A34</f>
        <v/>
      </c>
      <c r="B50" s="37">
        <f>B34</f>
        <v/>
      </c>
      <c r="C50" s="37" t="inlineStr">
        <is>
          <t>INSTALAÇÕES DE TELECOMUNICAÇÃO</t>
        </is>
      </c>
      <c r="D50" s="37" t="inlineStr">
        <is>
          <t>MÓDULOS</t>
        </is>
      </c>
      <c r="E50" s="37" t="inlineStr">
        <is>
          <t>Módulo RJ45</t>
        </is>
      </c>
      <c r="F50" s="78" t="n">
        <v>3</v>
      </c>
      <c r="G50" s="78" t="n">
        <v>1</v>
      </c>
      <c r="H50" s="79" t="n">
        <v>0</v>
      </c>
      <c r="I50" s="80">
        <f>(F35+H35*F35)*G35</f>
        <v/>
      </c>
      <c r="J50" s="78" t="inlineStr">
        <is>
          <t>pç</t>
        </is>
      </c>
      <c r="K50" s="81" t="n">
        <v>22.9</v>
      </c>
      <c r="L50" s="82">
        <f>IF(SUM(F35:K35)=0,SUMIFS($L36:$L$535,$B36:$B$535,$B35,$A36:$A$535,$A35),I35*K35)</f>
        <v/>
      </c>
      <c r="N50" s="49" t="inlineStr">
        <is>
          <t>TORRE</t>
        </is>
      </c>
      <c r="O50" s="49" t="n"/>
      <c r="P50" s="50" t="n"/>
      <c r="Q50" s="50" t="n"/>
      <c r="R50" s="49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  <c r="AH50" s="50" t="n"/>
      <c r="AI50" s="50" t="n"/>
    </row>
    <row r="51">
      <c r="A51" s="37">
        <f>A35</f>
        <v/>
      </c>
      <c r="B51" s="37">
        <f>B35</f>
        <v/>
      </c>
      <c r="C51" s="37" t="inlineStr">
        <is>
          <t>INSTALAÇÕES DE TELECOMUNICAÇÃO</t>
        </is>
      </c>
      <c r="D51" s="37" t="inlineStr">
        <is>
          <t>QUADROS DE DISTRIBUIÇÃO</t>
        </is>
      </c>
      <c r="E51" s="37" t="inlineStr">
        <is>
          <t>Embutir - 486x510x109mm</t>
        </is>
      </c>
      <c r="F51" s="78" t="n">
        <v>1</v>
      </c>
      <c r="G51" s="78" t="n">
        <v>1</v>
      </c>
      <c r="H51" s="79" t="n">
        <v>0</v>
      </c>
      <c r="I51" s="80">
        <f>(F36+H36*F36)*G36</f>
        <v/>
      </c>
      <c r="J51" s="78" t="inlineStr">
        <is>
          <t>pç</t>
        </is>
      </c>
      <c r="K51" s="81" t="n">
        <v>465</v>
      </c>
      <c r="L51" s="82">
        <f>IF(SUM(F36:K36)=0,SUMIFS($L37:$L$535,$B37:$B$535,$B36,$A37:$A$535,$A36),I36*K36)</f>
        <v/>
      </c>
      <c r="N51" s="49" t="inlineStr">
        <is>
          <t>TORRE</t>
        </is>
      </c>
      <c r="O51" s="49" t="n"/>
      <c r="P51" s="50" t="n"/>
      <c r="Q51" s="50" t="n"/>
      <c r="R51" s="49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</row>
    <row r="52" ht="15" customHeight="1" thickBot="1">
      <c r="A52" s="104">
        <f>A51</f>
        <v/>
      </c>
      <c r="B52" s="104">
        <f>B51</f>
        <v/>
      </c>
      <c r="C52" s="104" t="inlineStr">
        <is>
          <t>INSTALAÇÕES DE TELECOMUNICAÇÃO</t>
        </is>
      </c>
      <c r="D52" s="104" t="inlineStr">
        <is>
          <t>ELETRODUTOS</t>
        </is>
      </c>
      <c r="E52" s="104" t="inlineStr">
        <is>
          <t>PVC Flexível Antichama - NBR 15465 ø1.1/4"</t>
        </is>
      </c>
      <c r="F52" s="105" t="n">
        <v>12</v>
      </c>
      <c r="G52" s="105" t="n">
        <v>1</v>
      </c>
      <c r="H52" s="106" t="n">
        <v>0</v>
      </c>
      <c r="I52" s="107">
        <f>(F52+H52*F52)*G52</f>
        <v/>
      </c>
      <c r="J52" s="105" t="inlineStr">
        <is>
          <t>m</t>
        </is>
      </c>
      <c r="K52" s="108" t="n">
        <v>0</v>
      </c>
      <c r="L52" s="109">
        <f>IF(SUM(F52:K52)=0,SUMIFS($L53:$L$535,$B53:$B$535,$B52,$A53:$A$535,$A52),I52*K52)</f>
        <v/>
      </c>
    </row>
    <row r="53" ht="15" customHeight="1" thickTop="1">
      <c r="A53" s="104">
        <f>A52</f>
        <v/>
      </c>
      <c r="B53" s="104">
        <f>B52</f>
        <v/>
      </c>
      <c r="C53" s="104" t="inlineStr">
        <is>
          <t>INSTALAÇÕES DE TELECOMUNICAÇÃO</t>
        </is>
      </c>
      <c r="D53" s="104" t="inlineStr">
        <is>
          <t>ELETRODUTOS</t>
        </is>
      </c>
      <c r="E53" s="104" t="inlineStr">
        <is>
          <t>PVC Flexível Antichama - NBR 15465 ø1.1/4"</t>
        </is>
      </c>
      <c r="F53" s="105" t="n">
        <v>12</v>
      </c>
      <c r="G53" s="105" t="n">
        <v>1</v>
      </c>
      <c r="H53" s="106" t="n">
        <v>0</v>
      </c>
      <c r="I53" s="107">
        <f>(F53+H53*F53)*G53</f>
        <v/>
      </c>
      <c r="J53" s="105" t="inlineStr">
        <is>
          <t>m</t>
        </is>
      </c>
      <c r="K53" s="108" t="n">
        <v>0</v>
      </c>
      <c r="L53" s="109">
        <f>IF(SUM(F53:K53)=0,SUMIFS($L54:$L$535,$B54:$B$535,$B53,$A54:$A$535,$A53),I53*K53)</f>
        <v/>
      </c>
    </row>
    <row r="54" ht="14.25" customHeight="1">
      <c r="A54" s="104">
        <f>A53</f>
        <v/>
      </c>
      <c r="B54" s="104">
        <f>B53</f>
        <v/>
      </c>
      <c r="C54" s="104" t="inlineStr">
        <is>
          <t>INSTALAÇÕES DE TELECOMUNICAÇÃO</t>
        </is>
      </c>
      <c r="D54" s="104" t="inlineStr">
        <is>
          <t>ELETRODUTOS</t>
        </is>
      </c>
      <c r="E54" s="104" t="inlineStr">
        <is>
          <t>PVC Flexível Antichama - NBR 15465 ø3"</t>
        </is>
      </c>
      <c r="F54" s="105" t="n">
        <v>40</v>
      </c>
      <c r="G54" s="105" t="n">
        <v>1</v>
      </c>
      <c r="H54" s="106" t="n">
        <v>0</v>
      </c>
      <c r="I54" s="107">
        <f>(F54+H54*F54)*G54</f>
        <v/>
      </c>
      <c r="J54" s="105" t="inlineStr">
        <is>
          <t>m</t>
        </is>
      </c>
      <c r="K54" s="108" t="n">
        <v>0</v>
      </c>
      <c r="L54" s="109">
        <f>IF(SUM(F54:K54)=0,SUMIFS($L55:$L$535,$B55:$B$535,$B54,$A55:$A$535,$A54),I54*K54)</f>
        <v/>
      </c>
    </row>
    <row r="55" ht="14.25" customHeight="1">
      <c r="A55" s="104">
        <f>A54</f>
        <v/>
      </c>
      <c r="B55" s="104">
        <f>B54</f>
        <v/>
      </c>
      <c r="C55" s="104" t="inlineStr">
        <is>
          <t>INSTALAÇÕES DE TELECOMUNICAÇÃO</t>
        </is>
      </c>
      <c r="D55" s="104" t="inlineStr">
        <is>
          <t>CAIXA DE PASSAGEM</t>
        </is>
      </c>
      <c r="E55" s="104" t="inlineStr">
        <is>
          <t>Cx de passagem de embutir com dimensão de 60x120x15cm</t>
        </is>
      </c>
      <c r="F55" s="105" t="n">
        <v>1</v>
      </c>
      <c r="G55" s="105" t="n">
        <v>1</v>
      </c>
      <c r="H55" s="106" t="n">
        <v>0</v>
      </c>
      <c r="I55" s="107">
        <f>(F55+H55*F55)*G55</f>
        <v/>
      </c>
      <c r="J55" s="105" t="inlineStr">
        <is>
          <t>pç</t>
        </is>
      </c>
      <c r="K55" s="108" t="n">
        <v>0</v>
      </c>
      <c r="L55" s="109">
        <f>IF(SUM(F55:K55)=0,SUMIFS($L56:$L$535,$B56:$B$535,$B55,$A56:$A$535,$A55),I55*K55)</f>
        <v/>
      </c>
    </row>
    <row r="56" ht="14.25" customHeight="1">
      <c r="A56" s="104">
        <f>A55</f>
        <v/>
      </c>
      <c r="B56" s="104">
        <f>B55</f>
        <v/>
      </c>
      <c r="C56" s="104" t="inlineStr">
        <is>
          <t>INSTALAÇÕES DE TELECOMUNICAÇÃO</t>
        </is>
      </c>
      <c r="D56" s="104" t="inlineStr">
        <is>
          <t>CAIXA DE PASSAGEM</t>
        </is>
      </c>
      <c r="E56" s="104" t="inlineStr">
        <is>
          <t>Cx de passagem de embutir com dimensão de 60x120x20cm</t>
        </is>
      </c>
      <c r="F56" s="105" t="n">
        <v>1</v>
      </c>
      <c r="G56" s="105" t="n">
        <v>1</v>
      </c>
      <c r="H56" s="106" t="n">
        <v>0</v>
      </c>
      <c r="I56" s="107">
        <f>(F56+H56*F56)*G56</f>
        <v/>
      </c>
      <c r="J56" s="105" t="inlineStr">
        <is>
          <t>pç</t>
        </is>
      </c>
      <c r="K56" s="108" t="n">
        <v>0</v>
      </c>
      <c r="L56" s="109">
        <f>IF(SUM(F56:K56)=0,SUMIFS($L57:$L$535,$B57:$B$535,$B56,$A57:$A$535,$A56),I56*K56)</f>
        <v/>
      </c>
    </row>
    <row r="57" ht="14.25" customHeight="1">
      <c r="A57" s="104">
        <f>A56</f>
        <v/>
      </c>
      <c r="B57" s="104">
        <f>B56</f>
        <v/>
      </c>
      <c r="C57" s="104" t="inlineStr">
        <is>
          <t>INSTALAÇÕES DE TELECOMUNICAÇÃO</t>
        </is>
      </c>
      <c r="D57" s="104" t="inlineStr">
        <is>
          <t>COTOVELOS</t>
        </is>
      </c>
      <c r="E57" s="104" t="inlineStr">
        <is>
          <t>Cotovelo para eletroduto flexível PVC amarelo</t>
        </is>
      </c>
      <c r="F57" s="105" t="n">
        <v>301</v>
      </c>
      <c r="G57" s="105" t="n">
        <v>1</v>
      </c>
      <c r="H57" s="106" t="n">
        <v>0</v>
      </c>
      <c r="I57" s="107">
        <f>(F57+H57*F57)*G57</f>
        <v/>
      </c>
      <c r="J57" s="105" t="inlineStr">
        <is>
          <t>un</t>
        </is>
      </c>
      <c r="K57" s="108" t="n">
        <v>0</v>
      </c>
      <c r="L57" s="109">
        <f>IF(SUM(F57:K57)=0,SUMIFS($L58:$L$535,$B58:$B$535,$B57,$A58:$A$535,$A57),I57*K57)</f>
        <v/>
      </c>
    </row>
    <row r="58" ht="14.25" customHeight="1" thickBot="1">
      <c r="A58" s="104">
        <f>A57</f>
        <v/>
      </c>
      <c r="B58" s="104">
        <f>B57</f>
        <v/>
      </c>
      <c r="C58" s="104" t="inlineStr">
        <is>
          <t>INSTALAÇÕES DE TELECOMUNICAÇÃO</t>
        </is>
      </c>
      <c r="D58" s="104" t="inlineStr">
        <is>
          <t>CONECTORES E BUCHAS</t>
        </is>
      </c>
      <c r="E58" s="104" t="inlineStr">
        <is>
          <t>Conector box e arruela - Alumínio padrão</t>
        </is>
      </c>
      <c r="F58" s="105" t="n">
        <v>70</v>
      </c>
      <c r="G58" s="105" t="n">
        <v>1</v>
      </c>
      <c r="H58" s="106" t="n">
        <v>0</v>
      </c>
      <c r="I58" s="107">
        <f>(F58+H58*F58)*G58</f>
        <v/>
      </c>
      <c r="J58" s="105" t="inlineStr">
        <is>
          <t>un</t>
        </is>
      </c>
      <c r="K58" s="108" t="n">
        <v>0</v>
      </c>
      <c r="L58" s="109">
        <f>IF(SUM(F58:K58)=0,SUMIFS($L59:$L$535,$B59:$B$535,$B58,$A59:$A$535,$A58),I58*K58)</f>
        <v/>
      </c>
    </row>
    <row r="59" ht="15" customHeight="1" thickTop="1">
      <c r="A59" s="104">
        <f>A58</f>
        <v/>
      </c>
      <c r="B59" s="104">
        <f>B58</f>
        <v/>
      </c>
      <c r="C59" s="104" t="inlineStr">
        <is>
          <t>INSTALAÇÕES DE TELECOMUNICAÇÃO</t>
        </is>
      </c>
      <c r="D59" s="104" t="inlineStr">
        <is>
          <t>CONECTORES E BUCHAS</t>
        </is>
      </c>
      <c r="E59" s="104" t="inlineStr">
        <is>
          <t>Bucha terminal simples - Alumínio padrão</t>
        </is>
      </c>
      <c r="F59" s="105" t="n">
        <v>12</v>
      </c>
      <c r="G59" s="105" t="n">
        <v>1</v>
      </c>
      <c r="H59" s="106" t="n">
        <v>0</v>
      </c>
      <c r="I59" s="107">
        <f>(F59+H59*F59)*G59</f>
        <v/>
      </c>
      <c r="J59" s="105" t="inlineStr">
        <is>
          <t>un</t>
        </is>
      </c>
      <c r="K59" s="108" t="n">
        <v>0</v>
      </c>
      <c r="L59" s="109">
        <f>IF(SUM(F59:K59)=0,SUMIFS($L60:$L$535,$B60:$B$535,$B59,$A60:$A$535,$A59),I59*K59)</f>
        <v/>
      </c>
    </row>
    <row r="60">
      <c r="A60" s="104">
        <f>A59</f>
        <v/>
      </c>
      <c r="B60" s="104">
        <f>B59</f>
        <v/>
      </c>
      <c r="C60" s="104" t="inlineStr">
        <is>
          <t>INSTALAÇÕES DE TELECOMUNICAÇÃO</t>
        </is>
      </c>
      <c r="D60" s="104" t="inlineStr">
        <is>
          <t>CONDUTORES TELECOM</t>
        </is>
      </c>
      <c r="E60" s="104" t="inlineStr">
        <is>
          <t>Condutor CFTV</t>
        </is>
      </c>
      <c r="F60" s="105" t="n">
        <v>14</v>
      </c>
      <c r="G60" s="105" t="n">
        <v>1</v>
      </c>
      <c r="H60" s="106" t="n">
        <v>0</v>
      </c>
      <c r="I60" s="107">
        <f>(F60+H60*F60)*G60</f>
        <v/>
      </c>
      <c r="J60" s="105" t="inlineStr">
        <is>
          <t>un</t>
        </is>
      </c>
      <c r="K60" s="108" t="n">
        <v>0</v>
      </c>
      <c r="L60" s="109">
        <f>IF(SUM(F60:K60)=0,SUMIFS($L61:$L$535,$B61:$B$535,$B60,$A61:$A$535,$A60),I60*K60)</f>
        <v/>
      </c>
    </row>
    <row r="61">
      <c r="A61" s="104">
        <f>A60</f>
        <v/>
      </c>
      <c r="B61" s="104">
        <f>B60</f>
        <v/>
      </c>
      <c r="C61" s="104" t="inlineStr">
        <is>
          <t>INSTALAÇÕES DE TELECOMUNICAÇÃO</t>
        </is>
      </c>
      <c r="D61" s="104" t="inlineStr">
        <is>
          <t>CONDUTORES TELECOM</t>
        </is>
      </c>
      <c r="E61" s="104" t="inlineStr">
        <is>
          <t>Condutor Cordplast</t>
        </is>
      </c>
      <c r="F61" s="105" t="n">
        <v>14</v>
      </c>
      <c r="G61" s="105" t="n">
        <v>1</v>
      </c>
      <c r="H61" s="106" t="n">
        <v>0</v>
      </c>
      <c r="I61" s="107">
        <f>(F61+H61*F61)*G61</f>
        <v/>
      </c>
      <c r="J61" s="105" t="inlineStr">
        <is>
          <t>un</t>
        </is>
      </c>
      <c r="K61" s="108" t="n">
        <v>0</v>
      </c>
      <c r="L61" s="109">
        <f>IF(SUM(F61:K61)=0,SUMIFS($L62:$L$535,$B62:$B$535,$B61,$A62:$A$535,$A61),I61*K61)</f>
        <v/>
      </c>
    </row>
    <row r="62">
      <c r="A62" s="104">
        <f>A61</f>
        <v/>
      </c>
      <c r="B62" s="104">
        <f>B61</f>
        <v/>
      </c>
      <c r="C62" s="104" t="inlineStr">
        <is>
          <t>INSTALAÇÕES DE TELECOMUNICAÇÃO</t>
        </is>
      </c>
      <c r="D62" s="104" t="inlineStr">
        <is>
          <t>PONTOS DE USO</t>
        </is>
      </c>
      <c r="E62" s="104" t="inlineStr">
        <is>
          <t>Caixa 4x2 - Interfone</t>
        </is>
      </c>
      <c r="F62" s="105" t="n">
        <v>8</v>
      </c>
      <c r="G62" s="105" t="n">
        <v>1</v>
      </c>
      <c r="H62" s="106" t="n">
        <v>0</v>
      </c>
      <c r="I62" s="107">
        <f>(F62+H62*F62)*G62</f>
        <v/>
      </c>
      <c r="J62" s="105" t="inlineStr">
        <is>
          <t>un</t>
        </is>
      </c>
      <c r="K62" s="108" t="n">
        <v>0</v>
      </c>
      <c r="L62" s="109">
        <f>IF(SUM(F62:K62)=0,SUMIFS($L63:$L$535,$B63:$B$535,$B62,$A63:$A$535,$A62),I62*K62)</f>
        <v/>
      </c>
    </row>
    <row r="63">
      <c r="A63" s="104">
        <f>A62</f>
        <v/>
      </c>
      <c r="B63" s="104">
        <f>B62</f>
        <v/>
      </c>
      <c r="C63" s="104" t="inlineStr">
        <is>
          <t>INSTALAÇÕES DE TELECOMUNICAÇÃO</t>
        </is>
      </c>
      <c r="D63" s="104" t="inlineStr">
        <is>
          <t>PONTOS DE USO</t>
        </is>
      </c>
      <c r="E63" s="104" t="inlineStr">
        <is>
          <t>Caixa 4x2 - Câmera CFTV</t>
        </is>
      </c>
      <c r="F63" s="105" t="n">
        <v>6</v>
      </c>
      <c r="G63" s="105" t="n">
        <v>1</v>
      </c>
      <c r="H63" s="106" t="n">
        <v>0</v>
      </c>
      <c r="I63" s="107">
        <f>(F63+H63*F63)*G63</f>
        <v/>
      </c>
      <c r="J63" s="105" t="inlineStr">
        <is>
          <t>un</t>
        </is>
      </c>
      <c r="K63" s="108" t="n">
        <v>0</v>
      </c>
      <c r="L63" s="109">
        <f>IF(SUM(F63:K63)=0,SUMIFS($L64:$L$535,$B64:$B$535,$B63,$A64:$A$535,$A63),I63*K63)</f>
        <v/>
      </c>
    </row>
    <row r="64" ht="15" customHeight="1" thickBot="1">
      <c r="A64" s="25" t="inlineStr">
        <is>
          <t>TORRE</t>
        </is>
      </c>
      <c r="B64" s="25" t="inlineStr">
        <is>
          <t>GARAGEM 02</t>
        </is>
      </c>
      <c r="C64" s="26" t="n"/>
      <c r="D64" s="27" t="n"/>
      <c r="E64" s="27" t="n"/>
      <c r="F64" s="69" t="n"/>
      <c r="G64" s="69" t="n"/>
      <c r="H64" s="69" t="n"/>
      <c r="I64" s="70" t="n"/>
      <c r="J64" s="69" t="n"/>
      <c r="K64" s="71" t="n"/>
      <c r="L64" s="72">
        <f>IF(SUM(F37:K37)=0,SUMIFS($L38:$L$535,$B38:$B$535,$B37,$A38:$A$535,$A37),I37*K37)</f>
        <v/>
      </c>
      <c r="M64" s="73" t="n"/>
      <c r="N64" s="91" t="inlineStr">
        <is>
          <t>TORRE</t>
        </is>
      </c>
      <c r="O64" s="92" t="n"/>
      <c r="P64" s="93" t="n"/>
      <c r="Q64" s="93" t="n"/>
      <c r="R64" s="93" t="n"/>
      <c r="S64" s="93" t="n"/>
      <c r="T64" s="93" t="n"/>
      <c r="U64" s="93" t="n"/>
      <c r="V64" s="93" t="n"/>
      <c r="W64" s="93" t="n"/>
      <c r="X64" s="93" t="n"/>
      <c r="Y64" s="93" t="n"/>
      <c r="Z64" s="93" t="n"/>
      <c r="AA64" s="93" t="n"/>
      <c r="AB64" s="93" t="n"/>
      <c r="AC64" s="93" t="n"/>
      <c r="AD64" s="93" t="n"/>
      <c r="AE64" s="93" t="n"/>
      <c r="AF64" s="93" t="n"/>
      <c r="AG64" s="93" t="n"/>
      <c r="AH64" s="93" t="n"/>
      <c r="AI64" s="94" t="n"/>
      <c r="AJ64" s="73" t="n"/>
    </row>
    <row r="65" ht="15" customHeight="1" thickTop="1">
      <c r="A65" s="37">
        <f>A37</f>
        <v/>
      </c>
      <c r="B65" s="37">
        <f>B37</f>
        <v/>
      </c>
      <c r="C65" s="37" t="inlineStr">
        <is>
          <t>INSTALAÇÕES DE TELECOMUNICAÇÃO</t>
        </is>
      </c>
      <c r="D65" s="37" t="inlineStr">
        <is>
          <t>CAIXA OCTOGONAL</t>
        </is>
      </c>
      <c r="E65" s="37" t="inlineStr">
        <is>
          <t>Caixa Octogonal Padrão NBR IEC 60670</t>
        </is>
      </c>
      <c r="F65" s="78" t="n">
        <v>40</v>
      </c>
      <c r="G65" s="78" t="n">
        <v>1</v>
      </c>
      <c r="H65" s="79" t="n">
        <v>0</v>
      </c>
      <c r="I65" s="80">
        <f>(F38+H38*F38)*G38</f>
        <v/>
      </c>
      <c r="J65" s="78" t="inlineStr">
        <is>
          <t>pç</t>
        </is>
      </c>
      <c r="K65" s="81" t="n">
        <v>9.800000000000001</v>
      </c>
      <c r="L65" s="82">
        <f>IF(SUM(F38:K38)=0,SUMIFS($L39:$L$535,$B39:$B$535,$B38,$A39:$A$535,$A38),I38*K38)</f>
        <v/>
      </c>
      <c r="N65" s="49" t="inlineStr">
        <is>
          <t>TORRE</t>
        </is>
      </c>
      <c r="O65" s="49" t="n"/>
      <c r="P65" s="50" t="n"/>
      <c r="Q65" s="50" t="n"/>
      <c r="R65" s="49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</row>
    <row r="66">
      <c r="A66" s="37">
        <f>A38</f>
        <v/>
      </c>
      <c r="B66" s="37">
        <f>B38</f>
        <v/>
      </c>
      <c r="C66" s="37" t="inlineStr">
        <is>
          <t>INSTALAÇÕES DE TELECOMUNICAÇÃO</t>
        </is>
      </c>
      <c r="D66" s="37" t="inlineStr">
        <is>
          <t>CAIXA OCTOGONAL</t>
        </is>
      </c>
      <c r="E66" s="37" t="inlineStr">
        <is>
          <t>Placa cega para caixa octogonal Padrão NBR IEC 60670</t>
        </is>
      </c>
      <c r="F66" s="78" t="n">
        <v>3</v>
      </c>
      <c r="G66" s="78" t="n">
        <v>1</v>
      </c>
      <c r="H66" s="79" t="n">
        <v>0</v>
      </c>
      <c r="I66" s="80">
        <f>(F39+H39*F39)*G39</f>
        <v/>
      </c>
      <c r="J66" s="78" t="inlineStr">
        <is>
          <t>pç</t>
        </is>
      </c>
      <c r="K66" s="81" t="n">
        <v>6.5</v>
      </c>
      <c r="L66" s="82">
        <f>IF(SUM(F39:K39)=0,SUMIFS($L40:$L$535,$B40:$B$535,$B39,$A40:$A$535,$A39),I39*K39)</f>
        <v/>
      </c>
      <c r="N66" s="49" t="inlineStr">
        <is>
          <t>TORRE</t>
        </is>
      </c>
      <c r="O66" s="49" t="n"/>
      <c r="P66" s="50" t="n"/>
      <c r="Q66" s="50" t="n"/>
      <c r="R66" s="49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</row>
    <row r="67">
      <c r="A67" s="37">
        <f>A39</f>
        <v/>
      </c>
      <c r="B67" s="37">
        <f>B39</f>
        <v/>
      </c>
      <c r="C67" s="37" t="inlineStr">
        <is>
          <t>INSTALAÇÕES DE TELECOMUNICAÇÃO</t>
        </is>
      </c>
      <c r="D67" s="37" t="inlineStr">
        <is>
          <t>CAIXA 4x2" E 4x4"</t>
        </is>
      </c>
      <c r="E67" s="37" t="inlineStr">
        <is>
          <t>Caixa 4x2" de Embutir em PVC Padrão NBR IEC 60670</t>
        </is>
      </c>
      <c r="F67" s="78" t="n">
        <v>2</v>
      </c>
      <c r="G67" s="78" t="n">
        <v>1</v>
      </c>
      <c r="H67" s="79" t="n">
        <v>0</v>
      </c>
      <c r="I67" s="80">
        <f>(F40+H40*F40)*G40</f>
        <v/>
      </c>
      <c r="J67" s="78" t="inlineStr">
        <is>
          <t>pç</t>
        </is>
      </c>
      <c r="K67" s="81" t="n">
        <v>5.9</v>
      </c>
      <c r="L67" s="82">
        <f>IF(SUM(F40:K40)=0,SUMIFS($L41:$L$535,$B41:$B$535,$B40,$A41:$A$535,$A40),I40*K40)</f>
        <v/>
      </c>
      <c r="N67" s="49" t="inlineStr">
        <is>
          <t>TORRE</t>
        </is>
      </c>
      <c r="O67" s="49" t="n"/>
      <c r="P67" s="50" t="n"/>
      <c r="Q67" s="50" t="n"/>
      <c r="R67" s="49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  <c r="AH67" s="50" t="n"/>
      <c r="AI67" s="50" t="n"/>
    </row>
    <row r="68">
      <c r="A68" s="37">
        <f>A40</f>
        <v/>
      </c>
      <c r="B68" s="37">
        <f>B40</f>
        <v/>
      </c>
      <c r="C68" s="37" t="inlineStr">
        <is>
          <t>INSTALAÇÕES DE TELECOMUNICAÇÃO</t>
        </is>
      </c>
      <c r="D68" s="37" t="inlineStr">
        <is>
          <t>CAIXA 4x2" E 4x4"</t>
        </is>
      </c>
      <c r="E68" s="37" t="inlineStr">
        <is>
          <t>Placa 4x2" cega Padrão NBR IEC 60670</t>
        </is>
      </c>
      <c r="F68" s="78" t="n">
        <v>2</v>
      </c>
      <c r="G68" s="78" t="n">
        <v>1</v>
      </c>
      <c r="H68" s="79" t="n">
        <v>0</v>
      </c>
      <c r="I68" s="80">
        <f>(F41+H41*F41)*G41</f>
        <v/>
      </c>
      <c r="J68" s="78" t="inlineStr">
        <is>
          <t>pç</t>
        </is>
      </c>
      <c r="K68" s="81" t="n">
        <v>4.5</v>
      </c>
      <c r="L68" s="82">
        <f>IF(SUM(F41:K41)=0,SUMIFS($L42:$L$535,$B42:$B$535,$B41,$A42:$A$535,$A41),I41*K41)</f>
        <v/>
      </c>
      <c r="N68" s="49" t="inlineStr">
        <is>
          <t>TORRE</t>
        </is>
      </c>
      <c r="O68" s="49" t="n"/>
      <c r="P68" s="50" t="n"/>
      <c r="Q68" s="50" t="n"/>
      <c r="R68" s="49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</row>
    <row r="69">
      <c r="A69" s="37">
        <f>A41</f>
        <v/>
      </c>
      <c r="B69" s="37">
        <f>B41</f>
        <v/>
      </c>
      <c r="C69" s="37" t="inlineStr">
        <is>
          <t>INSTALAÇÕES DE TELECOMUNICAÇÃO</t>
        </is>
      </c>
      <c r="D69" s="37" t="inlineStr">
        <is>
          <t>CAIXA 4x2" E 4x4"</t>
        </is>
      </c>
      <c r="E69" s="37" t="inlineStr">
        <is>
          <t>Suporte p/ caixa 4x2" Padrão NBR IEC 60670</t>
        </is>
      </c>
      <c r="F69" s="78" t="n">
        <v>2</v>
      </c>
      <c r="G69" s="78" t="n">
        <v>1</v>
      </c>
      <c r="H69" s="79" t="n">
        <v>0</v>
      </c>
      <c r="I69" s="80">
        <f>(F42+H42*F42)*G42</f>
        <v/>
      </c>
      <c r="J69" s="78" t="inlineStr">
        <is>
          <t>pç</t>
        </is>
      </c>
      <c r="K69" s="81" t="n">
        <v>2.4</v>
      </c>
      <c r="L69" s="82">
        <f>IF(SUM(F42:K42)=0,SUMIFS($L43:$L$535,$B43:$B$535,$B42,$A43:$A$535,$A42),I42*K42)</f>
        <v/>
      </c>
      <c r="N69" s="49" t="inlineStr">
        <is>
          <t>TORRE</t>
        </is>
      </c>
      <c r="O69" s="49" t="n"/>
      <c r="P69" s="50" t="n"/>
      <c r="Q69" s="50" t="n"/>
      <c r="R69" s="49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  <c r="AD69" s="50" t="n"/>
      <c r="AE69" s="50" t="n"/>
      <c r="AF69" s="50" t="n"/>
      <c r="AG69" s="50" t="n"/>
      <c r="AH69" s="50" t="n"/>
      <c r="AI69" s="50" t="n"/>
    </row>
    <row r="70">
      <c r="A70" s="37">
        <f>A42</f>
        <v/>
      </c>
      <c r="B70" s="37">
        <f>B42</f>
        <v/>
      </c>
      <c r="C70" s="37" t="inlineStr">
        <is>
          <t>INSTALAÇÕES DE TELECOMUNICAÇÃO</t>
        </is>
      </c>
      <c r="D70" s="37" t="inlineStr">
        <is>
          <t>ELETRODUTOS</t>
        </is>
      </c>
      <c r="E70" s="37" t="inlineStr">
        <is>
          <t>PVC Flexível Antichama - NBR 15465 ø1"</t>
        </is>
      </c>
      <c r="F70" s="78" t="n">
        <v>145</v>
      </c>
      <c r="G70" s="78" t="n">
        <v>1</v>
      </c>
      <c r="H70" s="79" t="n">
        <v>0</v>
      </c>
      <c r="I70" s="80">
        <f>(F43+H43*F43)*G43</f>
        <v/>
      </c>
      <c r="J70" s="78" t="inlineStr">
        <is>
          <t>m</t>
        </is>
      </c>
      <c r="K70" s="81" t="n">
        <v>11.9</v>
      </c>
      <c r="L70" s="82">
        <f>IF(SUM(F43:K43)=0,SUMIFS($L44:$L$535,$B44:$B$535,$B43,$A44:$A$535,$A43),I43*K43)</f>
        <v/>
      </c>
      <c r="N70" s="49" t="inlineStr">
        <is>
          <t>TORRE</t>
        </is>
      </c>
      <c r="O70" s="49" t="n"/>
      <c r="P70" s="50" t="n"/>
      <c r="Q70" s="50" t="n"/>
      <c r="R70" s="49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  <c r="AH70" s="50" t="n"/>
      <c r="AI70" s="50" t="n"/>
    </row>
    <row r="71">
      <c r="A71" s="37">
        <f>A43</f>
        <v/>
      </c>
      <c r="B71" s="37">
        <f>B43</f>
        <v/>
      </c>
      <c r="C71" s="37" t="inlineStr">
        <is>
          <t>INSTALAÇÕES DE TELECOMUNICAÇÃO</t>
        </is>
      </c>
      <c r="D71" s="37" t="inlineStr">
        <is>
          <t>ELETRODUTOS</t>
        </is>
      </c>
      <c r="E71" s="37" t="inlineStr">
        <is>
          <t>PVC Flexível Antichama - NBR 15465 ø3/4"</t>
        </is>
      </c>
      <c r="F71" s="78" t="n">
        <v>97</v>
      </c>
      <c r="G71" s="78" t="n">
        <v>1</v>
      </c>
      <c r="H71" s="79" t="n">
        <v>0</v>
      </c>
      <c r="I71" s="80">
        <f>(F44+H44*F44)*G44</f>
        <v/>
      </c>
      <c r="J71" s="78" t="inlineStr">
        <is>
          <t>m</t>
        </is>
      </c>
      <c r="K71" s="81" t="n">
        <v>7.5</v>
      </c>
      <c r="L71" s="82">
        <f>IF(SUM(F44:K44)=0,SUMIFS($L45:$L$535,$B45:$B$535,$B44,$A45:$A$535,$A44),I44*K44)</f>
        <v/>
      </c>
      <c r="N71" s="49" t="inlineStr">
        <is>
          <t>TORRE</t>
        </is>
      </c>
      <c r="O71" s="49" t="n"/>
      <c r="P71" s="50" t="n"/>
      <c r="Q71" s="50" t="n"/>
      <c r="R71" s="49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  <c r="AH71" s="50" t="n"/>
      <c r="AI71" s="50" t="n"/>
    </row>
    <row r="72">
      <c r="A72" s="37">
        <f>A44</f>
        <v/>
      </c>
      <c r="B72" s="37">
        <f>B44</f>
        <v/>
      </c>
      <c r="C72" s="37" t="inlineStr">
        <is>
          <t>INSTALAÇÕES DE TELECOMUNICAÇÃO</t>
        </is>
      </c>
      <c r="D72" s="37" t="inlineStr">
        <is>
          <t>QUADROS DE DISTRIBUIÇÃO</t>
        </is>
      </c>
      <c r="E72" s="37" t="inlineStr">
        <is>
          <t>Embutir - 486x510x109mm</t>
        </is>
      </c>
      <c r="F72" s="78" t="n">
        <v>1</v>
      </c>
      <c r="G72" s="78" t="n">
        <v>1</v>
      </c>
      <c r="H72" s="79" t="n">
        <v>0</v>
      </c>
      <c r="I72" s="80">
        <f>(F45+H45*F45)*G45</f>
        <v/>
      </c>
      <c r="J72" s="78" t="inlineStr">
        <is>
          <t>pç</t>
        </is>
      </c>
      <c r="K72" s="81" t="n">
        <v>465</v>
      </c>
      <c r="L72" s="82">
        <f>IF(SUM(F45:K45)=0,SUMIFS($L46:$L$535,$B46:$B$535,$B45,$A46:$A$535,$A45),I45*K45)</f>
        <v/>
      </c>
      <c r="N72" s="49" t="inlineStr">
        <is>
          <t>TORRE</t>
        </is>
      </c>
      <c r="O72" s="49" t="n"/>
      <c r="P72" s="50" t="n"/>
      <c r="Q72" s="50" t="n"/>
      <c r="R72" s="49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  <c r="AH72" s="50" t="n"/>
      <c r="AI72" s="50" t="n"/>
    </row>
    <row r="73">
      <c r="A73" s="104">
        <f>A72</f>
        <v/>
      </c>
      <c r="B73" s="104">
        <f>B72</f>
        <v/>
      </c>
      <c r="C73" s="104" t="inlineStr">
        <is>
          <t>INSTALAÇÕES DE TELECOMUNICAÇÃO</t>
        </is>
      </c>
      <c r="D73" s="104" t="inlineStr">
        <is>
          <t>ELETRODUTOS</t>
        </is>
      </c>
      <c r="E73" s="104" t="inlineStr">
        <is>
          <t>PVC Flexível Antichama - NBR 15465 ø3"</t>
        </is>
      </c>
      <c r="F73" s="105" t="n">
        <v>12</v>
      </c>
      <c r="G73" s="105" t="n">
        <v>1</v>
      </c>
      <c r="H73" s="106" t="n">
        <v>0</v>
      </c>
      <c r="I73" s="107">
        <f>(F73+H73*F73)*G73</f>
        <v/>
      </c>
      <c r="J73" s="105" t="inlineStr">
        <is>
          <t>m</t>
        </is>
      </c>
      <c r="K73" s="108" t="n">
        <v>0</v>
      </c>
      <c r="L73" s="109">
        <f>IF(SUM(F73:K73)=0,SUMIFS($L74:$L$535,$B74:$B$535,$B73,$A74:$A$535,$A73),I73*K73)</f>
        <v/>
      </c>
    </row>
    <row r="74">
      <c r="A74" s="104">
        <f>A73</f>
        <v/>
      </c>
      <c r="B74" s="104">
        <f>B73</f>
        <v/>
      </c>
      <c r="C74" s="104" t="inlineStr">
        <is>
          <t>INSTALAÇÕES DE TELECOMUNICAÇÃO</t>
        </is>
      </c>
      <c r="D74" s="104" t="inlineStr">
        <is>
          <t>CAIXA DE PASSAGEM</t>
        </is>
      </c>
      <c r="E74" s="104" t="inlineStr">
        <is>
          <t>Cx de passagem de embutir com dimensão de 40x120x15cm</t>
        </is>
      </c>
      <c r="F74" s="105" t="n">
        <v>2</v>
      </c>
      <c r="G74" s="105" t="n">
        <v>1</v>
      </c>
      <c r="H74" s="106" t="n">
        <v>0</v>
      </c>
      <c r="I74" s="107">
        <f>(F74+H74*F74)*G74</f>
        <v/>
      </c>
      <c r="J74" s="105" t="inlineStr">
        <is>
          <t>pç</t>
        </is>
      </c>
      <c r="K74" s="108" t="n">
        <v>0</v>
      </c>
      <c r="L74" s="109">
        <f>IF(SUM(F74:K74)=0,SUMIFS($L75:$L$535,$B75:$B$535,$B74,$A75:$A$535,$A74),I74*K74)</f>
        <v/>
      </c>
    </row>
    <row r="75">
      <c r="A75" s="104">
        <f>A74</f>
        <v/>
      </c>
      <c r="B75" s="104">
        <f>B74</f>
        <v/>
      </c>
      <c r="C75" s="104" t="inlineStr">
        <is>
          <t>INSTALAÇÕES DE TELECOMUNICAÇÃO</t>
        </is>
      </c>
      <c r="D75" s="104" t="inlineStr">
        <is>
          <t>COTOVELOS</t>
        </is>
      </c>
      <c r="E75" s="104" t="inlineStr">
        <is>
          <t>Cotovelo para eletroduto flexível PVC amarelo</t>
        </is>
      </c>
      <c r="F75" s="105" t="n">
        <v>194</v>
      </c>
      <c r="G75" s="105" t="n">
        <v>1</v>
      </c>
      <c r="H75" s="106" t="n">
        <v>0</v>
      </c>
      <c r="I75" s="107">
        <f>(F75+H75*F75)*G75</f>
        <v/>
      </c>
      <c r="J75" s="105" t="inlineStr">
        <is>
          <t>un</t>
        </is>
      </c>
      <c r="K75" s="108" t="n">
        <v>0</v>
      </c>
      <c r="L75" s="109">
        <f>IF(SUM(F75:K75)=0,SUMIFS($L76:$L$535,$B76:$B$535,$B75,$A76:$A$535,$A75),I75*K75)</f>
        <v/>
      </c>
    </row>
    <row r="76">
      <c r="A76" s="104">
        <f>A75</f>
        <v/>
      </c>
      <c r="B76" s="104">
        <f>B75</f>
        <v/>
      </c>
      <c r="C76" s="104" t="inlineStr">
        <is>
          <t>INSTALAÇÕES DE TELECOMUNICAÇÃO</t>
        </is>
      </c>
      <c r="D76" s="104" t="inlineStr">
        <is>
          <t>CONECTORES E BUCHAS</t>
        </is>
      </c>
      <c r="E76" s="104" t="inlineStr">
        <is>
          <t>Conector box e arruela - Alumínio padrão</t>
        </is>
      </c>
      <c r="F76" s="105" t="n">
        <v>46</v>
      </c>
      <c r="G76" s="105" t="n">
        <v>1</v>
      </c>
      <c r="H76" s="106" t="n">
        <v>0</v>
      </c>
      <c r="I76" s="107">
        <f>(F76+H76*F76)*G76</f>
        <v/>
      </c>
      <c r="J76" s="105" t="inlineStr">
        <is>
          <t>un</t>
        </is>
      </c>
      <c r="K76" s="108" t="n">
        <v>0</v>
      </c>
      <c r="L76" s="109">
        <f>IF(SUM(F76:K76)=0,SUMIFS($L77:$L$535,$B77:$B$535,$B76,$A77:$A$535,$A76),I76*K76)</f>
        <v/>
      </c>
    </row>
    <row r="77">
      <c r="A77" s="104">
        <f>A76</f>
        <v/>
      </c>
      <c r="B77" s="104">
        <f>B76</f>
        <v/>
      </c>
      <c r="C77" s="104" t="inlineStr">
        <is>
          <t>INSTALAÇÕES DE TELECOMUNICAÇÃO</t>
        </is>
      </c>
      <c r="D77" s="104" t="inlineStr">
        <is>
          <t>CONECTORES E BUCHAS</t>
        </is>
      </c>
      <c r="E77" s="104" t="inlineStr">
        <is>
          <t>Bucha terminal simples - Alumínio padrão</t>
        </is>
      </c>
      <c r="F77" s="105" t="n">
        <v>2</v>
      </c>
      <c r="G77" s="105" t="n">
        <v>1</v>
      </c>
      <c r="H77" s="106" t="n">
        <v>0</v>
      </c>
      <c r="I77" s="107">
        <f>(F77+H77*F77)*G77</f>
        <v/>
      </c>
      <c r="J77" s="105" t="inlineStr">
        <is>
          <t>un</t>
        </is>
      </c>
      <c r="K77" s="108" t="n">
        <v>0</v>
      </c>
      <c r="L77" s="109">
        <f>IF(SUM(F77:K77)=0,SUMIFS($L78:$L$535,$B78:$B$535,$B77,$A78:$A$535,$A77),I77*K77)</f>
        <v/>
      </c>
    </row>
    <row r="78">
      <c r="A78" s="104">
        <f>A77</f>
        <v/>
      </c>
      <c r="B78" s="104">
        <f>B77</f>
        <v/>
      </c>
      <c r="C78" s="104" t="inlineStr">
        <is>
          <t>INSTALAÇÕES DE TELECOMUNICAÇÃO</t>
        </is>
      </c>
      <c r="D78" s="104" t="inlineStr">
        <is>
          <t>CONDUTORES TELECOM</t>
        </is>
      </c>
      <c r="E78" s="104" t="inlineStr">
        <is>
          <t>Condutor CFTV</t>
        </is>
      </c>
      <c r="F78" s="105" t="n">
        <v>14</v>
      </c>
      <c r="G78" s="105" t="n">
        <v>1</v>
      </c>
      <c r="H78" s="106" t="n">
        <v>0</v>
      </c>
      <c r="I78" s="107">
        <f>(F78+H78*F78)*G78</f>
        <v/>
      </c>
      <c r="J78" s="105" t="inlineStr">
        <is>
          <t>un</t>
        </is>
      </c>
      <c r="K78" s="108" t="n">
        <v>0</v>
      </c>
      <c r="L78" s="109">
        <f>IF(SUM(F78:K78)=0,SUMIFS($L79:$L$535,$B79:$B$535,$B78,$A79:$A$535,$A78),I78*K78)</f>
        <v/>
      </c>
    </row>
    <row r="79">
      <c r="A79" s="104">
        <f>A78</f>
        <v/>
      </c>
      <c r="B79" s="104">
        <f>B78</f>
        <v/>
      </c>
      <c r="C79" s="104" t="inlineStr">
        <is>
          <t>INSTALAÇÕES DE TELECOMUNICAÇÃO</t>
        </is>
      </c>
      <c r="D79" s="104" t="inlineStr">
        <is>
          <t>CONDUTORES TELECOM</t>
        </is>
      </c>
      <c r="E79" s="104" t="inlineStr">
        <is>
          <t>Condutor Cordplast</t>
        </is>
      </c>
      <c r="F79" s="105" t="n">
        <v>14</v>
      </c>
      <c r="G79" s="105" t="n">
        <v>1</v>
      </c>
      <c r="H79" s="106" t="n">
        <v>0</v>
      </c>
      <c r="I79" s="107">
        <f>(F79+H79*F79)*G79</f>
        <v/>
      </c>
      <c r="J79" s="105" t="inlineStr">
        <is>
          <t>un</t>
        </is>
      </c>
      <c r="K79" s="108" t="n">
        <v>0</v>
      </c>
      <c r="L79" s="109">
        <f>IF(SUM(F79:K79)=0,SUMIFS($L80:$L$535,$B80:$B$535,$B79,$A80:$A$535,$A79),I79*K79)</f>
        <v/>
      </c>
    </row>
    <row r="80">
      <c r="A80" s="104">
        <f>A79</f>
        <v/>
      </c>
      <c r="B80" s="104">
        <f>B79</f>
        <v/>
      </c>
      <c r="C80" s="104" t="inlineStr">
        <is>
          <t>INSTALAÇÕES DE TELECOMUNICAÇÃO</t>
        </is>
      </c>
      <c r="D80" s="104" t="inlineStr">
        <is>
          <t>PONTOS DE USO</t>
        </is>
      </c>
      <c r="E80" s="104" t="inlineStr">
        <is>
          <t>Caixa 4x2 - Interfone</t>
        </is>
      </c>
      <c r="F80" s="105" t="n">
        <v>8</v>
      </c>
      <c r="G80" s="105" t="n">
        <v>1</v>
      </c>
      <c r="H80" s="106" t="n">
        <v>0</v>
      </c>
      <c r="I80" s="107">
        <f>(F80+H80*F80)*G80</f>
        <v/>
      </c>
      <c r="J80" s="105" t="inlineStr">
        <is>
          <t>un</t>
        </is>
      </c>
      <c r="K80" s="108" t="n">
        <v>0</v>
      </c>
      <c r="L80" s="109">
        <f>IF(SUM(F80:K80)=0,SUMIFS($L81:$L$535,$B81:$B$535,$B80,$A81:$A$535,$A80),I80*K80)</f>
        <v/>
      </c>
    </row>
    <row r="81">
      <c r="A81" s="104">
        <f>A80</f>
        <v/>
      </c>
      <c r="B81" s="104">
        <f>B80</f>
        <v/>
      </c>
      <c r="C81" s="104" t="inlineStr">
        <is>
          <t>INSTALAÇÕES DE TELECOMUNICAÇÃO</t>
        </is>
      </c>
      <c r="D81" s="104" t="inlineStr">
        <is>
          <t>PONTOS DE USO</t>
        </is>
      </c>
      <c r="E81" s="104" t="inlineStr">
        <is>
          <t>Caixa 4x2 - Câmera CFTV</t>
        </is>
      </c>
      <c r="F81" s="105" t="n">
        <v>7</v>
      </c>
      <c r="G81" s="105" t="n">
        <v>1</v>
      </c>
      <c r="H81" s="106" t="n">
        <v>0</v>
      </c>
      <c r="I81" s="107">
        <f>(F81+H81*F81)*G81</f>
        <v/>
      </c>
      <c r="J81" s="105" t="inlineStr">
        <is>
          <t>un</t>
        </is>
      </c>
      <c r="K81" s="108" t="n">
        <v>0</v>
      </c>
      <c r="L81" s="109">
        <f>IF(SUM(F81:K81)=0,SUMIFS($L82:$L$535,$B82:$B$535,$B81,$A82:$A$535,$A81),I81*K81)</f>
        <v/>
      </c>
    </row>
    <row r="82">
      <c r="A82" s="25" t="inlineStr">
        <is>
          <t>TORRE</t>
        </is>
      </c>
      <c r="B82" s="25" t="inlineStr">
        <is>
          <t>GARAGEM 03</t>
        </is>
      </c>
      <c r="C82" s="26" t="n"/>
      <c r="D82" s="27" t="n"/>
      <c r="E82" s="27" t="n"/>
      <c r="F82" s="69" t="n"/>
      <c r="G82" s="69" t="n"/>
      <c r="H82" s="69" t="n"/>
      <c r="I82" s="70" t="n"/>
      <c r="J82" s="69" t="n"/>
      <c r="K82" s="71" t="n"/>
      <c r="L82" s="72">
        <f>IF(SUM(F46:K46)=0,SUMIFS($L47:$L$535,$B47:$B$535,$B46,$A47:$A$535,$A46),I46*K46)</f>
        <v/>
      </c>
      <c r="M82" s="73" t="n"/>
      <c r="N82" s="91" t="inlineStr">
        <is>
          <t>TORRE</t>
        </is>
      </c>
      <c r="O82" s="92" t="n"/>
      <c r="P82" s="93" t="n"/>
      <c r="Q82" s="93" t="n"/>
      <c r="R82" s="93" t="n"/>
      <c r="S82" s="93" t="n"/>
      <c r="T82" s="93" t="n"/>
      <c r="U82" s="93" t="n"/>
      <c r="V82" s="93" t="n"/>
      <c r="W82" s="93" t="n"/>
      <c r="X82" s="93" t="n"/>
      <c r="Y82" s="93" t="n"/>
      <c r="Z82" s="93" t="n"/>
      <c r="AA82" s="93" t="n"/>
      <c r="AB82" s="93" t="n"/>
      <c r="AC82" s="93" t="n"/>
      <c r="AD82" s="93" t="n"/>
      <c r="AE82" s="93" t="n"/>
      <c r="AF82" s="93" t="n"/>
      <c r="AG82" s="93" t="n"/>
      <c r="AH82" s="93" t="n"/>
      <c r="AI82" s="94" t="n"/>
      <c r="AJ82" s="73" t="n"/>
    </row>
    <row r="83" ht="15" customHeight="1" thickBot="1">
      <c r="A83" s="37">
        <f>A46</f>
        <v/>
      </c>
      <c r="B83" s="37">
        <f>B46</f>
        <v/>
      </c>
      <c r="C83" s="37" t="inlineStr">
        <is>
          <t>INSTALAÇÕES DE TELECOMUNICAÇÃO</t>
        </is>
      </c>
      <c r="D83" s="37" t="inlineStr">
        <is>
          <t>CAIXA OCTOGONAL</t>
        </is>
      </c>
      <c r="E83" s="37" t="inlineStr">
        <is>
          <t>Caixa Octogonal Padrão NBR IEC 60670</t>
        </is>
      </c>
      <c r="F83" s="78" t="n">
        <v>40</v>
      </c>
      <c r="G83" s="78" t="n">
        <v>1</v>
      </c>
      <c r="H83" s="79" t="n">
        <v>0</v>
      </c>
      <c r="I83" s="80">
        <f>(F47+H47*F47)*G47</f>
        <v/>
      </c>
      <c r="J83" s="78" t="inlineStr">
        <is>
          <t>pç</t>
        </is>
      </c>
      <c r="K83" s="81" t="n">
        <v>9.800000000000001</v>
      </c>
      <c r="L83" s="82">
        <f>IF(SUM(F47:K47)=0,SUMIFS($L48:$L$535,$B48:$B$535,$B47,$A48:$A$535,$A47),I47*K47)</f>
        <v/>
      </c>
      <c r="N83" s="49" t="inlineStr">
        <is>
          <t>TORRE</t>
        </is>
      </c>
      <c r="O83" s="49" t="n"/>
      <c r="P83" s="50" t="n"/>
      <c r="Q83" s="50" t="n"/>
      <c r="R83" s="49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  <c r="AD83" s="50" t="n"/>
      <c r="AE83" s="50" t="n"/>
      <c r="AF83" s="50" t="n"/>
      <c r="AG83" s="50" t="n"/>
      <c r="AH83" s="50" t="n"/>
      <c r="AI83" s="50" t="n"/>
    </row>
    <row r="84" ht="15" customHeight="1" thickTop="1">
      <c r="A84" s="37">
        <f>A47</f>
        <v/>
      </c>
      <c r="B84" s="37">
        <f>B47</f>
        <v/>
      </c>
      <c r="C84" s="37" t="inlineStr">
        <is>
          <t>INSTALAÇÕES DE TELECOMUNICAÇÃO</t>
        </is>
      </c>
      <c r="D84" s="37" t="inlineStr">
        <is>
          <t>CAIXA OCTOGONAL</t>
        </is>
      </c>
      <c r="E84" s="37" t="inlineStr">
        <is>
          <t>Placa cega para caixa octogonal Padrão NBR IEC 60670</t>
        </is>
      </c>
      <c r="F84" s="78" t="n">
        <v>3</v>
      </c>
      <c r="G84" s="78" t="n">
        <v>1</v>
      </c>
      <c r="H84" s="79" t="n">
        <v>0</v>
      </c>
      <c r="I84" s="80">
        <f>(F48+H48*F48)*G48</f>
        <v/>
      </c>
      <c r="J84" s="78" t="inlineStr">
        <is>
          <t>pç</t>
        </is>
      </c>
      <c r="K84" s="81" t="n">
        <v>6.5</v>
      </c>
      <c r="L84" s="82">
        <f>IF(SUM(F48:K48)=0,SUMIFS($L49:$L$535,$B49:$B$535,$B48,$A49:$A$535,$A48),I48*K48)</f>
        <v/>
      </c>
      <c r="N84" s="49" t="inlineStr">
        <is>
          <t>TORRE</t>
        </is>
      </c>
      <c r="O84" s="49" t="n"/>
      <c r="P84" s="50" t="n"/>
      <c r="Q84" s="50" t="n"/>
      <c r="R84" s="49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  <c r="AD84" s="50" t="n"/>
      <c r="AE84" s="50" t="n"/>
      <c r="AF84" s="50" t="n"/>
      <c r="AG84" s="50" t="n"/>
      <c r="AH84" s="50" t="n"/>
      <c r="AI84" s="50" t="n"/>
    </row>
    <row r="85">
      <c r="A85" s="37">
        <f>A48</f>
        <v/>
      </c>
      <c r="B85" s="37">
        <f>B48</f>
        <v/>
      </c>
      <c r="C85" s="37" t="inlineStr">
        <is>
          <t>INSTALAÇÕES DE TELECOMUNICAÇÃO</t>
        </is>
      </c>
      <c r="D85" s="37" t="inlineStr">
        <is>
          <t>CAIXA 4x2" E 4x4"</t>
        </is>
      </c>
      <c r="E85" s="37" t="inlineStr">
        <is>
          <t>Caixa 4x2" de Embutir em PVC Padrão NBR IEC 60670</t>
        </is>
      </c>
      <c r="F85" s="78" t="n">
        <v>2</v>
      </c>
      <c r="G85" s="78" t="n">
        <v>1</v>
      </c>
      <c r="H85" s="79" t="n">
        <v>0</v>
      </c>
      <c r="I85" s="80">
        <f>(F49+H49*F49)*G49</f>
        <v/>
      </c>
      <c r="J85" s="78" t="inlineStr">
        <is>
          <t>pç</t>
        </is>
      </c>
      <c r="K85" s="81" t="n">
        <v>5.9</v>
      </c>
      <c r="L85" s="82">
        <f>IF(SUM(F49:K49)=0,SUMIFS($L50:$L$535,$B50:$B$535,$B49,$A50:$A$535,$A49),I49*K49)</f>
        <v/>
      </c>
      <c r="N85" s="49" t="inlineStr">
        <is>
          <t>TORRE</t>
        </is>
      </c>
      <c r="O85" s="49" t="n"/>
      <c r="P85" s="50" t="n"/>
      <c r="Q85" s="50" t="n"/>
      <c r="R85" s="49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  <c r="AD85" s="50" t="n"/>
      <c r="AE85" s="50" t="n"/>
      <c r="AF85" s="50" t="n"/>
      <c r="AG85" s="50" t="n"/>
      <c r="AH85" s="50" t="n"/>
      <c r="AI85" s="50" t="n"/>
    </row>
    <row r="86">
      <c r="A86" s="37">
        <f>A49</f>
        <v/>
      </c>
      <c r="B86" s="37">
        <f>B49</f>
        <v/>
      </c>
      <c r="C86" s="37" t="inlineStr">
        <is>
          <t>INSTALAÇÕES DE TELECOMUNICAÇÃO</t>
        </is>
      </c>
      <c r="D86" s="37" t="inlineStr">
        <is>
          <t>CAIXA 4x2" E 4x4"</t>
        </is>
      </c>
      <c r="E86" s="37" t="inlineStr">
        <is>
          <t>Placa 4x2" cega Padrão NBR IEC 60670</t>
        </is>
      </c>
      <c r="F86" s="78" t="n">
        <v>2</v>
      </c>
      <c r="G86" s="78" t="n">
        <v>1</v>
      </c>
      <c r="H86" s="79" t="n">
        <v>0</v>
      </c>
      <c r="I86" s="80">
        <f>(F50+H50*F50)*G50</f>
        <v/>
      </c>
      <c r="J86" s="78" t="inlineStr">
        <is>
          <t>pç</t>
        </is>
      </c>
      <c r="K86" s="81" t="n">
        <v>4.5</v>
      </c>
      <c r="L86" s="82">
        <f>IF(SUM(F50:K50)=0,SUMIFS($L51:$L$535,$B51:$B$535,$B50,$A51:$A$535,$A50),I50*K50)</f>
        <v/>
      </c>
      <c r="N86" s="49" t="inlineStr">
        <is>
          <t>TORRE</t>
        </is>
      </c>
      <c r="O86" s="49" t="n"/>
      <c r="P86" s="50" t="n"/>
      <c r="Q86" s="50" t="n"/>
      <c r="R86" s="49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  <c r="AD86" s="50" t="n"/>
      <c r="AE86" s="50" t="n"/>
      <c r="AF86" s="50" t="n"/>
      <c r="AG86" s="50" t="n"/>
      <c r="AH86" s="50" t="n"/>
      <c r="AI86" s="50" t="n"/>
    </row>
    <row r="87">
      <c r="A87" s="37">
        <f>A50</f>
        <v/>
      </c>
      <c r="B87" s="37">
        <f>B50</f>
        <v/>
      </c>
      <c r="C87" s="37" t="inlineStr">
        <is>
          <t>INSTALAÇÕES DE TELECOMUNICAÇÃO</t>
        </is>
      </c>
      <c r="D87" s="37" t="inlineStr">
        <is>
          <t>CAIXA 4x2" E 4x4"</t>
        </is>
      </c>
      <c r="E87" s="37" t="inlineStr">
        <is>
          <t>Suporte p/ caixa 4x2" Padrão NBR IEC 60670</t>
        </is>
      </c>
      <c r="F87" s="78" t="n">
        <v>2</v>
      </c>
      <c r="G87" s="78" t="n">
        <v>1</v>
      </c>
      <c r="H87" s="79" t="n">
        <v>0</v>
      </c>
      <c r="I87" s="80">
        <f>(F51+H51*F51)*G51</f>
        <v/>
      </c>
      <c r="J87" s="78" t="inlineStr">
        <is>
          <t>pç</t>
        </is>
      </c>
      <c r="K87" s="81" t="n">
        <v>2.4</v>
      </c>
      <c r="L87" s="82">
        <f>IF(SUM(F51:K51)=0,SUMIFS($L52:$L$535,$B52:$B$535,$B51,$A52:$A$535,$A51),I51*K51)</f>
        <v/>
      </c>
      <c r="N87" s="49" t="inlineStr">
        <is>
          <t>TORRE</t>
        </is>
      </c>
      <c r="O87" s="49" t="n"/>
      <c r="P87" s="50" t="n"/>
      <c r="Q87" s="50" t="n"/>
      <c r="R87" s="49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  <c r="AD87" s="50" t="n"/>
      <c r="AE87" s="50" t="n"/>
      <c r="AF87" s="50" t="n"/>
      <c r="AG87" s="50" t="n"/>
      <c r="AH87" s="50" t="n"/>
      <c r="AI87" s="50" t="n"/>
    </row>
    <row r="88">
      <c r="A88" s="37">
        <f>A51</f>
        <v/>
      </c>
      <c r="B88" s="37">
        <f>B51</f>
        <v/>
      </c>
      <c r="C88" s="37" t="inlineStr">
        <is>
          <t>INSTALAÇÕES DE TELECOMUNICAÇÃO</t>
        </is>
      </c>
      <c r="D88" s="37" t="inlineStr">
        <is>
          <t>ELETRODUTOS</t>
        </is>
      </c>
      <c r="E88" s="37" t="inlineStr">
        <is>
          <t>PVC Flexível Antichama - NBR 15465 ø1"</t>
        </is>
      </c>
      <c r="F88" s="78" t="n">
        <v>145</v>
      </c>
      <c r="G88" s="78" t="n">
        <v>1</v>
      </c>
      <c r="H88" s="79" t="n">
        <v>0</v>
      </c>
      <c r="I88" s="80">
        <f>(F52+H52*F52)*G52</f>
        <v/>
      </c>
      <c r="J88" s="78" t="inlineStr">
        <is>
          <t>m</t>
        </is>
      </c>
      <c r="K88" s="81" t="n">
        <v>11.9</v>
      </c>
      <c r="L88" s="82">
        <f>IF(SUM(F52:K52)=0,SUMIFS($L53:$L$535,$B53:$B$535,$B52,$A53:$A$535,$A52),I52*K52)</f>
        <v/>
      </c>
      <c r="N88" s="49" t="inlineStr">
        <is>
          <t>TORRE</t>
        </is>
      </c>
      <c r="O88" s="49" t="n"/>
      <c r="P88" s="50" t="n"/>
      <c r="Q88" s="50" t="n"/>
      <c r="R88" s="49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  <c r="AD88" s="50" t="n"/>
      <c r="AE88" s="50" t="n"/>
      <c r="AF88" s="50" t="n"/>
      <c r="AG88" s="50" t="n"/>
      <c r="AH88" s="50" t="n"/>
      <c r="AI88" s="50" t="n"/>
    </row>
    <row r="89">
      <c r="A89" s="37">
        <f>A52</f>
        <v/>
      </c>
      <c r="B89" s="37">
        <f>B52</f>
        <v/>
      </c>
      <c r="C89" s="37" t="inlineStr">
        <is>
          <t>INSTALAÇÕES DE TELECOMUNICAÇÃO</t>
        </is>
      </c>
      <c r="D89" s="37" t="inlineStr">
        <is>
          <t>ELETRODUTOS</t>
        </is>
      </c>
      <c r="E89" s="37" t="inlineStr">
        <is>
          <t>PVC Flexível Antichama - NBR 15465 ø3/4"</t>
        </is>
      </c>
      <c r="F89" s="78" t="n">
        <v>97</v>
      </c>
      <c r="G89" s="78" t="n">
        <v>1</v>
      </c>
      <c r="H89" s="79" t="n">
        <v>0</v>
      </c>
      <c r="I89" s="80">
        <f>(F53+H53*F53)*G53</f>
        <v/>
      </c>
      <c r="J89" s="78" t="inlineStr">
        <is>
          <t>m</t>
        </is>
      </c>
      <c r="K89" s="81" t="n">
        <v>7.5</v>
      </c>
      <c r="L89" s="82">
        <f>IF(SUM(F53:K53)=0,SUMIFS($L54:$L$535,$B54:$B$535,$B53,$A54:$A$535,$A53),I53*K53)</f>
        <v/>
      </c>
      <c r="N89" s="49" t="inlineStr">
        <is>
          <t>TORRE</t>
        </is>
      </c>
      <c r="O89" s="49" t="n"/>
      <c r="P89" s="50" t="n"/>
      <c r="Q89" s="50" t="n"/>
      <c r="R89" s="49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  <c r="AD89" s="50" t="n"/>
      <c r="AE89" s="50" t="n"/>
      <c r="AF89" s="50" t="n"/>
      <c r="AG89" s="50" t="n"/>
      <c r="AH89" s="50" t="n"/>
      <c r="AI89" s="50" t="n"/>
    </row>
    <row r="90">
      <c r="A90" s="37">
        <f>A53</f>
        <v/>
      </c>
      <c r="B90" s="37">
        <f>B53</f>
        <v/>
      </c>
      <c r="C90" s="37" t="inlineStr">
        <is>
          <t>INSTALAÇÕES DE TELECOMUNICAÇÃO</t>
        </is>
      </c>
      <c r="D90" s="37" t="inlineStr">
        <is>
          <t>QUADROS DE DISTRIBUIÇÃO</t>
        </is>
      </c>
      <c r="E90" s="37" t="inlineStr">
        <is>
          <t>Embutir - 486x510x109mm</t>
        </is>
      </c>
      <c r="F90" s="78" t="n">
        <v>1</v>
      </c>
      <c r="G90" s="78" t="n">
        <v>1</v>
      </c>
      <c r="H90" s="79" t="n">
        <v>0</v>
      </c>
      <c r="I90" s="80">
        <f>(F54+H54*F54)*G54</f>
        <v/>
      </c>
      <c r="J90" s="78" t="inlineStr">
        <is>
          <t>pç</t>
        </is>
      </c>
      <c r="K90" s="81" t="n">
        <v>465</v>
      </c>
      <c r="L90" s="82">
        <f>IF(SUM(F54:K54)=0,SUMIFS($L55:$L$535,$B55:$B$535,$B54,$A55:$A$535,$A54),I54*K54)</f>
        <v/>
      </c>
      <c r="N90" s="49" t="inlineStr">
        <is>
          <t>TORRE</t>
        </is>
      </c>
      <c r="O90" s="49" t="n"/>
      <c r="P90" s="50" t="n"/>
      <c r="Q90" s="50" t="n"/>
      <c r="R90" s="49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  <c r="AD90" s="50" t="n"/>
      <c r="AE90" s="50" t="n"/>
      <c r="AF90" s="50" t="n"/>
      <c r="AG90" s="50" t="n"/>
      <c r="AH90" s="50" t="n"/>
      <c r="AI90" s="50" t="n"/>
    </row>
    <row r="91">
      <c r="A91" s="104">
        <f>A90</f>
        <v/>
      </c>
      <c r="B91" s="104">
        <f>B90</f>
        <v/>
      </c>
      <c r="C91" s="104" t="inlineStr">
        <is>
          <t>INSTALAÇÕES DE TELECOMUNICAÇÃO</t>
        </is>
      </c>
      <c r="D91" s="104" t="inlineStr">
        <is>
          <t>ELETRODUTOS</t>
        </is>
      </c>
      <c r="E91" s="104" t="inlineStr">
        <is>
          <t>PVC Flexível Antichama - NBR 15465 ø3"</t>
        </is>
      </c>
      <c r="F91" s="105" t="n">
        <v>12</v>
      </c>
      <c r="G91" s="105" t="n">
        <v>1</v>
      </c>
      <c r="H91" s="106" t="n">
        <v>0</v>
      </c>
      <c r="I91" s="107">
        <f>(F91+H91*F91)*G91</f>
        <v/>
      </c>
      <c r="J91" s="105" t="inlineStr">
        <is>
          <t>m</t>
        </is>
      </c>
      <c r="K91" s="108" t="n">
        <v>0</v>
      </c>
      <c r="L91" s="109">
        <f>IF(SUM(F91:K91)=0,SUMIFS($L92:$L$535,$B92:$B$535,$B91,$A92:$A$535,$A91),I91*K91)</f>
        <v/>
      </c>
    </row>
    <row r="92">
      <c r="A92" s="104">
        <f>A91</f>
        <v/>
      </c>
      <c r="B92" s="104">
        <f>B91</f>
        <v/>
      </c>
      <c r="C92" s="104" t="inlineStr">
        <is>
          <t>INSTALAÇÕES DE TELECOMUNICAÇÃO</t>
        </is>
      </c>
      <c r="D92" s="104" t="inlineStr">
        <is>
          <t>CAIXA DE PASSAGEM</t>
        </is>
      </c>
      <c r="E92" s="104" t="inlineStr">
        <is>
          <t>Cx de passagem de embutir com dimensão de 40x120x15cm</t>
        </is>
      </c>
      <c r="F92" s="105" t="n">
        <v>2</v>
      </c>
      <c r="G92" s="105" t="n">
        <v>1</v>
      </c>
      <c r="H92" s="106" t="n">
        <v>0</v>
      </c>
      <c r="I92" s="107">
        <f>(F92+H92*F92)*G92</f>
        <v/>
      </c>
      <c r="J92" s="105" t="inlineStr">
        <is>
          <t>pç</t>
        </is>
      </c>
      <c r="K92" s="108" t="n">
        <v>0</v>
      </c>
      <c r="L92" s="109">
        <f>IF(SUM(F92:K92)=0,SUMIFS($L93:$L$535,$B93:$B$535,$B92,$A93:$A$535,$A92),I92*K92)</f>
        <v/>
      </c>
    </row>
    <row r="93">
      <c r="A93" s="104">
        <f>A92</f>
        <v/>
      </c>
      <c r="B93" s="104">
        <f>B92</f>
        <v/>
      </c>
      <c r="C93" s="104" t="inlineStr">
        <is>
          <t>INSTALAÇÕES DE TELECOMUNICAÇÃO</t>
        </is>
      </c>
      <c r="D93" s="104" t="inlineStr">
        <is>
          <t>COTOVELOS</t>
        </is>
      </c>
      <c r="E93" s="104" t="inlineStr">
        <is>
          <t>Cotovelo para eletroduto flexível PVC amarelo</t>
        </is>
      </c>
      <c r="F93" s="105" t="n">
        <v>188</v>
      </c>
      <c r="G93" s="105" t="n">
        <v>1</v>
      </c>
      <c r="H93" s="106" t="n">
        <v>0</v>
      </c>
      <c r="I93" s="107">
        <f>(F93+H93*F93)*G93</f>
        <v/>
      </c>
      <c r="J93" s="105" t="inlineStr">
        <is>
          <t>un</t>
        </is>
      </c>
      <c r="K93" s="108" t="n">
        <v>0</v>
      </c>
      <c r="L93" s="109">
        <f>IF(SUM(F93:K93)=0,SUMIFS($L94:$L$535,$B94:$B$535,$B93,$A94:$A$535,$A93),I93*K93)</f>
        <v/>
      </c>
    </row>
    <row r="94">
      <c r="A94" s="104">
        <f>A93</f>
        <v/>
      </c>
      <c r="B94" s="104">
        <f>B93</f>
        <v/>
      </c>
      <c r="C94" s="104" t="inlineStr">
        <is>
          <t>INSTALAÇÕES DE TELECOMUNICAÇÃO</t>
        </is>
      </c>
      <c r="D94" s="104" t="inlineStr">
        <is>
          <t>CONECTORES E BUCHAS</t>
        </is>
      </c>
      <c r="E94" s="104" t="inlineStr">
        <is>
          <t>Conector box e arruela - Alumínio padrão</t>
        </is>
      </c>
      <c r="F94" s="105" t="n">
        <v>41</v>
      </c>
      <c r="G94" s="105" t="n">
        <v>1</v>
      </c>
      <c r="H94" s="106" t="n">
        <v>0</v>
      </c>
      <c r="I94" s="107">
        <f>(F94+H94*F94)*G94</f>
        <v/>
      </c>
      <c r="J94" s="105" t="inlineStr">
        <is>
          <t>un</t>
        </is>
      </c>
      <c r="K94" s="108" t="n">
        <v>0</v>
      </c>
      <c r="L94" s="109">
        <f>IF(SUM(F94:K94)=0,SUMIFS($L95:$L$535,$B95:$B$535,$B94,$A95:$A$535,$A94),I94*K94)</f>
        <v/>
      </c>
    </row>
    <row r="95">
      <c r="A95" s="104">
        <f>A94</f>
        <v/>
      </c>
      <c r="B95" s="104">
        <f>B94</f>
        <v/>
      </c>
      <c r="C95" s="104" t="inlineStr">
        <is>
          <t>INSTALAÇÕES DE TELECOMUNICAÇÃO</t>
        </is>
      </c>
      <c r="D95" s="104" t="inlineStr">
        <is>
          <t>CONECTORES E BUCHAS</t>
        </is>
      </c>
      <c r="E95" s="104" t="inlineStr">
        <is>
          <t>Bucha terminal simples - Alumínio padrão</t>
        </is>
      </c>
      <c r="F95" s="105" t="n">
        <v>6</v>
      </c>
      <c r="G95" s="105" t="n">
        <v>1</v>
      </c>
      <c r="H95" s="106" t="n">
        <v>0</v>
      </c>
      <c r="I95" s="107">
        <f>(F95+H95*F95)*G95</f>
        <v/>
      </c>
      <c r="J95" s="105" t="inlineStr">
        <is>
          <t>un</t>
        </is>
      </c>
      <c r="K95" s="108" t="n">
        <v>0</v>
      </c>
      <c r="L95" s="109">
        <f>IF(SUM(F95:K95)=0,SUMIFS($L96:$L$535,$B96:$B$535,$B95,$A96:$A$535,$A95),I95*K95)</f>
        <v/>
      </c>
    </row>
    <row r="96">
      <c r="A96" s="104">
        <f>A95</f>
        <v/>
      </c>
      <c r="B96" s="104">
        <f>B95</f>
        <v/>
      </c>
      <c r="C96" s="104" t="inlineStr">
        <is>
          <t>INSTALAÇÕES DE TELECOMUNICAÇÃO</t>
        </is>
      </c>
      <c r="D96" s="104" t="inlineStr">
        <is>
          <t>CONDUTORES TELECOM</t>
        </is>
      </c>
      <c r="E96" s="104" t="inlineStr">
        <is>
          <t>Condutor CFTV</t>
        </is>
      </c>
      <c r="F96" s="105" t="n">
        <v>14</v>
      </c>
      <c r="G96" s="105" t="n">
        <v>1</v>
      </c>
      <c r="H96" s="106" t="n">
        <v>0</v>
      </c>
      <c r="I96" s="107">
        <f>(F96+H96*F96)*G96</f>
        <v/>
      </c>
      <c r="J96" s="105" t="inlineStr">
        <is>
          <t>un</t>
        </is>
      </c>
      <c r="K96" s="108" t="n">
        <v>0</v>
      </c>
      <c r="L96" s="109">
        <f>IF(SUM(F96:K96)=0,SUMIFS($L97:$L$535,$B97:$B$535,$B96,$A97:$A$535,$A96),I96*K96)</f>
        <v/>
      </c>
    </row>
    <row r="97">
      <c r="A97" s="104">
        <f>A96</f>
        <v/>
      </c>
      <c r="B97" s="104">
        <f>B96</f>
        <v/>
      </c>
      <c r="C97" s="104" t="inlineStr">
        <is>
          <t>INSTALAÇÕES DE TELECOMUNICAÇÃO</t>
        </is>
      </c>
      <c r="D97" s="104" t="inlineStr">
        <is>
          <t>CONDUTORES TELECOM</t>
        </is>
      </c>
      <c r="E97" s="104" t="inlineStr">
        <is>
          <t>Condutor Cordplast</t>
        </is>
      </c>
      <c r="F97" s="105" t="n">
        <v>14</v>
      </c>
      <c r="G97" s="105" t="n">
        <v>1</v>
      </c>
      <c r="H97" s="106" t="n">
        <v>0</v>
      </c>
      <c r="I97" s="107">
        <f>(F97+H97*F97)*G97</f>
        <v/>
      </c>
      <c r="J97" s="105" t="inlineStr">
        <is>
          <t>un</t>
        </is>
      </c>
      <c r="K97" s="108" t="n">
        <v>0</v>
      </c>
      <c r="L97" s="109">
        <f>IF(SUM(F97:K97)=0,SUMIFS($L98:$L$535,$B98:$B$535,$B97,$A98:$A$535,$A97),I97*K97)</f>
        <v/>
      </c>
    </row>
    <row r="98" ht="15" customHeight="1" thickBot="1">
      <c r="A98" s="104">
        <f>A97</f>
        <v/>
      </c>
      <c r="B98" s="104">
        <f>B97</f>
        <v/>
      </c>
      <c r="C98" s="104" t="inlineStr">
        <is>
          <t>INSTALAÇÕES DE TELECOMUNICAÇÃO</t>
        </is>
      </c>
      <c r="D98" s="104" t="inlineStr">
        <is>
          <t>PONTOS DE USO</t>
        </is>
      </c>
      <c r="E98" s="104" t="inlineStr">
        <is>
          <t>Caixa 4x2 - Interfone</t>
        </is>
      </c>
      <c r="F98" s="105" t="n">
        <v>8</v>
      </c>
      <c r="G98" s="105" t="n">
        <v>1</v>
      </c>
      <c r="H98" s="106" t="n">
        <v>0</v>
      </c>
      <c r="I98" s="107">
        <f>(F98+H98*F98)*G98</f>
        <v/>
      </c>
      <c r="J98" s="105" t="inlineStr">
        <is>
          <t>un</t>
        </is>
      </c>
      <c r="K98" s="108" t="n">
        <v>0</v>
      </c>
      <c r="L98" s="109">
        <f>IF(SUM(F98:K98)=0,SUMIFS($L99:$L$535,$B99:$B$535,$B98,$A99:$A$535,$A98),I98*K98)</f>
        <v/>
      </c>
    </row>
    <row r="99" ht="15" customHeight="1" thickTop="1">
      <c r="A99" s="104">
        <f>A98</f>
        <v/>
      </c>
      <c r="B99" s="104">
        <f>B98</f>
        <v/>
      </c>
      <c r="C99" s="104" t="inlineStr">
        <is>
          <t>INSTALAÇÕES DE TELECOMUNICAÇÃO</t>
        </is>
      </c>
      <c r="D99" s="104" t="inlineStr">
        <is>
          <t>PONTOS DE USO</t>
        </is>
      </c>
      <c r="E99" s="104" t="inlineStr">
        <is>
          <t>Caixa 4x2 - Câmera CFTV</t>
        </is>
      </c>
      <c r="F99" s="105" t="n">
        <v>7</v>
      </c>
      <c r="G99" s="105" t="n">
        <v>1</v>
      </c>
      <c r="H99" s="106" t="n">
        <v>0</v>
      </c>
      <c r="I99" s="107">
        <f>(F99+H99*F99)*G99</f>
        <v/>
      </c>
      <c r="J99" s="105" t="inlineStr">
        <is>
          <t>un</t>
        </is>
      </c>
      <c r="K99" s="108" t="n">
        <v>0</v>
      </c>
      <c r="L99" s="109">
        <f>IF(SUM(F99:K99)=0,SUMIFS($L100:$L$535,$B100:$B$535,$B99,$A100:$A$535,$A99),I99*K99)</f>
        <v/>
      </c>
    </row>
    <row r="100">
      <c r="A100" s="25" t="inlineStr">
        <is>
          <t>TORRE</t>
        </is>
      </c>
      <c r="B100" s="25" t="inlineStr">
        <is>
          <t>GARAGEM 04</t>
        </is>
      </c>
      <c r="C100" s="26" t="n"/>
      <c r="D100" s="27" t="n"/>
      <c r="E100" s="27" t="n"/>
      <c r="F100" s="69" t="n"/>
      <c r="G100" s="69" t="n"/>
      <c r="H100" s="69" t="n"/>
      <c r="I100" s="70" t="n"/>
      <c r="J100" s="69" t="n"/>
      <c r="K100" s="71" t="n"/>
      <c r="L100" s="72">
        <f>IF(SUM(F55:K55)=0,SUMIFS($L56:$L$535,$B56:$B$535,$B55,$A56:$A$535,$A55),I55*K55)</f>
        <v/>
      </c>
      <c r="M100" s="73" t="n"/>
      <c r="N100" s="91" t="inlineStr">
        <is>
          <t>TORRE</t>
        </is>
      </c>
      <c r="O100" s="92" t="n"/>
      <c r="P100" s="93" t="n"/>
      <c r="Q100" s="93" t="n"/>
      <c r="R100" s="93" t="n"/>
      <c r="S100" s="93" t="n"/>
      <c r="T100" s="93" t="n"/>
      <c r="U100" s="93" t="n"/>
      <c r="V100" s="93" t="n"/>
      <c r="W100" s="93" t="n"/>
      <c r="X100" s="93" t="n"/>
      <c r="Y100" s="93" t="n"/>
      <c r="Z100" s="93" t="n"/>
      <c r="AA100" s="93" t="n"/>
      <c r="AB100" s="93" t="n"/>
      <c r="AC100" s="93" t="n"/>
      <c r="AD100" s="93" t="n"/>
      <c r="AE100" s="93" t="n"/>
      <c r="AF100" s="93" t="n"/>
      <c r="AG100" s="93" t="n"/>
      <c r="AH100" s="93" t="n"/>
      <c r="AI100" s="94" t="n"/>
      <c r="AJ100" s="73" t="n"/>
    </row>
    <row r="101">
      <c r="A101" s="37">
        <f>A55</f>
        <v/>
      </c>
      <c r="B101" s="37">
        <f>B55</f>
        <v/>
      </c>
      <c r="C101" s="37" t="inlineStr">
        <is>
          <t>INSTALAÇÕES DE TELECOMUNICAÇÃO</t>
        </is>
      </c>
      <c r="D101" s="37" t="inlineStr">
        <is>
          <t>CAIXA OCTOGONAL</t>
        </is>
      </c>
      <c r="E101" s="37" t="inlineStr">
        <is>
          <t>Caixa Octogonal Padrão NBR IEC 60670</t>
        </is>
      </c>
      <c r="F101" s="78" t="n">
        <v>38</v>
      </c>
      <c r="G101" s="78" t="n">
        <v>1</v>
      </c>
      <c r="H101" s="79" t="n">
        <v>0</v>
      </c>
      <c r="I101" s="80">
        <f>(F56+H56*F56)*G56</f>
        <v/>
      </c>
      <c r="J101" s="78" t="inlineStr">
        <is>
          <t>pç</t>
        </is>
      </c>
      <c r="K101" s="81" t="n">
        <v>9.800000000000001</v>
      </c>
      <c r="L101" s="82">
        <f>IF(SUM(F56:K56)=0,SUMIFS($L57:$L$535,$B57:$B$535,$B56,$A57:$A$535,$A56),I56*K56)</f>
        <v/>
      </c>
      <c r="N101" s="49" t="inlineStr">
        <is>
          <t>TORRE</t>
        </is>
      </c>
      <c r="O101" s="49" t="n"/>
      <c r="P101" s="50" t="n"/>
      <c r="Q101" s="50" t="n"/>
      <c r="R101" s="49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  <c r="AF101" s="50" t="n"/>
      <c r="AG101" s="50" t="n"/>
      <c r="AH101" s="50" t="n"/>
      <c r="AI101" s="50" t="n"/>
    </row>
    <row r="102">
      <c r="A102" s="37">
        <f>A56</f>
        <v/>
      </c>
      <c r="B102" s="37">
        <f>B56</f>
        <v/>
      </c>
      <c r="C102" s="37" t="inlineStr">
        <is>
          <t>INSTALAÇÕES DE TELECOMUNICAÇÃO</t>
        </is>
      </c>
      <c r="D102" s="37" t="inlineStr">
        <is>
          <t>CAIXA OCTOGONAL</t>
        </is>
      </c>
      <c r="E102" s="37" t="inlineStr">
        <is>
          <t>Placa cega para caixa octogonal Padrão NBR IEC 60670</t>
        </is>
      </c>
      <c r="F102" s="78" t="n">
        <v>2</v>
      </c>
      <c r="G102" s="78" t="n">
        <v>1</v>
      </c>
      <c r="H102" s="79" t="n">
        <v>0</v>
      </c>
      <c r="I102" s="80">
        <f>(F57+H57*F57)*G57</f>
        <v/>
      </c>
      <c r="J102" s="78" t="inlineStr">
        <is>
          <t>pç</t>
        </is>
      </c>
      <c r="K102" s="81" t="n">
        <v>6.5</v>
      </c>
      <c r="L102" s="82">
        <f>IF(SUM(F57:K57)=0,SUMIFS($L58:$L$535,$B58:$B$535,$B57,$A58:$A$535,$A57),I57*K57)</f>
        <v/>
      </c>
      <c r="N102" s="49" t="inlineStr">
        <is>
          <t>TORRE</t>
        </is>
      </c>
      <c r="O102" s="49" t="n"/>
      <c r="P102" s="50" t="n"/>
      <c r="Q102" s="50" t="n"/>
      <c r="R102" s="49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  <c r="AF102" s="50" t="n"/>
      <c r="AG102" s="50" t="n"/>
      <c r="AH102" s="50" t="n"/>
      <c r="AI102" s="50" t="n"/>
    </row>
    <row r="103">
      <c r="A103" s="37">
        <f>A57</f>
        <v/>
      </c>
      <c r="B103" s="37">
        <f>B57</f>
        <v/>
      </c>
      <c r="C103" s="37" t="inlineStr">
        <is>
          <t>INSTALAÇÕES DE TELECOMUNICAÇÃO</t>
        </is>
      </c>
      <c r="D103" s="37" t="inlineStr">
        <is>
          <t>ELETRODUTOS</t>
        </is>
      </c>
      <c r="E103" s="37" t="inlineStr">
        <is>
          <t>PVC Flexível Antichama - NBR 15465 ø1"</t>
        </is>
      </c>
      <c r="F103" s="78" t="n">
        <v>126</v>
      </c>
      <c r="G103" s="78" t="n">
        <v>1</v>
      </c>
      <c r="H103" s="79" t="n">
        <v>0</v>
      </c>
      <c r="I103" s="80">
        <f>(F58+H58*F58)*G58</f>
        <v/>
      </c>
      <c r="J103" s="78" t="inlineStr">
        <is>
          <t>m</t>
        </is>
      </c>
      <c r="K103" s="81" t="n">
        <v>11.9</v>
      </c>
      <c r="L103" s="82">
        <f>IF(SUM(F58:K58)=0,SUMIFS($L59:$L$535,$B59:$B$535,$B58,$A59:$A$535,$A58),I58*K58)</f>
        <v/>
      </c>
      <c r="N103" s="49" t="inlineStr">
        <is>
          <t>TORRE</t>
        </is>
      </c>
      <c r="O103" s="49" t="n"/>
      <c r="P103" s="50" t="n"/>
      <c r="Q103" s="50" t="n"/>
      <c r="R103" s="49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  <c r="AF103" s="50" t="n"/>
      <c r="AG103" s="50" t="n"/>
      <c r="AH103" s="50" t="n"/>
      <c r="AI103" s="50" t="n"/>
    </row>
    <row r="104">
      <c r="A104" s="37">
        <f>A58</f>
        <v/>
      </c>
      <c r="B104" s="37">
        <f>B58</f>
        <v/>
      </c>
      <c r="C104" s="37" t="inlineStr">
        <is>
          <t>INSTALAÇÕES DE TELECOMUNICAÇÃO</t>
        </is>
      </c>
      <c r="D104" s="37" t="inlineStr">
        <is>
          <t>ELETRODUTOS</t>
        </is>
      </c>
      <c r="E104" s="37" t="inlineStr">
        <is>
          <t>PVC Flexível Antichama - NBR 15465 ø3/4"</t>
        </is>
      </c>
      <c r="F104" s="78" t="n">
        <v>84</v>
      </c>
      <c r="G104" s="78" t="n">
        <v>1</v>
      </c>
      <c r="H104" s="79" t="n">
        <v>0</v>
      </c>
      <c r="I104" s="80">
        <f>(F59+H59*F59)*G59</f>
        <v/>
      </c>
      <c r="J104" s="78" t="inlineStr">
        <is>
          <t>m</t>
        </is>
      </c>
      <c r="K104" s="81" t="n">
        <v>7.5</v>
      </c>
      <c r="L104" s="82">
        <f>IF(SUM(F59:K59)=0,SUMIFS($L60:$L$535,$B60:$B$535,$B59,$A60:$A$535,$A59),I59*K59)</f>
        <v/>
      </c>
      <c r="N104" s="49" t="inlineStr">
        <is>
          <t>TORRE</t>
        </is>
      </c>
      <c r="O104" s="49" t="n"/>
      <c r="P104" s="50" t="n"/>
      <c r="Q104" s="50" t="n"/>
      <c r="R104" s="49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  <c r="AF104" s="50" t="n"/>
      <c r="AG104" s="50" t="n"/>
      <c r="AH104" s="50" t="n"/>
      <c r="AI104" s="50" t="n"/>
    </row>
    <row r="105">
      <c r="A105" s="37">
        <f>A59</f>
        <v/>
      </c>
      <c r="B105" s="37">
        <f>B59</f>
        <v/>
      </c>
      <c r="C105" s="37" t="inlineStr">
        <is>
          <t>INSTALAÇÕES DE TELECOMUNICAÇÃO</t>
        </is>
      </c>
      <c r="D105" s="37" t="inlineStr">
        <is>
          <t>QUADROS DE DISTRIBUIÇÃO</t>
        </is>
      </c>
      <c r="E105" s="37" t="inlineStr">
        <is>
          <t>Embutir - 486x510x109mm</t>
        </is>
      </c>
      <c r="F105" s="78" t="n">
        <v>1</v>
      </c>
      <c r="G105" s="78" t="n">
        <v>1</v>
      </c>
      <c r="H105" s="79" t="n">
        <v>0</v>
      </c>
      <c r="I105" s="80">
        <f>(F60+H60*F60)*G60</f>
        <v/>
      </c>
      <c r="J105" s="78" t="inlineStr">
        <is>
          <t>pç</t>
        </is>
      </c>
      <c r="K105" s="81" t="n">
        <v>465</v>
      </c>
      <c r="L105" s="82">
        <f>IF(SUM(F60:K60)=0,SUMIFS($L61:$L$535,$B61:$B$535,$B60,$A61:$A$535,$A60),I60*K60)</f>
        <v/>
      </c>
      <c r="N105" s="49" t="inlineStr">
        <is>
          <t>TORRE</t>
        </is>
      </c>
      <c r="O105" s="49" t="n"/>
      <c r="P105" s="50" t="n"/>
      <c r="Q105" s="50" t="n"/>
      <c r="R105" s="49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  <c r="AF105" s="50" t="n"/>
      <c r="AG105" s="50" t="n"/>
      <c r="AH105" s="50" t="n"/>
      <c r="AI105" s="50" t="n"/>
    </row>
    <row r="106">
      <c r="A106" s="104">
        <f>A105</f>
        <v/>
      </c>
      <c r="B106" s="104">
        <f>B105</f>
        <v/>
      </c>
      <c r="C106" s="104" t="inlineStr">
        <is>
          <t>INSTALAÇÕES DE TELECOMUNICAÇÃO</t>
        </is>
      </c>
      <c r="D106" s="104" t="inlineStr">
        <is>
          <t>ELETRODUTOS</t>
        </is>
      </c>
      <c r="E106" s="104" t="inlineStr">
        <is>
          <t>PVC Flexível Antichama - NBR 15465 ø3"</t>
        </is>
      </c>
      <c r="F106" s="105" t="n">
        <v>12</v>
      </c>
      <c r="G106" s="105" t="n">
        <v>1</v>
      </c>
      <c r="H106" s="106" t="n">
        <v>0</v>
      </c>
      <c r="I106" s="107">
        <f>(F106+H106*F106)*G106</f>
        <v/>
      </c>
      <c r="J106" s="105" t="inlineStr">
        <is>
          <t>m</t>
        </is>
      </c>
      <c r="K106" s="108" t="n">
        <v>0</v>
      </c>
      <c r="L106" s="109">
        <f>IF(SUM(F106:K106)=0,SUMIFS($L107:$L$535,$B107:$B$535,$B106,$A107:$A$535,$A106),I106*K106)</f>
        <v/>
      </c>
    </row>
    <row r="107">
      <c r="A107" s="104">
        <f>A106</f>
        <v/>
      </c>
      <c r="B107" s="104">
        <f>B106</f>
        <v/>
      </c>
      <c r="C107" s="104" t="inlineStr">
        <is>
          <t>INSTALAÇÕES DE TELECOMUNICAÇÃO</t>
        </is>
      </c>
      <c r="D107" s="104" t="inlineStr">
        <is>
          <t>CAIXA DE PASSAGEM</t>
        </is>
      </c>
      <c r="E107" s="104" t="inlineStr">
        <is>
          <t>Cx de passagem de embutir com dimensão de 40x120x15cm</t>
        </is>
      </c>
      <c r="F107" s="105" t="n">
        <v>2</v>
      </c>
      <c r="G107" s="105" t="n">
        <v>1</v>
      </c>
      <c r="H107" s="106" t="n">
        <v>0</v>
      </c>
      <c r="I107" s="107">
        <f>(F107+H107*F107)*G107</f>
        <v/>
      </c>
      <c r="J107" s="105" t="inlineStr">
        <is>
          <t>pç</t>
        </is>
      </c>
      <c r="K107" s="108" t="n">
        <v>0</v>
      </c>
      <c r="L107" s="109">
        <f>IF(SUM(F107:K107)=0,SUMIFS($L108:$L$535,$B108:$B$535,$B107,$A108:$A$535,$A107),I107*K107)</f>
        <v/>
      </c>
    </row>
    <row r="108">
      <c r="A108" s="104">
        <f>A107</f>
        <v/>
      </c>
      <c r="B108" s="104">
        <f>B107</f>
        <v/>
      </c>
      <c r="C108" s="104" t="inlineStr">
        <is>
          <t>INSTALAÇÕES DE TELECOMUNICAÇÃO</t>
        </is>
      </c>
      <c r="D108" s="104" t="inlineStr">
        <is>
          <t>COTOVELOS</t>
        </is>
      </c>
      <c r="E108" s="104" t="inlineStr">
        <is>
          <t>Cotovelo para eletroduto flexível PVC amarelo</t>
        </is>
      </c>
      <c r="F108" s="105" t="n">
        <v>163</v>
      </c>
      <c r="G108" s="105" t="n">
        <v>1</v>
      </c>
      <c r="H108" s="106" t="n">
        <v>0</v>
      </c>
      <c r="I108" s="107">
        <f>(F108+H108*F108)*G108</f>
        <v/>
      </c>
      <c r="J108" s="105" t="inlineStr">
        <is>
          <t>un</t>
        </is>
      </c>
      <c r="K108" s="108" t="n">
        <v>0</v>
      </c>
      <c r="L108" s="109">
        <f>IF(SUM(F108:K108)=0,SUMIFS($L109:$L$535,$B109:$B$535,$B108,$A109:$A$535,$A108),I108*K108)</f>
        <v/>
      </c>
    </row>
    <row r="109">
      <c r="A109" s="104">
        <f>A108</f>
        <v/>
      </c>
      <c r="B109" s="104">
        <f>B108</f>
        <v/>
      </c>
      <c r="C109" s="104" t="inlineStr">
        <is>
          <t>INSTALAÇÕES DE TELECOMUNICAÇÃO</t>
        </is>
      </c>
      <c r="D109" s="104" t="inlineStr">
        <is>
          <t>CONECTORES E BUCHAS</t>
        </is>
      </c>
      <c r="E109" s="104" t="inlineStr">
        <is>
          <t>Conector box e arruela - Alumínio padrão</t>
        </is>
      </c>
      <c r="F109" s="105" t="n">
        <v>49</v>
      </c>
      <c r="G109" s="105" t="n">
        <v>1</v>
      </c>
      <c r="H109" s="106" t="n">
        <v>0</v>
      </c>
      <c r="I109" s="107">
        <f>(F109+H109*F109)*G109</f>
        <v/>
      </c>
      <c r="J109" s="105" t="inlineStr">
        <is>
          <t>un</t>
        </is>
      </c>
      <c r="K109" s="108" t="n">
        <v>0</v>
      </c>
      <c r="L109" s="109">
        <f>IF(SUM(F109:K109)=0,SUMIFS($L110:$L$535,$B110:$B$535,$B109,$A110:$A$535,$A109),I109*K109)</f>
        <v/>
      </c>
    </row>
    <row r="110">
      <c r="A110" s="104">
        <f>A109</f>
        <v/>
      </c>
      <c r="B110" s="104">
        <f>B109</f>
        <v/>
      </c>
      <c r="C110" s="104" t="inlineStr">
        <is>
          <t>INSTALAÇÕES DE TELECOMUNICAÇÃO</t>
        </is>
      </c>
      <c r="D110" s="104" t="inlineStr">
        <is>
          <t>CONECTORES E BUCHAS</t>
        </is>
      </c>
      <c r="E110" s="104" t="inlineStr">
        <is>
          <t>Bucha terminal simples - Alumínio padrão</t>
        </is>
      </c>
      <c r="F110" s="105" t="n">
        <v>12</v>
      </c>
      <c r="G110" s="105" t="n">
        <v>1</v>
      </c>
      <c r="H110" s="106" t="n">
        <v>0</v>
      </c>
      <c r="I110" s="107">
        <f>(F110+H110*F110)*G110</f>
        <v/>
      </c>
      <c r="J110" s="105" t="inlineStr">
        <is>
          <t>un</t>
        </is>
      </c>
      <c r="K110" s="108" t="n">
        <v>0</v>
      </c>
      <c r="L110" s="109">
        <f>IF(SUM(F110:K110)=0,SUMIFS($L111:$L$535,$B111:$B$535,$B110,$A111:$A$535,$A110),I110*K110)</f>
        <v/>
      </c>
    </row>
    <row r="111">
      <c r="A111" s="104">
        <f>A110</f>
        <v/>
      </c>
      <c r="B111" s="104">
        <f>B110</f>
        <v/>
      </c>
      <c r="C111" s="104" t="inlineStr">
        <is>
          <t>INSTALAÇÕES DE TELECOMUNICAÇÃO</t>
        </is>
      </c>
      <c r="D111" s="104" t="inlineStr">
        <is>
          <t>CONDUTORES TELECOM</t>
        </is>
      </c>
      <c r="E111" s="104" t="inlineStr">
        <is>
          <t>Condutor CFTV</t>
        </is>
      </c>
      <c r="F111" s="105" t="n">
        <v>11</v>
      </c>
      <c r="G111" s="105" t="n">
        <v>1</v>
      </c>
      <c r="H111" s="106" t="n">
        <v>0</v>
      </c>
      <c r="I111" s="107">
        <f>(F111+H111*F111)*G111</f>
        <v/>
      </c>
      <c r="J111" s="105" t="inlineStr">
        <is>
          <t>un</t>
        </is>
      </c>
      <c r="K111" s="108" t="n">
        <v>0</v>
      </c>
      <c r="L111" s="109">
        <f>IF(SUM(F111:K111)=0,SUMIFS($L112:$L$535,$B112:$B$535,$B111,$A112:$A$535,$A111),I111*K111)</f>
        <v/>
      </c>
    </row>
    <row r="112">
      <c r="A112" s="104">
        <f>A111</f>
        <v/>
      </c>
      <c r="B112" s="104">
        <f>B111</f>
        <v/>
      </c>
      <c r="C112" s="104" t="inlineStr">
        <is>
          <t>INSTALAÇÕES DE TELECOMUNICAÇÃO</t>
        </is>
      </c>
      <c r="D112" s="104" t="inlineStr">
        <is>
          <t>CONDUTORES TELECOM</t>
        </is>
      </c>
      <c r="E112" s="104" t="inlineStr">
        <is>
          <t>Condutor Cordplast</t>
        </is>
      </c>
      <c r="F112" s="105" t="n">
        <v>11</v>
      </c>
      <c r="G112" s="105" t="n">
        <v>1</v>
      </c>
      <c r="H112" s="106" t="n">
        <v>0</v>
      </c>
      <c r="I112" s="107">
        <f>(F112+H112*F112)*G112</f>
        <v/>
      </c>
      <c r="J112" s="105" t="inlineStr">
        <is>
          <t>un</t>
        </is>
      </c>
      <c r="K112" s="108" t="n">
        <v>0</v>
      </c>
      <c r="L112" s="109">
        <f>IF(SUM(F112:K112)=0,SUMIFS($L113:$L$535,$B113:$B$535,$B112,$A113:$A$535,$A112),I112*K112)</f>
        <v/>
      </c>
    </row>
    <row r="113">
      <c r="A113" s="104">
        <f>A112</f>
        <v/>
      </c>
      <c r="B113" s="104">
        <f>B112</f>
        <v/>
      </c>
      <c r="C113" s="104" t="inlineStr">
        <is>
          <t>INSTALAÇÕES DE TELECOMUNICAÇÃO</t>
        </is>
      </c>
      <c r="D113" s="104" t="inlineStr">
        <is>
          <t>PONTOS DE USO</t>
        </is>
      </c>
      <c r="E113" s="104" t="inlineStr">
        <is>
          <t>Caixa 4x2 - Interfone</t>
        </is>
      </c>
      <c r="F113" s="105" t="n">
        <v>8</v>
      </c>
      <c r="G113" s="105" t="n">
        <v>1</v>
      </c>
      <c r="H113" s="106" t="n">
        <v>0</v>
      </c>
      <c r="I113" s="107">
        <f>(F113+H113*F113)*G113</f>
        <v/>
      </c>
      <c r="J113" s="105" t="inlineStr">
        <is>
          <t>un</t>
        </is>
      </c>
      <c r="K113" s="108" t="n">
        <v>0</v>
      </c>
      <c r="L113" s="109">
        <f>IF(SUM(F113:K113)=0,SUMIFS($L114:$L$535,$B114:$B$535,$B113,$A114:$A$535,$A113),I113*K113)</f>
        <v/>
      </c>
    </row>
    <row r="114">
      <c r="A114" s="104">
        <f>A113</f>
        <v/>
      </c>
      <c r="B114" s="104">
        <f>B113</f>
        <v/>
      </c>
      <c r="C114" s="104" t="inlineStr">
        <is>
          <t>INSTALAÇÕES DE TELECOMUNICAÇÃO</t>
        </is>
      </c>
      <c r="D114" s="104" t="inlineStr">
        <is>
          <t>PONTOS DE USO</t>
        </is>
      </c>
      <c r="E114" s="104" t="inlineStr">
        <is>
          <t>Caixa 4x2 - Câmera CFTV</t>
        </is>
      </c>
      <c r="F114" s="105" t="n">
        <v>6</v>
      </c>
      <c r="G114" s="105" t="n">
        <v>1</v>
      </c>
      <c r="H114" s="106" t="n">
        <v>0</v>
      </c>
      <c r="I114" s="107">
        <f>(F114+H114*F114)*G114</f>
        <v/>
      </c>
      <c r="J114" s="105" t="inlineStr">
        <is>
          <t>un</t>
        </is>
      </c>
      <c r="K114" s="108" t="n">
        <v>0</v>
      </c>
      <c r="L114" s="109">
        <f>IF(SUM(F114:K114)=0,SUMIFS($L115:$L$535,$B115:$B$535,$B114,$A115:$A$535,$A114),I114*K114)</f>
        <v/>
      </c>
    </row>
    <row r="115" ht="15" customHeight="1" thickBot="1">
      <c r="A115" s="25" t="inlineStr">
        <is>
          <t>TORRE</t>
        </is>
      </c>
      <c r="B115" s="25" t="inlineStr">
        <is>
          <t>GARAGEM 05</t>
        </is>
      </c>
      <c r="C115" s="26" t="n"/>
      <c r="D115" s="27" t="n"/>
      <c r="E115" s="27" t="n"/>
      <c r="F115" s="69" t="n"/>
      <c r="G115" s="69" t="n"/>
      <c r="H115" s="69" t="n"/>
      <c r="I115" s="70" t="n"/>
      <c r="J115" s="69" t="n"/>
      <c r="K115" s="71" t="n"/>
      <c r="L115" s="72">
        <f>IF(SUM(F61:K61)=0,SUMIFS($L62:$L$535,$B62:$B$535,$B61,$A62:$A$535,$A61),I61*K61)</f>
        <v/>
      </c>
      <c r="M115" s="73" t="n"/>
      <c r="N115" s="91" t="inlineStr">
        <is>
          <t>TORRE</t>
        </is>
      </c>
      <c r="O115" s="92" t="n"/>
      <c r="P115" s="93" t="n"/>
      <c r="Q115" s="93" t="n"/>
      <c r="R115" s="93" t="n"/>
      <c r="S115" s="93" t="n"/>
      <c r="T115" s="93" t="n"/>
      <c r="U115" s="93" t="n"/>
      <c r="V115" s="93" t="n"/>
      <c r="W115" s="93" t="n"/>
      <c r="X115" s="93" t="n"/>
      <c r="Y115" s="93" t="n"/>
      <c r="Z115" s="93" t="n"/>
      <c r="AA115" s="93" t="n"/>
      <c r="AB115" s="93" t="n"/>
      <c r="AC115" s="93" t="n"/>
      <c r="AD115" s="93" t="n"/>
      <c r="AE115" s="93" t="n"/>
      <c r="AF115" s="93" t="n"/>
      <c r="AG115" s="93" t="n"/>
      <c r="AH115" s="93" t="n"/>
      <c r="AI115" s="94" t="n"/>
      <c r="AJ115" s="73" t="n"/>
    </row>
    <row r="116" ht="15" customHeight="1" thickTop="1">
      <c r="A116" s="37">
        <f>A61</f>
        <v/>
      </c>
      <c r="B116" s="37">
        <f>B61</f>
        <v/>
      </c>
      <c r="C116" s="37" t="inlineStr">
        <is>
          <t>INSTALAÇÕES DE TELECOMUNICAÇÃO</t>
        </is>
      </c>
      <c r="D116" s="37" t="inlineStr">
        <is>
          <t>CAIXA OCTOGONAL</t>
        </is>
      </c>
      <c r="E116" s="37" t="inlineStr">
        <is>
          <t>Caixa Octogonal Padrão NBR IEC 60670</t>
        </is>
      </c>
      <c r="F116" s="78" t="n">
        <v>38</v>
      </c>
      <c r="G116" s="78" t="n">
        <v>1</v>
      </c>
      <c r="H116" s="79" t="n">
        <v>0</v>
      </c>
      <c r="I116" s="80">
        <f>(F62+H62*F62)*G62</f>
        <v/>
      </c>
      <c r="J116" s="78" t="inlineStr">
        <is>
          <t>pç</t>
        </is>
      </c>
      <c r="K116" s="81" t="n">
        <v>9.800000000000001</v>
      </c>
      <c r="L116" s="82">
        <f>IF(SUM(F62:K62)=0,SUMIFS($L63:$L$535,$B63:$B$535,$B62,$A63:$A$535,$A62),I62*K62)</f>
        <v/>
      </c>
      <c r="N116" s="49" t="inlineStr">
        <is>
          <t>TORRE</t>
        </is>
      </c>
      <c r="O116" s="49" t="n"/>
      <c r="P116" s="50" t="n"/>
      <c r="Q116" s="50" t="n"/>
      <c r="R116" s="49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  <c r="AF116" s="50" t="n"/>
      <c r="AG116" s="50" t="n"/>
      <c r="AH116" s="50" t="n"/>
      <c r="AI116" s="50" t="n"/>
    </row>
    <row r="117">
      <c r="A117" s="37">
        <f>A62</f>
        <v/>
      </c>
      <c r="B117" s="37">
        <f>B62</f>
        <v/>
      </c>
      <c r="C117" s="37" t="inlineStr">
        <is>
          <t>INSTALAÇÕES DE TELECOMUNICAÇÃO</t>
        </is>
      </c>
      <c r="D117" s="37" t="inlineStr">
        <is>
          <t>CAIXA OCTOGONAL</t>
        </is>
      </c>
      <c r="E117" s="37" t="inlineStr">
        <is>
          <t>Placa cega para caixa octogonal Padrão NBR IEC 60670</t>
        </is>
      </c>
      <c r="F117" s="78" t="n">
        <v>2</v>
      </c>
      <c r="G117" s="78" t="n">
        <v>1</v>
      </c>
      <c r="H117" s="79" t="n">
        <v>0</v>
      </c>
      <c r="I117" s="80">
        <f>(F63+H63*F63)*G63</f>
        <v/>
      </c>
      <c r="J117" s="78" t="inlineStr">
        <is>
          <t>pç</t>
        </is>
      </c>
      <c r="K117" s="81" t="n">
        <v>6.5</v>
      </c>
      <c r="L117" s="82">
        <f>IF(SUM(F63:K63)=0,SUMIFS($L64:$L$535,$B64:$B$535,$B63,$A64:$A$535,$A63),I63*K63)</f>
        <v/>
      </c>
      <c r="N117" s="49" t="inlineStr">
        <is>
          <t>TORRE</t>
        </is>
      </c>
      <c r="O117" s="49" t="n"/>
      <c r="P117" s="50" t="n"/>
      <c r="Q117" s="50" t="n"/>
      <c r="R117" s="49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  <c r="AF117" s="50" t="n"/>
      <c r="AG117" s="50" t="n"/>
      <c r="AH117" s="50" t="n"/>
      <c r="AI117" s="50" t="n"/>
    </row>
    <row r="118">
      <c r="A118" s="37">
        <f>A63</f>
        <v/>
      </c>
      <c r="B118" s="37">
        <f>B63</f>
        <v/>
      </c>
      <c r="C118" s="37" t="inlineStr">
        <is>
          <t>INSTALAÇÕES DE TELECOMUNICAÇÃO</t>
        </is>
      </c>
      <c r="D118" s="37" t="inlineStr">
        <is>
          <t>ELETRODUTOS</t>
        </is>
      </c>
      <c r="E118" s="37" t="inlineStr">
        <is>
          <t>PVC Flexível Antichama - NBR 15465 ø1"</t>
        </is>
      </c>
      <c r="F118" s="78" t="n">
        <v>112</v>
      </c>
      <c r="G118" s="78" t="n">
        <v>1</v>
      </c>
      <c r="H118" s="79" t="n">
        <v>0</v>
      </c>
      <c r="I118" s="80">
        <f>(F64+H64*F64)*G64</f>
        <v/>
      </c>
      <c r="J118" s="78" t="inlineStr">
        <is>
          <t>m</t>
        </is>
      </c>
      <c r="K118" s="81" t="n">
        <v>11.9</v>
      </c>
      <c r="L118" s="82">
        <f>IF(SUM(F64:K64)=0,SUMIFS($L65:$L$535,$B65:$B$535,$B64,$A65:$A$535,$A64),I64*K64)</f>
        <v/>
      </c>
      <c r="N118" s="49" t="inlineStr">
        <is>
          <t>TORRE</t>
        </is>
      </c>
      <c r="O118" s="49" t="n"/>
      <c r="P118" s="50" t="n"/>
      <c r="Q118" s="50" t="n"/>
      <c r="R118" s="49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  <c r="AF118" s="50" t="n"/>
      <c r="AG118" s="50" t="n"/>
      <c r="AH118" s="50" t="n"/>
      <c r="AI118" s="50" t="n"/>
    </row>
    <row r="119">
      <c r="A119" s="37">
        <f>A64</f>
        <v/>
      </c>
      <c r="B119" s="37">
        <f>B64</f>
        <v/>
      </c>
      <c r="C119" s="37" t="inlineStr">
        <is>
          <t>INSTALAÇÕES DE TELECOMUNICAÇÃO</t>
        </is>
      </c>
      <c r="D119" s="37" t="inlineStr">
        <is>
          <t>ELETRODUTOS</t>
        </is>
      </c>
      <c r="E119" s="37" t="inlineStr">
        <is>
          <t>PVC Flexível Antichama - NBR 15465 ø3/4"</t>
        </is>
      </c>
      <c r="F119" s="78" t="n">
        <v>74</v>
      </c>
      <c r="G119" s="78" t="n">
        <v>1</v>
      </c>
      <c r="H119" s="79" t="n">
        <v>0</v>
      </c>
      <c r="I119" s="80">
        <f>(F65+H65*F65)*G65</f>
        <v/>
      </c>
      <c r="J119" s="78" t="inlineStr">
        <is>
          <t>m</t>
        </is>
      </c>
      <c r="K119" s="81" t="n">
        <v>7.5</v>
      </c>
      <c r="L119" s="82">
        <f>IF(SUM(F65:K65)=0,SUMIFS($L66:$L$535,$B66:$B$535,$B65,$A66:$A$535,$A65),I65*K65)</f>
        <v/>
      </c>
      <c r="N119" s="49" t="inlineStr">
        <is>
          <t>TORRE</t>
        </is>
      </c>
      <c r="O119" s="49" t="n"/>
      <c r="P119" s="50" t="n"/>
      <c r="Q119" s="50" t="n"/>
      <c r="R119" s="49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  <c r="AF119" s="50" t="n"/>
      <c r="AG119" s="50" t="n"/>
      <c r="AH119" s="50" t="n"/>
      <c r="AI119" s="50" t="n"/>
    </row>
    <row r="120">
      <c r="A120" s="37">
        <f>A65</f>
        <v/>
      </c>
      <c r="B120" s="37">
        <f>B65</f>
        <v/>
      </c>
      <c r="C120" s="37" t="inlineStr">
        <is>
          <t>INSTALAÇÕES DE TELECOMUNICAÇÃO</t>
        </is>
      </c>
      <c r="D120" s="37" t="inlineStr">
        <is>
          <t>QUADROS DE DISTRIBUIÇÃO</t>
        </is>
      </c>
      <c r="E120" s="37" t="inlineStr">
        <is>
          <t>Embutir - 486x510x109mm</t>
        </is>
      </c>
      <c r="F120" s="78" t="n">
        <v>1</v>
      </c>
      <c r="G120" s="78" t="n">
        <v>1</v>
      </c>
      <c r="H120" s="79" t="n">
        <v>0</v>
      </c>
      <c r="I120" s="80">
        <f>(F66+H66*F66)*G66</f>
        <v/>
      </c>
      <c r="J120" s="78" t="inlineStr">
        <is>
          <t>pç</t>
        </is>
      </c>
      <c r="K120" s="81" t="n">
        <v>465</v>
      </c>
      <c r="L120" s="82">
        <f>IF(SUM(F66:K66)=0,SUMIFS($L67:$L$535,$B67:$B$535,$B66,$A67:$A$535,$A66),I66*K66)</f>
        <v/>
      </c>
      <c r="N120" s="49" t="inlineStr">
        <is>
          <t>TORRE</t>
        </is>
      </c>
      <c r="O120" s="49" t="n"/>
      <c r="P120" s="50" t="n"/>
      <c r="Q120" s="50" t="n"/>
      <c r="R120" s="49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  <c r="AF120" s="50" t="n"/>
      <c r="AG120" s="50" t="n"/>
      <c r="AH120" s="50" t="n"/>
      <c r="AI120" s="50" t="n"/>
    </row>
    <row r="121">
      <c r="A121" s="104">
        <f>A120</f>
        <v/>
      </c>
      <c r="B121" s="104">
        <f>B120</f>
        <v/>
      </c>
      <c r="C121" s="104" t="inlineStr">
        <is>
          <t>INSTALAÇÕES DE TELECOMUNICAÇÃO</t>
        </is>
      </c>
      <c r="D121" s="104" t="inlineStr">
        <is>
          <t>ELETRODUTOS</t>
        </is>
      </c>
      <c r="E121" s="104" t="inlineStr">
        <is>
          <t>PVC Flexível Antichama - NBR 15465 ø3"</t>
        </is>
      </c>
      <c r="F121" s="105" t="n">
        <v>12</v>
      </c>
      <c r="G121" s="105" t="n">
        <v>1</v>
      </c>
      <c r="H121" s="106" t="n">
        <v>0</v>
      </c>
      <c r="I121" s="107">
        <f>(F121+H121*F121)*G121</f>
        <v/>
      </c>
      <c r="J121" s="105" t="inlineStr">
        <is>
          <t>m</t>
        </is>
      </c>
      <c r="K121" s="108" t="n">
        <v>0</v>
      </c>
      <c r="L121" s="109">
        <f>IF(SUM(F121:K121)=0,SUMIFS($L122:$L$535,$B122:$B$535,$B121,$A122:$A$535,$A121),I121*K121)</f>
        <v/>
      </c>
    </row>
    <row r="122">
      <c r="A122" s="104">
        <f>A121</f>
        <v/>
      </c>
      <c r="B122" s="104">
        <f>B121</f>
        <v/>
      </c>
      <c r="C122" s="104" t="inlineStr">
        <is>
          <t>INSTALAÇÕES DE TELECOMUNICAÇÃO</t>
        </is>
      </c>
      <c r="D122" s="104" t="inlineStr">
        <is>
          <t>CAIXA DE PASSAGEM</t>
        </is>
      </c>
      <c r="E122" s="104" t="inlineStr">
        <is>
          <t>Cx de passagem de embutir com dimensão de 40x120x15cm</t>
        </is>
      </c>
      <c r="F122" s="105" t="n">
        <v>2</v>
      </c>
      <c r="G122" s="105" t="n">
        <v>1</v>
      </c>
      <c r="H122" s="106" t="n">
        <v>0</v>
      </c>
      <c r="I122" s="107">
        <f>(F122+H122*F122)*G122</f>
        <v/>
      </c>
      <c r="J122" s="105" t="inlineStr">
        <is>
          <t>pç</t>
        </is>
      </c>
      <c r="K122" s="108" t="n">
        <v>0</v>
      </c>
      <c r="L122" s="109">
        <f>IF(SUM(F122:K122)=0,SUMIFS($L123:$L$535,$B123:$B$535,$B122,$A123:$A$535,$A122),I122*K122)</f>
        <v/>
      </c>
    </row>
    <row r="123">
      <c r="A123" s="104">
        <f>A122</f>
        <v/>
      </c>
      <c r="B123" s="104">
        <f>B122</f>
        <v/>
      </c>
      <c r="C123" s="104" t="inlineStr">
        <is>
          <t>INSTALAÇÕES DE TELECOMUNICAÇÃO</t>
        </is>
      </c>
      <c r="D123" s="104" t="inlineStr">
        <is>
          <t>COTOVELOS</t>
        </is>
      </c>
      <c r="E123" s="104" t="inlineStr">
        <is>
          <t>Cotovelo para eletroduto flexível PVC amarelo</t>
        </is>
      </c>
      <c r="F123" s="105" t="n">
        <v>139</v>
      </c>
      <c r="G123" s="105" t="n">
        <v>1</v>
      </c>
      <c r="H123" s="106" t="n">
        <v>0</v>
      </c>
      <c r="I123" s="107">
        <f>(F123+H123*F123)*G123</f>
        <v/>
      </c>
      <c r="J123" s="105" t="inlineStr">
        <is>
          <t>un</t>
        </is>
      </c>
      <c r="K123" s="108" t="n">
        <v>0</v>
      </c>
      <c r="L123" s="109">
        <f>IF(SUM(F123:K123)=0,SUMIFS($L124:$L$535,$B124:$B$535,$B123,$A124:$A$535,$A123),I123*K123)</f>
        <v/>
      </c>
    </row>
    <row r="124">
      <c r="A124" s="104">
        <f>A123</f>
        <v/>
      </c>
      <c r="B124" s="104">
        <f>B123</f>
        <v/>
      </c>
      <c r="C124" s="104" t="inlineStr">
        <is>
          <t>INSTALAÇÕES DE TELECOMUNICAÇÃO</t>
        </is>
      </c>
      <c r="D124" s="104" t="inlineStr">
        <is>
          <t>CONECTORES E BUCHAS</t>
        </is>
      </c>
      <c r="E124" s="104" t="inlineStr">
        <is>
          <t>Conector box e arruela - Alumínio padrão</t>
        </is>
      </c>
      <c r="F124" s="105" t="n">
        <v>60</v>
      </c>
      <c r="G124" s="105" t="n">
        <v>1</v>
      </c>
      <c r="H124" s="106" t="n">
        <v>0</v>
      </c>
      <c r="I124" s="107">
        <f>(F124+H124*F124)*G124</f>
        <v/>
      </c>
      <c r="J124" s="105" t="inlineStr">
        <is>
          <t>un</t>
        </is>
      </c>
      <c r="K124" s="108" t="n">
        <v>0</v>
      </c>
      <c r="L124" s="109">
        <f>IF(SUM(F124:K124)=0,SUMIFS($L125:$L$535,$B125:$B$535,$B124,$A125:$A$535,$A124),I124*K124)</f>
        <v/>
      </c>
    </row>
    <row r="125">
      <c r="A125" s="104">
        <f>A124</f>
        <v/>
      </c>
      <c r="B125" s="104">
        <f>B124</f>
        <v/>
      </c>
      <c r="C125" s="104" t="inlineStr">
        <is>
          <t>INSTALAÇÕES DE TELECOMUNICAÇÃO</t>
        </is>
      </c>
      <c r="D125" s="104" t="inlineStr">
        <is>
          <t>CONECTORES E BUCHAS</t>
        </is>
      </c>
      <c r="E125" s="104" t="inlineStr">
        <is>
          <t>Bucha terminal simples - Alumínio padrão</t>
        </is>
      </c>
      <c r="F125" s="105" t="n">
        <v>13</v>
      </c>
      <c r="G125" s="105" t="n">
        <v>1</v>
      </c>
      <c r="H125" s="106" t="n">
        <v>0</v>
      </c>
      <c r="I125" s="107">
        <f>(F125+H125*F125)*G125</f>
        <v/>
      </c>
      <c r="J125" s="105" t="inlineStr">
        <is>
          <t>un</t>
        </is>
      </c>
      <c r="K125" s="108" t="n">
        <v>0</v>
      </c>
      <c r="L125" s="109">
        <f>IF(SUM(F125:K125)=0,SUMIFS($L126:$L$535,$B126:$B$535,$B125,$A126:$A$535,$A125),I125*K125)</f>
        <v/>
      </c>
    </row>
    <row r="126">
      <c r="A126" s="104">
        <f>A125</f>
        <v/>
      </c>
      <c r="B126" s="104">
        <f>B125</f>
        <v/>
      </c>
      <c r="C126" s="104" t="inlineStr">
        <is>
          <t>INSTALAÇÕES DE TELECOMUNICAÇÃO</t>
        </is>
      </c>
      <c r="D126" s="104" t="inlineStr">
        <is>
          <t>CONDUTORES TELECOM</t>
        </is>
      </c>
      <c r="E126" s="104" t="inlineStr">
        <is>
          <t>Condutor CFTV</t>
        </is>
      </c>
      <c r="F126" s="105" t="n">
        <v>8</v>
      </c>
      <c r="G126" s="105" t="n">
        <v>1</v>
      </c>
      <c r="H126" s="106" t="n">
        <v>0</v>
      </c>
      <c r="I126" s="107">
        <f>(F126+H126*F126)*G126</f>
        <v/>
      </c>
      <c r="J126" s="105" t="inlineStr">
        <is>
          <t>un</t>
        </is>
      </c>
      <c r="K126" s="108" t="n">
        <v>0</v>
      </c>
      <c r="L126" s="109">
        <f>IF(SUM(F126:K126)=0,SUMIFS($L127:$L$535,$B127:$B$535,$B126,$A127:$A$535,$A126),I126*K126)</f>
        <v/>
      </c>
    </row>
    <row r="127">
      <c r="A127" s="104">
        <f>A126</f>
        <v/>
      </c>
      <c r="B127" s="104">
        <f>B126</f>
        <v/>
      </c>
      <c r="C127" s="104" t="inlineStr">
        <is>
          <t>INSTALAÇÕES DE TELECOMUNICAÇÃO</t>
        </is>
      </c>
      <c r="D127" s="104" t="inlineStr">
        <is>
          <t>CONDUTORES TELECOM</t>
        </is>
      </c>
      <c r="E127" s="104" t="inlineStr">
        <is>
          <t>Condutor Cordplast</t>
        </is>
      </c>
      <c r="F127" s="105" t="n">
        <v>8</v>
      </c>
      <c r="G127" s="105" t="n">
        <v>1</v>
      </c>
      <c r="H127" s="106" t="n">
        <v>0</v>
      </c>
      <c r="I127" s="107">
        <f>(F127+H127*F127)*G127</f>
        <v/>
      </c>
      <c r="J127" s="105" t="inlineStr">
        <is>
          <t>un</t>
        </is>
      </c>
      <c r="K127" s="108" t="n">
        <v>0</v>
      </c>
      <c r="L127" s="109">
        <f>IF(SUM(F127:K127)=0,SUMIFS($L128:$L$535,$B128:$B$535,$B127,$A128:$A$535,$A127),I127*K127)</f>
        <v/>
      </c>
    </row>
    <row r="128">
      <c r="A128" s="104">
        <f>A127</f>
        <v/>
      </c>
      <c r="B128" s="104">
        <f>B127</f>
        <v/>
      </c>
      <c r="C128" s="104" t="inlineStr">
        <is>
          <t>INSTALAÇÕES DE TELECOMUNICAÇÃO</t>
        </is>
      </c>
      <c r="D128" s="104" t="inlineStr">
        <is>
          <t>PONTOS DE USO</t>
        </is>
      </c>
      <c r="E128" s="104" t="inlineStr">
        <is>
          <t>Caixa 4x2 - Interfone</t>
        </is>
      </c>
      <c r="F128" s="105" t="n">
        <v>8</v>
      </c>
      <c r="G128" s="105" t="n">
        <v>1</v>
      </c>
      <c r="H128" s="106" t="n">
        <v>0</v>
      </c>
      <c r="I128" s="107">
        <f>(F128+H128*F128)*G128</f>
        <v/>
      </c>
      <c r="J128" s="105" t="inlineStr">
        <is>
          <t>un</t>
        </is>
      </c>
      <c r="K128" s="108" t="n">
        <v>0</v>
      </c>
      <c r="L128" s="109">
        <f>IF(SUM(F128:K128)=0,SUMIFS($L129:$L$535,$B129:$B$535,$B128,$A129:$A$535,$A128),I128*K128)</f>
        <v/>
      </c>
    </row>
    <row r="129">
      <c r="A129" s="104">
        <f>A128</f>
        <v/>
      </c>
      <c r="B129" s="104">
        <f>B128</f>
        <v/>
      </c>
      <c r="C129" s="104" t="inlineStr">
        <is>
          <t>INSTALAÇÕES DE TELECOMUNICAÇÃO</t>
        </is>
      </c>
      <c r="D129" s="104" t="inlineStr">
        <is>
          <t>PONTOS DE USO</t>
        </is>
      </c>
      <c r="E129" s="104" t="inlineStr">
        <is>
          <t>Caixa 4x2 - Câmera CFTV</t>
        </is>
      </c>
      <c r="F129" s="105" t="n">
        <v>5</v>
      </c>
      <c r="G129" s="105" t="n">
        <v>1</v>
      </c>
      <c r="H129" s="106" t="n">
        <v>0</v>
      </c>
      <c r="I129" s="107">
        <f>(F129+H129*F129)*G129</f>
        <v/>
      </c>
      <c r="J129" s="105" t="inlineStr">
        <is>
          <t>un</t>
        </is>
      </c>
      <c r="K129" s="108" t="n">
        <v>0</v>
      </c>
      <c r="L129" s="109">
        <f>IF(SUM(F129:K129)=0,SUMIFS($L130:$L$535,$B130:$B$535,$B129,$A130:$A$535,$A129),I129*K129)</f>
        <v/>
      </c>
    </row>
    <row r="130">
      <c r="A130" s="25" t="inlineStr">
        <is>
          <t>TORRE</t>
        </is>
      </c>
      <c r="B130" s="25" t="inlineStr">
        <is>
          <t>LAZER</t>
        </is>
      </c>
      <c r="C130" s="26" t="n"/>
      <c r="D130" s="27" t="n"/>
      <c r="E130" s="27" t="n"/>
      <c r="F130" s="69" t="n"/>
      <c r="G130" s="69" t="n"/>
      <c r="H130" s="69" t="n"/>
      <c r="I130" s="70" t="n"/>
      <c r="J130" s="69" t="n"/>
      <c r="K130" s="71" t="n"/>
      <c r="L130" s="72">
        <f>IF(SUM(F67:K67)=0,SUMIFS($L68:$L$535,$B68:$B$535,$B67,$A68:$A$535,$A67),I67*K67)</f>
        <v/>
      </c>
      <c r="M130" s="73" t="n"/>
      <c r="N130" s="91" t="inlineStr">
        <is>
          <t>TORRE</t>
        </is>
      </c>
      <c r="O130" s="92" t="n"/>
      <c r="P130" s="93" t="n"/>
      <c r="Q130" s="93" t="n"/>
      <c r="R130" s="93" t="n"/>
      <c r="S130" s="93" t="n"/>
      <c r="T130" s="93" t="n"/>
      <c r="U130" s="93" t="n"/>
      <c r="V130" s="93" t="n"/>
      <c r="W130" s="93" t="n"/>
      <c r="X130" s="93" t="n"/>
      <c r="Y130" s="93" t="n"/>
      <c r="Z130" s="93" t="n"/>
      <c r="AA130" s="93" t="n"/>
      <c r="AB130" s="93" t="n"/>
      <c r="AC130" s="93" t="n"/>
      <c r="AD130" s="93" t="n"/>
      <c r="AE130" s="93" t="n"/>
      <c r="AF130" s="93" t="n"/>
      <c r="AG130" s="93" t="n"/>
      <c r="AH130" s="93" t="n"/>
      <c r="AI130" s="94" t="n"/>
      <c r="AJ130" s="73" t="n"/>
    </row>
    <row r="131">
      <c r="A131" s="37">
        <f>A67</f>
        <v/>
      </c>
      <c r="B131" s="37">
        <f>B67</f>
        <v/>
      </c>
      <c r="C131" s="37" t="inlineStr">
        <is>
          <t>INSTALAÇÕES DE TELECOMUNICAÇÃO</t>
        </is>
      </c>
      <c r="D131" s="37" t="inlineStr">
        <is>
          <t>CAIXA OCTOGONAL</t>
        </is>
      </c>
      <c r="E131" s="37" t="inlineStr">
        <is>
          <t>Caixa Octogonal Padrão NBR IEC 60670</t>
        </is>
      </c>
      <c r="F131" s="78" t="n">
        <v>55</v>
      </c>
      <c r="G131" s="78" t="n">
        <v>1</v>
      </c>
      <c r="H131" s="79" t="n">
        <v>0</v>
      </c>
      <c r="I131" s="80">
        <f>(F68+H68*F68)*G68</f>
        <v/>
      </c>
      <c r="J131" s="78" t="inlineStr">
        <is>
          <t>pç</t>
        </is>
      </c>
      <c r="K131" s="81" t="n">
        <v>9.800000000000001</v>
      </c>
      <c r="L131" s="82">
        <f>IF(SUM(F68:K68)=0,SUMIFS($L69:$L$535,$B69:$B$535,$B68,$A69:$A$535,$A68),I68*K68)</f>
        <v/>
      </c>
      <c r="N131" s="49" t="inlineStr">
        <is>
          <t>TORRE</t>
        </is>
      </c>
      <c r="O131" s="49" t="n"/>
      <c r="P131" s="50" t="n"/>
      <c r="Q131" s="50" t="n"/>
      <c r="R131" s="49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  <c r="AH131" s="50" t="n"/>
      <c r="AI131" s="50" t="n"/>
    </row>
    <row r="132" ht="15" customHeight="1" thickBot="1">
      <c r="A132" s="37">
        <f>A68</f>
        <v/>
      </c>
      <c r="B132" s="37">
        <f>B68</f>
        <v/>
      </c>
      <c r="C132" s="37" t="inlineStr">
        <is>
          <t>INSTALAÇÕES DE TELECOMUNICAÇÃO</t>
        </is>
      </c>
      <c r="D132" s="37" t="inlineStr">
        <is>
          <t>CAIXA OCTOGONAL</t>
        </is>
      </c>
      <c r="E132" s="37" t="inlineStr">
        <is>
          <t>Placa cega para caixa octogonal Padrão NBR IEC 60670</t>
        </is>
      </c>
      <c r="F132" s="78" t="n">
        <v>8</v>
      </c>
      <c r="G132" s="78" t="n">
        <v>1</v>
      </c>
      <c r="H132" s="79" t="n">
        <v>0</v>
      </c>
      <c r="I132" s="80">
        <f>(F69+H69*F69)*G69</f>
        <v/>
      </c>
      <c r="J132" s="78" t="inlineStr">
        <is>
          <t>pç</t>
        </is>
      </c>
      <c r="K132" s="81" t="n">
        <v>6.5</v>
      </c>
      <c r="L132" s="82">
        <f>IF(SUM(F69:K69)=0,SUMIFS($L70:$L$535,$B70:$B$535,$B69,$A70:$A$535,$A69),I69*K69)</f>
        <v/>
      </c>
      <c r="N132" s="49" t="inlineStr">
        <is>
          <t>TORRE</t>
        </is>
      </c>
      <c r="O132" s="49" t="n"/>
      <c r="P132" s="50" t="n"/>
      <c r="Q132" s="50" t="n"/>
      <c r="R132" s="49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  <c r="AF132" s="50" t="n"/>
      <c r="AG132" s="50" t="n"/>
      <c r="AH132" s="50" t="n"/>
      <c r="AI132" s="50" t="n"/>
    </row>
    <row r="133" ht="15" customHeight="1" thickTop="1">
      <c r="A133" s="37">
        <f>A69</f>
        <v/>
      </c>
      <c r="B133" s="37">
        <f>B69</f>
        <v/>
      </c>
      <c r="C133" s="37" t="inlineStr">
        <is>
          <t>INSTALAÇÕES DE TELECOMUNICAÇÃO</t>
        </is>
      </c>
      <c r="D133" s="37" t="inlineStr">
        <is>
          <t>CAIXA 4x2" E 4x4"</t>
        </is>
      </c>
      <c r="E133" s="37" t="inlineStr">
        <is>
          <t>Caixa 4x2" de Embutir em PVC Padrão NBR IEC 60670</t>
        </is>
      </c>
      <c r="F133" s="78" t="n">
        <v>120</v>
      </c>
      <c r="G133" s="78" t="n">
        <v>1</v>
      </c>
      <c r="H133" s="79" t="n">
        <v>0</v>
      </c>
      <c r="I133" s="80">
        <f>(F70+H70*F70)*G70</f>
        <v/>
      </c>
      <c r="J133" s="78" t="inlineStr">
        <is>
          <t>pç</t>
        </is>
      </c>
      <c r="K133" s="81" t="n">
        <v>5.9</v>
      </c>
      <c r="L133" s="82">
        <f>IF(SUM(F70:K70)=0,SUMIFS($L71:$L$535,$B71:$B$535,$B70,$A71:$A$535,$A70),I70*K70)</f>
        <v/>
      </c>
      <c r="N133" s="49" t="inlineStr">
        <is>
          <t>TORRE</t>
        </is>
      </c>
      <c r="O133" s="49" t="n"/>
      <c r="P133" s="50" t="n"/>
      <c r="Q133" s="50" t="n"/>
      <c r="R133" s="49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  <c r="AF133" s="50" t="n"/>
      <c r="AG133" s="50" t="n"/>
      <c r="AH133" s="50" t="n"/>
      <c r="AI133" s="50" t="n"/>
    </row>
    <row r="134">
      <c r="A134" s="37">
        <f>A70</f>
        <v/>
      </c>
      <c r="B134" s="37">
        <f>B70</f>
        <v/>
      </c>
      <c r="C134" s="37" t="inlineStr">
        <is>
          <t>INSTALAÇÕES DE TELECOMUNICAÇÃO</t>
        </is>
      </c>
      <c r="D134" s="37" t="inlineStr">
        <is>
          <t>CAIXA 4x2" E 4x4"</t>
        </is>
      </c>
      <c r="E134" s="37" t="inlineStr">
        <is>
          <t>Caixa 4x4" de Embutir em PVC Padrão NBR IEC 60670</t>
        </is>
      </c>
      <c r="F134" s="78" t="n">
        <v>45</v>
      </c>
      <c r="G134" s="78" t="n">
        <v>1</v>
      </c>
      <c r="H134" s="79" t="n">
        <v>0</v>
      </c>
      <c r="I134" s="80">
        <f>(F71+H71*F71)*G71</f>
        <v/>
      </c>
      <c r="J134" s="78" t="inlineStr">
        <is>
          <t>pç</t>
        </is>
      </c>
      <c r="K134" s="81" t="n">
        <v>8.9</v>
      </c>
      <c r="L134" s="82">
        <f>IF(SUM(F71:K71)=0,SUMIFS($L72:$L$535,$B72:$B$535,$B71,$A72:$A$535,$A71),I71*K71)</f>
        <v/>
      </c>
      <c r="N134" s="49" t="inlineStr">
        <is>
          <t>TORRE</t>
        </is>
      </c>
      <c r="O134" s="49" t="n"/>
      <c r="P134" s="50" t="n"/>
      <c r="Q134" s="50" t="n"/>
      <c r="R134" s="49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  <c r="AF134" s="50" t="n"/>
      <c r="AG134" s="50" t="n"/>
      <c r="AH134" s="50" t="n"/>
      <c r="AI134" s="50" t="n"/>
    </row>
    <row r="135">
      <c r="A135" s="37">
        <f>A71</f>
        <v/>
      </c>
      <c r="B135" s="37">
        <f>B71</f>
        <v/>
      </c>
      <c r="C135" s="37" t="inlineStr">
        <is>
          <t>INSTALAÇÕES DE TELECOMUNICAÇÃO</t>
        </is>
      </c>
      <c r="D135" s="37" t="inlineStr">
        <is>
          <t>CAIXA 4x2" E 4x4"</t>
        </is>
      </c>
      <c r="E135" s="37" t="inlineStr">
        <is>
          <t>Placa 4x2" cega Padrão NBR IEC 60670</t>
        </is>
      </c>
      <c r="F135" s="78" t="n">
        <v>55</v>
      </c>
      <c r="G135" s="78" t="n">
        <v>1</v>
      </c>
      <c r="H135" s="79" t="n">
        <v>0</v>
      </c>
      <c r="I135" s="80">
        <f>(F72+H72*F72)*G72</f>
        <v/>
      </c>
      <c r="J135" s="78" t="inlineStr">
        <is>
          <t>pç</t>
        </is>
      </c>
      <c r="K135" s="81" t="n">
        <v>4.5</v>
      </c>
      <c r="L135" s="82">
        <f>IF(SUM(F72:K72)=0,SUMIFS($L73:$L$535,$B73:$B$535,$B72,$A73:$A$535,$A72),I72*K72)</f>
        <v/>
      </c>
      <c r="N135" s="49" t="inlineStr">
        <is>
          <t>TORRE</t>
        </is>
      </c>
      <c r="O135" s="49" t="n"/>
      <c r="P135" s="50" t="n"/>
      <c r="Q135" s="50" t="n"/>
      <c r="R135" s="49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  <c r="AF135" s="50" t="n"/>
      <c r="AG135" s="50" t="n"/>
      <c r="AH135" s="50" t="n"/>
      <c r="AI135" s="50" t="n"/>
    </row>
    <row r="136">
      <c r="A136" s="37">
        <f>A72</f>
        <v/>
      </c>
      <c r="B136" s="37">
        <f>B72</f>
        <v/>
      </c>
      <c r="C136" s="37" t="inlineStr">
        <is>
          <t>INSTALAÇÕES DE TELECOMUNICAÇÃO</t>
        </is>
      </c>
      <c r="D136" s="37" t="inlineStr">
        <is>
          <t>CAIXA 4x2" E 4x4"</t>
        </is>
      </c>
      <c r="E136" s="37" t="inlineStr">
        <is>
          <t>Placa 4x2" para 2 funções Padrão NBR IEC 60670</t>
        </is>
      </c>
      <c r="F136" s="78" t="n">
        <v>8</v>
      </c>
      <c r="G136" s="78" t="n">
        <v>1</v>
      </c>
      <c r="H136" s="79" t="n">
        <v>0</v>
      </c>
      <c r="I136" s="80">
        <f>(F73+H73*F73)*G73</f>
        <v/>
      </c>
      <c r="J136" s="78" t="inlineStr">
        <is>
          <t>pç</t>
        </is>
      </c>
      <c r="K136" s="81" t="n">
        <v>7.8</v>
      </c>
      <c r="L136" s="82">
        <f>IF(SUM(F73:K73)=0,SUMIFS($L74:$L$535,$B74:$B$535,$B73,$A74:$A$535,$A73),I73*K73)</f>
        <v/>
      </c>
      <c r="N136" s="49" t="inlineStr">
        <is>
          <t>TORRE</t>
        </is>
      </c>
      <c r="O136" s="49" t="n"/>
      <c r="P136" s="50" t="n"/>
      <c r="Q136" s="50" t="n"/>
      <c r="R136" s="49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  <c r="AF136" s="50" t="n"/>
      <c r="AG136" s="50" t="n"/>
      <c r="AH136" s="50" t="n"/>
      <c r="AI136" s="50" t="n"/>
    </row>
    <row r="137">
      <c r="A137" s="37">
        <f>A73</f>
        <v/>
      </c>
      <c r="B137" s="37">
        <f>B73</f>
        <v/>
      </c>
      <c r="C137" s="37" t="inlineStr">
        <is>
          <t>INSTALAÇÕES DE TELECOMUNICAÇÃO</t>
        </is>
      </c>
      <c r="D137" s="37" t="inlineStr">
        <is>
          <t>CAIXA 4x2" E 4x4"</t>
        </is>
      </c>
      <c r="E137" s="37" t="inlineStr">
        <is>
          <t>Placa 4x4" cega Padrão NBR IEC 60670</t>
        </is>
      </c>
      <c r="F137" s="78" t="n">
        <v>45</v>
      </c>
      <c r="G137" s="78" t="n">
        <v>1</v>
      </c>
      <c r="H137" s="79" t="n">
        <v>0</v>
      </c>
      <c r="I137" s="80">
        <f>(F74+H74*F74)*G74</f>
        <v/>
      </c>
      <c r="J137" s="78" t="inlineStr">
        <is>
          <t>pç</t>
        </is>
      </c>
      <c r="K137" s="81" t="n">
        <v>7.5</v>
      </c>
      <c r="L137" s="82">
        <f>IF(SUM(F74:K74)=0,SUMIFS($L75:$L$535,$B75:$B$535,$B74,$A75:$A$535,$A74),I74*K74)</f>
        <v/>
      </c>
      <c r="N137" s="49" t="inlineStr">
        <is>
          <t>TORRE</t>
        </is>
      </c>
      <c r="O137" s="49" t="n"/>
      <c r="P137" s="50" t="n"/>
      <c r="Q137" s="50" t="n"/>
      <c r="R137" s="49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  <c r="AF137" s="50" t="n"/>
      <c r="AG137" s="50" t="n"/>
      <c r="AH137" s="50" t="n"/>
      <c r="AI137" s="50" t="n"/>
    </row>
    <row r="138">
      <c r="A138" s="37">
        <f>A74</f>
        <v/>
      </c>
      <c r="B138" s="37">
        <f>B74</f>
        <v/>
      </c>
      <c r="C138" s="37" t="inlineStr">
        <is>
          <t>INSTALAÇÕES DE TELECOMUNICAÇÃO</t>
        </is>
      </c>
      <c r="D138" s="37" t="inlineStr">
        <is>
          <t>CAIXA 4x2" E 4x4"</t>
        </is>
      </c>
      <c r="E138" s="37" t="inlineStr">
        <is>
          <t>Suporte p/ caixa 4x2" Padrão NBR IEC 60670</t>
        </is>
      </c>
      <c r="F138" s="78" t="n">
        <v>120</v>
      </c>
      <c r="G138" s="78" t="n">
        <v>1</v>
      </c>
      <c r="H138" s="79" t="n">
        <v>0</v>
      </c>
      <c r="I138" s="80">
        <f>(F75+H75*F75)*G75</f>
        <v/>
      </c>
      <c r="J138" s="78" t="inlineStr">
        <is>
          <t>pç</t>
        </is>
      </c>
      <c r="K138" s="81" t="n">
        <v>2.4</v>
      </c>
      <c r="L138" s="82">
        <f>IF(SUM(F75:K75)=0,SUMIFS($L76:$L$535,$B76:$B$535,$B75,$A76:$A$535,$A75),I75*K75)</f>
        <v/>
      </c>
      <c r="N138" s="49" t="inlineStr">
        <is>
          <t>TORRE</t>
        </is>
      </c>
      <c r="O138" s="49" t="n"/>
      <c r="P138" s="50" t="n"/>
      <c r="Q138" s="50" t="n"/>
      <c r="R138" s="49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  <c r="AF138" s="50" t="n"/>
      <c r="AG138" s="50" t="n"/>
      <c r="AH138" s="50" t="n"/>
      <c r="AI138" s="50" t="n"/>
    </row>
    <row r="139">
      <c r="A139" s="37">
        <f>A75</f>
        <v/>
      </c>
      <c r="B139" s="37">
        <f>B75</f>
        <v/>
      </c>
      <c r="C139" s="37" t="inlineStr">
        <is>
          <t>INSTALAÇÕES DE TELECOMUNICAÇÃO</t>
        </is>
      </c>
      <c r="D139" s="37" t="inlineStr">
        <is>
          <t>CAIXA 4x2" E 4x4"</t>
        </is>
      </c>
      <c r="E139" s="37" t="inlineStr">
        <is>
          <t>Suporte p/ caixa 4x4" Padrão NBR IEC 60670</t>
        </is>
      </c>
      <c r="F139" s="78" t="n">
        <v>45</v>
      </c>
      <c r="G139" s="78" t="n">
        <v>1</v>
      </c>
      <c r="H139" s="79" t="n">
        <v>0</v>
      </c>
      <c r="I139" s="80">
        <f>(F76+H76*F76)*G76</f>
        <v/>
      </c>
      <c r="J139" s="78" t="inlineStr">
        <is>
          <t>pç</t>
        </is>
      </c>
      <c r="K139" s="81" t="n">
        <v>3.2</v>
      </c>
      <c r="L139" s="82">
        <f>IF(SUM(F76:K76)=0,SUMIFS($L77:$L$535,$B77:$B$535,$B76,$A77:$A$535,$A76),I76*K76)</f>
        <v/>
      </c>
      <c r="N139" s="49" t="inlineStr">
        <is>
          <t>TORRE</t>
        </is>
      </c>
      <c r="O139" s="49" t="n"/>
      <c r="P139" s="50" t="n"/>
      <c r="Q139" s="50" t="n"/>
      <c r="R139" s="49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  <c r="AF139" s="50" t="n"/>
      <c r="AG139" s="50" t="n"/>
      <c r="AH139" s="50" t="n"/>
      <c r="AI139" s="50" t="n"/>
    </row>
    <row r="140">
      <c r="A140" s="37">
        <f>A76</f>
        <v/>
      </c>
      <c r="B140" s="37">
        <f>B76</f>
        <v/>
      </c>
      <c r="C140" s="37" t="inlineStr">
        <is>
          <t>INSTALAÇÕES DE TELECOMUNICAÇÃO</t>
        </is>
      </c>
      <c r="D140" s="37" t="inlineStr">
        <is>
          <t>ELETRODUTOS</t>
        </is>
      </c>
      <c r="E140" s="37" t="inlineStr">
        <is>
          <t>PVC Flexível Antichama - NBR 15465 ø1"</t>
        </is>
      </c>
      <c r="F140" s="78" t="n">
        <v>563</v>
      </c>
      <c r="G140" s="78" t="n">
        <v>1</v>
      </c>
      <c r="H140" s="79" t="n">
        <v>0</v>
      </c>
      <c r="I140" s="80">
        <f>(F77+H77*F77)*G77</f>
        <v/>
      </c>
      <c r="J140" s="78" t="inlineStr">
        <is>
          <t>m</t>
        </is>
      </c>
      <c r="K140" s="81" t="n">
        <v>11.9</v>
      </c>
      <c r="L140" s="82">
        <f>IF(SUM(F77:K77)=0,SUMIFS($L78:$L$535,$B78:$B$535,$B77,$A78:$A$535,$A77),I77*K77)</f>
        <v/>
      </c>
      <c r="N140" s="49" t="inlineStr">
        <is>
          <t>TORRE</t>
        </is>
      </c>
      <c r="O140" s="49" t="n"/>
      <c r="P140" s="50" t="n"/>
      <c r="Q140" s="50" t="n"/>
      <c r="R140" s="49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  <c r="AF140" s="50" t="n"/>
      <c r="AG140" s="50" t="n"/>
      <c r="AH140" s="50" t="n"/>
      <c r="AI140" s="50" t="n"/>
    </row>
    <row r="141">
      <c r="A141" s="37">
        <f>A77</f>
        <v/>
      </c>
      <c r="B141" s="37">
        <f>B77</f>
        <v/>
      </c>
      <c r="C141" s="37" t="inlineStr">
        <is>
          <t>INSTALAÇÕES DE TELECOMUNICAÇÃO</t>
        </is>
      </c>
      <c r="D141" s="37" t="inlineStr">
        <is>
          <t>ELETRODUTOS</t>
        </is>
      </c>
      <c r="E141" s="37" t="inlineStr">
        <is>
          <t>PVC Flexível Antichama - NBR 15465 ø3/4"</t>
        </is>
      </c>
      <c r="F141" s="78" t="n">
        <v>844</v>
      </c>
      <c r="G141" s="78" t="n">
        <v>1</v>
      </c>
      <c r="H141" s="79" t="n">
        <v>0</v>
      </c>
      <c r="I141" s="80">
        <f>(F78+H78*F78)*G78</f>
        <v/>
      </c>
      <c r="J141" s="78" t="inlineStr">
        <is>
          <t>m</t>
        </is>
      </c>
      <c r="K141" s="81" t="n">
        <v>7.5</v>
      </c>
      <c r="L141" s="82">
        <f>IF(SUM(F78:K78)=0,SUMIFS($L79:$L$535,$B79:$B$535,$B78,$A79:$A$535,$A78),I78*K78)</f>
        <v/>
      </c>
      <c r="N141" s="49" t="inlineStr">
        <is>
          <t>TORRE</t>
        </is>
      </c>
      <c r="O141" s="49" t="n"/>
      <c r="P141" s="50" t="n"/>
      <c r="Q141" s="50" t="n"/>
      <c r="R141" s="49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  <c r="AF141" s="50" t="n"/>
      <c r="AG141" s="50" t="n"/>
      <c r="AH141" s="50" t="n"/>
      <c r="AI141" s="50" t="n"/>
    </row>
    <row r="142">
      <c r="A142" s="37">
        <f>A78</f>
        <v/>
      </c>
      <c r="B142" s="37">
        <f>B78</f>
        <v/>
      </c>
      <c r="C142" s="37" t="inlineStr">
        <is>
          <t>INSTALAÇÕES DE TELECOMUNICAÇÃO</t>
        </is>
      </c>
      <c r="D142" s="37" t="inlineStr">
        <is>
          <t>MÓDULOS</t>
        </is>
      </c>
      <c r="E142" s="37" t="inlineStr">
        <is>
          <t>Módulo Coaxial</t>
        </is>
      </c>
      <c r="F142" s="78" t="n">
        <v>8</v>
      </c>
      <c r="G142" s="78" t="n">
        <v>1</v>
      </c>
      <c r="H142" s="79" t="n">
        <v>0</v>
      </c>
      <c r="I142" s="80">
        <f>(F79+H79*F79)*G79</f>
        <v/>
      </c>
      <c r="J142" s="78" t="inlineStr">
        <is>
          <t>pç</t>
        </is>
      </c>
      <c r="K142" s="81" t="n">
        <v>18.5</v>
      </c>
      <c r="L142" s="82">
        <f>IF(SUM(F79:K79)=0,SUMIFS($L80:$L$535,$B80:$B$535,$B79,$A80:$A$535,$A79),I79*K79)</f>
        <v/>
      </c>
      <c r="N142" s="49" t="inlineStr">
        <is>
          <t>TORRE</t>
        </is>
      </c>
      <c r="O142" s="49" t="n"/>
      <c r="P142" s="50" t="n"/>
      <c r="Q142" s="50" t="n"/>
      <c r="R142" s="49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  <c r="AF142" s="50" t="n"/>
      <c r="AG142" s="50" t="n"/>
      <c r="AH142" s="50" t="n"/>
      <c r="AI142" s="50" t="n"/>
    </row>
    <row r="143">
      <c r="A143" s="37">
        <f>A79</f>
        <v/>
      </c>
      <c r="B143" s="37">
        <f>B79</f>
        <v/>
      </c>
      <c r="C143" s="37" t="inlineStr">
        <is>
          <t>INSTALAÇÕES DE TELECOMUNICAÇÃO</t>
        </is>
      </c>
      <c r="D143" s="37" t="inlineStr">
        <is>
          <t>MÓDULOS</t>
        </is>
      </c>
      <c r="E143" s="37" t="inlineStr">
        <is>
          <t>Módulo RJ45</t>
        </is>
      </c>
      <c r="F143" s="78" t="n">
        <v>6</v>
      </c>
      <c r="G143" s="78" t="n">
        <v>1</v>
      </c>
      <c r="H143" s="79" t="n">
        <v>0</v>
      </c>
      <c r="I143" s="80">
        <f>(F80+H80*F80)*G80</f>
        <v/>
      </c>
      <c r="J143" s="78" t="inlineStr">
        <is>
          <t>pç</t>
        </is>
      </c>
      <c r="K143" s="81" t="n">
        <v>22.9</v>
      </c>
      <c r="L143" s="82">
        <f>IF(SUM(F80:K80)=0,SUMIFS($L81:$L$535,$B81:$B$535,$B80,$A81:$A$535,$A80),I80*K80)</f>
        <v/>
      </c>
      <c r="N143" s="49" t="inlineStr">
        <is>
          <t>TORRE</t>
        </is>
      </c>
      <c r="O143" s="49" t="n"/>
      <c r="P143" s="50" t="n"/>
      <c r="Q143" s="50" t="n"/>
      <c r="R143" s="49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  <c r="AF143" s="50" t="n"/>
      <c r="AG143" s="50" t="n"/>
      <c r="AH143" s="50" t="n"/>
      <c r="AI143" s="50" t="n"/>
    </row>
    <row r="144">
      <c r="A144" s="37">
        <f>A80</f>
        <v/>
      </c>
      <c r="B144" s="37">
        <f>B80</f>
        <v/>
      </c>
      <c r="C144" s="37" t="inlineStr">
        <is>
          <t>INSTALAÇÕES DE TELECOMUNICAÇÃO</t>
        </is>
      </c>
      <c r="D144" s="37" t="inlineStr">
        <is>
          <t>QUADROS DE DISTRIBUIÇÃO</t>
        </is>
      </c>
      <c r="E144" s="37" t="inlineStr">
        <is>
          <t>Embutir - 396x510x107mm</t>
        </is>
      </c>
      <c r="F144" s="78" t="n">
        <v>2</v>
      </c>
      <c r="G144" s="78" t="n">
        <v>1</v>
      </c>
      <c r="H144" s="79" t="n">
        <v>0</v>
      </c>
      <c r="I144" s="80">
        <f>(F81+H81*F81)*G81</f>
        <v/>
      </c>
      <c r="J144" s="78" t="inlineStr">
        <is>
          <t>pç</t>
        </is>
      </c>
      <c r="K144" s="81" t="n">
        <v>420</v>
      </c>
      <c r="L144" s="82">
        <f>IF(SUM(F81:K81)=0,SUMIFS($L82:$L$535,$B82:$B$535,$B81,$A82:$A$535,$A81),I81*K81)</f>
        <v/>
      </c>
      <c r="N144" s="49" t="inlineStr">
        <is>
          <t>TORRE</t>
        </is>
      </c>
      <c r="O144" s="49" t="n"/>
      <c r="P144" s="50" t="n"/>
      <c r="Q144" s="50" t="n"/>
      <c r="R144" s="49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  <c r="AF144" s="50" t="n"/>
      <c r="AG144" s="50" t="n"/>
      <c r="AH144" s="50" t="n"/>
      <c r="AI144" s="50" t="n"/>
    </row>
    <row r="145">
      <c r="A145" s="104">
        <f>A144</f>
        <v/>
      </c>
      <c r="B145" s="104">
        <f>B144</f>
        <v/>
      </c>
      <c r="C145" s="104" t="inlineStr">
        <is>
          <t>INSTALAÇÕES DE TELECOMUNICAÇÃO</t>
        </is>
      </c>
      <c r="D145" s="104" t="inlineStr">
        <is>
          <t>ELETRODUTOS</t>
        </is>
      </c>
      <c r="E145" s="104" t="inlineStr">
        <is>
          <t>PVC Flexível Antichama - NBR 15465 ø1.1/4"</t>
        </is>
      </c>
      <c r="F145" s="105" t="n">
        <v>36</v>
      </c>
      <c r="G145" s="105" t="n">
        <v>1</v>
      </c>
      <c r="H145" s="106" t="n">
        <v>0</v>
      </c>
      <c r="I145" s="107">
        <f>(F145+H145*F145)*G145</f>
        <v/>
      </c>
      <c r="J145" s="105" t="inlineStr">
        <is>
          <t>m</t>
        </is>
      </c>
      <c r="K145" s="108" t="n">
        <v>0</v>
      </c>
      <c r="L145" s="109">
        <f>IF(SUM(F145:K145)=0,SUMIFS($L146:$L$535,$B146:$B$535,$B145,$A146:$A$535,$A145),I145*K145)</f>
        <v/>
      </c>
    </row>
    <row r="146">
      <c r="A146" s="104">
        <f>A145</f>
        <v/>
      </c>
      <c r="B146" s="104">
        <f>B145</f>
        <v/>
      </c>
      <c r="C146" s="104" t="inlineStr">
        <is>
          <t>INSTALAÇÕES DE TELECOMUNICAÇÃO</t>
        </is>
      </c>
      <c r="D146" s="104" t="inlineStr">
        <is>
          <t>ELETRODUTOS</t>
        </is>
      </c>
      <c r="E146" s="104" t="inlineStr">
        <is>
          <t>PVC Flexível Antichama - NBR 15465 ø1.1/4"</t>
        </is>
      </c>
      <c r="F146" s="105" t="n">
        <v>18</v>
      </c>
      <c r="G146" s="105" t="n">
        <v>1</v>
      </c>
      <c r="H146" s="106" t="n">
        <v>0</v>
      </c>
      <c r="I146" s="107">
        <f>(F146+H146*F146)*G146</f>
        <v/>
      </c>
      <c r="J146" s="105" t="inlineStr">
        <is>
          <t>m</t>
        </is>
      </c>
      <c r="K146" s="108" t="n">
        <v>0</v>
      </c>
      <c r="L146" s="109">
        <f>IF(SUM(F146:K146)=0,SUMIFS($L147:$L$535,$B147:$B$535,$B146,$A147:$A$535,$A146),I146*K146)</f>
        <v/>
      </c>
    </row>
    <row r="147">
      <c r="A147" s="104">
        <f>A146</f>
        <v/>
      </c>
      <c r="B147" s="104">
        <f>B146</f>
        <v/>
      </c>
      <c r="C147" s="104" t="inlineStr">
        <is>
          <t>INSTALAÇÕES DE TELECOMUNICAÇÃO</t>
        </is>
      </c>
      <c r="D147" s="104" t="inlineStr">
        <is>
          <t>ELETRODUTOS</t>
        </is>
      </c>
      <c r="E147" s="104" t="inlineStr">
        <is>
          <t>PVC Flexível Antichama - NBR 15465 ø3"</t>
        </is>
      </c>
      <c r="F147" s="105" t="n">
        <v>12</v>
      </c>
      <c r="G147" s="105" t="n">
        <v>1</v>
      </c>
      <c r="H147" s="106" t="n">
        <v>0</v>
      </c>
      <c r="I147" s="107">
        <f>(F147+H147*F147)*G147</f>
        <v/>
      </c>
      <c r="J147" s="105" t="inlineStr">
        <is>
          <t>m</t>
        </is>
      </c>
      <c r="K147" s="108" t="n">
        <v>0</v>
      </c>
      <c r="L147" s="109">
        <f>IF(SUM(F147:K147)=0,SUMIFS($L148:$L$535,$B148:$B$535,$B147,$A148:$A$535,$A147),I147*K147)</f>
        <v/>
      </c>
    </row>
    <row r="148">
      <c r="A148" s="104">
        <f>A147</f>
        <v/>
      </c>
      <c r="B148" s="104">
        <f>B147</f>
        <v/>
      </c>
      <c r="C148" s="104" t="inlineStr">
        <is>
          <t>INSTALAÇÕES DE TELECOMUNICAÇÃO</t>
        </is>
      </c>
      <c r="D148" s="104" t="inlineStr">
        <is>
          <t>CAIXA DE PASSAGEM</t>
        </is>
      </c>
      <c r="E148" s="104" t="inlineStr">
        <is>
          <t>Cx de passagem de embutir com dimensão de 40x120x15cm</t>
        </is>
      </c>
      <c r="F148" s="105" t="n">
        <v>2</v>
      </c>
      <c r="G148" s="105" t="n">
        <v>1</v>
      </c>
      <c r="H148" s="106" t="n">
        <v>0</v>
      </c>
      <c r="I148" s="107">
        <f>(F148+H148*F148)*G148</f>
        <v/>
      </c>
      <c r="J148" s="105" t="inlineStr">
        <is>
          <t>pç</t>
        </is>
      </c>
      <c r="K148" s="108" t="n">
        <v>0</v>
      </c>
      <c r="L148" s="109">
        <f>IF(SUM(F148:K148)=0,SUMIFS($L149:$L$535,$B149:$B$535,$B148,$A149:$A$535,$A148),I148*K148)</f>
        <v/>
      </c>
    </row>
    <row r="149" ht="15" customHeight="1" thickBot="1">
      <c r="A149" s="104">
        <f>A148</f>
        <v/>
      </c>
      <c r="B149" s="104">
        <f>B148</f>
        <v/>
      </c>
      <c r="C149" s="104" t="inlineStr">
        <is>
          <t>INSTALAÇÕES DE TELECOMUNICAÇÃO</t>
        </is>
      </c>
      <c r="D149" s="104" t="inlineStr">
        <is>
          <t>CAIXA DE PASSAGEM</t>
        </is>
      </c>
      <c r="E149" s="104" t="inlineStr">
        <is>
          <t>Cx de passagem de embutir com dimensão de 60x40x12cm</t>
        </is>
      </c>
      <c r="F149" s="105" t="n">
        <v>1</v>
      </c>
      <c r="G149" s="105" t="n">
        <v>1</v>
      </c>
      <c r="H149" s="106" t="n">
        <v>0</v>
      </c>
      <c r="I149" s="107">
        <f>(F149+H149*F149)*G149</f>
        <v/>
      </c>
      <c r="J149" s="105" t="inlineStr">
        <is>
          <t>pç</t>
        </is>
      </c>
      <c r="K149" s="108" t="n">
        <v>0</v>
      </c>
      <c r="L149" s="109">
        <f>IF(SUM(F149:K149)=0,SUMIFS($L150:$L$535,$B150:$B$535,$B149,$A150:$A$535,$A149),I149*K149)</f>
        <v/>
      </c>
    </row>
    <row r="150" ht="15" customHeight="1" thickTop="1">
      <c r="A150" s="104">
        <f>A149</f>
        <v/>
      </c>
      <c r="B150" s="104">
        <f>B149</f>
        <v/>
      </c>
      <c r="C150" s="104" t="inlineStr">
        <is>
          <t>INSTALAÇÕES DE TELECOMUNICAÇÃO</t>
        </is>
      </c>
      <c r="D150" s="104" t="inlineStr">
        <is>
          <t>CAIXA DE PASSAGEM</t>
        </is>
      </c>
      <c r="E150" s="104" t="inlineStr">
        <is>
          <t>Cx de passagem de embutir com dimensão de 40x40x12cm</t>
        </is>
      </c>
      <c r="F150" s="105" t="n">
        <v>1</v>
      </c>
      <c r="G150" s="105" t="n">
        <v>1</v>
      </c>
      <c r="H150" s="106" t="n">
        <v>0</v>
      </c>
      <c r="I150" s="107">
        <f>(F150+H150*F150)*G150</f>
        <v/>
      </c>
      <c r="J150" s="105" t="inlineStr">
        <is>
          <t>pç</t>
        </is>
      </c>
      <c r="K150" s="108" t="n">
        <v>0</v>
      </c>
      <c r="L150" s="109">
        <f>IF(SUM(F150:K150)=0,SUMIFS($L151:$L$535,$B151:$B$535,$B150,$A151:$A$535,$A150),I150*K150)</f>
        <v/>
      </c>
    </row>
    <row r="151">
      <c r="A151" s="104">
        <f>A150</f>
        <v/>
      </c>
      <c r="B151" s="104">
        <f>B150</f>
        <v/>
      </c>
      <c r="C151" s="104" t="inlineStr">
        <is>
          <t>INSTALAÇÕES DE TELECOMUNICAÇÃO</t>
        </is>
      </c>
      <c r="D151" s="104" t="inlineStr">
        <is>
          <t>COTOVELOS</t>
        </is>
      </c>
      <c r="E151" s="104" t="inlineStr">
        <is>
          <t>Cotovelo para eletroduto flexível PVC amarelo</t>
        </is>
      </c>
      <c r="F151" s="105" t="n">
        <v>1078</v>
      </c>
      <c r="G151" s="105" t="n">
        <v>1</v>
      </c>
      <c r="H151" s="106" t="n">
        <v>0</v>
      </c>
      <c r="I151" s="107">
        <f>(F151+H151*F151)*G151</f>
        <v/>
      </c>
      <c r="J151" s="105" t="inlineStr">
        <is>
          <t>un</t>
        </is>
      </c>
      <c r="K151" s="108" t="n">
        <v>0</v>
      </c>
      <c r="L151" s="109">
        <f>IF(SUM(F151:K151)=0,SUMIFS($L152:$L$535,$B152:$B$535,$B151,$A152:$A$535,$A151),I151*K151)</f>
        <v/>
      </c>
    </row>
    <row r="152">
      <c r="A152" s="104">
        <f>A151</f>
        <v/>
      </c>
      <c r="B152" s="104">
        <f>B151</f>
        <v/>
      </c>
      <c r="C152" s="104" t="inlineStr">
        <is>
          <t>INSTALAÇÕES DE TELECOMUNICAÇÃO</t>
        </is>
      </c>
      <c r="D152" s="104" t="inlineStr">
        <is>
          <t>CONECTORES E BUCHAS</t>
        </is>
      </c>
      <c r="E152" s="104" t="inlineStr">
        <is>
          <t>Conector box e arruela - Alumínio padrão</t>
        </is>
      </c>
      <c r="F152" s="105" t="n">
        <v>110</v>
      </c>
      <c r="G152" s="105" t="n">
        <v>1</v>
      </c>
      <c r="H152" s="106" t="n">
        <v>0</v>
      </c>
      <c r="I152" s="107">
        <f>(F152+H152*F152)*G152</f>
        <v/>
      </c>
      <c r="J152" s="105" t="inlineStr">
        <is>
          <t>un</t>
        </is>
      </c>
      <c r="K152" s="108" t="n">
        <v>0</v>
      </c>
      <c r="L152" s="109">
        <f>IF(SUM(F152:K152)=0,SUMIFS($L153:$L$535,$B153:$B$535,$B152,$A153:$A$535,$A152),I152*K152)</f>
        <v/>
      </c>
    </row>
    <row r="153">
      <c r="A153" s="104">
        <f>A152</f>
        <v/>
      </c>
      <c r="B153" s="104">
        <f>B152</f>
        <v/>
      </c>
      <c r="C153" s="104" t="inlineStr">
        <is>
          <t>INSTALAÇÕES DE TELECOMUNICAÇÃO</t>
        </is>
      </c>
      <c r="D153" s="104" t="inlineStr">
        <is>
          <t>CONECTORES E BUCHAS</t>
        </is>
      </c>
      <c r="E153" s="104" t="inlineStr">
        <is>
          <t>Bucha terminal simples - Alumínio padrão</t>
        </is>
      </c>
      <c r="F153" s="105" t="n">
        <v>31</v>
      </c>
      <c r="G153" s="105" t="n">
        <v>1</v>
      </c>
      <c r="H153" s="106" t="n">
        <v>0</v>
      </c>
      <c r="I153" s="107">
        <f>(F153+H153*F153)*G153</f>
        <v/>
      </c>
      <c r="J153" s="105" t="inlineStr">
        <is>
          <t>un</t>
        </is>
      </c>
      <c r="K153" s="108" t="n">
        <v>0</v>
      </c>
      <c r="L153" s="109">
        <f>IF(SUM(F153:K153)=0,SUMIFS($L154:$L$535,$B154:$B$535,$B153,$A154:$A$535,$A153),I153*K153)</f>
        <v/>
      </c>
    </row>
    <row r="154">
      <c r="A154" s="104">
        <f>A153</f>
        <v/>
      </c>
      <c r="B154" s="104">
        <f>B153</f>
        <v/>
      </c>
      <c r="C154" s="104" t="inlineStr">
        <is>
          <t>INSTALAÇÕES DE TELECOMUNICAÇÃO</t>
        </is>
      </c>
      <c r="D154" s="104" t="inlineStr">
        <is>
          <t>CONDUTORES TELECOM</t>
        </is>
      </c>
      <c r="E154" s="104" t="inlineStr">
        <is>
          <t>Condutor CFTV</t>
        </is>
      </c>
      <c r="F154" s="105" t="n">
        <v>34</v>
      </c>
      <c r="G154" s="105" t="n">
        <v>1</v>
      </c>
      <c r="H154" s="106" t="n">
        <v>0</v>
      </c>
      <c r="I154" s="107">
        <f>(F154+H154*F154)*G154</f>
        <v/>
      </c>
      <c r="J154" s="105" t="inlineStr">
        <is>
          <t>un</t>
        </is>
      </c>
      <c r="K154" s="108" t="n">
        <v>0</v>
      </c>
      <c r="L154" s="109">
        <f>IF(SUM(F154:K154)=0,SUMIFS($L155:$L$535,$B155:$B$535,$B154,$A155:$A$535,$A154),I154*K154)</f>
        <v/>
      </c>
    </row>
    <row r="155">
      <c r="A155" s="104">
        <f>A154</f>
        <v/>
      </c>
      <c r="B155" s="104">
        <f>B154</f>
        <v/>
      </c>
      <c r="C155" s="104" t="inlineStr">
        <is>
          <t>INSTALAÇÕES DE TELECOMUNICAÇÃO</t>
        </is>
      </c>
      <c r="D155" s="104" t="inlineStr">
        <is>
          <t>CONDUTORES TELECOM</t>
        </is>
      </c>
      <c r="E155" s="104" t="inlineStr">
        <is>
          <t>Condutor Cordplast</t>
        </is>
      </c>
      <c r="F155" s="105" t="n">
        <v>34</v>
      </c>
      <c r="G155" s="105" t="n">
        <v>1</v>
      </c>
      <c r="H155" s="106" t="n">
        <v>0</v>
      </c>
      <c r="I155" s="107">
        <f>(F155+H155*F155)*G155</f>
        <v/>
      </c>
      <c r="J155" s="105" t="inlineStr">
        <is>
          <t>un</t>
        </is>
      </c>
      <c r="K155" s="108" t="n">
        <v>0</v>
      </c>
      <c r="L155" s="109">
        <f>IF(SUM(F155:K155)=0,SUMIFS($L156:$L$535,$B156:$B$535,$B155,$A156:$A$535,$A155),I155*K155)</f>
        <v/>
      </c>
    </row>
    <row r="156">
      <c r="A156" s="104">
        <f>A155</f>
        <v/>
      </c>
      <c r="B156" s="104">
        <f>B155</f>
        <v/>
      </c>
      <c r="C156" s="104" t="inlineStr">
        <is>
          <t>INSTALAÇÕES DE TELECOMUNICAÇÃO</t>
        </is>
      </c>
      <c r="D156" s="104" t="inlineStr">
        <is>
          <t>PONTOS DE USO</t>
        </is>
      </c>
      <c r="E156" s="104" t="inlineStr">
        <is>
          <t>Caixa 4x2 - Interfone</t>
        </is>
      </c>
      <c r="F156" s="105" t="n">
        <v>16</v>
      </c>
      <c r="G156" s="105" t="n">
        <v>1</v>
      </c>
      <c r="H156" s="106" t="n">
        <v>0</v>
      </c>
      <c r="I156" s="107">
        <f>(F156+H156*F156)*G156</f>
        <v/>
      </c>
      <c r="J156" s="105" t="inlineStr">
        <is>
          <t>un</t>
        </is>
      </c>
      <c r="K156" s="108" t="n">
        <v>0</v>
      </c>
      <c r="L156" s="109">
        <f>IF(SUM(F156:K156)=0,SUMIFS($L157:$L$535,$B157:$B$535,$B156,$A157:$A$535,$A156),I156*K156)</f>
        <v/>
      </c>
    </row>
    <row r="157">
      <c r="A157" s="104">
        <f>A156</f>
        <v/>
      </c>
      <c r="B157" s="104">
        <f>B156</f>
        <v/>
      </c>
      <c r="C157" s="104" t="inlineStr">
        <is>
          <t>INSTALAÇÕES DE TELECOMUNICAÇÃO</t>
        </is>
      </c>
      <c r="D157" s="104" t="inlineStr">
        <is>
          <t>PONTOS DE USO</t>
        </is>
      </c>
      <c r="E157" s="104" t="inlineStr">
        <is>
          <t>Caixa 4x2 - Câmera CFTV</t>
        </is>
      </c>
      <c r="F157" s="105" t="n">
        <v>4</v>
      </c>
      <c r="G157" s="105" t="n">
        <v>1</v>
      </c>
      <c r="H157" s="106" t="n">
        <v>0</v>
      </c>
      <c r="I157" s="107">
        <f>(F157+H157*F157)*G157</f>
        <v/>
      </c>
      <c r="J157" s="105" t="inlineStr">
        <is>
          <t>un</t>
        </is>
      </c>
      <c r="K157" s="108" t="n">
        <v>0</v>
      </c>
      <c r="L157" s="109">
        <f>IF(SUM(F157:K157)=0,SUMIFS($L158:$L$535,$B158:$B$535,$B157,$A158:$A$535,$A157),I157*K157)</f>
        <v/>
      </c>
    </row>
    <row r="158">
      <c r="A158" s="104">
        <f>A157</f>
        <v/>
      </c>
      <c r="B158" s="104">
        <f>B157</f>
        <v/>
      </c>
      <c r="C158" s="104" t="inlineStr">
        <is>
          <t>INSTALAÇÕES DE TELECOMUNICAÇÃO</t>
        </is>
      </c>
      <c r="D158" s="104" t="inlineStr">
        <is>
          <t>PONTOS DE USO</t>
        </is>
      </c>
      <c r="E158" s="104" t="inlineStr">
        <is>
          <t>Caixa 4x2 - Controle de Acesso</t>
        </is>
      </c>
      <c r="F158" s="105" t="n">
        <v>31</v>
      </c>
      <c r="G158" s="105" t="n">
        <v>1</v>
      </c>
      <c r="H158" s="106" t="n">
        <v>0</v>
      </c>
      <c r="I158" s="107">
        <f>(F158+H158*F158)*G158</f>
        <v/>
      </c>
      <c r="J158" s="105" t="inlineStr">
        <is>
          <t>un</t>
        </is>
      </c>
      <c r="K158" s="108" t="n">
        <v>0</v>
      </c>
      <c r="L158" s="109">
        <f>IF(SUM(F158:K158)=0,SUMIFS($L159:$L$535,$B159:$B$535,$B158,$A159:$A$535,$A158),I158*K158)</f>
        <v/>
      </c>
    </row>
    <row r="159">
      <c r="A159" s="25" t="inlineStr">
        <is>
          <t>TORRE</t>
        </is>
      </c>
      <c r="B159" s="25" t="inlineStr">
        <is>
          <t>PAVIMENTO TIPO</t>
        </is>
      </c>
      <c r="C159" s="26" t="n"/>
      <c r="D159" s="27" t="n"/>
      <c r="E159" s="27" t="n"/>
      <c r="F159" s="69" t="n"/>
      <c r="G159" s="69" t="n"/>
      <c r="H159" s="69" t="n"/>
      <c r="I159" s="70" t="n"/>
      <c r="J159" s="69" t="n"/>
      <c r="K159" s="71" t="n"/>
      <c r="L159" s="72">
        <f>IF(SUM(F82:K82)=0,SUMIFS($L83:$L$535,$B83:$B$535,$B82,$A83:$A$535,$A82),I82*K82)</f>
        <v/>
      </c>
      <c r="M159" s="73" t="n"/>
      <c r="N159" s="91" t="inlineStr">
        <is>
          <t>TORRE</t>
        </is>
      </c>
      <c r="O159" s="92" t="n"/>
      <c r="P159" s="93" t="n"/>
      <c r="Q159" s="93" t="n"/>
      <c r="R159" s="93" t="n"/>
      <c r="S159" s="93" t="n"/>
      <c r="T159" s="93" t="n"/>
      <c r="U159" s="93" t="n"/>
      <c r="V159" s="93" t="n"/>
      <c r="W159" s="93" t="n"/>
      <c r="X159" s="93" t="n"/>
      <c r="Y159" s="93" t="n"/>
      <c r="Z159" s="93" t="n"/>
      <c r="AA159" s="93" t="n"/>
      <c r="AB159" s="93" t="n"/>
      <c r="AC159" s="93" t="n"/>
      <c r="AD159" s="93" t="n"/>
      <c r="AE159" s="93" t="n"/>
      <c r="AF159" s="93" t="n"/>
      <c r="AG159" s="93" t="n"/>
      <c r="AH159" s="93" t="n"/>
      <c r="AI159" s="94" t="n"/>
      <c r="AJ159" s="73" t="n"/>
    </row>
    <row r="160">
      <c r="A160" s="37">
        <f>A82</f>
        <v/>
      </c>
      <c r="B160" s="37">
        <f>B82</f>
        <v/>
      </c>
      <c r="C160" s="37" t="inlineStr">
        <is>
          <t>INSTALAÇÕES DE TELECOMUNICAÇÃO</t>
        </is>
      </c>
      <c r="D160" s="37" t="inlineStr">
        <is>
          <t>CAIXA OCTOGONAL</t>
        </is>
      </c>
      <c r="E160" s="37" t="inlineStr">
        <is>
          <t>Caixa Octogonal Padrão NBR IEC 60670</t>
        </is>
      </c>
      <c r="F160" s="78" t="n">
        <v>12</v>
      </c>
      <c r="G160" s="78" t="n">
        <v>24</v>
      </c>
      <c r="H160" s="79" t="n">
        <v>0</v>
      </c>
      <c r="I160" s="80">
        <f>(F83+H83*F83)*G83</f>
        <v/>
      </c>
      <c r="J160" s="78" t="inlineStr">
        <is>
          <t>pç</t>
        </is>
      </c>
      <c r="K160" s="81" t="n">
        <v>9.800000000000001</v>
      </c>
      <c r="L160" s="82">
        <f>IF(SUM(F83:K83)=0,SUMIFS($L84:$L$535,$B84:$B$535,$B83,$A84:$A$535,$A83),I83*K83)</f>
        <v/>
      </c>
      <c r="N160" s="49" t="inlineStr">
        <is>
          <t>TORRE</t>
        </is>
      </c>
      <c r="O160" s="49" t="n"/>
      <c r="P160" s="50" t="n"/>
      <c r="Q160" s="50" t="n"/>
      <c r="R160" s="49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  <c r="AF160" s="50" t="n"/>
      <c r="AG160" s="50" t="n"/>
      <c r="AH160" s="50" t="n"/>
      <c r="AI160" s="50" t="n"/>
    </row>
    <row r="161">
      <c r="A161" s="37">
        <f>A83</f>
        <v/>
      </c>
      <c r="B161" s="37">
        <f>B83</f>
        <v/>
      </c>
      <c r="C161" s="37" t="inlineStr">
        <is>
          <t>INSTALAÇÕES DE TELECOMUNICAÇÃO</t>
        </is>
      </c>
      <c r="D161" s="37" t="inlineStr">
        <is>
          <t>CAIXA OCTOGONAL</t>
        </is>
      </c>
      <c r="E161" s="37" t="inlineStr">
        <is>
          <t>Placa cega para caixa octogonal Padrão NBR IEC 60670</t>
        </is>
      </c>
      <c r="F161" s="78" t="n">
        <v>2</v>
      </c>
      <c r="G161" s="78" t="n">
        <v>24</v>
      </c>
      <c r="H161" s="79" t="n">
        <v>0</v>
      </c>
      <c r="I161" s="80">
        <f>(F84+H84*F84)*G84</f>
        <v/>
      </c>
      <c r="J161" s="78" t="inlineStr">
        <is>
          <t>pç</t>
        </is>
      </c>
      <c r="K161" s="81" t="n">
        <v>6.5</v>
      </c>
      <c r="L161" s="82">
        <f>IF(SUM(F84:K84)=0,SUMIFS($L85:$L$535,$B85:$B$535,$B84,$A85:$A$535,$A84),I84*K84)</f>
        <v/>
      </c>
      <c r="N161" s="49" t="inlineStr">
        <is>
          <t>TORRE</t>
        </is>
      </c>
      <c r="O161" s="49" t="n"/>
      <c r="P161" s="50" t="n"/>
      <c r="Q161" s="50" t="n"/>
      <c r="R161" s="49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  <c r="AF161" s="50" t="n"/>
      <c r="AG161" s="50" t="n"/>
      <c r="AH161" s="50" t="n"/>
      <c r="AI161" s="50" t="n"/>
    </row>
    <row r="162">
      <c r="A162" s="37">
        <f>A84</f>
        <v/>
      </c>
      <c r="B162" s="37">
        <f>B84</f>
        <v/>
      </c>
      <c r="C162" s="37" t="inlineStr">
        <is>
          <t>INSTALAÇÕES DE TELECOMUNICAÇÃO</t>
        </is>
      </c>
      <c r="D162" s="37" t="inlineStr">
        <is>
          <t>CAIXA 4x2" E 4x4"</t>
        </is>
      </c>
      <c r="E162" s="37" t="inlineStr">
        <is>
          <t>Caixa 4x2" de Embutir em PVC Padrão NBR IEC 60670</t>
        </is>
      </c>
      <c r="F162" s="78" t="n">
        <v>96</v>
      </c>
      <c r="G162" s="78" t="n">
        <v>24</v>
      </c>
      <c r="H162" s="79" t="n">
        <v>0</v>
      </c>
      <c r="I162" s="80">
        <f>(F85+H85*F85)*G85</f>
        <v/>
      </c>
      <c r="J162" s="78" t="inlineStr">
        <is>
          <t>pç</t>
        </is>
      </c>
      <c r="K162" s="81" t="n">
        <v>5.9</v>
      </c>
      <c r="L162" s="82">
        <f>IF(SUM(F85:K85)=0,SUMIFS($L86:$L$535,$B86:$B$535,$B85,$A86:$A$535,$A85),I85*K85)</f>
        <v/>
      </c>
      <c r="N162" s="49" t="inlineStr">
        <is>
          <t>TORRE</t>
        </is>
      </c>
      <c r="O162" s="49" t="n"/>
      <c r="P162" s="50" t="n"/>
      <c r="Q162" s="50" t="n"/>
      <c r="R162" s="49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  <c r="AF162" s="50" t="n"/>
      <c r="AG162" s="50" t="n"/>
      <c r="AH162" s="50" t="n"/>
      <c r="AI162" s="50" t="n"/>
    </row>
    <row r="163">
      <c r="A163" s="37">
        <f>A85</f>
        <v/>
      </c>
      <c r="B163" s="37">
        <f>B85</f>
        <v/>
      </c>
      <c r="C163" s="37" t="inlineStr">
        <is>
          <t>INSTALAÇÕES DE TELECOMUNICAÇÃO</t>
        </is>
      </c>
      <c r="D163" s="37" t="inlineStr">
        <is>
          <t>CAIXA 4x2" E 4x4"</t>
        </is>
      </c>
      <c r="E163" s="37" t="inlineStr">
        <is>
          <t>Caixa 4x4" de Embutir em PVC Padrão NBR IEC 60670</t>
        </is>
      </c>
      <c r="F163" s="78" t="n">
        <v>60</v>
      </c>
      <c r="G163" s="78" t="n">
        <v>24</v>
      </c>
      <c r="H163" s="79" t="n">
        <v>0</v>
      </c>
      <c r="I163" s="80">
        <f>(F86+H86*F86)*G86</f>
        <v/>
      </c>
      <c r="J163" s="78" t="inlineStr">
        <is>
          <t>pç</t>
        </is>
      </c>
      <c r="K163" s="81" t="n">
        <v>8.9</v>
      </c>
      <c r="L163" s="82">
        <f>IF(SUM(F86:K86)=0,SUMIFS($L87:$L$535,$B87:$B$535,$B86,$A87:$A$535,$A86),I86*K86)</f>
        <v/>
      </c>
      <c r="N163" s="49" t="inlineStr">
        <is>
          <t>TORRE</t>
        </is>
      </c>
      <c r="O163" s="49" t="n"/>
      <c r="P163" s="50" t="n"/>
      <c r="Q163" s="50" t="n"/>
      <c r="R163" s="49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  <c r="AF163" s="50" t="n"/>
      <c r="AG163" s="50" t="n"/>
      <c r="AH163" s="50" t="n"/>
      <c r="AI163" s="50" t="n"/>
    </row>
    <row r="164">
      <c r="A164" s="37">
        <f>A86</f>
        <v/>
      </c>
      <c r="B164" s="37">
        <f>B86</f>
        <v/>
      </c>
      <c r="C164" s="37" t="inlineStr">
        <is>
          <t>INSTALAÇÕES DE TELECOMUNICAÇÃO</t>
        </is>
      </c>
      <c r="D164" s="37" t="inlineStr">
        <is>
          <t>CAIXA 4x2" E 4x4"</t>
        </is>
      </c>
      <c r="E164" s="37" t="inlineStr">
        <is>
          <t>Placa 4x2" cega Padrão NBR IEC 60670</t>
        </is>
      </c>
      <c r="F164" s="78" t="n">
        <v>40</v>
      </c>
      <c r="G164" s="78" t="n">
        <v>24</v>
      </c>
      <c r="H164" s="79" t="n">
        <v>0</v>
      </c>
      <c r="I164" s="80">
        <f>(F87+H87*F87)*G87</f>
        <v/>
      </c>
      <c r="J164" s="78" t="inlineStr">
        <is>
          <t>pç</t>
        </is>
      </c>
      <c r="K164" s="81" t="n">
        <v>4.5</v>
      </c>
      <c r="L164" s="82">
        <f>IF(SUM(F87:K87)=0,SUMIFS($L88:$L$535,$B88:$B$535,$B87,$A88:$A$535,$A87),I87*K87)</f>
        <v/>
      </c>
      <c r="N164" s="49" t="inlineStr">
        <is>
          <t>TORRE</t>
        </is>
      </c>
      <c r="O164" s="49" t="n"/>
      <c r="P164" s="50" t="n"/>
      <c r="Q164" s="50" t="n"/>
      <c r="R164" s="49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  <c r="AF164" s="50" t="n"/>
      <c r="AG164" s="50" t="n"/>
      <c r="AH164" s="50" t="n"/>
      <c r="AI164" s="50" t="n"/>
    </row>
    <row r="165">
      <c r="A165" s="37">
        <f>A87</f>
        <v/>
      </c>
      <c r="B165" s="37">
        <f>B87</f>
        <v/>
      </c>
      <c r="C165" s="37" t="inlineStr">
        <is>
          <t>INSTALAÇÕES DE TELECOMUNICAÇÃO</t>
        </is>
      </c>
      <c r="D165" s="37" t="inlineStr">
        <is>
          <t>CAIXA 4x2" E 4x4"</t>
        </is>
      </c>
      <c r="E165" s="37" t="inlineStr">
        <is>
          <t>Placa 4x2" para 2 funções Padrão NBR IEC 60670</t>
        </is>
      </c>
      <c r="F165" s="78" t="n">
        <v>10</v>
      </c>
      <c r="G165" s="78" t="n">
        <v>24</v>
      </c>
      <c r="H165" s="79" t="n">
        <v>0</v>
      </c>
      <c r="I165" s="80">
        <f>(F88+H88*F88)*G88</f>
        <v/>
      </c>
      <c r="J165" s="78" t="inlineStr">
        <is>
          <t>pç</t>
        </is>
      </c>
      <c r="K165" s="81" t="n">
        <v>7.8</v>
      </c>
      <c r="L165" s="82">
        <f>IF(SUM(F88:K88)=0,SUMIFS($L89:$L$535,$B89:$B$535,$B88,$A89:$A$535,$A88),I88*K88)</f>
        <v/>
      </c>
      <c r="N165" s="49" t="inlineStr">
        <is>
          <t>TORRE</t>
        </is>
      </c>
      <c r="O165" s="49" t="n"/>
      <c r="P165" s="50" t="n"/>
      <c r="Q165" s="50" t="n"/>
      <c r="R165" s="49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  <c r="AF165" s="50" t="n"/>
      <c r="AG165" s="50" t="n"/>
      <c r="AH165" s="50" t="n"/>
      <c r="AI165" s="50" t="n"/>
    </row>
    <row r="166" ht="15" customHeight="1" thickBot="1">
      <c r="A166" s="37">
        <f>A88</f>
        <v/>
      </c>
      <c r="B166" s="37">
        <f>B88</f>
        <v/>
      </c>
      <c r="C166" s="37" t="inlineStr">
        <is>
          <t>INSTALAÇÕES DE TELECOMUNICAÇÃO</t>
        </is>
      </c>
      <c r="D166" s="37" t="inlineStr">
        <is>
          <t>CAIXA 4x2" E 4x4"</t>
        </is>
      </c>
      <c r="E166" s="37" t="inlineStr">
        <is>
          <t>Placa 4x2" para 3 funções Padrão NBR IEC 60670</t>
        </is>
      </c>
      <c r="F166" s="78" t="n">
        <v>4</v>
      </c>
      <c r="G166" s="78" t="n">
        <v>24</v>
      </c>
      <c r="H166" s="79" t="n">
        <v>0</v>
      </c>
      <c r="I166" s="80">
        <f>(F89+H89*F89)*G89</f>
        <v/>
      </c>
      <c r="J166" s="78" t="inlineStr">
        <is>
          <t>pç</t>
        </is>
      </c>
      <c r="K166" s="81" t="n">
        <v>8.9</v>
      </c>
      <c r="L166" s="82">
        <f>IF(SUM(F89:K89)=0,SUMIFS($L90:$L$535,$B90:$B$535,$B89,$A90:$A$535,$A89),I89*K89)</f>
        <v/>
      </c>
      <c r="N166" s="49" t="inlineStr">
        <is>
          <t>TORRE</t>
        </is>
      </c>
      <c r="O166" s="49" t="n"/>
      <c r="P166" s="50" t="n"/>
      <c r="Q166" s="50" t="n"/>
      <c r="R166" s="49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  <c r="AF166" s="50" t="n"/>
      <c r="AG166" s="50" t="n"/>
      <c r="AH166" s="50" t="n"/>
      <c r="AI166" s="50" t="n"/>
    </row>
    <row r="167" ht="15" customHeight="1" thickTop="1">
      <c r="A167" s="37">
        <f>A89</f>
        <v/>
      </c>
      <c r="B167" s="37">
        <f>B89</f>
        <v/>
      </c>
      <c r="C167" s="37" t="inlineStr">
        <is>
          <t>INSTALAÇÕES DE TELECOMUNICAÇÃO</t>
        </is>
      </c>
      <c r="D167" s="37" t="inlineStr">
        <is>
          <t>CAIXA 4x2" E 4x4"</t>
        </is>
      </c>
      <c r="E167" s="37" t="inlineStr">
        <is>
          <t>Placa 4x4" cega Padrão NBR IEC 60670</t>
        </is>
      </c>
      <c r="F167" s="78" t="n">
        <v>60</v>
      </c>
      <c r="G167" s="78" t="n">
        <v>24</v>
      </c>
      <c r="H167" s="79" t="n">
        <v>0</v>
      </c>
      <c r="I167" s="80">
        <f>(F90+H90*F90)*G90</f>
        <v/>
      </c>
      <c r="J167" s="78" t="inlineStr">
        <is>
          <t>pç</t>
        </is>
      </c>
      <c r="K167" s="81" t="n">
        <v>7.5</v>
      </c>
      <c r="L167" s="82">
        <f>IF(SUM(F90:K90)=0,SUMIFS($L91:$L$535,$B91:$B$535,$B90,$A91:$A$535,$A90),I90*K90)</f>
        <v/>
      </c>
      <c r="N167" s="49" t="inlineStr">
        <is>
          <t>TORRE</t>
        </is>
      </c>
      <c r="O167" s="49" t="n"/>
      <c r="P167" s="50" t="n"/>
      <c r="Q167" s="50" t="n"/>
      <c r="R167" s="49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  <c r="AF167" s="50" t="n"/>
      <c r="AG167" s="50" t="n"/>
      <c r="AH167" s="50" t="n"/>
      <c r="AI167" s="50" t="n"/>
    </row>
    <row r="168">
      <c r="A168" s="37">
        <f>A90</f>
        <v/>
      </c>
      <c r="B168" s="37">
        <f>B90</f>
        <v/>
      </c>
      <c r="C168" s="37" t="inlineStr">
        <is>
          <t>INSTALAÇÕES DE TELECOMUNICAÇÃO</t>
        </is>
      </c>
      <c r="D168" s="37" t="inlineStr">
        <is>
          <t>CAIXA 4x2" E 4x4"</t>
        </is>
      </c>
      <c r="E168" s="37" t="inlineStr">
        <is>
          <t>Suporte p/ caixa 4x2" Padrão NBR IEC 60670</t>
        </is>
      </c>
      <c r="F168" s="78" t="n">
        <v>96</v>
      </c>
      <c r="G168" s="78" t="n">
        <v>24</v>
      </c>
      <c r="H168" s="79" t="n">
        <v>0</v>
      </c>
      <c r="I168" s="80">
        <f>(F91+H91*F91)*G91</f>
        <v/>
      </c>
      <c r="J168" s="78" t="inlineStr">
        <is>
          <t>pç</t>
        </is>
      </c>
      <c r="K168" s="81" t="n">
        <v>2.4</v>
      </c>
      <c r="L168" s="82">
        <f>IF(SUM(F91:K91)=0,SUMIFS($L92:$L$535,$B92:$B$535,$B91,$A92:$A$535,$A91),I91*K91)</f>
        <v/>
      </c>
      <c r="N168" s="49" t="inlineStr">
        <is>
          <t>TORRE</t>
        </is>
      </c>
      <c r="O168" s="49" t="n"/>
      <c r="P168" s="50" t="n"/>
      <c r="Q168" s="50" t="n"/>
      <c r="R168" s="49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  <c r="AF168" s="50" t="n"/>
      <c r="AG168" s="50" t="n"/>
      <c r="AH168" s="50" t="n"/>
      <c r="AI168" s="50" t="n"/>
    </row>
    <row r="169">
      <c r="A169" s="37">
        <f>A91</f>
        <v/>
      </c>
      <c r="B169" s="37">
        <f>B91</f>
        <v/>
      </c>
      <c r="C169" s="37" t="inlineStr">
        <is>
          <t>INSTALAÇÕES DE TELECOMUNICAÇÃO</t>
        </is>
      </c>
      <c r="D169" s="37" t="inlineStr">
        <is>
          <t>CAIXA 4x2" E 4x4"</t>
        </is>
      </c>
      <c r="E169" s="37" t="inlineStr">
        <is>
          <t>Suporte p/ caixa 4x4" Padrão NBR IEC 60670</t>
        </is>
      </c>
      <c r="F169" s="78" t="n">
        <v>60</v>
      </c>
      <c r="G169" s="78" t="n">
        <v>24</v>
      </c>
      <c r="H169" s="79" t="n">
        <v>0</v>
      </c>
      <c r="I169" s="80">
        <f>(F92+H92*F92)*G92</f>
        <v/>
      </c>
      <c r="J169" s="78" t="inlineStr">
        <is>
          <t>pç</t>
        </is>
      </c>
      <c r="K169" s="81" t="n">
        <v>3.2</v>
      </c>
      <c r="L169" s="82">
        <f>IF(SUM(F92:K92)=0,SUMIFS($L93:$L$535,$B93:$B$535,$B92,$A93:$A$535,$A92),I92*K92)</f>
        <v/>
      </c>
      <c r="N169" s="49" t="inlineStr">
        <is>
          <t>TORRE</t>
        </is>
      </c>
      <c r="O169" s="49" t="n"/>
      <c r="P169" s="50" t="n"/>
      <c r="Q169" s="50" t="n"/>
      <c r="R169" s="49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  <c r="AF169" s="50" t="n"/>
      <c r="AG169" s="50" t="n"/>
      <c r="AH169" s="50" t="n"/>
      <c r="AI169" s="50" t="n"/>
    </row>
    <row r="170">
      <c r="A170" s="37">
        <f>A92</f>
        <v/>
      </c>
      <c r="B170" s="37">
        <f>B92</f>
        <v/>
      </c>
      <c r="C170" s="37" t="inlineStr">
        <is>
          <t>INSTALAÇÕES DE TELECOMUNICAÇÃO</t>
        </is>
      </c>
      <c r="D170" s="37" t="inlineStr">
        <is>
          <t>ELETRODUTOS</t>
        </is>
      </c>
      <c r="E170" s="37" t="inlineStr">
        <is>
          <t>PVC Flexível Antichama - NBR 15465 ø1"</t>
        </is>
      </c>
      <c r="F170" s="78" t="n">
        <v>480</v>
      </c>
      <c r="G170" s="78" t="n">
        <v>24</v>
      </c>
      <c r="H170" s="79" t="n">
        <v>0</v>
      </c>
      <c r="I170" s="80">
        <f>(F93+H93*F93)*G93</f>
        <v/>
      </c>
      <c r="J170" s="78" t="inlineStr">
        <is>
          <t>m</t>
        </is>
      </c>
      <c r="K170" s="81" t="n">
        <v>11.9</v>
      </c>
      <c r="L170" s="82">
        <f>IF(SUM(F93:K93)=0,SUMIFS($L94:$L$535,$B94:$B$535,$B93,$A94:$A$535,$A93),I93*K93)</f>
        <v/>
      </c>
      <c r="N170" s="49" t="inlineStr">
        <is>
          <t>TORRE</t>
        </is>
      </c>
      <c r="O170" s="49" t="n"/>
      <c r="P170" s="50" t="n"/>
      <c r="Q170" s="50" t="n"/>
      <c r="R170" s="49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  <c r="AF170" s="50" t="n"/>
      <c r="AG170" s="50" t="n"/>
      <c r="AH170" s="50" t="n"/>
      <c r="AI170" s="50" t="n"/>
    </row>
    <row r="171">
      <c r="A171" s="37">
        <f>A93</f>
        <v/>
      </c>
      <c r="B171" s="37">
        <f>B93</f>
        <v/>
      </c>
      <c r="C171" s="37" t="inlineStr">
        <is>
          <t>INSTALAÇÕES DE TELECOMUNICAÇÃO</t>
        </is>
      </c>
      <c r="D171" s="37" t="inlineStr">
        <is>
          <t>ELETRODUTOS</t>
        </is>
      </c>
      <c r="E171" s="37" t="inlineStr">
        <is>
          <t>PVC Flexível Antichama - NBR 15465 ø3/4"</t>
        </is>
      </c>
      <c r="F171" s="78" t="n">
        <v>721</v>
      </c>
      <c r="G171" s="78" t="n">
        <v>24</v>
      </c>
      <c r="H171" s="79" t="n">
        <v>0</v>
      </c>
      <c r="I171" s="80">
        <f>(F94+H94*F94)*G94</f>
        <v/>
      </c>
      <c r="J171" s="78" t="inlineStr">
        <is>
          <t>m</t>
        </is>
      </c>
      <c r="K171" s="81" t="n">
        <v>7.5</v>
      </c>
      <c r="L171" s="82">
        <f>IF(SUM(F94:K94)=0,SUMIFS($L95:$L$535,$B95:$B$535,$B94,$A95:$A$535,$A94),I94*K94)</f>
        <v/>
      </c>
      <c r="N171" s="49" t="inlineStr">
        <is>
          <t>TORRE</t>
        </is>
      </c>
      <c r="O171" s="49" t="n"/>
      <c r="P171" s="50" t="n"/>
      <c r="Q171" s="50" t="n"/>
      <c r="R171" s="49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  <c r="AF171" s="50" t="n"/>
      <c r="AG171" s="50" t="n"/>
      <c r="AH171" s="50" t="n"/>
      <c r="AI171" s="50" t="n"/>
    </row>
    <row r="172">
      <c r="A172" s="37">
        <f>A94</f>
        <v/>
      </c>
      <c r="B172" s="37">
        <f>B94</f>
        <v/>
      </c>
      <c r="C172" s="37" t="inlineStr">
        <is>
          <t>INSTALAÇÕES DE TELECOMUNICAÇÃO</t>
        </is>
      </c>
      <c r="D172" s="37" t="inlineStr">
        <is>
          <t>MÓDULOS</t>
        </is>
      </c>
      <c r="E172" s="37" t="inlineStr">
        <is>
          <t>Módulo Coaxial</t>
        </is>
      </c>
      <c r="F172" s="78" t="n">
        <v>14</v>
      </c>
      <c r="G172" s="78" t="n">
        <v>24</v>
      </c>
      <c r="H172" s="79" t="n">
        <v>0</v>
      </c>
      <c r="I172" s="80">
        <f>(F95+H95*F95)*G95</f>
        <v/>
      </c>
      <c r="J172" s="78" t="inlineStr">
        <is>
          <t>pç</t>
        </is>
      </c>
      <c r="K172" s="81" t="n">
        <v>18.5</v>
      </c>
      <c r="L172" s="82">
        <f>IF(SUM(F95:K95)=0,SUMIFS($L96:$L$535,$B96:$B$535,$B95,$A96:$A$535,$A95),I95*K95)</f>
        <v/>
      </c>
      <c r="N172" s="49" t="inlineStr">
        <is>
          <t>TORRE</t>
        </is>
      </c>
      <c r="O172" s="49" t="n"/>
      <c r="P172" s="50" t="n"/>
      <c r="Q172" s="50" t="n"/>
      <c r="R172" s="49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  <c r="AF172" s="50" t="n"/>
      <c r="AG172" s="50" t="n"/>
      <c r="AH172" s="50" t="n"/>
      <c r="AI172" s="50" t="n"/>
    </row>
    <row r="173">
      <c r="A173" s="37">
        <f>A95</f>
        <v/>
      </c>
      <c r="B173" s="37">
        <f>B95</f>
        <v/>
      </c>
      <c r="C173" s="37" t="inlineStr">
        <is>
          <t>INSTALAÇÕES DE TELECOMUNICAÇÃO</t>
        </is>
      </c>
      <c r="D173" s="37" t="inlineStr">
        <is>
          <t>MÓDULOS</t>
        </is>
      </c>
      <c r="E173" s="37" t="inlineStr">
        <is>
          <t>Módulo RJ11</t>
        </is>
      </c>
      <c r="F173" s="78" t="n">
        <v>8</v>
      </c>
      <c r="G173" s="78" t="n">
        <v>24</v>
      </c>
      <c r="H173" s="79" t="n">
        <v>0</v>
      </c>
      <c r="I173" s="80">
        <f>(F96+H96*F96)*G96</f>
        <v/>
      </c>
      <c r="J173" s="78" t="inlineStr">
        <is>
          <t>pç</t>
        </is>
      </c>
      <c r="K173" s="81" t="n">
        <v>16.8</v>
      </c>
      <c r="L173" s="82">
        <f>IF(SUM(F96:K96)=0,SUMIFS($L97:$L$535,$B97:$B$535,$B96,$A97:$A$535,$A96),I96*K96)</f>
        <v/>
      </c>
      <c r="N173" s="49" t="inlineStr">
        <is>
          <t>TORRE</t>
        </is>
      </c>
      <c r="O173" s="49" t="n"/>
      <c r="P173" s="50" t="n"/>
      <c r="Q173" s="50" t="n"/>
      <c r="R173" s="49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  <c r="AF173" s="50" t="n"/>
      <c r="AG173" s="50" t="n"/>
      <c r="AH173" s="50" t="n"/>
      <c r="AI173" s="50" t="n"/>
    </row>
    <row r="174">
      <c r="A174" s="37">
        <f>A96</f>
        <v/>
      </c>
      <c r="B174" s="37">
        <f>B96</f>
        <v/>
      </c>
      <c r="C174" s="37" t="inlineStr">
        <is>
          <t>INSTALAÇÕES DE TELECOMUNICAÇÃO</t>
        </is>
      </c>
      <c r="D174" s="37" t="inlineStr">
        <is>
          <t>MÓDULOS</t>
        </is>
      </c>
      <c r="E174" s="37" t="inlineStr">
        <is>
          <t>Módulo RJ45</t>
        </is>
      </c>
      <c r="F174" s="78" t="n">
        <v>14</v>
      </c>
      <c r="G174" s="78" t="n">
        <v>24</v>
      </c>
      <c r="H174" s="79" t="n">
        <v>0</v>
      </c>
      <c r="I174" s="80">
        <f>(F97+H97*F97)*G97</f>
        <v/>
      </c>
      <c r="J174" s="78" t="inlineStr">
        <is>
          <t>pç</t>
        </is>
      </c>
      <c r="K174" s="81" t="n">
        <v>22.9</v>
      </c>
      <c r="L174" s="82">
        <f>IF(SUM(F97:K97)=0,SUMIFS($L98:$L$535,$B98:$B$535,$B97,$A98:$A$535,$A97),I97*K97)</f>
        <v/>
      </c>
      <c r="N174" s="49" t="inlineStr">
        <is>
          <t>TORRE</t>
        </is>
      </c>
      <c r="O174" s="49" t="n"/>
      <c r="P174" s="50" t="n"/>
      <c r="Q174" s="50" t="n"/>
      <c r="R174" s="49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  <c r="AF174" s="50" t="n"/>
      <c r="AG174" s="50" t="n"/>
      <c r="AH174" s="50" t="n"/>
      <c r="AI174" s="50" t="n"/>
    </row>
    <row r="175">
      <c r="A175" s="37">
        <f>A97</f>
        <v/>
      </c>
      <c r="B175" s="37">
        <f>B97</f>
        <v/>
      </c>
      <c r="C175" s="37" t="inlineStr">
        <is>
          <t>INSTALAÇÕES DE TELECOMUNICAÇÃO</t>
        </is>
      </c>
      <c r="D175" s="37" t="inlineStr">
        <is>
          <t>QUADROS DE DISTRIBUIÇÃO</t>
        </is>
      </c>
      <c r="E175" s="37" t="inlineStr">
        <is>
          <t>Embutir - 396x510x107mm</t>
        </is>
      </c>
      <c r="F175" s="78" t="n">
        <v>2</v>
      </c>
      <c r="G175" s="78" t="n">
        <v>24</v>
      </c>
      <c r="H175" s="79" t="n">
        <v>0</v>
      </c>
      <c r="I175" s="80">
        <f>(F98+H98*F98)*G98</f>
        <v/>
      </c>
      <c r="J175" s="78" t="inlineStr">
        <is>
          <t>pç</t>
        </is>
      </c>
      <c r="K175" s="81" t="n">
        <v>420</v>
      </c>
      <c r="L175" s="82">
        <f>IF(SUM(F98:K98)=0,SUMIFS($L99:$L$535,$B99:$B$535,$B98,$A99:$A$535,$A98),I98*K98)</f>
        <v/>
      </c>
      <c r="N175" s="49" t="inlineStr">
        <is>
          <t>TORRE</t>
        </is>
      </c>
      <c r="O175" s="49" t="n"/>
      <c r="P175" s="50" t="n"/>
      <c r="Q175" s="50" t="n"/>
      <c r="R175" s="49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  <c r="AF175" s="50" t="n"/>
      <c r="AG175" s="50" t="n"/>
      <c r="AH175" s="50" t="n"/>
      <c r="AI175" s="50" t="n"/>
    </row>
    <row r="176">
      <c r="A176" s="104">
        <f>A175</f>
        <v/>
      </c>
      <c r="B176" s="104">
        <f>B175</f>
        <v/>
      </c>
      <c r="C176" s="104" t="inlineStr">
        <is>
          <t>INSTALAÇÕES DE TELECOMUNICAÇÃO</t>
        </is>
      </c>
      <c r="D176" s="104" t="inlineStr">
        <is>
          <t>ELETRODUTOS</t>
        </is>
      </c>
      <c r="E176" s="104" t="inlineStr">
        <is>
          <t>PVC Flexível Antichama - NBR 15465 ø1.1/4"</t>
        </is>
      </c>
      <c r="F176" s="105" t="n">
        <v>16</v>
      </c>
      <c r="G176" s="105" t="n">
        <v>1</v>
      </c>
      <c r="H176" s="106" t="n">
        <v>0</v>
      </c>
      <c r="I176" s="107">
        <f>(F176+H176*F176)*G176</f>
        <v/>
      </c>
      <c r="J176" s="105" t="inlineStr">
        <is>
          <t>m</t>
        </is>
      </c>
      <c r="K176" s="108" t="n">
        <v>0</v>
      </c>
      <c r="L176" s="109">
        <f>IF(SUM(F176:K176)=0,SUMIFS($L177:$L$535,$B177:$B$535,$B176,$A177:$A$535,$A176),I176*K176)</f>
        <v/>
      </c>
    </row>
    <row r="177">
      <c r="A177" s="104">
        <f>A176</f>
        <v/>
      </c>
      <c r="B177" s="104">
        <f>B176</f>
        <v/>
      </c>
      <c r="C177" s="104" t="inlineStr">
        <is>
          <t>INSTALAÇÕES DE TELECOMUNICAÇÃO</t>
        </is>
      </c>
      <c r="D177" s="104" t="inlineStr">
        <is>
          <t>ELETRODUTOS</t>
        </is>
      </c>
      <c r="E177" s="104" t="inlineStr">
        <is>
          <t>PVC Flexível Antichama - NBR 15465 ø3"</t>
        </is>
      </c>
      <c r="F177" s="105" t="n">
        <v>12</v>
      </c>
      <c r="G177" s="105" t="n">
        <v>1</v>
      </c>
      <c r="H177" s="106" t="n">
        <v>0</v>
      </c>
      <c r="I177" s="107">
        <f>(F177+H177*F177)*G177</f>
        <v/>
      </c>
      <c r="J177" s="105" t="inlineStr">
        <is>
          <t>m</t>
        </is>
      </c>
      <c r="K177" s="108" t="n">
        <v>0</v>
      </c>
      <c r="L177" s="109">
        <f>IF(SUM(F177:K177)=0,SUMIFS($L178:$L$535,$B178:$B$535,$B177,$A178:$A$535,$A177),I177*K177)</f>
        <v/>
      </c>
    </row>
    <row r="178">
      <c r="A178" s="104">
        <f>A177</f>
        <v/>
      </c>
      <c r="B178" s="104">
        <f>B177</f>
        <v/>
      </c>
      <c r="C178" s="104" t="inlineStr">
        <is>
          <t>INSTALAÇÕES DE TELECOMUNICAÇÃO</t>
        </is>
      </c>
      <c r="D178" s="104" t="inlineStr">
        <is>
          <t>CAIXA DE PASSAGEM</t>
        </is>
      </c>
      <c r="E178" s="104" t="inlineStr">
        <is>
          <t>Cx de passagem de embutir com dimensão de 40x120x15cm</t>
        </is>
      </c>
      <c r="F178" s="105" t="n">
        <v>4</v>
      </c>
      <c r="G178" s="105" t="n">
        <v>1</v>
      </c>
      <c r="H178" s="106" t="n">
        <v>0</v>
      </c>
      <c r="I178" s="107">
        <f>(F178+H178*F178)*G178</f>
        <v/>
      </c>
      <c r="J178" s="105" t="inlineStr">
        <is>
          <t>pç</t>
        </is>
      </c>
      <c r="K178" s="108" t="n">
        <v>0</v>
      </c>
      <c r="L178" s="109">
        <f>IF(SUM(F178:K178)=0,SUMIFS($L179:$L$535,$B179:$B$535,$B178,$A179:$A$535,$A178),I178*K178)</f>
        <v/>
      </c>
    </row>
    <row r="179">
      <c r="A179" s="104">
        <f>A178</f>
        <v/>
      </c>
      <c r="B179" s="104">
        <f>B178</f>
        <v/>
      </c>
      <c r="C179" s="104" t="inlineStr">
        <is>
          <t>INSTALAÇÕES DE TELECOMUNICAÇÃO</t>
        </is>
      </c>
      <c r="D179" s="104" t="inlineStr">
        <is>
          <t>COTOVELOS</t>
        </is>
      </c>
      <c r="E179" s="104" t="inlineStr">
        <is>
          <t>Cotovelo para eletroduto flexível PVC amarelo</t>
        </is>
      </c>
      <c r="F179" s="105" t="n">
        <v>918</v>
      </c>
      <c r="G179" s="105" t="n">
        <v>1</v>
      </c>
      <c r="H179" s="106" t="n">
        <v>0</v>
      </c>
      <c r="I179" s="107">
        <f>(F179+H179*F179)*G179</f>
        <v/>
      </c>
      <c r="J179" s="105" t="inlineStr">
        <is>
          <t>un</t>
        </is>
      </c>
      <c r="K179" s="108" t="n">
        <v>0</v>
      </c>
      <c r="L179" s="109">
        <f>IF(SUM(F179:K179)=0,SUMIFS($L180:$L$535,$B180:$B$535,$B179,$A180:$A$535,$A179),I179*K179)</f>
        <v/>
      </c>
    </row>
    <row r="180">
      <c r="A180" s="104">
        <f>A179</f>
        <v/>
      </c>
      <c r="B180" s="104">
        <f>B179</f>
        <v/>
      </c>
      <c r="C180" s="104" t="inlineStr">
        <is>
          <t>INSTALAÇÕES DE TELECOMUNICAÇÃO</t>
        </is>
      </c>
      <c r="D180" s="104" t="inlineStr">
        <is>
          <t>CONECTORES E BUCHAS</t>
        </is>
      </c>
      <c r="E180" s="104" t="inlineStr">
        <is>
          <t>Conector box e arruela - Alumínio padrão</t>
        </is>
      </c>
      <c r="F180" s="105" t="n">
        <v>59</v>
      </c>
      <c r="G180" s="105" t="n">
        <v>1</v>
      </c>
      <c r="H180" s="106" t="n">
        <v>0</v>
      </c>
      <c r="I180" s="107">
        <f>(F180+H180*F180)*G180</f>
        <v/>
      </c>
      <c r="J180" s="105" t="inlineStr">
        <is>
          <t>un</t>
        </is>
      </c>
      <c r="K180" s="108" t="n">
        <v>0</v>
      </c>
      <c r="L180" s="109">
        <f>IF(SUM(F180:K180)=0,SUMIFS($L181:$L$535,$B181:$B$535,$B180,$A181:$A$535,$A180),I180*K180)</f>
        <v/>
      </c>
    </row>
    <row r="181">
      <c r="A181" s="104">
        <f>A180</f>
        <v/>
      </c>
      <c r="B181" s="104">
        <f>B180</f>
        <v/>
      </c>
      <c r="C181" s="104" t="inlineStr">
        <is>
          <t>INSTALAÇÕES DE TELECOMUNICAÇÃO</t>
        </is>
      </c>
      <c r="D181" s="104" t="inlineStr">
        <is>
          <t>CONECTORES E BUCHAS</t>
        </is>
      </c>
      <c r="E181" s="104" t="inlineStr">
        <is>
          <t>Bucha terminal simples - Alumínio padrão</t>
        </is>
      </c>
      <c r="F181" s="105" t="n">
        <v>12</v>
      </c>
      <c r="G181" s="105" t="n">
        <v>1</v>
      </c>
      <c r="H181" s="106" t="n">
        <v>0</v>
      </c>
      <c r="I181" s="107">
        <f>(F181+H181*F181)*G181</f>
        <v/>
      </c>
      <c r="J181" s="105" t="inlineStr">
        <is>
          <t>un</t>
        </is>
      </c>
      <c r="K181" s="108" t="n">
        <v>0</v>
      </c>
      <c r="L181" s="109">
        <f>IF(SUM(F181:K181)=0,SUMIFS($L182:$L$535,$B182:$B$535,$B181,$A182:$A$535,$A181),I181*K181)</f>
        <v/>
      </c>
    </row>
    <row r="182" ht="15" customHeight="1" thickBot="1">
      <c r="A182" s="104">
        <f>A181</f>
        <v/>
      </c>
      <c r="B182" s="104">
        <f>B181</f>
        <v/>
      </c>
      <c r="C182" s="104" t="inlineStr">
        <is>
          <t>INSTALAÇÕES DE TELECOMUNICAÇÃO</t>
        </is>
      </c>
      <c r="D182" s="104" t="inlineStr">
        <is>
          <t>CONDUTORES TELECOM</t>
        </is>
      </c>
      <c r="E182" s="104" t="inlineStr">
        <is>
          <t>Condutor CFTV</t>
        </is>
      </c>
      <c r="F182" s="105" t="n">
        <v>6</v>
      </c>
      <c r="G182" s="105" t="n">
        <v>1</v>
      </c>
      <c r="H182" s="106" t="n">
        <v>0</v>
      </c>
      <c r="I182" s="107">
        <f>(F182+H182*F182)*G182</f>
        <v/>
      </c>
      <c r="J182" s="105" t="inlineStr">
        <is>
          <t>un</t>
        </is>
      </c>
      <c r="K182" s="108" t="n">
        <v>0</v>
      </c>
      <c r="L182" s="109">
        <f>IF(SUM(F182:K182)=0,SUMIFS($L183:$L$535,$B183:$B$535,$B182,$A183:$A$535,$A182),I182*K182)</f>
        <v/>
      </c>
    </row>
    <row r="183" ht="15" customHeight="1" thickTop="1">
      <c r="A183" s="104">
        <f>A182</f>
        <v/>
      </c>
      <c r="B183" s="104">
        <f>B182</f>
        <v/>
      </c>
      <c r="C183" s="104" t="inlineStr">
        <is>
          <t>INSTALAÇÕES DE TELECOMUNICAÇÃO</t>
        </is>
      </c>
      <c r="D183" s="104" t="inlineStr">
        <is>
          <t>CONDUTORES TELECOM</t>
        </is>
      </c>
      <c r="E183" s="104" t="inlineStr">
        <is>
          <t>Condutor CCI</t>
        </is>
      </c>
      <c r="F183" s="105" t="n">
        <v>15</v>
      </c>
      <c r="G183" s="105" t="n">
        <v>1</v>
      </c>
      <c r="H183" s="106" t="n">
        <v>0</v>
      </c>
      <c r="I183" s="107">
        <f>(F183+H183*F183)*G183</f>
        <v/>
      </c>
      <c r="J183" s="105" t="inlineStr">
        <is>
          <t>un</t>
        </is>
      </c>
      <c r="K183" s="108" t="n">
        <v>0</v>
      </c>
      <c r="L183" s="109">
        <f>IF(SUM(F183:K183)=0,SUMIFS($L184:$L$535,$B184:$B$535,$B183,$A184:$A$535,$A183),I183*K183)</f>
        <v/>
      </c>
    </row>
    <row r="184">
      <c r="A184" s="104">
        <f>A183</f>
        <v/>
      </c>
      <c r="B184" s="104">
        <f>B183</f>
        <v/>
      </c>
      <c r="C184" s="104" t="inlineStr">
        <is>
          <t>INSTALAÇÕES DE TELECOMUNICAÇÃO</t>
        </is>
      </c>
      <c r="D184" s="104" t="inlineStr">
        <is>
          <t>CONDUTORES TELECOM</t>
        </is>
      </c>
      <c r="E184" s="104" t="inlineStr">
        <is>
          <t>Condutor Cordplast</t>
        </is>
      </c>
      <c r="F184" s="105" t="n">
        <v>6</v>
      </c>
      <c r="G184" s="105" t="n">
        <v>1</v>
      </c>
      <c r="H184" s="106" t="n">
        <v>0</v>
      </c>
      <c r="I184" s="107">
        <f>(F184+H184*F184)*G184</f>
        <v/>
      </c>
      <c r="J184" s="105" t="inlineStr">
        <is>
          <t>un</t>
        </is>
      </c>
      <c r="K184" s="108" t="n">
        <v>0</v>
      </c>
      <c r="L184" s="109">
        <f>IF(SUM(F184:K184)=0,SUMIFS($L185:$L$535,$B185:$B$535,$B184,$A185:$A$535,$A184),I184*K184)</f>
        <v/>
      </c>
    </row>
    <row r="185">
      <c r="A185" s="104">
        <f>A184</f>
        <v/>
      </c>
      <c r="B185" s="104">
        <f>B184</f>
        <v/>
      </c>
      <c r="C185" s="104" t="inlineStr">
        <is>
          <t>INSTALAÇÕES DE TELECOMUNICAÇÃO</t>
        </is>
      </c>
      <c r="D185" s="104" t="inlineStr">
        <is>
          <t>PONTOS DE USO</t>
        </is>
      </c>
      <c r="E185" s="104" t="inlineStr">
        <is>
          <t>Caixa 4x2 - Interfone</t>
        </is>
      </c>
      <c r="F185" s="105" t="n">
        <v>16</v>
      </c>
      <c r="G185" s="105" t="n">
        <v>1</v>
      </c>
      <c r="H185" s="106" t="n">
        <v>0</v>
      </c>
      <c r="I185" s="107">
        <f>(F185+H185*F185)*G185</f>
        <v/>
      </c>
      <c r="J185" s="105" t="inlineStr">
        <is>
          <t>un</t>
        </is>
      </c>
      <c r="K185" s="108" t="n">
        <v>0</v>
      </c>
      <c r="L185" s="109">
        <f>IF(SUM(F185:K185)=0,SUMIFS($L186:$L$535,$B186:$B$535,$B185,$A186:$A$535,$A185),I185*K185)</f>
        <v/>
      </c>
    </row>
    <row r="186">
      <c r="A186" s="25" t="inlineStr">
        <is>
          <t>TORRE</t>
        </is>
      </c>
      <c r="B186" s="25" t="inlineStr">
        <is>
          <t>CASA DE MÁQUINAS</t>
        </is>
      </c>
      <c r="C186" s="26" t="n"/>
      <c r="D186" s="27" t="n"/>
      <c r="E186" s="27" t="n"/>
      <c r="F186" s="69" t="n"/>
      <c r="G186" s="69" t="n"/>
      <c r="H186" s="69" t="n"/>
      <c r="I186" s="70" t="n"/>
      <c r="J186" s="69" t="n"/>
      <c r="K186" s="71" t="n"/>
      <c r="L186" s="72">
        <f>IF(SUM(F99:K99)=0,SUMIFS($L100:$L$535,$B100:$B$535,$B99,$A100:$A$535,$A99),I99*K99)</f>
        <v/>
      </c>
      <c r="M186" s="73" t="n"/>
      <c r="N186" s="91" t="inlineStr">
        <is>
          <t>TORRE</t>
        </is>
      </c>
      <c r="O186" s="92" t="n"/>
      <c r="P186" s="93" t="n"/>
      <c r="Q186" s="93" t="n"/>
      <c r="R186" s="93" t="n"/>
      <c r="S186" s="93" t="n"/>
      <c r="T186" s="93" t="n"/>
      <c r="U186" s="93" t="n"/>
      <c r="V186" s="93" t="n"/>
      <c r="W186" s="93" t="n"/>
      <c r="X186" s="93" t="n"/>
      <c r="Y186" s="93" t="n"/>
      <c r="Z186" s="93" t="n"/>
      <c r="AA186" s="93" t="n"/>
      <c r="AB186" s="93" t="n"/>
      <c r="AC186" s="93" t="n"/>
      <c r="AD186" s="93" t="n"/>
      <c r="AE186" s="93" t="n"/>
      <c r="AF186" s="93" t="n"/>
      <c r="AG186" s="93" t="n"/>
      <c r="AH186" s="93" t="n"/>
      <c r="AI186" s="94" t="n"/>
      <c r="AJ186" s="73" t="n"/>
    </row>
    <row r="187">
      <c r="A187" s="37">
        <f>A99</f>
        <v/>
      </c>
      <c r="B187" s="37">
        <f>B99</f>
        <v/>
      </c>
      <c r="C187" s="37" t="inlineStr">
        <is>
          <t>INSTALAÇÕES DE TELECOMUNICAÇÃO</t>
        </is>
      </c>
      <c r="D187" s="37" t="inlineStr">
        <is>
          <t>CAIXA 4x2" E 4x4"</t>
        </is>
      </c>
      <c r="E187" s="37" t="inlineStr">
        <is>
          <t>Caixa 4x2" de Embutir em PVC Padrão NBR IEC 60670</t>
        </is>
      </c>
      <c r="F187" s="78" t="n">
        <v>9</v>
      </c>
      <c r="G187" s="78" t="n">
        <v>1</v>
      </c>
      <c r="H187" s="79" t="n">
        <v>0</v>
      </c>
      <c r="I187" s="80">
        <f>(F100+H100*F100)*G100</f>
        <v/>
      </c>
      <c r="J187" s="78" t="inlineStr">
        <is>
          <t>pç</t>
        </is>
      </c>
      <c r="K187" s="81" t="n">
        <v>5.9</v>
      </c>
      <c r="L187" s="82">
        <f>IF(SUM(F100:K100)=0,SUMIFS($L101:$L$535,$B101:$B$535,$B100,$A101:$A$535,$A100),I100*K100)</f>
        <v/>
      </c>
      <c r="N187" s="49" t="inlineStr">
        <is>
          <t>TORRE</t>
        </is>
      </c>
      <c r="O187" s="49" t="n"/>
      <c r="P187" s="50" t="n"/>
      <c r="Q187" s="50" t="n"/>
      <c r="R187" s="49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  <c r="AF187" s="50" t="n"/>
      <c r="AG187" s="50" t="n"/>
      <c r="AH187" s="50" t="n"/>
      <c r="AI187" s="50" t="n"/>
    </row>
    <row r="188">
      <c r="A188" s="37">
        <f>A100</f>
        <v/>
      </c>
      <c r="B188" s="37">
        <f>B100</f>
        <v/>
      </c>
      <c r="C188" s="37" t="inlineStr">
        <is>
          <t>INSTALAÇÕES DE TELECOMUNICAÇÃO</t>
        </is>
      </c>
      <c r="D188" s="37" t="inlineStr">
        <is>
          <t>CAIXA 4x2" E 4x4"</t>
        </is>
      </c>
      <c r="E188" s="37" t="inlineStr">
        <is>
          <t>Placa 4x2" cega Padrão NBR IEC 60670</t>
        </is>
      </c>
      <c r="F188" s="78" t="n">
        <v>5</v>
      </c>
      <c r="G188" s="78" t="n">
        <v>1</v>
      </c>
      <c r="H188" s="79" t="n">
        <v>0</v>
      </c>
      <c r="I188" s="80">
        <f>(F101+H101*F101)*G101</f>
        <v/>
      </c>
      <c r="J188" s="78" t="inlineStr">
        <is>
          <t>pç</t>
        </is>
      </c>
      <c r="K188" s="81" t="n">
        <v>4.5</v>
      </c>
      <c r="L188" s="82">
        <f>IF(SUM(F101:K101)=0,SUMIFS($L102:$L$535,$B102:$B$535,$B101,$A102:$A$535,$A101),I101*K101)</f>
        <v/>
      </c>
      <c r="N188" s="49" t="inlineStr">
        <is>
          <t>TORRE</t>
        </is>
      </c>
      <c r="O188" s="49" t="n"/>
      <c r="P188" s="50" t="n"/>
      <c r="Q188" s="50" t="n"/>
      <c r="R188" s="49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  <c r="AF188" s="50" t="n"/>
      <c r="AG188" s="50" t="n"/>
      <c r="AH188" s="50" t="n"/>
      <c r="AI188" s="50" t="n"/>
    </row>
    <row r="189">
      <c r="A189" s="37">
        <f>A101</f>
        <v/>
      </c>
      <c r="B189" s="37">
        <f>B101</f>
        <v/>
      </c>
      <c r="C189" s="37" t="inlineStr">
        <is>
          <t>INSTALAÇÕES DE TELECOMUNICAÇÃO</t>
        </is>
      </c>
      <c r="D189" s="37" t="inlineStr">
        <is>
          <t>CAIXA 4x2" E 4x4"</t>
        </is>
      </c>
      <c r="E189" s="37" t="inlineStr">
        <is>
          <t>Suporte p/ caixa 4x2" Padrão NBR IEC 60670</t>
        </is>
      </c>
      <c r="F189" s="78" t="n">
        <v>9</v>
      </c>
      <c r="G189" s="78" t="n">
        <v>1</v>
      </c>
      <c r="H189" s="79" t="n">
        <v>0</v>
      </c>
      <c r="I189" s="80">
        <f>(F102+H102*F102)*G102</f>
        <v/>
      </c>
      <c r="J189" s="78" t="inlineStr">
        <is>
          <t>pç</t>
        </is>
      </c>
      <c r="K189" s="81" t="n">
        <v>2.4</v>
      </c>
      <c r="L189" s="82">
        <f>IF(SUM(F102:K102)=0,SUMIFS($L103:$L$535,$B103:$B$535,$B102,$A103:$A$535,$A102),I102*K102)</f>
        <v/>
      </c>
      <c r="N189" s="49" t="inlineStr">
        <is>
          <t>TORRE</t>
        </is>
      </c>
      <c r="O189" s="49" t="n"/>
      <c r="P189" s="50" t="n"/>
      <c r="Q189" s="50" t="n"/>
      <c r="R189" s="49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  <c r="AF189" s="50" t="n"/>
      <c r="AG189" s="50" t="n"/>
      <c r="AH189" s="50" t="n"/>
      <c r="AI189" s="50" t="n"/>
    </row>
    <row r="190">
      <c r="A190" s="37">
        <f>A102</f>
        <v/>
      </c>
      <c r="B190" s="37">
        <f>B102</f>
        <v/>
      </c>
      <c r="C190" s="37" t="inlineStr">
        <is>
          <t>INSTALAÇÕES DE TELECOMUNICAÇÃO</t>
        </is>
      </c>
      <c r="D190" s="37" t="inlineStr">
        <is>
          <t>ELETRODUTOS</t>
        </is>
      </c>
      <c r="E190" s="37" t="inlineStr">
        <is>
          <t>PVC Flexível Antichama - NBR 15465 ø1"</t>
        </is>
      </c>
      <c r="F190" s="78" t="n">
        <v>83</v>
      </c>
      <c r="G190" s="78" t="n">
        <v>1</v>
      </c>
      <c r="H190" s="79" t="n">
        <v>0</v>
      </c>
      <c r="I190" s="80">
        <f>(F103+H103*F103)*G103</f>
        <v/>
      </c>
      <c r="J190" s="78" t="inlineStr">
        <is>
          <t>m</t>
        </is>
      </c>
      <c r="K190" s="81" t="n">
        <v>11.9</v>
      </c>
      <c r="L190" s="82">
        <f>IF(SUM(F103:K103)=0,SUMIFS($L104:$L$535,$B104:$B$535,$B103,$A104:$A$535,$A103),I103*K103)</f>
        <v/>
      </c>
      <c r="N190" s="49" t="inlineStr">
        <is>
          <t>TORRE</t>
        </is>
      </c>
      <c r="O190" s="49" t="n"/>
      <c r="P190" s="50" t="n"/>
      <c r="Q190" s="50" t="n"/>
      <c r="R190" s="49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  <c r="AF190" s="50" t="n"/>
      <c r="AG190" s="50" t="n"/>
      <c r="AH190" s="50" t="n"/>
      <c r="AI190" s="50" t="n"/>
    </row>
    <row r="191">
      <c r="A191" s="37">
        <f>A103</f>
        <v/>
      </c>
      <c r="B191" s="37">
        <f>B103</f>
        <v/>
      </c>
      <c r="C191" s="37" t="inlineStr">
        <is>
          <t>INSTALAÇÕES DE TELECOMUNICAÇÃO</t>
        </is>
      </c>
      <c r="D191" s="37" t="inlineStr">
        <is>
          <t>ELETRODUTOS</t>
        </is>
      </c>
      <c r="E191" s="37" t="inlineStr">
        <is>
          <t>PVC Flexível Antichama - NBR 15465 ø3/4"</t>
        </is>
      </c>
      <c r="F191" s="78" t="n">
        <v>56</v>
      </c>
      <c r="G191" s="78" t="n">
        <v>1</v>
      </c>
      <c r="H191" s="79" t="n">
        <v>0</v>
      </c>
      <c r="I191" s="80">
        <f>(F104+H104*F104)*G104</f>
        <v/>
      </c>
      <c r="J191" s="78" t="inlineStr">
        <is>
          <t>m</t>
        </is>
      </c>
      <c r="K191" s="81" t="n">
        <v>7.5</v>
      </c>
      <c r="L191" s="82">
        <f>IF(SUM(F104:K104)=0,SUMIFS($L105:$L$535,$B105:$B$535,$B104,$A105:$A$535,$A104),I104*K104)</f>
        <v/>
      </c>
      <c r="N191" s="49" t="inlineStr">
        <is>
          <t>TORRE</t>
        </is>
      </c>
      <c r="O191" s="49" t="n"/>
      <c r="P191" s="50" t="n"/>
      <c r="Q191" s="50" t="n"/>
      <c r="R191" s="49" t="n"/>
      <c r="S191" s="50" t="n"/>
      <c r="T191" s="50" t="n"/>
      <c r="U191" s="50" t="n"/>
      <c r="V191" s="50" t="n"/>
      <c r="W191" s="50" t="n"/>
      <c r="X191" s="50" t="n"/>
      <c r="Y191" s="50" t="n"/>
      <c r="Z191" s="50" t="n"/>
      <c r="AA191" s="50" t="n"/>
      <c r="AB191" s="50" t="n"/>
      <c r="AC191" s="50" t="n"/>
      <c r="AD191" s="50" t="n"/>
      <c r="AE191" s="50" t="n"/>
      <c r="AF191" s="50" t="n"/>
      <c r="AG191" s="50" t="n"/>
      <c r="AH191" s="50" t="n"/>
      <c r="AI191" s="50" t="n"/>
    </row>
    <row r="192">
      <c r="A192" s="37" t="n"/>
      <c r="B192" s="37" t="n"/>
      <c r="C192" s="37" t="n"/>
      <c r="D192" s="37" t="n"/>
      <c r="E192" s="37" t="n"/>
      <c r="F192" s="95" t="n"/>
      <c r="G192" s="95" t="n"/>
      <c r="H192" s="95" t="n"/>
      <c r="I192" s="80" t="n"/>
      <c r="J192" s="95" t="n"/>
      <c r="K192" s="96" t="n"/>
      <c r="L192" s="97" t="n"/>
      <c r="N192" s="49" t="n"/>
      <c r="O192" s="49" t="n"/>
      <c r="P192" s="50" t="n"/>
      <c r="Q192" s="50" t="n"/>
      <c r="R192" s="49" t="n"/>
      <c r="S192" s="50" t="n"/>
      <c r="T192" s="50" t="n"/>
      <c r="U192" s="50" t="n"/>
      <c r="V192" s="50" t="n"/>
      <c r="W192" s="50" t="n"/>
      <c r="X192" s="50" t="n"/>
      <c r="Y192" s="50" t="n"/>
      <c r="Z192" s="50" t="n"/>
      <c r="AA192" s="50" t="n"/>
      <c r="AB192" s="50" t="n"/>
      <c r="AC192" s="50" t="n"/>
      <c r="AD192" s="50" t="n"/>
      <c r="AE192" s="50" t="n"/>
      <c r="AF192" s="50" t="n"/>
      <c r="AG192" s="50" t="n"/>
      <c r="AH192" s="50" t="n"/>
      <c r="AI192" s="50" t="n"/>
    </row>
    <row r="193">
      <c r="A193" s="37" t="n"/>
      <c r="B193" s="37" t="n"/>
      <c r="C193" s="37" t="n"/>
      <c r="D193" s="37" t="n"/>
      <c r="E193" s="37" t="n"/>
      <c r="F193" s="95" t="n"/>
      <c r="G193" s="95" t="n"/>
      <c r="H193" s="95" t="n"/>
      <c r="I193" s="80" t="n"/>
      <c r="J193" s="95" t="n"/>
      <c r="K193" s="96" t="n"/>
      <c r="L193" s="97" t="n"/>
      <c r="N193" s="49" t="n"/>
      <c r="O193" s="49" t="n"/>
      <c r="P193" s="50" t="n"/>
      <c r="Q193" s="50" t="n"/>
      <c r="R193" s="49" t="n"/>
      <c r="S193" s="50" t="n"/>
      <c r="T193" s="50" t="n"/>
      <c r="U193" s="50" t="n"/>
      <c r="V193" s="50" t="n"/>
      <c r="W193" s="50" t="n"/>
      <c r="X193" s="50" t="n"/>
      <c r="Y193" s="50" t="n"/>
      <c r="Z193" s="50" t="n"/>
      <c r="AA193" s="50" t="n"/>
      <c r="AB193" s="50" t="n"/>
      <c r="AC193" s="50" t="n"/>
      <c r="AD193" s="50" t="n"/>
      <c r="AE193" s="50" t="n"/>
      <c r="AF193" s="50" t="n"/>
      <c r="AG193" s="50" t="n"/>
      <c r="AH193" s="50" t="n"/>
      <c r="AI193" s="50" t="n"/>
    </row>
    <row r="194">
      <c r="A194" s="37" t="n"/>
      <c r="B194" s="37" t="n"/>
      <c r="C194" s="37" t="n"/>
      <c r="D194" s="37" t="n"/>
      <c r="E194" s="37" t="n"/>
      <c r="F194" s="95" t="n"/>
      <c r="G194" s="95" t="n"/>
      <c r="H194" s="95" t="n"/>
      <c r="I194" s="80" t="n"/>
      <c r="J194" s="95" t="n"/>
      <c r="K194" s="96" t="n"/>
      <c r="L194" s="97" t="n"/>
      <c r="N194" s="49" t="n"/>
      <c r="O194" s="49" t="n"/>
      <c r="P194" s="50" t="n"/>
      <c r="Q194" s="50" t="n"/>
      <c r="R194" s="49" t="n"/>
      <c r="S194" s="50" t="n"/>
      <c r="T194" s="50" t="n"/>
      <c r="U194" s="50" t="n"/>
      <c r="V194" s="50" t="n"/>
      <c r="W194" s="50" t="n"/>
      <c r="X194" s="50" t="n"/>
      <c r="Y194" s="50" t="n"/>
      <c r="Z194" s="50" t="n"/>
      <c r="AA194" s="50" t="n"/>
      <c r="AB194" s="50" t="n"/>
      <c r="AC194" s="50" t="n"/>
      <c r="AD194" s="50" t="n"/>
      <c r="AE194" s="50" t="n"/>
      <c r="AF194" s="50" t="n"/>
      <c r="AG194" s="50" t="n"/>
      <c r="AH194" s="50" t="n"/>
      <c r="AI194" s="50" t="n"/>
    </row>
    <row r="195">
      <c r="A195" s="37" t="n"/>
      <c r="B195" s="37" t="n"/>
      <c r="C195" s="37" t="n"/>
      <c r="D195" s="37" t="n"/>
      <c r="E195" s="37" t="n"/>
      <c r="F195" s="95" t="n"/>
      <c r="G195" s="95" t="n"/>
      <c r="H195" s="95" t="n"/>
      <c r="I195" s="80" t="n"/>
      <c r="J195" s="95" t="n"/>
      <c r="K195" s="96" t="n"/>
      <c r="L195" s="97" t="n"/>
      <c r="N195" s="49" t="n"/>
      <c r="O195" s="49" t="n"/>
      <c r="P195" s="50" t="n"/>
      <c r="Q195" s="50" t="n"/>
      <c r="R195" s="49" t="n"/>
      <c r="S195" s="50" t="n"/>
      <c r="T195" s="50" t="n"/>
      <c r="U195" s="50" t="n"/>
      <c r="V195" s="50" t="n"/>
      <c r="W195" s="50" t="n"/>
      <c r="X195" s="50" t="n"/>
      <c r="Y195" s="50" t="n"/>
      <c r="Z195" s="50" t="n"/>
      <c r="AA195" s="50" t="n"/>
      <c r="AB195" s="50" t="n"/>
      <c r="AC195" s="50" t="n"/>
      <c r="AD195" s="50" t="n"/>
      <c r="AE195" s="50" t="n"/>
      <c r="AF195" s="50" t="n"/>
      <c r="AG195" s="50" t="n"/>
      <c r="AH195" s="50" t="n"/>
      <c r="AI195" s="50" t="n"/>
    </row>
    <row r="196">
      <c r="A196" s="37" t="n"/>
      <c r="B196" s="37" t="n"/>
      <c r="C196" s="37" t="n"/>
      <c r="D196" s="37" t="n"/>
      <c r="E196" s="37" t="n"/>
      <c r="F196" s="95" t="n"/>
      <c r="G196" s="95" t="n"/>
      <c r="H196" s="95" t="n"/>
      <c r="I196" s="80" t="n"/>
      <c r="J196" s="95" t="n"/>
      <c r="K196" s="96" t="n"/>
      <c r="L196" s="97" t="n"/>
      <c r="N196" s="49" t="n"/>
      <c r="O196" s="49" t="n"/>
      <c r="P196" s="50" t="n"/>
      <c r="Q196" s="50" t="n"/>
      <c r="R196" s="49" t="n"/>
      <c r="S196" s="50" t="n"/>
      <c r="T196" s="50" t="n"/>
      <c r="U196" s="50" t="n"/>
      <c r="V196" s="50" t="n"/>
      <c r="W196" s="50" t="n"/>
      <c r="X196" s="50" t="n"/>
      <c r="Y196" s="50" t="n"/>
      <c r="Z196" s="50" t="n"/>
      <c r="AA196" s="50" t="n"/>
      <c r="AB196" s="50" t="n"/>
      <c r="AC196" s="50" t="n"/>
      <c r="AD196" s="50" t="n"/>
      <c r="AE196" s="50" t="n"/>
      <c r="AF196" s="50" t="n"/>
      <c r="AG196" s="50" t="n"/>
      <c r="AH196" s="50" t="n"/>
      <c r="AI196" s="50" t="n"/>
    </row>
    <row r="197">
      <c r="A197" s="37" t="n"/>
      <c r="B197" s="37" t="n"/>
      <c r="C197" s="37" t="n"/>
      <c r="D197" s="37" t="n"/>
      <c r="E197" s="37" t="n"/>
      <c r="F197" s="95" t="n"/>
      <c r="G197" s="95" t="n"/>
      <c r="H197" s="95" t="n"/>
      <c r="I197" s="80" t="n"/>
      <c r="J197" s="95" t="n"/>
      <c r="K197" s="96" t="n"/>
      <c r="L197" s="97" t="n"/>
      <c r="N197" s="49" t="n"/>
      <c r="O197" s="49" t="n"/>
      <c r="P197" s="50" t="n"/>
      <c r="Q197" s="50" t="n"/>
      <c r="R197" s="49" t="n"/>
      <c r="S197" s="50" t="n"/>
      <c r="T197" s="50" t="n"/>
      <c r="U197" s="50" t="n"/>
      <c r="V197" s="50" t="n"/>
      <c r="W197" s="50" t="n"/>
      <c r="X197" s="50" t="n"/>
      <c r="Y197" s="50" t="n"/>
      <c r="Z197" s="50" t="n"/>
      <c r="AA197" s="50" t="n"/>
      <c r="AB197" s="50" t="n"/>
      <c r="AC197" s="50" t="n"/>
      <c r="AD197" s="50" t="n"/>
      <c r="AE197" s="50" t="n"/>
      <c r="AF197" s="50" t="n"/>
      <c r="AG197" s="50" t="n"/>
      <c r="AH197" s="50" t="n"/>
      <c r="AI197" s="50" t="n"/>
    </row>
    <row r="198">
      <c r="A198" s="37" t="n"/>
      <c r="B198" s="37" t="n"/>
      <c r="C198" s="37" t="n"/>
      <c r="D198" s="37" t="n"/>
      <c r="E198" s="37" t="n"/>
      <c r="F198" s="95" t="n"/>
      <c r="G198" s="95" t="n"/>
      <c r="H198" s="95" t="n"/>
      <c r="I198" s="80" t="n"/>
      <c r="J198" s="95" t="n"/>
      <c r="K198" s="96" t="n"/>
      <c r="L198" s="97" t="n"/>
      <c r="N198" s="49" t="n"/>
      <c r="O198" s="49" t="n"/>
      <c r="P198" s="50" t="n"/>
      <c r="Q198" s="50" t="n"/>
      <c r="R198" s="49" t="n"/>
      <c r="S198" s="50" t="n"/>
      <c r="T198" s="50" t="n"/>
      <c r="U198" s="50" t="n"/>
      <c r="V198" s="50" t="n"/>
      <c r="W198" s="50" t="n"/>
      <c r="X198" s="50" t="n"/>
      <c r="Y198" s="50" t="n"/>
      <c r="Z198" s="50" t="n"/>
      <c r="AA198" s="50" t="n"/>
      <c r="AB198" s="50" t="n"/>
      <c r="AC198" s="50" t="n"/>
      <c r="AD198" s="50" t="n"/>
      <c r="AE198" s="50" t="n"/>
      <c r="AF198" s="50" t="n"/>
      <c r="AG198" s="50" t="n"/>
      <c r="AH198" s="50" t="n"/>
      <c r="AI198" s="50" t="n"/>
    </row>
    <row r="199" ht="15" customHeight="1" thickBot="1">
      <c r="A199" s="37" t="n"/>
      <c r="B199" s="37" t="n"/>
      <c r="C199" s="37" t="n"/>
      <c r="D199" s="37" t="n"/>
      <c r="E199" s="37" t="n"/>
      <c r="F199" s="95" t="n"/>
      <c r="G199" s="95" t="n"/>
      <c r="H199" s="95" t="n"/>
      <c r="I199" s="80" t="n"/>
      <c r="J199" s="95" t="n"/>
      <c r="K199" s="96" t="n"/>
      <c r="L199" s="97" t="n"/>
      <c r="N199" s="49" t="n"/>
      <c r="O199" s="49" t="n"/>
      <c r="P199" s="50" t="n"/>
      <c r="Q199" s="50" t="n"/>
      <c r="R199" s="49" t="n"/>
      <c r="S199" s="50" t="n"/>
      <c r="T199" s="50" t="n"/>
      <c r="U199" s="50" t="n"/>
      <c r="V199" s="50" t="n"/>
      <c r="W199" s="50" t="n"/>
      <c r="X199" s="50" t="n"/>
      <c r="Y199" s="50" t="n"/>
      <c r="Z199" s="50" t="n"/>
      <c r="AA199" s="50" t="n"/>
      <c r="AB199" s="50" t="n"/>
      <c r="AC199" s="50" t="n"/>
      <c r="AD199" s="50" t="n"/>
      <c r="AE199" s="50" t="n"/>
      <c r="AF199" s="50" t="n"/>
      <c r="AG199" s="50" t="n"/>
      <c r="AH199" s="50" t="n"/>
      <c r="AI199" s="50" t="n"/>
    </row>
    <row r="200" ht="15" customHeight="1" thickTop="1">
      <c r="A200" s="37" t="n"/>
      <c r="B200" s="37" t="n"/>
      <c r="C200" s="37" t="n"/>
      <c r="D200" s="37" t="n"/>
      <c r="E200" s="37" t="n"/>
      <c r="F200" s="95" t="n"/>
      <c r="G200" s="95" t="n"/>
      <c r="H200" s="95" t="n"/>
      <c r="I200" s="80" t="n"/>
      <c r="J200" s="95" t="n"/>
      <c r="K200" s="96" t="n"/>
      <c r="L200" s="97" t="n"/>
      <c r="N200" s="49" t="n"/>
      <c r="O200" s="49" t="n"/>
      <c r="P200" s="50" t="n"/>
      <c r="Q200" s="50" t="n"/>
      <c r="R200" s="49" t="n"/>
      <c r="S200" s="50" t="n"/>
      <c r="T200" s="50" t="n"/>
      <c r="U200" s="50" t="n"/>
      <c r="V200" s="50" t="n"/>
      <c r="W200" s="50" t="n"/>
      <c r="X200" s="50" t="n"/>
      <c r="Y200" s="50" t="n"/>
      <c r="Z200" s="50" t="n"/>
      <c r="AA200" s="50" t="n"/>
      <c r="AB200" s="50" t="n"/>
      <c r="AC200" s="50" t="n"/>
      <c r="AD200" s="50" t="n"/>
      <c r="AE200" s="50" t="n"/>
      <c r="AF200" s="50" t="n"/>
      <c r="AG200" s="50" t="n"/>
      <c r="AH200" s="50" t="n"/>
      <c r="AI200" s="50" t="n"/>
    </row>
    <row r="201">
      <c r="A201" s="37" t="n"/>
      <c r="B201" s="37" t="n"/>
      <c r="C201" s="37" t="n"/>
      <c r="D201" s="37" t="n"/>
      <c r="E201" s="37" t="n"/>
      <c r="F201" s="95" t="n"/>
      <c r="G201" s="95" t="n"/>
      <c r="H201" s="95" t="n"/>
      <c r="I201" s="80" t="n"/>
      <c r="J201" s="95" t="n"/>
      <c r="K201" s="96" t="n"/>
      <c r="L201" s="97" t="n"/>
      <c r="N201" s="49" t="n"/>
      <c r="O201" s="49" t="n"/>
      <c r="P201" s="50" t="n"/>
      <c r="Q201" s="50" t="n"/>
      <c r="R201" s="49" t="n"/>
      <c r="S201" s="50" t="n"/>
      <c r="T201" s="50" t="n"/>
      <c r="U201" s="50" t="n"/>
      <c r="V201" s="50" t="n"/>
      <c r="W201" s="50" t="n"/>
      <c r="X201" s="50" t="n"/>
      <c r="Y201" s="50" t="n"/>
      <c r="Z201" s="50" t="n"/>
      <c r="AA201" s="50" t="n"/>
      <c r="AB201" s="50" t="n"/>
      <c r="AC201" s="50" t="n"/>
      <c r="AD201" s="50" t="n"/>
      <c r="AE201" s="50" t="n"/>
      <c r="AF201" s="50" t="n"/>
      <c r="AG201" s="50" t="n"/>
      <c r="AH201" s="50" t="n"/>
      <c r="AI201" s="50" t="n"/>
    </row>
    <row r="202">
      <c r="A202" s="37" t="n"/>
      <c r="B202" s="37" t="n"/>
      <c r="C202" s="37" t="n"/>
      <c r="D202" s="37" t="n"/>
      <c r="E202" s="37" t="n"/>
      <c r="F202" s="95" t="n"/>
      <c r="G202" s="95" t="n"/>
      <c r="H202" s="95" t="n"/>
      <c r="I202" s="80" t="n"/>
      <c r="J202" s="95" t="n"/>
      <c r="K202" s="96" t="n"/>
      <c r="L202" s="97" t="n"/>
      <c r="N202" s="49" t="n"/>
      <c r="O202" s="49" t="n"/>
      <c r="P202" s="50" t="n"/>
      <c r="Q202" s="50" t="n"/>
      <c r="R202" s="49" t="n"/>
      <c r="S202" s="50" t="n"/>
      <c r="T202" s="50" t="n"/>
      <c r="U202" s="50" t="n"/>
      <c r="V202" s="50" t="n"/>
      <c r="W202" s="50" t="n"/>
      <c r="X202" s="50" t="n"/>
      <c r="Y202" s="50" t="n"/>
      <c r="Z202" s="50" t="n"/>
      <c r="AA202" s="50" t="n"/>
      <c r="AB202" s="50" t="n"/>
      <c r="AC202" s="50" t="n"/>
      <c r="AD202" s="50" t="n"/>
      <c r="AE202" s="50" t="n"/>
      <c r="AF202" s="50" t="n"/>
      <c r="AG202" s="50" t="n"/>
      <c r="AH202" s="50" t="n"/>
      <c r="AI202" s="50" t="n"/>
    </row>
    <row r="203" ht="15" customHeight="1">
      <c r="A203" s="52" t="n"/>
      <c r="B203" s="52" t="n"/>
      <c r="C203" s="53" t="n"/>
      <c r="D203" s="54" t="n"/>
      <c r="E203" s="54" t="n"/>
      <c r="F203" s="98" t="n"/>
      <c r="G203" s="98" t="n"/>
      <c r="H203" s="98" t="n"/>
      <c r="I203" s="99" t="n"/>
      <c r="J203" s="98" t="n"/>
      <c r="K203" s="100" t="n"/>
      <c r="L203" s="101" t="n"/>
      <c r="N203" s="49" t="n"/>
      <c r="O203" s="49" t="n"/>
      <c r="P203" s="50" t="n"/>
      <c r="Q203" s="50" t="n"/>
      <c r="R203" s="49" t="n"/>
      <c r="S203" s="50" t="n"/>
      <c r="T203" s="50" t="n"/>
      <c r="U203" s="50" t="n"/>
      <c r="V203" s="50" t="n"/>
      <c r="W203" s="50" t="n"/>
      <c r="X203" s="50" t="n"/>
      <c r="Y203" s="50" t="n"/>
      <c r="Z203" s="50" t="n"/>
      <c r="AA203" s="50" t="n"/>
      <c r="AB203" s="50" t="n"/>
      <c r="AC203" s="50" t="n"/>
      <c r="AD203" s="50" t="n"/>
      <c r="AE203" s="50" t="n"/>
      <c r="AF203" s="50" t="n"/>
      <c r="AG203" s="50" t="n"/>
      <c r="AH203" s="50" t="n"/>
      <c r="AI203" s="50" t="n"/>
    </row>
    <row r="204">
      <c r="A204" s="37" t="n"/>
      <c r="B204" s="37" t="n"/>
      <c r="C204" s="37" t="n"/>
      <c r="D204" s="37" t="n"/>
      <c r="E204" s="37" t="n"/>
      <c r="F204" s="95" t="n"/>
      <c r="G204" s="95" t="n"/>
      <c r="H204" s="95" t="n"/>
      <c r="I204" s="80" t="n"/>
      <c r="J204" s="95" t="n"/>
      <c r="K204" s="96" t="n"/>
      <c r="L204" s="97" t="n"/>
      <c r="N204" s="49" t="n"/>
      <c r="O204" s="49" t="n"/>
      <c r="P204" s="50" t="n"/>
      <c r="Q204" s="50" t="n"/>
      <c r="R204" s="49" t="n"/>
      <c r="S204" s="50" t="n"/>
      <c r="T204" s="50" t="n"/>
      <c r="U204" s="50" t="n"/>
      <c r="V204" s="50" t="n"/>
      <c r="W204" s="50" t="n"/>
      <c r="X204" s="50" t="n"/>
      <c r="Y204" s="50" t="n"/>
      <c r="Z204" s="50" t="n"/>
      <c r="AA204" s="50" t="n"/>
      <c r="AB204" s="50" t="n"/>
      <c r="AC204" s="50" t="n"/>
      <c r="AD204" s="50" t="n"/>
      <c r="AE204" s="50" t="n"/>
      <c r="AF204" s="50" t="n"/>
      <c r="AG204" s="50" t="n"/>
      <c r="AH204" s="50" t="n"/>
      <c r="AI204" s="50" t="n"/>
    </row>
    <row r="205">
      <c r="A205" s="37" t="n"/>
      <c r="B205" s="37" t="n"/>
      <c r="C205" s="37" t="n"/>
      <c r="D205" s="37" t="n"/>
      <c r="E205" s="37" t="n"/>
      <c r="F205" s="95" t="n"/>
      <c r="G205" s="95" t="n"/>
      <c r="H205" s="95" t="n"/>
      <c r="I205" s="80" t="n"/>
      <c r="J205" s="95" t="n"/>
      <c r="K205" s="96" t="n"/>
      <c r="L205" s="97" t="n"/>
      <c r="N205" s="49" t="n"/>
      <c r="O205" s="49" t="n"/>
      <c r="P205" s="50" t="n"/>
      <c r="Q205" s="50" t="n"/>
      <c r="R205" s="49" t="n"/>
      <c r="S205" s="50" t="n"/>
      <c r="T205" s="50" t="n"/>
      <c r="U205" s="50" t="n"/>
      <c r="V205" s="50" t="n"/>
      <c r="W205" s="50" t="n"/>
      <c r="X205" s="50" t="n"/>
      <c r="Y205" s="50" t="n"/>
      <c r="Z205" s="50" t="n"/>
      <c r="AA205" s="50" t="n"/>
      <c r="AB205" s="50" t="n"/>
      <c r="AC205" s="50" t="n"/>
      <c r="AD205" s="50" t="n"/>
      <c r="AE205" s="50" t="n"/>
      <c r="AF205" s="50" t="n"/>
      <c r="AG205" s="50" t="n"/>
      <c r="AH205" s="50" t="n"/>
      <c r="AI205" s="50" t="n"/>
    </row>
    <row r="206">
      <c r="A206" s="37" t="n"/>
      <c r="B206" s="37" t="n"/>
      <c r="C206" s="37" t="n"/>
      <c r="D206" s="37" t="n"/>
      <c r="E206" s="37" t="n"/>
      <c r="F206" s="95" t="n"/>
      <c r="G206" s="95" t="n"/>
      <c r="H206" s="95" t="n"/>
      <c r="I206" s="80" t="n"/>
      <c r="J206" s="95" t="n"/>
      <c r="K206" s="96" t="n"/>
      <c r="L206" s="97" t="n"/>
      <c r="N206" s="49" t="n"/>
      <c r="O206" s="49" t="n"/>
      <c r="P206" s="50" t="n"/>
      <c r="Q206" s="50" t="n"/>
      <c r="R206" s="49" t="n"/>
      <c r="S206" s="50" t="n"/>
      <c r="T206" s="50" t="n"/>
      <c r="U206" s="50" t="n"/>
      <c r="V206" s="50" t="n"/>
      <c r="W206" s="50" t="n"/>
      <c r="X206" s="50" t="n"/>
      <c r="Y206" s="50" t="n"/>
      <c r="Z206" s="50" t="n"/>
      <c r="AA206" s="50" t="n"/>
      <c r="AB206" s="50" t="n"/>
      <c r="AC206" s="50" t="n"/>
      <c r="AD206" s="50" t="n"/>
      <c r="AE206" s="50" t="n"/>
      <c r="AF206" s="50" t="n"/>
      <c r="AG206" s="50" t="n"/>
      <c r="AH206" s="50" t="n"/>
      <c r="AI206" s="50" t="n"/>
    </row>
    <row r="207">
      <c r="A207" s="37" t="n"/>
      <c r="B207" s="37" t="n"/>
      <c r="C207" s="37" t="n"/>
      <c r="D207" s="37" t="n"/>
      <c r="E207" s="37" t="n"/>
      <c r="F207" s="95" t="n"/>
      <c r="G207" s="95" t="n"/>
      <c r="H207" s="95" t="n"/>
      <c r="I207" s="80" t="n"/>
      <c r="J207" s="95" t="n"/>
      <c r="K207" s="96" t="n"/>
      <c r="L207" s="97" t="n"/>
      <c r="N207" s="49" t="n"/>
      <c r="O207" s="49" t="n"/>
      <c r="P207" s="50" t="n"/>
      <c r="Q207" s="50" t="n"/>
      <c r="R207" s="49" t="n"/>
      <c r="S207" s="50" t="n"/>
      <c r="T207" s="50" t="n"/>
      <c r="U207" s="50" t="n"/>
      <c r="V207" s="50" t="n"/>
      <c r="W207" s="50" t="n"/>
      <c r="X207" s="50" t="n"/>
      <c r="Y207" s="50" t="n"/>
      <c r="Z207" s="50" t="n"/>
      <c r="AA207" s="50" t="n"/>
      <c r="AB207" s="50" t="n"/>
      <c r="AC207" s="50" t="n"/>
      <c r="AD207" s="50" t="n"/>
      <c r="AE207" s="50" t="n"/>
      <c r="AF207" s="50" t="n"/>
      <c r="AG207" s="50" t="n"/>
      <c r="AH207" s="50" t="n"/>
      <c r="AI207" s="50" t="n"/>
    </row>
    <row r="208">
      <c r="A208" s="37" t="n"/>
      <c r="B208" s="37" t="n"/>
      <c r="C208" s="37" t="n"/>
      <c r="D208" s="37" t="n"/>
      <c r="E208" s="37" t="n"/>
      <c r="F208" s="95" t="n"/>
      <c r="G208" s="95" t="n"/>
      <c r="H208" s="95" t="n"/>
      <c r="I208" s="80" t="n"/>
      <c r="J208" s="95" t="n"/>
      <c r="K208" s="96" t="n"/>
      <c r="L208" s="97" t="n"/>
      <c r="N208" s="49" t="n"/>
      <c r="O208" s="49" t="n"/>
      <c r="P208" s="50" t="n"/>
      <c r="Q208" s="50" t="n"/>
      <c r="R208" s="49" t="n"/>
      <c r="S208" s="50" t="n"/>
      <c r="T208" s="50" t="n"/>
      <c r="U208" s="50" t="n"/>
      <c r="V208" s="50" t="n"/>
      <c r="W208" s="50" t="n"/>
      <c r="X208" s="50" t="n"/>
      <c r="Y208" s="50" t="n"/>
      <c r="Z208" s="50" t="n"/>
      <c r="AA208" s="50" t="n"/>
      <c r="AB208" s="50" t="n"/>
      <c r="AC208" s="50" t="n"/>
      <c r="AD208" s="50" t="n"/>
      <c r="AE208" s="50" t="n"/>
      <c r="AF208" s="50" t="n"/>
      <c r="AG208" s="50" t="n"/>
      <c r="AH208" s="50" t="n"/>
      <c r="AI208" s="50" t="n"/>
    </row>
    <row r="209">
      <c r="A209" s="37" t="n"/>
      <c r="B209" s="37" t="n"/>
      <c r="C209" s="37" t="n"/>
      <c r="D209" s="37" t="n"/>
      <c r="E209" s="37" t="n"/>
      <c r="F209" s="95" t="n"/>
      <c r="G209" s="95" t="n"/>
      <c r="H209" s="95" t="n"/>
      <c r="I209" s="80" t="n"/>
      <c r="J209" s="95" t="n"/>
      <c r="K209" s="96" t="n"/>
      <c r="L209" s="97" t="n"/>
      <c r="N209" s="49" t="n"/>
      <c r="O209" s="49" t="n"/>
      <c r="P209" s="50" t="n"/>
      <c r="Q209" s="50" t="n"/>
      <c r="R209" s="49" t="n"/>
      <c r="S209" s="50" t="n"/>
      <c r="T209" s="50" t="n"/>
      <c r="U209" s="50" t="n"/>
      <c r="V209" s="50" t="n"/>
      <c r="W209" s="50" t="n"/>
      <c r="X209" s="50" t="n"/>
      <c r="Y209" s="50" t="n"/>
      <c r="Z209" s="50" t="n"/>
      <c r="AA209" s="50" t="n"/>
      <c r="AB209" s="50" t="n"/>
      <c r="AC209" s="50" t="n"/>
      <c r="AD209" s="50" t="n"/>
      <c r="AE209" s="50" t="n"/>
      <c r="AF209" s="50" t="n"/>
      <c r="AG209" s="50" t="n"/>
      <c r="AH209" s="50" t="n"/>
      <c r="AI209" s="50" t="n"/>
    </row>
    <row r="210">
      <c r="A210" s="37" t="n"/>
      <c r="B210" s="37" t="n"/>
      <c r="C210" s="37" t="n"/>
      <c r="D210" s="37" t="n"/>
      <c r="E210" s="37" t="n"/>
      <c r="F210" s="95" t="n"/>
      <c r="G210" s="95" t="n"/>
      <c r="H210" s="95" t="n"/>
      <c r="I210" s="80" t="n"/>
      <c r="J210" s="95" t="n"/>
      <c r="K210" s="96" t="n"/>
      <c r="L210" s="97" t="n"/>
      <c r="N210" s="49" t="n"/>
      <c r="O210" s="49" t="n"/>
      <c r="P210" s="50" t="n"/>
      <c r="Q210" s="50" t="n"/>
      <c r="R210" s="49" t="n"/>
      <c r="S210" s="50" t="n"/>
      <c r="T210" s="50" t="n"/>
      <c r="U210" s="50" t="n"/>
      <c r="V210" s="50" t="n"/>
      <c r="W210" s="50" t="n"/>
      <c r="X210" s="50" t="n"/>
      <c r="Y210" s="50" t="n"/>
      <c r="Z210" s="50" t="n"/>
      <c r="AA210" s="50" t="n"/>
      <c r="AB210" s="50" t="n"/>
      <c r="AC210" s="50" t="n"/>
      <c r="AD210" s="50" t="n"/>
      <c r="AE210" s="50" t="n"/>
      <c r="AF210" s="50" t="n"/>
      <c r="AG210" s="50" t="n"/>
      <c r="AH210" s="50" t="n"/>
      <c r="AI210" s="50" t="n"/>
    </row>
    <row r="211">
      <c r="A211" s="37" t="n"/>
      <c r="B211" s="37" t="n"/>
      <c r="C211" s="37" t="n"/>
      <c r="D211" s="37" t="n"/>
      <c r="E211" s="37" t="n"/>
      <c r="F211" s="95" t="n"/>
      <c r="G211" s="95" t="n"/>
      <c r="H211" s="95" t="n"/>
      <c r="I211" s="80" t="n"/>
      <c r="J211" s="95" t="n"/>
      <c r="K211" s="96" t="n"/>
      <c r="L211" s="97" t="n"/>
      <c r="N211" s="49" t="n"/>
      <c r="O211" s="49" t="n"/>
      <c r="P211" s="50" t="n"/>
      <c r="Q211" s="50" t="n"/>
      <c r="R211" s="49" t="n"/>
      <c r="S211" s="50" t="n"/>
      <c r="T211" s="50" t="n"/>
      <c r="U211" s="50" t="n"/>
      <c r="V211" s="50" t="n"/>
      <c r="W211" s="50" t="n"/>
      <c r="X211" s="50" t="n"/>
      <c r="Y211" s="50" t="n"/>
      <c r="Z211" s="50" t="n"/>
      <c r="AA211" s="50" t="n"/>
      <c r="AB211" s="50" t="n"/>
      <c r="AC211" s="50" t="n"/>
      <c r="AD211" s="50" t="n"/>
      <c r="AE211" s="50" t="n"/>
      <c r="AF211" s="50" t="n"/>
      <c r="AG211" s="50" t="n"/>
      <c r="AH211" s="50" t="n"/>
      <c r="AI211" s="50" t="n"/>
    </row>
    <row r="212">
      <c r="A212" s="37" t="n"/>
      <c r="B212" s="37" t="n"/>
      <c r="C212" s="37" t="n"/>
      <c r="D212" s="37" t="n"/>
      <c r="E212" s="37" t="n"/>
      <c r="F212" s="95" t="n"/>
      <c r="G212" s="95" t="n"/>
      <c r="H212" s="95" t="n"/>
      <c r="I212" s="80" t="n"/>
      <c r="J212" s="95" t="n"/>
      <c r="K212" s="96" t="n"/>
      <c r="L212" s="97" t="n"/>
      <c r="N212" s="49" t="n"/>
      <c r="O212" s="49" t="n"/>
      <c r="P212" s="50" t="n"/>
      <c r="Q212" s="50" t="n"/>
      <c r="R212" s="49" t="n"/>
      <c r="S212" s="50" t="n"/>
      <c r="T212" s="50" t="n"/>
      <c r="U212" s="50" t="n"/>
      <c r="V212" s="50" t="n"/>
      <c r="W212" s="50" t="n"/>
      <c r="X212" s="50" t="n"/>
      <c r="Y212" s="50" t="n"/>
      <c r="Z212" s="50" t="n"/>
      <c r="AA212" s="50" t="n"/>
      <c r="AB212" s="50" t="n"/>
      <c r="AC212" s="50" t="n"/>
      <c r="AD212" s="50" t="n"/>
      <c r="AE212" s="50" t="n"/>
      <c r="AF212" s="50" t="n"/>
      <c r="AG212" s="50" t="n"/>
      <c r="AH212" s="50" t="n"/>
      <c r="AI212" s="50" t="n"/>
    </row>
    <row r="213">
      <c r="A213" s="37" t="n"/>
      <c r="B213" s="37" t="n"/>
      <c r="C213" s="37" t="n"/>
      <c r="D213" s="37" t="n"/>
      <c r="E213" s="37" t="n"/>
      <c r="F213" s="95" t="n"/>
      <c r="G213" s="95" t="n"/>
      <c r="H213" s="95" t="n"/>
      <c r="I213" s="80" t="n"/>
      <c r="J213" s="95" t="n"/>
      <c r="K213" s="96" t="n"/>
      <c r="L213" s="97" t="n"/>
      <c r="N213" s="49" t="n"/>
      <c r="O213" s="49" t="n"/>
      <c r="P213" s="50" t="n"/>
      <c r="Q213" s="50" t="n"/>
      <c r="R213" s="49" t="n"/>
      <c r="S213" s="50" t="n"/>
      <c r="T213" s="50" t="n"/>
      <c r="U213" s="50" t="n"/>
      <c r="V213" s="50" t="n"/>
      <c r="W213" s="50" t="n"/>
      <c r="X213" s="50" t="n"/>
      <c r="Y213" s="50" t="n"/>
      <c r="Z213" s="50" t="n"/>
      <c r="AA213" s="50" t="n"/>
      <c r="AB213" s="50" t="n"/>
      <c r="AC213" s="50" t="n"/>
      <c r="AD213" s="50" t="n"/>
      <c r="AE213" s="50" t="n"/>
      <c r="AF213" s="50" t="n"/>
      <c r="AG213" s="50" t="n"/>
      <c r="AH213" s="50" t="n"/>
      <c r="AI213" s="50" t="n"/>
    </row>
    <row r="214">
      <c r="A214" s="37" t="n"/>
      <c r="B214" s="37" t="n"/>
      <c r="C214" s="37" t="n"/>
      <c r="D214" s="37" t="n"/>
      <c r="E214" s="37" t="n"/>
      <c r="F214" s="95" t="n"/>
      <c r="G214" s="95" t="n"/>
      <c r="H214" s="95" t="n"/>
      <c r="I214" s="80" t="n"/>
      <c r="J214" s="95" t="n"/>
      <c r="K214" s="96" t="n"/>
      <c r="L214" s="97" t="n"/>
      <c r="N214" s="49" t="n"/>
      <c r="O214" s="49" t="n"/>
      <c r="P214" s="50" t="n"/>
      <c r="Q214" s="50" t="n"/>
      <c r="R214" s="49" t="n"/>
      <c r="S214" s="50" t="n"/>
      <c r="T214" s="50" t="n"/>
      <c r="U214" s="50" t="n"/>
      <c r="V214" s="50" t="n"/>
      <c r="W214" s="50" t="n"/>
      <c r="X214" s="50" t="n"/>
      <c r="Y214" s="50" t="n"/>
      <c r="Z214" s="50" t="n"/>
      <c r="AA214" s="50" t="n"/>
      <c r="AB214" s="50" t="n"/>
      <c r="AC214" s="50" t="n"/>
      <c r="AD214" s="50" t="n"/>
      <c r="AE214" s="50" t="n"/>
      <c r="AF214" s="50" t="n"/>
      <c r="AG214" s="50" t="n"/>
      <c r="AH214" s="50" t="n"/>
      <c r="AI214" s="50" t="n"/>
    </row>
    <row r="215">
      <c r="A215" s="37" t="n"/>
      <c r="B215" s="37" t="n"/>
      <c r="C215" s="37" t="n"/>
      <c r="D215" s="37" t="n"/>
      <c r="E215" s="37" t="n"/>
      <c r="F215" s="95" t="n"/>
      <c r="G215" s="95" t="n"/>
      <c r="H215" s="95" t="n"/>
      <c r="I215" s="80" t="n"/>
      <c r="J215" s="95" t="n"/>
      <c r="K215" s="96" t="n"/>
      <c r="L215" s="97" t="n"/>
      <c r="N215" s="49" t="n"/>
      <c r="O215" s="49" t="n"/>
      <c r="P215" s="50" t="n"/>
      <c r="Q215" s="50" t="n"/>
      <c r="R215" s="49" t="n"/>
      <c r="S215" s="50" t="n"/>
      <c r="T215" s="50" t="n"/>
      <c r="U215" s="50" t="n"/>
      <c r="V215" s="50" t="n"/>
      <c r="W215" s="50" t="n"/>
      <c r="X215" s="50" t="n"/>
      <c r="Y215" s="50" t="n"/>
      <c r="Z215" s="50" t="n"/>
      <c r="AA215" s="50" t="n"/>
      <c r="AB215" s="50" t="n"/>
      <c r="AC215" s="50" t="n"/>
      <c r="AD215" s="50" t="n"/>
      <c r="AE215" s="50" t="n"/>
      <c r="AF215" s="50" t="n"/>
      <c r="AG215" s="50" t="n"/>
      <c r="AH215" s="50" t="n"/>
      <c r="AI215" s="50" t="n"/>
    </row>
    <row r="216">
      <c r="A216" s="37" t="n"/>
      <c r="B216" s="37" t="n"/>
      <c r="C216" s="37" t="n"/>
      <c r="D216" s="37" t="n"/>
      <c r="E216" s="37" t="n"/>
      <c r="F216" s="95" t="n"/>
      <c r="G216" s="95" t="n"/>
      <c r="H216" s="95" t="n"/>
      <c r="I216" s="80" t="n"/>
      <c r="J216" s="95" t="n"/>
      <c r="K216" s="96" t="n"/>
      <c r="L216" s="97" t="n"/>
      <c r="N216" s="49" t="n"/>
      <c r="O216" s="49" t="n"/>
      <c r="P216" s="50" t="n"/>
      <c r="Q216" s="50" t="n"/>
      <c r="R216" s="49" t="n"/>
      <c r="S216" s="50" t="n"/>
      <c r="T216" s="50" t="n"/>
      <c r="U216" s="50" t="n"/>
      <c r="V216" s="50" t="n"/>
      <c r="W216" s="50" t="n"/>
      <c r="X216" s="50" t="n"/>
      <c r="Y216" s="50" t="n"/>
      <c r="Z216" s="50" t="n"/>
      <c r="AA216" s="50" t="n"/>
      <c r="AB216" s="50" t="n"/>
      <c r="AC216" s="50" t="n"/>
      <c r="AD216" s="50" t="n"/>
      <c r="AE216" s="50" t="n"/>
      <c r="AF216" s="50" t="n"/>
      <c r="AG216" s="50" t="n"/>
      <c r="AH216" s="50" t="n"/>
      <c r="AI216" s="50" t="n"/>
    </row>
    <row r="217">
      <c r="A217" s="37" t="n"/>
      <c r="B217" s="37" t="n"/>
      <c r="C217" s="37" t="n"/>
      <c r="D217" s="37" t="n"/>
      <c r="E217" s="37" t="n"/>
      <c r="F217" s="95" t="n"/>
      <c r="G217" s="95" t="n"/>
      <c r="H217" s="95" t="n"/>
      <c r="I217" s="80" t="n"/>
      <c r="J217" s="95" t="n"/>
      <c r="K217" s="96" t="n"/>
      <c r="L217" s="97" t="n"/>
      <c r="N217" s="49" t="n"/>
      <c r="O217" s="49" t="n"/>
      <c r="P217" s="50" t="n"/>
      <c r="Q217" s="50" t="n"/>
      <c r="R217" s="49" t="n"/>
      <c r="S217" s="50" t="n"/>
      <c r="T217" s="50" t="n"/>
      <c r="U217" s="50" t="n"/>
      <c r="V217" s="50" t="n"/>
      <c r="W217" s="50" t="n"/>
      <c r="X217" s="50" t="n"/>
      <c r="Y217" s="50" t="n"/>
      <c r="Z217" s="50" t="n"/>
      <c r="AA217" s="50" t="n"/>
      <c r="AB217" s="50" t="n"/>
      <c r="AC217" s="50" t="n"/>
      <c r="AD217" s="50" t="n"/>
      <c r="AE217" s="50" t="n"/>
      <c r="AF217" s="50" t="n"/>
      <c r="AG217" s="50" t="n"/>
      <c r="AH217" s="50" t="n"/>
      <c r="AI217" s="50" t="n"/>
    </row>
    <row r="218">
      <c r="A218" s="37" t="n"/>
      <c r="B218" s="37" t="n"/>
      <c r="C218" s="37" t="n"/>
      <c r="D218" s="37" t="n"/>
      <c r="E218" s="37" t="n"/>
      <c r="F218" s="95" t="n"/>
      <c r="G218" s="95" t="n"/>
      <c r="H218" s="95" t="n"/>
      <c r="I218" s="80" t="n"/>
      <c r="J218" s="95" t="n"/>
      <c r="K218" s="96" t="n"/>
      <c r="L218" s="97" t="n"/>
      <c r="N218" s="49" t="n"/>
      <c r="O218" s="49" t="n"/>
      <c r="P218" s="50" t="n"/>
      <c r="Q218" s="50" t="n"/>
      <c r="R218" s="49" t="n"/>
      <c r="S218" s="50" t="n"/>
      <c r="T218" s="50" t="n"/>
      <c r="U218" s="50" t="n"/>
      <c r="V218" s="50" t="n"/>
      <c r="W218" s="50" t="n"/>
      <c r="X218" s="50" t="n"/>
      <c r="Y218" s="50" t="n"/>
      <c r="Z218" s="50" t="n"/>
      <c r="AA218" s="50" t="n"/>
      <c r="AB218" s="50" t="n"/>
      <c r="AC218" s="50" t="n"/>
      <c r="AD218" s="50" t="n"/>
      <c r="AE218" s="50" t="n"/>
      <c r="AF218" s="50" t="n"/>
      <c r="AG218" s="50" t="n"/>
      <c r="AH218" s="50" t="n"/>
      <c r="AI218" s="50" t="n"/>
    </row>
    <row r="219">
      <c r="A219" s="37" t="n"/>
      <c r="B219" s="37" t="n"/>
      <c r="C219" s="37" t="n"/>
      <c r="D219" s="37" t="n"/>
      <c r="E219" s="37" t="n"/>
      <c r="F219" s="95" t="n"/>
      <c r="G219" s="95" t="n"/>
      <c r="H219" s="95" t="n"/>
      <c r="I219" s="80" t="n"/>
      <c r="J219" s="95" t="n"/>
      <c r="K219" s="96" t="n"/>
      <c r="L219" s="97" t="n"/>
      <c r="N219" s="49" t="n"/>
      <c r="O219" s="49" t="n"/>
      <c r="P219" s="50" t="n"/>
      <c r="Q219" s="50" t="n"/>
      <c r="R219" s="49" t="n"/>
      <c r="S219" s="50" t="n"/>
      <c r="T219" s="50" t="n"/>
      <c r="U219" s="50" t="n"/>
      <c r="V219" s="50" t="n"/>
      <c r="W219" s="50" t="n"/>
      <c r="X219" s="50" t="n"/>
      <c r="Y219" s="50" t="n"/>
      <c r="Z219" s="50" t="n"/>
      <c r="AA219" s="50" t="n"/>
      <c r="AB219" s="50" t="n"/>
      <c r="AC219" s="50" t="n"/>
      <c r="AD219" s="50" t="n"/>
      <c r="AE219" s="50" t="n"/>
      <c r="AF219" s="50" t="n"/>
      <c r="AG219" s="50" t="n"/>
      <c r="AH219" s="50" t="n"/>
      <c r="AI219" s="50" t="n"/>
    </row>
    <row r="220">
      <c r="A220" s="52" t="n"/>
      <c r="B220" s="52" t="n"/>
      <c r="C220" s="53" t="n"/>
      <c r="D220" s="54" t="n"/>
      <c r="E220" s="54" t="n"/>
      <c r="F220" s="98" t="n"/>
      <c r="G220" s="98" t="n"/>
      <c r="H220" s="98" t="n"/>
      <c r="I220" s="99" t="n"/>
      <c r="J220" s="98" t="n"/>
      <c r="K220" s="100" t="n"/>
      <c r="L220" s="101" t="n"/>
      <c r="N220" s="49" t="n"/>
      <c r="O220" s="49" t="n"/>
      <c r="P220" s="50" t="n"/>
      <c r="Q220" s="50" t="n"/>
      <c r="R220" s="49" t="n"/>
      <c r="S220" s="50" t="n"/>
      <c r="T220" s="50" t="n"/>
      <c r="U220" s="50" t="n"/>
      <c r="V220" s="50" t="n"/>
      <c r="W220" s="50" t="n"/>
      <c r="X220" s="50" t="n"/>
      <c r="Y220" s="50" t="n"/>
      <c r="Z220" s="50" t="n"/>
      <c r="AA220" s="50" t="n"/>
      <c r="AB220" s="50" t="n"/>
      <c r="AC220" s="50" t="n"/>
      <c r="AD220" s="50" t="n"/>
      <c r="AE220" s="50" t="n"/>
      <c r="AF220" s="50" t="n"/>
      <c r="AG220" s="50" t="n"/>
      <c r="AH220" s="50" t="n"/>
      <c r="AI220" s="50" t="n"/>
    </row>
    <row r="221">
      <c r="A221" s="37" t="n"/>
      <c r="B221" s="37" t="n"/>
      <c r="C221" s="37" t="n"/>
      <c r="D221" s="37" t="n"/>
      <c r="E221" s="37" t="n"/>
      <c r="F221" s="95" t="n"/>
      <c r="G221" s="95" t="n"/>
      <c r="H221" s="95" t="n"/>
      <c r="I221" s="80" t="n"/>
      <c r="J221" s="95" t="n"/>
      <c r="K221" s="96" t="n"/>
      <c r="L221" s="97" t="n"/>
      <c r="N221" s="49" t="n"/>
      <c r="O221" s="49" t="n"/>
      <c r="P221" s="50" t="n"/>
      <c r="Q221" s="50" t="n"/>
      <c r="R221" s="49" t="n"/>
      <c r="S221" s="50" t="n"/>
      <c r="T221" s="50" t="n"/>
      <c r="U221" s="50" t="n"/>
      <c r="V221" s="50" t="n"/>
      <c r="W221" s="50" t="n"/>
      <c r="X221" s="50" t="n"/>
      <c r="Y221" s="50" t="n"/>
      <c r="Z221" s="50" t="n"/>
      <c r="AA221" s="50" t="n"/>
      <c r="AB221" s="50" t="n"/>
      <c r="AC221" s="50" t="n"/>
      <c r="AD221" s="50" t="n"/>
      <c r="AE221" s="50" t="n"/>
      <c r="AF221" s="50" t="n"/>
      <c r="AG221" s="50" t="n"/>
      <c r="AH221" s="50" t="n"/>
      <c r="AI221" s="50" t="n"/>
    </row>
    <row r="222">
      <c r="A222" s="37" t="n"/>
      <c r="B222" s="37" t="n"/>
      <c r="C222" s="37" t="n"/>
      <c r="D222" s="37" t="n"/>
      <c r="E222" s="37" t="n"/>
      <c r="F222" s="95" t="n"/>
      <c r="G222" s="95" t="n"/>
      <c r="H222" s="95" t="n"/>
      <c r="I222" s="80" t="n"/>
      <c r="J222" s="95" t="n"/>
      <c r="K222" s="96" t="n"/>
      <c r="L222" s="97" t="n"/>
      <c r="N222" s="49" t="n"/>
      <c r="O222" s="49" t="n"/>
      <c r="P222" s="50" t="n"/>
      <c r="Q222" s="50" t="n"/>
      <c r="R222" s="49" t="n"/>
      <c r="S222" s="50" t="n"/>
      <c r="T222" s="50" t="n"/>
      <c r="U222" s="50" t="n"/>
      <c r="V222" s="50" t="n"/>
      <c r="W222" s="50" t="n"/>
      <c r="X222" s="50" t="n"/>
      <c r="Y222" s="50" t="n"/>
      <c r="Z222" s="50" t="n"/>
      <c r="AA222" s="50" t="n"/>
      <c r="AB222" s="50" t="n"/>
      <c r="AC222" s="50" t="n"/>
      <c r="AD222" s="50" t="n"/>
      <c r="AE222" s="50" t="n"/>
      <c r="AF222" s="50" t="n"/>
      <c r="AG222" s="50" t="n"/>
      <c r="AH222" s="50" t="n"/>
      <c r="AI222" s="50" t="n"/>
    </row>
    <row r="223">
      <c r="A223" s="37" t="n"/>
      <c r="B223" s="37" t="n"/>
      <c r="C223" s="37" t="n"/>
      <c r="D223" s="37" t="n"/>
      <c r="E223" s="37" t="n"/>
      <c r="F223" s="95" t="n"/>
      <c r="G223" s="95" t="n"/>
      <c r="H223" s="95" t="n"/>
      <c r="I223" s="80" t="n"/>
      <c r="J223" s="95" t="n"/>
      <c r="K223" s="96" t="n"/>
      <c r="L223" s="97" t="n"/>
      <c r="N223" s="49" t="n"/>
      <c r="O223" s="49" t="n"/>
      <c r="P223" s="50" t="n"/>
      <c r="Q223" s="50" t="n"/>
      <c r="R223" s="49" t="n"/>
      <c r="S223" s="50" t="n"/>
      <c r="T223" s="50" t="n"/>
      <c r="U223" s="50" t="n"/>
      <c r="V223" s="50" t="n"/>
      <c r="W223" s="50" t="n"/>
      <c r="X223" s="50" t="n"/>
      <c r="Y223" s="50" t="n"/>
      <c r="Z223" s="50" t="n"/>
      <c r="AA223" s="50" t="n"/>
      <c r="AB223" s="50" t="n"/>
      <c r="AC223" s="50" t="n"/>
      <c r="AD223" s="50" t="n"/>
      <c r="AE223" s="50" t="n"/>
      <c r="AF223" s="50" t="n"/>
      <c r="AG223" s="50" t="n"/>
      <c r="AH223" s="50" t="n"/>
      <c r="AI223" s="50" t="n"/>
    </row>
    <row r="224">
      <c r="A224" s="37" t="n"/>
      <c r="B224" s="37" t="n"/>
      <c r="C224" s="37" t="n"/>
      <c r="D224" s="37" t="n"/>
      <c r="E224" s="37" t="n"/>
      <c r="F224" s="95" t="n"/>
      <c r="G224" s="95" t="n"/>
      <c r="H224" s="95" t="n"/>
      <c r="I224" s="80" t="n"/>
      <c r="J224" s="95" t="n"/>
      <c r="K224" s="96" t="n"/>
      <c r="L224" s="97" t="n"/>
      <c r="N224" s="49" t="n"/>
      <c r="O224" s="49" t="n"/>
      <c r="P224" s="50" t="n"/>
      <c r="Q224" s="50" t="n"/>
      <c r="R224" s="49" t="n"/>
      <c r="S224" s="50" t="n"/>
      <c r="T224" s="50" t="n"/>
      <c r="U224" s="50" t="n"/>
      <c r="V224" s="50" t="n"/>
      <c r="W224" s="50" t="n"/>
      <c r="X224" s="50" t="n"/>
      <c r="Y224" s="50" t="n"/>
      <c r="Z224" s="50" t="n"/>
      <c r="AA224" s="50" t="n"/>
      <c r="AB224" s="50" t="n"/>
      <c r="AC224" s="50" t="n"/>
      <c r="AD224" s="50" t="n"/>
      <c r="AE224" s="50" t="n"/>
      <c r="AF224" s="50" t="n"/>
      <c r="AG224" s="50" t="n"/>
      <c r="AH224" s="50" t="n"/>
      <c r="AI224" s="50" t="n"/>
    </row>
    <row r="225">
      <c r="A225" s="37" t="n"/>
      <c r="B225" s="37" t="n"/>
      <c r="C225" s="37" t="n"/>
      <c r="D225" s="37" t="n"/>
      <c r="E225" s="37" t="n"/>
      <c r="F225" s="95" t="n"/>
      <c r="G225" s="95" t="n"/>
      <c r="H225" s="95" t="n"/>
      <c r="I225" s="80" t="n"/>
      <c r="J225" s="95" t="n"/>
      <c r="K225" s="96" t="n"/>
      <c r="L225" s="97" t="n"/>
      <c r="N225" s="49" t="n"/>
      <c r="O225" s="49" t="n"/>
      <c r="P225" s="50" t="n"/>
      <c r="Q225" s="50" t="n"/>
      <c r="R225" s="49" t="n"/>
      <c r="S225" s="50" t="n"/>
      <c r="T225" s="50" t="n"/>
      <c r="U225" s="50" t="n"/>
      <c r="V225" s="50" t="n"/>
      <c r="W225" s="50" t="n"/>
      <c r="X225" s="50" t="n"/>
      <c r="Y225" s="50" t="n"/>
      <c r="Z225" s="50" t="n"/>
      <c r="AA225" s="50" t="n"/>
      <c r="AB225" s="50" t="n"/>
      <c r="AC225" s="50" t="n"/>
      <c r="AD225" s="50" t="n"/>
      <c r="AE225" s="50" t="n"/>
      <c r="AF225" s="50" t="n"/>
      <c r="AG225" s="50" t="n"/>
      <c r="AH225" s="50" t="n"/>
      <c r="AI225" s="50" t="n"/>
    </row>
    <row r="226">
      <c r="A226" s="37" t="n"/>
      <c r="B226" s="37" t="n"/>
      <c r="C226" s="37" t="n"/>
      <c r="D226" s="37" t="n"/>
      <c r="E226" s="37" t="n"/>
      <c r="F226" s="95" t="n"/>
      <c r="G226" s="95" t="n"/>
      <c r="H226" s="95" t="n"/>
      <c r="I226" s="80" t="n"/>
      <c r="J226" s="95" t="n"/>
      <c r="K226" s="96" t="n"/>
      <c r="L226" s="97" t="n"/>
      <c r="N226" s="49" t="n"/>
      <c r="O226" s="49" t="n"/>
      <c r="P226" s="50" t="n"/>
      <c r="Q226" s="50" t="n"/>
      <c r="R226" s="49" t="n"/>
      <c r="S226" s="50" t="n"/>
      <c r="T226" s="50" t="n"/>
      <c r="U226" s="50" t="n"/>
      <c r="V226" s="50" t="n"/>
      <c r="W226" s="50" t="n"/>
      <c r="X226" s="50" t="n"/>
      <c r="Y226" s="50" t="n"/>
      <c r="Z226" s="50" t="n"/>
      <c r="AA226" s="50" t="n"/>
      <c r="AB226" s="50" t="n"/>
      <c r="AC226" s="50" t="n"/>
      <c r="AD226" s="50" t="n"/>
      <c r="AE226" s="50" t="n"/>
      <c r="AF226" s="50" t="n"/>
      <c r="AG226" s="50" t="n"/>
      <c r="AH226" s="50" t="n"/>
      <c r="AI226" s="50" t="n"/>
    </row>
    <row r="227">
      <c r="A227" s="37" t="n"/>
      <c r="B227" s="37" t="n"/>
      <c r="C227" s="37" t="n"/>
      <c r="D227" s="37" t="n"/>
      <c r="E227" s="37" t="n"/>
      <c r="F227" s="95" t="n"/>
      <c r="G227" s="95" t="n"/>
      <c r="H227" s="95" t="n"/>
      <c r="I227" s="80" t="n"/>
      <c r="J227" s="95" t="n"/>
      <c r="K227" s="96" t="n"/>
      <c r="L227" s="97" t="n"/>
      <c r="N227" s="49" t="n"/>
      <c r="O227" s="49" t="n"/>
      <c r="P227" s="50" t="n"/>
      <c r="Q227" s="50" t="n"/>
      <c r="R227" s="49" t="n"/>
      <c r="S227" s="50" t="n"/>
      <c r="T227" s="50" t="n"/>
      <c r="U227" s="50" t="n"/>
      <c r="V227" s="50" t="n"/>
      <c r="W227" s="50" t="n"/>
      <c r="X227" s="50" t="n"/>
      <c r="Y227" s="50" t="n"/>
      <c r="Z227" s="50" t="n"/>
      <c r="AA227" s="50" t="n"/>
      <c r="AB227" s="50" t="n"/>
      <c r="AC227" s="50" t="n"/>
      <c r="AD227" s="50" t="n"/>
      <c r="AE227" s="50" t="n"/>
      <c r="AF227" s="50" t="n"/>
      <c r="AG227" s="50" t="n"/>
      <c r="AH227" s="50" t="n"/>
      <c r="AI227" s="50" t="n"/>
    </row>
    <row r="228">
      <c r="A228" s="37" t="n"/>
      <c r="B228" s="37" t="n"/>
      <c r="C228" s="37" t="n"/>
      <c r="D228" s="37" t="n"/>
      <c r="E228" s="37" t="n"/>
      <c r="F228" s="95" t="n"/>
      <c r="G228" s="95" t="n"/>
      <c r="H228" s="95" t="n"/>
      <c r="I228" s="80" t="n"/>
      <c r="J228" s="95" t="n"/>
      <c r="K228" s="96" t="n"/>
      <c r="L228" s="97" t="n"/>
      <c r="N228" s="49" t="n"/>
      <c r="O228" s="49" t="n"/>
      <c r="P228" s="50" t="n"/>
      <c r="Q228" s="50" t="n"/>
      <c r="R228" s="49" t="n"/>
      <c r="S228" s="50" t="n"/>
      <c r="T228" s="50" t="n"/>
      <c r="U228" s="50" t="n"/>
      <c r="V228" s="50" t="n"/>
      <c r="W228" s="50" t="n"/>
      <c r="X228" s="50" t="n"/>
      <c r="Y228" s="50" t="n"/>
      <c r="Z228" s="50" t="n"/>
      <c r="AA228" s="50" t="n"/>
      <c r="AB228" s="50" t="n"/>
      <c r="AC228" s="50" t="n"/>
      <c r="AD228" s="50" t="n"/>
      <c r="AE228" s="50" t="n"/>
      <c r="AF228" s="50" t="n"/>
      <c r="AG228" s="50" t="n"/>
      <c r="AH228" s="50" t="n"/>
      <c r="AI228" s="50" t="n"/>
    </row>
    <row r="229">
      <c r="A229" s="37" t="n"/>
      <c r="B229" s="37" t="n"/>
      <c r="C229" s="37" t="n"/>
      <c r="D229" s="37" t="n"/>
      <c r="E229" s="37" t="n"/>
      <c r="F229" s="95" t="n"/>
      <c r="G229" s="95" t="n"/>
      <c r="H229" s="95" t="n"/>
      <c r="I229" s="80" t="n"/>
      <c r="J229" s="95" t="n"/>
      <c r="K229" s="96" t="n"/>
      <c r="L229" s="97" t="n"/>
      <c r="N229" s="49" t="n"/>
      <c r="O229" s="49" t="n"/>
      <c r="P229" s="50" t="n"/>
      <c r="Q229" s="50" t="n"/>
      <c r="R229" s="49" t="n"/>
      <c r="S229" s="50" t="n"/>
      <c r="T229" s="50" t="n"/>
      <c r="U229" s="50" t="n"/>
      <c r="V229" s="50" t="n"/>
      <c r="W229" s="50" t="n"/>
      <c r="X229" s="50" t="n"/>
      <c r="Y229" s="50" t="n"/>
      <c r="Z229" s="50" t="n"/>
      <c r="AA229" s="50" t="n"/>
      <c r="AB229" s="50" t="n"/>
      <c r="AC229" s="50" t="n"/>
      <c r="AD229" s="50" t="n"/>
      <c r="AE229" s="50" t="n"/>
      <c r="AF229" s="50" t="n"/>
      <c r="AG229" s="50" t="n"/>
      <c r="AH229" s="50" t="n"/>
      <c r="AI229" s="50" t="n"/>
    </row>
    <row r="230">
      <c r="A230" s="37" t="n"/>
      <c r="B230" s="37" t="n"/>
      <c r="C230" s="37" t="n"/>
      <c r="D230" s="37" t="n"/>
      <c r="E230" s="37" t="n"/>
      <c r="F230" s="95" t="n"/>
      <c r="G230" s="95" t="n"/>
      <c r="H230" s="95" t="n"/>
      <c r="I230" s="80" t="n"/>
      <c r="J230" s="95" t="n"/>
      <c r="K230" s="96" t="n"/>
      <c r="L230" s="97" t="n"/>
      <c r="N230" s="49" t="n"/>
      <c r="O230" s="49" t="n"/>
      <c r="P230" s="50" t="n"/>
      <c r="Q230" s="50" t="n"/>
      <c r="R230" s="49" t="n"/>
      <c r="S230" s="50" t="n"/>
      <c r="T230" s="50" t="n"/>
      <c r="U230" s="50" t="n"/>
      <c r="V230" s="50" t="n"/>
      <c r="W230" s="50" t="n"/>
      <c r="X230" s="50" t="n"/>
      <c r="Y230" s="50" t="n"/>
      <c r="Z230" s="50" t="n"/>
      <c r="AA230" s="50" t="n"/>
      <c r="AB230" s="50" t="n"/>
      <c r="AC230" s="50" t="n"/>
      <c r="AD230" s="50" t="n"/>
      <c r="AE230" s="50" t="n"/>
      <c r="AF230" s="50" t="n"/>
      <c r="AG230" s="50" t="n"/>
      <c r="AH230" s="50" t="n"/>
      <c r="AI230" s="50" t="n"/>
    </row>
    <row r="231">
      <c r="A231" s="37" t="n"/>
      <c r="B231" s="37" t="n"/>
      <c r="C231" s="37" t="n"/>
      <c r="D231" s="37" t="n"/>
      <c r="E231" s="37" t="n"/>
      <c r="F231" s="95" t="n"/>
      <c r="G231" s="95" t="n"/>
      <c r="H231" s="95" t="n"/>
      <c r="I231" s="80" t="n"/>
      <c r="J231" s="95" t="n"/>
      <c r="K231" s="96" t="n"/>
      <c r="L231" s="97" t="n"/>
      <c r="N231" s="49" t="n"/>
      <c r="O231" s="49" t="n"/>
      <c r="P231" s="50" t="n"/>
      <c r="Q231" s="50" t="n"/>
      <c r="R231" s="49" t="n"/>
      <c r="S231" s="50" t="n"/>
      <c r="T231" s="50" t="n"/>
      <c r="U231" s="50" t="n"/>
      <c r="V231" s="50" t="n"/>
      <c r="W231" s="50" t="n"/>
      <c r="X231" s="50" t="n"/>
      <c r="Y231" s="50" t="n"/>
      <c r="Z231" s="50" t="n"/>
      <c r="AA231" s="50" t="n"/>
      <c r="AB231" s="50" t="n"/>
      <c r="AC231" s="50" t="n"/>
      <c r="AD231" s="50" t="n"/>
      <c r="AE231" s="50" t="n"/>
      <c r="AF231" s="50" t="n"/>
      <c r="AG231" s="50" t="n"/>
      <c r="AH231" s="50" t="n"/>
      <c r="AI231" s="50" t="n"/>
    </row>
    <row r="232">
      <c r="A232" s="37" t="n"/>
      <c r="B232" s="37" t="n"/>
      <c r="C232" s="37" t="n"/>
      <c r="D232" s="37" t="n"/>
      <c r="E232" s="37" t="n"/>
      <c r="F232" s="95" t="n"/>
      <c r="G232" s="95" t="n"/>
      <c r="H232" s="95" t="n"/>
      <c r="I232" s="80" t="n"/>
      <c r="J232" s="95" t="n"/>
      <c r="K232" s="96" t="n"/>
      <c r="L232" s="97" t="n"/>
      <c r="N232" s="49" t="n"/>
      <c r="O232" s="49" t="n"/>
      <c r="P232" s="50" t="n"/>
      <c r="Q232" s="50" t="n"/>
      <c r="R232" s="49" t="n"/>
      <c r="S232" s="50" t="n"/>
      <c r="T232" s="50" t="n"/>
      <c r="U232" s="50" t="n"/>
      <c r="V232" s="50" t="n"/>
      <c r="W232" s="50" t="n"/>
      <c r="X232" s="50" t="n"/>
      <c r="Y232" s="50" t="n"/>
      <c r="Z232" s="50" t="n"/>
      <c r="AA232" s="50" t="n"/>
      <c r="AB232" s="50" t="n"/>
      <c r="AC232" s="50" t="n"/>
      <c r="AD232" s="50" t="n"/>
      <c r="AE232" s="50" t="n"/>
      <c r="AF232" s="50" t="n"/>
      <c r="AG232" s="50" t="n"/>
      <c r="AH232" s="50" t="n"/>
      <c r="AI232" s="50" t="n"/>
    </row>
    <row r="233">
      <c r="A233" s="37" t="n"/>
      <c r="B233" s="37" t="n"/>
      <c r="C233" s="37" t="n"/>
      <c r="D233" s="37" t="n"/>
      <c r="E233" s="37" t="n"/>
      <c r="F233" s="95" t="n"/>
      <c r="G233" s="95" t="n"/>
      <c r="H233" s="95" t="n"/>
      <c r="I233" s="80" t="n"/>
      <c r="J233" s="95" t="n"/>
      <c r="K233" s="96" t="n"/>
      <c r="L233" s="97" t="n"/>
      <c r="N233" s="49" t="n"/>
      <c r="O233" s="49" t="n"/>
      <c r="P233" s="50" t="n"/>
      <c r="Q233" s="50" t="n"/>
      <c r="R233" s="49" t="n"/>
      <c r="S233" s="50" t="n"/>
      <c r="T233" s="50" t="n"/>
      <c r="U233" s="50" t="n"/>
      <c r="V233" s="50" t="n"/>
      <c r="W233" s="50" t="n"/>
      <c r="X233" s="50" t="n"/>
      <c r="Y233" s="50" t="n"/>
      <c r="Z233" s="50" t="n"/>
      <c r="AA233" s="50" t="n"/>
      <c r="AB233" s="50" t="n"/>
      <c r="AC233" s="50" t="n"/>
      <c r="AD233" s="50" t="n"/>
      <c r="AE233" s="50" t="n"/>
      <c r="AF233" s="50" t="n"/>
      <c r="AG233" s="50" t="n"/>
      <c r="AH233" s="50" t="n"/>
      <c r="AI233" s="50" t="n"/>
    </row>
    <row r="234">
      <c r="A234" s="37" t="n"/>
      <c r="B234" s="37" t="n"/>
      <c r="C234" s="37" t="n"/>
      <c r="D234" s="37" t="n"/>
      <c r="E234" s="37" t="n"/>
      <c r="F234" s="95" t="n"/>
      <c r="G234" s="95" t="n"/>
      <c r="H234" s="95" t="n"/>
      <c r="I234" s="80" t="n"/>
      <c r="J234" s="95" t="n"/>
      <c r="K234" s="96" t="n"/>
      <c r="L234" s="97" t="n"/>
      <c r="N234" s="49" t="n"/>
      <c r="O234" s="49" t="n"/>
      <c r="P234" s="50" t="n"/>
      <c r="Q234" s="50" t="n"/>
      <c r="R234" s="49" t="n"/>
      <c r="S234" s="50" t="n"/>
      <c r="T234" s="50" t="n"/>
      <c r="U234" s="50" t="n"/>
      <c r="V234" s="50" t="n"/>
      <c r="W234" s="50" t="n"/>
      <c r="X234" s="50" t="n"/>
      <c r="Y234" s="50" t="n"/>
      <c r="Z234" s="50" t="n"/>
      <c r="AA234" s="50" t="n"/>
      <c r="AB234" s="50" t="n"/>
      <c r="AC234" s="50" t="n"/>
      <c r="AD234" s="50" t="n"/>
      <c r="AE234" s="50" t="n"/>
      <c r="AF234" s="50" t="n"/>
      <c r="AG234" s="50" t="n"/>
      <c r="AH234" s="50" t="n"/>
      <c r="AI234" s="50" t="n"/>
    </row>
    <row r="235">
      <c r="A235" s="37" t="n"/>
      <c r="B235" s="37" t="n"/>
      <c r="C235" s="37" t="n"/>
      <c r="D235" s="37" t="n"/>
      <c r="E235" s="37" t="n"/>
      <c r="F235" s="95" t="n"/>
      <c r="G235" s="95" t="n"/>
      <c r="H235" s="95" t="n"/>
      <c r="I235" s="80" t="n"/>
      <c r="J235" s="95" t="n"/>
      <c r="K235" s="96" t="n"/>
      <c r="L235" s="97" t="n"/>
      <c r="N235" s="49" t="n"/>
      <c r="O235" s="49" t="n"/>
      <c r="P235" s="50" t="n"/>
      <c r="Q235" s="50" t="n"/>
      <c r="R235" s="49" t="n"/>
      <c r="S235" s="50" t="n"/>
      <c r="T235" s="50" t="n"/>
      <c r="U235" s="50" t="n"/>
      <c r="V235" s="50" t="n"/>
      <c r="W235" s="50" t="n"/>
      <c r="X235" s="50" t="n"/>
      <c r="Y235" s="50" t="n"/>
      <c r="Z235" s="50" t="n"/>
      <c r="AA235" s="50" t="n"/>
      <c r="AB235" s="50" t="n"/>
      <c r="AC235" s="50" t="n"/>
      <c r="AD235" s="50" t="n"/>
      <c r="AE235" s="50" t="n"/>
      <c r="AF235" s="50" t="n"/>
      <c r="AG235" s="50" t="n"/>
      <c r="AH235" s="50" t="n"/>
      <c r="AI235" s="50" t="n"/>
    </row>
    <row r="236">
      <c r="A236" s="37" t="n"/>
      <c r="B236" s="37" t="n"/>
      <c r="C236" s="37" t="n"/>
      <c r="D236" s="37" t="n"/>
      <c r="E236" s="37" t="n"/>
      <c r="F236" s="95" t="n"/>
      <c r="G236" s="95" t="n"/>
      <c r="H236" s="95" t="n"/>
      <c r="I236" s="80" t="n"/>
      <c r="J236" s="95" t="n"/>
      <c r="K236" s="96" t="n"/>
      <c r="L236" s="97" t="n"/>
      <c r="N236" s="49" t="n"/>
      <c r="O236" s="49" t="n"/>
      <c r="P236" s="50" t="n"/>
      <c r="Q236" s="50" t="n"/>
      <c r="R236" s="49" t="n"/>
      <c r="S236" s="50" t="n"/>
      <c r="T236" s="50" t="n"/>
      <c r="U236" s="50" t="n"/>
      <c r="V236" s="50" t="n"/>
      <c r="W236" s="50" t="n"/>
      <c r="X236" s="50" t="n"/>
      <c r="Y236" s="50" t="n"/>
      <c r="Z236" s="50" t="n"/>
      <c r="AA236" s="50" t="n"/>
      <c r="AB236" s="50" t="n"/>
      <c r="AC236" s="50" t="n"/>
      <c r="AD236" s="50" t="n"/>
      <c r="AE236" s="50" t="n"/>
      <c r="AF236" s="50" t="n"/>
      <c r="AG236" s="50" t="n"/>
      <c r="AH236" s="50" t="n"/>
      <c r="AI236" s="50" t="n"/>
    </row>
    <row r="237">
      <c r="A237" s="52" t="n"/>
      <c r="B237" s="52" t="n"/>
      <c r="C237" s="53" t="n"/>
      <c r="D237" s="54" t="n"/>
      <c r="E237" s="54" t="n"/>
      <c r="F237" s="98" t="n"/>
      <c r="G237" s="98" t="n"/>
      <c r="H237" s="98" t="n"/>
      <c r="I237" s="99" t="n"/>
      <c r="J237" s="98" t="n"/>
      <c r="K237" s="100" t="n"/>
      <c r="L237" s="101" t="n"/>
      <c r="N237" s="49" t="n"/>
      <c r="O237" s="49" t="n"/>
      <c r="P237" s="50" t="n"/>
      <c r="Q237" s="50" t="n"/>
      <c r="R237" s="49" t="n"/>
      <c r="S237" s="50" t="n"/>
      <c r="T237" s="50" t="n"/>
      <c r="U237" s="50" t="n"/>
      <c r="V237" s="50" t="n"/>
      <c r="W237" s="50" t="n"/>
      <c r="X237" s="50" t="n"/>
      <c r="Y237" s="50" t="n"/>
      <c r="Z237" s="50" t="n"/>
      <c r="AA237" s="50" t="n"/>
      <c r="AB237" s="50" t="n"/>
      <c r="AC237" s="50" t="n"/>
      <c r="AD237" s="50" t="n"/>
      <c r="AE237" s="50" t="n"/>
      <c r="AF237" s="50" t="n"/>
      <c r="AG237" s="50" t="n"/>
      <c r="AH237" s="50" t="n"/>
      <c r="AI237" s="50" t="n"/>
    </row>
    <row r="238">
      <c r="A238" s="37" t="n"/>
      <c r="B238" s="37" t="n"/>
      <c r="C238" s="37" t="n"/>
      <c r="D238" s="37" t="n"/>
      <c r="E238" s="37" t="n"/>
      <c r="F238" s="95" t="n"/>
      <c r="G238" s="95" t="n"/>
      <c r="H238" s="95" t="n"/>
      <c r="I238" s="80" t="n"/>
      <c r="J238" s="95" t="n"/>
      <c r="K238" s="96" t="n"/>
      <c r="L238" s="97" t="n"/>
      <c r="N238" s="49" t="n"/>
      <c r="O238" s="49" t="n"/>
      <c r="P238" s="50" t="n"/>
      <c r="Q238" s="50" t="n"/>
      <c r="R238" s="49" t="n"/>
      <c r="S238" s="50" t="n"/>
      <c r="T238" s="50" t="n"/>
      <c r="U238" s="50" t="n"/>
      <c r="V238" s="50" t="n"/>
      <c r="W238" s="50" t="n"/>
      <c r="X238" s="50" t="n"/>
      <c r="Y238" s="50" t="n"/>
      <c r="Z238" s="50" t="n"/>
      <c r="AA238" s="50" t="n"/>
      <c r="AB238" s="50" t="n"/>
      <c r="AC238" s="50" t="n"/>
      <c r="AD238" s="50" t="n"/>
      <c r="AE238" s="50" t="n"/>
      <c r="AF238" s="50" t="n"/>
      <c r="AG238" s="50" t="n"/>
      <c r="AH238" s="50" t="n"/>
      <c r="AI238" s="50" t="n"/>
    </row>
    <row r="239">
      <c r="A239" s="37" t="n"/>
      <c r="B239" s="37" t="n"/>
      <c r="C239" s="37" t="n"/>
      <c r="D239" s="37" t="n"/>
      <c r="E239" s="37" t="n"/>
      <c r="F239" s="95" t="n"/>
      <c r="G239" s="95" t="n"/>
      <c r="H239" s="95" t="n"/>
      <c r="I239" s="80" t="n"/>
      <c r="J239" s="95" t="n"/>
      <c r="K239" s="96" t="n"/>
      <c r="L239" s="97" t="n"/>
      <c r="N239" s="49" t="n"/>
      <c r="O239" s="49" t="n"/>
      <c r="P239" s="50" t="n"/>
      <c r="Q239" s="50" t="n"/>
      <c r="R239" s="49" t="n"/>
      <c r="S239" s="50" t="n"/>
      <c r="T239" s="50" t="n"/>
      <c r="U239" s="50" t="n"/>
      <c r="V239" s="50" t="n"/>
      <c r="W239" s="50" t="n"/>
      <c r="X239" s="50" t="n"/>
      <c r="Y239" s="50" t="n"/>
      <c r="Z239" s="50" t="n"/>
      <c r="AA239" s="50" t="n"/>
      <c r="AB239" s="50" t="n"/>
      <c r="AC239" s="50" t="n"/>
      <c r="AD239" s="50" t="n"/>
      <c r="AE239" s="50" t="n"/>
      <c r="AF239" s="50" t="n"/>
      <c r="AG239" s="50" t="n"/>
      <c r="AH239" s="50" t="n"/>
      <c r="AI239" s="50" t="n"/>
    </row>
    <row r="240">
      <c r="A240" s="37" t="n"/>
      <c r="B240" s="37" t="n"/>
      <c r="C240" s="37" t="n"/>
      <c r="D240" s="37" t="n"/>
      <c r="E240" s="37" t="n"/>
      <c r="F240" s="95" t="n"/>
      <c r="G240" s="95" t="n"/>
      <c r="H240" s="95" t="n"/>
      <c r="I240" s="80" t="n"/>
      <c r="J240" s="95" t="n"/>
      <c r="K240" s="96" t="n"/>
      <c r="L240" s="97" t="n"/>
      <c r="N240" s="49" t="n"/>
      <c r="O240" s="49" t="n"/>
      <c r="P240" s="50" t="n"/>
      <c r="Q240" s="50" t="n"/>
      <c r="R240" s="49" t="n"/>
      <c r="S240" s="50" t="n"/>
      <c r="T240" s="50" t="n"/>
      <c r="U240" s="50" t="n"/>
      <c r="V240" s="50" t="n"/>
      <c r="W240" s="50" t="n"/>
      <c r="X240" s="50" t="n"/>
      <c r="Y240" s="50" t="n"/>
      <c r="Z240" s="50" t="n"/>
      <c r="AA240" s="50" t="n"/>
      <c r="AB240" s="50" t="n"/>
      <c r="AC240" s="50" t="n"/>
      <c r="AD240" s="50" t="n"/>
      <c r="AE240" s="50" t="n"/>
      <c r="AF240" s="50" t="n"/>
      <c r="AG240" s="50" t="n"/>
      <c r="AH240" s="50" t="n"/>
      <c r="AI240" s="50" t="n"/>
    </row>
    <row r="241">
      <c r="A241" s="37" t="n"/>
      <c r="B241" s="37" t="n"/>
      <c r="C241" s="37" t="n"/>
      <c r="D241" s="37" t="n"/>
      <c r="E241" s="37" t="n"/>
      <c r="F241" s="95" t="n"/>
      <c r="G241" s="95" t="n"/>
      <c r="H241" s="95" t="n"/>
      <c r="I241" s="80" t="n"/>
      <c r="J241" s="95" t="n"/>
      <c r="K241" s="96" t="n"/>
      <c r="L241" s="97" t="n"/>
      <c r="N241" s="49" t="n"/>
      <c r="O241" s="49" t="n"/>
      <c r="P241" s="50" t="n"/>
      <c r="Q241" s="50" t="n"/>
      <c r="R241" s="49" t="n"/>
      <c r="S241" s="50" t="n"/>
      <c r="T241" s="50" t="n"/>
      <c r="U241" s="50" t="n"/>
      <c r="V241" s="50" t="n"/>
      <c r="W241" s="50" t="n"/>
      <c r="X241" s="50" t="n"/>
      <c r="Y241" s="50" t="n"/>
      <c r="Z241" s="50" t="n"/>
      <c r="AA241" s="50" t="n"/>
      <c r="AB241" s="50" t="n"/>
      <c r="AC241" s="50" t="n"/>
      <c r="AD241" s="50" t="n"/>
      <c r="AE241" s="50" t="n"/>
      <c r="AF241" s="50" t="n"/>
      <c r="AG241" s="50" t="n"/>
      <c r="AH241" s="50" t="n"/>
      <c r="AI241" s="50" t="n"/>
    </row>
    <row r="242">
      <c r="A242" s="37" t="n"/>
      <c r="B242" s="37" t="n"/>
      <c r="C242" s="37" t="n"/>
      <c r="D242" s="37" t="n"/>
      <c r="E242" s="37" t="n"/>
      <c r="F242" s="95" t="n"/>
      <c r="G242" s="95" t="n"/>
      <c r="H242" s="95" t="n"/>
      <c r="I242" s="80" t="n"/>
      <c r="J242" s="95" t="n"/>
      <c r="K242" s="96" t="n"/>
      <c r="L242" s="97" t="n"/>
      <c r="N242" s="49" t="n"/>
      <c r="O242" s="49" t="n"/>
      <c r="P242" s="50" t="n"/>
      <c r="Q242" s="50" t="n"/>
      <c r="R242" s="49" t="n"/>
      <c r="S242" s="50" t="n"/>
      <c r="T242" s="50" t="n"/>
      <c r="U242" s="50" t="n"/>
      <c r="V242" s="50" t="n"/>
      <c r="W242" s="50" t="n"/>
      <c r="X242" s="50" t="n"/>
      <c r="Y242" s="50" t="n"/>
      <c r="Z242" s="50" t="n"/>
      <c r="AA242" s="50" t="n"/>
      <c r="AB242" s="50" t="n"/>
      <c r="AC242" s="50" t="n"/>
      <c r="AD242" s="50" t="n"/>
      <c r="AE242" s="50" t="n"/>
      <c r="AF242" s="50" t="n"/>
      <c r="AG242" s="50" t="n"/>
      <c r="AH242" s="50" t="n"/>
      <c r="AI242" s="50" t="n"/>
    </row>
    <row r="243">
      <c r="A243" s="37" t="n"/>
      <c r="B243" s="37" t="n"/>
      <c r="C243" s="37" t="n"/>
      <c r="D243" s="37" t="n"/>
      <c r="E243" s="37" t="n"/>
      <c r="F243" s="95" t="n"/>
      <c r="G243" s="95" t="n"/>
      <c r="H243" s="95" t="n"/>
      <c r="I243" s="80" t="n"/>
      <c r="J243" s="95" t="n"/>
      <c r="K243" s="96" t="n"/>
      <c r="L243" s="97" t="n"/>
      <c r="N243" s="49" t="n"/>
      <c r="O243" s="49" t="n"/>
      <c r="P243" s="50" t="n"/>
      <c r="Q243" s="50" t="n"/>
      <c r="R243" s="49" t="n"/>
      <c r="S243" s="50" t="n"/>
      <c r="T243" s="50" t="n"/>
      <c r="U243" s="50" t="n"/>
      <c r="V243" s="50" t="n"/>
      <c r="W243" s="50" t="n"/>
      <c r="X243" s="50" t="n"/>
      <c r="Y243" s="50" t="n"/>
      <c r="Z243" s="50" t="n"/>
      <c r="AA243" s="50" t="n"/>
      <c r="AB243" s="50" t="n"/>
      <c r="AC243" s="50" t="n"/>
      <c r="AD243" s="50" t="n"/>
      <c r="AE243" s="50" t="n"/>
      <c r="AF243" s="50" t="n"/>
      <c r="AG243" s="50" t="n"/>
      <c r="AH243" s="50" t="n"/>
      <c r="AI243" s="50" t="n"/>
    </row>
    <row r="244">
      <c r="A244" s="37" t="n"/>
      <c r="B244" s="37" t="n"/>
      <c r="C244" s="37" t="n"/>
      <c r="D244" s="37" t="n"/>
      <c r="E244" s="37" t="n"/>
      <c r="F244" s="95" t="n"/>
      <c r="G244" s="95" t="n"/>
      <c r="H244" s="95" t="n"/>
      <c r="I244" s="80" t="n"/>
      <c r="J244" s="95" t="n"/>
      <c r="K244" s="96" t="n"/>
      <c r="L244" s="97" t="n"/>
      <c r="N244" s="49" t="n"/>
      <c r="O244" s="49" t="n"/>
      <c r="P244" s="50" t="n"/>
      <c r="Q244" s="50" t="n"/>
      <c r="R244" s="49" t="n"/>
      <c r="S244" s="50" t="n"/>
      <c r="T244" s="50" t="n"/>
      <c r="U244" s="50" t="n"/>
      <c r="V244" s="50" t="n"/>
      <c r="W244" s="50" t="n"/>
      <c r="X244" s="50" t="n"/>
      <c r="Y244" s="50" t="n"/>
      <c r="Z244" s="50" t="n"/>
      <c r="AA244" s="50" t="n"/>
      <c r="AB244" s="50" t="n"/>
      <c r="AC244" s="50" t="n"/>
      <c r="AD244" s="50" t="n"/>
      <c r="AE244" s="50" t="n"/>
      <c r="AF244" s="50" t="n"/>
      <c r="AG244" s="50" t="n"/>
      <c r="AH244" s="50" t="n"/>
      <c r="AI244" s="50" t="n"/>
    </row>
    <row r="245">
      <c r="A245" s="37" t="n"/>
      <c r="B245" s="37" t="n"/>
      <c r="C245" s="37" t="n"/>
      <c r="D245" s="37" t="n"/>
      <c r="E245" s="37" t="n"/>
      <c r="F245" s="95" t="n"/>
      <c r="G245" s="95" t="n"/>
      <c r="H245" s="95" t="n"/>
      <c r="I245" s="80" t="n"/>
      <c r="J245" s="95" t="n"/>
      <c r="K245" s="96" t="n"/>
      <c r="L245" s="97" t="n"/>
      <c r="N245" s="49" t="n"/>
      <c r="O245" s="49" t="n"/>
      <c r="P245" s="50" t="n"/>
      <c r="Q245" s="50" t="n"/>
      <c r="R245" s="49" t="n"/>
      <c r="S245" s="50" t="n"/>
      <c r="T245" s="50" t="n"/>
      <c r="U245" s="50" t="n"/>
      <c r="V245" s="50" t="n"/>
      <c r="W245" s="50" t="n"/>
      <c r="X245" s="50" t="n"/>
      <c r="Y245" s="50" t="n"/>
      <c r="Z245" s="50" t="n"/>
      <c r="AA245" s="50" t="n"/>
      <c r="AB245" s="50" t="n"/>
      <c r="AC245" s="50" t="n"/>
      <c r="AD245" s="50" t="n"/>
      <c r="AE245" s="50" t="n"/>
      <c r="AF245" s="50" t="n"/>
      <c r="AG245" s="50" t="n"/>
      <c r="AH245" s="50" t="n"/>
      <c r="AI245" s="50" t="n"/>
    </row>
    <row r="246">
      <c r="A246" s="37" t="n"/>
      <c r="B246" s="37" t="n"/>
      <c r="C246" s="37" t="n"/>
      <c r="D246" s="37" t="n"/>
      <c r="E246" s="37" t="n"/>
      <c r="F246" s="95" t="n"/>
      <c r="G246" s="95" t="n"/>
      <c r="H246" s="95" t="n"/>
      <c r="I246" s="80" t="n"/>
      <c r="J246" s="95" t="n"/>
      <c r="K246" s="96" t="n"/>
      <c r="L246" s="97" t="n"/>
      <c r="N246" s="49" t="n"/>
      <c r="O246" s="49" t="n"/>
      <c r="P246" s="50" t="n"/>
      <c r="Q246" s="50" t="n"/>
      <c r="R246" s="49" t="n"/>
      <c r="S246" s="50" t="n"/>
      <c r="T246" s="50" t="n"/>
      <c r="U246" s="50" t="n"/>
      <c r="V246" s="50" t="n"/>
      <c r="W246" s="50" t="n"/>
      <c r="X246" s="50" t="n"/>
      <c r="Y246" s="50" t="n"/>
      <c r="Z246" s="50" t="n"/>
      <c r="AA246" s="50" t="n"/>
      <c r="AB246" s="50" t="n"/>
      <c r="AC246" s="50" t="n"/>
      <c r="AD246" s="50" t="n"/>
      <c r="AE246" s="50" t="n"/>
      <c r="AF246" s="50" t="n"/>
      <c r="AG246" s="50" t="n"/>
      <c r="AH246" s="50" t="n"/>
      <c r="AI246" s="50" t="n"/>
    </row>
    <row r="247">
      <c r="A247" s="37" t="n"/>
      <c r="B247" s="37" t="n"/>
      <c r="C247" s="37" t="n"/>
      <c r="D247" s="37" t="n"/>
      <c r="E247" s="37" t="n"/>
      <c r="F247" s="95" t="n"/>
      <c r="G247" s="95" t="n"/>
      <c r="H247" s="95" t="n"/>
      <c r="I247" s="80" t="n"/>
      <c r="J247" s="95" t="n"/>
      <c r="K247" s="96" t="n"/>
      <c r="L247" s="97" t="n"/>
      <c r="N247" s="49" t="n"/>
      <c r="O247" s="49" t="n"/>
      <c r="P247" s="50" t="n"/>
      <c r="Q247" s="50" t="n"/>
      <c r="R247" s="49" t="n"/>
      <c r="S247" s="50" t="n"/>
      <c r="T247" s="50" t="n"/>
      <c r="U247" s="50" t="n"/>
      <c r="V247" s="50" t="n"/>
      <c r="W247" s="50" t="n"/>
      <c r="X247" s="50" t="n"/>
      <c r="Y247" s="50" t="n"/>
      <c r="Z247" s="50" t="n"/>
      <c r="AA247" s="50" t="n"/>
      <c r="AB247" s="50" t="n"/>
      <c r="AC247" s="50" t="n"/>
      <c r="AD247" s="50" t="n"/>
      <c r="AE247" s="50" t="n"/>
      <c r="AF247" s="50" t="n"/>
      <c r="AG247" s="50" t="n"/>
      <c r="AH247" s="50" t="n"/>
      <c r="AI247" s="50" t="n"/>
    </row>
    <row r="248">
      <c r="A248" s="37" t="n"/>
      <c r="B248" s="37" t="n"/>
      <c r="C248" s="37" t="n"/>
      <c r="D248" s="37" t="n"/>
      <c r="E248" s="37" t="n"/>
      <c r="F248" s="95" t="n"/>
      <c r="G248" s="95" t="n"/>
      <c r="H248" s="95" t="n"/>
      <c r="I248" s="80" t="n"/>
      <c r="J248" s="95" t="n"/>
      <c r="K248" s="96" t="n"/>
      <c r="L248" s="97" t="n"/>
      <c r="N248" s="49" t="n"/>
      <c r="O248" s="49" t="n"/>
      <c r="P248" s="50" t="n"/>
      <c r="Q248" s="50" t="n"/>
      <c r="R248" s="49" t="n"/>
      <c r="S248" s="50" t="n"/>
      <c r="T248" s="50" t="n"/>
      <c r="U248" s="50" t="n"/>
      <c r="V248" s="50" t="n"/>
      <c r="W248" s="50" t="n"/>
      <c r="X248" s="50" t="n"/>
      <c r="Y248" s="50" t="n"/>
      <c r="Z248" s="50" t="n"/>
      <c r="AA248" s="50" t="n"/>
      <c r="AB248" s="50" t="n"/>
      <c r="AC248" s="50" t="n"/>
      <c r="AD248" s="50" t="n"/>
      <c r="AE248" s="50" t="n"/>
      <c r="AF248" s="50" t="n"/>
      <c r="AG248" s="50" t="n"/>
      <c r="AH248" s="50" t="n"/>
      <c r="AI248" s="50" t="n"/>
    </row>
    <row r="249">
      <c r="A249" s="37" t="n"/>
      <c r="B249" s="37" t="n"/>
      <c r="C249" s="37" t="n"/>
      <c r="D249" s="37" t="n"/>
      <c r="E249" s="37" t="n"/>
      <c r="F249" s="95" t="n"/>
      <c r="G249" s="95" t="n"/>
      <c r="H249" s="95" t="n"/>
      <c r="I249" s="80" t="n"/>
      <c r="J249" s="95" t="n"/>
      <c r="K249" s="96" t="n"/>
      <c r="L249" s="97" t="n"/>
      <c r="N249" s="49" t="n"/>
      <c r="O249" s="49" t="n"/>
      <c r="P249" s="50" t="n"/>
      <c r="Q249" s="50" t="n"/>
      <c r="R249" s="49" t="n"/>
      <c r="S249" s="50" t="n"/>
      <c r="T249" s="50" t="n"/>
      <c r="U249" s="50" t="n"/>
      <c r="V249" s="50" t="n"/>
      <c r="W249" s="50" t="n"/>
      <c r="X249" s="50" t="n"/>
      <c r="Y249" s="50" t="n"/>
      <c r="Z249" s="50" t="n"/>
      <c r="AA249" s="50" t="n"/>
      <c r="AB249" s="50" t="n"/>
      <c r="AC249" s="50" t="n"/>
      <c r="AD249" s="50" t="n"/>
      <c r="AE249" s="50" t="n"/>
      <c r="AF249" s="50" t="n"/>
      <c r="AG249" s="50" t="n"/>
      <c r="AH249" s="50" t="n"/>
      <c r="AI249" s="50" t="n"/>
    </row>
    <row r="250">
      <c r="A250" s="37" t="n"/>
      <c r="B250" s="37" t="n"/>
      <c r="C250" s="37" t="n"/>
      <c r="D250" s="37" t="n"/>
      <c r="E250" s="37" t="n"/>
      <c r="F250" s="95" t="n"/>
      <c r="G250" s="95" t="n"/>
      <c r="H250" s="95" t="n"/>
      <c r="I250" s="80" t="n"/>
      <c r="J250" s="95" t="n"/>
      <c r="K250" s="96" t="n"/>
      <c r="L250" s="97" t="n"/>
      <c r="N250" s="49" t="n"/>
      <c r="O250" s="49" t="n"/>
      <c r="P250" s="50" t="n"/>
      <c r="Q250" s="50" t="n"/>
      <c r="R250" s="49" t="n"/>
      <c r="S250" s="50" t="n"/>
      <c r="T250" s="50" t="n"/>
      <c r="U250" s="50" t="n"/>
      <c r="V250" s="50" t="n"/>
      <c r="W250" s="50" t="n"/>
      <c r="X250" s="50" t="n"/>
      <c r="Y250" s="50" t="n"/>
      <c r="Z250" s="50" t="n"/>
      <c r="AA250" s="50" t="n"/>
      <c r="AB250" s="50" t="n"/>
      <c r="AC250" s="50" t="n"/>
      <c r="AD250" s="50" t="n"/>
      <c r="AE250" s="50" t="n"/>
      <c r="AF250" s="50" t="n"/>
      <c r="AG250" s="50" t="n"/>
      <c r="AH250" s="50" t="n"/>
      <c r="AI250" s="50" t="n"/>
    </row>
    <row r="251">
      <c r="A251" s="37" t="n"/>
      <c r="B251" s="37" t="n"/>
      <c r="C251" s="37" t="n"/>
      <c r="D251" s="37" t="n"/>
      <c r="E251" s="37" t="n"/>
      <c r="F251" s="95" t="n"/>
      <c r="G251" s="95" t="n"/>
      <c r="H251" s="95" t="n"/>
      <c r="I251" s="80" t="n"/>
      <c r="J251" s="95" t="n"/>
      <c r="K251" s="96" t="n"/>
      <c r="L251" s="97" t="n"/>
      <c r="N251" s="49" t="n"/>
      <c r="O251" s="49" t="n"/>
      <c r="P251" s="50" t="n"/>
      <c r="Q251" s="50" t="n"/>
      <c r="R251" s="49" t="n"/>
      <c r="S251" s="50" t="n"/>
      <c r="T251" s="50" t="n"/>
      <c r="U251" s="50" t="n"/>
      <c r="V251" s="50" t="n"/>
      <c r="W251" s="50" t="n"/>
      <c r="X251" s="50" t="n"/>
      <c r="Y251" s="50" t="n"/>
      <c r="Z251" s="50" t="n"/>
      <c r="AA251" s="50" t="n"/>
      <c r="AB251" s="50" t="n"/>
      <c r="AC251" s="50" t="n"/>
      <c r="AD251" s="50" t="n"/>
      <c r="AE251" s="50" t="n"/>
      <c r="AF251" s="50" t="n"/>
      <c r="AG251" s="50" t="n"/>
      <c r="AH251" s="50" t="n"/>
      <c r="AI251" s="50" t="n"/>
    </row>
    <row r="252">
      <c r="A252" s="37" t="n"/>
      <c r="B252" s="37" t="n"/>
      <c r="C252" s="37" t="n"/>
      <c r="D252" s="37" t="n"/>
      <c r="E252" s="37" t="n"/>
      <c r="F252" s="95" t="n"/>
      <c r="G252" s="95" t="n"/>
      <c r="H252" s="95" t="n"/>
      <c r="I252" s="80" t="n"/>
      <c r="J252" s="95" t="n"/>
      <c r="K252" s="96" t="n"/>
      <c r="L252" s="97" t="n"/>
      <c r="N252" s="49" t="n"/>
      <c r="O252" s="49" t="n"/>
      <c r="P252" s="50" t="n"/>
      <c r="Q252" s="50" t="n"/>
      <c r="R252" s="49" t="n"/>
      <c r="S252" s="50" t="n"/>
      <c r="T252" s="50" t="n"/>
      <c r="U252" s="50" t="n"/>
      <c r="V252" s="50" t="n"/>
      <c r="W252" s="50" t="n"/>
      <c r="X252" s="50" t="n"/>
      <c r="Y252" s="50" t="n"/>
      <c r="Z252" s="50" t="n"/>
      <c r="AA252" s="50" t="n"/>
      <c r="AB252" s="50" t="n"/>
      <c r="AC252" s="50" t="n"/>
      <c r="AD252" s="50" t="n"/>
      <c r="AE252" s="50" t="n"/>
      <c r="AF252" s="50" t="n"/>
      <c r="AG252" s="50" t="n"/>
      <c r="AH252" s="50" t="n"/>
      <c r="AI252" s="50" t="n"/>
    </row>
    <row r="253">
      <c r="A253" s="37" t="n"/>
      <c r="B253" s="37" t="n"/>
      <c r="C253" s="37" t="n"/>
      <c r="D253" s="37" t="n"/>
      <c r="E253" s="37" t="n"/>
      <c r="F253" s="95" t="n"/>
      <c r="G253" s="95" t="n"/>
      <c r="H253" s="95" t="n"/>
      <c r="I253" s="80" t="n"/>
      <c r="J253" s="95" t="n"/>
      <c r="K253" s="96" t="n"/>
      <c r="L253" s="97" t="n"/>
      <c r="N253" s="49" t="n"/>
      <c r="O253" s="49" t="n"/>
      <c r="P253" s="50" t="n"/>
      <c r="Q253" s="50" t="n"/>
      <c r="R253" s="49" t="n"/>
      <c r="S253" s="50" t="n"/>
      <c r="T253" s="50" t="n"/>
      <c r="U253" s="50" t="n"/>
      <c r="V253" s="50" t="n"/>
      <c r="W253" s="50" t="n"/>
      <c r="X253" s="50" t="n"/>
      <c r="Y253" s="50" t="n"/>
      <c r="Z253" s="50" t="n"/>
      <c r="AA253" s="50" t="n"/>
      <c r="AB253" s="50" t="n"/>
      <c r="AC253" s="50" t="n"/>
      <c r="AD253" s="50" t="n"/>
      <c r="AE253" s="50" t="n"/>
      <c r="AF253" s="50" t="n"/>
      <c r="AG253" s="50" t="n"/>
      <c r="AH253" s="50" t="n"/>
      <c r="AI253" s="50" t="n"/>
    </row>
    <row r="254">
      <c r="A254" s="52" t="n"/>
      <c r="B254" s="52" t="n"/>
      <c r="C254" s="53" t="n"/>
      <c r="D254" s="54" t="n"/>
      <c r="E254" s="54" t="n"/>
      <c r="F254" s="98" t="n"/>
      <c r="G254" s="98" t="n"/>
      <c r="H254" s="98" t="n"/>
      <c r="I254" s="99" t="n"/>
      <c r="J254" s="98" t="n"/>
      <c r="K254" s="100" t="n"/>
      <c r="L254" s="101" t="n"/>
      <c r="N254" s="49" t="n"/>
      <c r="O254" s="49" t="n"/>
      <c r="P254" s="50" t="n"/>
      <c r="Q254" s="50" t="n"/>
      <c r="R254" s="49" t="n"/>
      <c r="S254" s="50" t="n"/>
      <c r="T254" s="50" t="n"/>
      <c r="U254" s="50" t="n"/>
      <c r="V254" s="50" t="n"/>
      <c r="W254" s="50" t="n"/>
      <c r="X254" s="50" t="n"/>
      <c r="Y254" s="50" t="n"/>
      <c r="Z254" s="50" t="n"/>
      <c r="AA254" s="50" t="n"/>
      <c r="AB254" s="50" t="n"/>
      <c r="AC254" s="50" t="n"/>
      <c r="AD254" s="50" t="n"/>
      <c r="AE254" s="50" t="n"/>
      <c r="AF254" s="50" t="n"/>
      <c r="AG254" s="50" t="n"/>
      <c r="AH254" s="50" t="n"/>
      <c r="AI254" s="50" t="n"/>
    </row>
    <row r="255">
      <c r="A255" s="37" t="n"/>
      <c r="B255" s="37" t="n"/>
      <c r="C255" s="37" t="n"/>
      <c r="D255" s="37" t="n"/>
      <c r="E255" s="37" t="n"/>
      <c r="F255" s="95" t="n"/>
      <c r="G255" s="95" t="n"/>
      <c r="H255" s="95" t="n"/>
      <c r="I255" s="80" t="n"/>
      <c r="J255" s="95" t="n"/>
      <c r="K255" s="96" t="n"/>
      <c r="L255" s="97" t="n"/>
      <c r="N255" s="49" t="n"/>
      <c r="O255" s="49" t="n"/>
      <c r="P255" s="50" t="n"/>
      <c r="Q255" s="50" t="n"/>
      <c r="R255" s="49" t="n"/>
      <c r="S255" s="50" t="n"/>
      <c r="T255" s="50" t="n"/>
      <c r="U255" s="50" t="n"/>
      <c r="V255" s="50" t="n"/>
      <c r="W255" s="50" t="n"/>
      <c r="X255" s="50" t="n"/>
      <c r="Y255" s="50" t="n"/>
      <c r="Z255" s="50" t="n"/>
      <c r="AA255" s="50" t="n"/>
      <c r="AB255" s="50" t="n"/>
      <c r="AC255" s="50" t="n"/>
      <c r="AD255" s="50" t="n"/>
      <c r="AE255" s="50" t="n"/>
      <c r="AF255" s="50" t="n"/>
      <c r="AG255" s="50" t="n"/>
      <c r="AH255" s="50" t="n"/>
      <c r="AI255" s="50" t="n"/>
    </row>
    <row r="256">
      <c r="A256" s="37" t="n"/>
      <c r="B256" s="37" t="n"/>
      <c r="C256" s="37" t="n"/>
      <c r="D256" s="37" t="n"/>
      <c r="E256" s="37" t="n"/>
      <c r="F256" s="95" t="n"/>
      <c r="G256" s="95" t="n"/>
      <c r="H256" s="95" t="n"/>
      <c r="I256" s="80" t="n"/>
      <c r="J256" s="95" t="n"/>
      <c r="K256" s="96" t="n"/>
      <c r="L256" s="97" t="n"/>
      <c r="N256" s="49" t="n"/>
      <c r="O256" s="49" t="n"/>
      <c r="P256" s="50" t="n"/>
      <c r="Q256" s="50" t="n"/>
      <c r="R256" s="49" t="n"/>
      <c r="S256" s="50" t="n"/>
      <c r="T256" s="50" t="n"/>
      <c r="U256" s="50" t="n"/>
      <c r="V256" s="50" t="n"/>
      <c r="W256" s="50" t="n"/>
      <c r="X256" s="50" t="n"/>
      <c r="Y256" s="50" t="n"/>
      <c r="Z256" s="50" t="n"/>
      <c r="AA256" s="50" t="n"/>
      <c r="AB256" s="50" t="n"/>
      <c r="AC256" s="50" t="n"/>
      <c r="AD256" s="50" t="n"/>
      <c r="AE256" s="50" t="n"/>
      <c r="AF256" s="50" t="n"/>
      <c r="AG256" s="50" t="n"/>
      <c r="AH256" s="50" t="n"/>
      <c r="AI256" s="50" t="n"/>
    </row>
    <row r="257">
      <c r="A257" s="37" t="n"/>
      <c r="B257" s="37" t="n"/>
      <c r="C257" s="37" t="n"/>
      <c r="D257" s="37" t="n"/>
      <c r="E257" s="37" t="n"/>
      <c r="F257" s="95" t="n"/>
      <c r="G257" s="95" t="n"/>
      <c r="H257" s="95" t="n"/>
      <c r="I257" s="80" t="n"/>
      <c r="J257" s="95" t="n"/>
      <c r="K257" s="96" t="n"/>
      <c r="L257" s="97" t="n"/>
      <c r="N257" s="49" t="n"/>
      <c r="O257" s="49" t="n"/>
      <c r="P257" s="50" t="n"/>
      <c r="Q257" s="50" t="n"/>
      <c r="R257" s="49" t="n"/>
      <c r="S257" s="50" t="n"/>
      <c r="T257" s="50" t="n"/>
      <c r="U257" s="50" t="n"/>
      <c r="V257" s="50" t="n"/>
      <c r="W257" s="50" t="n"/>
      <c r="X257" s="50" t="n"/>
      <c r="Y257" s="50" t="n"/>
      <c r="Z257" s="50" t="n"/>
      <c r="AA257" s="50" t="n"/>
      <c r="AB257" s="50" t="n"/>
      <c r="AC257" s="50" t="n"/>
      <c r="AD257" s="50" t="n"/>
      <c r="AE257" s="50" t="n"/>
      <c r="AF257" s="50" t="n"/>
      <c r="AG257" s="50" t="n"/>
      <c r="AH257" s="50" t="n"/>
      <c r="AI257" s="50" t="n"/>
    </row>
    <row r="258">
      <c r="A258" s="37" t="n"/>
      <c r="B258" s="37" t="n"/>
      <c r="C258" s="37" t="n"/>
      <c r="D258" s="37" t="n"/>
      <c r="E258" s="37" t="n"/>
      <c r="F258" s="95" t="n"/>
      <c r="G258" s="95" t="n"/>
      <c r="H258" s="95" t="n"/>
      <c r="I258" s="80" t="n"/>
      <c r="J258" s="95" t="n"/>
      <c r="K258" s="96" t="n"/>
      <c r="L258" s="97" t="n"/>
      <c r="N258" s="49" t="n"/>
      <c r="O258" s="49" t="n"/>
      <c r="P258" s="50" t="n"/>
      <c r="Q258" s="50" t="n"/>
      <c r="R258" s="49" t="n"/>
      <c r="S258" s="50" t="n"/>
      <c r="T258" s="50" t="n"/>
      <c r="U258" s="50" t="n"/>
      <c r="V258" s="50" t="n"/>
      <c r="W258" s="50" t="n"/>
      <c r="X258" s="50" t="n"/>
      <c r="Y258" s="50" t="n"/>
      <c r="Z258" s="50" t="n"/>
      <c r="AA258" s="50" t="n"/>
      <c r="AB258" s="50" t="n"/>
      <c r="AC258" s="50" t="n"/>
      <c r="AD258" s="50" t="n"/>
      <c r="AE258" s="50" t="n"/>
      <c r="AF258" s="50" t="n"/>
      <c r="AG258" s="50" t="n"/>
      <c r="AH258" s="50" t="n"/>
      <c r="AI258" s="50" t="n"/>
    </row>
    <row r="259">
      <c r="A259" s="37" t="n"/>
      <c r="B259" s="37" t="n"/>
      <c r="C259" s="37" t="n"/>
      <c r="D259" s="37" t="n"/>
      <c r="E259" s="37" t="n"/>
      <c r="F259" s="95" t="n"/>
      <c r="G259" s="95" t="n"/>
      <c r="H259" s="95" t="n"/>
      <c r="I259" s="80" t="n"/>
      <c r="J259" s="95" t="n"/>
      <c r="K259" s="96" t="n"/>
      <c r="L259" s="97" t="n"/>
      <c r="N259" s="49" t="n"/>
      <c r="O259" s="49" t="n"/>
      <c r="P259" s="50" t="n"/>
      <c r="Q259" s="50" t="n"/>
      <c r="R259" s="49" t="n"/>
      <c r="S259" s="50" t="n"/>
      <c r="T259" s="50" t="n"/>
      <c r="U259" s="50" t="n"/>
      <c r="V259" s="50" t="n"/>
      <c r="W259" s="50" t="n"/>
      <c r="X259" s="50" t="n"/>
      <c r="Y259" s="50" t="n"/>
      <c r="Z259" s="50" t="n"/>
      <c r="AA259" s="50" t="n"/>
      <c r="AB259" s="50" t="n"/>
      <c r="AC259" s="50" t="n"/>
      <c r="AD259" s="50" t="n"/>
      <c r="AE259" s="50" t="n"/>
      <c r="AF259" s="50" t="n"/>
      <c r="AG259" s="50" t="n"/>
      <c r="AH259" s="50" t="n"/>
      <c r="AI259" s="50" t="n"/>
    </row>
    <row r="260">
      <c r="A260" s="37" t="n"/>
      <c r="B260" s="37" t="n"/>
      <c r="C260" s="37" t="n"/>
      <c r="D260" s="37" t="n"/>
      <c r="E260" s="37" t="n"/>
      <c r="F260" s="95" t="n"/>
      <c r="G260" s="95" t="n"/>
      <c r="H260" s="95" t="n"/>
      <c r="I260" s="80" t="n"/>
      <c r="J260" s="95" t="n"/>
      <c r="K260" s="96" t="n"/>
      <c r="L260" s="97" t="n"/>
      <c r="N260" s="49" t="n"/>
      <c r="O260" s="49" t="n"/>
      <c r="P260" s="50" t="n"/>
      <c r="Q260" s="50" t="n"/>
      <c r="R260" s="49" t="n"/>
      <c r="S260" s="50" t="n"/>
      <c r="T260" s="50" t="n"/>
      <c r="U260" s="50" t="n"/>
      <c r="V260" s="50" t="n"/>
      <c r="W260" s="50" t="n"/>
      <c r="X260" s="50" t="n"/>
      <c r="Y260" s="50" t="n"/>
      <c r="Z260" s="50" t="n"/>
      <c r="AA260" s="50" t="n"/>
      <c r="AB260" s="50" t="n"/>
      <c r="AC260" s="50" t="n"/>
      <c r="AD260" s="50" t="n"/>
      <c r="AE260" s="50" t="n"/>
      <c r="AF260" s="50" t="n"/>
      <c r="AG260" s="50" t="n"/>
      <c r="AH260" s="50" t="n"/>
      <c r="AI260" s="50" t="n"/>
    </row>
    <row r="261">
      <c r="A261" s="37" t="n"/>
      <c r="B261" s="37" t="n"/>
      <c r="C261" s="37" t="n"/>
      <c r="D261" s="37" t="n"/>
      <c r="E261" s="37" t="n"/>
      <c r="F261" s="95" t="n"/>
      <c r="G261" s="95" t="n"/>
      <c r="H261" s="95" t="n"/>
      <c r="I261" s="80" t="n"/>
      <c r="J261" s="95" t="n"/>
      <c r="K261" s="96" t="n"/>
      <c r="L261" s="97" t="n"/>
      <c r="N261" s="49" t="n"/>
      <c r="O261" s="49" t="n"/>
      <c r="P261" s="50" t="n"/>
      <c r="Q261" s="50" t="n"/>
      <c r="R261" s="49" t="n"/>
      <c r="S261" s="50" t="n"/>
      <c r="T261" s="50" t="n"/>
      <c r="U261" s="50" t="n"/>
      <c r="V261" s="50" t="n"/>
      <c r="W261" s="50" t="n"/>
      <c r="X261" s="50" t="n"/>
      <c r="Y261" s="50" t="n"/>
      <c r="Z261" s="50" t="n"/>
      <c r="AA261" s="50" t="n"/>
      <c r="AB261" s="50" t="n"/>
      <c r="AC261" s="50" t="n"/>
      <c r="AD261" s="50" t="n"/>
      <c r="AE261" s="50" t="n"/>
      <c r="AF261" s="50" t="n"/>
      <c r="AG261" s="50" t="n"/>
      <c r="AH261" s="50" t="n"/>
      <c r="AI261" s="50" t="n"/>
    </row>
    <row r="262">
      <c r="A262" s="37" t="n"/>
      <c r="B262" s="37" t="n"/>
      <c r="C262" s="37" t="n"/>
      <c r="D262" s="37" t="n"/>
      <c r="E262" s="37" t="n"/>
      <c r="F262" s="95" t="n"/>
      <c r="G262" s="95" t="n"/>
      <c r="H262" s="95" t="n"/>
      <c r="I262" s="80" t="n"/>
      <c r="J262" s="95" t="n"/>
      <c r="K262" s="96" t="n"/>
      <c r="L262" s="97" t="n"/>
      <c r="N262" s="49" t="n"/>
      <c r="O262" s="49" t="n"/>
      <c r="P262" s="50" t="n"/>
      <c r="Q262" s="50" t="n"/>
      <c r="R262" s="49" t="n"/>
      <c r="S262" s="50" t="n"/>
      <c r="T262" s="50" t="n"/>
      <c r="U262" s="50" t="n"/>
      <c r="V262" s="50" t="n"/>
      <c r="W262" s="50" t="n"/>
      <c r="X262" s="50" t="n"/>
      <c r="Y262" s="50" t="n"/>
      <c r="Z262" s="50" t="n"/>
      <c r="AA262" s="50" t="n"/>
      <c r="AB262" s="50" t="n"/>
      <c r="AC262" s="50" t="n"/>
      <c r="AD262" s="50" t="n"/>
      <c r="AE262" s="50" t="n"/>
      <c r="AF262" s="50" t="n"/>
      <c r="AG262" s="50" t="n"/>
      <c r="AH262" s="50" t="n"/>
      <c r="AI262" s="50" t="n"/>
    </row>
    <row r="263">
      <c r="A263" s="37" t="n"/>
      <c r="B263" s="37" t="n"/>
      <c r="C263" s="37" t="n"/>
      <c r="D263" s="37" t="n"/>
      <c r="E263" s="37" t="n"/>
      <c r="F263" s="95" t="n"/>
      <c r="G263" s="95" t="n"/>
      <c r="H263" s="95" t="n"/>
      <c r="I263" s="80" t="n"/>
      <c r="J263" s="95" t="n"/>
      <c r="K263" s="96" t="n"/>
      <c r="L263" s="97" t="n"/>
      <c r="N263" s="49" t="n"/>
      <c r="O263" s="49" t="n"/>
      <c r="P263" s="50" t="n"/>
      <c r="Q263" s="50" t="n"/>
      <c r="R263" s="49" t="n"/>
      <c r="S263" s="50" t="n"/>
      <c r="T263" s="50" t="n"/>
      <c r="U263" s="50" t="n"/>
      <c r="V263" s="50" t="n"/>
      <c r="W263" s="50" t="n"/>
      <c r="X263" s="50" t="n"/>
      <c r="Y263" s="50" t="n"/>
      <c r="Z263" s="50" t="n"/>
      <c r="AA263" s="50" t="n"/>
      <c r="AB263" s="50" t="n"/>
      <c r="AC263" s="50" t="n"/>
      <c r="AD263" s="50" t="n"/>
      <c r="AE263" s="50" t="n"/>
      <c r="AF263" s="50" t="n"/>
      <c r="AG263" s="50" t="n"/>
      <c r="AH263" s="50" t="n"/>
      <c r="AI263" s="50" t="n"/>
    </row>
    <row r="264">
      <c r="A264" s="37" t="n"/>
      <c r="B264" s="37" t="n"/>
      <c r="C264" s="37" t="n"/>
      <c r="D264" s="37" t="n"/>
      <c r="E264" s="37" t="n"/>
      <c r="F264" s="95" t="n"/>
      <c r="G264" s="95" t="n"/>
      <c r="H264" s="95" t="n"/>
      <c r="I264" s="80" t="n"/>
      <c r="J264" s="95" t="n"/>
      <c r="K264" s="96" t="n"/>
      <c r="L264" s="97" t="n"/>
      <c r="N264" s="49" t="n"/>
      <c r="O264" s="49" t="n"/>
      <c r="P264" s="50" t="n"/>
      <c r="Q264" s="50" t="n"/>
      <c r="R264" s="49" t="n"/>
      <c r="S264" s="50" t="n"/>
      <c r="T264" s="50" t="n"/>
      <c r="U264" s="50" t="n"/>
      <c r="V264" s="50" t="n"/>
      <c r="W264" s="50" t="n"/>
      <c r="X264" s="50" t="n"/>
      <c r="Y264" s="50" t="n"/>
      <c r="Z264" s="50" t="n"/>
      <c r="AA264" s="50" t="n"/>
      <c r="AB264" s="50" t="n"/>
      <c r="AC264" s="50" t="n"/>
      <c r="AD264" s="50" t="n"/>
      <c r="AE264" s="50" t="n"/>
      <c r="AF264" s="50" t="n"/>
      <c r="AG264" s="50" t="n"/>
      <c r="AH264" s="50" t="n"/>
      <c r="AI264" s="50" t="n"/>
    </row>
    <row r="265">
      <c r="A265" s="37" t="n"/>
      <c r="B265" s="37" t="n"/>
      <c r="C265" s="37" t="n"/>
      <c r="D265" s="37" t="n"/>
      <c r="E265" s="37" t="n"/>
      <c r="F265" s="95" t="n"/>
      <c r="G265" s="95" t="n"/>
      <c r="H265" s="95" t="n"/>
      <c r="I265" s="80" t="n"/>
      <c r="J265" s="95" t="n"/>
      <c r="K265" s="96" t="n"/>
      <c r="L265" s="97" t="n"/>
      <c r="N265" s="49" t="n"/>
      <c r="O265" s="49" t="n"/>
      <c r="P265" s="50" t="n"/>
      <c r="Q265" s="50" t="n"/>
      <c r="R265" s="49" t="n"/>
      <c r="S265" s="50" t="n"/>
      <c r="T265" s="50" t="n"/>
      <c r="U265" s="50" t="n"/>
      <c r="V265" s="50" t="n"/>
      <c r="W265" s="50" t="n"/>
      <c r="X265" s="50" t="n"/>
      <c r="Y265" s="50" t="n"/>
      <c r="Z265" s="50" t="n"/>
      <c r="AA265" s="50" t="n"/>
      <c r="AB265" s="50" t="n"/>
      <c r="AC265" s="50" t="n"/>
      <c r="AD265" s="50" t="n"/>
      <c r="AE265" s="50" t="n"/>
      <c r="AF265" s="50" t="n"/>
      <c r="AG265" s="50" t="n"/>
      <c r="AH265" s="50" t="n"/>
      <c r="AI265" s="50" t="n"/>
    </row>
    <row r="266">
      <c r="A266" s="37" t="n"/>
      <c r="B266" s="37" t="n"/>
      <c r="C266" s="37" t="n"/>
      <c r="D266" s="37" t="n"/>
      <c r="E266" s="37" t="n"/>
      <c r="F266" s="95" t="n"/>
      <c r="G266" s="95" t="n"/>
      <c r="H266" s="95" t="n"/>
      <c r="I266" s="80" t="n"/>
      <c r="J266" s="95" t="n"/>
      <c r="K266" s="96" t="n"/>
      <c r="L266" s="97" t="n"/>
      <c r="N266" s="49" t="n"/>
      <c r="O266" s="49" t="n"/>
      <c r="P266" s="50" t="n"/>
      <c r="Q266" s="50" t="n"/>
      <c r="R266" s="49" t="n"/>
      <c r="S266" s="50" t="n"/>
      <c r="T266" s="50" t="n"/>
      <c r="U266" s="50" t="n"/>
      <c r="V266" s="50" t="n"/>
      <c r="W266" s="50" t="n"/>
      <c r="X266" s="50" t="n"/>
      <c r="Y266" s="50" t="n"/>
      <c r="Z266" s="50" t="n"/>
      <c r="AA266" s="50" t="n"/>
      <c r="AB266" s="50" t="n"/>
      <c r="AC266" s="50" t="n"/>
      <c r="AD266" s="50" t="n"/>
      <c r="AE266" s="50" t="n"/>
      <c r="AF266" s="50" t="n"/>
      <c r="AG266" s="50" t="n"/>
      <c r="AH266" s="50" t="n"/>
      <c r="AI266" s="50" t="n"/>
    </row>
    <row r="267">
      <c r="A267" s="37" t="n"/>
      <c r="B267" s="37" t="n"/>
      <c r="C267" s="37" t="n"/>
      <c r="D267" s="37" t="n"/>
      <c r="E267" s="37" t="n"/>
      <c r="F267" s="95" t="n"/>
      <c r="G267" s="95" t="n"/>
      <c r="H267" s="95" t="n"/>
      <c r="I267" s="80" t="n"/>
      <c r="J267" s="95" t="n"/>
      <c r="K267" s="96" t="n"/>
      <c r="L267" s="97" t="n"/>
      <c r="N267" s="49" t="n"/>
      <c r="O267" s="49" t="n"/>
      <c r="P267" s="50" t="n"/>
      <c r="Q267" s="50" t="n"/>
      <c r="R267" s="49" t="n"/>
      <c r="S267" s="50" t="n"/>
      <c r="T267" s="50" t="n"/>
      <c r="U267" s="50" t="n"/>
      <c r="V267" s="50" t="n"/>
      <c r="W267" s="50" t="n"/>
      <c r="X267" s="50" t="n"/>
      <c r="Y267" s="50" t="n"/>
      <c r="Z267" s="50" t="n"/>
      <c r="AA267" s="50" t="n"/>
      <c r="AB267" s="50" t="n"/>
      <c r="AC267" s="50" t="n"/>
      <c r="AD267" s="50" t="n"/>
      <c r="AE267" s="50" t="n"/>
      <c r="AF267" s="50" t="n"/>
      <c r="AG267" s="50" t="n"/>
      <c r="AH267" s="50" t="n"/>
      <c r="AI267" s="50" t="n"/>
    </row>
    <row r="268">
      <c r="A268" s="37" t="n"/>
      <c r="B268" s="37" t="n"/>
      <c r="C268" s="37" t="n"/>
      <c r="D268" s="37" t="n"/>
      <c r="E268" s="37" t="n"/>
      <c r="F268" s="95" t="n"/>
      <c r="G268" s="95" t="n"/>
      <c r="H268" s="95" t="n"/>
      <c r="I268" s="80" t="n"/>
      <c r="J268" s="95" t="n"/>
      <c r="K268" s="96" t="n"/>
      <c r="L268" s="97" t="n"/>
      <c r="N268" s="49" t="n"/>
      <c r="O268" s="49" t="n"/>
      <c r="P268" s="50" t="n"/>
      <c r="Q268" s="50" t="n"/>
      <c r="R268" s="49" t="n"/>
      <c r="S268" s="50" t="n"/>
      <c r="T268" s="50" t="n"/>
      <c r="U268" s="50" t="n"/>
      <c r="V268" s="50" t="n"/>
      <c r="W268" s="50" t="n"/>
      <c r="X268" s="50" t="n"/>
      <c r="Y268" s="50" t="n"/>
      <c r="Z268" s="50" t="n"/>
      <c r="AA268" s="50" t="n"/>
      <c r="AB268" s="50" t="n"/>
      <c r="AC268" s="50" t="n"/>
      <c r="AD268" s="50" t="n"/>
      <c r="AE268" s="50" t="n"/>
      <c r="AF268" s="50" t="n"/>
      <c r="AG268" s="50" t="n"/>
      <c r="AH268" s="50" t="n"/>
      <c r="AI268" s="50" t="n"/>
    </row>
    <row r="269">
      <c r="A269" s="37" t="n"/>
      <c r="B269" s="37" t="n"/>
      <c r="C269" s="37" t="n"/>
      <c r="D269" s="37" t="n"/>
      <c r="E269" s="37" t="n"/>
      <c r="F269" s="95" t="n"/>
      <c r="G269" s="95" t="n"/>
      <c r="H269" s="95" t="n"/>
      <c r="I269" s="80" t="n"/>
      <c r="J269" s="95" t="n"/>
      <c r="K269" s="96" t="n"/>
      <c r="L269" s="97" t="n"/>
      <c r="N269" s="49" t="n"/>
      <c r="O269" s="49" t="n"/>
      <c r="P269" s="50" t="n"/>
      <c r="Q269" s="50" t="n"/>
      <c r="R269" s="49" t="n"/>
      <c r="S269" s="50" t="n"/>
      <c r="T269" s="50" t="n"/>
      <c r="U269" s="50" t="n"/>
      <c r="V269" s="50" t="n"/>
      <c r="W269" s="50" t="n"/>
      <c r="X269" s="50" t="n"/>
      <c r="Y269" s="50" t="n"/>
      <c r="Z269" s="50" t="n"/>
      <c r="AA269" s="50" t="n"/>
      <c r="AB269" s="50" t="n"/>
      <c r="AC269" s="50" t="n"/>
      <c r="AD269" s="50" t="n"/>
      <c r="AE269" s="50" t="n"/>
      <c r="AF269" s="50" t="n"/>
      <c r="AG269" s="50" t="n"/>
      <c r="AH269" s="50" t="n"/>
      <c r="AI269" s="50" t="n"/>
    </row>
    <row r="270">
      <c r="A270" s="52" t="n"/>
      <c r="B270" s="52" t="n"/>
      <c r="C270" s="53" t="n"/>
      <c r="D270" s="54" t="n"/>
      <c r="E270" s="54" t="n"/>
      <c r="F270" s="98" t="n"/>
      <c r="G270" s="98" t="n"/>
      <c r="H270" s="98" t="n"/>
      <c r="I270" s="99" t="n"/>
      <c r="J270" s="98" t="n"/>
      <c r="K270" s="100" t="n"/>
      <c r="L270" s="101" t="n"/>
      <c r="N270" s="49" t="n"/>
      <c r="O270" s="49" t="n"/>
      <c r="P270" s="50" t="n"/>
      <c r="Q270" s="50" t="n"/>
      <c r="R270" s="49" t="n"/>
      <c r="S270" s="50" t="n"/>
      <c r="T270" s="50" t="n"/>
      <c r="U270" s="50" t="n"/>
      <c r="V270" s="50" t="n"/>
      <c r="W270" s="50" t="n"/>
      <c r="X270" s="50" t="n"/>
      <c r="Y270" s="50" t="n"/>
      <c r="Z270" s="50" t="n"/>
      <c r="AA270" s="50" t="n"/>
      <c r="AB270" s="50" t="n"/>
      <c r="AC270" s="50" t="n"/>
      <c r="AD270" s="50" t="n"/>
      <c r="AE270" s="50" t="n"/>
      <c r="AF270" s="50" t="n"/>
      <c r="AG270" s="50" t="n"/>
      <c r="AH270" s="50" t="n"/>
      <c r="AI270" s="50" t="n"/>
    </row>
    <row r="271">
      <c r="A271" s="37" t="n"/>
      <c r="B271" s="37" t="n"/>
      <c r="C271" s="37" t="n"/>
      <c r="D271" s="37" t="n"/>
      <c r="E271" s="37" t="n"/>
      <c r="F271" s="95" t="n"/>
      <c r="G271" s="95" t="n"/>
      <c r="H271" s="95" t="n"/>
      <c r="I271" s="80" t="n"/>
      <c r="J271" s="95" t="n"/>
      <c r="K271" s="96" t="n"/>
      <c r="L271" s="97" t="n"/>
      <c r="N271" s="49" t="n"/>
      <c r="O271" s="49" t="n"/>
      <c r="P271" s="50" t="n"/>
      <c r="Q271" s="50" t="n"/>
      <c r="R271" s="49" t="n"/>
      <c r="S271" s="50" t="n"/>
      <c r="T271" s="50" t="n"/>
      <c r="U271" s="50" t="n"/>
      <c r="V271" s="50" t="n"/>
      <c r="W271" s="50" t="n"/>
      <c r="X271" s="50" t="n"/>
      <c r="Y271" s="50" t="n"/>
      <c r="Z271" s="50" t="n"/>
      <c r="AA271" s="50" t="n"/>
      <c r="AB271" s="50" t="n"/>
      <c r="AC271" s="50" t="n"/>
      <c r="AD271" s="50" t="n"/>
      <c r="AE271" s="50" t="n"/>
      <c r="AF271" s="50" t="n"/>
      <c r="AG271" s="50" t="n"/>
      <c r="AH271" s="50" t="n"/>
      <c r="AI271" s="50" t="n"/>
    </row>
    <row r="272">
      <c r="A272" s="37" t="n"/>
      <c r="B272" s="37" t="n"/>
      <c r="C272" s="37" t="n"/>
      <c r="D272" s="37" t="n"/>
      <c r="E272" s="37" t="n"/>
      <c r="F272" s="95" t="n"/>
      <c r="G272" s="95" t="n"/>
      <c r="H272" s="95" t="n"/>
      <c r="I272" s="80" t="n"/>
      <c r="J272" s="95" t="n"/>
      <c r="K272" s="96" t="n"/>
      <c r="L272" s="97" t="n"/>
      <c r="N272" s="49" t="n"/>
      <c r="O272" s="49" t="n"/>
      <c r="P272" s="50" t="n"/>
      <c r="Q272" s="50" t="n"/>
      <c r="R272" s="49" t="n"/>
      <c r="S272" s="50" t="n"/>
      <c r="T272" s="50" t="n"/>
      <c r="U272" s="50" t="n"/>
      <c r="V272" s="50" t="n"/>
      <c r="W272" s="50" t="n"/>
      <c r="X272" s="50" t="n"/>
      <c r="Y272" s="50" t="n"/>
      <c r="Z272" s="50" t="n"/>
      <c r="AA272" s="50" t="n"/>
      <c r="AB272" s="50" t="n"/>
      <c r="AC272" s="50" t="n"/>
      <c r="AD272" s="50" t="n"/>
      <c r="AE272" s="50" t="n"/>
      <c r="AF272" s="50" t="n"/>
      <c r="AG272" s="50" t="n"/>
      <c r="AH272" s="50" t="n"/>
      <c r="AI272" s="50" t="n"/>
    </row>
    <row r="273">
      <c r="A273" s="37" t="n"/>
      <c r="B273" s="37" t="n"/>
      <c r="C273" s="37" t="n"/>
      <c r="D273" s="37" t="n"/>
      <c r="E273" s="37" t="n"/>
      <c r="F273" s="95" t="n"/>
      <c r="G273" s="95" t="n"/>
      <c r="H273" s="95" t="n"/>
      <c r="I273" s="80" t="n"/>
      <c r="J273" s="95" t="n"/>
      <c r="K273" s="96" t="n"/>
      <c r="L273" s="97" t="n"/>
      <c r="N273" s="49" t="n"/>
      <c r="O273" s="49" t="n"/>
      <c r="P273" s="50" t="n"/>
      <c r="Q273" s="50" t="n"/>
      <c r="R273" s="49" t="n"/>
      <c r="S273" s="50" t="n"/>
      <c r="T273" s="50" t="n"/>
      <c r="U273" s="50" t="n"/>
      <c r="V273" s="50" t="n"/>
      <c r="W273" s="50" t="n"/>
      <c r="X273" s="50" t="n"/>
      <c r="Y273" s="50" t="n"/>
      <c r="Z273" s="50" t="n"/>
      <c r="AA273" s="50" t="n"/>
      <c r="AB273" s="50" t="n"/>
      <c r="AC273" s="50" t="n"/>
      <c r="AD273" s="50" t="n"/>
      <c r="AE273" s="50" t="n"/>
      <c r="AF273" s="50" t="n"/>
      <c r="AG273" s="50" t="n"/>
      <c r="AH273" s="50" t="n"/>
      <c r="AI273" s="50" t="n"/>
    </row>
    <row r="274">
      <c r="A274" s="37" t="n"/>
      <c r="B274" s="37" t="n"/>
      <c r="C274" s="37" t="n"/>
      <c r="D274" s="37" t="n"/>
      <c r="E274" s="37" t="n"/>
      <c r="F274" s="95" t="n"/>
      <c r="G274" s="95" t="n"/>
      <c r="H274" s="95" t="n"/>
      <c r="I274" s="80" t="n"/>
      <c r="J274" s="95" t="n"/>
      <c r="K274" s="96" t="n"/>
      <c r="L274" s="97" t="n"/>
      <c r="N274" s="49" t="n"/>
      <c r="O274" s="49" t="n"/>
      <c r="P274" s="50" t="n"/>
      <c r="Q274" s="50" t="n"/>
      <c r="R274" s="49" t="n"/>
      <c r="S274" s="50" t="n"/>
      <c r="T274" s="50" t="n"/>
      <c r="U274" s="50" t="n"/>
      <c r="V274" s="50" t="n"/>
      <c r="W274" s="50" t="n"/>
      <c r="X274" s="50" t="n"/>
      <c r="Y274" s="50" t="n"/>
      <c r="Z274" s="50" t="n"/>
      <c r="AA274" s="50" t="n"/>
      <c r="AB274" s="50" t="n"/>
      <c r="AC274" s="50" t="n"/>
      <c r="AD274" s="50" t="n"/>
      <c r="AE274" s="50" t="n"/>
      <c r="AF274" s="50" t="n"/>
      <c r="AG274" s="50" t="n"/>
      <c r="AH274" s="50" t="n"/>
      <c r="AI274" s="50" t="n"/>
    </row>
    <row r="275">
      <c r="A275" s="37" t="n"/>
      <c r="B275" s="37" t="n"/>
      <c r="C275" s="37" t="n"/>
      <c r="D275" s="37" t="n"/>
      <c r="E275" s="37" t="n"/>
      <c r="F275" s="95" t="n"/>
      <c r="G275" s="95" t="n"/>
      <c r="H275" s="95" t="n"/>
      <c r="I275" s="80" t="n"/>
      <c r="J275" s="95" t="n"/>
      <c r="K275" s="96" t="n"/>
      <c r="L275" s="97" t="n"/>
      <c r="N275" s="49" t="n"/>
      <c r="O275" s="49" t="n"/>
      <c r="P275" s="50" t="n"/>
      <c r="Q275" s="50" t="n"/>
      <c r="R275" s="49" t="n"/>
      <c r="S275" s="50" t="n"/>
      <c r="T275" s="50" t="n"/>
      <c r="U275" s="50" t="n"/>
      <c r="V275" s="50" t="n"/>
      <c r="W275" s="50" t="n"/>
      <c r="X275" s="50" t="n"/>
      <c r="Y275" s="50" t="n"/>
      <c r="Z275" s="50" t="n"/>
      <c r="AA275" s="50" t="n"/>
      <c r="AB275" s="50" t="n"/>
      <c r="AC275" s="50" t="n"/>
      <c r="AD275" s="50" t="n"/>
      <c r="AE275" s="50" t="n"/>
      <c r="AF275" s="50" t="n"/>
      <c r="AG275" s="50" t="n"/>
      <c r="AH275" s="50" t="n"/>
      <c r="AI275" s="50" t="n"/>
    </row>
    <row r="276">
      <c r="A276" s="37" t="n"/>
      <c r="B276" s="37" t="n"/>
      <c r="C276" s="37" t="n"/>
      <c r="D276" s="37" t="n"/>
      <c r="E276" s="37" t="n"/>
      <c r="F276" s="95" t="n"/>
      <c r="G276" s="95" t="n"/>
      <c r="H276" s="95" t="n"/>
      <c r="I276" s="80" t="n"/>
      <c r="J276" s="95" t="n"/>
      <c r="K276" s="96" t="n"/>
      <c r="L276" s="97" t="n"/>
      <c r="N276" s="49" t="n"/>
      <c r="O276" s="49" t="n"/>
      <c r="P276" s="50" t="n"/>
      <c r="Q276" s="50" t="n"/>
      <c r="R276" s="49" t="n"/>
      <c r="S276" s="50" t="n"/>
      <c r="T276" s="50" t="n"/>
      <c r="U276" s="50" t="n"/>
      <c r="V276" s="50" t="n"/>
      <c r="W276" s="50" t="n"/>
      <c r="X276" s="50" t="n"/>
      <c r="Y276" s="50" t="n"/>
      <c r="Z276" s="50" t="n"/>
      <c r="AA276" s="50" t="n"/>
      <c r="AB276" s="50" t="n"/>
      <c r="AC276" s="50" t="n"/>
      <c r="AD276" s="50" t="n"/>
      <c r="AE276" s="50" t="n"/>
      <c r="AF276" s="50" t="n"/>
      <c r="AG276" s="50" t="n"/>
      <c r="AH276" s="50" t="n"/>
      <c r="AI276" s="50" t="n"/>
    </row>
    <row r="277">
      <c r="A277" s="37" t="n"/>
      <c r="B277" s="37" t="n"/>
      <c r="C277" s="37" t="n"/>
      <c r="D277" s="37" t="n"/>
      <c r="E277" s="37" t="n"/>
      <c r="F277" s="95" t="n"/>
      <c r="G277" s="95" t="n"/>
      <c r="H277" s="95" t="n"/>
      <c r="I277" s="80" t="n"/>
      <c r="J277" s="95" t="n"/>
      <c r="K277" s="96" t="n"/>
      <c r="L277" s="97" t="n"/>
      <c r="N277" s="49" t="n"/>
      <c r="O277" s="49" t="n"/>
      <c r="P277" s="50" t="n"/>
      <c r="Q277" s="50" t="n"/>
      <c r="R277" s="49" t="n"/>
      <c r="S277" s="50" t="n"/>
      <c r="T277" s="50" t="n"/>
      <c r="U277" s="50" t="n"/>
      <c r="V277" s="50" t="n"/>
      <c r="W277" s="50" t="n"/>
      <c r="X277" s="50" t="n"/>
      <c r="Y277" s="50" t="n"/>
      <c r="Z277" s="50" t="n"/>
      <c r="AA277" s="50" t="n"/>
      <c r="AB277" s="50" t="n"/>
      <c r="AC277" s="50" t="n"/>
      <c r="AD277" s="50" t="n"/>
      <c r="AE277" s="50" t="n"/>
      <c r="AF277" s="50" t="n"/>
      <c r="AG277" s="50" t="n"/>
      <c r="AH277" s="50" t="n"/>
      <c r="AI277" s="50" t="n"/>
    </row>
    <row r="278">
      <c r="A278" s="37" t="n"/>
      <c r="B278" s="37" t="n"/>
      <c r="C278" s="37" t="n"/>
      <c r="D278" s="37" t="n"/>
      <c r="E278" s="37" t="n"/>
      <c r="F278" s="95" t="n"/>
      <c r="G278" s="95" t="n"/>
      <c r="H278" s="95" t="n"/>
      <c r="I278" s="80" t="n"/>
      <c r="J278" s="95" t="n"/>
      <c r="K278" s="96" t="n"/>
      <c r="L278" s="97" t="n"/>
      <c r="N278" s="49" t="n"/>
      <c r="O278" s="49" t="n"/>
      <c r="P278" s="50" t="n"/>
      <c r="Q278" s="50" t="n"/>
      <c r="R278" s="49" t="n"/>
      <c r="S278" s="50" t="n"/>
      <c r="T278" s="50" t="n"/>
      <c r="U278" s="50" t="n"/>
      <c r="V278" s="50" t="n"/>
      <c r="W278" s="50" t="n"/>
      <c r="X278" s="50" t="n"/>
      <c r="Y278" s="50" t="n"/>
      <c r="Z278" s="50" t="n"/>
      <c r="AA278" s="50" t="n"/>
      <c r="AB278" s="50" t="n"/>
      <c r="AC278" s="50" t="n"/>
      <c r="AD278" s="50" t="n"/>
      <c r="AE278" s="50" t="n"/>
      <c r="AF278" s="50" t="n"/>
      <c r="AG278" s="50" t="n"/>
      <c r="AH278" s="50" t="n"/>
      <c r="AI278" s="50" t="n"/>
    </row>
    <row r="279">
      <c r="A279" s="37" t="n"/>
      <c r="B279" s="37" t="n"/>
      <c r="C279" s="37" t="n"/>
      <c r="D279" s="37" t="n"/>
      <c r="E279" s="37" t="n"/>
      <c r="F279" s="95" t="n"/>
      <c r="G279" s="95" t="n"/>
      <c r="H279" s="95" t="n"/>
      <c r="I279" s="80" t="n"/>
      <c r="J279" s="95" t="n"/>
      <c r="K279" s="96" t="n"/>
      <c r="L279" s="97" t="n"/>
      <c r="N279" s="49" t="n"/>
      <c r="O279" s="49" t="n"/>
      <c r="P279" s="50" t="n"/>
      <c r="Q279" s="50" t="n"/>
      <c r="R279" s="49" t="n"/>
      <c r="S279" s="50" t="n"/>
      <c r="T279" s="50" t="n"/>
      <c r="U279" s="50" t="n"/>
      <c r="V279" s="50" t="n"/>
      <c r="W279" s="50" t="n"/>
      <c r="X279" s="50" t="n"/>
      <c r="Y279" s="50" t="n"/>
      <c r="Z279" s="50" t="n"/>
      <c r="AA279" s="50" t="n"/>
      <c r="AB279" s="50" t="n"/>
      <c r="AC279" s="50" t="n"/>
      <c r="AD279" s="50" t="n"/>
      <c r="AE279" s="50" t="n"/>
      <c r="AF279" s="50" t="n"/>
      <c r="AG279" s="50" t="n"/>
      <c r="AH279" s="50" t="n"/>
      <c r="AI279" s="50" t="n"/>
    </row>
    <row r="280">
      <c r="A280" s="37" t="n"/>
      <c r="B280" s="37" t="n"/>
      <c r="C280" s="37" t="n"/>
      <c r="D280" s="37" t="n"/>
      <c r="E280" s="37" t="n"/>
      <c r="F280" s="95" t="n"/>
      <c r="G280" s="95" t="n"/>
      <c r="H280" s="95" t="n"/>
      <c r="I280" s="80" t="n"/>
      <c r="J280" s="95" t="n"/>
      <c r="K280" s="96" t="n"/>
      <c r="L280" s="97" t="n"/>
      <c r="N280" s="49" t="n"/>
      <c r="O280" s="49" t="n"/>
      <c r="P280" s="50" t="n"/>
      <c r="Q280" s="50" t="n"/>
      <c r="R280" s="49" t="n"/>
      <c r="S280" s="50" t="n"/>
      <c r="T280" s="50" t="n"/>
      <c r="U280" s="50" t="n"/>
      <c r="V280" s="50" t="n"/>
      <c r="W280" s="50" t="n"/>
      <c r="X280" s="50" t="n"/>
      <c r="Y280" s="50" t="n"/>
      <c r="Z280" s="50" t="n"/>
      <c r="AA280" s="50" t="n"/>
      <c r="AB280" s="50" t="n"/>
      <c r="AC280" s="50" t="n"/>
      <c r="AD280" s="50" t="n"/>
      <c r="AE280" s="50" t="n"/>
      <c r="AF280" s="50" t="n"/>
      <c r="AG280" s="50" t="n"/>
      <c r="AH280" s="50" t="n"/>
      <c r="AI280" s="50" t="n"/>
    </row>
    <row r="281">
      <c r="A281" s="37" t="n"/>
      <c r="B281" s="37" t="n"/>
      <c r="C281" s="37" t="n"/>
      <c r="D281" s="37" t="n"/>
      <c r="E281" s="37" t="n"/>
      <c r="F281" s="95" t="n"/>
      <c r="G281" s="95" t="n"/>
      <c r="H281" s="95" t="n"/>
      <c r="I281" s="80" t="n"/>
      <c r="J281" s="95" t="n"/>
      <c r="K281" s="96" t="n"/>
      <c r="L281" s="97" t="n"/>
      <c r="N281" s="49" t="n"/>
      <c r="O281" s="49" t="n"/>
      <c r="P281" s="50" t="n"/>
      <c r="Q281" s="50" t="n"/>
      <c r="R281" s="49" t="n"/>
      <c r="S281" s="50" t="n"/>
      <c r="T281" s="50" t="n"/>
      <c r="U281" s="50" t="n"/>
      <c r="V281" s="50" t="n"/>
      <c r="W281" s="50" t="n"/>
      <c r="X281" s="50" t="n"/>
      <c r="Y281" s="50" t="n"/>
      <c r="Z281" s="50" t="n"/>
      <c r="AA281" s="50" t="n"/>
      <c r="AB281" s="50" t="n"/>
      <c r="AC281" s="50" t="n"/>
      <c r="AD281" s="50" t="n"/>
      <c r="AE281" s="50" t="n"/>
      <c r="AF281" s="50" t="n"/>
      <c r="AG281" s="50" t="n"/>
      <c r="AH281" s="50" t="n"/>
      <c r="AI281" s="50" t="n"/>
    </row>
    <row r="282">
      <c r="A282" s="37" t="n"/>
      <c r="B282" s="37" t="n"/>
      <c r="C282" s="37" t="n"/>
      <c r="D282" s="37" t="n"/>
      <c r="E282" s="37" t="n"/>
      <c r="F282" s="95" t="n"/>
      <c r="G282" s="95" t="n"/>
      <c r="H282" s="95" t="n"/>
      <c r="I282" s="80" t="n"/>
      <c r="J282" s="95" t="n"/>
      <c r="K282" s="96" t="n"/>
      <c r="L282" s="97" t="n"/>
      <c r="N282" s="49" t="n"/>
      <c r="O282" s="49" t="n"/>
      <c r="P282" s="50" t="n"/>
      <c r="Q282" s="50" t="n"/>
      <c r="R282" s="49" t="n"/>
      <c r="S282" s="50" t="n"/>
      <c r="T282" s="50" t="n"/>
      <c r="U282" s="50" t="n"/>
      <c r="V282" s="50" t="n"/>
      <c r="W282" s="50" t="n"/>
      <c r="X282" s="50" t="n"/>
      <c r="Y282" s="50" t="n"/>
      <c r="Z282" s="50" t="n"/>
      <c r="AA282" s="50" t="n"/>
      <c r="AB282" s="50" t="n"/>
      <c r="AC282" s="50" t="n"/>
      <c r="AD282" s="50" t="n"/>
      <c r="AE282" s="50" t="n"/>
      <c r="AF282" s="50" t="n"/>
      <c r="AG282" s="50" t="n"/>
      <c r="AH282" s="50" t="n"/>
      <c r="AI282" s="50" t="n"/>
    </row>
    <row r="283">
      <c r="A283" s="37" t="n"/>
      <c r="B283" s="37" t="n"/>
      <c r="C283" s="37" t="n"/>
      <c r="D283" s="37" t="n"/>
      <c r="E283" s="37" t="n"/>
      <c r="F283" s="95" t="n"/>
      <c r="G283" s="95" t="n"/>
      <c r="H283" s="95" t="n"/>
      <c r="I283" s="80" t="n"/>
      <c r="J283" s="95" t="n"/>
      <c r="K283" s="96" t="n"/>
      <c r="L283" s="97" t="n"/>
      <c r="N283" s="49" t="n"/>
      <c r="O283" s="49" t="n"/>
      <c r="P283" s="50" t="n"/>
      <c r="Q283" s="50" t="n"/>
      <c r="R283" s="49" t="n"/>
      <c r="S283" s="50" t="n"/>
      <c r="T283" s="50" t="n"/>
      <c r="U283" s="50" t="n"/>
      <c r="V283" s="50" t="n"/>
      <c r="W283" s="50" t="n"/>
      <c r="X283" s="50" t="n"/>
      <c r="Y283" s="50" t="n"/>
      <c r="Z283" s="50" t="n"/>
      <c r="AA283" s="50" t="n"/>
      <c r="AB283" s="50" t="n"/>
      <c r="AC283" s="50" t="n"/>
      <c r="AD283" s="50" t="n"/>
      <c r="AE283" s="50" t="n"/>
      <c r="AF283" s="50" t="n"/>
      <c r="AG283" s="50" t="n"/>
      <c r="AH283" s="50" t="n"/>
      <c r="AI283" s="50" t="n"/>
    </row>
    <row r="284">
      <c r="A284" s="37" t="n"/>
      <c r="B284" s="37" t="n"/>
      <c r="C284" s="37" t="n"/>
      <c r="D284" s="37" t="n"/>
      <c r="E284" s="37" t="n"/>
      <c r="F284" s="95" t="n"/>
      <c r="G284" s="95" t="n"/>
      <c r="H284" s="95" t="n"/>
      <c r="I284" s="80" t="n"/>
      <c r="J284" s="95" t="n"/>
      <c r="K284" s="96" t="n"/>
      <c r="L284" s="97" t="n"/>
      <c r="N284" s="49" t="n"/>
      <c r="O284" s="49" t="n"/>
      <c r="P284" s="50" t="n"/>
      <c r="Q284" s="50" t="n"/>
      <c r="R284" s="49" t="n"/>
      <c r="S284" s="50" t="n"/>
      <c r="T284" s="50" t="n"/>
      <c r="U284" s="50" t="n"/>
      <c r="V284" s="50" t="n"/>
      <c r="W284" s="50" t="n"/>
      <c r="X284" s="50" t="n"/>
      <c r="Y284" s="50" t="n"/>
      <c r="Z284" s="50" t="n"/>
      <c r="AA284" s="50" t="n"/>
      <c r="AB284" s="50" t="n"/>
      <c r="AC284" s="50" t="n"/>
      <c r="AD284" s="50" t="n"/>
      <c r="AE284" s="50" t="n"/>
      <c r="AF284" s="50" t="n"/>
      <c r="AG284" s="50" t="n"/>
      <c r="AH284" s="50" t="n"/>
      <c r="AI284" s="50" t="n"/>
    </row>
    <row r="285">
      <c r="A285" s="37" t="n"/>
      <c r="B285" s="37" t="n"/>
      <c r="C285" s="37" t="n"/>
      <c r="D285" s="37" t="n"/>
      <c r="E285" s="37" t="n"/>
      <c r="F285" s="95" t="n"/>
      <c r="G285" s="95" t="n"/>
      <c r="H285" s="95" t="n"/>
      <c r="I285" s="80" t="n"/>
      <c r="J285" s="95" t="n"/>
      <c r="K285" s="96" t="n"/>
      <c r="L285" s="97" t="n"/>
      <c r="N285" s="49" t="n"/>
      <c r="O285" s="49" t="n"/>
      <c r="P285" s="50" t="n"/>
      <c r="Q285" s="50" t="n"/>
      <c r="R285" s="49" t="n"/>
      <c r="S285" s="50" t="n"/>
      <c r="T285" s="50" t="n"/>
      <c r="U285" s="50" t="n"/>
      <c r="V285" s="50" t="n"/>
      <c r="W285" s="50" t="n"/>
      <c r="X285" s="50" t="n"/>
      <c r="Y285" s="50" t="n"/>
      <c r="Z285" s="50" t="n"/>
      <c r="AA285" s="50" t="n"/>
      <c r="AB285" s="50" t="n"/>
      <c r="AC285" s="50" t="n"/>
      <c r="AD285" s="50" t="n"/>
      <c r="AE285" s="50" t="n"/>
      <c r="AF285" s="50" t="n"/>
      <c r="AG285" s="50" t="n"/>
      <c r="AH285" s="50" t="n"/>
      <c r="AI285" s="50" t="n"/>
    </row>
    <row r="286">
      <c r="A286" s="37" t="n"/>
      <c r="B286" s="37" t="n"/>
      <c r="C286" s="37" t="n"/>
      <c r="D286" s="37" t="n"/>
      <c r="E286" s="37" t="n"/>
      <c r="F286" s="95" t="n"/>
      <c r="G286" s="95" t="n"/>
      <c r="H286" s="95" t="n"/>
      <c r="I286" s="80" t="n"/>
      <c r="J286" s="95" t="n"/>
      <c r="K286" s="96" t="n"/>
      <c r="L286" s="97" t="n"/>
      <c r="N286" s="49" t="n"/>
      <c r="O286" s="49" t="n"/>
      <c r="P286" s="50" t="n"/>
      <c r="Q286" s="50" t="n"/>
      <c r="R286" s="49" t="n"/>
      <c r="S286" s="50" t="n"/>
      <c r="T286" s="50" t="n"/>
      <c r="U286" s="50" t="n"/>
      <c r="V286" s="50" t="n"/>
      <c r="W286" s="50" t="n"/>
      <c r="X286" s="50" t="n"/>
      <c r="Y286" s="50" t="n"/>
      <c r="Z286" s="50" t="n"/>
      <c r="AA286" s="50" t="n"/>
      <c r="AB286" s="50" t="n"/>
      <c r="AC286" s="50" t="n"/>
      <c r="AD286" s="50" t="n"/>
      <c r="AE286" s="50" t="n"/>
      <c r="AF286" s="50" t="n"/>
      <c r="AG286" s="50" t="n"/>
      <c r="AH286" s="50" t="n"/>
      <c r="AI286" s="50" t="n"/>
    </row>
    <row r="287">
      <c r="A287" s="52" t="n"/>
      <c r="B287" s="52" t="n"/>
      <c r="C287" s="53" t="n"/>
      <c r="D287" s="54" t="n"/>
      <c r="E287" s="54" t="n"/>
      <c r="F287" s="98" t="n"/>
      <c r="G287" s="98" t="n"/>
      <c r="H287" s="98" t="n"/>
      <c r="I287" s="99" t="n"/>
      <c r="J287" s="98" t="n"/>
      <c r="K287" s="100" t="n"/>
      <c r="L287" s="101" t="n"/>
      <c r="N287" s="49" t="n"/>
      <c r="O287" s="49" t="n"/>
      <c r="P287" s="50" t="n"/>
      <c r="Q287" s="50" t="n"/>
      <c r="R287" s="49" t="n"/>
      <c r="S287" s="50" t="n"/>
      <c r="T287" s="50" t="n"/>
      <c r="U287" s="50" t="n"/>
      <c r="V287" s="50" t="n"/>
      <c r="W287" s="50" t="n"/>
      <c r="X287" s="50" t="n"/>
      <c r="Y287" s="50" t="n"/>
      <c r="Z287" s="50" t="n"/>
      <c r="AA287" s="50" t="n"/>
      <c r="AB287" s="50" t="n"/>
      <c r="AC287" s="50" t="n"/>
      <c r="AD287" s="50" t="n"/>
      <c r="AE287" s="50" t="n"/>
      <c r="AF287" s="50" t="n"/>
      <c r="AG287" s="50" t="n"/>
      <c r="AH287" s="50" t="n"/>
      <c r="AI287" s="50" t="n"/>
    </row>
    <row r="288">
      <c r="A288" s="37" t="n"/>
      <c r="B288" s="37" t="n"/>
      <c r="C288" s="37" t="n"/>
      <c r="D288" s="37" t="n"/>
      <c r="E288" s="37" t="n"/>
      <c r="F288" s="95" t="n"/>
      <c r="G288" s="95" t="n"/>
      <c r="H288" s="95" t="n"/>
      <c r="I288" s="80" t="n"/>
      <c r="J288" s="95" t="n"/>
      <c r="K288" s="96" t="n"/>
      <c r="L288" s="97" t="n"/>
      <c r="N288" s="49" t="n"/>
      <c r="O288" s="49" t="n"/>
      <c r="P288" s="50" t="n"/>
      <c r="Q288" s="50" t="n"/>
      <c r="R288" s="49" t="n"/>
      <c r="S288" s="50" t="n"/>
      <c r="T288" s="50" t="n"/>
      <c r="U288" s="50" t="n"/>
      <c r="V288" s="50" t="n"/>
      <c r="W288" s="50" t="n"/>
      <c r="X288" s="50" t="n"/>
      <c r="Y288" s="50" t="n"/>
      <c r="Z288" s="50" t="n"/>
      <c r="AA288" s="50" t="n"/>
      <c r="AB288" s="50" t="n"/>
      <c r="AC288" s="50" t="n"/>
      <c r="AD288" s="50" t="n"/>
      <c r="AE288" s="50" t="n"/>
      <c r="AF288" s="50" t="n"/>
      <c r="AG288" s="50" t="n"/>
      <c r="AH288" s="50" t="n"/>
      <c r="AI288" s="50" t="n"/>
    </row>
    <row r="289">
      <c r="A289" s="37" t="n"/>
      <c r="B289" s="37" t="n"/>
      <c r="C289" s="37" t="n"/>
      <c r="D289" s="37" t="n"/>
      <c r="E289" s="37" t="n"/>
      <c r="F289" s="95" t="n"/>
      <c r="G289" s="95" t="n"/>
      <c r="H289" s="95" t="n"/>
      <c r="I289" s="80" t="n"/>
      <c r="J289" s="95" t="n"/>
      <c r="K289" s="96" t="n"/>
      <c r="L289" s="97" t="n"/>
      <c r="N289" s="49" t="n"/>
      <c r="O289" s="49" t="n"/>
      <c r="P289" s="50" t="n"/>
      <c r="Q289" s="50" t="n"/>
      <c r="R289" s="49" t="n"/>
      <c r="S289" s="50" t="n"/>
      <c r="T289" s="50" t="n"/>
      <c r="U289" s="50" t="n"/>
      <c r="V289" s="50" t="n"/>
      <c r="W289" s="50" t="n"/>
      <c r="X289" s="50" t="n"/>
      <c r="Y289" s="50" t="n"/>
      <c r="Z289" s="50" t="n"/>
      <c r="AA289" s="50" t="n"/>
      <c r="AB289" s="50" t="n"/>
      <c r="AC289" s="50" t="n"/>
      <c r="AD289" s="50" t="n"/>
      <c r="AE289" s="50" t="n"/>
      <c r="AF289" s="50" t="n"/>
      <c r="AG289" s="50" t="n"/>
      <c r="AH289" s="50" t="n"/>
      <c r="AI289" s="50" t="n"/>
    </row>
    <row r="290">
      <c r="A290" s="59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60" t="n"/>
      <c r="L290" s="102" t="n"/>
      <c r="N290" s="49" t="n"/>
      <c r="R290" s="49" t="n"/>
    </row>
    <row r="291">
      <c r="L291" s="103" t="n"/>
      <c r="N291" s="49" t="n"/>
      <c r="R291" s="49" t="n"/>
    </row>
    <row r="292">
      <c r="N292" s="49" t="n"/>
      <c r="R292" s="49" t="n"/>
    </row>
    <row r="293">
      <c r="N293" s="49" t="n"/>
      <c r="R293" s="49" t="n"/>
    </row>
    <row r="294">
      <c r="N294" s="49" t="n"/>
      <c r="R294" s="49" t="n"/>
    </row>
    <row r="295">
      <c r="R295" s="49" t="n"/>
    </row>
    <row r="296">
      <c r="R296" s="49" t="n"/>
    </row>
    <row r="297">
      <c r="R297" s="49" t="n"/>
    </row>
    <row r="298">
      <c r="R298" s="49" t="n"/>
    </row>
    <row r="299">
      <c r="A299" s="104">
        <f>A298</f>
        <v/>
      </c>
      <c r="B299" s="104">
        <f>B298</f>
        <v/>
      </c>
      <c r="C299" s="104" t="inlineStr">
        <is>
          <t>INSTALAÇÕES DE TELECOMUNICAÇÃO</t>
        </is>
      </c>
      <c r="D299" s="104" t="inlineStr">
        <is>
          <t>ELETRODUTOS</t>
        </is>
      </c>
      <c r="E299" s="104" t="inlineStr">
        <is>
          <t>PVC Flexível Antichama - NBR 15465 ø1.1/4"</t>
        </is>
      </c>
      <c r="F299" s="105" t="n">
        <v>16</v>
      </c>
      <c r="G299" s="105" t="n">
        <v>1</v>
      </c>
      <c r="H299" s="106" t="n">
        <v>0</v>
      </c>
      <c r="I299" s="107">
        <f>(F299+H299*F299)*G299</f>
        <v/>
      </c>
      <c r="J299" s="105" t="inlineStr">
        <is>
          <t>m</t>
        </is>
      </c>
      <c r="K299" s="108" t="n">
        <v>0</v>
      </c>
      <c r="L299" s="109">
        <f>IF(SUM(F299:K299)=0,SUMIFS($L300:$L$535,$B300:$B$535,$B299,$A300:$A$535,$A299),I299*K299)</f>
        <v/>
      </c>
    </row>
    <row r="300">
      <c r="A300" s="104">
        <f>A299</f>
        <v/>
      </c>
      <c r="B300" s="104">
        <f>B299</f>
        <v/>
      </c>
      <c r="C300" s="104" t="inlineStr">
        <is>
          <t>INSTALAÇÕES DE TELECOMUNICAÇÃO</t>
        </is>
      </c>
      <c r="D300" s="104" t="inlineStr">
        <is>
          <t>CAIXA DE PASSAGEM</t>
        </is>
      </c>
      <c r="E300" s="104" t="inlineStr">
        <is>
          <t>Cx de passagem de embutir com dimensão de 20x20x12cm</t>
        </is>
      </c>
      <c r="F300" s="105" t="n">
        <v>2</v>
      </c>
      <c r="G300" s="105" t="n">
        <v>1</v>
      </c>
      <c r="H300" s="106" t="n">
        <v>0</v>
      </c>
      <c r="I300" s="107">
        <f>(F300+H300*F300)*G300</f>
        <v/>
      </c>
      <c r="J300" s="105" t="inlineStr">
        <is>
          <t>pç</t>
        </is>
      </c>
      <c r="K300" s="108" t="n">
        <v>0</v>
      </c>
      <c r="L300" s="109">
        <f>IF(SUM(F300:K300)=0,SUMIFS($L301:$L$535,$B301:$B$535,$B300,$A301:$A$535,$A300),I300*K300)</f>
        <v/>
      </c>
    </row>
    <row r="301">
      <c r="A301" s="104">
        <f>A300</f>
        <v/>
      </c>
      <c r="B301" s="104">
        <f>B300</f>
        <v/>
      </c>
      <c r="C301" s="104" t="inlineStr">
        <is>
          <t>INSTALAÇÕES DE TELECOMUNICAÇÃO</t>
        </is>
      </c>
      <c r="D301" s="104" t="inlineStr">
        <is>
          <t>CAIXA DE PASSAGEM</t>
        </is>
      </c>
      <c r="E301" s="104" t="inlineStr">
        <is>
          <t>Cx de passagem de embutir com dimensão de 40x40x15cm</t>
        </is>
      </c>
      <c r="F301" s="105" t="n">
        <v>2</v>
      </c>
      <c r="G301" s="105" t="n">
        <v>1</v>
      </c>
      <c r="H301" s="106" t="n">
        <v>0</v>
      </c>
      <c r="I301" s="107">
        <f>(F301+H301*F301)*G301</f>
        <v/>
      </c>
      <c r="J301" s="105" t="inlineStr">
        <is>
          <t>pç</t>
        </is>
      </c>
      <c r="K301" s="108" t="n">
        <v>0</v>
      </c>
      <c r="L301" s="109">
        <f>IF(SUM(F301:K301)=0,SUMIFS($L302:$L$535,$B302:$B$535,$B301,$A302:$A$535,$A301),I301*K301)</f>
        <v/>
      </c>
    </row>
    <row r="302">
      <c r="A302" s="104">
        <f>A301</f>
        <v/>
      </c>
      <c r="B302" s="104">
        <f>B301</f>
        <v/>
      </c>
      <c r="C302" s="104" t="inlineStr">
        <is>
          <t>INSTALAÇÕES DE TELECOMUNICAÇÃO</t>
        </is>
      </c>
      <c r="D302" s="104" t="inlineStr">
        <is>
          <t>COTOVELOS</t>
        </is>
      </c>
      <c r="E302" s="104" t="inlineStr">
        <is>
          <t>Cotovelo para eletroduto flexível PVC amarelo</t>
        </is>
      </c>
      <c r="F302" s="105" t="n">
        <v>96</v>
      </c>
      <c r="G302" s="105" t="n">
        <v>1</v>
      </c>
      <c r="H302" s="106" t="n">
        <v>0</v>
      </c>
      <c r="I302" s="107">
        <f>(F302+H302*F302)*G302</f>
        <v/>
      </c>
      <c r="J302" s="105" t="inlineStr">
        <is>
          <t>un</t>
        </is>
      </c>
      <c r="K302" s="108" t="n">
        <v>0</v>
      </c>
      <c r="L302" s="109">
        <f>IF(SUM(F302:K302)=0,SUMIFS($L303:$L$535,$B303:$B$535,$B302,$A303:$A$535,$A302),I302*K302)</f>
        <v/>
      </c>
    </row>
    <row r="303">
      <c r="A303" s="104">
        <f>A302</f>
        <v/>
      </c>
      <c r="B303" s="104">
        <f>B302</f>
        <v/>
      </c>
      <c r="C303" s="104" t="inlineStr">
        <is>
          <t>INSTALAÇÕES DE TELECOMUNICAÇÃO</t>
        </is>
      </c>
      <c r="D303" s="104" t="inlineStr">
        <is>
          <t>CONECTORES E BUCHAS</t>
        </is>
      </c>
      <c r="E303" s="104" t="inlineStr">
        <is>
          <t>Conector box e arruela - Alumínio padrão</t>
        </is>
      </c>
      <c r="F303" s="105" t="n">
        <v>38</v>
      </c>
      <c r="G303" s="105" t="n">
        <v>1</v>
      </c>
      <c r="H303" s="106" t="n">
        <v>0</v>
      </c>
      <c r="I303" s="107">
        <f>(F303+H303*F303)*G303</f>
        <v/>
      </c>
      <c r="J303" s="105" t="inlineStr">
        <is>
          <t>un</t>
        </is>
      </c>
      <c r="K303" s="108" t="n">
        <v>0</v>
      </c>
      <c r="L303" s="109">
        <f>IF(SUM(F303:K303)=0,SUMIFS($L304:$L$535,$B304:$B$535,$B303,$A304:$A$535,$A303),I303*K303)</f>
        <v/>
      </c>
    </row>
    <row r="304">
      <c r="A304" s="104">
        <f>A303</f>
        <v/>
      </c>
      <c r="B304" s="104">
        <f>B303</f>
        <v/>
      </c>
      <c r="C304" s="104" t="inlineStr">
        <is>
          <t>INSTALAÇÕES DE TELECOMUNICAÇÃO</t>
        </is>
      </c>
      <c r="D304" s="104" t="inlineStr">
        <is>
          <t>CONECTORES E BUCHAS</t>
        </is>
      </c>
      <c r="E304" s="104" t="inlineStr">
        <is>
          <t>Bucha terminal simples - Alumínio padrão</t>
        </is>
      </c>
      <c r="F304" s="105" t="n">
        <v>22</v>
      </c>
      <c r="G304" s="105" t="n">
        <v>1</v>
      </c>
      <c r="H304" s="106" t="n">
        <v>0</v>
      </c>
      <c r="I304" s="107">
        <f>(F304+H304*F304)*G304</f>
        <v/>
      </c>
      <c r="J304" s="105" t="inlineStr">
        <is>
          <t>un</t>
        </is>
      </c>
      <c r="K304" s="108" t="n">
        <v>0</v>
      </c>
      <c r="L304" s="109">
        <f>IF(SUM(F304:K304)=0,SUMIFS($L305:$L$535,$B305:$B$535,$B304,$A305:$A$535,$A304),I304*K304)</f>
        <v/>
      </c>
    </row>
    <row r="305">
      <c r="A305" s="104">
        <f>A304</f>
        <v/>
      </c>
      <c r="B305" s="104">
        <f>B304</f>
        <v/>
      </c>
      <c r="C305" s="104" t="inlineStr">
        <is>
          <t>INSTALAÇÕES DE TELECOMUNICAÇÃO</t>
        </is>
      </c>
      <c r="D305" s="104" t="inlineStr">
        <is>
          <t>CONDUTORES TELECOM</t>
        </is>
      </c>
      <c r="E305" s="104" t="inlineStr">
        <is>
          <t>Condutor CFTV</t>
        </is>
      </c>
      <c r="F305" s="105" t="n">
        <v>3</v>
      </c>
      <c r="G305" s="105" t="n">
        <v>1</v>
      </c>
      <c r="H305" s="106" t="n">
        <v>0</v>
      </c>
      <c r="I305" s="107">
        <f>(F305+H305*F305)*G305</f>
        <v/>
      </c>
      <c r="J305" s="105" t="inlineStr">
        <is>
          <t>un</t>
        </is>
      </c>
      <c r="K305" s="108" t="n">
        <v>0</v>
      </c>
      <c r="L305" s="109">
        <f>IF(SUM(F305:K305)=0,SUMIFS($L306:$L$535,$B306:$B$535,$B305,$A306:$A$535,$A305),I305*K305)</f>
        <v/>
      </c>
    </row>
    <row r="306">
      <c r="A306" s="104">
        <f>A305</f>
        <v/>
      </c>
      <c r="B306" s="104">
        <f>B305</f>
        <v/>
      </c>
      <c r="C306" s="104" t="inlineStr">
        <is>
          <t>INSTALAÇÕES DE TELECOMUNICAÇÃO</t>
        </is>
      </c>
      <c r="D306" s="104" t="inlineStr">
        <is>
          <t>CONDUTORES TELECOM</t>
        </is>
      </c>
      <c r="E306" s="104" t="inlineStr">
        <is>
          <t>Condutor Cordplast</t>
        </is>
      </c>
      <c r="F306" s="105" t="n">
        <v>3</v>
      </c>
      <c r="G306" s="105" t="n">
        <v>1</v>
      </c>
      <c r="H306" s="106" t="n">
        <v>0</v>
      </c>
      <c r="I306" s="107">
        <f>(F306+H306*F306)*G306</f>
        <v/>
      </c>
      <c r="J306" s="105" t="inlineStr">
        <is>
          <t>un</t>
        </is>
      </c>
      <c r="K306" s="108" t="n">
        <v>0</v>
      </c>
      <c r="L306" s="109">
        <f>IF(SUM(F306:K306)=0,SUMIFS($L307:$L$535,$B307:$B$535,$B306,$A307:$A$535,$A306),I306*K306)</f>
        <v/>
      </c>
    </row>
    <row r="307">
      <c r="A307" s="104">
        <f>A306</f>
        <v/>
      </c>
      <c r="B307" s="104">
        <f>B306</f>
        <v/>
      </c>
      <c r="C307" s="104" t="inlineStr">
        <is>
          <t>INSTALAÇÕES DE TELECOMUNICAÇÃO</t>
        </is>
      </c>
      <c r="D307" s="104" t="inlineStr">
        <is>
          <t>PONTOS DE USO</t>
        </is>
      </c>
      <c r="E307" s="104" t="inlineStr">
        <is>
          <t>Caixa 4x2 - Câmera CFTV</t>
        </is>
      </c>
      <c r="F307" s="105" t="n">
        <v>3</v>
      </c>
      <c r="G307" s="105" t="n">
        <v>1</v>
      </c>
      <c r="H307" s="106" t="n">
        <v>0</v>
      </c>
      <c r="I307" s="107">
        <f>(F307+H307*F307)*G307</f>
        <v/>
      </c>
      <c r="J307" s="105" t="inlineStr">
        <is>
          <t>un</t>
        </is>
      </c>
      <c r="K307" s="108" t="n">
        <v>0</v>
      </c>
      <c r="L307" s="109">
        <f>IF(SUM(F307:K307)=0,SUMIFS($L308:$L$535,$B308:$B$535,$B307,$A308:$A$535,$A307),I307*K307)</f>
        <v/>
      </c>
    </row>
  </sheetData>
  <autoFilter ref="A6:L204"/>
  <mergeCells count="2">
    <mergeCell ref="D3:E3"/>
    <mergeCell ref="A5:AJ5"/>
  </mergeCells>
  <pageMargins left="0.511811024" right="0.511811024" top="0.787401575" bottom="0.787401575" header="0.31496062" footer="0.31496062"/>
  <pageSetup orientation="portrait" paperSize="9" scale="14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 Cartesian</dc:creator>
  <dcterms:created xmlns:dcterms="http://purl.org/dc/terms/" xmlns:xsi="http://www.w3.org/2001/XMLSchema-instance" xsi:type="dcterms:W3CDTF">2026-03-25T01:51:03Z</dcterms:created>
  <dcterms:modified xmlns:dcterms="http://purl.org/dc/terms/" xmlns:xsi="http://www.w3.org/2001/XMLSchema-instance" xsi:type="dcterms:W3CDTF">2026-03-25T02:55:23Z</dcterms:modified>
  <cp:lastModifiedBy>Leonardo Cartesian</cp:lastModifiedBy>
</cp:coreProperties>
</file>