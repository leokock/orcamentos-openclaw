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ualização C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Calibri"/>
      <family val="2"/>
      <color theme="1"/>
      <sz val="11"/>
      <scheme val="minor"/>
    </font>
    <font>
      <name val="Calibri"/>
      <b val="1"/>
      <color rgb="00C0392B"/>
      <sz val="14"/>
    </font>
    <font>
      <name val="Calibri"/>
      <i val="1"/>
      <color rgb="00666666"/>
      <sz val="10"/>
    </font>
    <font>
      <name val="Calibri"/>
      <b val="1"/>
      <color rgb="001B2A4A"/>
      <sz val="11"/>
    </font>
    <font>
      <name val="Calibri"/>
      <b val="1"/>
      <sz val="11"/>
    </font>
    <font>
      <name val="Calibri"/>
      <i val="1"/>
      <color rgb="00999999"/>
      <sz val="9"/>
    </font>
    <font>
      <name val="Calibri"/>
      <b val="1"/>
      <color rgb="00C0392B"/>
      <sz val="12"/>
    </font>
    <font>
      <name val="Calibri"/>
      <b val="1"/>
      <color rgb="00C0392B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1"/>
    </font>
    <font>
      <name val="Calibri"/>
      <b val="1"/>
      <color rgb="00FFFFFF"/>
      <sz val="12"/>
    </font>
    <font>
      <name val="Calibri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1B2A4A"/>
        <bgColor rgb="001B2A4A"/>
      </patternFill>
    </fill>
    <fill>
      <patternFill patternType="solid">
        <fgColor rgb="00C0392B"/>
        <bgColor rgb="00C0392B"/>
      </patternFill>
    </fill>
    <fill>
      <patternFill patternType="solid">
        <fgColor rgb="007D3C98"/>
        <bgColor rgb="007D3C98"/>
      </patternFill>
    </fill>
    <fill>
      <patternFill patternType="solid">
        <fgColor rgb="00F2F3F4"/>
        <bgColor rgb="00F2F3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4" fillId="2" borderId="1" pivotButton="0" quotePrefix="0" xfId="0"/>
    <xf numFmtId="0" fontId="0" fillId="2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164" fontId="6" fillId="4" borderId="1" pivotButton="0" quotePrefix="0" xfId="0"/>
    <xf numFmtId="0" fontId="0" fillId="4" borderId="1" pivotButton="0" quotePrefix="0" xfId="0"/>
    <xf numFmtId="10" fontId="7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pivotButton="0" quotePrefix="0" xfId="0"/>
    <xf numFmtId="4" fontId="10" fillId="8" borderId="1" pivotButton="0" quotePrefix="0" xfId="0"/>
    <xf numFmtId="10" fontId="10" fillId="8" borderId="1" applyAlignment="1" pivotButton="0" quotePrefix="0" xfId="0">
      <alignment horizontal="center"/>
    </xf>
    <xf numFmtId="4" fontId="4" fillId="8" borderId="1" pivotButton="0" quotePrefix="0" xfId="0"/>
    <xf numFmtId="0" fontId="10" fillId="9" borderId="1" pivotButton="0" quotePrefix="0" xfId="0"/>
    <xf numFmtId="4" fontId="10" fillId="9" borderId="1" pivotButton="0" quotePrefix="0" xfId="0"/>
    <xf numFmtId="10" fontId="10" fillId="9" borderId="1" applyAlignment="1" pivotButton="0" quotePrefix="0" xfId="0">
      <alignment horizontal="center"/>
    </xf>
    <xf numFmtId="4" fontId="4" fillId="9" borderId="1" pivotButton="0" quotePrefix="0" xfId="0"/>
    <xf numFmtId="0" fontId="11" fillId="6" borderId="1" pivotButton="0" quotePrefix="0" xfId="0"/>
    <xf numFmtId="4" fontId="11" fillId="6" borderId="1" pivotButton="0" quotePrefix="0" xfId="0"/>
    <xf numFmtId="9" fontId="11" fillId="6" borderId="1" applyAlignment="1" pivotButton="0" quotePrefix="0" xfId="0">
      <alignment horizontal="center"/>
    </xf>
    <xf numFmtId="0" fontId="8" fillId="5" borderId="1" pivotButton="0" quotePrefix="0" xfId="0"/>
    <xf numFmtId="4" fontId="8" fillId="5" borderId="1" pivotButton="0" quotePrefix="0" xfId="0"/>
    <xf numFmtId="0" fontId="8" fillId="5" borderId="1" applyAlignment="1" pivotButton="0" quotePrefix="0" xfId="0">
      <alignment horizontal="center"/>
    </xf>
    <xf numFmtId="2" fontId="8" fillId="5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  <col width="10" customWidth="1" min="4" max="4"/>
    <col width="14" customWidth="1" min="5" max="5"/>
    <col width="6" customWidth="1" min="6" max="6"/>
    <col width="18" customWidth="1" min="7" max="7"/>
    <col width="10" customWidth="1" min="8" max="8"/>
    <col width="14" customWidth="1" min="9" max="9"/>
    <col width="6" customWidth="1" min="10" max="10"/>
    <col width="14" customWidth="1" min="11" max="11"/>
    <col width="10" customWidth="1" min="12" max="12"/>
  </cols>
  <sheetData>
    <row r="1">
      <c r="A1" s="1" t="inlineStr">
        <is>
          <t>ATUALIZAÇÃO POR CUB — VALOR PRESENTE</t>
        </is>
      </c>
    </row>
    <row r="2">
      <c r="A2" s="2" t="inlineStr">
        <is>
          <t>Fórmula: Valor_atual = Valor_original × (CUB_atual / CUB_original)</t>
        </is>
      </c>
    </row>
    <row r="4">
      <c r="A4" t="inlineStr"/>
      <c r="B4" s="3" t="inlineStr">
        <is>
          <t>PARÂMETROS DE CÁLCULO</t>
        </is>
      </c>
    </row>
    <row r="5">
      <c r="B5" s="4" t="inlineStr">
        <is>
          <t>Área Construída (AC)</t>
        </is>
      </c>
      <c r="C5" s="5" t="n">
        <v>12879.93</v>
      </c>
      <c r="D5" s="6" t="inlineStr">
        <is>
          <t>m²</t>
        </is>
      </c>
    </row>
    <row r="6">
      <c r="B6" s="7" t="inlineStr">
        <is>
          <t>CUB/SC Data-base (dez/23)</t>
        </is>
      </c>
      <c r="C6" s="8" t="n">
        <v>2752.67</v>
      </c>
      <c r="D6" s="9" t="inlineStr">
        <is>
          <t>R$/m²</t>
        </is>
      </c>
      <c r="E6" s="10" t="inlineStr">
        <is>
          <t>← editável</t>
        </is>
      </c>
    </row>
    <row r="7">
      <c r="B7" s="7" t="inlineStr">
        <is>
          <t>CUB/SC Atual (fev/26)</t>
        </is>
      </c>
      <c r="C7" s="8" t="n">
        <v>3019.26</v>
      </c>
      <c r="D7" s="9" t="inlineStr">
        <is>
          <t>R$/m²</t>
        </is>
      </c>
      <c r="E7" s="10" t="inlineStr">
        <is>
          <t>← editável (atualizar quando sair mar/26)</t>
        </is>
      </c>
    </row>
    <row r="8">
      <c r="B8" s="11" t="inlineStr">
        <is>
          <t>Fator de Correção</t>
        </is>
      </c>
      <c r="C8" s="12">
        <f>C7/C6</f>
        <v/>
      </c>
      <c r="D8" s="13" t="inlineStr">
        <is>
          <t>×</t>
        </is>
      </c>
    </row>
    <row r="9">
      <c r="B9" s="11" t="inlineStr">
        <is>
          <t>Variação %</t>
        </is>
      </c>
      <c r="C9" s="14">
        <f>(C7/C6-1)</f>
        <v/>
      </c>
      <c r="D9" s="13" t="n"/>
    </row>
    <row r="11">
      <c r="B11" s="15" t="inlineStr">
        <is>
          <t>ETAPA</t>
        </is>
      </c>
      <c r="C11" s="15" t="inlineStr">
        <is>
          <t>VALOR ORIGINAL (dez/23)</t>
        </is>
      </c>
      <c r="D11" s="15" t="inlineStr">
        <is>
          <t>%</t>
        </is>
      </c>
      <c r="E11" s="15" t="inlineStr">
        <is>
          <t>R$/m² ORIG</t>
        </is>
      </c>
      <c r="G11" s="16" t="inlineStr">
        <is>
          <t>VALOR ATUALIZADO (fev/26)</t>
        </is>
      </c>
      <c r="H11" s="16" t="inlineStr">
        <is>
          <t>%</t>
        </is>
      </c>
      <c r="I11" s="16" t="inlineStr">
        <is>
          <t>R$/m² ATUAL</t>
        </is>
      </c>
      <c r="K11" s="17" t="inlineStr">
        <is>
          <t>VARIAÇÃO R$</t>
        </is>
      </c>
      <c r="L11" s="17" t="inlineStr">
        <is>
          <t>R$/m² DIFF</t>
        </is>
      </c>
    </row>
    <row r="12">
      <c r="B12" s="18" t="inlineStr">
        <is>
          <t>GERENCIAMENTO TÉCNICO E ADMINISTRATIVO</t>
        </is>
      </c>
      <c r="C12" s="19" t="n">
        <v>5635455.61</v>
      </c>
      <c r="D12" s="20" t="n">
        <v>0.133</v>
      </c>
      <c r="E12" s="19" t="n">
        <v>437.54</v>
      </c>
      <c r="G12" s="21">
        <f>C12*$C$8</f>
        <v/>
      </c>
      <c r="H12" s="20">
        <f>D12</f>
        <v/>
      </c>
      <c r="I12" s="21">
        <f>G12/$C$5</f>
        <v/>
      </c>
      <c r="K12" s="19">
        <f>G12-C12</f>
        <v/>
      </c>
      <c r="L12" s="19">
        <f>I12-E12</f>
        <v/>
      </c>
    </row>
    <row r="13">
      <c r="B13" s="22" t="inlineStr">
        <is>
          <t>MOVIMENTAÇÃO DE TERRA</t>
        </is>
      </c>
      <c r="C13" s="23" t="n">
        <v>272931.44</v>
      </c>
      <c r="D13" s="24" t="n">
        <v>0.0064</v>
      </c>
      <c r="E13" s="23" t="n">
        <v>21.19</v>
      </c>
      <c r="G13" s="25">
        <f>C13*$C$8</f>
        <v/>
      </c>
      <c r="H13" s="24">
        <f>D13</f>
        <v/>
      </c>
      <c r="I13" s="25">
        <f>G13/$C$5</f>
        <v/>
      </c>
      <c r="K13" s="23">
        <f>G13-C13</f>
        <v/>
      </c>
      <c r="L13" s="23">
        <f>I13-E13</f>
        <v/>
      </c>
    </row>
    <row r="14">
      <c r="B14" s="18" t="inlineStr">
        <is>
          <t>INFRAESTRUTURA</t>
        </is>
      </c>
      <c r="C14" s="19" t="n">
        <v>2967530.42</v>
      </c>
      <c r="D14" s="20" t="n">
        <v>0.07000000000000001</v>
      </c>
      <c r="E14" s="19" t="n">
        <v>230.4</v>
      </c>
      <c r="G14" s="21">
        <f>C14*$C$8</f>
        <v/>
      </c>
      <c r="H14" s="20">
        <f>D14</f>
        <v/>
      </c>
      <c r="I14" s="21">
        <f>G14/$C$5</f>
        <v/>
      </c>
      <c r="K14" s="19">
        <f>G14-C14</f>
        <v/>
      </c>
      <c r="L14" s="19">
        <f>I14-E14</f>
        <v/>
      </c>
    </row>
    <row r="15">
      <c r="B15" s="22" t="inlineStr">
        <is>
          <t>SUPRAESTRUTURA</t>
        </is>
      </c>
      <c r="C15" s="23" t="n">
        <v>8491944.810000001</v>
      </c>
      <c r="D15" s="24" t="n">
        <v>0.2004</v>
      </c>
      <c r="E15" s="23" t="n">
        <v>659.3200000000001</v>
      </c>
      <c r="G15" s="25">
        <f>C15*$C$8</f>
        <v/>
      </c>
      <c r="H15" s="24">
        <f>D15</f>
        <v/>
      </c>
      <c r="I15" s="25">
        <f>G15/$C$5</f>
        <v/>
      </c>
      <c r="K15" s="23">
        <f>G15-C15</f>
        <v/>
      </c>
      <c r="L15" s="23">
        <f>I15-E15</f>
        <v/>
      </c>
    </row>
    <row r="16">
      <c r="B16" s="18" t="inlineStr">
        <is>
          <t>ALVENARIA</t>
        </is>
      </c>
      <c r="C16" s="19" t="n">
        <v>720702.05</v>
      </c>
      <c r="D16" s="20" t="n">
        <v>0.017</v>
      </c>
      <c r="E16" s="19" t="n">
        <v>55.96</v>
      </c>
      <c r="G16" s="21">
        <f>C16*$C$8</f>
        <v/>
      </c>
      <c r="H16" s="20">
        <f>D16</f>
        <v/>
      </c>
      <c r="I16" s="21">
        <f>G16/$C$5</f>
        <v/>
      </c>
      <c r="K16" s="19">
        <f>G16-C16</f>
        <v/>
      </c>
      <c r="L16" s="19">
        <f>I16-E16</f>
        <v/>
      </c>
    </row>
    <row r="17">
      <c r="B17" s="22" t="inlineStr">
        <is>
          <t>INSTALAÇÕES ELÉTRICAS, HIDRÁULICAS, GLP E PREVENTIVAS</t>
        </is>
      </c>
      <c r="C17" s="23" t="n">
        <v>5519951.52</v>
      </c>
      <c r="D17" s="24" t="n">
        <v>0.1302</v>
      </c>
      <c r="E17" s="23" t="n">
        <v>428.57</v>
      </c>
      <c r="G17" s="25">
        <f>C17*$C$8</f>
        <v/>
      </c>
      <c r="H17" s="24">
        <f>D17</f>
        <v/>
      </c>
      <c r="I17" s="25">
        <f>G17/$C$5</f>
        <v/>
      </c>
      <c r="K17" s="23">
        <f>G17-C17</f>
        <v/>
      </c>
      <c r="L17" s="23">
        <f>I17-E17</f>
        <v/>
      </c>
    </row>
    <row r="18">
      <c r="B18" s="18" t="inlineStr">
        <is>
          <t>EQUIPAMENTOS E SISTEMAS ESPECIAIS</t>
        </is>
      </c>
      <c r="C18" s="19" t="n">
        <v>1952000</v>
      </c>
      <c r="D18" s="20" t="n">
        <v>0.0461</v>
      </c>
      <c r="E18" s="19" t="n">
        <v>151.55</v>
      </c>
      <c r="G18" s="21">
        <f>C18*$C$8</f>
        <v/>
      </c>
      <c r="H18" s="20">
        <f>D18</f>
        <v/>
      </c>
      <c r="I18" s="21">
        <f>G18/$C$5</f>
        <v/>
      </c>
      <c r="K18" s="19">
        <f>G18-C18</f>
        <v/>
      </c>
      <c r="L18" s="19">
        <f>I18-E18</f>
        <v/>
      </c>
    </row>
    <row r="19">
      <c r="B19" s="22" t="inlineStr">
        <is>
          <t>IMPERMEABILIZAÇÃO</t>
        </is>
      </c>
      <c r="C19" s="23" t="n">
        <v>498827.39</v>
      </c>
      <c r="D19" s="24" t="n">
        <v>0.0118</v>
      </c>
      <c r="E19" s="23" t="n">
        <v>38.73</v>
      </c>
      <c r="G19" s="25">
        <f>C19*$C$8</f>
        <v/>
      </c>
      <c r="H19" s="24">
        <f>D19</f>
        <v/>
      </c>
      <c r="I19" s="25">
        <f>G19/$C$5</f>
        <v/>
      </c>
      <c r="K19" s="23">
        <f>G19-C19</f>
        <v/>
      </c>
      <c r="L19" s="23">
        <f>I19-E19</f>
        <v/>
      </c>
    </row>
    <row r="20">
      <c r="B20" s="18" t="inlineStr">
        <is>
          <t>REVESTIMENTOS INTERNOS EM PISO E PAREDE</t>
        </is>
      </c>
      <c r="C20" s="19" t="n">
        <v>1406550.35</v>
      </c>
      <c r="D20" s="20" t="n">
        <v>0.0332</v>
      </c>
      <c r="E20" s="19" t="n">
        <v>109.2</v>
      </c>
      <c r="G20" s="21">
        <f>C20*$C$8</f>
        <v/>
      </c>
      <c r="H20" s="20">
        <f>D20</f>
        <v/>
      </c>
      <c r="I20" s="21">
        <f>G20/$C$5</f>
        <v/>
      </c>
      <c r="K20" s="19">
        <f>G20-C20</f>
        <v/>
      </c>
      <c r="L20" s="19">
        <f>I20-E20</f>
        <v/>
      </c>
    </row>
    <row r="21">
      <c r="B21" s="22" t="inlineStr">
        <is>
          <t>REVESTIMENTOS E ACABAMENTOS INTERNOS EM TETO</t>
        </is>
      </c>
      <c r="C21" s="23" t="n">
        <v>790588.23</v>
      </c>
      <c r="D21" s="24" t="n">
        <v>0.0187</v>
      </c>
      <c r="E21" s="23" t="n">
        <v>61.38</v>
      </c>
      <c r="G21" s="25">
        <f>C21*$C$8</f>
        <v/>
      </c>
      <c r="H21" s="24">
        <f>D21</f>
        <v/>
      </c>
      <c r="I21" s="25">
        <f>G21/$C$5</f>
        <v/>
      </c>
      <c r="K21" s="23">
        <f>G21-C21</f>
        <v/>
      </c>
      <c r="L21" s="23">
        <f>I21-E21</f>
        <v/>
      </c>
    </row>
    <row r="22">
      <c r="B22" s="18" t="inlineStr">
        <is>
          <t>ACABAMENTOS EM PISO E PAREDE</t>
        </is>
      </c>
      <c r="C22" s="19" t="n">
        <v>2148295.78</v>
      </c>
      <c r="D22" s="20" t="n">
        <v>0.0507</v>
      </c>
      <c r="E22" s="19" t="n">
        <v>166.79</v>
      </c>
      <c r="G22" s="21">
        <f>C22*$C$8</f>
        <v/>
      </c>
      <c r="H22" s="20">
        <f>D22</f>
        <v/>
      </c>
      <c r="I22" s="21">
        <f>G22/$C$5</f>
        <v/>
      </c>
      <c r="K22" s="19">
        <f>G22-C22</f>
        <v/>
      </c>
      <c r="L22" s="19">
        <f>I22-E22</f>
        <v/>
      </c>
    </row>
    <row r="23">
      <c r="B23" s="22" t="inlineStr">
        <is>
          <t>PINTURA INTERNA</t>
        </is>
      </c>
      <c r="C23" s="23" t="n">
        <v>2492093.77</v>
      </c>
      <c r="D23" s="24" t="n">
        <v>0.0588</v>
      </c>
      <c r="E23" s="23" t="n">
        <v>193.49</v>
      </c>
      <c r="G23" s="25">
        <f>C23*$C$8</f>
        <v/>
      </c>
      <c r="H23" s="24">
        <f>D23</f>
        <v/>
      </c>
      <c r="I23" s="25">
        <f>G23/$C$5</f>
        <v/>
      </c>
      <c r="K23" s="23">
        <f>G23-C23</f>
        <v/>
      </c>
      <c r="L23" s="23">
        <f>I23-E23</f>
        <v/>
      </c>
    </row>
    <row r="24">
      <c r="B24" s="18" t="inlineStr">
        <is>
          <t>ESQUADRIAS, VIDROS E FERRAGENS</t>
        </is>
      </c>
      <c r="C24" s="19" t="n">
        <v>4585715</v>
      </c>
      <c r="D24" s="20" t="n">
        <v>0.1082</v>
      </c>
      <c r="E24" s="19" t="n">
        <v>356.04</v>
      </c>
      <c r="G24" s="21">
        <f>C24*$C$8</f>
        <v/>
      </c>
      <c r="H24" s="20">
        <f>D24</f>
        <v/>
      </c>
      <c r="I24" s="21">
        <f>G24/$C$5</f>
        <v/>
      </c>
      <c r="K24" s="19">
        <f>G24-C24</f>
        <v/>
      </c>
      <c r="L24" s="19">
        <f>I24-E24</f>
        <v/>
      </c>
    </row>
    <row r="25">
      <c r="B25" s="22" t="inlineStr">
        <is>
          <t>REVESTIMENTOS E ACABAMENTOS DE FACHADA</t>
        </is>
      </c>
      <c r="C25" s="23" t="n">
        <v>898582.91</v>
      </c>
      <c r="D25" s="24" t="n">
        <v>0.0212</v>
      </c>
      <c r="E25" s="23" t="n">
        <v>69.77</v>
      </c>
      <c r="G25" s="25">
        <f>C25*$C$8</f>
        <v/>
      </c>
      <c r="H25" s="24">
        <f>D25</f>
        <v/>
      </c>
      <c r="I25" s="25">
        <f>G25/$C$5</f>
        <v/>
      </c>
      <c r="K25" s="23">
        <f>G25-C25</f>
        <v/>
      </c>
      <c r="L25" s="23">
        <f>I25-E25</f>
        <v/>
      </c>
    </row>
    <row r="26">
      <c r="B26" s="18" t="inlineStr">
        <is>
          <t>COBERTURA</t>
        </is>
      </c>
      <c r="C26" s="19" t="n">
        <v>546552</v>
      </c>
      <c r="D26" s="20" t="n">
        <v>0.0129</v>
      </c>
      <c r="E26" s="19" t="n">
        <v>42.43</v>
      </c>
      <c r="G26" s="21">
        <f>C26*$C$8</f>
        <v/>
      </c>
      <c r="H26" s="20">
        <f>D26</f>
        <v/>
      </c>
      <c r="I26" s="21">
        <f>G26/$C$5</f>
        <v/>
      </c>
      <c r="K26" s="19">
        <f>G26-C26</f>
        <v/>
      </c>
      <c r="L26" s="19">
        <f>I26-E26</f>
        <v/>
      </c>
    </row>
    <row r="27">
      <c r="B27" s="22" t="inlineStr">
        <is>
          <t>SERVIÇOS COMPLEMENTARES</t>
        </is>
      </c>
      <c r="C27" s="23" t="n">
        <v>3014674.76</v>
      </c>
      <c r="D27" s="24" t="n">
        <v>0.0711</v>
      </c>
      <c r="E27" s="23" t="n">
        <v>234.06</v>
      </c>
      <c r="G27" s="25">
        <f>C27*$C$8</f>
        <v/>
      </c>
      <c r="H27" s="24">
        <f>D27</f>
        <v/>
      </c>
      <c r="I27" s="25">
        <f>G27/$C$5</f>
        <v/>
      </c>
      <c r="K27" s="23">
        <f>G27-C27</f>
        <v/>
      </c>
      <c r="L27" s="23">
        <f>I27-E27</f>
        <v/>
      </c>
    </row>
    <row r="28">
      <c r="B28" s="18" t="inlineStr">
        <is>
          <t>IMPREVISTOS</t>
        </is>
      </c>
      <c r="C28" s="19" t="n">
        <v>441731.44</v>
      </c>
      <c r="D28" s="20" t="n">
        <v>0.0104</v>
      </c>
      <c r="E28" s="19" t="n">
        <v>34.3</v>
      </c>
      <c r="G28" s="21">
        <f>C28*$C$8</f>
        <v/>
      </c>
      <c r="H28" s="20">
        <f>D28</f>
        <v/>
      </c>
      <c r="I28" s="21">
        <f>G28/$C$5</f>
        <v/>
      </c>
      <c r="K28" s="19">
        <f>G28-C28</f>
        <v/>
      </c>
      <c r="L28" s="19">
        <f>I28-E28</f>
        <v/>
      </c>
    </row>
    <row r="29">
      <c r="B29" s="26" t="inlineStr">
        <is>
          <t>TOTAL</t>
        </is>
      </c>
      <c r="C29" s="27">
        <f>SUM(C12:C28)</f>
        <v/>
      </c>
      <c r="D29" s="28" t="n">
        <v>1</v>
      </c>
      <c r="E29" s="27">
        <f>C29/$C$5</f>
        <v/>
      </c>
      <c r="G29" s="27">
        <f>SUM(G12:G28)</f>
        <v/>
      </c>
      <c r="H29" s="28" t="n">
        <v>1</v>
      </c>
      <c r="I29" s="27">
        <f>G29/$C$5</f>
        <v/>
      </c>
      <c r="K29" s="27">
        <f>G29-C29</f>
        <v/>
      </c>
      <c r="L29" s="27">
        <f>I29-E29</f>
        <v/>
      </c>
    </row>
    <row r="30">
      <c r="B30" s="29" t="inlineStr">
        <is>
          <t>CUB/ESTADO</t>
        </is>
      </c>
      <c r="C30" s="30">
        <f>$C$6</f>
        <v/>
      </c>
      <c r="D30" s="31" t="inlineStr">
        <is>
          <t>dez/23</t>
        </is>
      </c>
      <c r="E30" s="32" t="n">
        <v>1.2</v>
      </c>
      <c r="G30" s="30">
        <f>$C$7</f>
        <v/>
      </c>
      <c r="H30" s="31" t="inlineStr">
        <is>
          <t>fev/26</t>
        </is>
      </c>
      <c r="I30" s="32">
        <f>I29/G30</f>
        <v/>
      </c>
    </row>
    <row r="32">
      <c r="B32" s="3" t="inlineStr">
        <is>
          <t>NOTAS:</t>
        </is>
      </c>
    </row>
    <row r="33">
      <c r="B33" s="33" t="inlineStr">
        <is>
          <t>• CUB/SC mar/26 ainda não publicado (sai até 05/abr). Usando fev/26 (R$ 3.019,26)</t>
        </is>
      </c>
    </row>
    <row r="34">
      <c r="B34" s="33" t="inlineStr">
        <is>
          <t>• Para atualizar: altere o valor na célula C7 (CUB Atual) — tudo recalcula automaticamente</t>
        </is>
      </c>
    </row>
    <row r="35">
      <c r="B35" s="33" t="inlineStr">
        <is>
          <t>• Os percentuais (%) não mudam — a correção é linear por CUB</t>
        </is>
      </c>
    </row>
    <row r="36">
      <c r="B36" s="33" t="inlineStr">
        <is>
          <t>• Fonte CUB: Sinduscon-SC (média residencial multifamiliar)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2026-03-05T17:13:40Z</dcterms:created>
  <dcterms:modified xmlns:dcterms="http://purl.org/dc/terms/" xmlns:xsi="http://www.w3.org/2001/XMLSchema-instance" xsi:type="dcterms:W3CDTF">2026-03-05T17:13:40Z</dcterms:modified>
</cp:coreProperties>
</file>