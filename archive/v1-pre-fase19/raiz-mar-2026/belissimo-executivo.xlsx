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iOS\Desktop\Monique Home Office\Belissímo - PASS-E\R01\"/>
    </mc:Choice>
  </mc:AlternateContent>
  <xr:revisionPtr revIDLastSave="0" documentId="13_ncr:1_{B03E6843-928A-4479-B7C2-744C5FD52E7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rçamento Resumo" sheetId="1" r:id="rId1"/>
    <sheet name="Análise custos" sheetId="2" r:id="rId2"/>
    <sheet name="Planilha2" sheetId="3" r:id="rId3"/>
  </sheets>
  <definedNames>
    <definedName name="_xlnm._FilterDatabase" localSheetId="0" hidden="1">'Orçamento Resumo'!$A$1:$E$20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G13" i="1"/>
  <c r="G12" i="1"/>
  <c r="F17" i="2"/>
  <c r="E17" i="2"/>
  <c r="J2" i="2"/>
  <c r="C4" i="2" s="1"/>
  <c r="C14" i="2" l="1"/>
  <c r="C11" i="2"/>
  <c r="C3" i="2"/>
  <c r="C10" i="2"/>
  <c r="C2" i="2"/>
  <c r="C9" i="2"/>
  <c r="C16" i="2"/>
  <c r="C8" i="2"/>
  <c r="C15" i="2"/>
  <c r="C7" i="2"/>
  <c r="C6" i="2"/>
  <c r="C5" i="2"/>
  <c r="C13" i="2"/>
  <c r="C12" i="2"/>
  <c r="E2" i="1"/>
  <c r="D2" i="1"/>
  <c r="D3" i="1"/>
  <c r="D4" i="1"/>
  <c r="E3" i="1"/>
  <c r="C17" i="2" l="1"/>
  <c r="E8" i="1"/>
  <c r="E7" i="1"/>
  <c r="E4" i="1"/>
  <c r="E5" i="1"/>
  <c r="E6" i="1"/>
  <c r="E9" i="1"/>
  <c r="E10" i="1"/>
  <c r="E11" i="1"/>
  <c r="E12" i="1"/>
  <c r="E13" i="1"/>
  <c r="E14" i="1"/>
  <c r="E15" i="1"/>
  <c r="E16" i="1"/>
  <c r="E17" i="1"/>
  <c r="E18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D6" i="1"/>
  <c r="B5" i="2" s="1"/>
  <c r="E19" i="1" l="1"/>
  <c r="B19" i="1"/>
  <c r="D18" i="1"/>
  <c r="C3" i="1" l="1"/>
  <c r="C6" i="1"/>
  <c r="C18" i="1"/>
  <c r="C14" i="1"/>
  <c r="C11" i="1"/>
  <c r="C13" i="1"/>
  <c r="C10" i="1"/>
  <c r="C15" i="1"/>
  <c r="C9" i="1"/>
  <c r="C5" i="1"/>
  <c r="C4" i="1"/>
  <c r="C17" i="1"/>
  <c r="C7" i="1"/>
  <c r="C8" i="1"/>
  <c r="C12" i="1"/>
  <c r="C16" i="1"/>
  <c r="G25" i="3"/>
  <c r="C25" i="3"/>
  <c r="H10" i="3"/>
  <c r="I10" i="3" s="1"/>
  <c r="D6" i="3"/>
  <c r="E6" i="3" s="1"/>
  <c r="D17" i="3"/>
  <c r="E17" i="3" s="1"/>
  <c r="D18" i="3"/>
  <c r="E18" i="3" s="1"/>
  <c r="N3" i="3"/>
  <c r="H5" i="3" s="1"/>
  <c r="I5" i="3" s="1"/>
  <c r="B3" i="2"/>
  <c r="D5" i="1"/>
  <c r="B4" i="2" s="1"/>
  <c r="D7" i="1"/>
  <c r="B6" i="2" s="1"/>
  <c r="D8" i="1"/>
  <c r="B7" i="2" s="1"/>
  <c r="D9" i="1"/>
  <c r="B8" i="2" s="1"/>
  <c r="D10" i="1"/>
  <c r="B9" i="2" s="1"/>
  <c r="D11" i="1"/>
  <c r="B10" i="2" s="1"/>
  <c r="D12" i="1"/>
  <c r="B11" i="2" s="1"/>
  <c r="D13" i="1"/>
  <c r="B12" i="2" s="1"/>
  <c r="D14" i="1"/>
  <c r="B13" i="2" s="1"/>
  <c r="D15" i="1"/>
  <c r="B14" i="2" s="1"/>
  <c r="D16" i="1"/>
  <c r="B15" i="2" s="1"/>
  <c r="D17" i="1"/>
  <c r="B16" i="2" s="1"/>
  <c r="H20" i="3" l="1"/>
  <c r="I20" i="3" s="1"/>
  <c r="H8" i="3"/>
  <c r="I8" i="3" s="1"/>
  <c r="D15" i="3"/>
  <c r="E15" i="3" s="1"/>
  <c r="H19" i="3"/>
  <c r="I19" i="3" s="1"/>
  <c r="H7" i="3"/>
  <c r="I7" i="3" s="1"/>
  <c r="D14" i="3"/>
  <c r="E14" i="3" s="1"/>
  <c r="H18" i="3"/>
  <c r="I18" i="3" s="1"/>
  <c r="D11" i="3"/>
  <c r="E11" i="3" s="1"/>
  <c r="H16" i="3"/>
  <c r="I16" i="3" s="1"/>
  <c r="D10" i="3"/>
  <c r="E10" i="3" s="1"/>
  <c r="H15" i="3"/>
  <c r="I15" i="3" s="1"/>
  <c r="D4" i="3"/>
  <c r="E4" i="3" s="1"/>
  <c r="H4" i="3"/>
  <c r="I4" i="3" s="1"/>
  <c r="D9" i="3"/>
  <c r="E9" i="3" s="1"/>
  <c r="H12" i="3"/>
  <c r="I12" i="3" s="1"/>
  <c r="D25" i="3"/>
  <c r="E25" i="3" s="1"/>
  <c r="D19" i="3"/>
  <c r="E19" i="3" s="1"/>
  <c r="D7" i="3"/>
  <c r="E7" i="3" s="1"/>
  <c r="H11" i="3"/>
  <c r="I11" i="3" s="1"/>
  <c r="H25" i="3"/>
  <c r="I25" i="3" s="1"/>
  <c r="D16" i="3"/>
  <c r="E16" i="3" s="1"/>
  <c r="D8" i="3"/>
  <c r="E8" i="3" s="1"/>
  <c r="H17" i="3"/>
  <c r="I17" i="3" s="1"/>
  <c r="H9" i="3"/>
  <c r="I9" i="3" s="1"/>
  <c r="B2" i="2"/>
  <c r="B17" i="2" s="1"/>
  <c r="D19" i="1"/>
  <c r="D20" i="1" s="1"/>
  <c r="D21" i="3"/>
  <c r="E21" i="3" s="1"/>
  <c r="D13" i="3"/>
  <c r="E13" i="3" s="1"/>
  <c r="D5" i="3"/>
  <c r="E5" i="3" s="1"/>
  <c r="H14" i="3"/>
  <c r="I14" i="3" s="1"/>
  <c r="H6" i="3"/>
  <c r="I6" i="3" s="1"/>
  <c r="D20" i="3"/>
  <c r="E20" i="3" s="1"/>
  <c r="D12" i="3"/>
  <c r="E12" i="3" s="1"/>
  <c r="H21" i="3"/>
  <c r="I21" i="3" s="1"/>
  <c r="H13" i="3"/>
  <c r="I13" i="3" s="1"/>
  <c r="C2" i="1" l="1"/>
  <c r="C19" i="1" s="1"/>
</calcChain>
</file>

<file path=xl/sharedStrings.xml><?xml version="1.0" encoding="utf-8"?>
<sst xmlns="http://schemas.openxmlformats.org/spreadsheetml/2006/main" count="76" uniqueCount="72">
  <si>
    <t>REVESTIMENTOS E ACABAMENTOS DE FACHADA</t>
  </si>
  <si>
    <t>COBERTURA</t>
  </si>
  <si>
    <t>PINTURA INTERNA</t>
  </si>
  <si>
    <t>IMPERMEABILIZAÇÃO</t>
  </si>
  <si>
    <t>Valor / m²</t>
  </si>
  <si>
    <t>%</t>
  </si>
  <si>
    <t>Valor Orçado</t>
  </si>
  <si>
    <t>Etapa</t>
  </si>
  <si>
    <t>TOTAL</t>
  </si>
  <si>
    <t>INFRAESTRUTURA</t>
  </si>
  <si>
    <t>SUPRAESTRUTURA</t>
  </si>
  <si>
    <t>REVESTIMENTOS INTERNOS EM PISO E PAREDE</t>
  </si>
  <si>
    <t>REVESTIMENTOS E ACABAMENTOS INTERNOS EM TETO</t>
  </si>
  <si>
    <t>ACABAMENTOS EM PISO E PAREDE</t>
  </si>
  <si>
    <t>GERENCIAMENTO TÉCNICO E ADMINISTRATIVO</t>
  </si>
  <si>
    <t>IMPREVISTOS E CONTINGÊNCIAS</t>
  </si>
  <si>
    <t>SERVIÇOS COMPLEMENTARES</t>
  </si>
  <si>
    <t>CUB/SC</t>
  </si>
  <si>
    <t>CUB</t>
  </si>
  <si>
    <t>SISTEMAS ESPECIAIS E EQUIPAMENTOS</t>
  </si>
  <si>
    <t>INSTALAÇÕES ELÉTRICAS, HIDROSSANITÁRIAS, PREVENTIVAS E GLP</t>
  </si>
  <si>
    <t xml:space="preserve">ESQUADRIAS </t>
  </si>
  <si>
    <t>Valor / AP</t>
  </si>
  <si>
    <t>MOVIMENTAÇÃO DE TERRA</t>
  </si>
  <si>
    <t>área de ap</t>
  </si>
  <si>
    <t>São francisco</t>
  </si>
  <si>
    <t>m2</t>
  </si>
  <si>
    <t xml:space="preserve">Atlanta 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</si>
  <si>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</si>
  <si>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</si>
  <si>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</si>
  <si>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</si>
  <si>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</si>
  <si>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</si>
  <si>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</si>
  <si>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</si>
  <si>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</si>
  <si>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</si>
  <si>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</si>
  <si>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</si>
  <si>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</si>
  <si>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</si>
  <si>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</si>
  <si>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</si>
  <si>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</si>
  <si>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</si>
  <si>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Cub abril/19</t>
  </si>
  <si>
    <t>Cub out/21</t>
  </si>
  <si>
    <t>Variação</t>
  </si>
  <si>
    <t>R$/m2</t>
  </si>
  <si>
    <t>Revestimento externo</t>
  </si>
  <si>
    <t>Pintura externa</t>
  </si>
  <si>
    <t>ALVENARIA ESTRUTURAL</t>
  </si>
  <si>
    <t>190,00 - 250,00</t>
  </si>
  <si>
    <t>25,00 - 35,00</t>
  </si>
  <si>
    <t>30,00 - 40,00</t>
  </si>
  <si>
    <t>130,00 - 140,00</t>
  </si>
  <si>
    <t>Belíssimo (R$/m²)</t>
  </si>
  <si>
    <t>Obras Similares</t>
  </si>
  <si>
    <t xml:space="preserve">Paramétrico </t>
  </si>
  <si>
    <t>170,00 - 230,00</t>
  </si>
  <si>
    <t>190,00 - 225,00</t>
  </si>
  <si>
    <t>100,00 - 180,00</t>
  </si>
  <si>
    <t>115,00 - 130,00</t>
  </si>
  <si>
    <t>160,00 - 170,00</t>
  </si>
  <si>
    <t>60,00 - 80,00</t>
  </si>
  <si>
    <t>110,00 - 130,00</t>
  </si>
  <si>
    <t>85,00 - 120,00</t>
  </si>
  <si>
    <t>5,00 - 10,00</t>
  </si>
  <si>
    <t>10,00 - 20,00</t>
  </si>
  <si>
    <t>1.600,00 - 2.000,00</t>
  </si>
  <si>
    <t>250,00 - 330,00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</si>
</sst>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</numFmts>
  <fonts count="9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.5"/>
      <color theme="0"/>
      <name val="Poppins"/>
      <scheme val="minor"/>
    </font>
    <font>
      <sz val="10.5"/>
      <name val="Poppins"/>
      <scheme val="minor"/>
    </font>
    <font>
      <sz val="10.5"/>
      <color rgb="FF010000"/>
      <name val="Poppins"/>
      <scheme val="minor"/>
    </font>
    <font>
      <b/>
      <sz val="10.5"/>
      <color theme="0"/>
      <name val="Poppins"/>
    </font>
    <font>
      <sz val="10.5"/>
      <color rgb="FF010000"/>
      <name val="Poppins"/>
    </font>
    <font>
      <sz val="10.5"/>
      <name val="Poppins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vertical="center" wrapText="1"/>
    </xf>
    <xf numFmtId="0" fontId="5" fillId="2" borderId="9" xfId="0" applyFont="1" applyFill="1" applyBorder="1" applyAlignment="1">
      <alignment horizontal="left" vertical="center" wrapText="1"/>
    </xf>
    <xf numFmtId="164" fontId="5" fillId="2" borderId="10" xfId="0" applyNumberFormat="1" applyFont="1" applyFill="1" applyBorder="1" applyAlignment="1">
      <alignment horizontal="right" vertical="center" wrapText="1"/>
    </xf>
    <xf numFmtId="10" fontId="4" fillId="2" borderId="10" xfId="2" applyNumberFormat="1" applyFont="1" applyFill="1" applyBorder="1" applyAlignment="1">
      <alignment vertical="center" wrapText="1"/>
    </xf>
    <xf numFmtId="43" fontId="4" fillId="2" borderId="10" xfId="1" applyFont="1" applyFill="1" applyBorder="1" applyAlignment="1">
      <alignment vertical="center" wrapText="1"/>
    </xf>
    <xf numFmtId="43" fontId="4" fillId="2" borderId="11" xfId="1" applyFont="1" applyFill="1" applyBorder="1" applyAlignment="1">
      <alignment vertical="center" wrapText="1"/>
    </xf>
    <xf numFmtId="0" fontId="5" fillId="3" borderId="9" xfId="0" applyFont="1" applyFill="1" applyBorder="1" applyAlignment="1">
      <alignment horizontal="left" vertical="center" wrapText="1"/>
    </xf>
    <xf numFmtId="164" fontId="5" fillId="3" borderId="10" xfId="0" applyNumberFormat="1" applyFont="1" applyFill="1" applyBorder="1" applyAlignment="1">
      <alignment horizontal="right" vertical="center" wrapText="1"/>
    </xf>
    <xf numFmtId="10" fontId="4" fillId="3" borderId="10" xfId="2" applyNumberFormat="1" applyFont="1" applyFill="1" applyBorder="1" applyAlignment="1">
      <alignment vertical="center" wrapText="1"/>
    </xf>
    <xf numFmtId="43" fontId="4" fillId="3" borderId="10" xfId="1" applyFont="1" applyFill="1" applyBorder="1" applyAlignment="1">
      <alignment vertical="center" wrapText="1"/>
    </xf>
    <xf numFmtId="43" fontId="4" fillId="3" borderId="11" xfId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10" fontId="4" fillId="3" borderId="0" xfId="2" applyNumberFormat="1" applyFont="1" applyFill="1" applyAlignment="1">
      <alignment vertical="center" wrapText="1"/>
    </xf>
    <xf numFmtId="43" fontId="4" fillId="3" borderId="0" xfId="0" applyNumberFormat="1" applyFont="1" applyFill="1" applyAlignment="1">
      <alignment vertical="center" wrapText="1"/>
    </xf>
    <xf numFmtId="10" fontId="4" fillId="0" borderId="0" xfId="2" applyNumberFormat="1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0" fontId="3" fillId="4" borderId="1" xfId="2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/>
    </xf>
    <xf numFmtId="164" fontId="3" fillId="4" borderId="2" xfId="0" applyNumberFormat="1" applyFont="1" applyFill="1" applyBorder="1" applyAlignment="1">
      <alignment vertical="center" wrapText="1"/>
    </xf>
    <xf numFmtId="10" fontId="3" fillId="4" borderId="2" xfId="2" applyNumberFormat="1" applyFont="1" applyFill="1" applyBorder="1" applyAlignment="1">
      <alignment vertical="center" wrapText="1"/>
    </xf>
    <xf numFmtId="43" fontId="3" fillId="4" borderId="2" xfId="1" applyFont="1" applyFill="1" applyBorder="1" applyAlignment="1">
      <alignment vertical="center" wrapText="1"/>
    </xf>
    <xf numFmtId="43" fontId="3" fillId="4" borderId="4" xfId="1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164" fontId="3" fillId="4" borderId="6" xfId="0" applyNumberFormat="1" applyFont="1" applyFill="1" applyBorder="1" applyAlignment="1">
      <alignment vertical="center" wrapText="1"/>
    </xf>
    <xf numFmtId="17" fontId="3" fillId="4" borderId="6" xfId="1" applyNumberFormat="1" applyFont="1" applyFill="1" applyBorder="1" applyAlignment="1">
      <alignment vertical="center" wrapText="1"/>
    </xf>
    <xf numFmtId="43" fontId="3" fillId="4" borderId="7" xfId="1" applyFont="1" applyFill="1" applyBorder="1" applyAlignment="1">
      <alignment vertical="center" wrapText="1"/>
    </xf>
    <xf numFmtId="43" fontId="3" fillId="4" borderId="8" xfId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center" wrapText="1"/>
    </xf>
    <xf numFmtId="43" fontId="8" fillId="3" borderId="11" xfId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left" vertical="center" wrapText="1"/>
    </xf>
    <xf numFmtId="43" fontId="8" fillId="5" borderId="11" xfId="1" applyFont="1" applyFill="1" applyBorder="1" applyAlignment="1">
      <alignment horizontal="center" vertical="center" wrapText="1"/>
    </xf>
    <xf numFmtId="43" fontId="4" fillId="0" borderId="0" xfId="1" applyFont="1" applyAlignment="1">
      <alignment vertical="center" wrapText="1"/>
    </xf>
    <xf numFmtId="43" fontId="4" fillId="0" borderId="0" xfId="0" applyNumberFormat="1" applyFont="1" applyAlignment="1">
      <alignment vertical="center" wrapText="1"/>
    </xf>
    <xf numFmtId="43" fontId="0" fillId="0" borderId="0" xfId="1" applyFont="1"/>
    <xf numFmtId="17" fontId="0" fillId="0" borderId="0" xfId="0" applyNumberFormat="1"/>
    <xf numFmtId="44" fontId="0" fillId="0" borderId="0" xfId="3" applyFont="1"/>
    <xf numFmtId="44" fontId="0" fillId="0" borderId="0" xfId="0" applyNumberFormat="1"/>
    <xf numFmtId="43" fontId="4" fillId="3" borderId="0" xfId="1" applyFont="1" applyFill="1" applyAlignment="1">
      <alignment vertical="center" wrapText="1"/>
    </xf>
    <xf numFmtId="44" fontId="6" fillId="4" borderId="1" xfId="3" applyFont="1" applyFill="1" applyBorder="1" applyAlignment="1">
      <alignment horizontal="center" vertical="center" wrapText="1"/>
    </xf>
    <xf numFmtId="44" fontId="6" fillId="4" borderId="2" xfId="3" applyFont="1" applyFill="1" applyBorder="1" applyAlignment="1">
      <alignment vertical="center" wrapText="1"/>
    </xf>
    <xf numFmtId="43" fontId="6" fillId="4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8" fillId="3" borderId="10" xfId="3" applyFont="1" applyFill="1" applyBorder="1" applyAlignment="1">
      <alignment horizontal="left" vertical="center" wrapText="1"/>
    </xf>
    <xf numFmtId="44" fontId="8" fillId="5" borderId="10" xfId="3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 vertical="center"/>
    </xf>
    <xf numFmtId="43" fontId="0" fillId="0" borderId="0" xfId="1" applyFont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  <xf numFmtId="44" fontId="8" fillId="3" borderId="11" xfId="3" applyFont="1" applyFill="1" applyBorder="1" applyAlignment="1">
      <alignment horizontal="left" vertical="center" wrapText="1"/>
    </xf>
    <xf numFmtId="44" fontId="8" fillId="5" borderId="11" xfId="3" applyFont="1" applyFill="1" applyBorder="1" applyAlignment="1">
      <alignment horizontal="left" vertical="center" wrapText="1"/>
    </xf>
    <xf numFmtId="44" fontId="6" fillId="4" borderId="2" xfId="3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Cartesian">
      <a:majorFont>
        <a:latin typeface="Poppins Medium"/>
        <a:ea typeface=""/>
        <a:cs typeface=""/>
      </a:majorFont>
      <a:minorFont>
        <a:latin typeface="Poppins"/>
        <a:ea typeface=""/>
        <a:cs typeface="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showGridLines="0" zoomScaleNormal="100" workbookViewId="0">
      <selection activeCell="E1" sqref="A1:E20"/>
    </sheetView>
  </sheetViews>
  <sheetFormatPr defaultColWidth="9.140625" defaultRowHeight="17.45" customHeight="1"/>
  <cols>
    <col min="1" max="1" width="70.7109375" style="1" customWidth="1"/>
    <col min="2" max="2" width="19.7109375" style="1" customWidth="1"/>
    <col min="3" max="3" width="10.5703125" style="15" customWidth="1"/>
    <col min="4" max="4" width="13.85546875" style="1" customWidth="1"/>
    <col min="5" max="5" width="16.5703125" style="1" bestFit="1" customWidth="1"/>
    <col min="6" max="6" width="12.140625" style="1" bestFit="1" customWidth="1"/>
    <col min="7" max="7" width="12.85546875" style="1" bestFit="1" customWidth="1"/>
    <col min="8" max="8" width="9.140625" style="1"/>
    <col min="9" max="9" width="11" style="1" bestFit="1" customWidth="1"/>
    <col min="10" max="16384" width="9.140625" style="1"/>
  </cols>
  <sheetData>
    <row r="1" spans="1:10" ht="27" customHeight="1">
      <c r="A1" s="16" t="s">
        <v>7</v>
      </c>
      <c r="B1" s="17" t="s">
        <v>6</v>
      </c>
      <c r="C1" s="18" t="s">
        <v>5</v>
      </c>
      <c r="D1" s="17" t="s">
        <v>4</v>
      </c>
      <c r="E1" s="17" t="s">
        <v>22</v>
      </c>
    </row>
    <row r="2" spans="1:10" ht="23.45" customHeight="1">
      <c r="A2" s="2" t="s">
        <v>14</v>
      </c>
      <c r="B2" s="3">
        <v>3576946.78</v>
      </c>
      <c r="C2" s="4">
        <f t="shared" ref="C2:C18" si="0">+B2/$B$19</f>
        <v>0.11544453012770069</v>
      </c>
      <c r="D2" s="5">
        <f t="shared" ref="D2:D4" si="1">B2/$I$5</f>
        <v>228.96899558762433</v>
      </c>
      <c r="E2" s="6">
        <f>+B2/$I$7</f>
        <v>19871.926555555554</v>
      </c>
    </row>
    <row r="3" spans="1:10" ht="23.45" customHeight="1">
      <c r="A3" s="7" t="s">
        <v>23</v>
      </c>
      <c r="B3" s="8">
        <v>157150.54999999999</v>
      </c>
      <c r="C3" s="9">
        <f t="shared" si="0"/>
        <v>5.0719712983987239E-3</v>
      </c>
      <c r="D3" s="10">
        <f t="shared" si="1"/>
        <v>10.059585954908375</v>
      </c>
      <c r="E3" s="11">
        <f t="shared" ref="E3:E18" si="2">+B3/$I$7</f>
        <v>873.05861111111108</v>
      </c>
    </row>
    <row r="4" spans="1:10" ht="23.45" customHeight="1">
      <c r="A4" s="2" t="s">
        <v>9</v>
      </c>
      <c r="B4" s="3">
        <v>2611123.7999999998</v>
      </c>
      <c r="C4" s="4">
        <f t="shared" si="0"/>
        <v>8.4272978810228841E-2</v>
      </c>
      <c r="D4" s="5">
        <f t="shared" si="1"/>
        <v>167.14433582960407</v>
      </c>
      <c r="E4" s="6">
        <f t="shared" si="2"/>
        <v>14506.243333333332</v>
      </c>
    </row>
    <row r="5" spans="1:10" ht="23.45" customHeight="1">
      <c r="A5" s="7" t="s">
        <v>10</v>
      </c>
      <c r="B5" s="8">
        <v>5476878.0599999996</v>
      </c>
      <c r="C5" s="9">
        <f t="shared" si="0"/>
        <v>0.17676405411975765</v>
      </c>
      <c r="D5" s="10">
        <f>B5/$I$5</f>
        <v>350.58818190023408</v>
      </c>
      <c r="E5" s="11">
        <f t="shared" si="2"/>
        <v>30427.100333333332</v>
      </c>
      <c r="I5" s="36">
        <v>15621.97</v>
      </c>
    </row>
    <row r="6" spans="1:10" ht="23.45" customHeight="1">
      <c r="A6" s="2" t="s">
        <v>52</v>
      </c>
      <c r="B6" s="3">
        <v>2814182.26</v>
      </c>
      <c r="C6" s="4">
        <f t="shared" si="0"/>
        <v>9.0826609586685217E-2</v>
      </c>
      <c r="D6" s="5">
        <f>B6/$I$5</f>
        <v>180.14259789258332</v>
      </c>
      <c r="E6" s="6">
        <f t="shared" si="2"/>
        <v>15634.345888888887</v>
      </c>
    </row>
    <row r="7" spans="1:10" ht="23.45" customHeight="1">
      <c r="A7" s="7" t="s">
        <v>20</v>
      </c>
      <c r="B7" s="8">
        <v>3261432.77</v>
      </c>
      <c r="C7" s="9">
        <f t="shared" si="0"/>
        <v>0.10526144134460265</v>
      </c>
      <c r="D7" s="10">
        <f t="shared" ref="D7:D18" si="3">B7/$I$5</f>
        <v>208.77218238160745</v>
      </c>
      <c r="E7" s="11">
        <f t="shared" si="2"/>
        <v>18119.070944444444</v>
      </c>
      <c r="I7" s="36">
        <v>180</v>
      </c>
    </row>
    <row r="8" spans="1:10" ht="23.45" customHeight="1">
      <c r="A8" s="2" t="s">
        <v>19</v>
      </c>
      <c r="B8" s="3">
        <v>1743833.22</v>
      </c>
      <c r="C8" s="4">
        <f t="shared" si="0"/>
        <v>5.6281521388466205E-2</v>
      </c>
      <c r="D8" s="5">
        <f t="shared" si="3"/>
        <v>111.62697278256199</v>
      </c>
      <c r="E8" s="6">
        <f t="shared" si="2"/>
        <v>9687.9623333333329</v>
      </c>
    </row>
    <row r="9" spans="1:10" ht="23.45" customHeight="1">
      <c r="A9" s="7" t="s">
        <v>3</v>
      </c>
      <c r="B9" s="8">
        <v>259804.21</v>
      </c>
      <c r="C9" s="9">
        <f t="shared" si="0"/>
        <v>8.385077216230899E-3</v>
      </c>
      <c r="D9" s="10">
        <f t="shared" si="3"/>
        <v>16.630694464270512</v>
      </c>
      <c r="E9" s="11">
        <f t="shared" si="2"/>
        <v>1443.3567222222223</v>
      </c>
      <c r="I9" s="36"/>
    </row>
    <row r="10" spans="1:10" ht="23.45" customHeight="1">
      <c r="A10" s="2" t="s">
        <v>11</v>
      </c>
      <c r="B10" s="3">
        <v>1556183.44</v>
      </c>
      <c r="C10" s="4">
        <f t="shared" si="0"/>
        <v>5.0225199610967906E-2</v>
      </c>
      <c r="D10" s="5">
        <f t="shared" si="3"/>
        <v>99.615057511952713</v>
      </c>
      <c r="E10" s="6">
        <f t="shared" si="2"/>
        <v>8645.463555555556</v>
      </c>
      <c r="I10" s="1" t="s">
        <v>24</v>
      </c>
      <c r="J10" s="1">
        <v>57.65</v>
      </c>
    </row>
    <row r="11" spans="1:10" ht="23.45" customHeight="1">
      <c r="A11" s="7" t="s">
        <v>12</v>
      </c>
      <c r="B11" s="8">
        <v>400485.12</v>
      </c>
      <c r="C11" s="9">
        <f t="shared" si="0"/>
        <v>1.2925497454993117E-2</v>
      </c>
      <c r="D11" s="10">
        <f t="shared" si="3"/>
        <v>25.63601901680774</v>
      </c>
      <c r="E11" s="11">
        <f t="shared" si="2"/>
        <v>2224.9173333333333</v>
      </c>
      <c r="I11" s="36"/>
    </row>
    <row r="12" spans="1:10" ht="23.45" customHeight="1">
      <c r="A12" s="2" t="s">
        <v>13</v>
      </c>
      <c r="B12" s="3">
        <v>2238853.9700000002</v>
      </c>
      <c r="C12" s="4">
        <f t="shared" si="0"/>
        <v>7.2258118582124206E-2</v>
      </c>
      <c r="D12" s="5">
        <f t="shared" si="3"/>
        <v>143.31444561729413</v>
      </c>
      <c r="E12" s="6">
        <f t="shared" si="2"/>
        <v>12438.077611111112</v>
      </c>
      <c r="G12" s="1">
        <f>180*1.1</f>
        <v>198.00000000000003</v>
      </c>
    </row>
    <row r="13" spans="1:10" ht="23.45" customHeight="1">
      <c r="A13" s="7" t="s">
        <v>2</v>
      </c>
      <c r="B13" s="8">
        <v>1232053.6599999999</v>
      </c>
      <c r="C13" s="9">
        <f t="shared" si="0"/>
        <v>3.976404028880013E-2</v>
      </c>
      <c r="D13" s="10">
        <f t="shared" si="3"/>
        <v>78.866728075908483</v>
      </c>
      <c r="E13" s="11">
        <f t="shared" si="2"/>
        <v>6844.7425555555546</v>
      </c>
      <c r="G13" s="1">
        <f>220*1.1</f>
        <v>242.00000000000003</v>
      </c>
      <c r="I13" s="36"/>
    </row>
    <row r="14" spans="1:10" ht="23.45" customHeight="1">
      <c r="A14" s="2" t="s">
        <v>21</v>
      </c>
      <c r="B14" s="3">
        <v>2113768.7200000002</v>
      </c>
      <c r="C14" s="4">
        <f t="shared" si="0"/>
        <v>6.8221042047215297E-2</v>
      </c>
      <c r="D14" s="5">
        <f t="shared" si="3"/>
        <v>135.3074368981633</v>
      </c>
      <c r="E14" s="6">
        <f t="shared" si="2"/>
        <v>11743.159555555556</v>
      </c>
    </row>
    <row r="15" spans="1:10" ht="23.45" customHeight="1">
      <c r="A15" s="7" t="s">
        <v>0</v>
      </c>
      <c r="B15" s="8">
        <v>1365853.99</v>
      </c>
      <c r="C15" s="9">
        <f t="shared" si="0"/>
        <v>4.4082392553404223E-2</v>
      </c>
      <c r="D15" s="10">
        <f t="shared" si="3"/>
        <v>87.431610097830173</v>
      </c>
      <c r="E15" s="11">
        <f t="shared" si="2"/>
        <v>7588.0777222222223</v>
      </c>
      <c r="I15" s="36"/>
    </row>
    <row r="16" spans="1:10" ht="23.45" customHeight="1">
      <c r="A16" s="2" t="s">
        <v>1</v>
      </c>
      <c r="B16" s="3">
        <v>62600.31</v>
      </c>
      <c r="C16" s="4">
        <f t="shared" si="0"/>
        <v>2.0204000278132186E-3</v>
      </c>
      <c r="D16" s="5">
        <f t="shared" si="3"/>
        <v>4.0071969156258778</v>
      </c>
      <c r="E16" s="6">
        <f t="shared" si="2"/>
        <v>347.77949999999998</v>
      </c>
      <c r="J16" s="37"/>
    </row>
    <row r="17" spans="1:10" ht="23.45" customHeight="1">
      <c r="A17" s="7" t="s">
        <v>16</v>
      </c>
      <c r="B17" s="8">
        <f>2112965.72-B18</f>
        <v>1645711.3034000001</v>
      </c>
      <c r="C17" s="9">
        <f t="shared" si="0"/>
        <v>5.3114675680709704E-2</v>
      </c>
      <c r="D17" s="10">
        <f t="shared" si="3"/>
        <v>105.34595210463215</v>
      </c>
      <c r="E17" s="11">
        <f t="shared" si="2"/>
        <v>9142.8405744444444</v>
      </c>
      <c r="I17" s="36"/>
    </row>
    <row r="18" spans="1:10" ht="23.45" customHeight="1">
      <c r="A18" s="2" t="s">
        <v>15</v>
      </c>
      <c r="B18" s="3">
        <v>467254.4166</v>
      </c>
      <c r="C18" s="4">
        <f t="shared" si="0"/>
        <v>1.5080449861901471E-2</v>
      </c>
      <c r="D18" s="5">
        <f t="shared" si="3"/>
        <v>29.910082825661554</v>
      </c>
      <c r="E18" s="6">
        <f t="shared" si="2"/>
        <v>2595.8578699999998</v>
      </c>
      <c r="J18" s="37"/>
    </row>
    <row r="19" spans="1:10" ht="17.45" customHeight="1">
      <c r="A19" s="19" t="s">
        <v>8</v>
      </c>
      <c r="B19" s="20">
        <f>SUM(B2:B18)</f>
        <v>30984116.579999994</v>
      </c>
      <c r="C19" s="21">
        <f>SUM(C2:C18)</f>
        <v>1.0000000000000002</v>
      </c>
      <c r="D19" s="22">
        <f>SUM(D2:D18)</f>
        <v>1983.36807585727</v>
      </c>
      <c r="E19" s="23">
        <f>SUM(E2:E18)</f>
        <v>172133.981</v>
      </c>
    </row>
    <row r="20" spans="1:10" ht="17.45" customHeight="1">
      <c r="A20" s="24" t="s">
        <v>17</v>
      </c>
      <c r="B20" s="25">
        <v>2623.42</v>
      </c>
      <c r="C20" s="26">
        <v>44805</v>
      </c>
      <c r="D20" s="27">
        <f>+D19/B20</f>
        <v>0.75602384515528198</v>
      </c>
      <c r="E20" s="28" t="s">
        <v>18</v>
      </c>
      <c r="F20" s="37"/>
    </row>
    <row r="21" spans="1:10" ht="17.45" customHeight="1">
      <c r="A21" s="12"/>
      <c r="B21" s="12"/>
      <c r="C21" s="13"/>
      <c r="D21" s="12"/>
      <c r="E21" s="12"/>
    </row>
    <row r="22" spans="1:10" ht="17.45" customHeight="1">
      <c r="A22" s="12"/>
      <c r="B22" s="12"/>
      <c r="C22" s="13"/>
      <c r="D22" s="14"/>
      <c r="E22" s="12"/>
    </row>
    <row r="23" spans="1:10" ht="17.45" customHeight="1">
      <c r="A23" s="12"/>
      <c r="B23" s="12"/>
      <c r="D23" s="42"/>
      <c r="E23" s="12"/>
    </row>
    <row r="24" spans="1:10" ht="17.45" customHeight="1">
      <c r="A24" s="12"/>
      <c r="B24" s="12"/>
      <c r="C24" s="13"/>
      <c r="D24" s="12"/>
      <c r="E24" s="12"/>
    </row>
    <row r="25" spans="1:10" ht="17.45" customHeight="1">
      <c r="A25" s="12"/>
      <c r="B25" s="12"/>
      <c r="C25" s="13"/>
      <c r="D25" s="12"/>
      <c r="E25" s="12"/>
    </row>
    <row r="26" spans="1:10" ht="17.45" customHeight="1">
      <c r="A26" s="12"/>
      <c r="B26" s="12"/>
      <c r="C26" s="13"/>
      <c r="D26" s="12"/>
      <c r="E26" s="12"/>
    </row>
    <row r="27" spans="1:10" ht="17.45" customHeight="1">
      <c r="A27" s="12"/>
      <c r="B27" s="12"/>
      <c r="C27" s="13"/>
      <c r="D27" s="12"/>
      <c r="E27" s="12"/>
    </row>
    <row r="28" spans="1:10" ht="17.45" customHeight="1">
      <c r="A28" s="12"/>
      <c r="B28" s="12"/>
      <c r="C28" s="13"/>
      <c r="D28" s="12"/>
      <c r="E28" s="12"/>
    </row>
    <row r="29" spans="1:10" ht="17.45" customHeight="1">
      <c r="A29" s="12"/>
      <c r="B29" s="12"/>
      <c r="C29" s="13"/>
      <c r="D29" s="12"/>
      <c r="E29" s="12"/>
    </row>
    <row r="30" spans="1:10" ht="17.45" customHeight="1">
      <c r="A30" s="12"/>
      <c r="B30" s="12"/>
      <c r="C30" s="13"/>
      <c r="D30" s="12"/>
      <c r="E30" s="12"/>
    </row>
    <row r="31" spans="1:10" ht="17.45" customHeight="1">
      <c r="A31" s="12"/>
      <c r="B31" s="12"/>
      <c r="C31" s="13"/>
      <c r="D31" s="12"/>
      <c r="E31" s="12"/>
    </row>
    <row r="32" spans="1:10" ht="17.45" customHeight="1">
      <c r="A32" s="12"/>
      <c r="B32" s="12"/>
      <c r="C32" s="13"/>
      <c r="D32" s="12"/>
      <c r="E32" s="12"/>
    </row>
    <row r="33" spans="1:5" ht="17.45" customHeight="1">
      <c r="A33" s="12"/>
      <c r="B33" s="12"/>
      <c r="C33" s="13"/>
      <c r="D33" s="12"/>
      <c r="E33" s="12"/>
    </row>
    <row r="34" spans="1:5" ht="17.45" customHeight="1">
      <c r="A34" s="12"/>
      <c r="B34" s="12"/>
      <c r="C34" s="13"/>
      <c r="D34" s="12"/>
      <c r="E34" s="12"/>
    </row>
    <row r="35" spans="1:5" ht="17.45" customHeight="1">
      <c r="A35" s="12"/>
      <c r="B35" s="12"/>
      <c r="C35" s="13"/>
      <c r="D35" s="12"/>
      <c r="E35" s="12"/>
    </row>
    <row r="36" spans="1:5" ht="17.45" customHeight="1">
      <c r="A36" s="12"/>
      <c r="B36" s="12"/>
      <c r="C36" s="13"/>
      <c r="D36" s="12"/>
      <c r="E36" s="12"/>
    </row>
    <row r="37" spans="1:5" ht="17.45" customHeight="1">
      <c r="A37" s="12"/>
      <c r="B37" s="12"/>
      <c r="C37" s="13"/>
      <c r="D37" s="12"/>
      <c r="E37" s="12"/>
    </row>
    <row r="38" spans="1:5" ht="17.45" customHeight="1">
      <c r="A38" s="12"/>
      <c r="B38" s="12"/>
      <c r="C38" s="13"/>
      <c r="D38" s="12"/>
      <c r="E38" s="12"/>
    </row>
    <row r="39" spans="1:5" ht="17.45" customHeight="1">
      <c r="A39" s="12"/>
      <c r="B39" s="12"/>
      <c r="C39" s="13"/>
      <c r="D39" s="12"/>
      <c r="E39" s="12"/>
    </row>
    <row r="40" spans="1:5" ht="17.45" customHeight="1">
      <c r="A40" s="12"/>
      <c r="B40" s="12"/>
      <c r="C40" s="13"/>
      <c r="D40" s="12"/>
      <c r="E40" s="12"/>
    </row>
    <row r="41" spans="1:5" ht="17.45" customHeight="1">
      <c r="A41" s="12"/>
      <c r="B41" s="12"/>
      <c r="C41" s="13"/>
      <c r="D41" s="12"/>
      <c r="E41" s="12"/>
    </row>
    <row r="42" spans="1:5" ht="17.45" customHeight="1">
      <c r="A42" s="12"/>
      <c r="B42" s="12"/>
      <c r="C42" s="13"/>
      <c r="D42" s="12"/>
      <c r="E42" s="12"/>
    </row>
    <row r="43" spans="1:5" ht="17.45" customHeight="1">
      <c r="A43" s="12"/>
      <c r="B43" s="12"/>
      <c r="C43" s="13"/>
      <c r="D43" s="12"/>
      <c r="E43" s="12"/>
    </row>
    <row r="44" spans="1:5" ht="17.45" customHeight="1">
      <c r="A44" s="12"/>
      <c r="B44" s="12"/>
      <c r="C44" s="13"/>
      <c r="D44" s="12"/>
      <c r="E44" s="12"/>
    </row>
    <row r="45" spans="1:5" ht="17.45" customHeight="1">
      <c r="A45" s="12"/>
      <c r="B45" s="12"/>
      <c r="C45" s="13"/>
      <c r="D45" s="12"/>
      <c r="E45" s="12"/>
    </row>
  </sheetData>
  <phoneticPr fontId="2" type="noConversion"/>
  <pageMargins left="0.51181102362204722" right="0.51181102362204722" top="0.78740157480314965" bottom="0.78740157480314965" header="0.31496062992125984" footer="0.31496062992125984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0681D-FE1F-4DC6-B2A8-4DFE6D21F894}">
  <dimension ref="A1:J19"/>
  <sheetViews>
    <sheetView tabSelected="1" zoomScaleNormal="100" workbookViewId="0">
      <selection activeCell="D1" sqref="A1:D17"/>
    </sheetView>
  </sheetViews>
  <sheetFormatPr defaultRowHeight="16.5" customHeight="1"/>
  <cols>
    <col min="1" max="1" width="69.42578125" bestFit="1" customWidth="1"/>
    <col min="2" max="2" width="19.7109375" style="40" bestFit="1" customWidth="1"/>
    <col min="3" max="3" width="19.85546875" bestFit="1" customWidth="1"/>
    <col min="4" max="4" width="23" style="46" customWidth="1"/>
    <col min="8" max="8" width="13.28515625" bestFit="1" customWidth="1"/>
    <col min="9" max="9" width="10.42578125" bestFit="1" customWidth="1"/>
    <col min="10" max="10" width="10.140625" bestFit="1" customWidth="1"/>
  </cols>
  <sheetData>
    <row r="1" spans="1:10" ht="39.6" customHeight="1">
      <c r="A1" s="29" t="s">
        <v>7</v>
      </c>
      <c r="B1" s="43" t="s">
        <v>57</v>
      </c>
      <c r="C1" s="30" t="s">
        <v>59</v>
      </c>
      <c r="D1" s="30" t="s">
        <v>58</v>
      </c>
      <c r="H1" s="39">
        <v>44470</v>
      </c>
      <c r="I1" s="39">
        <v>44805</v>
      </c>
    </row>
    <row r="2" spans="1:10" s="49" customFormat="1" ht="23.45" customHeight="1">
      <c r="A2" s="31" t="str">
        <f>'Orçamento Resumo'!A3</f>
        <v>MOVIMENTAÇÃO DE TERRA</v>
      </c>
      <c r="B2" s="47">
        <f>'Orçamento Resumo'!D3</f>
        <v>10.059585954908375</v>
      </c>
      <c r="C2" s="54">
        <f>G2*$J$2</f>
        <v>25.327689102313155</v>
      </c>
      <c r="D2" s="32" t="s">
        <v>69</v>
      </c>
      <c r="E2" s="49">
        <v>10</v>
      </c>
      <c r="F2" s="49">
        <v>20</v>
      </c>
      <c r="G2" s="50">
        <v>22.987738957949066</v>
      </c>
      <c r="H2" s="51">
        <v>2381.0500000000002</v>
      </c>
      <c r="I2" s="52">
        <v>2623.42</v>
      </c>
      <c r="J2" s="50">
        <f>I2/H2</f>
        <v>1.101791226559711</v>
      </c>
    </row>
    <row r="3" spans="1:10" s="49" customFormat="1" ht="23.45" customHeight="1">
      <c r="A3" s="34" t="str">
        <f>'Orçamento Resumo'!A4</f>
        <v>INFRAESTRUTURA</v>
      </c>
      <c r="B3" s="48">
        <f>'Orçamento Resumo'!D4</f>
        <v>167.14433582960407</v>
      </c>
      <c r="C3" s="55">
        <f t="shared" ref="C3:C16" si="0">G3*$J$2</f>
        <v>251.27628111677319</v>
      </c>
      <c r="D3" s="35" t="s">
        <v>60</v>
      </c>
      <c r="E3" s="49">
        <v>170</v>
      </c>
      <c r="F3" s="49">
        <v>230</v>
      </c>
      <c r="G3" s="50">
        <v>228.06161009411107</v>
      </c>
      <c r="H3" s="53"/>
    </row>
    <row r="4" spans="1:10" s="49" customFormat="1" ht="23.45" customHeight="1">
      <c r="A4" s="31" t="str">
        <f>'Orçamento Resumo'!A5</f>
        <v>SUPRAESTRUTURA</v>
      </c>
      <c r="B4" s="47">
        <f>'Orçamento Resumo'!D5</f>
        <v>350.58818190023408</v>
      </c>
      <c r="C4" s="54">
        <f t="shared" si="0"/>
        <v>136.61286747614312</v>
      </c>
      <c r="D4" s="32" t="s">
        <v>71</v>
      </c>
      <c r="E4" s="49">
        <v>250</v>
      </c>
      <c r="F4" s="49">
        <v>330</v>
      </c>
      <c r="G4" s="50">
        <v>123.99160946553378</v>
      </c>
      <c r="H4" s="53"/>
      <c r="J4" s="57"/>
    </row>
    <row r="5" spans="1:10" s="49" customFormat="1" ht="23.45" customHeight="1">
      <c r="A5" s="34" t="str">
        <f>'Orçamento Resumo'!A6</f>
        <v>ALVENARIA ESTRUTURAL</v>
      </c>
      <c r="B5" s="48">
        <f>'Orçamento Resumo'!D6</f>
        <v>180.14259789258332</v>
      </c>
      <c r="C5" s="55">
        <f t="shared" si="0"/>
        <v>319.46283114850434</v>
      </c>
      <c r="D5" s="35" t="s">
        <v>53</v>
      </c>
      <c r="E5" s="49">
        <v>190</v>
      </c>
      <c r="F5" s="49">
        <v>250</v>
      </c>
      <c r="G5" s="50">
        <v>289.9486068209232</v>
      </c>
      <c r="H5" s="53"/>
      <c r="J5" s="57"/>
    </row>
    <row r="6" spans="1:10" s="49" customFormat="1" ht="23.45" customHeight="1">
      <c r="A6" s="31" t="str">
        <f>'Orçamento Resumo'!A7</f>
        <v>INSTALAÇÕES ELÉTRICAS, HIDROSSANITÁRIAS, PREVENTIVAS E GLP</v>
      </c>
      <c r="B6" s="47">
        <f>'Orçamento Resumo'!D7</f>
        <v>208.77218238160745</v>
      </c>
      <c r="C6" s="54">
        <f t="shared" si="0"/>
        <v>217.30597186158587</v>
      </c>
      <c r="D6" s="32" t="s">
        <v>61</v>
      </c>
      <c r="E6" s="49">
        <v>190</v>
      </c>
      <c r="F6" s="49">
        <v>225</v>
      </c>
      <c r="G6" s="50">
        <v>197.22971704913019</v>
      </c>
      <c r="H6" s="53"/>
    </row>
    <row r="7" spans="1:10" s="49" customFormat="1" ht="23.45" customHeight="1">
      <c r="A7" s="34" t="str">
        <f>'Orçamento Resumo'!A8</f>
        <v>SISTEMAS ESPECIAIS E EQUIPAMENTOS</v>
      </c>
      <c r="B7" s="48">
        <f>'Orçamento Resumo'!D8</f>
        <v>111.62697278256199</v>
      </c>
      <c r="C7" s="55">
        <f t="shared" si="0"/>
        <v>40.55378132667223</v>
      </c>
      <c r="D7" s="35" t="s">
        <v>62</v>
      </c>
      <c r="E7" s="49">
        <v>100</v>
      </c>
      <c r="F7" s="49">
        <v>180</v>
      </c>
      <c r="G7" s="50">
        <v>36.807137640131174</v>
      </c>
      <c r="H7" s="53"/>
    </row>
    <row r="8" spans="1:10" s="49" customFormat="1" ht="23.45" customHeight="1">
      <c r="A8" s="31" t="str">
        <f>'Orçamento Resumo'!A9</f>
        <v>IMPERMEABILIZAÇÃO</v>
      </c>
      <c r="B8" s="47">
        <f>'Orçamento Resumo'!D9</f>
        <v>16.630694464270512</v>
      </c>
      <c r="C8" s="54">
        <f t="shared" si="0"/>
        <v>34.36368349046505</v>
      </c>
      <c r="D8" s="32" t="s">
        <v>54</v>
      </c>
      <c r="E8" s="49">
        <v>25</v>
      </c>
      <c r="F8" s="49">
        <v>35</v>
      </c>
      <c r="G8" s="50">
        <v>31.188924600320124</v>
      </c>
      <c r="H8" s="53"/>
    </row>
    <row r="9" spans="1:10" s="49" customFormat="1" ht="23.45" customHeight="1">
      <c r="A9" s="34" t="str">
        <f>'Orçamento Resumo'!A10</f>
        <v>REVESTIMENTOS INTERNOS EM PISO E PAREDE</v>
      </c>
      <c r="B9" s="48">
        <f>'Orçamento Resumo'!D10</f>
        <v>99.615057511952713</v>
      </c>
      <c r="C9" s="55">
        <f t="shared" si="0"/>
        <v>120.40001747589743</v>
      </c>
      <c r="D9" s="35" t="s">
        <v>63</v>
      </c>
      <c r="E9" s="49">
        <v>115</v>
      </c>
      <c r="F9" s="49">
        <v>130</v>
      </c>
      <c r="G9" s="50">
        <v>109.27661663438778</v>
      </c>
      <c r="H9" s="53"/>
    </row>
    <row r="10" spans="1:10" s="49" customFormat="1" ht="23.45" customHeight="1">
      <c r="A10" s="31" t="str">
        <f>'Orçamento Resumo'!A11</f>
        <v>REVESTIMENTOS E ACABAMENTOS INTERNOS EM TETO</v>
      </c>
      <c r="B10" s="47">
        <f>'Orçamento Resumo'!D11</f>
        <v>25.63601901680774</v>
      </c>
      <c r="C10" s="54">
        <f t="shared" si="0"/>
        <v>26.583078386478217</v>
      </c>
      <c r="D10" s="32" t="s">
        <v>55</v>
      </c>
      <c r="E10" s="49">
        <v>30</v>
      </c>
      <c r="F10" s="49">
        <v>40</v>
      </c>
      <c r="G10" s="50">
        <v>24.127146546158816</v>
      </c>
      <c r="H10" s="53"/>
    </row>
    <row r="11" spans="1:10" s="49" customFormat="1" ht="23.45" customHeight="1">
      <c r="A11" s="34" t="str">
        <f>'Orçamento Resumo'!A12</f>
        <v>ACABAMENTOS EM PISO E PAREDE</v>
      </c>
      <c r="B11" s="48">
        <f>'Orçamento Resumo'!D12</f>
        <v>143.31444561729413</v>
      </c>
      <c r="C11" s="55">
        <f t="shared" si="0"/>
        <v>68.311056046702078</v>
      </c>
      <c r="D11" s="35" t="s">
        <v>64</v>
      </c>
      <c r="E11" s="49">
        <v>160</v>
      </c>
      <c r="F11" s="49">
        <v>170</v>
      </c>
      <c r="G11" s="50">
        <v>61.999999999999993</v>
      </c>
      <c r="H11" s="53"/>
    </row>
    <row r="12" spans="1:10" s="49" customFormat="1" ht="23.45" customHeight="1">
      <c r="A12" s="31" t="str">
        <f>'Orçamento Resumo'!A13</f>
        <v>PINTURA INTERNA</v>
      </c>
      <c r="B12" s="47">
        <f>'Orçamento Resumo'!D13</f>
        <v>78.866728075908483</v>
      </c>
      <c r="C12" s="54">
        <f t="shared" si="0"/>
        <v>53.436874488145982</v>
      </c>
      <c r="D12" s="32" t="s">
        <v>65</v>
      </c>
      <c r="E12" s="49">
        <v>60</v>
      </c>
      <c r="F12" s="49">
        <v>80</v>
      </c>
      <c r="G12" s="50">
        <v>48.5</v>
      </c>
      <c r="H12" s="53"/>
    </row>
    <row r="13" spans="1:10" s="49" customFormat="1" ht="23.45" customHeight="1">
      <c r="A13" s="34" t="str">
        <f>'Orçamento Resumo'!A14</f>
        <v xml:space="preserve">ESQUADRIAS </v>
      </c>
      <c r="B13" s="48">
        <f>'Orçamento Resumo'!D14</f>
        <v>135.3074368981633</v>
      </c>
      <c r="C13" s="55">
        <f t="shared" si="0"/>
        <v>129.40802906139669</v>
      </c>
      <c r="D13" s="35" t="s">
        <v>66</v>
      </c>
      <c r="E13" s="49">
        <v>110</v>
      </c>
      <c r="F13" s="49">
        <v>130</v>
      </c>
      <c r="G13" s="50">
        <v>117.45240472232376</v>
      </c>
      <c r="H13" s="53"/>
    </row>
    <row r="14" spans="1:10" s="49" customFormat="1" ht="23.45" customHeight="1">
      <c r="A14" s="31" t="str">
        <f>'Orçamento Resumo'!A15</f>
        <v>REVESTIMENTOS E ACABAMENTOS DE FACHADA</v>
      </c>
      <c r="B14" s="47">
        <f>'Orçamento Resumo'!D15</f>
        <v>87.431610097830173</v>
      </c>
      <c r="C14" s="54">
        <f t="shared" si="0"/>
        <v>110.1582704517338</v>
      </c>
      <c r="D14" s="32" t="s">
        <v>67</v>
      </c>
      <c r="E14" s="49">
        <v>85</v>
      </c>
      <c r="F14" s="49">
        <v>120</v>
      </c>
      <c r="G14" s="50">
        <v>99.981074269122288</v>
      </c>
      <c r="H14" s="53"/>
    </row>
    <row r="15" spans="1:10" s="49" customFormat="1" ht="23.45" customHeight="1">
      <c r="A15" s="34" t="str">
        <f>'Orçamento Resumo'!A16</f>
        <v>COBERTURA</v>
      </c>
      <c r="B15" s="48">
        <f>'Orçamento Resumo'!D16</f>
        <v>4.0071969156258778</v>
      </c>
      <c r="C15" s="55">
        <f t="shared" si="0"/>
        <v>17.06432589911017</v>
      </c>
      <c r="D15" s="35" t="s">
        <v>68</v>
      </c>
      <c r="E15" s="49">
        <v>5</v>
      </c>
      <c r="F15" s="49">
        <v>10</v>
      </c>
      <c r="G15" s="50">
        <v>15.487803394834327</v>
      </c>
      <c r="H15" s="53"/>
    </row>
    <row r="16" spans="1:10" s="49" customFormat="1" ht="23.45" customHeight="1">
      <c r="A16" s="31" t="str">
        <f>'Orçamento Resumo'!A17</f>
        <v>SERVIÇOS COMPLEMENTARES</v>
      </c>
      <c r="B16" s="47">
        <f>'Orçamento Resumo'!D17</f>
        <v>105.34595210463215</v>
      </c>
      <c r="C16" s="54">
        <f t="shared" si="0"/>
        <v>132.46638909478852</v>
      </c>
      <c r="D16" s="32" t="s">
        <v>56</v>
      </c>
      <c r="E16" s="49">
        <v>130</v>
      </c>
      <c r="F16" s="49">
        <v>140</v>
      </c>
      <c r="G16" s="50">
        <v>120.22821193485841</v>
      </c>
      <c r="H16" s="53"/>
    </row>
    <row r="17" spans="1:8" ht="19.899999999999999" customHeight="1">
      <c r="A17" s="33" t="s">
        <v>8</v>
      </c>
      <c r="B17" s="44">
        <f>SUM(B2:B16)</f>
        <v>1724.4889974439843</v>
      </c>
      <c r="C17" s="56">
        <f>SUM(C2:C16)</f>
        <v>1682.7311464267102</v>
      </c>
      <c r="D17" s="45" t="s">
        <v>70</v>
      </c>
      <c r="E17">
        <f>SUM(E2:E16)</f>
        <v>1630</v>
      </c>
      <c r="F17">
        <f>SUM(F2:F16)</f>
        <v>2090</v>
      </c>
      <c r="H17" s="41"/>
    </row>
    <row r="18" spans="1:8" ht="21" customHeight="1">
      <c r="H18" s="41"/>
    </row>
    <row r="19" spans="1:8" ht="16.5" customHeight="1">
      <c r="H19" s="4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4641-F45E-4518-BFEE-2D042BB8612F}">
  <dimension ref="B2:N25"/>
  <sheetViews>
    <sheetView zoomScale="130" zoomScaleNormal="130" workbookViewId="0">
      <selection activeCell="E25" sqref="E25"/>
    </sheetView>
  </sheetViews>
  <sheetFormatPr defaultRowHeight="12.75"/>
  <cols>
    <col min="2" max="2" width="22.140625" bestFit="1" customWidth="1"/>
    <col min="3" max="3" width="16.85546875" bestFit="1" customWidth="1"/>
    <col min="4" max="4" width="18" bestFit="1" customWidth="1"/>
    <col min="5" max="5" width="13.28515625" bestFit="1" customWidth="1"/>
    <col min="6" max="6" width="9.7109375" bestFit="1" customWidth="1"/>
    <col min="7" max="8" width="14.28515625" bestFit="1" customWidth="1"/>
    <col min="9" max="9" width="10.7109375" bestFit="1" customWidth="1"/>
    <col min="10" max="10" width="9.7109375" bestFit="1" customWidth="1"/>
    <col min="12" max="13" width="12.28515625" style="40" bestFit="1" customWidth="1"/>
  </cols>
  <sheetData>
    <row r="2" spans="2:14">
      <c r="C2" t="s">
        <v>25</v>
      </c>
      <c r="D2" s="38">
        <v>11637.74</v>
      </c>
      <c r="E2" t="s">
        <v>26</v>
      </c>
      <c r="G2" t="s">
        <v>27</v>
      </c>
      <c r="H2" s="38">
        <v>2295.8000000000002</v>
      </c>
      <c r="I2" t="s">
        <v>26</v>
      </c>
      <c r="L2" s="40" t="s">
        <v>46</v>
      </c>
      <c r="M2" s="40" t="s">
        <v>47</v>
      </c>
      <c r="N2" t="s">
        <v>48</v>
      </c>
    </row>
    <row r="3" spans="2:14">
      <c r="C3" s="39">
        <v>43556</v>
      </c>
      <c r="D3" s="39">
        <v>44470</v>
      </c>
      <c r="E3" t="s">
        <v>49</v>
      </c>
      <c r="G3" s="39">
        <v>43556</v>
      </c>
      <c r="H3" s="39">
        <v>44470</v>
      </c>
      <c r="I3" t="s">
        <v>49</v>
      </c>
      <c r="L3" s="40">
        <v>1848.59</v>
      </c>
      <c r="M3" s="40">
        <v>2381.0500000000002</v>
      </c>
      <c r="N3" s="38">
        <f>M3/L3</f>
        <v>1.2880357461632921</v>
      </c>
    </row>
    <row r="4" spans="2:14">
      <c r="B4" t="s">
        <v>28</v>
      </c>
      <c r="C4" s="40">
        <v>137870.79</v>
      </c>
      <c r="D4" s="40">
        <f>C4*$N$3</f>
        <v>177582.50587177256</v>
      </c>
      <c r="E4" s="40">
        <f>D4/$D$2</f>
        <v>15.259191722084577</v>
      </c>
      <c r="F4" s="40"/>
      <c r="G4" s="40">
        <v>44000</v>
      </c>
      <c r="H4" s="40">
        <f>G4*$N$3</f>
        <v>56673.572831184851</v>
      </c>
      <c r="I4" s="40">
        <f>H4/$H$2</f>
        <v>24.685762187988868</v>
      </c>
    </row>
    <row r="5" spans="2:14">
      <c r="B5" t="s">
        <v>29</v>
      </c>
      <c r="C5" s="40">
        <v>792845.7</v>
      </c>
      <c r="D5" s="40">
        <f t="shared" ref="D5:D21" si="0">C5*$N$3</f>
        <v>1021213.6027918576</v>
      </c>
      <c r="E5" s="40">
        <f t="shared" ref="E5:E21" si="1">D5/$D$2</f>
        <v>87.750164790746112</v>
      </c>
      <c r="F5" s="40"/>
      <c r="G5" s="40">
        <v>202131.20000000001</v>
      </c>
      <c r="H5" s="40">
        <f t="shared" ref="H5:H21" si="2">G5*$N$3</f>
        <v>260352.21101488164</v>
      </c>
      <c r="I5" s="40">
        <f t="shared" ref="I5:I21" si="3">H5/$H$2</f>
        <v>113.40369849938219</v>
      </c>
    </row>
    <row r="6" spans="2:14">
      <c r="B6" t="s">
        <v>30</v>
      </c>
      <c r="C6" s="40">
        <v>1075697.18</v>
      </c>
      <c r="D6" s="40">
        <f t="shared" si="0"/>
        <v>1385536.4198870491</v>
      </c>
      <c r="E6" s="40">
        <f>D6/$D$2</f>
        <v>119.05545405611821</v>
      </c>
      <c r="F6" s="40"/>
      <c r="G6" s="40">
        <v>216705.25</v>
      </c>
      <c r="H6" s="40">
        <f t="shared" si="2"/>
        <v>279124.10838125274</v>
      </c>
      <c r="I6" s="40">
        <f t="shared" si="3"/>
        <v>121.58032423610625</v>
      </c>
    </row>
    <row r="7" spans="2:14">
      <c r="B7" t="s">
        <v>31</v>
      </c>
      <c r="C7" s="40">
        <v>1263098.28</v>
      </c>
      <c r="D7" s="40">
        <f t="shared" si="0"/>
        <v>1626915.7355573708</v>
      </c>
      <c r="E7" s="40">
        <f t="shared" si="1"/>
        <v>139.79653571547146</v>
      </c>
      <c r="F7" s="40"/>
      <c r="G7" s="40">
        <v>244348.48</v>
      </c>
      <c r="H7" s="40">
        <f t="shared" si="2"/>
        <v>314729.57676066627</v>
      </c>
      <c r="I7" s="40">
        <f t="shared" si="3"/>
        <v>137.0892833699217</v>
      </c>
    </row>
    <row r="8" spans="2:14">
      <c r="B8" t="s">
        <v>32</v>
      </c>
      <c r="C8" s="40">
        <v>104564.96</v>
      </c>
      <c r="D8" s="40">
        <f t="shared" si="0"/>
        <v>134683.4062761348</v>
      </c>
      <c r="E8" s="40">
        <f t="shared" si="1"/>
        <v>11.572986359562492</v>
      </c>
      <c r="F8" s="40"/>
      <c r="G8" s="40">
        <v>38453.879999999997</v>
      </c>
      <c r="H8" s="40">
        <f t="shared" si="2"/>
        <v>49529.972018673689</v>
      </c>
      <c r="I8" s="40">
        <f t="shared" si="3"/>
        <v>21.574166747396848</v>
      </c>
    </row>
    <row r="9" spans="2:14">
      <c r="B9" t="s">
        <v>33</v>
      </c>
      <c r="C9" s="40">
        <v>985469.46</v>
      </c>
      <c r="D9" s="40">
        <f t="shared" si="0"/>
        <v>1269319.8912322365</v>
      </c>
      <c r="E9" s="40">
        <f t="shared" si="1"/>
        <v>109.06927730231442</v>
      </c>
      <c r="F9" s="41"/>
      <c r="G9" s="40">
        <v>199597.41</v>
      </c>
      <c r="H9" s="40">
        <f t="shared" si="2"/>
        <v>257088.59892161054</v>
      </c>
      <c r="I9" s="40">
        <f t="shared" si="3"/>
        <v>111.98214083178435</v>
      </c>
      <c r="J9" s="40"/>
    </row>
    <row r="10" spans="2:14">
      <c r="B10" t="s">
        <v>34</v>
      </c>
      <c r="C10" s="40">
        <v>889104.92</v>
      </c>
      <c r="D10" s="40">
        <f t="shared" si="0"/>
        <v>1145198.9190496542</v>
      </c>
      <c r="E10" s="40">
        <f t="shared" si="1"/>
        <v>98.403892770387912</v>
      </c>
      <c r="F10" s="40"/>
      <c r="G10" s="40">
        <v>130497.38</v>
      </c>
      <c r="H10" s="40">
        <f t="shared" si="2"/>
        <v>168085.29022065469</v>
      </c>
      <c r="I10" s="40">
        <f t="shared" si="3"/>
        <v>73.214256564445805</v>
      </c>
    </row>
    <row r="11" spans="2:14">
      <c r="B11" t="s">
        <v>35</v>
      </c>
      <c r="C11" s="40">
        <v>90622.66</v>
      </c>
      <c r="D11" s="40">
        <f t="shared" si="0"/>
        <v>116725.22549240233</v>
      </c>
      <c r="E11" s="40">
        <f t="shared" si="1"/>
        <v>10.029887718096669</v>
      </c>
      <c r="F11" s="40"/>
      <c r="G11" s="40">
        <v>27895.1</v>
      </c>
      <c r="H11" s="40">
        <f t="shared" si="2"/>
        <v>35929.88594279965</v>
      </c>
      <c r="I11" s="40">
        <f t="shared" si="3"/>
        <v>15.65026829114019</v>
      </c>
    </row>
    <row r="12" spans="2:14">
      <c r="B12" t="s">
        <v>36</v>
      </c>
      <c r="C12" s="40">
        <v>84135.46</v>
      </c>
      <c r="D12" s="40">
        <f t="shared" si="0"/>
        <v>108369.47999989182</v>
      </c>
      <c r="E12" s="40">
        <f t="shared" si="1"/>
        <v>9.3119007642284348</v>
      </c>
      <c r="F12" s="40"/>
      <c r="G12" s="40">
        <v>16914.25</v>
      </c>
      <c r="H12" s="40">
        <f t="shared" si="2"/>
        <v>21786.158619542464</v>
      </c>
      <c r="I12" s="40">
        <f t="shared" si="3"/>
        <v>9.4895716610952441</v>
      </c>
    </row>
    <row r="13" spans="2:14">
      <c r="B13" t="s">
        <v>37</v>
      </c>
      <c r="C13" s="40">
        <v>668146.88</v>
      </c>
      <c r="D13" s="40">
        <f t="shared" si="0"/>
        <v>860597.06512747554</v>
      </c>
      <c r="E13" s="40">
        <f>D13/$D$2</f>
        <v>73.948813526292525</v>
      </c>
      <c r="F13" s="40"/>
      <c r="G13" s="40">
        <v>115886.47</v>
      </c>
      <c r="H13" s="40">
        <f t="shared" si="2"/>
        <v>149265.91585667996</v>
      </c>
      <c r="I13" s="40">
        <f t="shared" si="3"/>
        <v>65.01695089148879</v>
      </c>
      <c r="J13" s="41"/>
    </row>
    <row r="14" spans="2:14">
      <c r="B14" t="s">
        <v>38</v>
      </c>
      <c r="C14" s="40">
        <v>0</v>
      </c>
      <c r="D14" s="40">
        <f t="shared" si="0"/>
        <v>0</v>
      </c>
      <c r="E14" s="40">
        <f t="shared" si="1"/>
        <v>0</v>
      </c>
      <c r="F14" s="40"/>
      <c r="G14" s="40">
        <v>0</v>
      </c>
      <c r="H14" s="40">
        <f t="shared" si="2"/>
        <v>0</v>
      </c>
      <c r="I14" s="40">
        <f t="shared" si="3"/>
        <v>0</v>
      </c>
    </row>
    <row r="15" spans="2:14">
      <c r="B15" t="s">
        <v>39</v>
      </c>
      <c r="C15" s="40">
        <v>144071.4</v>
      </c>
      <c r="D15" s="40">
        <f t="shared" si="0"/>
        <v>185569.11319979012</v>
      </c>
      <c r="E15" s="40">
        <f t="shared" si="1"/>
        <v>15.945459616711675</v>
      </c>
      <c r="F15" s="40"/>
      <c r="G15" s="40">
        <v>30879.96</v>
      </c>
      <c r="H15" s="40">
        <f t="shared" si="2"/>
        <v>39774.492320092613</v>
      </c>
      <c r="I15" s="40">
        <f t="shared" si="3"/>
        <v>17.324894293968381</v>
      </c>
    </row>
    <row r="16" spans="2:14">
      <c r="B16" t="s">
        <v>40</v>
      </c>
      <c r="C16" s="40">
        <v>1325809.99</v>
      </c>
      <c r="D16" s="40">
        <f t="shared" si="0"/>
        <v>1707690.6597403968</v>
      </c>
      <c r="E16" s="40">
        <f t="shared" si="1"/>
        <v>146.73730979901569</v>
      </c>
      <c r="F16" s="40"/>
      <c r="G16" s="40">
        <v>140000</v>
      </c>
      <c r="H16" s="40">
        <f t="shared" si="2"/>
        <v>180325.0044628609</v>
      </c>
      <c r="I16" s="40">
        <f t="shared" si="3"/>
        <v>78.545606961782767</v>
      </c>
    </row>
    <row r="17" spans="2:10">
      <c r="B17" t="s">
        <v>41</v>
      </c>
      <c r="C17" s="40">
        <v>980000</v>
      </c>
      <c r="D17" s="40">
        <f t="shared" si="0"/>
        <v>1262275.0312400262</v>
      </c>
      <c r="E17" s="40">
        <f t="shared" si="1"/>
        <v>108.46393124782185</v>
      </c>
      <c r="F17" s="40"/>
      <c r="G17" s="40">
        <v>180000</v>
      </c>
      <c r="H17" s="40">
        <f t="shared" si="2"/>
        <v>231846.43430939259</v>
      </c>
      <c r="I17" s="40">
        <f t="shared" si="3"/>
        <v>100.98720895086356</v>
      </c>
    </row>
    <row r="18" spans="2:10">
      <c r="B18" t="s">
        <v>42</v>
      </c>
      <c r="C18" s="40">
        <v>150000</v>
      </c>
      <c r="D18" s="40">
        <f t="shared" si="0"/>
        <v>193205.3619244938</v>
      </c>
      <c r="E18" s="40">
        <f t="shared" si="1"/>
        <v>16.60162212976865</v>
      </c>
      <c r="F18" s="40"/>
      <c r="G18" s="40">
        <v>42000</v>
      </c>
      <c r="H18" s="40">
        <f t="shared" si="2"/>
        <v>54097.501338858267</v>
      </c>
      <c r="I18" s="40">
        <f t="shared" si="3"/>
        <v>23.563682088534829</v>
      </c>
      <c r="J18" s="41"/>
    </row>
    <row r="19" spans="2:10">
      <c r="B19" t="s">
        <v>43</v>
      </c>
      <c r="C19" s="40">
        <v>553273.04</v>
      </c>
      <c r="D19" s="40">
        <f t="shared" si="0"/>
        <v>712635.45290843304</v>
      </c>
      <c r="E19" s="40">
        <f t="shared" si="1"/>
        <v>61.234866297789182</v>
      </c>
      <c r="F19" s="40"/>
      <c r="G19" s="40">
        <v>143399.74</v>
      </c>
      <c r="H19" s="40">
        <f t="shared" si="2"/>
        <v>184703.99111052207</v>
      </c>
      <c r="I19" s="40">
        <f t="shared" si="3"/>
        <v>80.452997260441705</v>
      </c>
      <c r="J19" s="41"/>
    </row>
    <row r="20" spans="2:10">
      <c r="B20" t="s">
        <v>44</v>
      </c>
      <c r="C20" s="40">
        <v>0</v>
      </c>
      <c r="D20" s="40">
        <f t="shared" si="0"/>
        <v>0</v>
      </c>
      <c r="E20" s="40">
        <f t="shared" si="1"/>
        <v>0</v>
      </c>
      <c r="F20" s="40"/>
      <c r="G20" s="40">
        <v>0</v>
      </c>
      <c r="H20" s="40">
        <f t="shared" si="2"/>
        <v>0</v>
      </c>
      <c r="I20" s="40">
        <f t="shared" si="3"/>
        <v>0</v>
      </c>
    </row>
    <row r="21" spans="2:10">
      <c r="B21" t="s">
        <v>45</v>
      </c>
      <c r="C21" s="40">
        <v>137000</v>
      </c>
      <c r="D21" s="40">
        <f t="shared" si="0"/>
        <v>176460.897224371</v>
      </c>
      <c r="E21" s="40">
        <f t="shared" si="1"/>
        <v>15.162814878522033</v>
      </c>
      <c r="F21" s="40"/>
      <c r="G21" s="40">
        <v>18000</v>
      </c>
      <c r="H21" s="40">
        <f t="shared" si="2"/>
        <v>23184.643430939257</v>
      </c>
      <c r="I21" s="40">
        <f t="shared" si="3"/>
        <v>10.098720895086355</v>
      </c>
    </row>
    <row r="23" spans="2:10">
      <c r="B23" t="s">
        <v>50</v>
      </c>
      <c r="C23" s="40">
        <v>304235.61</v>
      </c>
      <c r="G23" s="40">
        <v>73010.179999999993</v>
      </c>
    </row>
    <row r="24" spans="2:10">
      <c r="B24" t="s">
        <v>51</v>
      </c>
      <c r="C24" s="40">
        <v>151891.25</v>
      </c>
      <c r="G24" s="40">
        <v>45145</v>
      </c>
      <c r="I24" s="40"/>
    </row>
    <row r="25" spans="2:10">
      <c r="C25" s="41">
        <f>SUM(C23:C24)</f>
        <v>456126.86</v>
      </c>
      <c r="D25" s="40">
        <f t="shared" ref="D25" si="4">C25*$N$3</f>
        <v>587507.70046521944</v>
      </c>
      <c r="E25" s="40">
        <f t="shared" ref="E25" si="5">D25/$D$2</f>
        <v>50.482971819719246</v>
      </c>
      <c r="G25" s="41">
        <f>SUM(G23:G24)</f>
        <v>118155.18</v>
      </c>
      <c r="H25" s="40">
        <f t="shared" ref="H25" si="6">G25*$N$3</f>
        <v>152188.09543435808</v>
      </c>
      <c r="I25" s="40">
        <f t="shared" ref="I25" si="7">H25/$H$2</f>
        <v>66.289788062704972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iOS</cp:lastModifiedBy>
  <cp:lastPrinted>2021-06-01T14:04:42Z</cp:lastPrinted>
  <dcterms:created xsi:type="dcterms:W3CDTF">2020-06-25T16:50:19Z</dcterms:created>
  <dcterms:modified xsi:type="dcterms:W3CDTF">2022-10-13T18:37:48Z</dcterms:modified>
</cp:coreProperties>
</file>