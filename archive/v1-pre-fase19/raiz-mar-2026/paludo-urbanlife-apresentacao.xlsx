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Paludo - 04.2021\Urban Life\03. Custo\03.5 Custo - Determinação do orçamento\"/>
    </mc:Choice>
  </mc:AlternateContent>
  <xr:revisionPtr revIDLastSave="0" documentId="13_ncr:1_{B1FEB962-C12B-4435-A8B3-0F1D0A3EF88C}" xr6:coauthVersionLast="47" xr6:coauthVersionMax="47" xr10:uidLastSave="{00000000-0000-0000-0000-000000000000}"/>
  <bookViews>
    <workbookView xWindow="-105" yWindow="2475" windowWidth="13860" windowHeight="8430" xr2:uid="{00000000-000D-0000-FFFF-FFFF00000000}"/>
  </bookViews>
  <sheets>
    <sheet name="Gerenciamento executivo " sheetId="3" r:id="rId1"/>
    <sheet name="Executivo " sheetId="1" r:id="rId2"/>
    <sheet name="Auxiliar" sheetId="4" r:id="rId3"/>
  </sheets>
  <definedNames>
    <definedName name="_xlnm._FilterDatabase" localSheetId="2" hidden="1">Auxiliar!$A$1:$E$1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1" l="1"/>
  <c r="E7" i="1" l="1"/>
  <c r="D2" i="1" l="1"/>
  <c r="D10" i="1"/>
  <c r="B19" i="1" l="1"/>
  <c r="C2" i="1" l="1"/>
  <c r="B10" i="3"/>
  <c r="B17" i="3"/>
  <c r="B4" i="3"/>
  <c r="B5" i="3"/>
  <c r="B6" i="3"/>
  <c r="B7" i="3"/>
  <c r="B8" i="3"/>
  <c r="B9" i="3"/>
  <c r="B11" i="3"/>
  <c r="B12" i="3"/>
  <c r="B13" i="3"/>
  <c r="B14" i="3"/>
  <c r="B15" i="3"/>
  <c r="B16" i="3"/>
  <c r="B3" i="3"/>
  <c r="D4" i="1" l="1"/>
  <c r="C4" i="3" s="1"/>
  <c r="D17" i="1" l="1"/>
  <c r="C17" i="3" s="1"/>
  <c r="D18" i="1"/>
  <c r="E18" i="1" l="1"/>
  <c r="E17" i="1"/>
  <c r="E15" i="1" l="1"/>
  <c r="D15" i="1"/>
  <c r="C15" i="3" s="1"/>
  <c r="C7" i="1" l="1"/>
  <c r="C8" i="1"/>
  <c r="C18" i="1"/>
  <c r="C4" i="1"/>
  <c r="C9" i="1"/>
  <c r="C15" i="1"/>
  <c r="C14" i="1"/>
  <c r="C17" i="1"/>
  <c r="C6" i="1"/>
  <c r="C3" i="1"/>
  <c r="C10" i="1"/>
  <c r="C12" i="1"/>
  <c r="C13" i="1"/>
  <c r="C16" i="1"/>
  <c r="C5" i="1"/>
  <c r="C11" i="1"/>
  <c r="D16" i="1" l="1"/>
  <c r="C16" i="3" s="1"/>
  <c r="D7" i="1" l="1"/>
  <c r="C7" i="3" s="1"/>
  <c r="E3" i="1" l="1"/>
  <c r="D5" i="1"/>
  <c r="C5" i="3" s="1"/>
  <c r="E4" i="1"/>
  <c r="E12" i="1"/>
  <c r="E14" i="1"/>
  <c r="E10" i="1"/>
  <c r="E8" i="1"/>
  <c r="D9" i="1"/>
  <c r="C9" i="3" s="1"/>
  <c r="E11" i="1"/>
  <c r="D11" i="1"/>
  <c r="C11" i="3" s="1"/>
  <c r="D6" i="1"/>
  <c r="C6" i="3" s="1"/>
  <c r="E2" i="1"/>
  <c r="E6" i="1" l="1"/>
  <c r="E16" i="1"/>
  <c r="D12" i="1"/>
  <c r="C12" i="3" s="1"/>
  <c r="E9" i="1"/>
  <c r="D13" i="1"/>
  <c r="C13" i="3" s="1"/>
  <c r="E13" i="1"/>
  <c r="E5" i="1"/>
  <c r="E19" i="1" s="1"/>
  <c r="D14" i="1"/>
  <c r="C14" i="3" s="1"/>
  <c r="C10" i="3"/>
  <c r="D8" i="1"/>
  <c r="C8" i="3" s="1"/>
  <c r="D3" i="1"/>
  <c r="C3" i="3" s="1"/>
  <c r="B18" i="3"/>
  <c r="D19" i="1" l="1"/>
  <c r="D20" i="1" s="1"/>
  <c r="C19" i="1"/>
  <c r="C18" i="3" l="1"/>
</calcChain>
</file>

<file path=xl/sharedStrings.xml><?xml version="1.0" encoding="utf-8"?>
<sst xmlns="http://schemas.openxmlformats.org/spreadsheetml/2006/main" count="112" uniqueCount="47">
  <si>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</si>
  <si>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</si>
  <si>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</si>
  <si>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</si>
  <si>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</si>
  <si>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</si>
  <si>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</si>
  <si>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</si>
  <si>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</si>
  <si>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</si>
  <si>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</si>
  <si>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</si>
  <si>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</si>
  <si>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</si>
  <si>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</si>
  <si>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</si>
  <si>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</si>
  <si>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</si>
  <si>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</si>
  <si>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INSTALAÇÕES ELÉTRICAS, HIDRÁULICAS, GLP E PREVENTIVAS</t>
  </si>
  <si>
    <t>CUBs</t>
  </si>
  <si>
    <t>COBERTURA</t>
  </si>
  <si>
    <t>VALOR</t>
  </si>
  <si>
    <t>240-320</t>
  </si>
  <si>
    <t xml:space="preserve">IMPREVISTOS E CONTINGÊNCIAS </t>
  </si>
  <si>
    <t>160,00 - 180,00</t>
  </si>
  <si>
    <t>250,00 - 300,00</t>
  </si>
  <si>
    <t>80,00 - 140,00</t>
  </si>
  <si>
    <t xml:space="preserve">MOVIMENTAÇÃO DE TERRA </t>
  </si>
  <si>
    <t>CUB/SC</t>
  </si>
  <si>
    <t>55,00 - 65,00</t>
  </si>
  <si>
    <t>140,00 - 190,00</t>
  </si>
  <si>
    <t>90,00 - 130,00</t>
  </si>
  <si>
    <t>VALOR / UNIDADE</t>
  </si>
  <si>
    <t>GERENCIAMENTO TÉCNICO E ADMINISTRATIVO</t>
  </si>
  <si>
    <t>2010,00 - 2500,00</t>
  </si>
  <si>
    <t>URBAN LIFE</t>
  </si>
  <si>
    <t>BARBADOS</t>
  </si>
  <si>
    <t>NASSAU</t>
  </si>
  <si>
    <t>50,00 - 70,00</t>
  </si>
  <si>
    <t>520,00 - 580,00</t>
  </si>
  <si>
    <t>100,00 - 120,00</t>
  </si>
  <si>
    <t>200,00 - 250,00</t>
  </si>
  <si>
    <t>65,00 - 75,00</t>
  </si>
  <si>
    <t>280,00 - 330,00</t>
  </si>
  <si>
    <t>10,00 - 30,00</t>
  </si>
  <si>
    <t>10,00 - 20,00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</si>
</sst>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75">
    <xf numFmtId="0" fontId="0" fillId="0" borderId="0" xfId="0"/>
    <xf numFmtId="0" fontId="5" fillId="0" borderId="0" xfId="0" applyFont="1"/>
    <xf numFmtId="43" fontId="4" fillId="5" borderId="15" xfId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3" borderId="7" xfId="0" applyFont="1" applyFill="1" applyBorder="1"/>
    <xf numFmtId="43" fontId="5" fillId="3" borderId="1" xfId="1" applyFont="1" applyFill="1" applyBorder="1" applyAlignment="1">
      <alignment horizontal="center"/>
    </xf>
    <xf numFmtId="0" fontId="6" fillId="6" borderId="7" xfId="0" applyFont="1" applyFill="1" applyBorder="1"/>
    <xf numFmtId="43" fontId="5" fillId="6" borderId="1" xfId="1" applyFont="1" applyFill="1" applyBorder="1" applyAlignment="1">
      <alignment horizontal="center"/>
    </xf>
    <xf numFmtId="0" fontId="4" fillId="5" borderId="10" xfId="0" applyFont="1" applyFill="1" applyBorder="1" applyAlignment="1">
      <alignment horizontal="right"/>
    </xf>
    <xf numFmtId="43" fontId="4" fillId="5" borderId="11" xfId="1" applyFont="1" applyFill="1" applyBorder="1" applyAlignment="1">
      <alignment horizontal="right"/>
    </xf>
    <xf numFmtId="43" fontId="4" fillId="5" borderId="11" xfId="0" applyNumberFormat="1" applyFont="1" applyFill="1" applyBorder="1" applyAlignment="1">
      <alignment horizontal="right"/>
    </xf>
    <xf numFmtId="43" fontId="5" fillId="0" borderId="0" xfId="1" applyFont="1"/>
    <xf numFmtId="0" fontId="5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19" xfId="0" applyFont="1" applyFill="1" applyBorder="1" applyAlignment="1">
      <alignment vertical="center"/>
    </xf>
    <xf numFmtId="43" fontId="5" fillId="6" borderId="20" xfId="1" applyFont="1" applyFill="1" applyBorder="1" applyAlignment="1">
      <alignment vertical="center"/>
    </xf>
    <xf numFmtId="10" fontId="5" fillId="6" borderId="20" xfId="2" applyNumberFormat="1" applyFont="1" applyFill="1" applyBorder="1" applyAlignment="1">
      <alignment horizontal="center" vertical="center"/>
    </xf>
    <xf numFmtId="43" fontId="5" fillId="6" borderId="20" xfId="0" applyNumberFormat="1" applyFont="1" applyFill="1" applyBorder="1" applyAlignment="1">
      <alignment vertical="center"/>
    </xf>
    <xf numFmtId="43" fontId="5" fillId="6" borderId="21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3" borderId="22" xfId="0" applyFont="1" applyFill="1" applyBorder="1" applyAlignment="1">
      <alignment vertical="center"/>
    </xf>
    <xf numFmtId="43" fontId="5" fillId="3" borderId="23" xfId="1" applyFont="1" applyFill="1" applyBorder="1" applyAlignment="1">
      <alignment vertical="center"/>
    </xf>
    <xf numFmtId="10" fontId="5" fillId="3" borderId="23" xfId="2" applyNumberFormat="1" applyFont="1" applyFill="1" applyBorder="1" applyAlignment="1">
      <alignment horizontal="center" vertical="center"/>
    </xf>
    <xf numFmtId="43" fontId="5" fillId="3" borderId="23" xfId="0" applyNumberFormat="1" applyFont="1" applyFill="1" applyBorder="1" applyAlignment="1">
      <alignment vertical="center"/>
    </xf>
    <xf numFmtId="43" fontId="5" fillId="3" borderId="24" xfId="0" applyNumberFormat="1" applyFont="1" applyFill="1" applyBorder="1" applyAlignment="1">
      <alignment vertical="center"/>
    </xf>
    <xf numFmtId="0" fontId="6" fillId="6" borderId="22" xfId="0" applyFont="1" applyFill="1" applyBorder="1" applyAlignment="1">
      <alignment vertical="center"/>
    </xf>
    <xf numFmtId="43" fontId="5" fillId="6" borderId="23" xfId="1" applyFont="1" applyFill="1" applyBorder="1" applyAlignment="1">
      <alignment vertical="center"/>
    </xf>
    <xf numFmtId="10" fontId="5" fillId="6" borderId="23" xfId="2" applyNumberFormat="1" applyFont="1" applyFill="1" applyBorder="1" applyAlignment="1">
      <alignment horizontal="center" vertical="center"/>
    </xf>
    <xf numFmtId="43" fontId="5" fillId="6" borderId="23" xfId="0" applyNumberFormat="1" applyFont="1" applyFill="1" applyBorder="1" applyAlignment="1">
      <alignment vertical="center"/>
    </xf>
    <xf numFmtId="43" fontId="5" fillId="6" borderId="24" xfId="0" applyNumberFormat="1" applyFont="1" applyFill="1" applyBorder="1" applyAlignment="1">
      <alignment vertical="center"/>
    </xf>
    <xf numFmtId="43" fontId="5" fillId="3" borderId="24" xfId="1" applyFont="1" applyFill="1" applyBorder="1" applyAlignment="1">
      <alignment vertical="center"/>
    </xf>
    <xf numFmtId="43" fontId="7" fillId="4" borderId="0" xfId="1" applyFont="1" applyFill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5" borderId="8" xfId="0" applyFont="1" applyFill="1" applyBorder="1" applyAlignment="1">
      <alignment horizontal="right" vertical="center"/>
    </xf>
    <xf numFmtId="43" fontId="4" fillId="5" borderId="2" xfId="0" applyNumberFormat="1" applyFont="1" applyFill="1" applyBorder="1" applyAlignment="1">
      <alignment horizontal="right" vertical="center"/>
    </xf>
    <xf numFmtId="43" fontId="4" fillId="5" borderId="9" xfId="0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right" vertical="center"/>
    </xf>
    <xf numFmtId="43" fontId="4" fillId="5" borderId="11" xfId="1" applyFont="1" applyFill="1" applyBorder="1" applyAlignment="1">
      <alignment horizontal="right" vertical="center"/>
    </xf>
    <xf numFmtId="17" fontId="4" fillId="5" borderId="11" xfId="0" applyNumberFormat="1" applyFont="1" applyFill="1" applyBorder="1" applyAlignment="1">
      <alignment horizontal="center" vertical="center"/>
    </xf>
    <xf numFmtId="43" fontId="4" fillId="5" borderId="17" xfId="1" applyFont="1" applyFill="1" applyBorder="1" applyAlignment="1">
      <alignment horizontal="right" vertical="center"/>
    </xf>
    <xf numFmtId="0" fontId="4" fillId="5" borderId="18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4" fontId="7" fillId="0" borderId="0" xfId="0" applyNumberFormat="1" applyFont="1" applyAlignment="1">
      <alignment vertical="center"/>
    </xf>
    <xf numFmtId="9" fontId="4" fillId="5" borderId="2" xfId="2" applyFont="1" applyFill="1" applyBorder="1" applyAlignment="1">
      <alignment horizontal="right" vertical="center"/>
    </xf>
    <xf numFmtId="14" fontId="7" fillId="0" borderId="0" xfId="0" applyNumberFormat="1" applyFont="1" applyAlignment="1">
      <alignment vertical="center"/>
    </xf>
    <xf numFmtId="14" fontId="7" fillId="0" borderId="0" xfId="1" applyNumberFormat="1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0" fontId="6" fillId="3" borderId="22" xfId="0" applyFont="1" applyFill="1" applyBorder="1" applyAlignment="1">
      <alignment vertical="center" wrapText="1"/>
    </xf>
    <xf numFmtId="0" fontId="4" fillId="5" borderId="19" xfId="0" applyFont="1" applyFill="1" applyBorder="1" applyAlignment="1">
      <alignment horizontal="right" vertical="center"/>
    </xf>
    <xf numFmtId="0" fontId="6" fillId="3" borderId="10" xfId="0" applyFont="1" applyFill="1" applyBorder="1" applyAlignment="1">
      <alignment vertical="center"/>
    </xf>
    <xf numFmtId="0" fontId="4" fillId="5" borderId="22" xfId="0" applyFont="1" applyFill="1" applyBorder="1" applyAlignment="1">
      <alignment horizontal="right" vertical="center"/>
    </xf>
    <xf numFmtId="0" fontId="6" fillId="3" borderId="8" xfId="0" applyFont="1" applyFill="1" applyBorder="1" applyAlignment="1">
      <alignment vertical="center"/>
    </xf>
    <xf numFmtId="43" fontId="4" fillId="5" borderId="20" xfId="1" applyFont="1" applyFill="1" applyBorder="1" applyAlignment="1">
      <alignment horizontal="right" vertical="center"/>
    </xf>
    <xf numFmtId="43" fontId="5" fillId="3" borderId="11" xfId="1" applyFont="1" applyFill="1" applyBorder="1" applyAlignment="1">
      <alignment vertical="center"/>
    </xf>
    <xf numFmtId="43" fontId="4" fillId="5" borderId="23" xfId="0" applyNumberFormat="1" applyFont="1" applyFill="1" applyBorder="1" applyAlignment="1">
      <alignment horizontal="right" vertical="center"/>
    </xf>
    <xf numFmtId="43" fontId="5" fillId="3" borderId="2" xfId="1" applyFont="1" applyFill="1" applyBorder="1" applyAlignment="1">
      <alignment vertical="center"/>
    </xf>
    <xf numFmtId="17" fontId="4" fillId="5" borderId="20" xfId="0" applyNumberFormat="1" applyFont="1" applyFill="1" applyBorder="1" applyAlignment="1">
      <alignment horizontal="center" vertical="center"/>
    </xf>
    <xf numFmtId="10" fontId="5" fillId="3" borderId="11" xfId="2" applyNumberFormat="1" applyFont="1" applyFill="1" applyBorder="1" applyAlignment="1">
      <alignment horizontal="center" vertical="center"/>
    </xf>
    <xf numFmtId="9" fontId="4" fillId="5" borderId="23" xfId="2" applyFont="1" applyFill="1" applyBorder="1" applyAlignment="1">
      <alignment horizontal="right" vertical="center"/>
    </xf>
    <xf numFmtId="10" fontId="5" fillId="3" borderId="2" xfId="2" applyNumberFormat="1" applyFont="1" applyFill="1" applyBorder="1" applyAlignment="1">
      <alignment horizontal="center" vertical="center"/>
    </xf>
    <xf numFmtId="43" fontId="5" fillId="3" borderId="17" xfId="0" applyNumberFormat="1" applyFont="1" applyFill="1" applyBorder="1" applyAlignment="1">
      <alignment vertical="center"/>
    </xf>
    <xf numFmtId="0" fontId="4" fillId="5" borderId="21" xfId="0" applyFont="1" applyFill="1" applyBorder="1" applyAlignment="1">
      <alignment horizontal="left" vertical="center"/>
    </xf>
    <xf numFmtId="43" fontId="5" fillId="3" borderId="18" xfId="0" applyNumberFormat="1" applyFont="1" applyFill="1" applyBorder="1" applyAlignment="1">
      <alignment vertical="center"/>
    </xf>
    <xf numFmtId="43" fontId="4" fillId="5" borderId="24" xfId="0" applyNumberFormat="1" applyFont="1" applyFill="1" applyBorder="1" applyAlignment="1">
      <alignment horizontal="right" vertical="center"/>
    </xf>
    <xf numFmtId="43" fontId="5" fillId="3" borderId="9" xfId="1" applyFont="1" applyFill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10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2" xfId="3" xr:uid="{00000000-0005-0000-0000-000005000000}"/>
    <cellStyle name="Normal 3" xfId="9" xr:uid="{98CE299D-95DD-4602-ACCC-0213D73441AA}"/>
    <cellStyle name="Percent" xfId="4" xr:uid="{00000000-0005-0000-0000-000006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28913417778387E-2"/>
          <c:y val="0.14391576356724217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'Gerenciamento executivo '!$A$3:$A$17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COBERTURA</c:v>
                </c:pt>
                <c:pt idx="13">
                  <c:v>REVESTIMENTOS E ACABAMENTOS DE FACHADA</c:v>
                </c:pt>
                <c:pt idx="14">
                  <c:v>SERVIÇOS COMPLEMENTARES</c:v>
                </c:pt>
              </c:strCache>
            </c:strRef>
          </c:cat>
          <c:val>
            <c:numRef>
              <c:f>'Gerenciamento executivo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'Gerenciamento executivo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'!$C$3:$C$17</c:f>
              <c:numCache>
                <c:formatCode>_(* #,##0.00_);_(* \(#,##0.00\);_(* "-"??_);_(@_)</c:formatCode>
                <c:ptCount val="15"/>
                <c:pt idx="0">
                  <c:v>18.612510457814349</c:v>
                </c:pt>
                <c:pt idx="1">
                  <c:v>54.224295082945211</c:v>
                </c:pt>
                <c:pt idx="2">
                  <c:v>580.52423159034061</c:v>
                </c:pt>
                <c:pt idx="3">
                  <c:v>100.52907378920172</c:v>
                </c:pt>
                <c:pt idx="4">
                  <c:v>286.68964189886924</c:v>
                </c:pt>
                <c:pt idx="5">
                  <c:v>142.58941875148255</c:v>
                </c:pt>
                <c:pt idx="6">
                  <c:v>55.174045018671379</c:v>
                </c:pt>
                <c:pt idx="7">
                  <c:v>168.7990821270449</c:v>
                </c:pt>
                <c:pt idx="8">
                  <c:v>71.720256129451059</c:v>
                </c:pt>
                <c:pt idx="9">
                  <c:v>166.88346621326983</c:v>
                </c:pt>
                <c:pt idx="10">
                  <c:v>101.80223687144807</c:v>
                </c:pt>
                <c:pt idx="11">
                  <c:v>344.52970729483155</c:v>
                </c:pt>
                <c:pt idx="12">
                  <c:v>9.8013491113165987</c:v>
                </c:pt>
                <c:pt idx="13">
                  <c:v>106.52988058560919</c:v>
                </c:pt>
                <c:pt idx="14">
                  <c:v>86.006343578795466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'Executivo '!$A$2:$A$17</c:f>
              <c:strCache>
                <c:ptCount val="16"/>
                <c:pt idx="0">
                  <c:v>GERENCIAMENTO TÉCNICO E ADMINISTRATIVO</c:v>
                </c:pt>
                <c:pt idx="1">
                  <c:v>MOVIMENTAÇÃO DE TERRA 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COBERTURA</c:v>
                </c:pt>
                <c:pt idx="14">
                  <c:v>REVESTIMENTOS E ACABAMENTOS DE FACHADA</c:v>
                </c:pt>
                <c:pt idx="15">
                  <c:v>SERVIÇOS COMPLEMENTARES</c:v>
                </c:pt>
              </c:strCache>
            </c:strRef>
          </c:cat>
          <c:val>
            <c:numRef>
              <c:f>'Executivo '!$C$2:$C$17</c:f>
              <c:numCache>
                <c:formatCode>0.00%</c:formatCode>
                <c:ptCount val="16"/>
                <c:pt idx="0">
                  <c:v>0.11027028901167224</c:v>
                </c:pt>
                <c:pt idx="1">
                  <c:v>7.0910229603031259E-3</c:v>
                </c:pt>
                <c:pt idx="2">
                  <c:v>2.0658455629126805E-2</c:v>
                </c:pt>
                <c:pt idx="3">
                  <c:v>0.22116901771792652</c:v>
                </c:pt>
                <c:pt idx="4">
                  <c:v>3.8299721686278439E-2</c:v>
                </c:pt>
                <c:pt idx="5">
                  <c:v>0.10922346224028325</c:v>
                </c:pt>
                <c:pt idx="6">
                  <c:v>5.4323936824896918E-2</c:v>
                </c:pt>
                <c:pt idx="7">
                  <c:v>2.1020292825460151E-2</c:v>
                </c:pt>
                <c:pt idx="8">
                  <c:v>6.4309334829060233E-2</c:v>
                </c:pt>
                <c:pt idx="9">
                  <c:v>2.7324093871455065E-2</c:v>
                </c:pt>
                <c:pt idx="10">
                  <c:v>6.3579520521716323E-2</c:v>
                </c:pt>
                <c:pt idx="11">
                  <c:v>3.8784773322320845E-2</c:v>
                </c:pt>
                <c:pt idx="12">
                  <c:v>0.13125945962375316</c:v>
                </c:pt>
                <c:pt idx="13">
                  <c:v>3.7341331115874708E-3</c:v>
                </c:pt>
                <c:pt idx="14">
                  <c:v>4.0585918321069496E-2</c:v>
                </c:pt>
                <c:pt idx="15">
                  <c:v>3.2766829516697814E-2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Auxiliar!$A$2:$A$17</c:f>
              <c:strCache>
                <c:ptCount val="16"/>
                <c:pt idx="0">
                  <c:v>CUB/SC</c:v>
                </c:pt>
                <c:pt idx="1">
                  <c:v>TOTAL</c:v>
                </c:pt>
                <c:pt idx="2">
                  <c:v>SUPRAESTRUTURA</c:v>
                </c:pt>
                <c:pt idx="3">
                  <c:v>GERENCIAMENTO TÉCNICO E ADMINISTRATIVO</c:v>
                </c:pt>
                <c:pt idx="4">
                  <c:v>ESQUADRIAS, VIDROS E FERRAGENS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INFRAESTRUTURA</c:v>
                </c:pt>
                <c:pt idx="8">
                  <c:v>ACABAMENTOS EM PISO E PAREDE</c:v>
                </c:pt>
                <c:pt idx="9">
                  <c:v>REVESTIMENTOS INTERNOS EM PISO E PAREDE</c:v>
                </c:pt>
                <c:pt idx="10">
                  <c:v>PINTURA INTERNA</c:v>
                </c:pt>
                <c:pt idx="11">
                  <c:v>ALVENARIA</c:v>
                </c:pt>
                <c:pt idx="12">
                  <c:v>REVESTIMENTOS E ACABAMENTOS DE FACHADA</c:v>
                </c:pt>
                <c:pt idx="13">
                  <c:v>SERVIÇOS COMPLEMENTARES</c:v>
                </c:pt>
                <c:pt idx="14">
                  <c:v>IMPERMEABILIZAÇÃO</c:v>
                </c:pt>
                <c:pt idx="15">
                  <c:v>REVESTIMENTOS E ACABAMENTOS INTERNOS EM TETO</c:v>
                </c:pt>
              </c:strCache>
            </c:strRef>
          </c:cat>
          <c:val>
            <c:numRef>
              <c:f>Auxiliar!$C$2:$C$17</c:f>
              <c:numCache>
                <c:formatCode>0%</c:formatCode>
                <c:ptCount val="16"/>
                <c:pt idx="0" formatCode="mmm\-yy">
                  <c:v>44562</c:v>
                </c:pt>
                <c:pt idx="1">
                  <c:v>0.99999999999999978</c:v>
                </c:pt>
                <c:pt idx="2" formatCode="0.00%">
                  <c:v>0.17960509279372877</c:v>
                </c:pt>
                <c:pt idx="3" formatCode="0.00%">
                  <c:v>0.10901792453332548</c:v>
                </c:pt>
                <c:pt idx="4" formatCode="0.00%">
                  <c:v>9.6193591466489037E-2</c:v>
                </c:pt>
                <c:pt idx="5" formatCode="0.00%">
                  <c:v>8.8148360175278467E-2</c:v>
                </c:pt>
                <c:pt idx="6" formatCode="0.00%">
                  <c:v>7.1320480819493062E-2</c:v>
                </c:pt>
                <c:pt idx="7" formatCode="0.00%">
                  <c:v>6.4241522229364093E-2</c:v>
                </c:pt>
                <c:pt idx="8" formatCode="0.00%">
                  <c:v>6.3017674610795438E-2</c:v>
                </c:pt>
                <c:pt idx="9" formatCode="0.00%">
                  <c:v>5.9709272388860202E-2</c:v>
                </c:pt>
                <c:pt idx="10" formatCode="0.00%">
                  <c:v>5.2110359072696566E-2</c:v>
                </c:pt>
                <c:pt idx="11" formatCode="0.00%">
                  <c:v>5.1293680865444294E-2</c:v>
                </c:pt>
                <c:pt idx="12" formatCode="0.00%">
                  <c:v>4.896629095663195E-2</c:v>
                </c:pt>
                <c:pt idx="13" formatCode="0.00%">
                  <c:v>4.6157083283405627E-2</c:v>
                </c:pt>
                <c:pt idx="14" formatCode="0.00%">
                  <c:v>2.4068399999250055E-2</c:v>
                </c:pt>
                <c:pt idx="15" formatCode="0.00%">
                  <c:v>2.1912841437919463E-2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4-42C2-8C41-58D8757BC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457198</xdr:colOff>
      <xdr:row>1</xdr:row>
      <xdr:rowOff>126274</xdr:rowOff>
    </xdr:from>
    <xdr:to>
      <xdr:col>21</xdr:col>
      <xdr:colOff>415636</xdr:colOff>
      <xdr:row>26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0.09607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87531" y="63460"/>
          <a:ext cx="3870711" cy="224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rPr>
            <a:t>COMPARATIVO OBRAS SIMILARES</a:t>
          </a:r>
          <a:endParaRPr lang="pt-BR" sz="1400">
            <a:effectLst/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  <a:p xmlns:a="http://schemas.openxmlformats.org/drawingml/2006/main">
          <a:endParaRPr lang="pt-BR" sz="1400"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21</xdr:row>
      <xdr:rowOff>57149</xdr:rowOff>
    </xdr:from>
    <xdr:to>
      <xdr:col>4</xdr:col>
      <xdr:colOff>952502</xdr:colOff>
      <xdr:row>48</xdr:row>
      <xdr:rowOff>43294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E6E583-9626-4801-9D5A-1CBBC9840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C2" zoomScaleNormal="100" workbookViewId="0">
      <selection activeCell="G22" sqref="G22"/>
    </sheetView>
  </sheetViews>
  <sheetFormatPr defaultColWidth="9.140625" defaultRowHeight="14.25" x14ac:dyDescent="0.2"/>
  <cols>
    <col min="1" max="1" width="66.28515625" style="1" bestFit="1" customWidth="1"/>
    <col min="2" max="2" width="22.28515625" style="11" customWidth="1"/>
    <col min="3" max="3" width="16.85546875" style="1" customWidth="1"/>
    <col min="4" max="4" width="23.85546875" style="12" bestFit="1" customWidth="1"/>
    <col min="5" max="5" width="13.42578125" style="1" bestFit="1" customWidth="1"/>
    <col min="6" max="6" width="12.28515625" style="1" bestFit="1" customWidth="1"/>
    <col min="7" max="16384" width="9.140625" style="1"/>
  </cols>
  <sheetData>
    <row r="1" spans="1:6" ht="15" x14ac:dyDescent="0.2">
      <c r="A1" s="73" t="s">
        <v>0</v>
      </c>
      <c r="B1" s="71" t="s">
        <v>36</v>
      </c>
      <c r="C1" s="72"/>
      <c r="D1" s="3" t="s">
        <v>11</v>
      </c>
      <c r="E1" s="2" t="s">
        <v>37</v>
      </c>
      <c r="F1" s="2" t="s">
        <v>38</v>
      </c>
    </row>
    <row r="2" spans="1:6" ht="15" x14ac:dyDescent="0.2">
      <c r="A2" s="74"/>
      <c r="B2" s="2" t="s">
        <v>22</v>
      </c>
      <c r="C2" s="3" t="s">
        <v>10</v>
      </c>
      <c r="D2" s="3" t="s">
        <v>10</v>
      </c>
      <c r="E2" s="3" t="s">
        <v>10</v>
      </c>
      <c r="F2" s="3" t="s">
        <v>10</v>
      </c>
    </row>
    <row r="3" spans="1:6" x14ac:dyDescent="0.2">
      <c r="A3" s="4" t="s">
        <v>1</v>
      </c>
      <c r="B3" s="5">
        <f>'Executivo '!B3</f>
        <v>131035.61</v>
      </c>
      <c r="C3" s="5">
        <f>'Executivo '!D3</f>
        <v>18.612510457814349</v>
      </c>
      <c r="D3" s="5" t="s">
        <v>46</v>
      </c>
      <c r="E3" s="5">
        <v>17.84</v>
      </c>
      <c r="F3" s="5">
        <v>18.670000000000002</v>
      </c>
    </row>
    <row r="4" spans="1:6" x14ac:dyDescent="0.2">
      <c r="A4" s="6" t="s">
        <v>2</v>
      </c>
      <c r="B4" s="7">
        <f>'Executivo '!B4</f>
        <v>381749.34</v>
      </c>
      <c r="C4" s="7">
        <f>'Executivo '!D4</f>
        <v>54.224295082945211</v>
      </c>
      <c r="D4" s="7" t="s">
        <v>39</v>
      </c>
      <c r="E4" s="7">
        <v>103.67</v>
      </c>
      <c r="F4" s="7">
        <v>89.63</v>
      </c>
    </row>
    <row r="5" spans="1:6" x14ac:dyDescent="0.2">
      <c r="A5" s="4" t="s">
        <v>3</v>
      </c>
      <c r="B5" s="5">
        <f>'Executivo '!B5</f>
        <v>4087000.89</v>
      </c>
      <c r="C5" s="5">
        <f>'Executivo '!D5</f>
        <v>580.52423159034061</v>
      </c>
      <c r="D5" s="5" t="s">
        <v>40</v>
      </c>
      <c r="E5" s="5">
        <v>404.78</v>
      </c>
      <c r="F5" s="5">
        <v>349.64</v>
      </c>
    </row>
    <row r="6" spans="1:6" x14ac:dyDescent="0.2">
      <c r="A6" s="6" t="s">
        <v>4</v>
      </c>
      <c r="B6" s="7">
        <f>'Executivo '!B6</f>
        <v>707743.78</v>
      </c>
      <c r="C6" s="7">
        <f>'Executivo '!D6</f>
        <v>100.52907378920172</v>
      </c>
      <c r="D6" s="7" t="s">
        <v>41</v>
      </c>
      <c r="E6" s="7">
        <v>57.21</v>
      </c>
      <c r="F6" s="7">
        <v>47.2</v>
      </c>
    </row>
    <row r="7" spans="1:6" x14ac:dyDescent="0.2">
      <c r="A7" s="4" t="s">
        <v>19</v>
      </c>
      <c r="B7" s="5">
        <f>'Executivo '!B7</f>
        <v>2018349.55</v>
      </c>
      <c r="C7" s="5">
        <f>'Executivo '!D7</f>
        <v>286.68964189886924</v>
      </c>
      <c r="D7" s="5" t="s">
        <v>26</v>
      </c>
      <c r="E7" s="5">
        <v>159.26</v>
      </c>
      <c r="F7" s="5">
        <v>156.61000000000001</v>
      </c>
    </row>
    <row r="8" spans="1:6" x14ac:dyDescent="0.2">
      <c r="A8" s="6" t="s">
        <v>16</v>
      </c>
      <c r="B8" s="7">
        <f>'Executivo '!B8</f>
        <v>1003856.6</v>
      </c>
      <c r="C8" s="7">
        <f>'Executivo '!D8</f>
        <v>142.58941875148255</v>
      </c>
      <c r="D8" s="7" t="s">
        <v>42</v>
      </c>
      <c r="E8" s="7">
        <v>156.1</v>
      </c>
      <c r="F8" s="7">
        <v>172.54</v>
      </c>
    </row>
    <row r="9" spans="1:6" x14ac:dyDescent="0.2">
      <c r="A9" s="4" t="s">
        <v>18</v>
      </c>
      <c r="B9" s="5">
        <f>'Executivo '!B9</f>
        <v>388435.76</v>
      </c>
      <c r="C9" s="5">
        <f>'Executivo '!D9</f>
        <v>55.174045018671379</v>
      </c>
      <c r="D9" s="5" t="s">
        <v>30</v>
      </c>
      <c r="E9" s="5">
        <v>64.42</v>
      </c>
      <c r="F9" s="5">
        <v>59.07</v>
      </c>
    </row>
    <row r="10" spans="1:6" x14ac:dyDescent="0.2">
      <c r="A10" s="6" t="s">
        <v>12</v>
      </c>
      <c r="B10" s="7">
        <f>'Executivo '!B10</f>
        <v>1188377.6100000001</v>
      </c>
      <c r="C10" s="7">
        <f>'Executivo '!D10</f>
        <v>168.7990821270449</v>
      </c>
      <c r="D10" s="7" t="s">
        <v>31</v>
      </c>
      <c r="E10" s="7">
        <v>114.58</v>
      </c>
      <c r="F10" s="7">
        <v>91.74</v>
      </c>
    </row>
    <row r="11" spans="1:6" x14ac:dyDescent="0.2">
      <c r="A11" s="4" t="s">
        <v>5</v>
      </c>
      <c r="B11" s="5">
        <f>'Executivo '!B11</f>
        <v>504924.23</v>
      </c>
      <c r="C11" s="5">
        <f>'Executivo '!D11</f>
        <v>71.720256129451059</v>
      </c>
      <c r="D11" s="5" t="s">
        <v>43</v>
      </c>
      <c r="E11" s="5">
        <v>46.59</v>
      </c>
      <c r="F11" s="5">
        <v>49.31</v>
      </c>
    </row>
    <row r="12" spans="1:6" x14ac:dyDescent="0.2">
      <c r="A12" s="6" t="s">
        <v>13</v>
      </c>
      <c r="B12" s="7">
        <f>'Executivo '!B12</f>
        <v>1174891.31</v>
      </c>
      <c r="C12" s="7">
        <f>'Executivo '!D12</f>
        <v>166.88346621326983</v>
      </c>
      <c r="D12" s="7" t="s">
        <v>25</v>
      </c>
      <c r="E12" s="7">
        <v>114.6</v>
      </c>
      <c r="F12" s="7">
        <v>112.56</v>
      </c>
    </row>
    <row r="13" spans="1:6" x14ac:dyDescent="0.2">
      <c r="A13" s="4" t="s">
        <v>6</v>
      </c>
      <c r="B13" s="5">
        <f>'Executivo '!B13</f>
        <v>716707.09</v>
      </c>
      <c r="C13" s="5">
        <f>'Executivo '!D13</f>
        <v>101.80223687144807</v>
      </c>
      <c r="D13" s="5" t="s">
        <v>41</v>
      </c>
      <c r="E13" s="5">
        <v>128.02000000000001</v>
      </c>
      <c r="F13" s="5">
        <v>118.36</v>
      </c>
    </row>
    <row r="14" spans="1:6" x14ac:dyDescent="0.2">
      <c r="A14" s="6" t="s">
        <v>17</v>
      </c>
      <c r="B14" s="7">
        <f>'Executivo '!B14</f>
        <v>2425554.6</v>
      </c>
      <c r="C14" s="7">
        <f>'Executivo '!D14</f>
        <v>344.52970729483155</v>
      </c>
      <c r="D14" s="7" t="s">
        <v>44</v>
      </c>
      <c r="E14" s="7">
        <v>256.91000000000003</v>
      </c>
      <c r="F14" s="7">
        <v>235.88</v>
      </c>
    </row>
    <row r="15" spans="1:6" x14ac:dyDescent="0.2">
      <c r="A15" s="4" t="s">
        <v>21</v>
      </c>
      <c r="B15" s="5">
        <f>'Executivo '!B15</f>
        <v>69003.360000000001</v>
      </c>
      <c r="C15" s="5">
        <f>'Executivo '!D15</f>
        <v>9.8013491113165987</v>
      </c>
      <c r="D15" s="5" t="s">
        <v>45</v>
      </c>
      <c r="E15" s="5">
        <v>17.829999999999998</v>
      </c>
      <c r="F15" s="5">
        <v>28.73</v>
      </c>
    </row>
    <row r="16" spans="1:6" x14ac:dyDescent="0.2">
      <c r="A16" s="6" t="s">
        <v>14</v>
      </c>
      <c r="B16" s="7">
        <f>'Executivo '!B16</f>
        <v>749990.6</v>
      </c>
      <c r="C16" s="7">
        <f>'Executivo '!D16</f>
        <v>106.52988058560919</v>
      </c>
      <c r="D16" s="7" t="s">
        <v>32</v>
      </c>
      <c r="E16" s="7">
        <v>87.63</v>
      </c>
      <c r="F16" s="7">
        <v>84.26</v>
      </c>
    </row>
    <row r="17" spans="1:6" x14ac:dyDescent="0.2">
      <c r="A17" s="4" t="s">
        <v>15</v>
      </c>
      <c r="B17" s="5">
        <f>'Executivo '!B17</f>
        <v>605501</v>
      </c>
      <c r="C17" s="5">
        <f>'Executivo '!D17</f>
        <v>86.006343578795466</v>
      </c>
      <c r="D17" s="5" t="s">
        <v>27</v>
      </c>
      <c r="E17" s="5">
        <v>111.54</v>
      </c>
      <c r="F17" s="5">
        <v>106.28</v>
      </c>
    </row>
    <row r="18" spans="1:6" ht="15.75" thickBot="1" x14ac:dyDescent="0.3">
      <c r="A18" s="8" t="s">
        <v>7</v>
      </c>
      <c r="B18" s="9">
        <f>SUM(B3:B17)</f>
        <v>16153121.329999998</v>
      </c>
      <c r="C18" s="10">
        <f>SUM(C3:C17)</f>
        <v>2294.4155385010918</v>
      </c>
      <c r="D18" s="10" t="s">
        <v>35</v>
      </c>
      <c r="E18" s="10"/>
      <c r="F18" s="9"/>
    </row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view="pageBreakPreview" topLeftCell="A19" zoomScale="115" zoomScaleNormal="115" zoomScaleSheetLayoutView="115" workbookViewId="0">
      <selection activeCell="B17" sqref="B17:B18"/>
    </sheetView>
  </sheetViews>
  <sheetFormatPr defaultColWidth="9.140625" defaultRowHeight="12.75" x14ac:dyDescent="0.25"/>
  <cols>
    <col min="1" max="1" width="64.42578125" style="16" bestFit="1" customWidth="1"/>
    <col min="2" max="2" width="20.140625" style="16" bestFit="1" customWidth="1"/>
    <col min="3" max="3" width="14.28515625" style="16" customWidth="1"/>
    <col min="4" max="4" width="15.140625" style="16" customWidth="1"/>
    <col min="5" max="5" width="23.140625" style="16" bestFit="1" customWidth="1"/>
    <col min="6" max="6" width="11.7109375" style="16" bestFit="1" customWidth="1"/>
    <col min="7" max="8" width="14.140625" style="16" bestFit="1" customWidth="1"/>
    <col min="9" max="9" width="9.140625" style="16" customWidth="1"/>
    <col min="10" max="16384" width="9.140625" style="16"/>
  </cols>
  <sheetData>
    <row r="1" spans="1:9" ht="22.5" customHeight="1" x14ac:dyDescent="0.25">
      <c r="A1" s="13" t="s">
        <v>0</v>
      </c>
      <c r="B1" s="14" t="s">
        <v>8</v>
      </c>
      <c r="C1" s="14" t="s">
        <v>9</v>
      </c>
      <c r="D1" s="14" t="s">
        <v>10</v>
      </c>
      <c r="E1" s="15" t="s">
        <v>33</v>
      </c>
    </row>
    <row r="2" spans="1:9" ht="17.25" customHeight="1" x14ac:dyDescent="0.25">
      <c r="A2" s="17" t="s">
        <v>34</v>
      </c>
      <c r="B2" s="18">
        <v>2037693.95</v>
      </c>
      <c r="C2" s="19">
        <f>B2/B$19</f>
        <v>0.11027028901167224</v>
      </c>
      <c r="D2" s="20">
        <f>B2/'Executivo '!H$10</f>
        <v>289.43735183283405</v>
      </c>
      <c r="E2" s="21">
        <f>B2/H$7</f>
        <v>42451.957291666666</v>
      </c>
      <c r="G2" s="22" t="s">
        <v>23</v>
      </c>
    </row>
    <row r="3" spans="1:9" ht="17.25" customHeight="1" x14ac:dyDescent="0.25">
      <c r="A3" s="23" t="s">
        <v>28</v>
      </c>
      <c r="B3" s="24">
        <v>131035.61</v>
      </c>
      <c r="C3" s="25">
        <f t="shared" ref="C3:C18" si="0">B3/B$19</f>
        <v>7.0910229603031259E-3</v>
      </c>
      <c r="D3" s="26">
        <f>B3/'Executivo '!H$10</f>
        <v>18.612510457814349</v>
      </c>
      <c r="E3" s="27">
        <f>B3/H$7</f>
        <v>2729.9085416666667</v>
      </c>
    </row>
    <row r="4" spans="1:9" ht="16.899999999999999" customHeight="1" x14ac:dyDescent="0.25">
      <c r="A4" s="28" t="s">
        <v>2</v>
      </c>
      <c r="B4" s="29">
        <v>381749.34</v>
      </c>
      <c r="C4" s="30">
        <f t="shared" si="0"/>
        <v>2.0658455629126805E-2</v>
      </c>
      <c r="D4" s="31">
        <f>B4/'Executivo '!H$10</f>
        <v>54.224295082945211</v>
      </c>
      <c r="E4" s="32">
        <f t="shared" ref="E4:E17" si="1">B4/H$7</f>
        <v>7953.1112500000008</v>
      </c>
      <c r="G4" s="47"/>
    </row>
    <row r="5" spans="1:9" ht="17.25" customHeight="1" x14ac:dyDescent="0.25">
      <c r="A5" s="23" t="s">
        <v>3</v>
      </c>
      <c r="B5" s="24">
        <v>4087000.89</v>
      </c>
      <c r="C5" s="25">
        <f t="shared" si="0"/>
        <v>0.22116901771792652</v>
      </c>
      <c r="D5" s="24">
        <f>B5/'Executivo '!H$10</f>
        <v>580.52423159034061</v>
      </c>
      <c r="E5" s="33">
        <f t="shared" si="1"/>
        <v>85145.851875000008</v>
      </c>
      <c r="G5" s="47"/>
    </row>
    <row r="6" spans="1:9" ht="17.25" customHeight="1" x14ac:dyDescent="0.25">
      <c r="A6" s="28" t="s">
        <v>4</v>
      </c>
      <c r="B6" s="29">
        <v>707743.78</v>
      </c>
      <c r="C6" s="30">
        <f t="shared" si="0"/>
        <v>3.8299721686278439E-2</v>
      </c>
      <c r="D6" s="31">
        <f>B6/'Executivo '!H$10</f>
        <v>100.52907378920172</v>
      </c>
      <c r="E6" s="32">
        <f t="shared" si="1"/>
        <v>14744.662083333335</v>
      </c>
      <c r="G6" s="47"/>
    </row>
    <row r="7" spans="1:9" ht="28.5" x14ac:dyDescent="0.25">
      <c r="A7" s="53" t="s">
        <v>19</v>
      </c>
      <c r="B7" s="24">
        <v>2018349.55</v>
      </c>
      <c r="C7" s="25">
        <f t="shared" si="0"/>
        <v>0.10922346224028325</v>
      </c>
      <c r="D7" s="24">
        <f>B7/'Executivo '!H$10</f>
        <v>286.68964189886924</v>
      </c>
      <c r="E7" s="33">
        <f>B7/H$7</f>
        <v>42048.948958333334</v>
      </c>
      <c r="G7" s="48"/>
      <c r="H7" s="16">
        <v>48</v>
      </c>
    </row>
    <row r="8" spans="1:9" ht="17.25" customHeight="1" x14ac:dyDescent="0.25">
      <c r="A8" s="28" t="s">
        <v>16</v>
      </c>
      <c r="B8" s="29">
        <f>868332+135524.6</f>
        <v>1003856.6</v>
      </c>
      <c r="C8" s="30">
        <f t="shared" si="0"/>
        <v>5.4323936824896918E-2</v>
      </c>
      <c r="D8" s="31">
        <f>B8/'Executivo '!H$10</f>
        <v>142.58941875148255</v>
      </c>
      <c r="E8" s="32">
        <f>B8/H$7</f>
        <v>20913.679166666665</v>
      </c>
      <c r="H8" s="34"/>
    </row>
    <row r="9" spans="1:9" ht="17.25" customHeight="1" x14ac:dyDescent="0.25">
      <c r="A9" s="23" t="s">
        <v>18</v>
      </c>
      <c r="B9" s="24">
        <v>388435.76</v>
      </c>
      <c r="C9" s="25">
        <f t="shared" si="0"/>
        <v>2.1020292825460151E-2</v>
      </c>
      <c r="D9" s="24">
        <f>B9/'Executivo '!H$10</f>
        <v>55.174045018671379</v>
      </c>
      <c r="E9" s="33">
        <f t="shared" si="1"/>
        <v>8092.4116666666669</v>
      </c>
      <c r="H9" s="34"/>
    </row>
    <row r="10" spans="1:9" ht="17.25" customHeight="1" x14ac:dyDescent="0.25">
      <c r="A10" s="28" t="s">
        <v>12</v>
      </c>
      <c r="B10" s="29">
        <v>1188377.6100000001</v>
      </c>
      <c r="C10" s="30">
        <f t="shared" si="0"/>
        <v>6.4309334829060233E-2</v>
      </c>
      <c r="D10" s="31">
        <f>B10/'Executivo '!H$10</f>
        <v>168.7990821270449</v>
      </c>
      <c r="E10" s="32">
        <f t="shared" si="1"/>
        <v>24757.866875000003</v>
      </c>
      <c r="H10" s="34">
        <v>7040.19</v>
      </c>
      <c r="I10" s="35" t="s">
        <v>12</v>
      </c>
    </row>
    <row r="11" spans="1:9" ht="17.25" customHeight="1" x14ac:dyDescent="0.25">
      <c r="A11" s="23" t="s">
        <v>5</v>
      </c>
      <c r="B11" s="24">
        <v>504924.23</v>
      </c>
      <c r="C11" s="25">
        <f t="shared" si="0"/>
        <v>2.7324093871455065E-2</v>
      </c>
      <c r="D11" s="24">
        <f>B11/'Executivo '!H$10</f>
        <v>71.720256129451059</v>
      </c>
      <c r="E11" s="33">
        <f t="shared" si="1"/>
        <v>10519.254791666666</v>
      </c>
      <c r="I11" s="36" t="s">
        <v>5</v>
      </c>
    </row>
    <row r="12" spans="1:9" ht="17.25" customHeight="1" x14ac:dyDescent="0.25">
      <c r="A12" s="28" t="s">
        <v>13</v>
      </c>
      <c r="B12" s="29">
        <v>1174891.31</v>
      </c>
      <c r="C12" s="30">
        <f t="shared" si="0"/>
        <v>6.3579520521716323E-2</v>
      </c>
      <c r="D12" s="31">
        <f>B12/'Executivo '!H$10</f>
        <v>166.88346621326983</v>
      </c>
      <c r="E12" s="32">
        <f t="shared" si="1"/>
        <v>24476.902291666669</v>
      </c>
      <c r="I12" s="35" t="s">
        <v>13</v>
      </c>
    </row>
    <row r="13" spans="1:9" ht="17.25" customHeight="1" x14ac:dyDescent="0.25">
      <c r="A13" s="23" t="s">
        <v>6</v>
      </c>
      <c r="B13" s="24">
        <v>716707.09</v>
      </c>
      <c r="C13" s="25">
        <f t="shared" si="0"/>
        <v>3.8784773322320845E-2</v>
      </c>
      <c r="D13" s="24">
        <f>B13/'Executivo '!H$10</f>
        <v>101.80223687144807</v>
      </c>
      <c r="E13" s="33">
        <f t="shared" si="1"/>
        <v>14931.397708333332</v>
      </c>
      <c r="I13" s="36" t="s">
        <v>6</v>
      </c>
    </row>
    <row r="14" spans="1:9" ht="17.25" customHeight="1" x14ac:dyDescent="0.25">
      <c r="A14" s="28" t="s">
        <v>17</v>
      </c>
      <c r="B14" s="29">
        <v>2425554.6</v>
      </c>
      <c r="C14" s="30">
        <f t="shared" si="0"/>
        <v>0.13125945962375316</v>
      </c>
      <c r="D14" s="31">
        <f>B14/'Executivo '!H$10</f>
        <v>344.52970729483155</v>
      </c>
      <c r="E14" s="32">
        <f t="shared" si="1"/>
        <v>50532.387500000004</v>
      </c>
      <c r="I14" s="35" t="s">
        <v>17</v>
      </c>
    </row>
    <row r="15" spans="1:9" ht="16.149999999999999" customHeight="1" x14ac:dyDescent="0.25">
      <c r="A15" s="23" t="s">
        <v>21</v>
      </c>
      <c r="B15" s="24">
        <v>69003.360000000001</v>
      </c>
      <c r="C15" s="25">
        <f t="shared" si="0"/>
        <v>3.7341331115874708E-3</v>
      </c>
      <c r="D15" s="24">
        <f>B15/'Executivo '!H$10</f>
        <v>9.8013491113165987</v>
      </c>
      <c r="E15" s="33">
        <f t="shared" ref="E15" si="2">B15/H$7</f>
        <v>1437.57</v>
      </c>
      <c r="I15" s="16" t="s">
        <v>21</v>
      </c>
    </row>
    <row r="16" spans="1:9" ht="17.25" customHeight="1" x14ac:dyDescent="0.25">
      <c r="A16" s="28" t="s">
        <v>14</v>
      </c>
      <c r="B16" s="29">
        <v>749990.6</v>
      </c>
      <c r="C16" s="30">
        <f t="shared" si="0"/>
        <v>4.0585918321069496E-2</v>
      </c>
      <c r="D16" s="31">
        <f>B16/'Executivo '!H$10</f>
        <v>106.52988058560919</v>
      </c>
      <c r="E16" s="32">
        <f t="shared" si="1"/>
        <v>15624.804166666667</v>
      </c>
      <c r="G16" s="45"/>
      <c r="I16" s="35" t="s">
        <v>21</v>
      </c>
    </row>
    <row r="17" spans="1:9" ht="16.149999999999999" customHeight="1" x14ac:dyDescent="0.25">
      <c r="A17" s="23" t="s">
        <v>15</v>
      </c>
      <c r="B17" s="24">
        <v>605501</v>
      </c>
      <c r="C17" s="25">
        <f t="shared" si="0"/>
        <v>3.2766829516697814E-2</v>
      </c>
      <c r="D17" s="24">
        <f>B17/'Executivo '!H$10</f>
        <v>86.006343578795466</v>
      </c>
      <c r="E17" s="33">
        <f t="shared" si="1"/>
        <v>12614.604166666666</v>
      </c>
      <c r="G17" s="45"/>
      <c r="I17" s="16" t="s">
        <v>14</v>
      </c>
    </row>
    <row r="18" spans="1:9" ht="17.25" customHeight="1" x14ac:dyDescent="0.25">
      <c r="A18" s="28" t="s">
        <v>24</v>
      </c>
      <c r="B18" s="29">
        <v>288268.87098383997</v>
      </c>
      <c r="C18" s="30">
        <f t="shared" si="0"/>
        <v>1.5599737986392161E-2</v>
      </c>
      <c r="D18" s="31">
        <f>B18/'Executivo '!H$10</f>
        <v>40.94617772870334</v>
      </c>
      <c r="E18" s="32">
        <f t="shared" ref="E18" si="3">B18/H$7</f>
        <v>6005.601478829999</v>
      </c>
      <c r="G18" s="46"/>
      <c r="H18" s="50"/>
      <c r="I18" s="35" t="s">
        <v>14</v>
      </c>
    </row>
    <row r="19" spans="1:9" ht="22.15" customHeight="1" x14ac:dyDescent="0.25">
      <c r="A19" s="37" t="s">
        <v>7</v>
      </c>
      <c r="B19" s="38">
        <f>SUM(B2:B18)</f>
        <v>18479084.15098384</v>
      </c>
      <c r="C19" s="49">
        <f t="shared" ref="C19:D19" si="4">SUM(C2:C18)</f>
        <v>1</v>
      </c>
      <c r="D19" s="38">
        <f t="shared" si="4"/>
        <v>2624.7990680626294</v>
      </c>
      <c r="E19" s="39">
        <f>SUM(E2:E18)</f>
        <v>384980.91981216334</v>
      </c>
      <c r="G19" s="46"/>
      <c r="H19" s="52"/>
    </row>
    <row r="20" spans="1:9" ht="22.5" customHeight="1" thickBot="1" x14ac:dyDescent="0.3">
      <c r="A20" s="40" t="s">
        <v>29</v>
      </c>
      <c r="B20" s="41">
        <v>2438.5100000000002</v>
      </c>
      <c r="C20" s="42">
        <v>44562</v>
      </c>
      <c r="D20" s="43">
        <f>+D19/B20</f>
        <v>1.0763946295330464</v>
      </c>
      <c r="E20" s="44" t="s">
        <v>20</v>
      </c>
      <c r="H20" s="51"/>
    </row>
    <row r="21" spans="1:9" ht="15" customHeight="1" x14ac:dyDescent="0.25">
      <c r="G21" s="45"/>
      <c r="H21" s="46"/>
    </row>
    <row r="22" spans="1:9" x14ac:dyDescent="0.25">
      <c r="B22" s="46"/>
    </row>
    <row r="23" spans="1:9" x14ac:dyDescent="0.25">
      <c r="G23" s="46"/>
    </row>
    <row r="24" spans="1:9" x14ac:dyDescent="0.25">
      <c r="G24" s="46"/>
    </row>
    <row r="25" spans="1:9" x14ac:dyDescent="0.25">
      <c r="F25" s="46"/>
    </row>
    <row r="26" spans="1:9" x14ac:dyDescent="0.25">
      <c r="G26" s="46"/>
    </row>
  </sheetData>
  <pageMargins left="0.511811024" right="0.511811024" top="0.78740157499999996" bottom="0.78740157499999996" header="0.31496062000000002" footer="0.31496062000000002"/>
  <pageSetup paperSize="9" scale="67" orientation="portrait" horizontalDpi="360" verticalDpi="360" r:id="rId1"/>
  <colBreaks count="1" manualBreakCount="1">
    <brk id="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748F-B496-4BD4-902E-C98452FF8EE8}">
  <dimension ref="A1:I26"/>
  <sheetViews>
    <sheetView view="pageBreakPreview" zoomScale="70" zoomScaleNormal="115" zoomScaleSheetLayoutView="70" workbookViewId="0">
      <selection activeCell="A7" sqref="A7"/>
    </sheetView>
  </sheetViews>
  <sheetFormatPr defaultColWidth="9.140625" defaultRowHeight="12.75" x14ac:dyDescent="0.25"/>
  <cols>
    <col min="1" max="1" width="64.42578125" style="16" bestFit="1" customWidth="1"/>
    <col min="2" max="2" width="20.140625" style="16" bestFit="1" customWidth="1"/>
    <col min="3" max="3" width="14.28515625" style="16" customWidth="1"/>
    <col min="4" max="4" width="15.140625" style="16" customWidth="1"/>
    <col min="5" max="5" width="23.140625" style="16" bestFit="1" customWidth="1"/>
    <col min="6" max="6" width="11.7109375" style="16" bestFit="1" customWidth="1"/>
    <col min="7" max="8" width="14.140625" style="16" bestFit="1" customWidth="1"/>
    <col min="9" max="9" width="9.140625" style="16" customWidth="1"/>
    <col min="10" max="16384" width="9.140625" style="16"/>
  </cols>
  <sheetData>
    <row r="1" spans="1:9" ht="22.5" customHeight="1" x14ac:dyDescent="0.25">
      <c r="A1" s="13" t="s">
        <v>0</v>
      </c>
      <c r="B1" s="14" t="s">
        <v>8</v>
      </c>
      <c r="C1" s="14" t="s">
        <v>9</v>
      </c>
      <c r="D1" s="14" t="s">
        <v>10</v>
      </c>
      <c r="E1" s="15" t="s">
        <v>33</v>
      </c>
    </row>
    <row r="2" spans="1:9" ht="17.25" customHeight="1" x14ac:dyDescent="0.25">
      <c r="A2" s="54" t="s">
        <v>29</v>
      </c>
      <c r="B2" s="58">
        <v>2428.1</v>
      </c>
      <c r="C2" s="62">
        <v>44562</v>
      </c>
      <c r="D2" s="58">
        <v>1.0837748290079265</v>
      </c>
      <c r="E2" s="67" t="s">
        <v>20</v>
      </c>
      <c r="G2" s="22" t="s">
        <v>23</v>
      </c>
    </row>
    <row r="3" spans="1:9" ht="17.25" customHeight="1" x14ac:dyDescent="0.25">
      <c r="A3" s="56" t="s">
        <v>7</v>
      </c>
      <c r="B3" s="60">
        <v>11417532.532638751</v>
      </c>
      <c r="C3" s="64">
        <v>0.99999999999999978</v>
      </c>
      <c r="D3" s="60">
        <v>2631.5136623141461</v>
      </c>
      <c r="E3" s="69">
        <v>248207.2289704076</v>
      </c>
    </row>
    <row r="4" spans="1:9" ht="16.899999999999999" customHeight="1" x14ac:dyDescent="0.25">
      <c r="A4" s="23" t="s">
        <v>3</v>
      </c>
      <c r="B4" s="24">
        <v>2050646.99</v>
      </c>
      <c r="C4" s="25">
        <v>0.17960509279372877</v>
      </c>
      <c r="D4" s="24">
        <v>472.63325550789733</v>
      </c>
      <c r="E4" s="33">
        <v>44579.282391304347</v>
      </c>
      <c r="G4" s="47"/>
    </row>
    <row r="5" spans="1:9" ht="17.25" customHeight="1" x14ac:dyDescent="0.25">
      <c r="A5" s="28" t="s">
        <v>34</v>
      </c>
      <c r="B5" s="29">
        <v>1244715.7</v>
      </c>
      <c r="C5" s="30">
        <v>0.10901792453332548</v>
      </c>
      <c r="D5" s="31">
        <v>286.88215784657859</v>
      </c>
      <c r="E5" s="32">
        <v>27059.036956521737</v>
      </c>
      <c r="G5" s="47"/>
    </row>
    <row r="6" spans="1:9" ht="17.25" customHeight="1" x14ac:dyDescent="0.25">
      <c r="A6" s="28" t="s">
        <v>17</v>
      </c>
      <c r="B6" s="29">
        <v>1098293.46</v>
      </c>
      <c r="C6" s="30">
        <v>9.6193591466489037E-2</v>
      </c>
      <c r="D6" s="31">
        <v>253.13475017113143</v>
      </c>
      <c r="E6" s="32">
        <v>23875.944782608694</v>
      </c>
      <c r="G6" s="47"/>
    </row>
    <row r="7" spans="1:9" ht="28.5" x14ac:dyDescent="0.25">
      <c r="A7" s="53" t="s">
        <v>19</v>
      </c>
      <c r="B7" s="24">
        <v>1006436.77</v>
      </c>
      <c r="C7" s="25">
        <v>8.8148360175278467E-2</v>
      </c>
      <c r="D7" s="24">
        <v>231.96361411183352</v>
      </c>
      <c r="E7" s="33">
        <v>21879.060217391303</v>
      </c>
      <c r="G7" s="48"/>
      <c r="H7" s="16">
        <v>46</v>
      </c>
    </row>
    <row r="8" spans="1:9" ht="17.25" customHeight="1" x14ac:dyDescent="0.25">
      <c r="A8" s="28" t="s">
        <v>16</v>
      </c>
      <c r="B8" s="29">
        <v>814303.91</v>
      </c>
      <c r="C8" s="30">
        <v>7.1320480819493062E-2</v>
      </c>
      <c r="D8" s="31">
        <v>187.68081967931002</v>
      </c>
      <c r="E8" s="32">
        <v>17702.258913043479</v>
      </c>
    </row>
    <row r="9" spans="1:9" ht="17.25" customHeight="1" x14ac:dyDescent="0.25">
      <c r="A9" s="28" t="s">
        <v>2</v>
      </c>
      <c r="B9" s="29">
        <v>733479.67</v>
      </c>
      <c r="C9" s="30">
        <v>6.4241522229364093E-2</v>
      </c>
      <c r="D9" s="31">
        <v>169.05244343442956</v>
      </c>
      <c r="E9" s="32">
        <v>15945.210217391304</v>
      </c>
      <c r="H9" s="34">
        <v>4338.7700000000004</v>
      </c>
    </row>
    <row r="10" spans="1:9" ht="17.25" customHeight="1" x14ac:dyDescent="0.25">
      <c r="A10" s="28" t="s">
        <v>13</v>
      </c>
      <c r="B10" s="29">
        <v>719506.35</v>
      </c>
      <c r="C10" s="30">
        <v>6.3017674610795438E-2</v>
      </c>
      <c r="D10" s="31">
        <v>165.83187170557551</v>
      </c>
      <c r="E10" s="32">
        <v>15641.442391304347</v>
      </c>
      <c r="H10" s="34">
        <v>6988.43</v>
      </c>
      <c r="I10" s="35" t="s">
        <v>12</v>
      </c>
    </row>
    <row r="11" spans="1:9" ht="17.25" customHeight="1" x14ac:dyDescent="0.25">
      <c r="A11" s="28" t="s">
        <v>12</v>
      </c>
      <c r="B11" s="29">
        <v>681732.56</v>
      </c>
      <c r="C11" s="30">
        <v>5.9709272388860202E-2</v>
      </c>
      <c r="D11" s="31">
        <v>157.12576605812245</v>
      </c>
      <c r="E11" s="32">
        <v>14820.273043478262</v>
      </c>
      <c r="I11" s="36" t="s">
        <v>5</v>
      </c>
    </row>
    <row r="12" spans="1:9" ht="17.25" customHeight="1" x14ac:dyDescent="0.25">
      <c r="A12" s="23" t="s">
        <v>6</v>
      </c>
      <c r="B12" s="24">
        <v>594971.72</v>
      </c>
      <c r="C12" s="25">
        <v>5.2110359072696566E-2</v>
      </c>
      <c r="D12" s="24">
        <v>137.12912184789695</v>
      </c>
      <c r="E12" s="33">
        <v>12934.167826086956</v>
      </c>
      <c r="I12" s="35" t="s">
        <v>13</v>
      </c>
    </row>
    <row r="13" spans="1:9" ht="17.25" customHeight="1" x14ac:dyDescent="0.25">
      <c r="A13" s="28" t="s">
        <v>4</v>
      </c>
      <c r="B13" s="29">
        <v>585647.27</v>
      </c>
      <c r="C13" s="30">
        <v>5.1293680865444294E-2</v>
      </c>
      <c r="D13" s="31">
        <v>134.98002198779838</v>
      </c>
      <c r="E13" s="32">
        <v>12731.462391304349</v>
      </c>
      <c r="I13" s="36" t="s">
        <v>6</v>
      </c>
    </row>
    <row r="14" spans="1:9" ht="17.25" customHeight="1" x14ac:dyDescent="0.25">
      <c r="A14" s="28" t="s">
        <v>14</v>
      </c>
      <c r="B14" s="29">
        <v>559074.22</v>
      </c>
      <c r="C14" s="30">
        <v>4.896629095663195E-2</v>
      </c>
      <c r="D14" s="31">
        <v>128.85546364522662</v>
      </c>
      <c r="E14" s="32">
        <v>12153.787391304348</v>
      </c>
      <c r="I14" s="35" t="s">
        <v>17</v>
      </c>
    </row>
    <row r="15" spans="1:9" ht="16.149999999999999" customHeight="1" x14ac:dyDescent="0.25">
      <c r="A15" s="23" t="s">
        <v>15</v>
      </c>
      <c r="B15" s="24">
        <v>527000</v>
      </c>
      <c r="C15" s="25">
        <v>4.6157083283405627E-2</v>
      </c>
      <c r="D15" s="24">
        <v>121.46299527285382</v>
      </c>
      <c r="E15" s="33">
        <v>11456.521739130434</v>
      </c>
      <c r="I15" s="16" t="s">
        <v>21</v>
      </c>
    </row>
    <row r="16" spans="1:9" ht="17.25" customHeight="1" x14ac:dyDescent="0.25">
      <c r="A16" s="23" t="s">
        <v>18</v>
      </c>
      <c r="B16" s="24">
        <v>274801.74</v>
      </c>
      <c r="C16" s="25">
        <v>2.4068399999250055E-2</v>
      </c>
      <c r="D16" s="24">
        <v>63.336323428068312</v>
      </c>
      <c r="E16" s="33">
        <v>5973.9508695652175</v>
      </c>
      <c r="I16" s="35" t="s">
        <v>21</v>
      </c>
    </row>
    <row r="17" spans="1:9" ht="16.149999999999999" customHeight="1" x14ac:dyDescent="0.25">
      <c r="A17" s="23" t="s">
        <v>5</v>
      </c>
      <c r="B17" s="24">
        <v>250190.58</v>
      </c>
      <c r="C17" s="25">
        <v>2.1912841437919463E-2</v>
      </c>
      <c r="D17" s="24">
        <v>57.663941624008636</v>
      </c>
      <c r="E17" s="33">
        <v>5438.9256521739126</v>
      </c>
      <c r="I17" s="16" t="s">
        <v>14</v>
      </c>
    </row>
    <row r="18" spans="1:9" ht="17.25" customHeight="1" x14ac:dyDescent="0.25">
      <c r="A18" s="28" t="s">
        <v>24</v>
      </c>
      <c r="B18" s="29">
        <v>171293.81263875001</v>
      </c>
      <c r="C18" s="30">
        <v>1.5002699764513973E-2</v>
      </c>
      <c r="D18" s="31">
        <v>39.479809401915752</v>
      </c>
      <c r="E18" s="32">
        <v>3723.7785356250001</v>
      </c>
      <c r="H18" s="50"/>
      <c r="I18" s="35" t="s">
        <v>14</v>
      </c>
    </row>
    <row r="19" spans="1:9" ht="22.15" customHeight="1" x14ac:dyDescent="0.25">
      <c r="A19" s="57" t="s">
        <v>21</v>
      </c>
      <c r="B19" s="61">
        <v>86734.73</v>
      </c>
      <c r="C19" s="65">
        <v>7.5966264823030365E-3</v>
      </c>
      <c r="D19" s="61">
        <v>19.990626375677895</v>
      </c>
      <c r="E19" s="70">
        <v>1885.5376086956521</v>
      </c>
      <c r="G19" s="46"/>
      <c r="H19" s="52"/>
    </row>
    <row r="20" spans="1:9" ht="22.5" customHeight="1" thickBot="1" x14ac:dyDescent="0.3">
      <c r="A20" s="55" t="s">
        <v>28</v>
      </c>
      <c r="B20" s="59">
        <v>18703.05</v>
      </c>
      <c r="C20" s="63">
        <v>1.6380991205003786E-3</v>
      </c>
      <c r="D20" s="66">
        <v>4.3106802158215345</v>
      </c>
      <c r="E20" s="68">
        <v>406.58804347826083</v>
      </c>
      <c r="H20" s="51"/>
    </row>
    <row r="21" spans="1:9" ht="15" customHeight="1" x14ac:dyDescent="0.25">
      <c r="G21" s="45"/>
      <c r="H21" s="46"/>
    </row>
    <row r="22" spans="1:9" x14ac:dyDescent="0.25">
      <c r="B22" s="46"/>
    </row>
    <row r="23" spans="1:9" x14ac:dyDescent="0.25">
      <c r="G23" s="46"/>
    </row>
    <row r="24" spans="1:9" x14ac:dyDescent="0.25">
      <c r="G24" s="46"/>
    </row>
    <row r="25" spans="1:9" x14ac:dyDescent="0.25">
      <c r="F25" s="46"/>
    </row>
    <row r="26" spans="1:9" x14ac:dyDescent="0.25">
      <c r="G26" s="46"/>
    </row>
  </sheetData>
  <autoFilter ref="A1:E1" xr:uid="{0C62B01A-EC44-4540-B0E9-B033075F3363}">
    <sortState xmlns:xlrd2="http://schemas.microsoft.com/office/spreadsheetml/2017/richdata2" ref="A2:E20">
      <sortCondition descending="1" ref="C1"/>
    </sortState>
  </autoFilter>
  <pageMargins left="0.511811024" right="0.511811024" top="0.78740157499999996" bottom="0.78740157499999996" header="0.31496062000000002" footer="0.31496062000000002"/>
  <pageSetup paperSize="9" scale="67" orientation="portrait" horizontalDpi="360" verticalDpi="360" r:id="rId1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 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Thais Ribeiro da Silva</cp:lastModifiedBy>
  <cp:lastPrinted>2022-01-25T18:59:24Z</cp:lastPrinted>
  <dcterms:created xsi:type="dcterms:W3CDTF">2021-06-30T18:49:34Z</dcterms:created>
  <dcterms:modified xsi:type="dcterms:W3CDTF">2022-12-21T14:35:13Z</dcterms:modified>
</cp:coreProperties>
</file>