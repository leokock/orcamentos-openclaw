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Paludo - 04.2021\Volo Home\03. Custo\03.5 Custo - Determinação do orçamento\01 - Apresentação\"/>
    </mc:Choice>
  </mc:AlternateContent>
  <xr:revisionPtr revIDLastSave="0" documentId="13_ncr:1_{78977EF4-51D6-4D87-B42F-4E747DDF4A67}" xr6:coauthVersionLast="47" xr6:coauthVersionMax="47" xr10:uidLastSave="{00000000-0000-0000-0000-000000000000}"/>
  <bookViews>
    <workbookView xWindow="11424" yWindow="0" windowWidth="11712" windowHeight="12336" firstSheet="2" activeTab="2" xr2:uid="{00000000-000D-0000-FFFF-FFFF00000000}"/>
  </bookViews>
  <sheets>
    <sheet name="INSUMOS" sheetId="7" r:id="rId1"/>
    <sheet name="ABC" sheetId="6" r:id="rId2"/>
    <sheet name="ORÇAMENTO_EXECUTIVO" sheetId="2" r:id="rId3"/>
    <sheet name="ANÁLISE_CUSTOS" sheetId="1" r:id="rId4"/>
    <sheet name="CÁLCULO_MÉDIAS" sheetId="5" r:id="rId5"/>
  </sheets>
  <definedNames>
    <definedName name="_xlnm._FilterDatabase" localSheetId="0" hidden="1">INSUMOS!$A$1:$O$1</definedName>
  </definedNames>
  <calcPr calcId="191029"/>
</workbook>
</file>

<file path=xl/calcChain.xml><?xml version="1.0" encoding="utf-8"?>
<calcChain xmlns="http://schemas.openxmlformats.org/spreadsheetml/2006/main">
  <c r="K4" i="1" l="1"/>
  <c r="K3" i="1"/>
  <c r="D14" i="2" l="1"/>
  <c r="L20" i="1" l="1"/>
  <c r="B3" i="1" l="1"/>
  <c r="H10" i="5"/>
  <c r="H9" i="5"/>
  <c r="H8" i="5"/>
  <c r="D25" i="5"/>
  <c r="C26" i="5"/>
  <c r="A20" i="1"/>
  <c r="F25" i="5"/>
  <c r="H25" i="5"/>
  <c r="D20" i="1" s="1"/>
  <c r="J25" i="5"/>
  <c r="F9" i="5"/>
  <c r="J9" i="5"/>
  <c r="B4" i="1"/>
  <c r="D3" i="2"/>
  <c r="C4" i="1" s="1"/>
  <c r="D9" i="5" l="1"/>
  <c r="D4" i="1" s="1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8" i="5"/>
  <c r="J26" i="5" s="1"/>
  <c r="H11" i="5"/>
  <c r="H12" i="5"/>
  <c r="D7" i="1" s="1"/>
  <c r="H13" i="5"/>
  <c r="H14" i="5"/>
  <c r="D9" i="1" s="1"/>
  <c r="H15" i="5"/>
  <c r="H16" i="5"/>
  <c r="L16" i="5" s="1"/>
  <c r="D11" i="1" s="1"/>
  <c r="H17" i="5"/>
  <c r="D12" i="1" s="1"/>
  <c r="H18" i="5"/>
  <c r="D13" i="1" s="1"/>
  <c r="H19" i="5"/>
  <c r="H20" i="5"/>
  <c r="D15" i="1" s="1"/>
  <c r="H21" i="5"/>
  <c r="H22" i="5"/>
  <c r="D17" i="1" s="1"/>
  <c r="H23" i="5"/>
  <c r="H24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D19" i="1" s="1"/>
  <c r="F8" i="5"/>
  <c r="D3" i="1" s="1"/>
  <c r="D10" i="5"/>
  <c r="D5" i="1" s="1"/>
  <c r="D11" i="5"/>
  <c r="D12" i="5"/>
  <c r="D13" i="5"/>
  <c r="D14" i="5"/>
  <c r="D15" i="5"/>
  <c r="D10" i="1" s="1"/>
  <c r="D16" i="5"/>
  <c r="D17" i="5"/>
  <c r="D18" i="5"/>
  <c r="D19" i="5"/>
  <c r="D20" i="5"/>
  <c r="D21" i="5"/>
  <c r="D22" i="5"/>
  <c r="D23" i="5"/>
  <c r="D24" i="5"/>
  <c r="D8" i="5"/>
  <c r="D21" i="1"/>
  <c r="E26" i="5"/>
  <c r="G26" i="5"/>
  <c r="I26" i="5"/>
  <c r="B6" i="1"/>
  <c r="B7" i="1"/>
  <c r="B8" i="1"/>
  <c r="B9" i="1"/>
  <c r="B10" i="1"/>
  <c r="B11" i="1"/>
  <c r="B13" i="1"/>
  <c r="B14" i="1"/>
  <c r="B16" i="1"/>
  <c r="B17" i="1"/>
  <c r="B18" i="1"/>
  <c r="B5" i="1"/>
  <c r="D4" i="2"/>
  <c r="C5" i="1" s="1"/>
  <c r="K5" i="1" s="1"/>
  <c r="D5" i="2"/>
  <c r="C6" i="1" s="1"/>
  <c r="K6" i="1" s="1"/>
  <c r="D6" i="2"/>
  <c r="C7" i="1" s="1"/>
  <c r="K7" i="1" s="1"/>
  <c r="D7" i="2"/>
  <c r="C8" i="1" s="1"/>
  <c r="K8" i="1" s="1"/>
  <c r="D8" i="2"/>
  <c r="C9" i="1" s="1"/>
  <c r="K9" i="1" s="1"/>
  <c r="D9" i="2"/>
  <c r="C10" i="1" s="1"/>
  <c r="K10" i="1" s="1"/>
  <c r="D10" i="2"/>
  <c r="C11" i="1" s="1"/>
  <c r="K11" i="1" s="1"/>
  <c r="D11" i="2"/>
  <c r="C12" i="1" s="1"/>
  <c r="K12" i="1" s="1"/>
  <c r="D12" i="2"/>
  <c r="C13" i="1" s="1"/>
  <c r="K13" i="1" s="1"/>
  <c r="D13" i="2"/>
  <c r="C14" i="1" s="1"/>
  <c r="K14" i="1" s="1"/>
  <c r="C15" i="1"/>
  <c r="K15" i="1" s="1"/>
  <c r="D15" i="2"/>
  <c r="C16" i="1" s="1"/>
  <c r="K16" i="1" s="1"/>
  <c r="D16" i="2"/>
  <c r="C17" i="1" s="1"/>
  <c r="K17" i="1" s="1"/>
  <c r="D17" i="2"/>
  <c r="C18" i="1" s="1"/>
  <c r="K18" i="1" s="1"/>
  <c r="D2" i="2"/>
  <c r="C3" i="1" s="1"/>
  <c r="D8" i="1" l="1"/>
  <c r="D14" i="1"/>
  <c r="D18" i="1"/>
  <c r="D16" i="1"/>
  <c r="H26" i="5"/>
  <c r="D6" i="1"/>
  <c r="D26" i="5"/>
  <c r="F26" i="5"/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5" i="1"/>
  <c r="B27" i="1" l="1"/>
  <c r="D18" i="2" l="1"/>
  <c r="B19" i="1"/>
  <c r="B21" i="1" s="1"/>
  <c r="B20" i="1" l="1"/>
  <c r="B20" i="2"/>
  <c r="C5" i="2" s="1"/>
  <c r="F22" i="1"/>
  <c r="C6" i="2"/>
  <c r="D19" i="2"/>
  <c r="C20" i="1" s="1"/>
  <c r="C19" i="1"/>
  <c r="C10" i="2" l="1"/>
  <c r="C8" i="2"/>
  <c r="C16" i="2"/>
  <c r="C21" i="1"/>
  <c r="K19" i="1"/>
  <c r="K20" i="1" s="1"/>
  <c r="C18" i="2"/>
  <c r="C14" i="2"/>
  <c r="C13" i="2"/>
  <c r="C15" i="2"/>
  <c r="C4" i="2"/>
  <c r="C7" i="2"/>
  <c r="C17" i="2"/>
  <c r="C12" i="2"/>
  <c r="C3" i="2"/>
  <c r="C19" i="2"/>
  <c r="C11" i="2"/>
  <c r="C2" i="2"/>
  <c r="C9" i="2"/>
  <c r="D20" i="2"/>
  <c r="D21" i="2" s="1"/>
  <c r="C20" i="2" l="1"/>
</calcChain>
</file>

<file path=xl/sharedStrings.xml><?xml version="1.0" encoding="utf-8"?>
<sst xmlns="http://schemas.openxmlformats.org/spreadsheetml/2006/main" count="1345" uniqueCount="301">
  <si>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</si>
  <si>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</si>
  <si>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</si>
  <si>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</si>
  <si>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</si>
  <si>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</si>
  <si>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</si>
  <si>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</si>
  <si>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</si>
  <si>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</si>
  <si>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</si>
  <si>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</si>
  <si>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</si>
  <si>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</si>
  <si>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</si>
  <si>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</si>
  <si>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</si>
  <si>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</si>
  <si>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</si>
  <si>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</si>
  <si>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</si>
  <si>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</si>
  <si>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</si>
  <si>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</si>
  <si>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</si>
  <si>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</si>
  <si>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</si>
  <si>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</si>
  <si>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</si>
  <si>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</si>
  <si>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</si>
  <si>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</si>
  <si>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</si>
  <si>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</si>
  <si>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</si>
  <si>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</si>
  <si>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</si>
  <si>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</si>
  <si>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</si>
  <si>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</si>
  <si>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</si>
  <si>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GERENCIAMENTO TECNICO E ADMINISTRATIVO</t>
  </si>
  <si>
    <t>OBRA4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</si>
  <si>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</si>
  <si>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</si>
  <si>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</si>
  <si>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</si>
  <si>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</si>
  <si>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</si>
  <si>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</si>
  <si>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</si>
  <si>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</si>
  <si>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OBRA</t>
  </si>
  <si>
    <t>EMPREITADA GLOBAL</t>
  </si>
  <si>
    <t>BARBADOS</t>
  </si>
  <si>
    <t>NASSAU</t>
  </si>
  <si>
    <t>VOLO OCEAN</t>
  </si>
  <si>
    <t>CUB/RS</t>
  </si>
  <si>
    <t>B</t>
  </si>
  <si>
    <t>OK</t>
  </si>
  <si>
    <t>A</t>
  </si>
  <si>
    <t>BB</t>
  </si>
  <si>
    <t>SIENGE / SOFTPLAN</t>
  </si>
  <si>
    <t>06/12/2023 - 09:13:43</t>
  </si>
  <si>
    <t>Total da obra</t>
  </si>
  <si>
    <t>vb</t>
  </si>
  <si>
    <t>INSTALAÇÕES DE SPDA - MATERIAL E MÃO DE OBRA *</t>
  </si>
  <si>
    <t>Preço total</t>
  </si>
  <si>
    <t>Preço unitário</t>
  </si>
  <si>
    <t>Quantidade</t>
  </si>
  <si>
    <t>Un.</t>
  </si>
  <si>
    <t>Descrição</t>
  </si>
  <si>
    <t>Código</t>
  </si>
  <si>
    <t>02.045 - Para Raio</t>
  </si>
  <si>
    <t>%Acum.</t>
  </si>
  <si>
    <t>%Part.</t>
  </si>
  <si>
    <t>Família</t>
  </si>
  <si>
    <t>h</t>
  </si>
  <si>
    <t>Azulejista *</t>
  </si>
  <si>
    <t>Servente *</t>
  </si>
  <si>
    <t>01.001 - Mão de Obra Própria</t>
  </si>
  <si>
    <t>kg</t>
  </si>
  <si>
    <t>Prego 15x15 *</t>
  </si>
  <si>
    <t>Prego 17x27 - cabeça dupla *</t>
  </si>
  <si>
    <t>PREGO 15X18 - CABEÇA SIMPLES *</t>
  </si>
  <si>
    <t>PREGO 22X48 - CABEÇA SIMPLES *</t>
  </si>
  <si>
    <t>PREGO 17X24 - CABEÇA SIMPLES *</t>
  </si>
  <si>
    <t>02.028 - Material Metalúrgico</t>
  </si>
  <si>
    <t>AUTOMAÇÃO E SISTEMAS LÓGICOS E TELECOMUNICAÇÃO*</t>
  </si>
  <si>
    <t>02.062 - Equipamentos de Som e Automação</t>
  </si>
  <si>
    <t>un</t>
  </si>
  <si>
    <t>Bucha T para Rodapé *</t>
  </si>
  <si>
    <t>02.046 - Acessórios</t>
  </si>
  <si>
    <t>Espaçador Circular 25 mm para Armadura *</t>
  </si>
  <si>
    <t>02.039 - Pastilhas (espaçadores)</t>
  </si>
  <si>
    <t>MATERIAL PARA INSTALACAO PREVENTIVO DE INCENDIO *</t>
  </si>
  <si>
    <t>02.009 - Materiais para Preventivo de Incêndio</t>
  </si>
  <si>
    <t>m2</t>
  </si>
  <si>
    <t>MAO DE OBRA PARA INSTALACOES DE GAS *</t>
  </si>
  <si>
    <t>04.008 - Empreitada para Inst. de Gás</t>
  </si>
  <si>
    <t>m3</t>
  </si>
  <si>
    <t>AREIA MÉDIA *</t>
  </si>
  <si>
    <t>AREIA GROSSA *</t>
  </si>
  <si>
    <t>02.004 - Agregados</t>
  </si>
  <si>
    <t>PELE DE VIDRO *</t>
  </si>
  <si>
    <t>02.026 - Vidros</t>
  </si>
  <si>
    <t>ESPUMA EXPANSIVA DE POLIURETANO, APLICACAO MANUAL - 500 ML *</t>
  </si>
  <si>
    <t>KIT DE FERRAGEM COMPLETO PARA PORTAS *</t>
  </si>
  <si>
    <t>02.014 - Fechaduras e Ferragens</t>
  </si>
  <si>
    <t>m</t>
  </si>
  <si>
    <t>CORRIMÃO DE INOX *</t>
  </si>
  <si>
    <t>02.049 - Corrimão</t>
  </si>
  <si>
    <t>INSTALAÇÃO DE GÁS - MATERIAL*</t>
  </si>
  <si>
    <t>02.033 - Materiais, Conexões e Peças para Gás</t>
  </si>
  <si>
    <t>l</t>
  </si>
  <si>
    <t>Desmoldante *</t>
  </si>
  <si>
    <t>ADESIVO ACRÍLICO/COLA DE CONTATO *</t>
  </si>
  <si>
    <t>ADESIVO ADITIVO PARA CONCRETO *</t>
  </si>
  <si>
    <t>ADESIVO PARA ARGAMASSA E CHAPISCO *</t>
  </si>
  <si>
    <t>02.029 - Aditivos, Colas e Similares</t>
  </si>
  <si>
    <t>SERRALHERIAS *</t>
  </si>
  <si>
    <t>02.012 - Esquadrias de Ferro</t>
  </si>
  <si>
    <t>Empreitada de Paisagismo e Arborização *</t>
  </si>
  <si>
    <t>02.020 - Jardinagem</t>
  </si>
  <si>
    <t>VIGA NAO APARELHADA 6X16 CM, EM MACARANDUBA *</t>
  </si>
  <si>
    <t>Telha Gravilhada</t>
  </si>
  <si>
    <t>02.024 - Coberturas e Acessórios</t>
  </si>
  <si>
    <t>AMBIENTAÇÃO E DECORAÇÃO *</t>
  </si>
  <si>
    <t>02.063 - Móveis e Utensílios</t>
  </si>
  <si>
    <t>LOUÇAS E METAIS*</t>
  </si>
  <si>
    <t>02.031 - Louças e Acessórios</t>
  </si>
  <si>
    <t>TÁBUA NÃO APARELHADA 1X12 2,5X30CM MACARANDUBA *</t>
  </si>
  <si>
    <t>SARRAFO 2,5X7,0 CM PINUS *</t>
  </si>
  <si>
    <t>SARRAFO 2,5X10,0 CM PINUS *</t>
  </si>
  <si>
    <t>PONTALETE CEDRO 3"X3" 7,5X7,5CM *</t>
  </si>
  <si>
    <t>PONTALETE PINUS 3"X3" 7,5X7,5CM *</t>
  </si>
  <si>
    <t>TÁBUA 1"X12" 2,5X30CM PINUS *</t>
  </si>
  <si>
    <t>SARRAFO 2,5X7,5 CM PINUS *</t>
  </si>
  <si>
    <t>COMPENSADO RESINADO 2,20X1,10, ESPESSURA 14MM *</t>
  </si>
  <si>
    <t>02.052 - Madeira para Formas (Estrutura)</t>
  </si>
  <si>
    <t>KIT PORTA DE MADEIRA DE ABRIR 90 CM (COMPLETA E INSTALADA - EXCETO FERRAGENS) *</t>
  </si>
  <si>
    <t>KIT PORTA DE MADEIRA DE ABRIR 80 CM (COMPLETA E INSTALADA - EXCETO FERRAGENS) *</t>
  </si>
  <si>
    <t>KIT PORTA DE MADEIRA DE ABRIR 70 CM (COMPLETA E INSTALADA - EXCETO FERRAGENS) *</t>
  </si>
  <si>
    <t>02.013 - Esquadrias de Madeira</t>
  </si>
  <si>
    <t>CAMADA SEPARADORA DE FILME POLIETILENO 20 A 25 MICRA *</t>
  </si>
  <si>
    <t>IMPERMEABILIZANTE MANTA LIQUIDA BRANCA *</t>
  </si>
  <si>
    <t>Argamassa Polimerica Impermeabilizante*</t>
  </si>
  <si>
    <t>02.019 - Impermeabilização</t>
  </si>
  <si>
    <t>INFRAESTRUTURA PARA INSTALAÇÃO DE AR CONDICIONADO *</t>
  </si>
  <si>
    <t>02.038 - Condicionador de Ar</t>
  </si>
  <si>
    <t>INSTALACOES DE ESGOTO *</t>
  </si>
  <si>
    <t>INSTALACOES DE AGUA PLUVIAL *</t>
  </si>
  <si>
    <t xml:space="preserve">INSTALACOES DE AGUA QUENTE * </t>
  </si>
  <si>
    <t xml:space="preserve">INSTALACOES DE AGUA FRIA * </t>
  </si>
  <si>
    <t>02.016 - Tubos e Conexões Hidro-Sanitárias</t>
  </si>
  <si>
    <t>Elevador de Pessoas *</t>
  </si>
  <si>
    <t>03.002 - Equipamentos Próprios</t>
  </si>
  <si>
    <t>CARTUCHO 22 - CARGA LEVE PARA FINCA PINO A POLVORA *</t>
  </si>
  <si>
    <t>TIJOLOS REFRATÁRIOS DE 2,5X11,4X22,9CM  *</t>
  </si>
  <si>
    <t>TIJOLO CERÂMICO FURADO (BAIANO) 9X14X19 CM*</t>
  </si>
  <si>
    <t>TIJOLO CERÂMICO FURADO (BAIANO) 19X19X19 CM *</t>
  </si>
  <si>
    <t>TIJOLO CERÂMICO FURADO (BAIANO) 11,5X19X19 CM*</t>
  </si>
  <si>
    <t>TIJOLO CERÂMICO FURADO (BAIANO) 14X19X19 CM *</t>
  </si>
  <si>
    <t>02.043 - Elementos de Vedação (Cerâmica)</t>
  </si>
  <si>
    <t>Argamassa Colante AC - II *</t>
  </si>
  <si>
    <t>ARGAMASSA PARA ENCUNHAMENTO *</t>
  </si>
  <si>
    <t>ARGAMASSA PRÉ-FABRICADA PARA ASSENTAR E REJUNTAR TIJOLOS REFRATÁRIOS *</t>
  </si>
  <si>
    <t>ARGAMASSA INDUSTRIALIZADA PARA CHAPISCO COLANTE *</t>
  </si>
  <si>
    <t>Argamassa Usinada para Assentamento *</t>
  </si>
  <si>
    <t>Argamassa Colante AC - III *</t>
  </si>
  <si>
    <t>ARGAMASSA ESTABILIZADA PARA CONTRAPISO *</t>
  </si>
  <si>
    <t>02.037 - Argamassa</t>
  </si>
  <si>
    <t>COMUNICAÇÃO VISUAL *</t>
  </si>
  <si>
    <t>IMPREVISTOS E CONTINGÊNCIAS *</t>
  </si>
  <si>
    <t>05.001 - Verbas, Taxas e Impostos</t>
  </si>
  <si>
    <t>Negativo para Forro de Gesso *</t>
  </si>
  <si>
    <t>FORRO DE GESSO LISO *</t>
  </si>
  <si>
    <t>02.050 - Forro</t>
  </si>
  <si>
    <t>Exaustor Tipo Vento Kit *</t>
  </si>
  <si>
    <t>LUMINARIAS, LAMPADAS E ACESSORIOS *</t>
  </si>
  <si>
    <t>PONTOS DE TOMADAS E INTERRUPTORES *</t>
  </si>
  <si>
    <t>ELETRODUTOS E ELETROCALHAS *</t>
  </si>
  <si>
    <t xml:space="preserve">QUADROS ELETRICOS E DISJUNTORES * </t>
  </si>
  <si>
    <t>SISTEMA DE DUTOS E EXAUSTÃO PARA CHURRASQUEIRAS *</t>
  </si>
  <si>
    <t>FIOS E CABOS ELETRICOS *</t>
  </si>
  <si>
    <t>02.008 - Materiais Elétricos Em Geral</t>
  </si>
  <si>
    <t>REJUNTE PORCELANATO*</t>
  </si>
  <si>
    <t xml:space="preserve">CIMENTO PORTLAND CP II 32 * </t>
  </si>
  <si>
    <t>ARGAMASSA REBOCO / ASSENTAMENTO*</t>
  </si>
  <si>
    <t>02.001 - Aglomerantes</t>
  </si>
  <si>
    <t>Fita Crepe 25mm X 50mts *</t>
  </si>
  <si>
    <t>SELANTE A BASE DE POLIURETANO (PU) *</t>
  </si>
  <si>
    <t xml:space="preserve">LIXA EM FOLHA PARA PAREDE OU MADEIRA, NUMERO 100 * </t>
  </si>
  <si>
    <t>TINTA EPOXI PREMIUM *</t>
  </si>
  <si>
    <t>SELADOR IMPERMEABILIZANTE DE BASE ACRÍLICA PARA FACHADA *</t>
  </si>
  <si>
    <t>DILUENTE EPÓXI *</t>
  </si>
  <si>
    <t>PRIMER EPOXI *</t>
  </si>
  <si>
    <t>Selador *</t>
  </si>
  <si>
    <t>Massa Corrida PVA *</t>
  </si>
  <si>
    <t>TINTA ACRÍLICA *</t>
  </si>
  <si>
    <t>TEXTURA ACRÍLICA *</t>
  </si>
  <si>
    <t>02.022 - Pintura</t>
  </si>
  <si>
    <t>PISO CERÂMICO, PLACA 45X45CM *</t>
  </si>
  <si>
    <t>Manta para Piso Laminado de Madeira *</t>
  </si>
  <si>
    <t>Espaçador para Revestimentos Cerâmicos *</t>
  </si>
  <si>
    <t>GRANITO POLIDO *</t>
  </si>
  <si>
    <t>Piso Laminado de Madeira *</t>
  </si>
  <si>
    <t>RODAPÉ DE POLIESTIRENO, ALTURA 10 CM *</t>
  </si>
  <si>
    <t>REVESTIMENTO DE PORCELANATO PARA PAREDE 30X60CM *</t>
  </si>
  <si>
    <t>REVESTIMENTO CERÂMICO PARA PAREDE 30X60CM *</t>
  </si>
  <si>
    <t>PISO PORCELANATO 80 CM X 80 CM *</t>
  </si>
  <si>
    <t>Pedra Ferro *</t>
  </si>
  <si>
    <t>02.048 - Revestimentos</t>
  </si>
  <si>
    <t>CONCRETO USINADO FCK 20MPA, SLUMP 14 +/- 2 BOMBEADO B01*</t>
  </si>
  <si>
    <t>Concreto Usinado Fck 25 MPa *</t>
  </si>
  <si>
    <t>Concreto Usinado Fck 30 MPa *</t>
  </si>
  <si>
    <t>CONCRETO USINADO FCK=30 MPA, SLUMP 16 BOMBEADO B1 *</t>
  </si>
  <si>
    <t>02.006 - Concretos</t>
  </si>
  <si>
    <t>MÃO DE OBRA PARA EXECUÇÃO DE PISO DE CONCRETO *</t>
  </si>
  <si>
    <t>MÃO DE OBRA PARA EXECUÇÃO DE REBOCO INTERNO *</t>
  </si>
  <si>
    <t>MÃO DE OBRA PARA IMPERMEABILIZAÇÃO COM ARGAMASSA POLIMÉRICA SEMIFLEXIVEL*</t>
  </si>
  <si>
    <t>MÃO DE OBRA EMPREITADA PARA PINTURA DE FAIXAS DE DEMARCAÇÃO DE GARAGEM EM PISO *</t>
  </si>
  <si>
    <t>MÃO DE OBRA PARA IMPERMEABILIZAÇÃO DE PEITORIS COM MANTA LÍQUIDA *</t>
  </si>
  <si>
    <t>MÃO DE OBRA REGULARIZAÇÃO E PINTURA DO FOSSO DO ELEVADOR *</t>
  </si>
  <si>
    <t>MÃO DE OBRA PARA TRATAMENTO DE RALO *</t>
  </si>
  <si>
    <t>MÃO DE OBRA EMPREITADA PARA EXECUÇÃO DE  PROTEÇÃO MECÂNICA EM SUPERFÍCIE IMPERMEABILIZADA *</t>
  </si>
  <si>
    <t xml:space="preserve">MÃO DE OBRA PARA IMPERMEABILIZAÇÃO DE MANTA ASFÁLTICA * </t>
  </si>
  <si>
    <t>MÃO DE OBRA PARA IMPERMEABILIZAÇÃO DE VIGAS BALDRAME *</t>
  </si>
  <si>
    <t>MÃO DE OBRA EMPREITADA PARA APLICAÇÃO DE FUNDO SELADOR PAREDES EXTERNAS, 1 DEMÃO *</t>
  </si>
  <si>
    <t>MÃO DE OBRA EMPREITADA PARA APLICAÇÃO DE FUNDO SELADOR EM TETO, 1 DEMÃO *</t>
  </si>
  <si>
    <t>MÃO DE OBRA PARA POLIMENTO DE PISO DE CONCRETO *</t>
  </si>
  <si>
    <t>MÃO DE OBRA EMPREITADA PARA APLICAÇÃO DE PINTURA EPÓXI EM PISO, 2 DEMÃOS *</t>
  </si>
  <si>
    <t>Empreitada de Mão de Obra de Colocação de Piso Laminado *</t>
  </si>
  <si>
    <t>LIMPEZA FINAL *</t>
  </si>
  <si>
    <t>MÃO DE OBRA EMPREITADA PARA APLICAÇÃO DE FUNDO SELADOR PAREDES INTERNAS, 1 DEMÃO *</t>
  </si>
  <si>
    <t>MÃO DE OBRA EMPREITADA PARA APLICAÇÃO DE TEXTURA ACRÍLICA EM PAREDES EXTERNAS, 1 DEMÃO *</t>
  </si>
  <si>
    <t>MÃO DE OBRA PARA IMPERMEABILIZAÇÃO COM ARGAMASSA POLIMÉRICA *</t>
  </si>
  <si>
    <t xml:space="preserve">MÃO DE OBRA EMPREITADA PARA PINTURA COM TINTA LÁTEX ACRÍLICA EM TETO, 2 DEMÃOS * </t>
  </si>
  <si>
    <t>MÃO DE OBRA EMPREITADA PARA APLICAÇÃO DE TEXTURA ACRÍLICA EM TETO, 1 DEMÃO *</t>
  </si>
  <si>
    <t>MÃO DE OBRA EMPREITADA PARA PINTURA COM TINTA LÁTEX ACRÍLICA EM PAREDES EXTERNAS, 2 DEMÃOS *</t>
  </si>
  <si>
    <t>Mão de Obra Bombeamento Concreto Usinado*</t>
  </si>
  <si>
    <t>MÃO DE OBRA EMPREITADA PARA APLICAÇÃO E LIXAMENTO DE MASSA TETO, 2 DEMÃOS *</t>
  </si>
  <si>
    <t>MÃO DE OBRA EMPREITADA PARA PINTURA COM TINTA LÁTEX ACRÍLICA EM PAREDES INTERNAS, 2 DEMÃOS *</t>
  </si>
  <si>
    <t>MÃO DE OBRA EMPREITADA PARA APLICAÇÃO DE TEXTURA ACRÍLICA EM PAREDES INTERNAS, 1 DEMÃO *</t>
  </si>
  <si>
    <t>MÃO DE OBRA EMPREITADA PARA APLICAÇÃO E LIXAMENTO DE MASSA EM PAREDES, 2 DEMÃOS *</t>
  </si>
  <si>
    <t>01.002 - Mão de Obra de Terceiros</t>
  </si>
  <si>
    <t>PREGO COM CABECA 17X21 *</t>
  </si>
  <si>
    <t>Arame Recozido Nº 18 (1,24 mm) *</t>
  </si>
  <si>
    <t>Tela para Alvenaria *</t>
  </si>
  <si>
    <t>BARRA DE TRANSFERÊNCIA BTG 16MM, 50CM, LS FX *</t>
  </si>
  <si>
    <t>MALHA DE AÇO SOLDADA Q138 - 4,2 MM; 2,45MX6 M *</t>
  </si>
  <si>
    <t>ARAME RECOZIDO Nº 16 (1,65 MM) *</t>
  </si>
  <si>
    <t>ESPAÇADOR TIPO CARANGUEIJO PARA ARMADURA *</t>
  </si>
  <si>
    <t>TELA DE ACO SOLDADA GALVANIZADA/ZINCADA PARA REBOCO/EMBOÇO, FIO D = 1,24 MM, MALHA 25 X 25 MM *</t>
  </si>
  <si>
    <t>Aco CA-50 Diametro 6,30mm *</t>
  </si>
  <si>
    <t>TELA DE ACO SOLDADA GALVANIZADA/ZINCADA PARA ALVENARIA, FIO D = 1,24 MM, MALHA 25 X 25 MM *</t>
  </si>
  <si>
    <t>Aco CA-50 Diametro 25,0mm *</t>
  </si>
  <si>
    <t>Aco CA-50 Diametro 20,0mm *</t>
  </si>
  <si>
    <t>PINO LISO EM AÇO GALVANIZADO 1/2 X 22MM COM ARRUELA*</t>
  </si>
  <si>
    <t>Aco CA-60 Diametro 5,00mm *</t>
  </si>
  <si>
    <t>Aco CA-50 Diametro 8,00mm *</t>
  </si>
  <si>
    <t>Aco CA-50 Diametro 16,0mm *</t>
  </si>
  <si>
    <t>Aco CA-50 Diametro 10,0mm *</t>
  </si>
  <si>
    <t>Aco CA-50 Diametro 12,5mm *</t>
  </si>
  <si>
    <t>02.005 - Armadura</t>
  </si>
  <si>
    <t>CONTRAMARCO DE ALUMÍNIO CONVENCIONAL*</t>
  </si>
  <si>
    <t>PORTÃO DE ELEVAÇÃO GARAGEM *</t>
  </si>
  <si>
    <t>BRISE METÁLICO 1400 X 1100 *</t>
  </si>
  <si>
    <t>ESQUADRIAS DE ALUMÍNIO, FORNECIMENTO E INSTALAÇÃO *</t>
  </si>
  <si>
    <t>02.010 - Esquadrias de Alumínio</t>
  </si>
  <si>
    <t>Empreitada de Mão de Obra para Parte Civil *</t>
  </si>
  <si>
    <t>04.007 - Empreitada Global</t>
  </si>
  <si>
    <t>06/12/2023 - 08:57:33</t>
  </si>
  <si>
    <t>20/03/2014</t>
  </si>
  <si>
    <t>01/02/2014</t>
  </si>
  <si>
    <t>24/11/2023</t>
  </si>
  <si>
    <t>27/11/2023</t>
  </si>
  <si>
    <t>28/11/2023</t>
  </si>
  <si>
    <t>10/11/2023</t>
  </si>
  <si>
    <t>12/08/2014</t>
  </si>
  <si>
    <t>05/12/2023</t>
  </si>
  <si>
    <t>TEXTURA ACRÍLICA * / Detalhe: CINZA CLARO</t>
  </si>
  <si>
    <t>29/11/2023</t>
  </si>
  <si>
    <t>07/02/2022</t>
  </si>
  <si>
    <t>31/01/2022</t>
  </si>
  <si>
    <t>02/02/2022</t>
  </si>
  <si>
    <t>PISO PORCELANATO 80 CM X 80 CM * / Detalhe: APLICAÇÃO EM ÁREAS INTERNAS DOS APARTAMENTOS, ACABAMENTO ACETINADO</t>
  </si>
  <si>
    <t>REVESTIMENTO CERÂMICO PARA PAREDE 30X60CM * / Detalhe: APLICAÇÃO EM BANHEIRO, BOXES DE BANHEIROS, COZINHAS E LAVANDERIAS *</t>
  </si>
  <si>
    <t>TINTA ACRÍLICA * / Detalhe: Cor: Cinza claro</t>
  </si>
  <si>
    <t>REVESTIMENTO DE PORCELANATO PARA PAREDE 30X60CM * / Detalhe: AMADEIRADO</t>
  </si>
  <si>
    <t>GRANITO POLIDO * / Detalhe: Cinza corumbá</t>
  </si>
  <si>
    <t>20/11/2023</t>
  </si>
  <si>
    <t>01/01/2008</t>
  </si>
  <si>
    <t>30/11/2023</t>
  </si>
  <si>
    <t>04/10/2021</t>
  </si>
  <si>
    <t>INSTALACOES DE ESGOTO * / Detalhe: TERREO</t>
  </si>
  <si>
    <t xml:space="preserve">ELETRODUTOS E ELETROCALHAS * / Detalhe: GARAGEM </t>
  </si>
  <si>
    <t>Data do preço</t>
  </si>
  <si>
    <t>241,06 -270,32</t>
  </si>
  <si>
    <t>VOLO HOME</t>
  </si>
  <si>
    <t>467,62 /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</si>
</sst>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##,###,##0.00"/>
    <numFmt numFmtId="168" formatCode="##,##0.0000"/>
    <numFmt numFmtId="169" formatCode="0.0000"/>
    <numFmt numFmtId="170" formatCode="0000"/>
    <numFmt numFmtId="171" formatCode="##0.0000"/>
    <numFmt numFmtId="172" formatCode="00"/>
    <numFmt numFmtId="173" formatCode="##0.00"/>
    <numFmt numFmtId="174" formatCode="#0.0000"/>
    <numFmt numFmtId="175" formatCode="#,##0.0000"/>
    <numFmt numFmtId="176" formatCode="##,##0.00"/>
    <numFmt numFmtId="177" formatCode="000"/>
    <numFmt numFmtId="178" formatCode="###,##0.00"/>
    <numFmt numFmtId="179" formatCode="###,##0.0000"/>
    <numFmt numFmtId="180" formatCode="#,###,##0.00"/>
    <numFmt numFmtId="181" formatCode="#,###,##0.000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0"/>
      <name val="Arial"/>
    </font>
    <font>
      <sz val="6"/>
      <color indexed="8"/>
      <name val="Arial"/>
    </font>
    <font>
      <sz val="1"/>
      <color indexed="8"/>
      <name val="Arial"/>
    </font>
    <font>
      <b/>
      <sz val="7"/>
      <color indexed="8"/>
      <name val="Arial"/>
    </font>
    <font>
      <sz val="7"/>
      <color indexed="8"/>
      <name val="Arial"/>
    </font>
    <font>
      <sz val="8"/>
      <color indexed="8"/>
      <name val="Arial"/>
    </font>
    <font>
      <sz val="8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/>
      <diagonal/>
    </border>
  </borders>
  <cellStyleXfs count="6">
    <xf numFmtId="0" fontId="0" fillId="0" borderId="0"/>
    <xf numFmtId="44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" fillId="0" borderId="5"/>
    <xf numFmtId="9" fontId="2" fillId="0" borderId="5" applyFont="0" applyFill="0" applyBorder="0" applyAlignment="0" applyProtection="0"/>
    <xf numFmtId="0" fontId="19" fillId="0" borderId="5" applyNumberFormat="0" applyFont="0" applyFill="0" applyBorder="0" applyAlignment="0" applyProtection="0"/>
  </cellStyleXfs>
  <cellXfs count="223">
    <xf numFmtId="0" fontId="0" fillId="0" borderId="0" xfId="0"/>
    <xf numFmtId="0" fontId="7" fillId="0" borderId="0" xfId="0" applyFont="1"/>
    <xf numFmtId="0" fontId="7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/>
    <xf numFmtId="164" fontId="7" fillId="4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3" xfId="0" applyNumberFormat="1" applyFont="1" applyFill="1" applyBorder="1" applyAlignment="1">
      <alignment horizontal="left" vertical="center"/>
    </xf>
    <xf numFmtId="10" fontId="7" fillId="4" borderId="3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left" vertical="center"/>
    </xf>
    <xf numFmtId="10" fontId="7" fillId="3" borderId="3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/>
    <xf numFmtId="165" fontId="11" fillId="0" borderId="0" xfId="0" applyNumberFormat="1" applyFont="1" applyAlignment="1">
      <alignment horizontal="left"/>
    </xf>
    <xf numFmtId="165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4" fontId="7" fillId="4" borderId="3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0" fillId="0" borderId="5" xfId="0" applyBorder="1"/>
    <xf numFmtId="44" fontId="0" fillId="0" borderId="8" xfId="1" applyFont="1" applyBorder="1"/>
    <xf numFmtId="44" fontId="0" fillId="0" borderId="10" xfId="1" applyFont="1" applyBorder="1"/>
    <xf numFmtId="0" fontId="13" fillId="0" borderId="0" xfId="0" applyFont="1"/>
    <xf numFmtId="44" fontId="0" fillId="0" borderId="8" xfId="1" applyFont="1" applyFill="1" applyBorder="1"/>
    <xf numFmtId="44" fontId="0" fillId="0" borderId="10" xfId="1" applyFont="1" applyFill="1" applyBorder="1"/>
    <xf numFmtId="0" fontId="3" fillId="0" borderId="0" xfId="0" applyFont="1"/>
    <xf numFmtId="164" fontId="15" fillId="4" borderId="3" xfId="0" applyNumberFormat="1" applyFont="1" applyFill="1" applyBorder="1" applyAlignment="1">
      <alignment horizontal="left" vertical="center"/>
    </xf>
    <xf numFmtId="164" fontId="15" fillId="3" borderId="3" xfId="0" applyNumberFormat="1" applyFont="1" applyFill="1" applyBorder="1" applyAlignment="1">
      <alignment horizontal="left" vertical="center"/>
    </xf>
    <xf numFmtId="166" fontId="8" fillId="0" borderId="0" xfId="0" applyNumberFormat="1" applyFont="1" applyAlignment="1">
      <alignment vertical="center"/>
    </xf>
    <xf numFmtId="0" fontId="0" fillId="0" borderId="7" xfId="0" applyBorder="1"/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164" fontId="10" fillId="0" borderId="5" xfId="0" applyNumberFormat="1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0" fontId="7" fillId="3" borderId="19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4" borderId="21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0" fontId="7" fillId="4" borderId="23" xfId="0" applyFont="1" applyFill="1" applyBorder="1" applyAlignment="1">
      <alignment horizontal="left" vertical="center"/>
    </xf>
    <xf numFmtId="44" fontId="0" fillId="0" borderId="24" xfId="1" applyFont="1" applyBorder="1"/>
    <xf numFmtId="44" fontId="0" fillId="0" borderId="24" xfId="1" applyFont="1" applyFill="1" applyBorder="1"/>
    <xf numFmtId="44" fontId="0" fillId="0" borderId="28" xfId="1" applyFont="1" applyBorder="1"/>
    <xf numFmtId="44" fontId="0" fillId="0" borderId="29" xfId="1" applyFont="1" applyBorder="1"/>
    <xf numFmtId="44" fontId="16" fillId="0" borderId="29" xfId="1" applyFont="1" applyBorder="1"/>
    <xf numFmtId="44" fontId="1" fillId="0" borderId="29" xfId="1" applyFont="1" applyBorder="1"/>
    <xf numFmtId="44" fontId="16" fillId="0" borderId="30" xfId="1" applyFont="1" applyBorder="1"/>
    <xf numFmtId="0" fontId="0" fillId="0" borderId="11" xfId="0" applyBorder="1"/>
    <xf numFmtId="0" fontId="4" fillId="7" borderId="15" xfId="0" applyFont="1" applyFill="1" applyBorder="1" applyAlignment="1">
      <alignment horizontal="left" vertical="center"/>
    </xf>
    <xf numFmtId="44" fontId="17" fillId="5" borderId="26" xfId="0" applyNumberFormat="1" applyFont="1" applyFill="1" applyBorder="1"/>
    <xf numFmtId="44" fontId="17" fillId="5" borderId="26" xfId="0" applyNumberFormat="1" applyFont="1" applyFill="1" applyBorder="1" applyAlignment="1">
      <alignment horizontal="center"/>
    </xf>
    <xf numFmtId="44" fontId="17" fillId="5" borderId="32" xfId="0" applyNumberFormat="1" applyFont="1" applyFill="1" applyBorder="1" applyAlignment="1">
      <alignment horizontal="center"/>
    </xf>
    <xf numFmtId="44" fontId="17" fillId="5" borderId="27" xfId="0" applyNumberFormat="1" applyFont="1" applyFill="1" applyBorder="1" applyAlignment="1">
      <alignment horizontal="center"/>
    </xf>
    <xf numFmtId="0" fontId="17" fillId="5" borderId="6" xfId="0" applyFont="1" applyFill="1" applyBorder="1"/>
    <xf numFmtId="0" fontId="17" fillId="5" borderId="10" xfId="0" applyFont="1" applyFill="1" applyBorder="1"/>
    <xf numFmtId="43" fontId="0" fillId="0" borderId="0" xfId="2" applyFont="1"/>
    <xf numFmtId="43" fontId="17" fillId="5" borderId="12" xfId="2" applyFont="1" applyFill="1" applyBorder="1" applyAlignment="1">
      <alignment horizontal="center"/>
    </xf>
    <xf numFmtId="43" fontId="0" fillId="0" borderId="12" xfId="2" applyFont="1" applyBorder="1"/>
    <xf numFmtId="43" fontId="0" fillId="0" borderId="33" xfId="2" applyFont="1" applyBorder="1"/>
    <xf numFmtId="43" fontId="17" fillId="5" borderId="26" xfId="2" applyFont="1" applyFill="1" applyBorder="1"/>
    <xf numFmtId="43" fontId="7" fillId="0" borderId="0" xfId="2" applyFont="1" applyAlignment="1">
      <alignment horizontal="center"/>
    </xf>
    <xf numFmtId="43" fontId="7" fillId="0" borderId="0" xfId="2" applyFont="1"/>
    <xf numFmtId="0" fontId="7" fillId="4" borderId="34" xfId="0" applyFont="1" applyFill="1" applyBorder="1" applyAlignment="1">
      <alignment horizontal="left" vertical="center"/>
    </xf>
    <xf numFmtId="164" fontId="15" fillId="4" borderId="35" xfId="0" applyNumberFormat="1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left" vertical="center"/>
    </xf>
    <xf numFmtId="164" fontId="7" fillId="4" borderId="37" xfId="0" applyNumberFormat="1" applyFont="1" applyFill="1" applyBorder="1" applyAlignment="1">
      <alignment horizontal="left" vertical="center"/>
    </xf>
    <xf numFmtId="10" fontId="7" fillId="4" borderId="37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left" vertical="center"/>
    </xf>
    <xf numFmtId="9" fontId="4" fillId="2" borderId="12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17" fontId="4" fillId="2" borderId="12" xfId="0" applyNumberFormat="1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left" vertical="center"/>
    </xf>
    <xf numFmtId="164" fontId="7" fillId="4" borderId="35" xfId="0" applyNumberFormat="1" applyFont="1" applyFill="1" applyBorder="1" applyAlignment="1">
      <alignment horizontal="center" vertical="center"/>
    </xf>
    <xf numFmtId="43" fontId="7" fillId="4" borderId="40" xfId="2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left" vertical="center"/>
    </xf>
    <xf numFmtId="164" fontId="7" fillId="4" borderId="37" xfId="0" applyNumberFormat="1" applyFont="1" applyFill="1" applyBorder="1" applyAlignment="1">
      <alignment horizontal="center" vertical="center"/>
    </xf>
    <xf numFmtId="44" fontId="0" fillId="6" borderId="31" xfId="1" applyFont="1" applyFill="1" applyBorder="1"/>
    <xf numFmtId="43" fontId="4" fillId="2" borderId="7" xfId="2" applyFont="1" applyFill="1" applyBorder="1" applyAlignment="1">
      <alignment horizontal="center" vertical="center"/>
    </xf>
    <xf numFmtId="43" fontId="4" fillId="2" borderId="9" xfId="2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right"/>
    </xf>
    <xf numFmtId="164" fontId="4" fillId="2" borderId="14" xfId="0" applyNumberFormat="1" applyFont="1" applyFill="1" applyBorder="1" applyAlignment="1">
      <alignment horizontal="right"/>
    </xf>
    <xf numFmtId="164" fontId="4" fillId="2" borderId="14" xfId="0" applyNumberFormat="1" applyFont="1" applyFill="1" applyBorder="1" applyAlignment="1">
      <alignment horizontal="center"/>
    </xf>
    <xf numFmtId="43" fontId="5" fillId="2" borderId="11" xfId="2" applyFont="1" applyFill="1" applyBorder="1" applyAlignment="1">
      <alignment horizontal="center"/>
    </xf>
    <xf numFmtId="0" fontId="18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7" fillId="0" borderId="34" xfId="0" applyFont="1" applyBorder="1" applyAlignment="1">
      <alignment vertical="center"/>
    </xf>
    <xf numFmtId="17" fontId="0" fillId="0" borderId="7" xfId="0" applyNumberFormat="1" applyBorder="1"/>
    <xf numFmtId="44" fontId="3" fillId="0" borderId="24" xfId="1" applyFont="1" applyBorder="1"/>
    <xf numFmtId="44" fontId="0" fillId="6" borderId="25" xfId="1" applyFont="1" applyFill="1" applyBorder="1"/>
    <xf numFmtId="44" fontId="17" fillId="6" borderId="26" xfId="1" applyFont="1" applyFill="1" applyBorder="1"/>
    <xf numFmtId="44" fontId="17" fillId="5" borderId="26" xfId="1" applyFont="1" applyFill="1" applyBorder="1"/>
    <xf numFmtId="0" fontId="7" fillId="4" borderId="39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2" fontId="7" fillId="3" borderId="4" xfId="0" applyNumberFormat="1" applyFont="1" applyFill="1" applyBorder="1" applyAlignment="1">
      <alignment horizontal="center" vertical="center"/>
    </xf>
    <xf numFmtId="2" fontId="7" fillId="4" borderId="4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7" fillId="8" borderId="0" xfId="0" applyFont="1" applyFill="1"/>
    <xf numFmtId="0" fontId="7" fillId="8" borderId="0" xfId="0" applyFont="1" applyFill="1" applyAlignment="1">
      <alignment vertical="center"/>
    </xf>
    <xf numFmtId="164" fontId="7" fillId="9" borderId="0" xfId="0" applyNumberFormat="1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7" fillId="11" borderId="0" xfId="0" applyFont="1" applyFill="1"/>
    <xf numFmtId="0" fontId="7" fillId="11" borderId="0" xfId="0" applyFont="1" applyFill="1" applyAlignment="1">
      <alignment vertical="center"/>
    </xf>
    <xf numFmtId="0" fontId="19" fillId="0" borderId="5" xfId="5" applyNumberFormat="1" applyFont="1" applyFill="1" applyBorder="1" applyAlignment="1"/>
    <xf numFmtId="169" fontId="23" fillId="12" borderId="45" xfId="5" applyNumberFormat="1" applyFont="1" applyFill="1" applyBorder="1" applyAlignment="1">
      <alignment horizontal="right" vertical="top" wrapText="1"/>
    </xf>
    <xf numFmtId="0" fontId="23" fillId="12" borderId="45" xfId="5" applyNumberFormat="1" applyFont="1" applyFill="1" applyBorder="1" applyAlignment="1">
      <alignment horizontal="left" vertical="top" wrapText="1"/>
    </xf>
    <xf numFmtId="170" fontId="23" fillId="12" borderId="45" xfId="5" applyNumberFormat="1" applyFont="1" applyFill="1" applyBorder="1" applyAlignment="1">
      <alignment horizontal="left" vertical="top" wrapText="1"/>
    </xf>
    <xf numFmtId="0" fontId="22" fillId="13" borderId="45" xfId="5" applyNumberFormat="1" applyFont="1" applyFill="1" applyBorder="1" applyAlignment="1">
      <alignment horizontal="right" vertical="top" wrapText="1"/>
    </xf>
    <xf numFmtId="171" fontId="23" fillId="12" borderId="45" xfId="5" applyNumberFormat="1" applyFont="1" applyFill="1" applyBorder="1" applyAlignment="1">
      <alignment horizontal="right" vertical="top" wrapText="1"/>
    </xf>
    <xf numFmtId="174" fontId="23" fillId="12" borderId="45" xfId="5" applyNumberFormat="1" applyFont="1" applyFill="1" applyBorder="1" applyAlignment="1">
      <alignment horizontal="right" vertical="top" wrapText="1"/>
    </xf>
    <xf numFmtId="175" fontId="23" fillId="12" borderId="45" xfId="5" applyNumberFormat="1" applyFont="1" applyFill="1" applyBorder="1" applyAlignment="1">
      <alignment horizontal="right" vertical="top" wrapText="1"/>
    </xf>
    <xf numFmtId="168" fontId="23" fillId="12" borderId="45" xfId="5" applyNumberFormat="1" applyFont="1" applyFill="1" applyBorder="1" applyAlignment="1">
      <alignment horizontal="right" vertical="top" wrapText="1"/>
    </xf>
    <xf numFmtId="0" fontId="22" fillId="0" borderId="45" xfId="5" applyNumberFormat="1" applyFont="1" applyFill="1" applyBorder="1" applyAlignment="1">
      <alignment horizontal="right" vertical="top" wrapText="1"/>
    </xf>
    <xf numFmtId="180" fontId="23" fillId="0" borderId="45" xfId="5" applyNumberFormat="1" applyFont="1" applyFill="1" applyBorder="1" applyAlignment="1">
      <alignment horizontal="right" vertical="top" wrapText="1"/>
    </xf>
    <xf numFmtId="174" fontId="23" fillId="0" borderId="45" xfId="5" applyNumberFormat="1" applyFont="1" applyFill="1" applyBorder="1" applyAlignment="1">
      <alignment horizontal="right" vertical="top" wrapText="1"/>
    </xf>
    <xf numFmtId="0" fontId="22" fillId="0" borderId="45" xfId="5" applyNumberFormat="1" applyFont="1" applyFill="1" applyBorder="1" applyAlignment="1">
      <alignment horizontal="left" vertical="top" wrapText="1"/>
    </xf>
    <xf numFmtId="170" fontId="23" fillId="0" borderId="45" xfId="5" applyNumberFormat="1" applyFont="1" applyFill="1" applyBorder="1" applyAlignment="1">
      <alignment horizontal="left" vertical="top" wrapText="1"/>
    </xf>
    <xf numFmtId="0" fontId="23" fillId="0" borderId="45" xfId="5" applyNumberFormat="1" applyFont="1" applyFill="1" applyBorder="1" applyAlignment="1">
      <alignment horizontal="left" vertical="top" wrapText="1"/>
    </xf>
    <xf numFmtId="169" fontId="23" fillId="0" borderId="45" xfId="5" applyNumberFormat="1" applyFont="1" applyFill="1" applyBorder="1" applyAlignment="1">
      <alignment horizontal="right" vertical="top" wrapText="1"/>
    </xf>
    <xf numFmtId="0" fontId="22" fillId="0" borderId="44" xfId="5" applyNumberFormat="1" applyFont="1" applyFill="1" applyBorder="1" applyAlignment="1">
      <alignment horizontal="left" vertical="top" wrapText="1"/>
    </xf>
    <xf numFmtId="178" fontId="23" fillId="0" borderId="45" xfId="5" applyNumberFormat="1" applyFont="1" applyFill="1" applyBorder="1" applyAlignment="1">
      <alignment horizontal="right" vertical="top" wrapText="1"/>
    </xf>
    <xf numFmtId="176" fontId="23" fillId="0" borderId="45" xfId="5" applyNumberFormat="1" applyFont="1" applyFill="1" applyBorder="1" applyAlignment="1">
      <alignment horizontal="right" vertical="top" wrapText="1"/>
    </xf>
    <xf numFmtId="171" fontId="23" fillId="0" borderId="45" xfId="5" applyNumberFormat="1" applyFont="1" applyFill="1" applyBorder="1" applyAlignment="1">
      <alignment horizontal="right" vertical="top" wrapText="1"/>
    </xf>
    <xf numFmtId="168" fontId="23" fillId="0" borderId="45" xfId="5" applyNumberFormat="1" applyFont="1" applyFill="1" applyBorder="1" applyAlignment="1">
      <alignment horizontal="right" vertical="top" wrapText="1"/>
    </xf>
    <xf numFmtId="175" fontId="23" fillId="0" borderId="45" xfId="5" applyNumberFormat="1" applyFont="1" applyFill="1" applyBorder="1" applyAlignment="1">
      <alignment horizontal="right" vertical="top" wrapText="1"/>
    </xf>
    <xf numFmtId="4" fontId="23" fillId="0" borderId="45" xfId="5" applyNumberFormat="1" applyFont="1" applyFill="1" applyBorder="1" applyAlignment="1">
      <alignment horizontal="right" vertical="top" wrapText="1"/>
    </xf>
    <xf numFmtId="177" fontId="23" fillId="0" borderId="45" xfId="5" applyNumberFormat="1" applyFont="1" applyFill="1" applyBorder="1" applyAlignment="1">
      <alignment horizontal="left" vertical="top" wrapText="1"/>
    </xf>
    <xf numFmtId="173" fontId="23" fillId="0" borderId="45" xfId="5" applyNumberFormat="1" applyFont="1" applyFill="1" applyBorder="1" applyAlignment="1">
      <alignment horizontal="right" vertical="top" wrapText="1"/>
    </xf>
    <xf numFmtId="2" fontId="23" fillId="0" borderId="45" xfId="5" applyNumberFormat="1" applyFont="1" applyFill="1" applyBorder="1" applyAlignment="1">
      <alignment horizontal="right" vertical="top" wrapText="1"/>
    </xf>
    <xf numFmtId="172" fontId="23" fillId="0" borderId="45" xfId="5" applyNumberFormat="1" applyFont="1" applyFill="1" applyBorder="1" applyAlignment="1">
      <alignment horizontal="left" vertical="top" wrapText="1"/>
    </xf>
    <xf numFmtId="1" fontId="23" fillId="0" borderId="45" xfId="5" applyNumberFormat="1" applyFont="1" applyFill="1" applyBorder="1" applyAlignment="1">
      <alignment horizontal="left" vertical="top" wrapText="1"/>
    </xf>
    <xf numFmtId="167" fontId="22" fillId="0" borderId="45" xfId="5" applyNumberFormat="1" applyFont="1" applyFill="1" applyBorder="1" applyAlignment="1">
      <alignment horizontal="right" vertical="top" wrapText="1"/>
    </xf>
    <xf numFmtId="0" fontId="20" fillId="12" borderId="42" xfId="5" applyFont="1" applyFill="1" applyBorder="1" applyAlignment="1">
      <alignment vertical="top" wrapText="1"/>
    </xf>
    <xf numFmtId="0" fontId="21" fillId="12" borderId="5" xfId="5" applyNumberFormat="1" applyFont="1" applyFill="1" applyBorder="1" applyAlignment="1">
      <alignment vertical="top" wrapText="1"/>
    </xf>
    <xf numFmtId="0" fontId="22" fillId="13" borderId="43" xfId="5" applyFont="1" applyFill="1" applyBorder="1" applyAlignment="1">
      <alignment vertical="top" wrapText="1"/>
    </xf>
    <xf numFmtId="0" fontId="22" fillId="13" borderId="46" xfId="5" applyFont="1" applyFill="1" applyBorder="1" applyAlignment="1">
      <alignment vertical="top" wrapText="1"/>
    </xf>
    <xf numFmtId="0" fontId="22" fillId="13" borderId="44" xfId="5" applyFont="1" applyFill="1" applyBorder="1" applyAlignment="1">
      <alignment vertical="top" wrapText="1"/>
    </xf>
    <xf numFmtId="0" fontId="23" fillId="12" borderId="45" xfId="5" applyNumberFormat="1" applyFont="1" applyFill="1" applyBorder="1" applyAlignment="1">
      <alignment vertical="top" wrapText="1"/>
    </xf>
    <xf numFmtId="2" fontId="23" fillId="12" borderId="44" xfId="5" applyNumberFormat="1" applyFont="1" applyFill="1" applyBorder="1" applyAlignment="1">
      <alignment vertical="top" wrapText="1"/>
    </xf>
    <xf numFmtId="169" fontId="23" fillId="12" borderId="44" xfId="5" applyNumberFormat="1" applyFont="1" applyFill="1" applyBorder="1" applyAlignment="1">
      <alignment vertical="top" wrapText="1"/>
    </xf>
    <xf numFmtId="171" fontId="23" fillId="12" borderId="45" xfId="5" applyNumberFormat="1" applyFont="1" applyFill="1" applyBorder="1" applyAlignment="1">
      <alignment vertical="top" wrapText="1"/>
    </xf>
    <xf numFmtId="0" fontId="23" fillId="12" borderId="44" xfId="5" applyFont="1" applyFill="1" applyBorder="1" applyAlignment="1">
      <alignment vertical="top" wrapText="1"/>
    </xf>
    <xf numFmtId="172" fontId="23" fillId="12" borderId="45" xfId="5" applyNumberFormat="1" applyFont="1" applyFill="1" applyBorder="1" applyAlignment="1">
      <alignment vertical="top" wrapText="1"/>
    </xf>
    <xf numFmtId="1" fontId="23" fillId="12" borderId="45" xfId="5" applyNumberFormat="1" applyFont="1" applyFill="1" applyBorder="1" applyAlignment="1">
      <alignment vertical="top" wrapText="1"/>
    </xf>
    <xf numFmtId="4" fontId="23" fillId="12" borderId="44" xfId="5" applyNumberFormat="1" applyFont="1" applyFill="1" applyBorder="1" applyAlignment="1">
      <alignment vertical="top" wrapText="1"/>
    </xf>
    <xf numFmtId="176" fontId="23" fillId="12" borderId="44" xfId="5" applyNumberFormat="1" applyFont="1" applyFill="1" applyBorder="1" applyAlignment="1">
      <alignment vertical="top" wrapText="1"/>
    </xf>
    <xf numFmtId="173" fontId="23" fillId="12" borderId="44" xfId="5" applyNumberFormat="1" applyFont="1" applyFill="1" applyBorder="1" applyAlignment="1">
      <alignment vertical="top" wrapText="1"/>
    </xf>
    <xf numFmtId="178" fontId="23" fillId="12" borderId="44" xfId="5" applyNumberFormat="1" applyFont="1" applyFill="1" applyBorder="1" applyAlignment="1">
      <alignment vertical="top" wrapText="1"/>
    </xf>
    <xf numFmtId="174" fontId="23" fillId="12" borderId="44" xfId="5" applyNumberFormat="1" applyFont="1" applyFill="1" applyBorder="1" applyAlignment="1">
      <alignment vertical="top" wrapText="1"/>
    </xf>
    <xf numFmtId="175" fontId="23" fillId="12" borderId="45" xfId="5" applyNumberFormat="1" applyFont="1" applyFill="1" applyBorder="1" applyAlignment="1">
      <alignment vertical="top" wrapText="1"/>
    </xf>
    <xf numFmtId="177" fontId="23" fillId="12" borderId="45" xfId="5" applyNumberFormat="1" applyFont="1" applyFill="1" applyBorder="1" applyAlignment="1">
      <alignment vertical="top" wrapText="1"/>
    </xf>
    <xf numFmtId="169" fontId="23" fillId="12" borderId="45" xfId="5" applyNumberFormat="1" applyFont="1" applyFill="1" applyBorder="1" applyAlignment="1">
      <alignment vertical="top" wrapText="1"/>
    </xf>
    <xf numFmtId="174" fontId="23" fillId="12" borderId="45" xfId="5" applyNumberFormat="1" applyFont="1" applyFill="1" applyBorder="1" applyAlignment="1">
      <alignment vertical="top" wrapText="1"/>
    </xf>
    <xf numFmtId="171" fontId="23" fillId="12" borderId="44" xfId="5" applyNumberFormat="1" applyFont="1" applyFill="1" applyBorder="1" applyAlignment="1">
      <alignment vertical="top" wrapText="1"/>
    </xf>
    <xf numFmtId="175" fontId="23" fillId="12" borderId="44" xfId="5" applyNumberFormat="1" applyFont="1" applyFill="1" applyBorder="1" applyAlignment="1">
      <alignment vertical="top" wrapText="1"/>
    </xf>
    <xf numFmtId="168" fontId="23" fillId="12" borderId="44" xfId="5" applyNumberFormat="1" applyFont="1" applyFill="1" applyBorder="1" applyAlignment="1">
      <alignment vertical="top" wrapText="1"/>
    </xf>
    <xf numFmtId="179" fontId="23" fillId="12" borderId="44" xfId="5" applyNumberFormat="1" applyFont="1" applyFill="1" applyBorder="1" applyAlignment="1">
      <alignment vertical="top" wrapText="1"/>
    </xf>
    <xf numFmtId="180" fontId="23" fillId="12" borderId="44" xfId="5" applyNumberFormat="1" applyFont="1" applyFill="1" applyBorder="1" applyAlignment="1">
      <alignment vertical="top" wrapText="1"/>
    </xf>
    <xf numFmtId="181" fontId="23" fillId="12" borderId="44" xfId="5" applyNumberFormat="1" applyFont="1" applyFill="1" applyBorder="1" applyAlignment="1">
      <alignment vertical="top" wrapText="1"/>
    </xf>
    <xf numFmtId="0" fontId="22" fillId="13" borderId="45" xfId="5" applyNumberFormat="1" applyFont="1" applyFill="1" applyBorder="1" applyAlignment="1">
      <alignment vertical="top" wrapText="1"/>
    </xf>
    <xf numFmtId="164" fontId="0" fillId="0" borderId="0" xfId="0" applyNumberFormat="1"/>
    <xf numFmtId="43" fontId="8" fillId="0" borderId="0" xfId="0" applyNumberFormat="1" applyFont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64" fontId="7" fillId="4" borderId="40" xfId="0" applyNumberFormat="1" applyFont="1" applyFill="1" applyBorder="1" applyAlignment="1">
      <alignment horizontal="center" vertical="center"/>
    </xf>
    <xf numFmtId="0" fontId="7" fillId="0" borderId="39" xfId="0" applyFont="1" applyBorder="1" applyAlignment="1">
      <alignment vertical="center"/>
    </xf>
    <xf numFmtId="164" fontId="7" fillId="3" borderId="47" xfId="0" applyNumberFormat="1" applyFont="1" applyFill="1" applyBorder="1" applyAlignment="1">
      <alignment horizontal="center" vertical="center"/>
    </xf>
    <xf numFmtId="164" fontId="7" fillId="4" borderId="47" xfId="0" applyNumberFormat="1" applyFont="1" applyFill="1" applyBorder="1" applyAlignment="1">
      <alignment horizontal="center" vertical="center"/>
    </xf>
    <xf numFmtId="164" fontId="7" fillId="4" borderId="48" xfId="0" applyNumberFormat="1" applyFont="1" applyFill="1" applyBorder="1" applyAlignment="1">
      <alignment horizontal="center" vertical="center"/>
    </xf>
    <xf numFmtId="0" fontId="20" fillId="0" borderId="42" xfId="5" applyFont="1" applyFill="1" applyBorder="1" applyAlignment="1">
      <alignment horizontal="left" vertical="top" wrapText="1"/>
    </xf>
    <xf numFmtId="0" fontId="20" fillId="0" borderId="42" xfId="5" applyFont="1" applyFill="1" applyBorder="1" applyAlignment="1">
      <alignment horizontal="center" vertical="top" wrapText="1"/>
    </xf>
    <xf numFmtId="0" fontId="20" fillId="0" borderId="42" xfId="5" applyFont="1" applyFill="1" applyBorder="1" applyAlignment="1">
      <alignment horizontal="right" vertical="top" wrapText="1"/>
    </xf>
    <xf numFmtId="0" fontId="23" fillId="0" borderId="44" xfId="5" applyFont="1" applyFill="1" applyBorder="1" applyAlignment="1">
      <alignment horizontal="left" vertical="top" wrapText="1"/>
    </xf>
    <xf numFmtId="0" fontId="23" fillId="0" borderId="46" xfId="5" applyFont="1" applyFill="1" applyBorder="1" applyAlignment="1">
      <alignment horizontal="left" vertical="top" wrapText="1"/>
    </xf>
    <xf numFmtId="0" fontId="23" fillId="0" borderId="43" xfId="5" applyFont="1" applyFill="1" applyBorder="1" applyAlignment="1">
      <alignment horizontal="left" vertical="top" wrapText="1"/>
    </xf>
    <xf numFmtId="168" fontId="23" fillId="0" borderId="46" xfId="5" applyNumberFormat="1" applyFont="1" applyFill="1" applyBorder="1" applyAlignment="1">
      <alignment horizontal="right" vertical="top" wrapText="1"/>
    </xf>
    <xf numFmtId="168" fontId="23" fillId="0" borderId="43" xfId="5" applyNumberFormat="1" applyFont="1" applyFill="1" applyBorder="1" applyAlignment="1">
      <alignment horizontal="right" vertical="top" wrapText="1"/>
    </xf>
    <xf numFmtId="0" fontId="23" fillId="0" borderId="44" xfId="5" applyFont="1" applyFill="1" applyBorder="1" applyAlignment="1">
      <alignment horizontal="right" vertical="top" wrapText="1"/>
    </xf>
    <xf numFmtId="0" fontId="23" fillId="0" borderId="43" xfId="5" applyFont="1" applyFill="1" applyBorder="1" applyAlignment="1">
      <alignment horizontal="right" vertical="top" wrapText="1"/>
    </xf>
    <xf numFmtId="0" fontId="22" fillId="0" borderId="44" xfId="5" applyFont="1" applyFill="1" applyBorder="1" applyAlignment="1">
      <alignment horizontal="right" vertical="top" wrapText="1"/>
    </xf>
    <xf numFmtId="0" fontId="22" fillId="0" borderId="46" xfId="5" applyFont="1" applyFill="1" applyBorder="1" applyAlignment="1">
      <alignment horizontal="right" vertical="top" wrapText="1"/>
    </xf>
    <xf numFmtId="0" fontId="22" fillId="0" borderId="43" xfId="5" applyFont="1" applyFill="1" applyBorder="1" applyAlignment="1">
      <alignment horizontal="right" vertical="top" wrapText="1"/>
    </xf>
    <xf numFmtId="0" fontId="21" fillId="0" borderId="5" xfId="5" applyNumberFormat="1" applyFont="1" applyFill="1" applyBorder="1" applyAlignment="1">
      <alignment horizontal="left" vertical="top" wrapText="1"/>
    </xf>
    <xf numFmtId="0" fontId="21" fillId="0" borderId="5" xfId="5" applyNumberFormat="1" applyFont="1" applyFill="1" applyBorder="1" applyAlignment="1">
      <alignment horizontal="center" vertical="top" wrapText="1"/>
    </xf>
    <xf numFmtId="169" fontId="23" fillId="0" borderId="46" xfId="5" applyNumberFormat="1" applyFont="1" applyFill="1" applyBorder="1" applyAlignment="1">
      <alignment horizontal="right" vertical="top" wrapText="1"/>
    </xf>
    <xf numFmtId="169" fontId="23" fillId="0" borderId="43" xfId="5" applyNumberFormat="1" applyFont="1" applyFill="1" applyBorder="1" applyAlignment="1">
      <alignment horizontal="right" vertical="top" wrapText="1"/>
    </xf>
    <xf numFmtId="0" fontId="21" fillId="0" borderId="5" xfId="5" applyNumberFormat="1" applyFont="1" applyFill="1" applyBorder="1" applyAlignment="1">
      <alignment horizontal="right" vertical="top" wrapText="1"/>
    </xf>
    <xf numFmtId="0" fontId="24" fillId="0" borderId="5" xfId="5" applyNumberFormat="1" applyFont="1" applyFill="1" applyBorder="1" applyAlignment="1">
      <alignment horizontal="left" vertical="top" wrapText="1"/>
    </xf>
    <xf numFmtId="0" fontId="22" fillId="0" borderId="44" xfId="5" applyFont="1" applyFill="1" applyBorder="1" applyAlignment="1">
      <alignment horizontal="left" vertical="top" wrapText="1"/>
    </xf>
    <xf numFmtId="0" fontId="22" fillId="0" borderId="46" xfId="5" applyFont="1" applyFill="1" applyBorder="1" applyAlignment="1">
      <alignment horizontal="left" vertical="top" wrapText="1"/>
    </xf>
    <xf numFmtId="0" fontId="22" fillId="0" borderId="43" xfId="5" applyFont="1" applyFill="1" applyBorder="1" applyAlignment="1">
      <alignment horizontal="left" vertical="top" wrapText="1"/>
    </xf>
    <xf numFmtId="174" fontId="23" fillId="0" borderId="46" xfId="5" applyNumberFormat="1" applyFont="1" applyFill="1" applyBorder="1" applyAlignment="1">
      <alignment horizontal="right" vertical="top" wrapText="1"/>
    </xf>
    <xf numFmtId="174" fontId="23" fillId="0" borderId="43" xfId="5" applyNumberFormat="1" applyFont="1" applyFill="1" applyBorder="1" applyAlignment="1">
      <alignment horizontal="right" vertical="top" wrapText="1"/>
    </xf>
    <xf numFmtId="175" fontId="23" fillId="0" borderId="46" xfId="5" applyNumberFormat="1" applyFont="1" applyFill="1" applyBorder="1" applyAlignment="1">
      <alignment horizontal="right" vertical="top" wrapText="1"/>
    </xf>
    <xf numFmtId="175" fontId="23" fillId="0" borderId="43" xfId="5" applyNumberFormat="1" applyFont="1" applyFill="1" applyBorder="1" applyAlignment="1">
      <alignment horizontal="right" vertical="top" wrapText="1"/>
    </xf>
    <xf numFmtId="171" fontId="23" fillId="0" borderId="46" xfId="5" applyNumberFormat="1" applyFont="1" applyFill="1" applyBorder="1" applyAlignment="1">
      <alignment horizontal="right" vertical="top" wrapText="1"/>
    </xf>
    <xf numFmtId="171" fontId="23" fillId="0" borderId="43" xfId="5" applyNumberFormat="1" applyFont="1" applyFill="1" applyBorder="1" applyAlignment="1">
      <alignment horizontal="right" vertical="top" wrapText="1"/>
    </xf>
    <xf numFmtId="179" fontId="23" fillId="0" borderId="46" xfId="5" applyNumberFormat="1" applyFont="1" applyFill="1" applyBorder="1" applyAlignment="1">
      <alignment horizontal="right" vertical="top" wrapText="1"/>
    </xf>
    <xf numFmtId="179" fontId="23" fillId="0" borderId="43" xfId="5" applyNumberFormat="1" applyFont="1" applyFill="1" applyBorder="1" applyAlignment="1">
      <alignment horizontal="right" vertical="top" wrapText="1"/>
    </xf>
    <xf numFmtId="181" fontId="23" fillId="0" borderId="46" xfId="5" applyNumberFormat="1" applyFont="1" applyFill="1" applyBorder="1" applyAlignment="1">
      <alignment horizontal="right" vertical="top" wrapText="1"/>
    </xf>
    <xf numFmtId="181" fontId="23" fillId="0" borderId="43" xfId="5" applyNumberFormat="1" applyFont="1" applyFill="1" applyBorder="1" applyAlignment="1">
      <alignment horizontal="right" vertical="top" wrapText="1"/>
    </xf>
    <xf numFmtId="0" fontId="4" fillId="2" borderId="6" xfId="0" applyFont="1" applyFill="1" applyBorder="1" applyAlignment="1">
      <alignment horizontal="center" vertical="center"/>
    </xf>
    <xf numFmtId="0" fontId="6" fillId="0" borderId="8" xfId="0" applyFont="1" applyBorder="1"/>
    <xf numFmtId="0" fontId="5" fillId="2" borderId="13" xfId="0" applyFont="1" applyFill="1" applyBorder="1" applyAlignment="1">
      <alignment horizontal="center" vertical="center"/>
    </xf>
    <xf numFmtId="0" fontId="6" fillId="0" borderId="13" xfId="0" applyFont="1" applyBorder="1"/>
    <xf numFmtId="0" fontId="4" fillId="2" borderId="32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</cellXfs>
  <cellStyles count="6">
    <cellStyle name="Moeda" xfId="1" builtinId="4"/>
    <cellStyle name="Normal" xfId="0" builtinId="0"/>
    <cellStyle name="Normal 2" xfId="3" xr:uid="{89934119-66BE-4554-8D7F-F4FDAB4F0E33}"/>
    <cellStyle name="Normal 3" xfId="5" xr:uid="{DEFB3579-639C-43CE-B4D0-6DEF18263A1D}"/>
    <cellStyle name="Porcentagem 2" xfId="4" xr:uid="{910739D4-B953-4402-8BEC-DCBA788BEB45}"/>
    <cellStyle name="Vírgula" xfId="2" builtinId="3"/>
  </cellStyles>
  <dxfs count="0"/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ECC-D3E1-4A8F-8151-9733E63D57AB}">
  <dimension ref="A1:G161"/>
  <sheetViews>
    <sheetView topLeftCell="A4" zoomScaleNormal="100" workbookViewId="0">
      <selection activeCell="B35" sqref="B35"/>
    </sheetView>
  </sheetViews>
  <sheetFormatPr defaultRowHeight="13.2" x14ac:dyDescent="0.25"/>
  <cols>
    <col min="1" max="1" width="12.21875" style="116" bestFit="1" customWidth="1"/>
    <col min="2" max="2" width="39.88671875" style="116" bestFit="1" customWidth="1"/>
    <col min="3" max="3" width="2.77734375" style="116" bestFit="1" customWidth="1"/>
    <col min="4" max="4" width="10.21875" style="116" bestFit="1" customWidth="1"/>
    <col min="5" max="5" width="10.33203125" style="116" bestFit="1" customWidth="1"/>
    <col min="6" max="6" width="8.77734375" style="116" bestFit="1" customWidth="1"/>
    <col min="7" max="7" width="11.77734375" style="116" bestFit="1" customWidth="1"/>
    <col min="8" max="16384" width="8.88671875" style="116"/>
  </cols>
  <sheetData>
    <row r="1" spans="1:7" ht="9.75" customHeight="1" x14ac:dyDescent="0.25">
      <c r="A1" s="172" t="s">
        <v>72</v>
      </c>
      <c r="B1" s="149" t="s">
        <v>71</v>
      </c>
      <c r="C1" s="149" t="s">
        <v>70</v>
      </c>
      <c r="D1" s="172" t="s">
        <v>69</v>
      </c>
      <c r="E1" s="149" t="s">
        <v>68</v>
      </c>
      <c r="F1" s="149" t="s">
        <v>67</v>
      </c>
      <c r="G1" s="172" t="s">
        <v>297</v>
      </c>
    </row>
    <row r="2" spans="1:7" ht="9.6" customHeight="1" x14ac:dyDescent="0.25">
      <c r="A2" s="119">
        <v>6726</v>
      </c>
      <c r="B2" s="154" t="s">
        <v>270</v>
      </c>
      <c r="C2" s="154" t="s">
        <v>65</v>
      </c>
      <c r="D2" s="117">
        <v>1</v>
      </c>
      <c r="E2" s="171">
        <v>3670000</v>
      </c>
      <c r="F2" s="170">
        <v>3670000</v>
      </c>
      <c r="G2" s="118" t="s">
        <v>277</v>
      </c>
    </row>
    <row r="3" spans="1:7" ht="9.6" customHeight="1" x14ac:dyDescent="0.25">
      <c r="A3" s="119">
        <v>5181</v>
      </c>
      <c r="B3" s="154" t="s">
        <v>268</v>
      </c>
      <c r="C3" s="154" t="s">
        <v>65</v>
      </c>
      <c r="D3" s="117">
        <v>1</v>
      </c>
      <c r="E3" s="169">
        <v>982359.81</v>
      </c>
      <c r="F3" s="160">
        <v>982359.81</v>
      </c>
      <c r="G3" s="118" t="s">
        <v>277</v>
      </c>
    </row>
    <row r="4" spans="1:7" ht="9.6" customHeight="1" x14ac:dyDescent="0.25">
      <c r="A4" s="119">
        <v>7575</v>
      </c>
      <c r="B4" s="154" t="s">
        <v>173</v>
      </c>
      <c r="C4" s="154" t="s">
        <v>65</v>
      </c>
      <c r="D4" s="117">
        <v>1</v>
      </c>
      <c r="E4" s="169">
        <v>187036.66829999999</v>
      </c>
      <c r="F4" s="160">
        <v>187036.67</v>
      </c>
      <c r="G4" s="118" t="s">
        <v>280</v>
      </c>
    </row>
    <row r="5" spans="1:7" ht="9.6" customHeight="1" x14ac:dyDescent="0.25">
      <c r="A5" s="119">
        <v>5006</v>
      </c>
      <c r="B5" s="154" t="s">
        <v>155</v>
      </c>
      <c r="C5" s="154" t="s">
        <v>90</v>
      </c>
      <c r="D5" s="117">
        <v>1</v>
      </c>
      <c r="E5" s="169">
        <v>152799.20000000001</v>
      </c>
      <c r="F5" s="160">
        <v>152799.20000000001</v>
      </c>
      <c r="G5" s="118" t="s">
        <v>276</v>
      </c>
    </row>
    <row r="6" spans="1:7" ht="9.6" customHeight="1" x14ac:dyDescent="0.25">
      <c r="A6" s="119">
        <v>8651</v>
      </c>
      <c r="B6" s="154" t="s">
        <v>267</v>
      </c>
      <c r="C6" s="154" t="s">
        <v>65</v>
      </c>
      <c r="D6" s="117">
        <v>1</v>
      </c>
      <c r="E6" s="168">
        <v>96675</v>
      </c>
      <c r="F6" s="158">
        <v>96675</v>
      </c>
      <c r="G6" s="118" t="s">
        <v>277</v>
      </c>
    </row>
    <row r="7" spans="1:7" ht="19.2" customHeight="1" x14ac:dyDescent="0.25">
      <c r="A7" s="119">
        <v>7569</v>
      </c>
      <c r="B7" s="154" t="s">
        <v>129</v>
      </c>
      <c r="C7" s="154" t="s">
        <v>65</v>
      </c>
      <c r="D7" s="117">
        <v>1</v>
      </c>
      <c r="E7" s="168">
        <v>83451.16</v>
      </c>
      <c r="F7" s="158">
        <v>83451.16</v>
      </c>
      <c r="G7" s="118" t="s">
        <v>276</v>
      </c>
    </row>
    <row r="8" spans="1:7" ht="9.6" customHeight="1" x14ac:dyDescent="0.25">
      <c r="A8" s="119">
        <v>7488</v>
      </c>
      <c r="B8" s="154" t="s">
        <v>153</v>
      </c>
      <c r="C8" s="154" t="s">
        <v>65</v>
      </c>
      <c r="D8" s="117">
        <v>1</v>
      </c>
      <c r="E8" s="168">
        <v>77643.740000000005</v>
      </c>
      <c r="F8" s="158">
        <v>77643.740000000005</v>
      </c>
      <c r="G8" s="118" t="s">
        <v>275</v>
      </c>
    </row>
    <row r="9" spans="1:7" ht="9.6" customHeight="1" x14ac:dyDescent="0.25">
      <c r="A9" s="119">
        <v>6406</v>
      </c>
      <c r="B9" s="154" t="s">
        <v>127</v>
      </c>
      <c r="C9" s="154" t="s">
        <v>65</v>
      </c>
      <c r="D9" s="117">
        <v>1</v>
      </c>
      <c r="E9" s="168">
        <v>73904.11</v>
      </c>
      <c r="F9" s="158">
        <v>73904.11</v>
      </c>
      <c r="G9" s="118" t="s">
        <v>282</v>
      </c>
    </row>
    <row r="10" spans="1:7" ht="9.6" customHeight="1" x14ac:dyDescent="0.25">
      <c r="A10" s="119">
        <v>7484</v>
      </c>
      <c r="B10" s="154" t="s">
        <v>184</v>
      </c>
      <c r="C10" s="154" t="s">
        <v>65</v>
      </c>
      <c r="D10" s="117">
        <v>1</v>
      </c>
      <c r="E10" s="168">
        <v>57327.856</v>
      </c>
      <c r="F10" s="158">
        <v>57327.86</v>
      </c>
      <c r="G10" s="118" t="s">
        <v>278</v>
      </c>
    </row>
    <row r="11" spans="1:7" ht="9.6" customHeight="1" x14ac:dyDescent="0.25">
      <c r="A11" s="119">
        <v>5428</v>
      </c>
      <c r="B11" s="154" t="s">
        <v>122</v>
      </c>
      <c r="C11" s="154" t="s">
        <v>65</v>
      </c>
      <c r="D11" s="117">
        <v>1</v>
      </c>
      <c r="E11" s="168">
        <v>53582</v>
      </c>
      <c r="F11" s="158">
        <v>53582</v>
      </c>
      <c r="G11" s="118" t="s">
        <v>277</v>
      </c>
    </row>
    <row r="12" spans="1:7" ht="9.6" customHeight="1" x14ac:dyDescent="0.25">
      <c r="A12" s="119">
        <v>7593</v>
      </c>
      <c r="B12" s="154" t="s">
        <v>120</v>
      </c>
      <c r="C12" s="154" t="s">
        <v>65</v>
      </c>
      <c r="D12" s="117">
        <v>1</v>
      </c>
      <c r="E12" s="168">
        <v>46449</v>
      </c>
      <c r="F12" s="158">
        <v>46449</v>
      </c>
      <c r="G12" s="118" t="s">
        <v>277</v>
      </c>
    </row>
    <row r="13" spans="1:7" ht="9.6" customHeight="1" x14ac:dyDescent="0.25">
      <c r="A13" s="119">
        <v>5142</v>
      </c>
      <c r="B13" s="154" t="s">
        <v>112</v>
      </c>
      <c r="C13" s="154" t="s">
        <v>65</v>
      </c>
      <c r="D13" s="117">
        <v>1</v>
      </c>
      <c r="E13" s="168">
        <v>44600</v>
      </c>
      <c r="F13" s="158">
        <v>44600</v>
      </c>
      <c r="G13" s="118" t="s">
        <v>278</v>
      </c>
    </row>
    <row r="14" spans="1:7" ht="9.6" customHeight="1" x14ac:dyDescent="0.25">
      <c r="A14" s="119">
        <v>7482</v>
      </c>
      <c r="B14" s="154" t="s">
        <v>182</v>
      </c>
      <c r="C14" s="154" t="s">
        <v>65</v>
      </c>
      <c r="D14" s="117">
        <v>1</v>
      </c>
      <c r="E14" s="168">
        <v>41308.160000000003</v>
      </c>
      <c r="F14" s="158">
        <v>41308.160000000003</v>
      </c>
      <c r="G14" s="118" t="s">
        <v>278</v>
      </c>
    </row>
    <row r="15" spans="1:7" ht="9.6" customHeight="1" x14ac:dyDescent="0.25">
      <c r="A15" s="119">
        <v>1370</v>
      </c>
      <c r="B15" s="154" t="s">
        <v>266</v>
      </c>
      <c r="C15" s="154" t="s">
        <v>65</v>
      </c>
      <c r="D15" s="117">
        <v>1</v>
      </c>
      <c r="E15" s="168">
        <v>41259.26</v>
      </c>
      <c r="F15" s="158">
        <v>41259.26</v>
      </c>
      <c r="G15" s="118" t="s">
        <v>277</v>
      </c>
    </row>
    <row r="16" spans="1:7" ht="9.6" customHeight="1" x14ac:dyDescent="0.25">
      <c r="A16" s="119">
        <v>7483</v>
      </c>
      <c r="B16" s="154" t="s">
        <v>296</v>
      </c>
      <c r="C16" s="154" t="s">
        <v>65</v>
      </c>
      <c r="D16" s="117">
        <v>0</v>
      </c>
      <c r="E16" s="168">
        <v>39168.423000000003</v>
      </c>
      <c r="F16" s="151">
        <v>0</v>
      </c>
      <c r="G16" s="118" t="s">
        <v>278</v>
      </c>
    </row>
    <row r="17" spans="1:7" ht="9.6" customHeight="1" x14ac:dyDescent="0.25">
      <c r="A17" s="119">
        <v>7483</v>
      </c>
      <c r="B17" s="154" t="s">
        <v>181</v>
      </c>
      <c r="C17" s="154" t="s">
        <v>65</v>
      </c>
      <c r="D17" s="117">
        <v>1</v>
      </c>
      <c r="E17" s="168">
        <v>29446.072</v>
      </c>
      <c r="F17" s="158">
        <v>29446.07</v>
      </c>
      <c r="G17" s="118" t="s">
        <v>278</v>
      </c>
    </row>
    <row r="18" spans="1:7" ht="9.6" customHeight="1" x14ac:dyDescent="0.25">
      <c r="A18" s="119">
        <v>7485</v>
      </c>
      <c r="B18" s="154" t="s">
        <v>180</v>
      </c>
      <c r="C18" s="154" t="s">
        <v>65</v>
      </c>
      <c r="D18" s="117">
        <v>1</v>
      </c>
      <c r="E18" s="168">
        <v>28200.272000000001</v>
      </c>
      <c r="F18" s="158">
        <v>28200.27</v>
      </c>
      <c r="G18" s="118" t="s">
        <v>278</v>
      </c>
    </row>
    <row r="19" spans="1:7" ht="9.6" customHeight="1" x14ac:dyDescent="0.25">
      <c r="A19" s="119">
        <v>7279</v>
      </c>
      <c r="B19" s="154" t="s">
        <v>233</v>
      </c>
      <c r="C19" s="154" t="s">
        <v>65</v>
      </c>
      <c r="D19" s="117">
        <v>1</v>
      </c>
      <c r="E19" s="168">
        <v>27791.56</v>
      </c>
      <c r="F19" s="158">
        <v>27791.56</v>
      </c>
      <c r="G19" s="118" t="s">
        <v>282</v>
      </c>
    </row>
    <row r="20" spans="1:7" ht="9.6" customHeight="1" x14ac:dyDescent="0.25">
      <c r="A20" s="119">
        <v>7489</v>
      </c>
      <c r="B20" s="154" t="s">
        <v>152</v>
      </c>
      <c r="C20" s="154" t="s">
        <v>65</v>
      </c>
      <c r="D20" s="117">
        <v>1</v>
      </c>
      <c r="E20" s="168">
        <v>26110.67</v>
      </c>
      <c r="F20" s="158">
        <v>26110.67</v>
      </c>
      <c r="G20" s="118" t="s">
        <v>275</v>
      </c>
    </row>
    <row r="21" spans="1:7" ht="9.6" customHeight="1" x14ac:dyDescent="0.25">
      <c r="A21" s="119">
        <v>7490</v>
      </c>
      <c r="B21" s="154" t="s">
        <v>151</v>
      </c>
      <c r="C21" s="154" t="s">
        <v>65</v>
      </c>
      <c r="D21" s="117">
        <v>1</v>
      </c>
      <c r="E21" s="168">
        <v>21675.93</v>
      </c>
      <c r="F21" s="158">
        <v>21675.93</v>
      </c>
      <c r="G21" s="118" t="s">
        <v>275</v>
      </c>
    </row>
    <row r="22" spans="1:7" ht="9.6" customHeight="1" x14ac:dyDescent="0.25">
      <c r="A22" s="119">
        <v>6558</v>
      </c>
      <c r="B22" s="154" t="s">
        <v>66</v>
      </c>
      <c r="C22" s="154" t="s">
        <v>65</v>
      </c>
      <c r="D22" s="117">
        <v>0</v>
      </c>
      <c r="E22" s="168">
        <v>21565.05</v>
      </c>
      <c r="F22" s="151">
        <v>0</v>
      </c>
      <c r="G22" s="118" t="s">
        <v>293</v>
      </c>
    </row>
    <row r="23" spans="1:7" ht="9.6" customHeight="1" x14ac:dyDescent="0.25">
      <c r="A23" s="119">
        <v>7287</v>
      </c>
      <c r="B23" s="154" t="s">
        <v>104</v>
      </c>
      <c r="C23" s="154" t="s">
        <v>65</v>
      </c>
      <c r="D23" s="117">
        <v>1</v>
      </c>
      <c r="E23" s="168">
        <v>17273.349999999999</v>
      </c>
      <c r="F23" s="158">
        <v>17273.349999999999</v>
      </c>
      <c r="G23" s="118" t="s">
        <v>277</v>
      </c>
    </row>
    <row r="24" spans="1:7" ht="9.6" customHeight="1" x14ac:dyDescent="0.25">
      <c r="A24" s="119">
        <v>7486</v>
      </c>
      <c r="B24" s="154" t="s">
        <v>179</v>
      </c>
      <c r="C24" s="154" t="s">
        <v>65</v>
      </c>
      <c r="D24" s="117">
        <v>1</v>
      </c>
      <c r="E24" s="168">
        <v>16300.38</v>
      </c>
      <c r="F24" s="158">
        <v>16300.38</v>
      </c>
      <c r="G24" s="118" t="s">
        <v>276</v>
      </c>
    </row>
    <row r="25" spans="1:7" ht="9.6" customHeight="1" x14ac:dyDescent="0.25">
      <c r="A25" s="119">
        <v>7574</v>
      </c>
      <c r="B25" s="154" t="s">
        <v>172</v>
      </c>
      <c r="C25" s="154" t="s">
        <v>65</v>
      </c>
      <c r="D25" s="117">
        <v>1</v>
      </c>
      <c r="E25" s="168">
        <v>12744.58</v>
      </c>
      <c r="F25" s="158">
        <v>12744.58</v>
      </c>
      <c r="G25" s="118" t="s">
        <v>282</v>
      </c>
    </row>
    <row r="26" spans="1:7" ht="9.6" customHeight="1" x14ac:dyDescent="0.25">
      <c r="A26" s="119">
        <v>1422</v>
      </c>
      <c r="B26" s="154" t="s">
        <v>95</v>
      </c>
      <c r="C26" s="154" t="s">
        <v>65</v>
      </c>
      <c r="D26" s="117">
        <v>1</v>
      </c>
      <c r="E26" s="167">
        <v>8985.85</v>
      </c>
      <c r="F26" s="157">
        <v>8985.85</v>
      </c>
      <c r="G26" s="118" t="s">
        <v>275</v>
      </c>
    </row>
    <row r="27" spans="1:7" ht="9.6" customHeight="1" x14ac:dyDescent="0.25">
      <c r="A27" s="119">
        <v>7571</v>
      </c>
      <c r="B27" s="154" t="s">
        <v>88</v>
      </c>
      <c r="C27" s="154" t="s">
        <v>65</v>
      </c>
      <c r="D27" s="117">
        <v>1</v>
      </c>
      <c r="E27" s="167">
        <v>5156.2550000000001</v>
      </c>
      <c r="F27" s="157">
        <v>5156.26</v>
      </c>
      <c r="G27" s="118" t="s">
        <v>278</v>
      </c>
    </row>
    <row r="28" spans="1:7" ht="9.6" customHeight="1" x14ac:dyDescent="0.25">
      <c r="A28" s="119">
        <v>7491</v>
      </c>
      <c r="B28" s="154" t="s">
        <v>295</v>
      </c>
      <c r="C28" s="154" t="s">
        <v>65</v>
      </c>
      <c r="D28" s="117">
        <v>0</v>
      </c>
      <c r="E28" s="167">
        <v>2151.6</v>
      </c>
      <c r="F28" s="151">
        <v>0</v>
      </c>
      <c r="G28" s="118" t="s">
        <v>294</v>
      </c>
    </row>
    <row r="29" spans="1:7" ht="9.6" customHeight="1" x14ac:dyDescent="0.25">
      <c r="A29" s="119">
        <v>7291</v>
      </c>
      <c r="B29" s="154" t="s">
        <v>183</v>
      </c>
      <c r="C29" s="154" t="s">
        <v>65</v>
      </c>
      <c r="D29" s="122">
        <v>29</v>
      </c>
      <c r="E29" s="167">
        <v>1750</v>
      </c>
      <c r="F29" s="158">
        <v>50750</v>
      </c>
      <c r="G29" s="118" t="s">
        <v>282</v>
      </c>
    </row>
    <row r="30" spans="1:7" ht="9.6" customHeight="1" x14ac:dyDescent="0.25">
      <c r="A30" s="119">
        <v>7282</v>
      </c>
      <c r="B30" s="154" t="s">
        <v>136</v>
      </c>
      <c r="C30" s="154" t="s">
        <v>100</v>
      </c>
      <c r="D30" s="122">
        <v>10.0242</v>
      </c>
      <c r="E30" s="167">
        <v>1669.74</v>
      </c>
      <c r="F30" s="158">
        <v>16737.810000000001</v>
      </c>
      <c r="G30" s="118" t="s">
        <v>293</v>
      </c>
    </row>
    <row r="31" spans="1:7" ht="9.6" customHeight="1" x14ac:dyDescent="0.25">
      <c r="A31" s="119">
        <v>1314</v>
      </c>
      <c r="B31" s="154" t="s">
        <v>131</v>
      </c>
      <c r="C31" s="154" t="s">
        <v>100</v>
      </c>
      <c r="D31" s="117">
        <v>0</v>
      </c>
      <c r="E31" s="167">
        <v>1490</v>
      </c>
      <c r="F31" s="151">
        <v>0</v>
      </c>
      <c r="G31" s="118" t="s">
        <v>292</v>
      </c>
    </row>
    <row r="32" spans="1:7" ht="9.6" customHeight="1" x14ac:dyDescent="0.25">
      <c r="A32" s="119">
        <v>7289</v>
      </c>
      <c r="B32" s="154" t="s">
        <v>148</v>
      </c>
      <c r="C32" s="154" t="s">
        <v>65</v>
      </c>
      <c r="D32" s="122">
        <v>93</v>
      </c>
      <c r="E32" s="167">
        <v>1317.15</v>
      </c>
      <c r="F32" s="160">
        <v>122494.95</v>
      </c>
      <c r="G32" s="118" t="s">
        <v>282</v>
      </c>
    </row>
    <row r="33" spans="1:7" ht="9.6" customHeight="1" x14ac:dyDescent="0.25">
      <c r="A33" s="163">
        <v>933</v>
      </c>
      <c r="B33" s="154" t="s">
        <v>135</v>
      </c>
      <c r="C33" s="154" t="s">
        <v>100</v>
      </c>
      <c r="D33" s="164">
        <v>8.1129999999999995</v>
      </c>
      <c r="E33" s="167">
        <v>1090</v>
      </c>
      <c r="F33" s="157">
        <v>8843.17</v>
      </c>
      <c r="G33" s="150" t="s">
        <v>284</v>
      </c>
    </row>
    <row r="34" spans="1:7" ht="9.6" customHeight="1" x14ac:dyDescent="0.25">
      <c r="A34" s="119">
        <v>7414</v>
      </c>
      <c r="B34" s="154" t="s">
        <v>134</v>
      </c>
      <c r="C34" s="154" t="s">
        <v>100</v>
      </c>
      <c r="D34" s="117">
        <v>5.9024000000000001</v>
      </c>
      <c r="E34" s="167">
        <v>1090</v>
      </c>
      <c r="F34" s="157">
        <v>6433.62</v>
      </c>
      <c r="G34" s="118" t="s">
        <v>284</v>
      </c>
    </row>
    <row r="35" spans="1:7" ht="9.6" customHeight="1" x14ac:dyDescent="0.25">
      <c r="A35" s="119">
        <v>1306</v>
      </c>
      <c r="B35" s="154" t="s">
        <v>137</v>
      </c>
      <c r="C35" s="154" t="s">
        <v>100</v>
      </c>
      <c r="D35" s="122">
        <v>19.8033</v>
      </c>
      <c r="E35" s="167">
        <v>1000</v>
      </c>
      <c r="F35" s="158">
        <v>19803.3</v>
      </c>
      <c r="G35" s="118" t="s">
        <v>275</v>
      </c>
    </row>
    <row r="36" spans="1:7" ht="9.6" customHeight="1" x14ac:dyDescent="0.25">
      <c r="A36" s="119">
        <v>7424</v>
      </c>
      <c r="B36" s="154" t="s">
        <v>132</v>
      </c>
      <c r="C36" s="154" t="s">
        <v>100</v>
      </c>
      <c r="D36" s="117">
        <v>0.1172</v>
      </c>
      <c r="E36" s="167">
        <v>1000</v>
      </c>
      <c r="F36" s="159">
        <v>117.2</v>
      </c>
      <c r="G36" s="118" t="s">
        <v>276</v>
      </c>
    </row>
    <row r="37" spans="1:7" ht="19.2" customHeight="1" x14ac:dyDescent="0.25">
      <c r="A37" s="119">
        <v>7425</v>
      </c>
      <c r="B37" s="154" t="s">
        <v>133</v>
      </c>
      <c r="C37" s="154" t="s">
        <v>100</v>
      </c>
      <c r="D37" s="117">
        <v>0.22370000000000001</v>
      </c>
      <c r="E37" s="166">
        <v>850.03</v>
      </c>
      <c r="F37" s="159">
        <v>190.15</v>
      </c>
      <c r="G37" s="118" t="s">
        <v>276</v>
      </c>
    </row>
    <row r="38" spans="1:7" ht="9.6" customHeight="1" x14ac:dyDescent="0.25">
      <c r="A38" s="119">
        <v>7590</v>
      </c>
      <c r="B38" s="154" t="s">
        <v>140</v>
      </c>
      <c r="C38" s="154" t="s">
        <v>90</v>
      </c>
      <c r="D38" s="122">
        <v>30</v>
      </c>
      <c r="E38" s="166">
        <v>789.76</v>
      </c>
      <c r="F38" s="158">
        <v>23692.799999999999</v>
      </c>
      <c r="G38" s="118" t="s">
        <v>277</v>
      </c>
    </row>
    <row r="39" spans="1:7" ht="9.6" customHeight="1" x14ac:dyDescent="0.25">
      <c r="A39" s="119">
        <v>7586</v>
      </c>
      <c r="B39" s="154" t="s">
        <v>142</v>
      </c>
      <c r="C39" s="154" t="s">
        <v>90</v>
      </c>
      <c r="D39" s="122">
        <v>77</v>
      </c>
      <c r="E39" s="166">
        <v>715.76</v>
      </c>
      <c r="F39" s="158">
        <v>55113.52</v>
      </c>
      <c r="G39" s="118" t="s">
        <v>277</v>
      </c>
    </row>
    <row r="40" spans="1:7" ht="9.6" customHeight="1" x14ac:dyDescent="0.25">
      <c r="A40" s="119">
        <v>7588</v>
      </c>
      <c r="B40" s="154" t="s">
        <v>141</v>
      </c>
      <c r="C40" s="154" t="s">
        <v>90</v>
      </c>
      <c r="D40" s="122">
        <v>55</v>
      </c>
      <c r="E40" s="166">
        <v>715.76</v>
      </c>
      <c r="F40" s="158">
        <v>39366.800000000003</v>
      </c>
      <c r="G40" s="118" t="s">
        <v>277</v>
      </c>
    </row>
    <row r="41" spans="1:7" ht="9.6" customHeight="1" x14ac:dyDescent="0.25">
      <c r="A41" s="119">
        <v>8673</v>
      </c>
      <c r="B41" s="154" t="s">
        <v>216</v>
      </c>
      <c r="C41" s="154" t="s">
        <v>100</v>
      </c>
      <c r="D41" s="123">
        <v>1236.1965</v>
      </c>
      <c r="E41" s="166">
        <v>612.34</v>
      </c>
      <c r="F41" s="160">
        <v>756972.56</v>
      </c>
      <c r="G41" s="118" t="s">
        <v>275</v>
      </c>
    </row>
    <row r="42" spans="1:7" ht="9.6" customHeight="1" x14ac:dyDescent="0.25">
      <c r="A42" s="119">
        <v>4730</v>
      </c>
      <c r="B42" s="154" t="s">
        <v>215</v>
      </c>
      <c r="C42" s="154" t="s">
        <v>100</v>
      </c>
      <c r="D42" s="121">
        <v>153.62549999999999</v>
      </c>
      <c r="E42" s="166">
        <v>605</v>
      </c>
      <c r="F42" s="158">
        <v>92943.43</v>
      </c>
      <c r="G42" s="118" t="s">
        <v>278</v>
      </c>
    </row>
    <row r="43" spans="1:7" ht="9.6" customHeight="1" x14ac:dyDescent="0.25">
      <c r="A43" s="119">
        <v>5788</v>
      </c>
      <c r="B43" s="154" t="s">
        <v>170</v>
      </c>
      <c r="C43" s="154" t="s">
        <v>100</v>
      </c>
      <c r="D43" s="121">
        <v>143.4676</v>
      </c>
      <c r="E43" s="166">
        <v>600</v>
      </c>
      <c r="F43" s="158">
        <v>86080.56</v>
      </c>
      <c r="G43" s="118" t="s">
        <v>278</v>
      </c>
    </row>
    <row r="44" spans="1:7" ht="9.6" customHeight="1" x14ac:dyDescent="0.25">
      <c r="A44" s="119">
        <v>4732</v>
      </c>
      <c r="B44" s="154" t="s">
        <v>214</v>
      </c>
      <c r="C44" s="154" t="s">
        <v>100</v>
      </c>
      <c r="D44" s="122">
        <v>67.2804</v>
      </c>
      <c r="E44" s="166">
        <v>585</v>
      </c>
      <c r="F44" s="158">
        <v>39359.03</v>
      </c>
      <c r="G44" s="118" t="s">
        <v>278</v>
      </c>
    </row>
    <row r="45" spans="1:7" ht="9.6" customHeight="1" x14ac:dyDescent="0.25">
      <c r="A45" s="119">
        <v>2055</v>
      </c>
      <c r="B45" s="154" t="s">
        <v>168</v>
      </c>
      <c r="C45" s="154" t="s">
        <v>100</v>
      </c>
      <c r="D45" s="122">
        <v>64.936499999999995</v>
      </c>
      <c r="E45" s="166">
        <v>580</v>
      </c>
      <c r="F45" s="158">
        <v>37663.17</v>
      </c>
      <c r="G45" s="118" t="s">
        <v>291</v>
      </c>
    </row>
    <row r="46" spans="1:7" ht="9.6" customHeight="1" x14ac:dyDescent="0.25">
      <c r="A46" s="119">
        <v>5751</v>
      </c>
      <c r="B46" s="154" t="s">
        <v>188</v>
      </c>
      <c r="C46" s="154" t="s">
        <v>100</v>
      </c>
      <c r="D46" s="121">
        <v>483.83960000000002</v>
      </c>
      <c r="E46" s="166">
        <v>580</v>
      </c>
      <c r="F46" s="160">
        <v>280626.96999999997</v>
      </c>
      <c r="G46" s="118" t="s">
        <v>276</v>
      </c>
    </row>
    <row r="47" spans="1:7" ht="9.6" customHeight="1" x14ac:dyDescent="0.25">
      <c r="A47" s="119">
        <v>7600</v>
      </c>
      <c r="B47" s="154" t="s">
        <v>110</v>
      </c>
      <c r="C47" s="154" t="s">
        <v>109</v>
      </c>
      <c r="D47" s="122">
        <v>77.87</v>
      </c>
      <c r="E47" s="166">
        <v>546.66999999999996</v>
      </c>
      <c r="F47" s="158">
        <v>42569.19</v>
      </c>
      <c r="G47" s="118" t="s">
        <v>277</v>
      </c>
    </row>
    <row r="48" spans="1:7" ht="19.2" customHeight="1" x14ac:dyDescent="0.25">
      <c r="A48" s="119">
        <v>2042</v>
      </c>
      <c r="B48" s="154" t="s">
        <v>205</v>
      </c>
      <c r="C48" s="154" t="s">
        <v>97</v>
      </c>
      <c r="D48" s="122">
        <v>22.512</v>
      </c>
      <c r="E48" s="166">
        <v>440</v>
      </c>
      <c r="F48" s="157">
        <v>9905.2800000000007</v>
      </c>
      <c r="G48" s="118" t="s">
        <v>276</v>
      </c>
    </row>
    <row r="49" spans="1:7" ht="9.6" customHeight="1" x14ac:dyDescent="0.25">
      <c r="A49" s="119">
        <v>2042</v>
      </c>
      <c r="B49" s="154" t="s">
        <v>290</v>
      </c>
      <c r="C49" s="154" t="s">
        <v>97</v>
      </c>
      <c r="D49" s="122">
        <v>75.883499999999998</v>
      </c>
      <c r="E49" s="166">
        <v>440</v>
      </c>
      <c r="F49" s="158">
        <v>33388.74</v>
      </c>
      <c r="G49" s="118" t="s">
        <v>276</v>
      </c>
    </row>
    <row r="50" spans="1:7" ht="9.6" customHeight="1" x14ac:dyDescent="0.25">
      <c r="A50" s="119">
        <v>4731</v>
      </c>
      <c r="B50" s="154" t="s">
        <v>213</v>
      </c>
      <c r="C50" s="154" t="s">
        <v>100</v>
      </c>
      <c r="D50" s="122">
        <v>28.3355</v>
      </c>
      <c r="E50" s="166">
        <v>401.96</v>
      </c>
      <c r="F50" s="158">
        <v>11389.74</v>
      </c>
      <c r="G50" s="118" t="s">
        <v>276</v>
      </c>
    </row>
    <row r="51" spans="1:7" ht="19.2" customHeight="1" x14ac:dyDescent="0.25">
      <c r="A51" s="119">
        <v>7252</v>
      </c>
      <c r="B51" s="154" t="s">
        <v>102</v>
      </c>
      <c r="C51" s="154" t="s">
        <v>100</v>
      </c>
      <c r="D51" s="122">
        <v>26.556100000000001</v>
      </c>
      <c r="E51" s="166">
        <v>225</v>
      </c>
      <c r="F51" s="157">
        <v>5975.12</v>
      </c>
      <c r="G51" s="118" t="s">
        <v>276</v>
      </c>
    </row>
    <row r="52" spans="1:7" ht="19.2" customHeight="1" x14ac:dyDescent="0.25">
      <c r="A52" s="119">
        <v>5837</v>
      </c>
      <c r="B52" s="154" t="s">
        <v>211</v>
      </c>
      <c r="C52" s="154" t="s">
        <v>97</v>
      </c>
      <c r="D52" s="123">
        <v>2134.5230999999999</v>
      </c>
      <c r="E52" s="166">
        <v>184.9</v>
      </c>
      <c r="F52" s="160">
        <v>394673.32</v>
      </c>
      <c r="G52" s="118" t="s">
        <v>277</v>
      </c>
    </row>
    <row r="53" spans="1:7" ht="9.6" customHeight="1" x14ac:dyDescent="0.25">
      <c r="A53" s="119">
        <v>7194</v>
      </c>
      <c r="B53" s="154" t="s">
        <v>101</v>
      </c>
      <c r="C53" s="154" t="s">
        <v>100</v>
      </c>
      <c r="D53" s="122">
        <v>30.997599999999998</v>
      </c>
      <c r="E53" s="166">
        <v>183.09</v>
      </c>
      <c r="F53" s="157">
        <v>5675.35</v>
      </c>
      <c r="G53" s="118" t="s">
        <v>276</v>
      </c>
    </row>
    <row r="54" spans="1:7" ht="19.2" customHeight="1" x14ac:dyDescent="0.25">
      <c r="A54" s="119">
        <v>6000</v>
      </c>
      <c r="B54" s="154" t="s">
        <v>107</v>
      </c>
      <c r="C54" s="154" t="s">
        <v>90</v>
      </c>
      <c r="D54" s="121">
        <v>169</v>
      </c>
      <c r="E54" s="166">
        <v>176.36779999999999</v>
      </c>
      <c r="F54" s="158">
        <v>29806.16</v>
      </c>
      <c r="G54" s="118" t="s">
        <v>277</v>
      </c>
    </row>
    <row r="55" spans="1:7" ht="9.6" customHeight="1" x14ac:dyDescent="0.25">
      <c r="A55" s="119">
        <v>7190</v>
      </c>
      <c r="B55" s="154" t="s">
        <v>196</v>
      </c>
      <c r="C55" s="154" t="s">
        <v>114</v>
      </c>
      <c r="D55" s="122">
        <v>82.972999999999999</v>
      </c>
      <c r="E55" s="166">
        <v>146</v>
      </c>
      <c r="F55" s="158">
        <v>12114.06</v>
      </c>
      <c r="G55" s="118" t="s">
        <v>277</v>
      </c>
    </row>
    <row r="56" spans="1:7" ht="9.6" customHeight="1" x14ac:dyDescent="0.25">
      <c r="A56" s="119">
        <v>7229</v>
      </c>
      <c r="B56" s="154" t="s">
        <v>138</v>
      </c>
      <c r="C56" s="154" t="s">
        <v>90</v>
      </c>
      <c r="D56" s="121">
        <v>417.30959999999999</v>
      </c>
      <c r="E56" s="166">
        <v>113</v>
      </c>
      <c r="F56" s="158">
        <v>47155.98</v>
      </c>
      <c r="G56" s="118" t="s">
        <v>275</v>
      </c>
    </row>
    <row r="57" spans="1:7" ht="9.6" customHeight="1" x14ac:dyDescent="0.25">
      <c r="A57" s="119">
        <v>5070</v>
      </c>
      <c r="B57" s="154" t="s">
        <v>178</v>
      </c>
      <c r="C57" s="154" t="s">
        <v>90</v>
      </c>
      <c r="D57" s="122">
        <v>55</v>
      </c>
      <c r="E57" s="166">
        <v>104.792</v>
      </c>
      <c r="F57" s="157">
        <v>5763.56</v>
      </c>
      <c r="G57" s="118" t="s">
        <v>276</v>
      </c>
    </row>
    <row r="58" spans="1:7" ht="9.6" customHeight="1" x14ac:dyDescent="0.25">
      <c r="A58" s="119">
        <v>7499</v>
      </c>
      <c r="B58" s="154" t="s">
        <v>289</v>
      </c>
      <c r="C58" s="154" t="s">
        <v>97</v>
      </c>
      <c r="D58" s="121">
        <v>477.70949999999999</v>
      </c>
      <c r="E58" s="161">
        <v>99</v>
      </c>
      <c r="F58" s="158">
        <v>47293.24</v>
      </c>
      <c r="G58" s="118" t="s">
        <v>277</v>
      </c>
    </row>
    <row r="59" spans="1:7" ht="9.6" customHeight="1" x14ac:dyDescent="0.25">
      <c r="A59" s="155">
        <v>30</v>
      </c>
      <c r="B59" s="154" t="s">
        <v>193</v>
      </c>
      <c r="C59" s="154" t="s">
        <v>97</v>
      </c>
      <c r="D59" s="165">
        <v>30.6282</v>
      </c>
      <c r="E59" s="161">
        <v>87.741699999999994</v>
      </c>
      <c r="F59" s="157">
        <v>2687.37</v>
      </c>
      <c r="G59" s="150" t="s">
        <v>277</v>
      </c>
    </row>
    <row r="60" spans="1:7" ht="9.6" customHeight="1" x14ac:dyDescent="0.25">
      <c r="A60" s="119">
        <v>7463</v>
      </c>
      <c r="B60" s="154" t="s">
        <v>202</v>
      </c>
      <c r="C60" s="154" t="s">
        <v>97</v>
      </c>
      <c r="D60" s="117">
        <v>9.9143000000000008</v>
      </c>
      <c r="E60" s="161">
        <v>74</v>
      </c>
      <c r="F60" s="159">
        <v>733.66</v>
      </c>
      <c r="G60" s="118" t="s">
        <v>276</v>
      </c>
    </row>
    <row r="61" spans="1:7" ht="9.6" customHeight="1" x14ac:dyDescent="0.25">
      <c r="A61" s="119">
        <v>1668</v>
      </c>
      <c r="B61" s="154" t="s">
        <v>288</v>
      </c>
      <c r="C61" s="154" t="s">
        <v>114</v>
      </c>
      <c r="D61" s="121">
        <v>332.96030000000002</v>
      </c>
      <c r="E61" s="161">
        <v>67.781300000000002</v>
      </c>
      <c r="F61" s="158">
        <v>22568.48</v>
      </c>
      <c r="G61" s="118" t="s">
        <v>277</v>
      </c>
    </row>
    <row r="62" spans="1:7" ht="9.6" customHeight="1" x14ac:dyDescent="0.25">
      <c r="A62" s="119">
        <v>5107</v>
      </c>
      <c r="B62" s="154" t="s">
        <v>206</v>
      </c>
      <c r="C62" s="154" t="s">
        <v>97</v>
      </c>
      <c r="D62" s="121">
        <v>744.08399999999995</v>
      </c>
      <c r="E62" s="161">
        <v>59.5</v>
      </c>
      <c r="F62" s="158">
        <v>44273</v>
      </c>
      <c r="G62" s="118" t="s">
        <v>276</v>
      </c>
    </row>
    <row r="63" spans="1:7" ht="9.6" customHeight="1" x14ac:dyDescent="0.25">
      <c r="A63" s="119">
        <v>7411</v>
      </c>
      <c r="B63" s="154" t="s">
        <v>176</v>
      </c>
      <c r="C63" s="154" t="s">
        <v>97</v>
      </c>
      <c r="D63" s="123">
        <v>2355.5100000000002</v>
      </c>
      <c r="E63" s="161">
        <v>54.545499999999997</v>
      </c>
      <c r="F63" s="160">
        <v>128482.47</v>
      </c>
      <c r="G63" s="118" t="s">
        <v>276</v>
      </c>
    </row>
    <row r="64" spans="1:7" ht="9.6" customHeight="1" x14ac:dyDescent="0.25">
      <c r="A64" s="119">
        <v>7266</v>
      </c>
      <c r="B64" s="154" t="s">
        <v>287</v>
      </c>
      <c r="C64" s="154" t="s">
        <v>97</v>
      </c>
      <c r="D64" s="123">
        <v>1092.0909999999999</v>
      </c>
      <c r="E64" s="161">
        <v>50</v>
      </c>
      <c r="F64" s="158">
        <v>54604.55</v>
      </c>
      <c r="G64" s="118" t="s">
        <v>276</v>
      </c>
    </row>
    <row r="65" spans="1:7" ht="19.2" customHeight="1" x14ac:dyDescent="0.25">
      <c r="A65" s="119">
        <v>7225</v>
      </c>
      <c r="B65" s="154" t="s">
        <v>226</v>
      </c>
      <c r="C65" s="154" t="s">
        <v>97</v>
      </c>
      <c r="D65" s="121">
        <v>182.16</v>
      </c>
      <c r="E65" s="161">
        <v>49</v>
      </c>
      <c r="F65" s="157">
        <v>8925.84</v>
      </c>
      <c r="G65" s="118" t="s">
        <v>276</v>
      </c>
    </row>
    <row r="66" spans="1:7" ht="9.6" customHeight="1" x14ac:dyDescent="0.25">
      <c r="A66" s="119">
        <v>1668</v>
      </c>
      <c r="B66" s="154" t="s">
        <v>199</v>
      </c>
      <c r="C66" s="154" t="s">
        <v>114</v>
      </c>
      <c r="D66" s="123">
        <v>1822.7182</v>
      </c>
      <c r="E66" s="161">
        <v>48</v>
      </c>
      <c r="F66" s="158">
        <v>87490.47</v>
      </c>
      <c r="G66" s="118" t="s">
        <v>277</v>
      </c>
    </row>
    <row r="67" spans="1:7" ht="9.6" customHeight="1" x14ac:dyDescent="0.25">
      <c r="A67" s="119">
        <v>7255</v>
      </c>
      <c r="B67" s="154" t="s">
        <v>210</v>
      </c>
      <c r="C67" s="154" t="s">
        <v>97</v>
      </c>
      <c r="D67" s="117">
        <v>8.3930000000000007</v>
      </c>
      <c r="E67" s="161">
        <v>45.88</v>
      </c>
      <c r="F67" s="159">
        <v>385.07</v>
      </c>
      <c r="G67" s="118" t="s">
        <v>276</v>
      </c>
    </row>
    <row r="68" spans="1:7" ht="9.6" customHeight="1" x14ac:dyDescent="0.25">
      <c r="A68" s="119">
        <v>7255</v>
      </c>
      <c r="B68" s="154" t="s">
        <v>286</v>
      </c>
      <c r="C68" s="154" t="s">
        <v>97</v>
      </c>
      <c r="D68" s="123">
        <v>2096.3249999999998</v>
      </c>
      <c r="E68" s="161">
        <v>45.88</v>
      </c>
      <c r="F68" s="158">
        <v>96179.39</v>
      </c>
      <c r="G68" s="118" t="s">
        <v>276</v>
      </c>
    </row>
    <row r="69" spans="1:7" ht="9.6" customHeight="1" x14ac:dyDescent="0.25">
      <c r="A69" s="119">
        <v>7222</v>
      </c>
      <c r="B69" s="154" t="s">
        <v>236</v>
      </c>
      <c r="C69" s="154" t="s">
        <v>97</v>
      </c>
      <c r="D69" s="121">
        <v>937.56</v>
      </c>
      <c r="E69" s="161">
        <v>45.48</v>
      </c>
      <c r="F69" s="158">
        <v>42640.23</v>
      </c>
      <c r="G69" s="118" t="s">
        <v>276</v>
      </c>
    </row>
    <row r="70" spans="1:7" ht="9.6" customHeight="1" x14ac:dyDescent="0.25">
      <c r="A70" s="119">
        <v>7227</v>
      </c>
      <c r="B70" s="154" t="s">
        <v>224</v>
      </c>
      <c r="C70" s="154" t="s">
        <v>90</v>
      </c>
      <c r="D70" s="122">
        <v>53</v>
      </c>
      <c r="E70" s="161">
        <v>45.48</v>
      </c>
      <c r="F70" s="157">
        <v>2410.44</v>
      </c>
      <c r="G70" s="118" t="s">
        <v>276</v>
      </c>
    </row>
    <row r="71" spans="1:7" ht="9.6" customHeight="1" x14ac:dyDescent="0.25">
      <c r="A71" s="119">
        <v>9140</v>
      </c>
      <c r="B71" s="154" t="s">
        <v>220</v>
      </c>
      <c r="C71" s="154" t="s">
        <v>97</v>
      </c>
      <c r="D71" s="117">
        <v>8.35</v>
      </c>
      <c r="E71" s="161">
        <v>45.48</v>
      </c>
      <c r="F71" s="159">
        <v>379.76</v>
      </c>
      <c r="G71" s="118" t="s">
        <v>276</v>
      </c>
    </row>
    <row r="72" spans="1:7" ht="19.2" customHeight="1" x14ac:dyDescent="0.25">
      <c r="A72" s="119">
        <v>1248</v>
      </c>
      <c r="B72" s="154" t="s">
        <v>240</v>
      </c>
      <c r="C72" s="154" t="s">
        <v>100</v>
      </c>
      <c r="D72" s="123">
        <v>1389.8219999999999</v>
      </c>
      <c r="E72" s="161">
        <v>42.93</v>
      </c>
      <c r="F72" s="158">
        <v>59665.06</v>
      </c>
      <c r="G72" s="118" t="s">
        <v>275</v>
      </c>
    </row>
    <row r="73" spans="1:7" ht="19.2" customHeight="1" x14ac:dyDescent="0.25">
      <c r="A73" s="119">
        <v>7192</v>
      </c>
      <c r="B73" s="154" t="s">
        <v>195</v>
      </c>
      <c r="C73" s="154" t="s">
        <v>114</v>
      </c>
      <c r="D73" s="122">
        <v>96.123999999999995</v>
      </c>
      <c r="E73" s="161">
        <v>40.14</v>
      </c>
      <c r="F73" s="157">
        <v>3858.42</v>
      </c>
      <c r="G73" s="118" t="s">
        <v>277</v>
      </c>
    </row>
    <row r="74" spans="1:7" ht="9.6" customHeight="1" x14ac:dyDescent="0.25">
      <c r="A74" s="119">
        <v>8615</v>
      </c>
      <c r="B74" s="154" t="s">
        <v>124</v>
      </c>
      <c r="C74" s="154" t="s">
        <v>109</v>
      </c>
      <c r="D74" s="121">
        <v>391.82650000000001</v>
      </c>
      <c r="E74" s="161">
        <v>39.417000000000002</v>
      </c>
      <c r="F74" s="158">
        <v>15444.63</v>
      </c>
      <c r="G74" s="118" t="s">
        <v>285</v>
      </c>
    </row>
    <row r="75" spans="1:7" ht="19.2" customHeight="1" x14ac:dyDescent="0.25">
      <c r="A75" s="119">
        <v>7218</v>
      </c>
      <c r="B75" s="154" t="s">
        <v>225</v>
      </c>
      <c r="C75" s="154" t="s">
        <v>97</v>
      </c>
      <c r="D75" s="121">
        <v>182.16</v>
      </c>
      <c r="E75" s="161">
        <v>37.5</v>
      </c>
      <c r="F75" s="157">
        <v>6831</v>
      </c>
      <c r="G75" s="118" t="s">
        <v>276</v>
      </c>
    </row>
    <row r="76" spans="1:7" ht="19.2" customHeight="1" x14ac:dyDescent="0.25">
      <c r="A76" s="119">
        <v>7426</v>
      </c>
      <c r="B76" s="154" t="s">
        <v>218</v>
      </c>
      <c r="C76" s="154" t="s">
        <v>97</v>
      </c>
      <c r="D76" s="117">
        <v>0</v>
      </c>
      <c r="E76" s="161">
        <v>37.5</v>
      </c>
      <c r="F76" s="151">
        <v>0</v>
      </c>
      <c r="G76" s="118" t="s">
        <v>284</v>
      </c>
    </row>
    <row r="77" spans="1:7" ht="19.2" customHeight="1" x14ac:dyDescent="0.25">
      <c r="A77" s="119">
        <v>7597</v>
      </c>
      <c r="B77" s="154" t="s">
        <v>222</v>
      </c>
      <c r="C77" s="154" t="s">
        <v>97</v>
      </c>
      <c r="D77" s="122">
        <v>50.66</v>
      </c>
      <c r="E77" s="161">
        <v>35.5</v>
      </c>
      <c r="F77" s="157">
        <v>1798.43</v>
      </c>
      <c r="G77" s="118" t="s">
        <v>276</v>
      </c>
    </row>
    <row r="78" spans="1:7" ht="19.2" customHeight="1" x14ac:dyDescent="0.25">
      <c r="A78" s="119">
        <v>5109</v>
      </c>
      <c r="B78" s="154" t="s">
        <v>232</v>
      </c>
      <c r="C78" s="154" t="s">
        <v>97</v>
      </c>
      <c r="D78" s="121">
        <v>676.44</v>
      </c>
      <c r="E78" s="161">
        <v>35.479900000000001</v>
      </c>
      <c r="F78" s="158">
        <v>24000.02</v>
      </c>
      <c r="G78" s="118" t="s">
        <v>276</v>
      </c>
    </row>
    <row r="79" spans="1:7" ht="19.2" customHeight="1" x14ac:dyDescent="0.25">
      <c r="A79" s="119">
        <v>7461</v>
      </c>
      <c r="B79" s="154" t="s">
        <v>116</v>
      </c>
      <c r="C79" s="154" t="s">
        <v>81</v>
      </c>
      <c r="D79" s="121">
        <v>182.92169999999999</v>
      </c>
      <c r="E79" s="161">
        <v>35.11</v>
      </c>
      <c r="F79" s="157">
        <v>6422.38</v>
      </c>
      <c r="G79" s="118" t="s">
        <v>276</v>
      </c>
    </row>
    <row r="80" spans="1:7" ht="19.2" customHeight="1" x14ac:dyDescent="0.25">
      <c r="A80" s="119">
        <v>7269</v>
      </c>
      <c r="B80" s="154" t="s">
        <v>235</v>
      </c>
      <c r="C80" s="154" t="s">
        <v>97</v>
      </c>
      <c r="D80" s="123">
        <v>1156.28</v>
      </c>
      <c r="E80" s="161">
        <v>35</v>
      </c>
      <c r="F80" s="158">
        <v>40469.800000000003</v>
      </c>
      <c r="G80" s="118" t="s">
        <v>280</v>
      </c>
    </row>
    <row r="81" spans="1:7" ht="19.2" customHeight="1" x14ac:dyDescent="0.25">
      <c r="A81" s="119">
        <v>7198</v>
      </c>
      <c r="B81" s="154" t="s">
        <v>255</v>
      </c>
      <c r="C81" s="154" t="s">
        <v>97</v>
      </c>
      <c r="D81" s="123">
        <v>1349.838</v>
      </c>
      <c r="E81" s="161">
        <v>34.92</v>
      </c>
      <c r="F81" s="158">
        <v>47136.34</v>
      </c>
      <c r="G81" s="118" t="s">
        <v>277</v>
      </c>
    </row>
    <row r="82" spans="1:7" ht="19.2" customHeight="1" x14ac:dyDescent="0.25">
      <c r="A82" s="119">
        <v>7667</v>
      </c>
      <c r="B82" s="154" t="s">
        <v>253</v>
      </c>
      <c r="C82" s="154" t="s">
        <v>97</v>
      </c>
      <c r="D82" s="123">
        <v>1227.45</v>
      </c>
      <c r="E82" s="161">
        <v>34.92</v>
      </c>
      <c r="F82" s="158">
        <v>42862.55</v>
      </c>
      <c r="G82" s="118" t="s">
        <v>276</v>
      </c>
    </row>
    <row r="83" spans="1:7" ht="9.6" customHeight="1" x14ac:dyDescent="0.25">
      <c r="A83" s="119">
        <v>5581</v>
      </c>
      <c r="B83" s="154" t="s">
        <v>106</v>
      </c>
      <c r="C83" s="154" t="s">
        <v>90</v>
      </c>
      <c r="D83" s="122">
        <v>62.531999999999996</v>
      </c>
      <c r="E83" s="161">
        <v>33.9</v>
      </c>
      <c r="F83" s="157">
        <v>2119.83</v>
      </c>
      <c r="G83" s="118" t="s">
        <v>277</v>
      </c>
    </row>
    <row r="84" spans="1:7" ht="9.6" customHeight="1" x14ac:dyDescent="0.25">
      <c r="A84" s="119">
        <v>7335</v>
      </c>
      <c r="B84" s="154" t="s">
        <v>191</v>
      </c>
      <c r="C84" s="154" t="s">
        <v>90</v>
      </c>
      <c r="D84" s="122">
        <v>22.936499999999999</v>
      </c>
      <c r="E84" s="161">
        <v>33.700000000000003</v>
      </c>
      <c r="F84" s="159">
        <v>772.96</v>
      </c>
      <c r="G84" s="118" t="s">
        <v>276</v>
      </c>
    </row>
    <row r="85" spans="1:7" ht="9.6" customHeight="1" x14ac:dyDescent="0.25">
      <c r="A85" s="163">
        <v>833</v>
      </c>
      <c r="B85" s="154" t="s">
        <v>146</v>
      </c>
      <c r="C85" s="154" t="s">
        <v>81</v>
      </c>
      <c r="D85" s="162">
        <v>3610.752</v>
      </c>
      <c r="E85" s="161">
        <v>32.5</v>
      </c>
      <c r="F85" s="160">
        <v>117349.44</v>
      </c>
      <c r="G85" s="150" t="s">
        <v>276</v>
      </c>
    </row>
    <row r="86" spans="1:7" ht="9.6" customHeight="1" x14ac:dyDescent="0.25">
      <c r="A86" s="119">
        <v>7498</v>
      </c>
      <c r="B86" s="154" t="s">
        <v>145</v>
      </c>
      <c r="C86" s="154" t="s">
        <v>81</v>
      </c>
      <c r="D86" s="122">
        <v>79.029600000000002</v>
      </c>
      <c r="E86" s="161">
        <v>32.5</v>
      </c>
      <c r="F86" s="157">
        <v>2568.46</v>
      </c>
      <c r="G86" s="118" t="s">
        <v>276</v>
      </c>
    </row>
    <row r="87" spans="1:7" ht="9.6" customHeight="1" x14ac:dyDescent="0.25">
      <c r="A87" s="119">
        <v>6753</v>
      </c>
      <c r="B87" s="154" t="s">
        <v>83</v>
      </c>
      <c r="C87" s="154" t="s">
        <v>81</v>
      </c>
      <c r="D87" s="122">
        <v>10.4763</v>
      </c>
      <c r="E87" s="161">
        <v>31.59</v>
      </c>
      <c r="F87" s="159">
        <v>330.95</v>
      </c>
      <c r="G87" s="118" t="s">
        <v>275</v>
      </c>
    </row>
    <row r="88" spans="1:7" ht="9.6" customHeight="1" x14ac:dyDescent="0.25">
      <c r="A88" s="119">
        <v>7265</v>
      </c>
      <c r="B88" s="154" t="s">
        <v>239</v>
      </c>
      <c r="C88" s="154" t="s">
        <v>97</v>
      </c>
      <c r="D88" s="123">
        <v>1958.59</v>
      </c>
      <c r="E88" s="161">
        <v>30</v>
      </c>
      <c r="F88" s="158">
        <v>58757.7</v>
      </c>
      <c r="G88" s="118" t="s">
        <v>280</v>
      </c>
    </row>
    <row r="89" spans="1:7" ht="9.6" customHeight="1" x14ac:dyDescent="0.25">
      <c r="A89" s="119">
        <v>1772</v>
      </c>
      <c r="B89" s="154" t="s">
        <v>197</v>
      </c>
      <c r="C89" s="154" t="s">
        <v>114</v>
      </c>
      <c r="D89" s="123">
        <v>1290.2272</v>
      </c>
      <c r="E89" s="161">
        <v>29.87</v>
      </c>
      <c r="F89" s="158">
        <v>38539.089999999997</v>
      </c>
      <c r="G89" s="118" t="s">
        <v>277</v>
      </c>
    </row>
    <row r="90" spans="1:7" ht="19.2" customHeight="1" x14ac:dyDescent="0.25">
      <c r="A90" s="163">
        <v>404</v>
      </c>
      <c r="B90" s="154" t="s">
        <v>219</v>
      </c>
      <c r="C90" s="154" t="s">
        <v>97</v>
      </c>
      <c r="D90" s="164">
        <v>0</v>
      </c>
      <c r="E90" s="161">
        <v>27.5</v>
      </c>
      <c r="F90" s="151">
        <v>0</v>
      </c>
      <c r="G90" s="150" t="s">
        <v>284</v>
      </c>
    </row>
    <row r="91" spans="1:7" ht="28.95" customHeight="1" x14ac:dyDescent="0.25">
      <c r="A91" s="119">
        <v>1055</v>
      </c>
      <c r="B91" s="154" t="s">
        <v>82</v>
      </c>
      <c r="C91" s="154" t="s">
        <v>81</v>
      </c>
      <c r="D91" s="117">
        <v>4.1391999999999998</v>
      </c>
      <c r="E91" s="161">
        <v>26.6</v>
      </c>
      <c r="F91" s="159">
        <v>110.1</v>
      </c>
      <c r="G91" s="118" t="s">
        <v>275</v>
      </c>
    </row>
    <row r="92" spans="1:7" ht="19.2" customHeight="1" x14ac:dyDescent="0.25">
      <c r="A92" s="119">
        <v>4985</v>
      </c>
      <c r="B92" s="154" t="s">
        <v>175</v>
      </c>
      <c r="C92" s="154" t="s">
        <v>109</v>
      </c>
      <c r="D92" s="123">
        <v>2945.6</v>
      </c>
      <c r="E92" s="161">
        <v>25.1645</v>
      </c>
      <c r="F92" s="158">
        <v>74124.55</v>
      </c>
      <c r="G92" s="118" t="s">
        <v>276</v>
      </c>
    </row>
    <row r="93" spans="1:7" ht="19.2" customHeight="1" x14ac:dyDescent="0.25">
      <c r="A93" s="119">
        <v>7120</v>
      </c>
      <c r="B93" s="154" t="s">
        <v>246</v>
      </c>
      <c r="C93" s="154" t="s">
        <v>81</v>
      </c>
      <c r="D93" s="122">
        <v>51.690100000000001</v>
      </c>
      <c r="E93" s="161">
        <v>23.75</v>
      </c>
      <c r="F93" s="157">
        <v>1227.6400000000001</v>
      </c>
      <c r="G93" s="118" t="s">
        <v>275</v>
      </c>
    </row>
    <row r="94" spans="1:7" ht="9.6" customHeight="1" x14ac:dyDescent="0.25">
      <c r="A94" s="119">
        <v>7576</v>
      </c>
      <c r="B94" s="154" t="s">
        <v>85</v>
      </c>
      <c r="C94" s="154" t="s">
        <v>81</v>
      </c>
      <c r="D94" s="122">
        <v>19.3018</v>
      </c>
      <c r="E94" s="161">
        <v>22.54</v>
      </c>
      <c r="F94" s="159">
        <v>435.06</v>
      </c>
      <c r="G94" s="118" t="s">
        <v>283</v>
      </c>
    </row>
    <row r="95" spans="1:7" ht="9.6" customHeight="1" x14ac:dyDescent="0.25">
      <c r="A95" s="119">
        <v>6637</v>
      </c>
      <c r="B95" s="154" t="s">
        <v>117</v>
      </c>
      <c r="C95" s="154" t="s">
        <v>114</v>
      </c>
      <c r="D95" s="121">
        <v>472.71679999999998</v>
      </c>
      <c r="E95" s="161">
        <v>22.33</v>
      </c>
      <c r="F95" s="158">
        <v>10555.77</v>
      </c>
      <c r="G95" s="118" t="s">
        <v>276</v>
      </c>
    </row>
    <row r="96" spans="1:7" ht="19.2" customHeight="1" x14ac:dyDescent="0.25">
      <c r="A96" s="163">
        <v>848</v>
      </c>
      <c r="B96" s="154" t="s">
        <v>244</v>
      </c>
      <c r="C96" s="154" t="s">
        <v>97</v>
      </c>
      <c r="D96" s="162">
        <v>6696.3</v>
      </c>
      <c r="E96" s="161">
        <v>22</v>
      </c>
      <c r="F96" s="160">
        <v>147318.6</v>
      </c>
      <c r="G96" s="150" t="s">
        <v>280</v>
      </c>
    </row>
    <row r="97" spans="1:7" ht="9.6" customHeight="1" x14ac:dyDescent="0.25">
      <c r="A97" s="119">
        <v>7622</v>
      </c>
      <c r="B97" s="154" t="s">
        <v>227</v>
      </c>
      <c r="C97" s="154" t="s">
        <v>97</v>
      </c>
      <c r="D97" s="121">
        <v>591.30999999999995</v>
      </c>
      <c r="E97" s="161">
        <v>20.8</v>
      </c>
      <c r="F97" s="158">
        <v>12299.25</v>
      </c>
      <c r="G97" s="118" t="s">
        <v>276</v>
      </c>
    </row>
    <row r="98" spans="1:7" ht="9.6" customHeight="1" x14ac:dyDescent="0.25">
      <c r="A98" s="119">
        <v>7195</v>
      </c>
      <c r="B98" s="154" t="s">
        <v>118</v>
      </c>
      <c r="C98" s="154" t="s">
        <v>114</v>
      </c>
      <c r="D98" s="123">
        <v>1345.2157</v>
      </c>
      <c r="E98" s="161">
        <v>20.55</v>
      </c>
      <c r="F98" s="158">
        <v>27644.18</v>
      </c>
      <c r="G98" s="118" t="s">
        <v>276</v>
      </c>
    </row>
    <row r="99" spans="1:7" ht="28.95" customHeight="1" x14ac:dyDescent="0.25">
      <c r="A99" s="119">
        <v>7168</v>
      </c>
      <c r="B99" s="154" t="s">
        <v>231</v>
      </c>
      <c r="C99" s="154" t="s">
        <v>97</v>
      </c>
      <c r="D99" s="123">
        <v>1118.98</v>
      </c>
      <c r="E99" s="161">
        <v>20.010000000000002</v>
      </c>
      <c r="F99" s="158">
        <v>22390.79</v>
      </c>
      <c r="G99" s="118" t="s">
        <v>280</v>
      </c>
    </row>
    <row r="100" spans="1:7" ht="19.2" customHeight="1" x14ac:dyDescent="0.25">
      <c r="A100" s="119">
        <v>7178</v>
      </c>
      <c r="B100" s="154" t="s">
        <v>241</v>
      </c>
      <c r="C100" s="154" t="s">
        <v>97</v>
      </c>
      <c r="D100" s="123">
        <v>3655.6</v>
      </c>
      <c r="E100" s="161">
        <v>20</v>
      </c>
      <c r="F100" s="158">
        <v>73112</v>
      </c>
      <c r="G100" s="118" t="s">
        <v>280</v>
      </c>
    </row>
    <row r="101" spans="1:7" ht="28.95" customHeight="1" x14ac:dyDescent="0.25">
      <c r="A101" s="119">
        <v>7628</v>
      </c>
      <c r="B101" s="154" t="s">
        <v>223</v>
      </c>
      <c r="C101" s="154" t="s">
        <v>97</v>
      </c>
      <c r="D101" s="121">
        <v>101.28</v>
      </c>
      <c r="E101" s="161">
        <v>20</v>
      </c>
      <c r="F101" s="157">
        <v>2025.6</v>
      </c>
      <c r="G101" s="118" t="s">
        <v>280</v>
      </c>
    </row>
    <row r="102" spans="1:7" ht="19.2" customHeight="1" x14ac:dyDescent="0.25">
      <c r="A102" s="119">
        <v>7474</v>
      </c>
      <c r="B102" s="154" t="s">
        <v>194</v>
      </c>
      <c r="C102" s="154" t="s">
        <v>114</v>
      </c>
      <c r="D102" s="121">
        <v>183.61779999999999</v>
      </c>
      <c r="E102" s="161">
        <v>18.333300000000001</v>
      </c>
      <c r="F102" s="157">
        <v>3366.32</v>
      </c>
      <c r="G102" s="118" t="s">
        <v>277</v>
      </c>
    </row>
    <row r="103" spans="1:7" ht="9.6" customHeight="1" x14ac:dyDescent="0.25">
      <c r="A103" s="119">
        <v>4667</v>
      </c>
      <c r="B103" s="154" t="s">
        <v>186</v>
      </c>
      <c r="C103" s="154" t="s">
        <v>81</v>
      </c>
      <c r="D103" s="121">
        <v>532.39099999999996</v>
      </c>
      <c r="E103" s="161">
        <v>17.899999999999999</v>
      </c>
      <c r="F103" s="157">
        <v>9529.7999999999993</v>
      </c>
      <c r="G103" s="118" t="s">
        <v>276</v>
      </c>
    </row>
    <row r="104" spans="1:7" ht="9.6" customHeight="1" x14ac:dyDescent="0.25">
      <c r="A104" s="119">
        <v>7440</v>
      </c>
      <c r="B104" s="154" t="s">
        <v>250</v>
      </c>
      <c r="C104" s="154" t="s">
        <v>97</v>
      </c>
      <c r="D104" s="121">
        <v>841.005</v>
      </c>
      <c r="E104" s="161">
        <v>17.225899999999999</v>
      </c>
      <c r="F104" s="158">
        <v>14487.07</v>
      </c>
      <c r="G104" s="118" t="s">
        <v>276</v>
      </c>
    </row>
    <row r="105" spans="1:7" ht="9.6" customHeight="1" x14ac:dyDescent="0.25">
      <c r="A105" s="119">
        <v>7146</v>
      </c>
      <c r="B105" s="154" t="s">
        <v>86</v>
      </c>
      <c r="C105" s="154" t="s">
        <v>81</v>
      </c>
      <c r="D105" s="121">
        <v>101.0082</v>
      </c>
      <c r="E105" s="161">
        <v>15.6</v>
      </c>
      <c r="F105" s="157">
        <v>1575.73</v>
      </c>
      <c r="G105" s="118" t="s">
        <v>275</v>
      </c>
    </row>
    <row r="106" spans="1:7" ht="19.2" customHeight="1" x14ac:dyDescent="0.25">
      <c r="A106" s="119">
        <v>7460</v>
      </c>
      <c r="B106" s="154" t="s">
        <v>207</v>
      </c>
      <c r="C106" s="154" t="s">
        <v>109</v>
      </c>
      <c r="D106" s="123">
        <v>2899.3359999999998</v>
      </c>
      <c r="E106" s="161">
        <v>15.5</v>
      </c>
      <c r="F106" s="158">
        <v>44939.71</v>
      </c>
      <c r="G106" s="118" t="s">
        <v>276</v>
      </c>
    </row>
    <row r="107" spans="1:7" ht="19.2" customHeight="1" x14ac:dyDescent="0.25">
      <c r="A107" s="119">
        <v>6859</v>
      </c>
      <c r="B107" s="154" t="s">
        <v>84</v>
      </c>
      <c r="C107" s="154" t="s">
        <v>81</v>
      </c>
      <c r="D107" s="122">
        <v>26.922899999999998</v>
      </c>
      <c r="E107" s="161">
        <v>15.33</v>
      </c>
      <c r="F107" s="159">
        <v>412.73</v>
      </c>
      <c r="G107" s="118" t="s">
        <v>275</v>
      </c>
    </row>
    <row r="108" spans="1:7" ht="19.2" customHeight="1" x14ac:dyDescent="0.25">
      <c r="A108" s="119">
        <v>7181</v>
      </c>
      <c r="B108" s="154" t="s">
        <v>243</v>
      </c>
      <c r="C108" s="154" t="s">
        <v>97</v>
      </c>
      <c r="D108" s="123">
        <v>6696.3</v>
      </c>
      <c r="E108" s="161">
        <v>15</v>
      </c>
      <c r="F108" s="160">
        <v>100444.5</v>
      </c>
      <c r="G108" s="118" t="s">
        <v>280</v>
      </c>
    </row>
    <row r="109" spans="1:7" ht="9.6" customHeight="1" x14ac:dyDescent="0.25">
      <c r="A109" s="119">
        <v>7182</v>
      </c>
      <c r="B109" s="154" t="s">
        <v>238</v>
      </c>
      <c r="C109" s="154" t="s">
        <v>97</v>
      </c>
      <c r="D109" s="123">
        <v>3655.6</v>
      </c>
      <c r="E109" s="161">
        <v>15</v>
      </c>
      <c r="F109" s="158">
        <v>54834</v>
      </c>
      <c r="G109" s="118" t="s">
        <v>280</v>
      </c>
    </row>
    <row r="110" spans="1:7" ht="19.2" customHeight="1" x14ac:dyDescent="0.25">
      <c r="A110" s="119">
        <v>7237</v>
      </c>
      <c r="B110" s="154" t="s">
        <v>221</v>
      </c>
      <c r="C110" s="154" t="s">
        <v>109</v>
      </c>
      <c r="D110" s="122">
        <v>43.26</v>
      </c>
      <c r="E110" s="161">
        <v>15</v>
      </c>
      <c r="F110" s="159">
        <v>648.9</v>
      </c>
      <c r="G110" s="118" t="s">
        <v>280</v>
      </c>
    </row>
    <row r="111" spans="1:7" ht="9.6" customHeight="1" x14ac:dyDescent="0.25">
      <c r="A111" s="119">
        <v>1807</v>
      </c>
      <c r="B111" s="154" t="s">
        <v>265</v>
      </c>
      <c r="C111" s="154" t="s">
        <v>109</v>
      </c>
      <c r="D111" s="121">
        <v>995.28</v>
      </c>
      <c r="E111" s="161">
        <v>14.0664</v>
      </c>
      <c r="F111" s="158">
        <v>14000.01</v>
      </c>
      <c r="G111" s="118" t="s">
        <v>277</v>
      </c>
    </row>
    <row r="112" spans="1:7" ht="9.6" customHeight="1" x14ac:dyDescent="0.25">
      <c r="A112" s="119">
        <v>5136</v>
      </c>
      <c r="B112" s="154" t="s">
        <v>237</v>
      </c>
      <c r="C112" s="154" t="s">
        <v>97</v>
      </c>
      <c r="D112" s="123">
        <v>3655.6</v>
      </c>
      <c r="E112" s="161">
        <v>14</v>
      </c>
      <c r="F112" s="158">
        <v>51178.400000000001</v>
      </c>
      <c r="G112" s="118" t="s">
        <v>280</v>
      </c>
    </row>
    <row r="113" spans="1:7" ht="9.6" customHeight="1" x14ac:dyDescent="0.25">
      <c r="A113" s="119">
        <v>7173</v>
      </c>
      <c r="B113" s="154" t="s">
        <v>242</v>
      </c>
      <c r="C113" s="154" t="s">
        <v>97</v>
      </c>
      <c r="D113" s="123">
        <v>6696.3</v>
      </c>
      <c r="E113" s="161">
        <v>14</v>
      </c>
      <c r="F113" s="158">
        <v>93748.2</v>
      </c>
      <c r="G113" s="118" t="s">
        <v>280</v>
      </c>
    </row>
    <row r="114" spans="1:7" ht="9.6" customHeight="1" x14ac:dyDescent="0.25">
      <c r="A114" s="119">
        <v>5794</v>
      </c>
      <c r="B114" s="154" t="s">
        <v>190</v>
      </c>
      <c r="C114" s="154" t="s">
        <v>90</v>
      </c>
      <c r="D114" s="122">
        <v>23.468599999999999</v>
      </c>
      <c r="E114" s="161">
        <v>13.9</v>
      </c>
      <c r="F114" s="159">
        <v>326.20999999999998</v>
      </c>
      <c r="G114" s="118" t="s">
        <v>277</v>
      </c>
    </row>
    <row r="115" spans="1:7" ht="9.6" customHeight="1" x14ac:dyDescent="0.25">
      <c r="A115" s="119">
        <v>1219</v>
      </c>
      <c r="B115" s="154" t="s">
        <v>247</v>
      </c>
      <c r="C115" s="154" t="s">
        <v>81</v>
      </c>
      <c r="D115" s="121">
        <v>265.35000000000002</v>
      </c>
      <c r="E115" s="161">
        <v>12.03</v>
      </c>
      <c r="F115" s="157">
        <v>3192.16</v>
      </c>
      <c r="G115" s="118" t="s">
        <v>275</v>
      </c>
    </row>
    <row r="116" spans="1:7" ht="9.6" customHeight="1" x14ac:dyDescent="0.25">
      <c r="A116" s="119">
        <v>7432</v>
      </c>
      <c r="B116" s="154" t="s">
        <v>230</v>
      </c>
      <c r="C116" s="154" t="s">
        <v>97</v>
      </c>
      <c r="D116" s="123">
        <v>1554.79</v>
      </c>
      <c r="E116" s="161">
        <v>11.9</v>
      </c>
      <c r="F116" s="158">
        <v>18502</v>
      </c>
      <c r="G116" s="118" t="s">
        <v>282</v>
      </c>
    </row>
    <row r="117" spans="1:7" ht="9.6" customHeight="1" x14ac:dyDescent="0.25">
      <c r="A117" s="119">
        <v>6413</v>
      </c>
      <c r="B117" s="154" t="s">
        <v>251</v>
      </c>
      <c r="C117" s="154" t="s">
        <v>81</v>
      </c>
      <c r="D117" s="123">
        <v>2171.5250000000001</v>
      </c>
      <c r="E117" s="161">
        <v>10.94</v>
      </c>
      <c r="F117" s="158">
        <v>23756.48</v>
      </c>
      <c r="G117" s="118" t="s">
        <v>275</v>
      </c>
    </row>
    <row r="118" spans="1:7" ht="9.6" customHeight="1" x14ac:dyDescent="0.25">
      <c r="A118" s="119">
        <v>7475</v>
      </c>
      <c r="B118" s="154" t="s">
        <v>228</v>
      </c>
      <c r="C118" s="154" t="s">
        <v>97</v>
      </c>
      <c r="D118" s="123">
        <v>1958.59</v>
      </c>
      <c r="E118" s="152">
        <v>9</v>
      </c>
      <c r="F118" s="158">
        <v>17627.310000000001</v>
      </c>
      <c r="G118" s="118" t="s">
        <v>280</v>
      </c>
    </row>
    <row r="119" spans="1:7" ht="9.6" customHeight="1" x14ac:dyDescent="0.25">
      <c r="A119" s="119">
        <v>7441</v>
      </c>
      <c r="B119" s="154" t="s">
        <v>249</v>
      </c>
      <c r="C119" s="154" t="s">
        <v>90</v>
      </c>
      <c r="D119" s="123">
        <v>1177.4069999999999</v>
      </c>
      <c r="E119" s="152">
        <v>8.93</v>
      </c>
      <c r="F119" s="158">
        <v>10514.24</v>
      </c>
      <c r="G119" s="118" t="s">
        <v>282</v>
      </c>
    </row>
    <row r="120" spans="1:7" ht="9.6" customHeight="1" x14ac:dyDescent="0.25">
      <c r="A120" s="119">
        <v>1445</v>
      </c>
      <c r="B120" s="154" t="s">
        <v>259</v>
      </c>
      <c r="C120" s="154" t="s">
        <v>81</v>
      </c>
      <c r="D120" s="124">
        <v>12240.8</v>
      </c>
      <c r="E120" s="152">
        <v>7.61</v>
      </c>
      <c r="F120" s="158">
        <v>93152.49</v>
      </c>
      <c r="G120" s="118" t="s">
        <v>275</v>
      </c>
    </row>
    <row r="121" spans="1:7" ht="9.6" customHeight="1" x14ac:dyDescent="0.25">
      <c r="A121" s="119">
        <v>7188</v>
      </c>
      <c r="B121" s="154" t="s">
        <v>281</v>
      </c>
      <c r="C121" s="154" t="s">
        <v>81</v>
      </c>
      <c r="D121" s="123">
        <v>2240.8706000000002</v>
      </c>
      <c r="E121" s="152">
        <v>7.5</v>
      </c>
      <c r="F121" s="158">
        <v>16806.53</v>
      </c>
      <c r="G121" s="118" t="s">
        <v>277</v>
      </c>
    </row>
    <row r="122" spans="1:7" ht="9.6" customHeight="1" x14ac:dyDescent="0.25">
      <c r="A122" s="119">
        <v>1347</v>
      </c>
      <c r="B122" s="154" t="s">
        <v>260</v>
      </c>
      <c r="C122" s="154" t="s">
        <v>81</v>
      </c>
      <c r="D122" s="124">
        <v>13308.9</v>
      </c>
      <c r="E122" s="152">
        <v>7.02</v>
      </c>
      <c r="F122" s="158">
        <v>93428.479999999996</v>
      </c>
      <c r="G122" s="118" t="s">
        <v>275</v>
      </c>
    </row>
    <row r="123" spans="1:7" ht="19.2" customHeight="1" x14ac:dyDescent="0.25">
      <c r="A123" s="119">
        <v>7188</v>
      </c>
      <c r="B123" s="154" t="s">
        <v>200</v>
      </c>
      <c r="C123" s="154" t="s">
        <v>81</v>
      </c>
      <c r="D123" s="124">
        <v>15315.683199999999</v>
      </c>
      <c r="E123" s="152">
        <v>6.7991999999999999</v>
      </c>
      <c r="F123" s="160">
        <v>104134.39</v>
      </c>
      <c r="G123" s="118" t="s">
        <v>277</v>
      </c>
    </row>
    <row r="124" spans="1:7" ht="19.2" customHeight="1" x14ac:dyDescent="0.25">
      <c r="A124" s="119">
        <v>1214</v>
      </c>
      <c r="B124" s="154" t="s">
        <v>262</v>
      </c>
      <c r="C124" s="154" t="s">
        <v>81</v>
      </c>
      <c r="D124" s="124">
        <v>15311.34</v>
      </c>
      <c r="E124" s="152">
        <v>6.7</v>
      </c>
      <c r="F124" s="160">
        <v>102585.98</v>
      </c>
      <c r="G124" s="118" t="s">
        <v>275</v>
      </c>
    </row>
    <row r="125" spans="1:7" ht="9.6" customHeight="1" x14ac:dyDescent="0.25">
      <c r="A125" s="119">
        <v>1403</v>
      </c>
      <c r="B125" s="154" t="s">
        <v>115</v>
      </c>
      <c r="C125" s="154" t="s">
        <v>114</v>
      </c>
      <c r="D125" s="122">
        <v>18.8217</v>
      </c>
      <c r="E125" s="152">
        <v>6.64</v>
      </c>
      <c r="F125" s="159">
        <v>124.98</v>
      </c>
      <c r="G125" s="118" t="s">
        <v>275</v>
      </c>
    </row>
    <row r="126" spans="1:7" ht="9.6" customHeight="1" x14ac:dyDescent="0.25">
      <c r="A126" s="119">
        <v>1348</v>
      </c>
      <c r="B126" s="154" t="s">
        <v>263</v>
      </c>
      <c r="C126" s="154" t="s">
        <v>81</v>
      </c>
      <c r="D126" s="124">
        <v>18138.509999999998</v>
      </c>
      <c r="E126" s="152">
        <v>6.5</v>
      </c>
      <c r="F126" s="160">
        <v>117900.31</v>
      </c>
      <c r="G126" s="118" t="s">
        <v>275</v>
      </c>
    </row>
    <row r="127" spans="1:7" ht="9.6" customHeight="1" x14ac:dyDescent="0.25">
      <c r="A127" s="119">
        <v>1444</v>
      </c>
      <c r="B127" s="154" t="s">
        <v>261</v>
      </c>
      <c r="C127" s="154" t="s">
        <v>81</v>
      </c>
      <c r="D127" s="124">
        <v>15695.4</v>
      </c>
      <c r="E127" s="152">
        <v>6.5</v>
      </c>
      <c r="F127" s="160">
        <v>102020.1</v>
      </c>
      <c r="G127" s="118" t="s">
        <v>275</v>
      </c>
    </row>
    <row r="128" spans="1:7" ht="9.6" customHeight="1" x14ac:dyDescent="0.25">
      <c r="A128" s="119">
        <v>4708</v>
      </c>
      <c r="B128" s="154" t="s">
        <v>257</v>
      </c>
      <c r="C128" s="154" t="s">
        <v>81</v>
      </c>
      <c r="D128" s="123">
        <v>9368.52</v>
      </c>
      <c r="E128" s="152">
        <v>6.5</v>
      </c>
      <c r="F128" s="158">
        <v>60895.38</v>
      </c>
      <c r="G128" s="118" t="s">
        <v>275</v>
      </c>
    </row>
    <row r="129" spans="1:7" ht="9.6" customHeight="1" x14ac:dyDescent="0.25">
      <c r="A129" s="119">
        <v>4709</v>
      </c>
      <c r="B129" s="154" t="s">
        <v>256</v>
      </c>
      <c r="C129" s="154" t="s">
        <v>81</v>
      </c>
      <c r="D129" s="123">
        <v>9221.4599999999991</v>
      </c>
      <c r="E129" s="152">
        <v>6.5</v>
      </c>
      <c r="F129" s="158">
        <v>59939.49</v>
      </c>
      <c r="G129" s="118" t="s">
        <v>275</v>
      </c>
    </row>
    <row r="130" spans="1:7" ht="9.6" customHeight="1" x14ac:dyDescent="0.25">
      <c r="A130" s="119">
        <v>5108</v>
      </c>
      <c r="B130" s="154" t="s">
        <v>203</v>
      </c>
      <c r="C130" s="154" t="s">
        <v>97</v>
      </c>
      <c r="D130" s="121">
        <v>744.08399999999995</v>
      </c>
      <c r="E130" s="152">
        <v>6.33</v>
      </c>
      <c r="F130" s="157">
        <v>4710.05</v>
      </c>
      <c r="G130" s="118" t="s">
        <v>276</v>
      </c>
    </row>
    <row r="131" spans="1:7" ht="9.6" customHeight="1" x14ac:dyDescent="0.25">
      <c r="A131" s="119">
        <v>5014</v>
      </c>
      <c r="B131" s="154" t="s">
        <v>198</v>
      </c>
      <c r="C131" s="154" t="s">
        <v>81</v>
      </c>
      <c r="D131" s="123">
        <v>7313.0820000000003</v>
      </c>
      <c r="E131" s="152">
        <v>5.3959999999999999</v>
      </c>
      <c r="F131" s="158">
        <v>39461.39</v>
      </c>
      <c r="G131" s="118" t="s">
        <v>277</v>
      </c>
    </row>
    <row r="132" spans="1:7" ht="9.6" customHeight="1" x14ac:dyDescent="0.25">
      <c r="A132" s="119">
        <v>7170</v>
      </c>
      <c r="B132" s="154" t="s">
        <v>234</v>
      </c>
      <c r="C132" s="154" t="s">
        <v>97</v>
      </c>
      <c r="D132" s="123">
        <v>6696.3</v>
      </c>
      <c r="E132" s="152">
        <v>5</v>
      </c>
      <c r="F132" s="158">
        <v>33481.5</v>
      </c>
      <c r="G132" s="118" t="s">
        <v>280</v>
      </c>
    </row>
    <row r="133" spans="1:7" ht="9.6" customHeight="1" x14ac:dyDescent="0.25">
      <c r="A133" s="119">
        <v>7176</v>
      </c>
      <c r="B133" s="154" t="s">
        <v>229</v>
      </c>
      <c r="C133" s="154" t="s">
        <v>97</v>
      </c>
      <c r="D133" s="123">
        <v>3655.6</v>
      </c>
      <c r="E133" s="152">
        <v>5</v>
      </c>
      <c r="F133" s="158">
        <v>18278</v>
      </c>
      <c r="G133" s="118" t="s">
        <v>280</v>
      </c>
    </row>
    <row r="134" spans="1:7" ht="9.6" customHeight="1" x14ac:dyDescent="0.25">
      <c r="A134" s="119">
        <v>5213</v>
      </c>
      <c r="B134" s="154" t="s">
        <v>166</v>
      </c>
      <c r="C134" s="154" t="s">
        <v>81</v>
      </c>
      <c r="D134" s="121">
        <v>301</v>
      </c>
      <c r="E134" s="152">
        <v>4.452</v>
      </c>
      <c r="F134" s="157">
        <v>1340.05</v>
      </c>
      <c r="G134" s="118" t="s">
        <v>276</v>
      </c>
    </row>
    <row r="135" spans="1:7" ht="9.6" customHeight="1" x14ac:dyDescent="0.25">
      <c r="A135" s="119">
        <v>7973</v>
      </c>
      <c r="B135" s="154" t="s">
        <v>158</v>
      </c>
      <c r="C135" s="154" t="s">
        <v>90</v>
      </c>
      <c r="D135" s="123">
        <v>4214</v>
      </c>
      <c r="E135" s="152">
        <v>4.2</v>
      </c>
      <c r="F135" s="158">
        <v>17698.8</v>
      </c>
      <c r="G135" s="118" t="s">
        <v>278</v>
      </c>
    </row>
    <row r="136" spans="1:7" ht="9.6" customHeight="1" x14ac:dyDescent="0.25">
      <c r="A136" s="119">
        <v>9141</v>
      </c>
      <c r="B136" s="154" t="s">
        <v>125</v>
      </c>
      <c r="C136" s="154" t="s">
        <v>97</v>
      </c>
      <c r="D136" s="124">
        <v>10036.936</v>
      </c>
      <c r="E136" s="152">
        <v>4.08</v>
      </c>
      <c r="F136" s="158">
        <v>40950.699999999997</v>
      </c>
      <c r="G136" s="118" t="s">
        <v>277</v>
      </c>
    </row>
    <row r="137" spans="1:7" ht="9.6" customHeight="1" x14ac:dyDescent="0.25">
      <c r="A137" s="119">
        <v>7439</v>
      </c>
      <c r="B137" s="154" t="s">
        <v>252</v>
      </c>
      <c r="C137" s="154" t="s">
        <v>90</v>
      </c>
      <c r="D137" s="123">
        <v>7645.5</v>
      </c>
      <c r="E137" s="152">
        <v>4.07</v>
      </c>
      <c r="F137" s="158">
        <v>31117.19</v>
      </c>
      <c r="G137" s="118" t="s">
        <v>276</v>
      </c>
    </row>
    <row r="138" spans="1:7" ht="19.2" customHeight="1" x14ac:dyDescent="0.25">
      <c r="A138" s="119">
        <v>1216</v>
      </c>
      <c r="B138" s="154" t="s">
        <v>254</v>
      </c>
      <c r="C138" s="154" t="s">
        <v>81</v>
      </c>
      <c r="D138" s="124">
        <v>14855.5373</v>
      </c>
      <c r="E138" s="152">
        <v>3.1</v>
      </c>
      <c r="F138" s="158">
        <v>46052.17</v>
      </c>
      <c r="G138" s="118" t="s">
        <v>279</v>
      </c>
    </row>
    <row r="139" spans="1:7" ht="9.6" customHeight="1" x14ac:dyDescent="0.25">
      <c r="A139" s="119">
        <v>7119</v>
      </c>
      <c r="B139" s="154" t="s">
        <v>165</v>
      </c>
      <c r="C139" s="154" t="s">
        <v>81</v>
      </c>
      <c r="D139" s="121">
        <v>442.45310000000001</v>
      </c>
      <c r="E139" s="152">
        <v>2.7</v>
      </c>
      <c r="F139" s="157">
        <v>1194.6199999999999</v>
      </c>
      <c r="G139" s="118" t="s">
        <v>275</v>
      </c>
    </row>
    <row r="140" spans="1:7" ht="9.6" customHeight="1" x14ac:dyDescent="0.25">
      <c r="A140" s="119">
        <v>7479</v>
      </c>
      <c r="B140" s="154" t="s">
        <v>160</v>
      </c>
      <c r="C140" s="154" t="s">
        <v>90</v>
      </c>
      <c r="D140" s="123">
        <v>8256</v>
      </c>
      <c r="E140" s="152">
        <v>2.65</v>
      </c>
      <c r="F140" s="158">
        <v>21878.400000000001</v>
      </c>
      <c r="G140" s="118" t="s">
        <v>278</v>
      </c>
    </row>
    <row r="141" spans="1:7" ht="9.6" customHeight="1" x14ac:dyDescent="0.25">
      <c r="A141" s="119">
        <v>7493</v>
      </c>
      <c r="B141" s="154" t="s">
        <v>98</v>
      </c>
      <c r="C141" s="154" t="s">
        <v>97</v>
      </c>
      <c r="D141" s="123">
        <v>4890.99</v>
      </c>
      <c r="E141" s="152">
        <v>2.2797000000000001</v>
      </c>
      <c r="F141" s="158">
        <v>11149.99</v>
      </c>
      <c r="G141" s="118" t="s">
        <v>278</v>
      </c>
    </row>
    <row r="142" spans="1:7" ht="9.6" customHeight="1" x14ac:dyDescent="0.25">
      <c r="A142" s="119">
        <v>6482</v>
      </c>
      <c r="B142" s="154" t="s">
        <v>248</v>
      </c>
      <c r="C142" s="154" t="s">
        <v>90</v>
      </c>
      <c r="D142" s="123">
        <v>2348</v>
      </c>
      <c r="E142" s="152">
        <v>2.27</v>
      </c>
      <c r="F142" s="157">
        <v>5329.96</v>
      </c>
      <c r="G142" s="118" t="s">
        <v>275</v>
      </c>
    </row>
    <row r="143" spans="1:7" ht="9.6" customHeight="1" x14ac:dyDescent="0.25">
      <c r="A143" s="119">
        <v>7027</v>
      </c>
      <c r="B143" s="154" t="s">
        <v>162</v>
      </c>
      <c r="C143" s="154" t="s">
        <v>90</v>
      </c>
      <c r="D143" s="124">
        <v>28780</v>
      </c>
      <c r="E143" s="152">
        <v>2.0499999999999998</v>
      </c>
      <c r="F143" s="158">
        <v>58999</v>
      </c>
      <c r="G143" s="118" t="s">
        <v>278</v>
      </c>
    </row>
    <row r="144" spans="1:7" ht="19.2" customHeight="1" x14ac:dyDescent="0.25">
      <c r="A144" s="119">
        <v>5044</v>
      </c>
      <c r="B144" s="154" t="s">
        <v>161</v>
      </c>
      <c r="C144" s="154" t="s">
        <v>90</v>
      </c>
      <c r="D144" s="124">
        <v>22528.48</v>
      </c>
      <c r="E144" s="152">
        <v>1.79</v>
      </c>
      <c r="F144" s="158">
        <v>40325.980000000003</v>
      </c>
      <c r="G144" s="118" t="s">
        <v>278</v>
      </c>
    </row>
    <row r="145" spans="1:7" ht="19.2" customHeight="1" x14ac:dyDescent="0.25">
      <c r="A145" s="119">
        <v>4664</v>
      </c>
      <c r="B145" s="154" t="s">
        <v>169</v>
      </c>
      <c r="C145" s="154" t="s">
        <v>81</v>
      </c>
      <c r="D145" s="124">
        <v>28946.481</v>
      </c>
      <c r="E145" s="152">
        <v>1.7324999999999999</v>
      </c>
      <c r="F145" s="158">
        <v>50149.78</v>
      </c>
      <c r="G145" s="118" t="s">
        <v>276</v>
      </c>
    </row>
    <row r="146" spans="1:7" ht="19.2" customHeight="1" x14ac:dyDescent="0.25">
      <c r="A146" s="119">
        <v>7116</v>
      </c>
      <c r="B146" s="154" t="s">
        <v>159</v>
      </c>
      <c r="C146" s="154" t="s">
        <v>90</v>
      </c>
      <c r="D146" s="124">
        <v>11864.16</v>
      </c>
      <c r="E146" s="152">
        <v>1.58</v>
      </c>
      <c r="F146" s="158">
        <v>18745.37</v>
      </c>
      <c r="G146" s="118" t="s">
        <v>275</v>
      </c>
    </row>
    <row r="147" spans="1:7" ht="9.6" customHeight="1" x14ac:dyDescent="0.25">
      <c r="A147" s="119">
        <v>4663</v>
      </c>
      <c r="B147" s="154" t="s">
        <v>164</v>
      </c>
      <c r="C147" s="154" t="s">
        <v>81</v>
      </c>
      <c r="D147" s="121">
        <v>621.52200000000005</v>
      </c>
      <c r="E147" s="152">
        <v>1.4265000000000001</v>
      </c>
      <c r="F147" s="159">
        <v>886.6</v>
      </c>
      <c r="G147" s="118" t="s">
        <v>276</v>
      </c>
    </row>
    <row r="148" spans="1:7" ht="19.2" customHeight="1" x14ac:dyDescent="0.25">
      <c r="A148" s="119">
        <v>7299</v>
      </c>
      <c r="B148" s="154" t="s">
        <v>144</v>
      </c>
      <c r="C148" s="154" t="s">
        <v>97</v>
      </c>
      <c r="D148" s="121">
        <v>104.9776</v>
      </c>
      <c r="E148" s="152">
        <v>1.42</v>
      </c>
      <c r="F148" s="159">
        <v>149.07</v>
      </c>
      <c r="G148" s="118" t="s">
        <v>276</v>
      </c>
    </row>
    <row r="149" spans="1:7" ht="9.6" customHeight="1" x14ac:dyDescent="0.25">
      <c r="A149" s="119">
        <v>7409</v>
      </c>
      <c r="B149" s="154" t="s">
        <v>167</v>
      </c>
      <c r="C149" s="154" t="s">
        <v>81</v>
      </c>
      <c r="D149" s="124">
        <v>10549.189399999999</v>
      </c>
      <c r="E149" s="152">
        <v>1.4135</v>
      </c>
      <c r="F149" s="158">
        <v>14911.28</v>
      </c>
      <c r="G149" s="118" t="s">
        <v>276</v>
      </c>
    </row>
    <row r="150" spans="1:7" ht="19.2" customHeight="1" x14ac:dyDescent="0.25">
      <c r="A150" s="119">
        <v>7184</v>
      </c>
      <c r="B150" s="154" t="s">
        <v>192</v>
      </c>
      <c r="C150" s="154" t="s">
        <v>90</v>
      </c>
      <c r="D150" s="121">
        <v>679.16600000000005</v>
      </c>
      <c r="E150" s="152">
        <v>1.3</v>
      </c>
      <c r="F150" s="159">
        <v>882.92</v>
      </c>
      <c r="G150" s="118" t="s">
        <v>277</v>
      </c>
    </row>
    <row r="151" spans="1:7" ht="19.2" customHeight="1" x14ac:dyDescent="0.25">
      <c r="A151" s="119">
        <v>7121</v>
      </c>
      <c r="B151" s="154" t="s">
        <v>258</v>
      </c>
      <c r="C151" s="154" t="s">
        <v>90</v>
      </c>
      <c r="D151" s="124">
        <v>67802.934099999999</v>
      </c>
      <c r="E151" s="152">
        <v>1.1200000000000001</v>
      </c>
      <c r="F151" s="158">
        <v>75939.289999999994</v>
      </c>
      <c r="G151" s="118" t="s">
        <v>275</v>
      </c>
    </row>
    <row r="152" spans="1:7" ht="19.2" customHeight="1" x14ac:dyDescent="0.25">
      <c r="A152" s="119">
        <v>5138</v>
      </c>
      <c r="B152" s="154" t="s">
        <v>91</v>
      </c>
      <c r="C152" s="154" t="s">
        <v>90</v>
      </c>
      <c r="D152" s="123">
        <v>6589.4</v>
      </c>
      <c r="E152" s="152">
        <v>0.91959999999999997</v>
      </c>
      <c r="F152" s="157">
        <v>6059.61</v>
      </c>
      <c r="G152" s="118" t="s">
        <v>276</v>
      </c>
    </row>
    <row r="153" spans="1:7" ht="9.6" customHeight="1" x14ac:dyDescent="0.25">
      <c r="A153" s="119">
        <v>4976</v>
      </c>
      <c r="B153" s="154" t="s">
        <v>204</v>
      </c>
      <c r="C153" s="154" t="s">
        <v>90</v>
      </c>
      <c r="D153" s="124">
        <v>15339.82</v>
      </c>
      <c r="E153" s="152">
        <v>0.89800000000000002</v>
      </c>
      <c r="F153" s="158">
        <v>13775.16</v>
      </c>
      <c r="G153" s="118" t="s">
        <v>276</v>
      </c>
    </row>
    <row r="154" spans="1:7" ht="9.6" customHeight="1" x14ac:dyDescent="0.25">
      <c r="A154" s="119">
        <v>7193</v>
      </c>
      <c r="B154" s="154" t="s">
        <v>187</v>
      </c>
      <c r="C154" s="154" t="s">
        <v>81</v>
      </c>
      <c r="D154" s="124">
        <v>24408.363000000001</v>
      </c>
      <c r="E154" s="152">
        <v>0.79200000000000004</v>
      </c>
      <c r="F154" s="158">
        <v>19331.419999999998</v>
      </c>
      <c r="G154" s="118" t="s">
        <v>276</v>
      </c>
    </row>
    <row r="155" spans="1:7" ht="9.6" customHeight="1" x14ac:dyDescent="0.25">
      <c r="A155" s="119">
        <v>7122</v>
      </c>
      <c r="B155" s="154" t="s">
        <v>157</v>
      </c>
      <c r="C155" s="154" t="s">
        <v>90</v>
      </c>
      <c r="D155" s="124">
        <v>67802.934099999999</v>
      </c>
      <c r="E155" s="152">
        <v>0.21</v>
      </c>
      <c r="F155" s="158">
        <v>14238.62</v>
      </c>
      <c r="G155" s="118" t="s">
        <v>275</v>
      </c>
    </row>
    <row r="156" spans="1:7" ht="19.2" customHeight="1" x14ac:dyDescent="0.25">
      <c r="A156" s="119">
        <v>4710</v>
      </c>
      <c r="B156" s="154" t="s">
        <v>93</v>
      </c>
      <c r="C156" s="154" t="s">
        <v>90</v>
      </c>
      <c r="D156" s="124">
        <v>71106.070999999996</v>
      </c>
      <c r="E156" s="152">
        <v>0.126</v>
      </c>
      <c r="F156" s="157">
        <v>8959.36</v>
      </c>
      <c r="G156" s="118" t="s">
        <v>275</v>
      </c>
    </row>
    <row r="157" spans="1:7" ht="19.2" customHeight="1" x14ac:dyDescent="0.25">
      <c r="A157" s="156">
        <v>1</v>
      </c>
      <c r="B157" s="154" t="s">
        <v>79</v>
      </c>
      <c r="C157" s="154" t="s">
        <v>77</v>
      </c>
      <c r="D157" s="153">
        <v>843.56</v>
      </c>
      <c r="E157" s="152">
        <v>0</v>
      </c>
      <c r="F157" s="151">
        <v>0</v>
      </c>
      <c r="G157" s="150" t="s">
        <v>274</v>
      </c>
    </row>
    <row r="158" spans="1:7" ht="9.6" customHeight="1" x14ac:dyDescent="0.25">
      <c r="A158" s="155">
        <v>44</v>
      </c>
      <c r="B158" s="154" t="s">
        <v>78</v>
      </c>
      <c r="C158" s="154" t="s">
        <v>77</v>
      </c>
      <c r="D158" s="153">
        <v>843.56</v>
      </c>
      <c r="E158" s="152">
        <v>0</v>
      </c>
      <c r="F158" s="151">
        <v>0</v>
      </c>
      <c r="G158" s="150" t="s">
        <v>273</v>
      </c>
    </row>
    <row r="159" spans="1:7" ht="9.75" customHeight="1" x14ac:dyDescent="0.25">
      <c r="A159" s="149" t="s">
        <v>64</v>
      </c>
      <c r="B159" s="148"/>
      <c r="C159" s="148"/>
      <c r="D159" s="148"/>
      <c r="E159" s="148"/>
      <c r="F159" s="147"/>
      <c r="G159" s="120"/>
    </row>
    <row r="160" spans="1:7" ht="2.25" customHeight="1" x14ac:dyDescent="0.25">
      <c r="A160" s="146"/>
      <c r="B160" s="146"/>
      <c r="C160" s="146"/>
      <c r="D160" s="146"/>
      <c r="E160" s="146"/>
      <c r="F160" s="146"/>
      <c r="G160" s="146"/>
    </row>
    <row r="161" spans="1:7" ht="8.4" customHeight="1" x14ac:dyDescent="0.25">
      <c r="A161" s="145" t="s">
        <v>272</v>
      </c>
      <c r="B161" s="145"/>
      <c r="C161" s="145"/>
      <c r="D161" s="145"/>
      <c r="E161" s="145"/>
      <c r="F161" s="145"/>
      <c r="G161" s="145"/>
    </row>
  </sheetData>
  <autoFilter ref="A1:O1" xr:uid="{24062DDC-8360-4EFE-BB13-66A760A9FD1B}">
    <sortState xmlns:xlrd2="http://schemas.microsoft.com/office/spreadsheetml/2017/richdata2" ref="A2:O159">
      <sortCondition descending="1" ref="E1"/>
    </sortState>
  </autoFilter>
  <pageMargins left="0.52999997138977051" right="0.52999997138977051" top="0.52999997138977051" bottom="0.68999999761581421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D97D-249C-47A6-9E80-57C61C70D358}">
  <dimension ref="A1:N315"/>
  <sheetViews>
    <sheetView topLeftCell="A4" zoomScaleNormal="100" workbookViewId="0">
      <selection activeCell="O34" sqref="O34"/>
    </sheetView>
  </sheetViews>
  <sheetFormatPr defaultRowHeight="13.2" x14ac:dyDescent="0.25"/>
  <cols>
    <col min="1" max="1" width="5.5546875" style="116" bestFit="1" customWidth="1"/>
    <col min="2" max="2" width="6.109375" style="116" bestFit="1" customWidth="1"/>
    <col min="3" max="3" width="7" style="116" bestFit="1" customWidth="1"/>
    <col min="4" max="5" width="11.21875" style="116" bestFit="1" customWidth="1"/>
    <col min="6" max="6" width="5.5546875" style="116" bestFit="1" customWidth="1"/>
    <col min="7" max="7" width="9.33203125" style="116" bestFit="1" customWidth="1"/>
    <col min="8" max="8" width="5.5546875" style="116" bestFit="1" customWidth="1"/>
    <col min="9" max="10" width="1.88671875" style="116" bestFit="1" customWidth="1"/>
    <col min="11" max="11" width="4.6640625" style="116" bestFit="1" customWidth="1"/>
    <col min="12" max="12" width="10.33203125" style="116" bestFit="1" customWidth="1"/>
    <col min="13" max="14" width="6.5546875" style="116" bestFit="1" customWidth="1"/>
    <col min="15" max="16384" width="8.88671875" style="116"/>
  </cols>
  <sheetData>
    <row r="1" spans="1:14" ht="20.7" customHeight="1" x14ac:dyDescent="0.25">
      <c r="A1" s="202" t="s">
        <v>76</v>
      </c>
      <c r="B1" s="203"/>
      <c r="C1" s="203"/>
      <c r="D1" s="203"/>
      <c r="E1" s="203"/>
      <c r="F1" s="203"/>
      <c r="G1" s="203"/>
      <c r="H1" s="203"/>
      <c r="I1" s="203"/>
      <c r="J1" s="203"/>
      <c r="K1" s="204"/>
      <c r="L1" s="125" t="s">
        <v>67</v>
      </c>
      <c r="M1" s="125" t="s">
        <v>75</v>
      </c>
      <c r="N1" s="125" t="s">
        <v>74</v>
      </c>
    </row>
    <row r="2" spans="1:14" ht="20.85" customHeight="1" x14ac:dyDescent="0.25">
      <c r="A2" s="186" t="s">
        <v>271</v>
      </c>
      <c r="B2" s="187"/>
      <c r="C2" s="187"/>
      <c r="D2" s="187"/>
      <c r="E2" s="187"/>
      <c r="F2" s="187"/>
      <c r="G2" s="187"/>
      <c r="H2" s="187"/>
      <c r="I2" s="187"/>
      <c r="J2" s="187"/>
      <c r="K2" s="188"/>
      <c r="L2" s="126">
        <v>3670000</v>
      </c>
      <c r="M2" s="127">
        <v>32.689100000000003</v>
      </c>
      <c r="N2" s="127">
        <v>32.689100000000003</v>
      </c>
    </row>
    <row r="3" spans="1:14" ht="20.7" customHeight="1" x14ac:dyDescent="0.25">
      <c r="A3" s="128" t="s">
        <v>72</v>
      </c>
      <c r="B3" s="202" t="s">
        <v>71</v>
      </c>
      <c r="C3" s="203"/>
      <c r="D3" s="203"/>
      <c r="E3" s="204"/>
      <c r="F3" s="128" t="s">
        <v>70</v>
      </c>
      <c r="G3" s="125" t="s">
        <v>69</v>
      </c>
      <c r="H3" s="193" t="s">
        <v>68</v>
      </c>
      <c r="I3" s="194"/>
      <c r="J3" s="194"/>
      <c r="K3" s="195"/>
      <c r="L3" s="125" t="s">
        <v>67</v>
      </c>
      <c r="M3" s="193"/>
      <c r="N3" s="195"/>
    </row>
    <row r="4" spans="1:14" ht="10.8" customHeight="1" x14ac:dyDescent="0.25">
      <c r="A4" s="129">
        <v>6726</v>
      </c>
      <c r="B4" s="186" t="s">
        <v>270</v>
      </c>
      <c r="C4" s="187"/>
      <c r="D4" s="187"/>
      <c r="E4" s="188"/>
      <c r="F4" s="130" t="s">
        <v>65</v>
      </c>
      <c r="G4" s="131">
        <v>1</v>
      </c>
      <c r="H4" s="132"/>
      <c r="I4" s="213">
        <v>3670000</v>
      </c>
      <c r="J4" s="213"/>
      <c r="K4" s="214"/>
      <c r="L4" s="126">
        <v>3670000</v>
      </c>
      <c r="M4" s="191"/>
      <c r="N4" s="192"/>
    </row>
    <row r="5" spans="1:14" ht="9.75" customHeight="1" x14ac:dyDescent="0.25">
      <c r="A5" s="201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</row>
    <row r="6" spans="1:14" ht="9.75" customHeight="1" x14ac:dyDescent="0.25">
      <c r="A6" s="202" t="s">
        <v>76</v>
      </c>
      <c r="B6" s="203"/>
      <c r="C6" s="203"/>
      <c r="D6" s="203"/>
      <c r="E6" s="203"/>
      <c r="F6" s="203"/>
      <c r="G6" s="203"/>
      <c r="H6" s="203"/>
      <c r="I6" s="203"/>
      <c r="J6" s="203"/>
      <c r="K6" s="204"/>
      <c r="L6" s="125" t="s">
        <v>67</v>
      </c>
      <c r="M6" s="125" t="s">
        <v>75</v>
      </c>
      <c r="N6" s="125" t="s">
        <v>74</v>
      </c>
    </row>
    <row r="7" spans="1:14" ht="9.75" customHeight="1" x14ac:dyDescent="0.25">
      <c r="A7" s="186" t="s">
        <v>269</v>
      </c>
      <c r="B7" s="187"/>
      <c r="C7" s="187"/>
      <c r="D7" s="187"/>
      <c r="E7" s="187"/>
      <c r="F7" s="187"/>
      <c r="G7" s="187"/>
      <c r="H7" s="187"/>
      <c r="I7" s="187"/>
      <c r="J7" s="187"/>
      <c r="K7" s="188"/>
      <c r="L7" s="126">
        <v>1134294.08</v>
      </c>
      <c r="M7" s="127">
        <v>10.103300000000001</v>
      </c>
      <c r="N7" s="127">
        <v>42.792400000000001</v>
      </c>
    </row>
    <row r="8" spans="1:14" ht="9.75" customHeight="1" x14ac:dyDescent="0.25">
      <c r="A8" s="128" t="s">
        <v>72</v>
      </c>
      <c r="B8" s="202" t="s">
        <v>71</v>
      </c>
      <c r="C8" s="203"/>
      <c r="D8" s="203"/>
      <c r="E8" s="204"/>
      <c r="F8" s="128" t="s">
        <v>70</v>
      </c>
      <c r="G8" s="125" t="s">
        <v>69</v>
      </c>
      <c r="H8" s="193" t="s">
        <v>68</v>
      </c>
      <c r="I8" s="194"/>
      <c r="J8" s="194"/>
      <c r="K8" s="195"/>
      <c r="L8" s="125" t="s">
        <v>67</v>
      </c>
      <c r="M8" s="193"/>
      <c r="N8" s="195"/>
    </row>
    <row r="9" spans="1:14" ht="10.8" customHeight="1" x14ac:dyDescent="0.25">
      <c r="A9" s="129">
        <v>5181</v>
      </c>
      <c r="B9" s="186" t="s">
        <v>268</v>
      </c>
      <c r="C9" s="187"/>
      <c r="D9" s="187"/>
      <c r="E9" s="188"/>
      <c r="F9" s="130" t="s">
        <v>65</v>
      </c>
      <c r="G9" s="131">
        <v>1</v>
      </c>
      <c r="H9" s="132"/>
      <c r="I9" s="211">
        <v>982359.81</v>
      </c>
      <c r="J9" s="211"/>
      <c r="K9" s="212"/>
      <c r="L9" s="133">
        <v>982359.81</v>
      </c>
      <c r="M9" s="191"/>
      <c r="N9" s="192"/>
    </row>
    <row r="10" spans="1:14" ht="9.75" customHeight="1" x14ac:dyDescent="0.25">
      <c r="A10" s="129">
        <v>8651</v>
      </c>
      <c r="B10" s="186" t="s">
        <v>267</v>
      </c>
      <c r="C10" s="187"/>
      <c r="D10" s="187"/>
      <c r="E10" s="188"/>
      <c r="F10" s="130" t="s">
        <v>65</v>
      </c>
      <c r="G10" s="131">
        <v>1</v>
      </c>
      <c r="H10" s="132"/>
      <c r="I10" s="189">
        <v>96675</v>
      </c>
      <c r="J10" s="189"/>
      <c r="K10" s="190"/>
      <c r="L10" s="134">
        <v>96675</v>
      </c>
      <c r="M10" s="191"/>
      <c r="N10" s="192"/>
    </row>
    <row r="11" spans="1:14" ht="9.6" customHeight="1" x14ac:dyDescent="0.25">
      <c r="A11" s="129">
        <v>1370</v>
      </c>
      <c r="B11" s="186" t="s">
        <v>266</v>
      </c>
      <c r="C11" s="187"/>
      <c r="D11" s="187"/>
      <c r="E11" s="188"/>
      <c r="F11" s="130" t="s">
        <v>65</v>
      </c>
      <c r="G11" s="131">
        <v>1</v>
      </c>
      <c r="H11" s="132"/>
      <c r="I11" s="189">
        <v>41259.26</v>
      </c>
      <c r="J11" s="189"/>
      <c r="K11" s="190"/>
      <c r="L11" s="134">
        <v>41259.26</v>
      </c>
      <c r="M11" s="191"/>
      <c r="N11" s="192"/>
    </row>
    <row r="12" spans="1:14" ht="9.75" customHeight="1" x14ac:dyDescent="0.25">
      <c r="A12" s="129">
        <v>1807</v>
      </c>
      <c r="B12" s="186" t="s">
        <v>265</v>
      </c>
      <c r="C12" s="187"/>
      <c r="D12" s="187"/>
      <c r="E12" s="188"/>
      <c r="F12" s="130" t="s">
        <v>109</v>
      </c>
      <c r="G12" s="135">
        <v>995.28</v>
      </c>
      <c r="H12" s="132"/>
      <c r="I12" s="205">
        <v>14.0664</v>
      </c>
      <c r="J12" s="205"/>
      <c r="K12" s="206"/>
      <c r="L12" s="134">
        <v>14000.01</v>
      </c>
      <c r="M12" s="191"/>
      <c r="N12" s="192"/>
    </row>
    <row r="13" spans="1:14" ht="19.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</row>
    <row r="14" spans="1:14" ht="10.8" customHeight="1" x14ac:dyDescent="0.25">
      <c r="A14" s="202" t="s">
        <v>76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4"/>
      <c r="L14" s="125" t="s">
        <v>67</v>
      </c>
      <c r="M14" s="125" t="s">
        <v>75</v>
      </c>
      <c r="N14" s="125" t="s">
        <v>74</v>
      </c>
    </row>
    <row r="15" spans="1:14" ht="9.75" customHeight="1" x14ac:dyDescent="0.25">
      <c r="A15" s="186" t="s">
        <v>264</v>
      </c>
      <c r="B15" s="187"/>
      <c r="C15" s="187"/>
      <c r="D15" s="187"/>
      <c r="E15" s="187"/>
      <c r="F15" s="187"/>
      <c r="G15" s="187"/>
      <c r="H15" s="187"/>
      <c r="I15" s="187"/>
      <c r="J15" s="187"/>
      <c r="K15" s="188"/>
      <c r="L15" s="133">
        <v>931537.32</v>
      </c>
      <c r="M15" s="131">
        <v>8.2972999999999999</v>
      </c>
      <c r="N15" s="127">
        <v>51.089700000000001</v>
      </c>
    </row>
    <row r="16" spans="1:14" ht="9.6" customHeight="1" x14ac:dyDescent="0.25">
      <c r="A16" s="128" t="s">
        <v>72</v>
      </c>
      <c r="B16" s="202" t="s">
        <v>71</v>
      </c>
      <c r="C16" s="203"/>
      <c r="D16" s="203"/>
      <c r="E16" s="204"/>
      <c r="F16" s="128" t="s">
        <v>70</v>
      </c>
      <c r="G16" s="125" t="s">
        <v>69</v>
      </c>
      <c r="H16" s="193" t="s">
        <v>68</v>
      </c>
      <c r="I16" s="194"/>
      <c r="J16" s="194"/>
      <c r="K16" s="195"/>
      <c r="L16" s="125" t="s">
        <v>67</v>
      </c>
      <c r="M16" s="193"/>
      <c r="N16" s="195"/>
    </row>
    <row r="17" spans="1:14" ht="9.75" customHeight="1" x14ac:dyDescent="0.25">
      <c r="A17" s="129">
        <v>1348</v>
      </c>
      <c r="B17" s="186" t="s">
        <v>263</v>
      </c>
      <c r="C17" s="187"/>
      <c r="D17" s="187"/>
      <c r="E17" s="188"/>
      <c r="F17" s="130" t="s">
        <v>81</v>
      </c>
      <c r="G17" s="136">
        <v>18138.509999999998</v>
      </c>
      <c r="H17" s="132"/>
      <c r="I17" s="198">
        <v>6.5</v>
      </c>
      <c r="J17" s="198"/>
      <c r="K17" s="199"/>
      <c r="L17" s="133">
        <v>117900.31</v>
      </c>
      <c r="M17" s="191"/>
      <c r="N17" s="192"/>
    </row>
    <row r="18" spans="1:14" ht="19.2" customHeight="1" x14ac:dyDescent="0.25">
      <c r="A18" s="129">
        <v>1214</v>
      </c>
      <c r="B18" s="186" t="s">
        <v>262</v>
      </c>
      <c r="C18" s="187"/>
      <c r="D18" s="187"/>
      <c r="E18" s="188"/>
      <c r="F18" s="130" t="s">
        <v>81</v>
      </c>
      <c r="G18" s="136">
        <v>15311.34</v>
      </c>
      <c r="H18" s="132"/>
      <c r="I18" s="198">
        <v>6.7</v>
      </c>
      <c r="J18" s="198"/>
      <c r="K18" s="199"/>
      <c r="L18" s="133">
        <v>102585.98</v>
      </c>
      <c r="M18" s="191"/>
      <c r="N18" s="192"/>
    </row>
    <row r="19" spans="1:14" ht="9.75" customHeight="1" x14ac:dyDescent="0.25">
      <c r="A19" s="129">
        <v>1444</v>
      </c>
      <c r="B19" s="186" t="s">
        <v>261</v>
      </c>
      <c r="C19" s="187"/>
      <c r="D19" s="187"/>
      <c r="E19" s="188"/>
      <c r="F19" s="130" t="s">
        <v>81</v>
      </c>
      <c r="G19" s="136">
        <v>15695.4</v>
      </c>
      <c r="H19" s="132"/>
      <c r="I19" s="198">
        <v>6.5</v>
      </c>
      <c r="J19" s="198"/>
      <c r="K19" s="199"/>
      <c r="L19" s="133">
        <v>102020.1</v>
      </c>
      <c r="M19" s="191"/>
      <c r="N19" s="192"/>
    </row>
    <row r="20" spans="1:14" ht="9.75" customHeight="1" x14ac:dyDescent="0.25">
      <c r="A20" s="129">
        <v>1347</v>
      </c>
      <c r="B20" s="186" t="s">
        <v>260</v>
      </c>
      <c r="C20" s="187"/>
      <c r="D20" s="187"/>
      <c r="E20" s="188"/>
      <c r="F20" s="130" t="s">
        <v>81</v>
      </c>
      <c r="G20" s="136">
        <v>13308.9</v>
      </c>
      <c r="H20" s="132"/>
      <c r="I20" s="198">
        <v>7.02</v>
      </c>
      <c r="J20" s="198"/>
      <c r="K20" s="199"/>
      <c r="L20" s="134">
        <v>93428.479999999996</v>
      </c>
      <c r="M20" s="191"/>
      <c r="N20" s="192"/>
    </row>
    <row r="21" spans="1:14" ht="9.75" customHeight="1" x14ac:dyDescent="0.25">
      <c r="A21" s="129">
        <v>1445</v>
      </c>
      <c r="B21" s="186" t="s">
        <v>259</v>
      </c>
      <c r="C21" s="187"/>
      <c r="D21" s="187"/>
      <c r="E21" s="188"/>
      <c r="F21" s="130" t="s">
        <v>81</v>
      </c>
      <c r="G21" s="136">
        <v>12240.8</v>
      </c>
      <c r="H21" s="132"/>
      <c r="I21" s="198">
        <v>7.61</v>
      </c>
      <c r="J21" s="198"/>
      <c r="K21" s="199"/>
      <c r="L21" s="134">
        <v>93152.49</v>
      </c>
      <c r="M21" s="191"/>
      <c r="N21" s="192"/>
    </row>
    <row r="22" spans="1:14" ht="10.8" customHeight="1" x14ac:dyDescent="0.25">
      <c r="A22" s="129">
        <v>7121</v>
      </c>
      <c r="B22" s="186" t="s">
        <v>258</v>
      </c>
      <c r="C22" s="187"/>
      <c r="D22" s="187"/>
      <c r="E22" s="188"/>
      <c r="F22" s="130" t="s">
        <v>90</v>
      </c>
      <c r="G22" s="136">
        <v>67802.934099999999</v>
      </c>
      <c r="H22" s="132"/>
      <c r="I22" s="198">
        <v>1.1200000000000001</v>
      </c>
      <c r="J22" s="198"/>
      <c r="K22" s="199"/>
      <c r="L22" s="134">
        <v>75939.289999999994</v>
      </c>
      <c r="M22" s="191"/>
      <c r="N22" s="192"/>
    </row>
    <row r="23" spans="1:14" ht="9.75" customHeight="1" x14ac:dyDescent="0.25">
      <c r="A23" s="129">
        <v>4708</v>
      </c>
      <c r="B23" s="186" t="s">
        <v>257</v>
      </c>
      <c r="C23" s="187"/>
      <c r="D23" s="187"/>
      <c r="E23" s="188"/>
      <c r="F23" s="130" t="s">
        <v>81</v>
      </c>
      <c r="G23" s="137">
        <v>9368.52</v>
      </c>
      <c r="H23" s="132"/>
      <c r="I23" s="198">
        <v>6.5</v>
      </c>
      <c r="J23" s="198"/>
      <c r="K23" s="199"/>
      <c r="L23" s="134">
        <v>60895.38</v>
      </c>
      <c r="M23" s="191"/>
      <c r="N23" s="192"/>
    </row>
    <row r="24" spans="1:14" ht="9.6" customHeight="1" x14ac:dyDescent="0.25">
      <c r="A24" s="129">
        <v>4709</v>
      </c>
      <c r="B24" s="186" t="s">
        <v>256</v>
      </c>
      <c r="C24" s="187"/>
      <c r="D24" s="187"/>
      <c r="E24" s="188"/>
      <c r="F24" s="130" t="s">
        <v>81</v>
      </c>
      <c r="G24" s="137">
        <v>9221.4599999999991</v>
      </c>
      <c r="H24" s="132"/>
      <c r="I24" s="198">
        <v>6.5</v>
      </c>
      <c r="J24" s="198"/>
      <c r="K24" s="199"/>
      <c r="L24" s="134">
        <v>59939.49</v>
      </c>
      <c r="M24" s="191"/>
      <c r="N24" s="192"/>
    </row>
    <row r="25" spans="1:14" ht="9.75" customHeight="1" x14ac:dyDescent="0.25">
      <c r="A25" s="129">
        <v>7198</v>
      </c>
      <c r="B25" s="186" t="s">
        <v>255</v>
      </c>
      <c r="C25" s="187"/>
      <c r="D25" s="187"/>
      <c r="E25" s="188"/>
      <c r="F25" s="130" t="s">
        <v>97</v>
      </c>
      <c r="G25" s="137">
        <v>1349.838</v>
      </c>
      <c r="H25" s="132"/>
      <c r="I25" s="205">
        <v>34.92</v>
      </c>
      <c r="J25" s="205"/>
      <c r="K25" s="206"/>
      <c r="L25" s="134">
        <v>47136.34</v>
      </c>
      <c r="M25" s="191"/>
      <c r="N25" s="192"/>
    </row>
    <row r="26" spans="1:14" ht="9.75" customHeight="1" x14ac:dyDescent="0.25">
      <c r="A26" s="129">
        <v>1216</v>
      </c>
      <c r="B26" s="186" t="s">
        <v>254</v>
      </c>
      <c r="C26" s="187"/>
      <c r="D26" s="187"/>
      <c r="E26" s="188"/>
      <c r="F26" s="130" t="s">
        <v>81</v>
      </c>
      <c r="G26" s="136">
        <v>14855.5373</v>
      </c>
      <c r="H26" s="132"/>
      <c r="I26" s="198">
        <v>3.1</v>
      </c>
      <c r="J26" s="198"/>
      <c r="K26" s="199"/>
      <c r="L26" s="134">
        <v>46052.17</v>
      </c>
      <c r="M26" s="191"/>
      <c r="N26" s="192"/>
    </row>
    <row r="27" spans="1:14" ht="9.75" customHeight="1" x14ac:dyDescent="0.25">
      <c r="A27" s="129">
        <v>7667</v>
      </c>
      <c r="B27" s="186" t="s">
        <v>253</v>
      </c>
      <c r="C27" s="187"/>
      <c r="D27" s="187"/>
      <c r="E27" s="188"/>
      <c r="F27" s="130" t="s">
        <v>97</v>
      </c>
      <c r="G27" s="137">
        <v>1227.45</v>
      </c>
      <c r="H27" s="132"/>
      <c r="I27" s="205">
        <v>34.92</v>
      </c>
      <c r="J27" s="205"/>
      <c r="K27" s="206"/>
      <c r="L27" s="134">
        <v>42862.55</v>
      </c>
      <c r="M27" s="191"/>
      <c r="N27" s="192"/>
    </row>
    <row r="28" spans="1:14" ht="9.75" customHeight="1" x14ac:dyDescent="0.25">
      <c r="A28" s="129">
        <v>7439</v>
      </c>
      <c r="B28" s="186" t="s">
        <v>252</v>
      </c>
      <c r="C28" s="187"/>
      <c r="D28" s="187"/>
      <c r="E28" s="188"/>
      <c r="F28" s="130" t="s">
        <v>90</v>
      </c>
      <c r="G28" s="137">
        <v>7645.5</v>
      </c>
      <c r="H28" s="132"/>
      <c r="I28" s="198">
        <v>4.07</v>
      </c>
      <c r="J28" s="198"/>
      <c r="K28" s="199"/>
      <c r="L28" s="134">
        <v>31117.19</v>
      </c>
      <c r="M28" s="191"/>
      <c r="N28" s="192"/>
    </row>
    <row r="29" spans="1:14" ht="9.75" customHeight="1" x14ac:dyDescent="0.25">
      <c r="A29" s="129">
        <v>6413</v>
      </c>
      <c r="B29" s="186" t="s">
        <v>251</v>
      </c>
      <c r="C29" s="187"/>
      <c r="D29" s="187"/>
      <c r="E29" s="188"/>
      <c r="F29" s="130" t="s">
        <v>81</v>
      </c>
      <c r="G29" s="137">
        <v>2171.5250000000001</v>
      </c>
      <c r="H29" s="132"/>
      <c r="I29" s="205">
        <v>10.94</v>
      </c>
      <c r="J29" s="205"/>
      <c r="K29" s="206"/>
      <c r="L29" s="134">
        <v>23756.48</v>
      </c>
      <c r="M29" s="191"/>
      <c r="N29" s="192"/>
    </row>
    <row r="30" spans="1:14" ht="9.75" customHeight="1" x14ac:dyDescent="0.25">
      <c r="A30" s="129">
        <v>7440</v>
      </c>
      <c r="B30" s="186" t="s">
        <v>250</v>
      </c>
      <c r="C30" s="187"/>
      <c r="D30" s="187"/>
      <c r="E30" s="188"/>
      <c r="F30" s="130" t="s">
        <v>97</v>
      </c>
      <c r="G30" s="135">
        <v>841.005</v>
      </c>
      <c r="H30" s="132"/>
      <c r="I30" s="205">
        <v>17.225899999999999</v>
      </c>
      <c r="J30" s="205"/>
      <c r="K30" s="206"/>
      <c r="L30" s="134">
        <v>14487.07</v>
      </c>
      <c r="M30" s="191"/>
      <c r="N30" s="192"/>
    </row>
    <row r="31" spans="1:14" ht="19.2" customHeight="1" x14ac:dyDescent="0.25">
      <c r="A31" s="129">
        <v>7441</v>
      </c>
      <c r="B31" s="186" t="s">
        <v>249</v>
      </c>
      <c r="C31" s="187"/>
      <c r="D31" s="187"/>
      <c r="E31" s="188"/>
      <c r="F31" s="130" t="s">
        <v>90</v>
      </c>
      <c r="G31" s="137">
        <v>1177.4069999999999</v>
      </c>
      <c r="H31" s="132"/>
      <c r="I31" s="198">
        <v>8.93</v>
      </c>
      <c r="J31" s="198"/>
      <c r="K31" s="199"/>
      <c r="L31" s="134">
        <v>10514.24</v>
      </c>
      <c r="M31" s="191"/>
      <c r="N31" s="192"/>
    </row>
    <row r="32" spans="1:14" ht="9.75" customHeight="1" x14ac:dyDescent="0.25">
      <c r="A32" s="129">
        <v>6482</v>
      </c>
      <c r="B32" s="186" t="s">
        <v>248</v>
      </c>
      <c r="C32" s="187"/>
      <c r="D32" s="187"/>
      <c r="E32" s="188"/>
      <c r="F32" s="130" t="s">
        <v>90</v>
      </c>
      <c r="G32" s="137">
        <v>2348</v>
      </c>
      <c r="H32" s="132"/>
      <c r="I32" s="198">
        <v>2.27</v>
      </c>
      <c r="J32" s="198"/>
      <c r="K32" s="199"/>
      <c r="L32" s="138">
        <v>5329.96</v>
      </c>
      <c r="M32" s="191"/>
      <c r="N32" s="192"/>
    </row>
    <row r="33" spans="1:14" ht="9.75" customHeight="1" x14ac:dyDescent="0.25">
      <c r="A33" s="129">
        <v>1219</v>
      </c>
      <c r="B33" s="186" t="s">
        <v>247</v>
      </c>
      <c r="C33" s="187"/>
      <c r="D33" s="187"/>
      <c r="E33" s="188"/>
      <c r="F33" s="130" t="s">
        <v>81</v>
      </c>
      <c r="G33" s="135">
        <v>265.35000000000002</v>
      </c>
      <c r="H33" s="132"/>
      <c r="I33" s="205">
        <v>12.03</v>
      </c>
      <c r="J33" s="205"/>
      <c r="K33" s="206"/>
      <c r="L33" s="138">
        <v>3192.16</v>
      </c>
      <c r="M33" s="191"/>
      <c r="N33" s="192"/>
    </row>
    <row r="34" spans="1:14" ht="19.2" customHeight="1" x14ac:dyDescent="0.25">
      <c r="A34" s="129">
        <v>7120</v>
      </c>
      <c r="B34" s="186" t="s">
        <v>246</v>
      </c>
      <c r="C34" s="187"/>
      <c r="D34" s="187"/>
      <c r="E34" s="188"/>
      <c r="F34" s="130" t="s">
        <v>81</v>
      </c>
      <c r="G34" s="127">
        <v>51.690100000000001</v>
      </c>
      <c r="H34" s="132"/>
      <c r="I34" s="205">
        <v>23.75</v>
      </c>
      <c r="J34" s="205"/>
      <c r="K34" s="206"/>
      <c r="L34" s="138">
        <v>1227.6400000000001</v>
      </c>
      <c r="M34" s="191"/>
      <c r="N34" s="192"/>
    </row>
    <row r="35" spans="1:14" ht="9.75" customHeight="1" x14ac:dyDescent="0.25">
      <c r="A35" s="201"/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</row>
    <row r="36" spans="1:14" ht="19.2" customHeight="1" x14ac:dyDescent="0.25">
      <c r="A36" s="202" t="s">
        <v>76</v>
      </c>
      <c r="B36" s="203"/>
      <c r="C36" s="203"/>
      <c r="D36" s="203"/>
      <c r="E36" s="203"/>
      <c r="F36" s="203"/>
      <c r="G36" s="203"/>
      <c r="H36" s="203"/>
      <c r="I36" s="203"/>
      <c r="J36" s="203"/>
      <c r="K36" s="204"/>
      <c r="L36" s="125" t="s">
        <v>67</v>
      </c>
      <c r="M36" s="125" t="s">
        <v>75</v>
      </c>
      <c r="N36" s="125" t="s">
        <v>74</v>
      </c>
    </row>
    <row r="37" spans="1:14" ht="9.75" customHeight="1" x14ac:dyDescent="0.25">
      <c r="A37" s="186" t="s">
        <v>245</v>
      </c>
      <c r="B37" s="187"/>
      <c r="C37" s="187"/>
      <c r="D37" s="187"/>
      <c r="E37" s="187"/>
      <c r="F37" s="187"/>
      <c r="G37" s="187"/>
      <c r="H37" s="187"/>
      <c r="I37" s="187"/>
      <c r="J37" s="187"/>
      <c r="K37" s="188"/>
      <c r="L37" s="133">
        <v>919558.89</v>
      </c>
      <c r="M37" s="131">
        <v>8.1905999999999999</v>
      </c>
      <c r="N37" s="127">
        <v>59.280299999999997</v>
      </c>
    </row>
    <row r="38" spans="1:14" ht="9.75" customHeight="1" x14ac:dyDescent="0.25">
      <c r="A38" s="128" t="s">
        <v>72</v>
      </c>
      <c r="B38" s="202" t="s">
        <v>71</v>
      </c>
      <c r="C38" s="203"/>
      <c r="D38" s="203"/>
      <c r="E38" s="204"/>
      <c r="F38" s="128" t="s">
        <v>70</v>
      </c>
      <c r="G38" s="125" t="s">
        <v>69</v>
      </c>
      <c r="H38" s="193" t="s">
        <v>68</v>
      </c>
      <c r="I38" s="194"/>
      <c r="J38" s="194"/>
      <c r="K38" s="195"/>
      <c r="L38" s="125" t="s">
        <v>67</v>
      </c>
      <c r="M38" s="193"/>
      <c r="N38" s="195"/>
    </row>
    <row r="39" spans="1:14" ht="9.75" customHeight="1" x14ac:dyDescent="0.25">
      <c r="A39" s="139">
        <v>848</v>
      </c>
      <c r="B39" s="186" t="s">
        <v>244</v>
      </c>
      <c r="C39" s="187"/>
      <c r="D39" s="187"/>
      <c r="E39" s="188"/>
      <c r="F39" s="130" t="s">
        <v>97</v>
      </c>
      <c r="G39" s="137">
        <v>6696.3</v>
      </c>
      <c r="H39" s="132"/>
      <c r="I39" s="205">
        <v>22</v>
      </c>
      <c r="J39" s="205"/>
      <c r="K39" s="206"/>
      <c r="L39" s="133">
        <v>147318.6</v>
      </c>
      <c r="M39" s="191"/>
      <c r="N39" s="192"/>
    </row>
    <row r="40" spans="1:14" ht="9.75" customHeight="1" x14ac:dyDescent="0.25">
      <c r="A40" s="129">
        <v>7181</v>
      </c>
      <c r="B40" s="186" t="s">
        <v>243</v>
      </c>
      <c r="C40" s="187"/>
      <c r="D40" s="187"/>
      <c r="E40" s="188"/>
      <c r="F40" s="130" t="s">
        <v>97</v>
      </c>
      <c r="G40" s="137">
        <v>6696.3</v>
      </c>
      <c r="H40" s="132"/>
      <c r="I40" s="205">
        <v>15</v>
      </c>
      <c r="J40" s="205"/>
      <c r="K40" s="206"/>
      <c r="L40" s="133">
        <v>100444.5</v>
      </c>
      <c r="M40" s="191"/>
      <c r="N40" s="192"/>
    </row>
    <row r="41" spans="1:14" ht="9.75" customHeight="1" x14ac:dyDescent="0.25">
      <c r="A41" s="129">
        <v>7173</v>
      </c>
      <c r="B41" s="186" t="s">
        <v>242</v>
      </c>
      <c r="C41" s="187"/>
      <c r="D41" s="187"/>
      <c r="E41" s="188"/>
      <c r="F41" s="130" t="s">
        <v>97</v>
      </c>
      <c r="G41" s="137">
        <v>6696.3</v>
      </c>
      <c r="H41" s="132"/>
      <c r="I41" s="205">
        <v>14</v>
      </c>
      <c r="J41" s="205"/>
      <c r="K41" s="206"/>
      <c r="L41" s="134">
        <v>93748.2</v>
      </c>
      <c r="M41" s="191"/>
      <c r="N41" s="192"/>
    </row>
    <row r="42" spans="1:14" ht="9.75" customHeight="1" x14ac:dyDescent="0.25">
      <c r="A42" s="129">
        <v>7178</v>
      </c>
      <c r="B42" s="186" t="s">
        <v>241</v>
      </c>
      <c r="C42" s="187"/>
      <c r="D42" s="187"/>
      <c r="E42" s="188"/>
      <c r="F42" s="130" t="s">
        <v>97</v>
      </c>
      <c r="G42" s="137">
        <v>3655.6</v>
      </c>
      <c r="H42" s="132"/>
      <c r="I42" s="205">
        <v>20</v>
      </c>
      <c r="J42" s="205"/>
      <c r="K42" s="206"/>
      <c r="L42" s="134">
        <v>73112</v>
      </c>
      <c r="M42" s="191"/>
      <c r="N42" s="192"/>
    </row>
    <row r="43" spans="1:14" ht="9.75" customHeight="1" x14ac:dyDescent="0.25">
      <c r="A43" s="129">
        <v>1248</v>
      </c>
      <c r="B43" s="186" t="s">
        <v>240</v>
      </c>
      <c r="C43" s="187"/>
      <c r="D43" s="187"/>
      <c r="E43" s="188"/>
      <c r="F43" s="130" t="s">
        <v>100</v>
      </c>
      <c r="G43" s="137">
        <v>1389.8219999999999</v>
      </c>
      <c r="H43" s="132"/>
      <c r="I43" s="205">
        <v>42.93</v>
      </c>
      <c r="J43" s="205"/>
      <c r="K43" s="206"/>
      <c r="L43" s="134">
        <v>59665.06</v>
      </c>
      <c r="M43" s="191"/>
      <c r="N43" s="192"/>
    </row>
    <row r="44" spans="1:14" ht="10.8" customHeight="1" x14ac:dyDescent="0.25">
      <c r="A44" s="129">
        <v>7265</v>
      </c>
      <c r="B44" s="186" t="s">
        <v>239</v>
      </c>
      <c r="C44" s="187"/>
      <c r="D44" s="187"/>
      <c r="E44" s="188"/>
      <c r="F44" s="130" t="s">
        <v>97</v>
      </c>
      <c r="G44" s="137">
        <v>1958.59</v>
      </c>
      <c r="H44" s="132"/>
      <c r="I44" s="205">
        <v>30</v>
      </c>
      <c r="J44" s="205"/>
      <c r="K44" s="206"/>
      <c r="L44" s="134">
        <v>58757.7</v>
      </c>
      <c r="M44" s="191"/>
      <c r="N44" s="192"/>
    </row>
    <row r="45" spans="1:14" ht="9.75" customHeight="1" x14ac:dyDescent="0.25">
      <c r="A45" s="129">
        <v>7182</v>
      </c>
      <c r="B45" s="186" t="s">
        <v>238</v>
      </c>
      <c r="C45" s="187"/>
      <c r="D45" s="187"/>
      <c r="E45" s="188"/>
      <c r="F45" s="130" t="s">
        <v>97</v>
      </c>
      <c r="G45" s="137">
        <v>3655.6</v>
      </c>
      <c r="H45" s="132"/>
      <c r="I45" s="205">
        <v>15</v>
      </c>
      <c r="J45" s="205"/>
      <c r="K45" s="206"/>
      <c r="L45" s="134">
        <v>54834</v>
      </c>
      <c r="M45" s="191"/>
      <c r="N45" s="192"/>
    </row>
    <row r="46" spans="1:14" ht="9.6" customHeight="1" x14ac:dyDescent="0.25">
      <c r="A46" s="129">
        <v>5136</v>
      </c>
      <c r="B46" s="186" t="s">
        <v>237</v>
      </c>
      <c r="C46" s="187"/>
      <c r="D46" s="187"/>
      <c r="E46" s="188"/>
      <c r="F46" s="130" t="s">
        <v>97</v>
      </c>
      <c r="G46" s="137">
        <v>3655.6</v>
      </c>
      <c r="H46" s="132"/>
      <c r="I46" s="205">
        <v>14</v>
      </c>
      <c r="J46" s="205"/>
      <c r="K46" s="206"/>
      <c r="L46" s="134">
        <v>51178.400000000001</v>
      </c>
      <c r="M46" s="191"/>
      <c r="N46" s="192"/>
    </row>
    <row r="47" spans="1:14" ht="9.75" customHeight="1" x14ac:dyDescent="0.25">
      <c r="A47" s="129">
        <v>7222</v>
      </c>
      <c r="B47" s="186" t="s">
        <v>236</v>
      </c>
      <c r="C47" s="187"/>
      <c r="D47" s="187"/>
      <c r="E47" s="188"/>
      <c r="F47" s="130" t="s">
        <v>97</v>
      </c>
      <c r="G47" s="135">
        <v>937.56</v>
      </c>
      <c r="H47" s="132"/>
      <c r="I47" s="205">
        <v>45.48</v>
      </c>
      <c r="J47" s="205"/>
      <c r="K47" s="206"/>
      <c r="L47" s="134">
        <v>42640.23</v>
      </c>
      <c r="M47" s="191"/>
      <c r="N47" s="192"/>
    </row>
    <row r="48" spans="1:14" ht="19.2" customHeight="1" x14ac:dyDescent="0.25">
      <c r="A48" s="129">
        <v>7269</v>
      </c>
      <c r="B48" s="186" t="s">
        <v>235</v>
      </c>
      <c r="C48" s="187"/>
      <c r="D48" s="187"/>
      <c r="E48" s="188"/>
      <c r="F48" s="130" t="s">
        <v>97</v>
      </c>
      <c r="G48" s="137">
        <v>1156.28</v>
      </c>
      <c r="H48" s="132"/>
      <c r="I48" s="205">
        <v>35</v>
      </c>
      <c r="J48" s="205"/>
      <c r="K48" s="206"/>
      <c r="L48" s="134">
        <v>40469.800000000003</v>
      </c>
      <c r="M48" s="191"/>
      <c r="N48" s="192"/>
    </row>
    <row r="49" spans="1:14" ht="19.2" customHeight="1" x14ac:dyDescent="0.25">
      <c r="A49" s="129">
        <v>7170</v>
      </c>
      <c r="B49" s="186" t="s">
        <v>234</v>
      </c>
      <c r="C49" s="187"/>
      <c r="D49" s="187"/>
      <c r="E49" s="188"/>
      <c r="F49" s="130" t="s">
        <v>97</v>
      </c>
      <c r="G49" s="137">
        <v>6696.3</v>
      </c>
      <c r="H49" s="132"/>
      <c r="I49" s="198">
        <v>5</v>
      </c>
      <c r="J49" s="198"/>
      <c r="K49" s="199"/>
      <c r="L49" s="134">
        <v>33481.5</v>
      </c>
      <c r="M49" s="191"/>
      <c r="N49" s="192"/>
    </row>
    <row r="50" spans="1:14" ht="19.2" customHeight="1" x14ac:dyDescent="0.25">
      <c r="A50" s="129">
        <v>7279</v>
      </c>
      <c r="B50" s="186" t="s">
        <v>233</v>
      </c>
      <c r="C50" s="187"/>
      <c r="D50" s="187"/>
      <c r="E50" s="188"/>
      <c r="F50" s="130" t="s">
        <v>65</v>
      </c>
      <c r="G50" s="131">
        <v>1</v>
      </c>
      <c r="H50" s="132"/>
      <c r="I50" s="189">
        <v>27791.56</v>
      </c>
      <c r="J50" s="189"/>
      <c r="K50" s="190"/>
      <c r="L50" s="134">
        <v>27791.56</v>
      </c>
      <c r="M50" s="191"/>
      <c r="N50" s="192"/>
    </row>
    <row r="51" spans="1:14" ht="19.2" customHeight="1" x14ac:dyDescent="0.25">
      <c r="A51" s="129">
        <v>5109</v>
      </c>
      <c r="B51" s="186" t="s">
        <v>232</v>
      </c>
      <c r="C51" s="187"/>
      <c r="D51" s="187"/>
      <c r="E51" s="188"/>
      <c r="F51" s="130" t="s">
        <v>97</v>
      </c>
      <c r="G51" s="135">
        <v>676.44</v>
      </c>
      <c r="H51" s="132"/>
      <c r="I51" s="205">
        <v>35.479900000000001</v>
      </c>
      <c r="J51" s="205"/>
      <c r="K51" s="206"/>
      <c r="L51" s="134">
        <v>24000.02</v>
      </c>
      <c r="M51" s="191"/>
      <c r="N51" s="192"/>
    </row>
    <row r="52" spans="1:14" ht="9.75" customHeight="1" x14ac:dyDescent="0.25">
      <c r="A52" s="129">
        <v>7168</v>
      </c>
      <c r="B52" s="186" t="s">
        <v>231</v>
      </c>
      <c r="C52" s="187"/>
      <c r="D52" s="187"/>
      <c r="E52" s="188"/>
      <c r="F52" s="130" t="s">
        <v>97</v>
      </c>
      <c r="G52" s="137">
        <v>1118.98</v>
      </c>
      <c r="H52" s="132"/>
      <c r="I52" s="205">
        <v>20.010000000000002</v>
      </c>
      <c r="J52" s="205"/>
      <c r="K52" s="206"/>
      <c r="L52" s="134">
        <v>22390.79</v>
      </c>
      <c r="M52" s="191"/>
      <c r="N52" s="192"/>
    </row>
    <row r="53" spans="1:14" ht="19.2" customHeight="1" x14ac:dyDescent="0.25">
      <c r="A53" s="129">
        <v>7432</v>
      </c>
      <c r="B53" s="186" t="s">
        <v>230</v>
      </c>
      <c r="C53" s="187"/>
      <c r="D53" s="187"/>
      <c r="E53" s="188"/>
      <c r="F53" s="130" t="s">
        <v>97</v>
      </c>
      <c r="G53" s="137">
        <v>1554.79</v>
      </c>
      <c r="H53" s="132"/>
      <c r="I53" s="205">
        <v>11.9</v>
      </c>
      <c r="J53" s="205"/>
      <c r="K53" s="206"/>
      <c r="L53" s="134">
        <v>18502</v>
      </c>
      <c r="M53" s="191"/>
      <c r="N53" s="192"/>
    </row>
    <row r="54" spans="1:14" ht="19.2" customHeight="1" x14ac:dyDescent="0.25">
      <c r="A54" s="129">
        <v>7176</v>
      </c>
      <c r="B54" s="186" t="s">
        <v>229</v>
      </c>
      <c r="C54" s="187"/>
      <c r="D54" s="187"/>
      <c r="E54" s="188"/>
      <c r="F54" s="130" t="s">
        <v>97</v>
      </c>
      <c r="G54" s="137">
        <v>3655.6</v>
      </c>
      <c r="H54" s="132"/>
      <c r="I54" s="198">
        <v>5</v>
      </c>
      <c r="J54" s="198"/>
      <c r="K54" s="199"/>
      <c r="L54" s="134">
        <v>18278</v>
      </c>
      <c r="M54" s="191"/>
      <c r="N54" s="192"/>
    </row>
    <row r="55" spans="1:14" ht="19.2" customHeight="1" x14ac:dyDescent="0.25">
      <c r="A55" s="129">
        <v>7475</v>
      </c>
      <c r="B55" s="186" t="s">
        <v>228</v>
      </c>
      <c r="C55" s="187"/>
      <c r="D55" s="187"/>
      <c r="E55" s="188"/>
      <c r="F55" s="130" t="s">
        <v>97</v>
      </c>
      <c r="G55" s="137">
        <v>1958.59</v>
      </c>
      <c r="H55" s="132"/>
      <c r="I55" s="198">
        <v>9</v>
      </c>
      <c r="J55" s="198"/>
      <c r="K55" s="199"/>
      <c r="L55" s="134">
        <v>17627.310000000001</v>
      </c>
      <c r="M55" s="191"/>
      <c r="N55" s="192"/>
    </row>
    <row r="56" spans="1:14" ht="19.2" customHeight="1" x14ac:dyDescent="0.25">
      <c r="A56" s="129">
        <v>7622</v>
      </c>
      <c r="B56" s="186" t="s">
        <v>227</v>
      </c>
      <c r="C56" s="187"/>
      <c r="D56" s="187"/>
      <c r="E56" s="188"/>
      <c r="F56" s="130" t="s">
        <v>97</v>
      </c>
      <c r="G56" s="135">
        <v>591.30999999999995</v>
      </c>
      <c r="H56" s="132"/>
      <c r="I56" s="205">
        <v>20.8</v>
      </c>
      <c r="J56" s="205"/>
      <c r="K56" s="206"/>
      <c r="L56" s="134">
        <v>12299.25</v>
      </c>
      <c r="M56" s="191"/>
      <c r="N56" s="192"/>
    </row>
    <row r="57" spans="1:14" ht="19.2" customHeight="1" x14ac:dyDescent="0.25">
      <c r="A57" s="129">
        <v>7225</v>
      </c>
      <c r="B57" s="186" t="s">
        <v>226</v>
      </c>
      <c r="C57" s="187"/>
      <c r="D57" s="187"/>
      <c r="E57" s="188"/>
      <c r="F57" s="130" t="s">
        <v>97</v>
      </c>
      <c r="G57" s="135">
        <v>182.16</v>
      </c>
      <c r="H57" s="132"/>
      <c r="I57" s="205">
        <v>49</v>
      </c>
      <c r="J57" s="205"/>
      <c r="K57" s="206"/>
      <c r="L57" s="138">
        <v>8925.84</v>
      </c>
      <c r="M57" s="191"/>
      <c r="N57" s="192"/>
    </row>
    <row r="58" spans="1:14" ht="19.2" customHeight="1" x14ac:dyDescent="0.25">
      <c r="A58" s="129">
        <v>7218</v>
      </c>
      <c r="B58" s="186" t="s">
        <v>225</v>
      </c>
      <c r="C58" s="187"/>
      <c r="D58" s="187"/>
      <c r="E58" s="188"/>
      <c r="F58" s="130" t="s">
        <v>97</v>
      </c>
      <c r="G58" s="135">
        <v>182.16</v>
      </c>
      <c r="H58" s="132"/>
      <c r="I58" s="205">
        <v>37.5</v>
      </c>
      <c r="J58" s="205"/>
      <c r="K58" s="206"/>
      <c r="L58" s="138">
        <v>6831</v>
      </c>
      <c r="M58" s="191"/>
      <c r="N58" s="192"/>
    </row>
    <row r="59" spans="1:14" ht="9.75" customHeight="1" x14ac:dyDescent="0.25">
      <c r="A59" s="129">
        <v>7227</v>
      </c>
      <c r="B59" s="186" t="s">
        <v>224</v>
      </c>
      <c r="C59" s="187"/>
      <c r="D59" s="187"/>
      <c r="E59" s="188"/>
      <c r="F59" s="130" t="s">
        <v>90</v>
      </c>
      <c r="G59" s="127">
        <v>53</v>
      </c>
      <c r="H59" s="132"/>
      <c r="I59" s="205">
        <v>45.48</v>
      </c>
      <c r="J59" s="205"/>
      <c r="K59" s="206"/>
      <c r="L59" s="138">
        <v>2410.44</v>
      </c>
      <c r="M59" s="191"/>
      <c r="N59" s="192"/>
    </row>
    <row r="60" spans="1:14" ht="19.2" customHeight="1" x14ac:dyDescent="0.25">
      <c r="A60" s="129">
        <v>7628</v>
      </c>
      <c r="B60" s="186" t="s">
        <v>223</v>
      </c>
      <c r="C60" s="187"/>
      <c r="D60" s="187"/>
      <c r="E60" s="188"/>
      <c r="F60" s="130" t="s">
        <v>97</v>
      </c>
      <c r="G60" s="135">
        <v>101.28</v>
      </c>
      <c r="H60" s="132"/>
      <c r="I60" s="205">
        <v>20</v>
      </c>
      <c r="J60" s="205"/>
      <c r="K60" s="206"/>
      <c r="L60" s="138">
        <v>2025.6</v>
      </c>
      <c r="M60" s="191"/>
      <c r="N60" s="192"/>
    </row>
    <row r="61" spans="1:14" ht="19.2" customHeight="1" x14ac:dyDescent="0.25">
      <c r="A61" s="129">
        <v>7597</v>
      </c>
      <c r="B61" s="186" t="s">
        <v>222</v>
      </c>
      <c r="C61" s="187"/>
      <c r="D61" s="187"/>
      <c r="E61" s="188"/>
      <c r="F61" s="130" t="s">
        <v>97</v>
      </c>
      <c r="G61" s="127">
        <v>50.66</v>
      </c>
      <c r="H61" s="132"/>
      <c r="I61" s="205">
        <v>35.5</v>
      </c>
      <c r="J61" s="205"/>
      <c r="K61" s="206"/>
      <c r="L61" s="138">
        <v>1798.43</v>
      </c>
      <c r="M61" s="191"/>
      <c r="N61" s="192"/>
    </row>
    <row r="62" spans="1:14" ht="19.2" customHeight="1" x14ac:dyDescent="0.25">
      <c r="A62" s="129">
        <v>7237</v>
      </c>
      <c r="B62" s="186" t="s">
        <v>221</v>
      </c>
      <c r="C62" s="187"/>
      <c r="D62" s="187"/>
      <c r="E62" s="188"/>
      <c r="F62" s="130" t="s">
        <v>109</v>
      </c>
      <c r="G62" s="127">
        <v>43.26</v>
      </c>
      <c r="H62" s="132"/>
      <c r="I62" s="205">
        <v>15</v>
      </c>
      <c r="J62" s="205"/>
      <c r="K62" s="206"/>
      <c r="L62" s="140">
        <v>648.9</v>
      </c>
      <c r="M62" s="191"/>
      <c r="N62" s="192"/>
    </row>
    <row r="63" spans="1:14" ht="19.2" customHeight="1" x14ac:dyDescent="0.25">
      <c r="A63" s="129">
        <v>9140</v>
      </c>
      <c r="B63" s="186" t="s">
        <v>220</v>
      </c>
      <c r="C63" s="187"/>
      <c r="D63" s="187"/>
      <c r="E63" s="188"/>
      <c r="F63" s="130" t="s">
        <v>97</v>
      </c>
      <c r="G63" s="131">
        <v>8.35</v>
      </c>
      <c r="H63" s="132"/>
      <c r="I63" s="205">
        <v>45.48</v>
      </c>
      <c r="J63" s="205"/>
      <c r="K63" s="206"/>
      <c r="L63" s="140">
        <v>379.76</v>
      </c>
      <c r="M63" s="191"/>
      <c r="N63" s="192"/>
    </row>
    <row r="64" spans="1:14" ht="19.2" customHeight="1" x14ac:dyDescent="0.25">
      <c r="A64" s="139">
        <v>404</v>
      </c>
      <c r="B64" s="186" t="s">
        <v>219</v>
      </c>
      <c r="C64" s="187"/>
      <c r="D64" s="187"/>
      <c r="E64" s="188"/>
      <c r="F64" s="130" t="s">
        <v>97</v>
      </c>
      <c r="G64" s="131">
        <v>0</v>
      </c>
      <c r="H64" s="132"/>
      <c r="I64" s="205">
        <v>27.5</v>
      </c>
      <c r="J64" s="205"/>
      <c r="K64" s="206"/>
      <c r="L64" s="141">
        <v>0</v>
      </c>
      <c r="M64" s="191"/>
      <c r="N64" s="192"/>
    </row>
    <row r="65" spans="1:14" ht="19.2" customHeight="1" x14ac:dyDescent="0.25">
      <c r="A65" s="129">
        <v>7426</v>
      </c>
      <c r="B65" s="186" t="s">
        <v>218</v>
      </c>
      <c r="C65" s="187"/>
      <c r="D65" s="187"/>
      <c r="E65" s="188"/>
      <c r="F65" s="130" t="s">
        <v>97</v>
      </c>
      <c r="G65" s="131">
        <v>0</v>
      </c>
      <c r="H65" s="132"/>
      <c r="I65" s="205">
        <v>37.5</v>
      </c>
      <c r="J65" s="205"/>
      <c r="K65" s="206"/>
      <c r="L65" s="141">
        <v>0</v>
      </c>
      <c r="M65" s="191"/>
      <c r="N65" s="192"/>
    </row>
    <row r="66" spans="1:14" ht="19.2" customHeight="1" x14ac:dyDescent="0.25">
      <c r="A66" s="201"/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</row>
    <row r="67" spans="1:14" ht="28.95" customHeight="1" x14ac:dyDescent="0.25">
      <c r="A67" s="202" t="s">
        <v>76</v>
      </c>
      <c r="B67" s="203"/>
      <c r="C67" s="203"/>
      <c r="D67" s="203"/>
      <c r="E67" s="203"/>
      <c r="F67" s="203"/>
      <c r="G67" s="203"/>
      <c r="H67" s="203"/>
      <c r="I67" s="203"/>
      <c r="J67" s="203"/>
      <c r="K67" s="204"/>
      <c r="L67" s="125" t="s">
        <v>67</v>
      </c>
      <c r="M67" s="125" t="s">
        <v>75</v>
      </c>
      <c r="N67" s="125" t="s">
        <v>74</v>
      </c>
    </row>
    <row r="68" spans="1:14" ht="9.75" customHeight="1" x14ac:dyDescent="0.25">
      <c r="A68" s="186" t="s">
        <v>217</v>
      </c>
      <c r="B68" s="187"/>
      <c r="C68" s="187"/>
      <c r="D68" s="187"/>
      <c r="E68" s="187"/>
      <c r="F68" s="187"/>
      <c r="G68" s="187"/>
      <c r="H68" s="187"/>
      <c r="I68" s="187"/>
      <c r="J68" s="187"/>
      <c r="K68" s="188"/>
      <c r="L68" s="133">
        <v>900664.76</v>
      </c>
      <c r="M68" s="131">
        <v>8.0222999999999995</v>
      </c>
      <c r="N68" s="127">
        <v>67.302700000000002</v>
      </c>
    </row>
    <row r="69" spans="1:14" ht="19.2" customHeight="1" x14ac:dyDescent="0.25">
      <c r="A69" s="128" t="s">
        <v>72</v>
      </c>
      <c r="B69" s="202" t="s">
        <v>71</v>
      </c>
      <c r="C69" s="203"/>
      <c r="D69" s="203"/>
      <c r="E69" s="204"/>
      <c r="F69" s="128" t="s">
        <v>70</v>
      </c>
      <c r="G69" s="125" t="s">
        <v>69</v>
      </c>
      <c r="H69" s="193" t="s">
        <v>68</v>
      </c>
      <c r="I69" s="194"/>
      <c r="J69" s="194"/>
      <c r="K69" s="195"/>
      <c r="L69" s="125" t="s">
        <v>67</v>
      </c>
      <c r="M69" s="193"/>
      <c r="N69" s="195"/>
    </row>
    <row r="70" spans="1:14" ht="19.2" customHeight="1" x14ac:dyDescent="0.25">
      <c r="A70" s="129">
        <v>8673</v>
      </c>
      <c r="B70" s="186" t="s">
        <v>216</v>
      </c>
      <c r="C70" s="187"/>
      <c r="D70" s="187"/>
      <c r="E70" s="188"/>
      <c r="F70" s="130" t="s">
        <v>100</v>
      </c>
      <c r="G70" s="137">
        <v>1236.1965</v>
      </c>
      <c r="H70" s="132"/>
      <c r="I70" s="209">
        <v>612.34</v>
      </c>
      <c r="J70" s="209"/>
      <c r="K70" s="210"/>
      <c r="L70" s="133">
        <v>756972.56</v>
      </c>
      <c r="M70" s="191"/>
      <c r="N70" s="192"/>
    </row>
    <row r="71" spans="1:14" ht="19.2" customHeight="1" x14ac:dyDescent="0.25">
      <c r="A71" s="129">
        <v>4730</v>
      </c>
      <c r="B71" s="186" t="s">
        <v>215</v>
      </c>
      <c r="C71" s="187"/>
      <c r="D71" s="187"/>
      <c r="E71" s="188"/>
      <c r="F71" s="130" t="s">
        <v>100</v>
      </c>
      <c r="G71" s="135">
        <v>153.62549999999999</v>
      </c>
      <c r="H71" s="132"/>
      <c r="I71" s="209">
        <v>605</v>
      </c>
      <c r="J71" s="209"/>
      <c r="K71" s="210"/>
      <c r="L71" s="134">
        <v>92943.43</v>
      </c>
      <c r="M71" s="191"/>
      <c r="N71" s="192"/>
    </row>
    <row r="72" spans="1:14" ht="19.2" customHeight="1" x14ac:dyDescent="0.25">
      <c r="A72" s="129">
        <v>4732</v>
      </c>
      <c r="B72" s="186" t="s">
        <v>214</v>
      </c>
      <c r="C72" s="187"/>
      <c r="D72" s="187"/>
      <c r="E72" s="188"/>
      <c r="F72" s="130" t="s">
        <v>100</v>
      </c>
      <c r="G72" s="127">
        <v>67.2804</v>
      </c>
      <c r="H72" s="132"/>
      <c r="I72" s="209">
        <v>585</v>
      </c>
      <c r="J72" s="209"/>
      <c r="K72" s="210"/>
      <c r="L72" s="134">
        <v>39359.03</v>
      </c>
      <c r="M72" s="191"/>
      <c r="N72" s="192"/>
    </row>
    <row r="73" spans="1:14" ht="9.75" customHeight="1" x14ac:dyDescent="0.25">
      <c r="A73" s="129">
        <v>4731</v>
      </c>
      <c r="B73" s="186" t="s">
        <v>213</v>
      </c>
      <c r="C73" s="187"/>
      <c r="D73" s="187"/>
      <c r="E73" s="188"/>
      <c r="F73" s="130" t="s">
        <v>100</v>
      </c>
      <c r="G73" s="127">
        <v>28.3355</v>
      </c>
      <c r="H73" s="132"/>
      <c r="I73" s="209">
        <v>401.96</v>
      </c>
      <c r="J73" s="209"/>
      <c r="K73" s="210"/>
      <c r="L73" s="134">
        <v>11389.74</v>
      </c>
      <c r="M73" s="191"/>
      <c r="N73" s="192"/>
    </row>
    <row r="74" spans="1:14" ht="19.2" customHeight="1" x14ac:dyDescent="0.25">
      <c r="A74" s="201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</row>
    <row r="75" spans="1:14" ht="10.8" customHeight="1" x14ac:dyDescent="0.25">
      <c r="A75" s="202" t="s">
        <v>76</v>
      </c>
      <c r="B75" s="203"/>
      <c r="C75" s="203"/>
      <c r="D75" s="203"/>
      <c r="E75" s="203"/>
      <c r="F75" s="203"/>
      <c r="G75" s="203"/>
      <c r="H75" s="203"/>
      <c r="I75" s="203"/>
      <c r="J75" s="203"/>
      <c r="K75" s="204"/>
      <c r="L75" s="125" t="s">
        <v>67</v>
      </c>
      <c r="M75" s="125" t="s">
        <v>75</v>
      </c>
      <c r="N75" s="125" t="s">
        <v>74</v>
      </c>
    </row>
    <row r="76" spans="1:14" ht="9.75" customHeight="1" x14ac:dyDescent="0.25">
      <c r="A76" s="186" t="s">
        <v>212</v>
      </c>
      <c r="B76" s="187"/>
      <c r="C76" s="187"/>
      <c r="D76" s="187"/>
      <c r="E76" s="187"/>
      <c r="F76" s="187"/>
      <c r="G76" s="187"/>
      <c r="H76" s="187"/>
      <c r="I76" s="187"/>
      <c r="J76" s="187"/>
      <c r="K76" s="188"/>
      <c r="L76" s="133">
        <v>744861.17</v>
      </c>
      <c r="M76" s="131">
        <v>6.6345999999999998</v>
      </c>
      <c r="N76" s="127">
        <v>73.937200000000004</v>
      </c>
    </row>
    <row r="77" spans="1:14" ht="9.6" customHeight="1" x14ac:dyDescent="0.25">
      <c r="A77" s="128" t="s">
        <v>72</v>
      </c>
      <c r="B77" s="202" t="s">
        <v>71</v>
      </c>
      <c r="C77" s="203"/>
      <c r="D77" s="203"/>
      <c r="E77" s="204"/>
      <c r="F77" s="128" t="s">
        <v>70</v>
      </c>
      <c r="G77" s="125" t="s">
        <v>69</v>
      </c>
      <c r="H77" s="193" t="s">
        <v>68</v>
      </c>
      <c r="I77" s="194"/>
      <c r="J77" s="194"/>
      <c r="K77" s="195"/>
      <c r="L77" s="125" t="s">
        <v>67</v>
      </c>
      <c r="M77" s="193"/>
      <c r="N77" s="195"/>
    </row>
    <row r="78" spans="1:14" ht="9.75" customHeight="1" x14ac:dyDescent="0.25">
      <c r="A78" s="129">
        <v>5837</v>
      </c>
      <c r="B78" s="186" t="s">
        <v>211</v>
      </c>
      <c r="C78" s="187"/>
      <c r="D78" s="187"/>
      <c r="E78" s="188"/>
      <c r="F78" s="130" t="s">
        <v>97</v>
      </c>
      <c r="G78" s="137">
        <v>2134.5230999999999</v>
      </c>
      <c r="H78" s="132"/>
      <c r="I78" s="209">
        <v>184.9</v>
      </c>
      <c r="J78" s="209"/>
      <c r="K78" s="210"/>
      <c r="L78" s="133">
        <v>394673.32</v>
      </c>
      <c r="M78" s="191"/>
      <c r="N78" s="192"/>
    </row>
    <row r="79" spans="1:14" ht="19.2" customHeight="1" x14ac:dyDescent="0.25">
      <c r="A79" s="129">
        <v>7255</v>
      </c>
      <c r="B79" s="186" t="s">
        <v>210</v>
      </c>
      <c r="C79" s="187"/>
      <c r="D79" s="187"/>
      <c r="E79" s="188"/>
      <c r="F79" s="130" t="s">
        <v>97</v>
      </c>
      <c r="G79" s="137">
        <v>2104.7179999999998</v>
      </c>
      <c r="H79" s="132"/>
      <c r="I79" s="205">
        <v>45.88</v>
      </c>
      <c r="J79" s="205"/>
      <c r="K79" s="206"/>
      <c r="L79" s="134">
        <v>96564.46</v>
      </c>
      <c r="M79" s="191"/>
      <c r="N79" s="192"/>
    </row>
    <row r="80" spans="1:14" ht="9.75" customHeight="1" x14ac:dyDescent="0.25">
      <c r="A80" s="129">
        <v>7266</v>
      </c>
      <c r="B80" s="186" t="s">
        <v>209</v>
      </c>
      <c r="C80" s="187"/>
      <c r="D80" s="187"/>
      <c r="E80" s="188"/>
      <c r="F80" s="130" t="s">
        <v>97</v>
      </c>
      <c r="G80" s="137">
        <v>1092.0909999999999</v>
      </c>
      <c r="H80" s="132"/>
      <c r="I80" s="205">
        <v>50</v>
      </c>
      <c r="J80" s="205"/>
      <c r="K80" s="206"/>
      <c r="L80" s="134">
        <v>54604.55</v>
      </c>
      <c r="M80" s="191"/>
      <c r="N80" s="192"/>
    </row>
    <row r="81" spans="1:14" ht="9.75" customHeight="1" x14ac:dyDescent="0.25">
      <c r="A81" s="129">
        <v>7499</v>
      </c>
      <c r="B81" s="186" t="s">
        <v>208</v>
      </c>
      <c r="C81" s="187"/>
      <c r="D81" s="187"/>
      <c r="E81" s="188"/>
      <c r="F81" s="130" t="s">
        <v>97</v>
      </c>
      <c r="G81" s="135">
        <v>477.70949999999999</v>
      </c>
      <c r="H81" s="132"/>
      <c r="I81" s="205">
        <v>99</v>
      </c>
      <c r="J81" s="205"/>
      <c r="K81" s="206"/>
      <c r="L81" s="134">
        <v>47293.24</v>
      </c>
      <c r="M81" s="191"/>
      <c r="N81" s="192"/>
    </row>
    <row r="82" spans="1:14" ht="19.2" customHeight="1" x14ac:dyDescent="0.25">
      <c r="A82" s="129">
        <v>7460</v>
      </c>
      <c r="B82" s="186" t="s">
        <v>207</v>
      </c>
      <c r="C82" s="187"/>
      <c r="D82" s="187"/>
      <c r="E82" s="188"/>
      <c r="F82" s="130" t="s">
        <v>109</v>
      </c>
      <c r="G82" s="137">
        <v>2899.3359999999998</v>
      </c>
      <c r="H82" s="132"/>
      <c r="I82" s="205">
        <v>15.5</v>
      </c>
      <c r="J82" s="205"/>
      <c r="K82" s="206"/>
      <c r="L82" s="134">
        <v>44939.71</v>
      </c>
      <c r="M82" s="191"/>
      <c r="N82" s="192"/>
    </row>
    <row r="83" spans="1:14" ht="10.8" customHeight="1" x14ac:dyDescent="0.25">
      <c r="A83" s="129">
        <v>5107</v>
      </c>
      <c r="B83" s="186" t="s">
        <v>206</v>
      </c>
      <c r="C83" s="187"/>
      <c r="D83" s="187"/>
      <c r="E83" s="188"/>
      <c r="F83" s="130" t="s">
        <v>97</v>
      </c>
      <c r="G83" s="135">
        <v>744.08399999999995</v>
      </c>
      <c r="H83" s="132"/>
      <c r="I83" s="205">
        <v>59.5</v>
      </c>
      <c r="J83" s="205"/>
      <c r="K83" s="206"/>
      <c r="L83" s="134">
        <v>44273</v>
      </c>
      <c r="M83" s="191"/>
      <c r="N83" s="192"/>
    </row>
    <row r="84" spans="1:14" ht="9.75" customHeight="1" x14ac:dyDescent="0.25">
      <c r="A84" s="129">
        <v>2042</v>
      </c>
      <c r="B84" s="186" t="s">
        <v>205</v>
      </c>
      <c r="C84" s="187"/>
      <c r="D84" s="187"/>
      <c r="E84" s="188"/>
      <c r="F84" s="130" t="s">
        <v>97</v>
      </c>
      <c r="G84" s="127">
        <v>98.395499999999998</v>
      </c>
      <c r="H84" s="132"/>
      <c r="I84" s="209">
        <v>440</v>
      </c>
      <c r="J84" s="209"/>
      <c r="K84" s="210"/>
      <c r="L84" s="134">
        <v>43294.02</v>
      </c>
      <c r="M84" s="191"/>
      <c r="N84" s="192"/>
    </row>
    <row r="85" spans="1:14" ht="9.6" customHeight="1" x14ac:dyDescent="0.25">
      <c r="A85" s="129">
        <v>4976</v>
      </c>
      <c r="B85" s="186" t="s">
        <v>204</v>
      </c>
      <c r="C85" s="187"/>
      <c r="D85" s="187"/>
      <c r="E85" s="188"/>
      <c r="F85" s="130" t="s">
        <v>90</v>
      </c>
      <c r="G85" s="136">
        <v>15339.82</v>
      </c>
      <c r="H85" s="132"/>
      <c r="I85" s="198">
        <v>0.89800000000000002</v>
      </c>
      <c r="J85" s="198"/>
      <c r="K85" s="199"/>
      <c r="L85" s="134">
        <v>13775.16</v>
      </c>
      <c r="M85" s="191"/>
      <c r="N85" s="192"/>
    </row>
    <row r="86" spans="1:14" ht="9.75" customHeight="1" x14ac:dyDescent="0.25">
      <c r="A86" s="129">
        <v>5108</v>
      </c>
      <c r="B86" s="186" t="s">
        <v>203</v>
      </c>
      <c r="C86" s="187"/>
      <c r="D86" s="187"/>
      <c r="E86" s="188"/>
      <c r="F86" s="130" t="s">
        <v>97</v>
      </c>
      <c r="G86" s="135">
        <v>744.08399999999995</v>
      </c>
      <c r="H86" s="132"/>
      <c r="I86" s="198">
        <v>6.33</v>
      </c>
      <c r="J86" s="198"/>
      <c r="K86" s="199"/>
      <c r="L86" s="138">
        <v>4710.05</v>
      </c>
      <c r="M86" s="191"/>
      <c r="N86" s="192"/>
    </row>
    <row r="87" spans="1:14" ht="9.75" customHeight="1" x14ac:dyDescent="0.25">
      <c r="A87" s="129">
        <v>7463</v>
      </c>
      <c r="B87" s="186" t="s">
        <v>202</v>
      </c>
      <c r="C87" s="187"/>
      <c r="D87" s="187"/>
      <c r="E87" s="188"/>
      <c r="F87" s="130" t="s">
        <v>97</v>
      </c>
      <c r="G87" s="131">
        <v>9.9143000000000008</v>
      </c>
      <c r="H87" s="132"/>
      <c r="I87" s="205">
        <v>74</v>
      </c>
      <c r="J87" s="205"/>
      <c r="K87" s="206"/>
      <c r="L87" s="140">
        <v>733.66</v>
      </c>
      <c r="M87" s="191"/>
      <c r="N87" s="192"/>
    </row>
    <row r="88" spans="1:14" ht="9.75" customHeight="1" x14ac:dyDescent="0.25">
      <c r="A88" s="201"/>
      <c r="B88" s="201"/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</row>
    <row r="89" spans="1:14" ht="9.75" customHeight="1" x14ac:dyDescent="0.25">
      <c r="A89" s="202" t="s">
        <v>76</v>
      </c>
      <c r="B89" s="203"/>
      <c r="C89" s="203"/>
      <c r="D89" s="203"/>
      <c r="E89" s="203"/>
      <c r="F89" s="203"/>
      <c r="G89" s="203"/>
      <c r="H89" s="203"/>
      <c r="I89" s="203"/>
      <c r="J89" s="203"/>
      <c r="K89" s="204"/>
      <c r="L89" s="125" t="s">
        <v>67</v>
      </c>
      <c r="M89" s="125" t="s">
        <v>75</v>
      </c>
      <c r="N89" s="125" t="s">
        <v>74</v>
      </c>
    </row>
    <row r="90" spans="1:14" ht="19.2" customHeight="1" x14ac:dyDescent="0.25">
      <c r="A90" s="186" t="s">
        <v>201</v>
      </c>
      <c r="B90" s="187"/>
      <c r="C90" s="187"/>
      <c r="D90" s="187"/>
      <c r="E90" s="187"/>
      <c r="F90" s="187"/>
      <c r="G90" s="187"/>
      <c r="H90" s="187"/>
      <c r="I90" s="187"/>
      <c r="J90" s="187"/>
      <c r="K90" s="188"/>
      <c r="L90" s="133">
        <v>333007.84999999998</v>
      </c>
      <c r="M90" s="131">
        <v>2.9661</v>
      </c>
      <c r="N90" s="127">
        <v>76.903400000000005</v>
      </c>
    </row>
    <row r="91" spans="1:14" ht="9.75" customHeight="1" x14ac:dyDescent="0.25">
      <c r="A91" s="128" t="s">
        <v>72</v>
      </c>
      <c r="B91" s="202" t="s">
        <v>71</v>
      </c>
      <c r="C91" s="203"/>
      <c r="D91" s="203"/>
      <c r="E91" s="204"/>
      <c r="F91" s="128" t="s">
        <v>70</v>
      </c>
      <c r="G91" s="125" t="s">
        <v>69</v>
      </c>
      <c r="H91" s="193" t="s">
        <v>68</v>
      </c>
      <c r="I91" s="194"/>
      <c r="J91" s="194"/>
      <c r="K91" s="195"/>
      <c r="L91" s="125" t="s">
        <v>67</v>
      </c>
      <c r="M91" s="193"/>
      <c r="N91" s="195"/>
    </row>
    <row r="92" spans="1:14" ht="9.75" customHeight="1" x14ac:dyDescent="0.25">
      <c r="A92" s="129">
        <v>7188</v>
      </c>
      <c r="B92" s="186" t="s">
        <v>200</v>
      </c>
      <c r="C92" s="187"/>
      <c r="D92" s="187"/>
      <c r="E92" s="188"/>
      <c r="F92" s="130" t="s">
        <v>81</v>
      </c>
      <c r="G92" s="136">
        <v>17556.553800000002</v>
      </c>
      <c r="H92" s="132"/>
      <c r="I92" s="198">
        <v>6.8886000000000003</v>
      </c>
      <c r="J92" s="198"/>
      <c r="K92" s="199"/>
      <c r="L92" s="133">
        <v>120940.08</v>
      </c>
      <c r="M92" s="191"/>
      <c r="N92" s="192"/>
    </row>
    <row r="93" spans="1:14" ht="9.75" customHeight="1" x14ac:dyDescent="0.25">
      <c r="A93" s="129">
        <v>1668</v>
      </c>
      <c r="B93" s="186" t="s">
        <v>199</v>
      </c>
      <c r="C93" s="187"/>
      <c r="D93" s="187"/>
      <c r="E93" s="188"/>
      <c r="F93" s="130" t="s">
        <v>114</v>
      </c>
      <c r="G93" s="137">
        <v>2155.6785</v>
      </c>
      <c r="H93" s="132"/>
      <c r="I93" s="205">
        <v>51.055399999999999</v>
      </c>
      <c r="J93" s="205"/>
      <c r="K93" s="206"/>
      <c r="L93" s="133">
        <v>110059.03</v>
      </c>
      <c r="M93" s="191"/>
      <c r="N93" s="192"/>
    </row>
    <row r="94" spans="1:14" ht="9.75" customHeight="1" x14ac:dyDescent="0.25">
      <c r="A94" s="129">
        <v>5014</v>
      </c>
      <c r="B94" s="186" t="s">
        <v>198</v>
      </c>
      <c r="C94" s="187"/>
      <c r="D94" s="187"/>
      <c r="E94" s="188"/>
      <c r="F94" s="130" t="s">
        <v>81</v>
      </c>
      <c r="G94" s="137">
        <v>7313.0820000000003</v>
      </c>
      <c r="H94" s="132"/>
      <c r="I94" s="198">
        <v>5.3959999999999999</v>
      </c>
      <c r="J94" s="198"/>
      <c r="K94" s="199"/>
      <c r="L94" s="134">
        <v>39461.39</v>
      </c>
      <c r="M94" s="191"/>
      <c r="N94" s="192"/>
    </row>
    <row r="95" spans="1:14" ht="9.75" customHeight="1" x14ac:dyDescent="0.25">
      <c r="A95" s="129">
        <v>1772</v>
      </c>
      <c r="B95" s="186" t="s">
        <v>197</v>
      </c>
      <c r="C95" s="187"/>
      <c r="D95" s="187"/>
      <c r="E95" s="188"/>
      <c r="F95" s="130" t="s">
        <v>114</v>
      </c>
      <c r="G95" s="137">
        <v>1290.2272</v>
      </c>
      <c r="H95" s="132"/>
      <c r="I95" s="205">
        <v>29.87</v>
      </c>
      <c r="J95" s="205"/>
      <c r="K95" s="206"/>
      <c r="L95" s="134">
        <v>38539.089999999997</v>
      </c>
      <c r="M95" s="191"/>
      <c r="N95" s="192"/>
    </row>
    <row r="96" spans="1:14" ht="9.75" customHeight="1" x14ac:dyDescent="0.25">
      <c r="A96" s="129">
        <v>7190</v>
      </c>
      <c r="B96" s="186" t="s">
        <v>196</v>
      </c>
      <c r="C96" s="187"/>
      <c r="D96" s="187"/>
      <c r="E96" s="188"/>
      <c r="F96" s="130" t="s">
        <v>114</v>
      </c>
      <c r="G96" s="127">
        <v>82.972999999999999</v>
      </c>
      <c r="H96" s="132"/>
      <c r="I96" s="209">
        <v>146</v>
      </c>
      <c r="J96" s="209"/>
      <c r="K96" s="210"/>
      <c r="L96" s="134">
        <v>12114.06</v>
      </c>
      <c r="M96" s="191"/>
      <c r="N96" s="192"/>
    </row>
    <row r="97" spans="1:14" ht="10.8" customHeight="1" x14ac:dyDescent="0.25">
      <c r="A97" s="129">
        <v>7192</v>
      </c>
      <c r="B97" s="186" t="s">
        <v>195</v>
      </c>
      <c r="C97" s="187"/>
      <c r="D97" s="187"/>
      <c r="E97" s="188"/>
      <c r="F97" s="130" t="s">
        <v>114</v>
      </c>
      <c r="G97" s="127">
        <v>96.123999999999995</v>
      </c>
      <c r="H97" s="132"/>
      <c r="I97" s="205">
        <v>40.14</v>
      </c>
      <c r="J97" s="205"/>
      <c r="K97" s="206"/>
      <c r="L97" s="138">
        <v>3858.42</v>
      </c>
      <c r="M97" s="191"/>
      <c r="N97" s="192"/>
    </row>
    <row r="98" spans="1:14" ht="9.75" customHeight="1" x14ac:dyDescent="0.25">
      <c r="A98" s="129">
        <v>7474</v>
      </c>
      <c r="B98" s="186" t="s">
        <v>194</v>
      </c>
      <c r="C98" s="187"/>
      <c r="D98" s="187"/>
      <c r="E98" s="188"/>
      <c r="F98" s="130" t="s">
        <v>114</v>
      </c>
      <c r="G98" s="135">
        <v>183.61779999999999</v>
      </c>
      <c r="H98" s="132"/>
      <c r="I98" s="205">
        <v>18.333300000000001</v>
      </c>
      <c r="J98" s="205"/>
      <c r="K98" s="206"/>
      <c r="L98" s="138">
        <v>3366.32</v>
      </c>
      <c r="M98" s="191"/>
      <c r="N98" s="192"/>
    </row>
    <row r="99" spans="1:14" ht="9.6" customHeight="1" x14ac:dyDescent="0.25">
      <c r="A99" s="142">
        <v>30</v>
      </c>
      <c r="B99" s="186" t="s">
        <v>193</v>
      </c>
      <c r="C99" s="187"/>
      <c r="D99" s="187"/>
      <c r="E99" s="188"/>
      <c r="F99" s="130" t="s">
        <v>97</v>
      </c>
      <c r="G99" s="127">
        <v>30.6282</v>
      </c>
      <c r="H99" s="132"/>
      <c r="I99" s="205">
        <v>87.741699999999994</v>
      </c>
      <c r="J99" s="205"/>
      <c r="K99" s="206"/>
      <c r="L99" s="138">
        <v>2687.37</v>
      </c>
      <c r="M99" s="191"/>
      <c r="N99" s="192"/>
    </row>
    <row r="100" spans="1:14" ht="9.75" customHeight="1" x14ac:dyDescent="0.25">
      <c r="A100" s="129">
        <v>7184</v>
      </c>
      <c r="B100" s="186" t="s">
        <v>192</v>
      </c>
      <c r="C100" s="187"/>
      <c r="D100" s="187"/>
      <c r="E100" s="188"/>
      <c r="F100" s="130" t="s">
        <v>90</v>
      </c>
      <c r="G100" s="135">
        <v>679.16600000000005</v>
      </c>
      <c r="H100" s="132"/>
      <c r="I100" s="198">
        <v>1.3</v>
      </c>
      <c r="J100" s="198"/>
      <c r="K100" s="199"/>
      <c r="L100" s="140">
        <v>882.92</v>
      </c>
      <c r="M100" s="191"/>
      <c r="N100" s="192"/>
    </row>
    <row r="101" spans="1:14" ht="9.75" customHeight="1" x14ac:dyDescent="0.25">
      <c r="A101" s="129">
        <v>7335</v>
      </c>
      <c r="B101" s="186" t="s">
        <v>191</v>
      </c>
      <c r="C101" s="187"/>
      <c r="D101" s="187"/>
      <c r="E101" s="188"/>
      <c r="F101" s="130" t="s">
        <v>90</v>
      </c>
      <c r="G101" s="127">
        <v>22.936499999999999</v>
      </c>
      <c r="H101" s="132"/>
      <c r="I101" s="205">
        <v>33.700000000000003</v>
      </c>
      <c r="J101" s="205"/>
      <c r="K101" s="206"/>
      <c r="L101" s="140">
        <v>772.96</v>
      </c>
      <c r="M101" s="191"/>
      <c r="N101" s="192"/>
    </row>
    <row r="102" spans="1:14" ht="9.75" customHeight="1" x14ac:dyDescent="0.25">
      <c r="A102" s="129">
        <v>5794</v>
      </c>
      <c r="B102" s="186" t="s">
        <v>190</v>
      </c>
      <c r="C102" s="187"/>
      <c r="D102" s="187"/>
      <c r="E102" s="188"/>
      <c r="F102" s="130" t="s">
        <v>90</v>
      </c>
      <c r="G102" s="127">
        <v>23.468599999999999</v>
      </c>
      <c r="H102" s="132"/>
      <c r="I102" s="205">
        <v>13.9</v>
      </c>
      <c r="J102" s="205"/>
      <c r="K102" s="206"/>
      <c r="L102" s="140">
        <v>326.20999999999998</v>
      </c>
      <c r="M102" s="191"/>
      <c r="N102" s="192"/>
    </row>
    <row r="103" spans="1:14" ht="9.75" customHeight="1" x14ac:dyDescent="0.25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</row>
    <row r="104" spans="1:14" ht="9.75" customHeight="1" x14ac:dyDescent="0.25">
      <c r="A104" s="202" t="s">
        <v>76</v>
      </c>
      <c r="B104" s="203"/>
      <c r="C104" s="203"/>
      <c r="D104" s="203"/>
      <c r="E104" s="203"/>
      <c r="F104" s="203"/>
      <c r="G104" s="203"/>
      <c r="H104" s="203"/>
      <c r="I104" s="203"/>
      <c r="J104" s="203"/>
      <c r="K104" s="204"/>
      <c r="L104" s="125" t="s">
        <v>67</v>
      </c>
      <c r="M104" s="125" t="s">
        <v>75</v>
      </c>
      <c r="N104" s="125" t="s">
        <v>74</v>
      </c>
    </row>
    <row r="105" spans="1:14" ht="9.75" customHeight="1" x14ac:dyDescent="0.25">
      <c r="A105" s="186" t="s">
        <v>189</v>
      </c>
      <c r="B105" s="187"/>
      <c r="C105" s="187"/>
      <c r="D105" s="187"/>
      <c r="E105" s="187"/>
      <c r="F105" s="187"/>
      <c r="G105" s="187"/>
      <c r="H105" s="187"/>
      <c r="I105" s="187"/>
      <c r="J105" s="187"/>
      <c r="K105" s="188"/>
      <c r="L105" s="133">
        <v>309488.19</v>
      </c>
      <c r="M105" s="131">
        <v>2.7566000000000002</v>
      </c>
      <c r="N105" s="127">
        <v>79.66</v>
      </c>
    </row>
    <row r="106" spans="1:14" ht="9.75" customHeight="1" x14ac:dyDescent="0.25">
      <c r="A106" s="128" t="s">
        <v>72</v>
      </c>
      <c r="B106" s="202" t="s">
        <v>71</v>
      </c>
      <c r="C106" s="203"/>
      <c r="D106" s="203"/>
      <c r="E106" s="204"/>
      <c r="F106" s="128" t="s">
        <v>70</v>
      </c>
      <c r="G106" s="125" t="s">
        <v>69</v>
      </c>
      <c r="H106" s="193" t="s">
        <v>68</v>
      </c>
      <c r="I106" s="194"/>
      <c r="J106" s="194"/>
      <c r="K106" s="195"/>
      <c r="L106" s="125" t="s">
        <v>67</v>
      </c>
      <c r="M106" s="193"/>
      <c r="N106" s="195"/>
    </row>
    <row r="107" spans="1:14" ht="19.2" customHeight="1" x14ac:dyDescent="0.25">
      <c r="A107" s="129">
        <v>5751</v>
      </c>
      <c r="B107" s="186" t="s">
        <v>188</v>
      </c>
      <c r="C107" s="187"/>
      <c r="D107" s="187"/>
      <c r="E107" s="188"/>
      <c r="F107" s="130" t="s">
        <v>100</v>
      </c>
      <c r="G107" s="135">
        <v>483.83960000000002</v>
      </c>
      <c r="H107" s="132"/>
      <c r="I107" s="209">
        <v>580</v>
      </c>
      <c r="J107" s="209"/>
      <c r="K107" s="210"/>
      <c r="L107" s="133">
        <v>280626.96999999997</v>
      </c>
      <c r="M107" s="191"/>
      <c r="N107" s="192"/>
    </row>
    <row r="108" spans="1:14" ht="9.75" customHeight="1" x14ac:dyDescent="0.25">
      <c r="A108" s="129">
        <v>7193</v>
      </c>
      <c r="B108" s="186" t="s">
        <v>187</v>
      </c>
      <c r="C108" s="187"/>
      <c r="D108" s="187"/>
      <c r="E108" s="188"/>
      <c r="F108" s="130" t="s">
        <v>81</v>
      </c>
      <c r="G108" s="136">
        <v>24408.363000000001</v>
      </c>
      <c r="H108" s="132"/>
      <c r="I108" s="198">
        <v>0.79200000000000004</v>
      </c>
      <c r="J108" s="198"/>
      <c r="K108" s="199"/>
      <c r="L108" s="134">
        <v>19331.419999999998</v>
      </c>
      <c r="M108" s="191"/>
      <c r="N108" s="192"/>
    </row>
    <row r="109" spans="1:14" ht="19.2" customHeight="1" x14ac:dyDescent="0.25">
      <c r="A109" s="129">
        <v>4667</v>
      </c>
      <c r="B109" s="186" t="s">
        <v>186</v>
      </c>
      <c r="C109" s="187"/>
      <c r="D109" s="187"/>
      <c r="E109" s="188"/>
      <c r="F109" s="130" t="s">
        <v>81</v>
      </c>
      <c r="G109" s="135">
        <v>532.39099999999996</v>
      </c>
      <c r="H109" s="132"/>
      <c r="I109" s="205">
        <v>17.899999999999999</v>
      </c>
      <c r="J109" s="205"/>
      <c r="K109" s="206"/>
      <c r="L109" s="138">
        <v>9529.7999999999993</v>
      </c>
      <c r="M109" s="191"/>
      <c r="N109" s="192"/>
    </row>
    <row r="110" spans="1:14" ht="9.75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</row>
    <row r="111" spans="1:14" ht="9.75" customHeight="1" x14ac:dyDescent="0.25">
      <c r="A111" s="202" t="s">
        <v>76</v>
      </c>
      <c r="B111" s="203"/>
      <c r="C111" s="203"/>
      <c r="D111" s="203"/>
      <c r="E111" s="203"/>
      <c r="F111" s="203"/>
      <c r="G111" s="203"/>
      <c r="H111" s="203"/>
      <c r="I111" s="203"/>
      <c r="J111" s="203"/>
      <c r="K111" s="204"/>
      <c r="L111" s="125" t="s">
        <v>67</v>
      </c>
      <c r="M111" s="125" t="s">
        <v>75</v>
      </c>
      <c r="N111" s="125" t="s">
        <v>74</v>
      </c>
    </row>
    <row r="112" spans="1:14" ht="10.8" customHeight="1" x14ac:dyDescent="0.25">
      <c r="A112" s="186" t="s">
        <v>185</v>
      </c>
      <c r="B112" s="187"/>
      <c r="C112" s="187"/>
      <c r="D112" s="187"/>
      <c r="E112" s="187"/>
      <c r="F112" s="187"/>
      <c r="G112" s="187"/>
      <c r="H112" s="187"/>
      <c r="I112" s="187"/>
      <c r="J112" s="187"/>
      <c r="K112" s="188"/>
      <c r="L112" s="133">
        <v>229096.3</v>
      </c>
      <c r="M112" s="131">
        <v>2.0406</v>
      </c>
      <c r="N112" s="127">
        <v>81.700599999999994</v>
      </c>
    </row>
    <row r="113" spans="1:14" ht="9.75" customHeight="1" x14ac:dyDescent="0.25">
      <c r="A113" s="128" t="s">
        <v>72</v>
      </c>
      <c r="B113" s="202" t="s">
        <v>71</v>
      </c>
      <c r="C113" s="203"/>
      <c r="D113" s="203"/>
      <c r="E113" s="204"/>
      <c r="F113" s="128" t="s">
        <v>70</v>
      </c>
      <c r="G113" s="125" t="s">
        <v>69</v>
      </c>
      <c r="H113" s="193" t="s">
        <v>68</v>
      </c>
      <c r="I113" s="194"/>
      <c r="J113" s="194"/>
      <c r="K113" s="195"/>
      <c r="L113" s="125" t="s">
        <v>67</v>
      </c>
      <c r="M113" s="193"/>
      <c r="N113" s="195"/>
    </row>
    <row r="114" spans="1:14" ht="9.6" customHeight="1" x14ac:dyDescent="0.25">
      <c r="A114" s="129">
        <v>7484</v>
      </c>
      <c r="B114" s="186" t="s">
        <v>184</v>
      </c>
      <c r="C114" s="187"/>
      <c r="D114" s="187"/>
      <c r="E114" s="188"/>
      <c r="F114" s="130" t="s">
        <v>65</v>
      </c>
      <c r="G114" s="131">
        <v>1</v>
      </c>
      <c r="H114" s="132"/>
      <c r="I114" s="189">
        <v>57327.856</v>
      </c>
      <c r="J114" s="189"/>
      <c r="K114" s="190"/>
      <c r="L114" s="134">
        <v>57327.86</v>
      </c>
      <c r="M114" s="191"/>
      <c r="N114" s="192"/>
    </row>
    <row r="115" spans="1:14" ht="9.75" customHeight="1" x14ac:dyDescent="0.25">
      <c r="A115" s="129">
        <v>7291</v>
      </c>
      <c r="B115" s="186" t="s">
        <v>183</v>
      </c>
      <c r="C115" s="187"/>
      <c r="D115" s="187"/>
      <c r="E115" s="188"/>
      <c r="F115" s="130" t="s">
        <v>65</v>
      </c>
      <c r="G115" s="127">
        <v>29</v>
      </c>
      <c r="H115" s="132"/>
      <c r="I115" s="207">
        <v>1750</v>
      </c>
      <c r="J115" s="207"/>
      <c r="K115" s="208"/>
      <c r="L115" s="134">
        <v>50750</v>
      </c>
      <c r="M115" s="191"/>
      <c r="N115" s="192"/>
    </row>
    <row r="116" spans="1:14" ht="9.75" customHeight="1" x14ac:dyDescent="0.25">
      <c r="A116" s="129">
        <v>7482</v>
      </c>
      <c r="B116" s="186" t="s">
        <v>182</v>
      </c>
      <c r="C116" s="187"/>
      <c r="D116" s="187"/>
      <c r="E116" s="188"/>
      <c r="F116" s="130" t="s">
        <v>65</v>
      </c>
      <c r="G116" s="131">
        <v>1</v>
      </c>
      <c r="H116" s="132"/>
      <c r="I116" s="189">
        <v>41308.160000000003</v>
      </c>
      <c r="J116" s="189"/>
      <c r="K116" s="190"/>
      <c r="L116" s="134">
        <v>41308.160000000003</v>
      </c>
      <c r="M116" s="191"/>
      <c r="N116" s="192"/>
    </row>
    <row r="117" spans="1:14" ht="9.75" customHeight="1" x14ac:dyDescent="0.25">
      <c r="A117" s="129">
        <v>7483</v>
      </c>
      <c r="B117" s="186" t="s">
        <v>181</v>
      </c>
      <c r="C117" s="187"/>
      <c r="D117" s="187"/>
      <c r="E117" s="188"/>
      <c r="F117" s="130" t="s">
        <v>65</v>
      </c>
      <c r="G117" s="131">
        <v>1</v>
      </c>
      <c r="H117" s="132"/>
      <c r="I117" s="189">
        <v>29446.072</v>
      </c>
      <c r="J117" s="189"/>
      <c r="K117" s="190"/>
      <c r="L117" s="134">
        <v>29446.07</v>
      </c>
      <c r="M117" s="191"/>
      <c r="N117" s="192"/>
    </row>
    <row r="118" spans="1:14" ht="9.75" customHeight="1" x14ac:dyDescent="0.25">
      <c r="A118" s="129">
        <v>7485</v>
      </c>
      <c r="B118" s="186" t="s">
        <v>180</v>
      </c>
      <c r="C118" s="187"/>
      <c r="D118" s="187"/>
      <c r="E118" s="188"/>
      <c r="F118" s="130" t="s">
        <v>65</v>
      </c>
      <c r="G118" s="131">
        <v>1</v>
      </c>
      <c r="H118" s="132"/>
      <c r="I118" s="189">
        <v>28200.272000000001</v>
      </c>
      <c r="J118" s="189"/>
      <c r="K118" s="190"/>
      <c r="L118" s="134">
        <v>28200.27</v>
      </c>
      <c r="M118" s="191"/>
      <c r="N118" s="192"/>
    </row>
    <row r="119" spans="1:14" ht="10.8" customHeight="1" x14ac:dyDescent="0.25">
      <c r="A119" s="129">
        <v>7486</v>
      </c>
      <c r="B119" s="186" t="s">
        <v>179</v>
      </c>
      <c r="C119" s="187"/>
      <c r="D119" s="187"/>
      <c r="E119" s="188"/>
      <c r="F119" s="130" t="s">
        <v>65</v>
      </c>
      <c r="G119" s="131">
        <v>1</v>
      </c>
      <c r="H119" s="132"/>
      <c r="I119" s="189">
        <v>16300.38</v>
      </c>
      <c r="J119" s="189"/>
      <c r="K119" s="190"/>
      <c r="L119" s="134">
        <v>16300.38</v>
      </c>
      <c r="M119" s="191"/>
      <c r="N119" s="192"/>
    </row>
    <row r="120" spans="1:14" ht="9.75" customHeight="1" x14ac:dyDescent="0.25">
      <c r="A120" s="129">
        <v>5070</v>
      </c>
      <c r="B120" s="186" t="s">
        <v>178</v>
      </c>
      <c r="C120" s="187"/>
      <c r="D120" s="187"/>
      <c r="E120" s="188"/>
      <c r="F120" s="130" t="s">
        <v>90</v>
      </c>
      <c r="G120" s="127">
        <v>55</v>
      </c>
      <c r="H120" s="132"/>
      <c r="I120" s="209">
        <v>104.792</v>
      </c>
      <c r="J120" s="209"/>
      <c r="K120" s="210"/>
      <c r="L120" s="138">
        <v>5763.56</v>
      </c>
      <c r="M120" s="191"/>
      <c r="N120" s="192"/>
    </row>
    <row r="121" spans="1:14" ht="9.6" customHeight="1" x14ac:dyDescent="0.25">
      <c r="A121" s="201"/>
      <c r="B121" s="201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</row>
    <row r="122" spans="1:14" ht="9.75" customHeight="1" x14ac:dyDescent="0.25">
      <c r="A122" s="202" t="s">
        <v>76</v>
      </c>
      <c r="B122" s="203"/>
      <c r="C122" s="203"/>
      <c r="D122" s="203"/>
      <c r="E122" s="203"/>
      <c r="F122" s="203"/>
      <c r="G122" s="203"/>
      <c r="H122" s="203"/>
      <c r="I122" s="203"/>
      <c r="J122" s="203"/>
      <c r="K122" s="204"/>
      <c r="L122" s="125" t="s">
        <v>67</v>
      </c>
      <c r="M122" s="125" t="s">
        <v>75</v>
      </c>
      <c r="N122" s="125" t="s">
        <v>74</v>
      </c>
    </row>
    <row r="123" spans="1:14" ht="9.75" customHeight="1" x14ac:dyDescent="0.25">
      <c r="A123" s="186" t="s">
        <v>177</v>
      </c>
      <c r="B123" s="187"/>
      <c r="C123" s="187"/>
      <c r="D123" s="187"/>
      <c r="E123" s="187"/>
      <c r="F123" s="187"/>
      <c r="G123" s="187"/>
      <c r="H123" s="187"/>
      <c r="I123" s="187"/>
      <c r="J123" s="187"/>
      <c r="K123" s="188"/>
      <c r="L123" s="133">
        <v>202607.02</v>
      </c>
      <c r="M123" s="131">
        <v>1.8046</v>
      </c>
      <c r="N123" s="127">
        <v>83.505200000000002</v>
      </c>
    </row>
    <row r="124" spans="1:14" ht="19.2" customHeight="1" x14ac:dyDescent="0.25">
      <c r="A124" s="128" t="s">
        <v>72</v>
      </c>
      <c r="B124" s="202" t="s">
        <v>71</v>
      </c>
      <c r="C124" s="203"/>
      <c r="D124" s="203"/>
      <c r="E124" s="204"/>
      <c r="F124" s="128" t="s">
        <v>70</v>
      </c>
      <c r="G124" s="125" t="s">
        <v>69</v>
      </c>
      <c r="H124" s="193" t="s">
        <v>68</v>
      </c>
      <c r="I124" s="194"/>
      <c r="J124" s="194"/>
      <c r="K124" s="195"/>
      <c r="L124" s="125" t="s">
        <v>67</v>
      </c>
      <c r="M124" s="193"/>
      <c r="N124" s="195"/>
    </row>
    <row r="125" spans="1:14" ht="9.75" customHeight="1" x14ac:dyDescent="0.25">
      <c r="A125" s="129">
        <v>7411</v>
      </c>
      <c r="B125" s="186" t="s">
        <v>176</v>
      </c>
      <c r="C125" s="187"/>
      <c r="D125" s="187"/>
      <c r="E125" s="188"/>
      <c r="F125" s="130" t="s">
        <v>97</v>
      </c>
      <c r="G125" s="137">
        <v>2355.5100000000002</v>
      </c>
      <c r="H125" s="132"/>
      <c r="I125" s="205">
        <v>54.545499999999997</v>
      </c>
      <c r="J125" s="205"/>
      <c r="K125" s="206"/>
      <c r="L125" s="133">
        <v>128482.47</v>
      </c>
      <c r="M125" s="191"/>
      <c r="N125" s="192"/>
    </row>
    <row r="126" spans="1:14" ht="9.75" customHeight="1" x14ac:dyDescent="0.25">
      <c r="A126" s="129">
        <v>4985</v>
      </c>
      <c r="B126" s="186" t="s">
        <v>175</v>
      </c>
      <c r="C126" s="187"/>
      <c r="D126" s="187"/>
      <c r="E126" s="188"/>
      <c r="F126" s="130" t="s">
        <v>109</v>
      </c>
      <c r="G126" s="137">
        <v>2945.6</v>
      </c>
      <c r="H126" s="132"/>
      <c r="I126" s="205">
        <v>25.1645</v>
      </c>
      <c r="J126" s="205"/>
      <c r="K126" s="206"/>
      <c r="L126" s="134">
        <v>74124.55</v>
      </c>
      <c r="M126" s="191"/>
      <c r="N126" s="192"/>
    </row>
    <row r="127" spans="1:14" ht="9.75" customHeight="1" x14ac:dyDescent="0.25">
      <c r="A127" s="201"/>
      <c r="B127" s="201"/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1"/>
    </row>
    <row r="128" spans="1:14" ht="9.75" customHeight="1" x14ac:dyDescent="0.25">
      <c r="A128" s="202" t="s">
        <v>76</v>
      </c>
      <c r="B128" s="203"/>
      <c r="C128" s="203"/>
      <c r="D128" s="203"/>
      <c r="E128" s="203"/>
      <c r="F128" s="203"/>
      <c r="G128" s="203"/>
      <c r="H128" s="203"/>
      <c r="I128" s="203"/>
      <c r="J128" s="203"/>
      <c r="K128" s="204"/>
      <c r="L128" s="125" t="s">
        <v>67</v>
      </c>
      <c r="M128" s="125" t="s">
        <v>75</v>
      </c>
      <c r="N128" s="125" t="s">
        <v>74</v>
      </c>
    </row>
    <row r="129" spans="1:14" ht="9.75" customHeight="1" x14ac:dyDescent="0.25">
      <c r="A129" s="186" t="s">
        <v>174</v>
      </c>
      <c r="B129" s="187"/>
      <c r="C129" s="187"/>
      <c r="D129" s="187"/>
      <c r="E129" s="187"/>
      <c r="F129" s="187"/>
      <c r="G129" s="187"/>
      <c r="H129" s="187"/>
      <c r="I129" s="187"/>
      <c r="J129" s="187"/>
      <c r="K129" s="188"/>
      <c r="L129" s="133">
        <v>199781.25</v>
      </c>
      <c r="M129" s="131">
        <v>1.7795000000000001</v>
      </c>
      <c r="N129" s="127">
        <v>85.284700000000001</v>
      </c>
    </row>
    <row r="130" spans="1:14" ht="10.8" customHeight="1" x14ac:dyDescent="0.25">
      <c r="A130" s="128" t="s">
        <v>72</v>
      </c>
      <c r="B130" s="202" t="s">
        <v>71</v>
      </c>
      <c r="C130" s="203"/>
      <c r="D130" s="203"/>
      <c r="E130" s="204"/>
      <c r="F130" s="128" t="s">
        <v>70</v>
      </c>
      <c r="G130" s="125" t="s">
        <v>69</v>
      </c>
      <c r="H130" s="193" t="s">
        <v>68</v>
      </c>
      <c r="I130" s="194"/>
      <c r="J130" s="194"/>
      <c r="K130" s="195"/>
      <c r="L130" s="125" t="s">
        <v>67</v>
      </c>
      <c r="M130" s="193"/>
      <c r="N130" s="195"/>
    </row>
    <row r="131" spans="1:14" ht="9.75" customHeight="1" x14ac:dyDescent="0.25">
      <c r="A131" s="129">
        <v>7575</v>
      </c>
      <c r="B131" s="186" t="s">
        <v>173</v>
      </c>
      <c r="C131" s="187"/>
      <c r="D131" s="187"/>
      <c r="E131" s="188"/>
      <c r="F131" s="130" t="s">
        <v>65</v>
      </c>
      <c r="G131" s="131">
        <v>1</v>
      </c>
      <c r="H131" s="132"/>
      <c r="I131" s="211">
        <v>187036.66829999999</v>
      </c>
      <c r="J131" s="211"/>
      <c r="K131" s="212"/>
      <c r="L131" s="133">
        <v>187036.67</v>
      </c>
      <c r="M131" s="191"/>
      <c r="N131" s="192"/>
    </row>
    <row r="132" spans="1:14" ht="9.6" customHeight="1" x14ac:dyDescent="0.25">
      <c r="A132" s="129">
        <v>7574</v>
      </c>
      <c r="B132" s="186" t="s">
        <v>172</v>
      </c>
      <c r="C132" s="187"/>
      <c r="D132" s="187"/>
      <c r="E132" s="188"/>
      <c r="F132" s="130" t="s">
        <v>65</v>
      </c>
      <c r="G132" s="131">
        <v>1</v>
      </c>
      <c r="H132" s="132"/>
      <c r="I132" s="189">
        <v>12744.58</v>
      </c>
      <c r="J132" s="189"/>
      <c r="K132" s="190"/>
      <c r="L132" s="134">
        <v>12744.58</v>
      </c>
      <c r="M132" s="191"/>
      <c r="N132" s="192"/>
    </row>
    <row r="133" spans="1:14" ht="9.75" customHeight="1" x14ac:dyDescent="0.25">
      <c r="A133" s="20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01"/>
    </row>
    <row r="134" spans="1:14" ht="9.75" customHeight="1" x14ac:dyDescent="0.25">
      <c r="A134" s="202" t="s">
        <v>76</v>
      </c>
      <c r="B134" s="203"/>
      <c r="C134" s="203"/>
      <c r="D134" s="203"/>
      <c r="E134" s="203"/>
      <c r="F134" s="203"/>
      <c r="G134" s="203"/>
      <c r="H134" s="203"/>
      <c r="I134" s="203"/>
      <c r="J134" s="203"/>
      <c r="K134" s="204"/>
      <c r="L134" s="125" t="s">
        <v>67</v>
      </c>
      <c r="M134" s="125" t="s">
        <v>75</v>
      </c>
      <c r="N134" s="125" t="s">
        <v>74</v>
      </c>
    </row>
    <row r="135" spans="1:14" ht="9.75" customHeight="1" x14ac:dyDescent="0.25">
      <c r="A135" s="186" t="s">
        <v>171</v>
      </c>
      <c r="B135" s="187"/>
      <c r="C135" s="187"/>
      <c r="D135" s="187"/>
      <c r="E135" s="187"/>
      <c r="F135" s="187"/>
      <c r="G135" s="187"/>
      <c r="H135" s="187"/>
      <c r="I135" s="187"/>
      <c r="J135" s="187"/>
      <c r="K135" s="188"/>
      <c r="L135" s="133">
        <v>192226.06</v>
      </c>
      <c r="M135" s="131">
        <v>1.7121999999999999</v>
      </c>
      <c r="N135" s="127">
        <v>86.996899999999997</v>
      </c>
    </row>
    <row r="136" spans="1:14" ht="10.8" customHeight="1" x14ac:dyDescent="0.25">
      <c r="A136" s="128" t="s">
        <v>72</v>
      </c>
      <c r="B136" s="202" t="s">
        <v>71</v>
      </c>
      <c r="C136" s="203"/>
      <c r="D136" s="203"/>
      <c r="E136" s="204"/>
      <c r="F136" s="128" t="s">
        <v>70</v>
      </c>
      <c r="G136" s="125" t="s">
        <v>69</v>
      </c>
      <c r="H136" s="193" t="s">
        <v>68</v>
      </c>
      <c r="I136" s="194"/>
      <c r="J136" s="194"/>
      <c r="K136" s="195"/>
      <c r="L136" s="125" t="s">
        <v>67</v>
      </c>
      <c r="M136" s="193"/>
      <c r="N136" s="195"/>
    </row>
    <row r="137" spans="1:14" ht="9.75" customHeight="1" x14ac:dyDescent="0.25">
      <c r="A137" s="129">
        <v>5788</v>
      </c>
      <c r="B137" s="186" t="s">
        <v>170</v>
      </c>
      <c r="C137" s="187"/>
      <c r="D137" s="187"/>
      <c r="E137" s="188"/>
      <c r="F137" s="130" t="s">
        <v>100</v>
      </c>
      <c r="G137" s="135">
        <v>143.4676</v>
      </c>
      <c r="H137" s="132"/>
      <c r="I137" s="209">
        <v>600</v>
      </c>
      <c r="J137" s="209"/>
      <c r="K137" s="210"/>
      <c r="L137" s="134">
        <v>86080.56</v>
      </c>
      <c r="M137" s="191"/>
      <c r="N137" s="192"/>
    </row>
    <row r="138" spans="1:14" ht="9.6" customHeight="1" x14ac:dyDescent="0.25">
      <c r="A138" s="129">
        <v>4664</v>
      </c>
      <c r="B138" s="186" t="s">
        <v>169</v>
      </c>
      <c r="C138" s="187"/>
      <c r="D138" s="187"/>
      <c r="E138" s="188"/>
      <c r="F138" s="130" t="s">
        <v>81</v>
      </c>
      <c r="G138" s="136">
        <v>28946.481</v>
      </c>
      <c r="H138" s="132"/>
      <c r="I138" s="198">
        <v>1.7324999999999999</v>
      </c>
      <c r="J138" s="198"/>
      <c r="K138" s="199"/>
      <c r="L138" s="134">
        <v>50149.78</v>
      </c>
      <c r="M138" s="191"/>
      <c r="N138" s="192"/>
    </row>
    <row r="139" spans="1:14" ht="9.75" customHeight="1" x14ac:dyDescent="0.25">
      <c r="A139" s="129">
        <v>2055</v>
      </c>
      <c r="B139" s="186" t="s">
        <v>168</v>
      </c>
      <c r="C139" s="187"/>
      <c r="D139" s="187"/>
      <c r="E139" s="188"/>
      <c r="F139" s="130" t="s">
        <v>100</v>
      </c>
      <c r="G139" s="127">
        <v>64.936499999999995</v>
      </c>
      <c r="H139" s="132"/>
      <c r="I139" s="209">
        <v>580</v>
      </c>
      <c r="J139" s="209"/>
      <c r="K139" s="210"/>
      <c r="L139" s="134">
        <v>37663.17</v>
      </c>
      <c r="M139" s="191"/>
      <c r="N139" s="192"/>
    </row>
    <row r="140" spans="1:14" ht="9.75" customHeight="1" x14ac:dyDescent="0.25">
      <c r="A140" s="129">
        <v>7409</v>
      </c>
      <c r="B140" s="186" t="s">
        <v>167</v>
      </c>
      <c r="C140" s="187"/>
      <c r="D140" s="187"/>
      <c r="E140" s="188"/>
      <c r="F140" s="130" t="s">
        <v>81</v>
      </c>
      <c r="G140" s="136">
        <v>10549.189399999999</v>
      </c>
      <c r="H140" s="132"/>
      <c r="I140" s="198">
        <v>1.4135</v>
      </c>
      <c r="J140" s="198"/>
      <c r="K140" s="199"/>
      <c r="L140" s="134">
        <v>14911.28</v>
      </c>
      <c r="M140" s="191"/>
      <c r="N140" s="192"/>
    </row>
    <row r="141" spans="1:14" ht="9.75" customHeight="1" x14ac:dyDescent="0.25">
      <c r="A141" s="129">
        <v>5213</v>
      </c>
      <c r="B141" s="186" t="s">
        <v>166</v>
      </c>
      <c r="C141" s="187"/>
      <c r="D141" s="187"/>
      <c r="E141" s="188"/>
      <c r="F141" s="130" t="s">
        <v>81</v>
      </c>
      <c r="G141" s="135">
        <v>301</v>
      </c>
      <c r="H141" s="132"/>
      <c r="I141" s="198">
        <v>4.452</v>
      </c>
      <c r="J141" s="198"/>
      <c r="K141" s="199"/>
      <c r="L141" s="138">
        <v>1340.05</v>
      </c>
      <c r="M141" s="191"/>
      <c r="N141" s="192"/>
    </row>
    <row r="142" spans="1:14" ht="10.8" customHeight="1" x14ac:dyDescent="0.25">
      <c r="A142" s="129">
        <v>7119</v>
      </c>
      <c r="B142" s="186" t="s">
        <v>165</v>
      </c>
      <c r="C142" s="187"/>
      <c r="D142" s="187"/>
      <c r="E142" s="188"/>
      <c r="F142" s="130" t="s">
        <v>81</v>
      </c>
      <c r="G142" s="135">
        <v>442.45310000000001</v>
      </c>
      <c r="H142" s="132"/>
      <c r="I142" s="198">
        <v>2.7</v>
      </c>
      <c r="J142" s="198"/>
      <c r="K142" s="199"/>
      <c r="L142" s="138">
        <v>1194.6199999999999</v>
      </c>
      <c r="M142" s="191"/>
      <c r="N142" s="192"/>
    </row>
    <row r="143" spans="1:14" ht="9.75" customHeight="1" x14ac:dyDescent="0.25">
      <c r="A143" s="129">
        <v>4663</v>
      </c>
      <c r="B143" s="186" t="s">
        <v>164</v>
      </c>
      <c r="C143" s="187"/>
      <c r="D143" s="187"/>
      <c r="E143" s="188"/>
      <c r="F143" s="130" t="s">
        <v>81</v>
      </c>
      <c r="G143" s="135">
        <v>621.52200000000005</v>
      </c>
      <c r="H143" s="132"/>
      <c r="I143" s="198">
        <v>1.4265000000000001</v>
      </c>
      <c r="J143" s="198"/>
      <c r="K143" s="199"/>
      <c r="L143" s="140">
        <v>886.6</v>
      </c>
      <c r="M143" s="191"/>
      <c r="N143" s="192"/>
    </row>
    <row r="144" spans="1:14" ht="9.6" customHeight="1" x14ac:dyDescent="0.25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</row>
    <row r="145" spans="1:14" ht="9.75" customHeight="1" x14ac:dyDescent="0.25">
      <c r="A145" s="202" t="s">
        <v>76</v>
      </c>
      <c r="B145" s="203"/>
      <c r="C145" s="203"/>
      <c r="D145" s="203"/>
      <c r="E145" s="203"/>
      <c r="F145" s="203"/>
      <c r="G145" s="203"/>
      <c r="H145" s="203"/>
      <c r="I145" s="203"/>
      <c r="J145" s="203"/>
      <c r="K145" s="204"/>
      <c r="L145" s="125" t="s">
        <v>67</v>
      </c>
      <c r="M145" s="125" t="s">
        <v>75</v>
      </c>
      <c r="N145" s="125" t="s">
        <v>74</v>
      </c>
    </row>
    <row r="146" spans="1:14" ht="9.75" customHeight="1" x14ac:dyDescent="0.25">
      <c r="A146" s="186" t="s">
        <v>163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8"/>
      <c r="L146" s="133">
        <v>171886.17</v>
      </c>
      <c r="M146" s="131">
        <v>1.5309999999999999</v>
      </c>
      <c r="N146" s="127">
        <v>88.527900000000002</v>
      </c>
    </row>
    <row r="147" spans="1:14" ht="9.75" customHeight="1" x14ac:dyDescent="0.25">
      <c r="A147" s="128" t="s">
        <v>72</v>
      </c>
      <c r="B147" s="202" t="s">
        <v>71</v>
      </c>
      <c r="C147" s="203"/>
      <c r="D147" s="203"/>
      <c r="E147" s="204"/>
      <c r="F147" s="128" t="s">
        <v>70</v>
      </c>
      <c r="G147" s="125" t="s">
        <v>69</v>
      </c>
      <c r="H147" s="193" t="s">
        <v>68</v>
      </c>
      <c r="I147" s="194"/>
      <c r="J147" s="194"/>
      <c r="K147" s="195"/>
      <c r="L147" s="125" t="s">
        <v>67</v>
      </c>
      <c r="M147" s="193"/>
      <c r="N147" s="195"/>
    </row>
    <row r="148" spans="1:14" ht="9.75" customHeight="1" x14ac:dyDescent="0.25">
      <c r="A148" s="129">
        <v>7027</v>
      </c>
      <c r="B148" s="186" t="s">
        <v>162</v>
      </c>
      <c r="C148" s="187"/>
      <c r="D148" s="187"/>
      <c r="E148" s="188"/>
      <c r="F148" s="130" t="s">
        <v>90</v>
      </c>
      <c r="G148" s="136">
        <v>28780</v>
      </c>
      <c r="H148" s="132"/>
      <c r="I148" s="198">
        <v>2.0499999999999998</v>
      </c>
      <c r="J148" s="198"/>
      <c r="K148" s="199"/>
      <c r="L148" s="134">
        <v>58999</v>
      </c>
      <c r="M148" s="191"/>
      <c r="N148" s="192"/>
    </row>
    <row r="149" spans="1:14" ht="19.2" customHeight="1" x14ac:dyDescent="0.25">
      <c r="A149" s="129">
        <v>5044</v>
      </c>
      <c r="B149" s="186" t="s">
        <v>161</v>
      </c>
      <c r="C149" s="187"/>
      <c r="D149" s="187"/>
      <c r="E149" s="188"/>
      <c r="F149" s="130" t="s">
        <v>90</v>
      </c>
      <c r="G149" s="136">
        <v>22528.48</v>
      </c>
      <c r="H149" s="132"/>
      <c r="I149" s="198">
        <v>1.79</v>
      </c>
      <c r="J149" s="198"/>
      <c r="K149" s="199"/>
      <c r="L149" s="134">
        <v>40325.980000000003</v>
      </c>
      <c r="M149" s="191"/>
      <c r="N149" s="192"/>
    </row>
    <row r="150" spans="1:14" ht="19.2" customHeight="1" x14ac:dyDescent="0.25">
      <c r="A150" s="129">
        <v>7479</v>
      </c>
      <c r="B150" s="186" t="s">
        <v>160</v>
      </c>
      <c r="C150" s="187"/>
      <c r="D150" s="187"/>
      <c r="E150" s="188"/>
      <c r="F150" s="130" t="s">
        <v>90</v>
      </c>
      <c r="G150" s="137">
        <v>8256</v>
      </c>
      <c r="H150" s="132"/>
      <c r="I150" s="198">
        <v>2.65</v>
      </c>
      <c r="J150" s="198"/>
      <c r="K150" s="199"/>
      <c r="L150" s="134">
        <v>21878.400000000001</v>
      </c>
      <c r="M150" s="191"/>
      <c r="N150" s="192"/>
    </row>
    <row r="151" spans="1:14" ht="9.75" customHeight="1" x14ac:dyDescent="0.25">
      <c r="A151" s="129">
        <v>7116</v>
      </c>
      <c r="B151" s="186" t="s">
        <v>159</v>
      </c>
      <c r="C151" s="187"/>
      <c r="D151" s="187"/>
      <c r="E151" s="188"/>
      <c r="F151" s="130" t="s">
        <v>90</v>
      </c>
      <c r="G151" s="136">
        <v>11864.16</v>
      </c>
      <c r="H151" s="132"/>
      <c r="I151" s="198">
        <v>1.58</v>
      </c>
      <c r="J151" s="198"/>
      <c r="K151" s="199"/>
      <c r="L151" s="134">
        <v>18745.37</v>
      </c>
      <c r="M151" s="191"/>
      <c r="N151" s="192"/>
    </row>
    <row r="152" spans="1:14" ht="9.75" customHeight="1" x14ac:dyDescent="0.25">
      <c r="A152" s="129">
        <v>7973</v>
      </c>
      <c r="B152" s="186" t="s">
        <v>158</v>
      </c>
      <c r="C152" s="187"/>
      <c r="D152" s="187"/>
      <c r="E152" s="188"/>
      <c r="F152" s="130" t="s">
        <v>90</v>
      </c>
      <c r="G152" s="137">
        <v>4214</v>
      </c>
      <c r="H152" s="132"/>
      <c r="I152" s="198">
        <v>4.2</v>
      </c>
      <c r="J152" s="198"/>
      <c r="K152" s="199"/>
      <c r="L152" s="134">
        <v>17698.8</v>
      </c>
      <c r="M152" s="191"/>
      <c r="N152" s="192"/>
    </row>
    <row r="153" spans="1:14" ht="10.8" customHeight="1" x14ac:dyDescent="0.25">
      <c r="A153" s="129">
        <v>7122</v>
      </c>
      <c r="B153" s="186" t="s">
        <v>157</v>
      </c>
      <c r="C153" s="187"/>
      <c r="D153" s="187"/>
      <c r="E153" s="188"/>
      <c r="F153" s="130" t="s">
        <v>90</v>
      </c>
      <c r="G153" s="136">
        <v>67802.934099999999</v>
      </c>
      <c r="H153" s="132"/>
      <c r="I153" s="198">
        <v>0.21</v>
      </c>
      <c r="J153" s="198"/>
      <c r="K153" s="199"/>
      <c r="L153" s="134">
        <v>14238.62</v>
      </c>
      <c r="M153" s="191"/>
      <c r="N153" s="192"/>
    </row>
    <row r="154" spans="1:14" ht="9.75" customHeight="1" x14ac:dyDescent="0.25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01"/>
    </row>
    <row r="155" spans="1:14" ht="9.6" customHeight="1" x14ac:dyDescent="0.25">
      <c r="A155" s="202" t="s">
        <v>76</v>
      </c>
      <c r="B155" s="203"/>
      <c r="C155" s="203"/>
      <c r="D155" s="203"/>
      <c r="E155" s="203"/>
      <c r="F155" s="203"/>
      <c r="G155" s="203"/>
      <c r="H155" s="203"/>
      <c r="I155" s="203"/>
      <c r="J155" s="203"/>
      <c r="K155" s="204"/>
      <c r="L155" s="125" t="s">
        <v>67</v>
      </c>
      <c r="M155" s="125" t="s">
        <v>75</v>
      </c>
      <c r="N155" s="125" t="s">
        <v>74</v>
      </c>
    </row>
    <row r="156" spans="1:14" ht="9.75" customHeight="1" x14ac:dyDescent="0.25">
      <c r="A156" s="186" t="s">
        <v>156</v>
      </c>
      <c r="B156" s="187"/>
      <c r="C156" s="187"/>
      <c r="D156" s="187"/>
      <c r="E156" s="187"/>
      <c r="F156" s="187"/>
      <c r="G156" s="187"/>
      <c r="H156" s="187"/>
      <c r="I156" s="187"/>
      <c r="J156" s="187"/>
      <c r="K156" s="188"/>
      <c r="L156" s="133">
        <v>152799.20000000001</v>
      </c>
      <c r="M156" s="131">
        <v>1.361</v>
      </c>
      <c r="N156" s="127">
        <v>89.888900000000007</v>
      </c>
    </row>
    <row r="157" spans="1:14" ht="9.75" customHeight="1" x14ac:dyDescent="0.25">
      <c r="A157" s="128" t="s">
        <v>72</v>
      </c>
      <c r="B157" s="202" t="s">
        <v>71</v>
      </c>
      <c r="C157" s="203"/>
      <c r="D157" s="203"/>
      <c r="E157" s="204"/>
      <c r="F157" s="128" t="s">
        <v>70</v>
      </c>
      <c r="G157" s="125" t="s">
        <v>69</v>
      </c>
      <c r="H157" s="193" t="s">
        <v>68</v>
      </c>
      <c r="I157" s="194"/>
      <c r="J157" s="194"/>
      <c r="K157" s="195"/>
      <c r="L157" s="125" t="s">
        <v>67</v>
      </c>
      <c r="M157" s="193"/>
      <c r="N157" s="195"/>
    </row>
    <row r="158" spans="1:14" ht="9.75" customHeight="1" x14ac:dyDescent="0.25">
      <c r="A158" s="129">
        <v>5006</v>
      </c>
      <c r="B158" s="186" t="s">
        <v>155</v>
      </c>
      <c r="C158" s="187"/>
      <c r="D158" s="187"/>
      <c r="E158" s="188"/>
      <c r="F158" s="130" t="s">
        <v>90</v>
      </c>
      <c r="G158" s="131">
        <v>1</v>
      </c>
      <c r="H158" s="132"/>
      <c r="I158" s="211">
        <v>152799.20000000001</v>
      </c>
      <c r="J158" s="211"/>
      <c r="K158" s="212"/>
      <c r="L158" s="133">
        <v>152799.20000000001</v>
      </c>
      <c r="M158" s="191"/>
      <c r="N158" s="192"/>
    </row>
    <row r="159" spans="1:14" ht="9.75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</row>
    <row r="160" spans="1:14" ht="9.75" customHeight="1" x14ac:dyDescent="0.25">
      <c r="A160" s="202" t="s">
        <v>76</v>
      </c>
      <c r="B160" s="203"/>
      <c r="C160" s="203"/>
      <c r="D160" s="203"/>
      <c r="E160" s="203"/>
      <c r="F160" s="203"/>
      <c r="G160" s="203"/>
      <c r="H160" s="203"/>
      <c r="I160" s="203"/>
      <c r="J160" s="203"/>
      <c r="K160" s="204"/>
      <c r="L160" s="125" t="s">
        <v>67</v>
      </c>
      <c r="M160" s="125" t="s">
        <v>75</v>
      </c>
      <c r="N160" s="125" t="s">
        <v>74</v>
      </c>
    </row>
    <row r="161" spans="1:14" ht="9.75" customHeight="1" x14ac:dyDescent="0.25">
      <c r="A161" s="186" t="s">
        <v>154</v>
      </c>
      <c r="B161" s="187"/>
      <c r="C161" s="187"/>
      <c r="D161" s="187"/>
      <c r="E161" s="187"/>
      <c r="F161" s="187"/>
      <c r="G161" s="187"/>
      <c r="H161" s="187"/>
      <c r="I161" s="187"/>
      <c r="J161" s="187"/>
      <c r="K161" s="188"/>
      <c r="L161" s="133">
        <v>125430.34</v>
      </c>
      <c r="M161" s="131">
        <v>1.1172</v>
      </c>
      <c r="N161" s="127">
        <v>91.006100000000004</v>
      </c>
    </row>
    <row r="162" spans="1:14" ht="19.2" customHeight="1" x14ac:dyDescent="0.25">
      <c r="A162" s="128" t="s">
        <v>72</v>
      </c>
      <c r="B162" s="202" t="s">
        <v>71</v>
      </c>
      <c r="C162" s="203"/>
      <c r="D162" s="203"/>
      <c r="E162" s="204"/>
      <c r="F162" s="128" t="s">
        <v>70</v>
      </c>
      <c r="G162" s="125" t="s">
        <v>69</v>
      </c>
      <c r="H162" s="193" t="s">
        <v>68</v>
      </c>
      <c r="I162" s="194"/>
      <c r="J162" s="194"/>
      <c r="K162" s="195"/>
      <c r="L162" s="125" t="s">
        <v>67</v>
      </c>
      <c r="M162" s="193"/>
      <c r="N162" s="195"/>
    </row>
    <row r="163" spans="1:14" ht="10.8" customHeight="1" x14ac:dyDescent="0.25">
      <c r="A163" s="129">
        <v>7488</v>
      </c>
      <c r="B163" s="186" t="s">
        <v>153</v>
      </c>
      <c r="C163" s="187"/>
      <c r="D163" s="187"/>
      <c r="E163" s="188"/>
      <c r="F163" s="130" t="s">
        <v>65</v>
      </c>
      <c r="G163" s="131">
        <v>1</v>
      </c>
      <c r="H163" s="132"/>
      <c r="I163" s="189">
        <v>77643.740000000005</v>
      </c>
      <c r="J163" s="189"/>
      <c r="K163" s="190"/>
      <c r="L163" s="134">
        <v>77643.740000000005</v>
      </c>
      <c r="M163" s="191"/>
      <c r="N163" s="192"/>
    </row>
    <row r="164" spans="1:14" ht="9.75" customHeight="1" x14ac:dyDescent="0.25">
      <c r="A164" s="129">
        <v>7489</v>
      </c>
      <c r="B164" s="186" t="s">
        <v>152</v>
      </c>
      <c r="C164" s="187"/>
      <c r="D164" s="187"/>
      <c r="E164" s="188"/>
      <c r="F164" s="130" t="s">
        <v>65</v>
      </c>
      <c r="G164" s="131">
        <v>1</v>
      </c>
      <c r="H164" s="132"/>
      <c r="I164" s="189">
        <v>26110.67</v>
      </c>
      <c r="J164" s="189"/>
      <c r="K164" s="190"/>
      <c r="L164" s="134">
        <v>26110.67</v>
      </c>
      <c r="M164" s="191"/>
      <c r="N164" s="192"/>
    </row>
    <row r="165" spans="1:14" ht="9.6" customHeight="1" x14ac:dyDescent="0.25">
      <c r="A165" s="129">
        <v>7490</v>
      </c>
      <c r="B165" s="186" t="s">
        <v>151</v>
      </c>
      <c r="C165" s="187"/>
      <c r="D165" s="187"/>
      <c r="E165" s="188"/>
      <c r="F165" s="130" t="s">
        <v>65</v>
      </c>
      <c r="G165" s="131">
        <v>1</v>
      </c>
      <c r="H165" s="132"/>
      <c r="I165" s="189">
        <v>21675.93</v>
      </c>
      <c r="J165" s="189"/>
      <c r="K165" s="190"/>
      <c r="L165" s="134">
        <v>21675.93</v>
      </c>
      <c r="M165" s="191"/>
      <c r="N165" s="192"/>
    </row>
    <row r="166" spans="1:14" ht="9.75" customHeight="1" x14ac:dyDescent="0.25">
      <c r="A166" s="129">
        <v>7491</v>
      </c>
      <c r="B166" s="186" t="s">
        <v>150</v>
      </c>
      <c r="C166" s="187"/>
      <c r="D166" s="187"/>
      <c r="E166" s="188"/>
      <c r="F166" s="130" t="s">
        <v>65</v>
      </c>
      <c r="G166" s="131">
        <v>0</v>
      </c>
      <c r="H166" s="132"/>
      <c r="I166" s="207">
        <v>2151.6</v>
      </c>
      <c r="J166" s="207"/>
      <c r="K166" s="208"/>
      <c r="L166" s="141">
        <v>0</v>
      </c>
      <c r="M166" s="191"/>
      <c r="N166" s="192"/>
    </row>
    <row r="167" spans="1:14" ht="9.75" customHeight="1" x14ac:dyDescent="0.25">
      <c r="A167" s="201"/>
      <c r="B167" s="201"/>
      <c r="C167" s="201"/>
      <c r="D167" s="201"/>
      <c r="E167" s="201"/>
      <c r="F167" s="201"/>
      <c r="G167" s="201"/>
      <c r="H167" s="201"/>
      <c r="I167" s="201"/>
      <c r="J167" s="201"/>
      <c r="K167" s="201"/>
      <c r="L167" s="201"/>
      <c r="M167" s="201"/>
      <c r="N167" s="201"/>
    </row>
    <row r="168" spans="1:14" ht="10.8" customHeight="1" x14ac:dyDescent="0.25">
      <c r="A168" s="202" t="s">
        <v>76</v>
      </c>
      <c r="B168" s="203"/>
      <c r="C168" s="203"/>
      <c r="D168" s="203"/>
      <c r="E168" s="203"/>
      <c r="F168" s="203"/>
      <c r="G168" s="203"/>
      <c r="H168" s="203"/>
      <c r="I168" s="203"/>
      <c r="J168" s="203"/>
      <c r="K168" s="204"/>
      <c r="L168" s="125" t="s">
        <v>67</v>
      </c>
      <c r="M168" s="125" t="s">
        <v>75</v>
      </c>
      <c r="N168" s="125" t="s">
        <v>74</v>
      </c>
    </row>
    <row r="169" spans="1:14" ht="9.75" customHeight="1" x14ac:dyDescent="0.25">
      <c r="A169" s="186" t="s">
        <v>149</v>
      </c>
      <c r="B169" s="187"/>
      <c r="C169" s="187"/>
      <c r="D169" s="187"/>
      <c r="E169" s="187"/>
      <c r="F169" s="187"/>
      <c r="G169" s="187"/>
      <c r="H169" s="187"/>
      <c r="I169" s="187"/>
      <c r="J169" s="187"/>
      <c r="K169" s="188"/>
      <c r="L169" s="133">
        <v>122494.95</v>
      </c>
      <c r="M169" s="131">
        <v>1.0911</v>
      </c>
      <c r="N169" s="127">
        <v>92.097200000000001</v>
      </c>
    </row>
    <row r="170" spans="1:14" ht="9.6" customHeight="1" x14ac:dyDescent="0.25">
      <c r="A170" s="128" t="s">
        <v>72</v>
      </c>
      <c r="B170" s="202" t="s">
        <v>71</v>
      </c>
      <c r="C170" s="203"/>
      <c r="D170" s="203"/>
      <c r="E170" s="204"/>
      <c r="F170" s="128" t="s">
        <v>70</v>
      </c>
      <c r="G170" s="125" t="s">
        <v>69</v>
      </c>
      <c r="H170" s="193" t="s">
        <v>68</v>
      </c>
      <c r="I170" s="194"/>
      <c r="J170" s="194"/>
      <c r="K170" s="195"/>
      <c r="L170" s="125" t="s">
        <v>67</v>
      </c>
      <c r="M170" s="193"/>
      <c r="N170" s="195"/>
    </row>
    <row r="171" spans="1:14" ht="9.75" customHeight="1" x14ac:dyDescent="0.25">
      <c r="A171" s="129">
        <v>7289</v>
      </c>
      <c r="B171" s="186" t="s">
        <v>148</v>
      </c>
      <c r="C171" s="187"/>
      <c r="D171" s="187"/>
      <c r="E171" s="188"/>
      <c r="F171" s="130" t="s">
        <v>65</v>
      </c>
      <c r="G171" s="127">
        <v>93</v>
      </c>
      <c r="H171" s="132"/>
      <c r="I171" s="207">
        <v>1317.15</v>
      </c>
      <c r="J171" s="207"/>
      <c r="K171" s="208"/>
      <c r="L171" s="133">
        <v>122494.95</v>
      </c>
      <c r="M171" s="191"/>
      <c r="N171" s="192"/>
    </row>
    <row r="172" spans="1:14" ht="9.75" customHeight="1" x14ac:dyDescent="0.25">
      <c r="A172" s="201"/>
      <c r="B172" s="201"/>
      <c r="C172" s="201"/>
      <c r="D172" s="201"/>
      <c r="E172" s="201"/>
      <c r="F172" s="201"/>
      <c r="G172" s="201"/>
      <c r="H172" s="201"/>
      <c r="I172" s="201"/>
      <c r="J172" s="201"/>
      <c r="K172" s="201"/>
      <c r="L172" s="201"/>
      <c r="M172" s="201"/>
      <c r="N172" s="201"/>
    </row>
    <row r="173" spans="1:14" ht="9.75" customHeight="1" x14ac:dyDescent="0.25">
      <c r="A173" s="202" t="s">
        <v>76</v>
      </c>
      <c r="B173" s="203"/>
      <c r="C173" s="203"/>
      <c r="D173" s="203"/>
      <c r="E173" s="203"/>
      <c r="F173" s="203"/>
      <c r="G173" s="203"/>
      <c r="H173" s="203"/>
      <c r="I173" s="203"/>
      <c r="J173" s="203"/>
      <c r="K173" s="204"/>
      <c r="L173" s="125" t="s">
        <v>67</v>
      </c>
      <c r="M173" s="125" t="s">
        <v>75</v>
      </c>
      <c r="N173" s="125" t="s">
        <v>74</v>
      </c>
    </row>
    <row r="174" spans="1:14" ht="9.75" customHeight="1" x14ac:dyDescent="0.25">
      <c r="A174" s="186" t="s">
        <v>147</v>
      </c>
      <c r="B174" s="187"/>
      <c r="C174" s="187"/>
      <c r="D174" s="187"/>
      <c r="E174" s="187"/>
      <c r="F174" s="187"/>
      <c r="G174" s="187"/>
      <c r="H174" s="187"/>
      <c r="I174" s="187"/>
      <c r="J174" s="187"/>
      <c r="K174" s="188"/>
      <c r="L174" s="133">
        <v>120066.97</v>
      </c>
      <c r="M174" s="131">
        <v>1.0694999999999999</v>
      </c>
      <c r="N174" s="127">
        <v>93.166700000000006</v>
      </c>
    </row>
    <row r="175" spans="1:14" ht="9.75" customHeight="1" x14ac:dyDescent="0.25">
      <c r="A175" s="128" t="s">
        <v>72</v>
      </c>
      <c r="B175" s="202" t="s">
        <v>71</v>
      </c>
      <c r="C175" s="203"/>
      <c r="D175" s="203"/>
      <c r="E175" s="204"/>
      <c r="F175" s="128" t="s">
        <v>70</v>
      </c>
      <c r="G175" s="125" t="s">
        <v>69</v>
      </c>
      <c r="H175" s="193" t="s">
        <v>68</v>
      </c>
      <c r="I175" s="194"/>
      <c r="J175" s="194"/>
      <c r="K175" s="195"/>
      <c r="L175" s="125" t="s">
        <v>67</v>
      </c>
      <c r="M175" s="193"/>
      <c r="N175" s="195"/>
    </row>
    <row r="176" spans="1:14" ht="10.8" customHeight="1" x14ac:dyDescent="0.25">
      <c r="A176" s="139">
        <v>833</v>
      </c>
      <c r="B176" s="186" t="s">
        <v>146</v>
      </c>
      <c r="C176" s="187"/>
      <c r="D176" s="187"/>
      <c r="E176" s="188"/>
      <c r="F176" s="130" t="s">
        <v>81</v>
      </c>
      <c r="G176" s="137">
        <v>3610.752</v>
      </c>
      <c r="H176" s="132"/>
      <c r="I176" s="205">
        <v>32.5</v>
      </c>
      <c r="J176" s="205"/>
      <c r="K176" s="206"/>
      <c r="L176" s="133">
        <v>117349.44</v>
      </c>
      <c r="M176" s="191"/>
      <c r="N176" s="192"/>
    </row>
    <row r="177" spans="1:14" ht="9.75" customHeight="1" x14ac:dyDescent="0.25">
      <c r="A177" s="129">
        <v>7498</v>
      </c>
      <c r="B177" s="186" t="s">
        <v>145</v>
      </c>
      <c r="C177" s="187"/>
      <c r="D177" s="187"/>
      <c r="E177" s="188"/>
      <c r="F177" s="130" t="s">
        <v>81</v>
      </c>
      <c r="G177" s="127">
        <v>79.029600000000002</v>
      </c>
      <c r="H177" s="132"/>
      <c r="I177" s="205">
        <v>32.5</v>
      </c>
      <c r="J177" s="205"/>
      <c r="K177" s="206"/>
      <c r="L177" s="138">
        <v>2568.46</v>
      </c>
      <c r="M177" s="191"/>
      <c r="N177" s="192"/>
    </row>
    <row r="178" spans="1:14" ht="9.6" customHeight="1" x14ac:dyDescent="0.25">
      <c r="A178" s="129">
        <v>7299</v>
      </c>
      <c r="B178" s="186" t="s">
        <v>144</v>
      </c>
      <c r="C178" s="187"/>
      <c r="D178" s="187"/>
      <c r="E178" s="188"/>
      <c r="F178" s="130" t="s">
        <v>97</v>
      </c>
      <c r="G178" s="135">
        <v>104.9776</v>
      </c>
      <c r="H178" s="132"/>
      <c r="I178" s="198">
        <v>1.42</v>
      </c>
      <c r="J178" s="198"/>
      <c r="K178" s="199"/>
      <c r="L178" s="140">
        <v>149.07</v>
      </c>
      <c r="M178" s="191"/>
      <c r="N178" s="192"/>
    </row>
    <row r="179" spans="1:14" ht="9.75" customHeight="1" x14ac:dyDescent="0.25">
      <c r="A179" s="201"/>
      <c r="B179" s="201"/>
      <c r="C179" s="201"/>
      <c r="D179" s="201"/>
      <c r="E179" s="201"/>
      <c r="F179" s="201"/>
      <c r="G179" s="201"/>
      <c r="H179" s="201"/>
      <c r="I179" s="201"/>
      <c r="J179" s="201"/>
      <c r="K179" s="201"/>
      <c r="L179" s="201"/>
      <c r="M179" s="201"/>
      <c r="N179" s="201"/>
    </row>
    <row r="180" spans="1:14" ht="19.2" customHeight="1" x14ac:dyDescent="0.25">
      <c r="A180" s="202" t="s">
        <v>76</v>
      </c>
      <c r="B180" s="203"/>
      <c r="C180" s="203"/>
      <c r="D180" s="203"/>
      <c r="E180" s="203"/>
      <c r="F180" s="203"/>
      <c r="G180" s="203"/>
      <c r="H180" s="203"/>
      <c r="I180" s="203"/>
      <c r="J180" s="203"/>
      <c r="K180" s="204"/>
      <c r="L180" s="125" t="s">
        <v>67</v>
      </c>
      <c r="M180" s="125" t="s">
        <v>75</v>
      </c>
      <c r="N180" s="125" t="s">
        <v>74</v>
      </c>
    </row>
    <row r="181" spans="1:14" ht="10.8" customHeight="1" x14ac:dyDescent="0.25">
      <c r="A181" s="186" t="s">
        <v>143</v>
      </c>
      <c r="B181" s="187"/>
      <c r="C181" s="187"/>
      <c r="D181" s="187"/>
      <c r="E181" s="187"/>
      <c r="F181" s="187"/>
      <c r="G181" s="187"/>
      <c r="H181" s="187"/>
      <c r="I181" s="187"/>
      <c r="J181" s="187"/>
      <c r="K181" s="188"/>
      <c r="L181" s="133">
        <v>118173.12</v>
      </c>
      <c r="M181" s="131">
        <v>1.0526</v>
      </c>
      <c r="N181" s="127">
        <v>94.219200000000001</v>
      </c>
    </row>
    <row r="182" spans="1:14" ht="9.75" customHeight="1" x14ac:dyDescent="0.25">
      <c r="A182" s="128" t="s">
        <v>72</v>
      </c>
      <c r="B182" s="202" t="s">
        <v>71</v>
      </c>
      <c r="C182" s="203"/>
      <c r="D182" s="203"/>
      <c r="E182" s="204"/>
      <c r="F182" s="128" t="s">
        <v>70</v>
      </c>
      <c r="G182" s="125" t="s">
        <v>69</v>
      </c>
      <c r="H182" s="193" t="s">
        <v>68</v>
      </c>
      <c r="I182" s="194"/>
      <c r="J182" s="194"/>
      <c r="K182" s="195"/>
      <c r="L182" s="125" t="s">
        <v>67</v>
      </c>
      <c r="M182" s="193"/>
      <c r="N182" s="195"/>
    </row>
    <row r="183" spans="1:14" ht="9.6" customHeight="1" x14ac:dyDescent="0.25">
      <c r="A183" s="129">
        <v>7586</v>
      </c>
      <c r="B183" s="186" t="s">
        <v>142</v>
      </c>
      <c r="C183" s="187"/>
      <c r="D183" s="187"/>
      <c r="E183" s="188"/>
      <c r="F183" s="130" t="s">
        <v>90</v>
      </c>
      <c r="G183" s="127">
        <v>77</v>
      </c>
      <c r="H183" s="132"/>
      <c r="I183" s="209">
        <v>715.76</v>
      </c>
      <c r="J183" s="209"/>
      <c r="K183" s="210"/>
      <c r="L183" s="134">
        <v>55113.52</v>
      </c>
      <c r="M183" s="191"/>
      <c r="N183" s="192"/>
    </row>
    <row r="184" spans="1:14" ht="9.75" customHeight="1" x14ac:dyDescent="0.25">
      <c r="A184" s="129">
        <v>7588</v>
      </c>
      <c r="B184" s="186" t="s">
        <v>141</v>
      </c>
      <c r="C184" s="187"/>
      <c r="D184" s="187"/>
      <c r="E184" s="188"/>
      <c r="F184" s="130" t="s">
        <v>90</v>
      </c>
      <c r="G184" s="127">
        <v>55</v>
      </c>
      <c r="H184" s="132"/>
      <c r="I184" s="209">
        <v>715.76</v>
      </c>
      <c r="J184" s="209"/>
      <c r="K184" s="210"/>
      <c r="L184" s="134">
        <v>39366.800000000003</v>
      </c>
      <c r="M184" s="191"/>
      <c r="N184" s="192"/>
    </row>
    <row r="185" spans="1:14" ht="9.75" customHeight="1" x14ac:dyDescent="0.25">
      <c r="A185" s="129">
        <v>7590</v>
      </c>
      <c r="B185" s="186" t="s">
        <v>140</v>
      </c>
      <c r="C185" s="187"/>
      <c r="D185" s="187"/>
      <c r="E185" s="188"/>
      <c r="F185" s="130" t="s">
        <v>90</v>
      </c>
      <c r="G185" s="127">
        <v>30</v>
      </c>
      <c r="H185" s="132"/>
      <c r="I185" s="209">
        <v>789.76</v>
      </c>
      <c r="J185" s="209"/>
      <c r="K185" s="210"/>
      <c r="L185" s="134">
        <v>23692.799999999999</v>
      </c>
      <c r="M185" s="191"/>
      <c r="N185" s="192"/>
    </row>
    <row r="186" spans="1:14" ht="9.75" customHeight="1" x14ac:dyDescent="0.25">
      <c r="A186" s="201"/>
      <c r="B186" s="201"/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</row>
    <row r="187" spans="1:14" ht="19.2" customHeight="1" x14ac:dyDescent="0.25">
      <c r="A187" s="202" t="s">
        <v>76</v>
      </c>
      <c r="B187" s="203"/>
      <c r="C187" s="203"/>
      <c r="D187" s="203"/>
      <c r="E187" s="203"/>
      <c r="F187" s="203"/>
      <c r="G187" s="203"/>
      <c r="H187" s="203"/>
      <c r="I187" s="203"/>
      <c r="J187" s="203"/>
      <c r="K187" s="204"/>
      <c r="L187" s="125" t="s">
        <v>67</v>
      </c>
      <c r="M187" s="125" t="s">
        <v>75</v>
      </c>
      <c r="N187" s="125" t="s">
        <v>74</v>
      </c>
    </row>
    <row r="188" spans="1:14" ht="10.8" customHeight="1" x14ac:dyDescent="0.25">
      <c r="A188" s="186" t="s">
        <v>139</v>
      </c>
      <c r="B188" s="187"/>
      <c r="C188" s="187"/>
      <c r="D188" s="187"/>
      <c r="E188" s="187"/>
      <c r="F188" s="187"/>
      <c r="G188" s="187"/>
      <c r="H188" s="187"/>
      <c r="I188" s="187"/>
      <c r="J188" s="187"/>
      <c r="K188" s="188"/>
      <c r="L188" s="134">
        <v>99281.23</v>
      </c>
      <c r="M188" s="131">
        <v>0.88429999999999997</v>
      </c>
      <c r="N188" s="127">
        <v>95.103499999999997</v>
      </c>
    </row>
    <row r="189" spans="1:14" ht="9.75" customHeight="1" x14ac:dyDescent="0.25">
      <c r="A189" s="128" t="s">
        <v>72</v>
      </c>
      <c r="B189" s="202" t="s">
        <v>71</v>
      </c>
      <c r="C189" s="203"/>
      <c r="D189" s="203"/>
      <c r="E189" s="204"/>
      <c r="F189" s="128" t="s">
        <v>70</v>
      </c>
      <c r="G189" s="125" t="s">
        <v>69</v>
      </c>
      <c r="H189" s="193" t="s">
        <v>68</v>
      </c>
      <c r="I189" s="194"/>
      <c r="J189" s="194"/>
      <c r="K189" s="195"/>
      <c r="L189" s="125" t="s">
        <v>67</v>
      </c>
      <c r="M189" s="193"/>
      <c r="N189" s="195"/>
    </row>
    <row r="190" spans="1:14" ht="9.6" customHeight="1" x14ac:dyDescent="0.25">
      <c r="A190" s="129">
        <v>7229</v>
      </c>
      <c r="B190" s="186" t="s">
        <v>138</v>
      </c>
      <c r="C190" s="187"/>
      <c r="D190" s="187"/>
      <c r="E190" s="188"/>
      <c r="F190" s="130" t="s">
        <v>90</v>
      </c>
      <c r="G190" s="135">
        <v>417.30959999999999</v>
      </c>
      <c r="H190" s="132"/>
      <c r="I190" s="209">
        <v>113</v>
      </c>
      <c r="J190" s="209"/>
      <c r="K190" s="210"/>
      <c r="L190" s="134">
        <v>47155.98</v>
      </c>
      <c r="M190" s="191"/>
      <c r="N190" s="192"/>
    </row>
    <row r="191" spans="1:14" ht="9.75" customHeight="1" x14ac:dyDescent="0.25">
      <c r="A191" s="129">
        <v>1306</v>
      </c>
      <c r="B191" s="186" t="s">
        <v>137</v>
      </c>
      <c r="C191" s="187"/>
      <c r="D191" s="187"/>
      <c r="E191" s="188"/>
      <c r="F191" s="130" t="s">
        <v>100</v>
      </c>
      <c r="G191" s="127">
        <v>19.8033</v>
      </c>
      <c r="H191" s="132"/>
      <c r="I191" s="207">
        <v>1000</v>
      </c>
      <c r="J191" s="207"/>
      <c r="K191" s="208"/>
      <c r="L191" s="134">
        <v>19803.3</v>
      </c>
      <c r="M191" s="191"/>
      <c r="N191" s="192"/>
    </row>
    <row r="192" spans="1:14" ht="19.2" customHeight="1" x14ac:dyDescent="0.25">
      <c r="A192" s="129">
        <v>7282</v>
      </c>
      <c r="B192" s="186" t="s">
        <v>136</v>
      </c>
      <c r="C192" s="187"/>
      <c r="D192" s="187"/>
      <c r="E192" s="188"/>
      <c r="F192" s="130" t="s">
        <v>100</v>
      </c>
      <c r="G192" s="127">
        <v>10.0242</v>
      </c>
      <c r="H192" s="132"/>
      <c r="I192" s="207">
        <v>1669.74</v>
      </c>
      <c r="J192" s="207"/>
      <c r="K192" s="208"/>
      <c r="L192" s="134">
        <v>16737.810000000001</v>
      </c>
      <c r="M192" s="191"/>
      <c r="N192" s="192"/>
    </row>
    <row r="193" spans="1:14" ht="19.2" customHeight="1" x14ac:dyDescent="0.25">
      <c r="A193" s="139">
        <v>933</v>
      </c>
      <c r="B193" s="186" t="s">
        <v>135</v>
      </c>
      <c r="C193" s="187"/>
      <c r="D193" s="187"/>
      <c r="E193" s="188"/>
      <c r="F193" s="130" t="s">
        <v>100</v>
      </c>
      <c r="G193" s="131">
        <v>8.1129999999999995</v>
      </c>
      <c r="H193" s="132"/>
      <c r="I193" s="207">
        <v>1090</v>
      </c>
      <c r="J193" s="207"/>
      <c r="K193" s="208"/>
      <c r="L193" s="138">
        <v>8843.17</v>
      </c>
      <c r="M193" s="191"/>
      <c r="N193" s="192"/>
    </row>
    <row r="194" spans="1:14" ht="19.2" customHeight="1" x14ac:dyDescent="0.25">
      <c r="A194" s="129">
        <v>7414</v>
      </c>
      <c r="B194" s="186" t="s">
        <v>134</v>
      </c>
      <c r="C194" s="187"/>
      <c r="D194" s="187"/>
      <c r="E194" s="188"/>
      <c r="F194" s="130" t="s">
        <v>100</v>
      </c>
      <c r="G194" s="131">
        <v>5.9024000000000001</v>
      </c>
      <c r="H194" s="132"/>
      <c r="I194" s="207">
        <v>1090</v>
      </c>
      <c r="J194" s="207"/>
      <c r="K194" s="208"/>
      <c r="L194" s="138">
        <v>6433.62</v>
      </c>
      <c r="M194" s="191"/>
      <c r="N194" s="192"/>
    </row>
    <row r="195" spans="1:14" ht="10.8" customHeight="1" x14ac:dyDescent="0.25">
      <c r="A195" s="129">
        <v>7425</v>
      </c>
      <c r="B195" s="186" t="s">
        <v>133</v>
      </c>
      <c r="C195" s="187"/>
      <c r="D195" s="187"/>
      <c r="E195" s="188"/>
      <c r="F195" s="130" t="s">
        <v>100</v>
      </c>
      <c r="G195" s="131">
        <v>0.22370000000000001</v>
      </c>
      <c r="H195" s="132"/>
      <c r="I195" s="209">
        <v>850.03</v>
      </c>
      <c r="J195" s="209"/>
      <c r="K195" s="210"/>
      <c r="L195" s="140">
        <v>190.15</v>
      </c>
      <c r="M195" s="191"/>
      <c r="N195" s="192"/>
    </row>
    <row r="196" spans="1:14" ht="9.75" customHeight="1" x14ac:dyDescent="0.25">
      <c r="A196" s="129">
        <v>7424</v>
      </c>
      <c r="B196" s="186" t="s">
        <v>132</v>
      </c>
      <c r="C196" s="187"/>
      <c r="D196" s="187"/>
      <c r="E196" s="188"/>
      <c r="F196" s="130" t="s">
        <v>100</v>
      </c>
      <c r="G196" s="131">
        <v>0.1172</v>
      </c>
      <c r="H196" s="132"/>
      <c r="I196" s="207">
        <v>1000</v>
      </c>
      <c r="J196" s="207"/>
      <c r="K196" s="208"/>
      <c r="L196" s="140">
        <v>117.2</v>
      </c>
      <c r="M196" s="191"/>
      <c r="N196" s="192"/>
    </row>
    <row r="197" spans="1:14" ht="9.6" customHeight="1" x14ac:dyDescent="0.25">
      <c r="A197" s="129">
        <v>1314</v>
      </c>
      <c r="B197" s="186" t="s">
        <v>131</v>
      </c>
      <c r="C197" s="187"/>
      <c r="D197" s="187"/>
      <c r="E197" s="188"/>
      <c r="F197" s="130" t="s">
        <v>100</v>
      </c>
      <c r="G197" s="131">
        <v>0</v>
      </c>
      <c r="H197" s="132"/>
      <c r="I197" s="207">
        <v>1490</v>
      </c>
      <c r="J197" s="207"/>
      <c r="K197" s="208"/>
      <c r="L197" s="141">
        <v>0</v>
      </c>
      <c r="M197" s="191"/>
      <c r="N197" s="192"/>
    </row>
    <row r="198" spans="1:14" ht="9.75" customHeight="1" x14ac:dyDescent="0.25">
      <c r="A198" s="201"/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</row>
    <row r="199" spans="1:14" ht="19.2" customHeight="1" x14ac:dyDescent="0.25">
      <c r="A199" s="202" t="s">
        <v>76</v>
      </c>
      <c r="B199" s="203"/>
      <c r="C199" s="203"/>
      <c r="D199" s="203"/>
      <c r="E199" s="203"/>
      <c r="F199" s="203"/>
      <c r="G199" s="203"/>
      <c r="H199" s="203"/>
      <c r="I199" s="203"/>
      <c r="J199" s="203"/>
      <c r="K199" s="204"/>
      <c r="L199" s="125" t="s">
        <v>67</v>
      </c>
      <c r="M199" s="125" t="s">
        <v>75</v>
      </c>
      <c r="N199" s="125" t="s">
        <v>74</v>
      </c>
    </row>
    <row r="200" spans="1:14" ht="9.75" customHeight="1" x14ac:dyDescent="0.25">
      <c r="A200" s="186" t="s">
        <v>130</v>
      </c>
      <c r="B200" s="187"/>
      <c r="C200" s="187"/>
      <c r="D200" s="187"/>
      <c r="E200" s="187"/>
      <c r="F200" s="187"/>
      <c r="G200" s="187"/>
      <c r="H200" s="187"/>
      <c r="I200" s="187"/>
      <c r="J200" s="187"/>
      <c r="K200" s="188"/>
      <c r="L200" s="134">
        <v>83451.16</v>
      </c>
      <c r="M200" s="131">
        <v>0.74329999999999996</v>
      </c>
      <c r="N200" s="127">
        <v>95.846900000000005</v>
      </c>
    </row>
    <row r="201" spans="1:14" ht="9.75" customHeight="1" x14ac:dyDescent="0.25">
      <c r="A201" s="128" t="s">
        <v>72</v>
      </c>
      <c r="B201" s="202" t="s">
        <v>71</v>
      </c>
      <c r="C201" s="203"/>
      <c r="D201" s="203"/>
      <c r="E201" s="204"/>
      <c r="F201" s="128" t="s">
        <v>70</v>
      </c>
      <c r="G201" s="125" t="s">
        <v>69</v>
      </c>
      <c r="H201" s="193" t="s">
        <v>68</v>
      </c>
      <c r="I201" s="194"/>
      <c r="J201" s="194"/>
      <c r="K201" s="195"/>
      <c r="L201" s="125" t="s">
        <v>67</v>
      </c>
      <c r="M201" s="193"/>
      <c r="N201" s="195"/>
    </row>
    <row r="202" spans="1:14" ht="9.75" customHeight="1" x14ac:dyDescent="0.25">
      <c r="A202" s="129">
        <v>7569</v>
      </c>
      <c r="B202" s="186" t="s">
        <v>129</v>
      </c>
      <c r="C202" s="187"/>
      <c r="D202" s="187"/>
      <c r="E202" s="188"/>
      <c r="F202" s="130" t="s">
        <v>65</v>
      </c>
      <c r="G202" s="131">
        <v>1</v>
      </c>
      <c r="H202" s="132"/>
      <c r="I202" s="189">
        <v>83451.16</v>
      </c>
      <c r="J202" s="189"/>
      <c r="K202" s="190"/>
      <c r="L202" s="134">
        <v>83451.16</v>
      </c>
      <c r="M202" s="191"/>
      <c r="N202" s="192"/>
    </row>
    <row r="203" spans="1:14" ht="9.75" customHeight="1" x14ac:dyDescent="0.25">
      <c r="A203" s="201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</row>
    <row r="204" spans="1:14" ht="9.75" customHeight="1" x14ac:dyDescent="0.25">
      <c r="A204" s="202" t="s">
        <v>76</v>
      </c>
      <c r="B204" s="203"/>
      <c r="C204" s="203"/>
      <c r="D204" s="203"/>
      <c r="E204" s="203"/>
      <c r="F204" s="203"/>
      <c r="G204" s="203"/>
      <c r="H204" s="203"/>
      <c r="I204" s="203"/>
      <c r="J204" s="203"/>
      <c r="K204" s="204"/>
      <c r="L204" s="125" t="s">
        <v>67</v>
      </c>
      <c r="M204" s="125" t="s">
        <v>75</v>
      </c>
      <c r="N204" s="125" t="s">
        <v>74</v>
      </c>
    </row>
    <row r="205" spans="1:14" ht="9.75" customHeight="1" x14ac:dyDescent="0.25">
      <c r="A205" s="186" t="s">
        <v>128</v>
      </c>
      <c r="B205" s="187"/>
      <c r="C205" s="187"/>
      <c r="D205" s="187"/>
      <c r="E205" s="187"/>
      <c r="F205" s="187"/>
      <c r="G205" s="187"/>
      <c r="H205" s="187"/>
      <c r="I205" s="187"/>
      <c r="J205" s="187"/>
      <c r="K205" s="188"/>
      <c r="L205" s="134">
        <v>73904.11</v>
      </c>
      <c r="M205" s="131">
        <v>0.6583</v>
      </c>
      <c r="N205" s="127">
        <v>96.505099999999999</v>
      </c>
    </row>
    <row r="206" spans="1:14" ht="19.2" customHeight="1" x14ac:dyDescent="0.25">
      <c r="A206" s="128" t="s">
        <v>72</v>
      </c>
      <c r="B206" s="202" t="s">
        <v>71</v>
      </c>
      <c r="C206" s="203"/>
      <c r="D206" s="203"/>
      <c r="E206" s="204"/>
      <c r="F206" s="128" t="s">
        <v>70</v>
      </c>
      <c r="G206" s="125" t="s">
        <v>69</v>
      </c>
      <c r="H206" s="193" t="s">
        <v>68</v>
      </c>
      <c r="I206" s="194"/>
      <c r="J206" s="194"/>
      <c r="K206" s="195"/>
      <c r="L206" s="125" t="s">
        <v>67</v>
      </c>
      <c r="M206" s="193"/>
      <c r="N206" s="195"/>
    </row>
    <row r="207" spans="1:14" ht="10.8" customHeight="1" x14ac:dyDescent="0.25">
      <c r="A207" s="129">
        <v>6406</v>
      </c>
      <c r="B207" s="186" t="s">
        <v>127</v>
      </c>
      <c r="C207" s="187"/>
      <c r="D207" s="187"/>
      <c r="E207" s="188"/>
      <c r="F207" s="130" t="s">
        <v>65</v>
      </c>
      <c r="G207" s="131">
        <v>1</v>
      </c>
      <c r="H207" s="132"/>
      <c r="I207" s="189">
        <v>73904.11</v>
      </c>
      <c r="J207" s="189"/>
      <c r="K207" s="190"/>
      <c r="L207" s="134">
        <v>73904.11</v>
      </c>
      <c r="M207" s="191"/>
      <c r="N207" s="192"/>
    </row>
    <row r="208" spans="1:14" ht="9.75" customHeight="1" x14ac:dyDescent="0.25">
      <c r="A208" s="201"/>
      <c r="B208" s="201"/>
      <c r="C208" s="201"/>
      <c r="D208" s="201"/>
      <c r="E208" s="201"/>
      <c r="F208" s="201"/>
      <c r="G208" s="201"/>
      <c r="H208" s="201"/>
      <c r="I208" s="201"/>
      <c r="J208" s="201"/>
      <c r="K208" s="201"/>
      <c r="L208" s="201"/>
      <c r="M208" s="201"/>
      <c r="N208" s="201"/>
    </row>
    <row r="209" spans="1:14" ht="9.6" customHeight="1" x14ac:dyDescent="0.25">
      <c r="A209" s="202" t="s">
        <v>76</v>
      </c>
      <c r="B209" s="203"/>
      <c r="C209" s="203"/>
      <c r="D209" s="203"/>
      <c r="E209" s="203"/>
      <c r="F209" s="203"/>
      <c r="G209" s="203"/>
      <c r="H209" s="203"/>
      <c r="I209" s="203"/>
      <c r="J209" s="203"/>
      <c r="K209" s="204"/>
      <c r="L209" s="125" t="s">
        <v>67</v>
      </c>
      <c r="M209" s="125" t="s">
        <v>75</v>
      </c>
      <c r="N209" s="125" t="s">
        <v>74</v>
      </c>
    </row>
    <row r="210" spans="1:14" ht="9.75" customHeight="1" x14ac:dyDescent="0.25">
      <c r="A210" s="186" t="s">
        <v>126</v>
      </c>
      <c r="B210" s="187"/>
      <c r="C210" s="187"/>
      <c r="D210" s="187"/>
      <c r="E210" s="187"/>
      <c r="F210" s="187"/>
      <c r="G210" s="187"/>
      <c r="H210" s="187"/>
      <c r="I210" s="187"/>
      <c r="J210" s="187"/>
      <c r="K210" s="188"/>
      <c r="L210" s="134">
        <v>56395.33</v>
      </c>
      <c r="M210" s="131">
        <v>0.50229999999999997</v>
      </c>
      <c r="N210" s="127">
        <v>97.007400000000004</v>
      </c>
    </row>
    <row r="211" spans="1:14" ht="9.75" customHeight="1" x14ac:dyDescent="0.25">
      <c r="A211" s="128" t="s">
        <v>72</v>
      </c>
      <c r="B211" s="202" t="s">
        <v>71</v>
      </c>
      <c r="C211" s="203"/>
      <c r="D211" s="203"/>
      <c r="E211" s="204"/>
      <c r="F211" s="128" t="s">
        <v>70</v>
      </c>
      <c r="G211" s="125" t="s">
        <v>69</v>
      </c>
      <c r="H211" s="193" t="s">
        <v>68</v>
      </c>
      <c r="I211" s="194"/>
      <c r="J211" s="194"/>
      <c r="K211" s="195"/>
      <c r="L211" s="125" t="s">
        <v>67</v>
      </c>
      <c r="M211" s="193"/>
      <c r="N211" s="195"/>
    </row>
    <row r="212" spans="1:14" ht="10.8" customHeight="1" x14ac:dyDescent="0.25">
      <c r="A212" s="129">
        <v>9141</v>
      </c>
      <c r="B212" s="186" t="s">
        <v>125</v>
      </c>
      <c r="C212" s="187"/>
      <c r="D212" s="187"/>
      <c r="E212" s="188"/>
      <c r="F212" s="130" t="s">
        <v>97</v>
      </c>
      <c r="G212" s="136">
        <v>10036.936</v>
      </c>
      <c r="H212" s="132"/>
      <c r="I212" s="198">
        <v>4.08</v>
      </c>
      <c r="J212" s="198"/>
      <c r="K212" s="199"/>
      <c r="L212" s="134">
        <v>40950.699999999997</v>
      </c>
      <c r="M212" s="191"/>
      <c r="N212" s="192"/>
    </row>
    <row r="213" spans="1:14" ht="9.75" customHeight="1" x14ac:dyDescent="0.25">
      <c r="A213" s="129">
        <v>8615</v>
      </c>
      <c r="B213" s="186" t="s">
        <v>124</v>
      </c>
      <c r="C213" s="187"/>
      <c r="D213" s="187"/>
      <c r="E213" s="188"/>
      <c r="F213" s="130" t="s">
        <v>109</v>
      </c>
      <c r="G213" s="135">
        <v>391.82650000000001</v>
      </c>
      <c r="H213" s="132"/>
      <c r="I213" s="205">
        <v>39.417000000000002</v>
      </c>
      <c r="J213" s="205"/>
      <c r="K213" s="206"/>
      <c r="L213" s="134">
        <v>15444.63</v>
      </c>
      <c r="M213" s="191"/>
      <c r="N213" s="192"/>
    </row>
    <row r="214" spans="1:14" ht="9.6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</row>
    <row r="215" spans="1:14" ht="9.75" customHeight="1" x14ac:dyDescent="0.25">
      <c r="A215" s="202" t="s">
        <v>76</v>
      </c>
      <c r="B215" s="203"/>
      <c r="C215" s="203"/>
      <c r="D215" s="203"/>
      <c r="E215" s="203"/>
      <c r="F215" s="203"/>
      <c r="G215" s="203"/>
      <c r="H215" s="203"/>
      <c r="I215" s="203"/>
      <c r="J215" s="203"/>
      <c r="K215" s="204"/>
      <c r="L215" s="125" t="s">
        <v>67</v>
      </c>
      <c r="M215" s="125" t="s">
        <v>75</v>
      </c>
      <c r="N215" s="125" t="s">
        <v>74</v>
      </c>
    </row>
    <row r="216" spans="1:14" ht="9.75" customHeight="1" x14ac:dyDescent="0.25">
      <c r="A216" s="186" t="s">
        <v>123</v>
      </c>
      <c r="B216" s="187"/>
      <c r="C216" s="187"/>
      <c r="D216" s="187"/>
      <c r="E216" s="187"/>
      <c r="F216" s="187"/>
      <c r="G216" s="187"/>
      <c r="H216" s="187"/>
      <c r="I216" s="187"/>
      <c r="J216" s="187"/>
      <c r="K216" s="188"/>
      <c r="L216" s="134">
        <v>53582</v>
      </c>
      <c r="M216" s="131">
        <v>0.4773</v>
      </c>
      <c r="N216" s="127">
        <v>97.484700000000004</v>
      </c>
    </row>
    <row r="217" spans="1:14" ht="10.8" customHeight="1" x14ac:dyDescent="0.25">
      <c r="A217" s="128" t="s">
        <v>72</v>
      </c>
      <c r="B217" s="202" t="s">
        <v>71</v>
      </c>
      <c r="C217" s="203"/>
      <c r="D217" s="203"/>
      <c r="E217" s="204"/>
      <c r="F217" s="128" t="s">
        <v>70</v>
      </c>
      <c r="G217" s="125" t="s">
        <v>69</v>
      </c>
      <c r="H217" s="193" t="s">
        <v>68</v>
      </c>
      <c r="I217" s="194"/>
      <c r="J217" s="194"/>
      <c r="K217" s="195"/>
      <c r="L217" s="125" t="s">
        <v>67</v>
      </c>
      <c r="M217" s="193"/>
      <c r="N217" s="195"/>
    </row>
    <row r="218" spans="1:14" ht="9.75" customHeight="1" x14ac:dyDescent="0.25">
      <c r="A218" s="129">
        <v>5428</v>
      </c>
      <c r="B218" s="186" t="s">
        <v>122</v>
      </c>
      <c r="C218" s="187"/>
      <c r="D218" s="187"/>
      <c r="E218" s="188"/>
      <c r="F218" s="130" t="s">
        <v>65</v>
      </c>
      <c r="G218" s="131">
        <v>1</v>
      </c>
      <c r="H218" s="132"/>
      <c r="I218" s="189">
        <v>53582</v>
      </c>
      <c r="J218" s="189"/>
      <c r="K218" s="190"/>
      <c r="L218" s="134">
        <v>53582</v>
      </c>
      <c r="M218" s="191"/>
      <c r="N218" s="192"/>
    </row>
    <row r="219" spans="1:14" ht="9.6" customHeight="1" x14ac:dyDescent="0.25">
      <c r="A219" s="201"/>
      <c r="B219" s="201"/>
      <c r="C219" s="201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</row>
    <row r="220" spans="1:14" ht="9.75" customHeight="1" x14ac:dyDescent="0.25">
      <c r="A220" s="202" t="s">
        <v>76</v>
      </c>
      <c r="B220" s="203"/>
      <c r="C220" s="203"/>
      <c r="D220" s="203"/>
      <c r="E220" s="203"/>
      <c r="F220" s="203"/>
      <c r="G220" s="203"/>
      <c r="H220" s="203"/>
      <c r="I220" s="203"/>
      <c r="J220" s="203"/>
      <c r="K220" s="204"/>
      <c r="L220" s="125" t="s">
        <v>67</v>
      </c>
      <c r="M220" s="125" t="s">
        <v>75</v>
      </c>
      <c r="N220" s="125" t="s">
        <v>74</v>
      </c>
    </row>
    <row r="221" spans="1:14" ht="9.75" customHeight="1" x14ac:dyDescent="0.25">
      <c r="A221" s="186" t="s">
        <v>121</v>
      </c>
      <c r="B221" s="187"/>
      <c r="C221" s="187"/>
      <c r="D221" s="187"/>
      <c r="E221" s="187"/>
      <c r="F221" s="187"/>
      <c r="G221" s="187"/>
      <c r="H221" s="187"/>
      <c r="I221" s="187"/>
      <c r="J221" s="187"/>
      <c r="K221" s="188"/>
      <c r="L221" s="134">
        <v>46449</v>
      </c>
      <c r="M221" s="131">
        <v>0.41370000000000001</v>
      </c>
      <c r="N221" s="127">
        <v>97.898399999999995</v>
      </c>
    </row>
    <row r="222" spans="1:14" ht="9.75" customHeight="1" x14ac:dyDescent="0.25">
      <c r="A222" s="128" t="s">
        <v>72</v>
      </c>
      <c r="B222" s="202" t="s">
        <v>71</v>
      </c>
      <c r="C222" s="203"/>
      <c r="D222" s="203"/>
      <c r="E222" s="204"/>
      <c r="F222" s="128" t="s">
        <v>70</v>
      </c>
      <c r="G222" s="125" t="s">
        <v>69</v>
      </c>
      <c r="H222" s="193" t="s">
        <v>68</v>
      </c>
      <c r="I222" s="194"/>
      <c r="J222" s="194"/>
      <c r="K222" s="195"/>
      <c r="L222" s="125" t="s">
        <v>67</v>
      </c>
      <c r="M222" s="193"/>
      <c r="N222" s="195"/>
    </row>
    <row r="223" spans="1:14" ht="10.8" customHeight="1" x14ac:dyDescent="0.25">
      <c r="A223" s="129">
        <v>7593</v>
      </c>
      <c r="B223" s="186" t="s">
        <v>120</v>
      </c>
      <c r="C223" s="187"/>
      <c r="D223" s="187"/>
      <c r="E223" s="188"/>
      <c r="F223" s="130" t="s">
        <v>65</v>
      </c>
      <c r="G223" s="131">
        <v>1</v>
      </c>
      <c r="H223" s="132"/>
      <c r="I223" s="189">
        <v>46449</v>
      </c>
      <c r="J223" s="189"/>
      <c r="K223" s="190"/>
      <c r="L223" s="134">
        <v>46449</v>
      </c>
      <c r="M223" s="191"/>
      <c r="N223" s="192"/>
    </row>
    <row r="224" spans="1:14" ht="9.75" customHeight="1" x14ac:dyDescent="0.25">
      <c r="A224" s="201"/>
      <c r="B224" s="201"/>
      <c r="C224" s="201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</row>
    <row r="225" spans="1:14" ht="9.6" customHeight="1" x14ac:dyDescent="0.25">
      <c r="A225" s="202" t="s">
        <v>76</v>
      </c>
      <c r="B225" s="203"/>
      <c r="C225" s="203"/>
      <c r="D225" s="203"/>
      <c r="E225" s="203"/>
      <c r="F225" s="203"/>
      <c r="G225" s="203"/>
      <c r="H225" s="203"/>
      <c r="I225" s="203"/>
      <c r="J225" s="203"/>
      <c r="K225" s="204"/>
      <c r="L225" s="125" t="s">
        <v>67</v>
      </c>
      <c r="M225" s="125" t="s">
        <v>75</v>
      </c>
      <c r="N225" s="125" t="s">
        <v>74</v>
      </c>
    </row>
    <row r="226" spans="1:14" ht="9.75" customHeight="1" x14ac:dyDescent="0.25">
      <c r="A226" s="186" t="s">
        <v>119</v>
      </c>
      <c r="B226" s="187"/>
      <c r="C226" s="187"/>
      <c r="D226" s="187"/>
      <c r="E226" s="187"/>
      <c r="F226" s="187"/>
      <c r="G226" s="187"/>
      <c r="H226" s="187"/>
      <c r="I226" s="187"/>
      <c r="J226" s="187"/>
      <c r="K226" s="188"/>
      <c r="L226" s="134">
        <v>44747.31</v>
      </c>
      <c r="M226" s="131">
        <v>0.39860000000000001</v>
      </c>
      <c r="N226" s="127">
        <v>98.296999999999997</v>
      </c>
    </row>
    <row r="227" spans="1:14" ht="9.75" customHeight="1" x14ac:dyDescent="0.25">
      <c r="A227" s="128" t="s">
        <v>72</v>
      </c>
      <c r="B227" s="202" t="s">
        <v>71</v>
      </c>
      <c r="C227" s="203"/>
      <c r="D227" s="203"/>
      <c r="E227" s="204"/>
      <c r="F227" s="128" t="s">
        <v>70</v>
      </c>
      <c r="G227" s="125" t="s">
        <v>69</v>
      </c>
      <c r="H227" s="193" t="s">
        <v>68</v>
      </c>
      <c r="I227" s="194"/>
      <c r="J227" s="194"/>
      <c r="K227" s="195"/>
      <c r="L227" s="125" t="s">
        <v>67</v>
      </c>
      <c r="M227" s="193"/>
      <c r="N227" s="195"/>
    </row>
    <row r="228" spans="1:14" ht="10.8" customHeight="1" x14ac:dyDescent="0.25">
      <c r="A228" s="129">
        <v>7195</v>
      </c>
      <c r="B228" s="186" t="s">
        <v>118</v>
      </c>
      <c r="C228" s="187"/>
      <c r="D228" s="187"/>
      <c r="E228" s="188"/>
      <c r="F228" s="130" t="s">
        <v>114</v>
      </c>
      <c r="G228" s="137">
        <v>1345.2157</v>
      </c>
      <c r="H228" s="132"/>
      <c r="I228" s="205">
        <v>20.55</v>
      </c>
      <c r="J228" s="205"/>
      <c r="K228" s="206"/>
      <c r="L228" s="134">
        <v>27644.18</v>
      </c>
      <c r="M228" s="191"/>
      <c r="N228" s="192"/>
    </row>
    <row r="229" spans="1:14" ht="9.75" customHeight="1" x14ac:dyDescent="0.25">
      <c r="A229" s="129">
        <v>6637</v>
      </c>
      <c r="B229" s="186" t="s">
        <v>117</v>
      </c>
      <c r="C229" s="187"/>
      <c r="D229" s="187"/>
      <c r="E229" s="188"/>
      <c r="F229" s="130" t="s">
        <v>114</v>
      </c>
      <c r="G229" s="135">
        <v>472.71679999999998</v>
      </c>
      <c r="H229" s="132"/>
      <c r="I229" s="205">
        <v>22.33</v>
      </c>
      <c r="J229" s="205"/>
      <c r="K229" s="206"/>
      <c r="L229" s="134">
        <v>10555.77</v>
      </c>
      <c r="M229" s="191"/>
      <c r="N229" s="192"/>
    </row>
    <row r="230" spans="1:14" ht="9.6" customHeight="1" x14ac:dyDescent="0.25">
      <c r="A230" s="129">
        <v>7461</v>
      </c>
      <c r="B230" s="186" t="s">
        <v>116</v>
      </c>
      <c r="C230" s="187"/>
      <c r="D230" s="187"/>
      <c r="E230" s="188"/>
      <c r="F230" s="130" t="s">
        <v>81</v>
      </c>
      <c r="G230" s="135">
        <v>182.92169999999999</v>
      </c>
      <c r="H230" s="132"/>
      <c r="I230" s="205">
        <v>35.11</v>
      </c>
      <c r="J230" s="205"/>
      <c r="K230" s="206"/>
      <c r="L230" s="138">
        <v>6422.38</v>
      </c>
      <c r="M230" s="191"/>
      <c r="N230" s="192"/>
    </row>
    <row r="231" spans="1:14" ht="9.75" customHeight="1" x14ac:dyDescent="0.25">
      <c r="A231" s="129">
        <v>1403</v>
      </c>
      <c r="B231" s="186" t="s">
        <v>115</v>
      </c>
      <c r="C231" s="187"/>
      <c r="D231" s="187"/>
      <c r="E231" s="188"/>
      <c r="F231" s="130" t="s">
        <v>114</v>
      </c>
      <c r="G231" s="127">
        <v>18.8217</v>
      </c>
      <c r="H231" s="132"/>
      <c r="I231" s="198">
        <v>6.64</v>
      </c>
      <c r="J231" s="198"/>
      <c r="K231" s="199"/>
      <c r="L231" s="140">
        <v>124.98</v>
      </c>
      <c r="M231" s="191"/>
      <c r="N231" s="192"/>
    </row>
    <row r="232" spans="1:14" ht="9.75" customHeight="1" x14ac:dyDescent="0.25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</row>
    <row r="233" spans="1:14" ht="10.8" customHeight="1" x14ac:dyDescent="0.25">
      <c r="A233" s="202" t="s">
        <v>76</v>
      </c>
      <c r="B233" s="203"/>
      <c r="C233" s="203"/>
      <c r="D233" s="203"/>
      <c r="E233" s="203"/>
      <c r="F233" s="203"/>
      <c r="G233" s="203"/>
      <c r="H233" s="203"/>
      <c r="I233" s="203"/>
      <c r="J233" s="203"/>
      <c r="K233" s="204"/>
      <c r="L233" s="125" t="s">
        <v>67</v>
      </c>
      <c r="M233" s="125" t="s">
        <v>75</v>
      </c>
      <c r="N233" s="125" t="s">
        <v>74</v>
      </c>
    </row>
    <row r="234" spans="1:14" ht="9.75" customHeight="1" x14ac:dyDescent="0.25">
      <c r="A234" s="186" t="s">
        <v>113</v>
      </c>
      <c r="B234" s="187"/>
      <c r="C234" s="187"/>
      <c r="D234" s="187"/>
      <c r="E234" s="187"/>
      <c r="F234" s="187"/>
      <c r="G234" s="187"/>
      <c r="H234" s="187"/>
      <c r="I234" s="187"/>
      <c r="J234" s="187"/>
      <c r="K234" s="188"/>
      <c r="L234" s="134">
        <v>44600</v>
      </c>
      <c r="M234" s="131">
        <v>0.39729999999999999</v>
      </c>
      <c r="N234" s="127">
        <v>98.694299999999998</v>
      </c>
    </row>
    <row r="235" spans="1:14" ht="9.6" customHeight="1" x14ac:dyDescent="0.25">
      <c r="A235" s="128" t="s">
        <v>72</v>
      </c>
      <c r="B235" s="202" t="s">
        <v>71</v>
      </c>
      <c r="C235" s="203"/>
      <c r="D235" s="203"/>
      <c r="E235" s="204"/>
      <c r="F235" s="128" t="s">
        <v>70</v>
      </c>
      <c r="G235" s="125" t="s">
        <v>69</v>
      </c>
      <c r="H235" s="193" t="s">
        <v>68</v>
      </c>
      <c r="I235" s="194"/>
      <c r="J235" s="194"/>
      <c r="K235" s="195"/>
      <c r="L235" s="125" t="s">
        <v>67</v>
      </c>
      <c r="M235" s="193"/>
      <c r="N235" s="195"/>
    </row>
    <row r="236" spans="1:14" ht="9.75" customHeight="1" x14ac:dyDescent="0.25">
      <c r="A236" s="129">
        <v>5142</v>
      </c>
      <c r="B236" s="186" t="s">
        <v>112</v>
      </c>
      <c r="C236" s="187"/>
      <c r="D236" s="187"/>
      <c r="E236" s="188"/>
      <c r="F236" s="130" t="s">
        <v>65</v>
      </c>
      <c r="G236" s="131">
        <v>1</v>
      </c>
      <c r="H236" s="132"/>
      <c r="I236" s="189">
        <v>44600</v>
      </c>
      <c r="J236" s="189"/>
      <c r="K236" s="190"/>
      <c r="L236" s="134">
        <v>44600</v>
      </c>
      <c r="M236" s="191"/>
      <c r="N236" s="192"/>
    </row>
    <row r="237" spans="1:14" ht="9.75" customHeight="1" x14ac:dyDescent="0.25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201"/>
      <c r="M237" s="201"/>
      <c r="N237" s="201"/>
    </row>
    <row r="238" spans="1:14" ht="9.75" customHeight="1" x14ac:dyDescent="0.25">
      <c r="A238" s="202" t="s">
        <v>76</v>
      </c>
      <c r="B238" s="203"/>
      <c r="C238" s="203"/>
      <c r="D238" s="203"/>
      <c r="E238" s="203"/>
      <c r="F238" s="203"/>
      <c r="G238" s="203"/>
      <c r="H238" s="203"/>
      <c r="I238" s="203"/>
      <c r="J238" s="203"/>
      <c r="K238" s="204"/>
      <c r="L238" s="125" t="s">
        <v>67</v>
      </c>
      <c r="M238" s="125" t="s">
        <v>75</v>
      </c>
      <c r="N238" s="125" t="s">
        <v>74</v>
      </c>
    </row>
    <row r="239" spans="1:14" ht="9.75" customHeight="1" x14ac:dyDescent="0.25">
      <c r="A239" s="186" t="s">
        <v>111</v>
      </c>
      <c r="B239" s="187"/>
      <c r="C239" s="187"/>
      <c r="D239" s="187"/>
      <c r="E239" s="187"/>
      <c r="F239" s="187"/>
      <c r="G239" s="187"/>
      <c r="H239" s="187"/>
      <c r="I239" s="187"/>
      <c r="J239" s="187"/>
      <c r="K239" s="188"/>
      <c r="L239" s="134">
        <v>42569.19</v>
      </c>
      <c r="M239" s="131">
        <v>0.37919999999999998</v>
      </c>
      <c r="N239" s="127">
        <v>99.073400000000007</v>
      </c>
    </row>
    <row r="240" spans="1:14" ht="9.75" customHeight="1" x14ac:dyDescent="0.25">
      <c r="A240" s="128" t="s">
        <v>72</v>
      </c>
      <c r="B240" s="202" t="s">
        <v>71</v>
      </c>
      <c r="C240" s="203"/>
      <c r="D240" s="203"/>
      <c r="E240" s="204"/>
      <c r="F240" s="128" t="s">
        <v>70</v>
      </c>
      <c r="G240" s="125" t="s">
        <v>69</v>
      </c>
      <c r="H240" s="193" t="s">
        <v>68</v>
      </c>
      <c r="I240" s="194"/>
      <c r="J240" s="194"/>
      <c r="K240" s="195"/>
      <c r="L240" s="125" t="s">
        <v>67</v>
      </c>
      <c r="M240" s="193"/>
      <c r="N240" s="195"/>
    </row>
    <row r="241" spans="1:14" ht="10.8" customHeight="1" x14ac:dyDescent="0.25">
      <c r="A241" s="129">
        <v>7600</v>
      </c>
      <c r="B241" s="186" t="s">
        <v>110</v>
      </c>
      <c r="C241" s="187"/>
      <c r="D241" s="187"/>
      <c r="E241" s="188"/>
      <c r="F241" s="130" t="s">
        <v>109</v>
      </c>
      <c r="G241" s="127">
        <v>77.87</v>
      </c>
      <c r="H241" s="132"/>
      <c r="I241" s="209">
        <v>546.66999999999996</v>
      </c>
      <c r="J241" s="209"/>
      <c r="K241" s="210"/>
      <c r="L241" s="134">
        <v>42569.19</v>
      </c>
      <c r="M241" s="191"/>
      <c r="N241" s="192"/>
    </row>
    <row r="242" spans="1:14" ht="9.75" customHeight="1" x14ac:dyDescent="0.25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</row>
    <row r="243" spans="1:14" ht="9.6" customHeight="1" x14ac:dyDescent="0.25">
      <c r="A243" s="202" t="s">
        <v>76</v>
      </c>
      <c r="B243" s="203"/>
      <c r="C243" s="203"/>
      <c r="D243" s="203"/>
      <c r="E243" s="203"/>
      <c r="F243" s="203"/>
      <c r="G243" s="203"/>
      <c r="H243" s="203"/>
      <c r="I243" s="203"/>
      <c r="J243" s="203"/>
      <c r="K243" s="204"/>
      <c r="L243" s="125" t="s">
        <v>67</v>
      </c>
      <c r="M243" s="125" t="s">
        <v>75</v>
      </c>
      <c r="N243" s="125" t="s">
        <v>74</v>
      </c>
    </row>
    <row r="244" spans="1:14" ht="9.75" customHeight="1" x14ac:dyDescent="0.25">
      <c r="A244" s="186" t="s">
        <v>108</v>
      </c>
      <c r="B244" s="187"/>
      <c r="C244" s="187"/>
      <c r="D244" s="187"/>
      <c r="E244" s="187"/>
      <c r="F244" s="187"/>
      <c r="G244" s="187"/>
      <c r="H244" s="187"/>
      <c r="I244" s="187"/>
      <c r="J244" s="187"/>
      <c r="K244" s="188"/>
      <c r="L244" s="134">
        <v>31925.99</v>
      </c>
      <c r="M244" s="131">
        <v>0.28439999999999999</v>
      </c>
      <c r="N244" s="127">
        <v>99.357799999999997</v>
      </c>
    </row>
    <row r="245" spans="1:14" ht="9.75" customHeight="1" x14ac:dyDescent="0.25">
      <c r="A245" s="128" t="s">
        <v>72</v>
      </c>
      <c r="B245" s="202" t="s">
        <v>71</v>
      </c>
      <c r="C245" s="203"/>
      <c r="D245" s="203"/>
      <c r="E245" s="204"/>
      <c r="F245" s="128" t="s">
        <v>70</v>
      </c>
      <c r="G245" s="125" t="s">
        <v>69</v>
      </c>
      <c r="H245" s="193" t="s">
        <v>68</v>
      </c>
      <c r="I245" s="194"/>
      <c r="J245" s="194"/>
      <c r="K245" s="195"/>
      <c r="L245" s="125" t="s">
        <v>67</v>
      </c>
      <c r="M245" s="193"/>
      <c r="N245" s="195"/>
    </row>
    <row r="246" spans="1:14" ht="10.8" customHeight="1" x14ac:dyDescent="0.25">
      <c r="A246" s="129">
        <v>6000</v>
      </c>
      <c r="B246" s="186" t="s">
        <v>107</v>
      </c>
      <c r="C246" s="187"/>
      <c r="D246" s="187"/>
      <c r="E246" s="188"/>
      <c r="F246" s="130" t="s">
        <v>90</v>
      </c>
      <c r="G246" s="135">
        <v>169</v>
      </c>
      <c r="H246" s="132"/>
      <c r="I246" s="209">
        <v>176.36779999999999</v>
      </c>
      <c r="J246" s="209"/>
      <c r="K246" s="210"/>
      <c r="L246" s="134">
        <v>29806.16</v>
      </c>
      <c r="M246" s="191"/>
      <c r="N246" s="192"/>
    </row>
    <row r="247" spans="1:14" ht="9.75" customHeight="1" x14ac:dyDescent="0.25">
      <c r="A247" s="129">
        <v>5581</v>
      </c>
      <c r="B247" s="186" t="s">
        <v>106</v>
      </c>
      <c r="C247" s="187"/>
      <c r="D247" s="187"/>
      <c r="E247" s="188"/>
      <c r="F247" s="130" t="s">
        <v>90</v>
      </c>
      <c r="G247" s="127">
        <v>62.531999999999996</v>
      </c>
      <c r="H247" s="132"/>
      <c r="I247" s="205">
        <v>33.9</v>
      </c>
      <c r="J247" s="205"/>
      <c r="K247" s="206"/>
      <c r="L247" s="138">
        <v>2119.83</v>
      </c>
      <c r="M247" s="191"/>
      <c r="N247" s="192"/>
    </row>
    <row r="248" spans="1:14" ht="9.6" customHeight="1" x14ac:dyDescent="0.25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</row>
    <row r="249" spans="1:14" ht="9.75" customHeight="1" x14ac:dyDescent="0.25">
      <c r="A249" s="202" t="s">
        <v>76</v>
      </c>
      <c r="B249" s="203"/>
      <c r="C249" s="203"/>
      <c r="D249" s="203"/>
      <c r="E249" s="203"/>
      <c r="F249" s="203"/>
      <c r="G249" s="203"/>
      <c r="H249" s="203"/>
      <c r="I249" s="203"/>
      <c r="J249" s="203"/>
      <c r="K249" s="204"/>
      <c r="L249" s="125" t="s">
        <v>67</v>
      </c>
      <c r="M249" s="125" t="s">
        <v>75</v>
      </c>
      <c r="N249" s="125" t="s">
        <v>74</v>
      </c>
    </row>
    <row r="250" spans="1:14" ht="9.75" customHeight="1" x14ac:dyDescent="0.25">
      <c r="A250" s="186" t="s">
        <v>105</v>
      </c>
      <c r="B250" s="187"/>
      <c r="C250" s="187"/>
      <c r="D250" s="187"/>
      <c r="E250" s="187"/>
      <c r="F250" s="187"/>
      <c r="G250" s="187"/>
      <c r="H250" s="187"/>
      <c r="I250" s="187"/>
      <c r="J250" s="187"/>
      <c r="K250" s="188"/>
      <c r="L250" s="134">
        <v>17273.349999999999</v>
      </c>
      <c r="M250" s="131">
        <v>0.15390000000000001</v>
      </c>
      <c r="N250" s="127">
        <v>99.511700000000005</v>
      </c>
    </row>
    <row r="251" spans="1:14" ht="10.8" customHeight="1" x14ac:dyDescent="0.25">
      <c r="A251" s="128" t="s">
        <v>72</v>
      </c>
      <c r="B251" s="202" t="s">
        <v>71</v>
      </c>
      <c r="C251" s="203"/>
      <c r="D251" s="203"/>
      <c r="E251" s="204"/>
      <c r="F251" s="128" t="s">
        <v>70</v>
      </c>
      <c r="G251" s="125" t="s">
        <v>69</v>
      </c>
      <c r="H251" s="193" t="s">
        <v>68</v>
      </c>
      <c r="I251" s="194"/>
      <c r="J251" s="194"/>
      <c r="K251" s="195"/>
      <c r="L251" s="125" t="s">
        <v>67</v>
      </c>
      <c r="M251" s="193"/>
      <c r="N251" s="195"/>
    </row>
    <row r="252" spans="1:14" ht="9.75" customHeight="1" x14ac:dyDescent="0.25">
      <c r="A252" s="129">
        <v>7287</v>
      </c>
      <c r="B252" s="186" t="s">
        <v>104</v>
      </c>
      <c r="C252" s="187"/>
      <c r="D252" s="187"/>
      <c r="E252" s="188"/>
      <c r="F252" s="130" t="s">
        <v>65</v>
      </c>
      <c r="G252" s="131">
        <v>1</v>
      </c>
      <c r="H252" s="132"/>
      <c r="I252" s="189">
        <v>17273.349999999999</v>
      </c>
      <c r="J252" s="189"/>
      <c r="K252" s="190"/>
      <c r="L252" s="134">
        <v>17273.349999999999</v>
      </c>
      <c r="M252" s="191"/>
      <c r="N252" s="192"/>
    </row>
    <row r="253" spans="1:14" ht="9.6" customHeight="1" x14ac:dyDescent="0.25">
      <c r="A253" s="201"/>
      <c r="B253" s="201"/>
      <c r="C253" s="201"/>
      <c r="D253" s="201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</row>
    <row r="254" spans="1:14" ht="9.75" customHeight="1" x14ac:dyDescent="0.25">
      <c r="A254" s="202" t="s">
        <v>76</v>
      </c>
      <c r="B254" s="203"/>
      <c r="C254" s="203"/>
      <c r="D254" s="203"/>
      <c r="E254" s="203"/>
      <c r="F254" s="203"/>
      <c r="G254" s="203"/>
      <c r="H254" s="203"/>
      <c r="I254" s="203"/>
      <c r="J254" s="203"/>
      <c r="K254" s="204"/>
      <c r="L254" s="125" t="s">
        <v>67</v>
      </c>
      <c r="M254" s="125" t="s">
        <v>75</v>
      </c>
      <c r="N254" s="125" t="s">
        <v>74</v>
      </c>
    </row>
    <row r="255" spans="1:14" ht="9.75" customHeight="1" x14ac:dyDescent="0.25">
      <c r="A255" s="186" t="s">
        <v>103</v>
      </c>
      <c r="B255" s="187"/>
      <c r="C255" s="187"/>
      <c r="D255" s="187"/>
      <c r="E255" s="187"/>
      <c r="F255" s="187"/>
      <c r="G255" s="187"/>
      <c r="H255" s="187"/>
      <c r="I255" s="187"/>
      <c r="J255" s="187"/>
      <c r="K255" s="188"/>
      <c r="L255" s="134">
        <v>11650.47</v>
      </c>
      <c r="M255" s="131">
        <v>0.1038</v>
      </c>
      <c r="N255" s="127">
        <v>99.615399999999994</v>
      </c>
    </row>
    <row r="256" spans="1:14" ht="19.2" customHeight="1" x14ac:dyDescent="0.25">
      <c r="A256" s="128" t="s">
        <v>72</v>
      </c>
      <c r="B256" s="202" t="s">
        <v>71</v>
      </c>
      <c r="C256" s="203"/>
      <c r="D256" s="203"/>
      <c r="E256" s="204"/>
      <c r="F256" s="128" t="s">
        <v>70</v>
      </c>
      <c r="G256" s="125" t="s">
        <v>69</v>
      </c>
      <c r="H256" s="193" t="s">
        <v>68</v>
      </c>
      <c r="I256" s="194"/>
      <c r="J256" s="194"/>
      <c r="K256" s="195"/>
      <c r="L256" s="125" t="s">
        <v>67</v>
      </c>
      <c r="M256" s="193"/>
      <c r="N256" s="195"/>
    </row>
    <row r="257" spans="1:14" ht="10.8" customHeight="1" x14ac:dyDescent="0.25">
      <c r="A257" s="129">
        <v>7252</v>
      </c>
      <c r="B257" s="186" t="s">
        <v>102</v>
      </c>
      <c r="C257" s="187"/>
      <c r="D257" s="187"/>
      <c r="E257" s="188"/>
      <c r="F257" s="130" t="s">
        <v>100</v>
      </c>
      <c r="G257" s="127">
        <v>26.556100000000001</v>
      </c>
      <c r="H257" s="132"/>
      <c r="I257" s="209">
        <v>225</v>
      </c>
      <c r="J257" s="209"/>
      <c r="K257" s="210"/>
      <c r="L257" s="138">
        <v>5975.12</v>
      </c>
      <c r="M257" s="191"/>
      <c r="N257" s="192"/>
    </row>
    <row r="258" spans="1:14" ht="9.75" customHeight="1" x14ac:dyDescent="0.25">
      <c r="A258" s="129">
        <v>7194</v>
      </c>
      <c r="B258" s="186" t="s">
        <v>101</v>
      </c>
      <c r="C258" s="187"/>
      <c r="D258" s="187"/>
      <c r="E258" s="188"/>
      <c r="F258" s="130" t="s">
        <v>100</v>
      </c>
      <c r="G258" s="127">
        <v>30.997599999999998</v>
      </c>
      <c r="H258" s="132"/>
      <c r="I258" s="209">
        <v>183.09</v>
      </c>
      <c r="J258" s="209"/>
      <c r="K258" s="210"/>
      <c r="L258" s="138">
        <v>5675.35</v>
      </c>
      <c r="M258" s="191"/>
      <c r="N258" s="192"/>
    </row>
    <row r="259" spans="1:14" ht="9.6" customHeight="1" x14ac:dyDescent="0.25">
      <c r="A259" s="201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</row>
    <row r="260" spans="1:14" ht="9.75" customHeight="1" x14ac:dyDescent="0.25">
      <c r="A260" s="202" t="s">
        <v>76</v>
      </c>
      <c r="B260" s="203"/>
      <c r="C260" s="203"/>
      <c r="D260" s="203"/>
      <c r="E260" s="203"/>
      <c r="F260" s="203"/>
      <c r="G260" s="203"/>
      <c r="H260" s="203"/>
      <c r="I260" s="203"/>
      <c r="J260" s="203"/>
      <c r="K260" s="204"/>
      <c r="L260" s="125" t="s">
        <v>67</v>
      </c>
      <c r="M260" s="125" t="s">
        <v>75</v>
      </c>
      <c r="N260" s="125" t="s">
        <v>74</v>
      </c>
    </row>
    <row r="261" spans="1:14" ht="9.75" customHeight="1" x14ac:dyDescent="0.25">
      <c r="A261" s="186" t="s">
        <v>99</v>
      </c>
      <c r="B261" s="187"/>
      <c r="C261" s="187"/>
      <c r="D261" s="187"/>
      <c r="E261" s="187"/>
      <c r="F261" s="187"/>
      <c r="G261" s="187"/>
      <c r="H261" s="187"/>
      <c r="I261" s="187"/>
      <c r="J261" s="187"/>
      <c r="K261" s="188"/>
      <c r="L261" s="134">
        <v>11149.99</v>
      </c>
      <c r="M261" s="131">
        <v>9.9299999999999999E-2</v>
      </c>
      <c r="N261" s="127">
        <v>99.714699999999993</v>
      </c>
    </row>
    <row r="262" spans="1:14" ht="10.8" customHeight="1" x14ac:dyDescent="0.25">
      <c r="A262" s="128" t="s">
        <v>72</v>
      </c>
      <c r="B262" s="202" t="s">
        <v>71</v>
      </c>
      <c r="C262" s="203"/>
      <c r="D262" s="203"/>
      <c r="E262" s="204"/>
      <c r="F262" s="128" t="s">
        <v>70</v>
      </c>
      <c r="G262" s="125" t="s">
        <v>69</v>
      </c>
      <c r="H262" s="193" t="s">
        <v>68</v>
      </c>
      <c r="I262" s="194"/>
      <c r="J262" s="194"/>
      <c r="K262" s="195"/>
      <c r="L262" s="125" t="s">
        <v>67</v>
      </c>
      <c r="M262" s="193"/>
      <c r="N262" s="195"/>
    </row>
    <row r="263" spans="1:14" ht="9.75" customHeight="1" x14ac:dyDescent="0.25">
      <c r="A263" s="129">
        <v>7493</v>
      </c>
      <c r="B263" s="186" t="s">
        <v>98</v>
      </c>
      <c r="C263" s="187"/>
      <c r="D263" s="187"/>
      <c r="E263" s="188"/>
      <c r="F263" s="130" t="s">
        <v>97</v>
      </c>
      <c r="G263" s="137">
        <v>4890.99</v>
      </c>
      <c r="H263" s="132"/>
      <c r="I263" s="198">
        <v>2.2797000000000001</v>
      </c>
      <c r="J263" s="198"/>
      <c r="K263" s="199"/>
      <c r="L263" s="134">
        <v>11149.99</v>
      </c>
      <c r="M263" s="191"/>
      <c r="N263" s="192"/>
    </row>
    <row r="264" spans="1:14" ht="9.6" customHeight="1" x14ac:dyDescent="0.25">
      <c r="A264" s="201"/>
      <c r="B264" s="201"/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</row>
    <row r="265" spans="1:14" ht="9.75" customHeight="1" x14ac:dyDescent="0.25">
      <c r="A265" s="202" t="s">
        <v>76</v>
      </c>
      <c r="B265" s="203"/>
      <c r="C265" s="203"/>
      <c r="D265" s="203"/>
      <c r="E265" s="203"/>
      <c r="F265" s="203"/>
      <c r="G265" s="203"/>
      <c r="H265" s="203"/>
      <c r="I265" s="203"/>
      <c r="J265" s="203"/>
      <c r="K265" s="204"/>
      <c r="L265" s="125" t="s">
        <v>67</v>
      </c>
      <c r="M265" s="125" t="s">
        <v>75</v>
      </c>
      <c r="N265" s="125" t="s">
        <v>74</v>
      </c>
    </row>
    <row r="266" spans="1:14" ht="9.75" customHeight="1" x14ac:dyDescent="0.25">
      <c r="A266" s="186" t="s">
        <v>96</v>
      </c>
      <c r="B266" s="187"/>
      <c r="C266" s="187"/>
      <c r="D266" s="187"/>
      <c r="E266" s="187"/>
      <c r="F266" s="187"/>
      <c r="G266" s="187"/>
      <c r="H266" s="187"/>
      <c r="I266" s="187"/>
      <c r="J266" s="187"/>
      <c r="K266" s="188"/>
      <c r="L266" s="138">
        <v>8985.85</v>
      </c>
      <c r="M266" s="131">
        <v>0.08</v>
      </c>
      <c r="N266" s="127">
        <v>99.794799999999995</v>
      </c>
    </row>
    <row r="267" spans="1:14" ht="9.75" customHeight="1" x14ac:dyDescent="0.25">
      <c r="A267" s="128" t="s">
        <v>72</v>
      </c>
      <c r="B267" s="202" t="s">
        <v>71</v>
      </c>
      <c r="C267" s="203"/>
      <c r="D267" s="203"/>
      <c r="E267" s="204"/>
      <c r="F267" s="128" t="s">
        <v>70</v>
      </c>
      <c r="G267" s="125" t="s">
        <v>69</v>
      </c>
      <c r="H267" s="193" t="s">
        <v>68</v>
      </c>
      <c r="I267" s="194"/>
      <c r="J267" s="194"/>
      <c r="K267" s="195"/>
      <c r="L267" s="125" t="s">
        <v>67</v>
      </c>
      <c r="M267" s="193"/>
      <c r="N267" s="195"/>
    </row>
    <row r="268" spans="1:14" ht="10.8" customHeight="1" x14ac:dyDescent="0.25">
      <c r="A268" s="129">
        <v>1422</v>
      </c>
      <c r="B268" s="186" t="s">
        <v>95</v>
      </c>
      <c r="C268" s="187"/>
      <c r="D268" s="187"/>
      <c r="E268" s="188"/>
      <c r="F268" s="130" t="s">
        <v>65</v>
      </c>
      <c r="G268" s="131">
        <v>1</v>
      </c>
      <c r="H268" s="132"/>
      <c r="I268" s="207">
        <v>8985.85</v>
      </c>
      <c r="J268" s="207"/>
      <c r="K268" s="208"/>
      <c r="L268" s="138">
        <v>8985.85</v>
      </c>
      <c r="M268" s="191"/>
      <c r="N268" s="192"/>
    </row>
    <row r="269" spans="1:14" ht="9.75" customHeight="1" x14ac:dyDescent="0.25">
      <c r="A269" s="201"/>
      <c r="B269" s="201"/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</row>
    <row r="270" spans="1:14" ht="9.6" customHeight="1" x14ac:dyDescent="0.25">
      <c r="A270" s="202" t="s">
        <v>76</v>
      </c>
      <c r="B270" s="203"/>
      <c r="C270" s="203"/>
      <c r="D270" s="203"/>
      <c r="E270" s="203"/>
      <c r="F270" s="203"/>
      <c r="G270" s="203"/>
      <c r="H270" s="203"/>
      <c r="I270" s="203"/>
      <c r="J270" s="203"/>
      <c r="K270" s="204"/>
      <c r="L270" s="125" t="s">
        <v>67</v>
      </c>
      <c r="M270" s="125" t="s">
        <v>75</v>
      </c>
      <c r="N270" s="125" t="s">
        <v>74</v>
      </c>
    </row>
    <row r="271" spans="1:14" ht="9.75" customHeight="1" x14ac:dyDescent="0.25">
      <c r="A271" s="186" t="s">
        <v>94</v>
      </c>
      <c r="B271" s="187"/>
      <c r="C271" s="187"/>
      <c r="D271" s="187"/>
      <c r="E271" s="187"/>
      <c r="F271" s="187"/>
      <c r="G271" s="187"/>
      <c r="H271" s="187"/>
      <c r="I271" s="187"/>
      <c r="J271" s="187"/>
      <c r="K271" s="188"/>
      <c r="L271" s="138">
        <v>8959.36</v>
      </c>
      <c r="M271" s="131">
        <v>7.9799999999999996E-2</v>
      </c>
      <c r="N271" s="127">
        <v>99.874600000000001</v>
      </c>
    </row>
    <row r="272" spans="1:14" ht="9.75" customHeight="1" x14ac:dyDescent="0.25">
      <c r="A272" s="128" t="s">
        <v>72</v>
      </c>
      <c r="B272" s="202" t="s">
        <v>71</v>
      </c>
      <c r="C272" s="203"/>
      <c r="D272" s="203"/>
      <c r="E272" s="204"/>
      <c r="F272" s="128" t="s">
        <v>70</v>
      </c>
      <c r="G272" s="125" t="s">
        <v>69</v>
      </c>
      <c r="H272" s="193" t="s">
        <v>68</v>
      </c>
      <c r="I272" s="194"/>
      <c r="J272" s="194"/>
      <c r="K272" s="195"/>
      <c r="L272" s="125" t="s">
        <v>67</v>
      </c>
      <c r="M272" s="193"/>
      <c r="N272" s="195"/>
    </row>
    <row r="273" spans="1:14" ht="10.8" customHeight="1" x14ac:dyDescent="0.25">
      <c r="A273" s="129">
        <v>4710</v>
      </c>
      <c r="B273" s="186" t="s">
        <v>93</v>
      </c>
      <c r="C273" s="187"/>
      <c r="D273" s="187"/>
      <c r="E273" s="188"/>
      <c r="F273" s="130" t="s">
        <v>90</v>
      </c>
      <c r="G273" s="136">
        <v>71106.070999999996</v>
      </c>
      <c r="H273" s="132"/>
      <c r="I273" s="198">
        <v>0.126</v>
      </c>
      <c r="J273" s="198"/>
      <c r="K273" s="199"/>
      <c r="L273" s="138">
        <v>8959.36</v>
      </c>
      <c r="M273" s="191"/>
      <c r="N273" s="192"/>
    </row>
    <row r="274" spans="1:14" ht="9.75" customHeight="1" x14ac:dyDescent="0.25">
      <c r="A274" s="201"/>
      <c r="B274" s="201"/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</row>
    <row r="275" spans="1:14" ht="9.6" customHeight="1" x14ac:dyDescent="0.25">
      <c r="A275" s="202" t="s">
        <v>76</v>
      </c>
      <c r="B275" s="203"/>
      <c r="C275" s="203"/>
      <c r="D275" s="203"/>
      <c r="E275" s="203"/>
      <c r="F275" s="203"/>
      <c r="G275" s="203"/>
      <c r="H275" s="203"/>
      <c r="I275" s="203"/>
      <c r="J275" s="203"/>
      <c r="K275" s="204"/>
      <c r="L275" s="125" t="s">
        <v>67</v>
      </c>
      <c r="M275" s="125" t="s">
        <v>75</v>
      </c>
      <c r="N275" s="125" t="s">
        <v>74</v>
      </c>
    </row>
    <row r="276" spans="1:14" ht="9.75" customHeight="1" x14ac:dyDescent="0.25">
      <c r="A276" s="186" t="s">
        <v>92</v>
      </c>
      <c r="B276" s="187"/>
      <c r="C276" s="187"/>
      <c r="D276" s="187"/>
      <c r="E276" s="187"/>
      <c r="F276" s="187"/>
      <c r="G276" s="187"/>
      <c r="H276" s="187"/>
      <c r="I276" s="187"/>
      <c r="J276" s="187"/>
      <c r="K276" s="188"/>
      <c r="L276" s="138">
        <v>6059.61</v>
      </c>
      <c r="M276" s="131">
        <v>5.3999999999999999E-2</v>
      </c>
      <c r="N276" s="127">
        <v>99.928600000000003</v>
      </c>
    </row>
    <row r="277" spans="1:14" ht="19.2" customHeight="1" x14ac:dyDescent="0.25">
      <c r="A277" s="128" t="s">
        <v>72</v>
      </c>
      <c r="B277" s="202" t="s">
        <v>71</v>
      </c>
      <c r="C277" s="203"/>
      <c r="D277" s="203"/>
      <c r="E277" s="204"/>
      <c r="F277" s="128" t="s">
        <v>70</v>
      </c>
      <c r="G277" s="125" t="s">
        <v>69</v>
      </c>
      <c r="H277" s="193" t="s">
        <v>68</v>
      </c>
      <c r="I277" s="194"/>
      <c r="J277" s="194"/>
      <c r="K277" s="195"/>
      <c r="L277" s="125" t="s">
        <v>67</v>
      </c>
      <c r="M277" s="193"/>
      <c r="N277" s="195"/>
    </row>
    <row r="278" spans="1:14" ht="10.8" customHeight="1" x14ac:dyDescent="0.25">
      <c r="A278" s="129">
        <v>5138</v>
      </c>
      <c r="B278" s="186" t="s">
        <v>91</v>
      </c>
      <c r="C278" s="187"/>
      <c r="D278" s="187"/>
      <c r="E278" s="188"/>
      <c r="F278" s="130" t="s">
        <v>90</v>
      </c>
      <c r="G278" s="137">
        <v>6589.4</v>
      </c>
      <c r="H278" s="132"/>
      <c r="I278" s="198">
        <v>0.91959999999999997</v>
      </c>
      <c r="J278" s="198"/>
      <c r="K278" s="199"/>
      <c r="L278" s="138">
        <v>6059.61</v>
      </c>
      <c r="M278" s="191"/>
      <c r="N278" s="192"/>
    </row>
    <row r="279" spans="1:14" ht="9.75" customHeight="1" x14ac:dyDescent="0.25">
      <c r="A279" s="201"/>
      <c r="B279" s="201"/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</row>
    <row r="280" spans="1:14" ht="9.6" customHeight="1" x14ac:dyDescent="0.25">
      <c r="A280" s="202" t="s">
        <v>76</v>
      </c>
      <c r="B280" s="203"/>
      <c r="C280" s="203"/>
      <c r="D280" s="203"/>
      <c r="E280" s="203"/>
      <c r="F280" s="203"/>
      <c r="G280" s="203"/>
      <c r="H280" s="203"/>
      <c r="I280" s="203"/>
      <c r="J280" s="203"/>
      <c r="K280" s="204"/>
      <c r="L280" s="125" t="s">
        <v>67</v>
      </c>
      <c r="M280" s="125" t="s">
        <v>75</v>
      </c>
      <c r="N280" s="125" t="s">
        <v>74</v>
      </c>
    </row>
    <row r="281" spans="1:14" ht="9.75" customHeight="1" x14ac:dyDescent="0.25">
      <c r="A281" s="186" t="s">
        <v>89</v>
      </c>
      <c r="B281" s="187"/>
      <c r="C281" s="187"/>
      <c r="D281" s="187"/>
      <c r="E281" s="187"/>
      <c r="F281" s="187"/>
      <c r="G281" s="187"/>
      <c r="H281" s="187"/>
      <c r="I281" s="187"/>
      <c r="J281" s="187"/>
      <c r="K281" s="188"/>
      <c r="L281" s="138">
        <v>5156.26</v>
      </c>
      <c r="M281" s="131">
        <v>4.5900000000000003E-2</v>
      </c>
      <c r="N281" s="127">
        <v>99.974500000000006</v>
      </c>
    </row>
    <row r="282" spans="1:14" ht="9.75" customHeight="1" x14ac:dyDescent="0.25">
      <c r="A282" s="128" t="s">
        <v>72</v>
      </c>
      <c r="B282" s="202" t="s">
        <v>71</v>
      </c>
      <c r="C282" s="203"/>
      <c r="D282" s="203"/>
      <c r="E282" s="204"/>
      <c r="F282" s="128" t="s">
        <v>70</v>
      </c>
      <c r="G282" s="125" t="s">
        <v>69</v>
      </c>
      <c r="H282" s="193" t="s">
        <v>68</v>
      </c>
      <c r="I282" s="194"/>
      <c r="J282" s="194"/>
      <c r="K282" s="195"/>
      <c r="L282" s="125" t="s">
        <v>67</v>
      </c>
      <c r="M282" s="193"/>
      <c r="N282" s="195"/>
    </row>
    <row r="283" spans="1:14" ht="10.8" customHeight="1" x14ac:dyDescent="0.25">
      <c r="A283" s="129">
        <v>7571</v>
      </c>
      <c r="B283" s="186" t="s">
        <v>88</v>
      </c>
      <c r="C283" s="187"/>
      <c r="D283" s="187"/>
      <c r="E283" s="188"/>
      <c r="F283" s="130" t="s">
        <v>65</v>
      </c>
      <c r="G283" s="131">
        <v>1</v>
      </c>
      <c r="H283" s="132"/>
      <c r="I283" s="207">
        <v>5156.2550000000001</v>
      </c>
      <c r="J283" s="207"/>
      <c r="K283" s="208"/>
      <c r="L283" s="138">
        <v>5156.26</v>
      </c>
      <c r="M283" s="191"/>
      <c r="N283" s="192"/>
    </row>
    <row r="284" spans="1:14" ht="9.75" customHeight="1" x14ac:dyDescent="0.25">
      <c r="A284" s="201"/>
      <c r="B284" s="201"/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</row>
    <row r="285" spans="1:14" ht="9.6" customHeight="1" x14ac:dyDescent="0.25">
      <c r="A285" s="202" t="s">
        <v>76</v>
      </c>
      <c r="B285" s="203"/>
      <c r="C285" s="203"/>
      <c r="D285" s="203"/>
      <c r="E285" s="203"/>
      <c r="F285" s="203"/>
      <c r="G285" s="203"/>
      <c r="H285" s="203"/>
      <c r="I285" s="203"/>
      <c r="J285" s="203"/>
      <c r="K285" s="204"/>
      <c r="L285" s="125" t="s">
        <v>67</v>
      </c>
      <c r="M285" s="125" t="s">
        <v>75</v>
      </c>
      <c r="N285" s="125" t="s">
        <v>74</v>
      </c>
    </row>
    <row r="286" spans="1:14" ht="9.75" customHeight="1" x14ac:dyDescent="0.25">
      <c r="A286" s="186" t="s">
        <v>87</v>
      </c>
      <c r="B286" s="187"/>
      <c r="C286" s="187"/>
      <c r="D286" s="187"/>
      <c r="E286" s="187"/>
      <c r="F286" s="187"/>
      <c r="G286" s="187"/>
      <c r="H286" s="187"/>
      <c r="I286" s="187"/>
      <c r="J286" s="187"/>
      <c r="K286" s="188"/>
      <c r="L286" s="138">
        <v>2864.57</v>
      </c>
      <c r="M286" s="131">
        <v>2.5499999999999998E-2</v>
      </c>
      <c r="N286" s="135">
        <v>100</v>
      </c>
    </row>
    <row r="287" spans="1:14" ht="9.75" customHeight="1" x14ac:dyDescent="0.25">
      <c r="A287" s="128" t="s">
        <v>72</v>
      </c>
      <c r="B287" s="202" t="s">
        <v>71</v>
      </c>
      <c r="C287" s="203"/>
      <c r="D287" s="203"/>
      <c r="E287" s="204"/>
      <c r="F287" s="128" t="s">
        <v>70</v>
      </c>
      <c r="G287" s="125" t="s">
        <v>69</v>
      </c>
      <c r="H287" s="193" t="s">
        <v>68</v>
      </c>
      <c r="I287" s="194"/>
      <c r="J287" s="194"/>
      <c r="K287" s="195"/>
      <c r="L287" s="125" t="s">
        <v>67</v>
      </c>
      <c r="M287" s="193"/>
      <c r="N287" s="195"/>
    </row>
    <row r="288" spans="1:14" ht="10.8" customHeight="1" x14ac:dyDescent="0.25">
      <c r="A288" s="129">
        <v>7146</v>
      </c>
      <c r="B288" s="186" t="s">
        <v>86</v>
      </c>
      <c r="C288" s="187"/>
      <c r="D288" s="187"/>
      <c r="E288" s="188"/>
      <c r="F288" s="130" t="s">
        <v>81</v>
      </c>
      <c r="G288" s="135">
        <v>101.0082</v>
      </c>
      <c r="H288" s="132"/>
      <c r="I288" s="205">
        <v>15.6</v>
      </c>
      <c r="J288" s="205"/>
      <c r="K288" s="206"/>
      <c r="L288" s="138">
        <v>1575.73</v>
      </c>
      <c r="M288" s="191"/>
      <c r="N288" s="192"/>
    </row>
    <row r="289" spans="1:14" ht="9.75" customHeight="1" x14ac:dyDescent="0.25">
      <c r="A289" s="129">
        <v>7576</v>
      </c>
      <c r="B289" s="186" t="s">
        <v>85</v>
      </c>
      <c r="C289" s="187"/>
      <c r="D289" s="187"/>
      <c r="E289" s="188"/>
      <c r="F289" s="130" t="s">
        <v>81</v>
      </c>
      <c r="G289" s="127">
        <v>19.3018</v>
      </c>
      <c r="H289" s="132"/>
      <c r="I289" s="205">
        <v>22.54</v>
      </c>
      <c r="J289" s="205"/>
      <c r="K289" s="206"/>
      <c r="L289" s="140">
        <v>435.06</v>
      </c>
      <c r="M289" s="191"/>
      <c r="N289" s="192"/>
    </row>
    <row r="290" spans="1:14" ht="9.6" customHeight="1" x14ac:dyDescent="0.25">
      <c r="A290" s="129">
        <v>6859</v>
      </c>
      <c r="B290" s="186" t="s">
        <v>84</v>
      </c>
      <c r="C290" s="187"/>
      <c r="D290" s="187"/>
      <c r="E290" s="188"/>
      <c r="F290" s="130" t="s">
        <v>81</v>
      </c>
      <c r="G290" s="127">
        <v>26.922899999999998</v>
      </c>
      <c r="H290" s="132"/>
      <c r="I290" s="205">
        <v>15.33</v>
      </c>
      <c r="J290" s="205"/>
      <c r="K290" s="206"/>
      <c r="L290" s="140">
        <v>412.73</v>
      </c>
      <c r="M290" s="191"/>
      <c r="N290" s="192"/>
    </row>
    <row r="291" spans="1:14" ht="9.75" customHeight="1" x14ac:dyDescent="0.25">
      <c r="A291" s="129">
        <v>6753</v>
      </c>
      <c r="B291" s="186" t="s">
        <v>83</v>
      </c>
      <c r="C291" s="187"/>
      <c r="D291" s="187"/>
      <c r="E291" s="188"/>
      <c r="F291" s="130" t="s">
        <v>81</v>
      </c>
      <c r="G291" s="127">
        <v>10.4763</v>
      </c>
      <c r="H291" s="132"/>
      <c r="I291" s="205">
        <v>31.59</v>
      </c>
      <c r="J291" s="205"/>
      <c r="K291" s="206"/>
      <c r="L291" s="140">
        <v>330.95</v>
      </c>
      <c r="M291" s="191"/>
      <c r="N291" s="192"/>
    </row>
    <row r="292" spans="1:14" ht="19.2" customHeight="1" x14ac:dyDescent="0.25">
      <c r="A292" s="129">
        <v>1055</v>
      </c>
      <c r="B292" s="186" t="s">
        <v>82</v>
      </c>
      <c r="C292" s="187"/>
      <c r="D292" s="187"/>
      <c r="E292" s="188"/>
      <c r="F292" s="130" t="s">
        <v>81</v>
      </c>
      <c r="G292" s="131">
        <v>4.1391999999999998</v>
      </c>
      <c r="H292" s="132"/>
      <c r="I292" s="205">
        <v>26.6</v>
      </c>
      <c r="J292" s="205"/>
      <c r="K292" s="206"/>
      <c r="L292" s="140">
        <v>110.1</v>
      </c>
      <c r="M292" s="191"/>
      <c r="N292" s="192"/>
    </row>
    <row r="293" spans="1:14" ht="10.8" customHeight="1" x14ac:dyDescent="0.25">
      <c r="A293" s="201"/>
      <c r="B293" s="201"/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</row>
    <row r="294" spans="1:14" ht="9.75" customHeight="1" x14ac:dyDescent="0.25">
      <c r="A294" s="202" t="s">
        <v>76</v>
      </c>
      <c r="B294" s="203"/>
      <c r="C294" s="203"/>
      <c r="D294" s="203"/>
      <c r="E294" s="203"/>
      <c r="F294" s="203"/>
      <c r="G294" s="203"/>
      <c r="H294" s="203"/>
      <c r="I294" s="203"/>
      <c r="J294" s="203"/>
      <c r="K294" s="204"/>
      <c r="L294" s="125" t="s">
        <v>67</v>
      </c>
      <c r="M294" s="125" t="s">
        <v>75</v>
      </c>
      <c r="N294" s="125" t="s">
        <v>74</v>
      </c>
    </row>
    <row r="295" spans="1:14" ht="9.6" customHeight="1" x14ac:dyDescent="0.25">
      <c r="A295" s="186" t="s">
        <v>80</v>
      </c>
      <c r="B295" s="187"/>
      <c r="C295" s="187"/>
      <c r="D295" s="187"/>
      <c r="E295" s="187"/>
      <c r="F295" s="187"/>
      <c r="G295" s="187"/>
      <c r="H295" s="187"/>
      <c r="I295" s="187"/>
      <c r="J295" s="187"/>
      <c r="K295" s="188"/>
      <c r="L295" s="141">
        <v>0</v>
      </c>
      <c r="M295" s="131">
        <v>0</v>
      </c>
      <c r="N295" s="135">
        <v>100</v>
      </c>
    </row>
    <row r="296" spans="1:14" ht="9.75" customHeight="1" x14ac:dyDescent="0.25">
      <c r="A296" s="128" t="s">
        <v>72</v>
      </c>
      <c r="B296" s="202" t="s">
        <v>71</v>
      </c>
      <c r="C296" s="203"/>
      <c r="D296" s="203"/>
      <c r="E296" s="204"/>
      <c r="F296" s="128" t="s">
        <v>70</v>
      </c>
      <c r="G296" s="125" t="s">
        <v>69</v>
      </c>
      <c r="H296" s="193" t="s">
        <v>68</v>
      </c>
      <c r="I296" s="194"/>
      <c r="J296" s="194"/>
      <c r="K296" s="195"/>
      <c r="L296" s="125" t="s">
        <v>67</v>
      </c>
      <c r="M296" s="193"/>
      <c r="N296" s="195"/>
    </row>
    <row r="297" spans="1:14" ht="9.75" customHeight="1" x14ac:dyDescent="0.25">
      <c r="A297" s="143">
        <v>1</v>
      </c>
      <c r="B297" s="186" t="s">
        <v>79</v>
      </c>
      <c r="C297" s="187"/>
      <c r="D297" s="187"/>
      <c r="E297" s="188"/>
      <c r="F297" s="130" t="s">
        <v>77</v>
      </c>
      <c r="G297" s="135">
        <v>843.56</v>
      </c>
      <c r="H297" s="132"/>
      <c r="I297" s="198">
        <v>0</v>
      </c>
      <c r="J297" s="198"/>
      <c r="K297" s="199"/>
      <c r="L297" s="141">
        <v>0</v>
      </c>
      <c r="M297" s="191"/>
      <c r="N297" s="192"/>
    </row>
    <row r="298" spans="1:14" ht="9.75" customHeight="1" x14ac:dyDescent="0.25">
      <c r="A298" s="142">
        <v>44</v>
      </c>
      <c r="B298" s="186" t="s">
        <v>78</v>
      </c>
      <c r="C298" s="187"/>
      <c r="D298" s="187"/>
      <c r="E298" s="188"/>
      <c r="F298" s="130" t="s">
        <v>77</v>
      </c>
      <c r="G298" s="135">
        <v>843.56</v>
      </c>
      <c r="H298" s="132"/>
      <c r="I298" s="198">
        <v>0</v>
      </c>
      <c r="J298" s="198"/>
      <c r="K298" s="199"/>
      <c r="L298" s="141">
        <v>0</v>
      </c>
      <c r="M298" s="191"/>
      <c r="N298" s="192"/>
    </row>
    <row r="299" spans="1:14" ht="9.75" customHeight="1" x14ac:dyDescent="0.25">
      <c r="A299" s="201"/>
      <c r="B299" s="201"/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</row>
    <row r="300" spans="1:14" ht="9.75" customHeight="1" x14ac:dyDescent="0.25">
      <c r="A300" s="202" t="s">
        <v>76</v>
      </c>
      <c r="B300" s="203"/>
      <c r="C300" s="203"/>
      <c r="D300" s="203"/>
      <c r="E300" s="203"/>
      <c r="F300" s="203"/>
      <c r="G300" s="203"/>
      <c r="H300" s="203"/>
      <c r="I300" s="203"/>
      <c r="J300" s="203"/>
      <c r="K300" s="204"/>
      <c r="L300" s="125" t="s">
        <v>67</v>
      </c>
      <c r="M300" s="125" t="s">
        <v>75</v>
      </c>
      <c r="N300" s="125" t="s">
        <v>74</v>
      </c>
    </row>
    <row r="301" spans="1:14" ht="9.75" customHeight="1" x14ac:dyDescent="0.25">
      <c r="A301" s="186" t="s">
        <v>73</v>
      </c>
      <c r="B301" s="187"/>
      <c r="C301" s="187"/>
      <c r="D301" s="187"/>
      <c r="E301" s="187"/>
      <c r="F301" s="187"/>
      <c r="G301" s="187"/>
      <c r="H301" s="187"/>
      <c r="I301" s="187"/>
      <c r="J301" s="187"/>
      <c r="K301" s="188"/>
      <c r="L301" s="141">
        <v>0</v>
      </c>
      <c r="M301" s="131">
        <v>0</v>
      </c>
      <c r="N301" s="135">
        <v>100</v>
      </c>
    </row>
    <row r="302" spans="1:14" ht="10.8" customHeight="1" x14ac:dyDescent="0.25">
      <c r="A302" s="128" t="s">
        <v>72</v>
      </c>
      <c r="B302" s="202" t="s">
        <v>71</v>
      </c>
      <c r="C302" s="203"/>
      <c r="D302" s="203"/>
      <c r="E302" s="204"/>
      <c r="F302" s="128" t="s">
        <v>70</v>
      </c>
      <c r="G302" s="125" t="s">
        <v>69</v>
      </c>
      <c r="H302" s="193" t="s">
        <v>68</v>
      </c>
      <c r="I302" s="194"/>
      <c r="J302" s="194"/>
      <c r="K302" s="195"/>
      <c r="L302" s="125" t="s">
        <v>67</v>
      </c>
      <c r="M302" s="193"/>
      <c r="N302" s="195"/>
    </row>
    <row r="303" spans="1:14" ht="9.75" customHeight="1" x14ac:dyDescent="0.25">
      <c r="A303" s="129">
        <v>6558</v>
      </c>
      <c r="B303" s="186" t="s">
        <v>66</v>
      </c>
      <c r="C303" s="187"/>
      <c r="D303" s="187"/>
      <c r="E303" s="188"/>
      <c r="F303" s="130" t="s">
        <v>65</v>
      </c>
      <c r="G303" s="131">
        <v>0</v>
      </c>
      <c r="H303" s="132"/>
      <c r="I303" s="189">
        <v>21565.05</v>
      </c>
      <c r="J303" s="189"/>
      <c r="K303" s="190"/>
      <c r="L303" s="141">
        <v>0</v>
      </c>
      <c r="M303" s="191"/>
      <c r="N303" s="192"/>
    </row>
    <row r="304" spans="1:14" ht="9.6" customHeight="1" x14ac:dyDescent="0.25">
      <c r="A304" s="193" t="s">
        <v>64</v>
      </c>
      <c r="B304" s="194"/>
      <c r="C304" s="194"/>
      <c r="D304" s="194"/>
      <c r="E304" s="194"/>
      <c r="F304" s="194"/>
      <c r="G304" s="194"/>
      <c r="H304" s="194"/>
      <c r="I304" s="194"/>
      <c r="J304" s="194"/>
      <c r="K304" s="195"/>
      <c r="L304" s="144">
        <v>11226978.42</v>
      </c>
      <c r="M304" s="193"/>
      <c r="N304" s="195"/>
    </row>
    <row r="305" spans="1:14" ht="9.75" customHeight="1" x14ac:dyDescent="0.25">
      <c r="A305" s="196"/>
      <c r="B305" s="196"/>
      <c r="C305" s="196"/>
      <c r="D305" s="196"/>
      <c r="E305" s="197"/>
      <c r="F305" s="197"/>
      <c r="G305" s="197"/>
      <c r="H305" s="197"/>
      <c r="I305" s="197"/>
      <c r="J305" s="200"/>
      <c r="K305" s="200"/>
      <c r="L305" s="200"/>
      <c r="M305" s="200"/>
      <c r="N305" s="200"/>
    </row>
    <row r="306" spans="1:14" ht="9.75" customHeight="1" x14ac:dyDescent="0.25">
      <c r="A306" s="183" t="s">
        <v>63</v>
      </c>
      <c r="B306" s="183"/>
      <c r="C306" s="183"/>
      <c r="D306" s="183"/>
      <c r="E306" s="184" t="s">
        <v>62</v>
      </c>
      <c r="F306" s="184"/>
      <c r="G306" s="184"/>
      <c r="H306" s="184"/>
      <c r="I306" s="184"/>
      <c r="J306" s="185"/>
      <c r="K306" s="185"/>
      <c r="L306" s="185"/>
      <c r="M306" s="185"/>
      <c r="N306" s="185"/>
    </row>
    <row r="307" spans="1:14" ht="9.75" customHeight="1" x14ac:dyDescent="0.25"/>
    <row r="308" spans="1:14" ht="10.8" customHeight="1" x14ac:dyDescent="0.25"/>
    <row r="309" spans="1:14" ht="9.75" customHeight="1" x14ac:dyDescent="0.25"/>
    <row r="310" spans="1:14" ht="9.6" customHeight="1" x14ac:dyDescent="0.25"/>
    <row r="311" spans="1:14" ht="9.75" customHeight="1" x14ac:dyDescent="0.25"/>
    <row r="312" spans="1:14" ht="9.75" customHeight="1" x14ac:dyDescent="0.25"/>
    <row r="313" spans="1:14" ht="9.75" customHeight="1" x14ac:dyDescent="0.25"/>
    <row r="314" spans="1:14" ht="2.25" customHeight="1" x14ac:dyDescent="0.25"/>
    <row r="315" spans="1:14" ht="8.4" customHeight="1" x14ac:dyDescent="0.25"/>
  </sheetData>
  <mergeCells count="691">
    <mergeCell ref="A1:K1"/>
    <mergeCell ref="A2:K2"/>
    <mergeCell ref="B3:E3"/>
    <mergeCell ref="H3:K3"/>
    <mergeCell ref="M3:N3"/>
    <mergeCell ref="B4:E4"/>
    <mergeCell ref="I4:K4"/>
    <mergeCell ref="M4:N4"/>
    <mergeCell ref="A5:N5"/>
    <mergeCell ref="A6:K6"/>
    <mergeCell ref="A7:K7"/>
    <mergeCell ref="B8:E8"/>
    <mergeCell ref="H8:K8"/>
    <mergeCell ref="M8:N8"/>
    <mergeCell ref="B9:E9"/>
    <mergeCell ref="I9:K9"/>
    <mergeCell ref="M9:N9"/>
    <mergeCell ref="B10:E10"/>
    <mergeCell ref="I10:K10"/>
    <mergeCell ref="M10:N10"/>
    <mergeCell ref="B11:E11"/>
    <mergeCell ref="I11:K11"/>
    <mergeCell ref="M11:N11"/>
    <mergeCell ref="B12:E12"/>
    <mergeCell ref="I12:K12"/>
    <mergeCell ref="M12:N12"/>
    <mergeCell ref="A13:N13"/>
    <mergeCell ref="A14:K14"/>
    <mergeCell ref="A15:K15"/>
    <mergeCell ref="B16:E16"/>
    <mergeCell ref="H16:K16"/>
    <mergeCell ref="M16:N16"/>
    <mergeCell ref="B17:E17"/>
    <mergeCell ref="I17:K17"/>
    <mergeCell ref="M17:N17"/>
    <mergeCell ref="B18:E18"/>
    <mergeCell ref="I18:K18"/>
    <mergeCell ref="M18:N18"/>
    <mergeCell ref="B19:E19"/>
    <mergeCell ref="I19:K19"/>
    <mergeCell ref="M19:N19"/>
    <mergeCell ref="B20:E20"/>
    <mergeCell ref="I20:K20"/>
    <mergeCell ref="M20:N20"/>
    <mergeCell ref="B21:E21"/>
    <mergeCell ref="I21:K21"/>
    <mergeCell ref="M21:N21"/>
    <mergeCell ref="B22:E22"/>
    <mergeCell ref="I22:K22"/>
    <mergeCell ref="M22:N22"/>
    <mergeCell ref="B23:E23"/>
    <mergeCell ref="I23:K23"/>
    <mergeCell ref="M23:N23"/>
    <mergeCell ref="B24:E24"/>
    <mergeCell ref="I24:K24"/>
    <mergeCell ref="M24:N24"/>
    <mergeCell ref="B25:E25"/>
    <mergeCell ref="I25:K25"/>
    <mergeCell ref="M25:N25"/>
    <mergeCell ref="B26:E26"/>
    <mergeCell ref="I26:K26"/>
    <mergeCell ref="M26:N26"/>
    <mergeCell ref="B27:E27"/>
    <mergeCell ref="I27:K27"/>
    <mergeCell ref="M27:N27"/>
    <mergeCell ref="B28:E28"/>
    <mergeCell ref="I28:K28"/>
    <mergeCell ref="M28:N28"/>
    <mergeCell ref="B29:E29"/>
    <mergeCell ref="I29:K29"/>
    <mergeCell ref="M29:N29"/>
    <mergeCell ref="B30:E30"/>
    <mergeCell ref="I30:K30"/>
    <mergeCell ref="M30:N30"/>
    <mergeCell ref="B31:E31"/>
    <mergeCell ref="I31:K31"/>
    <mergeCell ref="M31:N31"/>
    <mergeCell ref="B32:E32"/>
    <mergeCell ref="I32:K32"/>
    <mergeCell ref="M32:N32"/>
    <mergeCell ref="B33:E33"/>
    <mergeCell ref="I33:K33"/>
    <mergeCell ref="M33:N33"/>
    <mergeCell ref="B34:E34"/>
    <mergeCell ref="I34:K34"/>
    <mergeCell ref="M34:N34"/>
    <mergeCell ref="A35:N35"/>
    <mergeCell ref="A36:K36"/>
    <mergeCell ref="A37:K37"/>
    <mergeCell ref="B38:E38"/>
    <mergeCell ref="H38:K38"/>
    <mergeCell ref="M38:N38"/>
    <mergeCell ref="B39:E39"/>
    <mergeCell ref="I39:K39"/>
    <mergeCell ref="M39:N39"/>
    <mergeCell ref="B40:E40"/>
    <mergeCell ref="I40:K40"/>
    <mergeCell ref="M40:N40"/>
    <mergeCell ref="B41:E41"/>
    <mergeCell ref="I41:K41"/>
    <mergeCell ref="M41:N41"/>
    <mergeCell ref="B42:E42"/>
    <mergeCell ref="I42:K42"/>
    <mergeCell ref="M42:N42"/>
    <mergeCell ref="B43:E43"/>
    <mergeCell ref="I43:K43"/>
    <mergeCell ref="M43:N43"/>
    <mergeCell ref="B44:E44"/>
    <mergeCell ref="I44:K44"/>
    <mergeCell ref="M44:N44"/>
    <mergeCell ref="B45:E45"/>
    <mergeCell ref="I45:K45"/>
    <mergeCell ref="M45:N45"/>
    <mergeCell ref="B46:E46"/>
    <mergeCell ref="I46:K46"/>
    <mergeCell ref="M46:N46"/>
    <mergeCell ref="B47:E47"/>
    <mergeCell ref="I47:K47"/>
    <mergeCell ref="M47:N47"/>
    <mergeCell ref="B48:E48"/>
    <mergeCell ref="I48:K48"/>
    <mergeCell ref="M48:N48"/>
    <mergeCell ref="B49:E49"/>
    <mergeCell ref="I49:K49"/>
    <mergeCell ref="M49:N49"/>
    <mergeCell ref="B50:E50"/>
    <mergeCell ref="I50:K50"/>
    <mergeCell ref="M50:N50"/>
    <mergeCell ref="B51:E51"/>
    <mergeCell ref="I51:K51"/>
    <mergeCell ref="M51:N51"/>
    <mergeCell ref="B52:E52"/>
    <mergeCell ref="I52:K52"/>
    <mergeCell ref="M52:N52"/>
    <mergeCell ref="B53:E53"/>
    <mergeCell ref="I53:K53"/>
    <mergeCell ref="M53:N53"/>
    <mergeCell ref="B54:E54"/>
    <mergeCell ref="I54:K54"/>
    <mergeCell ref="M54:N54"/>
    <mergeCell ref="B55:E55"/>
    <mergeCell ref="I55:K55"/>
    <mergeCell ref="M55:N55"/>
    <mergeCell ref="B56:E56"/>
    <mergeCell ref="I56:K56"/>
    <mergeCell ref="M56:N56"/>
    <mergeCell ref="B57:E57"/>
    <mergeCell ref="I57:K57"/>
    <mergeCell ref="M57:N57"/>
    <mergeCell ref="B58:E58"/>
    <mergeCell ref="I58:K58"/>
    <mergeCell ref="M58:N58"/>
    <mergeCell ref="B59:E59"/>
    <mergeCell ref="I59:K59"/>
    <mergeCell ref="M59:N59"/>
    <mergeCell ref="B60:E60"/>
    <mergeCell ref="I60:K60"/>
    <mergeCell ref="M60:N60"/>
    <mergeCell ref="B61:E61"/>
    <mergeCell ref="I61:K61"/>
    <mergeCell ref="M61:N61"/>
    <mergeCell ref="B62:E62"/>
    <mergeCell ref="I62:K62"/>
    <mergeCell ref="M62:N62"/>
    <mergeCell ref="B63:E63"/>
    <mergeCell ref="I63:K63"/>
    <mergeCell ref="M63:N63"/>
    <mergeCell ref="B64:E64"/>
    <mergeCell ref="I64:K64"/>
    <mergeCell ref="M64:N64"/>
    <mergeCell ref="B65:E65"/>
    <mergeCell ref="I65:K65"/>
    <mergeCell ref="M65:N65"/>
    <mergeCell ref="A66:N66"/>
    <mergeCell ref="A67:K67"/>
    <mergeCell ref="A68:K68"/>
    <mergeCell ref="B69:E69"/>
    <mergeCell ref="H69:K69"/>
    <mergeCell ref="M69:N69"/>
    <mergeCell ref="B70:E70"/>
    <mergeCell ref="I70:K70"/>
    <mergeCell ref="M70:N70"/>
    <mergeCell ref="B71:E71"/>
    <mergeCell ref="I71:K71"/>
    <mergeCell ref="M71:N71"/>
    <mergeCell ref="B72:E72"/>
    <mergeCell ref="I72:K72"/>
    <mergeCell ref="M72:N72"/>
    <mergeCell ref="B73:E73"/>
    <mergeCell ref="I73:K73"/>
    <mergeCell ref="M73:N73"/>
    <mergeCell ref="A74:N74"/>
    <mergeCell ref="A75:K75"/>
    <mergeCell ref="A76:K76"/>
    <mergeCell ref="B77:E77"/>
    <mergeCell ref="H77:K77"/>
    <mergeCell ref="M77:N77"/>
    <mergeCell ref="B78:E78"/>
    <mergeCell ref="I78:K78"/>
    <mergeCell ref="M78:N78"/>
    <mergeCell ref="B79:E79"/>
    <mergeCell ref="I79:K79"/>
    <mergeCell ref="M79:N79"/>
    <mergeCell ref="B80:E80"/>
    <mergeCell ref="I80:K80"/>
    <mergeCell ref="M80:N80"/>
    <mergeCell ref="B81:E81"/>
    <mergeCell ref="I81:K81"/>
    <mergeCell ref="M81:N81"/>
    <mergeCell ref="B82:E82"/>
    <mergeCell ref="I82:K82"/>
    <mergeCell ref="M82:N82"/>
    <mergeCell ref="B83:E83"/>
    <mergeCell ref="I83:K83"/>
    <mergeCell ref="M83:N83"/>
    <mergeCell ref="B84:E84"/>
    <mergeCell ref="I84:K84"/>
    <mergeCell ref="M84:N84"/>
    <mergeCell ref="B85:E85"/>
    <mergeCell ref="I85:K85"/>
    <mergeCell ref="M85:N85"/>
    <mergeCell ref="B86:E86"/>
    <mergeCell ref="I86:K86"/>
    <mergeCell ref="M86:N86"/>
    <mergeCell ref="B87:E87"/>
    <mergeCell ref="I87:K87"/>
    <mergeCell ref="M87:N87"/>
    <mergeCell ref="A88:N88"/>
    <mergeCell ref="A89:K89"/>
    <mergeCell ref="A90:K90"/>
    <mergeCell ref="B91:E91"/>
    <mergeCell ref="H91:K91"/>
    <mergeCell ref="M91:N91"/>
    <mergeCell ref="B92:E92"/>
    <mergeCell ref="I92:K92"/>
    <mergeCell ref="M92:N92"/>
    <mergeCell ref="B93:E93"/>
    <mergeCell ref="I93:K93"/>
    <mergeCell ref="M93:N93"/>
    <mergeCell ref="B94:E94"/>
    <mergeCell ref="I94:K94"/>
    <mergeCell ref="M94:N94"/>
    <mergeCell ref="B95:E95"/>
    <mergeCell ref="I95:K95"/>
    <mergeCell ref="M95:N95"/>
    <mergeCell ref="B96:E96"/>
    <mergeCell ref="I96:K96"/>
    <mergeCell ref="M96:N96"/>
    <mergeCell ref="B97:E97"/>
    <mergeCell ref="I97:K97"/>
    <mergeCell ref="M97:N97"/>
    <mergeCell ref="B98:E98"/>
    <mergeCell ref="I98:K98"/>
    <mergeCell ref="M98:N98"/>
    <mergeCell ref="B99:E99"/>
    <mergeCell ref="I99:K99"/>
    <mergeCell ref="M99:N99"/>
    <mergeCell ref="B100:E100"/>
    <mergeCell ref="I100:K100"/>
    <mergeCell ref="M100:N100"/>
    <mergeCell ref="B101:E101"/>
    <mergeCell ref="I101:K101"/>
    <mergeCell ref="M101:N101"/>
    <mergeCell ref="B102:E102"/>
    <mergeCell ref="I102:K102"/>
    <mergeCell ref="M102:N102"/>
    <mergeCell ref="A103:N103"/>
    <mergeCell ref="A104:K104"/>
    <mergeCell ref="A105:K105"/>
    <mergeCell ref="B106:E106"/>
    <mergeCell ref="H106:K106"/>
    <mergeCell ref="M106:N106"/>
    <mergeCell ref="B107:E107"/>
    <mergeCell ref="I107:K107"/>
    <mergeCell ref="M107:N107"/>
    <mergeCell ref="B108:E108"/>
    <mergeCell ref="I108:K108"/>
    <mergeCell ref="M108:N108"/>
    <mergeCell ref="B109:E109"/>
    <mergeCell ref="I109:K109"/>
    <mergeCell ref="M109:N109"/>
    <mergeCell ref="A110:N110"/>
    <mergeCell ref="A111:K111"/>
    <mergeCell ref="A112:K112"/>
    <mergeCell ref="B113:E113"/>
    <mergeCell ref="H113:K113"/>
    <mergeCell ref="M113:N113"/>
    <mergeCell ref="B114:E114"/>
    <mergeCell ref="I114:K114"/>
    <mergeCell ref="M114:N114"/>
    <mergeCell ref="B115:E115"/>
    <mergeCell ref="I115:K115"/>
    <mergeCell ref="M115:N115"/>
    <mergeCell ref="B116:E116"/>
    <mergeCell ref="I116:K116"/>
    <mergeCell ref="M116:N116"/>
    <mergeCell ref="B117:E117"/>
    <mergeCell ref="I117:K117"/>
    <mergeCell ref="M117:N117"/>
    <mergeCell ref="B118:E118"/>
    <mergeCell ref="I118:K118"/>
    <mergeCell ref="M118:N118"/>
    <mergeCell ref="B119:E119"/>
    <mergeCell ref="I119:K119"/>
    <mergeCell ref="M119:N119"/>
    <mergeCell ref="B120:E120"/>
    <mergeCell ref="I120:K120"/>
    <mergeCell ref="M120:N120"/>
    <mergeCell ref="A121:N121"/>
    <mergeCell ref="A122:K122"/>
    <mergeCell ref="A123:K123"/>
    <mergeCell ref="B124:E124"/>
    <mergeCell ref="H124:K124"/>
    <mergeCell ref="M124:N124"/>
    <mergeCell ref="B125:E125"/>
    <mergeCell ref="I125:K125"/>
    <mergeCell ref="M125:N125"/>
    <mergeCell ref="B126:E126"/>
    <mergeCell ref="I126:K126"/>
    <mergeCell ref="M126:N126"/>
    <mergeCell ref="A127:N127"/>
    <mergeCell ref="A128:K128"/>
    <mergeCell ref="A129:K129"/>
    <mergeCell ref="B130:E130"/>
    <mergeCell ref="H130:K130"/>
    <mergeCell ref="M130:N130"/>
    <mergeCell ref="B131:E131"/>
    <mergeCell ref="I131:K131"/>
    <mergeCell ref="M131:N131"/>
    <mergeCell ref="B132:E132"/>
    <mergeCell ref="I132:K132"/>
    <mergeCell ref="M132:N132"/>
    <mergeCell ref="A133:N133"/>
    <mergeCell ref="A134:K134"/>
    <mergeCell ref="A135:K135"/>
    <mergeCell ref="B136:E136"/>
    <mergeCell ref="H136:K136"/>
    <mergeCell ref="M136:N136"/>
    <mergeCell ref="B137:E137"/>
    <mergeCell ref="I137:K137"/>
    <mergeCell ref="M137:N137"/>
    <mergeCell ref="B138:E138"/>
    <mergeCell ref="I138:K138"/>
    <mergeCell ref="M138:N138"/>
    <mergeCell ref="B139:E139"/>
    <mergeCell ref="I139:K139"/>
    <mergeCell ref="M139:N139"/>
    <mergeCell ref="B140:E140"/>
    <mergeCell ref="I140:K140"/>
    <mergeCell ref="M140:N140"/>
    <mergeCell ref="B141:E141"/>
    <mergeCell ref="I141:K141"/>
    <mergeCell ref="M141:N141"/>
    <mergeCell ref="B142:E142"/>
    <mergeCell ref="I142:K142"/>
    <mergeCell ref="M142:N142"/>
    <mergeCell ref="B143:E143"/>
    <mergeCell ref="I143:K143"/>
    <mergeCell ref="M143:N143"/>
    <mergeCell ref="A144:N144"/>
    <mergeCell ref="A145:K145"/>
    <mergeCell ref="A146:K146"/>
    <mergeCell ref="B147:E147"/>
    <mergeCell ref="H147:K147"/>
    <mergeCell ref="M147:N147"/>
    <mergeCell ref="B148:E148"/>
    <mergeCell ref="I148:K148"/>
    <mergeCell ref="M148:N148"/>
    <mergeCell ref="B149:E149"/>
    <mergeCell ref="I149:K149"/>
    <mergeCell ref="M149:N149"/>
    <mergeCell ref="B150:E150"/>
    <mergeCell ref="I150:K150"/>
    <mergeCell ref="M150:N150"/>
    <mergeCell ref="B151:E151"/>
    <mergeCell ref="I151:K151"/>
    <mergeCell ref="M151:N151"/>
    <mergeCell ref="B152:E152"/>
    <mergeCell ref="I152:K152"/>
    <mergeCell ref="M152:N152"/>
    <mergeCell ref="B153:E153"/>
    <mergeCell ref="I153:K153"/>
    <mergeCell ref="M153:N153"/>
    <mergeCell ref="A154:N154"/>
    <mergeCell ref="A155:K155"/>
    <mergeCell ref="A156:K156"/>
    <mergeCell ref="B157:E157"/>
    <mergeCell ref="H157:K157"/>
    <mergeCell ref="M157:N157"/>
    <mergeCell ref="B158:E158"/>
    <mergeCell ref="I158:K158"/>
    <mergeCell ref="M158:N158"/>
    <mergeCell ref="A159:N159"/>
    <mergeCell ref="A160:K160"/>
    <mergeCell ref="A161:K161"/>
    <mergeCell ref="B162:E162"/>
    <mergeCell ref="H162:K162"/>
    <mergeCell ref="M162:N162"/>
    <mergeCell ref="B163:E163"/>
    <mergeCell ref="I163:K163"/>
    <mergeCell ref="M163:N163"/>
    <mergeCell ref="B164:E164"/>
    <mergeCell ref="I164:K164"/>
    <mergeCell ref="M164:N164"/>
    <mergeCell ref="B165:E165"/>
    <mergeCell ref="I165:K165"/>
    <mergeCell ref="M165:N165"/>
    <mergeCell ref="B166:E166"/>
    <mergeCell ref="I166:K166"/>
    <mergeCell ref="M166:N166"/>
    <mergeCell ref="A167:N167"/>
    <mergeCell ref="A168:K168"/>
    <mergeCell ref="A169:K169"/>
    <mergeCell ref="B170:E170"/>
    <mergeCell ref="H170:K170"/>
    <mergeCell ref="M170:N170"/>
    <mergeCell ref="B171:E171"/>
    <mergeCell ref="I171:K171"/>
    <mergeCell ref="M171:N171"/>
    <mergeCell ref="A172:N172"/>
    <mergeCell ref="A173:K173"/>
    <mergeCell ref="A174:K174"/>
    <mergeCell ref="B175:E175"/>
    <mergeCell ref="H175:K175"/>
    <mergeCell ref="M175:N175"/>
    <mergeCell ref="B176:E176"/>
    <mergeCell ref="I176:K176"/>
    <mergeCell ref="M176:N176"/>
    <mergeCell ref="B177:E177"/>
    <mergeCell ref="I177:K177"/>
    <mergeCell ref="M177:N177"/>
    <mergeCell ref="B178:E178"/>
    <mergeCell ref="I178:K178"/>
    <mergeCell ref="M178:N178"/>
    <mergeCell ref="A179:N179"/>
    <mergeCell ref="A180:K180"/>
    <mergeCell ref="A181:K181"/>
    <mergeCell ref="B182:E182"/>
    <mergeCell ref="H182:K182"/>
    <mergeCell ref="M182:N182"/>
    <mergeCell ref="B183:E183"/>
    <mergeCell ref="I183:K183"/>
    <mergeCell ref="M183:N183"/>
    <mergeCell ref="B184:E184"/>
    <mergeCell ref="I184:K184"/>
    <mergeCell ref="M184:N184"/>
    <mergeCell ref="B185:E185"/>
    <mergeCell ref="I185:K185"/>
    <mergeCell ref="M185:N185"/>
    <mergeCell ref="A186:N186"/>
    <mergeCell ref="A187:K187"/>
    <mergeCell ref="A188:K188"/>
    <mergeCell ref="B189:E189"/>
    <mergeCell ref="H189:K189"/>
    <mergeCell ref="M189:N189"/>
    <mergeCell ref="B190:E190"/>
    <mergeCell ref="I190:K190"/>
    <mergeCell ref="M190:N190"/>
    <mergeCell ref="B191:E191"/>
    <mergeCell ref="I191:K191"/>
    <mergeCell ref="M191:N191"/>
    <mergeCell ref="B192:E192"/>
    <mergeCell ref="I192:K192"/>
    <mergeCell ref="M192:N192"/>
    <mergeCell ref="B193:E193"/>
    <mergeCell ref="I193:K193"/>
    <mergeCell ref="M193:N193"/>
    <mergeCell ref="B194:E194"/>
    <mergeCell ref="I194:K194"/>
    <mergeCell ref="M194:N194"/>
    <mergeCell ref="B195:E195"/>
    <mergeCell ref="I195:K195"/>
    <mergeCell ref="M195:N195"/>
    <mergeCell ref="B196:E196"/>
    <mergeCell ref="I196:K196"/>
    <mergeCell ref="M196:N196"/>
    <mergeCell ref="B197:E197"/>
    <mergeCell ref="I197:K197"/>
    <mergeCell ref="M197:N197"/>
    <mergeCell ref="A198:N198"/>
    <mergeCell ref="A199:K199"/>
    <mergeCell ref="A200:K200"/>
    <mergeCell ref="B201:E201"/>
    <mergeCell ref="H201:K201"/>
    <mergeCell ref="M201:N201"/>
    <mergeCell ref="B202:E202"/>
    <mergeCell ref="I202:K202"/>
    <mergeCell ref="M202:N202"/>
    <mergeCell ref="A203:N203"/>
    <mergeCell ref="A204:K204"/>
    <mergeCell ref="A205:K205"/>
    <mergeCell ref="B206:E206"/>
    <mergeCell ref="H206:K206"/>
    <mergeCell ref="M206:N206"/>
    <mergeCell ref="B207:E207"/>
    <mergeCell ref="I207:K207"/>
    <mergeCell ref="M207:N207"/>
    <mergeCell ref="A208:N208"/>
    <mergeCell ref="A209:K209"/>
    <mergeCell ref="A210:K210"/>
    <mergeCell ref="B211:E211"/>
    <mergeCell ref="H211:K211"/>
    <mergeCell ref="M211:N211"/>
    <mergeCell ref="B212:E212"/>
    <mergeCell ref="I212:K212"/>
    <mergeCell ref="M212:N212"/>
    <mergeCell ref="B213:E213"/>
    <mergeCell ref="I213:K213"/>
    <mergeCell ref="M213:N213"/>
    <mergeCell ref="A214:N214"/>
    <mergeCell ref="A215:K215"/>
    <mergeCell ref="A216:K216"/>
    <mergeCell ref="B217:E217"/>
    <mergeCell ref="H217:K217"/>
    <mergeCell ref="M217:N217"/>
    <mergeCell ref="B218:E218"/>
    <mergeCell ref="I218:K218"/>
    <mergeCell ref="M218:N218"/>
    <mergeCell ref="A219:N219"/>
    <mergeCell ref="A220:K220"/>
    <mergeCell ref="A221:K221"/>
    <mergeCell ref="B222:E222"/>
    <mergeCell ref="H222:K222"/>
    <mergeCell ref="M222:N222"/>
    <mergeCell ref="B223:E223"/>
    <mergeCell ref="I223:K223"/>
    <mergeCell ref="M223:N223"/>
    <mergeCell ref="A224:N224"/>
    <mergeCell ref="A225:K225"/>
    <mergeCell ref="A226:K226"/>
    <mergeCell ref="B227:E227"/>
    <mergeCell ref="H227:K227"/>
    <mergeCell ref="M227:N227"/>
    <mergeCell ref="B228:E228"/>
    <mergeCell ref="I228:K228"/>
    <mergeCell ref="M228:N228"/>
    <mergeCell ref="B229:E229"/>
    <mergeCell ref="I229:K229"/>
    <mergeCell ref="M229:N229"/>
    <mergeCell ref="B230:E230"/>
    <mergeCell ref="I230:K230"/>
    <mergeCell ref="M230:N230"/>
    <mergeCell ref="B231:E231"/>
    <mergeCell ref="I231:K231"/>
    <mergeCell ref="M231:N231"/>
    <mergeCell ref="A232:N232"/>
    <mergeCell ref="A233:K233"/>
    <mergeCell ref="A234:K234"/>
    <mergeCell ref="B235:E235"/>
    <mergeCell ref="H235:K235"/>
    <mergeCell ref="M235:N235"/>
    <mergeCell ref="B236:E236"/>
    <mergeCell ref="I236:K236"/>
    <mergeCell ref="M236:N236"/>
    <mergeCell ref="A237:N237"/>
    <mergeCell ref="A238:K238"/>
    <mergeCell ref="A239:K239"/>
    <mergeCell ref="B240:E240"/>
    <mergeCell ref="H240:K240"/>
    <mergeCell ref="M240:N240"/>
    <mergeCell ref="B241:E241"/>
    <mergeCell ref="I241:K241"/>
    <mergeCell ref="M241:N241"/>
    <mergeCell ref="A242:N242"/>
    <mergeCell ref="A243:K243"/>
    <mergeCell ref="A244:K244"/>
    <mergeCell ref="B245:E245"/>
    <mergeCell ref="H245:K245"/>
    <mergeCell ref="M245:N245"/>
    <mergeCell ref="B246:E246"/>
    <mergeCell ref="I246:K246"/>
    <mergeCell ref="M246:N246"/>
    <mergeCell ref="B247:E247"/>
    <mergeCell ref="I247:K247"/>
    <mergeCell ref="M247:N247"/>
    <mergeCell ref="A248:N248"/>
    <mergeCell ref="A249:K249"/>
    <mergeCell ref="A250:K250"/>
    <mergeCell ref="B251:E251"/>
    <mergeCell ref="H251:K251"/>
    <mergeCell ref="M251:N251"/>
    <mergeCell ref="B252:E252"/>
    <mergeCell ref="I252:K252"/>
    <mergeCell ref="M252:N252"/>
    <mergeCell ref="A253:N253"/>
    <mergeCell ref="A254:K254"/>
    <mergeCell ref="A255:K255"/>
    <mergeCell ref="B256:E256"/>
    <mergeCell ref="H256:K256"/>
    <mergeCell ref="M256:N256"/>
    <mergeCell ref="B257:E257"/>
    <mergeCell ref="I257:K257"/>
    <mergeCell ref="M257:N257"/>
    <mergeCell ref="B258:E258"/>
    <mergeCell ref="I258:K258"/>
    <mergeCell ref="M258:N258"/>
    <mergeCell ref="A259:N259"/>
    <mergeCell ref="A260:K260"/>
    <mergeCell ref="A261:K261"/>
    <mergeCell ref="B262:E262"/>
    <mergeCell ref="H262:K262"/>
    <mergeCell ref="M262:N262"/>
    <mergeCell ref="B263:E263"/>
    <mergeCell ref="I263:K263"/>
    <mergeCell ref="M263:N263"/>
    <mergeCell ref="A264:N264"/>
    <mergeCell ref="A265:K265"/>
    <mergeCell ref="A266:K266"/>
    <mergeCell ref="B267:E267"/>
    <mergeCell ref="H267:K267"/>
    <mergeCell ref="M267:N267"/>
    <mergeCell ref="B268:E268"/>
    <mergeCell ref="I268:K268"/>
    <mergeCell ref="M268:N268"/>
    <mergeCell ref="A269:N269"/>
    <mergeCell ref="A270:K270"/>
    <mergeCell ref="A271:K271"/>
    <mergeCell ref="B272:E272"/>
    <mergeCell ref="H272:K272"/>
    <mergeCell ref="M272:N272"/>
    <mergeCell ref="B273:E273"/>
    <mergeCell ref="I273:K273"/>
    <mergeCell ref="M273:N273"/>
    <mergeCell ref="A274:N274"/>
    <mergeCell ref="A275:K275"/>
    <mergeCell ref="A276:K276"/>
    <mergeCell ref="B277:E277"/>
    <mergeCell ref="H277:K277"/>
    <mergeCell ref="M277:N277"/>
    <mergeCell ref="B278:E278"/>
    <mergeCell ref="I278:K278"/>
    <mergeCell ref="M278:N278"/>
    <mergeCell ref="A279:N279"/>
    <mergeCell ref="A280:K280"/>
    <mergeCell ref="A281:K281"/>
    <mergeCell ref="B282:E282"/>
    <mergeCell ref="H282:K282"/>
    <mergeCell ref="M282:N282"/>
    <mergeCell ref="B283:E283"/>
    <mergeCell ref="I283:K283"/>
    <mergeCell ref="M283:N283"/>
    <mergeCell ref="A284:N284"/>
    <mergeCell ref="A285:K285"/>
    <mergeCell ref="A286:K286"/>
    <mergeCell ref="B287:E287"/>
    <mergeCell ref="H287:K287"/>
    <mergeCell ref="M287:N287"/>
    <mergeCell ref="B288:E288"/>
    <mergeCell ref="I288:K288"/>
    <mergeCell ref="M288:N288"/>
    <mergeCell ref="B289:E289"/>
    <mergeCell ref="I289:K289"/>
    <mergeCell ref="M289:N289"/>
    <mergeCell ref="B290:E290"/>
    <mergeCell ref="I290:K290"/>
    <mergeCell ref="M290:N290"/>
    <mergeCell ref="B291:E291"/>
    <mergeCell ref="I291:K291"/>
    <mergeCell ref="M291:N291"/>
    <mergeCell ref="B292:E292"/>
    <mergeCell ref="I292:K292"/>
    <mergeCell ref="M292:N292"/>
    <mergeCell ref="A293:N293"/>
    <mergeCell ref="A294:K294"/>
    <mergeCell ref="A295:K295"/>
    <mergeCell ref="B296:E296"/>
    <mergeCell ref="H296:K296"/>
    <mergeCell ref="M296:N296"/>
    <mergeCell ref="B297:E297"/>
    <mergeCell ref="I297:K297"/>
    <mergeCell ref="M297:N297"/>
    <mergeCell ref="B298:E298"/>
    <mergeCell ref="I298:K298"/>
    <mergeCell ref="M298:N298"/>
    <mergeCell ref="J305:N305"/>
    <mergeCell ref="A299:N299"/>
    <mergeCell ref="A300:K300"/>
    <mergeCell ref="A301:K301"/>
    <mergeCell ref="B302:E302"/>
    <mergeCell ref="H302:K302"/>
    <mergeCell ref="M302:N302"/>
    <mergeCell ref="A306:D306"/>
    <mergeCell ref="E306:I306"/>
    <mergeCell ref="J306:N306"/>
    <mergeCell ref="B303:E303"/>
    <mergeCell ref="I303:K303"/>
    <mergeCell ref="M303:N303"/>
    <mergeCell ref="A304:K304"/>
    <mergeCell ref="M304:N304"/>
    <mergeCell ref="A305:D305"/>
    <mergeCell ref="E305:I305"/>
  </mergeCells>
  <pageMargins left="0.52999997138977051" right="0.52999997138977051" top="0.52999997138977051" bottom="0.68999999761581421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1"/>
  <sheetViews>
    <sheetView tabSelected="1" zoomScale="85" zoomScaleNormal="85" workbookViewId="0">
      <selection activeCell="A23" sqref="A23"/>
    </sheetView>
  </sheetViews>
  <sheetFormatPr defaultColWidth="14.44140625" defaultRowHeight="15" customHeight="1" x14ac:dyDescent="0.3"/>
  <cols>
    <col min="1" max="1" width="64.44140625" customWidth="1"/>
    <col min="2" max="2" width="21.77734375" customWidth="1"/>
    <col min="3" max="3" width="14.33203125" style="35" customWidth="1"/>
    <col min="4" max="4" width="15.109375" style="35" customWidth="1"/>
    <col min="5" max="5" width="17.6640625" customWidth="1"/>
    <col min="6" max="6" width="19.21875" bestFit="1" customWidth="1"/>
    <col min="7" max="7" width="14.33203125" customWidth="1"/>
    <col min="8" max="17" width="9.109375" customWidth="1"/>
  </cols>
  <sheetData>
    <row r="1" spans="1:17" ht="22.5" customHeight="1" thickBot="1" x14ac:dyDescent="0.35">
      <c r="A1" s="72" t="s">
        <v>0</v>
      </c>
      <c r="B1" s="72" t="s">
        <v>33</v>
      </c>
      <c r="C1" s="73" t="s">
        <v>34</v>
      </c>
      <c r="D1" s="73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2.5" customHeight="1" thickBot="1" x14ac:dyDescent="0.35">
      <c r="A2" s="2" t="s">
        <v>35</v>
      </c>
      <c r="B2" s="13">
        <v>994642.42</v>
      </c>
      <c r="C2" s="14">
        <f t="shared" ref="C2:C18" si="0">B2/B$20</f>
        <v>7.968881047215523E-2</v>
      </c>
      <c r="D2" s="106">
        <f>B2/ORÇAMENTO_EXECUTIVO!G$2</f>
        <v>250.39458751856606</v>
      </c>
      <c r="E2" s="9"/>
      <c r="F2" s="38" t="s">
        <v>44</v>
      </c>
      <c r="G2" s="39">
        <v>3972.3</v>
      </c>
      <c r="H2" s="40" t="s">
        <v>45</v>
      </c>
      <c r="I2" s="9"/>
      <c r="J2" s="9"/>
      <c r="K2" s="9"/>
      <c r="L2" s="9"/>
      <c r="M2" s="9"/>
      <c r="N2" s="9"/>
      <c r="O2" s="9"/>
      <c r="P2" s="9"/>
      <c r="Q2" s="9"/>
    </row>
    <row r="3" spans="1:17" ht="22.5" customHeight="1" x14ac:dyDescent="0.3">
      <c r="A3" s="10" t="s">
        <v>53</v>
      </c>
      <c r="B3" s="11">
        <v>3670000</v>
      </c>
      <c r="C3" s="12">
        <f>B3/B$20</f>
        <v>0.29403324104436412</v>
      </c>
      <c r="D3" s="107">
        <f>B3/ORÇAMENTO_EXECUTIVO!G$2</f>
        <v>923.89799360571953</v>
      </c>
      <c r="E3" s="9"/>
      <c r="F3" s="93"/>
      <c r="G3" s="94"/>
      <c r="H3" s="95"/>
      <c r="I3" s="9"/>
      <c r="J3" s="9"/>
      <c r="K3" s="9"/>
      <c r="L3" s="9"/>
      <c r="M3" s="9"/>
      <c r="N3" s="9"/>
      <c r="O3" s="9"/>
      <c r="P3" s="9"/>
      <c r="Q3" s="9"/>
    </row>
    <row r="4" spans="1:17" ht="19.5" customHeight="1" x14ac:dyDescent="0.3">
      <c r="A4" s="2" t="s">
        <v>4</v>
      </c>
      <c r="B4" s="13">
        <v>130570.37</v>
      </c>
      <c r="C4" s="14">
        <f t="shared" si="0"/>
        <v>1.0461043344812482E-2</v>
      </c>
      <c r="D4" s="106">
        <f>B4/ORÇAMENTO_EXECUTIVO!G$2</f>
        <v>32.870218764947261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9.5" customHeight="1" x14ac:dyDescent="0.3">
      <c r="A5" s="10" t="s">
        <v>5</v>
      </c>
      <c r="B5" s="11">
        <v>240463.03</v>
      </c>
      <c r="C5" s="12">
        <f t="shared" si="0"/>
        <v>1.9265428899795139E-2</v>
      </c>
      <c r="D5" s="107">
        <f>B5/ORÇAMENTO_EXECUTIVO!G$2</f>
        <v>60.534962112629962</v>
      </c>
      <c r="E5" s="9"/>
      <c r="F5" s="1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19.5" customHeight="1" x14ac:dyDescent="0.3">
      <c r="A6" s="2" t="s">
        <v>6</v>
      </c>
      <c r="B6" s="13">
        <v>1904909.21</v>
      </c>
      <c r="C6" s="14">
        <f t="shared" si="0"/>
        <v>0.15261761005764557</v>
      </c>
      <c r="D6" s="106">
        <f>B6/ORÇAMENTO_EXECUTIVO!G$2</f>
        <v>479.54817360219516</v>
      </c>
      <c r="E6" s="9"/>
      <c r="F6" s="15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19.5" customHeight="1" x14ac:dyDescent="0.3">
      <c r="A7" s="10" t="s">
        <v>7</v>
      </c>
      <c r="B7" s="11">
        <v>281224</v>
      </c>
      <c r="C7" s="12">
        <f t="shared" si="0"/>
        <v>2.2531118305030042E-2</v>
      </c>
      <c r="D7" s="107">
        <f>B7/ORÇAMENTO_EXECUTIVO!G$2</f>
        <v>70.79626412909397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9.5" customHeight="1" x14ac:dyDescent="0.3">
      <c r="A8" s="2" t="s">
        <v>8</v>
      </c>
      <c r="B8" s="13">
        <v>668527.92000000004</v>
      </c>
      <c r="C8" s="14">
        <f t="shared" si="0"/>
        <v>5.3561152873636893E-2</v>
      </c>
      <c r="D8" s="106">
        <f>B8/ORÇAMENTO_EXECUTIVO!G$2</f>
        <v>168.29743977041008</v>
      </c>
      <c r="E8" s="9"/>
      <c r="F8" s="17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9.5" customHeight="1" x14ac:dyDescent="0.3">
      <c r="A9" s="10" t="s">
        <v>40</v>
      </c>
      <c r="B9" s="31">
        <v>392311.51</v>
      </c>
      <c r="C9" s="12">
        <f t="shared" si="0"/>
        <v>3.1431232911255713E-2</v>
      </c>
      <c r="D9" s="107">
        <f>B9/ORÇAMENTO_EXECUTIVO!G$2</f>
        <v>98.7618029856758</v>
      </c>
      <c r="E9" s="33"/>
      <c r="F9" s="18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19.5" customHeight="1" x14ac:dyDescent="0.3">
      <c r="A10" s="2" t="s">
        <v>9</v>
      </c>
      <c r="B10" s="13">
        <v>281940.13</v>
      </c>
      <c r="C10" s="14">
        <f t="shared" si="0"/>
        <v>2.2588493243697372E-2</v>
      </c>
      <c r="D10" s="106">
        <f>B10/ORÇAMENTO_EXECUTIVO!G$2</f>
        <v>70.976545074641891</v>
      </c>
      <c r="E10" s="9"/>
      <c r="F10" s="17"/>
      <c r="G10" s="36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9.5" customHeight="1" x14ac:dyDescent="0.3">
      <c r="A11" s="10" t="s">
        <v>36</v>
      </c>
      <c r="B11" s="31">
        <v>503481.16</v>
      </c>
      <c r="C11" s="12">
        <f t="shared" si="0"/>
        <v>4.0337928414053419E-2</v>
      </c>
      <c r="D11" s="107">
        <f>B11/ORÇAMENTO_EXECUTIVO!G$2</f>
        <v>126.74802003876846</v>
      </c>
      <c r="E11" s="9"/>
      <c r="F11" s="1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19.5" customHeight="1" x14ac:dyDescent="0.3">
      <c r="A12" s="2" t="s">
        <v>37</v>
      </c>
      <c r="B12" s="13">
        <v>215027.20000000001</v>
      </c>
      <c r="C12" s="14">
        <f t="shared" si="0"/>
        <v>1.7227559817083023E-2</v>
      </c>
      <c r="D12" s="106">
        <f>B12/ORÇAMENTO_EXECUTIVO!G$2</f>
        <v>54.131661757671878</v>
      </c>
      <c r="E12" s="9"/>
      <c r="F12" s="9"/>
      <c r="G12" s="37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9.5" customHeight="1" x14ac:dyDescent="0.3">
      <c r="A13" s="10" t="s">
        <v>10</v>
      </c>
      <c r="B13" s="11">
        <v>369121.22</v>
      </c>
      <c r="C13" s="12">
        <f t="shared" si="0"/>
        <v>2.957327211303808E-2</v>
      </c>
      <c r="D13" s="107">
        <f>B13/ORÇAMENTO_EXECUTIVO!G$2</f>
        <v>92.92380233114315</v>
      </c>
      <c r="E13" s="9"/>
      <c r="F13" s="9"/>
      <c r="G13" s="16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9.5" customHeight="1" x14ac:dyDescent="0.3">
      <c r="A14" s="2" t="s">
        <v>11</v>
      </c>
      <c r="B14" s="13">
        <v>657280.97</v>
      </c>
      <c r="C14" s="14">
        <f t="shared" si="0"/>
        <v>5.2660069178714838E-2</v>
      </c>
      <c r="D14" s="106">
        <f>B14/ORÇAMENTO_EXECUTIVO!G$2</f>
        <v>165.46609520932455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ht="19.5" customHeight="1" x14ac:dyDescent="0.3">
      <c r="A15" s="10" t="s">
        <v>12</v>
      </c>
      <c r="B15" s="11">
        <v>1303914.26</v>
      </c>
      <c r="C15" s="12">
        <f t="shared" si="0"/>
        <v>0.10446706700593016</v>
      </c>
      <c r="D15" s="107">
        <f>B15/ORÇAMENTO_EXECUTIVO!G$2</f>
        <v>328.25170807844319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9.5" customHeight="1" x14ac:dyDescent="0.3">
      <c r="A16" s="2" t="s">
        <v>39</v>
      </c>
      <c r="B16" s="13">
        <v>56830.39</v>
      </c>
      <c r="C16" s="14">
        <f t="shared" si="0"/>
        <v>4.553139989513684E-3</v>
      </c>
      <c r="D16" s="106">
        <f>B16/ORÇAMENTO_EXECUTIVO!G$2</f>
        <v>14.306671198046471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9.5" customHeight="1" x14ac:dyDescent="0.3">
      <c r="A17" s="10" t="s">
        <v>13</v>
      </c>
      <c r="B17" s="11">
        <v>395281.33</v>
      </c>
      <c r="C17" s="12">
        <f t="shared" si="0"/>
        <v>3.1669169096519574E-2</v>
      </c>
      <c r="D17" s="107">
        <f>B17/ORÇAMENTO_EXECUTIVO!G$2</f>
        <v>99.509435339727617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9.5" customHeight="1" x14ac:dyDescent="0.3">
      <c r="A18" s="2" t="s">
        <v>14</v>
      </c>
      <c r="B18" s="13">
        <v>230363.64</v>
      </c>
      <c r="C18" s="14">
        <f t="shared" si="0"/>
        <v>1.845628547356325E-2</v>
      </c>
      <c r="D18" s="106">
        <f>B18/ORÇAMENTO_EXECUTIVO!G$2</f>
        <v>57.992508118722149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19.5" customHeight="1" x14ac:dyDescent="0.3">
      <c r="A19" s="74" t="s">
        <v>38</v>
      </c>
      <c r="B19" s="75">
        <v>185693.21</v>
      </c>
      <c r="C19" s="76">
        <f>B19/B$20</f>
        <v>1.4877377759191205E-2</v>
      </c>
      <c r="D19" s="108">
        <f>B19/ORÇAMENTO_EXECUTIVO!G$2</f>
        <v>46.74702565264456</v>
      </c>
      <c r="E19" s="174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ht="19.5" customHeight="1" x14ac:dyDescent="0.3">
      <c r="A20" s="72" t="s">
        <v>15</v>
      </c>
      <c r="B20" s="77">
        <f>SUM(B2:B19)</f>
        <v>12481581.970000003</v>
      </c>
      <c r="C20" s="78">
        <f>SUM(C2:C19)</f>
        <v>0.99999999999999978</v>
      </c>
      <c r="D20" s="79">
        <f>SUM(D2:D19)</f>
        <v>3142.1549152883717</v>
      </c>
      <c r="E20" s="16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ht="19.5" customHeight="1" x14ac:dyDescent="0.3">
      <c r="A21" s="72" t="s">
        <v>57</v>
      </c>
      <c r="B21" s="77">
        <v>2418.9699999999998</v>
      </c>
      <c r="C21" s="80">
        <v>45200</v>
      </c>
      <c r="D21" s="79">
        <f>+D20/B21</f>
        <v>1.2989639868573699</v>
      </c>
      <c r="E21" s="16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22.5" customHeight="1" x14ac:dyDescent="0.3">
      <c r="A22" s="9"/>
      <c r="B22" s="16"/>
      <c r="C22" s="17"/>
      <c r="D22" s="17"/>
      <c r="E22" s="9"/>
      <c r="F22" s="1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22.5" customHeight="1" x14ac:dyDescent="0.3">
      <c r="A23" s="9"/>
      <c r="B23" s="16"/>
      <c r="C23" s="17"/>
      <c r="D23" s="1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15" customHeight="1" x14ac:dyDescent="0.3">
      <c r="A24" s="9"/>
      <c r="B24" s="9"/>
      <c r="C24" s="17"/>
      <c r="D24" s="17"/>
      <c r="E24" s="9"/>
      <c r="F24" s="1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9.5" customHeight="1" x14ac:dyDescent="0.3">
      <c r="A25" s="9"/>
      <c r="B25" s="9"/>
      <c r="C25" s="17"/>
      <c r="D25" s="17"/>
      <c r="E25" s="18"/>
      <c r="F25" s="9"/>
      <c r="G25" s="16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9.5" customHeight="1" x14ac:dyDescent="0.55000000000000004">
      <c r="A26" s="9"/>
      <c r="B26" s="9"/>
      <c r="C26" s="17"/>
      <c r="D26" s="17"/>
      <c r="E26" s="19"/>
      <c r="F26" s="16"/>
      <c r="G26" s="16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9.5" customHeight="1" x14ac:dyDescent="0.3">
      <c r="A27" s="9"/>
      <c r="B27" s="9"/>
      <c r="C27" s="17"/>
      <c r="D27" s="17"/>
      <c r="E27" s="20"/>
      <c r="F27" s="2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9.5" customHeight="1" x14ac:dyDescent="0.3">
      <c r="A28" s="9"/>
      <c r="B28" s="9"/>
      <c r="C28" s="17"/>
      <c r="D28" s="17"/>
      <c r="E28" s="9"/>
      <c r="F28" s="2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9.5" customHeight="1" x14ac:dyDescent="0.3">
      <c r="A29" s="9"/>
      <c r="B29" s="9"/>
      <c r="C29" s="17"/>
      <c r="D29" s="1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9.5" customHeight="1" x14ac:dyDescent="0.3">
      <c r="A30" s="9"/>
      <c r="B30" s="9"/>
      <c r="C30" s="17"/>
      <c r="D30" s="1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9.5" customHeight="1" x14ac:dyDescent="0.3">
      <c r="A31" s="9"/>
      <c r="B31" s="9"/>
      <c r="C31" s="17"/>
      <c r="D31" s="17"/>
      <c r="E31" s="9"/>
      <c r="F31" s="1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9.5" customHeight="1" x14ac:dyDescent="0.3">
      <c r="A32" s="9"/>
      <c r="B32" s="9"/>
      <c r="C32" s="17"/>
      <c r="D32" s="1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9.5" customHeight="1" x14ac:dyDescent="0.3">
      <c r="A33" s="9"/>
      <c r="B33" s="9"/>
      <c r="C33" s="17"/>
      <c r="D33" s="17"/>
      <c r="E33" s="9"/>
      <c r="F33" s="1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9.5" customHeight="1" x14ac:dyDescent="0.3">
      <c r="A34" s="9"/>
      <c r="B34" s="9"/>
      <c r="C34" s="17"/>
      <c r="D34" s="1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9.5" customHeight="1" x14ac:dyDescent="0.3">
      <c r="A35" s="9"/>
      <c r="B35" s="9"/>
      <c r="C35" s="17"/>
      <c r="D35" s="1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ht="19.5" customHeight="1" x14ac:dyDescent="0.3">
      <c r="A36" s="9"/>
      <c r="B36" s="9"/>
      <c r="C36" s="17"/>
      <c r="D36" s="1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ht="19.5" customHeight="1" x14ac:dyDescent="0.3">
      <c r="A37" s="9"/>
      <c r="B37" s="9"/>
      <c r="C37" s="17"/>
      <c r="D37" s="1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ht="19.5" customHeight="1" x14ac:dyDescent="0.3">
      <c r="A38" s="9"/>
      <c r="B38" s="9"/>
      <c r="C38" s="17"/>
      <c r="D38" s="1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ht="19.5" customHeight="1" x14ac:dyDescent="0.3">
      <c r="A39" s="9"/>
      <c r="B39" s="9"/>
      <c r="C39" s="17"/>
      <c r="D39" s="1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9.5" customHeight="1" x14ac:dyDescent="0.3">
      <c r="A40" s="9"/>
      <c r="B40" s="9"/>
      <c r="C40" s="17"/>
      <c r="D40" s="1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ht="19.5" customHeight="1" x14ac:dyDescent="0.3">
      <c r="A41" s="9"/>
      <c r="B41" s="9"/>
      <c r="C41" s="17"/>
      <c r="D41" s="1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19.5" customHeight="1" x14ac:dyDescent="0.3">
      <c r="A42" s="9"/>
      <c r="B42" s="9"/>
      <c r="C42" s="17"/>
      <c r="D42" s="1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ht="19.5" customHeight="1" x14ac:dyDescent="0.3">
      <c r="A43" s="9"/>
      <c r="B43" s="9"/>
      <c r="C43" s="17"/>
      <c r="D43" s="1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ht="19.5" customHeight="1" x14ac:dyDescent="0.3">
      <c r="A44" s="9"/>
      <c r="B44" s="9"/>
      <c r="C44" s="17"/>
      <c r="D44" s="1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9.5" customHeight="1" x14ac:dyDescent="0.3">
      <c r="A45" s="9"/>
      <c r="B45" s="9"/>
      <c r="C45" s="17"/>
      <c r="D45" s="1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ht="19.5" customHeight="1" x14ac:dyDescent="0.3">
      <c r="A46" s="9"/>
      <c r="B46" s="9"/>
      <c r="C46" s="17"/>
      <c r="D46" s="1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ht="19.5" customHeight="1" x14ac:dyDescent="0.3">
      <c r="A47" s="9"/>
      <c r="B47" s="9"/>
      <c r="C47" s="17"/>
      <c r="D47" s="1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19.5" customHeight="1" x14ac:dyDescent="0.3">
      <c r="A48" s="9"/>
      <c r="B48" s="9"/>
      <c r="C48" s="17"/>
      <c r="D48" s="1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9.5" customHeight="1" x14ac:dyDescent="0.3">
      <c r="A49" s="9"/>
      <c r="B49" s="9"/>
      <c r="C49" s="17"/>
      <c r="D49" s="1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19.5" customHeight="1" x14ac:dyDescent="0.3">
      <c r="A50" s="9"/>
      <c r="B50" s="9"/>
      <c r="C50" s="17"/>
      <c r="D50" s="1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19.5" customHeight="1" x14ac:dyDescent="0.3">
      <c r="A51" s="9"/>
      <c r="B51" s="9"/>
      <c r="C51" s="17"/>
      <c r="D51" s="1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9.5" customHeight="1" x14ac:dyDescent="0.3">
      <c r="A52" s="9"/>
      <c r="B52" s="9"/>
      <c r="C52" s="17"/>
      <c r="D52" s="1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9.5" customHeight="1" x14ac:dyDescent="0.3">
      <c r="A53" s="9"/>
      <c r="B53" s="9"/>
      <c r="C53" s="17"/>
      <c r="D53" s="1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9.5" customHeight="1" x14ac:dyDescent="0.3">
      <c r="A54" s="9"/>
      <c r="B54" s="9"/>
      <c r="C54" s="17"/>
      <c r="D54" s="1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ht="19.5" customHeight="1" x14ac:dyDescent="0.3">
      <c r="A55" s="9"/>
      <c r="B55" s="9"/>
      <c r="C55" s="17"/>
      <c r="D55" s="1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ht="19.5" customHeight="1" x14ac:dyDescent="0.3">
      <c r="A56" s="9"/>
      <c r="B56" s="9"/>
      <c r="C56" s="17"/>
      <c r="D56" s="1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9.5" customHeight="1" x14ac:dyDescent="0.3">
      <c r="A57" s="9"/>
      <c r="B57" s="9"/>
      <c r="C57" s="17"/>
      <c r="D57" s="1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9.5" customHeight="1" x14ac:dyDescent="0.3">
      <c r="A58" s="9"/>
      <c r="B58" s="9"/>
      <c r="C58" s="17"/>
      <c r="D58" s="1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9.5" customHeight="1" x14ac:dyDescent="0.3">
      <c r="A59" s="9"/>
      <c r="B59" s="9"/>
      <c r="C59" s="17"/>
      <c r="D59" s="1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19.5" customHeight="1" x14ac:dyDescent="0.3">
      <c r="A60" s="9"/>
      <c r="B60" s="9"/>
      <c r="C60" s="17"/>
      <c r="D60" s="1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ht="19.5" customHeight="1" x14ac:dyDescent="0.3">
      <c r="A61" s="9"/>
      <c r="B61" s="9"/>
      <c r="C61" s="17"/>
      <c r="D61" s="1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19.5" customHeight="1" x14ac:dyDescent="0.3">
      <c r="A62" s="9"/>
      <c r="B62" s="9"/>
      <c r="C62" s="17"/>
      <c r="D62" s="1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19.5" customHeight="1" x14ac:dyDescent="0.3">
      <c r="A63" s="9"/>
      <c r="B63" s="9"/>
      <c r="C63" s="17"/>
      <c r="D63" s="1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19.5" customHeight="1" x14ac:dyDescent="0.3">
      <c r="A64" s="9"/>
      <c r="B64" s="9"/>
      <c r="C64" s="17"/>
      <c r="D64" s="1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19.5" customHeight="1" x14ac:dyDescent="0.3">
      <c r="A65" s="9"/>
      <c r="B65" s="9"/>
      <c r="C65" s="17"/>
      <c r="D65" s="1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19.5" customHeight="1" x14ac:dyDescent="0.3">
      <c r="A66" s="9"/>
      <c r="B66" s="9"/>
      <c r="C66" s="17"/>
      <c r="D66" s="1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19.5" customHeight="1" x14ac:dyDescent="0.3">
      <c r="A67" s="9"/>
      <c r="B67" s="9"/>
      <c r="C67" s="17"/>
      <c r="D67" s="1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19.5" customHeight="1" x14ac:dyDescent="0.3">
      <c r="A68" s="9"/>
      <c r="B68" s="9"/>
      <c r="C68" s="17"/>
      <c r="D68" s="1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19.5" customHeight="1" x14ac:dyDescent="0.3">
      <c r="A69" s="9"/>
      <c r="B69" s="9"/>
      <c r="C69" s="17"/>
      <c r="D69" s="1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9.5" customHeight="1" x14ac:dyDescent="0.3">
      <c r="A70" s="9"/>
      <c r="B70" s="9"/>
      <c r="C70" s="17"/>
      <c r="D70" s="1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19.5" customHeight="1" x14ac:dyDescent="0.3">
      <c r="A71" s="9"/>
      <c r="B71" s="9"/>
      <c r="C71" s="17"/>
      <c r="D71" s="1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19.5" customHeight="1" x14ac:dyDescent="0.3">
      <c r="A72" s="9"/>
      <c r="B72" s="9"/>
      <c r="C72" s="17"/>
      <c r="D72" s="1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19.5" customHeight="1" x14ac:dyDescent="0.3">
      <c r="A73" s="9"/>
      <c r="B73" s="9"/>
      <c r="C73" s="17"/>
      <c r="D73" s="1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ht="19.5" customHeight="1" x14ac:dyDescent="0.3">
      <c r="A74" s="9"/>
      <c r="B74" s="9"/>
      <c r="C74" s="17"/>
      <c r="D74" s="1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19.5" customHeight="1" x14ac:dyDescent="0.3">
      <c r="A75" s="9"/>
      <c r="B75" s="9"/>
      <c r="C75" s="17"/>
      <c r="D75" s="1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ht="19.5" customHeight="1" x14ac:dyDescent="0.3">
      <c r="A76" s="9"/>
      <c r="B76" s="9"/>
      <c r="C76" s="17"/>
      <c r="D76" s="17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19.5" customHeight="1" x14ac:dyDescent="0.3">
      <c r="A77" s="9"/>
      <c r="B77" s="9"/>
      <c r="C77" s="17"/>
      <c r="D77" s="17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19.5" customHeight="1" x14ac:dyDescent="0.3">
      <c r="A78" s="9"/>
      <c r="B78" s="9"/>
      <c r="C78" s="17"/>
      <c r="D78" s="1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19.5" customHeight="1" x14ac:dyDescent="0.3">
      <c r="A79" s="9"/>
      <c r="B79" s="9"/>
      <c r="C79" s="17"/>
      <c r="D79" s="1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19.5" customHeight="1" x14ac:dyDescent="0.3">
      <c r="A80" s="9"/>
      <c r="B80" s="9"/>
      <c r="C80" s="17"/>
      <c r="D80" s="1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ht="19.5" customHeight="1" x14ac:dyDescent="0.3">
      <c r="A81" s="9"/>
      <c r="B81" s="9"/>
      <c r="C81" s="17"/>
      <c r="D81" s="17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19.5" customHeight="1" x14ac:dyDescent="0.3">
      <c r="A82" s="9"/>
      <c r="B82" s="9"/>
      <c r="C82" s="17"/>
      <c r="D82" s="17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ht="19.5" customHeight="1" x14ac:dyDescent="0.3">
      <c r="A83" s="9"/>
      <c r="B83" s="9"/>
      <c r="C83" s="17"/>
      <c r="D83" s="17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19.5" customHeight="1" x14ac:dyDescent="0.3">
      <c r="A84" s="9"/>
      <c r="B84" s="9"/>
      <c r="C84" s="17"/>
      <c r="D84" s="17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ht="19.5" customHeight="1" x14ac:dyDescent="0.3">
      <c r="A85" s="9"/>
      <c r="B85" s="9"/>
      <c r="C85" s="17"/>
      <c r="D85" s="1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ht="19.5" customHeight="1" x14ac:dyDescent="0.3">
      <c r="A86" s="9"/>
      <c r="B86" s="9"/>
      <c r="C86" s="17"/>
      <c r="D86" s="1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19.5" customHeight="1" x14ac:dyDescent="0.3">
      <c r="A87" s="9"/>
      <c r="B87" s="9"/>
      <c r="C87" s="17"/>
      <c r="D87" s="1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ht="19.5" customHeight="1" x14ac:dyDescent="0.3">
      <c r="A88" s="9"/>
      <c r="B88" s="9"/>
      <c r="C88" s="17"/>
      <c r="D88" s="1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ht="19.5" customHeight="1" x14ac:dyDescent="0.3">
      <c r="A89" s="9"/>
      <c r="B89" s="9"/>
      <c r="C89" s="17"/>
      <c r="D89" s="1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ht="19.5" customHeight="1" x14ac:dyDescent="0.3">
      <c r="A90" s="9"/>
      <c r="B90" s="9"/>
      <c r="C90" s="17"/>
      <c r="D90" s="1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ht="19.5" customHeight="1" x14ac:dyDescent="0.3">
      <c r="A91" s="9"/>
      <c r="B91" s="9"/>
      <c r="C91" s="17"/>
      <c r="D91" s="1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19.5" customHeight="1" x14ac:dyDescent="0.3">
      <c r="A92" s="9"/>
      <c r="B92" s="9"/>
      <c r="C92" s="17"/>
      <c r="D92" s="1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ht="19.5" customHeight="1" x14ac:dyDescent="0.3">
      <c r="A93" s="9"/>
      <c r="B93" s="9"/>
      <c r="C93" s="17"/>
      <c r="D93" s="1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ht="19.5" customHeight="1" x14ac:dyDescent="0.3">
      <c r="A94" s="9"/>
      <c r="B94" s="9"/>
      <c r="C94" s="17"/>
      <c r="D94" s="1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ht="19.5" customHeight="1" x14ac:dyDescent="0.3">
      <c r="A95" s="9"/>
      <c r="B95" s="9"/>
      <c r="C95" s="17"/>
      <c r="D95" s="1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19.5" customHeight="1" x14ac:dyDescent="0.3">
      <c r="A96" s="9"/>
      <c r="B96" s="9"/>
      <c r="C96" s="17"/>
      <c r="D96" s="1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ht="19.5" customHeight="1" x14ac:dyDescent="0.3">
      <c r="A97" s="9"/>
      <c r="B97" s="9"/>
      <c r="C97" s="17"/>
      <c r="D97" s="1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19.5" customHeight="1" x14ac:dyDescent="0.3">
      <c r="A98" s="9"/>
      <c r="B98" s="9"/>
      <c r="C98" s="17"/>
      <c r="D98" s="1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ht="19.5" customHeight="1" x14ac:dyDescent="0.3">
      <c r="A99" s="9"/>
      <c r="B99" s="9"/>
      <c r="C99" s="17"/>
      <c r="D99" s="1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ht="19.5" customHeight="1" x14ac:dyDescent="0.3">
      <c r="A100" s="9"/>
      <c r="B100" s="9"/>
      <c r="C100" s="17"/>
      <c r="D100" s="1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ht="19.5" customHeight="1" x14ac:dyDescent="0.3">
      <c r="A101" s="9"/>
      <c r="B101" s="9"/>
      <c r="C101" s="17"/>
      <c r="D101" s="1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19.5" customHeight="1" x14ac:dyDescent="0.3">
      <c r="A102" s="9"/>
      <c r="B102" s="9"/>
      <c r="C102" s="17"/>
      <c r="D102" s="1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ht="19.5" customHeight="1" x14ac:dyDescent="0.3">
      <c r="A103" s="9"/>
      <c r="B103" s="9"/>
      <c r="C103" s="17"/>
      <c r="D103" s="1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ht="19.5" customHeight="1" x14ac:dyDescent="0.3">
      <c r="A104" s="9"/>
      <c r="B104" s="9"/>
      <c r="C104" s="17"/>
      <c r="D104" s="17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ht="19.5" customHeight="1" x14ac:dyDescent="0.3">
      <c r="A105" s="9"/>
      <c r="B105" s="9"/>
      <c r="C105" s="17"/>
      <c r="D105" s="17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19.5" customHeight="1" x14ac:dyDescent="0.3">
      <c r="A106" s="9"/>
      <c r="B106" s="9"/>
      <c r="C106" s="17"/>
      <c r="D106" s="17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ht="19.5" customHeight="1" x14ac:dyDescent="0.3">
      <c r="A107" s="9"/>
      <c r="B107" s="9"/>
      <c r="C107" s="17"/>
      <c r="D107" s="1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ht="19.5" customHeight="1" x14ac:dyDescent="0.3">
      <c r="A108" s="9"/>
      <c r="B108" s="9"/>
      <c r="C108" s="17"/>
      <c r="D108" s="17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ht="19.5" customHeight="1" x14ac:dyDescent="0.3">
      <c r="A109" s="9"/>
      <c r="B109" s="9"/>
      <c r="C109" s="17"/>
      <c r="D109" s="17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19.5" customHeight="1" x14ac:dyDescent="0.3">
      <c r="A110" s="9"/>
      <c r="B110" s="9"/>
      <c r="C110" s="17"/>
      <c r="D110" s="17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ht="19.5" customHeight="1" x14ac:dyDescent="0.3">
      <c r="A111" s="9"/>
      <c r="B111" s="9"/>
      <c r="C111" s="17"/>
      <c r="D111" s="17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ht="19.5" customHeight="1" x14ac:dyDescent="0.3">
      <c r="A112" s="9"/>
      <c r="B112" s="9"/>
      <c r="C112" s="17"/>
      <c r="D112" s="17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 ht="19.5" customHeight="1" x14ac:dyDescent="0.3">
      <c r="A113" s="9"/>
      <c r="B113" s="9"/>
      <c r="C113" s="17"/>
      <c r="D113" s="17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19.5" customHeight="1" x14ac:dyDescent="0.3">
      <c r="A114" s="9"/>
      <c r="B114" s="9"/>
      <c r="C114" s="17"/>
      <c r="D114" s="17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19.5" customHeight="1" x14ac:dyDescent="0.3">
      <c r="A115" s="9"/>
      <c r="B115" s="9"/>
      <c r="C115" s="17"/>
      <c r="D115" s="17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 ht="19.5" customHeight="1" x14ac:dyDescent="0.3">
      <c r="A116" s="9"/>
      <c r="B116" s="9"/>
      <c r="C116" s="17"/>
      <c r="D116" s="17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ht="19.5" customHeight="1" x14ac:dyDescent="0.3">
      <c r="A117" s="9"/>
      <c r="B117" s="9"/>
      <c r="C117" s="17"/>
      <c r="D117" s="17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19.5" customHeight="1" x14ac:dyDescent="0.3">
      <c r="A118" s="9"/>
      <c r="B118" s="9"/>
      <c r="C118" s="17"/>
      <c r="D118" s="17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 ht="19.5" customHeight="1" x14ac:dyDescent="0.3">
      <c r="A119" s="9"/>
      <c r="B119" s="9"/>
      <c r="C119" s="17"/>
      <c r="D119" s="17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ht="19.5" customHeight="1" x14ac:dyDescent="0.3">
      <c r="A120" s="9"/>
      <c r="B120" s="9"/>
      <c r="C120" s="17"/>
      <c r="D120" s="17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 ht="19.5" customHeight="1" x14ac:dyDescent="0.3">
      <c r="A121" s="9"/>
      <c r="B121" s="9"/>
      <c r="C121" s="17"/>
      <c r="D121" s="17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 ht="19.5" customHeight="1" x14ac:dyDescent="0.3">
      <c r="A122" s="9"/>
      <c r="B122" s="9"/>
      <c r="C122" s="17"/>
      <c r="D122" s="17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19.5" customHeight="1" x14ac:dyDescent="0.3">
      <c r="A123" s="9"/>
      <c r="B123" s="9"/>
      <c r="C123" s="17"/>
      <c r="D123" s="1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ht="19.5" customHeight="1" x14ac:dyDescent="0.3">
      <c r="A124" s="9"/>
      <c r="B124" s="9"/>
      <c r="C124" s="17"/>
      <c r="D124" s="17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 ht="19.5" customHeight="1" x14ac:dyDescent="0.3">
      <c r="A125" s="9"/>
      <c r="B125" s="9"/>
      <c r="C125" s="17"/>
      <c r="D125" s="17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ht="19.5" customHeight="1" x14ac:dyDescent="0.3">
      <c r="A126" s="9"/>
      <c r="B126" s="9"/>
      <c r="C126" s="17"/>
      <c r="D126" s="17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19.5" customHeight="1" x14ac:dyDescent="0.3">
      <c r="A127" s="9"/>
      <c r="B127" s="9"/>
      <c r="C127" s="17"/>
      <c r="D127" s="17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ht="19.5" customHeight="1" x14ac:dyDescent="0.3">
      <c r="A128" s="9"/>
      <c r="B128" s="9"/>
      <c r="C128" s="17"/>
      <c r="D128" s="17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 ht="19.5" customHeight="1" x14ac:dyDescent="0.3">
      <c r="A129" s="9"/>
      <c r="B129" s="9"/>
      <c r="C129" s="17"/>
      <c r="D129" s="17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19.5" customHeight="1" x14ac:dyDescent="0.3">
      <c r="A130" s="9"/>
      <c r="B130" s="9"/>
      <c r="C130" s="17"/>
      <c r="D130" s="17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 ht="19.5" customHeight="1" x14ac:dyDescent="0.3">
      <c r="A131" s="9"/>
      <c r="B131" s="9"/>
      <c r="C131" s="17"/>
      <c r="D131" s="17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ht="19.5" customHeight="1" x14ac:dyDescent="0.3">
      <c r="A132" s="9"/>
      <c r="B132" s="9"/>
      <c r="C132" s="17"/>
      <c r="D132" s="17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 ht="19.5" customHeight="1" x14ac:dyDescent="0.3">
      <c r="A133" s="9"/>
      <c r="B133" s="9"/>
      <c r="C133" s="17"/>
      <c r="D133" s="17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 ht="19.5" customHeight="1" x14ac:dyDescent="0.3">
      <c r="A134" s="9"/>
      <c r="B134" s="9"/>
      <c r="C134" s="17"/>
      <c r="D134" s="17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 ht="19.5" customHeight="1" x14ac:dyDescent="0.3">
      <c r="A135" s="9"/>
      <c r="B135" s="9"/>
      <c r="C135" s="17"/>
      <c r="D135" s="17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 ht="19.5" customHeight="1" x14ac:dyDescent="0.3">
      <c r="A136" s="9"/>
      <c r="B136" s="9"/>
      <c r="C136" s="17"/>
      <c r="D136" s="17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 ht="19.5" customHeight="1" x14ac:dyDescent="0.3">
      <c r="A137" s="9"/>
      <c r="B137" s="9"/>
      <c r="C137" s="17"/>
      <c r="D137" s="17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ht="19.5" customHeight="1" x14ac:dyDescent="0.3">
      <c r="A138" s="9"/>
      <c r="B138" s="9"/>
      <c r="C138" s="17"/>
      <c r="D138" s="17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 ht="19.5" customHeight="1" x14ac:dyDescent="0.3">
      <c r="A139" s="9"/>
      <c r="B139" s="9"/>
      <c r="C139" s="17"/>
      <c r="D139" s="17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 ht="19.5" customHeight="1" x14ac:dyDescent="0.3">
      <c r="A140" s="9"/>
      <c r="B140" s="9"/>
      <c r="C140" s="17"/>
      <c r="D140" s="17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 ht="19.5" customHeight="1" x14ac:dyDescent="0.3">
      <c r="A141" s="9"/>
      <c r="B141" s="9"/>
      <c r="C141" s="17"/>
      <c r="D141" s="17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ht="19.5" customHeight="1" x14ac:dyDescent="0.3">
      <c r="A142" s="9"/>
      <c r="B142" s="9"/>
      <c r="C142" s="17"/>
      <c r="D142" s="17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19.5" customHeight="1" x14ac:dyDescent="0.3">
      <c r="A143" s="9"/>
      <c r="B143" s="9"/>
      <c r="C143" s="17"/>
      <c r="D143" s="17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ht="19.5" customHeight="1" x14ac:dyDescent="0.3">
      <c r="A144" s="9"/>
      <c r="B144" s="9"/>
      <c r="C144" s="17"/>
      <c r="D144" s="1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ht="19.5" customHeight="1" x14ac:dyDescent="0.3">
      <c r="A145" s="9"/>
      <c r="B145" s="9"/>
      <c r="C145" s="17"/>
      <c r="D145" s="17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 ht="19.5" customHeight="1" x14ac:dyDescent="0.3">
      <c r="A146" s="9"/>
      <c r="B146" s="9"/>
      <c r="C146" s="17"/>
      <c r="D146" s="17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 ht="19.5" customHeight="1" x14ac:dyDescent="0.3">
      <c r="A147" s="9"/>
      <c r="B147" s="9"/>
      <c r="C147" s="17"/>
      <c r="D147" s="17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ht="19.5" customHeight="1" x14ac:dyDescent="0.3">
      <c r="A148" s="9"/>
      <c r="B148" s="9"/>
      <c r="C148" s="17"/>
      <c r="D148" s="17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 ht="19.5" customHeight="1" x14ac:dyDescent="0.3">
      <c r="A149" s="9"/>
      <c r="B149" s="9"/>
      <c r="C149" s="17"/>
      <c r="D149" s="17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ht="19.5" customHeight="1" x14ac:dyDescent="0.3">
      <c r="A150" s="9"/>
      <c r="B150" s="9"/>
      <c r="C150" s="17"/>
      <c r="D150" s="17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 ht="19.5" customHeight="1" x14ac:dyDescent="0.3">
      <c r="A151" s="9"/>
      <c r="B151" s="9"/>
      <c r="C151" s="17"/>
      <c r="D151" s="17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 ht="19.5" customHeight="1" x14ac:dyDescent="0.3">
      <c r="A152" s="9"/>
      <c r="B152" s="9"/>
      <c r="C152" s="17"/>
      <c r="D152" s="17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 ht="19.5" customHeight="1" x14ac:dyDescent="0.3">
      <c r="A153" s="9"/>
      <c r="B153" s="9"/>
      <c r="C153" s="17"/>
      <c r="D153" s="17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 ht="19.5" customHeight="1" x14ac:dyDescent="0.3">
      <c r="A154" s="9"/>
      <c r="B154" s="9"/>
      <c r="C154" s="17"/>
      <c r="D154" s="17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 ht="19.5" customHeight="1" x14ac:dyDescent="0.3">
      <c r="A155" s="9"/>
      <c r="B155" s="9"/>
      <c r="C155" s="17"/>
      <c r="D155" s="17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ht="19.5" customHeight="1" x14ac:dyDescent="0.3">
      <c r="A156" s="9"/>
      <c r="B156" s="9"/>
      <c r="C156" s="17"/>
      <c r="D156" s="17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19.5" customHeight="1" x14ac:dyDescent="0.3">
      <c r="A157" s="9"/>
      <c r="B157" s="9"/>
      <c r="C157" s="17"/>
      <c r="D157" s="17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19.5" customHeight="1" x14ac:dyDescent="0.3">
      <c r="A158" s="9"/>
      <c r="B158" s="9"/>
      <c r="C158" s="17"/>
      <c r="D158" s="17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19.5" customHeight="1" x14ac:dyDescent="0.3">
      <c r="A159" s="9"/>
      <c r="B159" s="9"/>
      <c r="C159" s="17"/>
      <c r="D159" s="17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ht="19.5" customHeight="1" x14ac:dyDescent="0.3">
      <c r="A160" s="9"/>
      <c r="B160" s="9"/>
      <c r="C160" s="17"/>
      <c r="D160" s="17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ht="19.5" customHeight="1" x14ac:dyDescent="0.3">
      <c r="A161" s="9"/>
      <c r="B161" s="9"/>
      <c r="C161" s="17"/>
      <c r="D161" s="17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 ht="19.5" customHeight="1" x14ac:dyDescent="0.3">
      <c r="A162" s="9"/>
      <c r="B162" s="9"/>
      <c r="C162" s="17"/>
      <c r="D162" s="17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 ht="19.5" customHeight="1" x14ac:dyDescent="0.3">
      <c r="A163" s="9"/>
      <c r="B163" s="9"/>
      <c r="C163" s="17"/>
      <c r="D163" s="17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ht="19.5" customHeight="1" x14ac:dyDescent="0.3">
      <c r="A164" s="9"/>
      <c r="B164" s="9"/>
      <c r="C164" s="17"/>
      <c r="D164" s="17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 ht="19.5" customHeight="1" x14ac:dyDescent="0.3">
      <c r="A165" s="9"/>
      <c r="B165" s="9"/>
      <c r="C165" s="17"/>
      <c r="D165" s="17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 ht="19.5" customHeight="1" x14ac:dyDescent="0.3">
      <c r="A166" s="9"/>
      <c r="B166" s="9"/>
      <c r="C166" s="17"/>
      <c r="D166" s="17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 ht="19.5" customHeight="1" x14ac:dyDescent="0.3">
      <c r="A167" s="9"/>
      <c r="B167" s="9"/>
      <c r="C167" s="17"/>
      <c r="D167" s="17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19.5" customHeight="1" x14ac:dyDescent="0.3">
      <c r="A168" s="9"/>
      <c r="B168" s="9"/>
      <c r="C168" s="17"/>
      <c r="D168" s="17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 ht="19.5" customHeight="1" x14ac:dyDescent="0.3">
      <c r="A169" s="9"/>
      <c r="B169" s="9"/>
      <c r="C169" s="17"/>
      <c r="D169" s="17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 ht="19.5" customHeight="1" x14ac:dyDescent="0.3">
      <c r="A170" s="9"/>
      <c r="B170" s="9"/>
      <c r="C170" s="17"/>
      <c r="D170" s="17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 ht="19.5" customHeight="1" x14ac:dyDescent="0.3">
      <c r="A171" s="9"/>
      <c r="B171" s="9"/>
      <c r="C171" s="17"/>
      <c r="D171" s="17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19.5" customHeight="1" x14ac:dyDescent="0.3">
      <c r="A172" s="9"/>
      <c r="B172" s="9"/>
      <c r="C172" s="17"/>
      <c r="D172" s="17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ht="19.5" customHeight="1" x14ac:dyDescent="0.3">
      <c r="A173" s="9"/>
      <c r="B173" s="9"/>
      <c r="C173" s="17"/>
      <c r="D173" s="17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ht="19.5" customHeight="1" x14ac:dyDescent="0.3">
      <c r="A174" s="9"/>
      <c r="B174" s="9"/>
      <c r="C174" s="17"/>
      <c r="D174" s="17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ht="19.5" customHeight="1" x14ac:dyDescent="0.3">
      <c r="A175" s="9"/>
      <c r="B175" s="9"/>
      <c r="C175" s="17"/>
      <c r="D175" s="17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ht="19.5" customHeight="1" x14ac:dyDescent="0.3">
      <c r="A176" s="9"/>
      <c r="B176" s="9"/>
      <c r="C176" s="17"/>
      <c r="D176" s="17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 ht="19.5" customHeight="1" x14ac:dyDescent="0.3">
      <c r="A177" s="9"/>
      <c r="B177" s="9"/>
      <c r="C177" s="17"/>
      <c r="D177" s="17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ht="19.5" customHeight="1" x14ac:dyDescent="0.3">
      <c r="A178" s="9"/>
      <c r="B178" s="9"/>
      <c r="C178" s="17"/>
      <c r="D178" s="17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ht="19.5" customHeight="1" x14ac:dyDescent="0.3">
      <c r="A179" s="9"/>
      <c r="B179" s="9"/>
      <c r="C179" s="17"/>
      <c r="D179" s="17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19.5" customHeight="1" x14ac:dyDescent="0.3">
      <c r="A180" s="9"/>
      <c r="B180" s="9"/>
      <c r="C180" s="17"/>
      <c r="D180" s="17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 ht="19.5" customHeight="1" x14ac:dyDescent="0.3">
      <c r="A181" s="9"/>
      <c r="B181" s="9"/>
      <c r="C181" s="17"/>
      <c r="D181" s="17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ht="19.5" customHeight="1" x14ac:dyDescent="0.3">
      <c r="A182" s="9"/>
      <c r="B182" s="9"/>
      <c r="C182" s="17"/>
      <c r="D182" s="17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ht="19.5" customHeight="1" x14ac:dyDescent="0.3">
      <c r="A183" s="9"/>
      <c r="B183" s="9"/>
      <c r="C183" s="17"/>
      <c r="D183" s="17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 ht="19.5" customHeight="1" x14ac:dyDescent="0.3">
      <c r="A184" s="9"/>
      <c r="B184" s="9"/>
      <c r="C184" s="17"/>
      <c r="D184" s="17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ht="19.5" customHeight="1" x14ac:dyDescent="0.3">
      <c r="A185" s="9"/>
      <c r="B185" s="9"/>
      <c r="C185" s="17"/>
      <c r="D185" s="17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ht="19.5" customHeight="1" x14ac:dyDescent="0.3">
      <c r="A186" s="9"/>
      <c r="B186" s="9"/>
      <c r="C186" s="17"/>
      <c r="D186" s="17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 ht="19.5" customHeight="1" x14ac:dyDescent="0.3">
      <c r="A187" s="9"/>
      <c r="B187" s="9"/>
      <c r="C187" s="17"/>
      <c r="D187" s="17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ht="19.5" customHeight="1" x14ac:dyDescent="0.3">
      <c r="A188" s="9"/>
      <c r="B188" s="9"/>
      <c r="C188" s="17"/>
      <c r="D188" s="17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 ht="19.5" customHeight="1" x14ac:dyDescent="0.3">
      <c r="A189" s="9"/>
      <c r="B189" s="9"/>
      <c r="C189" s="17"/>
      <c r="D189" s="17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ht="19.5" customHeight="1" x14ac:dyDescent="0.3">
      <c r="A190" s="9"/>
      <c r="B190" s="9"/>
      <c r="C190" s="17"/>
      <c r="D190" s="17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19.5" customHeight="1" x14ac:dyDescent="0.3">
      <c r="A191" s="9"/>
      <c r="B191" s="9"/>
      <c r="C191" s="17"/>
      <c r="D191" s="17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ht="19.5" customHeight="1" x14ac:dyDescent="0.3">
      <c r="A192" s="9"/>
      <c r="B192" s="9"/>
      <c r="C192" s="17"/>
      <c r="D192" s="1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 ht="19.5" customHeight="1" x14ac:dyDescent="0.3">
      <c r="A193" s="9"/>
      <c r="B193" s="9"/>
      <c r="C193" s="17"/>
      <c r="D193" s="17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ht="19.5" customHeight="1" x14ac:dyDescent="0.3">
      <c r="A194" s="9"/>
      <c r="B194" s="9"/>
      <c r="C194" s="17"/>
      <c r="D194" s="17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ht="19.5" customHeight="1" x14ac:dyDescent="0.3">
      <c r="A195" s="9"/>
      <c r="B195" s="9"/>
      <c r="C195" s="17"/>
      <c r="D195" s="17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 ht="19.5" customHeight="1" x14ac:dyDescent="0.3">
      <c r="A196" s="9"/>
      <c r="B196" s="9"/>
      <c r="C196" s="17"/>
      <c r="D196" s="17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ht="19.5" customHeight="1" x14ac:dyDescent="0.3">
      <c r="A197" s="9"/>
      <c r="B197" s="9"/>
      <c r="C197" s="17"/>
      <c r="D197" s="17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19.5" customHeight="1" x14ac:dyDescent="0.3">
      <c r="A198" s="9"/>
      <c r="B198" s="9"/>
      <c r="C198" s="17"/>
      <c r="D198" s="17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ht="19.5" customHeight="1" x14ac:dyDescent="0.3">
      <c r="A199" s="9"/>
      <c r="B199" s="9"/>
      <c r="C199" s="17"/>
      <c r="D199" s="17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 ht="19.5" customHeight="1" x14ac:dyDescent="0.3">
      <c r="A200" s="9"/>
      <c r="B200" s="9"/>
      <c r="C200" s="17"/>
      <c r="D200" s="17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ht="19.5" customHeight="1" x14ac:dyDescent="0.3">
      <c r="A201" s="9"/>
      <c r="B201" s="9"/>
      <c r="C201" s="17"/>
      <c r="D201" s="17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 ht="19.5" customHeight="1" x14ac:dyDescent="0.3">
      <c r="A202" s="9"/>
      <c r="B202" s="9"/>
      <c r="C202" s="17"/>
      <c r="D202" s="17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 ht="19.5" customHeight="1" x14ac:dyDescent="0.3">
      <c r="A203" s="9"/>
      <c r="B203" s="9"/>
      <c r="C203" s="17"/>
      <c r="D203" s="17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ht="19.5" customHeight="1" x14ac:dyDescent="0.3">
      <c r="A204" s="9"/>
      <c r="B204" s="9"/>
      <c r="C204" s="17"/>
      <c r="D204" s="17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 ht="19.5" customHeight="1" x14ac:dyDescent="0.3">
      <c r="A205" s="9"/>
      <c r="B205" s="9"/>
      <c r="C205" s="17"/>
      <c r="D205" s="17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19.5" customHeight="1" x14ac:dyDescent="0.3">
      <c r="A206" s="9"/>
      <c r="B206" s="9"/>
      <c r="C206" s="17"/>
      <c r="D206" s="17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 ht="19.5" customHeight="1" x14ac:dyDescent="0.3">
      <c r="A207" s="9"/>
      <c r="B207" s="9"/>
      <c r="C207" s="17"/>
      <c r="D207" s="17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 ht="19.5" customHeight="1" x14ac:dyDescent="0.3">
      <c r="A208" s="9"/>
      <c r="B208" s="9"/>
      <c r="C208" s="17"/>
      <c r="D208" s="17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 ht="19.5" customHeight="1" x14ac:dyDescent="0.3">
      <c r="A209" s="9"/>
      <c r="B209" s="9"/>
      <c r="C209" s="17"/>
      <c r="D209" s="17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ht="19.5" customHeight="1" x14ac:dyDescent="0.3">
      <c r="A210" s="9"/>
      <c r="B210" s="9"/>
      <c r="C210" s="17"/>
      <c r="D210" s="17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ht="19.5" customHeight="1" x14ac:dyDescent="0.3">
      <c r="A211" s="9"/>
      <c r="B211" s="9"/>
      <c r="C211" s="17"/>
      <c r="D211" s="17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 ht="19.5" customHeight="1" x14ac:dyDescent="0.3">
      <c r="A212" s="9"/>
      <c r="B212" s="9"/>
      <c r="C212" s="17"/>
      <c r="D212" s="17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 ht="19.5" customHeight="1" x14ac:dyDescent="0.3">
      <c r="A213" s="9"/>
      <c r="B213" s="9"/>
      <c r="C213" s="17"/>
      <c r="D213" s="17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 ht="19.5" customHeight="1" x14ac:dyDescent="0.3">
      <c r="A214" s="9"/>
      <c r="B214" s="9"/>
      <c r="C214" s="17"/>
      <c r="D214" s="17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 ht="19.5" customHeight="1" x14ac:dyDescent="0.3">
      <c r="A215" s="9"/>
      <c r="B215" s="9"/>
      <c r="C215" s="17"/>
      <c r="D215" s="17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ht="19.5" customHeight="1" x14ac:dyDescent="0.3">
      <c r="A216" s="9"/>
      <c r="B216" s="9"/>
      <c r="C216" s="17"/>
      <c r="D216" s="17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ht="19.5" customHeight="1" x14ac:dyDescent="0.3">
      <c r="A217" s="9"/>
      <c r="B217" s="9"/>
      <c r="C217" s="17"/>
      <c r="D217" s="17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ht="19.5" customHeight="1" x14ac:dyDescent="0.3">
      <c r="A218" s="9"/>
      <c r="B218" s="9"/>
      <c r="C218" s="17"/>
      <c r="D218" s="1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 ht="19.5" customHeight="1" x14ac:dyDescent="0.3">
      <c r="A219" s="9"/>
      <c r="B219" s="9"/>
      <c r="C219" s="17"/>
      <c r="D219" s="17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ht="19.5" customHeight="1" x14ac:dyDescent="0.3">
      <c r="A220" s="9"/>
      <c r="B220" s="9"/>
      <c r="C220" s="17"/>
      <c r="D220" s="17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ht="19.5" customHeight="1" x14ac:dyDescent="0.3">
      <c r="A221" s="9"/>
      <c r="B221" s="9"/>
      <c r="C221" s="17"/>
      <c r="D221" s="17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ht="19.5" customHeight="1" x14ac:dyDescent="0.3">
      <c r="A222" s="9"/>
      <c r="B222" s="9"/>
      <c r="C222" s="17"/>
      <c r="D222" s="17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 ht="19.5" customHeight="1" x14ac:dyDescent="0.3">
      <c r="A223" s="9"/>
      <c r="B223" s="9"/>
      <c r="C223" s="17"/>
      <c r="D223" s="17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 ht="19.5" customHeight="1" x14ac:dyDescent="0.3">
      <c r="A224" s="9"/>
      <c r="B224" s="9"/>
      <c r="C224" s="17"/>
      <c r="D224" s="17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ht="19.5" customHeight="1" x14ac:dyDescent="0.3">
      <c r="A225" s="9"/>
      <c r="B225" s="9"/>
      <c r="C225" s="17"/>
      <c r="D225" s="17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 ht="19.5" customHeight="1" x14ac:dyDescent="0.3">
      <c r="A226" s="9"/>
      <c r="B226" s="9"/>
      <c r="C226" s="17"/>
      <c r="D226" s="17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ht="19.5" customHeight="1" x14ac:dyDescent="0.3">
      <c r="A227" s="9"/>
      <c r="B227" s="9"/>
      <c r="C227" s="17"/>
      <c r="D227" s="17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 ht="19.5" customHeight="1" x14ac:dyDescent="0.3">
      <c r="A228" s="9"/>
      <c r="B228" s="9"/>
      <c r="C228" s="17"/>
      <c r="D228" s="17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 ht="19.5" customHeight="1" x14ac:dyDescent="0.3">
      <c r="A229" s="9"/>
      <c r="B229" s="9"/>
      <c r="C229" s="17"/>
      <c r="D229" s="17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ht="19.5" customHeight="1" x14ac:dyDescent="0.3">
      <c r="A230" s="9"/>
      <c r="B230" s="9"/>
      <c r="C230" s="17"/>
      <c r="D230" s="17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 ht="19.5" customHeight="1" x14ac:dyDescent="0.3">
      <c r="A231" s="9"/>
      <c r="B231" s="9"/>
      <c r="C231" s="17"/>
      <c r="D231" s="17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 ht="19.5" customHeight="1" x14ac:dyDescent="0.3">
      <c r="A232" s="9"/>
      <c r="B232" s="9"/>
      <c r="C232" s="17"/>
      <c r="D232" s="17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 ht="19.5" customHeight="1" x14ac:dyDescent="0.3">
      <c r="A233" s="9"/>
      <c r="B233" s="9"/>
      <c r="C233" s="17"/>
      <c r="D233" s="17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 ht="19.5" customHeight="1" x14ac:dyDescent="0.3">
      <c r="A234" s="9"/>
      <c r="B234" s="9"/>
      <c r="C234" s="17"/>
      <c r="D234" s="17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 ht="19.5" customHeight="1" x14ac:dyDescent="0.3">
      <c r="A235" s="9"/>
      <c r="B235" s="9"/>
      <c r="C235" s="17"/>
      <c r="D235" s="17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ht="19.5" customHeight="1" x14ac:dyDescent="0.3">
      <c r="A236" s="9"/>
      <c r="B236" s="9"/>
      <c r="C236" s="17"/>
      <c r="D236" s="17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 ht="19.5" customHeight="1" x14ac:dyDescent="0.3">
      <c r="A237" s="9"/>
      <c r="B237" s="9"/>
      <c r="C237" s="17"/>
      <c r="D237" s="17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ht="19.5" customHeight="1" x14ac:dyDescent="0.3">
      <c r="A238" s="9"/>
      <c r="B238" s="9"/>
      <c r="C238" s="17"/>
      <c r="D238" s="17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 ht="19.5" customHeight="1" x14ac:dyDescent="0.3">
      <c r="A239" s="9"/>
      <c r="B239" s="9"/>
      <c r="C239" s="17"/>
      <c r="D239" s="17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ht="19.5" customHeight="1" x14ac:dyDescent="0.3">
      <c r="A240" s="9"/>
      <c r="B240" s="9"/>
      <c r="C240" s="17"/>
      <c r="D240" s="1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ht="19.5" customHeight="1" x14ac:dyDescent="0.3">
      <c r="A241" s="9"/>
      <c r="B241" s="9"/>
      <c r="C241" s="17"/>
      <c r="D241" s="17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 ht="19.5" customHeight="1" x14ac:dyDescent="0.3">
      <c r="A242" s="9"/>
      <c r="B242" s="9"/>
      <c r="C242" s="17"/>
      <c r="D242" s="17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 ht="19.5" customHeight="1" x14ac:dyDescent="0.3">
      <c r="A243" s="9"/>
      <c r="B243" s="9"/>
      <c r="C243" s="17"/>
      <c r="D243" s="17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 ht="19.5" customHeight="1" x14ac:dyDescent="0.3">
      <c r="A244" s="9"/>
      <c r="B244" s="9"/>
      <c r="C244" s="17"/>
      <c r="D244" s="17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ht="19.5" customHeight="1" x14ac:dyDescent="0.3">
      <c r="A245" s="9"/>
      <c r="B245" s="9"/>
      <c r="C245" s="17"/>
      <c r="D245" s="17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 ht="19.5" customHeight="1" x14ac:dyDescent="0.3">
      <c r="A246" s="9"/>
      <c r="B246" s="9"/>
      <c r="C246" s="17"/>
      <c r="D246" s="17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 ht="19.5" customHeight="1" x14ac:dyDescent="0.3">
      <c r="A247" s="9"/>
      <c r="B247" s="9"/>
      <c r="C247" s="17"/>
      <c r="D247" s="17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ht="19.5" customHeight="1" x14ac:dyDescent="0.3">
      <c r="A248" s="9"/>
      <c r="B248" s="9"/>
      <c r="C248" s="17"/>
      <c r="D248" s="17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ht="19.5" customHeight="1" x14ac:dyDescent="0.3">
      <c r="A249" s="9"/>
      <c r="B249" s="9"/>
      <c r="C249" s="17"/>
      <c r="D249" s="17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 ht="19.5" customHeight="1" x14ac:dyDescent="0.3">
      <c r="A250" s="9"/>
      <c r="B250" s="9"/>
      <c r="C250" s="17"/>
      <c r="D250" s="17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 ht="19.5" customHeight="1" x14ac:dyDescent="0.3">
      <c r="A251" s="9"/>
      <c r="B251" s="9"/>
      <c r="C251" s="17"/>
      <c r="D251" s="17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 ht="19.5" customHeight="1" x14ac:dyDescent="0.3">
      <c r="A252" s="9"/>
      <c r="B252" s="9"/>
      <c r="C252" s="17"/>
      <c r="D252" s="17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 ht="19.5" customHeight="1" x14ac:dyDescent="0.3">
      <c r="A253" s="9"/>
      <c r="B253" s="9"/>
      <c r="C253" s="17"/>
      <c r="D253" s="17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 ht="19.5" customHeight="1" x14ac:dyDescent="0.3">
      <c r="A254" s="9"/>
      <c r="B254" s="9"/>
      <c r="C254" s="17"/>
      <c r="D254" s="17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ht="19.5" customHeight="1" x14ac:dyDescent="0.3">
      <c r="A255" s="9"/>
      <c r="B255" s="9"/>
      <c r="C255" s="17"/>
      <c r="D255" s="17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ht="19.5" customHeight="1" x14ac:dyDescent="0.3">
      <c r="A256" s="9"/>
      <c r="B256" s="9"/>
      <c r="C256" s="17"/>
      <c r="D256" s="17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 ht="19.5" customHeight="1" x14ac:dyDescent="0.3">
      <c r="A257" s="9"/>
      <c r="B257" s="9"/>
      <c r="C257" s="17"/>
      <c r="D257" s="17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 ht="19.5" customHeight="1" x14ac:dyDescent="0.3">
      <c r="A258" s="9"/>
      <c r="B258" s="9"/>
      <c r="C258" s="17"/>
      <c r="D258" s="17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ht="19.5" customHeight="1" x14ac:dyDescent="0.3">
      <c r="A259" s="9"/>
      <c r="B259" s="9"/>
      <c r="C259" s="17"/>
      <c r="D259" s="17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ht="19.5" customHeight="1" x14ac:dyDescent="0.3">
      <c r="A260" s="9"/>
      <c r="B260" s="9"/>
      <c r="C260" s="17"/>
      <c r="D260" s="17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 ht="19.5" customHeight="1" x14ac:dyDescent="0.3">
      <c r="A261" s="9"/>
      <c r="B261" s="9"/>
      <c r="C261" s="17"/>
      <c r="D261" s="17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 ht="19.5" customHeight="1" x14ac:dyDescent="0.3">
      <c r="A262" s="9"/>
      <c r="B262" s="9"/>
      <c r="C262" s="17"/>
      <c r="D262" s="17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 ht="19.5" customHeight="1" x14ac:dyDescent="0.3">
      <c r="A263" s="9"/>
      <c r="B263" s="9"/>
      <c r="C263" s="17"/>
      <c r="D263" s="17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ht="19.5" customHeight="1" x14ac:dyDescent="0.3">
      <c r="A264" s="9"/>
      <c r="B264" s="9"/>
      <c r="C264" s="17"/>
      <c r="D264" s="17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ht="19.5" customHeight="1" x14ac:dyDescent="0.3">
      <c r="A265" s="9"/>
      <c r="B265" s="9"/>
      <c r="C265" s="17"/>
      <c r="D265" s="17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 ht="19.5" customHeight="1" x14ac:dyDescent="0.3">
      <c r="A266" s="9"/>
      <c r="B266" s="9"/>
      <c r="C266" s="17"/>
      <c r="D266" s="17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ht="19.5" customHeight="1" x14ac:dyDescent="0.3">
      <c r="A267" s="9"/>
      <c r="B267" s="9"/>
      <c r="C267" s="17"/>
      <c r="D267" s="17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 ht="19.5" customHeight="1" x14ac:dyDescent="0.3">
      <c r="A268" s="9"/>
      <c r="B268" s="9"/>
      <c r="C268" s="17"/>
      <c r="D268" s="17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ht="19.5" customHeight="1" x14ac:dyDescent="0.3">
      <c r="A269" s="9"/>
      <c r="B269" s="9"/>
      <c r="C269" s="17"/>
      <c r="D269" s="17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 ht="19.5" customHeight="1" x14ac:dyDescent="0.3">
      <c r="A270" s="9"/>
      <c r="B270" s="9"/>
      <c r="C270" s="17"/>
      <c r="D270" s="17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ht="19.5" customHeight="1" x14ac:dyDescent="0.3">
      <c r="A271" s="9"/>
      <c r="B271" s="9"/>
      <c r="C271" s="17"/>
      <c r="D271" s="17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 ht="19.5" customHeight="1" x14ac:dyDescent="0.3">
      <c r="A272" s="9"/>
      <c r="B272" s="9"/>
      <c r="C272" s="17"/>
      <c r="D272" s="17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 ht="19.5" customHeight="1" x14ac:dyDescent="0.3">
      <c r="A273" s="9"/>
      <c r="B273" s="9"/>
      <c r="C273" s="17"/>
      <c r="D273" s="17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 ht="19.5" customHeight="1" x14ac:dyDescent="0.3">
      <c r="A274" s="9"/>
      <c r="B274" s="9"/>
      <c r="C274" s="17"/>
      <c r="D274" s="17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 ht="19.5" customHeight="1" x14ac:dyDescent="0.3">
      <c r="A275" s="9"/>
      <c r="B275" s="9"/>
      <c r="C275" s="17"/>
      <c r="D275" s="17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ht="19.5" customHeight="1" x14ac:dyDescent="0.3">
      <c r="A276" s="9"/>
      <c r="B276" s="9"/>
      <c r="C276" s="17"/>
      <c r="D276" s="17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 ht="19.5" customHeight="1" x14ac:dyDescent="0.3">
      <c r="A277" s="9"/>
      <c r="B277" s="9"/>
      <c r="C277" s="17"/>
      <c r="D277" s="17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ht="19.5" customHeight="1" x14ac:dyDescent="0.3">
      <c r="A278" s="9"/>
      <c r="B278" s="9"/>
      <c r="C278" s="17"/>
      <c r="D278" s="17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 ht="19.5" customHeight="1" x14ac:dyDescent="0.3">
      <c r="A279" s="9"/>
      <c r="B279" s="9"/>
      <c r="C279" s="17"/>
      <c r="D279" s="17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ht="19.5" customHeight="1" x14ac:dyDescent="0.3">
      <c r="A280" s="9"/>
      <c r="B280" s="9"/>
      <c r="C280" s="17"/>
      <c r="D280" s="17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ht="19.5" customHeight="1" x14ac:dyDescent="0.3">
      <c r="A281" s="9"/>
      <c r="B281" s="9"/>
      <c r="C281" s="17"/>
      <c r="D281" s="17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ht="19.5" customHeight="1" x14ac:dyDescent="0.3">
      <c r="A282" s="9"/>
      <c r="B282" s="9"/>
      <c r="C282" s="17"/>
      <c r="D282" s="17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 ht="19.5" customHeight="1" x14ac:dyDescent="0.3">
      <c r="A283" s="9"/>
      <c r="B283" s="9"/>
      <c r="C283" s="17"/>
      <c r="D283" s="17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 ht="19.5" customHeight="1" x14ac:dyDescent="0.3">
      <c r="A284" s="9"/>
      <c r="B284" s="9"/>
      <c r="C284" s="17"/>
      <c r="D284" s="17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ht="19.5" customHeight="1" x14ac:dyDescent="0.3">
      <c r="A285" s="9"/>
      <c r="B285" s="9"/>
      <c r="C285" s="17"/>
      <c r="D285" s="17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ht="19.5" customHeight="1" x14ac:dyDescent="0.3">
      <c r="A286" s="9"/>
      <c r="B286" s="9"/>
      <c r="C286" s="17"/>
      <c r="D286" s="17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 ht="19.5" customHeight="1" x14ac:dyDescent="0.3">
      <c r="A287" s="9"/>
      <c r="B287" s="9"/>
      <c r="C287" s="17"/>
      <c r="D287" s="17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ht="19.5" customHeight="1" x14ac:dyDescent="0.3">
      <c r="A288" s="9"/>
      <c r="B288" s="9"/>
      <c r="C288" s="17"/>
      <c r="D288" s="1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 ht="19.5" customHeight="1" x14ac:dyDescent="0.3">
      <c r="A289" s="9"/>
      <c r="B289" s="9"/>
      <c r="C289" s="17"/>
      <c r="D289" s="17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ht="19.5" customHeight="1" x14ac:dyDescent="0.3">
      <c r="A290" s="9"/>
      <c r="B290" s="9"/>
      <c r="C290" s="17"/>
      <c r="D290" s="17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 ht="19.5" customHeight="1" x14ac:dyDescent="0.3">
      <c r="A291" s="9"/>
      <c r="B291" s="9"/>
      <c r="C291" s="17"/>
      <c r="D291" s="17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 ht="19.5" customHeight="1" x14ac:dyDescent="0.3">
      <c r="A292" s="9"/>
      <c r="B292" s="9"/>
      <c r="C292" s="17"/>
      <c r="D292" s="17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ht="19.5" customHeight="1" x14ac:dyDescent="0.3">
      <c r="A293" s="9"/>
      <c r="B293" s="9"/>
      <c r="C293" s="17"/>
      <c r="D293" s="17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ht="19.5" customHeight="1" x14ac:dyDescent="0.3">
      <c r="A294" s="9"/>
      <c r="B294" s="9"/>
      <c r="C294" s="17"/>
      <c r="D294" s="17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 ht="19.5" customHeight="1" x14ac:dyDescent="0.3">
      <c r="A295" s="9"/>
      <c r="B295" s="9"/>
      <c r="C295" s="17"/>
      <c r="D295" s="17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ht="19.5" customHeight="1" x14ac:dyDescent="0.3">
      <c r="A296" s="9"/>
      <c r="B296" s="9"/>
      <c r="C296" s="17"/>
      <c r="D296" s="17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 ht="19.5" customHeight="1" x14ac:dyDescent="0.3">
      <c r="A297" s="9"/>
      <c r="B297" s="9"/>
      <c r="C297" s="17"/>
      <c r="D297" s="17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 ht="19.5" customHeight="1" x14ac:dyDescent="0.3">
      <c r="A298" s="9"/>
      <c r="B298" s="9"/>
      <c r="C298" s="17"/>
      <c r="D298" s="17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 ht="19.5" customHeight="1" x14ac:dyDescent="0.3">
      <c r="A299" s="9"/>
      <c r="B299" s="9"/>
      <c r="C299" s="17"/>
      <c r="D299" s="17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ht="19.5" customHeight="1" x14ac:dyDescent="0.3">
      <c r="A300" s="9"/>
      <c r="B300" s="9"/>
      <c r="C300" s="17"/>
      <c r="D300" s="17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ht="19.5" customHeight="1" x14ac:dyDescent="0.3">
      <c r="A301" s="9"/>
      <c r="B301" s="9"/>
      <c r="C301" s="17"/>
      <c r="D301" s="17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 ht="19.5" customHeight="1" x14ac:dyDescent="0.3">
      <c r="A302" s="9"/>
      <c r="B302" s="9"/>
      <c r="C302" s="17"/>
      <c r="D302" s="17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ht="19.5" customHeight="1" x14ac:dyDescent="0.3">
      <c r="A303" s="9"/>
      <c r="B303" s="9"/>
      <c r="C303" s="17"/>
      <c r="D303" s="17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ht="19.5" customHeight="1" x14ac:dyDescent="0.3">
      <c r="A304" s="9"/>
      <c r="B304" s="9"/>
      <c r="C304" s="17"/>
      <c r="D304" s="17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 ht="19.5" customHeight="1" x14ac:dyDescent="0.3">
      <c r="A305" s="9"/>
      <c r="B305" s="9"/>
      <c r="C305" s="17"/>
      <c r="D305" s="17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ht="19.5" customHeight="1" x14ac:dyDescent="0.3">
      <c r="A306" s="9"/>
      <c r="B306" s="9"/>
      <c r="C306" s="17"/>
      <c r="D306" s="17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ht="19.5" customHeight="1" x14ac:dyDescent="0.3">
      <c r="A307" s="9"/>
      <c r="B307" s="9"/>
      <c r="C307" s="17"/>
      <c r="D307" s="17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 ht="19.5" customHeight="1" x14ac:dyDescent="0.3">
      <c r="A308" s="9"/>
      <c r="B308" s="9"/>
      <c r="C308" s="17"/>
      <c r="D308" s="17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 ht="19.5" customHeight="1" x14ac:dyDescent="0.3">
      <c r="A309" s="9"/>
      <c r="B309" s="9"/>
      <c r="C309" s="17"/>
      <c r="D309" s="17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 ht="19.5" customHeight="1" x14ac:dyDescent="0.3">
      <c r="A310" s="9"/>
      <c r="B310" s="9"/>
      <c r="C310" s="17"/>
      <c r="D310" s="17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ht="19.5" customHeight="1" x14ac:dyDescent="0.3">
      <c r="A311" s="9"/>
      <c r="B311" s="9"/>
      <c r="C311" s="17"/>
      <c r="D311" s="17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 ht="19.5" customHeight="1" x14ac:dyDescent="0.3">
      <c r="A312" s="9"/>
      <c r="B312" s="9"/>
      <c r="C312" s="17"/>
      <c r="D312" s="17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ht="19.5" customHeight="1" x14ac:dyDescent="0.3">
      <c r="A313" s="9"/>
      <c r="B313" s="9"/>
      <c r="C313" s="17"/>
      <c r="D313" s="17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 ht="19.5" customHeight="1" x14ac:dyDescent="0.3">
      <c r="A314" s="9"/>
      <c r="B314" s="9"/>
      <c r="C314" s="17"/>
      <c r="D314" s="17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 ht="19.5" customHeight="1" x14ac:dyDescent="0.3">
      <c r="A315" s="9"/>
      <c r="B315" s="9"/>
      <c r="C315" s="17"/>
      <c r="D315" s="17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 ht="19.5" customHeight="1" x14ac:dyDescent="0.3">
      <c r="A316" s="9"/>
      <c r="B316" s="9"/>
      <c r="C316" s="17"/>
      <c r="D316" s="17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ht="19.5" customHeight="1" x14ac:dyDescent="0.3">
      <c r="A317" s="9"/>
      <c r="B317" s="9"/>
      <c r="C317" s="17"/>
      <c r="D317" s="17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ht="19.5" customHeight="1" x14ac:dyDescent="0.3">
      <c r="A318" s="9"/>
      <c r="B318" s="9"/>
      <c r="C318" s="17"/>
      <c r="D318" s="17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 ht="19.5" customHeight="1" x14ac:dyDescent="0.3">
      <c r="A319" s="9"/>
      <c r="B319" s="9"/>
      <c r="C319" s="17"/>
      <c r="D319" s="17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ht="19.5" customHeight="1" x14ac:dyDescent="0.3">
      <c r="A320" s="9"/>
      <c r="B320" s="9"/>
      <c r="C320" s="17"/>
      <c r="D320" s="17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ht="19.5" customHeight="1" x14ac:dyDescent="0.3">
      <c r="A321" s="9"/>
      <c r="B321" s="9"/>
      <c r="C321" s="17"/>
      <c r="D321" s="17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 ht="19.5" customHeight="1" x14ac:dyDescent="0.3">
      <c r="A322" s="9"/>
      <c r="B322" s="9"/>
      <c r="C322" s="17"/>
      <c r="D322" s="17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 ht="19.5" customHeight="1" x14ac:dyDescent="0.3">
      <c r="A323" s="9"/>
      <c r="B323" s="9"/>
      <c r="C323" s="17"/>
      <c r="D323" s="17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 ht="19.5" customHeight="1" x14ac:dyDescent="0.3">
      <c r="A324" s="9"/>
      <c r="B324" s="9"/>
      <c r="C324" s="17"/>
      <c r="D324" s="17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ht="19.5" customHeight="1" x14ac:dyDescent="0.3">
      <c r="A325" s="9"/>
      <c r="B325" s="9"/>
      <c r="C325" s="17"/>
      <c r="D325" s="17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ht="19.5" customHeight="1" x14ac:dyDescent="0.3">
      <c r="A326" s="9"/>
      <c r="B326" s="9"/>
      <c r="C326" s="17"/>
      <c r="D326" s="17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 ht="19.5" customHeight="1" x14ac:dyDescent="0.3">
      <c r="A327" s="9"/>
      <c r="B327" s="9"/>
      <c r="C327" s="17"/>
      <c r="D327" s="17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ht="19.5" customHeight="1" x14ac:dyDescent="0.3">
      <c r="A328" s="9"/>
      <c r="B328" s="9"/>
      <c r="C328" s="17"/>
      <c r="D328" s="17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 ht="19.5" customHeight="1" x14ac:dyDescent="0.3">
      <c r="A329" s="9"/>
      <c r="B329" s="9"/>
      <c r="C329" s="17"/>
      <c r="D329" s="17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7" ht="19.5" customHeight="1" x14ac:dyDescent="0.3">
      <c r="A330" s="9"/>
      <c r="B330" s="9"/>
      <c r="C330" s="17"/>
      <c r="D330" s="17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7" ht="19.5" customHeight="1" x14ac:dyDescent="0.3">
      <c r="A331" s="9"/>
      <c r="B331" s="9"/>
      <c r="C331" s="17"/>
      <c r="D331" s="17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7" ht="19.5" customHeight="1" x14ac:dyDescent="0.3">
      <c r="A332" s="9"/>
      <c r="B332" s="9"/>
      <c r="C332" s="17"/>
      <c r="D332" s="17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7" ht="19.5" customHeight="1" x14ac:dyDescent="0.3">
      <c r="A333" s="9"/>
      <c r="B333" s="9"/>
      <c r="C333" s="17"/>
      <c r="D333" s="17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ht="19.5" customHeight="1" x14ac:dyDescent="0.3">
      <c r="A334" s="9"/>
      <c r="B334" s="9"/>
      <c r="C334" s="17"/>
      <c r="D334" s="17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7" ht="19.5" customHeight="1" x14ac:dyDescent="0.3">
      <c r="A335" s="9"/>
      <c r="B335" s="9"/>
      <c r="C335" s="17"/>
      <c r="D335" s="17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7" ht="19.5" customHeight="1" x14ac:dyDescent="0.3">
      <c r="A336" s="9"/>
      <c r="B336" s="9"/>
      <c r="C336" s="17"/>
      <c r="D336" s="17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7" ht="19.5" customHeight="1" x14ac:dyDescent="0.3">
      <c r="A337" s="9"/>
      <c r="B337" s="9"/>
      <c r="C337" s="17"/>
      <c r="D337" s="1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ht="19.5" customHeight="1" x14ac:dyDescent="0.3">
      <c r="A338" s="9"/>
      <c r="B338" s="9"/>
      <c r="C338" s="17"/>
      <c r="D338" s="17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7" ht="19.5" customHeight="1" x14ac:dyDescent="0.3">
      <c r="A339" s="9"/>
      <c r="B339" s="9"/>
      <c r="C339" s="17"/>
      <c r="D339" s="1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7" ht="19.5" customHeight="1" x14ac:dyDescent="0.3">
      <c r="A340" s="9"/>
      <c r="B340" s="9"/>
      <c r="C340" s="17"/>
      <c r="D340" s="17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7" ht="19.5" customHeight="1" x14ac:dyDescent="0.3">
      <c r="A341" s="9"/>
      <c r="B341" s="9"/>
      <c r="C341" s="17"/>
      <c r="D341" s="17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7" ht="19.5" customHeight="1" x14ac:dyDescent="0.3">
      <c r="A342" s="9"/>
      <c r="B342" s="9"/>
      <c r="C342" s="17"/>
      <c r="D342" s="17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7" ht="19.5" customHeight="1" x14ac:dyDescent="0.3">
      <c r="A343" s="9"/>
      <c r="B343" s="9"/>
      <c r="C343" s="17"/>
      <c r="D343" s="17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ht="19.5" customHeight="1" x14ac:dyDescent="0.3">
      <c r="A344" s="9"/>
      <c r="B344" s="9"/>
      <c r="C344" s="17"/>
      <c r="D344" s="17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7" ht="19.5" customHeight="1" x14ac:dyDescent="0.3">
      <c r="A345" s="9"/>
      <c r="B345" s="9"/>
      <c r="C345" s="17"/>
      <c r="D345" s="17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ht="19.5" customHeight="1" x14ac:dyDescent="0.3">
      <c r="A346" s="9"/>
      <c r="B346" s="9"/>
      <c r="C346" s="17"/>
      <c r="D346" s="17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7" ht="19.5" customHeight="1" x14ac:dyDescent="0.3">
      <c r="A347" s="9"/>
      <c r="B347" s="9"/>
      <c r="C347" s="17"/>
      <c r="D347" s="17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ht="19.5" customHeight="1" x14ac:dyDescent="0.3">
      <c r="A348" s="9"/>
      <c r="B348" s="9"/>
      <c r="C348" s="17"/>
      <c r="D348" s="17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7" ht="19.5" customHeight="1" x14ac:dyDescent="0.3">
      <c r="A349" s="9"/>
      <c r="B349" s="9"/>
      <c r="C349" s="17"/>
      <c r="D349" s="17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ht="19.5" customHeight="1" x14ac:dyDescent="0.3">
      <c r="A350" s="9"/>
      <c r="B350" s="9"/>
      <c r="C350" s="17"/>
      <c r="D350" s="17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ht="19.5" customHeight="1" x14ac:dyDescent="0.3">
      <c r="A351" s="9"/>
      <c r="B351" s="9"/>
      <c r="C351" s="17"/>
      <c r="D351" s="17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7" ht="19.5" customHeight="1" x14ac:dyDescent="0.3">
      <c r="A352" s="9"/>
      <c r="B352" s="9"/>
      <c r="C352" s="17"/>
      <c r="D352" s="17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ht="19.5" customHeight="1" x14ac:dyDescent="0.3">
      <c r="A353" s="9"/>
      <c r="B353" s="9"/>
      <c r="C353" s="17"/>
      <c r="D353" s="17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ht="19.5" customHeight="1" x14ac:dyDescent="0.3">
      <c r="A354" s="9"/>
      <c r="B354" s="9"/>
      <c r="C354" s="17"/>
      <c r="D354" s="17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7" ht="19.5" customHeight="1" x14ac:dyDescent="0.3">
      <c r="A355" s="9"/>
      <c r="B355" s="9"/>
      <c r="C355" s="17"/>
      <c r="D355" s="17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7" ht="19.5" customHeight="1" x14ac:dyDescent="0.3">
      <c r="A356" s="9"/>
      <c r="B356" s="9"/>
      <c r="C356" s="17"/>
      <c r="D356" s="17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7" ht="19.5" customHeight="1" x14ac:dyDescent="0.3">
      <c r="A357" s="9"/>
      <c r="B357" s="9"/>
      <c r="C357" s="17"/>
      <c r="D357" s="17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7" ht="19.5" customHeight="1" x14ac:dyDescent="0.3">
      <c r="A358" s="9"/>
      <c r="B358" s="9"/>
      <c r="C358" s="17"/>
      <c r="D358" s="17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ht="19.5" customHeight="1" x14ac:dyDescent="0.3">
      <c r="A359" s="9"/>
      <c r="B359" s="9"/>
      <c r="C359" s="17"/>
      <c r="D359" s="17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7" ht="19.5" customHeight="1" x14ac:dyDescent="0.3">
      <c r="A360" s="9"/>
      <c r="B360" s="9"/>
      <c r="C360" s="17"/>
      <c r="D360" s="17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ht="19.5" customHeight="1" x14ac:dyDescent="0.3">
      <c r="A361" s="9"/>
      <c r="B361" s="9"/>
      <c r="C361" s="17"/>
      <c r="D361" s="17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7" ht="19.5" customHeight="1" x14ac:dyDescent="0.3">
      <c r="A362" s="9"/>
      <c r="B362" s="9"/>
      <c r="C362" s="17"/>
      <c r="D362" s="17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7" ht="19.5" customHeight="1" x14ac:dyDescent="0.3">
      <c r="A363" s="9"/>
      <c r="B363" s="9"/>
      <c r="C363" s="17"/>
      <c r="D363" s="17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7" ht="19.5" customHeight="1" x14ac:dyDescent="0.3">
      <c r="A364" s="9"/>
      <c r="B364" s="9"/>
      <c r="C364" s="17"/>
      <c r="D364" s="17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ht="19.5" customHeight="1" x14ac:dyDescent="0.3">
      <c r="A365" s="9"/>
      <c r="B365" s="9"/>
      <c r="C365" s="17"/>
      <c r="D365" s="17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7" ht="19.5" customHeight="1" x14ac:dyDescent="0.3">
      <c r="A366" s="9"/>
      <c r="B366" s="9"/>
      <c r="C366" s="17"/>
      <c r="D366" s="17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ht="19.5" customHeight="1" x14ac:dyDescent="0.3">
      <c r="A367" s="9"/>
      <c r="B367" s="9"/>
      <c r="C367" s="17"/>
      <c r="D367" s="17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7" ht="19.5" customHeight="1" x14ac:dyDescent="0.3">
      <c r="A368" s="9"/>
      <c r="B368" s="9"/>
      <c r="C368" s="17"/>
      <c r="D368" s="17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ht="19.5" customHeight="1" x14ac:dyDescent="0.3">
      <c r="A369" s="9"/>
      <c r="B369" s="9"/>
      <c r="C369" s="17"/>
      <c r="D369" s="17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7" ht="19.5" customHeight="1" x14ac:dyDescent="0.3">
      <c r="A370" s="9"/>
      <c r="B370" s="9"/>
      <c r="C370" s="17"/>
      <c r="D370" s="17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7" ht="19.5" customHeight="1" x14ac:dyDescent="0.3">
      <c r="A371" s="9"/>
      <c r="B371" s="9"/>
      <c r="C371" s="17"/>
      <c r="D371" s="17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7" ht="19.5" customHeight="1" x14ac:dyDescent="0.3">
      <c r="A372" s="9"/>
      <c r="B372" s="9"/>
      <c r="C372" s="17"/>
      <c r="D372" s="17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ht="19.5" customHeight="1" x14ac:dyDescent="0.3">
      <c r="A373" s="9"/>
      <c r="B373" s="9"/>
      <c r="C373" s="17"/>
      <c r="D373" s="17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7" ht="19.5" customHeight="1" x14ac:dyDescent="0.3">
      <c r="A374" s="9"/>
      <c r="B374" s="9"/>
      <c r="C374" s="17"/>
      <c r="D374" s="17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ht="19.5" customHeight="1" x14ac:dyDescent="0.3">
      <c r="A375" s="9"/>
      <c r="B375" s="9"/>
      <c r="C375" s="17"/>
      <c r="D375" s="17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7" ht="19.5" customHeight="1" x14ac:dyDescent="0.3">
      <c r="A376" s="9"/>
      <c r="B376" s="9"/>
      <c r="C376" s="17"/>
      <c r="D376" s="17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ht="19.5" customHeight="1" x14ac:dyDescent="0.3">
      <c r="A377" s="9"/>
      <c r="B377" s="9"/>
      <c r="C377" s="17"/>
      <c r="D377" s="17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ht="19.5" customHeight="1" x14ac:dyDescent="0.3">
      <c r="A378" s="9"/>
      <c r="B378" s="9"/>
      <c r="C378" s="17"/>
      <c r="D378" s="17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7" ht="19.5" customHeight="1" x14ac:dyDescent="0.3">
      <c r="A379" s="9"/>
      <c r="B379" s="9"/>
      <c r="C379" s="17"/>
      <c r="D379" s="17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7" ht="19.5" customHeight="1" x14ac:dyDescent="0.3">
      <c r="A380" s="9"/>
      <c r="B380" s="9"/>
      <c r="C380" s="17"/>
      <c r="D380" s="17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7" ht="19.5" customHeight="1" x14ac:dyDescent="0.3">
      <c r="A381" s="9"/>
      <c r="B381" s="9"/>
      <c r="C381" s="17"/>
      <c r="D381" s="17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7" ht="19.5" customHeight="1" x14ac:dyDescent="0.3">
      <c r="A382" s="9"/>
      <c r="B382" s="9"/>
      <c r="C382" s="17"/>
      <c r="D382" s="17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7" ht="19.5" customHeight="1" x14ac:dyDescent="0.3">
      <c r="A383" s="9"/>
      <c r="B383" s="9"/>
      <c r="C383" s="17"/>
      <c r="D383" s="17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ht="19.5" customHeight="1" x14ac:dyDescent="0.3">
      <c r="A384" s="9"/>
      <c r="B384" s="9"/>
      <c r="C384" s="17"/>
      <c r="D384" s="17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7" ht="19.5" customHeight="1" x14ac:dyDescent="0.3">
      <c r="A385" s="9"/>
      <c r="B385" s="9"/>
      <c r="C385" s="17"/>
      <c r="D385" s="17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7" ht="19.5" customHeight="1" x14ac:dyDescent="0.3">
      <c r="A386" s="9"/>
      <c r="B386" s="9"/>
      <c r="C386" s="17"/>
      <c r="D386" s="1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7" ht="19.5" customHeight="1" x14ac:dyDescent="0.3">
      <c r="A387" s="9"/>
      <c r="B387" s="9"/>
      <c r="C387" s="17"/>
      <c r="D387" s="17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7" ht="19.5" customHeight="1" x14ac:dyDescent="0.3">
      <c r="A388" s="9"/>
      <c r="B388" s="9"/>
      <c r="C388" s="17"/>
      <c r="D388" s="17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ht="19.5" customHeight="1" x14ac:dyDescent="0.3">
      <c r="A389" s="9"/>
      <c r="B389" s="9"/>
      <c r="C389" s="17"/>
      <c r="D389" s="17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ht="19.5" customHeight="1" x14ac:dyDescent="0.3">
      <c r="A390" s="9"/>
      <c r="B390" s="9"/>
      <c r="C390" s="17"/>
      <c r="D390" s="17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7" ht="19.5" customHeight="1" x14ac:dyDescent="0.3">
      <c r="A391" s="9"/>
      <c r="B391" s="9"/>
      <c r="C391" s="17"/>
      <c r="D391" s="17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7" ht="19.5" customHeight="1" x14ac:dyDescent="0.3">
      <c r="A392" s="9"/>
      <c r="B392" s="9"/>
      <c r="C392" s="17"/>
      <c r="D392" s="17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ht="19.5" customHeight="1" x14ac:dyDescent="0.3">
      <c r="A393" s="9"/>
      <c r="B393" s="9"/>
      <c r="C393" s="17"/>
      <c r="D393" s="17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7" ht="19.5" customHeight="1" x14ac:dyDescent="0.3">
      <c r="A394" s="9"/>
      <c r="B394" s="9"/>
      <c r="C394" s="17"/>
      <c r="D394" s="17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7" ht="19.5" customHeight="1" x14ac:dyDescent="0.3">
      <c r="A395" s="9"/>
      <c r="B395" s="9"/>
      <c r="C395" s="17"/>
      <c r="D395" s="17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7" ht="19.5" customHeight="1" x14ac:dyDescent="0.3">
      <c r="A396" s="9"/>
      <c r="B396" s="9"/>
      <c r="C396" s="17"/>
      <c r="D396" s="17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7" ht="19.5" customHeight="1" x14ac:dyDescent="0.3">
      <c r="A397" s="9"/>
      <c r="B397" s="9"/>
      <c r="C397" s="17"/>
      <c r="D397" s="17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7" ht="19.5" customHeight="1" x14ac:dyDescent="0.3">
      <c r="A398" s="9"/>
      <c r="B398" s="9"/>
      <c r="C398" s="17"/>
      <c r="D398" s="17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ht="19.5" customHeight="1" x14ac:dyDescent="0.3">
      <c r="A399" s="9"/>
      <c r="B399" s="9"/>
      <c r="C399" s="17"/>
      <c r="D399" s="17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7" ht="19.5" customHeight="1" x14ac:dyDescent="0.3">
      <c r="A400" s="9"/>
      <c r="B400" s="9"/>
      <c r="C400" s="17"/>
      <c r="D400" s="17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7" ht="19.5" customHeight="1" x14ac:dyDescent="0.3">
      <c r="A401" s="9"/>
      <c r="B401" s="9"/>
      <c r="C401" s="17"/>
      <c r="D401" s="17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7" ht="19.5" customHeight="1" x14ac:dyDescent="0.3">
      <c r="A402" s="9"/>
      <c r="B402" s="9"/>
      <c r="C402" s="17"/>
      <c r="D402" s="17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ht="19.5" customHeight="1" x14ac:dyDescent="0.3">
      <c r="A403" s="9"/>
      <c r="B403" s="9"/>
      <c r="C403" s="17"/>
      <c r="D403" s="17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7" ht="19.5" customHeight="1" x14ac:dyDescent="0.3">
      <c r="A404" s="9"/>
      <c r="B404" s="9"/>
      <c r="C404" s="17"/>
      <c r="D404" s="17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ht="19.5" customHeight="1" x14ac:dyDescent="0.3">
      <c r="A405" s="9"/>
      <c r="B405" s="9"/>
      <c r="C405" s="17"/>
      <c r="D405" s="17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7" ht="19.5" customHeight="1" x14ac:dyDescent="0.3">
      <c r="A406" s="9"/>
      <c r="B406" s="9"/>
      <c r="C406" s="17"/>
      <c r="D406" s="17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ht="19.5" customHeight="1" x14ac:dyDescent="0.3">
      <c r="A407" s="9"/>
      <c r="B407" s="9"/>
      <c r="C407" s="17"/>
      <c r="D407" s="17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7" ht="19.5" customHeight="1" x14ac:dyDescent="0.3">
      <c r="A408" s="9"/>
      <c r="B408" s="9"/>
      <c r="C408" s="17"/>
      <c r="D408" s="17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ht="19.5" customHeight="1" x14ac:dyDescent="0.3">
      <c r="A409" s="9"/>
      <c r="B409" s="9"/>
      <c r="C409" s="17"/>
      <c r="D409" s="17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7" ht="19.5" customHeight="1" x14ac:dyDescent="0.3">
      <c r="A410" s="9"/>
      <c r="B410" s="9"/>
      <c r="C410" s="17"/>
      <c r="D410" s="17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7" ht="19.5" customHeight="1" x14ac:dyDescent="0.3">
      <c r="A411" s="9"/>
      <c r="B411" s="9"/>
      <c r="C411" s="17"/>
      <c r="D411" s="17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7" ht="19.5" customHeight="1" x14ac:dyDescent="0.3">
      <c r="A412" s="9"/>
      <c r="B412" s="9"/>
      <c r="C412" s="17"/>
      <c r="D412" s="17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ht="19.5" customHeight="1" x14ac:dyDescent="0.3">
      <c r="A413" s="9"/>
      <c r="B413" s="9"/>
      <c r="C413" s="17"/>
      <c r="D413" s="17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ht="19.5" customHeight="1" x14ac:dyDescent="0.3">
      <c r="A414" s="9"/>
      <c r="B414" s="9"/>
      <c r="C414" s="17"/>
      <c r="D414" s="17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ht="19.5" customHeight="1" x14ac:dyDescent="0.3">
      <c r="A415" s="9"/>
      <c r="B415" s="9"/>
      <c r="C415" s="17"/>
      <c r="D415" s="17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7" ht="19.5" customHeight="1" x14ac:dyDescent="0.3">
      <c r="A416" s="9"/>
      <c r="B416" s="9"/>
      <c r="C416" s="17"/>
      <c r="D416" s="17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ht="19.5" customHeight="1" x14ac:dyDescent="0.3">
      <c r="A417" s="9"/>
      <c r="B417" s="9"/>
      <c r="C417" s="17"/>
      <c r="D417" s="17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7" ht="19.5" customHeight="1" x14ac:dyDescent="0.3">
      <c r="A418" s="9"/>
      <c r="B418" s="9"/>
      <c r="C418" s="17"/>
      <c r="D418" s="17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ht="19.5" customHeight="1" x14ac:dyDescent="0.3">
      <c r="A419" s="9"/>
      <c r="B419" s="9"/>
      <c r="C419" s="17"/>
      <c r="D419" s="17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7" ht="19.5" customHeight="1" x14ac:dyDescent="0.3">
      <c r="A420" s="9"/>
      <c r="B420" s="9"/>
      <c r="C420" s="17"/>
      <c r="D420" s="17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ht="19.5" customHeight="1" x14ac:dyDescent="0.3">
      <c r="A421" s="9"/>
      <c r="B421" s="9"/>
      <c r="C421" s="17"/>
      <c r="D421" s="17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7" ht="19.5" customHeight="1" x14ac:dyDescent="0.3">
      <c r="A422" s="9"/>
      <c r="B422" s="9"/>
      <c r="C422" s="17"/>
      <c r="D422" s="17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7" ht="19.5" customHeight="1" x14ac:dyDescent="0.3">
      <c r="A423" s="9"/>
      <c r="B423" s="9"/>
      <c r="C423" s="17"/>
      <c r="D423" s="17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7" ht="19.5" customHeight="1" x14ac:dyDescent="0.3">
      <c r="A424" s="9"/>
      <c r="B424" s="9"/>
      <c r="C424" s="17"/>
      <c r="D424" s="17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7" ht="19.5" customHeight="1" x14ac:dyDescent="0.3">
      <c r="A425" s="9"/>
      <c r="B425" s="9"/>
      <c r="C425" s="17"/>
      <c r="D425" s="17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ht="19.5" customHeight="1" x14ac:dyDescent="0.3">
      <c r="A426" s="9"/>
      <c r="B426" s="9"/>
      <c r="C426" s="17"/>
      <c r="D426" s="17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7" ht="19.5" customHeight="1" x14ac:dyDescent="0.3">
      <c r="A427" s="9"/>
      <c r="B427" s="9"/>
      <c r="C427" s="17"/>
      <c r="D427" s="17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ht="19.5" customHeight="1" x14ac:dyDescent="0.3">
      <c r="A428" s="9"/>
      <c r="B428" s="9"/>
      <c r="C428" s="17"/>
      <c r="D428" s="17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7" ht="19.5" customHeight="1" x14ac:dyDescent="0.3">
      <c r="A429" s="9"/>
      <c r="B429" s="9"/>
      <c r="C429" s="17"/>
      <c r="D429" s="17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ht="19.5" customHeight="1" x14ac:dyDescent="0.3">
      <c r="A430" s="9"/>
      <c r="B430" s="9"/>
      <c r="C430" s="17"/>
      <c r="D430" s="17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7" ht="19.5" customHeight="1" x14ac:dyDescent="0.3">
      <c r="A431" s="9"/>
      <c r="B431" s="9"/>
      <c r="C431" s="17"/>
      <c r="D431" s="17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7" ht="19.5" customHeight="1" x14ac:dyDescent="0.3">
      <c r="A432" s="9"/>
      <c r="B432" s="9"/>
      <c r="C432" s="17"/>
      <c r="D432" s="17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7" ht="19.5" customHeight="1" x14ac:dyDescent="0.3">
      <c r="A433" s="9"/>
      <c r="B433" s="9"/>
      <c r="C433" s="17"/>
      <c r="D433" s="17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7" ht="19.5" customHeight="1" x14ac:dyDescent="0.3">
      <c r="A434" s="9"/>
      <c r="B434" s="9"/>
      <c r="C434" s="17"/>
      <c r="D434" s="17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7" ht="19.5" customHeight="1" x14ac:dyDescent="0.3">
      <c r="A435" s="9"/>
      <c r="B435" s="9"/>
      <c r="C435" s="17"/>
      <c r="D435" s="1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ht="19.5" customHeight="1" x14ac:dyDescent="0.3">
      <c r="A436" s="9"/>
      <c r="B436" s="9"/>
      <c r="C436" s="17"/>
      <c r="D436" s="17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7" ht="19.5" customHeight="1" x14ac:dyDescent="0.3">
      <c r="A437" s="9"/>
      <c r="B437" s="9"/>
      <c r="C437" s="17"/>
      <c r="D437" s="17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ht="19.5" customHeight="1" x14ac:dyDescent="0.3">
      <c r="A438" s="9"/>
      <c r="B438" s="9"/>
      <c r="C438" s="17"/>
      <c r="D438" s="17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7" ht="19.5" customHeight="1" x14ac:dyDescent="0.3">
      <c r="A439" s="9"/>
      <c r="B439" s="9"/>
      <c r="C439" s="17"/>
      <c r="D439" s="17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7" ht="19.5" customHeight="1" x14ac:dyDescent="0.3">
      <c r="A440" s="9"/>
      <c r="B440" s="9"/>
      <c r="C440" s="17"/>
      <c r="D440" s="17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7" ht="19.5" customHeight="1" x14ac:dyDescent="0.3">
      <c r="A441" s="9"/>
      <c r="B441" s="9"/>
      <c r="C441" s="17"/>
      <c r="D441" s="17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ht="19.5" customHeight="1" x14ac:dyDescent="0.3">
      <c r="A442" s="9"/>
      <c r="B442" s="9"/>
      <c r="C442" s="17"/>
      <c r="D442" s="17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7" ht="19.5" customHeight="1" x14ac:dyDescent="0.3">
      <c r="A443" s="9"/>
      <c r="B443" s="9"/>
      <c r="C443" s="17"/>
      <c r="D443" s="17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ht="19.5" customHeight="1" x14ac:dyDescent="0.3">
      <c r="A444" s="9"/>
      <c r="B444" s="9"/>
      <c r="C444" s="17"/>
      <c r="D444" s="17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7" ht="19.5" customHeight="1" x14ac:dyDescent="0.3">
      <c r="A445" s="9"/>
      <c r="B445" s="9"/>
      <c r="C445" s="17"/>
      <c r="D445" s="17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ht="19.5" customHeight="1" x14ac:dyDescent="0.3">
      <c r="A446" s="9"/>
      <c r="B446" s="9"/>
      <c r="C446" s="17"/>
      <c r="D446" s="17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7" ht="19.5" customHeight="1" x14ac:dyDescent="0.3">
      <c r="A447" s="9"/>
      <c r="B447" s="9"/>
      <c r="C447" s="17"/>
      <c r="D447" s="17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ht="19.5" customHeight="1" x14ac:dyDescent="0.3">
      <c r="A448" s="9"/>
      <c r="B448" s="9"/>
      <c r="C448" s="17"/>
      <c r="D448" s="17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7" ht="19.5" customHeight="1" x14ac:dyDescent="0.3">
      <c r="A449" s="9"/>
      <c r="B449" s="9"/>
      <c r="C449" s="17"/>
      <c r="D449" s="17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7" ht="19.5" customHeight="1" x14ac:dyDescent="0.3">
      <c r="A450" s="9"/>
      <c r="B450" s="9"/>
      <c r="C450" s="17"/>
      <c r="D450" s="17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7" ht="19.5" customHeight="1" x14ac:dyDescent="0.3">
      <c r="A451" s="9"/>
      <c r="B451" s="9"/>
      <c r="C451" s="17"/>
      <c r="D451" s="17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ht="19.5" customHeight="1" x14ac:dyDescent="0.3">
      <c r="A452" s="9"/>
      <c r="B452" s="9"/>
      <c r="C452" s="17"/>
      <c r="D452" s="17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7" ht="19.5" customHeight="1" x14ac:dyDescent="0.3">
      <c r="A453" s="9"/>
      <c r="B453" s="9"/>
      <c r="C453" s="17"/>
      <c r="D453" s="17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7" ht="19.5" customHeight="1" x14ac:dyDescent="0.3">
      <c r="A454" s="9"/>
      <c r="B454" s="9"/>
      <c r="C454" s="17"/>
      <c r="D454" s="17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ht="19.5" customHeight="1" x14ac:dyDescent="0.3">
      <c r="A455" s="9"/>
      <c r="B455" s="9"/>
      <c r="C455" s="17"/>
      <c r="D455" s="17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7" ht="19.5" customHeight="1" x14ac:dyDescent="0.3">
      <c r="A456" s="9"/>
      <c r="B456" s="9"/>
      <c r="C456" s="17"/>
      <c r="D456" s="17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ht="19.5" customHeight="1" x14ac:dyDescent="0.3">
      <c r="A457" s="9"/>
      <c r="B457" s="9"/>
      <c r="C457" s="17"/>
      <c r="D457" s="17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7" ht="19.5" customHeight="1" x14ac:dyDescent="0.3">
      <c r="A458" s="9"/>
      <c r="B458" s="9"/>
      <c r="C458" s="17"/>
      <c r="D458" s="17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ht="19.5" customHeight="1" x14ac:dyDescent="0.3">
      <c r="A459" s="9"/>
      <c r="B459" s="9"/>
      <c r="C459" s="17"/>
      <c r="D459" s="17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7" ht="19.5" customHeight="1" x14ac:dyDescent="0.3">
      <c r="A460" s="9"/>
      <c r="B460" s="9"/>
      <c r="C460" s="17"/>
      <c r="D460" s="17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ht="19.5" customHeight="1" x14ac:dyDescent="0.3">
      <c r="A461" s="9"/>
      <c r="B461" s="9"/>
      <c r="C461" s="17"/>
      <c r="D461" s="17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7" ht="19.5" customHeight="1" x14ac:dyDescent="0.3">
      <c r="A462" s="9"/>
      <c r="B462" s="9"/>
      <c r="C462" s="17"/>
      <c r="D462" s="17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7" ht="19.5" customHeight="1" x14ac:dyDescent="0.3">
      <c r="A463" s="9"/>
      <c r="B463" s="9"/>
      <c r="C463" s="17"/>
      <c r="D463" s="17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ht="19.5" customHeight="1" x14ac:dyDescent="0.3">
      <c r="A464" s="9"/>
      <c r="B464" s="9"/>
      <c r="C464" s="17"/>
      <c r="D464" s="17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7" ht="19.5" customHeight="1" x14ac:dyDescent="0.3">
      <c r="A465" s="9"/>
      <c r="B465" s="9"/>
      <c r="C465" s="17"/>
      <c r="D465" s="17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7" ht="19.5" customHeight="1" x14ac:dyDescent="0.3">
      <c r="A466" s="9"/>
      <c r="B466" s="9"/>
      <c r="C466" s="17"/>
      <c r="D466" s="17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ht="19.5" customHeight="1" x14ac:dyDescent="0.3">
      <c r="A467" s="9"/>
      <c r="B467" s="9"/>
      <c r="C467" s="17"/>
      <c r="D467" s="17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7" ht="19.5" customHeight="1" x14ac:dyDescent="0.3">
      <c r="A468" s="9"/>
      <c r="B468" s="9"/>
      <c r="C468" s="17"/>
      <c r="D468" s="17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ht="19.5" customHeight="1" x14ac:dyDescent="0.3">
      <c r="A469" s="9"/>
      <c r="B469" s="9"/>
      <c r="C469" s="17"/>
      <c r="D469" s="17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7" ht="19.5" customHeight="1" x14ac:dyDescent="0.3">
      <c r="A470" s="9"/>
      <c r="B470" s="9"/>
      <c r="C470" s="17"/>
      <c r="D470" s="17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7" ht="19.5" customHeight="1" x14ac:dyDescent="0.3">
      <c r="A471" s="9"/>
      <c r="B471" s="9"/>
      <c r="C471" s="17"/>
      <c r="D471" s="17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7" ht="19.5" customHeight="1" x14ac:dyDescent="0.3">
      <c r="A472" s="9"/>
      <c r="B472" s="9"/>
      <c r="C472" s="17"/>
      <c r="D472" s="17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7" ht="19.5" customHeight="1" x14ac:dyDescent="0.3">
      <c r="A473" s="9"/>
      <c r="B473" s="9"/>
      <c r="C473" s="17"/>
      <c r="D473" s="17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7" ht="19.5" customHeight="1" x14ac:dyDescent="0.3">
      <c r="A474" s="9"/>
      <c r="B474" s="9"/>
      <c r="C474" s="17"/>
      <c r="D474" s="17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ht="19.5" customHeight="1" x14ac:dyDescent="0.3">
      <c r="A475" s="9"/>
      <c r="B475" s="9"/>
      <c r="C475" s="17"/>
      <c r="D475" s="17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ht="19.5" customHeight="1" x14ac:dyDescent="0.3">
      <c r="A476" s="9"/>
      <c r="B476" s="9"/>
      <c r="C476" s="17"/>
      <c r="D476" s="17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7" ht="19.5" customHeight="1" x14ac:dyDescent="0.3">
      <c r="A477" s="9"/>
      <c r="B477" s="9"/>
      <c r="C477" s="17"/>
      <c r="D477" s="17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7" ht="19.5" customHeight="1" x14ac:dyDescent="0.3">
      <c r="A478" s="9"/>
      <c r="B478" s="9"/>
      <c r="C478" s="17"/>
      <c r="D478" s="17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ht="19.5" customHeight="1" x14ac:dyDescent="0.3">
      <c r="A479" s="9"/>
      <c r="B479" s="9"/>
      <c r="C479" s="17"/>
      <c r="D479" s="17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7" ht="19.5" customHeight="1" x14ac:dyDescent="0.3">
      <c r="A480" s="9"/>
      <c r="B480" s="9"/>
      <c r="C480" s="17"/>
      <c r="D480" s="17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7" ht="19.5" customHeight="1" x14ac:dyDescent="0.3">
      <c r="A481" s="9"/>
      <c r="B481" s="9"/>
      <c r="C481" s="17"/>
      <c r="D481" s="17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ht="19.5" customHeight="1" x14ac:dyDescent="0.3">
      <c r="A482" s="9"/>
      <c r="B482" s="9"/>
      <c r="C482" s="17"/>
      <c r="D482" s="17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7" ht="19.5" customHeight="1" x14ac:dyDescent="0.3">
      <c r="A483" s="9"/>
      <c r="B483" s="9"/>
      <c r="C483" s="17"/>
      <c r="D483" s="1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ht="19.5" customHeight="1" x14ac:dyDescent="0.3">
      <c r="A484" s="9"/>
      <c r="B484" s="9"/>
      <c r="C484" s="17"/>
      <c r="D484" s="17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7" ht="19.5" customHeight="1" x14ac:dyDescent="0.3">
      <c r="A485" s="9"/>
      <c r="B485" s="9"/>
      <c r="C485" s="17"/>
      <c r="D485" s="17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ht="19.5" customHeight="1" x14ac:dyDescent="0.3">
      <c r="A486" s="9"/>
      <c r="B486" s="9"/>
      <c r="C486" s="17"/>
      <c r="D486" s="17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ht="19.5" customHeight="1" x14ac:dyDescent="0.3">
      <c r="A487" s="9"/>
      <c r="B487" s="9"/>
      <c r="C487" s="17"/>
      <c r="D487" s="17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7" ht="19.5" customHeight="1" x14ac:dyDescent="0.3">
      <c r="A488" s="9"/>
      <c r="B488" s="9"/>
      <c r="C488" s="17"/>
      <c r="D488" s="17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ht="19.5" customHeight="1" x14ac:dyDescent="0.3">
      <c r="A489" s="9"/>
      <c r="B489" s="9"/>
      <c r="C489" s="17"/>
      <c r="D489" s="17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7" ht="19.5" customHeight="1" x14ac:dyDescent="0.3">
      <c r="A490" s="9"/>
      <c r="B490" s="9"/>
      <c r="C490" s="17"/>
      <c r="D490" s="17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ht="19.5" customHeight="1" x14ac:dyDescent="0.3">
      <c r="A491" s="9"/>
      <c r="B491" s="9"/>
      <c r="C491" s="17"/>
      <c r="D491" s="1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7" ht="19.5" customHeight="1" x14ac:dyDescent="0.3">
      <c r="A492" s="9"/>
      <c r="B492" s="9"/>
      <c r="C492" s="17"/>
      <c r="D492" s="1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ht="19.5" customHeight="1" x14ac:dyDescent="0.3">
      <c r="A493" s="9"/>
      <c r="B493" s="9"/>
      <c r="C493" s="17"/>
      <c r="D493" s="1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ht="19.5" customHeight="1" x14ac:dyDescent="0.3">
      <c r="A494" s="9"/>
      <c r="B494" s="9"/>
      <c r="C494" s="17"/>
      <c r="D494" s="1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7" ht="19.5" customHeight="1" x14ac:dyDescent="0.3">
      <c r="A495" s="9"/>
      <c r="B495" s="9"/>
      <c r="C495" s="17"/>
      <c r="D495" s="1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ht="19.5" customHeight="1" x14ac:dyDescent="0.3">
      <c r="A496" s="9"/>
      <c r="B496" s="9"/>
      <c r="C496" s="17"/>
      <c r="D496" s="1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7" ht="19.5" customHeight="1" x14ac:dyDescent="0.3">
      <c r="A497" s="9"/>
      <c r="B497" s="9"/>
      <c r="C497" s="17"/>
      <c r="D497" s="1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7" ht="19.5" customHeight="1" x14ac:dyDescent="0.3">
      <c r="A498" s="9"/>
      <c r="B498" s="9"/>
      <c r="C498" s="17"/>
      <c r="D498" s="1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7" ht="19.5" customHeight="1" x14ac:dyDescent="0.3">
      <c r="A499" s="9"/>
      <c r="B499" s="9"/>
      <c r="C499" s="17"/>
      <c r="D499" s="1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7" ht="19.5" customHeight="1" x14ac:dyDescent="0.3">
      <c r="A500" s="9"/>
      <c r="B500" s="9"/>
      <c r="C500" s="17"/>
      <c r="D500" s="1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ht="19.5" customHeight="1" x14ac:dyDescent="0.3">
      <c r="A501" s="9"/>
      <c r="B501" s="9"/>
      <c r="C501" s="17"/>
      <c r="D501" s="1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7" ht="19.5" customHeight="1" x14ac:dyDescent="0.3">
      <c r="A502" s="9"/>
      <c r="B502" s="9"/>
      <c r="C502" s="17"/>
      <c r="D502" s="1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ht="19.5" customHeight="1" x14ac:dyDescent="0.3">
      <c r="A503" s="9"/>
      <c r="B503" s="9"/>
      <c r="C503" s="17"/>
      <c r="D503" s="1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7" ht="19.5" customHeight="1" x14ac:dyDescent="0.3">
      <c r="A504" s="9"/>
      <c r="B504" s="9"/>
      <c r="C504" s="17"/>
      <c r="D504" s="1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ht="19.5" customHeight="1" x14ac:dyDescent="0.3">
      <c r="A505" s="9"/>
      <c r="B505" s="9"/>
      <c r="C505" s="17"/>
      <c r="D505" s="1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7" ht="19.5" customHeight="1" x14ac:dyDescent="0.3">
      <c r="A506" s="9"/>
      <c r="B506" s="9"/>
      <c r="C506" s="17"/>
      <c r="D506" s="1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ht="19.5" customHeight="1" x14ac:dyDescent="0.3">
      <c r="A507" s="9"/>
      <c r="B507" s="9"/>
      <c r="C507" s="17"/>
      <c r="D507" s="1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7" ht="19.5" customHeight="1" x14ac:dyDescent="0.3">
      <c r="A508" s="9"/>
      <c r="B508" s="9"/>
      <c r="C508" s="17"/>
      <c r="D508" s="1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7" ht="19.5" customHeight="1" x14ac:dyDescent="0.3">
      <c r="A509" s="9"/>
      <c r="B509" s="9"/>
      <c r="C509" s="17"/>
      <c r="D509" s="1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ht="19.5" customHeight="1" x14ac:dyDescent="0.3">
      <c r="A510" s="9"/>
      <c r="B510" s="9"/>
      <c r="C510" s="17"/>
      <c r="D510" s="1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7" ht="19.5" customHeight="1" x14ac:dyDescent="0.3">
      <c r="A511" s="9"/>
      <c r="B511" s="9"/>
      <c r="C511" s="17"/>
      <c r="D511" s="1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7" ht="19.5" customHeight="1" x14ac:dyDescent="0.3">
      <c r="A512" s="9"/>
      <c r="B512" s="9"/>
      <c r="C512" s="17"/>
      <c r="D512" s="1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7" ht="19.5" customHeight="1" x14ac:dyDescent="0.3">
      <c r="A513" s="9"/>
      <c r="B513" s="9"/>
      <c r="C513" s="17"/>
      <c r="D513" s="1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ht="19.5" customHeight="1" x14ac:dyDescent="0.3">
      <c r="A514" s="9"/>
      <c r="B514" s="9"/>
      <c r="C514" s="17"/>
      <c r="D514" s="1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7" ht="19.5" customHeight="1" x14ac:dyDescent="0.3">
      <c r="A515" s="9"/>
      <c r="B515" s="9"/>
      <c r="C515" s="17"/>
      <c r="D515" s="1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7" ht="19.5" customHeight="1" x14ac:dyDescent="0.3">
      <c r="A516" s="9"/>
      <c r="B516" s="9"/>
      <c r="C516" s="17"/>
      <c r="D516" s="1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7" ht="19.5" customHeight="1" x14ac:dyDescent="0.3">
      <c r="A517" s="9"/>
      <c r="B517" s="9"/>
      <c r="C517" s="17"/>
      <c r="D517" s="1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ht="19.5" customHeight="1" x14ac:dyDescent="0.3">
      <c r="A518" s="9"/>
      <c r="B518" s="9"/>
      <c r="C518" s="17"/>
      <c r="D518" s="1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7" ht="19.5" customHeight="1" x14ac:dyDescent="0.3">
      <c r="A519" s="9"/>
      <c r="B519" s="9"/>
      <c r="C519" s="17"/>
      <c r="D519" s="1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ht="19.5" customHeight="1" x14ac:dyDescent="0.3">
      <c r="A520" s="9"/>
      <c r="B520" s="9"/>
      <c r="C520" s="17"/>
      <c r="D520" s="1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7" ht="19.5" customHeight="1" x14ac:dyDescent="0.3">
      <c r="A521" s="9"/>
      <c r="B521" s="9"/>
      <c r="C521" s="17"/>
      <c r="D521" s="1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7" ht="19.5" customHeight="1" x14ac:dyDescent="0.3">
      <c r="A522" s="9"/>
      <c r="B522" s="9"/>
      <c r="C522" s="17"/>
      <c r="D522" s="1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7" ht="19.5" customHeight="1" x14ac:dyDescent="0.3">
      <c r="A523" s="9"/>
      <c r="B523" s="9"/>
      <c r="C523" s="17"/>
      <c r="D523" s="1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7" ht="19.5" customHeight="1" x14ac:dyDescent="0.3">
      <c r="A524" s="9"/>
      <c r="B524" s="9"/>
      <c r="C524" s="17"/>
      <c r="D524" s="1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ht="19.5" customHeight="1" x14ac:dyDescent="0.3">
      <c r="A525" s="9"/>
      <c r="B525" s="9"/>
      <c r="C525" s="17"/>
      <c r="D525" s="1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7" ht="19.5" customHeight="1" x14ac:dyDescent="0.3">
      <c r="A526" s="9"/>
      <c r="B526" s="9"/>
      <c r="C526" s="17"/>
      <c r="D526" s="1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7" ht="19.5" customHeight="1" x14ac:dyDescent="0.3">
      <c r="A527" s="9"/>
      <c r="B527" s="9"/>
      <c r="C527" s="17"/>
      <c r="D527" s="1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ht="19.5" customHeight="1" x14ac:dyDescent="0.3">
      <c r="A528" s="9"/>
      <c r="B528" s="9"/>
      <c r="C528" s="17"/>
      <c r="D528" s="1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7" ht="19.5" customHeight="1" x14ac:dyDescent="0.3">
      <c r="A529" s="9"/>
      <c r="B529" s="9"/>
      <c r="C529" s="17"/>
      <c r="D529" s="1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7" ht="19.5" customHeight="1" x14ac:dyDescent="0.3">
      <c r="A530" s="9"/>
      <c r="B530" s="9"/>
      <c r="C530" s="17"/>
      <c r="D530" s="1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ht="19.5" customHeight="1" x14ac:dyDescent="0.3">
      <c r="A531" s="9"/>
      <c r="B531" s="9"/>
      <c r="C531" s="17"/>
      <c r="D531" s="1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7" ht="19.5" customHeight="1" x14ac:dyDescent="0.3">
      <c r="A532" s="9"/>
      <c r="B532" s="9"/>
      <c r="C532" s="17"/>
      <c r="D532" s="1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ht="19.5" customHeight="1" x14ac:dyDescent="0.3">
      <c r="A533" s="9"/>
      <c r="B533" s="9"/>
      <c r="C533" s="17"/>
      <c r="D533" s="1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7" ht="19.5" customHeight="1" x14ac:dyDescent="0.3">
      <c r="A534" s="9"/>
      <c r="B534" s="9"/>
      <c r="C534" s="17"/>
      <c r="D534" s="1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ht="19.5" customHeight="1" x14ac:dyDescent="0.3">
      <c r="A535" s="9"/>
      <c r="B535" s="9"/>
      <c r="C535" s="17"/>
      <c r="D535" s="1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7" ht="19.5" customHeight="1" x14ac:dyDescent="0.3">
      <c r="A536" s="9"/>
      <c r="B536" s="9"/>
      <c r="C536" s="17"/>
      <c r="D536" s="1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ht="19.5" customHeight="1" x14ac:dyDescent="0.3">
      <c r="A537" s="9"/>
      <c r="B537" s="9"/>
      <c r="C537" s="17"/>
      <c r="D537" s="1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7" ht="19.5" customHeight="1" x14ac:dyDescent="0.3">
      <c r="A538" s="9"/>
      <c r="B538" s="9"/>
      <c r="C538" s="17"/>
      <c r="D538" s="1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7" ht="19.5" customHeight="1" x14ac:dyDescent="0.3">
      <c r="A539" s="9"/>
      <c r="B539" s="9"/>
      <c r="C539" s="17"/>
      <c r="D539" s="1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7" ht="19.5" customHeight="1" x14ac:dyDescent="0.3">
      <c r="A540" s="9"/>
      <c r="B540" s="9"/>
      <c r="C540" s="17"/>
      <c r="D540" s="1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ht="19.5" customHeight="1" x14ac:dyDescent="0.3">
      <c r="A541" s="9"/>
      <c r="B541" s="9"/>
      <c r="C541" s="17"/>
      <c r="D541" s="1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7" ht="19.5" customHeight="1" x14ac:dyDescent="0.3">
      <c r="A542" s="9"/>
      <c r="B542" s="9"/>
      <c r="C542" s="17"/>
      <c r="D542" s="1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ht="19.5" customHeight="1" x14ac:dyDescent="0.3">
      <c r="A543" s="9"/>
      <c r="B543" s="9"/>
      <c r="C543" s="17"/>
      <c r="D543" s="1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7" ht="19.5" customHeight="1" x14ac:dyDescent="0.3">
      <c r="A544" s="9"/>
      <c r="B544" s="9"/>
      <c r="C544" s="17"/>
      <c r="D544" s="1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ht="19.5" customHeight="1" x14ac:dyDescent="0.3">
      <c r="A545" s="9"/>
      <c r="B545" s="9"/>
      <c r="C545" s="17"/>
      <c r="D545" s="1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7" ht="19.5" customHeight="1" x14ac:dyDescent="0.3">
      <c r="A546" s="9"/>
      <c r="B546" s="9"/>
      <c r="C546" s="17"/>
      <c r="D546" s="1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ht="19.5" customHeight="1" x14ac:dyDescent="0.3">
      <c r="A547" s="9"/>
      <c r="B547" s="9"/>
      <c r="C547" s="17"/>
      <c r="D547" s="1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7" ht="19.5" customHeight="1" x14ac:dyDescent="0.3">
      <c r="A548" s="9"/>
      <c r="B548" s="9"/>
      <c r="C548" s="17"/>
      <c r="D548" s="1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7" ht="19.5" customHeight="1" x14ac:dyDescent="0.3">
      <c r="A549" s="9"/>
      <c r="B549" s="9"/>
      <c r="C549" s="17"/>
      <c r="D549" s="1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7" ht="19.5" customHeight="1" x14ac:dyDescent="0.3">
      <c r="A550" s="9"/>
      <c r="B550" s="9"/>
      <c r="C550" s="17"/>
      <c r="D550" s="1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7" ht="19.5" customHeight="1" x14ac:dyDescent="0.3">
      <c r="A551" s="9"/>
      <c r="B551" s="9"/>
      <c r="C551" s="17"/>
      <c r="D551" s="1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ht="19.5" customHeight="1" x14ac:dyDescent="0.3">
      <c r="A552" s="9"/>
      <c r="B552" s="9"/>
      <c r="C552" s="17"/>
      <c r="D552" s="1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7" ht="19.5" customHeight="1" x14ac:dyDescent="0.3">
      <c r="A553" s="9"/>
      <c r="B553" s="9"/>
      <c r="C553" s="17"/>
      <c r="D553" s="1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7" ht="19.5" customHeight="1" x14ac:dyDescent="0.3">
      <c r="A554" s="9"/>
      <c r="B554" s="9"/>
      <c r="C554" s="17"/>
      <c r="D554" s="1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7" ht="19.5" customHeight="1" x14ac:dyDescent="0.3">
      <c r="A555" s="9"/>
      <c r="B555" s="9"/>
      <c r="C555" s="17"/>
      <c r="D555" s="1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7" ht="19.5" customHeight="1" x14ac:dyDescent="0.3">
      <c r="A556" s="9"/>
      <c r="B556" s="9"/>
      <c r="C556" s="17"/>
      <c r="D556" s="1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ht="19.5" customHeight="1" x14ac:dyDescent="0.3">
      <c r="A557" s="9"/>
      <c r="B557" s="9"/>
      <c r="C557" s="17"/>
      <c r="D557" s="1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7" ht="19.5" customHeight="1" x14ac:dyDescent="0.3">
      <c r="A558" s="9"/>
      <c r="B558" s="9"/>
      <c r="C558" s="17"/>
      <c r="D558" s="1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ht="19.5" customHeight="1" x14ac:dyDescent="0.3">
      <c r="A559" s="9"/>
      <c r="B559" s="9"/>
      <c r="C559" s="17"/>
      <c r="D559" s="1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7" ht="19.5" customHeight="1" x14ac:dyDescent="0.3">
      <c r="A560" s="9"/>
      <c r="B560" s="9"/>
      <c r="C560" s="17"/>
      <c r="D560" s="1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7" ht="19.5" customHeight="1" x14ac:dyDescent="0.3">
      <c r="A561" s="9"/>
      <c r="B561" s="9"/>
      <c r="C561" s="17"/>
      <c r="D561" s="1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ht="19.5" customHeight="1" x14ac:dyDescent="0.3">
      <c r="A562" s="9"/>
      <c r="B562" s="9"/>
      <c r="C562" s="17"/>
      <c r="D562" s="1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7" ht="19.5" customHeight="1" x14ac:dyDescent="0.3">
      <c r="A563" s="9"/>
      <c r="B563" s="9"/>
      <c r="C563" s="17"/>
      <c r="D563" s="1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ht="19.5" customHeight="1" x14ac:dyDescent="0.3">
      <c r="A564" s="9"/>
      <c r="B564" s="9"/>
      <c r="C564" s="17"/>
      <c r="D564" s="1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ht="19.5" customHeight="1" x14ac:dyDescent="0.3">
      <c r="A565" s="9"/>
      <c r="B565" s="9"/>
      <c r="C565" s="17"/>
      <c r="D565" s="1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7" ht="19.5" customHeight="1" x14ac:dyDescent="0.3">
      <c r="A566" s="9"/>
      <c r="B566" s="9"/>
      <c r="C566" s="17"/>
      <c r="D566" s="1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7" ht="19.5" customHeight="1" x14ac:dyDescent="0.3">
      <c r="A567" s="9"/>
      <c r="B567" s="9"/>
      <c r="C567" s="17"/>
      <c r="D567" s="1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ht="19.5" customHeight="1" x14ac:dyDescent="0.3">
      <c r="A568" s="9"/>
      <c r="B568" s="9"/>
      <c r="C568" s="17"/>
      <c r="D568" s="1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7" ht="19.5" customHeight="1" x14ac:dyDescent="0.3">
      <c r="A569" s="9"/>
      <c r="B569" s="9"/>
      <c r="C569" s="17"/>
      <c r="D569" s="1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7" ht="19.5" customHeight="1" x14ac:dyDescent="0.3">
      <c r="A570" s="9"/>
      <c r="B570" s="9"/>
      <c r="C570" s="17"/>
      <c r="D570" s="1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7" ht="19.5" customHeight="1" x14ac:dyDescent="0.3">
      <c r="A571" s="9"/>
      <c r="B571" s="9"/>
      <c r="C571" s="17"/>
      <c r="D571" s="1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7" ht="19.5" customHeight="1" x14ac:dyDescent="0.3">
      <c r="A572" s="9"/>
      <c r="B572" s="9"/>
      <c r="C572" s="17"/>
      <c r="D572" s="1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7" ht="19.5" customHeight="1" x14ac:dyDescent="0.3">
      <c r="A573" s="9"/>
      <c r="B573" s="9"/>
      <c r="C573" s="17"/>
      <c r="D573" s="1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ht="19.5" customHeight="1" x14ac:dyDescent="0.3">
      <c r="A574" s="9"/>
      <c r="B574" s="9"/>
      <c r="C574" s="17"/>
      <c r="D574" s="1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7" ht="19.5" customHeight="1" x14ac:dyDescent="0.3">
      <c r="A575" s="9"/>
      <c r="B575" s="9"/>
      <c r="C575" s="17"/>
      <c r="D575" s="1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ht="19.5" customHeight="1" x14ac:dyDescent="0.3">
      <c r="A576" s="9"/>
      <c r="B576" s="9"/>
      <c r="C576" s="17"/>
      <c r="D576" s="1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7" ht="19.5" customHeight="1" x14ac:dyDescent="0.3">
      <c r="A577" s="9"/>
      <c r="B577" s="9"/>
      <c r="C577" s="17"/>
      <c r="D577" s="1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ht="19.5" customHeight="1" x14ac:dyDescent="0.3">
      <c r="A578" s="9"/>
      <c r="B578" s="9"/>
      <c r="C578" s="17"/>
      <c r="D578" s="1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7" ht="19.5" customHeight="1" x14ac:dyDescent="0.3">
      <c r="A579" s="9"/>
      <c r="B579" s="9"/>
      <c r="C579" s="17"/>
      <c r="D579" s="1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ht="19.5" customHeight="1" x14ac:dyDescent="0.3">
      <c r="A580" s="9"/>
      <c r="B580" s="9"/>
      <c r="C580" s="17"/>
      <c r="D580" s="1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7" ht="19.5" customHeight="1" x14ac:dyDescent="0.3">
      <c r="A581" s="9"/>
      <c r="B581" s="9"/>
      <c r="C581" s="17"/>
      <c r="D581" s="1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ht="19.5" customHeight="1" x14ac:dyDescent="0.3">
      <c r="A582" s="9"/>
      <c r="B582" s="9"/>
      <c r="C582" s="17"/>
      <c r="D582" s="1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7" ht="19.5" customHeight="1" x14ac:dyDescent="0.3">
      <c r="A583" s="9"/>
      <c r="B583" s="9"/>
      <c r="C583" s="17"/>
      <c r="D583" s="1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7" ht="19.5" customHeight="1" x14ac:dyDescent="0.3">
      <c r="A584" s="9"/>
      <c r="B584" s="9"/>
      <c r="C584" s="17"/>
      <c r="D584" s="1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ht="19.5" customHeight="1" x14ac:dyDescent="0.3">
      <c r="A585" s="9"/>
      <c r="B585" s="9"/>
      <c r="C585" s="17"/>
      <c r="D585" s="1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7" ht="19.5" customHeight="1" x14ac:dyDescent="0.3">
      <c r="A586" s="9"/>
      <c r="B586" s="9"/>
      <c r="C586" s="17"/>
      <c r="D586" s="1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7" ht="19.5" customHeight="1" x14ac:dyDescent="0.3">
      <c r="A587" s="9"/>
      <c r="B587" s="9"/>
      <c r="C587" s="17"/>
      <c r="D587" s="1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ht="19.5" customHeight="1" x14ac:dyDescent="0.3">
      <c r="A588" s="9"/>
      <c r="B588" s="9"/>
      <c r="C588" s="17"/>
      <c r="D588" s="1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7" ht="19.5" customHeight="1" x14ac:dyDescent="0.3">
      <c r="A589" s="9"/>
      <c r="B589" s="9"/>
      <c r="C589" s="17"/>
      <c r="D589" s="1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7" ht="19.5" customHeight="1" x14ac:dyDescent="0.3">
      <c r="A590" s="9"/>
      <c r="B590" s="9"/>
      <c r="C590" s="17"/>
      <c r="D590" s="1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ht="19.5" customHeight="1" x14ac:dyDescent="0.3">
      <c r="A591" s="9"/>
      <c r="B591" s="9"/>
      <c r="C591" s="17"/>
      <c r="D591" s="1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7" ht="19.5" customHeight="1" x14ac:dyDescent="0.3">
      <c r="A592" s="9"/>
      <c r="B592" s="9"/>
      <c r="C592" s="17"/>
      <c r="D592" s="1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7" ht="19.5" customHeight="1" x14ac:dyDescent="0.3">
      <c r="A593" s="9"/>
      <c r="B593" s="9"/>
      <c r="C593" s="17"/>
      <c r="D593" s="1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7" ht="19.5" customHeight="1" x14ac:dyDescent="0.3">
      <c r="A594" s="9"/>
      <c r="B594" s="9"/>
      <c r="C594" s="17"/>
      <c r="D594" s="1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7" ht="19.5" customHeight="1" x14ac:dyDescent="0.3">
      <c r="A595" s="9"/>
      <c r="B595" s="9"/>
      <c r="C595" s="17"/>
      <c r="D595" s="1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7" ht="19.5" customHeight="1" x14ac:dyDescent="0.3">
      <c r="A596" s="9"/>
      <c r="B596" s="9"/>
      <c r="C596" s="17"/>
      <c r="D596" s="1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7" ht="19.5" customHeight="1" x14ac:dyDescent="0.3">
      <c r="A597" s="9"/>
      <c r="B597" s="9"/>
      <c r="C597" s="17"/>
      <c r="D597" s="1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ht="19.5" customHeight="1" x14ac:dyDescent="0.3">
      <c r="A598" s="9"/>
      <c r="B598" s="9"/>
      <c r="C598" s="17"/>
      <c r="D598" s="1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7" ht="19.5" customHeight="1" x14ac:dyDescent="0.3">
      <c r="A599" s="9"/>
      <c r="B599" s="9"/>
      <c r="C599" s="17"/>
      <c r="D599" s="1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ht="19.5" customHeight="1" x14ac:dyDescent="0.3">
      <c r="A600" s="9"/>
      <c r="B600" s="9"/>
      <c r="C600" s="17"/>
      <c r="D600" s="1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7" ht="19.5" customHeight="1" x14ac:dyDescent="0.3">
      <c r="A601" s="9"/>
      <c r="B601" s="9"/>
      <c r="C601" s="17"/>
      <c r="D601" s="1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ht="19.5" customHeight="1" x14ac:dyDescent="0.3">
      <c r="A602" s="9"/>
      <c r="B602" s="9"/>
      <c r="C602" s="17"/>
      <c r="D602" s="1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7" ht="19.5" customHeight="1" x14ac:dyDescent="0.3">
      <c r="A603" s="9"/>
      <c r="B603" s="9"/>
      <c r="C603" s="17"/>
      <c r="D603" s="1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ht="19.5" customHeight="1" x14ac:dyDescent="0.3">
      <c r="A604" s="9"/>
      <c r="B604" s="9"/>
      <c r="C604" s="17"/>
      <c r="D604" s="1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7" ht="19.5" customHeight="1" x14ac:dyDescent="0.3">
      <c r="A605" s="9"/>
      <c r="B605" s="9"/>
      <c r="C605" s="17"/>
      <c r="D605" s="1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7" ht="19.5" customHeight="1" x14ac:dyDescent="0.3">
      <c r="A606" s="9"/>
      <c r="B606" s="9"/>
      <c r="C606" s="17"/>
      <c r="D606" s="1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7" ht="19.5" customHeight="1" x14ac:dyDescent="0.3">
      <c r="A607" s="9"/>
      <c r="B607" s="9"/>
      <c r="C607" s="17"/>
      <c r="D607" s="1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ht="19.5" customHeight="1" x14ac:dyDescent="0.3">
      <c r="A608" s="9"/>
      <c r="B608" s="9"/>
      <c r="C608" s="17"/>
      <c r="D608" s="1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7" ht="19.5" customHeight="1" x14ac:dyDescent="0.3">
      <c r="A609" s="9"/>
      <c r="B609" s="9"/>
      <c r="C609" s="17"/>
      <c r="D609" s="1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ht="19.5" customHeight="1" x14ac:dyDescent="0.3">
      <c r="A610" s="9"/>
      <c r="B610" s="9"/>
      <c r="C610" s="17"/>
      <c r="D610" s="1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7" ht="19.5" customHeight="1" x14ac:dyDescent="0.3">
      <c r="A611" s="9"/>
      <c r="B611" s="9"/>
      <c r="C611" s="17"/>
      <c r="D611" s="1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7" ht="19.5" customHeight="1" x14ac:dyDescent="0.3">
      <c r="A612" s="9"/>
      <c r="B612" s="9"/>
      <c r="C612" s="17"/>
      <c r="D612" s="1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ht="19.5" customHeight="1" x14ac:dyDescent="0.3">
      <c r="A613" s="9"/>
      <c r="B613" s="9"/>
      <c r="C613" s="17"/>
      <c r="D613" s="1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7" ht="19.5" customHeight="1" x14ac:dyDescent="0.3">
      <c r="A614" s="9"/>
      <c r="B614" s="9"/>
      <c r="C614" s="17"/>
      <c r="D614" s="1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7" ht="19.5" customHeight="1" x14ac:dyDescent="0.3">
      <c r="A615" s="9"/>
      <c r="B615" s="9"/>
      <c r="C615" s="17"/>
      <c r="D615" s="1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ht="19.5" customHeight="1" x14ac:dyDescent="0.3">
      <c r="A616" s="9"/>
      <c r="B616" s="9"/>
      <c r="C616" s="17"/>
      <c r="D616" s="1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ht="19.5" customHeight="1" x14ac:dyDescent="0.3">
      <c r="A617" s="9"/>
      <c r="B617" s="9"/>
      <c r="C617" s="17"/>
      <c r="D617" s="1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7" ht="19.5" customHeight="1" x14ac:dyDescent="0.3">
      <c r="A618" s="9"/>
      <c r="B618" s="9"/>
      <c r="C618" s="17"/>
      <c r="D618" s="1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7" ht="19.5" customHeight="1" x14ac:dyDescent="0.3">
      <c r="A619" s="9"/>
      <c r="B619" s="9"/>
      <c r="C619" s="17"/>
      <c r="D619" s="1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ht="19.5" customHeight="1" x14ac:dyDescent="0.3">
      <c r="A620" s="9"/>
      <c r="B620" s="9"/>
      <c r="C620" s="17"/>
      <c r="D620" s="1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ht="19.5" customHeight="1" x14ac:dyDescent="0.3">
      <c r="A621" s="9"/>
      <c r="B621" s="9"/>
      <c r="C621" s="17"/>
      <c r="D621" s="1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7" ht="19.5" customHeight="1" x14ac:dyDescent="0.3">
      <c r="A622" s="9"/>
      <c r="B622" s="9"/>
      <c r="C622" s="17"/>
      <c r="D622" s="1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ht="19.5" customHeight="1" x14ac:dyDescent="0.3">
      <c r="A623" s="9"/>
      <c r="B623" s="9"/>
      <c r="C623" s="17"/>
      <c r="D623" s="1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7" ht="19.5" customHeight="1" x14ac:dyDescent="0.3">
      <c r="A624" s="9"/>
      <c r="B624" s="9"/>
      <c r="C624" s="17"/>
      <c r="D624" s="1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ht="19.5" customHeight="1" x14ac:dyDescent="0.3">
      <c r="A625" s="9"/>
      <c r="B625" s="9"/>
      <c r="C625" s="17"/>
      <c r="D625" s="1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7" ht="19.5" customHeight="1" x14ac:dyDescent="0.3">
      <c r="A626" s="9"/>
      <c r="B626" s="9"/>
      <c r="C626" s="17"/>
      <c r="D626" s="1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ht="19.5" customHeight="1" x14ac:dyDescent="0.3">
      <c r="A627" s="9"/>
      <c r="B627" s="9"/>
      <c r="C627" s="17"/>
      <c r="D627" s="1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7" ht="19.5" customHeight="1" x14ac:dyDescent="0.3">
      <c r="A628" s="9"/>
      <c r="B628" s="9"/>
      <c r="C628" s="17"/>
      <c r="D628" s="1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ht="19.5" customHeight="1" x14ac:dyDescent="0.3">
      <c r="A629" s="9"/>
      <c r="B629" s="9"/>
      <c r="C629" s="17"/>
      <c r="D629" s="1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7" ht="19.5" customHeight="1" x14ac:dyDescent="0.3">
      <c r="A630" s="9"/>
      <c r="B630" s="9"/>
      <c r="C630" s="17"/>
      <c r="D630" s="1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7" ht="19.5" customHeight="1" x14ac:dyDescent="0.3">
      <c r="A631" s="9"/>
      <c r="B631" s="9"/>
      <c r="C631" s="17"/>
      <c r="D631" s="1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7" ht="19.5" customHeight="1" x14ac:dyDescent="0.3">
      <c r="A632" s="9"/>
      <c r="B632" s="9"/>
      <c r="C632" s="17"/>
      <c r="D632" s="1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7" ht="19.5" customHeight="1" x14ac:dyDescent="0.3">
      <c r="A633" s="9"/>
      <c r="B633" s="9"/>
      <c r="C633" s="17"/>
      <c r="D633" s="1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7" ht="19.5" customHeight="1" x14ac:dyDescent="0.3">
      <c r="A634" s="9"/>
      <c r="B634" s="9"/>
      <c r="C634" s="17"/>
      <c r="D634" s="1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ht="19.5" customHeight="1" x14ac:dyDescent="0.3">
      <c r="A635" s="9"/>
      <c r="B635" s="9"/>
      <c r="C635" s="17"/>
      <c r="D635" s="1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7" ht="19.5" customHeight="1" x14ac:dyDescent="0.3">
      <c r="A636" s="9"/>
      <c r="B636" s="9"/>
      <c r="C636" s="17"/>
      <c r="D636" s="1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ht="19.5" customHeight="1" x14ac:dyDescent="0.3">
      <c r="A637" s="9"/>
      <c r="B637" s="9"/>
      <c r="C637" s="17"/>
      <c r="D637" s="1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7" ht="19.5" customHeight="1" x14ac:dyDescent="0.3">
      <c r="A638" s="9"/>
      <c r="B638" s="9"/>
      <c r="C638" s="17"/>
      <c r="D638" s="1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7" ht="19.5" customHeight="1" x14ac:dyDescent="0.3">
      <c r="A639" s="9"/>
      <c r="B639" s="9"/>
      <c r="C639" s="17"/>
      <c r="D639" s="1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7" ht="19.5" customHeight="1" x14ac:dyDescent="0.3">
      <c r="A640" s="9"/>
      <c r="B640" s="9"/>
      <c r="C640" s="17"/>
      <c r="D640" s="1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7" ht="19.5" customHeight="1" x14ac:dyDescent="0.3">
      <c r="A641" s="9"/>
      <c r="B641" s="9"/>
      <c r="C641" s="17"/>
      <c r="D641" s="1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7" ht="19.5" customHeight="1" x14ac:dyDescent="0.3">
      <c r="A642" s="9"/>
      <c r="B642" s="9"/>
      <c r="C642" s="17"/>
      <c r="D642" s="1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ht="19.5" customHeight="1" x14ac:dyDescent="0.3">
      <c r="A643" s="9"/>
      <c r="B643" s="9"/>
      <c r="C643" s="17"/>
      <c r="D643" s="1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ht="19.5" customHeight="1" x14ac:dyDescent="0.3">
      <c r="A644" s="9"/>
      <c r="B644" s="9"/>
      <c r="C644" s="17"/>
      <c r="D644" s="1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7" ht="19.5" customHeight="1" x14ac:dyDescent="0.3">
      <c r="A645" s="9"/>
      <c r="B645" s="9"/>
      <c r="C645" s="17"/>
      <c r="D645" s="1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7" ht="19.5" customHeight="1" x14ac:dyDescent="0.3">
      <c r="A646" s="9"/>
      <c r="B646" s="9"/>
      <c r="C646" s="17"/>
      <c r="D646" s="1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7" ht="19.5" customHeight="1" x14ac:dyDescent="0.3">
      <c r="A647" s="9"/>
      <c r="B647" s="9"/>
      <c r="C647" s="17"/>
      <c r="D647" s="1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7" ht="19.5" customHeight="1" x14ac:dyDescent="0.3">
      <c r="A648" s="9"/>
      <c r="B648" s="9"/>
      <c r="C648" s="17"/>
      <c r="D648" s="1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ht="19.5" customHeight="1" x14ac:dyDescent="0.3">
      <c r="A649" s="9"/>
      <c r="B649" s="9"/>
      <c r="C649" s="17"/>
      <c r="D649" s="1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7" ht="19.5" customHeight="1" x14ac:dyDescent="0.3">
      <c r="A650" s="9"/>
      <c r="B650" s="9"/>
      <c r="C650" s="17"/>
      <c r="D650" s="1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ht="19.5" customHeight="1" x14ac:dyDescent="0.3">
      <c r="A651" s="9"/>
      <c r="B651" s="9"/>
      <c r="C651" s="17"/>
      <c r="D651" s="1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7" ht="19.5" customHeight="1" x14ac:dyDescent="0.3">
      <c r="A652" s="9"/>
      <c r="B652" s="9"/>
      <c r="C652" s="17"/>
      <c r="D652" s="1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ht="19.5" customHeight="1" x14ac:dyDescent="0.3">
      <c r="A653" s="9"/>
      <c r="B653" s="9"/>
      <c r="C653" s="17"/>
      <c r="D653" s="1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ht="19.5" customHeight="1" x14ac:dyDescent="0.3">
      <c r="A654" s="9"/>
      <c r="B654" s="9"/>
      <c r="C654" s="17"/>
      <c r="D654" s="1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7" ht="19.5" customHeight="1" x14ac:dyDescent="0.3">
      <c r="A655" s="9"/>
      <c r="B655" s="9"/>
      <c r="C655" s="17"/>
      <c r="D655" s="1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7" ht="19.5" customHeight="1" x14ac:dyDescent="0.3">
      <c r="A656" s="9"/>
      <c r="B656" s="9"/>
      <c r="C656" s="17"/>
      <c r="D656" s="1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ht="19.5" customHeight="1" x14ac:dyDescent="0.3">
      <c r="A657" s="9"/>
      <c r="B657" s="9"/>
      <c r="C657" s="17"/>
      <c r="D657" s="1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7" ht="19.5" customHeight="1" x14ac:dyDescent="0.3">
      <c r="A658" s="9"/>
      <c r="B658" s="9"/>
      <c r="C658" s="17"/>
      <c r="D658" s="1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ht="19.5" customHeight="1" x14ac:dyDescent="0.3">
      <c r="A659" s="9"/>
      <c r="B659" s="9"/>
      <c r="C659" s="17"/>
      <c r="D659" s="1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7" ht="19.5" customHeight="1" x14ac:dyDescent="0.3">
      <c r="A660" s="9"/>
      <c r="B660" s="9"/>
      <c r="C660" s="17"/>
      <c r="D660" s="1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7" ht="19.5" customHeight="1" x14ac:dyDescent="0.3">
      <c r="A661" s="9"/>
      <c r="B661" s="9"/>
      <c r="C661" s="17"/>
      <c r="D661" s="1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ht="19.5" customHeight="1" x14ac:dyDescent="0.3">
      <c r="A662" s="9"/>
      <c r="B662" s="9"/>
      <c r="C662" s="17"/>
      <c r="D662" s="1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7" ht="19.5" customHeight="1" x14ac:dyDescent="0.3">
      <c r="A663" s="9"/>
      <c r="B663" s="9"/>
      <c r="C663" s="17"/>
      <c r="D663" s="1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ht="19.5" customHeight="1" x14ac:dyDescent="0.3">
      <c r="A664" s="9"/>
      <c r="B664" s="9"/>
      <c r="C664" s="17"/>
      <c r="D664" s="1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7" ht="19.5" customHeight="1" x14ac:dyDescent="0.3">
      <c r="A665" s="9"/>
      <c r="B665" s="9"/>
      <c r="C665" s="17"/>
      <c r="D665" s="1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ht="19.5" customHeight="1" x14ac:dyDescent="0.3">
      <c r="A666" s="9"/>
      <c r="B666" s="9"/>
      <c r="C666" s="17"/>
      <c r="D666" s="1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7" ht="19.5" customHeight="1" x14ac:dyDescent="0.3">
      <c r="A667" s="9"/>
      <c r="B667" s="9"/>
      <c r="C667" s="17"/>
      <c r="D667" s="1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ht="19.5" customHeight="1" x14ac:dyDescent="0.3">
      <c r="A668" s="9"/>
      <c r="B668" s="9"/>
      <c r="C668" s="17"/>
      <c r="D668" s="1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7" ht="19.5" customHeight="1" x14ac:dyDescent="0.3">
      <c r="A669" s="9"/>
      <c r="B669" s="9"/>
      <c r="C669" s="17"/>
      <c r="D669" s="1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7" ht="19.5" customHeight="1" x14ac:dyDescent="0.3">
      <c r="A670" s="9"/>
      <c r="B670" s="9"/>
      <c r="C670" s="17"/>
      <c r="D670" s="1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7" ht="19.5" customHeight="1" x14ac:dyDescent="0.3">
      <c r="A671" s="9"/>
      <c r="B671" s="9"/>
      <c r="C671" s="17"/>
      <c r="D671" s="1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ht="19.5" customHeight="1" x14ac:dyDescent="0.3">
      <c r="A672" s="9"/>
      <c r="B672" s="9"/>
      <c r="C672" s="17"/>
      <c r="D672" s="1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ht="19.5" customHeight="1" x14ac:dyDescent="0.3">
      <c r="A673" s="9"/>
      <c r="B673" s="9"/>
      <c r="C673" s="17"/>
      <c r="D673" s="1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7" ht="19.5" customHeight="1" x14ac:dyDescent="0.3">
      <c r="A674" s="9"/>
      <c r="B674" s="9"/>
      <c r="C674" s="17"/>
      <c r="D674" s="1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7" ht="19.5" customHeight="1" x14ac:dyDescent="0.3">
      <c r="A675" s="9"/>
      <c r="B675" s="9"/>
      <c r="C675" s="17"/>
      <c r="D675" s="1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7" ht="19.5" customHeight="1" x14ac:dyDescent="0.3">
      <c r="A676" s="9"/>
      <c r="B676" s="9"/>
      <c r="C676" s="17"/>
      <c r="D676" s="1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7" ht="19.5" customHeight="1" x14ac:dyDescent="0.3">
      <c r="A677" s="9"/>
      <c r="B677" s="9"/>
      <c r="C677" s="17"/>
      <c r="D677" s="1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7" ht="19.5" customHeight="1" x14ac:dyDescent="0.3">
      <c r="A678" s="9"/>
      <c r="B678" s="9"/>
      <c r="C678" s="17"/>
      <c r="D678" s="1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ht="19.5" customHeight="1" x14ac:dyDescent="0.3">
      <c r="A679" s="9"/>
      <c r="B679" s="9"/>
      <c r="C679" s="17"/>
      <c r="D679" s="1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7" ht="19.5" customHeight="1" x14ac:dyDescent="0.3">
      <c r="A680" s="9"/>
      <c r="B680" s="9"/>
      <c r="C680" s="17"/>
      <c r="D680" s="1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ht="19.5" customHeight="1" x14ac:dyDescent="0.3">
      <c r="A681" s="9"/>
      <c r="B681" s="9"/>
      <c r="C681" s="17"/>
      <c r="D681" s="1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7" ht="19.5" customHeight="1" x14ac:dyDescent="0.3">
      <c r="A682" s="9"/>
      <c r="B682" s="9"/>
      <c r="C682" s="17"/>
      <c r="D682" s="1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7" ht="19.5" customHeight="1" x14ac:dyDescent="0.3">
      <c r="A683" s="9"/>
      <c r="B683" s="9"/>
      <c r="C683" s="17"/>
      <c r="D683" s="1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7" ht="19.5" customHeight="1" x14ac:dyDescent="0.3">
      <c r="A684" s="9"/>
      <c r="B684" s="9"/>
      <c r="C684" s="17"/>
      <c r="D684" s="1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7" ht="19.5" customHeight="1" x14ac:dyDescent="0.3">
      <c r="A685" s="9"/>
      <c r="B685" s="9"/>
      <c r="C685" s="17"/>
      <c r="D685" s="1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7" ht="19.5" customHeight="1" x14ac:dyDescent="0.3">
      <c r="A686" s="9"/>
      <c r="B686" s="9"/>
      <c r="C686" s="17"/>
      <c r="D686" s="1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ht="19.5" customHeight="1" x14ac:dyDescent="0.3">
      <c r="A687" s="9"/>
      <c r="B687" s="9"/>
      <c r="C687" s="17"/>
      <c r="D687" s="1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7" ht="19.5" customHeight="1" x14ac:dyDescent="0.3">
      <c r="A688" s="9"/>
      <c r="B688" s="9"/>
      <c r="C688" s="17"/>
      <c r="D688" s="1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ht="19.5" customHeight="1" x14ac:dyDescent="0.3">
      <c r="A689" s="9"/>
      <c r="B689" s="9"/>
      <c r="C689" s="17"/>
      <c r="D689" s="1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7" ht="19.5" customHeight="1" x14ac:dyDescent="0.3">
      <c r="A690" s="9"/>
      <c r="B690" s="9"/>
      <c r="C690" s="17"/>
      <c r="D690" s="1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ht="19.5" customHeight="1" x14ac:dyDescent="0.3">
      <c r="A691" s="9"/>
      <c r="B691" s="9"/>
      <c r="C691" s="17"/>
      <c r="D691" s="1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7" ht="19.5" customHeight="1" x14ac:dyDescent="0.3">
      <c r="A692" s="9"/>
      <c r="B692" s="9"/>
      <c r="C692" s="17"/>
      <c r="D692" s="1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7" ht="19.5" customHeight="1" x14ac:dyDescent="0.3">
      <c r="A693" s="9"/>
      <c r="B693" s="9"/>
      <c r="C693" s="17"/>
      <c r="D693" s="1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ht="19.5" customHeight="1" x14ac:dyDescent="0.3">
      <c r="A694" s="9"/>
      <c r="B694" s="9"/>
      <c r="C694" s="17"/>
      <c r="D694" s="1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7" ht="19.5" customHeight="1" x14ac:dyDescent="0.3">
      <c r="A695" s="9"/>
      <c r="B695" s="9"/>
      <c r="C695" s="17"/>
      <c r="D695" s="1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ht="19.5" customHeight="1" x14ac:dyDescent="0.3">
      <c r="A696" s="9"/>
      <c r="B696" s="9"/>
      <c r="C696" s="17"/>
      <c r="D696" s="1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7" ht="19.5" customHeight="1" x14ac:dyDescent="0.3">
      <c r="A697" s="9"/>
      <c r="B697" s="9"/>
      <c r="C697" s="17"/>
      <c r="D697" s="1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7" ht="19.5" customHeight="1" x14ac:dyDescent="0.3">
      <c r="A698" s="9"/>
      <c r="B698" s="9"/>
      <c r="C698" s="17"/>
      <c r="D698" s="1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7" ht="19.5" customHeight="1" x14ac:dyDescent="0.3">
      <c r="A699" s="9"/>
      <c r="B699" s="9"/>
      <c r="C699" s="17"/>
      <c r="D699" s="1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7" ht="19.5" customHeight="1" x14ac:dyDescent="0.3">
      <c r="A700" s="9"/>
      <c r="B700" s="9"/>
      <c r="C700" s="17"/>
      <c r="D700" s="1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ht="19.5" customHeight="1" x14ac:dyDescent="0.3">
      <c r="A701" s="9"/>
      <c r="B701" s="9"/>
      <c r="C701" s="17"/>
      <c r="D701" s="1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7" ht="19.5" customHeight="1" x14ac:dyDescent="0.3">
      <c r="A702" s="9"/>
      <c r="B702" s="9"/>
      <c r="C702" s="17"/>
      <c r="D702" s="1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ht="19.5" customHeight="1" x14ac:dyDescent="0.3">
      <c r="A703" s="9"/>
      <c r="B703" s="9"/>
      <c r="C703" s="17"/>
      <c r="D703" s="1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ht="19.5" customHeight="1" x14ac:dyDescent="0.3">
      <c r="A704" s="9"/>
      <c r="B704" s="9"/>
      <c r="C704" s="17"/>
      <c r="D704" s="1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7" ht="19.5" customHeight="1" x14ac:dyDescent="0.3">
      <c r="A705" s="9"/>
      <c r="B705" s="9"/>
      <c r="C705" s="17"/>
      <c r="D705" s="1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ht="19.5" customHeight="1" x14ac:dyDescent="0.3">
      <c r="A706" s="9"/>
      <c r="B706" s="9"/>
      <c r="C706" s="17"/>
      <c r="D706" s="1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7" ht="19.5" customHeight="1" x14ac:dyDescent="0.3">
      <c r="A707" s="9"/>
      <c r="B707" s="9"/>
      <c r="C707" s="17"/>
      <c r="D707" s="1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ht="19.5" customHeight="1" x14ac:dyDescent="0.3">
      <c r="A708" s="9"/>
      <c r="B708" s="9"/>
      <c r="C708" s="17"/>
      <c r="D708" s="1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7" ht="19.5" customHeight="1" x14ac:dyDescent="0.3">
      <c r="A709" s="9"/>
      <c r="B709" s="9"/>
      <c r="C709" s="17"/>
      <c r="D709" s="1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ht="19.5" customHeight="1" x14ac:dyDescent="0.3">
      <c r="A710" s="9"/>
      <c r="B710" s="9"/>
      <c r="C710" s="17"/>
      <c r="D710" s="1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7" ht="19.5" customHeight="1" x14ac:dyDescent="0.3">
      <c r="A711" s="9"/>
      <c r="B711" s="9"/>
      <c r="C711" s="17"/>
      <c r="D711" s="1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ht="19.5" customHeight="1" x14ac:dyDescent="0.3">
      <c r="A712" s="9"/>
      <c r="B712" s="9"/>
      <c r="C712" s="17"/>
      <c r="D712" s="1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7" ht="19.5" customHeight="1" x14ac:dyDescent="0.3">
      <c r="A713" s="9"/>
      <c r="B713" s="9"/>
      <c r="C713" s="17"/>
      <c r="D713" s="1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ht="19.5" customHeight="1" x14ac:dyDescent="0.3">
      <c r="A714" s="9"/>
      <c r="B714" s="9"/>
      <c r="C714" s="17"/>
      <c r="D714" s="1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ht="19.5" customHeight="1" x14ac:dyDescent="0.3">
      <c r="A715" s="9"/>
      <c r="B715" s="9"/>
      <c r="C715" s="17"/>
      <c r="D715" s="1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7" ht="19.5" customHeight="1" x14ac:dyDescent="0.3">
      <c r="A716" s="9"/>
      <c r="B716" s="9"/>
      <c r="C716" s="17"/>
      <c r="D716" s="1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7" ht="19.5" customHeight="1" x14ac:dyDescent="0.3">
      <c r="A717" s="9"/>
      <c r="B717" s="9"/>
      <c r="C717" s="17"/>
      <c r="D717" s="1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7" ht="19.5" customHeight="1" x14ac:dyDescent="0.3">
      <c r="A718" s="9"/>
      <c r="B718" s="9"/>
      <c r="C718" s="17"/>
      <c r="D718" s="1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7" ht="19.5" customHeight="1" x14ac:dyDescent="0.3">
      <c r="A719" s="9"/>
      <c r="B719" s="9"/>
      <c r="C719" s="17"/>
      <c r="D719" s="1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7" ht="19.5" customHeight="1" x14ac:dyDescent="0.3">
      <c r="A720" s="9"/>
      <c r="B720" s="9"/>
      <c r="C720" s="17"/>
      <c r="D720" s="1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7" ht="19.5" customHeight="1" x14ac:dyDescent="0.3">
      <c r="A721" s="9"/>
      <c r="B721" s="9"/>
      <c r="C721" s="17"/>
      <c r="D721" s="1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7" ht="19.5" customHeight="1" x14ac:dyDescent="0.3">
      <c r="A722" s="9"/>
      <c r="B722" s="9"/>
      <c r="C722" s="17"/>
      <c r="D722" s="1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7" ht="19.5" customHeight="1" x14ac:dyDescent="0.3">
      <c r="A723" s="9"/>
      <c r="B723" s="9"/>
      <c r="C723" s="17"/>
      <c r="D723" s="1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7" ht="19.5" customHeight="1" x14ac:dyDescent="0.3">
      <c r="A724" s="9"/>
      <c r="B724" s="9"/>
      <c r="C724" s="17"/>
      <c r="D724" s="1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ht="19.5" customHeight="1" x14ac:dyDescent="0.3">
      <c r="A725" s="9"/>
      <c r="B725" s="9"/>
      <c r="C725" s="17"/>
      <c r="D725" s="1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7" ht="19.5" customHeight="1" x14ac:dyDescent="0.3">
      <c r="A726" s="9"/>
      <c r="B726" s="9"/>
      <c r="C726" s="17"/>
      <c r="D726" s="1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7" ht="19.5" customHeight="1" x14ac:dyDescent="0.3">
      <c r="A727" s="9"/>
      <c r="B727" s="9"/>
      <c r="C727" s="17"/>
      <c r="D727" s="1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7" ht="19.5" customHeight="1" x14ac:dyDescent="0.3">
      <c r="A728" s="9"/>
      <c r="B728" s="9"/>
      <c r="C728" s="17"/>
      <c r="D728" s="1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7" ht="19.5" customHeight="1" x14ac:dyDescent="0.3">
      <c r="A729" s="9"/>
      <c r="B729" s="9"/>
      <c r="C729" s="17"/>
      <c r="D729" s="1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ht="19.5" customHeight="1" x14ac:dyDescent="0.3">
      <c r="A730" s="9"/>
      <c r="B730" s="9"/>
      <c r="C730" s="17"/>
      <c r="D730" s="1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7" ht="19.5" customHeight="1" x14ac:dyDescent="0.3">
      <c r="A731" s="9"/>
      <c r="B731" s="9"/>
      <c r="C731" s="17"/>
      <c r="D731" s="1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ht="19.5" customHeight="1" x14ac:dyDescent="0.3">
      <c r="A732" s="9"/>
      <c r="B732" s="9"/>
      <c r="C732" s="17"/>
      <c r="D732" s="1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ht="19.5" customHeight="1" x14ac:dyDescent="0.3">
      <c r="A733" s="9"/>
      <c r="B733" s="9"/>
      <c r="C733" s="17"/>
      <c r="D733" s="1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7" ht="19.5" customHeight="1" x14ac:dyDescent="0.3">
      <c r="A734" s="9"/>
      <c r="B734" s="9"/>
      <c r="C734" s="17"/>
      <c r="D734" s="1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7" ht="19.5" customHeight="1" x14ac:dyDescent="0.3">
      <c r="A735" s="9"/>
      <c r="B735" s="9"/>
      <c r="C735" s="17"/>
      <c r="D735" s="1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7" ht="19.5" customHeight="1" x14ac:dyDescent="0.3">
      <c r="A736" s="9"/>
      <c r="B736" s="9"/>
      <c r="C736" s="17"/>
      <c r="D736" s="1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ht="19.5" customHeight="1" x14ac:dyDescent="0.3">
      <c r="A737" s="9"/>
      <c r="B737" s="9"/>
      <c r="C737" s="17"/>
      <c r="D737" s="1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ht="19.5" customHeight="1" x14ac:dyDescent="0.3">
      <c r="A738" s="9"/>
      <c r="B738" s="9"/>
      <c r="C738" s="17"/>
      <c r="D738" s="1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ht="19.5" customHeight="1" x14ac:dyDescent="0.3">
      <c r="A739" s="9"/>
      <c r="B739" s="9"/>
      <c r="C739" s="17"/>
      <c r="D739" s="1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7" ht="19.5" customHeight="1" x14ac:dyDescent="0.3">
      <c r="A740" s="9"/>
      <c r="B740" s="9"/>
      <c r="C740" s="17"/>
      <c r="D740" s="1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ht="19.5" customHeight="1" x14ac:dyDescent="0.3">
      <c r="A741" s="9"/>
      <c r="B741" s="9"/>
      <c r="C741" s="17"/>
      <c r="D741" s="1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7" ht="19.5" customHeight="1" x14ac:dyDescent="0.3">
      <c r="A742" s="9"/>
      <c r="B742" s="9"/>
      <c r="C742" s="17"/>
      <c r="D742" s="1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ht="19.5" customHeight="1" x14ac:dyDescent="0.3">
      <c r="A743" s="9"/>
      <c r="B743" s="9"/>
      <c r="C743" s="17"/>
      <c r="D743" s="1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ht="19.5" customHeight="1" x14ac:dyDescent="0.3">
      <c r="A744" s="9"/>
      <c r="B744" s="9"/>
      <c r="C744" s="17"/>
      <c r="D744" s="1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7" ht="19.5" customHeight="1" x14ac:dyDescent="0.3">
      <c r="A745" s="9"/>
      <c r="B745" s="9"/>
      <c r="C745" s="17"/>
      <c r="D745" s="1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ht="19.5" customHeight="1" x14ac:dyDescent="0.3">
      <c r="A746" s="9"/>
      <c r="B746" s="9"/>
      <c r="C746" s="17"/>
      <c r="D746" s="1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7" ht="19.5" customHeight="1" x14ac:dyDescent="0.3">
      <c r="A747" s="9"/>
      <c r="B747" s="9"/>
      <c r="C747" s="17"/>
      <c r="D747" s="1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7" ht="19.5" customHeight="1" x14ac:dyDescent="0.3">
      <c r="A748" s="9"/>
      <c r="B748" s="9"/>
      <c r="C748" s="17"/>
      <c r="D748" s="1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7" ht="19.5" customHeight="1" x14ac:dyDescent="0.3">
      <c r="A749" s="9"/>
      <c r="B749" s="9"/>
      <c r="C749" s="17"/>
      <c r="D749" s="1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7" ht="19.5" customHeight="1" x14ac:dyDescent="0.3">
      <c r="A750" s="9"/>
      <c r="B750" s="9"/>
      <c r="C750" s="17"/>
      <c r="D750" s="1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7" ht="19.5" customHeight="1" x14ac:dyDescent="0.3">
      <c r="A751" s="9"/>
      <c r="B751" s="9"/>
      <c r="C751" s="17"/>
      <c r="D751" s="1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7" ht="19.5" customHeight="1" x14ac:dyDescent="0.3">
      <c r="A752" s="9"/>
      <c r="B752" s="9"/>
      <c r="C752" s="17"/>
      <c r="D752" s="1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ht="19.5" customHeight="1" x14ac:dyDescent="0.3">
      <c r="A753" s="9"/>
      <c r="B753" s="9"/>
      <c r="C753" s="17"/>
      <c r="D753" s="1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7" ht="19.5" customHeight="1" x14ac:dyDescent="0.3">
      <c r="A754" s="9"/>
      <c r="B754" s="9"/>
      <c r="C754" s="17"/>
      <c r="D754" s="1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7" ht="19.5" customHeight="1" x14ac:dyDescent="0.3">
      <c r="A755" s="9"/>
      <c r="B755" s="9"/>
      <c r="C755" s="17"/>
      <c r="D755" s="1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ht="19.5" customHeight="1" x14ac:dyDescent="0.3">
      <c r="A756" s="9"/>
      <c r="B756" s="9"/>
      <c r="C756" s="17"/>
      <c r="D756" s="1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7" ht="19.5" customHeight="1" x14ac:dyDescent="0.3">
      <c r="A757" s="9"/>
      <c r="B757" s="9"/>
      <c r="C757" s="17"/>
      <c r="D757" s="1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7" ht="19.5" customHeight="1" x14ac:dyDescent="0.3">
      <c r="A758" s="9"/>
      <c r="B758" s="9"/>
      <c r="C758" s="17"/>
      <c r="D758" s="1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7" ht="19.5" customHeight="1" x14ac:dyDescent="0.3">
      <c r="A759" s="9"/>
      <c r="B759" s="9"/>
      <c r="C759" s="17"/>
      <c r="D759" s="1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7" ht="19.5" customHeight="1" x14ac:dyDescent="0.3">
      <c r="A760" s="9"/>
      <c r="B760" s="9"/>
      <c r="C760" s="17"/>
      <c r="D760" s="1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7" ht="19.5" customHeight="1" x14ac:dyDescent="0.3">
      <c r="A761" s="9"/>
      <c r="B761" s="9"/>
      <c r="C761" s="17"/>
      <c r="D761" s="1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7" ht="19.5" customHeight="1" x14ac:dyDescent="0.3">
      <c r="A762" s="9"/>
      <c r="B762" s="9"/>
      <c r="C762" s="17"/>
      <c r="D762" s="1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7" ht="19.5" customHeight="1" x14ac:dyDescent="0.3">
      <c r="A763" s="9"/>
      <c r="B763" s="9"/>
      <c r="C763" s="17"/>
      <c r="D763" s="1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7" ht="19.5" customHeight="1" x14ac:dyDescent="0.3">
      <c r="A764" s="9"/>
      <c r="B764" s="9"/>
      <c r="C764" s="17"/>
      <c r="D764" s="1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ht="19.5" customHeight="1" x14ac:dyDescent="0.3">
      <c r="A765" s="9"/>
      <c r="B765" s="9"/>
      <c r="C765" s="17"/>
      <c r="D765" s="1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7" ht="19.5" customHeight="1" x14ac:dyDescent="0.3">
      <c r="A766" s="9"/>
      <c r="B766" s="9"/>
      <c r="C766" s="17"/>
      <c r="D766" s="1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7" ht="19.5" customHeight="1" x14ac:dyDescent="0.3">
      <c r="A767" s="9"/>
      <c r="B767" s="9"/>
      <c r="C767" s="17"/>
      <c r="D767" s="1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7" ht="19.5" customHeight="1" x14ac:dyDescent="0.3">
      <c r="A768" s="9"/>
      <c r="B768" s="9"/>
      <c r="C768" s="17"/>
      <c r="D768" s="1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7" ht="19.5" customHeight="1" x14ac:dyDescent="0.3">
      <c r="A769" s="9"/>
      <c r="B769" s="9"/>
      <c r="C769" s="17"/>
      <c r="D769" s="1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ht="19.5" customHeight="1" x14ac:dyDescent="0.3">
      <c r="A770" s="9"/>
      <c r="B770" s="9"/>
      <c r="C770" s="17"/>
      <c r="D770" s="1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ht="19.5" customHeight="1" x14ac:dyDescent="0.3">
      <c r="A771" s="9"/>
      <c r="B771" s="9"/>
      <c r="C771" s="17"/>
      <c r="D771" s="1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7" ht="19.5" customHeight="1" x14ac:dyDescent="0.3">
      <c r="A772" s="9"/>
      <c r="B772" s="9"/>
      <c r="C772" s="17"/>
      <c r="D772" s="1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ht="19.5" customHeight="1" x14ac:dyDescent="0.3">
      <c r="A773" s="9"/>
      <c r="B773" s="9"/>
      <c r="C773" s="17"/>
      <c r="D773" s="1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ht="19.5" customHeight="1" x14ac:dyDescent="0.3">
      <c r="A774" s="9"/>
      <c r="B774" s="9"/>
      <c r="C774" s="17"/>
      <c r="D774" s="1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ht="19.5" customHeight="1" x14ac:dyDescent="0.3">
      <c r="A775" s="9"/>
      <c r="B775" s="9"/>
      <c r="C775" s="17"/>
      <c r="D775" s="1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7" ht="19.5" customHeight="1" x14ac:dyDescent="0.3">
      <c r="A776" s="9"/>
      <c r="B776" s="9"/>
      <c r="C776" s="17"/>
      <c r="D776" s="1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ht="19.5" customHeight="1" x14ac:dyDescent="0.3">
      <c r="A777" s="9"/>
      <c r="B777" s="9"/>
      <c r="C777" s="17"/>
      <c r="D777" s="1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ht="19.5" customHeight="1" x14ac:dyDescent="0.3">
      <c r="A778" s="9"/>
      <c r="B778" s="9"/>
      <c r="C778" s="17"/>
      <c r="D778" s="1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7" ht="19.5" customHeight="1" x14ac:dyDescent="0.3">
      <c r="A779" s="9"/>
      <c r="B779" s="9"/>
      <c r="C779" s="17"/>
      <c r="D779" s="1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ht="19.5" customHeight="1" x14ac:dyDescent="0.3">
      <c r="A780" s="9"/>
      <c r="B780" s="9"/>
      <c r="C780" s="17"/>
      <c r="D780" s="1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7" ht="19.5" customHeight="1" x14ac:dyDescent="0.3">
      <c r="A781" s="9"/>
      <c r="B781" s="9"/>
      <c r="C781" s="17"/>
      <c r="D781" s="1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7" ht="19.5" customHeight="1" x14ac:dyDescent="0.3">
      <c r="A782" s="9"/>
      <c r="B782" s="9"/>
      <c r="C782" s="17"/>
      <c r="D782" s="1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7" ht="19.5" customHeight="1" x14ac:dyDescent="0.3">
      <c r="A783" s="9"/>
      <c r="B783" s="9"/>
      <c r="C783" s="17"/>
      <c r="D783" s="1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ht="19.5" customHeight="1" x14ac:dyDescent="0.3">
      <c r="A784" s="9"/>
      <c r="B784" s="9"/>
      <c r="C784" s="17"/>
      <c r="D784" s="1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ht="19.5" customHeight="1" x14ac:dyDescent="0.3">
      <c r="A785" s="9"/>
      <c r="B785" s="9"/>
      <c r="C785" s="17"/>
      <c r="D785" s="1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7" ht="19.5" customHeight="1" x14ac:dyDescent="0.3">
      <c r="A786" s="9"/>
      <c r="B786" s="9"/>
      <c r="C786" s="17"/>
      <c r="D786" s="1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ht="19.5" customHeight="1" x14ac:dyDescent="0.3">
      <c r="A787" s="9"/>
      <c r="B787" s="9"/>
      <c r="C787" s="17"/>
      <c r="D787" s="1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7" ht="19.5" customHeight="1" x14ac:dyDescent="0.3">
      <c r="A788" s="9"/>
      <c r="B788" s="9"/>
      <c r="C788" s="17"/>
      <c r="D788" s="1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7" ht="19.5" customHeight="1" x14ac:dyDescent="0.3">
      <c r="A789" s="9"/>
      <c r="B789" s="9"/>
      <c r="C789" s="17"/>
      <c r="D789" s="1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7" ht="19.5" customHeight="1" x14ac:dyDescent="0.3">
      <c r="A790" s="9"/>
      <c r="B790" s="9"/>
      <c r="C790" s="17"/>
      <c r="D790" s="1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7" ht="19.5" customHeight="1" x14ac:dyDescent="0.3">
      <c r="A791" s="9"/>
      <c r="B791" s="9"/>
      <c r="C791" s="17"/>
      <c r="D791" s="1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ht="19.5" customHeight="1" x14ac:dyDescent="0.3">
      <c r="A792" s="9"/>
      <c r="B792" s="9"/>
      <c r="C792" s="17"/>
      <c r="D792" s="1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7" ht="19.5" customHeight="1" x14ac:dyDescent="0.3">
      <c r="A793" s="9"/>
      <c r="B793" s="9"/>
      <c r="C793" s="17"/>
      <c r="D793" s="1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7" ht="19.5" customHeight="1" x14ac:dyDescent="0.3">
      <c r="A794" s="9"/>
      <c r="B794" s="9"/>
      <c r="C794" s="17"/>
      <c r="D794" s="1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7" ht="19.5" customHeight="1" x14ac:dyDescent="0.3">
      <c r="A795" s="9"/>
      <c r="B795" s="9"/>
      <c r="C795" s="17"/>
      <c r="D795" s="1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ht="19.5" customHeight="1" x14ac:dyDescent="0.3">
      <c r="A796" s="9"/>
      <c r="B796" s="9"/>
      <c r="C796" s="17"/>
      <c r="D796" s="1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7" ht="19.5" customHeight="1" x14ac:dyDescent="0.3">
      <c r="A797" s="9"/>
      <c r="B797" s="9"/>
      <c r="C797" s="17"/>
      <c r="D797" s="1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ht="19.5" customHeight="1" x14ac:dyDescent="0.3">
      <c r="A798" s="9"/>
      <c r="B798" s="9"/>
      <c r="C798" s="17"/>
      <c r="D798" s="1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7" ht="19.5" customHeight="1" x14ac:dyDescent="0.3">
      <c r="A799" s="9"/>
      <c r="B799" s="9"/>
      <c r="C799" s="17"/>
      <c r="D799" s="1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7" ht="19.5" customHeight="1" x14ac:dyDescent="0.3">
      <c r="A800" s="9"/>
      <c r="B800" s="9"/>
      <c r="C800" s="17"/>
      <c r="D800" s="1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ht="19.5" customHeight="1" x14ac:dyDescent="0.3">
      <c r="A801" s="9"/>
      <c r="B801" s="9"/>
      <c r="C801" s="17"/>
      <c r="D801" s="1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ht="19.5" customHeight="1" x14ac:dyDescent="0.3">
      <c r="A802" s="9"/>
      <c r="B802" s="9"/>
      <c r="C802" s="17"/>
      <c r="D802" s="1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7" ht="19.5" customHeight="1" x14ac:dyDescent="0.3">
      <c r="A803" s="9"/>
      <c r="B803" s="9"/>
      <c r="C803" s="17"/>
      <c r="D803" s="1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ht="19.5" customHeight="1" x14ac:dyDescent="0.3">
      <c r="A804" s="9"/>
      <c r="B804" s="9"/>
      <c r="C804" s="17"/>
      <c r="D804" s="1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7" ht="19.5" customHeight="1" x14ac:dyDescent="0.3">
      <c r="A805" s="9"/>
      <c r="B805" s="9"/>
      <c r="C805" s="17"/>
      <c r="D805" s="1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7" ht="19.5" customHeight="1" x14ac:dyDescent="0.3">
      <c r="A806" s="9"/>
      <c r="B806" s="9"/>
      <c r="C806" s="17"/>
      <c r="D806" s="1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ht="19.5" customHeight="1" x14ac:dyDescent="0.3">
      <c r="A807" s="9"/>
      <c r="B807" s="9"/>
      <c r="C807" s="17"/>
      <c r="D807" s="1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ht="19.5" customHeight="1" x14ac:dyDescent="0.3">
      <c r="A808" s="9"/>
      <c r="B808" s="9"/>
      <c r="C808" s="17"/>
      <c r="D808" s="1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7" ht="19.5" customHeight="1" x14ac:dyDescent="0.3">
      <c r="A809" s="9"/>
      <c r="B809" s="9"/>
      <c r="C809" s="17"/>
      <c r="D809" s="1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7" ht="19.5" customHeight="1" x14ac:dyDescent="0.3">
      <c r="A810" s="9"/>
      <c r="B810" s="9"/>
      <c r="C810" s="17"/>
      <c r="D810" s="1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7" ht="19.5" customHeight="1" x14ac:dyDescent="0.3">
      <c r="A811" s="9"/>
      <c r="B811" s="9"/>
      <c r="C811" s="17"/>
      <c r="D811" s="1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7" ht="19.5" customHeight="1" x14ac:dyDescent="0.3">
      <c r="A812" s="9"/>
      <c r="B812" s="9"/>
      <c r="C812" s="17"/>
      <c r="D812" s="1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ht="19.5" customHeight="1" x14ac:dyDescent="0.3">
      <c r="A813" s="9"/>
      <c r="B813" s="9"/>
      <c r="C813" s="17"/>
      <c r="D813" s="1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ht="19.5" customHeight="1" x14ac:dyDescent="0.3">
      <c r="A814" s="9"/>
      <c r="B814" s="9"/>
      <c r="C814" s="17"/>
      <c r="D814" s="1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7" ht="19.5" customHeight="1" x14ac:dyDescent="0.3">
      <c r="A815" s="9"/>
      <c r="B815" s="9"/>
      <c r="C815" s="17"/>
      <c r="D815" s="1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7" ht="19.5" customHeight="1" x14ac:dyDescent="0.3">
      <c r="A816" s="9"/>
      <c r="B816" s="9"/>
      <c r="C816" s="17"/>
      <c r="D816" s="1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ht="19.5" customHeight="1" x14ac:dyDescent="0.3">
      <c r="A817" s="9"/>
      <c r="B817" s="9"/>
      <c r="C817" s="17"/>
      <c r="D817" s="1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7" ht="19.5" customHeight="1" x14ac:dyDescent="0.3">
      <c r="A818" s="9"/>
      <c r="B818" s="9"/>
      <c r="C818" s="17"/>
      <c r="D818" s="1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ht="19.5" customHeight="1" x14ac:dyDescent="0.3">
      <c r="A819" s="9"/>
      <c r="B819" s="9"/>
      <c r="C819" s="17"/>
      <c r="D819" s="1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7" ht="19.5" customHeight="1" x14ac:dyDescent="0.3">
      <c r="A820" s="9"/>
      <c r="B820" s="9"/>
      <c r="C820" s="17"/>
      <c r="D820" s="1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7" ht="19.5" customHeight="1" x14ac:dyDescent="0.3">
      <c r="A821" s="9"/>
      <c r="B821" s="9"/>
      <c r="C821" s="17"/>
      <c r="D821" s="1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7" ht="19.5" customHeight="1" x14ac:dyDescent="0.3">
      <c r="A822" s="9"/>
      <c r="B822" s="9"/>
      <c r="C822" s="17"/>
      <c r="D822" s="1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7" ht="19.5" customHeight="1" x14ac:dyDescent="0.3">
      <c r="A823" s="9"/>
      <c r="B823" s="9"/>
      <c r="C823" s="17"/>
      <c r="D823" s="1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7" ht="19.5" customHeight="1" x14ac:dyDescent="0.3">
      <c r="A824" s="9"/>
      <c r="B824" s="9"/>
      <c r="C824" s="17"/>
      <c r="D824" s="1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7" ht="19.5" customHeight="1" x14ac:dyDescent="0.3">
      <c r="A825" s="9"/>
      <c r="B825" s="9"/>
      <c r="C825" s="17"/>
      <c r="D825" s="1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7" ht="19.5" customHeight="1" x14ac:dyDescent="0.3">
      <c r="A826" s="9"/>
      <c r="B826" s="9"/>
      <c r="C826" s="17"/>
      <c r="D826" s="1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7" ht="19.5" customHeight="1" x14ac:dyDescent="0.3">
      <c r="A827" s="9"/>
      <c r="B827" s="9"/>
      <c r="C827" s="17"/>
      <c r="D827" s="1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ht="19.5" customHeight="1" x14ac:dyDescent="0.3">
      <c r="A828" s="9"/>
      <c r="B828" s="9"/>
      <c r="C828" s="17"/>
      <c r="D828" s="1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7" ht="19.5" customHeight="1" x14ac:dyDescent="0.3">
      <c r="A829" s="9"/>
      <c r="B829" s="9"/>
      <c r="C829" s="17"/>
      <c r="D829" s="1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7" ht="19.5" customHeight="1" x14ac:dyDescent="0.3">
      <c r="A830" s="9"/>
      <c r="B830" s="9"/>
      <c r="C830" s="17"/>
      <c r="D830" s="1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ht="19.5" customHeight="1" x14ac:dyDescent="0.3">
      <c r="A831" s="9"/>
      <c r="B831" s="9"/>
      <c r="C831" s="17"/>
      <c r="D831" s="1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7" ht="19.5" customHeight="1" x14ac:dyDescent="0.3">
      <c r="A832" s="9"/>
      <c r="B832" s="9"/>
      <c r="C832" s="17"/>
      <c r="D832" s="1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ht="19.5" customHeight="1" x14ac:dyDescent="0.3">
      <c r="A833" s="9"/>
      <c r="B833" s="9"/>
      <c r="C833" s="17"/>
      <c r="D833" s="1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7" ht="19.5" customHeight="1" x14ac:dyDescent="0.3">
      <c r="A834" s="9"/>
      <c r="B834" s="9"/>
      <c r="C834" s="17"/>
      <c r="D834" s="1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7" ht="19.5" customHeight="1" x14ac:dyDescent="0.3">
      <c r="A835" s="9"/>
      <c r="B835" s="9"/>
      <c r="C835" s="17"/>
      <c r="D835" s="1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7" ht="19.5" customHeight="1" x14ac:dyDescent="0.3">
      <c r="A836" s="9"/>
      <c r="B836" s="9"/>
      <c r="C836" s="17"/>
      <c r="D836" s="1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7" ht="19.5" customHeight="1" x14ac:dyDescent="0.3">
      <c r="A837" s="9"/>
      <c r="B837" s="9"/>
      <c r="C837" s="17"/>
      <c r="D837" s="1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7" ht="19.5" customHeight="1" x14ac:dyDescent="0.3">
      <c r="A838" s="9"/>
      <c r="B838" s="9"/>
      <c r="C838" s="17"/>
      <c r="D838" s="1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7" ht="19.5" customHeight="1" x14ac:dyDescent="0.3">
      <c r="A839" s="9"/>
      <c r="B839" s="9"/>
      <c r="C839" s="17"/>
      <c r="D839" s="1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7" ht="19.5" customHeight="1" x14ac:dyDescent="0.3">
      <c r="A840" s="9"/>
      <c r="B840" s="9"/>
      <c r="C840" s="17"/>
      <c r="D840" s="1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7" ht="19.5" customHeight="1" x14ac:dyDescent="0.3">
      <c r="A841" s="9"/>
      <c r="B841" s="9"/>
      <c r="C841" s="17"/>
      <c r="D841" s="1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7" ht="19.5" customHeight="1" x14ac:dyDescent="0.3">
      <c r="A842" s="9"/>
      <c r="B842" s="9"/>
      <c r="C842" s="17"/>
      <c r="D842" s="1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7" ht="19.5" customHeight="1" x14ac:dyDescent="0.3">
      <c r="A843" s="9"/>
      <c r="B843" s="9"/>
      <c r="C843" s="17"/>
      <c r="D843" s="1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ht="19.5" customHeight="1" x14ac:dyDescent="0.3">
      <c r="A844" s="9"/>
      <c r="B844" s="9"/>
      <c r="C844" s="17"/>
      <c r="D844" s="1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7" ht="19.5" customHeight="1" x14ac:dyDescent="0.3">
      <c r="A845" s="9"/>
      <c r="B845" s="9"/>
      <c r="C845" s="17"/>
      <c r="D845" s="1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7" ht="19.5" customHeight="1" x14ac:dyDescent="0.3">
      <c r="A846" s="9"/>
      <c r="B846" s="9"/>
      <c r="C846" s="17"/>
      <c r="D846" s="1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7" ht="19.5" customHeight="1" x14ac:dyDescent="0.3">
      <c r="A847" s="9"/>
      <c r="B847" s="9"/>
      <c r="C847" s="17"/>
      <c r="D847" s="1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7" ht="19.5" customHeight="1" x14ac:dyDescent="0.3">
      <c r="A848" s="9"/>
      <c r="B848" s="9"/>
      <c r="C848" s="17"/>
      <c r="D848" s="1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7" ht="19.5" customHeight="1" x14ac:dyDescent="0.3">
      <c r="A849" s="9"/>
      <c r="B849" s="9"/>
      <c r="C849" s="17"/>
      <c r="D849" s="1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ht="19.5" customHeight="1" x14ac:dyDescent="0.3">
      <c r="A850" s="9"/>
      <c r="B850" s="9"/>
      <c r="C850" s="17"/>
      <c r="D850" s="1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7" ht="19.5" customHeight="1" x14ac:dyDescent="0.3">
      <c r="A851" s="9"/>
      <c r="B851" s="9"/>
      <c r="C851" s="17"/>
      <c r="D851" s="1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ht="19.5" customHeight="1" x14ac:dyDescent="0.3">
      <c r="A852" s="9"/>
      <c r="B852" s="9"/>
      <c r="C852" s="17"/>
      <c r="D852" s="1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7" ht="19.5" customHeight="1" x14ac:dyDescent="0.3">
      <c r="A853" s="9"/>
      <c r="B853" s="9"/>
      <c r="C853" s="17"/>
      <c r="D853" s="1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ht="19.5" customHeight="1" x14ac:dyDescent="0.3">
      <c r="A854" s="9"/>
      <c r="B854" s="9"/>
      <c r="C854" s="17"/>
      <c r="D854" s="1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7" ht="19.5" customHeight="1" x14ac:dyDescent="0.3">
      <c r="A855" s="9"/>
      <c r="B855" s="9"/>
      <c r="C855" s="17"/>
      <c r="D855" s="1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ht="19.5" customHeight="1" x14ac:dyDescent="0.3">
      <c r="A856" s="9"/>
      <c r="B856" s="9"/>
      <c r="C856" s="17"/>
      <c r="D856" s="1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ht="19.5" customHeight="1" x14ac:dyDescent="0.3">
      <c r="A857" s="9"/>
      <c r="B857" s="9"/>
      <c r="C857" s="17"/>
      <c r="D857" s="1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7" ht="19.5" customHeight="1" x14ac:dyDescent="0.3">
      <c r="A858" s="9"/>
      <c r="B858" s="9"/>
      <c r="C858" s="17"/>
      <c r="D858" s="1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7" ht="19.5" customHeight="1" x14ac:dyDescent="0.3">
      <c r="A859" s="9"/>
      <c r="B859" s="9"/>
      <c r="C859" s="17"/>
      <c r="D859" s="1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ht="19.5" customHeight="1" x14ac:dyDescent="0.3">
      <c r="A860" s="9"/>
      <c r="B860" s="9"/>
      <c r="C860" s="17"/>
      <c r="D860" s="1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7" ht="19.5" customHeight="1" x14ac:dyDescent="0.3">
      <c r="A861" s="9"/>
      <c r="B861" s="9"/>
      <c r="C861" s="17"/>
      <c r="D861" s="1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ht="19.5" customHeight="1" x14ac:dyDescent="0.3">
      <c r="A862" s="9"/>
      <c r="B862" s="9"/>
      <c r="C862" s="17"/>
      <c r="D862" s="1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7" ht="19.5" customHeight="1" x14ac:dyDescent="0.3">
      <c r="A863" s="9"/>
      <c r="B863" s="9"/>
      <c r="C863" s="17"/>
      <c r="D863" s="1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7" ht="19.5" customHeight="1" x14ac:dyDescent="0.3">
      <c r="A864" s="9"/>
      <c r="B864" s="9"/>
      <c r="C864" s="17"/>
      <c r="D864" s="1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7" ht="19.5" customHeight="1" x14ac:dyDescent="0.3">
      <c r="A865" s="9"/>
      <c r="B865" s="9"/>
      <c r="C865" s="17"/>
      <c r="D865" s="1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7" ht="19.5" customHeight="1" x14ac:dyDescent="0.3">
      <c r="A866" s="9"/>
      <c r="B866" s="9"/>
      <c r="C866" s="17"/>
      <c r="D866" s="1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ht="19.5" customHeight="1" x14ac:dyDescent="0.3">
      <c r="A867" s="9"/>
      <c r="B867" s="9"/>
      <c r="C867" s="17"/>
      <c r="D867" s="1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ht="19.5" customHeight="1" x14ac:dyDescent="0.3">
      <c r="A868" s="9"/>
      <c r="B868" s="9"/>
      <c r="C868" s="17"/>
      <c r="D868" s="1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ht="19.5" customHeight="1" x14ac:dyDescent="0.3">
      <c r="A869" s="9"/>
      <c r="B869" s="9"/>
      <c r="C869" s="17"/>
      <c r="D869" s="1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ht="19.5" customHeight="1" x14ac:dyDescent="0.3">
      <c r="A870" s="9"/>
      <c r="B870" s="9"/>
      <c r="C870" s="17"/>
      <c r="D870" s="1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7" ht="19.5" customHeight="1" x14ac:dyDescent="0.3">
      <c r="A871" s="9"/>
      <c r="B871" s="9"/>
      <c r="C871" s="17"/>
      <c r="D871" s="1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ht="19.5" customHeight="1" x14ac:dyDescent="0.3">
      <c r="A872" s="9"/>
      <c r="B872" s="9"/>
      <c r="C872" s="17"/>
      <c r="D872" s="1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ht="19.5" customHeight="1" x14ac:dyDescent="0.3">
      <c r="A873" s="9"/>
      <c r="B873" s="9"/>
      <c r="C873" s="17"/>
      <c r="D873" s="1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ht="19.5" customHeight="1" x14ac:dyDescent="0.3">
      <c r="A874" s="9"/>
      <c r="B874" s="9"/>
      <c r="C874" s="17"/>
      <c r="D874" s="1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ht="19.5" customHeight="1" x14ac:dyDescent="0.3">
      <c r="A875" s="9"/>
      <c r="B875" s="9"/>
      <c r="C875" s="17"/>
      <c r="D875" s="1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7" ht="19.5" customHeight="1" x14ac:dyDescent="0.3">
      <c r="A876" s="9"/>
      <c r="B876" s="9"/>
      <c r="C876" s="17"/>
      <c r="D876" s="1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7" ht="19.5" customHeight="1" x14ac:dyDescent="0.3">
      <c r="A877" s="9"/>
      <c r="B877" s="9"/>
      <c r="C877" s="17"/>
      <c r="D877" s="1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7" ht="19.5" customHeight="1" x14ac:dyDescent="0.3">
      <c r="A878" s="9"/>
      <c r="B878" s="9"/>
      <c r="C878" s="17"/>
      <c r="D878" s="1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7" ht="19.5" customHeight="1" x14ac:dyDescent="0.3">
      <c r="A879" s="9"/>
      <c r="B879" s="9"/>
      <c r="C879" s="17"/>
      <c r="D879" s="1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7" ht="19.5" customHeight="1" x14ac:dyDescent="0.3">
      <c r="A880" s="9"/>
      <c r="B880" s="9"/>
      <c r="C880" s="17"/>
      <c r="D880" s="1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7" ht="19.5" customHeight="1" x14ac:dyDescent="0.3">
      <c r="A881" s="9"/>
      <c r="B881" s="9"/>
      <c r="C881" s="17"/>
      <c r="D881" s="1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spans="1:17" ht="19.5" customHeight="1" x14ac:dyDescent="0.3">
      <c r="A882" s="9"/>
      <c r="B882" s="9"/>
      <c r="C882" s="17"/>
      <c r="D882" s="17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spans="1:17" ht="19.5" customHeight="1" x14ac:dyDescent="0.3">
      <c r="A883" s="9"/>
      <c r="B883" s="9"/>
      <c r="C883" s="17"/>
      <c r="D883" s="17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spans="1:17" ht="19.5" customHeight="1" x14ac:dyDescent="0.3">
      <c r="A884" s="9"/>
      <c r="B884" s="9"/>
      <c r="C884" s="17"/>
      <c r="D884" s="17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spans="1:17" ht="19.5" customHeight="1" x14ac:dyDescent="0.3">
      <c r="A885" s="9"/>
      <c r="B885" s="9"/>
      <c r="C885" s="17"/>
      <c r="D885" s="17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1:17" ht="19.5" customHeight="1" x14ac:dyDescent="0.3">
      <c r="A886" s="9"/>
      <c r="B886" s="9"/>
      <c r="C886" s="17"/>
      <c r="D886" s="17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1:17" ht="19.5" customHeight="1" x14ac:dyDescent="0.3">
      <c r="A887" s="9"/>
      <c r="B887" s="9"/>
      <c r="C887" s="17"/>
      <c r="D887" s="17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spans="1:17" ht="19.5" customHeight="1" x14ac:dyDescent="0.3">
      <c r="A888" s="9"/>
      <c r="B888" s="9"/>
      <c r="C888" s="17"/>
      <c r="D888" s="17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spans="1:17" ht="19.5" customHeight="1" x14ac:dyDescent="0.3">
      <c r="A889" s="9"/>
      <c r="B889" s="9"/>
      <c r="C889" s="17"/>
      <c r="D889" s="17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1:17" ht="19.5" customHeight="1" x14ac:dyDescent="0.3">
      <c r="A890" s="9"/>
      <c r="B890" s="9"/>
      <c r="C890" s="17"/>
      <c r="D890" s="17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spans="1:17" ht="19.5" customHeight="1" x14ac:dyDescent="0.3">
      <c r="A891" s="9"/>
      <c r="B891" s="9"/>
      <c r="C891" s="17"/>
      <c r="D891" s="17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1:17" ht="19.5" customHeight="1" x14ac:dyDescent="0.3">
      <c r="A892" s="9"/>
      <c r="B892" s="9"/>
      <c r="C892" s="17"/>
      <c r="D892" s="17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spans="1:17" ht="19.5" customHeight="1" x14ac:dyDescent="0.3">
      <c r="A893" s="9"/>
      <c r="B893" s="9"/>
      <c r="C893" s="17"/>
      <c r="D893" s="17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spans="1:17" ht="19.5" customHeight="1" x14ac:dyDescent="0.3">
      <c r="A894" s="9"/>
      <c r="B894" s="9"/>
      <c r="C894" s="17"/>
      <c r="D894" s="17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1:17" ht="19.5" customHeight="1" x14ac:dyDescent="0.3">
      <c r="A895" s="9"/>
      <c r="B895" s="9"/>
      <c r="C895" s="17"/>
      <c r="D895" s="17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1:17" ht="19.5" customHeight="1" x14ac:dyDescent="0.3">
      <c r="A896" s="9"/>
      <c r="B896" s="9"/>
      <c r="C896" s="17"/>
      <c r="D896" s="17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spans="1:17" ht="19.5" customHeight="1" x14ac:dyDescent="0.3">
      <c r="A897" s="9"/>
      <c r="B897" s="9"/>
      <c r="C897" s="17"/>
      <c r="D897" s="17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spans="1:17" ht="19.5" customHeight="1" x14ac:dyDescent="0.3">
      <c r="A898" s="9"/>
      <c r="B898" s="9"/>
      <c r="C898" s="17"/>
      <c r="D898" s="17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1:17" ht="19.5" customHeight="1" x14ac:dyDescent="0.3">
      <c r="A899" s="9"/>
      <c r="B899" s="9"/>
      <c r="C899" s="17"/>
      <c r="D899" s="17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spans="1:17" ht="19.5" customHeight="1" x14ac:dyDescent="0.3">
      <c r="A900" s="9"/>
      <c r="B900" s="9"/>
      <c r="C900" s="17"/>
      <c r="D900" s="17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1:17" ht="19.5" customHeight="1" x14ac:dyDescent="0.3">
      <c r="A901" s="9"/>
      <c r="B901" s="9"/>
      <c r="C901" s="17"/>
      <c r="D901" s="17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spans="1:17" ht="19.5" customHeight="1" x14ac:dyDescent="0.3">
      <c r="A902" s="9"/>
      <c r="B902" s="9"/>
      <c r="C902" s="17"/>
      <c r="D902" s="17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spans="1:17" ht="19.5" customHeight="1" x14ac:dyDescent="0.3">
      <c r="A903" s="9"/>
      <c r="B903" s="9"/>
      <c r="C903" s="17"/>
      <c r="D903" s="17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spans="1:17" ht="19.5" customHeight="1" x14ac:dyDescent="0.3">
      <c r="A904" s="9"/>
      <c r="B904" s="9"/>
      <c r="C904" s="17"/>
      <c r="D904" s="17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spans="1:17" ht="19.5" customHeight="1" x14ac:dyDescent="0.3">
      <c r="A905" s="9"/>
      <c r="B905" s="9"/>
      <c r="C905" s="17"/>
      <c r="D905" s="17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spans="1:17" ht="19.5" customHeight="1" x14ac:dyDescent="0.3">
      <c r="A906" s="9"/>
      <c r="B906" s="9"/>
      <c r="C906" s="17"/>
      <c r="D906" s="17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spans="1:17" ht="19.5" customHeight="1" x14ac:dyDescent="0.3">
      <c r="A907" s="9"/>
      <c r="B907" s="9"/>
      <c r="C907" s="17"/>
      <c r="D907" s="17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spans="1:17" ht="19.5" customHeight="1" x14ac:dyDescent="0.3">
      <c r="A908" s="9"/>
      <c r="B908" s="9"/>
      <c r="C908" s="17"/>
      <c r="D908" s="17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spans="1:17" ht="19.5" customHeight="1" x14ac:dyDescent="0.3">
      <c r="A909" s="9"/>
      <c r="B909" s="9"/>
      <c r="C909" s="17"/>
      <c r="D909" s="17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spans="1:17" ht="19.5" customHeight="1" x14ac:dyDescent="0.3">
      <c r="A910" s="9"/>
      <c r="B910" s="9"/>
      <c r="C910" s="17"/>
      <c r="D910" s="17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spans="1:17" ht="19.5" customHeight="1" x14ac:dyDescent="0.3">
      <c r="A911" s="9"/>
      <c r="B911" s="9"/>
      <c r="C911" s="17"/>
      <c r="D911" s="17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spans="1:17" ht="19.5" customHeight="1" x14ac:dyDescent="0.3">
      <c r="A912" s="9"/>
      <c r="B912" s="9"/>
      <c r="C912" s="17"/>
      <c r="D912" s="17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spans="1:17" ht="19.5" customHeight="1" x14ac:dyDescent="0.3">
      <c r="A913" s="9"/>
      <c r="B913" s="9"/>
      <c r="C913" s="17"/>
      <c r="D913" s="17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ht="19.5" customHeight="1" x14ac:dyDescent="0.3">
      <c r="A914" s="9"/>
      <c r="B914" s="9"/>
      <c r="C914" s="17"/>
      <c r="D914" s="17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1:17" ht="19.5" customHeight="1" x14ac:dyDescent="0.3">
      <c r="A915" s="9"/>
      <c r="B915" s="9"/>
      <c r="C915" s="17"/>
      <c r="D915" s="17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spans="1:17" ht="19.5" customHeight="1" x14ac:dyDescent="0.3">
      <c r="A916" s="9"/>
      <c r="B916" s="9"/>
      <c r="C916" s="17"/>
      <c r="D916" s="17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1:17" ht="19.5" customHeight="1" x14ac:dyDescent="0.3">
      <c r="A917" s="9"/>
      <c r="B917" s="9"/>
      <c r="C917" s="17"/>
      <c r="D917" s="17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spans="1:17" ht="19.5" customHeight="1" x14ac:dyDescent="0.3">
      <c r="A918" s="9"/>
      <c r="B918" s="9"/>
      <c r="C918" s="17"/>
      <c r="D918" s="17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spans="1:17" ht="19.5" customHeight="1" x14ac:dyDescent="0.3">
      <c r="A919" s="9"/>
      <c r="B919" s="9"/>
      <c r="C919" s="17"/>
      <c r="D919" s="17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spans="1:17" ht="19.5" customHeight="1" x14ac:dyDescent="0.3">
      <c r="A920" s="9"/>
      <c r="B920" s="9"/>
      <c r="C920" s="17"/>
      <c r="D920" s="17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spans="1:17" ht="19.5" customHeight="1" x14ac:dyDescent="0.3">
      <c r="A921" s="9"/>
      <c r="B921" s="9"/>
      <c r="C921" s="17"/>
      <c r="D921" s="17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spans="1:17" ht="19.5" customHeight="1" x14ac:dyDescent="0.3">
      <c r="A922" s="9"/>
      <c r="B922" s="9"/>
      <c r="C922" s="17"/>
      <c r="D922" s="17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spans="1:17" ht="19.5" customHeight="1" x14ac:dyDescent="0.3">
      <c r="A923" s="9"/>
      <c r="B923" s="9"/>
      <c r="C923" s="17"/>
      <c r="D923" s="17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spans="1:17" ht="19.5" customHeight="1" x14ac:dyDescent="0.3">
      <c r="A924" s="9"/>
      <c r="B924" s="9"/>
      <c r="C924" s="17"/>
      <c r="D924" s="17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spans="1:17" ht="19.5" customHeight="1" x14ac:dyDescent="0.3">
      <c r="A925" s="9"/>
      <c r="B925" s="9"/>
      <c r="C925" s="17"/>
      <c r="D925" s="17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spans="1:17" ht="19.5" customHeight="1" x14ac:dyDescent="0.3">
      <c r="A926" s="9"/>
      <c r="B926" s="9"/>
      <c r="C926" s="17"/>
      <c r="D926" s="17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spans="1:17" ht="19.5" customHeight="1" x14ac:dyDescent="0.3">
      <c r="A927" s="9"/>
      <c r="B927" s="9"/>
      <c r="C927" s="17"/>
      <c r="D927" s="17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spans="1:17" ht="19.5" customHeight="1" x14ac:dyDescent="0.3">
      <c r="A928" s="9"/>
      <c r="B928" s="9"/>
      <c r="C928" s="17"/>
      <c r="D928" s="17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spans="1:17" ht="19.5" customHeight="1" x14ac:dyDescent="0.3">
      <c r="A929" s="9"/>
      <c r="B929" s="9"/>
      <c r="C929" s="17"/>
      <c r="D929" s="17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spans="1:17" ht="19.5" customHeight="1" x14ac:dyDescent="0.3">
      <c r="A930" s="9"/>
      <c r="B930" s="9"/>
      <c r="C930" s="17"/>
      <c r="D930" s="17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1:17" ht="19.5" customHeight="1" x14ac:dyDescent="0.3">
      <c r="A931" s="9"/>
      <c r="B931" s="9"/>
      <c r="C931" s="17"/>
      <c r="D931" s="17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spans="1:17" ht="19.5" customHeight="1" x14ac:dyDescent="0.3">
      <c r="A932" s="9"/>
      <c r="B932" s="9"/>
      <c r="C932" s="17"/>
      <c r="D932" s="17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1:17" ht="19.5" customHeight="1" x14ac:dyDescent="0.3">
      <c r="A933" s="9"/>
      <c r="B933" s="9"/>
      <c r="C933" s="17"/>
      <c r="D933" s="17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spans="1:17" ht="19.5" customHeight="1" x14ac:dyDescent="0.3">
      <c r="A934" s="9"/>
      <c r="B934" s="9"/>
      <c r="C934" s="17"/>
      <c r="D934" s="17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spans="1:17" ht="19.5" customHeight="1" x14ac:dyDescent="0.3">
      <c r="A935" s="9"/>
      <c r="B935" s="9"/>
      <c r="C935" s="17"/>
      <c r="D935" s="17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spans="1:17" ht="19.5" customHeight="1" x14ac:dyDescent="0.3">
      <c r="A936" s="9"/>
      <c r="B936" s="9"/>
      <c r="C936" s="17"/>
      <c r="D936" s="17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1:17" ht="19.5" customHeight="1" x14ac:dyDescent="0.3">
      <c r="A937" s="9"/>
      <c r="B937" s="9"/>
      <c r="C937" s="17"/>
      <c r="D937" s="17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spans="1:17" ht="19.5" customHeight="1" x14ac:dyDescent="0.3">
      <c r="A938" s="9"/>
      <c r="B938" s="9"/>
      <c r="C938" s="17"/>
      <c r="D938" s="17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spans="1:17" ht="19.5" customHeight="1" x14ac:dyDescent="0.3">
      <c r="A939" s="9"/>
      <c r="B939" s="9"/>
      <c r="C939" s="17"/>
      <c r="D939" s="17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spans="1:17" ht="19.5" customHeight="1" x14ac:dyDescent="0.3">
      <c r="A940" s="9"/>
      <c r="B940" s="9"/>
      <c r="C940" s="17"/>
      <c r="D940" s="17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1:17" ht="19.5" customHeight="1" x14ac:dyDescent="0.3">
      <c r="A941" s="9"/>
      <c r="B941" s="9"/>
      <c r="C941" s="17"/>
      <c r="D941" s="17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spans="1:17" ht="19.5" customHeight="1" x14ac:dyDescent="0.3">
      <c r="A942" s="9"/>
      <c r="B942" s="9"/>
      <c r="C942" s="17"/>
      <c r="D942" s="17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spans="1:17" ht="19.5" customHeight="1" x14ac:dyDescent="0.3">
      <c r="A943" s="9"/>
      <c r="B943" s="9"/>
      <c r="C943" s="17"/>
      <c r="D943" s="17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spans="1:17" ht="19.5" customHeight="1" x14ac:dyDescent="0.3">
      <c r="A944" s="9"/>
      <c r="B944" s="9"/>
      <c r="C944" s="17"/>
      <c r="D944" s="17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1:17" ht="19.5" customHeight="1" x14ac:dyDescent="0.3">
      <c r="A945" s="9"/>
      <c r="B945" s="9"/>
      <c r="C945" s="17"/>
      <c r="D945" s="17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spans="1:17" ht="19.5" customHeight="1" x14ac:dyDescent="0.3">
      <c r="A946" s="9"/>
      <c r="B946" s="9"/>
      <c r="C946" s="17"/>
      <c r="D946" s="17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spans="1:17" ht="19.5" customHeight="1" x14ac:dyDescent="0.3">
      <c r="A947" s="9"/>
      <c r="B947" s="9"/>
      <c r="C947" s="17"/>
      <c r="D947" s="17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1:17" ht="19.5" customHeight="1" x14ac:dyDescent="0.3">
      <c r="A948" s="9"/>
      <c r="B948" s="9"/>
      <c r="C948" s="17"/>
      <c r="D948" s="17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spans="1:17" ht="19.5" customHeight="1" x14ac:dyDescent="0.3">
      <c r="A949" s="9"/>
      <c r="B949" s="9"/>
      <c r="C949" s="17"/>
      <c r="D949" s="17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spans="1:17" ht="19.5" customHeight="1" x14ac:dyDescent="0.3">
      <c r="A950" s="9"/>
      <c r="B950" s="9"/>
      <c r="C950" s="17"/>
      <c r="D950" s="17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spans="1:17" ht="19.5" customHeight="1" x14ac:dyDescent="0.3">
      <c r="A951" s="9"/>
      <c r="B951" s="9"/>
      <c r="C951" s="17"/>
      <c r="D951" s="17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spans="1:17" ht="19.5" customHeight="1" x14ac:dyDescent="0.3">
      <c r="A952" s="9"/>
      <c r="B952" s="9"/>
      <c r="C952" s="17"/>
      <c r="D952" s="17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1:17" ht="19.5" customHeight="1" x14ac:dyDescent="0.3">
      <c r="A953" s="9"/>
      <c r="B953" s="9"/>
      <c r="C953" s="17"/>
      <c r="D953" s="17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 spans="1:17" ht="19.5" customHeight="1" x14ac:dyDescent="0.3">
      <c r="A954" s="9"/>
      <c r="B954" s="9"/>
      <c r="C954" s="17"/>
      <c r="D954" s="17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 spans="1:17" ht="19.5" customHeight="1" x14ac:dyDescent="0.3">
      <c r="A955" s="9"/>
      <c r="B955" s="9"/>
      <c r="C955" s="17"/>
      <c r="D955" s="17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 spans="1:17" ht="19.5" customHeight="1" x14ac:dyDescent="0.3">
      <c r="A956" s="9"/>
      <c r="B956" s="9"/>
      <c r="C956" s="17"/>
      <c r="D956" s="17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1:17" ht="19.5" customHeight="1" x14ac:dyDescent="0.3">
      <c r="A957" s="9"/>
      <c r="B957" s="9"/>
      <c r="C957" s="17"/>
      <c r="D957" s="17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 spans="1:17" ht="19.5" customHeight="1" x14ac:dyDescent="0.3">
      <c r="A958" s="9"/>
      <c r="B958" s="9"/>
      <c r="C958" s="17"/>
      <c r="D958" s="17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1:17" ht="19.5" customHeight="1" x14ac:dyDescent="0.3">
      <c r="A959" s="9"/>
      <c r="B959" s="9"/>
      <c r="C959" s="17"/>
      <c r="D959" s="17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 spans="1:17" ht="19.5" customHeight="1" x14ac:dyDescent="0.3">
      <c r="A960" s="9"/>
      <c r="B960" s="9"/>
      <c r="C960" s="17"/>
      <c r="D960" s="17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 spans="1:17" ht="19.5" customHeight="1" x14ac:dyDescent="0.3">
      <c r="A961" s="9"/>
      <c r="B961" s="9"/>
      <c r="C961" s="17"/>
      <c r="D961" s="17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 spans="1:17" ht="19.5" customHeight="1" x14ac:dyDescent="0.3">
      <c r="A962" s="9"/>
      <c r="B962" s="9"/>
      <c r="C962" s="17"/>
      <c r="D962" s="17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1:17" ht="19.5" customHeight="1" x14ac:dyDescent="0.3">
      <c r="A963" s="9"/>
      <c r="B963" s="9"/>
      <c r="C963" s="17"/>
      <c r="D963" s="17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 spans="1:17" ht="19.5" customHeight="1" x14ac:dyDescent="0.3">
      <c r="A964" s="9"/>
      <c r="B964" s="9"/>
      <c r="C964" s="17"/>
      <c r="D964" s="17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 spans="1:17" ht="19.5" customHeight="1" x14ac:dyDescent="0.3">
      <c r="A965" s="9"/>
      <c r="B965" s="9"/>
      <c r="C965" s="17"/>
      <c r="D965" s="17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 spans="1:17" ht="19.5" customHeight="1" x14ac:dyDescent="0.3">
      <c r="A966" s="9"/>
      <c r="B966" s="9"/>
      <c r="C966" s="17"/>
      <c r="D966" s="17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1:17" ht="19.5" customHeight="1" x14ac:dyDescent="0.3">
      <c r="A967" s="9"/>
      <c r="B967" s="9"/>
      <c r="C967" s="17"/>
      <c r="D967" s="17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 spans="1:17" ht="19.5" customHeight="1" x14ac:dyDescent="0.3">
      <c r="A968" s="9"/>
      <c r="B968" s="9"/>
      <c r="C968" s="17"/>
      <c r="D968" s="17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 spans="1:17" ht="19.5" customHeight="1" x14ac:dyDescent="0.3">
      <c r="A969" s="9"/>
      <c r="B969" s="9"/>
      <c r="C969" s="17"/>
      <c r="D969" s="17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1:17" ht="19.5" customHeight="1" x14ac:dyDescent="0.3">
      <c r="A970" s="9"/>
      <c r="B970" s="9"/>
      <c r="C970" s="17"/>
      <c r="D970" s="17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1:17" ht="19.5" customHeight="1" x14ac:dyDescent="0.3">
      <c r="A971" s="9"/>
      <c r="B971" s="9"/>
      <c r="C971" s="17"/>
      <c r="D971" s="17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ht="19.5" customHeight="1" x14ac:dyDescent="0.3">
      <c r="A972" s="9"/>
      <c r="B972" s="9"/>
      <c r="C972" s="17"/>
      <c r="D972" s="17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ht="19.5" customHeight="1" x14ac:dyDescent="0.3">
      <c r="A973" s="9"/>
      <c r="B973" s="9"/>
      <c r="C973" s="17"/>
      <c r="D973" s="17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1:17" ht="19.5" customHeight="1" x14ac:dyDescent="0.3">
      <c r="A974" s="9"/>
      <c r="B974" s="9"/>
      <c r="C974" s="17"/>
      <c r="D974" s="17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 spans="1:17" ht="19.5" customHeight="1" x14ac:dyDescent="0.3">
      <c r="A975" s="9"/>
      <c r="B975" s="9"/>
      <c r="C975" s="17"/>
      <c r="D975" s="17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 spans="1:17" ht="19.5" customHeight="1" x14ac:dyDescent="0.3">
      <c r="A976" s="9"/>
      <c r="B976" s="9"/>
      <c r="C976" s="17"/>
      <c r="D976" s="17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 spans="1:17" ht="19.5" customHeight="1" x14ac:dyDescent="0.3">
      <c r="A977" s="9"/>
      <c r="B977" s="9"/>
      <c r="C977" s="17"/>
      <c r="D977" s="17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 spans="1:17" ht="19.5" customHeight="1" x14ac:dyDescent="0.3">
      <c r="A978" s="9"/>
      <c r="B978" s="9"/>
      <c r="C978" s="17"/>
      <c r="D978" s="17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 spans="1:17" ht="19.5" customHeight="1" x14ac:dyDescent="0.3">
      <c r="A979" s="9"/>
      <c r="B979" s="9"/>
      <c r="C979" s="17"/>
      <c r="D979" s="17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1:17" ht="19.5" customHeight="1" x14ac:dyDescent="0.3">
      <c r="A980" s="9"/>
      <c r="B980" s="9"/>
      <c r="C980" s="17"/>
      <c r="D980" s="17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 spans="1:17" ht="19.5" customHeight="1" x14ac:dyDescent="0.3">
      <c r="A981" s="9"/>
      <c r="B981" s="9"/>
      <c r="C981" s="17"/>
      <c r="D981" s="17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 spans="1:17" ht="19.5" customHeight="1" x14ac:dyDescent="0.3">
      <c r="A982" s="9"/>
      <c r="B982" s="9"/>
      <c r="C982" s="17"/>
      <c r="D982" s="17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 spans="1:17" ht="19.5" customHeight="1" x14ac:dyDescent="0.3">
      <c r="A983" s="9"/>
      <c r="B983" s="9"/>
      <c r="C983" s="17"/>
      <c r="D983" s="17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1:17" ht="19.5" customHeight="1" x14ac:dyDescent="0.3">
      <c r="A984" s="9"/>
      <c r="B984" s="9"/>
      <c r="C984" s="17"/>
      <c r="D984" s="17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 spans="1:17" ht="19.5" customHeight="1" x14ac:dyDescent="0.3">
      <c r="A985" s="9"/>
      <c r="B985" s="9"/>
      <c r="C985" s="17"/>
      <c r="D985" s="17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 spans="1:17" ht="19.5" customHeight="1" x14ac:dyDescent="0.3">
      <c r="A986" s="9"/>
      <c r="B986" s="9"/>
      <c r="C986" s="17"/>
      <c r="D986" s="17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 spans="1:17" ht="19.5" customHeight="1" x14ac:dyDescent="0.3">
      <c r="A987" s="9"/>
      <c r="B987" s="9"/>
      <c r="C987" s="17"/>
      <c r="D987" s="17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</row>
    <row r="988" spans="1:17" ht="19.5" customHeight="1" x14ac:dyDescent="0.3">
      <c r="A988" s="9"/>
      <c r="B988" s="9"/>
      <c r="C988" s="17"/>
      <c r="D988" s="17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</row>
    <row r="989" spans="1:17" ht="19.5" customHeight="1" x14ac:dyDescent="0.3">
      <c r="A989" s="9"/>
      <c r="B989" s="9"/>
      <c r="C989" s="17"/>
      <c r="D989" s="17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</row>
    <row r="990" spans="1:17" ht="19.5" customHeight="1" x14ac:dyDescent="0.3">
      <c r="A990" s="9"/>
      <c r="B990" s="9"/>
      <c r="C990" s="17"/>
      <c r="D990" s="17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</row>
    <row r="991" spans="1:17" ht="19.5" customHeight="1" x14ac:dyDescent="0.3">
      <c r="A991" s="9"/>
      <c r="B991" s="9"/>
      <c r="C991" s="17"/>
      <c r="D991" s="17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 spans="1:17" ht="19.5" customHeight="1" x14ac:dyDescent="0.3">
      <c r="A992" s="9"/>
      <c r="B992" s="9"/>
      <c r="C992" s="17"/>
      <c r="D992" s="17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</row>
    <row r="993" spans="1:17" ht="19.5" customHeight="1" x14ac:dyDescent="0.3">
      <c r="A993" s="9"/>
      <c r="B993" s="9"/>
      <c r="C993" s="17"/>
      <c r="D993" s="17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 spans="1:17" ht="19.5" customHeight="1" x14ac:dyDescent="0.3">
      <c r="A994" s="9"/>
      <c r="B994" s="9"/>
      <c r="C994" s="17"/>
      <c r="D994" s="17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</row>
    <row r="995" spans="1:17" ht="19.5" customHeight="1" x14ac:dyDescent="0.3">
      <c r="A995" s="9"/>
      <c r="B995" s="9"/>
      <c r="C995" s="17"/>
      <c r="D995" s="17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</row>
    <row r="996" spans="1:17" ht="19.5" customHeight="1" x14ac:dyDescent="0.3">
      <c r="A996" s="9"/>
      <c r="B996" s="9"/>
      <c r="C996" s="17"/>
      <c r="D996" s="17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  <row r="997" spans="1:17" ht="19.5" customHeight="1" x14ac:dyDescent="0.3">
      <c r="A997" s="9"/>
      <c r="B997" s="9"/>
      <c r="C997" s="17"/>
      <c r="D997" s="17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</row>
    <row r="998" spans="1:17" ht="19.5" customHeight="1" x14ac:dyDescent="0.3">
      <c r="A998" s="9"/>
      <c r="B998" s="9"/>
      <c r="C998" s="17"/>
      <c r="D998" s="17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</row>
    <row r="999" spans="1:17" ht="19.5" customHeight="1" x14ac:dyDescent="0.3">
      <c r="A999" s="9"/>
      <c r="B999" s="9"/>
      <c r="C999" s="17"/>
      <c r="D999" s="17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</row>
    <row r="1000" spans="1:17" ht="19.5" customHeight="1" x14ac:dyDescent="0.3">
      <c r="A1000" s="9"/>
      <c r="B1000" s="9"/>
      <c r="C1000" s="17"/>
      <c r="D1000" s="17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</row>
    <row r="1001" spans="1:17" ht="19.5" customHeight="1" x14ac:dyDescent="0.3">
      <c r="A1001" s="9"/>
      <c r="B1001" s="9"/>
      <c r="C1001" s="17"/>
      <c r="D1001" s="17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zoomScale="85" zoomScaleNormal="85" workbookViewId="0">
      <selection activeCell="B18" sqref="B18"/>
    </sheetView>
  </sheetViews>
  <sheetFormatPr defaultColWidth="14.44140625" defaultRowHeight="15" customHeight="1" x14ac:dyDescent="0.3"/>
  <cols>
    <col min="1" max="1" width="66.33203125" customWidth="1"/>
    <col min="2" max="2" width="22.33203125" customWidth="1"/>
    <col min="3" max="3" width="16.88671875" customWidth="1"/>
    <col min="4" max="4" width="24.109375" style="63" customWidth="1"/>
    <col min="5" max="5" width="17.6640625" customWidth="1"/>
    <col min="6" max="6" width="11.6640625" customWidth="1"/>
    <col min="7" max="9" width="9.109375" customWidth="1"/>
    <col min="10" max="10" width="60.88671875" bestFit="1" customWidth="1"/>
    <col min="11" max="11" width="15.44140625" customWidth="1"/>
    <col min="12" max="12" width="16.109375" customWidth="1"/>
    <col min="13" max="22" width="9.109375" customWidth="1"/>
  </cols>
  <sheetData>
    <row r="1" spans="1:22" ht="16.5" customHeight="1" x14ac:dyDescent="0.7">
      <c r="A1" s="215" t="s">
        <v>0</v>
      </c>
      <c r="B1" s="217" t="s">
        <v>52</v>
      </c>
      <c r="C1" s="218"/>
      <c r="D1" s="87" t="s">
        <v>1</v>
      </c>
      <c r="E1" s="1"/>
      <c r="F1" s="1"/>
      <c r="G1" s="1"/>
      <c r="H1" s="1"/>
      <c r="I1" s="1"/>
      <c r="J1" s="215" t="s">
        <v>0</v>
      </c>
      <c r="K1" s="175" t="s">
        <v>299</v>
      </c>
      <c r="L1" s="176" t="s">
        <v>56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9.5" customHeight="1" x14ac:dyDescent="0.7">
      <c r="A2" s="216"/>
      <c r="B2" s="79" t="s">
        <v>2</v>
      </c>
      <c r="C2" s="73" t="s">
        <v>3</v>
      </c>
      <c r="D2" s="88" t="s">
        <v>3</v>
      </c>
      <c r="E2" s="1"/>
      <c r="F2" s="1"/>
      <c r="G2" s="1"/>
      <c r="H2" s="1"/>
      <c r="I2" s="1"/>
      <c r="J2" s="216"/>
      <c r="K2" s="73" t="s">
        <v>3</v>
      </c>
      <c r="L2" s="177" t="s">
        <v>3</v>
      </c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9.5" customHeight="1" x14ac:dyDescent="0.7">
      <c r="A3" s="70" t="s">
        <v>35</v>
      </c>
      <c r="B3" s="71">
        <f>ORÇAMENTO_EXECUTIVO!B2</f>
        <v>994642.42</v>
      </c>
      <c r="C3" s="82">
        <f>ORÇAMENTO_EXECUTIVO!D2</f>
        <v>250.39458751856606</v>
      </c>
      <c r="D3" s="83" t="str">
        <f>FIXED(CÁLCULO_MÉDIAS!L8,2,FALSE)&amp;" "&amp;"-"&amp;FIXED(CÁLCULO_MÉDIAS!M8,2,FALSE)</f>
        <v>240,00 -272,00</v>
      </c>
      <c r="E3" s="109" t="s">
        <v>59</v>
      </c>
      <c r="G3" s="1"/>
      <c r="H3" s="1"/>
      <c r="I3" s="1"/>
      <c r="J3" s="81" t="s">
        <v>35</v>
      </c>
      <c r="K3" s="82">
        <f>C3</f>
        <v>250.39458751856606</v>
      </c>
      <c r="L3" s="178">
        <v>241.0609106628614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9.5" customHeight="1" x14ac:dyDescent="0.7">
      <c r="A4" s="96" t="s">
        <v>53</v>
      </c>
      <c r="B4" s="13">
        <f>ORÇAMENTO_EXECUTIVO!B3</f>
        <v>3670000</v>
      </c>
      <c r="C4" s="23">
        <f>ORÇAMENTO_EXECUTIVO!D3</f>
        <v>923.89799360571953</v>
      </c>
      <c r="D4" s="103" t="str">
        <f>FIXED(CÁLCULO_MÉDIAS!L9,2,FALSE)&amp;" "&amp;"-"&amp;FIXED(CÁLCULO_MÉDIAS!M9,2,FALSE)</f>
        <v>802,00 -990,00</v>
      </c>
      <c r="E4" s="109" t="s">
        <v>59</v>
      </c>
      <c r="G4" s="1"/>
      <c r="H4" s="1"/>
      <c r="I4" s="1"/>
      <c r="J4" s="179" t="s">
        <v>53</v>
      </c>
      <c r="K4" s="23">
        <f t="shared" ref="K4:K19" si="0">C4</f>
        <v>923.89799360571953</v>
      </c>
      <c r="L4" s="180">
        <v>988.8264613281317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9.5" customHeight="1" x14ac:dyDescent="0.7">
      <c r="A5" s="81" t="str">
        <f>ORÇAMENTO_EXECUTIVO!A4</f>
        <v>MOVIMENTAÇÃO DE TERRA</v>
      </c>
      <c r="B5" s="71">
        <f>ORÇAMENTO_EXECUTIVO!B4</f>
        <v>130570.37</v>
      </c>
      <c r="C5" s="82">
        <f>ORÇAMENTO_EXECUTIVO!D4</f>
        <v>32.870218764947261</v>
      </c>
      <c r="D5" s="102" t="str">
        <f>FIXED(CÁLCULO_MÉDIAS!L10,2,FALSE)&amp;" "&amp;"-"&amp;FIXED(CÁLCULO_MÉDIAS!M10,2,FALSE)</f>
        <v>18,00 -24,00</v>
      </c>
      <c r="E5" s="114" t="s">
        <v>60</v>
      </c>
      <c r="G5" s="1"/>
      <c r="H5" s="1"/>
      <c r="I5" s="1"/>
      <c r="J5" s="81" t="s">
        <v>4</v>
      </c>
      <c r="K5" s="82">
        <f t="shared" si="0"/>
        <v>32.870218764947261</v>
      </c>
      <c r="L5" s="178">
        <v>22.456999432649042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9.5" customHeight="1" x14ac:dyDescent="0.3">
      <c r="A6" s="42" t="str">
        <f>ORÇAMENTO_EXECUTIVO!A5</f>
        <v>INFRAESTRUTURA</v>
      </c>
      <c r="B6" s="13">
        <f>ORÇAMENTO_EXECUTIVO!B5</f>
        <v>240463.03</v>
      </c>
      <c r="C6" s="23">
        <f>ORÇAMENTO_EXECUTIVO!D5</f>
        <v>60.534962112629962</v>
      </c>
      <c r="D6" s="103" t="str">
        <f>FIXED(CÁLCULO_MÉDIAS!L11,2,FALSE)&amp;" "&amp;"-"&amp;FIXED(CÁLCULO_MÉDIAS!M11,2,FALSE)</f>
        <v>103,00 -132,00</v>
      </c>
      <c r="E6" s="111" t="s">
        <v>58</v>
      </c>
      <c r="G6" s="5"/>
      <c r="H6" s="3"/>
      <c r="I6" s="4"/>
      <c r="J6" s="42" t="s">
        <v>5</v>
      </c>
      <c r="K6" s="23">
        <f t="shared" si="0"/>
        <v>60.534962112629962</v>
      </c>
      <c r="L6" s="180">
        <v>130.87253327774496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9.5" customHeight="1" x14ac:dyDescent="0.3">
      <c r="A7" s="41" t="str">
        <f>ORÇAMENTO_EXECUTIVO!A6</f>
        <v>SUPRAESTRUTURA</v>
      </c>
      <c r="B7" s="11">
        <f>ORÇAMENTO_EXECUTIVO!B6</f>
        <v>1904909.21</v>
      </c>
      <c r="C7" s="22">
        <f>ORÇAMENTO_EXECUTIVO!D6</f>
        <v>479.54817360219516</v>
      </c>
      <c r="D7" s="104" t="str">
        <f>FIXED(CÁLCULO_MÉDIAS!L12,2,FALSE)&amp;" "&amp;"-"&amp;FIXED(CÁLCULO_MÉDIAS!M12,2,FALSE)</f>
        <v>400,00 -458,00</v>
      </c>
      <c r="E7" s="110" t="s">
        <v>59</v>
      </c>
      <c r="G7" s="3"/>
      <c r="H7" s="3"/>
      <c r="I7" s="3"/>
      <c r="J7" s="41" t="s">
        <v>6</v>
      </c>
      <c r="K7" s="22">
        <f t="shared" si="0"/>
        <v>479.54817360219516</v>
      </c>
      <c r="L7" s="181">
        <v>403.77302939305719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9.5" customHeight="1" x14ac:dyDescent="0.3">
      <c r="A8" s="42" t="str">
        <f>ORÇAMENTO_EXECUTIVO!A7</f>
        <v>ALVENARIA</v>
      </c>
      <c r="B8" s="13">
        <f>ORÇAMENTO_EXECUTIVO!B7</f>
        <v>281224</v>
      </c>
      <c r="C8" s="23">
        <f>ORÇAMENTO_EXECUTIVO!D7</f>
        <v>70.79626412909397</v>
      </c>
      <c r="D8" s="103" t="str">
        <f>FIXED(CÁLCULO_MÉDIAS!L13,2,FALSE)&amp;" "&amp;"-"&amp;FIXED(CÁLCULO_MÉDIAS!M13,2,FALSE)</f>
        <v>53,00 -65,00</v>
      </c>
      <c r="E8" s="110" t="s">
        <v>59</v>
      </c>
      <c r="G8" s="3"/>
      <c r="H8" s="3"/>
      <c r="I8" s="3"/>
      <c r="J8" s="42" t="s">
        <v>7</v>
      </c>
      <c r="K8" s="23">
        <f t="shared" si="0"/>
        <v>70.79626412909397</v>
      </c>
      <c r="L8" s="180">
        <v>63.000854555481794</v>
      </c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9.5" customHeight="1" x14ac:dyDescent="0.3">
      <c r="A9" s="41" t="str">
        <f>ORÇAMENTO_EXECUTIVO!A8</f>
        <v>INSTALAÇÕES ELÉTRICAS, HIDRÁULICAS, GLP E PREVENTIVAS</v>
      </c>
      <c r="B9" s="11">
        <f>ORÇAMENTO_EXECUTIVO!B8</f>
        <v>668527.92000000004</v>
      </c>
      <c r="C9" s="22">
        <f>ORÇAMENTO_EXECUTIVO!D8</f>
        <v>168.29743977041008</v>
      </c>
      <c r="D9" s="104" t="str">
        <f>FIXED(CÁLCULO_MÉDIAS!L14,2,FALSE)&amp;" "&amp;"-"&amp;FIXED(CÁLCULO_MÉDIAS!M14,2,FALSE)</f>
        <v>173,00 -186,00</v>
      </c>
      <c r="E9" s="112" t="s">
        <v>58</v>
      </c>
      <c r="G9" s="3"/>
      <c r="H9" s="3"/>
      <c r="I9" s="3"/>
      <c r="J9" s="41" t="s">
        <v>8</v>
      </c>
      <c r="K9" s="22">
        <f t="shared" si="0"/>
        <v>168.29743977041008</v>
      </c>
      <c r="L9" s="181">
        <v>174.12487086125867</v>
      </c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9.5" customHeight="1" x14ac:dyDescent="0.3">
      <c r="A10" s="42" t="str">
        <f>ORÇAMENTO_EXECUTIVO!A9</f>
        <v>EQUIPAMENTOS E SISTEMAS ESPECIAIS</v>
      </c>
      <c r="B10" s="32">
        <f>ORÇAMENTO_EXECUTIVO!B9</f>
        <v>392311.51</v>
      </c>
      <c r="C10" s="23">
        <f>ORÇAMENTO_EXECUTIVO!D9</f>
        <v>98.7618029856758</v>
      </c>
      <c r="D10" s="103" t="str">
        <f>FIXED(CÁLCULO_MÉDIAS!L15,2,FALSE)&amp;" "&amp;"-"&amp;FIXED(CÁLCULO_MÉDIAS!M15,2,FALSE)</f>
        <v>173,00 -206,00</v>
      </c>
      <c r="E10" s="113" t="s">
        <v>61</v>
      </c>
      <c r="G10" s="3"/>
      <c r="H10" s="3"/>
      <c r="I10" s="3"/>
      <c r="J10" s="42" t="s">
        <v>40</v>
      </c>
      <c r="K10" s="23">
        <f t="shared" si="0"/>
        <v>98.7618029856758</v>
      </c>
      <c r="L10" s="180">
        <v>199.90421720561508</v>
      </c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9.5" customHeight="1" x14ac:dyDescent="0.3">
      <c r="A11" s="41" t="str">
        <f>ORÇAMENTO_EXECUTIVO!A10</f>
        <v>IMPERMEABILIZAÇÃO</v>
      </c>
      <c r="B11" s="11">
        <f>ORÇAMENTO_EXECUTIVO!B10</f>
        <v>281940.13</v>
      </c>
      <c r="C11" s="22">
        <f>ORÇAMENTO_EXECUTIVO!D10</f>
        <v>70.976545074641891</v>
      </c>
      <c r="D11" s="104" t="str">
        <f>FIXED(CÁLCULO_MÉDIAS!L16,2,FALSE)&amp;" "&amp;"-"&amp;FIXED(CÁLCULO_MÉDIAS!M16,2,FALSE)</f>
        <v>43,00 -75,00</v>
      </c>
      <c r="E11" s="110" t="s">
        <v>59</v>
      </c>
      <c r="G11" s="3"/>
      <c r="H11" s="3"/>
      <c r="I11" s="3"/>
      <c r="J11" s="41" t="s">
        <v>9</v>
      </c>
      <c r="K11" s="22">
        <f t="shared" si="0"/>
        <v>70.976545074641891</v>
      </c>
      <c r="L11" s="181">
        <v>43.00419398984242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9.5" customHeight="1" x14ac:dyDescent="0.3">
      <c r="A12" s="42" t="str">
        <f>ORÇAMENTO_EXECUTIVO!A11</f>
        <v>REVESTIMENTOS INTERNOS EM PISO E PAREDE</v>
      </c>
      <c r="B12" s="13">
        <v>502096.02</v>
      </c>
      <c r="C12" s="23">
        <f>ORÇAMENTO_EXECUTIVO!D11</f>
        <v>126.74802003876846</v>
      </c>
      <c r="D12" s="103" t="str">
        <f>FIXED(CÁLCULO_MÉDIAS!L17,2,FALSE)&amp;" "&amp;"-"&amp;FIXED(CÁLCULO_MÉDIAS!M17,2,FALSE)</f>
        <v>73,00 -127,00</v>
      </c>
      <c r="E12" s="110" t="s">
        <v>59</v>
      </c>
      <c r="G12" s="3"/>
      <c r="H12" s="3"/>
      <c r="I12" s="3"/>
      <c r="J12" s="42" t="s">
        <v>36</v>
      </c>
      <c r="K12" s="23">
        <f t="shared" si="0"/>
        <v>126.74802003876846</v>
      </c>
      <c r="L12" s="180">
        <v>75.674101230274971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9.5" customHeight="1" x14ac:dyDescent="0.3">
      <c r="A13" s="41" t="str">
        <f>ORÇAMENTO_EXECUTIVO!A12</f>
        <v>REVESTIMENTOS E ACABAMENTOS INTERNOS EM TETO</v>
      </c>
      <c r="B13" s="11">
        <f>ORÇAMENTO_EXECUTIVO!B12</f>
        <v>215027.20000000001</v>
      </c>
      <c r="C13" s="22">
        <f>ORÇAMENTO_EXECUTIVO!D12</f>
        <v>54.131661757671878</v>
      </c>
      <c r="D13" s="104" t="str">
        <f>FIXED(CÁLCULO_MÉDIAS!L18,2,FALSE)&amp;" "&amp;"-"&amp;FIXED(CÁLCULO_MÉDIAS!M18,2,FALSE)</f>
        <v>40,00 -60,00</v>
      </c>
      <c r="E13" s="110" t="s">
        <v>59</v>
      </c>
      <c r="G13" s="3"/>
      <c r="H13" s="3"/>
      <c r="I13" s="3"/>
      <c r="J13" s="41" t="s">
        <v>37</v>
      </c>
      <c r="K13" s="22">
        <f t="shared" si="0"/>
        <v>54.131661757671878</v>
      </c>
      <c r="L13" s="181">
        <v>41.229892579224462</v>
      </c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9.5" customHeight="1" x14ac:dyDescent="0.3">
      <c r="A14" s="42" t="str">
        <f>ORÇAMENTO_EXECUTIVO!A13</f>
        <v>ACABAMENTOS EM PISO E PAREDE</v>
      </c>
      <c r="B14" s="13">
        <f>ORÇAMENTO_EXECUTIVO!B13</f>
        <v>369121.22</v>
      </c>
      <c r="C14" s="23">
        <f>ORÇAMENTO_EXECUTIVO!D13</f>
        <v>92.92380233114315</v>
      </c>
      <c r="D14" s="103" t="str">
        <f>FIXED(CÁLCULO_MÉDIAS!L19,2,FALSE)&amp;" "&amp;"-"&amp;FIXED(CÁLCULO_MÉDIAS!M19,2,FALSE)</f>
        <v>85,00 -135,00</v>
      </c>
      <c r="E14" s="110" t="s">
        <v>59</v>
      </c>
      <c r="G14" s="3"/>
      <c r="H14" s="3"/>
      <c r="I14" s="3"/>
      <c r="J14" s="42" t="s">
        <v>10</v>
      </c>
      <c r="K14" s="23">
        <f t="shared" si="0"/>
        <v>92.92380233114315</v>
      </c>
      <c r="L14" s="180">
        <v>87.391237116902843</v>
      </c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9.5" customHeight="1" x14ac:dyDescent="0.3">
      <c r="A15" s="41" t="str">
        <f>ORÇAMENTO_EXECUTIVO!A14</f>
        <v>PINTURA INTERNA</v>
      </c>
      <c r="B15" s="11">
        <v>640510.24</v>
      </c>
      <c r="C15" s="22">
        <f>ORÇAMENTO_EXECUTIVO!D14</f>
        <v>165.46609520932455</v>
      </c>
      <c r="D15" s="104" t="str">
        <f>FIXED(CÁLCULO_MÉDIAS!L20,2,FALSE)&amp;" "&amp;"-"&amp;FIXED(CÁLCULO_MÉDIAS!M20,2,FALSE)</f>
        <v>53,00 -145,00</v>
      </c>
      <c r="E15" s="115" t="s">
        <v>60</v>
      </c>
      <c r="G15" s="3"/>
      <c r="H15" s="3"/>
      <c r="I15" s="3"/>
      <c r="J15" s="41" t="s">
        <v>11</v>
      </c>
      <c r="K15" s="22">
        <f t="shared" si="0"/>
        <v>165.46609520932455</v>
      </c>
      <c r="L15" s="181">
        <v>54.494482407910844</v>
      </c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9.5" customHeight="1" x14ac:dyDescent="0.3">
      <c r="A16" s="42" t="str">
        <f>ORÇAMENTO_EXECUTIVO!A15</f>
        <v>ESQUADRIAS, VIDROS E FERRAGENS</v>
      </c>
      <c r="B16" s="13">
        <f>ORÇAMENTO_EXECUTIVO!B15</f>
        <v>1303914.26</v>
      </c>
      <c r="C16" s="23">
        <f>ORÇAMENTO_EXECUTIVO!D15</f>
        <v>328.25170807844319</v>
      </c>
      <c r="D16" s="103" t="str">
        <f>FIXED(CÁLCULO_MÉDIAS!L21,2,FALSE)&amp;" "&amp;"-"&amp;FIXED(CÁLCULO_MÉDIAS!M21,2,FALSE)</f>
        <v>275,00 -315,00</v>
      </c>
      <c r="E16" s="110" t="s">
        <v>59</v>
      </c>
      <c r="G16" s="3"/>
      <c r="H16" s="3"/>
      <c r="I16" s="3"/>
      <c r="J16" s="42" t="s">
        <v>12</v>
      </c>
      <c r="K16" s="23">
        <f t="shared" si="0"/>
        <v>328.25170807844319</v>
      </c>
      <c r="L16" s="180">
        <v>314.2369085704583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9.5" customHeight="1" x14ac:dyDescent="0.3">
      <c r="A17" s="41" t="str">
        <f>ORÇAMENTO_EXECUTIVO!A16</f>
        <v>COBERTURA</v>
      </c>
      <c r="B17" s="11">
        <f>ORÇAMENTO_EXECUTIVO!B16</f>
        <v>56830.39</v>
      </c>
      <c r="C17" s="22">
        <f>ORÇAMENTO_EXECUTIVO!D16</f>
        <v>14.306671198046471</v>
      </c>
      <c r="D17" s="104" t="str">
        <f>FIXED(CÁLCULO_MÉDIAS!L22,2,FALSE)&amp;" "&amp;"-"&amp;FIXED(CÁLCULO_MÉDIAS!M22,2,FALSE)</f>
        <v>8,00 -35,00</v>
      </c>
      <c r="E17" s="110" t="s">
        <v>59</v>
      </c>
      <c r="G17" s="3"/>
      <c r="H17" s="3"/>
      <c r="I17" s="3"/>
      <c r="J17" s="41" t="s">
        <v>39</v>
      </c>
      <c r="K17" s="22">
        <f t="shared" si="0"/>
        <v>14.306671198046471</v>
      </c>
      <c r="L17" s="181">
        <v>9.7356262065564216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9.5" customHeight="1" x14ac:dyDescent="0.3">
      <c r="A18" s="42" t="str">
        <f>ORÇAMENTO_EXECUTIVO!A17</f>
        <v>REVESTIMENTOS E ACABAMENTOS DE FACHADA</v>
      </c>
      <c r="B18" s="13">
        <f>ORÇAMENTO_EXECUTIVO!B17</f>
        <v>395281.33</v>
      </c>
      <c r="C18" s="23">
        <f>ORÇAMENTO_EXECUTIVO!D17</f>
        <v>99.509435339727617</v>
      </c>
      <c r="D18" s="103" t="str">
        <f>FIXED(CÁLCULO_MÉDIAS!L23,2,FALSE)&amp;" "&amp;"-"&amp;FIXED(CÁLCULO_MÉDIAS!M23,2,FALSE)</f>
        <v>96,00 -142,00</v>
      </c>
      <c r="E18" s="110" t="s">
        <v>59</v>
      </c>
      <c r="G18" s="3"/>
      <c r="H18" s="3"/>
      <c r="I18" s="3"/>
      <c r="J18" s="42" t="s">
        <v>13</v>
      </c>
      <c r="K18" s="23">
        <f t="shared" si="0"/>
        <v>99.509435339727617</v>
      </c>
      <c r="L18" s="180">
        <v>140.48745060243041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9.5" customHeight="1" x14ac:dyDescent="0.3">
      <c r="A19" s="84" t="str">
        <f>ORÇAMENTO_EXECUTIVO!A18</f>
        <v>SERVIÇOS COMPLEMENTARES</v>
      </c>
      <c r="B19" s="75">
        <f>ORÇAMENTO_EXECUTIVO!B18</f>
        <v>230363.64</v>
      </c>
      <c r="C19" s="85">
        <f>ORÇAMENTO_EXECUTIVO!D18</f>
        <v>57.992508118722149</v>
      </c>
      <c r="D19" s="105" t="str">
        <f>FIXED(CÁLCULO_MÉDIAS!L24,2,FALSE)&amp;" "&amp;"-"&amp;FIXED(CÁLCULO_MÉDIAS!M24,2,FALSE)</f>
        <v>123,00 -158,00</v>
      </c>
      <c r="E19" s="113" t="s">
        <v>61</v>
      </c>
      <c r="G19" s="3"/>
      <c r="H19" s="3"/>
      <c r="I19" s="3"/>
      <c r="J19" s="84" t="s">
        <v>14</v>
      </c>
      <c r="K19" s="85">
        <f t="shared" si="0"/>
        <v>57.992508118722149</v>
      </c>
      <c r="L19" s="182">
        <v>156.03392752620752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9.5" customHeight="1" thickBot="1" x14ac:dyDescent="0.75">
      <c r="A20" s="42" t="str">
        <f>ORÇAMENTO_EXECUTIVO!A19</f>
        <v>IMPREVISTOS E CONTINGENCIAS</v>
      </c>
      <c r="B20" s="75">
        <f>ORÇAMENTO_EXECUTIVO!B19</f>
        <v>185693.21</v>
      </c>
      <c r="C20" s="23">
        <f>ORÇAMENTO_EXECUTIVO!D19</f>
        <v>46.74702565264456</v>
      </c>
      <c r="D20" s="103" t="str">
        <f>FIXED(CÁLCULO_MÉDIAS!L25,2,FALSE)&amp;" "&amp;"-"&amp;FIXED(CÁLCULO_MÉDIAS!M25,2,FALSE)</f>
        <v>35,00 -102,00</v>
      </c>
      <c r="E20" s="110" t="s">
        <v>59</v>
      </c>
      <c r="G20" s="3"/>
      <c r="H20" s="3"/>
      <c r="I20" s="3"/>
      <c r="J20" s="89" t="s">
        <v>15</v>
      </c>
      <c r="K20" s="90">
        <f>SUM(K3:K19)</f>
        <v>3095.4078896357273</v>
      </c>
      <c r="L20" s="91">
        <f>SUM(L3:L19)</f>
        <v>3146.3076969466074</v>
      </c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9.5" customHeight="1" thickBot="1" x14ac:dyDescent="0.75">
      <c r="A21" s="89" t="s">
        <v>15</v>
      </c>
      <c r="B21" s="90">
        <f>SUM(B5:B19)</f>
        <v>7613090.4699999988</v>
      </c>
      <c r="C21" s="91">
        <f>SUM(C5:C19)</f>
        <v>1921.1153085114415</v>
      </c>
      <c r="D21" s="92" t="str">
        <f>FIXED(CÁLCULO_MÉDIAS!L24,2,FALSE)&amp;" "&amp;"-"&amp;FIXED(CÁLCULO_MÉDIAS!M24,2,FALSE)</f>
        <v>123,00 -158,00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.75" customHeight="1" x14ac:dyDescent="0.7">
      <c r="A22" s="1"/>
      <c r="B22" s="6"/>
      <c r="C22" s="1"/>
      <c r="D22" s="68"/>
      <c r="E22" s="1"/>
      <c r="F22" s="173">
        <f>SUM(B3:B19)</f>
        <v>12277732.890000001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.75" customHeight="1" x14ac:dyDescent="0.7">
      <c r="A23" s="1"/>
      <c r="B23" s="6"/>
      <c r="C23" s="1"/>
      <c r="D23" s="6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.75" customHeight="1" x14ac:dyDescent="0.7">
      <c r="A24" s="1"/>
      <c r="B24" s="6"/>
      <c r="C24" s="1"/>
      <c r="D24" s="6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75" hidden="1" customHeight="1" x14ac:dyDescent="0.7">
      <c r="A25" s="1"/>
      <c r="B25" s="6">
        <v>2007.57</v>
      </c>
      <c r="C25" s="1"/>
      <c r="D25" s="6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1.75" hidden="1" customHeight="1" x14ac:dyDescent="0.7">
      <c r="A26" s="1"/>
      <c r="B26" s="6">
        <v>2461.35</v>
      </c>
      <c r="C26" s="1"/>
      <c r="D26" s="6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.75" hidden="1" customHeight="1" x14ac:dyDescent="0.7">
      <c r="A27" s="1"/>
      <c r="B27" s="6">
        <f>B26/B25</f>
        <v>1.2260344595705255</v>
      </c>
      <c r="C27" s="1"/>
      <c r="D27" s="6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1.75" hidden="1" customHeight="1" x14ac:dyDescent="0.7">
      <c r="A28" s="1"/>
      <c r="B28" s="6"/>
      <c r="C28" s="1"/>
      <c r="D28" s="6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1.75" hidden="1" customHeight="1" x14ac:dyDescent="0.7">
      <c r="A29" s="1"/>
      <c r="B29" s="6"/>
      <c r="C29" s="1"/>
      <c r="D29" s="6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1.75" hidden="1" customHeight="1" x14ac:dyDescent="0.7">
      <c r="A30" s="1"/>
      <c r="B30" s="6"/>
      <c r="C30" s="1">
        <v>1.1023000000000001</v>
      </c>
      <c r="D30" s="6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1.75" hidden="1" customHeight="1" x14ac:dyDescent="0.7">
      <c r="A31" s="1"/>
      <c r="B31" s="6"/>
      <c r="C31" s="1"/>
      <c r="D31" s="6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1.75" hidden="1" customHeight="1" x14ac:dyDescent="0.7">
      <c r="A32" s="7" t="s">
        <v>16</v>
      </c>
      <c r="B32" s="6">
        <v>900</v>
      </c>
      <c r="C32" s="6"/>
      <c r="D32" s="6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1.75" hidden="1" customHeight="1" x14ac:dyDescent="0.7">
      <c r="A33" s="8" t="s">
        <v>17</v>
      </c>
      <c r="B33" s="6">
        <v>25</v>
      </c>
      <c r="C33" s="6"/>
      <c r="D33" s="6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1.75" hidden="1" customHeight="1" x14ac:dyDescent="0.7">
      <c r="A34" s="7" t="s">
        <v>18</v>
      </c>
      <c r="B34" s="6">
        <v>15</v>
      </c>
      <c r="C34" s="6"/>
      <c r="D34" s="6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1.75" hidden="1" customHeight="1" x14ac:dyDescent="0.7">
      <c r="A35" s="8" t="s">
        <v>19</v>
      </c>
      <c r="B35" s="6">
        <v>150</v>
      </c>
      <c r="C35" s="6"/>
      <c r="D35" s="6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1.75" hidden="1" customHeight="1" x14ac:dyDescent="0.7">
      <c r="A36" s="7" t="s">
        <v>20</v>
      </c>
      <c r="B36" s="6">
        <v>440</v>
      </c>
      <c r="C36" s="6"/>
      <c r="D36" s="6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1.75" hidden="1" customHeight="1" x14ac:dyDescent="0.7">
      <c r="A37" s="8" t="s">
        <v>21</v>
      </c>
      <c r="B37" s="6"/>
      <c r="C37" s="6"/>
      <c r="D37" s="6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1.75" hidden="1" customHeight="1" x14ac:dyDescent="0.7">
      <c r="A38" s="7" t="s">
        <v>22</v>
      </c>
      <c r="B38" s="6">
        <v>55</v>
      </c>
      <c r="C38" s="6"/>
      <c r="D38" s="6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.75" hidden="1" customHeight="1" x14ac:dyDescent="0.7">
      <c r="A39" s="8" t="s">
        <v>23</v>
      </c>
      <c r="B39" s="6">
        <v>170</v>
      </c>
      <c r="C39" s="6"/>
      <c r="D39" s="6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1.75" hidden="1" customHeight="1" x14ac:dyDescent="0.7">
      <c r="A40" s="7" t="s">
        <v>24</v>
      </c>
      <c r="B40" s="6">
        <v>165</v>
      </c>
      <c r="C40" s="6"/>
      <c r="D40" s="6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.75" hidden="1" customHeight="1" x14ac:dyDescent="0.7">
      <c r="A41" s="8" t="s">
        <v>25</v>
      </c>
      <c r="B41" s="6">
        <v>40</v>
      </c>
      <c r="C41" s="6"/>
      <c r="D41" s="6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.75" hidden="1" customHeight="1" x14ac:dyDescent="0.7">
      <c r="A42" s="7" t="s">
        <v>26</v>
      </c>
      <c r="B42" s="6">
        <v>55</v>
      </c>
      <c r="C42" s="6"/>
      <c r="D42" s="6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1.75" hidden="1" customHeight="1" x14ac:dyDescent="0.7">
      <c r="A43" s="8" t="s">
        <v>27</v>
      </c>
      <c r="B43" s="6">
        <v>35</v>
      </c>
      <c r="C43" s="6"/>
      <c r="D43" s="6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1.75" hidden="1" customHeight="1" x14ac:dyDescent="0.7">
      <c r="A44" s="7" t="s">
        <v>28</v>
      </c>
      <c r="B44" s="6">
        <v>130</v>
      </c>
      <c r="C44" s="6"/>
      <c r="D44" s="6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1.75" hidden="1" customHeight="1" x14ac:dyDescent="0.7">
      <c r="A45" s="8" t="s">
        <v>29</v>
      </c>
      <c r="B45" s="6">
        <v>35</v>
      </c>
      <c r="C45" s="6"/>
      <c r="D45" s="6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1.75" hidden="1" customHeight="1" x14ac:dyDescent="0.7">
      <c r="A46" s="7" t="s">
        <v>30</v>
      </c>
      <c r="B46" s="6">
        <v>35</v>
      </c>
      <c r="C46" s="6"/>
      <c r="D46" s="6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1.75" hidden="1" customHeight="1" x14ac:dyDescent="0.7">
      <c r="A47" s="8" t="s">
        <v>31</v>
      </c>
      <c r="B47" s="6">
        <v>430</v>
      </c>
      <c r="C47" s="6"/>
      <c r="D47" s="6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1.75" hidden="1" customHeight="1" x14ac:dyDescent="0.7">
      <c r="A48" s="7" t="s">
        <v>27</v>
      </c>
      <c r="B48" s="6">
        <v>35</v>
      </c>
      <c r="C48" s="6"/>
      <c r="D48" s="6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1.75" hidden="1" customHeight="1" x14ac:dyDescent="0.7">
      <c r="A49" s="8" t="s">
        <v>32</v>
      </c>
      <c r="B49" s="6">
        <v>150</v>
      </c>
      <c r="C49" s="6"/>
      <c r="D49" s="6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1.75" hidden="1" customHeight="1" x14ac:dyDescent="0.7">
      <c r="A50" s="1"/>
      <c r="B50" s="6"/>
      <c r="C50" s="1"/>
      <c r="D50" s="6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1.75" hidden="1" customHeight="1" x14ac:dyDescent="0.7">
      <c r="A51" s="1"/>
      <c r="B51" s="6"/>
      <c r="C51" s="1"/>
      <c r="D51" s="6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1.75" hidden="1" customHeight="1" x14ac:dyDescent="0.7">
      <c r="A52" s="1"/>
      <c r="B52" s="6"/>
      <c r="C52" s="1"/>
      <c r="D52" s="6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1.75" hidden="1" customHeight="1" x14ac:dyDescent="0.7">
      <c r="A53" s="1"/>
      <c r="B53" s="6"/>
      <c r="C53" s="1"/>
      <c r="D53" s="6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1.75" hidden="1" customHeight="1" x14ac:dyDescent="0.7">
      <c r="A54" s="1"/>
      <c r="B54" s="6"/>
      <c r="C54" s="1"/>
      <c r="D54" s="6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1.75" hidden="1" customHeight="1" x14ac:dyDescent="0.7">
      <c r="A55" s="1"/>
      <c r="B55" s="6"/>
      <c r="C55" s="1"/>
      <c r="D55" s="6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1.75" hidden="1" customHeight="1" x14ac:dyDescent="0.7">
      <c r="A56" s="1"/>
      <c r="B56" s="6"/>
      <c r="C56" s="1"/>
      <c r="D56" s="6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1.75" hidden="1" customHeight="1" x14ac:dyDescent="0.7">
      <c r="A57" s="1"/>
      <c r="B57" s="6"/>
      <c r="C57" s="1"/>
      <c r="D57" s="6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1.75" hidden="1" customHeight="1" x14ac:dyDescent="0.7">
      <c r="A58" s="1"/>
      <c r="B58" s="6"/>
      <c r="C58" s="1"/>
      <c r="D58" s="6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1.75" hidden="1" customHeight="1" x14ac:dyDescent="0.7">
      <c r="A59" s="1"/>
      <c r="B59" s="6"/>
      <c r="C59" s="1"/>
      <c r="D59" s="6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1.75" hidden="1" customHeight="1" x14ac:dyDescent="0.7">
      <c r="A60" s="1"/>
      <c r="B60" s="6"/>
      <c r="C60" s="1"/>
      <c r="D60" s="6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1.75" hidden="1" customHeight="1" x14ac:dyDescent="0.7">
      <c r="A61" s="1"/>
      <c r="B61" s="6"/>
      <c r="C61" s="1"/>
      <c r="D61" s="6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1.75" hidden="1" customHeight="1" x14ac:dyDescent="0.7">
      <c r="A62" s="1"/>
      <c r="B62" s="6"/>
      <c r="C62" s="1"/>
      <c r="D62" s="6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1.75" hidden="1" customHeight="1" x14ac:dyDescent="0.7">
      <c r="A63" s="1"/>
      <c r="B63" s="6"/>
      <c r="C63" s="1"/>
      <c r="D63" s="6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1.75" hidden="1" customHeight="1" x14ac:dyDescent="0.7">
      <c r="A64" s="1"/>
      <c r="B64" s="6"/>
      <c r="C64" s="1"/>
      <c r="D64" s="6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1.75" hidden="1" customHeight="1" x14ac:dyDescent="0.7">
      <c r="A65" s="1"/>
      <c r="B65" s="6"/>
      <c r="C65" s="1"/>
      <c r="D65" s="6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1.75" hidden="1" customHeight="1" x14ac:dyDescent="0.7">
      <c r="A66" s="1"/>
      <c r="B66" s="6"/>
      <c r="C66" s="1"/>
      <c r="D66" s="6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1.75" hidden="1" customHeight="1" x14ac:dyDescent="0.7">
      <c r="A67" s="1"/>
      <c r="B67" s="6"/>
      <c r="C67" s="1"/>
      <c r="D67" s="6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1.75" hidden="1" customHeight="1" x14ac:dyDescent="0.7">
      <c r="A68" s="1"/>
      <c r="B68" s="6"/>
      <c r="C68" s="1"/>
      <c r="D68" s="6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1.75" hidden="1" customHeight="1" x14ac:dyDescent="0.7">
      <c r="A69" s="1"/>
      <c r="B69" s="6"/>
      <c r="C69" s="1"/>
      <c r="D69" s="6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1.75" hidden="1" customHeight="1" x14ac:dyDescent="0.7">
      <c r="A70" s="1"/>
      <c r="B70" s="6"/>
      <c r="C70" s="1"/>
      <c r="D70" s="6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1.75" hidden="1" customHeight="1" x14ac:dyDescent="0.7">
      <c r="A71" s="1"/>
      <c r="B71" s="6"/>
      <c r="C71" s="1"/>
      <c r="D71" s="6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1.75" hidden="1" customHeight="1" x14ac:dyDescent="0.7">
      <c r="A72" s="1"/>
      <c r="B72" s="6"/>
      <c r="C72" s="1"/>
      <c r="D72" s="6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.75" hidden="1" customHeight="1" x14ac:dyDescent="0.7">
      <c r="A73" s="1"/>
      <c r="B73" s="6"/>
      <c r="C73" s="1"/>
      <c r="D73" s="6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1.75" hidden="1" customHeight="1" x14ac:dyDescent="0.7">
      <c r="A74" s="1"/>
      <c r="B74" s="6"/>
      <c r="C74" s="1"/>
      <c r="D74" s="6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.75" hidden="1" customHeight="1" x14ac:dyDescent="0.7">
      <c r="A75" s="1"/>
      <c r="B75" s="6"/>
      <c r="C75" s="1"/>
      <c r="D75" s="6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1.75" hidden="1" customHeight="1" x14ac:dyDescent="0.7">
      <c r="A76" s="1"/>
      <c r="B76" s="6"/>
      <c r="C76" s="1"/>
      <c r="D76" s="6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1.75" hidden="1" customHeight="1" x14ac:dyDescent="0.7">
      <c r="A77" s="1"/>
      <c r="B77" s="6"/>
      <c r="C77" s="1"/>
      <c r="D77" s="6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1.75" customHeight="1" x14ac:dyDescent="0.7">
      <c r="A78" s="1"/>
      <c r="B78" s="73" t="s">
        <v>299</v>
      </c>
      <c r="C78" s="88" t="s">
        <v>3</v>
      </c>
      <c r="D78" s="6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.75" customHeight="1" x14ac:dyDescent="0.7">
      <c r="A79" s="1"/>
      <c r="B79" s="82" t="s">
        <v>300</v>
      </c>
      <c r="C79" s="83" t="s">
        <v>298</v>
      </c>
      <c r="D79" s="6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1.75" customHeight="1" x14ac:dyDescent="0.7">
      <c r="A80" s="1"/>
      <c r="B80" s="6"/>
      <c r="C80" s="1"/>
      <c r="D80" s="6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1.75" customHeight="1" x14ac:dyDescent="0.7">
      <c r="A81" s="1"/>
      <c r="B81" s="6"/>
      <c r="C81" s="1"/>
      <c r="D81" s="6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.75" customHeight="1" x14ac:dyDescent="0.7">
      <c r="A82" s="1"/>
      <c r="B82" s="6"/>
      <c r="C82" s="1"/>
      <c r="D82" s="6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1.75" customHeight="1" x14ac:dyDescent="0.7">
      <c r="A83" s="1"/>
      <c r="B83" s="6"/>
      <c r="C83" s="1"/>
      <c r="D83" s="6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1.75" customHeight="1" x14ac:dyDescent="0.7">
      <c r="A84" s="1"/>
      <c r="B84" s="6"/>
      <c r="C84" s="1"/>
      <c r="D84" s="6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1.75" customHeight="1" x14ac:dyDescent="0.7">
      <c r="A85" s="1"/>
      <c r="B85" s="6"/>
      <c r="C85" s="1"/>
      <c r="D85" s="6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1.75" customHeight="1" x14ac:dyDescent="0.7">
      <c r="A86" s="1"/>
      <c r="B86" s="6"/>
      <c r="C86" s="1"/>
      <c r="D86" s="6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1.75" customHeight="1" x14ac:dyDescent="0.7">
      <c r="A87" s="1"/>
      <c r="B87" s="6"/>
      <c r="C87" s="1"/>
      <c r="D87" s="6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1.75" customHeight="1" x14ac:dyDescent="0.7">
      <c r="A88" s="1"/>
      <c r="B88" s="6"/>
      <c r="C88" s="1"/>
      <c r="D88" s="6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1.75" customHeight="1" x14ac:dyDescent="0.7">
      <c r="A89" s="1"/>
      <c r="B89" s="6"/>
      <c r="C89" s="1"/>
      <c r="D89" s="6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1.75" customHeight="1" x14ac:dyDescent="0.7">
      <c r="A90" s="1"/>
      <c r="B90" s="6"/>
      <c r="C90" s="1"/>
      <c r="D90" s="6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1.75" customHeight="1" x14ac:dyDescent="0.7">
      <c r="A91" s="1"/>
      <c r="B91" s="6"/>
      <c r="C91" s="1"/>
      <c r="D91" s="6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1.75" customHeight="1" x14ac:dyDescent="0.7">
      <c r="A92" s="1"/>
      <c r="B92" s="6"/>
      <c r="C92" s="1"/>
      <c r="D92" s="6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1.75" customHeight="1" x14ac:dyDescent="0.7">
      <c r="A93" s="1"/>
      <c r="B93" s="6"/>
      <c r="C93" s="1"/>
      <c r="D93" s="6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1.75" customHeight="1" x14ac:dyDescent="0.7">
      <c r="A94" s="1"/>
      <c r="B94" s="6"/>
      <c r="C94" s="1"/>
      <c r="D94" s="6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1.75" customHeight="1" x14ac:dyDescent="0.7">
      <c r="A95" s="1"/>
      <c r="B95" s="6"/>
      <c r="C95" s="1"/>
      <c r="D95" s="6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1.75" customHeight="1" x14ac:dyDescent="0.7">
      <c r="A96" s="1"/>
      <c r="B96" s="6"/>
      <c r="C96" s="1"/>
      <c r="D96" s="6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1.75" customHeight="1" x14ac:dyDescent="0.7">
      <c r="A97" s="1"/>
      <c r="B97" s="6"/>
      <c r="C97" s="1"/>
      <c r="D97" s="6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1.75" customHeight="1" x14ac:dyDescent="0.7">
      <c r="A98" s="1"/>
      <c r="B98" s="6"/>
      <c r="C98" s="1"/>
      <c r="D98" s="6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1.75" customHeight="1" x14ac:dyDescent="0.7">
      <c r="A99" s="1"/>
      <c r="B99" s="6"/>
      <c r="C99" s="1"/>
      <c r="D99" s="6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1.75" customHeight="1" x14ac:dyDescent="0.7">
      <c r="A100" s="1"/>
      <c r="B100" s="6"/>
      <c r="C100" s="1"/>
      <c r="D100" s="6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1.75" customHeight="1" x14ac:dyDescent="0.7">
      <c r="A101" s="1"/>
      <c r="B101" s="6"/>
      <c r="C101" s="1"/>
      <c r="D101" s="6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1.75" customHeight="1" x14ac:dyDescent="0.7">
      <c r="A102" s="1"/>
      <c r="B102" s="6"/>
      <c r="C102" s="1"/>
      <c r="D102" s="6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1.75" customHeight="1" x14ac:dyDescent="0.7">
      <c r="A103" s="1"/>
      <c r="B103" s="6"/>
      <c r="C103" s="1"/>
      <c r="D103" s="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1.75" customHeight="1" x14ac:dyDescent="0.7">
      <c r="A104" s="1"/>
      <c r="B104" s="6"/>
      <c r="C104" s="1"/>
      <c r="D104" s="6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1.75" customHeight="1" x14ac:dyDescent="0.7">
      <c r="A105" s="1"/>
      <c r="B105" s="6"/>
      <c r="C105" s="1"/>
      <c r="D105" s="6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21.75" customHeight="1" x14ac:dyDescent="0.7">
      <c r="A106" s="1"/>
      <c r="B106" s="6"/>
      <c r="C106" s="1"/>
      <c r="D106" s="6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21.75" customHeight="1" x14ac:dyDescent="0.7">
      <c r="A107" s="1"/>
      <c r="B107" s="6"/>
      <c r="C107" s="1"/>
      <c r="D107" s="6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21.75" customHeight="1" x14ac:dyDescent="0.7">
      <c r="A108" s="1"/>
      <c r="B108" s="6"/>
      <c r="C108" s="1"/>
      <c r="D108" s="6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1.75" customHeight="1" x14ac:dyDescent="0.7">
      <c r="A109" s="1"/>
      <c r="B109" s="6"/>
      <c r="C109" s="1"/>
      <c r="D109" s="6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21.75" customHeight="1" x14ac:dyDescent="0.7">
      <c r="A110" s="1"/>
      <c r="B110" s="6"/>
      <c r="C110" s="1"/>
      <c r="D110" s="6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21.75" customHeight="1" x14ac:dyDescent="0.7">
      <c r="A111" s="1"/>
      <c r="B111" s="6"/>
      <c r="C111" s="1"/>
      <c r="D111" s="6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21.75" customHeight="1" x14ac:dyDescent="0.7">
      <c r="A112" s="1"/>
      <c r="B112" s="6"/>
      <c r="C112" s="1"/>
      <c r="D112" s="6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21.75" customHeight="1" x14ac:dyDescent="0.7">
      <c r="A113" s="1"/>
      <c r="B113" s="6"/>
      <c r="C113" s="1"/>
      <c r="D113" s="6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21.75" customHeight="1" x14ac:dyDescent="0.7">
      <c r="A114" s="1"/>
      <c r="B114" s="6"/>
      <c r="C114" s="1"/>
      <c r="D114" s="6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21.75" customHeight="1" x14ac:dyDescent="0.7">
      <c r="A115" s="1"/>
      <c r="B115" s="6"/>
      <c r="C115" s="1"/>
      <c r="D115" s="6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21.75" customHeight="1" x14ac:dyDescent="0.7">
      <c r="A116" s="1"/>
      <c r="B116" s="6"/>
      <c r="C116" s="1"/>
      <c r="D116" s="6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21.75" customHeight="1" x14ac:dyDescent="0.7">
      <c r="A117" s="1"/>
      <c r="B117" s="6"/>
      <c r="C117" s="1"/>
      <c r="D117" s="6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21.75" customHeight="1" x14ac:dyDescent="0.7">
      <c r="A118" s="1"/>
      <c r="B118" s="6"/>
      <c r="C118" s="1"/>
      <c r="D118" s="6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21.75" customHeight="1" x14ac:dyDescent="0.7">
      <c r="A119" s="1"/>
      <c r="B119" s="6"/>
      <c r="C119" s="1"/>
      <c r="D119" s="6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21.75" customHeight="1" x14ac:dyDescent="0.7">
      <c r="A120" s="1"/>
      <c r="B120" s="6"/>
      <c r="C120" s="1"/>
      <c r="D120" s="6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21.75" customHeight="1" x14ac:dyDescent="0.7">
      <c r="A121" s="1"/>
      <c r="B121" s="6"/>
      <c r="C121" s="1"/>
      <c r="D121" s="6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21.75" customHeight="1" x14ac:dyDescent="0.7">
      <c r="A122" s="1"/>
      <c r="B122" s="6"/>
      <c r="C122" s="1"/>
      <c r="D122" s="6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21.75" customHeight="1" x14ac:dyDescent="0.7">
      <c r="A123" s="1"/>
      <c r="B123" s="6"/>
      <c r="C123" s="1"/>
      <c r="D123" s="6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21.75" customHeight="1" x14ac:dyDescent="0.7">
      <c r="A124" s="1"/>
      <c r="B124" s="6"/>
      <c r="C124" s="1"/>
      <c r="D124" s="6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21.75" customHeight="1" x14ac:dyDescent="0.7">
      <c r="A125" s="1"/>
      <c r="B125" s="6"/>
      <c r="C125" s="1"/>
      <c r="D125" s="6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21.75" customHeight="1" x14ac:dyDescent="0.7">
      <c r="A126" s="1"/>
      <c r="B126" s="6"/>
      <c r="C126" s="1"/>
      <c r="D126" s="6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21.75" customHeight="1" x14ac:dyDescent="0.7">
      <c r="A127" s="1"/>
      <c r="B127" s="6"/>
      <c r="C127" s="1"/>
      <c r="D127" s="6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21.75" customHeight="1" x14ac:dyDescent="0.7">
      <c r="A128" s="1"/>
      <c r="B128" s="6"/>
      <c r="C128" s="1"/>
      <c r="D128" s="6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21.75" customHeight="1" x14ac:dyDescent="0.7">
      <c r="A129" s="1"/>
      <c r="B129" s="6"/>
      <c r="C129" s="1"/>
      <c r="D129" s="6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21.75" customHeight="1" x14ac:dyDescent="0.7">
      <c r="A130" s="1"/>
      <c r="B130" s="6"/>
      <c r="C130" s="1"/>
      <c r="D130" s="6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21.75" customHeight="1" x14ac:dyDescent="0.7">
      <c r="A131" s="1"/>
      <c r="B131" s="6"/>
      <c r="C131" s="1"/>
      <c r="D131" s="6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21.75" customHeight="1" x14ac:dyDescent="0.7">
      <c r="A132" s="1"/>
      <c r="B132" s="6"/>
      <c r="C132" s="1"/>
      <c r="D132" s="6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21.75" customHeight="1" x14ac:dyDescent="0.7">
      <c r="A133" s="1"/>
      <c r="B133" s="6"/>
      <c r="C133" s="1"/>
      <c r="D133" s="6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21.75" customHeight="1" x14ac:dyDescent="0.7">
      <c r="A134" s="1"/>
      <c r="B134" s="6"/>
      <c r="C134" s="1"/>
      <c r="D134" s="6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21.75" customHeight="1" x14ac:dyDescent="0.7">
      <c r="A135" s="1"/>
      <c r="B135" s="6"/>
      <c r="C135" s="1"/>
      <c r="D135" s="6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21.75" customHeight="1" x14ac:dyDescent="0.7">
      <c r="A136" s="1"/>
      <c r="B136" s="6"/>
      <c r="C136" s="1"/>
      <c r="D136" s="6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21.75" customHeight="1" x14ac:dyDescent="0.7">
      <c r="A137" s="1"/>
      <c r="B137" s="6"/>
      <c r="C137" s="1"/>
      <c r="D137" s="6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21.75" customHeight="1" x14ac:dyDescent="0.7">
      <c r="A138" s="1"/>
      <c r="B138" s="6"/>
      <c r="C138" s="1"/>
      <c r="D138" s="6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21.75" customHeight="1" x14ac:dyDescent="0.7">
      <c r="A139" s="1"/>
      <c r="B139" s="6"/>
      <c r="C139" s="1"/>
      <c r="D139" s="6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21.75" customHeight="1" x14ac:dyDescent="0.7">
      <c r="A140" s="1"/>
      <c r="B140" s="6"/>
      <c r="C140" s="1"/>
      <c r="D140" s="6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21.75" customHeight="1" x14ac:dyDescent="0.7">
      <c r="A141" s="1"/>
      <c r="B141" s="6"/>
      <c r="C141" s="1"/>
      <c r="D141" s="6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21.75" customHeight="1" x14ac:dyDescent="0.7">
      <c r="A142" s="1"/>
      <c r="B142" s="6"/>
      <c r="C142" s="1"/>
      <c r="D142" s="6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21.75" customHeight="1" x14ac:dyDescent="0.7">
      <c r="A143" s="1"/>
      <c r="B143" s="6"/>
      <c r="C143" s="1"/>
      <c r="D143" s="6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21.75" customHeight="1" x14ac:dyDescent="0.7">
      <c r="A144" s="1"/>
      <c r="B144" s="6"/>
      <c r="C144" s="1"/>
      <c r="D144" s="6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21.75" customHeight="1" x14ac:dyDescent="0.7">
      <c r="A145" s="1"/>
      <c r="B145" s="6"/>
      <c r="C145" s="1"/>
      <c r="D145" s="6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21.75" customHeight="1" x14ac:dyDescent="0.7">
      <c r="A146" s="1"/>
      <c r="B146" s="6"/>
      <c r="C146" s="1"/>
      <c r="D146" s="6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21.75" customHeight="1" x14ac:dyDescent="0.7">
      <c r="A147" s="1"/>
      <c r="B147" s="6"/>
      <c r="C147" s="1"/>
      <c r="D147" s="6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21.75" customHeight="1" x14ac:dyDescent="0.7">
      <c r="A148" s="1"/>
      <c r="B148" s="6"/>
      <c r="C148" s="1"/>
      <c r="D148" s="6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21.75" customHeight="1" x14ac:dyDescent="0.7">
      <c r="A149" s="1"/>
      <c r="B149" s="6"/>
      <c r="C149" s="1"/>
      <c r="D149" s="6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21.75" customHeight="1" x14ac:dyDescent="0.7">
      <c r="A150" s="1"/>
      <c r="B150" s="6"/>
      <c r="C150" s="1"/>
      <c r="D150" s="6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21.75" customHeight="1" x14ac:dyDescent="0.7">
      <c r="A151" s="1"/>
      <c r="B151" s="6"/>
      <c r="C151" s="1"/>
      <c r="D151" s="6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21.75" customHeight="1" x14ac:dyDescent="0.7">
      <c r="A152" s="1"/>
      <c r="B152" s="6"/>
      <c r="C152" s="1"/>
      <c r="D152" s="6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21.75" customHeight="1" x14ac:dyDescent="0.7">
      <c r="A153" s="1"/>
      <c r="B153" s="6"/>
      <c r="C153" s="1"/>
      <c r="D153" s="6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21.75" customHeight="1" x14ac:dyDescent="0.7">
      <c r="A154" s="1"/>
      <c r="B154" s="6"/>
      <c r="C154" s="1"/>
      <c r="D154" s="6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21.75" customHeight="1" x14ac:dyDescent="0.7">
      <c r="A155" s="1"/>
      <c r="B155" s="6"/>
      <c r="C155" s="1"/>
      <c r="D155" s="6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21.75" customHeight="1" x14ac:dyDescent="0.7">
      <c r="A156" s="1"/>
      <c r="B156" s="6"/>
      <c r="C156" s="1"/>
      <c r="D156" s="6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21.75" customHeight="1" x14ac:dyDescent="0.7">
      <c r="A157" s="1"/>
      <c r="B157" s="6"/>
      <c r="C157" s="1"/>
      <c r="D157" s="6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21.75" customHeight="1" x14ac:dyDescent="0.7">
      <c r="A158" s="1"/>
      <c r="B158" s="6"/>
      <c r="C158" s="1"/>
      <c r="D158" s="6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21.75" customHeight="1" x14ac:dyDescent="0.7">
      <c r="A159" s="1"/>
      <c r="B159" s="6"/>
      <c r="C159" s="1"/>
      <c r="D159" s="6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21.75" customHeight="1" x14ac:dyDescent="0.7">
      <c r="A160" s="1"/>
      <c r="B160" s="6"/>
      <c r="C160" s="1"/>
      <c r="D160" s="6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21.75" customHeight="1" x14ac:dyDescent="0.7">
      <c r="A161" s="1"/>
      <c r="B161" s="6"/>
      <c r="C161" s="1"/>
      <c r="D161" s="6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21.75" customHeight="1" x14ac:dyDescent="0.7">
      <c r="A162" s="1"/>
      <c r="B162" s="6"/>
      <c r="C162" s="1"/>
      <c r="D162" s="6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21.75" customHeight="1" x14ac:dyDescent="0.7">
      <c r="A163" s="1"/>
      <c r="B163" s="6"/>
      <c r="C163" s="1"/>
      <c r="D163" s="6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21.75" customHeight="1" x14ac:dyDescent="0.7">
      <c r="A164" s="1"/>
      <c r="B164" s="6"/>
      <c r="C164" s="1"/>
      <c r="D164" s="6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21.75" customHeight="1" x14ac:dyDescent="0.7">
      <c r="A165" s="1"/>
      <c r="B165" s="6"/>
      <c r="C165" s="1"/>
      <c r="D165" s="6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21.75" customHeight="1" x14ac:dyDescent="0.7">
      <c r="A166" s="1"/>
      <c r="B166" s="6"/>
      <c r="C166" s="1"/>
      <c r="D166" s="6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21.75" customHeight="1" x14ac:dyDescent="0.7">
      <c r="A167" s="1"/>
      <c r="B167" s="6"/>
      <c r="C167" s="1"/>
      <c r="D167" s="6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21.75" customHeight="1" x14ac:dyDescent="0.7">
      <c r="A168" s="1"/>
      <c r="B168" s="6"/>
      <c r="C168" s="1"/>
      <c r="D168" s="6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21.75" customHeight="1" x14ac:dyDescent="0.7">
      <c r="A169" s="1"/>
      <c r="B169" s="6"/>
      <c r="C169" s="1"/>
      <c r="D169" s="6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21.75" customHeight="1" x14ac:dyDescent="0.7">
      <c r="A170" s="1"/>
      <c r="B170" s="6"/>
      <c r="C170" s="1"/>
      <c r="D170" s="6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21.75" customHeight="1" x14ac:dyDescent="0.7">
      <c r="A171" s="1"/>
      <c r="B171" s="6"/>
      <c r="C171" s="1"/>
      <c r="D171" s="6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21.75" customHeight="1" x14ac:dyDescent="0.7">
      <c r="A172" s="1"/>
      <c r="B172" s="6"/>
      <c r="C172" s="1"/>
      <c r="D172" s="6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21.75" customHeight="1" x14ac:dyDescent="0.7">
      <c r="A173" s="1"/>
      <c r="B173" s="6"/>
      <c r="C173" s="1"/>
      <c r="D173" s="6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21.75" customHeight="1" x14ac:dyDescent="0.7">
      <c r="A174" s="1"/>
      <c r="B174" s="6"/>
      <c r="C174" s="1"/>
      <c r="D174" s="6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21.75" customHeight="1" x14ac:dyDescent="0.7">
      <c r="A175" s="1"/>
      <c r="B175" s="6"/>
      <c r="C175" s="1"/>
      <c r="D175" s="6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21.75" customHeight="1" x14ac:dyDescent="0.7">
      <c r="A176" s="1"/>
      <c r="B176" s="6"/>
      <c r="C176" s="1"/>
      <c r="D176" s="6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21.75" customHeight="1" x14ac:dyDescent="0.7">
      <c r="A177" s="1"/>
      <c r="B177" s="6"/>
      <c r="C177" s="1"/>
      <c r="D177" s="6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21.75" customHeight="1" x14ac:dyDescent="0.7">
      <c r="A178" s="1"/>
      <c r="B178" s="6"/>
      <c r="C178" s="1"/>
      <c r="D178" s="6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21.75" customHeight="1" x14ac:dyDescent="0.7">
      <c r="A179" s="1"/>
      <c r="B179" s="6"/>
      <c r="C179" s="1"/>
      <c r="D179" s="6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21.75" customHeight="1" x14ac:dyDescent="0.7">
      <c r="A180" s="1"/>
      <c r="B180" s="6"/>
      <c r="C180" s="1"/>
      <c r="D180" s="6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21.75" customHeight="1" x14ac:dyDescent="0.7">
      <c r="A181" s="1"/>
      <c r="B181" s="6"/>
      <c r="C181" s="1"/>
      <c r="D181" s="6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21.75" customHeight="1" x14ac:dyDescent="0.7">
      <c r="A182" s="1"/>
      <c r="B182" s="6"/>
      <c r="C182" s="1"/>
      <c r="D182" s="6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21.75" customHeight="1" x14ac:dyDescent="0.7">
      <c r="A183" s="1"/>
      <c r="B183" s="6"/>
      <c r="C183" s="1"/>
      <c r="D183" s="6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21.75" customHeight="1" x14ac:dyDescent="0.7">
      <c r="A184" s="1"/>
      <c r="B184" s="6"/>
      <c r="C184" s="1"/>
      <c r="D184" s="6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21.75" customHeight="1" x14ac:dyDescent="0.7">
      <c r="A185" s="1"/>
      <c r="B185" s="6"/>
      <c r="C185" s="1"/>
      <c r="D185" s="6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21.75" customHeight="1" x14ac:dyDescent="0.7">
      <c r="A186" s="1"/>
      <c r="B186" s="6"/>
      <c r="C186" s="1"/>
      <c r="D186" s="6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21.75" customHeight="1" x14ac:dyDescent="0.7">
      <c r="A187" s="1"/>
      <c r="B187" s="6"/>
      <c r="C187" s="1"/>
      <c r="D187" s="6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21.75" customHeight="1" x14ac:dyDescent="0.7">
      <c r="A188" s="1"/>
      <c r="B188" s="6"/>
      <c r="C188" s="1"/>
      <c r="D188" s="6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21.75" customHeight="1" x14ac:dyDescent="0.7">
      <c r="A189" s="1"/>
      <c r="B189" s="6"/>
      <c r="C189" s="1"/>
      <c r="D189" s="6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21.75" customHeight="1" x14ac:dyDescent="0.7">
      <c r="A190" s="1"/>
      <c r="B190" s="6"/>
      <c r="C190" s="1"/>
      <c r="D190" s="6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21.75" customHeight="1" x14ac:dyDescent="0.7">
      <c r="A191" s="1"/>
      <c r="B191" s="6"/>
      <c r="C191" s="1"/>
      <c r="D191" s="6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21.75" customHeight="1" x14ac:dyDescent="0.7">
      <c r="A192" s="1"/>
      <c r="B192" s="6"/>
      <c r="C192" s="1"/>
      <c r="D192" s="6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21.75" customHeight="1" x14ac:dyDescent="0.7">
      <c r="A193" s="1"/>
      <c r="B193" s="6"/>
      <c r="C193" s="1"/>
      <c r="D193" s="6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21.75" customHeight="1" x14ac:dyDescent="0.7">
      <c r="A194" s="1"/>
      <c r="B194" s="6"/>
      <c r="C194" s="1"/>
      <c r="D194" s="6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21.75" customHeight="1" x14ac:dyDescent="0.7">
      <c r="A195" s="1"/>
      <c r="B195" s="6"/>
      <c r="C195" s="1"/>
      <c r="D195" s="6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21.75" customHeight="1" x14ac:dyDescent="0.7">
      <c r="A196" s="1"/>
      <c r="B196" s="6"/>
      <c r="C196" s="1"/>
      <c r="D196" s="6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21.75" customHeight="1" x14ac:dyDescent="0.7">
      <c r="A197" s="1"/>
      <c r="B197" s="6"/>
      <c r="C197" s="1"/>
      <c r="D197" s="6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21.75" customHeight="1" x14ac:dyDescent="0.7">
      <c r="A198" s="1"/>
      <c r="B198" s="6"/>
      <c r="C198" s="1"/>
      <c r="D198" s="6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21.75" customHeight="1" x14ac:dyDescent="0.7">
      <c r="A199" s="1"/>
      <c r="B199" s="6"/>
      <c r="C199" s="1"/>
      <c r="D199" s="6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21.75" customHeight="1" x14ac:dyDescent="0.7">
      <c r="A200" s="1"/>
      <c r="B200" s="6"/>
      <c r="C200" s="1"/>
      <c r="D200" s="6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21.75" customHeight="1" x14ac:dyDescent="0.7">
      <c r="A201" s="1"/>
      <c r="B201" s="6"/>
      <c r="C201" s="1"/>
      <c r="D201" s="6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21.75" customHeight="1" x14ac:dyDescent="0.7">
      <c r="A202" s="1"/>
      <c r="B202" s="6"/>
      <c r="C202" s="1"/>
      <c r="D202" s="6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21.75" customHeight="1" x14ac:dyDescent="0.7">
      <c r="A203" s="1"/>
      <c r="B203" s="6"/>
      <c r="C203" s="1"/>
      <c r="D203" s="6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21.75" customHeight="1" x14ac:dyDescent="0.7">
      <c r="A204" s="1"/>
      <c r="B204" s="6"/>
      <c r="C204" s="1"/>
      <c r="D204" s="6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21.75" customHeight="1" x14ac:dyDescent="0.7">
      <c r="A205" s="1"/>
      <c r="B205" s="6"/>
      <c r="C205" s="1"/>
      <c r="D205" s="6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21.75" customHeight="1" x14ac:dyDescent="0.7">
      <c r="A206" s="1"/>
      <c r="B206" s="6"/>
      <c r="C206" s="1"/>
      <c r="D206" s="6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21.75" customHeight="1" x14ac:dyDescent="0.7">
      <c r="A207" s="1"/>
      <c r="B207" s="6"/>
      <c r="C207" s="1"/>
      <c r="D207" s="6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21.75" customHeight="1" x14ac:dyDescent="0.7">
      <c r="A208" s="1"/>
      <c r="B208" s="6"/>
      <c r="C208" s="1"/>
      <c r="D208" s="6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21.75" customHeight="1" x14ac:dyDescent="0.7">
      <c r="A209" s="1"/>
      <c r="B209" s="6"/>
      <c r="C209" s="1"/>
      <c r="D209" s="6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21.75" customHeight="1" x14ac:dyDescent="0.7">
      <c r="A210" s="1"/>
      <c r="B210" s="6"/>
      <c r="C210" s="1"/>
      <c r="D210" s="6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21.75" customHeight="1" x14ac:dyDescent="0.7">
      <c r="A211" s="1"/>
      <c r="B211" s="6"/>
      <c r="C211" s="1"/>
      <c r="D211" s="6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21.75" customHeight="1" x14ac:dyDescent="0.7">
      <c r="A212" s="1"/>
      <c r="B212" s="6"/>
      <c r="C212" s="1"/>
      <c r="D212" s="6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21.75" customHeight="1" x14ac:dyDescent="0.7">
      <c r="A213" s="1"/>
      <c r="B213" s="6"/>
      <c r="C213" s="1"/>
      <c r="D213" s="6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21.75" customHeight="1" x14ac:dyDescent="0.7">
      <c r="A214" s="1"/>
      <c r="B214" s="6"/>
      <c r="C214" s="1"/>
      <c r="D214" s="6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21.75" customHeight="1" x14ac:dyDescent="0.7">
      <c r="A215" s="1"/>
      <c r="B215" s="6"/>
      <c r="C215" s="1"/>
      <c r="D215" s="6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21.75" customHeight="1" x14ac:dyDescent="0.7">
      <c r="A216" s="1"/>
      <c r="B216" s="6"/>
      <c r="C216" s="1"/>
      <c r="D216" s="6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21.75" customHeight="1" x14ac:dyDescent="0.7">
      <c r="A217" s="1"/>
      <c r="B217" s="6"/>
      <c r="C217" s="1"/>
      <c r="D217" s="6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21.75" customHeight="1" x14ac:dyDescent="0.7">
      <c r="A218" s="1"/>
      <c r="B218" s="6"/>
      <c r="C218" s="1"/>
      <c r="D218" s="6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21.75" customHeight="1" x14ac:dyDescent="0.7">
      <c r="A219" s="1"/>
      <c r="B219" s="6"/>
      <c r="C219" s="1"/>
      <c r="D219" s="6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21.75" customHeight="1" x14ac:dyDescent="0.7">
      <c r="A220" s="1"/>
      <c r="B220" s="6"/>
      <c r="C220" s="1"/>
      <c r="D220" s="6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21.75" customHeight="1" x14ac:dyDescent="0.7">
      <c r="A221" s="1"/>
      <c r="B221" s="6"/>
      <c r="C221" s="1"/>
      <c r="D221" s="6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21.75" customHeight="1" x14ac:dyDescent="0.7">
      <c r="A222" s="1"/>
      <c r="B222" s="6"/>
      <c r="C222" s="1"/>
      <c r="D222" s="68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21.75" customHeight="1" x14ac:dyDescent="0.7">
      <c r="A223" s="1"/>
      <c r="B223" s="6"/>
      <c r="C223" s="1"/>
      <c r="D223" s="68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21.75" customHeight="1" x14ac:dyDescent="0.7">
      <c r="A224" s="1"/>
      <c r="B224" s="6"/>
      <c r="C224" s="1"/>
      <c r="D224" s="68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21.75" customHeight="1" x14ac:dyDescent="0.7">
      <c r="A225" s="1"/>
      <c r="B225" s="6"/>
      <c r="C225" s="1"/>
      <c r="D225" s="68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21.75" customHeight="1" x14ac:dyDescent="0.7">
      <c r="A226" s="1"/>
      <c r="B226" s="6"/>
      <c r="C226" s="1"/>
      <c r="D226" s="68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21.75" customHeight="1" x14ac:dyDescent="0.7">
      <c r="A227" s="1"/>
      <c r="B227" s="6"/>
      <c r="C227" s="1"/>
      <c r="D227" s="68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21.75" customHeight="1" x14ac:dyDescent="0.7">
      <c r="A228" s="1"/>
      <c r="B228" s="6"/>
      <c r="C228" s="1"/>
      <c r="D228" s="6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21.75" customHeight="1" x14ac:dyDescent="0.7">
      <c r="A229" s="1"/>
      <c r="B229" s="6"/>
      <c r="C229" s="1"/>
      <c r="D229" s="68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21.75" customHeight="1" x14ac:dyDescent="0.7">
      <c r="A230" s="1"/>
      <c r="B230" s="6"/>
      <c r="C230" s="1"/>
      <c r="D230" s="68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21.75" customHeight="1" x14ac:dyDescent="0.7">
      <c r="A231" s="1"/>
      <c r="B231" s="6"/>
      <c r="C231" s="1"/>
      <c r="D231" s="68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21.75" customHeight="1" x14ac:dyDescent="0.7">
      <c r="A232" s="1"/>
      <c r="B232" s="6"/>
      <c r="C232" s="1"/>
      <c r="D232" s="68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21.75" customHeight="1" x14ac:dyDescent="0.7">
      <c r="A233" s="1"/>
      <c r="B233" s="6"/>
      <c r="C233" s="1"/>
      <c r="D233" s="68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21.75" customHeight="1" x14ac:dyDescent="0.7">
      <c r="A234" s="1"/>
      <c r="B234" s="6"/>
      <c r="C234" s="1"/>
      <c r="D234" s="68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21.75" customHeight="1" x14ac:dyDescent="0.7">
      <c r="A235" s="1"/>
      <c r="B235" s="6"/>
      <c r="C235" s="1"/>
      <c r="D235" s="68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21.75" customHeight="1" x14ac:dyDescent="0.7">
      <c r="A236" s="1"/>
      <c r="B236" s="6"/>
      <c r="C236" s="1"/>
      <c r="D236" s="68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21.75" customHeight="1" x14ac:dyDescent="0.7">
      <c r="A237" s="1"/>
      <c r="B237" s="6"/>
      <c r="C237" s="1"/>
      <c r="D237" s="68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21.75" customHeight="1" x14ac:dyDescent="0.7">
      <c r="A238" s="1"/>
      <c r="B238" s="6"/>
      <c r="C238" s="1"/>
      <c r="D238" s="68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21.75" customHeight="1" x14ac:dyDescent="0.7">
      <c r="A239" s="1"/>
      <c r="B239" s="6"/>
      <c r="C239" s="1"/>
      <c r="D239" s="68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21.75" customHeight="1" x14ac:dyDescent="0.7">
      <c r="A240" s="1"/>
      <c r="B240" s="6"/>
      <c r="C240" s="1"/>
      <c r="D240" s="68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21.75" customHeight="1" x14ac:dyDescent="0.7">
      <c r="A241" s="1"/>
      <c r="B241" s="6"/>
      <c r="C241" s="1"/>
      <c r="D241" s="68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21.75" customHeight="1" x14ac:dyDescent="0.7">
      <c r="A242" s="1"/>
      <c r="B242" s="6"/>
      <c r="C242" s="1"/>
      <c r="D242" s="68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21.75" customHeight="1" x14ac:dyDescent="0.7">
      <c r="A243" s="1"/>
      <c r="B243" s="6"/>
      <c r="C243" s="1"/>
      <c r="D243" s="68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21.75" customHeight="1" x14ac:dyDescent="0.7">
      <c r="A244" s="1"/>
      <c r="B244" s="6"/>
      <c r="C244" s="1"/>
      <c r="D244" s="68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21.75" customHeight="1" x14ac:dyDescent="0.7">
      <c r="A245" s="1"/>
      <c r="B245" s="6"/>
      <c r="C245" s="1"/>
      <c r="D245" s="68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21.75" customHeight="1" x14ac:dyDescent="0.7">
      <c r="A246" s="1"/>
      <c r="B246" s="6"/>
      <c r="C246" s="1"/>
      <c r="D246" s="68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21.75" customHeight="1" x14ac:dyDescent="0.7">
      <c r="A247" s="1"/>
      <c r="B247" s="6"/>
      <c r="C247" s="1"/>
      <c r="D247" s="68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21.75" customHeight="1" x14ac:dyDescent="0.7">
      <c r="A248" s="1"/>
      <c r="B248" s="6"/>
      <c r="C248" s="1"/>
      <c r="D248" s="68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21.75" customHeight="1" x14ac:dyDescent="0.7">
      <c r="A249" s="1"/>
      <c r="B249" s="6"/>
      <c r="C249" s="1"/>
      <c r="D249" s="68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21.75" customHeight="1" x14ac:dyDescent="0.7">
      <c r="A250" s="1"/>
      <c r="B250" s="6"/>
      <c r="C250" s="1"/>
      <c r="D250" s="68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21.75" customHeight="1" x14ac:dyDescent="0.7">
      <c r="A251" s="1"/>
      <c r="B251" s="6"/>
      <c r="C251" s="1"/>
      <c r="D251" s="68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21.75" customHeight="1" x14ac:dyDescent="0.7">
      <c r="A252" s="1"/>
      <c r="B252" s="6"/>
      <c r="C252" s="1"/>
      <c r="D252" s="68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21.75" customHeight="1" x14ac:dyDescent="0.7">
      <c r="A253" s="1"/>
      <c r="B253" s="6"/>
      <c r="C253" s="1"/>
      <c r="D253" s="68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21.75" customHeight="1" x14ac:dyDescent="0.7">
      <c r="A254" s="1"/>
      <c r="B254" s="6"/>
      <c r="C254" s="1"/>
      <c r="D254" s="68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21.75" customHeight="1" x14ac:dyDescent="0.7">
      <c r="A255" s="1"/>
      <c r="B255" s="6"/>
      <c r="C255" s="1"/>
      <c r="D255" s="68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21.75" customHeight="1" x14ac:dyDescent="0.7">
      <c r="A256" s="1"/>
      <c r="B256" s="6"/>
      <c r="C256" s="1"/>
      <c r="D256" s="68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21.75" customHeight="1" x14ac:dyDescent="0.7">
      <c r="A257" s="1"/>
      <c r="B257" s="6"/>
      <c r="C257" s="1"/>
      <c r="D257" s="68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21.75" customHeight="1" x14ac:dyDescent="0.7">
      <c r="A258" s="1"/>
      <c r="B258" s="6"/>
      <c r="C258" s="1"/>
      <c r="D258" s="68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21.75" customHeight="1" x14ac:dyDescent="0.7">
      <c r="A259" s="1"/>
      <c r="B259" s="6"/>
      <c r="C259" s="1"/>
      <c r="D259" s="68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21.75" customHeight="1" x14ac:dyDescent="0.7">
      <c r="A260" s="1"/>
      <c r="B260" s="6"/>
      <c r="C260" s="1"/>
      <c r="D260" s="68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21.75" customHeight="1" x14ac:dyDescent="0.7">
      <c r="A261" s="1"/>
      <c r="B261" s="6"/>
      <c r="C261" s="1"/>
      <c r="D261" s="68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21.75" customHeight="1" x14ac:dyDescent="0.7">
      <c r="A262" s="1"/>
      <c r="B262" s="6"/>
      <c r="C262" s="1"/>
      <c r="D262" s="68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21.75" customHeight="1" x14ac:dyDescent="0.7">
      <c r="A263" s="1"/>
      <c r="B263" s="6"/>
      <c r="C263" s="1"/>
      <c r="D263" s="68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21.75" customHeight="1" x14ac:dyDescent="0.7">
      <c r="A264" s="1"/>
      <c r="B264" s="6"/>
      <c r="C264" s="1"/>
      <c r="D264" s="68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21.75" customHeight="1" x14ac:dyDescent="0.7">
      <c r="A265" s="1"/>
      <c r="B265" s="6"/>
      <c r="C265" s="1"/>
      <c r="D265" s="68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21.75" customHeight="1" x14ac:dyDescent="0.7">
      <c r="A266" s="1"/>
      <c r="B266" s="6"/>
      <c r="C266" s="1"/>
      <c r="D266" s="68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21.75" customHeight="1" x14ac:dyDescent="0.7">
      <c r="A267" s="1"/>
      <c r="B267" s="6"/>
      <c r="C267" s="1"/>
      <c r="D267" s="68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21.75" customHeight="1" x14ac:dyDescent="0.7">
      <c r="A268" s="1"/>
      <c r="B268" s="6"/>
      <c r="C268" s="1"/>
      <c r="D268" s="68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21.75" customHeight="1" x14ac:dyDescent="0.7">
      <c r="A269" s="1"/>
      <c r="B269" s="6"/>
      <c r="C269" s="1"/>
      <c r="D269" s="68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21.75" customHeight="1" x14ac:dyDescent="0.7">
      <c r="A270" s="1"/>
      <c r="B270" s="6"/>
      <c r="C270" s="1"/>
      <c r="D270" s="68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21.75" customHeight="1" x14ac:dyDescent="0.7">
      <c r="A271" s="1"/>
      <c r="B271" s="6"/>
      <c r="C271" s="1"/>
      <c r="D271" s="68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21.75" customHeight="1" x14ac:dyDescent="0.7">
      <c r="A272" s="1"/>
      <c r="B272" s="6"/>
      <c r="C272" s="1"/>
      <c r="D272" s="68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21.75" customHeight="1" x14ac:dyDescent="0.7">
      <c r="A273" s="1"/>
      <c r="B273" s="6"/>
      <c r="C273" s="1"/>
      <c r="D273" s="68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21.75" customHeight="1" x14ac:dyDescent="0.7">
      <c r="A274" s="1"/>
      <c r="B274" s="6"/>
      <c r="C274" s="1"/>
      <c r="D274" s="68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21.75" customHeight="1" x14ac:dyDescent="0.7">
      <c r="A275" s="1"/>
      <c r="B275" s="6"/>
      <c r="C275" s="1"/>
      <c r="D275" s="68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21.75" customHeight="1" x14ac:dyDescent="0.7">
      <c r="A276" s="1"/>
      <c r="B276" s="6"/>
      <c r="C276" s="1"/>
      <c r="D276" s="68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21.75" customHeight="1" x14ac:dyDescent="0.7">
      <c r="A277" s="1"/>
      <c r="B277" s="6"/>
      <c r="C277" s="1"/>
      <c r="D277" s="68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21.75" customHeight="1" x14ac:dyDescent="0.7">
      <c r="A278" s="1"/>
      <c r="B278" s="6"/>
      <c r="C278" s="1"/>
      <c r="D278" s="68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21.75" customHeight="1" x14ac:dyDescent="0.7">
      <c r="A279" s="1"/>
      <c r="B279" s="6"/>
      <c r="C279" s="1"/>
      <c r="D279" s="68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21.75" customHeight="1" x14ac:dyDescent="0.7">
      <c r="A280" s="1"/>
      <c r="B280" s="6"/>
      <c r="C280" s="1"/>
      <c r="D280" s="68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21.75" customHeight="1" x14ac:dyDescent="0.7">
      <c r="A281" s="1"/>
      <c r="B281" s="6"/>
      <c r="C281" s="1"/>
      <c r="D281" s="68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21.75" customHeight="1" x14ac:dyDescent="0.7">
      <c r="A282" s="1"/>
      <c r="B282" s="6"/>
      <c r="C282" s="1"/>
      <c r="D282" s="68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21.75" customHeight="1" x14ac:dyDescent="0.7">
      <c r="A283" s="1"/>
      <c r="B283" s="6"/>
      <c r="C283" s="1"/>
      <c r="D283" s="68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21.75" customHeight="1" x14ac:dyDescent="0.7">
      <c r="A284" s="1"/>
      <c r="B284" s="6"/>
      <c r="C284" s="1"/>
      <c r="D284" s="68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21.75" customHeight="1" x14ac:dyDescent="0.7">
      <c r="A285" s="1"/>
      <c r="B285" s="6"/>
      <c r="C285" s="1"/>
      <c r="D285" s="68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21.75" customHeight="1" x14ac:dyDescent="0.7">
      <c r="A286" s="1"/>
      <c r="B286" s="6"/>
      <c r="C286" s="1"/>
      <c r="D286" s="68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21.75" customHeight="1" x14ac:dyDescent="0.7">
      <c r="A287" s="1"/>
      <c r="B287" s="6"/>
      <c r="C287" s="1"/>
      <c r="D287" s="68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21.75" customHeight="1" x14ac:dyDescent="0.7">
      <c r="A288" s="1"/>
      <c r="B288" s="6"/>
      <c r="C288" s="1"/>
      <c r="D288" s="68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21.75" customHeight="1" x14ac:dyDescent="0.7">
      <c r="A289" s="1"/>
      <c r="B289" s="6"/>
      <c r="C289" s="1"/>
      <c r="D289" s="68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21.75" customHeight="1" x14ac:dyDescent="0.7">
      <c r="A290" s="1"/>
      <c r="B290" s="6"/>
      <c r="C290" s="1"/>
      <c r="D290" s="68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21.75" customHeight="1" x14ac:dyDescent="0.7">
      <c r="A291" s="1"/>
      <c r="B291" s="6"/>
      <c r="C291" s="1"/>
      <c r="D291" s="68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21.75" customHeight="1" x14ac:dyDescent="0.7">
      <c r="A292" s="1"/>
      <c r="B292" s="6"/>
      <c r="C292" s="1"/>
      <c r="D292" s="68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21.75" customHeight="1" x14ac:dyDescent="0.7">
      <c r="A293" s="1"/>
      <c r="B293" s="6"/>
      <c r="C293" s="1"/>
      <c r="D293" s="68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21.75" customHeight="1" x14ac:dyDescent="0.7">
      <c r="A294" s="1"/>
      <c r="B294" s="6"/>
      <c r="C294" s="1"/>
      <c r="D294" s="68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21.75" customHeight="1" x14ac:dyDescent="0.7">
      <c r="A295" s="1"/>
      <c r="B295" s="6"/>
      <c r="C295" s="1"/>
      <c r="D295" s="68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21.75" customHeight="1" x14ac:dyDescent="0.7">
      <c r="A296" s="1"/>
      <c r="B296" s="6"/>
      <c r="C296" s="1"/>
      <c r="D296" s="68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21.75" customHeight="1" x14ac:dyDescent="0.7">
      <c r="A297" s="1"/>
      <c r="B297" s="6"/>
      <c r="C297" s="1"/>
      <c r="D297" s="68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21.75" customHeight="1" x14ac:dyDescent="0.7">
      <c r="A298" s="1"/>
      <c r="B298" s="6"/>
      <c r="C298" s="1"/>
      <c r="D298" s="68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21.75" customHeight="1" x14ac:dyDescent="0.7">
      <c r="A299" s="1"/>
      <c r="B299" s="6"/>
      <c r="C299" s="1"/>
      <c r="D299" s="68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21.75" customHeight="1" x14ac:dyDescent="0.7">
      <c r="A300" s="1"/>
      <c r="B300" s="6"/>
      <c r="C300" s="1"/>
      <c r="D300" s="68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21.75" customHeight="1" x14ac:dyDescent="0.7">
      <c r="A301" s="1"/>
      <c r="B301" s="6"/>
      <c r="C301" s="1"/>
      <c r="D301" s="68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21.75" customHeight="1" x14ac:dyDescent="0.7">
      <c r="A302" s="1"/>
      <c r="B302" s="6"/>
      <c r="C302" s="1"/>
      <c r="D302" s="68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21.75" customHeight="1" x14ac:dyDescent="0.7">
      <c r="A303" s="1"/>
      <c r="B303" s="6"/>
      <c r="C303" s="1"/>
      <c r="D303" s="68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21.75" customHeight="1" x14ac:dyDescent="0.7">
      <c r="A304" s="1"/>
      <c r="B304" s="6"/>
      <c r="C304" s="1"/>
      <c r="D304" s="68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21.75" customHeight="1" x14ac:dyDescent="0.7">
      <c r="A305" s="1"/>
      <c r="B305" s="6"/>
      <c r="C305" s="1"/>
      <c r="D305" s="68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21.75" customHeight="1" x14ac:dyDescent="0.7">
      <c r="A306" s="1"/>
      <c r="B306" s="6"/>
      <c r="C306" s="1"/>
      <c r="D306" s="68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21.75" customHeight="1" x14ac:dyDescent="0.7">
      <c r="A307" s="1"/>
      <c r="B307" s="6"/>
      <c r="C307" s="1"/>
      <c r="D307" s="68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21.75" customHeight="1" x14ac:dyDescent="0.7">
      <c r="A308" s="1"/>
      <c r="B308" s="6"/>
      <c r="C308" s="1"/>
      <c r="D308" s="68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21.75" customHeight="1" x14ac:dyDescent="0.7">
      <c r="A309" s="1"/>
      <c r="B309" s="6"/>
      <c r="C309" s="1"/>
      <c r="D309" s="68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21.75" customHeight="1" x14ac:dyDescent="0.7">
      <c r="A310" s="1"/>
      <c r="B310" s="6"/>
      <c r="C310" s="1"/>
      <c r="D310" s="68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21.75" customHeight="1" x14ac:dyDescent="0.7">
      <c r="A311" s="1"/>
      <c r="B311" s="6"/>
      <c r="C311" s="1"/>
      <c r="D311" s="68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21.75" customHeight="1" x14ac:dyDescent="0.7">
      <c r="A312" s="1"/>
      <c r="B312" s="6"/>
      <c r="C312" s="1"/>
      <c r="D312" s="68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21.75" customHeight="1" x14ac:dyDescent="0.7">
      <c r="A313" s="1"/>
      <c r="B313" s="6"/>
      <c r="C313" s="1"/>
      <c r="D313" s="68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21.75" customHeight="1" x14ac:dyDescent="0.7">
      <c r="A314" s="1"/>
      <c r="B314" s="6"/>
      <c r="C314" s="1"/>
      <c r="D314" s="68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21.75" customHeight="1" x14ac:dyDescent="0.7">
      <c r="A315" s="1"/>
      <c r="B315" s="6"/>
      <c r="C315" s="1"/>
      <c r="D315" s="68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21.75" customHeight="1" x14ac:dyDescent="0.7">
      <c r="A316" s="1"/>
      <c r="B316" s="6"/>
      <c r="C316" s="1"/>
      <c r="D316" s="68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21.75" customHeight="1" x14ac:dyDescent="0.7">
      <c r="A317" s="1"/>
      <c r="B317" s="6"/>
      <c r="C317" s="1"/>
      <c r="D317" s="68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21.75" customHeight="1" x14ac:dyDescent="0.7">
      <c r="A318" s="1"/>
      <c r="B318" s="6"/>
      <c r="C318" s="1"/>
      <c r="D318" s="68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21.75" customHeight="1" x14ac:dyDescent="0.7">
      <c r="A319" s="1"/>
      <c r="B319" s="6"/>
      <c r="C319" s="1"/>
      <c r="D319" s="68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21.75" customHeight="1" x14ac:dyDescent="0.7">
      <c r="A320" s="1"/>
      <c r="B320" s="6"/>
      <c r="C320" s="1"/>
      <c r="D320" s="68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21.75" customHeight="1" x14ac:dyDescent="0.7">
      <c r="A321" s="1"/>
      <c r="B321" s="6"/>
      <c r="C321" s="1"/>
      <c r="D321" s="68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21.75" customHeight="1" x14ac:dyDescent="0.7">
      <c r="A322" s="1"/>
      <c r="B322" s="6"/>
      <c r="C322" s="1"/>
      <c r="D322" s="68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21.75" customHeight="1" x14ac:dyDescent="0.7">
      <c r="A323" s="1"/>
      <c r="B323" s="6"/>
      <c r="C323" s="1"/>
      <c r="D323" s="68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21.75" customHeight="1" x14ac:dyDescent="0.7">
      <c r="A324" s="1"/>
      <c r="B324" s="6"/>
      <c r="C324" s="1"/>
      <c r="D324" s="68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21.75" customHeight="1" x14ac:dyDescent="0.7">
      <c r="A325" s="1"/>
      <c r="B325" s="6"/>
      <c r="C325" s="1"/>
      <c r="D325" s="68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21.75" customHeight="1" x14ac:dyDescent="0.7">
      <c r="A326" s="1"/>
      <c r="B326" s="6"/>
      <c r="C326" s="1"/>
      <c r="D326" s="68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21.75" customHeight="1" x14ac:dyDescent="0.7">
      <c r="A327" s="1"/>
      <c r="B327" s="6"/>
      <c r="C327" s="1"/>
      <c r="D327" s="68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21.75" customHeight="1" x14ac:dyDescent="0.7">
      <c r="A328" s="1"/>
      <c r="B328" s="6"/>
      <c r="C328" s="1"/>
      <c r="D328" s="68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21.75" customHeight="1" x14ac:dyDescent="0.7">
      <c r="A329" s="1"/>
      <c r="B329" s="6"/>
      <c r="C329" s="1"/>
      <c r="D329" s="68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21.75" customHeight="1" x14ac:dyDescent="0.7">
      <c r="A330" s="1"/>
      <c r="B330" s="6"/>
      <c r="C330" s="1"/>
      <c r="D330" s="68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21.75" customHeight="1" x14ac:dyDescent="0.7">
      <c r="A331" s="1"/>
      <c r="B331" s="6"/>
      <c r="C331" s="1"/>
      <c r="D331" s="68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21.75" customHeight="1" x14ac:dyDescent="0.7">
      <c r="A332" s="1"/>
      <c r="B332" s="6"/>
      <c r="C332" s="1"/>
      <c r="D332" s="68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21.75" customHeight="1" x14ac:dyDescent="0.7">
      <c r="A333" s="1"/>
      <c r="B333" s="6"/>
      <c r="C333" s="1"/>
      <c r="D333" s="68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21.75" customHeight="1" x14ac:dyDescent="0.7">
      <c r="A334" s="1"/>
      <c r="B334" s="6"/>
      <c r="C334" s="1"/>
      <c r="D334" s="68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21.75" customHeight="1" x14ac:dyDescent="0.7">
      <c r="A335" s="1"/>
      <c r="B335" s="6"/>
      <c r="C335" s="1"/>
      <c r="D335" s="68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21.75" customHeight="1" x14ac:dyDescent="0.7">
      <c r="A336" s="1"/>
      <c r="B336" s="6"/>
      <c r="C336" s="1"/>
      <c r="D336" s="68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21.75" customHeight="1" x14ac:dyDescent="0.7">
      <c r="A337" s="1"/>
      <c r="B337" s="6"/>
      <c r="C337" s="1"/>
      <c r="D337" s="68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21.75" customHeight="1" x14ac:dyDescent="0.7">
      <c r="A338" s="1"/>
      <c r="B338" s="6"/>
      <c r="C338" s="1"/>
      <c r="D338" s="68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21.75" customHeight="1" x14ac:dyDescent="0.7">
      <c r="A339" s="1"/>
      <c r="B339" s="6"/>
      <c r="C339" s="1"/>
      <c r="D339" s="68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21.75" customHeight="1" x14ac:dyDescent="0.7">
      <c r="A340" s="1"/>
      <c r="B340" s="6"/>
      <c r="C340" s="1"/>
      <c r="D340" s="68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21.75" customHeight="1" x14ac:dyDescent="0.7">
      <c r="A341" s="1"/>
      <c r="B341" s="6"/>
      <c r="C341" s="1"/>
      <c r="D341" s="68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21.75" customHeight="1" x14ac:dyDescent="0.7">
      <c r="A342" s="1"/>
      <c r="B342" s="6"/>
      <c r="C342" s="1"/>
      <c r="D342" s="68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21.75" customHeight="1" x14ac:dyDescent="0.7">
      <c r="A343" s="1"/>
      <c r="B343" s="6"/>
      <c r="C343" s="1"/>
      <c r="D343" s="68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21.75" customHeight="1" x14ac:dyDescent="0.7">
      <c r="A344" s="1"/>
      <c r="B344" s="6"/>
      <c r="C344" s="1"/>
      <c r="D344" s="68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21.75" customHeight="1" x14ac:dyDescent="0.7">
      <c r="A345" s="1"/>
      <c r="B345" s="6"/>
      <c r="C345" s="1"/>
      <c r="D345" s="68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21.75" customHeight="1" x14ac:dyDescent="0.7">
      <c r="A346" s="1"/>
      <c r="B346" s="6"/>
      <c r="C346" s="1"/>
      <c r="D346" s="68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21.75" customHeight="1" x14ac:dyDescent="0.7">
      <c r="A347" s="1"/>
      <c r="B347" s="6"/>
      <c r="C347" s="1"/>
      <c r="D347" s="68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21.75" customHeight="1" x14ac:dyDescent="0.7">
      <c r="A348" s="1"/>
      <c r="B348" s="6"/>
      <c r="C348" s="1"/>
      <c r="D348" s="68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21.75" customHeight="1" x14ac:dyDescent="0.7">
      <c r="A349" s="1"/>
      <c r="B349" s="6"/>
      <c r="C349" s="1"/>
      <c r="D349" s="68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21.75" customHeight="1" x14ac:dyDescent="0.7">
      <c r="A350" s="1"/>
      <c r="B350" s="6"/>
      <c r="C350" s="1"/>
      <c r="D350" s="68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21.75" customHeight="1" x14ac:dyDescent="0.7">
      <c r="A351" s="1"/>
      <c r="B351" s="6"/>
      <c r="C351" s="1"/>
      <c r="D351" s="68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21.75" customHeight="1" x14ac:dyDescent="0.7">
      <c r="A352" s="1"/>
      <c r="B352" s="6"/>
      <c r="C352" s="1"/>
      <c r="D352" s="68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21.75" customHeight="1" x14ac:dyDescent="0.7">
      <c r="A353" s="1"/>
      <c r="B353" s="6"/>
      <c r="C353" s="1"/>
      <c r="D353" s="68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21.75" customHeight="1" x14ac:dyDescent="0.7">
      <c r="A354" s="1"/>
      <c r="B354" s="6"/>
      <c r="C354" s="1"/>
      <c r="D354" s="68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21.75" customHeight="1" x14ac:dyDescent="0.7">
      <c r="A355" s="1"/>
      <c r="B355" s="6"/>
      <c r="C355" s="1"/>
      <c r="D355" s="68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21.75" customHeight="1" x14ac:dyDescent="0.7">
      <c r="A356" s="1"/>
      <c r="B356" s="6"/>
      <c r="C356" s="1"/>
      <c r="D356" s="68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21.75" customHeight="1" x14ac:dyDescent="0.7">
      <c r="A357" s="1"/>
      <c r="B357" s="6"/>
      <c r="C357" s="1"/>
      <c r="D357" s="68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21.75" customHeight="1" x14ac:dyDescent="0.7">
      <c r="A358" s="1"/>
      <c r="B358" s="6"/>
      <c r="C358" s="1"/>
      <c r="D358" s="68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21.75" customHeight="1" x14ac:dyDescent="0.7">
      <c r="A359" s="1"/>
      <c r="B359" s="6"/>
      <c r="C359" s="1"/>
      <c r="D359" s="68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21.75" customHeight="1" x14ac:dyDescent="0.7">
      <c r="A360" s="1"/>
      <c r="B360" s="6"/>
      <c r="C360" s="1"/>
      <c r="D360" s="68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21.75" customHeight="1" x14ac:dyDescent="0.7">
      <c r="A361" s="1"/>
      <c r="B361" s="6"/>
      <c r="C361" s="1"/>
      <c r="D361" s="68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21.75" customHeight="1" x14ac:dyDescent="0.7">
      <c r="A362" s="1"/>
      <c r="B362" s="6"/>
      <c r="C362" s="1"/>
      <c r="D362" s="68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21.75" customHeight="1" x14ac:dyDescent="0.7">
      <c r="A363" s="1"/>
      <c r="B363" s="6"/>
      <c r="C363" s="1"/>
      <c r="D363" s="68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21.75" customHeight="1" x14ac:dyDescent="0.7">
      <c r="A364" s="1"/>
      <c r="B364" s="6"/>
      <c r="C364" s="1"/>
      <c r="D364" s="68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21.75" customHeight="1" x14ac:dyDescent="0.7">
      <c r="A365" s="1"/>
      <c r="B365" s="6"/>
      <c r="C365" s="1"/>
      <c r="D365" s="68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21.75" customHeight="1" x14ac:dyDescent="0.7">
      <c r="A366" s="1"/>
      <c r="B366" s="6"/>
      <c r="C366" s="1"/>
      <c r="D366" s="68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21.75" customHeight="1" x14ac:dyDescent="0.7">
      <c r="A367" s="1"/>
      <c r="B367" s="6"/>
      <c r="C367" s="1"/>
      <c r="D367" s="68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21.75" customHeight="1" x14ac:dyDescent="0.7">
      <c r="A368" s="1"/>
      <c r="B368" s="6"/>
      <c r="C368" s="1"/>
      <c r="D368" s="68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21.75" customHeight="1" x14ac:dyDescent="0.7">
      <c r="A369" s="1"/>
      <c r="B369" s="6"/>
      <c r="C369" s="1"/>
      <c r="D369" s="68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21.75" customHeight="1" x14ac:dyDescent="0.7">
      <c r="A370" s="1"/>
      <c r="B370" s="6"/>
      <c r="C370" s="1"/>
      <c r="D370" s="68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21.75" customHeight="1" x14ac:dyDescent="0.7">
      <c r="A371" s="1"/>
      <c r="B371" s="6"/>
      <c r="C371" s="1"/>
      <c r="D371" s="68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21.75" customHeight="1" x14ac:dyDescent="0.7">
      <c r="A372" s="1"/>
      <c r="B372" s="6"/>
      <c r="C372" s="1"/>
      <c r="D372" s="68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21.75" customHeight="1" x14ac:dyDescent="0.7">
      <c r="A373" s="1"/>
      <c r="B373" s="6"/>
      <c r="C373" s="1"/>
      <c r="D373" s="68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21.75" customHeight="1" x14ac:dyDescent="0.7">
      <c r="A374" s="1"/>
      <c r="B374" s="6"/>
      <c r="C374" s="1"/>
      <c r="D374" s="68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21.75" customHeight="1" x14ac:dyDescent="0.7">
      <c r="A375" s="1"/>
      <c r="B375" s="6"/>
      <c r="C375" s="1"/>
      <c r="D375" s="68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21.75" customHeight="1" x14ac:dyDescent="0.7">
      <c r="A376" s="1"/>
      <c r="B376" s="6"/>
      <c r="C376" s="1"/>
      <c r="D376" s="68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21.75" customHeight="1" x14ac:dyDescent="0.7">
      <c r="A377" s="1"/>
      <c r="B377" s="6"/>
      <c r="C377" s="1"/>
      <c r="D377" s="68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21.75" customHeight="1" x14ac:dyDescent="0.7">
      <c r="A378" s="1"/>
      <c r="B378" s="6"/>
      <c r="C378" s="1"/>
      <c r="D378" s="68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21.75" customHeight="1" x14ac:dyDescent="0.7">
      <c r="A379" s="1"/>
      <c r="B379" s="6"/>
      <c r="C379" s="1"/>
      <c r="D379" s="68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21.75" customHeight="1" x14ac:dyDescent="0.7">
      <c r="A380" s="1"/>
      <c r="B380" s="6"/>
      <c r="C380" s="1"/>
      <c r="D380" s="68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21.75" customHeight="1" x14ac:dyDescent="0.7">
      <c r="A381" s="1"/>
      <c r="B381" s="6"/>
      <c r="C381" s="1"/>
      <c r="D381" s="68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21.75" customHeight="1" x14ac:dyDescent="0.7">
      <c r="A382" s="1"/>
      <c r="B382" s="6"/>
      <c r="C382" s="1"/>
      <c r="D382" s="68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21.75" customHeight="1" x14ac:dyDescent="0.7">
      <c r="A383" s="1"/>
      <c r="B383" s="6"/>
      <c r="C383" s="1"/>
      <c r="D383" s="68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21.75" customHeight="1" x14ac:dyDescent="0.7">
      <c r="A384" s="1"/>
      <c r="B384" s="6"/>
      <c r="C384" s="1"/>
      <c r="D384" s="68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21.75" customHeight="1" x14ac:dyDescent="0.7">
      <c r="A385" s="1"/>
      <c r="B385" s="6"/>
      <c r="C385" s="1"/>
      <c r="D385" s="68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21.75" customHeight="1" x14ac:dyDescent="0.7">
      <c r="A386" s="1"/>
      <c r="B386" s="6"/>
      <c r="C386" s="1"/>
      <c r="D386" s="68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21.75" customHeight="1" x14ac:dyDescent="0.7">
      <c r="A387" s="1"/>
      <c r="B387" s="6"/>
      <c r="C387" s="1"/>
      <c r="D387" s="68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21.75" customHeight="1" x14ac:dyDescent="0.7">
      <c r="A388" s="1"/>
      <c r="B388" s="6"/>
      <c r="C388" s="1"/>
      <c r="D388" s="68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21.75" customHeight="1" x14ac:dyDescent="0.7">
      <c r="A389" s="1"/>
      <c r="B389" s="6"/>
      <c r="C389" s="1"/>
      <c r="D389" s="68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21.75" customHeight="1" x14ac:dyDescent="0.7">
      <c r="A390" s="1"/>
      <c r="B390" s="6"/>
      <c r="C390" s="1"/>
      <c r="D390" s="68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21.75" customHeight="1" x14ac:dyDescent="0.7">
      <c r="A391" s="1"/>
      <c r="B391" s="6"/>
      <c r="C391" s="1"/>
      <c r="D391" s="68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21.75" customHeight="1" x14ac:dyDescent="0.7">
      <c r="A392" s="1"/>
      <c r="B392" s="6"/>
      <c r="C392" s="1"/>
      <c r="D392" s="68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21.75" customHeight="1" x14ac:dyDescent="0.7">
      <c r="A393" s="1"/>
      <c r="B393" s="6"/>
      <c r="C393" s="1"/>
      <c r="D393" s="68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21.75" customHeight="1" x14ac:dyDescent="0.7">
      <c r="A394" s="1"/>
      <c r="B394" s="6"/>
      <c r="C394" s="1"/>
      <c r="D394" s="68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21.75" customHeight="1" x14ac:dyDescent="0.7">
      <c r="A395" s="1"/>
      <c r="B395" s="6"/>
      <c r="C395" s="1"/>
      <c r="D395" s="68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21.75" customHeight="1" x14ac:dyDescent="0.7">
      <c r="A396" s="1"/>
      <c r="B396" s="6"/>
      <c r="C396" s="1"/>
      <c r="D396" s="68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21.75" customHeight="1" x14ac:dyDescent="0.7">
      <c r="A397" s="1"/>
      <c r="B397" s="6"/>
      <c r="C397" s="1"/>
      <c r="D397" s="68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21.75" customHeight="1" x14ac:dyDescent="0.7">
      <c r="A398" s="1"/>
      <c r="B398" s="6"/>
      <c r="C398" s="1"/>
      <c r="D398" s="68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21.75" customHeight="1" x14ac:dyDescent="0.7">
      <c r="A399" s="1"/>
      <c r="B399" s="6"/>
      <c r="C399" s="1"/>
      <c r="D399" s="68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21.75" customHeight="1" x14ac:dyDescent="0.7">
      <c r="A400" s="1"/>
      <c r="B400" s="6"/>
      <c r="C400" s="1"/>
      <c r="D400" s="68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21.75" customHeight="1" x14ac:dyDescent="0.7">
      <c r="A401" s="1"/>
      <c r="B401" s="6"/>
      <c r="C401" s="1"/>
      <c r="D401" s="68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21.75" customHeight="1" x14ac:dyDescent="0.7">
      <c r="A402" s="1"/>
      <c r="B402" s="6"/>
      <c r="C402" s="1"/>
      <c r="D402" s="68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21.75" customHeight="1" x14ac:dyDescent="0.7">
      <c r="A403" s="1"/>
      <c r="B403" s="6"/>
      <c r="C403" s="1"/>
      <c r="D403" s="68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21.75" customHeight="1" x14ac:dyDescent="0.7">
      <c r="A404" s="1"/>
      <c r="B404" s="6"/>
      <c r="C404" s="1"/>
      <c r="D404" s="68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21.75" customHeight="1" x14ac:dyDescent="0.7">
      <c r="A405" s="1"/>
      <c r="B405" s="6"/>
      <c r="C405" s="1"/>
      <c r="D405" s="68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21.75" customHeight="1" x14ac:dyDescent="0.7">
      <c r="A406" s="1"/>
      <c r="B406" s="6"/>
      <c r="C406" s="1"/>
      <c r="D406" s="68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21.75" customHeight="1" x14ac:dyDescent="0.7">
      <c r="A407" s="1"/>
      <c r="B407" s="6"/>
      <c r="C407" s="1"/>
      <c r="D407" s="68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21.75" customHeight="1" x14ac:dyDescent="0.7">
      <c r="A408" s="1"/>
      <c r="B408" s="6"/>
      <c r="C408" s="1"/>
      <c r="D408" s="68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21.75" customHeight="1" x14ac:dyDescent="0.7">
      <c r="A409" s="1"/>
      <c r="B409" s="6"/>
      <c r="C409" s="1"/>
      <c r="D409" s="68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21.75" customHeight="1" x14ac:dyDescent="0.7">
      <c r="A410" s="1"/>
      <c r="B410" s="6"/>
      <c r="C410" s="1"/>
      <c r="D410" s="68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21.75" customHeight="1" x14ac:dyDescent="0.7">
      <c r="A411" s="1"/>
      <c r="B411" s="6"/>
      <c r="C411" s="1"/>
      <c r="D411" s="68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21.75" customHeight="1" x14ac:dyDescent="0.7">
      <c r="A412" s="1"/>
      <c r="B412" s="6"/>
      <c r="C412" s="1"/>
      <c r="D412" s="68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21.75" customHeight="1" x14ac:dyDescent="0.7">
      <c r="A413" s="1"/>
      <c r="B413" s="6"/>
      <c r="C413" s="1"/>
      <c r="D413" s="68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21.75" customHeight="1" x14ac:dyDescent="0.7">
      <c r="A414" s="1"/>
      <c r="B414" s="6"/>
      <c r="C414" s="1"/>
      <c r="D414" s="68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21.75" customHeight="1" x14ac:dyDescent="0.7">
      <c r="A415" s="1"/>
      <c r="B415" s="6"/>
      <c r="C415" s="1"/>
      <c r="D415" s="68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21.75" customHeight="1" x14ac:dyDescent="0.7">
      <c r="A416" s="1"/>
      <c r="B416" s="6"/>
      <c r="C416" s="1"/>
      <c r="D416" s="68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21.75" customHeight="1" x14ac:dyDescent="0.7">
      <c r="A417" s="1"/>
      <c r="B417" s="6"/>
      <c r="C417" s="1"/>
      <c r="D417" s="68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21.75" customHeight="1" x14ac:dyDescent="0.7">
      <c r="A418" s="1"/>
      <c r="B418" s="6"/>
      <c r="C418" s="1"/>
      <c r="D418" s="68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21.75" customHeight="1" x14ac:dyDescent="0.7">
      <c r="A419" s="1"/>
      <c r="B419" s="6"/>
      <c r="C419" s="1"/>
      <c r="D419" s="68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21.75" customHeight="1" x14ac:dyDescent="0.7">
      <c r="A420" s="1"/>
      <c r="B420" s="6"/>
      <c r="C420" s="1"/>
      <c r="D420" s="68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21.75" customHeight="1" x14ac:dyDescent="0.7">
      <c r="A421" s="1"/>
      <c r="B421" s="6"/>
      <c r="C421" s="1"/>
      <c r="D421" s="68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21.75" customHeight="1" x14ac:dyDescent="0.7">
      <c r="A422" s="1"/>
      <c r="B422" s="6"/>
      <c r="C422" s="1"/>
      <c r="D422" s="68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21.75" customHeight="1" x14ac:dyDescent="0.7">
      <c r="A423" s="1"/>
      <c r="B423" s="6"/>
      <c r="C423" s="1"/>
      <c r="D423" s="68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21.75" customHeight="1" x14ac:dyDescent="0.7">
      <c r="A424" s="1"/>
      <c r="B424" s="6"/>
      <c r="C424" s="1"/>
      <c r="D424" s="68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21.75" customHeight="1" x14ac:dyDescent="0.7">
      <c r="A425" s="1"/>
      <c r="B425" s="6"/>
      <c r="C425" s="1"/>
      <c r="D425" s="68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21.75" customHeight="1" x14ac:dyDescent="0.7">
      <c r="A426" s="1"/>
      <c r="B426" s="6"/>
      <c r="C426" s="1"/>
      <c r="D426" s="68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21.75" customHeight="1" x14ac:dyDescent="0.7">
      <c r="A427" s="1"/>
      <c r="B427" s="6"/>
      <c r="C427" s="1"/>
      <c r="D427" s="68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21.75" customHeight="1" x14ac:dyDescent="0.7">
      <c r="A428" s="1"/>
      <c r="B428" s="6"/>
      <c r="C428" s="1"/>
      <c r="D428" s="68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21.75" customHeight="1" x14ac:dyDescent="0.7">
      <c r="A429" s="1"/>
      <c r="B429" s="6"/>
      <c r="C429" s="1"/>
      <c r="D429" s="68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21.75" customHeight="1" x14ac:dyDescent="0.7">
      <c r="A430" s="1"/>
      <c r="B430" s="6"/>
      <c r="C430" s="1"/>
      <c r="D430" s="68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21.75" customHeight="1" x14ac:dyDescent="0.7">
      <c r="A431" s="1"/>
      <c r="B431" s="6"/>
      <c r="C431" s="1"/>
      <c r="D431" s="68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21.75" customHeight="1" x14ac:dyDescent="0.7">
      <c r="A432" s="1"/>
      <c r="B432" s="6"/>
      <c r="C432" s="1"/>
      <c r="D432" s="68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21.75" customHeight="1" x14ac:dyDescent="0.7">
      <c r="A433" s="1"/>
      <c r="B433" s="6"/>
      <c r="C433" s="1"/>
      <c r="D433" s="68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21.75" customHeight="1" x14ac:dyDescent="0.7">
      <c r="A434" s="1"/>
      <c r="B434" s="6"/>
      <c r="C434" s="1"/>
      <c r="D434" s="68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21.75" customHeight="1" x14ac:dyDescent="0.7">
      <c r="A435" s="1"/>
      <c r="B435" s="6"/>
      <c r="C435" s="1"/>
      <c r="D435" s="68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21.75" customHeight="1" x14ac:dyDescent="0.7">
      <c r="A436" s="1"/>
      <c r="B436" s="6"/>
      <c r="C436" s="1"/>
      <c r="D436" s="68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21.75" customHeight="1" x14ac:dyDescent="0.7">
      <c r="A437" s="1"/>
      <c r="B437" s="6"/>
      <c r="C437" s="1"/>
      <c r="D437" s="68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21.75" customHeight="1" x14ac:dyDescent="0.7">
      <c r="A438" s="1"/>
      <c r="B438" s="6"/>
      <c r="C438" s="1"/>
      <c r="D438" s="68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21.75" customHeight="1" x14ac:dyDescent="0.7">
      <c r="A439" s="1"/>
      <c r="B439" s="6"/>
      <c r="C439" s="1"/>
      <c r="D439" s="68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21.75" customHeight="1" x14ac:dyDescent="0.7">
      <c r="A440" s="1"/>
      <c r="B440" s="6"/>
      <c r="C440" s="1"/>
      <c r="D440" s="68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21.75" customHeight="1" x14ac:dyDescent="0.7">
      <c r="A441" s="1"/>
      <c r="B441" s="6"/>
      <c r="C441" s="1"/>
      <c r="D441" s="68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21.75" customHeight="1" x14ac:dyDescent="0.7">
      <c r="A442" s="1"/>
      <c r="B442" s="6"/>
      <c r="C442" s="1"/>
      <c r="D442" s="68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21.75" customHeight="1" x14ac:dyDescent="0.7">
      <c r="A443" s="1"/>
      <c r="B443" s="6"/>
      <c r="C443" s="1"/>
      <c r="D443" s="68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21.75" customHeight="1" x14ac:dyDescent="0.7">
      <c r="A444" s="1"/>
      <c r="B444" s="6"/>
      <c r="C444" s="1"/>
      <c r="D444" s="68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21.75" customHeight="1" x14ac:dyDescent="0.7">
      <c r="A445" s="1"/>
      <c r="B445" s="6"/>
      <c r="C445" s="1"/>
      <c r="D445" s="68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21.75" customHeight="1" x14ac:dyDescent="0.7">
      <c r="A446" s="1"/>
      <c r="B446" s="6"/>
      <c r="C446" s="1"/>
      <c r="D446" s="68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21.75" customHeight="1" x14ac:dyDescent="0.7">
      <c r="A447" s="1"/>
      <c r="B447" s="6"/>
      <c r="C447" s="1"/>
      <c r="D447" s="68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21.75" customHeight="1" x14ac:dyDescent="0.7">
      <c r="A448" s="1"/>
      <c r="B448" s="6"/>
      <c r="C448" s="1"/>
      <c r="D448" s="68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21.75" customHeight="1" x14ac:dyDescent="0.7">
      <c r="A449" s="1"/>
      <c r="B449" s="6"/>
      <c r="C449" s="1"/>
      <c r="D449" s="68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21.75" customHeight="1" x14ac:dyDescent="0.7">
      <c r="A450" s="1"/>
      <c r="B450" s="6"/>
      <c r="C450" s="1"/>
      <c r="D450" s="68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21.75" customHeight="1" x14ac:dyDescent="0.7">
      <c r="A451" s="1"/>
      <c r="B451" s="6"/>
      <c r="C451" s="1"/>
      <c r="D451" s="68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21.75" customHeight="1" x14ac:dyDescent="0.7">
      <c r="A452" s="1"/>
      <c r="B452" s="6"/>
      <c r="C452" s="1"/>
      <c r="D452" s="68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21.75" customHeight="1" x14ac:dyDescent="0.7">
      <c r="A453" s="1"/>
      <c r="B453" s="6"/>
      <c r="C453" s="1"/>
      <c r="D453" s="68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21.75" customHeight="1" x14ac:dyDescent="0.7">
      <c r="A454" s="1"/>
      <c r="B454" s="6"/>
      <c r="C454" s="1"/>
      <c r="D454" s="68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21.75" customHeight="1" x14ac:dyDescent="0.7">
      <c r="A455" s="1"/>
      <c r="B455" s="6"/>
      <c r="C455" s="1"/>
      <c r="D455" s="68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21.75" customHeight="1" x14ac:dyDescent="0.7">
      <c r="A456" s="1"/>
      <c r="B456" s="6"/>
      <c r="C456" s="1"/>
      <c r="D456" s="68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21.75" customHeight="1" x14ac:dyDescent="0.7">
      <c r="A457" s="1"/>
      <c r="B457" s="6"/>
      <c r="C457" s="1"/>
      <c r="D457" s="68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21.75" customHeight="1" x14ac:dyDescent="0.7">
      <c r="A458" s="1"/>
      <c r="B458" s="6"/>
      <c r="C458" s="1"/>
      <c r="D458" s="68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21.75" customHeight="1" x14ac:dyDescent="0.7">
      <c r="A459" s="1"/>
      <c r="B459" s="6"/>
      <c r="C459" s="1"/>
      <c r="D459" s="68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21.75" customHeight="1" x14ac:dyDescent="0.7">
      <c r="A460" s="1"/>
      <c r="B460" s="6"/>
      <c r="C460" s="1"/>
      <c r="D460" s="68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21.75" customHeight="1" x14ac:dyDescent="0.7">
      <c r="A461" s="1"/>
      <c r="B461" s="6"/>
      <c r="C461" s="1"/>
      <c r="D461" s="68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21.75" customHeight="1" x14ac:dyDescent="0.7">
      <c r="A462" s="1"/>
      <c r="B462" s="6"/>
      <c r="C462" s="1"/>
      <c r="D462" s="68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21.75" customHeight="1" x14ac:dyDescent="0.7">
      <c r="A463" s="1"/>
      <c r="B463" s="6"/>
      <c r="C463" s="1"/>
      <c r="D463" s="68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21.75" customHeight="1" x14ac:dyDescent="0.7">
      <c r="A464" s="1"/>
      <c r="B464" s="6"/>
      <c r="C464" s="1"/>
      <c r="D464" s="68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21.75" customHeight="1" x14ac:dyDescent="0.7">
      <c r="A465" s="1"/>
      <c r="B465" s="6"/>
      <c r="C465" s="1"/>
      <c r="D465" s="68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21.75" customHeight="1" x14ac:dyDescent="0.7">
      <c r="A466" s="1"/>
      <c r="B466" s="6"/>
      <c r="C466" s="1"/>
      <c r="D466" s="68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21.75" customHeight="1" x14ac:dyDescent="0.7">
      <c r="A467" s="1"/>
      <c r="B467" s="6"/>
      <c r="C467" s="1"/>
      <c r="D467" s="68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21.75" customHeight="1" x14ac:dyDescent="0.7">
      <c r="A468" s="1"/>
      <c r="B468" s="6"/>
      <c r="C468" s="1"/>
      <c r="D468" s="68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21.75" customHeight="1" x14ac:dyDescent="0.7">
      <c r="A469" s="1"/>
      <c r="B469" s="6"/>
      <c r="C469" s="1"/>
      <c r="D469" s="68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21.75" customHeight="1" x14ac:dyDescent="0.7">
      <c r="A470" s="1"/>
      <c r="B470" s="6"/>
      <c r="C470" s="1"/>
      <c r="D470" s="68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21.75" customHeight="1" x14ac:dyDescent="0.7">
      <c r="A471" s="1"/>
      <c r="B471" s="6"/>
      <c r="C471" s="1"/>
      <c r="D471" s="68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21.75" customHeight="1" x14ac:dyDescent="0.7">
      <c r="A472" s="1"/>
      <c r="B472" s="6"/>
      <c r="C472" s="1"/>
      <c r="D472" s="68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21.75" customHeight="1" x14ac:dyDescent="0.7">
      <c r="A473" s="1"/>
      <c r="B473" s="6"/>
      <c r="C473" s="1"/>
      <c r="D473" s="68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21.75" customHeight="1" x14ac:dyDescent="0.7">
      <c r="A474" s="1"/>
      <c r="B474" s="6"/>
      <c r="C474" s="1"/>
      <c r="D474" s="68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21.75" customHeight="1" x14ac:dyDescent="0.7">
      <c r="A475" s="1"/>
      <c r="B475" s="6"/>
      <c r="C475" s="1"/>
      <c r="D475" s="68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21.75" customHeight="1" x14ac:dyDescent="0.7">
      <c r="A476" s="1"/>
      <c r="B476" s="6"/>
      <c r="C476" s="1"/>
      <c r="D476" s="68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21.75" customHeight="1" x14ac:dyDescent="0.7">
      <c r="A477" s="1"/>
      <c r="B477" s="6"/>
      <c r="C477" s="1"/>
      <c r="D477" s="68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21.75" customHeight="1" x14ac:dyDescent="0.7">
      <c r="A478" s="1"/>
      <c r="B478" s="6"/>
      <c r="C478" s="1"/>
      <c r="D478" s="68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21.75" customHeight="1" x14ac:dyDescent="0.7">
      <c r="A479" s="1"/>
      <c r="B479" s="6"/>
      <c r="C479" s="1"/>
      <c r="D479" s="68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21.75" customHeight="1" x14ac:dyDescent="0.7">
      <c r="A480" s="1"/>
      <c r="B480" s="6"/>
      <c r="C480" s="1"/>
      <c r="D480" s="68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21.75" customHeight="1" x14ac:dyDescent="0.7">
      <c r="A481" s="1"/>
      <c r="B481" s="6"/>
      <c r="C481" s="1"/>
      <c r="D481" s="68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21.75" customHeight="1" x14ac:dyDescent="0.7">
      <c r="A482" s="1"/>
      <c r="B482" s="6"/>
      <c r="C482" s="1"/>
      <c r="D482" s="68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21.75" customHeight="1" x14ac:dyDescent="0.7">
      <c r="A483" s="1"/>
      <c r="B483" s="6"/>
      <c r="C483" s="1"/>
      <c r="D483" s="68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21.75" customHeight="1" x14ac:dyDescent="0.7">
      <c r="A484" s="1"/>
      <c r="B484" s="6"/>
      <c r="C484" s="1"/>
      <c r="D484" s="68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21.75" customHeight="1" x14ac:dyDescent="0.7">
      <c r="A485" s="1"/>
      <c r="B485" s="6"/>
      <c r="C485" s="1"/>
      <c r="D485" s="68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21.75" customHeight="1" x14ac:dyDescent="0.7">
      <c r="A486" s="1"/>
      <c r="B486" s="6"/>
      <c r="C486" s="1"/>
      <c r="D486" s="68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21.75" customHeight="1" x14ac:dyDescent="0.7">
      <c r="A487" s="1"/>
      <c r="B487" s="6"/>
      <c r="C487" s="1"/>
      <c r="D487" s="68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21.75" customHeight="1" x14ac:dyDescent="0.7">
      <c r="A488" s="1"/>
      <c r="B488" s="6"/>
      <c r="C488" s="1"/>
      <c r="D488" s="68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21.75" customHeight="1" x14ac:dyDescent="0.7">
      <c r="A489" s="1"/>
      <c r="B489" s="6"/>
      <c r="C489" s="1"/>
      <c r="D489" s="68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21.75" customHeight="1" x14ac:dyDescent="0.7">
      <c r="A490" s="1"/>
      <c r="B490" s="6"/>
      <c r="C490" s="1"/>
      <c r="D490" s="68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21.75" customHeight="1" x14ac:dyDescent="0.7">
      <c r="A491" s="1"/>
      <c r="B491" s="6"/>
      <c r="C491" s="1"/>
      <c r="D491" s="68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21.75" customHeight="1" x14ac:dyDescent="0.7">
      <c r="A492" s="1"/>
      <c r="B492" s="6"/>
      <c r="C492" s="1"/>
      <c r="D492" s="68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21.75" customHeight="1" x14ac:dyDescent="0.7">
      <c r="A493" s="1"/>
      <c r="B493" s="6"/>
      <c r="C493" s="1"/>
      <c r="D493" s="68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21.75" customHeight="1" x14ac:dyDescent="0.7">
      <c r="A494" s="1"/>
      <c r="B494" s="6"/>
      <c r="C494" s="1"/>
      <c r="D494" s="68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21.75" customHeight="1" x14ac:dyDescent="0.7">
      <c r="A495" s="1"/>
      <c r="B495" s="6"/>
      <c r="C495" s="1"/>
      <c r="D495" s="68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21.75" customHeight="1" x14ac:dyDescent="0.7">
      <c r="A496" s="1"/>
      <c r="B496" s="6"/>
      <c r="C496" s="1"/>
      <c r="D496" s="68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21.75" customHeight="1" x14ac:dyDescent="0.7">
      <c r="A497" s="1"/>
      <c r="B497" s="6"/>
      <c r="C497" s="1"/>
      <c r="D497" s="68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21.75" customHeight="1" x14ac:dyDescent="0.7">
      <c r="A498" s="1"/>
      <c r="B498" s="6"/>
      <c r="C498" s="1"/>
      <c r="D498" s="68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21.75" customHeight="1" x14ac:dyDescent="0.7">
      <c r="A499" s="1"/>
      <c r="B499" s="6"/>
      <c r="C499" s="1"/>
      <c r="D499" s="68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21.75" customHeight="1" x14ac:dyDescent="0.7">
      <c r="A500" s="1"/>
      <c r="B500" s="6"/>
      <c r="C500" s="1"/>
      <c r="D500" s="68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21.75" customHeight="1" x14ac:dyDescent="0.7">
      <c r="A501" s="1"/>
      <c r="B501" s="6"/>
      <c r="C501" s="1"/>
      <c r="D501" s="68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21.75" customHeight="1" x14ac:dyDescent="0.7">
      <c r="A502" s="1"/>
      <c r="B502" s="6"/>
      <c r="C502" s="1"/>
      <c r="D502" s="68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21.75" customHeight="1" x14ac:dyDescent="0.7">
      <c r="A503" s="1"/>
      <c r="B503" s="6"/>
      <c r="C503" s="1"/>
      <c r="D503" s="68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21.75" customHeight="1" x14ac:dyDescent="0.7">
      <c r="A504" s="1"/>
      <c r="B504" s="6"/>
      <c r="C504" s="1"/>
      <c r="D504" s="68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21.75" customHeight="1" x14ac:dyDescent="0.7">
      <c r="A505" s="1"/>
      <c r="B505" s="6"/>
      <c r="C505" s="1"/>
      <c r="D505" s="68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21.75" customHeight="1" x14ac:dyDescent="0.7">
      <c r="A506" s="1"/>
      <c r="B506" s="6"/>
      <c r="C506" s="1"/>
      <c r="D506" s="68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21.75" customHeight="1" x14ac:dyDescent="0.7">
      <c r="A507" s="1"/>
      <c r="B507" s="6"/>
      <c r="C507" s="1"/>
      <c r="D507" s="68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21.75" customHeight="1" x14ac:dyDescent="0.7">
      <c r="A508" s="1"/>
      <c r="B508" s="6"/>
      <c r="C508" s="1"/>
      <c r="D508" s="68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21.75" customHeight="1" x14ac:dyDescent="0.7">
      <c r="A509" s="1"/>
      <c r="B509" s="6"/>
      <c r="C509" s="1"/>
      <c r="D509" s="68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21.75" customHeight="1" x14ac:dyDescent="0.7">
      <c r="A510" s="1"/>
      <c r="B510" s="6"/>
      <c r="C510" s="1"/>
      <c r="D510" s="68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21.75" customHeight="1" x14ac:dyDescent="0.7">
      <c r="A511" s="1"/>
      <c r="B511" s="6"/>
      <c r="C511" s="1"/>
      <c r="D511" s="68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21.75" customHeight="1" x14ac:dyDescent="0.7">
      <c r="A512" s="1"/>
      <c r="B512" s="6"/>
      <c r="C512" s="1"/>
      <c r="D512" s="68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21.75" customHeight="1" x14ac:dyDescent="0.7">
      <c r="A513" s="1"/>
      <c r="B513" s="6"/>
      <c r="C513" s="1"/>
      <c r="D513" s="68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21.75" customHeight="1" x14ac:dyDescent="0.7">
      <c r="A514" s="1"/>
      <c r="B514" s="6"/>
      <c r="C514" s="1"/>
      <c r="D514" s="6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21.75" customHeight="1" x14ac:dyDescent="0.7">
      <c r="A515" s="1"/>
      <c r="B515" s="6"/>
      <c r="C515" s="1"/>
      <c r="D515" s="6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21.75" customHeight="1" x14ac:dyDescent="0.7">
      <c r="A516" s="1"/>
      <c r="B516" s="6"/>
      <c r="C516" s="1"/>
      <c r="D516" s="6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21.75" customHeight="1" x14ac:dyDescent="0.7">
      <c r="A517" s="1"/>
      <c r="B517" s="6"/>
      <c r="C517" s="1"/>
      <c r="D517" s="6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21.75" customHeight="1" x14ac:dyDescent="0.7">
      <c r="A518" s="1"/>
      <c r="B518" s="6"/>
      <c r="C518" s="1"/>
      <c r="D518" s="6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21.75" customHeight="1" x14ac:dyDescent="0.7">
      <c r="A519" s="1"/>
      <c r="B519" s="6"/>
      <c r="C519" s="1"/>
      <c r="D519" s="6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21.75" customHeight="1" x14ac:dyDescent="0.7">
      <c r="A520" s="1"/>
      <c r="B520" s="6"/>
      <c r="C520" s="1"/>
      <c r="D520" s="6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21.75" customHeight="1" x14ac:dyDescent="0.7">
      <c r="A521" s="1"/>
      <c r="B521" s="6"/>
      <c r="C521" s="1"/>
      <c r="D521" s="6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21.75" customHeight="1" x14ac:dyDescent="0.7">
      <c r="A522" s="1"/>
      <c r="B522" s="6"/>
      <c r="C522" s="1"/>
      <c r="D522" s="6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21.75" customHeight="1" x14ac:dyDescent="0.7">
      <c r="A523" s="1"/>
      <c r="B523" s="6"/>
      <c r="C523" s="1"/>
      <c r="D523" s="6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21.75" customHeight="1" x14ac:dyDescent="0.7">
      <c r="A524" s="1"/>
      <c r="B524" s="6"/>
      <c r="C524" s="1"/>
      <c r="D524" s="6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21.75" customHeight="1" x14ac:dyDescent="0.7">
      <c r="A525" s="1"/>
      <c r="B525" s="6"/>
      <c r="C525" s="1"/>
      <c r="D525" s="6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21.75" customHeight="1" x14ac:dyDescent="0.7">
      <c r="A526" s="1"/>
      <c r="B526" s="6"/>
      <c r="C526" s="1"/>
      <c r="D526" s="6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21.75" customHeight="1" x14ac:dyDescent="0.7">
      <c r="A527" s="1"/>
      <c r="B527" s="6"/>
      <c r="C527" s="1"/>
      <c r="D527" s="6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21.75" customHeight="1" x14ac:dyDescent="0.7">
      <c r="A528" s="1"/>
      <c r="B528" s="6"/>
      <c r="C528" s="1"/>
      <c r="D528" s="6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21.75" customHeight="1" x14ac:dyDescent="0.7">
      <c r="A529" s="1"/>
      <c r="B529" s="6"/>
      <c r="C529" s="1"/>
      <c r="D529" s="6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21.75" customHeight="1" x14ac:dyDescent="0.7">
      <c r="A530" s="1"/>
      <c r="B530" s="6"/>
      <c r="C530" s="1"/>
      <c r="D530" s="6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21.75" customHeight="1" x14ac:dyDescent="0.7">
      <c r="A531" s="1"/>
      <c r="B531" s="6"/>
      <c r="C531" s="1"/>
      <c r="D531" s="6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21.75" customHeight="1" x14ac:dyDescent="0.7">
      <c r="A532" s="1"/>
      <c r="B532" s="6"/>
      <c r="C532" s="1"/>
      <c r="D532" s="6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21.75" customHeight="1" x14ac:dyDescent="0.7">
      <c r="A533" s="1"/>
      <c r="B533" s="6"/>
      <c r="C533" s="1"/>
      <c r="D533" s="6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21.75" customHeight="1" x14ac:dyDescent="0.7">
      <c r="A534" s="1"/>
      <c r="B534" s="6"/>
      <c r="C534" s="1"/>
      <c r="D534" s="6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21.75" customHeight="1" x14ac:dyDescent="0.7">
      <c r="A535" s="1"/>
      <c r="B535" s="6"/>
      <c r="C535" s="1"/>
      <c r="D535" s="6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21.75" customHeight="1" x14ac:dyDescent="0.7">
      <c r="A536" s="1"/>
      <c r="B536" s="6"/>
      <c r="C536" s="1"/>
      <c r="D536" s="6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21.75" customHeight="1" x14ac:dyDescent="0.7">
      <c r="A537" s="1"/>
      <c r="B537" s="6"/>
      <c r="C537" s="1"/>
      <c r="D537" s="6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21.75" customHeight="1" x14ac:dyDescent="0.7">
      <c r="A538" s="1"/>
      <c r="B538" s="6"/>
      <c r="C538" s="1"/>
      <c r="D538" s="6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21.75" customHeight="1" x14ac:dyDescent="0.7">
      <c r="A539" s="1"/>
      <c r="B539" s="6"/>
      <c r="C539" s="1"/>
      <c r="D539" s="6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21.75" customHeight="1" x14ac:dyDescent="0.7">
      <c r="A540" s="1"/>
      <c r="B540" s="6"/>
      <c r="C540" s="1"/>
      <c r="D540" s="6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21.75" customHeight="1" x14ac:dyDescent="0.7">
      <c r="A541" s="1"/>
      <c r="B541" s="6"/>
      <c r="C541" s="1"/>
      <c r="D541" s="6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21.75" customHeight="1" x14ac:dyDescent="0.7">
      <c r="A542" s="1"/>
      <c r="B542" s="6"/>
      <c r="C542" s="1"/>
      <c r="D542" s="6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21.75" customHeight="1" x14ac:dyDescent="0.7">
      <c r="A543" s="1"/>
      <c r="B543" s="6"/>
      <c r="C543" s="1"/>
      <c r="D543" s="6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21.75" customHeight="1" x14ac:dyDescent="0.7">
      <c r="A544" s="1"/>
      <c r="B544" s="6"/>
      <c r="C544" s="1"/>
      <c r="D544" s="6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21.75" customHeight="1" x14ac:dyDescent="0.7">
      <c r="A545" s="1"/>
      <c r="B545" s="6"/>
      <c r="C545" s="1"/>
      <c r="D545" s="6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21.75" customHeight="1" x14ac:dyDescent="0.7">
      <c r="A546" s="1"/>
      <c r="B546" s="6"/>
      <c r="C546" s="1"/>
      <c r="D546" s="6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21.75" customHeight="1" x14ac:dyDescent="0.7">
      <c r="A547" s="1"/>
      <c r="B547" s="6"/>
      <c r="C547" s="1"/>
      <c r="D547" s="6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21.75" customHeight="1" x14ac:dyDescent="0.7">
      <c r="A548" s="1"/>
      <c r="B548" s="6"/>
      <c r="C548" s="1"/>
      <c r="D548" s="6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21.75" customHeight="1" x14ac:dyDescent="0.7">
      <c r="A549" s="1"/>
      <c r="B549" s="6"/>
      <c r="C549" s="1"/>
      <c r="D549" s="6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21.75" customHeight="1" x14ac:dyDescent="0.7">
      <c r="A550" s="1"/>
      <c r="B550" s="6"/>
      <c r="C550" s="1"/>
      <c r="D550" s="6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21.75" customHeight="1" x14ac:dyDescent="0.7">
      <c r="A551" s="1"/>
      <c r="B551" s="6"/>
      <c r="C551" s="1"/>
      <c r="D551" s="6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21.75" customHeight="1" x14ac:dyDescent="0.7">
      <c r="A552" s="1"/>
      <c r="B552" s="6"/>
      <c r="C552" s="1"/>
      <c r="D552" s="6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21.75" customHeight="1" x14ac:dyDescent="0.7">
      <c r="A553" s="1"/>
      <c r="B553" s="6"/>
      <c r="C553" s="1"/>
      <c r="D553" s="6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21.75" customHeight="1" x14ac:dyDescent="0.7">
      <c r="A554" s="1"/>
      <c r="B554" s="6"/>
      <c r="C554" s="1"/>
      <c r="D554" s="6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21.75" customHeight="1" x14ac:dyDescent="0.7">
      <c r="A555" s="1"/>
      <c r="B555" s="6"/>
      <c r="C555" s="1"/>
      <c r="D555" s="6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21.75" customHeight="1" x14ac:dyDescent="0.7">
      <c r="A556" s="1"/>
      <c r="B556" s="6"/>
      <c r="C556" s="1"/>
      <c r="D556" s="6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21.75" customHeight="1" x14ac:dyDescent="0.7">
      <c r="A557" s="1"/>
      <c r="B557" s="6"/>
      <c r="C557" s="1"/>
      <c r="D557" s="6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21.75" customHeight="1" x14ac:dyDescent="0.7">
      <c r="A558" s="1"/>
      <c r="B558" s="6"/>
      <c r="C558" s="1"/>
      <c r="D558" s="6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21.75" customHeight="1" x14ac:dyDescent="0.7">
      <c r="A559" s="1"/>
      <c r="B559" s="6"/>
      <c r="C559" s="1"/>
      <c r="D559" s="6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21.75" customHeight="1" x14ac:dyDescent="0.7">
      <c r="A560" s="1"/>
      <c r="B560" s="6"/>
      <c r="C560" s="1"/>
      <c r="D560" s="6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21.75" customHeight="1" x14ac:dyDescent="0.7">
      <c r="A561" s="1"/>
      <c r="B561" s="6"/>
      <c r="C561" s="1"/>
      <c r="D561" s="6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21.75" customHeight="1" x14ac:dyDescent="0.7">
      <c r="A562" s="1"/>
      <c r="B562" s="6"/>
      <c r="C562" s="1"/>
      <c r="D562" s="6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21.75" customHeight="1" x14ac:dyDescent="0.7">
      <c r="A563" s="1"/>
      <c r="B563" s="6"/>
      <c r="C563" s="1"/>
      <c r="D563" s="6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21.75" customHeight="1" x14ac:dyDescent="0.7">
      <c r="A564" s="1"/>
      <c r="B564" s="6"/>
      <c r="C564" s="1"/>
      <c r="D564" s="6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21.75" customHeight="1" x14ac:dyDescent="0.7">
      <c r="A565" s="1"/>
      <c r="B565" s="6"/>
      <c r="C565" s="1"/>
      <c r="D565" s="6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21.75" customHeight="1" x14ac:dyDescent="0.7">
      <c r="A566" s="1"/>
      <c r="B566" s="6"/>
      <c r="C566" s="1"/>
      <c r="D566" s="6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21.75" customHeight="1" x14ac:dyDescent="0.7">
      <c r="A567" s="1"/>
      <c r="B567" s="6"/>
      <c r="C567" s="1"/>
      <c r="D567" s="6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21.75" customHeight="1" x14ac:dyDescent="0.7">
      <c r="A568" s="1"/>
      <c r="B568" s="6"/>
      <c r="C568" s="1"/>
      <c r="D568" s="6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21.75" customHeight="1" x14ac:dyDescent="0.7">
      <c r="A569" s="1"/>
      <c r="B569" s="6"/>
      <c r="C569" s="1"/>
      <c r="D569" s="6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21.75" customHeight="1" x14ac:dyDescent="0.7">
      <c r="A570" s="1"/>
      <c r="B570" s="6"/>
      <c r="C570" s="1"/>
      <c r="D570" s="6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21.75" customHeight="1" x14ac:dyDescent="0.7">
      <c r="A571" s="1"/>
      <c r="B571" s="6"/>
      <c r="C571" s="1"/>
      <c r="D571" s="6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21.75" customHeight="1" x14ac:dyDescent="0.7">
      <c r="A572" s="1"/>
      <c r="B572" s="6"/>
      <c r="C572" s="1"/>
      <c r="D572" s="6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21.75" customHeight="1" x14ac:dyDescent="0.7">
      <c r="A573" s="1"/>
      <c r="B573" s="6"/>
      <c r="C573" s="1"/>
      <c r="D573" s="6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21.75" customHeight="1" x14ac:dyDescent="0.7">
      <c r="A574" s="1"/>
      <c r="B574" s="6"/>
      <c r="C574" s="1"/>
      <c r="D574" s="6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21.75" customHeight="1" x14ac:dyDescent="0.7">
      <c r="A575" s="1"/>
      <c r="B575" s="6"/>
      <c r="C575" s="1"/>
      <c r="D575" s="6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21.75" customHeight="1" x14ac:dyDescent="0.7">
      <c r="A576" s="1"/>
      <c r="B576" s="6"/>
      <c r="C576" s="1"/>
      <c r="D576" s="6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21.75" customHeight="1" x14ac:dyDescent="0.7">
      <c r="A577" s="1"/>
      <c r="B577" s="6"/>
      <c r="C577" s="1"/>
      <c r="D577" s="6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21.75" customHeight="1" x14ac:dyDescent="0.7">
      <c r="A578" s="1"/>
      <c r="B578" s="6"/>
      <c r="C578" s="1"/>
      <c r="D578" s="6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21.75" customHeight="1" x14ac:dyDescent="0.7">
      <c r="A579" s="1"/>
      <c r="B579" s="6"/>
      <c r="C579" s="1"/>
      <c r="D579" s="6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21.75" customHeight="1" x14ac:dyDescent="0.7">
      <c r="A580" s="1"/>
      <c r="B580" s="6"/>
      <c r="C580" s="1"/>
      <c r="D580" s="6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21.75" customHeight="1" x14ac:dyDescent="0.7">
      <c r="A581" s="1"/>
      <c r="B581" s="6"/>
      <c r="C581" s="1"/>
      <c r="D581" s="6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21.75" customHeight="1" x14ac:dyDescent="0.7">
      <c r="A582" s="1"/>
      <c r="B582" s="6"/>
      <c r="C582" s="1"/>
      <c r="D582" s="6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21.75" customHeight="1" x14ac:dyDescent="0.7">
      <c r="A583" s="1"/>
      <c r="B583" s="6"/>
      <c r="C583" s="1"/>
      <c r="D583" s="6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21.75" customHeight="1" x14ac:dyDescent="0.7">
      <c r="A584" s="1"/>
      <c r="B584" s="6"/>
      <c r="C584" s="1"/>
      <c r="D584" s="6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21.75" customHeight="1" x14ac:dyDescent="0.7">
      <c r="A585" s="1"/>
      <c r="B585" s="6"/>
      <c r="C585" s="1"/>
      <c r="D585" s="6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21.75" customHeight="1" x14ac:dyDescent="0.7">
      <c r="A586" s="1"/>
      <c r="B586" s="6"/>
      <c r="C586" s="1"/>
      <c r="D586" s="6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21.75" customHeight="1" x14ac:dyDescent="0.7">
      <c r="A587" s="1"/>
      <c r="B587" s="6"/>
      <c r="C587" s="1"/>
      <c r="D587" s="6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21.75" customHeight="1" x14ac:dyDescent="0.7">
      <c r="A588" s="1"/>
      <c r="B588" s="6"/>
      <c r="C588" s="1"/>
      <c r="D588" s="6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21.75" customHeight="1" x14ac:dyDescent="0.7">
      <c r="A589" s="1"/>
      <c r="B589" s="6"/>
      <c r="C589" s="1"/>
      <c r="D589" s="6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21.75" customHeight="1" x14ac:dyDescent="0.7">
      <c r="A590" s="1"/>
      <c r="B590" s="6"/>
      <c r="C590" s="1"/>
      <c r="D590" s="6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21.75" customHeight="1" x14ac:dyDescent="0.7">
      <c r="A591" s="1"/>
      <c r="B591" s="6"/>
      <c r="C591" s="1"/>
      <c r="D591" s="6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21.75" customHeight="1" x14ac:dyDescent="0.7">
      <c r="A592" s="1"/>
      <c r="B592" s="6"/>
      <c r="C592" s="1"/>
      <c r="D592" s="6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21.75" customHeight="1" x14ac:dyDescent="0.7">
      <c r="A593" s="1"/>
      <c r="B593" s="6"/>
      <c r="C593" s="1"/>
      <c r="D593" s="6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21.75" customHeight="1" x14ac:dyDescent="0.7">
      <c r="A594" s="1"/>
      <c r="B594" s="6"/>
      <c r="C594" s="1"/>
      <c r="D594" s="6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21.75" customHeight="1" x14ac:dyDescent="0.7">
      <c r="A595" s="1"/>
      <c r="B595" s="6"/>
      <c r="C595" s="1"/>
      <c r="D595" s="6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21.75" customHeight="1" x14ac:dyDescent="0.7">
      <c r="A596" s="1"/>
      <c r="B596" s="6"/>
      <c r="C596" s="1"/>
      <c r="D596" s="6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21.75" customHeight="1" x14ac:dyDescent="0.7">
      <c r="A597" s="1"/>
      <c r="B597" s="6"/>
      <c r="C597" s="1"/>
      <c r="D597" s="6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21.75" customHeight="1" x14ac:dyDescent="0.7">
      <c r="A598" s="1"/>
      <c r="B598" s="6"/>
      <c r="C598" s="1"/>
      <c r="D598" s="6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21.75" customHeight="1" x14ac:dyDescent="0.7">
      <c r="A599" s="1"/>
      <c r="B599" s="6"/>
      <c r="C599" s="1"/>
      <c r="D599" s="6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21.75" customHeight="1" x14ac:dyDescent="0.7">
      <c r="A600" s="1"/>
      <c r="B600" s="6"/>
      <c r="C600" s="1"/>
      <c r="D600" s="6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21.75" customHeight="1" x14ac:dyDescent="0.7">
      <c r="A601" s="1"/>
      <c r="B601" s="6"/>
      <c r="C601" s="1"/>
      <c r="D601" s="6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21.75" customHeight="1" x14ac:dyDescent="0.7">
      <c r="A602" s="1"/>
      <c r="B602" s="6"/>
      <c r="C602" s="1"/>
      <c r="D602" s="6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21.75" customHeight="1" x14ac:dyDescent="0.7">
      <c r="A603" s="1"/>
      <c r="B603" s="6"/>
      <c r="C603" s="1"/>
      <c r="D603" s="6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21.75" customHeight="1" x14ac:dyDescent="0.7">
      <c r="A604" s="1"/>
      <c r="B604" s="6"/>
      <c r="C604" s="1"/>
      <c r="D604" s="6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21.75" customHeight="1" x14ac:dyDescent="0.7">
      <c r="A605" s="1"/>
      <c r="B605" s="6"/>
      <c r="C605" s="1"/>
      <c r="D605" s="6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21.75" customHeight="1" x14ac:dyDescent="0.7">
      <c r="A606" s="1"/>
      <c r="B606" s="6"/>
      <c r="C606" s="1"/>
      <c r="D606" s="6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21.75" customHeight="1" x14ac:dyDescent="0.7">
      <c r="A607" s="1"/>
      <c r="B607" s="6"/>
      <c r="C607" s="1"/>
      <c r="D607" s="6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21.75" customHeight="1" x14ac:dyDescent="0.7">
      <c r="A608" s="1"/>
      <c r="B608" s="6"/>
      <c r="C608" s="1"/>
      <c r="D608" s="6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21.75" customHeight="1" x14ac:dyDescent="0.7">
      <c r="A609" s="1"/>
      <c r="B609" s="6"/>
      <c r="C609" s="1"/>
      <c r="D609" s="6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21.75" customHeight="1" x14ac:dyDescent="0.7">
      <c r="A610" s="1"/>
      <c r="B610" s="6"/>
      <c r="C610" s="1"/>
      <c r="D610" s="6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21.75" customHeight="1" x14ac:dyDescent="0.7">
      <c r="A611" s="1"/>
      <c r="B611" s="6"/>
      <c r="C611" s="1"/>
      <c r="D611" s="6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21.75" customHeight="1" x14ac:dyDescent="0.7">
      <c r="A612" s="1"/>
      <c r="B612" s="6"/>
      <c r="C612" s="1"/>
      <c r="D612" s="6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21.75" customHeight="1" x14ac:dyDescent="0.7">
      <c r="A613" s="1"/>
      <c r="B613" s="6"/>
      <c r="C613" s="1"/>
      <c r="D613" s="6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21.75" customHeight="1" x14ac:dyDescent="0.7">
      <c r="A614" s="1"/>
      <c r="B614" s="6"/>
      <c r="C614" s="1"/>
      <c r="D614" s="6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21.75" customHeight="1" x14ac:dyDescent="0.7">
      <c r="A615" s="1"/>
      <c r="B615" s="6"/>
      <c r="C615" s="1"/>
      <c r="D615" s="6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21.75" customHeight="1" x14ac:dyDescent="0.7">
      <c r="A616" s="1"/>
      <c r="B616" s="6"/>
      <c r="C616" s="1"/>
      <c r="D616" s="6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21.75" customHeight="1" x14ac:dyDescent="0.7">
      <c r="A617" s="1"/>
      <c r="B617" s="6"/>
      <c r="C617" s="1"/>
      <c r="D617" s="6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21.75" customHeight="1" x14ac:dyDescent="0.7">
      <c r="A618" s="1"/>
      <c r="B618" s="6"/>
      <c r="C618" s="1"/>
      <c r="D618" s="6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21.75" customHeight="1" x14ac:dyDescent="0.7">
      <c r="A619" s="1"/>
      <c r="B619" s="6"/>
      <c r="C619" s="1"/>
      <c r="D619" s="6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21.75" customHeight="1" x14ac:dyDescent="0.7">
      <c r="A620" s="1"/>
      <c r="B620" s="6"/>
      <c r="C620" s="1"/>
      <c r="D620" s="6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21.75" customHeight="1" x14ac:dyDescent="0.7">
      <c r="A621" s="1"/>
      <c r="B621" s="6"/>
      <c r="C621" s="1"/>
      <c r="D621" s="6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21.75" customHeight="1" x14ac:dyDescent="0.7">
      <c r="A622" s="1"/>
      <c r="B622" s="6"/>
      <c r="C622" s="1"/>
      <c r="D622" s="6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21.75" customHeight="1" x14ac:dyDescent="0.7">
      <c r="A623" s="1"/>
      <c r="B623" s="6"/>
      <c r="C623" s="1"/>
      <c r="D623" s="6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21.75" customHeight="1" x14ac:dyDescent="0.7">
      <c r="A624" s="1"/>
      <c r="B624" s="6"/>
      <c r="C624" s="1"/>
      <c r="D624" s="6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21.75" customHeight="1" x14ac:dyDescent="0.7">
      <c r="A625" s="1"/>
      <c r="B625" s="6"/>
      <c r="C625" s="1"/>
      <c r="D625" s="6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21.75" customHeight="1" x14ac:dyDescent="0.7">
      <c r="A626" s="1"/>
      <c r="B626" s="6"/>
      <c r="C626" s="1"/>
      <c r="D626" s="6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21.75" customHeight="1" x14ac:dyDescent="0.7">
      <c r="A627" s="1"/>
      <c r="B627" s="6"/>
      <c r="C627" s="1"/>
      <c r="D627" s="6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21.75" customHeight="1" x14ac:dyDescent="0.7">
      <c r="A628" s="1"/>
      <c r="B628" s="6"/>
      <c r="C628" s="1"/>
      <c r="D628" s="6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21.75" customHeight="1" x14ac:dyDescent="0.7">
      <c r="A629" s="1"/>
      <c r="B629" s="6"/>
      <c r="C629" s="1"/>
      <c r="D629" s="6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21.75" customHeight="1" x14ac:dyDescent="0.7">
      <c r="A630" s="1"/>
      <c r="B630" s="6"/>
      <c r="C630" s="1"/>
      <c r="D630" s="6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21.75" customHeight="1" x14ac:dyDescent="0.7">
      <c r="A631" s="1"/>
      <c r="B631" s="6"/>
      <c r="C631" s="1"/>
      <c r="D631" s="6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21.75" customHeight="1" x14ac:dyDescent="0.7">
      <c r="A632" s="1"/>
      <c r="B632" s="6"/>
      <c r="C632" s="1"/>
      <c r="D632" s="6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21.75" customHeight="1" x14ac:dyDescent="0.7">
      <c r="A633" s="1"/>
      <c r="B633" s="6"/>
      <c r="C633" s="1"/>
      <c r="D633" s="6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21.75" customHeight="1" x14ac:dyDescent="0.7">
      <c r="A634" s="1"/>
      <c r="B634" s="6"/>
      <c r="C634" s="1"/>
      <c r="D634" s="6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21.75" customHeight="1" x14ac:dyDescent="0.7">
      <c r="A635" s="1"/>
      <c r="B635" s="6"/>
      <c r="C635" s="1"/>
      <c r="D635" s="6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21.75" customHeight="1" x14ac:dyDescent="0.7">
      <c r="A636" s="1"/>
      <c r="B636" s="6"/>
      <c r="C636" s="1"/>
      <c r="D636" s="6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21.75" customHeight="1" x14ac:dyDescent="0.7">
      <c r="A637" s="1"/>
      <c r="B637" s="6"/>
      <c r="C637" s="1"/>
      <c r="D637" s="6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21.75" customHeight="1" x14ac:dyDescent="0.7">
      <c r="A638" s="1"/>
      <c r="B638" s="6"/>
      <c r="C638" s="1"/>
      <c r="D638" s="6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21.75" customHeight="1" x14ac:dyDescent="0.7">
      <c r="A639" s="1"/>
      <c r="B639" s="6"/>
      <c r="C639" s="1"/>
      <c r="D639" s="6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21.75" customHeight="1" x14ac:dyDescent="0.7">
      <c r="A640" s="1"/>
      <c r="B640" s="6"/>
      <c r="C640" s="1"/>
      <c r="D640" s="6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21.75" customHeight="1" x14ac:dyDescent="0.7">
      <c r="A641" s="1"/>
      <c r="B641" s="6"/>
      <c r="C641" s="1"/>
      <c r="D641" s="6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21.75" customHeight="1" x14ac:dyDescent="0.7">
      <c r="A642" s="1"/>
      <c r="B642" s="6"/>
      <c r="C642" s="1"/>
      <c r="D642" s="6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21.75" customHeight="1" x14ac:dyDescent="0.7">
      <c r="A643" s="1"/>
      <c r="B643" s="6"/>
      <c r="C643" s="1"/>
      <c r="D643" s="6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21.75" customHeight="1" x14ac:dyDescent="0.7">
      <c r="A644" s="1"/>
      <c r="B644" s="6"/>
      <c r="C644" s="1"/>
      <c r="D644" s="6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21.75" customHeight="1" x14ac:dyDescent="0.7">
      <c r="A645" s="1"/>
      <c r="B645" s="6"/>
      <c r="C645" s="1"/>
      <c r="D645" s="6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21.75" customHeight="1" x14ac:dyDescent="0.7">
      <c r="A646" s="1"/>
      <c r="B646" s="6"/>
      <c r="C646" s="1"/>
      <c r="D646" s="6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21.75" customHeight="1" x14ac:dyDescent="0.7">
      <c r="A647" s="1"/>
      <c r="B647" s="6"/>
      <c r="C647" s="1"/>
      <c r="D647" s="6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21.75" customHeight="1" x14ac:dyDescent="0.7">
      <c r="A648" s="1"/>
      <c r="B648" s="6"/>
      <c r="C648" s="1"/>
      <c r="D648" s="6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21.75" customHeight="1" x14ac:dyDescent="0.7">
      <c r="A649" s="1"/>
      <c r="B649" s="6"/>
      <c r="C649" s="1"/>
      <c r="D649" s="6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21.75" customHeight="1" x14ac:dyDescent="0.7">
      <c r="A650" s="1"/>
      <c r="B650" s="6"/>
      <c r="C650" s="1"/>
      <c r="D650" s="6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21.75" customHeight="1" x14ac:dyDescent="0.7">
      <c r="A651" s="1"/>
      <c r="B651" s="6"/>
      <c r="C651" s="1"/>
      <c r="D651" s="6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21.75" customHeight="1" x14ac:dyDescent="0.7">
      <c r="A652" s="1"/>
      <c r="B652" s="6"/>
      <c r="C652" s="1"/>
      <c r="D652" s="6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21.75" customHeight="1" x14ac:dyDescent="0.7">
      <c r="A653" s="1"/>
      <c r="B653" s="6"/>
      <c r="C653" s="1"/>
      <c r="D653" s="6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21.75" customHeight="1" x14ac:dyDescent="0.7">
      <c r="A654" s="1"/>
      <c r="B654" s="6"/>
      <c r="C654" s="1"/>
      <c r="D654" s="6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21.75" customHeight="1" x14ac:dyDescent="0.7">
      <c r="A655" s="1"/>
      <c r="B655" s="6"/>
      <c r="C655" s="1"/>
      <c r="D655" s="6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21.75" customHeight="1" x14ac:dyDescent="0.7">
      <c r="A656" s="1"/>
      <c r="B656" s="6"/>
      <c r="C656" s="1"/>
      <c r="D656" s="6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21.75" customHeight="1" x14ac:dyDescent="0.7">
      <c r="A657" s="1"/>
      <c r="B657" s="6"/>
      <c r="C657" s="1"/>
      <c r="D657" s="6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21.75" customHeight="1" x14ac:dyDescent="0.7">
      <c r="A658" s="1"/>
      <c r="B658" s="6"/>
      <c r="C658" s="1"/>
      <c r="D658" s="6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21.75" customHeight="1" x14ac:dyDescent="0.7">
      <c r="A659" s="1"/>
      <c r="B659" s="6"/>
      <c r="C659" s="1"/>
      <c r="D659" s="6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21.75" customHeight="1" x14ac:dyDescent="0.7">
      <c r="A660" s="1"/>
      <c r="B660" s="6"/>
      <c r="C660" s="1"/>
      <c r="D660" s="6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21.75" customHeight="1" x14ac:dyDescent="0.7">
      <c r="A661" s="1"/>
      <c r="B661" s="6"/>
      <c r="C661" s="1"/>
      <c r="D661" s="6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21.75" customHeight="1" x14ac:dyDescent="0.7">
      <c r="A662" s="1"/>
      <c r="B662" s="6"/>
      <c r="C662" s="1"/>
      <c r="D662" s="6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21.75" customHeight="1" x14ac:dyDescent="0.7">
      <c r="A663" s="1"/>
      <c r="B663" s="6"/>
      <c r="C663" s="1"/>
      <c r="D663" s="6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21.75" customHeight="1" x14ac:dyDescent="0.7">
      <c r="A664" s="1"/>
      <c r="B664" s="6"/>
      <c r="C664" s="1"/>
      <c r="D664" s="6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21.75" customHeight="1" x14ac:dyDescent="0.7">
      <c r="A665" s="1"/>
      <c r="B665" s="6"/>
      <c r="C665" s="1"/>
      <c r="D665" s="6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21.75" customHeight="1" x14ac:dyDescent="0.7">
      <c r="A666" s="1"/>
      <c r="B666" s="6"/>
      <c r="C666" s="1"/>
      <c r="D666" s="6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21.75" customHeight="1" x14ac:dyDescent="0.7">
      <c r="A667" s="1"/>
      <c r="B667" s="6"/>
      <c r="C667" s="1"/>
      <c r="D667" s="6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21.75" customHeight="1" x14ac:dyDescent="0.7">
      <c r="A668" s="1"/>
      <c r="B668" s="6"/>
      <c r="C668" s="1"/>
      <c r="D668" s="6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21.75" customHeight="1" x14ac:dyDescent="0.7">
      <c r="A669" s="1"/>
      <c r="B669" s="6"/>
      <c r="C669" s="1"/>
      <c r="D669" s="6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21.75" customHeight="1" x14ac:dyDescent="0.7">
      <c r="A670" s="1"/>
      <c r="B670" s="6"/>
      <c r="C670" s="1"/>
      <c r="D670" s="6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21.75" customHeight="1" x14ac:dyDescent="0.7">
      <c r="A671" s="1"/>
      <c r="B671" s="6"/>
      <c r="C671" s="1"/>
      <c r="D671" s="6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21.75" customHeight="1" x14ac:dyDescent="0.7">
      <c r="A672" s="1"/>
      <c r="B672" s="6"/>
      <c r="C672" s="1"/>
      <c r="D672" s="6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21.75" customHeight="1" x14ac:dyDescent="0.7">
      <c r="A673" s="1"/>
      <c r="B673" s="6"/>
      <c r="C673" s="1"/>
      <c r="D673" s="6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21.75" customHeight="1" x14ac:dyDescent="0.7">
      <c r="A674" s="1"/>
      <c r="B674" s="6"/>
      <c r="C674" s="1"/>
      <c r="D674" s="6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21.75" customHeight="1" x14ac:dyDescent="0.7">
      <c r="A675" s="1"/>
      <c r="B675" s="6"/>
      <c r="C675" s="1"/>
      <c r="D675" s="6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21.75" customHeight="1" x14ac:dyDescent="0.7">
      <c r="A676" s="1"/>
      <c r="B676" s="6"/>
      <c r="C676" s="1"/>
      <c r="D676" s="6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21.75" customHeight="1" x14ac:dyDescent="0.7">
      <c r="A677" s="1"/>
      <c r="B677" s="6"/>
      <c r="C677" s="1"/>
      <c r="D677" s="6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21.75" customHeight="1" x14ac:dyDescent="0.7">
      <c r="A678" s="1"/>
      <c r="B678" s="6"/>
      <c r="C678" s="1"/>
      <c r="D678" s="6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21.75" customHeight="1" x14ac:dyDescent="0.7">
      <c r="A679" s="1"/>
      <c r="B679" s="6"/>
      <c r="C679" s="1"/>
      <c r="D679" s="6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21.75" customHeight="1" x14ac:dyDescent="0.7">
      <c r="A680" s="1"/>
      <c r="B680" s="6"/>
      <c r="C680" s="1"/>
      <c r="D680" s="6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21.75" customHeight="1" x14ac:dyDescent="0.7">
      <c r="A681" s="1"/>
      <c r="B681" s="6"/>
      <c r="C681" s="1"/>
      <c r="D681" s="6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21.75" customHeight="1" x14ac:dyDescent="0.7">
      <c r="A682" s="1"/>
      <c r="B682" s="6"/>
      <c r="C682" s="1"/>
      <c r="D682" s="6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21.75" customHeight="1" x14ac:dyDescent="0.7">
      <c r="A683" s="1"/>
      <c r="B683" s="6"/>
      <c r="C683" s="1"/>
      <c r="D683" s="6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21.75" customHeight="1" x14ac:dyDescent="0.7">
      <c r="A684" s="1"/>
      <c r="B684" s="6"/>
      <c r="C684" s="1"/>
      <c r="D684" s="6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21.75" customHeight="1" x14ac:dyDescent="0.7">
      <c r="A685" s="1"/>
      <c r="B685" s="6"/>
      <c r="C685" s="1"/>
      <c r="D685" s="6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21.75" customHeight="1" x14ac:dyDescent="0.7">
      <c r="A686" s="1"/>
      <c r="B686" s="6"/>
      <c r="C686" s="1"/>
      <c r="D686" s="6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21.75" customHeight="1" x14ac:dyDescent="0.7">
      <c r="A687" s="1"/>
      <c r="B687" s="6"/>
      <c r="C687" s="1"/>
      <c r="D687" s="6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21.75" customHeight="1" x14ac:dyDescent="0.7">
      <c r="A688" s="1"/>
      <c r="B688" s="6"/>
      <c r="C688" s="1"/>
      <c r="D688" s="6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21.75" customHeight="1" x14ac:dyDescent="0.7">
      <c r="A689" s="1"/>
      <c r="B689" s="6"/>
      <c r="C689" s="1"/>
      <c r="D689" s="6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21.75" customHeight="1" x14ac:dyDescent="0.7">
      <c r="A690" s="1"/>
      <c r="B690" s="6"/>
      <c r="C690" s="1"/>
      <c r="D690" s="6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21.75" customHeight="1" x14ac:dyDescent="0.7">
      <c r="A691" s="1"/>
      <c r="B691" s="6"/>
      <c r="C691" s="1"/>
      <c r="D691" s="6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21.75" customHeight="1" x14ac:dyDescent="0.7">
      <c r="A692" s="1"/>
      <c r="B692" s="6"/>
      <c r="C692" s="1"/>
      <c r="D692" s="6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21.75" customHeight="1" x14ac:dyDescent="0.7">
      <c r="A693" s="1"/>
      <c r="B693" s="6"/>
      <c r="C693" s="1"/>
      <c r="D693" s="6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21.75" customHeight="1" x14ac:dyDescent="0.7">
      <c r="A694" s="1"/>
      <c r="B694" s="6"/>
      <c r="C694" s="1"/>
      <c r="D694" s="6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21.75" customHeight="1" x14ac:dyDescent="0.7">
      <c r="A695" s="1"/>
      <c r="B695" s="6"/>
      <c r="C695" s="1"/>
      <c r="D695" s="6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21.75" customHeight="1" x14ac:dyDescent="0.7">
      <c r="A696" s="1"/>
      <c r="B696" s="6"/>
      <c r="C696" s="1"/>
      <c r="D696" s="6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21.75" customHeight="1" x14ac:dyDescent="0.7">
      <c r="A697" s="1"/>
      <c r="B697" s="6"/>
      <c r="C697" s="1"/>
      <c r="D697" s="6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21.75" customHeight="1" x14ac:dyDescent="0.7">
      <c r="A698" s="1"/>
      <c r="B698" s="6"/>
      <c r="C698" s="1"/>
      <c r="D698" s="6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21.75" customHeight="1" x14ac:dyDescent="0.7">
      <c r="A699" s="1"/>
      <c r="B699" s="6"/>
      <c r="C699" s="1"/>
      <c r="D699" s="6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21.75" customHeight="1" x14ac:dyDescent="0.7">
      <c r="A700" s="1"/>
      <c r="B700" s="6"/>
      <c r="C700" s="1"/>
      <c r="D700" s="6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21.75" customHeight="1" x14ac:dyDescent="0.7">
      <c r="A701" s="1"/>
      <c r="B701" s="6"/>
      <c r="C701" s="1"/>
      <c r="D701" s="6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21.75" customHeight="1" x14ac:dyDescent="0.7">
      <c r="A702" s="1"/>
      <c r="B702" s="6"/>
      <c r="C702" s="1"/>
      <c r="D702" s="6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21.75" customHeight="1" x14ac:dyDescent="0.7">
      <c r="A703" s="1"/>
      <c r="B703" s="6"/>
      <c r="C703" s="1"/>
      <c r="D703" s="6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21.75" customHeight="1" x14ac:dyDescent="0.7">
      <c r="A704" s="1"/>
      <c r="B704" s="6"/>
      <c r="C704" s="1"/>
      <c r="D704" s="6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21.75" customHeight="1" x14ac:dyDescent="0.7">
      <c r="A705" s="1"/>
      <c r="B705" s="6"/>
      <c r="C705" s="1"/>
      <c r="D705" s="6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21.75" customHeight="1" x14ac:dyDescent="0.7">
      <c r="A706" s="1"/>
      <c r="B706" s="6"/>
      <c r="C706" s="1"/>
      <c r="D706" s="6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21.75" customHeight="1" x14ac:dyDescent="0.7">
      <c r="A707" s="1"/>
      <c r="B707" s="6"/>
      <c r="C707" s="1"/>
      <c r="D707" s="6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21.75" customHeight="1" x14ac:dyDescent="0.7">
      <c r="A708" s="1"/>
      <c r="B708" s="6"/>
      <c r="C708" s="1"/>
      <c r="D708" s="6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21.75" customHeight="1" x14ac:dyDescent="0.7">
      <c r="A709" s="1"/>
      <c r="B709" s="6"/>
      <c r="C709" s="1"/>
      <c r="D709" s="6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21.75" customHeight="1" x14ac:dyDescent="0.7">
      <c r="A710" s="1"/>
      <c r="B710" s="6"/>
      <c r="C710" s="1"/>
      <c r="D710" s="6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21.75" customHeight="1" x14ac:dyDescent="0.7">
      <c r="A711" s="1"/>
      <c r="B711" s="6"/>
      <c r="C711" s="1"/>
      <c r="D711" s="6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21.75" customHeight="1" x14ac:dyDescent="0.7">
      <c r="A712" s="1"/>
      <c r="B712" s="6"/>
      <c r="C712" s="1"/>
      <c r="D712" s="6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21.75" customHeight="1" x14ac:dyDescent="0.7">
      <c r="A713" s="1"/>
      <c r="B713" s="6"/>
      <c r="C713" s="1"/>
      <c r="D713" s="6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21.75" customHeight="1" x14ac:dyDescent="0.7">
      <c r="A714" s="1"/>
      <c r="B714" s="6"/>
      <c r="C714" s="1"/>
      <c r="D714" s="6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21.75" customHeight="1" x14ac:dyDescent="0.7">
      <c r="A715" s="1"/>
      <c r="B715" s="6"/>
      <c r="C715" s="1"/>
      <c r="D715" s="6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21.75" customHeight="1" x14ac:dyDescent="0.7">
      <c r="A716" s="1"/>
      <c r="B716" s="6"/>
      <c r="C716" s="1"/>
      <c r="D716" s="6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21.75" customHeight="1" x14ac:dyDescent="0.7">
      <c r="A717" s="1"/>
      <c r="B717" s="6"/>
      <c r="C717" s="1"/>
      <c r="D717" s="6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21.75" customHeight="1" x14ac:dyDescent="0.7">
      <c r="A718" s="1"/>
      <c r="B718" s="6"/>
      <c r="C718" s="1"/>
      <c r="D718" s="6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21.75" customHeight="1" x14ac:dyDescent="0.7">
      <c r="A719" s="1"/>
      <c r="B719" s="6"/>
      <c r="C719" s="1"/>
      <c r="D719" s="6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21.75" customHeight="1" x14ac:dyDescent="0.7">
      <c r="A720" s="1"/>
      <c r="B720" s="6"/>
      <c r="C720" s="1"/>
      <c r="D720" s="6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21.75" customHeight="1" x14ac:dyDescent="0.7">
      <c r="A721" s="1"/>
      <c r="B721" s="6"/>
      <c r="C721" s="1"/>
      <c r="D721" s="6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21.75" customHeight="1" x14ac:dyDescent="0.7">
      <c r="A722" s="1"/>
      <c r="B722" s="6"/>
      <c r="C722" s="1"/>
      <c r="D722" s="6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21.75" customHeight="1" x14ac:dyDescent="0.7">
      <c r="A723" s="1"/>
      <c r="B723" s="6"/>
      <c r="C723" s="1"/>
      <c r="D723" s="6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21.75" customHeight="1" x14ac:dyDescent="0.7">
      <c r="A724" s="1"/>
      <c r="B724" s="6"/>
      <c r="C724" s="1"/>
      <c r="D724" s="6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21.75" customHeight="1" x14ac:dyDescent="0.7">
      <c r="A725" s="1"/>
      <c r="B725" s="6"/>
      <c r="C725" s="1"/>
      <c r="D725" s="6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21.75" customHeight="1" x14ac:dyDescent="0.7">
      <c r="A726" s="1"/>
      <c r="B726" s="6"/>
      <c r="C726" s="1"/>
      <c r="D726" s="6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21.75" customHeight="1" x14ac:dyDescent="0.7">
      <c r="A727" s="1"/>
      <c r="B727" s="6"/>
      <c r="C727" s="1"/>
      <c r="D727" s="6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21.75" customHeight="1" x14ac:dyDescent="0.7">
      <c r="A728" s="1"/>
      <c r="B728" s="6"/>
      <c r="C728" s="1"/>
      <c r="D728" s="6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21.75" customHeight="1" x14ac:dyDescent="0.7">
      <c r="A729" s="1"/>
      <c r="B729" s="6"/>
      <c r="C729" s="1"/>
      <c r="D729" s="6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21.75" customHeight="1" x14ac:dyDescent="0.7">
      <c r="A730" s="1"/>
      <c r="B730" s="6"/>
      <c r="C730" s="1"/>
      <c r="D730" s="6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21.75" customHeight="1" x14ac:dyDescent="0.7">
      <c r="A731" s="1"/>
      <c r="B731" s="6"/>
      <c r="C731" s="1"/>
      <c r="D731" s="6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21.75" customHeight="1" x14ac:dyDescent="0.7">
      <c r="A732" s="1"/>
      <c r="B732" s="6"/>
      <c r="C732" s="1"/>
      <c r="D732" s="6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21.75" customHeight="1" x14ac:dyDescent="0.7">
      <c r="A733" s="1"/>
      <c r="B733" s="6"/>
      <c r="C733" s="1"/>
      <c r="D733" s="6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21.75" customHeight="1" x14ac:dyDescent="0.7">
      <c r="A734" s="1"/>
      <c r="B734" s="6"/>
      <c r="C734" s="1"/>
      <c r="D734" s="6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21.75" customHeight="1" x14ac:dyDescent="0.7">
      <c r="A735" s="1"/>
      <c r="B735" s="6"/>
      <c r="C735" s="1"/>
      <c r="D735" s="6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21.75" customHeight="1" x14ac:dyDescent="0.7">
      <c r="A736" s="1"/>
      <c r="B736" s="6"/>
      <c r="C736" s="1"/>
      <c r="D736" s="6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21.75" customHeight="1" x14ac:dyDescent="0.7">
      <c r="A737" s="1"/>
      <c r="B737" s="6"/>
      <c r="C737" s="1"/>
      <c r="D737" s="6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21.75" customHeight="1" x14ac:dyDescent="0.7">
      <c r="A738" s="1"/>
      <c r="B738" s="6"/>
      <c r="C738" s="1"/>
      <c r="D738" s="6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21.75" customHeight="1" x14ac:dyDescent="0.7">
      <c r="A739" s="1"/>
      <c r="B739" s="6"/>
      <c r="C739" s="1"/>
      <c r="D739" s="6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21.75" customHeight="1" x14ac:dyDescent="0.7">
      <c r="A740" s="1"/>
      <c r="B740" s="6"/>
      <c r="C740" s="1"/>
      <c r="D740" s="6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21.75" customHeight="1" x14ac:dyDescent="0.7">
      <c r="A741" s="1"/>
      <c r="B741" s="6"/>
      <c r="C741" s="1"/>
      <c r="D741" s="6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21.75" customHeight="1" x14ac:dyDescent="0.7">
      <c r="A742" s="1"/>
      <c r="B742" s="6"/>
      <c r="C742" s="1"/>
      <c r="D742" s="68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21.75" customHeight="1" x14ac:dyDescent="0.7">
      <c r="A743" s="1"/>
      <c r="B743" s="6"/>
      <c r="C743" s="1"/>
      <c r="D743" s="68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21.75" customHeight="1" x14ac:dyDescent="0.7">
      <c r="A744" s="1"/>
      <c r="B744" s="6"/>
      <c r="C744" s="1"/>
      <c r="D744" s="68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21.75" customHeight="1" x14ac:dyDescent="0.7">
      <c r="A745" s="1"/>
      <c r="B745" s="6"/>
      <c r="C745" s="1"/>
      <c r="D745" s="68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21.75" customHeight="1" x14ac:dyDescent="0.7">
      <c r="A746" s="1"/>
      <c r="B746" s="6"/>
      <c r="C746" s="1"/>
      <c r="D746" s="68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21.75" customHeight="1" x14ac:dyDescent="0.7">
      <c r="A747" s="1"/>
      <c r="B747" s="6"/>
      <c r="C747" s="1"/>
      <c r="D747" s="6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21.75" customHeight="1" x14ac:dyDescent="0.7">
      <c r="A748" s="1"/>
      <c r="B748" s="6"/>
      <c r="C748" s="1"/>
      <c r="D748" s="68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21.75" customHeight="1" x14ac:dyDescent="0.7">
      <c r="A749" s="1"/>
      <c r="B749" s="6"/>
      <c r="C749" s="1"/>
      <c r="D749" s="68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21.75" customHeight="1" x14ac:dyDescent="0.7">
      <c r="A750" s="1"/>
      <c r="B750" s="6"/>
      <c r="C750" s="1"/>
      <c r="D750" s="68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21.75" customHeight="1" x14ac:dyDescent="0.7">
      <c r="A751" s="1"/>
      <c r="B751" s="6"/>
      <c r="C751" s="1"/>
      <c r="D751" s="68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21.75" customHeight="1" x14ac:dyDescent="0.7">
      <c r="A752" s="1"/>
      <c r="B752" s="6"/>
      <c r="C752" s="1"/>
      <c r="D752" s="68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21.75" customHeight="1" x14ac:dyDescent="0.7">
      <c r="A753" s="1"/>
      <c r="B753" s="6"/>
      <c r="C753" s="1"/>
      <c r="D753" s="68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21.75" customHeight="1" x14ac:dyDescent="0.7">
      <c r="A754" s="1"/>
      <c r="B754" s="6"/>
      <c r="C754" s="1"/>
      <c r="D754" s="68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21.75" customHeight="1" x14ac:dyDescent="0.7">
      <c r="A755" s="1"/>
      <c r="B755" s="6"/>
      <c r="C755" s="1"/>
      <c r="D755" s="68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21.75" customHeight="1" x14ac:dyDescent="0.7">
      <c r="A756" s="1"/>
      <c r="B756" s="6"/>
      <c r="C756" s="1"/>
      <c r="D756" s="68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21.75" customHeight="1" x14ac:dyDescent="0.7">
      <c r="A757" s="1"/>
      <c r="B757" s="6"/>
      <c r="C757" s="1"/>
      <c r="D757" s="68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21.75" customHeight="1" x14ac:dyDescent="0.7">
      <c r="A758" s="1"/>
      <c r="B758" s="6"/>
      <c r="C758" s="1"/>
      <c r="D758" s="68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21.75" customHeight="1" x14ac:dyDescent="0.7">
      <c r="A759" s="1"/>
      <c r="B759" s="6"/>
      <c r="C759" s="1"/>
      <c r="D759" s="68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21.75" customHeight="1" x14ac:dyDescent="0.7">
      <c r="A760" s="1"/>
      <c r="B760" s="6"/>
      <c r="C760" s="1"/>
      <c r="D760" s="68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21.75" customHeight="1" x14ac:dyDescent="0.7">
      <c r="A761" s="1"/>
      <c r="B761" s="6"/>
      <c r="C761" s="1"/>
      <c r="D761" s="68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21.75" customHeight="1" x14ac:dyDescent="0.7">
      <c r="A762" s="1"/>
      <c r="B762" s="6"/>
      <c r="C762" s="1"/>
      <c r="D762" s="68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21.75" customHeight="1" x14ac:dyDescent="0.7">
      <c r="A763" s="1"/>
      <c r="B763" s="6"/>
      <c r="C763" s="1"/>
      <c r="D763" s="68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21.75" customHeight="1" x14ac:dyDescent="0.7">
      <c r="A764" s="1"/>
      <c r="B764" s="6"/>
      <c r="C764" s="1"/>
      <c r="D764" s="68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21.75" customHeight="1" x14ac:dyDescent="0.7">
      <c r="A765" s="1"/>
      <c r="B765" s="6"/>
      <c r="C765" s="1"/>
      <c r="D765" s="68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21.75" customHeight="1" x14ac:dyDescent="0.7">
      <c r="A766" s="1"/>
      <c r="B766" s="6"/>
      <c r="C766" s="1"/>
      <c r="D766" s="68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21.75" customHeight="1" x14ac:dyDescent="0.7">
      <c r="A767" s="1"/>
      <c r="B767" s="6"/>
      <c r="C767" s="1"/>
      <c r="D767" s="68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21.75" customHeight="1" x14ac:dyDescent="0.7">
      <c r="A768" s="1"/>
      <c r="B768" s="6"/>
      <c r="C768" s="1"/>
      <c r="D768" s="6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21.75" customHeight="1" x14ac:dyDescent="0.7">
      <c r="A769" s="1"/>
      <c r="B769" s="6"/>
      <c r="C769" s="1"/>
      <c r="D769" s="68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21.75" customHeight="1" x14ac:dyDescent="0.7">
      <c r="A770" s="1"/>
      <c r="B770" s="6"/>
      <c r="C770" s="1"/>
      <c r="D770" s="68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21.75" customHeight="1" x14ac:dyDescent="0.7">
      <c r="A771" s="1"/>
      <c r="B771" s="6"/>
      <c r="C771" s="1"/>
      <c r="D771" s="68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21.75" customHeight="1" x14ac:dyDescent="0.7">
      <c r="A772" s="1"/>
      <c r="B772" s="6"/>
      <c r="C772" s="1"/>
      <c r="D772" s="68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21.75" customHeight="1" x14ac:dyDescent="0.7">
      <c r="A773" s="1"/>
      <c r="B773" s="6"/>
      <c r="C773" s="1"/>
      <c r="D773" s="68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21.75" customHeight="1" x14ac:dyDescent="0.7">
      <c r="A774" s="1"/>
      <c r="B774" s="6"/>
      <c r="C774" s="1"/>
      <c r="D774" s="68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21.75" customHeight="1" x14ac:dyDescent="0.7">
      <c r="A775" s="1"/>
      <c r="B775" s="6"/>
      <c r="C775" s="1"/>
      <c r="D775" s="68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21.75" customHeight="1" x14ac:dyDescent="0.7">
      <c r="A776" s="1"/>
      <c r="B776" s="6"/>
      <c r="C776" s="1"/>
      <c r="D776" s="68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21.75" customHeight="1" x14ac:dyDescent="0.7">
      <c r="A777" s="1"/>
      <c r="B777" s="6"/>
      <c r="C777" s="1"/>
      <c r="D777" s="68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21.75" customHeight="1" x14ac:dyDescent="0.7">
      <c r="A778" s="1"/>
      <c r="B778" s="6"/>
      <c r="C778" s="1"/>
      <c r="D778" s="68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21.75" customHeight="1" x14ac:dyDescent="0.7">
      <c r="A779" s="1"/>
      <c r="B779" s="6"/>
      <c r="C779" s="1"/>
      <c r="D779" s="68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21.75" customHeight="1" x14ac:dyDescent="0.7">
      <c r="A780" s="1"/>
      <c r="B780" s="6"/>
      <c r="C780" s="1"/>
      <c r="D780" s="68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21.75" customHeight="1" x14ac:dyDescent="0.7">
      <c r="A781" s="1"/>
      <c r="B781" s="6"/>
      <c r="C781" s="1"/>
      <c r="D781" s="68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21.75" customHeight="1" x14ac:dyDescent="0.7">
      <c r="A782" s="1"/>
      <c r="B782" s="6"/>
      <c r="C782" s="1"/>
      <c r="D782" s="68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21.75" customHeight="1" x14ac:dyDescent="0.7">
      <c r="A783" s="1"/>
      <c r="B783" s="6"/>
      <c r="C783" s="1"/>
      <c r="D783" s="68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21.75" customHeight="1" x14ac:dyDescent="0.7">
      <c r="A784" s="1"/>
      <c r="B784" s="6"/>
      <c r="C784" s="1"/>
      <c r="D784" s="68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21.75" customHeight="1" x14ac:dyDescent="0.7">
      <c r="A785" s="1"/>
      <c r="B785" s="6"/>
      <c r="C785" s="1"/>
      <c r="D785" s="6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21.75" customHeight="1" x14ac:dyDescent="0.7">
      <c r="A786" s="1"/>
      <c r="B786" s="6"/>
      <c r="C786" s="1"/>
      <c r="D786" s="68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21.75" customHeight="1" x14ac:dyDescent="0.7">
      <c r="A787" s="1"/>
      <c r="B787" s="6"/>
      <c r="C787" s="1"/>
      <c r="D787" s="68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21.75" customHeight="1" x14ac:dyDescent="0.7">
      <c r="A788" s="1"/>
      <c r="B788" s="6"/>
      <c r="C788" s="1"/>
      <c r="D788" s="68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21.75" customHeight="1" x14ac:dyDescent="0.7">
      <c r="A789" s="1"/>
      <c r="B789" s="6"/>
      <c r="C789" s="1"/>
      <c r="D789" s="68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21.75" customHeight="1" x14ac:dyDescent="0.7">
      <c r="A790" s="1"/>
      <c r="B790" s="6"/>
      <c r="C790" s="1"/>
      <c r="D790" s="68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21.75" customHeight="1" x14ac:dyDescent="0.7">
      <c r="A791" s="1"/>
      <c r="B791" s="6"/>
      <c r="C791" s="1"/>
      <c r="D791" s="68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21.75" customHeight="1" x14ac:dyDescent="0.7">
      <c r="A792" s="1"/>
      <c r="B792" s="6"/>
      <c r="C792" s="1"/>
      <c r="D792" s="68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21.75" customHeight="1" x14ac:dyDescent="0.7">
      <c r="A793" s="1"/>
      <c r="B793" s="6"/>
      <c r="C793" s="1"/>
      <c r="D793" s="68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21.75" customHeight="1" x14ac:dyDescent="0.7">
      <c r="A794" s="1"/>
      <c r="B794" s="6"/>
      <c r="C794" s="1"/>
      <c r="D794" s="68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21.75" customHeight="1" x14ac:dyDescent="0.7">
      <c r="A795" s="1"/>
      <c r="B795" s="6"/>
      <c r="C795" s="1"/>
      <c r="D795" s="68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21.75" customHeight="1" x14ac:dyDescent="0.7">
      <c r="A796" s="1"/>
      <c r="B796" s="6"/>
      <c r="C796" s="1"/>
      <c r="D796" s="68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21.75" customHeight="1" x14ac:dyDescent="0.7">
      <c r="A797" s="1"/>
      <c r="B797" s="6"/>
      <c r="C797" s="1"/>
      <c r="D797" s="68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21.75" customHeight="1" x14ac:dyDescent="0.7">
      <c r="A798" s="1"/>
      <c r="B798" s="6"/>
      <c r="C798" s="1"/>
      <c r="D798" s="68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21.75" customHeight="1" x14ac:dyDescent="0.7">
      <c r="A799" s="1"/>
      <c r="B799" s="6"/>
      <c r="C799" s="1"/>
      <c r="D799" s="68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21.75" customHeight="1" x14ac:dyDescent="0.7">
      <c r="A800" s="1"/>
      <c r="B800" s="6"/>
      <c r="C800" s="1"/>
      <c r="D800" s="68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21.75" customHeight="1" x14ac:dyDescent="0.7">
      <c r="A801" s="1"/>
      <c r="B801" s="6"/>
      <c r="C801" s="1"/>
      <c r="D801" s="68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21.75" customHeight="1" x14ac:dyDescent="0.7">
      <c r="A802" s="1"/>
      <c r="B802" s="6"/>
      <c r="C802" s="1"/>
      <c r="D802" s="6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21.75" customHeight="1" x14ac:dyDescent="0.7">
      <c r="A803" s="1"/>
      <c r="B803" s="6"/>
      <c r="C803" s="1"/>
      <c r="D803" s="68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21.75" customHeight="1" x14ac:dyDescent="0.7">
      <c r="A804" s="1"/>
      <c r="B804" s="6"/>
      <c r="C804" s="1"/>
      <c r="D804" s="68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21.75" customHeight="1" x14ac:dyDescent="0.7">
      <c r="A805" s="1"/>
      <c r="B805" s="6"/>
      <c r="C805" s="1"/>
      <c r="D805" s="68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21.75" customHeight="1" x14ac:dyDescent="0.7">
      <c r="A806" s="1"/>
      <c r="B806" s="6"/>
      <c r="C806" s="1"/>
      <c r="D806" s="68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21.75" customHeight="1" x14ac:dyDescent="0.7">
      <c r="A807" s="1"/>
      <c r="B807" s="6"/>
      <c r="C807" s="1"/>
      <c r="D807" s="68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21.75" customHeight="1" x14ac:dyDescent="0.7">
      <c r="A808" s="1"/>
      <c r="B808" s="6"/>
      <c r="C808" s="1"/>
      <c r="D808" s="68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21.75" customHeight="1" x14ac:dyDescent="0.7">
      <c r="A809" s="1"/>
      <c r="B809" s="6"/>
      <c r="C809" s="1"/>
      <c r="D809" s="68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21.75" customHeight="1" x14ac:dyDescent="0.7">
      <c r="A810" s="1"/>
      <c r="B810" s="6"/>
      <c r="C810" s="1"/>
      <c r="D810" s="68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21.75" customHeight="1" x14ac:dyDescent="0.7">
      <c r="A811" s="1"/>
      <c r="B811" s="6"/>
      <c r="C811" s="1"/>
      <c r="D811" s="68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21.75" customHeight="1" x14ac:dyDescent="0.7">
      <c r="A812" s="1"/>
      <c r="B812" s="6"/>
      <c r="C812" s="1"/>
      <c r="D812" s="68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21.75" customHeight="1" x14ac:dyDescent="0.7">
      <c r="A813" s="1"/>
      <c r="B813" s="6"/>
      <c r="C813" s="1"/>
      <c r="D813" s="68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21.75" customHeight="1" x14ac:dyDescent="0.7">
      <c r="A814" s="1"/>
      <c r="B814" s="6"/>
      <c r="C814" s="1"/>
      <c r="D814" s="68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21.75" customHeight="1" x14ac:dyDescent="0.7">
      <c r="A815" s="1"/>
      <c r="B815" s="6"/>
      <c r="C815" s="1"/>
      <c r="D815" s="68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21.75" customHeight="1" x14ac:dyDescent="0.7">
      <c r="A816" s="1"/>
      <c r="B816" s="6"/>
      <c r="C816" s="1"/>
      <c r="D816" s="68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21.75" customHeight="1" x14ac:dyDescent="0.7">
      <c r="A817" s="1"/>
      <c r="B817" s="6"/>
      <c r="C817" s="1"/>
      <c r="D817" s="6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21.75" customHeight="1" x14ac:dyDescent="0.7">
      <c r="A818" s="1"/>
      <c r="B818" s="6"/>
      <c r="C818" s="1"/>
      <c r="D818" s="68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21.75" customHeight="1" x14ac:dyDescent="0.7">
      <c r="A819" s="1"/>
      <c r="B819" s="6"/>
      <c r="C819" s="1"/>
      <c r="D819" s="68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21.75" customHeight="1" x14ac:dyDescent="0.7">
      <c r="A820" s="1"/>
      <c r="B820" s="6"/>
      <c r="C820" s="1"/>
      <c r="D820" s="68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21.75" customHeight="1" x14ac:dyDescent="0.7">
      <c r="A821" s="1"/>
      <c r="B821" s="6"/>
      <c r="C821" s="1"/>
      <c r="D821" s="68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21.75" customHeight="1" x14ac:dyDescent="0.7">
      <c r="A822" s="1"/>
      <c r="B822" s="6"/>
      <c r="C822" s="1"/>
      <c r="D822" s="68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21.75" customHeight="1" x14ac:dyDescent="0.7">
      <c r="A823" s="1"/>
      <c r="B823" s="6"/>
      <c r="C823" s="1"/>
      <c r="D823" s="68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21.75" customHeight="1" x14ac:dyDescent="0.7">
      <c r="A824" s="1"/>
      <c r="B824" s="6"/>
      <c r="C824" s="1"/>
      <c r="D824" s="68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21.75" customHeight="1" x14ac:dyDescent="0.7">
      <c r="A825" s="1"/>
      <c r="B825" s="6"/>
      <c r="C825" s="1"/>
      <c r="D825" s="68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21.75" customHeight="1" x14ac:dyDescent="0.7">
      <c r="A826" s="1"/>
      <c r="B826" s="6"/>
      <c r="C826" s="1"/>
      <c r="D826" s="68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21.75" customHeight="1" x14ac:dyDescent="0.7">
      <c r="A827" s="1"/>
      <c r="B827" s="6"/>
      <c r="C827" s="1"/>
      <c r="D827" s="68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21.75" customHeight="1" x14ac:dyDescent="0.7">
      <c r="A828" s="1"/>
      <c r="B828" s="6"/>
      <c r="C828" s="1"/>
      <c r="D828" s="68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21.75" customHeight="1" x14ac:dyDescent="0.7">
      <c r="A829" s="1"/>
      <c r="B829" s="6"/>
      <c r="C829" s="1"/>
      <c r="D829" s="68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21.75" customHeight="1" x14ac:dyDescent="0.7">
      <c r="A830" s="1"/>
      <c r="B830" s="6"/>
      <c r="C830" s="1"/>
      <c r="D830" s="68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21.75" customHeight="1" x14ac:dyDescent="0.7">
      <c r="A831" s="1"/>
      <c r="B831" s="6"/>
      <c r="C831" s="1"/>
      <c r="D831" s="68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21.75" customHeight="1" x14ac:dyDescent="0.7">
      <c r="A832" s="1"/>
      <c r="B832" s="6"/>
      <c r="C832" s="1"/>
      <c r="D832" s="6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21.75" customHeight="1" x14ac:dyDescent="0.7">
      <c r="A833" s="1"/>
      <c r="B833" s="6"/>
      <c r="C833" s="1"/>
      <c r="D833" s="68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21.75" customHeight="1" x14ac:dyDescent="0.7">
      <c r="A834" s="1"/>
      <c r="B834" s="6"/>
      <c r="C834" s="1"/>
      <c r="D834" s="68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21.75" customHeight="1" x14ac:dyDescent="0.7">
      <c r="A835" s="1"/>
      <c r="B835" s="6"/>
      <c r="C835" s="1"/>
      <c r="D835" s="68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21.75" customHeight="1" x14ac:dyDescent="0.7">
      <c r="A836" s="1"/>
      <c r="B836" s="6"/>
      <c r="C836" s="1"/>
      <c r="D836" s="68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21.75" customHeight="1" x14ac:dyDescent="0.7">
      <c r="A837" s="1"/>
      <c r="B837" s="6"/>
      <c r="C837" s="1"/>
      <c r="D837" s="68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21.75" customHeight="1" x14ac:dyDescent="0.7">
      <c r="A838" s="1"/>
      <c r="B838" s="6"/>
      <c r="C838" s="1"/>
      <c r="D838" s="68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21.75" customHeight="1" x14ac:dyDescent="0.7">
      <c r="A839" s="1"/>
      <c r="B839" s="6"/>
      <c r="C839" s="1"/>
      <c r="D839" s="68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21.75" customHeight="1" x14ac:dyDescent="0.7">
      <c r="A840" s="1"/>
      <c r="B840" s="6"/>
      <c r="C840" s="1"/>
      <c r="D840" s="68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21.75" customHeight="1" x14ac:dyDescent="0.7">
      <c r="A841" s="1"/>
      <c r="B841" s="6"/>
      <c r="C841" s="1"/>
      <c r="D841" s="68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21.75" customHeight="1" x14ac:dyDescent="0.7">
      <c r="A842" s="1"/>
      <c r="B842" s="6"/>
      <c r="C842" s="1"/>
      <c r="D842" s="68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21.75" customHeight="1" x14ac:dyDescent="0.7">
      <c r="A843" s="1"/>
      <c r="B843" s="6"/>
      <c r="C843" s="1"/>
      <c r="D843" s="68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21.75" customHeight="1" x14ac:dyDescent="0.7">
      <c r="A844" s="1"/>
      <c r="B844" s="6"/>
      <c r="C844" s="1"/>
      <c r="D844" s="68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21.75" customHeight="1" x14ac:dyDescent="0.7">
      <c r="A845" s="1"/>
      <c r="B845" s="6"/>
      <c r="C845" s="1"/>
      <c r="D845" s="68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21.75" customHeight="1" x14ac:dyDescent="0.7">
      <c r="A846" s="1"/>
      <c r="B846" s="6"/>
      <c r="C846" s="1"/>
      <c r="D846" s="68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21.75" customHeight="1" x14ac:dyDescent="0.7">
      <c r="A847" s="1"/>
      <c r="B847" s="6"/>
      <c r="C847" s="1"/>
      <c r="D847" s="6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21.75" customHeight="1" x14ac:dyDescent="0.7">
      <c r="A848" s="1"/>
      <c r="B848" s="6"/>
      <c r="C848" s="1"/>
      <c r="D848" s="68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21.75" customHeight="1" x14ac:dyDescent="0.7">
      <c r="A849" s="1"/>
      <c r="B849" s="6"/>
      <c r="C849" s="1"/>
      <c r="D849" s="68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21.75" customHeight="1" x14ac:dyDescent="0.7">
      <c r="A850" s="1"/>
      <c r="B850" s="6"/>
      <c r="C850" s="1"/>
      <c r="D850" s="68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21.75" customHeight="1" x14ac:dyDescent="0.7">
      <c r="A851" s="1"/>
      <c r="B851" s="6"/>
      <c r="C851" s="1"/>
      <c r="D851" s="68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21.75" customHeight="1" x14ac:dyDescent="0.7">
      <c r="A852" s="1"/>
      <c r="B852" s="6"/>
      <c r="C852" s="1"/>
      <c r="D852" s="68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21.75" customHeight="1" x14ac:dyDescent="0.7">
      <c r="A853" s="1"/>
      <c r="B853" s="6"/>
      <c r="C853" s="1"/>
      <c r="D853" s="68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21.75" customHeight="1" x14ac:dyDescent="0.7">
      <c r="A854" s="1"/>
      <c r="B854" s="6"/>
      <c r="C854" s="1"/>
      <c r="D854" s="68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21.75" customHeight="1" x14ac:dyDescent="0.7">
      <c r="A855" s="1"/>
      <c r="B855" s="6"/>
      <c r="C855" s="1"/>
      <c r="D855" s="68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21.75" customHeight="1" x14ac:dyDescent="0.7">
      <c r="A856" s="1"/>
      <c r="B856" s="6"/>
      <c r="C856" s="1"/>
      <c r="D856" s="68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21.75" customHeight="1" x14ac:dyDescent="0.7">
      <c r="A857" s="1"/>
      <c r="B857" s="6"/>
      <c r="C857" s="1"/>
      <c r="D857" s="68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21.75" customHeight="1" x14ac:dyDescent="0.7">
      <c r="A858" s="1"/>
      <c r="B858" s="6"/>
      <c r="C858" s="1"/>
      <c r="D858" s="68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21.75" customHeight="1" x14ac:dyDescent="0.7">
      <c r="A859" s="1"/>
      <c r="B859" s="6"/>
      <c r="C859" s="1"/>
      <c r="D859" s="68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21.75" customHeight="1" x14ac:dyDescent="0.7">
      <c r="A860" s="1"/>
      <c r="B860" s="6"/>
      <c r="C860" s="1"/>
      <c r="D860" s="68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21.75" customHeight="1" x14ac:dyDescent="0.7">
      <c r="A861" s="1"/>
      <c r="B861" s="6"/>
      <c r="C861" s="1"/>
      <c r="D861" s="68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21.75" customHeight="1" x14ac:dyDescent="0.7">
      <c r="A862" s="1"/>
      <c r="B862" s="6"/>
      <c r="C862" s="1"/>
      <c r="D862" s="68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21.75" customHeight="1" x14ac:dyDescent="0.7">
      <c r="A863" s="1"/>
      <c r="B863" s="6"/>
      <c r="C863" s="1"/>
      <c r="D863" s="68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21.75" customHeight="1" x14ac:dyDescent="0.7">
      <c r="A864" s="1"/>
      <c r="B864" s="6"/>
      <c r="C864" s="1"/>
      <c r="D864" s="68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21.75" customHeight="1" x14ac:dyDescent="0.7">
      <c r="A865" s="1"/>
      <c r="B865" s="6"/>
      <c r="C865" s="1"/>
      <c r="D865" s="68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21.75" customHeight="1" x14ac:dyDescent="0.7">
      <c r="A866" s="1"/>
      <c r="B866" s="6"/>
      <c r="C866" s="1"/>
      <c r="D866" s="68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21.75" customHeight="1" x14ac:dyDescent="0.7">
      <c r="A867" s="1"/>
      <c r="B867" s="6"/>
      <c r="C867" s="1"/>
      <c r="D867" s="68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21.75" customHeight="1" x14ac:dyDescent="0.7">
      <c r="A868" s="1"/>
      <c r="B868" s="6"/>
      <c r="C868" s="1"/>
      <c r="D868" s="68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21.75" customHeight="1" x14ac:dyDescent="0.7">
      <c r="A869" s="1"/>
      <c r="B869" s="6"/>
      <c r="C869" s="1"/>
      <c r="D869" s="68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21.75" customHeight="1" x14ac:dyDescent="0.7">
      <c r="A870" s="1"/>
      <c r="B870" s="6"/>
      <c r="C870" s="1"/>
      <c r="D870" s="68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21.75" customHeight="1" x14ac:dyDescent="0.7">
      <c r="A871" s="1"/>
      <c r="B871" s="6"/>
      <c r="C871" s="1"/>
      <c r="D871" s="68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21.75" customHeight="1" x14ac:dyDescent="0.7">
      <c r="A872" s="1"/>
      <c r="B872" s="6"/>
      <c r="C872" s="1"/>
      <c r="D872" s="68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21.75" customHeight="1" x14ac:dyDescent="0.7">
      <c r="A873" s="1"/>
      <c r="B873" s="6"/>
      <c r="C873" s="1"/>
      <c r="D873" s="68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21.75" customHeight="1" x14ac:dyDescent="0.7">
      <c r="A874" s="1"/>
      <c r="B874" s="6"/>
      <c r="C874" s="1"/>
      <c r="D874" s="68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21.75" customHeight="1" x14ac:dyDescent="0.7">
      <c r="A875" s="1"/>
      <c r="B875" s="6"/>
      <c r="C875" s="1"/>
      <c r="D875" s="68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21.75" customHeight="1" x14ac:dyDescent="0.7">
      <c r="A876" s="1"/>
      <c r="B876" s="6"/>
      <c r="C876" s="1"/>
      <c r="D876" s="68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21.75" customHeight="1" x14ac:dyDescent="0.7">
      <c r="A877" s="1"/>
      <c r="B877" s="6"/>
      <c r="C877" s="1"/>
      <c r="D877" s="68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21.75" customHeight="1" x14ac:dyDescent="0.7">
      <c r="A878" s="1"/>
      <c r="B878" s="6"/>
      <c r="C878" s="1"/>
      <c r="D878" s="68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21.75" customHeight="1" x14ac:dyDescent="0.7">
      <c r="A879" s="1"/>
      <c r="B879" s="6"/>
      <c r="C879" s="1"/>
      <c r="D879" s="68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21.75" customHeight="1" x14ac:dyDescent="0.7">
      <c r="A880" s="1"/>
      <c r="B880" s="6"/>
      <c r="C880" s="1"/>
      <c r="D880" s="68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21.75" customHeight="1" x14ac:dyDescent="0.7">
      <c r="A881" s="1"/>
      <c r="B881" s="6"/>
      <c r="C881" s="1"/>
      <c r="D881" s="68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21.75" customHeight="1" x14ac:dyDescent="0.7">
      <c r="A882" s="1"/>
      <c r="B882" s="6"/>
      <c r="C882" s="1"/>
      <c r="D882" s="68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21.75" customHeight="1" x14ac:dyDescent="0.7">
      <c r="A883" s="1"/>
      <c r="B883" s="6"/>
      <c r="C883" s="1"/>
      <c r="D883" s="68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21.75" customHeight="1" x14ac:dyDescent="0.7">
      <c r="A884" s="1"/>
      <c r="B884" s="6"/>
      <c r="C884" s="1"/>
      <c r="D884" s="68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21.75" customHeight="1" x14ac:dyDescent="0.7">
      <c r="A885" s="1"/>
      <c r="B885" s="6"/>
      <c r="C885" s="1"/>
      <c r="D885" s="68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21.75" customHeight="1" x14ac:dyDescent="0.7">
      <c r="A886" s="1"/>
      <c r="B886" s="6"/>
      <c r="C886" s="1"/>
      <c r="D886" s="68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21.75" customHeight="1" x14ac:dyDescent="0.7">
      <c r="A887" s="1"/>
      <c r="B887" s="6"/>
      <c r="C887" s="1"/>
      <c r="D887" s="68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21.75" customHeight="1" x14ac:dyDescent="0.7">
      <c r="A888" s="1"/>
      <c r="B888" s="6"/>
      <c r="C888" s="1"/>
      <c r="D888" s="68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21.75" customHeight="1" x14ac:dyDescent="0.7">
      <c r="A889" s="1"/>
      <c r="B889" s="6"/>
      <c r="C889" s="1"/>
      <c r="D889" s="68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21.75" customHeight="1" x14ac:dyDescent="0.7">
      <c r="A890" s="1"/>
      <c r="B890" s="6"/>
      <c r="C890" s="1"/>
      <c r="D890" s="68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21.75" customHeight="1" x14ac:dyDescent="0.7">
      <c r="A891" s="1"/>
      <c r="B891" s="6"/>
      <c r="C891" s="1"/>
      <c r="D891" s="68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21.75" customHeight="1" x14ac:dyDescent="0.7">
      <c r="A892" s="1"/>
      <c r="B892" s="6"/>
      <c r="C892" s="1"/>
      <c r="D892" s="68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21.75" customHeight="1" x14ac:dyDescent="0.7">
      <c r="A893" s="1"/>
      <c r="B893" s="6"/>
      <c r="C893" s="1"/>
      <c r="D893" s="68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21.75" customHeight="1" x14ac:dyDescent="0.7">
      <c r="A894" s="1"/>
      <c r="B894" s="6"/>
      <c r="C894" s="1"/>
      <c r="D894" s="68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21.75" customHeight="1" x14ac:dyDescent="0.7">
      <c r="A895" s="1"/>
      <c r="B895" s="6"/>
      <c r="C895" s="1"/>
      <c r="D895" s="68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21.75" customHeight="1" x14ac:dyDescent="0.7">
      <c r="A896" s="1"/>
      <c r="B896" s="6"/>
      <c r="C896" s="1"/>
      <c r="D896" s="68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21.75" customHeight="1" x14ac:dyDescent="0.7">
      <c r="A897" s="1"/>
      <c r="B897" s="6"/>
      <c r="C897" s="1"/>
      <c r="D897" s="68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21.75" customHeight="1" x14ac:dyDescent="0.7">
      <c r="A898" s="1"/>
      <c r="B898" s="6"/>
      <c r="C898" s="1"/>
      <c r="D898" s="68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21.75" customHeight="1" x14ac:dyDescent="0.7">
      <c r="A899" s="1"/>
      <c r="B899" s="6"/>
      <c r="C899" s="1"/>
      <c r="D899" s="68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21.75" customHeight="1" x14ac:dyDescent="0.7">
      <c r="A900" s="1"/>
      <c r="B900" s="6"/>
      <c r="C900" s="1"/>
      <c r="D900" s="68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21.75" customHeight="1" x14ac:dyDescent="0.7">
      <c r="A901" s="1"/>
      <c r="B901" s="6"/>
      <c r="C901" s="1"/>
      <c r="D901" s="68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21.75" customHeight="1" x14ac:dyDescent="0.7">
      <c r="A902" s="1"/>
      <c r="B902" s="6"/>
      <c r="C902" s="1"/>
      <c r="D902" s="68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21.75" customHeight="1" x14ac:dyDescent="0.7">
      <c r="A903" s="1"/>
      <c r="B903" s="6"/>
      <c r="C903" s="1"/>
      <c r="D903" s="68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21.75" customHeight="1" x14ac:dyDescent="0.7">
      <c r="A904" s="1"/>
      <c r="B904" s="6"/>
      <c r="C904" s="1"/>
      <c r="D904" s="68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21.75" customHeight="1" x14ac:dyDescent="0.7">
      <c r="A905" s="1"/>
      <c r="B905" s="6"/>
      <c r="C905" s="1"/>
      <c r="D905" s="68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21.75" customHeight="1" x14ac:dyDescent="0.7">
      <c r="A906" s="1"/>
      <c r="B906" s="6"/>
      <c r="C906" s="1"/>
      <c r="D906" s="68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21.75" customHeight="1" x14ac:dyDescent="0.7">
      <c r="A907" s="1"/>
      <c r="B907" s="6"/>
      <c r="C907" s="1"/>
      <c r="D907" s="68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21.75" customHeight="1" x14ac:dyDescent="0.7">
      <c r="A908" s="1"/>
      <c r="B908" s="6"/>
      <c r="C908" s="1"/>
      <c r="D908" s="68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21.75" customHeight="1" x14ac:dyDescent="0.7">
      <c r="A909" s="1"/>
      <c r="B909" s="6"/>
      <c r="C909" s="1"/>
      <c r="D909" s="68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21.75" customHeight="1" x14ac:dyDescent="0.7">
      <c r="A910" s="1"/>
      <c r="B910" s="6"/>
      <c r="C910" s="1"/>
      <c r="D910" s="68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21.75" customHeight="1" x14ac:dyDescent="0.7">
      <c r="A911" s="1"/>
      <c r="B911" s="6"/>
      <c r="C911" s="1"/>
      <c r="D911" s="68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21.75" customHeight="1" x14ac:dyDescent="0.7">
      <c r="A912" s="1"/>
      <c r="B912" s="6"/>
      <c r="C912" s="1"/>
      <c r="D912" s="68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21.75" customHeight="1" x14ac:dyDescent="0.7">
      <c r="A913" s="1"/>
      <c r="B913" s="6"/>
      <c r="C913" s="1"/>
      <c r="D913" s="68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21.75" customHeight="1" x14ac:dyDescent="0.7">
      <c r="A914" s="1"/>
      <c r="B914" s="6"/>
      <c r="C914" s="1"/>
      <c r="D914" s="68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21.75" customHeight="1" x14ac:dyDescent="0.7">
      <c r="A915" s="1"/>
      <c r="B915" s="6"/>
      <c r="C915" s="1"/>
      <c r="D915" s="68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21.75" customHeight="1" x14ac:dyDescent="0.7">
      <c r="A916" s="1"/>
      <c r="B916" s="6"/>
      <c r="C916" s="1"/>
      <c r="D916" s="68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21.75" customHeight="1" x14ac:dyDescent="0.7">
      <c r="A917" s="1"/>
      <c r="B917" s="6"/>
      <c r="C917" s="1"/>
      <c r="D917" s="68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21.75" customHeight="1" x14ac:dyDescent="0.7">
      <c r="A918" s="1"/>
      <c r="B918" s="6"/>
      <c r="C918" s="1"/>
      <c r="D918" s="68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21.75" customHeight="1" x14ac:dyDescent="0.7">
      <c r="A919" s="1"/>
      <c r="B919" s="6"/>
      <c r="C919" s="1"/>
      <c r="D919" s="68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21.75" customHeight="1" x14ac:dyDescent="0.7">
      <c r="A920" s="1"/>
      <c r="B920" s="6"/>
      <c r="C920" s="1"/>
      <c r="D920" s="68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21.75" customHeight="1" x14ac:dyDescent="0.7">
      <c r="A921" s="1"/>
      <c r="B921" s="6"/>
      <c r="C921" s="1"/>
      <c r="D921" s="68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21.75" customHeight="1" x14ac:dyDescent="0.7">
      <c r="A922" s="1"/>
      <c r="B922" s="6"/>
      <c r="C922" s="1"/>
      <c r="D922" s="68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21.75" customHeight="1" x14ac:dyDescent="0.7">
      <c r="A923" s="1"/>
      <c r="B923" s="6"/>
      <c r="C923" s="1"/>
      <c r="D923" s="68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21.75" customHeight="1" x14ac:dyDescent="0.7">
      <c r="A924" s="1"/>
      <c r="B924" s="6"/>
      <c r="C924" s="1"/>
      <c r="D924" s="68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21.75" customHeight="1" x14ac:dyDescent="0.7">
      <c r="A925" s="1"/>
      <c r="B925" s="6"/>
      <c r="C925" s="1"/>
      <c r="D925" s="68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21.75" customHeight="1" x14ac:dyDescent="0.7">
      <c r="A926" s="1"/>
      <c r="B926" s="6"/>
      <c r="C926" s="1"/>
      <c r="D926" s="68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21.75" customHeight="1" x14ac:dyDescent="0.7">
      <c r="A927" s="1"/>
      <c r="B927" s="6"/>
      <c r="C927" s="1"/>
      <c r="D927" s="68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21.75" customHeight="1" x14ac:dyDescent="0.7">
      <c r="A928" s="1"/>
      <c r="B928" s="6"/>
      <c r="C928" s="1"/>
      <c r="D928" s="68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21.75" customHeight="1" x14ac:dyDescent="0.7">
      <c r="A929" s="1"/>
      <c r="B929" s="6"/>
      <c r="C929" s="1"/>
      <c r="D929" s="68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21.75" customHeight="1" x14ac:dyDescent="0.7">
      <c r="A930" s="1"/>
      <c r="B930" s="6"/>
      <c r="C930" s="1"/>
      <c r="D930" s="68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21.75" customHeight="1" x14ac:dyDescent="0.7">
      <c r="A931" s="1"/>
      <c r="B931" s="6"/>
      <c r="C931" s="1"/>
      <c r="D931" s="68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21.75" customHeight="1" x14ac:dyDescent="0.7">
      <c r="A932" s="1"/>
      <c r="B932" s="6"/>
      <c r="C932" s="1"/>
      <c r="D932" s="68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21.75" customHeight="1" x14ac:dyDescent="0.7">
      <c r="A933" s="1"/>
      <c r="B933" s="6"/>
      <c r="C933" s="1"/>
      <c r="D933" s="68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21.75" customHeight="1" x14ac:dyDescent="0.7">
      <c r="A934" s="1"/>
      <c r="B934" s="6"/>
      <c r="C934" s="1"/>
      <c r="D934" s="68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21.75" customHeight="1" x14ac:dyDescent="0.7">
      <c r="A935" s="1"/>
      <c r="B935" s="6"/>
      <c r="C935" s="1"/>
      <c r="D935" s="68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21.75" customHeight="1" x14ac:dyDescent="0.7">
      <c r="A936" s="1"/>
      <c r="B936" s="6"/>
      <c r="C936" s="1"/>
      <c r="D936" s="68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21.75" customHeight="1" x14ac:dyDescent="0.7">
      <c r="A937" s="1"/>
      <c r="B937" s="6"/>
      <c r="C937" s="1"/>
      <c r="D937" s="68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21.75" customHeight="1" x14ac:dyDescent="0.7">
      <c r="A938" s="1"/>
      <c r="B938" s="6"/>
      <c r="C938" s="1"/>
      <c r="D938" s="68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21.75" customHeight="1" x14ac:dyDescent="0.7">
      <c r="A939" s="1"/>
      <c r="B939" s="6"/>
      <c r="C939" s="1"/>
      <c r="D939" s="68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21.75" customHeight="1" x14ac:dyDescent="0.7">
      <c r="A940" s="1"/>
      <c r="B940" s="6"/>
      <c r="C940" s="1"/>
      <c r="D940" s="68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21.75" customHeight="1" x14ac:dyDescent="0.7">
      <c r="A941" s="1"/>
      <c r="B941" s="6"/>
      <c r="C941" s="1"/>
      <c r="D941" s="68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21.75" customHeight="1" x14ac:dyDescent="0.7">
      <c r="A942" s="1"/>
      <c r="B942" s="6"/>
      <c r="C942" s="1"/>
      <c r="D942" s="68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21.75" customHeight="1" x14ac:dyDescent="0.7">
      <c r="A943" s="1"/>
      <c r="B943" s="6"/>
      <c r="C943" s="1"/>
      <c r="D943" s="68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21.75" customHeight="1" x14ac:dyDescent="0.7">
      <c r="A944" s="1"/>
      <c r="B944" s="6"/>
      <c r="C944" s="1"/>
      <c r="D944" s="68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21.75" customHeight="1" x14ac:dyDescent="0.7">
      <c r="A945" s="1"/>
      <c r="B945" s="6"/>
      <c r="C945" s="1"/>
      <c r="D945" s="68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21.75" customHeight="1" x14ac:dyDescent="0.7">
      <c r="A946" s="1"/>
      <c r="B946" s="6"/>
      <c r="C946" s="1"/>
      <c r="D946" s="68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21.75" customHeight="1" x14ac:dyDescent="0.7">
      <c r="A947" s="1"/>
      <c r="B947" s="6"/>
      <c r="C947" s="1"/>
      <c r="D947" s="68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21.75" customHeight="1" x14ac:dyDescent="0.7">
      <c r="A948" s="1"/>
      <c r="B948" s="6"/>
      <c r="C948" s="1"/>
      <c r="D948" s="68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21.75" customHeight="1" x14ac:dyDescent="0.7">
      <c r="A949" s="1"/>
      <c r="B949" s="6"/>
      <c r="C949" s="1"/>
      <c r="D949" s="68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21.75" customHeight="1" x14ac:dyDescent="0.7">
      <c r="A950" s="1"/>
      <c r="B950" s="6"/>
      <c r="C950" s="1"/>
      <c r="D950" s="68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21.75" customHeight="1" x14ac:dyDescent="0.7">
      <c r="A951" s="1"/>
      <c r="B951" s="6"/>
      <c r="C951" s="1"/>
      <c r="D951" s="68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21.75" customHeight="1" x14ac:dyDescent="0.7">
      <c r="A952" s="1"/>
      <c r="B952" s="6"/>
      <c r="C952" s="1"/>
      <c r="D952" s="68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21.75" customHeight="1" x14ac:dyDescent="0.7">
      <c r="A953" s="1"/>
      <c r="B953" s="6"/>
      <c r="C953" s="1"/>
      <c r="D953" s="68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21.75" customHeight="1" x14ac:dyDescent="0.7">
      <c r="A954" s="1"/>
      <c r="B954" s="6"/>
      <c r="C954" s="1"/>
      <c r="D954" s="68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21.75" customHeight="1" x14ac:dyDescent="0.7">
      <c r="A955" s="1"/>
      <c r="B955" s="6"/>
      <c r="C955" s="1"/>
      <c r="D955" s="68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21.75" customHeight="1" x14ac:dyDescent="0.7">
      <c r="A956" s="1"/>
      <c r="B956" s="6"/>
      <c r="C956" s="1"/>
      <c r="D956" s="68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21.75" customHeight="1" x14ac:dyDescent="0.7">
      <c r="A957" s="1"/>
      <c r="B957" s="6"/>
      <c r="C957" s="1"/>
      <c r="D957" s="68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21.75" customHeight="1" x14ac:dyDescent="0.7">
      <c r="A958" s="1"/>
      <c r="B958" s="6"/>
      <c r="C958" s="1"/>
      <c r="D958" s="68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21.75" customHeight="1" x14ac:dyDescent="0.7">
      <c r="A959" s="1"/>
      <c r="B959" s="6"/>
      <c r="C959" s="1"/>
      <c r="D959" s="68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21.75" customHeight="1" x14ac:dyDescent="0.7">
      <c r="A960" s="1"/>
      <c r="B960" s="6"/>
      <c r="C960" s="1"/>
      <c r="D960" s="68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21.75" customHeight="1" x14ac:dyDescent="0.7">
      <c r="A961" s="1"/>
      <c r="B961" s="6"/>
      <c r="C961" s="1"/>
      <c r="D961" s="68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21.75" customHeight="1" x14ac:dyDescent="0.7">
      <c r="A962" s="1"/>
      <c r="B962" s="6"/>
      <c r="C962" s="1"/>
      <c r="D962" s="68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21.75" customHeight="1" x14ac:dyDescent="0.7">
      <c r="A963" s="1"/>
      <c r="B963" s="6"/>
      <c r="C963" s="1"/>
      <c r="D963" s="68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21.75" customHeight="1" x14ac:dyDescent="0.7">
      <c r="A964" s="1"/>
      <c r="B964" s="6"/>
      <c r="C964" s="1"/>
      <c r="D964" s="68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21.75" customHeight="1" x14ac:dyDescent="0.7">
      <c r="A965" s="1"/>
      <c r="B965" s="6"/>
      <c r="C965" s="1"/>
      <c r="D965" s="68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21.75" customHeight="1" x14ac:dyDescent="0.7">
      <c r="A966" s="1"/>
      <c r="B966" s="6"/>
      <c r="C966" s="1"/>
      <c r="D966" s="68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21.75" customHeight="1" x14ac:dyDescent="0.7">
      <c r="A967" s="1"/>
      <c r="B967" s="6"/>
      <c r="C967" s="1"/>
      <c r="D967" s="68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21.75" customHeight="1" x14ac:dyDescent="0.7">
      <c r="A968" s="1"/>
      <c r="B968" s="6"/>
      <c r="C968" s="1"/>
      <c r="D968" s="68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21.75" customHeight="1" x14ac:dyDescent="0.7">
      <c r="A969" s="1"/>
      <c r="B969" s="6"/>
      <c r="C969" s="1"/>
      <c r="D969" s="68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21.75" customHeight="1" x14ac:dyDescent="0.7">
      <c r="A970" s="1"/>
      <c r="B970" s="6"/>
      <c r="C970" s="1"/>
      <c r="D970" s="68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21.75" customHeight="1" x14ac:dyDescent="0.7">
      <c r="A971" s="1"/>
      <c r="B971" s="6"/>
      <c r="C971" s="1"/>
      <c r="D971" s="68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21.75" customHeight="1" x14ac:dyDescent="0.7">
      <c r="A972" s="1"/>
      <c r="B972" s="6"/>
      <c r="C972" s="1"/>
      <c r="D972" s="68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21.75" customHeight="1" x14ac:dyDescent="0.7">
      <c r="A973" s="1"/>
      <c r="B973" s="6"/>
      <c r="C973" s="1"/>
      <c r="D973" s="68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21.75" customHeight="1" x14ac:dyDescent="0.7">
      <c r="A974" s="1"/>
      <c r="B974" s="6"/>
      <c r="C974" s="1"/>
      <c r="D974" s="68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21.75" customHeight="1" x14ac:dyDescent="0.7">
      <c r="A975" s="1"/>
      <c r="B975" s="6"/>
      <c r="C975" s="1"/>
      <c r="D975" s="68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21.75" customHeight="1" x14ac:dyDescent="0.7">
      <c r="A976" s="1"/>
      <c r="B976" s="6"/>
      <c r="C976" s="1"/>
      <c r="D976" s="68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21.75" customHeight="1" x14ac:dyDescent="0.7">
      <c r="A977" s="1"/>
      <c r="B977" s="6"/>
      <c r="C977" s="1"/>
      <c r="D977" s="68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21.75" customHeight="1" x14ac:dyDescent="0.7">
      <c r="A978" s="1"/>
      <c r="B978" s="6"/>
      <c r="C978" s="1"/>
      <c r="D978" s="68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21.75" customHeight="1" x14ac:dyDescent="0.7">
      <c r="A979" s="1"/>
      <c r="B979" s="6"/>
      <c r="C979" s="1"/>
      <c r="D979" s="68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21.75" customHeight="1" x14ac:dyDescent="0.7">
      <c r="A980" s="1"/>
      <c r="B980" s="6"/>
      <c r="C980" s="1"/>
      <c r="D980" s="68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21.75" customHeight="1" x14ac:dyDescent="0.7">
      <c r="A981" s="1"/>
      <c r="B981" s="6"/>
      <c r="C981" s="1"/>
      <c r="D981" s="68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21.75" customHeight="1" x14ac:dyDescent="0.7">
      <c r="A982" s="1"/>
      <c r="B982" s="6"/>
      <c r="C982" s="1"/>
      <c r="D982" s="68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21.75" customHeight="1" x14ac:dyDescent="0.7">
      <c r="A983" s="1"/>
      <c r="B983" s="6"/>
      <c r="C983" s="1"/>
      <c r="D983" s="68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21.75" customHeight="1" x14ac:dyDescent="0.7">
      <c r="A984" s="1"/>
      <c r="B984" s="6"/>
      <c r="C984" s="1"/>
      <c r="D984" s="68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21.75" customHeight="1" x14ac:dyDescent="0.7">
      <c r="A985" s="1"/>
      <c r="B985" s="6"/>
      <c r="C985" s="1"/>
      <c r="D985" s="68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21.75" customHeight="1" x14ac:dyDescent="0.7">
      <c r="A986" s="1"/>
      <c r="B986" s="6"/>
      <c r="C986" s="1"/>
      <c r="D986" s="68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21.75" customHeight="1" x14ac:dyDescent="0.7">
      <c r="A987" s="1"/>
      <c r="B987" s="6"/>
      <c r="C987" s="1"/>
      <c r="D987" s="68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21.75" customHeight="1" x14ac:dyDescent="0.7">
      <c r="A988" s="1"/>
      <c r="B988" s="6"/>
      <c r="C988" s="1"/>
      <c r="D988" s="68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21.75" customHeight="1" x14ac:dyDescent="0.7">
      <c r="A989" s="1"/>
      <c r="B989" s="6"/>
      <c r="C989" s="1"/>
      <c r="D989" s="68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21.75" customHeight="1" x14ac:dyDescent="0.7">
      <c r="A990" s="1"/>
      <c r="B990" s="6"/>
      <c r="C990" s="1"/>
      <c r="D990" s="68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21.75" customHeight="1" x14ac:dyDescent="0.7">
      <c r="A991" s="1"/>
      <c r="B991" s="6"/>
      <c r="C991" s="1"/>
      <c r="D991" s="68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21.75" customHeight="1" x14ac:dyDescent="0.7">
      <c r="A992" s="1"/>
      <c r="B992" s="6"/>
      <c r="C992" s="1"/>
      <c r="D992" s="68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21.75" customHeight="1" x14ac:dyDescent="0.7">
      <c r="A993" s="1"/>
      <c r="B993" s="6"/>
      <c r="C993" s="1"/>
      <c r="D993" s="68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21.75" customHeight="1" x14ac:dyDescent="0.7">
      <c r="A994" s="1"/>
      <c r="B994" s="6"/>
      <c r="C994" s="1"/>
      <c r="D994" s="68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21.75" customHeight="1" x14ac:dyDescent="0.7">
      <c r="A995" s="1"/>
      <c r="B995" s="6"/>
      <c r="C995" s="1"/>
      <c r="D995" s="68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21.75" customHeight="1" x14ac:dyDescent="0.7">
      <c r="A996" s="1"/>
      <c r="B996" s="6"/>
      <c r="C996" s="1"/>
      <c r="D996" s="68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21.75" customHeight="1" x14ac:dyDescent="0.7">
      <c r="A997" s="1"/>
      <c r="B997" s="6"/>
      <c r="C997" s="1"/>
      <c r="D997" s="68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21.75" customHeight="1" x14ac:dyDescent="0.7">
      <c r="A998" s="1"/>
      <c r="B998" s="6"/>
      <c r="C998" s="1"/>
      <c r="D998" s="68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21.75" customHeight="1" x14ac:dyDescent="0.7">
      <c r="A999" s="1"/>
      <c r="B999" s="6"/>
      <c r="C999" s="1"/>
      <c r="D999" s="68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21.75" customHeight="1" x14ac:dyDescent="0.7">
      <c r="A1000" s="1"/>
      <c r="B1000" s="6"/>
      <c r="C1000" s="1"/>
      <c r="D1000" s="68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21.75" customHeight="1" x14ac:dyDescent="0.7">
      <c r="A1001" s="1"/>
      <c r="B1001" s="6"/>
      <c r="C1001" s="1"/>
      <c r="D1001" s="68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21.75" customHeight="1" x14ac:dyDescent="0.7">
      <c r="A1002" s="1"/>
      <c r="B1002" s="6"/>
      <c r="C1002" s="1"/>
      <c r="D1002" s="68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21.75" customHeight="1" x14ac:dyDescent="0.7">
      <c r="A1003" s="1"/>
      <c r="B1003" s="6"/>
      <c r="C1003" s="1"/>
      <c r="D1003" s="68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21.75" customHeight="1" x14ac:dyDescent="0.7">
      <c r="A1004" s="1"/>
      <c r="B1004" s="6"/>
      <c r="C1004" s="1"/>
      <c r="D1004" s="68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</sheetData>
  <mergeCells count="3">
    <mergeCell ref="A1:A2"/>
    <mergeCell ref="B1:C1"/>
    <mergeCell ref="J1:J2"/>
  </mergeCells>
  <phoneticPr fontId="25" type="noConversion"/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M29"/>
  <sheetViews>
    <sheetView zoomScale="70" zoomScaleNormal="70" workbookViewId="0">
      <selection activeCell="H8" sqref="H8:H24"/>
    </sheetView>
  </sheetViews>
  <sheetFormatPr defaultRowHeight="14.4" x14ac:dyDescent="0.3"/>
  <cols>
    <col min="2" max="2" width="66.109375" customWidth="1"/>
    <col min="3" max="3" width="13.109375" bestFit="1" customWidth="1"/>
    <col min="4" max="4" width="12.6640625" bestFit="1" customWidth="1"/>
    <col min="5" max="5" width="13.109375" bestFit="1" customWidth="1"/>
    <col min="6" max="6" width="12.6640625" bestFit="1" customWidth="1"/>
    <col min="7" max="7" width="16.109375" bestFit="1" customWidth="1"/>
    <col min="8" max="8" width="21.33203125" bestFit="1" customWidth="1"/>
    <col min="9" max="9" width="17" bestFit="1" customWidth="1"/>
    <col min="10" max="10" width="21.33203125" bestFit="1" customWidth="1"/>
    <col min="12" max="13" width="17" style="63" customWidth="1"/>
  </cols>
  <sheetData>
    <row r="1" spans="2:13" ht="13.8" customHeight="1" x14ac:dyDescent="0.3"/>
    <row r="2" spans="2:13" ht="13.8" customHeight="1" thickBot="1" x14ac:dyDescent="0.35"/>
    <row r="3" spans="2:13" ht="13.8" customHeight="1" x14ac:dyDescent="0.3">
      <c r="C3" s="61" t="s">
        <v>43</v>
      </c>
      <c r="D3" s="97">
        <v>44470</v>
      </c>
      <c r="E3" s="61" t="s">
        <v>43</v>
      </c>
      <c r="F3" s="97">
        <v>44409</v>
      </c>
      <c r="G3" s="61" t="s">
        <v>43</v>
      </c>
      <c r="H3" s="97">
        <v>44896</v>
      </c>
      <c r="I3" s="61" t="s">
        <v>43</v>
      </c>
      <c r="J3" s="34"/>
    </row>
    <row r="4" spans="2:13" ht="13.8" customHeight="1" thickBot="1" x14ac:dyDescent="0.35">
      <c r="C4" s="62" t="s">
        <v>46</v>
      </c>
      <c r="D4" s="55">
        <v>2381.34</v>
      </c>
      <c r="E4" s="62" t="s">
        <v>46</v>
      </c>
      <c r="F4" s="55">
        <v>2329.85</v>
      </c>
      <c r="G4" s="62" t="s">
        <v>46</v>
      </c>
      <c r="H4" s="55">
        <v>2643.16</v>
      </c>
      <c r="I4" s="62" t="s">
        <v>46</v>
      </c>
      <c r="J4" s="55"/>
    </row>
    <row r="5" spans="2:13" ht="13.8" customHeight="1" thickBot="1" x14ac:dyDescent="0.35"/>
    <row r="6" spans="2:13" ht="19.05" customHeight="1" thickBot="1" x14ac:dyDescent="0.35">
      <c r="C6" s="219" t="s">
        <v>54</v>
      </c>
      <c r="D6" s="220"/>
      <c r="E6" s="219" t="s">
        <v>55</v>
      </c>
      <c r="F6" s="221"/>
      <c r="G6" s="219" t="s">
        <v>56</v>
      </c>
      <c r="H6" s="220"/>
      <c r="I6" s="221" t="s">
        <v>42</v>
      </c>
      <c r="J6" s="220"/>
      <c r="L6" s="222" t="s">
        <v>49</v>
      </c>
      <c r="M6" s="222"/>
    </row>
    <row r="7" spans="2:13" ht="19.05" customHeight="1" thickBot="1" x14ac:dyDescent="0.35">
      <c r="B7" s="24"/>
      <c r="C7" s="58" t="s">
        <v>47</v>
      </c>
      <c r="D7" s="58" t="s">
        <v>48</v>
      </c>
      <c r="E7" s="58" t="s">
        <v>47</v>
      </c>
      <c r="F7" s="58" t="s">
        <v>48</v>
      </c>
      <c r="G7" s="59" t="s">
        <v>47</v>
      </c>
      <c r="H7" s="60" t="s">
        <v>48</v>
      </c>
      <c r="I7" s="58" t="s">
        <v>47</v>
      </c>
      <c r="J7" s="58" t="s">
        <v>48</v>
      </c>
      <c r="L7" s="64" t="s">
        <v>50</v>
      </c>
      <c r="M7" s="64" t="s">
        <v>51</v>
      </c>
    </row>
    <row r="8" spans="2:13" ht="19.05" customHeight="1" x14ac:dyDescent="0.3">
      <c r="B8" s="43" t="s">
        <v>41</v>
      </c>
      <c r="C8" s="48">
        <v>252.01389400000002</v>
      </c>
      <c r="D8" s="99">
        <f>ORÇAMENTO_EXECUTIVO!$B$21/CÁLCULO_MÉDIAS!D$4*C8</f>
        <v>255.99622446571254</v>
      </c>
      <c r="E8" s="49">
        <v>260.35640500000005</v>
      </c>
      <c r="F8" s="99">
        <f>ORÇAMENTO_EXECUTIVO!$B$21/CÁLCULO_MÉDIAS!F$4*E8</f>
        <v>270.3153992758547</v>
      </c>
      <c r="G8" s="98">
        <v>263.40242195134653</v>
      </c>
      <c r="H8" s="86">
        <f>ORÇAMENTO_EXECUTIVO!$B$21/CÁLCULO_MÉDIAS!H$4*G8</f>
        <v>241.0609106628614</v>
      </c>
      <c r="I8" s="50"/>
      <c r="J8" s="86" t="e">
        <f>ORÇAMENTO_EXECUTIVO!$B$21/CÁLCULO_MÉDIAS!J$4*I8</f>
        <v>#DIV/0!</v>
      </c>
      <c r="L8" s="65">
        <v>240</v>
      </c>
      <c r="M8" s="65">
        <v>272</v>
      </c>
    </row>
    <row r="9" spans="2:13" ht="19.05" customHeight="1" x14ac:dyDescent="0.3">
      <c r="B9" s="96" t="s">
        <v>53</v>
      </c>
      <c r="C9" s="25">
        <v>791.69167000000004</v>
      </c>
      <c r="D9" s="99">
        <f>ORÇAMENTO_EXECUTIVO!$B$21/CÁLCULO_MÉDIAS!D$4*C9</f>
        <v>804.20200348539049</v>
      </c>
      <c r="E9" s="28">
        <v>808.71698000000004</v>
      </c>
      <c r="F9" s="99">
        <f>ORÇAMENTO_EXECUTIVO!$B$21/CÁLCULO_MÉDIAS!F$4*E9</f>
        <v>839.65152825744144</v>
      </c>
      <c r="G9" s="25">
        <v>1080.4708406983405</v>
      </c>
      <c r="H9" s="86">
        <f>ORÇAMENTO_EXECUTIVO!$B$21/CÁLCULO_MÉDIAS!H$4*G9</f>
        <v>988.8264613281317</v>
      </c>
      <c r="I9" s="51"/>
      <c r="J9" s="86" t="e">
        <f>ORÇAMENTO_EXECUTIVO!$B$21/CÁLCULO_MÉDIAS!J$4*I9</f>
        <v>#DIV/0!</v>
      </c>
      <c r="L9" s="65">
        <v>802</v>
      </c>
      <c r="M9" s="65">
        <v>990</v>
      </c>
    </row>
    <row r="10" spans="2:13" ht="19.05" customHeight="1" x14ac:dyDescent="0.3">
      <c r="B10" s="44" t="s">
        <v>4</v>
      </c>
      <c r="C10" s="25">
        <v>19.800616000000002</v>
      </c>
      <c r="D10" s="99">
        <f>ORÇAMENTO_EXECUTIVO!$B$21/CÁLCULO_MÉDIAS!D$4*C10</f>
        <v>20.113505877161597</v>
      </c>
      <c r="E10" s="28">
        <v>21.181115000000002</v>
      </c>
      <c r="F10" s="99">
        <f>ORÇAMENTO_EXECUTIVO!$B$21/CÁLCULO_MÉDIAS!F$4*E10</f>
        <v>21.991322081485933</v>
      </c>
      <c r="G10" s="25">
        <v>24.538312844061995</v>
      </c>
      <c r="H10" s="86">
        <f>ORÇAMENTO_EXECUTIVO!$B$21/CÁLCULO_MÉDIAS!H$4*G10</f>
        <v>22.456999432649042</v>
      </c>
      <c r="I10" s="51"/>
      <c r="J10" s="86" t="e">
        <f>ORÇAMENTO_EXECUTIVO!$B$21/CÁLCULO_MÉDIAS!J$4*I10</f>
        <v>#DIV/0!</v>
      </c>
      <c r="L10" s="65">
        <v>18</v>
      </c>
      <c r="M10" s="65">
        <v>24</v>
      </c>
    </row>
    <row r="11" spans="2:13" ht="19.05" customHeight="1" x14ac:dyDescent="0.3">
      <c r="B11" s="45" t="s">
        <v>5</v>
      </c>
      <c r="C11" s="25">
        <v>115.06333300000001</v>
      </c>
      <c r="D11" s="99">
        <f>ORÇAMENTO_EXECUTIVO!$B$21/CÁLCULO_MÉDIAS!D$4*C11</f>
        <v>116.88156694424566</v>
      </c>
      <c r="E11" s="28">
        <v>101.68523500000001</v>
      </c>
      <c r="F11" s="99">
        <f>ORÇAMENTO_EXECUTIVO!$B$21/CÁLCULO_MÉDIAS!F$4*E11</f>
        <v>105.57483653795309</v>
      </c>
      <c r="G11" s="25">
        <v>143.00179210920533</v>
      </c>
      <c r="H11" s="86">
        <f>ORÇAMENTO_EXECUTIVO!$B$21/CÁLCULO_MÉDIAS!H$4*G11</f>
        <v>130.87253327774496</v>
      </c>
      <c r="I11" s="51"/>
      <c r="J11" s="86" t="e">
        <f>ORÇAMENTO_EXECUTIVO!$B$21/CÁLCULO_MÉDIAS!J$4*I11</f>
        <v>#DIV/0!</v>
      </c>
      <c r="L11" s="65">
        <v>103</v>
      </c>
      <c r="M11" s="65">
        <v>132</v>
      </c>
    </row>
    <row r="12" spans="2:13" ht="19.05" customHeight="1" x14ac:dyDescent="0.3">
      <c r="B12" s="44" t="s">
        <v>6</v>
      </c>
      <c r="C12" s="25">
        <v>449.26532200000003</v>
      </c>
      <c r="D12" s="99">
        <f>ORÇAMENTO_EXECUTIVO!$B$21/CÁLCULO_MÉDIAS!D$4*C12</f>
        <v>456.36462494156223</v>
      </c>
      <c r="E12" s="28">
        <v>396.66658000000001</v>
      </c>
      <c r="F12" s="99">
        <f>ORÇAMENTO_EXECUTIVO!$B$21/CÁLCULO_MÉDIAS!F$4*E12</f>
        <v>411.83962788273925</v>
      </c>
      <c r="G12" s="25">
        <v>441.19469045525699</v>
      </c>
      <c r="H12" s="86">
        <f>ORÇAMENTO_EXECUTIVO!$B$21/CÁLCULO_MÉDIAS!H$4*G12</f>
        <v>403.77302939305719</v>
      </c>
      <c r="I12" s="51"/>
      <c r="J12" s="86" t="e">
        <f>ORÇAMENTO_EXECUTIVO!$B$21/CÁLCULO_MÉDIAS!J$4*I12</f>
        <v>#DIV/0!</v>
      </c>
      <c r="L12" s="65">
        <v>400</v>
      </c>
      <c r="M12" s="65">
        <v>458</v>
      </c>
    </row>
    <row r="13" spans="2:13" ht="19.05" customHeight="1" x14ac:dyDescent="0.3">
      <c r="B13" s="46" t="s">
        <v>7</v>
      </c>
      <c r="C13" s="25">
        <v>63.497379000000009</v>
      </c>
      <c r="D13" s="99">
        <f>ORÇAMENTO_EXECUTIVO!$B$21/CÁLCULO_MÉDIAS!D$4*C13</f>
        <v>64.500766324686936</v>
      </c>
      <c r="E13" s="28">
        <v>53.548400000000008</v>
      </c>
      <c r="F13" s="99">
        <f>ORÇAMENTO_EXECUTIVO!$B$21/CÁLCULO_MÉDIAS!F$4*E13</f>
        <v>55.596700709487742</v>
      </c>
      <c r="G13" s="25">
        <v>68.839770119872199</v>
      </c>
      <c r="H13" s="86">
        <f>ORÇAMENTO_EXECUTIVO!$B$21/CÁLCULO_MÉDIAS!H$4*G13</f>
        <v>63.000854555481794</v>
      </c>
      <c r="I13" s="51"/>
      <c r="J13" s="86" t="e">
        <f>ORÇAMENTO_EXECUTIVO!$B$21/CÁLCULO_MÉDIAS!J$4*I13</f>
        <v>#DIV/0!</v>
      </c>
      <c r="L13" s="65">
        <v>53</v>
      </c>
      <c r="M13" s="65">
        <v>65</v>
      </c>
    </row>
    <row r="14" spans="2:13" ht="19.05" customHeight="1" x14ac:dyDescent="0.3">
      <c r="B14" s="44" t="s">
        <v>8</v>
      </c>
      <c r="C14" s="25">
        <v>176.762674</v>
      </c>
      <c r="D14" s="99">
        <f>ORÇAMENTO_EXECUTIVO!$B$21/CÁLCULO_MÉDIAS!D$4*C14</f>
        <v>179.55588262313651</v>
      </c>
      <c r="E14" s="28">
        <v>177.67404500000004</v>
      </c>
      <c r="F14" s="99">
        <f>ORÇAMENTO_EXECUTIVO!$B$21/CÁLCULO_MÉDIAS!F$4*E14</f>
        <v>184.47032411256092</v>
      </c>
      <c r="G14" s="25">
        <v>190.26275384384448</v>
      </c>
      <c r="H14" s="86">
        <f>ORÇAMENTO_EXECUTIVO!$B$21/CÁLCULO_MÉDIAS!H$4*G14</f>
        <v>174.12487086125867</v>
      </c>
      <c r="I14" s="51"/>
      <c r="J14" s="86" t="e">
        <f>ORÇAMENTO_EXECUTIVO!$B$21/CÁLCULO_MÉDIAS!J$4*I14</f>
        <v>#DIV/0!</v>
      </c>
      <c r="L14" s="65">
        <v>173</v>
      </c>
      <c r="M14" s="65">
        <v>186</v>
      </c>
    </row>
    <row r="15" spans="2:13" ht="19.05" customHeight="1" x14ac:dyDescent="0.3">
      <c r="B15" s="46" t="s">
        <v>40</v>
      </c>
      <c r="C15" s="25">
        <v>173.25539000000001</v>
      </c>
      <c r="D15" s="99">
        <f>ORÇAMENTO_EXECUTIVO!$B$21/CÁLCULO_MÉDIAS!D$4*C15</f>
        <v>175.99317642516397</v>
      </c>
      <c r="E15" s="28">
        <v>195.74663000000001</v>
      </c>
      <c r="F15" s="99">
        <f>ORÇAMENTO_EXECUTIVO!$B$21/CÁLCULO_MÉDIAS!F$4*E15</f>
        <v>203.23421060201301</v>
      </c>
      <c r="G15" s="25">
        <v>218.43132851965655</v>
      </c>
      <c r="H15" s="86">
        <f>ORÇAMENTO_EXECUTIVO!$B$21/CÁLCULO_MÉDIAS!H$4*G15</f>
        <v>199.90421720561508</v>
      </c>
      <c r="I15" s="52"/>
      <c r="J15" s="86" t="e">
        <f>ORÇAMENTO_EXECUTIVO!$B$21/CÁLCULO_MÉDIAS!J$4*I15</f>
        <v>#DIV/0!</v>
      </c>
      <c r="L15" s="65">
        <v>173</v>
      </c>
      <c r="M15" s="65">
        <v>206</v>
      </c>
    </row>
    <row r="16" spans="2:13" ht="19.05" customHeight="1" x14ac:dyDescent="0.3">
      <c r="B16" s="46" t="s">
        <v>9</v>
      </c>
      <c r="C16" s="25">
        <v>71.499758000000014</v>
      </c>
      <c r="D16" s="99">
        <f>ORÇAMENTO_EXECUTIVO!$B$21/CÁLCULO_MÉDIAS!D$4*C16</f>
        <v>72.629599137149668</v>
      </c>
      <c r="E16" s="28">
        <v>67.014915000000002</v>
      </c>
      <c r="F16" s="99">
        <f>ORÇAMENTO_EXECUTIVO!$B$21/CÁLCULO_MÉDIAS!F$4*E16</f>
        <v>69.578328620962722</v>
      </c>
      <c r="G16" s="25">
        <v>46.989820207026909</v>
      </c>
      <c r="H16" s="86">
        <f>ORÇAMENTO_EXECUTIVO!$B$21/CÁLCULO_MÉDIAS!H$4*G16</f>
        <v>43.00419398984242</v>
      </c>
      <c r="I16" s="51"/>
      <c r="J16" s="86" t="e">
        <f>ORÇAMENTO_EXECUTIVO!$B$21/CÁLCULO_MÉDIAS!J$4*I16</f>
        <v>#DIV/0!</v>
      </c>
      <c r="L16" s="65">
        <f>H16</f>
        <v>43.00419398984242</v>
      </c>
      <c r="M16" s="65">
        <v>75</v>
      </c>
    </row>
    <row r="17" spans="2:13" ht="19.05" customHeight="1" x14ac:dyDescent="0.3">
      <c r="B17" s="44" t="s">
        <v>36</v>
      </c>
      <c r="C17" s="25">
        <v>127.17234200000001</v>
      </c>
      <c r="D17" s="99">
        <f>ORÇAMENTO_EXECUTIVO!$B$21/CÁLCULO_MÉDIAS!D$4*C17</f>
        <v>129.18192283661298</v>
      </c>
      <c r="E17" s="28">
        <v>104.07903</v>
      </c>
      <c r="F17" s="99">
        <f>ORÇAMENTO_EXECUTIVO!$B$21/CÁLCULO_MÉDIAS!F$4*E17</f>
        <v>108.06019752305943</v>
      </c>
      <c r="G17" s="25">
        <v>82.68757256510564</v>
      </c>
      <c r="H17" s="86">
        <f>ORÇAMENTO_EXECUTIVO!$B$21/CÁLCULO_MÉDIAS!H$4*G17</f>
        <v>75.674101230274971</v>
      </c>
      <c r="I17" s="51"/>
      <c r="J17" s="86" t="e">
        <f>ORÇAMENTO_EXECUTIVO!$B$21/CÁLCULO_MÉDIAS!J$4*I17</f>
        <v>#DIV/0!</v>
      </c>
      <c r="L17" s="65">
        <v>73</v>
      </c>
      <c r="M17" s="65">
        <v>127</v>
      </c>
    </row>
    <row r="18" spans="2:13" ht="19.05" customHeight="1" x14ac:dyDescent="0.3">
      <c r="B18" s="46" t="s">
        <v>37</v>
      </c>
      <c r="C18" s="25">
        <v>51.710241000000011</v>
      </c>
      <c r="D18" s="99">
        <f>ORÇAMENTO_EXECUTIVO!$B$21/CÁLCULO_MÉDIAS!D$4*C18</f>
        <v>52.527367646690521</v>
      </c>
      <c r="E18" s="28">
        <v>55.942195000000005</v>
      </c>
      <c r="F18" s="99">
        <f>ORÇAMENTO_EXECUTIVO!$B$21/CÁLCULO_MÉDIAS!F$4*E18</f>
        <v>58.082061694594074</v>
      </c>
      <c r="G18" s="25">
        <v>45.051076644068729</v>
      </c>
      <c r="H18" s="86">
        <f>ORÇAMENTO_EXECUTIVO!$B$21/CÁLCULO_MÉDIAS!H$4*G18</f>
        <v>41.229892579224462</v>
      </c>
      <c r="I18" s="51"/>
      <c r="J18" s="86" t="e">
        <f>ORÇAMENTO_EXECUTIVO!$B$21/CÁLCULO_MÉDIAS!J$4*I18</f>
        <v>#DIV/0!</v>
      </c>
      <c r="L18" s="65">
        <v>40</v>
      </c>
      <c r="M18" s="65">
        <v>60</v>
      </c>
    </row>
    <row r="19" spans="2:13" ht="19.05" customHeight="1" x14ac:dyDescent="0.3">
      <c r="B19" s="44" t="s">
        <v>10</v>
      </c>
      <c r="C19" s="25">
        <v>127.19454</v>
      </c>
      <c r="D19" s="99">
        <f>ORÇAMENTO_EXECUTIVO!$B$21/CÁLCULO_MÉDIAS!D$4*C19</f>
        <v>129.20447161001786</v>
      </c>
      <c r="E19" s="28">
        <v>127.69932000000001</v>
      </c>
      <c r="F19" s="99">
        <f>ORÇAMENTO_EXECUTIVO!$B$21/CÁLCULO_MÉDIAS!F$4*E19</f>
        <v>132.5839964377106</v>
      </c>
      <c r="G19" s="25">
        <v>95.490651929504253</v>
      </c>
      <c r="H19" s="86">
        <f>ORÇAMENTO_EXECUTIVO!$B$21/CÁLCULO_MÉDIAS!H$4*G19</f>
        <v>87.391237116902843</v>
      </c>
      <c r="I19" s="51"/>
      <c r="J19" s="86" t="e">
        <f>ORÇAMENTO_EXECUTIVO!$B$21/CÁLCULO_MÉDIAS!J$4*I19</f>
        <v>#DIV/0!</v>
      </c>
      <c r="L19" s="65">
        <v>85</v>
      </c>
      <c r="M19" s="65">
        <v>135</v>
      </c>
    </row>
    <row r="20" spans="2:13" ht="19.05" customHeight="1" x14ac:dyDescent="0.3">
      <c r="B20" s="46" t="s">
        <v>11</v>
      </c>
      <c r="C20" s="25">
        <v>142.08939800000002</v>
      </c>
      <c r="D20" s="99">
        <f>ORÇAMENTO_EXECUTIVO!$B$21/CÁLCULO_MÉDIAS!D$4*C20</f>
        <v>144.33469856469884</v>
      </c>
      <c r="E20" s="28">
        <v>134.27942000000002</v>
      </c>
      <c r="F20" s="99">
        <f>ORÇAMENTO_EXECUTIVO!$B$21/CÁLCULO_MÉDIAS!F$4*E20</f>
        <v>139.41579440624935</v>
      </c>
      <c r="G20" s="25">
        <v>59.545027892571476</v>
      </c>
      <c r="H20" s="86">
        <f>ORÇAMENTO_EXECUTIVO!$B$21/CÁLCULO_MÉDIAS!H$4*G20</f>
        <v>54.494482407910844</v>
      </c>
      <c r="I20" s="51"/>
      <c r="J20" s="86" t="e">
        <f>ORÇAMENTO_EXECUTIVO!$B$21/CÁLCULO_MÉDIAS!J$4*I20</f>
        <v>#DIV/0!</v>
      </c>
      <c r="L20" s="65">
        <v>53</v>
      </c>
      <c r="M20" s="65">
        <v>145</v>
      </c>
    </row>
    <row r="21" spans="2:13" ht="19.05" customHeight="1" x14ac:dyDescent="0.3">
      <c r="B21" s="44" t="s">
        <v>12</v>
      </c>
      <c r="C21" s="25">
        <v>285.14440900000005</v>
      </c>
      <c r="D21" s="99">
        <f>ORÇAMENTO_EXECUTIVO!$B$21/CÁLCULO_MÉDIAS!D$4*C21</f>
        <v>289.6502687725104</v>
      </c>
      <c r="E21" s="28">
        <v>267.60586000000001</v>
      </c>
      <c r="F21" s="99">
        <f>ORÇAMENTO_EXECUTIVO!$B$21/CÁLCULO_MÉDIAS!F$4*E21</f>
        <v>277.84215600326201</v>
      </c>
      <c r="G21" s="25">
        <v>343.36036712199513</v>
      </c>
      <c r="H21" s="86">
        <f>ORÇAMENTO_EXECUTIVO!$B$21/CÁLCULO_MÉDIAS!H$4*G21</f>
        <v>314.2369085704583</v>
      </c>
      <c r="I21" s="53"/>
      <c r="J21" s="86" t="e">
        <f>ORÇAMENTO_EXECUTIVO!$B$21/CÁLCULO_MÉDIAS!J$4*I21</f>
        <v>#DIV/0!</v>
      </c>
      <c r="L21" s="65">
        <v>275</v>
      </c>
      <c r="M21" s="65">
        <v>315</v>
      </c>
    </row>
    <row r="22" spans="2:13" ht="19.05" customHeight="1" x14ac:dyDescent="0.3">
      <c r="B22" s="46" t="s">
        <v>39</v>
      </c>
      <c r="C22" s="25">
        <v>19.789517</v>
      </c>
      <c r="D22" s="99">
        <f>ORÇAMENTO_EXECUTIVO!$B$21/CÁLCULO_MÉDIAS!D$4*C22</f>
        <v>20.10223149045915</v>
      </c>
      <c r="E22" s="28">
        <v>32.594185000000003</v>
      </c>
      <c r="F22" s="99">
        <f>ORÇAMENTO_EXECUTIVO!$B$21/CÁLCULO_MÉDIAS!F$4*E22</f>
        <v>33.840957868296243</v>
      </c>
      <c r="G22" s="25">
        <v>10.637923481532086</v>
      </c>
      <c r="H22" s="86">
        <f>ORÇAMENTO_EXECUTIVO!$B$21/CÁLCULO_MÉDIAS!H$4*G22</f>
        <v>9.7356262065564216</v>
      </c>
      <c r="I22" s="53"/>
      <c r="J22" s="86" t="e">
        <f>ORÇAMENTO_EXECUTIVO!$B$21/CÁLCULO_MÉDIAS!J$4*I22</f>
        <v>#DIV/0!</v>
      </c>
      <c r="L22" s="65">
        <v>8</v>
      </c>
      <c r="M22" s="65">
        <v>35</v>
      </c>
    </row>
    <row r="23" spans="2:13" ht="19.05" customHeight="1" x14ac:dyDescent="0.3">
      <c r="B23" s="44" t="s">
        <v>13</v>
      </c>
      <c r="C23" s="25">
        <v>97.260536999999999</v>
      </c>
      <c r="D23" s="99">
        <f>ORÇAMENTO_EXECUTIVO!$B$21/CÁLCULO_MÉDIAS!D$4*C23</f>
        <v>98.797450673524125</v>
      </c>
      <c r="E23" s="28">
        <v>95.592970000000008</v>
      </c>
      <c r="F23" s="99">
        <f>ORÇAMENTO_EXECUTIVO!$B$21/CÁLCULO_MÉDIAS!F$4*E23</f>
        <v>99.249533936047385</v>
      </c>
      <c r="G23" s="25">
        <v>153.50781941666079</v>
      </c>
      <c r="H23" s="86">
        <f>ORÇAMENTO_EXECUTIVO!$B$21/CÁLCULO_MÉDIAS!H$4*G23</f>
        <v>140.48745060243041</v>
      </c>
      <c r="I23" s="51"/>
      <c r="J23" s="86" t="e">
        <f>ORÇAMENTO_EXECUTIVO!$B$21/CÁLCULO_MÉDIAS!J$4*I23</f>
        <v>#DIV/0!</v>
      </c>
      <c r="L23" s="65">
        <v>96</v>
      </c>
      <c r="M23" s="65">
        <v>142</v>
      </c>
    </row>
    <row r="24" spans="2:13" ht="19.05" customHeight="1" thickBot="1" x14ac:dyDescent="0.35">
      <c r="B24" s="47" t="s">
        <v>14</v>
      </c>
      <c r="C24" s="26">
        <v>123.79824600000002</v>
      </c>
      <c r="D24" s="99">
        <f>ORÇAMENTO_EXECUTIVO!$B$21/CÁLCULO_MÉDIAS!D$4*C24</f>
        <v>125.75450927906977</v>
      </c>
      <c r="E24" s="29">
        <v>120.57466000000001</v>
      </c>
      <c r="F24" s="99">
        <f>ORÇAMENTO_EXECUTIVO!$B$21/CÁLCULO_MÉDIAS!F$4*E24</f>
        <v>125.18680829246519</v>
      </c>
      <c r="G24" s="26">
        <v>170.49514292453841</v>
      </c>
      <c r="H24" s="86">
        <f>ORÇAMENTO_EXECUTIVO!$B$21/CÁLCULO_MÉDIAS!H$4*G24</f>
        <v>156.03392752620752</v>
      </c>
      <c r="I24" s="54"/>
      <c r="J24" s="86" t="e">
        <f>ORÇAMENTO_EXECUTIVO!$B$21/CÁLCULO_MÉDIAS!J$4*I24</f>
        <v>#DIV/0!</v>
      </c>
      <c r="L24" s="66">
        <v>123</v>
      </c>
      <c r="M24" s="66">
        <v>158</v>
      </c>
    </row>
    <row r="25" spans="2:13" ht="19.05" customHeight="1" thickBot="1" x14ac:dyDescent="0.35">
      <c r="B25" s="74" t="s">
        <v>38</v>
      </c>
      <c r="C25" s="26">
        <v>97.260536999999999</v>
      </c>
      <c r="D25" s="99">
        <f>ORÇAMENTO_EXECUTIVO!$B$21/CÁLCULO_MÉDIAS!D$4*C25</f>
        <v>98.797450673524125</v>
      </c>
      <c r="E25" s="29">
        <v>95.592970000000008</v>
      </c>
      <c r="F25" s="99">
        <f>ORÇAMENTO_EXECUTIVO!$B$21/CÁLCULO_MÉDIAS!F$4*E25</f>
        <v>99.249533936047385</v>
      </c>
      <c r="G25" s="26">
        <v>40.946478735169151</v>
      </c>
      <c r="H25" s="86">
        <f>ORÇAMENTO_EXECUTIVO!$B$21/CÁLCULO_MÉDIAS!H$4*G25</f>
        <v>37.473442268350048</v>
      </c>
      <c r="I25" s="54"/>
      <c r="J25" s="86" t="e">
        <f>ORÇAMENTO_EXECUTIVO!$B$21/CÁLCULO_MÉDIAS!J$4*I25</f>
        <v>#DIV/0!</v>
      </c>
      <c r="L25" s="66">
        <v>35</v>
      </c>
      <c r="M25" s="66">
        <v>102</v>
      </c>
    </row>
    <row r="26" spans="2:13" ht="19.05" customHeight="1" thickBot="1" x14ac:dyDescent="0.35">
      <c r="B26" s="56" t="s">
        <v>15</v>
      </c>
      <c r="C26" s="57">
        <f>SUM(C8:C24)</f>
        <v>3087.0092660000005</v>
      </c>
      <c r="D26" s="100">
        <f t="shared" ref="D26:J26" si="0">SUM(D8:D24)</f>
        <v>3135.7902710977933</v>
      </c>
      <c r="E26" s="101">
        <f t="shared" si="0"/>
        <v>3020.9579450000006</v>
      </c>
      <c r="F26" s="100">
        <f t="shared" si="0"/>
        <v>3136.5137842421832</v>
      </c>
      <c r="G26" s="101">
        <f t="shared" si="0"/>
        <v>3437.9073127245879</v>
      </c>
      <c r="H26" s="100">
        <f t="shared" si="0"/>
        <v>3146.3076969466074</v>
      </c>
      <c r="I26" s="101">
        <f t="shared" si="0"/>
        <v>0</v>
      </c>
      <c r="J26" s="100" t="e">
        <f t="shared" si="0"/>
        <v>#DIV/0!</v>
      </c>
      <c r="L26" s="67"/>
      <c r="M26" s="67"/>
    </row>
    <row r="28" spans="2:13" x14ac:dyDescent="0.3">
      <c r="B28" s="27"/>
      <c r="C28" s="30"/>
      <c r="E28" s="27"/>
      <c r="F28" s="30"/>
      <c r="I28" s="27"/>
      <c r="J28" s="30"/>
    </row>
    <row r="29" spans="2:13" x14ac:dyDescent="0.3">
      <c r="C29" s="30"/>
      <c r="F29" s="30"/>
      <c r="J29" s="30"/>
    </row>
  </sheetData>
  <mergeCells count="5">
    <mergeCell ref="C6:D6"/>
    <mergeCell ref="E6:F6"/>
    <mergeCell ref="G6:H6"/>
    <mergeCell ref="I6:J6"/>
    <mergeCell ref="L6:M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INSUMOS</vt:lpstr>
      <vt:lpstr>ABC</vt:lpstr>
      <vt:lpstr>ORÇAMENTO_EXECUTIVO</vt:lpstr>
      <vt:lpstr>ANÁLISE_CUSTOS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Larissa Oliveira</cp:lastModifiedBy>
  <dcterms:created xsi:type="dcterms:W3CDTF">2021-06-30T18:49:34Z</dcterms:created>
  <dcterms:modified xsi:type="dcterms:W3CDTF">2023-12-11T18:58:28Z</dcterms:modified>
</cp:coreProperties>
</file>