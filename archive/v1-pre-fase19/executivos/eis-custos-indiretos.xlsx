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EIS\04. Custo\04.1 Custo - Paramétrico\R03\03 - Indiretos\"/>
    </mc:Choice>
  </mc:AlternateContent>
  <xr:revisionPtr revIDLastSave="0" documentId="13_ncr:1_{E4DD6827-ED09-4D90-8D51-11CCB51534DC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wOGlddagzeJmMyz/ZP1L6C2W/Qm0mXSgKejek6JgjyQ="/>
    </ext>
  </extLst>
</workbook>
</file>

<file path=xl/calcChain.xml><?xml version="1.0" encoding="utf-8"?>
<calcChain xmlns="http://schemas.openxmlformats.org/spreadsheetml/2006/main">
  <c r="D10" i="1" l="1"/>
  <c r="D41" i="4" l="1"/>
  <c r="N22" i="3"/>
  <c r="M21" i="3"/>
  <c r="M17" i="3"/>
  <c r="M16" i="3"/>
  <c r="M13" i="3"/>
  <c r="M12" i="3"/>
  <c r="M11" i="3"/>
  <c r="F56" i="5" l="1"/>
  <c r="I36" i="3" l="1"/>
  <c r="I35" i="3"/>
  <c r="I39" i="3" l="1"/>
  <c r="D35" i="4" l="1"/>
  <c r="D27" i="4"/>
  <c r="D12" i="4"/>
  <c r="D11" i="4"/>
  <c r="D13" i="4" s="1"/>
  <c r="D65" i="5" l="1"/>
  <c r="B2" i="2"/>
  <c r="B1" i="2"/>
  <c r="D31" i="2"/>
  <c r="D32" i="5" l="1"/>
  <c r="F32" i="5" l="1"/>
  <c r="B2" i="4" l="1"/>
  <c r="B1" i="4"/>
  <c r="D28" i="2"/>
  <c r="D27" i="2"/>
  <c r="D24" i="2"/>
  <c r="D14" i="4" l="1"/>
  <c r="F66" i="5" l="1"/>
  <c r="F57" i="5"/>
  <c r="F58" i="5"/>
  <c r="F59" i="5"/>
  <c r="F60" i="5"/>
  <c r="F61" i="5"/>
  <c r="F62" i="5"/>
  <c r="F65" i="5"/>
  <c r="E64" i="5"/>
  <c r="F64" i="5" s="1"/>
  <c r="F63" i="5" l="1"/>
  <c r="D33" i="4"/>
  <c r="D26" i="4"/>
  <c r="D28" i="4" s="1"/>
  <c r="F45" i="5" l="1"/>
  <c r="D43" i="5"/>
  <c r="F43" i="5" s="1"/>
  <c r="F42" i="5" s="1"/>
  <c r="D41" i="5"/>
  <c r="E31" i="5"/>
  <c r="D27" i="5"/>
  <c r="B10" i="5"/>
  <c r="B8" i="5"/>
  <c r="B7" i="5"/>
  <c r="D43" i="4"/>
  <c r="D51" i="5" s="1"/>
  <c r="F51" i="5" s="1"/>
  <c r="D36" i="4"/>
  <c r="D33" i="5" s="1"/>
  <c r="F33" i="5" s="1"/>
  <c r="D35" i="5"/>
  <c r="F35" i="5" s="1"/>
  <c r="D19" i="4"/>
  <c r="D21" i="4" s="1"/>
  <c r="D31" i="5" s="1"/>
  <c r="D30" i="5"/>
  <c r="F30" i="5" s="1"/>
  <c r="D29" i="5"/>
  <c r="F29" i="5" s="1"/>
  <c r="B3" i="4"/>
  <c r="N39" i="3"/>
  <c r="L39" i="3"/>
  <c r="J39" i="3"/>
  <c r="N38" i="3"/>
  <c r="L38" i="3"/>
  <c r="J38" i="3"/>
  <c r="N37" i="3"/>
  <c r="L37" i="3"/>
  <c r="J37" i="3"/>
  <c r="N36" i="3"/>
  <c r="L36" i="3"/>
  <c r="J36" i="3"/>
  <c r="N35" i="3"/>
  <c r="L35" i="3"/>
  <c r="J35" i="3"/>
  <c r="N34" i="3"/>
  <c r="L34" i="3"/>
  <c r="J34" i="3"/>
  <c r="N33" i="3"/>
  <c r="L33" i="3"/>
  <c r="J33" i="3"/>
  <c r="N32" i="3"/>
  <c r="L32" i="3"/>
  <c r="J32" i="3"/>
  <c r="N30" i="3"/>
  <c r="L30" i="3"/>
  <c r="J30" i="3"/>
  <c r="N21" i="3"/>
  <c r="L21" i="3"/>
  <c r="J21" i="3"/>
  <c r="N20" i="3"/>
  <c r="L20" i="3"/>
  <c r="J20" i="3"/>
  <c r="N19" i="3"/>
  <c r="L19" i="3"/>
  <c r="J19" i="3"/>
  <c r="N17" i="3"/>
  <c r="L17" i="3"/>
  <c r="J17" i="3"/>
  <c r="N16" i="3"/>
  <c r="L16" i="3"/>
  <c r="J16" i="3"/>
  <c r="N15" i="3"/>
  <c r="L15" i="3"/>
  <c r="J15" i="3"/>
  <c r="N13" i="3"/>
  <c r="L13" i="3"/>
  <c r="J13" i="3"/>
  <c r="N12" i="3"/>
  <c r="L12" i="3"/>
  <c r="J12" i="3"/>
  <c r="N11" i="3"/>
  <c r="L11" i="3"/>
  <c r="J11" i="3"/>
  <c r="N10" i="3"/>
  <c r="L10" i="3"/>
  <c r="J10" i="3"/>
  <c r="N8" i="3"/>
  <c r="M8" i="3"/>
  <c r="L8" i="3"/>
  <c r="K8" i="3"/>
  <c r="J8" i="3"/>
  <c r="I8" i="3"/>
  <c r="D4" i="3"/>
  <c r="C4" i="3"/>
  <c r="B4" i="3"/>
  <c r="H32" i="3" s="1"/>
  <c r="A4" i="3"/>
  <c r="F33" i="2"/>
  <c r="F32" i="2"/>
  <c r="F31" i="2"/>
  <c r="F28" i="2"/>
  <c r="F27" i="2"/>
  <c r="F26" i="2"/>
  <c r="F25" i="2"/>
  <c r="F24" i="2"/>
  <c r="D16" i="2"/>
  <c r="D13" i="2"/>
  <c r="D11" i="2"/>
  <c r="B3" i="2"/>
  <c r="H36" i="3" l="1"/>
  <c r="H35" i="3"/>
  <c r="H21" i="3"/>
  <c r="H39" i="3"/>
  <c r="F52" i="5" s="1"/>
  <c r="H38" i="3"/>
  <c r="H17" i="3"/>
  <c r="F23" i="5" s="1"/>
  <c r="H13" i="3"/>
  <c r="F19" i="5" s="1"/>
  <c r="H12" i="3"/>
  <c r="F18" i="5" s="1"/>
  <c r="H16" i="3"/>
  <c r="F22" i="5" s="1"/>
  <c r="H15" i="3"/>
  <c r="H11" i="3"/>
  <c r="F17" i="5" s="1"/>
  <c r="H10" i="3"/>
  <c r="F16" i="5" s="1"/>
  <c r="D19" i="2"/>
  <c r="D18" i="2"/>
  <c r="F34" i="2"/>
  <c r="H37" i="3"/>
  <c r="E47" i="5"/>
  <c r="F47" i="5" s="1"/>
  <c r="H33" i="3"/>
  <c r="F38" i="5"/>
  <c r="E36" i="5"/>
  <c r="F36" i="5" s="1"/>
  <c r="F21" i="5"/>
  <c r="F27" i="5"/>
  <c r="F26" i="5" s="1"/>
  <c r="E41" i="5"/>
  <c r="F41" i="5" s="1"/>
  <c r="E48" i="5"/>
  <c r="F48" i="5" s="1"/>
  <c r="F29" i="2"/>
  <c r="F31" i="5"/>
  <c r="D34" i="5"/>
  <c r="F34" i="5" s="1"/>
  <c r="D15" i="2"/>
  <c r="D17" i="2"/>
  <c r="E46" i="5" l="1"/>
  <c r="F46" i="5" s="1"/>
  <c r="E49" i="5"/>
  <c r="F49" i="5" s="1"/>
  <c r="E50" i="5"/>
  <c r="F50" i="5" s="1"/>
  <c r="E55" i="5"/>
  <c r="F55" i="5" s="1"/>
  <c r="E37" i="5"/>
  <c r="F37" i="5" s="1"/>
  <c r="F40" i="5"/>
  <c r="H40" i="5" s="1"/>
  <c r="F20" i="5"/>
  <c r="F15" i="5"/>
  <c r="F28" i="5" l="1"/>
  <c r="F54" i="5"/>
  <c r="F44" i="5"/>
  <c r="F14" i="5"/>
  <c r="F39" i="5" l="1"/>
  <c r="F53" i="5"/>
  <c r="H53" i="5" s="1"/>
  <c r="F25" i="5"/>
  <c r="F24" i="5" l="1"/>
  <c r="F67" i="5" l="1"/>
  <c r="F68" i="5" l="1"/>
  <c r="H67" i="5"/>
  <c r="G36" i="5"/>
  <c r="G63" i="5"/>
  <c r="G29" i="5"/>
  <c r="G56" i="5"/>
  <c r="G64" i="5"/>
  <c r="G30" i="5"/>
  <c r="G41" i="5"/>
  <c r="G49" i="5"/>
  <c r="G57" i="5"/>
  <c r="G65" i="5"/>
  <c r="G34" i="5"/>
  <c r="G61" i="5"/>
  <c r="G31" i="5"/>
  <c r="G42" i="5"/>
  <c r="G50" i="5"/>
  <c r="G58" i="5"/>
  <c r="G66" i="5"/>
  <c r="G60" i="5"/>
  <c r="G45" i="5"/>
  <c r="G27" i="5"/>
  <c r="G32" i="5"/>
  <c r="G40" i="5"/>
  <c r="G43" i="5"/>
  <c r="G51" i="5"/>
  <c r="G59" i="5"/>
  <c r="G67" i="5"/>
  <c r="G33" i="5"/>
  <c r="G26" i="5"/>
  <c r="G35" i="5"/>
  <c r="G62" i="5"/>
  <c r="G18" i="5"/>
  <c r="G16" i="5"/>
  <c r="G46" i="5"/>
  <c r="G38" i="5"/>
  <c r="G19" i="5"/>
  <c r="G21" i="5"/>
  <c r="G23" i="5"/>
  <c r="G47" i="5"/>
  <c r="G52" i="5"/>
  <c r="G22" i="5"/>
  <c r="G48" i="5"/>
  <c r="G17" i="5"/>
  <c r="G37" i="5"/>
  <c r="G20" i="5"/>
  <c r="G55" i="5"/>
  <c r="G44" i="5"/>
  <c r="G54" i="5"/>
  <c r="G28" i="5"/>
  <c r="G25" i="5"/>
  <c r="G53" i="5"/>
  <c r="G39" i="5"/>
  <c r="G15" i="5"/>
  <c r="G24" i="5"/>
</calcChain>
</file>

<file path=xl/sharedStrings.xml><?xml version="1.0" encoding="utf-8"?>
<sst xmlns="http://schemas.openxmlformats.org/spreadsheetml/2006/main" count="364" uniqueCount="231">
  <si>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</si>
  <si>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</si>
  <si>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</si>
  <si>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</si>
  <si>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</si>
  <si>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</si>
  <si>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</si>
  <si>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</si>
  <si>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</si>
  <si>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</si>
  <si>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</si>
  <si>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</si>
  <si>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</si>
  <si>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</si>
  <si>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</si>
  <si>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</si>
  <si>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</si>
  <si>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</si>
  <si>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</si>
  <si>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</si>
  <si>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</si>
  <si>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</si>
  <si>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</si>
  <si>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</si>
  <si>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</si>
  <si>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</si>
  <si>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</si>
  <si>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</si>
  <si>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</si>
  <si>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</si>
  <si>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</si>
  <si>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</si>
  <si>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</si>
  <si>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</si>
  <si>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</si>
  <si>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</si>
  <si>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</si>
  <si>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</si>
  <si>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</si>
  <si>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</si>
  <si>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</si>
  <si>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</si>
  <si>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</si>
  <si>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</si>
  <si>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</si>
  <si>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</si>
  <si>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</si>
  <si>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</si>
  <si>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</si>
  <si>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</si>
  <si>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</si>
  <si>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</si>
  <si>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</si>
  <si>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</si>
  <si>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</si>
  <si>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</si>
  <si>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</si>
  <si>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</si>
  <si>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</si>
  <si>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</si>
  <si>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</si>
  <si>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</si>
  <si>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</si>
  <si>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</si>
  <si>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</si>
  <si>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</si>
  <si>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</si>
  <si>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</si>
  <si>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</si>
  <si>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</si>
  <si>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</si>
  <si>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</si>
  <si>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</si>
  <si>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</si>
  <si>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</si>
  <si>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</si>
  <si>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</si>
  <si>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</si>
  <si>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</si>
  <si>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</si>
  <si>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</si>
  <si>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</si>
  <si>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</si>
  <si>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</si>
  <si>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</si>
  <si>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</si>
  <si>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</si>
  <si>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</si>
  <si>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</si>
  <si>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</si>
  <si>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</si>
  <si>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</si>
  <si>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</si>
  <si>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</si>
  <si>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</si>
  <si>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</si>
  <si>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</si>
  <si>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</si>
  <si>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</si>
  <si>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</si>
  <si>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</si>
  <si>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</si>
  <si>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</si>
  <si>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</si>
  <si>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</si>
  <si>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</si>
  <si>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</si>
  <si>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</si>
  <si>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</si>
  <si>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</si>
  <si>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</si>
  <si>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</si>
  <si>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</si>
  <si>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</si>
  <si>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</si>
  <si>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</si>
  <si>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</si>
  <si>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</si>
  <si>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</si>
  <si>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</si>
  <si>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</si>
  <si>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</si>
  <si>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</si>
  <si>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</si>
  <si>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</si>
  <si>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</si>
  <si>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</si>
  <si>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</si>
  <si>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</si>
  <si>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</si>
  <si>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</si>
  <si>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</si>
  <si>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</si>
  <si>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</si>
  <si>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</si>
  <si>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</si>
  <si>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</si>
  <si>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</si>
  <si>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</si>
  <si>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</si>
  <si>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</si>
  <si>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</si>
  <si>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</si>
  <si>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</si>
  <si>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</si>
  <si>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</si>
  <si>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</si>
  <si>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</si>
  <si>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</si>
  <si>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</si>
  <si>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</si>
  <si>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</si>
  <si>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</si>
  <si>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</si>
  <si>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</si>
  <si>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</si>
  <si>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</si>
  <si>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</si>
  <si>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</si>
  <si>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</si>
  <si>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</si>
  <si>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</si>
  <si>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</si>
  <si>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</si>
  <si>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</si>
  <si>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</si>
  <si>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</si>
  <si>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</si>
  <si>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</si>
  <si>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</si>
  <si>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</si>
  <si>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</si>
  <si>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</si>
  <si>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</si>
  <si>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</si>
  <si>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</si>
  <si>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</si>
  <si>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</si>
  <si>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</si>
  <si>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</si>
  <si>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</si>
  <si>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</si>
  <si>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</si>
  <si>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</si>
  <si>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</si>
  <si>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</si>
  <si>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</si>
  <si>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</si>
  <si>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</si>
  <si>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</si>
  <si>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</si>
  <si>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</si>
  <si>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</si>
  <si>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02.003.001.003</t>
  </si>
  <si>
    <t>02.003.001.005</t>
  </si>
  <si>
    <t>02.003.001.006</t>
  </si>
  <si>
    <t>02.003.001.007</t>
  </si>
  <si>
    <t>Montagem e desmontagem de elevador cremalheira</t>
  </si>
  <si>
    <t>Montagem e Desmontagem de Mini-grua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</si>
  <si>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</si>
  <si>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</si>
  <si>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</si>
  <si>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</si>
  <si>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</si>
  <si>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</si>
  <si>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</si>
  <si>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</si>
  <si>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</si>
  <si>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</si>
  <si>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</si>
  <si>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index</t>
  </si>
  <si>
    <t>Equipe de apoio</t>
  </si>
  <si>
    <t>Perimetro da torre</t>
  </si>
  <si>
    <t>Altura da torre</t>
  </si>
  <si>
    <t>Locação de elevador cremalheira</t>
  </si>
  <si>
    <t>Mobilização e desmobilização de elevador cremalheira</t>
  </si>
  <si>
    <t>02.003.001.004</t>
  </si>
  <si>
    <t>Locação de de Mini-grua</t>
  </si>
  <si>
    <t>02.001.002.006</t>
  </si>
  <si>
    <t>02.001.002.008</t>
  </si>
  <si>
    <t>Gurada-corpo de vãos com régua de pinus 2,5x15cm</t>
  </si>
  <si>
    <t xml:space="preserve"> Jurerê Blue</t>
  </si>
  <si>
    <t xml:space="preserve">GRUPO EIS </t>
  </si>
  <si>
    <t>Bela Vida</t>
  </si>
  <si>
    <t>Esmeralda</t>
  </si>
  <si>
    <t>Condutor de Entulho-Aquisição</t>
  </si>
  <si>
    <t>02.003.001.008</t>
  </si>
  <si>
    <t>*Outorga</t>
  </si>
  <si>
    <t>ARV VERIFICAR OUTORGA</t>
  </si>
  <si>
    <t>MARINE</t>
  </si>
  <si>
    <t>Licenciamentos, Taxas, Impostos e Outorga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</si>
</sst>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3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  <font>
      <sz val="8"/>
      <name val="Poppins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</fills>
  <borders count="10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24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164" fontId="8" fillId="3" borderId="100" xfId="0" applyNumberFormat="1" applyFont="1" applyFill="1" applyBorder="1" applyAlignment="1">
      <alignment vertical="center" wrapText="1"/>
    </xf>
    <xf numFmtId="0" fontId="7" fillId="3" borderId="49" xfId="0" applyFont="1" applyFill="1" applyBorder="1"/>
    <xf numFmtId="43" fontId="23" fillId="0" borderId="0" xfId="0" applyNumberFormat="1" applyFont="1" applyAlignment="1">
      <alignment vertical="center"/>
    </xf>
    <xf numFmtId="0" fontId="0" fillId="0" borderId="0" xfId="0"/>
    <xf numFmtId="164" fontId="31" fillId="3" borderId="22" xfId="0" applyNumberFormat="1" applyFont="1" applyFill="1" applyBorder="1" applyAlignment="1">
      <alignment vertical="center" wrapText="1"/>
    </xf>
    <xf numFmtId="0" fontId="0" fillId="0" borderId="0" xfId="0"/>
    <xf numFmtId="44" fontId="23" fillId="0" borderId="0" xfId="1" applyFont="1" applyAlignment="1">
      <alignment vertical="center"/>
    </xf>
    <xf numFmtId="9" fontId="23" fillId="0" borderId="0" xfId="2" applyFont="1" applyAlignment="1">
      <alignment vertical="center"/>
    </xf>
    <xf numFmtId="43" fontId="7" fillId="3" borderId="14" xfId="0" applyNumberFormat="1" applyFont="1" applyFill="1" applyBorder="1"/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rupo%20EIS/04.%20Custo/04.1%20Custo%20-%20Param&#233;trico/R02/02%20-%20Diretos/CTN-GRUPO%20EIS%20-JURER&#202;%20BLUE-Gerenciamento%20Executiv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Or&#231;amento%20comentado-R01.xlsx?99019EA9" TargetMode="External"/><Relationship Id="rId1" Type="http://schemas.openxmlformats.org/officeDocument/2006/relationships/externalLinkPath" Target="file:///\\99019EA9\CTN-ALF-MRN%20-Or&#231;amento%20comentado-R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hiquetti%20e%20Dal%20Vesco/2024/2024.04%20Bela%20Vida/04.%20Custo/03.8%20Custo%20-%20Or&#231;.%20Executivo/R03%20-%20Valido/CTN-CDV-BVD%20-%20Or&#231;amento_R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rupo%20EIS/04.%20Custo/04.1%20Custo%20-%20Param&#233;trico/02%20-%20Diretos/CTN-GRUPO%20EIS%20-JURER&#202;%20BLUE-Gerenciamento%20Executiv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kock/Zapata/04.%20Custo/04.1%20Custo%20-%20Param&#233;trico/02%20-%20Diretos/CTN-CKOCK-ZAPATA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 "/>
      <sheetName val="DADOS_INICIAIS"/>
      <sheetName val="MOVIMENTAÇÃO_DE_TERRA"/>
      <sheetName val="CONTENÇÕES"/>
      <sheetName val="INFRAESTRUTURA"/>
      <sheetName val="SUPRAESTRUTURA"/>
      <sheetName val="ALVENARIA"/>
      <sheetName val="IMPERMEABILIZAÇÃO"/>
      <sheetName val="INSTALAÇÕES"/>
      <sheetName val="SISTEMAS ESPECIAIS"/>
      <sheetName val="Rev. Internos Piso e Parede"/>
      <sheetName val="TETO"/>
      <sheetName val="Acabamentos de Piso e Parede"/>
      <sheetName val="PINTURA INTERNA"/>
      <sheetName val="ARQUITETURA"/>
      <sheetName val="ESQUADRIAS"/>
      <sheetName val="COBERTURA"/>
      <sheetName val="Rev. Fachada"/>
      <sheetName val="COMPLEMENTARES"/>
      <sheetName val="Auxiliar"/>
    </sheetNames>
    <sheetDataSet>
      <sheetData sheetId="0">
        <row r="10">
          <cell r="C10">
            <v>5347.8600000000006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ORÇAMENTO_EXECUTIVO_COMENTADO"/>
      <sheetName val="EPC's"/>
      <sheetName val="ESTACAS"/>
      <sheetName val="BLOCOS E BALDRAMES"/>
      <sheetName val="INFRA"/>
      <sheetName val="SUPRAESTRUTURA"/>
      <sheetName val="ALVENARIAS"/>
      <sheetName val="IMPERMEABILIZAÇÃO"/>
      <sheetName val="REVEST PAREDES INTERNAS"/>
      <sheetName val="ESQUADRIAS"/>
      <sheetName val="FORRO"/>
      <sheetName val="PISO"/>
      <sheetName val="RODAPÉS"/>
      <sheetName val="LOUÇAS E METAIS"/>
      <sheetName val="COBERTURA"/>
      <sheetName val="REVEST PAREDES EXTERNAS"/>
      <sheetName val="MOBILIÁRIO"/>
    </sheetNames>
    <sheetDataSet>
      <sheetData sheetId="0" refreshError="1"/>
      <sheetData sheetId="1">
        <row r="17">
          <cell r="F17">
            <v>166779.75</v>
          </cell>
        </row>
        <row r="42">
          <cell r="F42">
            <v>73726.05</v>
          </cell>
        </row>
        <row r="51">
          <cell r="F51">
            <v>23350.000080000002</v>
          </cell>
        </row>
        <row r="56">
          <cell r="F56">
            <v>75033.350000000006</v>
          </cell>
        </row>
        <row r="70">
          <cell r="F70">
            <v>8250</v>
          </cell>
        </row>
        <row r="89">
          <cell r="F89">
            <v>4700</v>
          </cell>
        </row>
        <row r="92">
          <cell r="F92">
            <v>47500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 Quantitativa"/>
      <sheetName val="Composições_Sienge"/>
      <sheetName val="EAP SIENGE"/>
      <sheetName val="Orçamento Preliminar"/>
      <sheetName val="CPU"/>
      <sheetName val="VERSÕES"/>
      <sheetName val="Alterações "/>
      <sheetName val="Insumos"/>
      <sheetName val="Obra "/>
      <sheetName val="Ger_Tec e Adm"/>
      <sheetName val="Ger_Executivo"/>
      <sheetName val="ARQUITETURA"/>
      <sheetName val="Levantamento Complementar"/>
      <sheetName val="Cont. Empreiteiro"/>
      <sheetName val="Itens Cotados_Material"/>
      <sheetName val="Supraestrutura"/>
      <sheetName val="Estrutura_Projetista"/>
      <sheetName val="ELÉTRICA_ESTIMATIVA"/>
      <sheetName val="EPCs"/>
      <sheetName val="CANTEIRO"/>
      <sheetName val="ESQUADRIAS"/>
      <sheetName val="Estacas"/>
      <sheetName val="Fundação Rasa"/>
      <sheetName val="Contenções"/>
      <sheetName val="Aço_Infraestrutura"/>
      <sheetName val="Escoramento"/>
      <sheetName val="HIDROSSANITÁRIO_ESTIMATIVA"/>
      <sheetName val="SISTEMAS ESPECIAIS"/>
      <sheetName val="CLIMATIZAÇÃO"/>
      <sheetName val="PPCI-ESTIMATIVA"/>
      <sheetName val="PISCINAS "/>
      <sheetName val="LOUÇAS E METAIS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9">
          <cell r="M89">
            <v>7560.02</v>
          </cell>
        </row>
        <row r="90">
          <cell r="M90">
            <v>6007.98</v>
          </cell>
        </row>
        <row r="104">
          <cell r="N104">
            <v>462826.16000000003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 "/>
      <sheetName val="DADOS_INICIAIS"/>
      <sheetName val="MOVIMENTAÇÃO_DE_TERRA"/>
      <sheetName val="CONTENÇÕES"/>
      <sheetName val="INFRAESTRUTURA"/>
      <sheetName val="SUPRAESTRUTURA"/>
      <sheetName val="ARQUITETURA"/>
      <sheetName val="ALVENARIA"/>
      <sheetName val="IMPERMEABILIZAÇÃO"/>
      <sheetName val="INSTALAÇÕES"/>
      <sheetName val="SISTEMAS ESPECIAI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23">
          <cell r="F23">
            <v>87.82</v>
          </cell>
          <cell r="G23">
            <v>3.24</v>
          </cell>
        </row>
        <row r="24">
          <cell r="F24">
            <v>93.9</v>
          </cell>
          <cell r="G24">
            <v>3.24</v>
          </cell>
        </row>
        <row r="25">
          <cell r="G25">
            <v>3.24</v>
          </cell>
        </row>
        <row r="26">
          <cell r="G26">
            <v>3.24</v>
          </cell>
        </row>
        <row r="27">
          <cell r="G27">
            <v>3.24</v>
          </cell>
        </row>
        <row r="28">
          <cell r="G28">
            <v>3.24</v>
          </cell>
        </row>
        <row r="29">
          <cell r="G29">
            <v>3.24</v>
          </cell>
        </row>
        <row r="30">
          <cell r="G30">
            <v>3.24</v>
          </cell>
        </row>
        <row r="31">
          <cell r="G31">
            <v>3.24</v>
          </cell>
        </row>
        <row r="32">
          <cell r="G32">
            <v>1.6</v>
          </cell>
        </row>
      </sheetData>
      <sheetData sheetId="1"/>
      <sheetData sheetId="2">
        <row r="33">
          <cell r="F33">
            <v>203228.40949210478</v>
          </cell>
        </row>
      </sheetData>
      <sheetData sheetId="3">
        <row r="46">
          <cell r="G46">
            <v>903250.74437604006</v>
          </cell>
        </row>
      </sheetData>
      <sheetData sheetId="4">
        <row r="36">
          <cell r="G36">
            <v>1754847.3787588107</v>
          </cell>
        </row>
      </sheetData>
      <sheetData sheetId="5">
        <row r="64">
          <cell r="G64">
            <v>3471775.3658221546</v>
          </cell>
        </row>
      </sheetData>
      <sheetData sheetId="6"/>
      <sheetData sheetId="7">
        <row r="39">
          <cell r="G39">
            <v>969508.31435</v>
          </cell>
        </row>
      </sheetData>
      <sheetData sheetId="8">
        <row r="20">
          <cell r="G20">
            <v>253481.62070000006</v>
          </cell>
        </row>
      </sheetData>
      <sheetData sheetId="9">
        <row r="35">
          <cell r="D35">
            <v>1674786.6905000005</v>
          </cell>
        </row>
      </sheetData>
      <sheetData sheetId="10">
        <row r="42">
          <cell r="D42">
            <v>1174808.4608333334</v>
          </cell>
        </row>
      </sheetData>
      <sheetData sheetId="11">
        <row r="21">
          <cell r="G21">
            <v>834405.66300000018</v>
          </cell>
        </row>
      </sheetData>
      <sheetData sheetId="12">
        <row r="16">
          <cell r="G16">
            <v>299333.04500000004</v>
          </cell>
        </row>
      </sheetData>
      <sheetData sheetId="13">
        <row r="25">
          <cell r="G25">
            <v>960182.83962750004</v>
          </cell>
        </row>
      </sheetData>
      <sheetData sheetId="14">
        <row r="17">
          <cell r="G17">
            <v>599618.39300000004</v>
          </cell>
        </row>
      </sheetData>
      <sheetData sheetId="15">
        <row r="22">
          <cell r="G22">
            <v>2188969.1775000002</v>
          </cell>
        </row>
      </sheetData>
      <sheetData sheetId="16"/>
      <sheetData sheetId="17">
        <row r="36">
          <cell r="G36">
            <v>1662117.7135200002</v>
          </cell>
        </row>
      </sheetData>
      <sheetData sheetId="18">
        <row r="9">
          <cell r="F9">
            <v>5045830.0200000005</v>
          </cell>
        </row>
      </sheetData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">
          <cell r="D13">
            <v>109.345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workbookViewId="0">
      <selection activeCell="D13" sqref="D13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221</v>
      </c>
      <c r="C1" s="3"/>
      <c r="D1" s="4"/>
      <c r="E1" s="5"/>
    </row>
    <row r="2" spans="1:5" ht="18" customHeight="1" x14ac:dyDescent="0.6">
      <c r="A2" s="6" t="s">
        <v>1</v>
      </c>
      <c r="B2" s="7" t="s">
        <v>222</v>
      </c>
      <c r="C2" s="8"/>
      <c r="D2" s="9"/>
      <c r="E2" s="10"/>
    </row>
    <row r="3" spans="1:5" ht="18" customHeight="1" x14ac:dyDescent="0.6">
      <c r="A3" s="6" t="s">
        <v>2</v>
      </c>
      <c r="B3" s="7" t="s">
        <v>209</v>
      </c>
      <c r="C3" s="8"/>
      <c r="D3" s="9"/>
      <c r="E3" s="10"/>
    </row>
    <row r="4" spans="1:5" ht="24.75" customHeight="1" x14ac:dyDescent="0.25">
      <c r="A4" s="202" t="s">
        <v>3</v>
      </c>
      <c r="B4" s="203"/>
      <c r="C4" s="203"/>
      <c r="D4" s="203"/>
      <c r="E4" s="204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205" t="s">
        <v>4</v>
      </c>
      <c r="B6" s="203"/>
      <c r="C6" s="203"/>
      <c r="D6" s="203"/>
      <c r="E6" s="204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720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f>'[4]Obra '!$C$10</f>
        <v>5347.8600000000006</v>
      </c>
      <c r="E10" s="201"/>
    </row>
    <row r="11" spans="1:5" ht="21.75" customHeight="1" x14ac:dyDescent="0.6">
      <c r="A11" s="20"/>
      <c r="B11" s="27" t="s">
        <v>11</v>
      </c>
      <c r="C11" s="28" t="s">
        <v>12</v>
      </c>
      <c r="D11" s="29">
        <v>77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197">
        <v>48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13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D18" sqref="D18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tr">
        <f>OBRA!B1</f>
        <v xml:space="preserve"> Jurerê Blue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tr">
        <f>OBRA!B2</f>
        <v xml:space="preserve">GRUPO EIS 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202" t="s">
        <v>16</v>
      </c>
      <c r="B4" s="203"/>
      <c r="C4" s="203"/>
      <c r="D4" s="203"/>
      <c r="E4" s="203"/>
      <c r="F4" s="203"/>
      <c r="G4" s="204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205" t="s">
        <v>19</v>
      </c>
      <c r="B6" s="203"/>
      <c r="C6" s="203"/>
      <c r="D6" s="203"/>
      <c r="E6" s="203"/>
      <c r="F6" s="203"/>
      <c r="G6" s="204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111.41375000000001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31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4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2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3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24800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17500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2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D14*1.5</f>
        <v>6</v>
      </c>
      <c r="E24" s="64">
        <v>200</v>
      </c>
      <c r="F24" s="65">
        <f>D24*E24</f>
        <v>1200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f>2</f>
        <v>2</v>
      </c>
      <c r="E27" s="64">
        <v>900</v>
      </c>
      <c r="F27" s="65">
        <f t="shared" si="0"/>
        <v>1800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4</v>
      </c>
      <c r="E28" s="73">
        <v>800</v>
      </c>
      <c r="F28" s="74">
        <f t="shared" si="0"/>
        <v>3200</v>
      </c>
      <c r="G28" s="71"/>
    </row>
    <row r="29" spans="1:7" ht="15.75" customHeight="1" x14ac:dyDescent="0.25">
      <c r="A29" s="70"/>
      <c r="B29" s="206" t="s">
        <v>45</v>
      </c>
      <c r="C29" s="207"/>
      <c r="D29" s="207"/>
      <c r="E29" s="208"/>
      <c r="F29" s="77">
        <f>F26+F27+F28+F25+F24</f>
        <v>12200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f>D14/2</f>
        <v>2</v>
      </c>
      <c r="E31" s="64">
        <v>6000</v>
      </c>
      <c r="F31" s="65">
        <f>D31*E31</f>
        <v>12000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1</v>
      </c>
      <c r="E33" s="79">
        <v>500</v>
      </c>
      <c r="F33" s="80">
        <f t="shared" si="1"/>
        <v>500</v>
      </c>
      <c r="G33" s="71"/>
    </row>
    <row r="34" spans="1:7" ht="15.75" customHeight="1" x14ac:dyDescent="0.25">
      <c r="A34" s="81"/>
      <c r="B34" s="206" t="s">
        <v>45</v>
      </c>
      <c r="C34" s="207"/>
      <c r="D34" s="207"/>
      <c r="E34" s="208"/>
      <c r="F34" s="77">
        <f>+F31+F32+F33</f>
        <v>14500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workbookViewId="0">
      <pane ySplit="6" topLeftCell="A7" activePane="bottomLeft" state="frozen"/>
      <selection pane="bottomLeft" activeCell="H25" sqref="H25"/>
    </sheetView>
  </sheetViews>
  <sheetFormatPr defaultColWidth="14.42578125" defaultRowHeight="15" customHeight="1" x14ac:dyDescent="0.25"/>
  <cols>
    <col min="1" max="1" width="19.42578125" customWidth="1"/>
    <col min="2" max="2" width="10.85546875" customWidth="1"/>
    <col min="3" max="3" width="12.28515625" customWidth="1"/>
    <col min="4" max="4" width="10.7109375" customWidth="1"/>
    <col min="5" max="5" width="15.42578125" hidden="1" customWidth="1"/>
    <col min="6" max="6" width="16.85546875" customWidth="1"/>
    <col min="7" max="7" width="12.140625" customWidth="1"/>
    <col min="8" max="8" width="14.5703125" customWidth="1"/>
    <col min="9" max="16" width="14.42578125" customWidth="1"/>
  </cols>
  <sheetData>
    <row r="1" spans="1:26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51</v>
      </c>
      <c r="C3" s="91" t="s">
        <v>52</v>
      </c>
      <c r="D3" s="214" t="s">
        <v>53</v>
      </c>
      <c r="E3" s="215"/>
      <c r="F3" s="88"/>
      <c r="G3" s="92" t="s">
        <v>54</v>
      </c>
      <c r="H3" s="93" t="s">
        <v>51</v>
      </c>
      <c r="I3" s="93" t="s">
        <v>52</v>
      </c>
      <c r="J3" s="93" t="s">
        <v>210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 xml:space="preserve"> Jurerê Blue</v>
      </c>
      <c r="B4" s="95">
        <f>OBRA!D9</f>
        <v>720</v>
      </c>
      <c r="C4" s="95">
        <f>OBRA!D10</f>
        <v>5347.8600000000006</v>
      </c>
      <c r="D4" s="216">
        <f>OBRA!D13</f>
        <v>13</v>
      </c>
      <c r="E4" s="215"/>
      <c r="F4" s="88"/>
      <c r="G4" s="96" t="s">
        <v>223</v>
      </c>
      <c r="H4" s="97">
        <v>0</v>
      </c>
      <c r="I4" s="97">
        <v>5039.9799999999996</v>
      </c>
      <c r="J4" s="97">
        <v>0</v>
      </c>
      <c r="K4" s="88"/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224</v>
      </c>
      <c r="H5" s="97">
        <v>0</v>
      </c>
      <c r="I5" s="97">
        <v>5579.63</v>
      </c>
      <c r="J5" s="97">
        <v>0</v>
      </c>
      <c r="K5" s="88"/>
      <c r="L5" s="88"/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25">
      <c r="A6" s="87"/>
      <c r="B6" s="87"/>
      <c r="C6" s="87"/>
      <c r="D6" s="87"/>
      <c r="E6" s="90"/>
      <c r="F6" s="88"/>
      <c r="G6" s="96" t="s">
        <v>229</v>
      </c>
      <c r="H6" s="97">
        <v>0</v>
      </c>
      <c r="I6" s="97">
        <v>4498.66</v>
      </c>
      <c r="J6" s="97">
        <v>0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.75" x14ac:dyDescent="0.25">
      <c r="A7" s="87" t="s">
        <v>55</v>
      </c>
      <c r="B7" s="87"/>
      <c r="C7" s="87"/>
      <c r="D7" s="87"/>
      <c r="E7" s="87"/>
      <c r="F7" s="88"/>
      <c r="G7" s="87"/>
      <c r="H7" s="88"/>
      <c r="I7" s="89"/>
      <c r="J7" s="89"/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/>
      <c r="B8" s="87"/>
      <c r="C8" s="87"/>
      <c r="D8" s="87"/>
      <c r="E8" s="87"/>
      <c r="F8" s="88"/>
      <c r="G8" s="87"/>
      <c r="H8" s="88"/>
      <c r="I8" s="98" t="str">
        <f>G4</f>
        <v>Bela Vida</v>
      </c>
      <c r="J8" s="98" t="str">
        <f>G4</f>
        <v>Bela Vida</v>
      </c>
      <c r="K8" s="98" t="str">
        <f t="shared" ref="K8:L8" si="0">$G$5</f>
        <v>Esmeralda</v>
      </c>
      <c r="L8" s="98" t="str">
        <f t="shared" si="0"/>
        <v>Esmeralda</v>
      </c>
      <c r="M8" s="98" t="str">
        <f>G6</f>
        <v>MARINE</v>
      </c>
      <c r="N8" s="98" t="str">
        <f>G6</f>
        <v>MARINE</v>
      </c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217" t="s">
        <v>5</v>
      </c>
      <c r="B9" s="203"/>
      <c r="C9" s="203"/>
      <c r="D9" s="203"/>
      <c r="E9" s="215"/>
      <c r="F9" s="99" t="s">
        <v>6</v>
      </c>
      <c r="G9" s="99" t="s">
        <v>7</v>
      </c>
      <c r="H9" s="99" t="s">
        <v>56</v>
      </c>
      <c r="I9" s="99" t="s">
        <v>57</v>
      </c>
      <c r="J9" s="99" t="s">
        <v>58</v>
      </c>
      <c r="K9" s="99" t="s">
        <v>57</v>
      </c>
      <c r="L9" s="99" t="s">
        <v>58</v>
      </c>
      <c r="M9" s="99" t="s">
        <v>57</v>
      </c>
      <c r="N9" s="99" t="s">
        <v>58</v>
      </c>
      <c r="O9" s="88"/>
      <c r="P9" s="88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100" t="s">
        <v>59</v>
      </c>
      <c r="B10" s="101"/>
      <c r="C10" s="101"/>
      <c r="D10" s="101"/>
      <c r="E10" s="101"/>
      <c r="F10" s="101"/>
      <c r="G10" s="101"/>
      <c r="H10" s="101">
        <f>$C$4*J10</f>
        <v>27217.956591097587</v>
      </c>
      <c r="I10" s="188">
        <v>25651</v>
      </c>
      <c r="J10" s="102">
        <f t="shared" ref="J10:J13" si="1">I10/$I$4</f>
        <v>5.0895043234298551</v>
      </c>
      <c r="K10" s="188">
        <v>30482.799041589347</v>
      </c>
      <c r="L10" s="102">
        <f t="shared" ref="L10:L13" si="2">K10/$I$5</f>
        <v>5.463229468905527</v>
      </c>
      <c r="M10" s="102">
        <v>40433.9</v>
      </c>
      <c r="N10" s="102">
        <f t="shared" ref="N10:N13" si="3">M10/$I$6</f>
        <v>8.9879875340657005</v>
      </c>
      <c r="O10" s="88"/>
      <c r="P10" s="88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60</v>
      </c>
      <c r="B11" s="101"/>
      <c r="C11" s="101"/>
      <c r="D11" s="101"/>
      <c r="E11" s="101"/>
      <c r="F11" s="101"/>
      <c r="G11" s="101"/>
      <c r="H11" s="101">
        <f>$C$4*L11</f>
        <v>306985.78189933335</v>
      </c>
      <c r="I11" s="188">
        <v>631568.72</v>
      </c>
      <c r="J11" s="102">
        <f t="shared" si="1"/>
        <v>125.31175123710808</v>
      </c>
      <c r="K11" s="188">
        <v>320290.18677732348</v>
      </c>
      <c r="L11" s="102">
        <f t="shared" si="2"/>
        <v>57.403481373733293</v>
      </c>
      <c r="M11" s="102">
        <f>[5]ORÇAMENTO_EXECUTIVO_COMENTADO!$F$17</f>
        <v>166779.75</v>
      </c>
      <c r="N11" s="102">
        <f t="shared" si="3"/>
        <v>37.073206243636996</v>
      </c>
      <c r="O11" s="88"/>
      <c r="P11" s="88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" customHeight="1" x14ac:dyDescent="0.25">
      <c r="A12" s="100" t="s">
        <v>61</v>
      </c>
      <c r="B12" s="101"/>
      <c r="C12" s="101"/>
      <c r="D12" s="101"/>
      <c r="E12" s="101"/>
      <c r="F12" s="101"/>
      <c r="G12" s="101"/>
      <c r="H12" s="101">
        <f>$C$4*N12</f>
        <v>87643.1190072155</v>
      </c>
      <c r="I12" s="188">
        <v>117787.79695652175</v>
      </c>
      <c r="J12" s="102">
        <f t="shared" si="1"/>
        <v>23.370687375053425</v>
      </c>
      <c r="K12" s="188">
        <v>51771.995763526313</v>
      </c>
      <c r="L12" s="102">
        <f t="shared" si="2"/>
        <v>9.278750699155017</v>
      </c>
      <c r="M12" s="102">
        <f>[5]ORÇAMENTO_EXECUTIVO_COMENTADO!$F$42</f>
        <v>73726.05</v>
      </c>
      <c r="N12" s="102">
        <f t="shared" si="3"/>
        <v>16.388446781930622</v>
      </c>
      <c r="O12" s="88"/>
      <c r="P12" s="88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.75" x14ac:dyDescent="0.25">
      <c r="A13" s="100" t="s">
        <v>62</v>
      </c>
      <c r="B13" s="101"/>
      <c r="C13" s="101"/>
      <c r="D13" s="101"/>
      <c r="E13" s="101"/>
      <c r="F13" s="101"/>
      <c r="G13" s="101"/>
      <c r="H13" s="101">
        <f>$C$4*L13</f>
        <v>35578.087292526565</v>
      </c>
      <c r="I13" s="188">
        <v>200352.18</v>
      </c>
      <c r="J13" s="102">
        <f t="shared" si="1"/>
        <v>39.752574414977836</v>
      </c>
      <c r="K13" s="188">
        <v>37120</v>
      </c>
      <c r="L13" s="102">
        <f t="shared" si="2"/>
        <v>6.6527708826570935</v>
      </c>
      <c r="M13" s="102">
        <f>[5]ORÇAMENTO_EXECUTIVO_COMENTADO!$F$51</f>
        <v>23350.000080000002</v>
      </c>
      <c r="N13" s="102">
        <f t="shared" si="3"/>
        <v>5.1904345027185874</v>
      </c>
      <c r="O13" s="88"/>
      <c r="P13" s="88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63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89"/>
      <c r="L14" s="101"/>
      <c r="M14" s="101"/>
      <c r="N14" s="101"/>
      <c r="O14" s="88"/>
      <c r="P14" s="88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218" t="s">
        <v>64</v>
      </c>
      <c r="B15" s="212"/>
      <c r="C15" s="212"/>
      <c r="D15" s="212"/>
      <c r="E15" s="213"/>
      <c r="F15" s="103" t="s">
        <v>65</v>
      </c>
      <c r="G15" s="104"/>
      <c r="H15" s="104">
        <f>J15*$C$4</f>
        <v>47632.156184826141</v>
      </c>
      <c r="I15" s="104">
        <v>44889.94</v>
      </c>
      <c r="J15" s="104">
        <f t="shared" ref="J15:J17" si="4">I15/$I$4</f>
        <v>8.9067694713074275</v>
      </c>
      <c r="K15" s="104">
        <v>31285.256630250242</v>
      </c>
      <c r="L15" s="104">
        <f t="shared" ref="L15:L17" si="5">K15/$I$5</f>
        <v>5.6070486090027911</v>
      </c>
      <c r="M15" s="104">
        <v>13004.64</v>
      </c>
      <c r="N15" s="104">
        <f t="shared" ref="N15:N17" si="6">M15/$I$6</f>
        <v>2.8907808102857295</v>
      </c>
      <c r="O15" s="88"/>
      <c r="P15" s="88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105" t="s">
        <v>66</v>
      </c>
      <c r="B16" s="106"/>
      <c r="C16" s="106"/>
      <c r="D16" s="106"/>
      <c r="E16" s="107" t="s">
        <v>67</v>
      </c>
      <c r="F16" s="103" t="s">
        <v>65</v>
      </c>
      <c r="G16" s="104"/>
      <c r="H16" s="104">
        <f>N16*$C$4</f>
        <v>73737.703462942314</v>
      </c>
      <c r="I16" s="104">
        <v>174592.56</v>
      </c>
      <c r="J16" s="104">
        <f t="shared" si="4"/>
        <v>34.641518418723884</v>
      </c>
      <c r="K16" s="104">
        <v>67490.002891701413</v>
      </c>
      <c r="L16" s="104">
        <f t="shared" si="5"/>
        <v>12.095784647315577</v>
      </c>
      <c r="M16" s="104">
        <f>[5]ORÇAMENTO_EXECUTIVO_COMENTADO!$F$56-M15</f>
        <v>62028.710000000006</v>
      </c>
      <c r="N16" s="104">
        <f t="shared" si="6"/>
        <v>13.788263616276849</v>
      </c>
      <c r="O16" s="88"/>
      <c r="P16" s="88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0" t="s">
        <v>68</v>
      </c>
      <c r="B17" s="101"/>
      <c r="C17" s="101"/>
      <c r="D17" s="101"/>
      <c r="E17" s="101"/>
      <c r="F17" s="101"/>
      <c r="G17" s="101"/>
      <c r="H17" s="101">
        <f>L17*C4</f>
        <v>22621.734235737764</v>
      </c>
      <c r="I17" s="101">
        <v>26937.34</v>
      </c>
      <c r="J17" s="102">
        <f t="shared" si="4"/>
        <v>5.3447315267124083</v>
      </c>
      <c r="K17" s="188">
        <v>23602.133749527755</v>
      </c>
      <c r="L17" s="102">
        <f t="shared" si="5"/>
        <v>4.2300535608145617</v>
      </c>
      <c r="M17" s="102">
        <f>[5]ORÇAMENTO_EXECUTIVO_COMENTADO!$F$70</f>
        <v>8250</v>
      </c>
      <c r="N17" s="102">
        <f t="shared" si="6"/>
        <v>1.8338794218722909</v>
      </c>
      <c r="O17" s="88"/>
      <c r="P17" s="88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209" t="s">
        <v>69</v>
      </c>
      <c r="B18" s="203"/>
      <c r="C18" s="203"/>
      <c r="D18" s="203"/>
      <c r="E18" s="203"/>
      <c r="F18" s="203"/>
      <c r="G18" s="203"/>
      <c r="H18" s="203"/>
      <c r="I18" s="203"/>
      <c r="J18" s="210"/>
      <c r="K18" s="188"/>
      <c r="L18" s="102"/>
      <c r="M18" s="102"/>
      <c r="N18" s="102"/>
      <c r="O18" s="88"/>
      <c r="P18" s="88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18" t="s">
        <v>70</v>
      </c>
      <c r="B19" s="212"/>
      <c r="C19" s="212"/>
      <c r="D19" s="212"/>
      <c r="E19" s="213"/>
      <c r="F19" s="103" t="s">
        <v>71</v>
      </c>
      <c r="G19" s="104"/>
      <c r="H19" s="104">
        <v>2000</v>
      </c>
      <c r="I19" s="104">
        <v>2000</v>
      </c>
      <c r="J19" s="104">
        <f t="shared" ref="J19:J21" si="7">I19/$I$4</f>
        <v>0.39682697153560137</v>
      </c>
      <c r="K19" s="104">
        <v>875.49</v>
      </c>
      <c r="L19" s="104">
        <f t="shared" ref="L19:L21" si="8">K19/$I$5</f>
        <v>0.15690825377309964</v>
      </c>
      <c r="M19" s="104">
        <v>60000</v>
      </c>
      <c r="N19" s="104">
        <f t="shared" ref="N19:N22" si="9">M19/$I$6</f>
        <v>13.337304886343935</v>
      </c>
      <c r="O19" s="88"/>
      <c r="P19" s="88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18" t="s">
        <v>72</v>
      </c>
      <c r="B20" s="212"/>
      <c r="C20" s="212"/>
      <c r="D20" s="212"/>
      <c r="E20" s="213"/>
      <c r="F20" s="103" t="s">
        <v>65</v>
      </c>
      <c r="G20" s="104"/>
      <c r="H20" s="104">
        <v>2850</v>
      </c>
      <c r="I20" s="104"/>
      <c r="J20" s="104">
        <f t="shared" si="7"/>
        <v>0</v>
      </c>
      <c r="K20" s="104"/>
      <c r="L20" s="104">
        <f t="shared" si="8"/>
        <v>0</v>
      </c>
      <c r="M20" s="104">
        <v>1500</v>
      </c>
      <c r="N20" s="104">
        <f t="shared" si="9"/>
        <v>0.33343262215859837</v>
      </c>
      <c r="O20" s="88"/>
      <c r="P20" s="88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customHeight="1" x14ac:dyDescent="0.25">
      <c r="A21" s="100" t="s">
        <v>73</v>
      </c>
      <c r="B21" s="101"/>
      <c r="C21" s="101"/>
      <c r="D21" s="101"/>
      <c r="E21" s="101"/>
      <c r="F21" s="101"/>
      <c r="G21" s="101"/>
      <c r="H21" s="101">
        <f>J21*C4</f>
        <v>40056.054785931701</v>
      </c>
      <c r="I21" s="188">
        <v>37750</v>
      </c>
      <c r="J21" s="102">
        <f t="shared" si="7"/>
        <v>7.490109087734476</v>
      </c>
      <c r="K21" s="102">
        <v>0</v>
      </c>
      <c r="L21" s="102">
        <f t="shared" si="8"/>
        <v>0</v>
      </c>
      <c r="M21" s="102">
        <f>[5]ORÇAMENTO_EXECUTIVO_COMENTADO!$F$92+[5]ORÇAMENTO_EXECUTIVO_COMENTADO!$F$89</f>
        <v>52200</v>
      </c>
      <c r="N21" s="102">
        <f t="shared" si="9"/>
        <v>11.603455251119222</v>
      </c>
      <c r="O21" s="88"/>
      <c r="P21" s="88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209" t="s">
        <v>74</v>
      </c>
      <c r="B22" s="203"/>
      <c r="C22" s="203"/>
      <c r="D22" s="203"/>
      <c r="E22" s="203"/>
      <c r="F22" s="203"/>
      <c r="G22" s="203"/>
      <c r="H22" s="203"/>
      <c r="I22" s="203"/>
      <c r="J22" s="210"/>
      <c r="K22" s="102"/>
      <c r="L22" s="102"/>
      <c r="M22" s="102">
        <v>1107599</v>
      </c>
      <c r="N22" s="102">
        <f t="shared" si="9"/>
        <v>246.20642591349426</v>
      </c>
      <c r="O22" s="88"/>
      <c r="P22" s="88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108" t="s">
        <v>75</v>
      </c>
      <c r="B23" s="109"/>
      <c r="C23" s="109"/>
      <c r="D23" s="109"/>
      <c r="E23" s="110"/>
      <c r="F23" s="103" t="s">
        <v>71</v>
      </c>
      <c r="G23" s="104"/>
      <c r="H23" s="104">
        <v>8000</v>
      </c>
      <c r="I23" s="104">
        <v>5000</v>
      </c>
      <c r="J23" s="104"/>
      <c r="K23" s="104">
        <v>13580.813848964193</v>
      </c>
      <c r="L23" s="104"/>
      <c r="M23" s="104">
        <v>5000</v>
      </c>
      <c r="N23" s="104"/>
      <c r="O23" s="88"/>
      <c r="P23" s="88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11" t="s">
        <v>76</v>
      </c>
      <c r="B24" s="112"/>
      <c r="C24" s="112"/>
      <c r="D24" s="112"/>
      <c r="E24" s="113"/>
      <c r="F24" s="103" t="s">
        <v>71</v>
      </c>
      <c r="G24" s="104"/>
      <c r="H24" s="104">
        <v>6000</v>
      </c>
      <c r="I24" s="104"/>
      <c r="J24" s="104"/>
      <c r="K24" s="104"/>
      <c r="L24" s="104"/>
      <c r="M24" s="104">
        <v>5000</v>
      </c>
      <c r="N24" s="104"/>
      <c r="O24" s="88"/>
      <c r="P24" s="88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77</v>
      </c>
      <c r="B25" s="112"/>
      <c r="C25" s="112"/>
      <c r="D25" s="112"/>
      <c r="E25" s="113"/>
      <c r="F25" s="103" t="s">
        <v>71</v>
      </c>
      <c r="G25" s="104"/>
      <c r="H25" s="104">
        <v>5000</v>
      </c>
      <c r="I25" s="104">
        <v>3000</v>
      </c>
      <c r="J25" s="104"/>
      <c r="K25" s="104">
        <v>1833.2167457649396</v>
      </c>
      <c r="L25" s="104"/>
      <c r="M25" s="104">
        <v>2500</v>
      </c>
      <c r="N25" s="104"/>
      <c r="O25" s="88"/>
      <c r="P25" s="88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78</v>
      </c>
      <c r="B26" s="112"/>
      <c r="C26" s="112"/>
      <c r="D26" s="112"/>
      <c r="E26" s="113"/>
      <c r="F26" s="103" t="s">
        <v>71</v>
      </c>
      <c r="G26" s="104"/>
      <c r="H26" s="104">
        <v>3000</v>
      </c>
      <c r="I26" s="104">
        <v>3000</v>
      </c>
      <c r="J26" s="104"/>
      <c r="K26" s="104">
        <v>1833.2167457649396</v>
      </c>
      <c r="L26" s="104"/>
      <c r="M26" s="104"/>
      <c r="N26" s="104"/>
      <c r="O26" s="88"/>
      <c r="P26" s="88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05" t="s">
        <v>79</v>
      </c>
      <c r="B27" s="114"/>
      <c r="C27" s="114"/>
      <c r="D27" s="114"/>
      <c r="E27" s="115"/>
      <c r="F27" s="103" t="s">
        <v>71</v>
      </c>
      <c r="G27" s="104"/>
      <c r="H27" s="104">
        <v>1400</v>
      </c>
      <c r="I27" s="104">
        <v>700</v>
      </c>
      <c r="J27" s="104"/>
      <c r="K27" s="104">
        <v>1833.2167457649396</v>
      </c>
      <c r="L27" s="104"/>
      <c r="M27" s="104">
        <v>2400</v>
      </c>
      <c r="N27" s="104"/>
      <c r="O27" s="88"/>
      <c r="P27" s="88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80</v>
      </c>
      <c r="B28" s="114"/>
      <c r="C28" s="114"/>
      <c r="D28" s="114"/>
      <c r="E28" s="115"/>
      <c r="F28" s="103" t="s">
        <v>71</v>
      </c>
      <c r="G28" s="104"/>
      <c r="H28" s="104">
        <v>3500</v>
      </c>
      <c r="I28" s="104"/>
      <c r="J28" s="104"/>
      <c r="K28" s="104"/>
      <c r="L28" s="104"/>
      <c r="M28" s="104">
        <v>2500</v>
      </c>
      <c r="N28" s="104"/>
      <c r="O28" s="88"/>
      <c r="P28" s="88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211</v>
      </c>
      <c r="B29" s="114"/>
      <c r="C29" s="114"/>
      <c r="D29" s="114"/>
      <c r="E29" s="115"/>
      <c r="F29" s="103" t="s">
        <v>71</v>
      </c>
      <c r="G29" s="104"/>
      <c r="H29" s="104">
        <v>10500</v>
      </c>
      <c r="I29" s="104"/>
      <c r="J29" s="104"/>
      <c r="K29" s="104"/>
      <c r="L29" s="104"/>
      <c r="M29" s="104">
        <v>380448</v>
      </c>
      <c r="N29" s="104"/>
      <c r="O29" s="88"/>
      <c r="P29" s="88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81</v>
      </c>
      <c r="B30" s="114"/>
      <c r="C30" s="114"/>
      <c r="D30" s="114"/>
      <c r="E30" s="115"/>
      <c r="F30" s="103" t="s">
        <v>65</v>
      </c>
      <c r="G30" s="104"/>
      <c r="H30" s="104">
        <v>2500</v>
      </c>
      <c r="I30" s="104">
        <v>1700</v>
      </c>
      <c r="J30" s="104">
        <f>I30/$I$4</f>
        <v>0.33730292580526117</v>
      </c>
      <c r="K30" s="104"/>
      <c r="L30" s="104">
        <f>K30/$I$5</f>
        <v>0</v>
      </c>
      <c r="M30" s="104">
        <v>26358.92</v>
      </c>
      <c r="N30" s="104">
        <f>M30/$I$6</f>
        <v>5.8592825419124805</v>
      </c>
      <c r="O30" s="88"/>
      <c r="P30" s="88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209" t="s">
        <v>82</v>
      </c>
      <c r="B31" s="203"/>
      <c r="C31" s="203"/>
      <c r="D31" s="203"/>
      <c r="E31" s="203"/>
      <c r="F31" s="203"/>
      <c r="G31" s="203"/>
      <c r="H31" s="203"/>
      <c r="I31" s="203"/>
      <c r="J31" s="210"/>
      <c r="K31" s="102"/>
      <c r="L31" s="102"/>
      <c r="M31" s="102"/>
      <c r="N31" s="102"/>
      <c r="O31" s="88"/>
      <c r="P31" s="88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116" t="s">
        <v>83</v>
      </c>
      <c r="B32" s="117"/>
      <c r="C32" s="117"/>
      <c r="D32" s="117"/>
      <c r="E32" s="118"/>
      <c r="F32" s="103" t="s">
        <v>49</v>
      </c>
      <c r="G32" s="119"/>
      <c r="H32" s="104">
        <f>3.5*B4</f>
        <v>2520</v>
      </c>
      <c r="I32" s="119">
        <v>36000</v>
      </c>
      <c r="J32" s="104">
        <f t="shared" ref="J32:J39" si="10">I32/$I$4</f>
        <v>7.1428854876408243</v>
      </c>
      <c r="K32" s="119">
        <v>33733.300000000003</v>
      </c>
      <c r="L32" s="104">
        <f t="shared" ref="L32:L39" si="11">K32/$I$5</f>
        <v>6.0457951512913946</v>
      </c>
      <c r="M32" s="119">
        <v>37440</v>
      </c>
      <c r="N32" s="104">
        <f t="shared" ref="N32:N39" si="12">M32/$I$6</f>
        <v>8.322478249078614</v>
      </c>
      <c r="O32" s="88"/>
      <c r="P32" s="88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84</v>
      </c>
      <c r="B33" s="117"/>
      <c r="C33" s="117"/>
      <c r="D33" s="117"/>
      <c r="E33" s="118"/>
      <c r="F33" s="103"/>
      <c r="G33" s="119"/>
      <c r="H33" s="104">
        <f>N33*C4</f>
        <v>41606.856263865244</v>
      </c>
      <c r="I33" s="119">
        <v>80000</v>
      </c>
      <c r="J33" s="104">
        <f t="shared" si="10"/>
        <v>15.873078861424055</v>
      </c>
      <c r="K33" s="119">
        <v>24271.74</v>
      </c>
      <c r="L33" s="104">
        <f t="shared" si="11"/>
        <v>4.3500626385620551</v>
      </c>
      <c r="M33" s="119">
        <v>35000</v>
      </c>
      <c r="N33" s="104">
        <f t="shared" si="12"/>
        <v>7.7800945170339615</v>
      </c>
      <c r="O33" s="88"/>
      <c r="P33" s="88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85</v>
      </c>
      <c r="B34" s="117"/>
      <c r="C34" s="117"/>
      <c r="D34" s="117"/>
      <c r="E34" s="118"/>
      <c r="F34" s="103" t="s">
        <v>43</v>
      </c>
      <c r="G34" s="119"/>
      <c r="H34" s="120"/>
      <c r="I34" s="119"/>
      <c r="J34" s="104">
        <f t="shared" si="10"/>
        <v>0</v>
      </c>
      <c r="K34" s="119"/>
      <c r="L34" s="104">
        <f t="shared" si="11"/>
        <v>0</v>
      </c>
      <c r="M34" s="119"/>
      <c r="N34" s="104">
        <f t="shared" si="12"/>
        <v>0</v>
      </c>
      <c r="O34" s="88"/>
      <c r="P34" s="88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86</v>
      </c>
      <c r="B35" s="117"/>
      <c r="C35" s="117"/>
      <c r="D35" s="117"/>
      <c r="E35" s="118"/>
      <c r="F35" s="103" t="s">
        <v>65</v>
      </c>
      <c r="G35" s="104"/>
      <c r="H35" s="104">
        <f>N35*$C$4</f>
        <v>6419.343537853495</v>
      </c>
      <c r="I35" s="104">
        <f>'[6]Ger_Tec e Adm'!$M$90</f>
        <v>6007.98</v>
      </c>
      <c r="J35" s="104">
        <f t="shared" si="10"/>
        <v>1.1920642542232311</v>
      </c>
      <c r="K35" s="104">
        <v>9417.8358655306074</v>
      </c>
      <c r="L35" s="104">
        <f t="shared" si="11"/>
        <v>1.687896126719981</v>
      </c>
      <c r="M35" s="104">
        <v>5400</v>
      </c>
      <c r="N35" s="104">
        <f t="shared" si="12"/>
        <v>1.200357439770954</v>
      </c>
      <c r="O35" s="88"/>
      <c r="P35" s="88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87</v>
      </c>
      <c r="B36" s="117"/>
      <c r="C36" s="117"/>
      <c r="D36" s="117"/>
      <c r="E36" s="118"/>
      <c r="F36" s="121" t="s">
        <v>65</v>
      </c>
      <c r="G36" s="119"/>
      <c r="H36" s="104">
        <f>N36*$C$4</f>
        <v>5622.869432230932</v>
      </c>
      <c r="I36" s="119">
        <f>'[6]Ger_Tec e Adm'!$M$89</f>
        <v>7560.02</v>
      </c>
      <c r="J36" s="104">
        <f t="shared" si="10"/>
        <v>1.5000099206742885</v>
      </c>
      <c r="K36" s="119">
        <v>10635.501465325933</v>
      </c>
      <c r="L36" s="104">
        <f t="shared" si="11"/>
        <v>1.9061302389810675</v>
      </c>
      <c r="M36" s="119">
        <v>4730</v>
      </c>
      <c r="N36" s="104">
        <f t="shared" si="12"/>
        <v>1.0514242018734468</v>
      </c>
      <c r="O36" s="88"/>
      <c r="P36" s="88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88</v>
      </c>
      <c r="B37" s="117"/>
      <c r="C37" s="117"/>
      <c r="D37" s="117"/>
      <c r="E37" s="118"/>
      <c r="F37" s="121" t="s">
        <v>71</v>
      </c>
      <c r="G37" s="119"/>
      <c r="H37" s="104">
        <f>L37*$C$4</f>
        <v>0</v>
      </c>
      <c r="I37" s="119"/>
      <c r="J37" s="104">
        <f t="shared" si="10"/>
        <v>0</v>
      </c>
      <c r="K37" s="119"/>
      <c r="L37" s="104">
        <f t="shared" si="11"/>
        <v>0</v>
      </c>
      <c r="M37" s="119"/>
      <c r="N37" s="104">
        <f t="shared" si="12"/>
        <v>0</v>
      </c>
      <c r="O37" s="88"/>
      <c r="P37" s="88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89</v>
      </c>
      <c r="B38" s="117"/>
      <c r="C38" s="117"/>
      <c r="D38" s="117"/>
      <c r="E38" s="118"/>
      <c r="F38" s="103" t="s">
        <v>65</v>
      </c>
      <c r="G38" s="104"/>
      <c r="H38" s="104">
        <f>N38*$C$4</f>
        <v>169041.15587828378</v>
      </c>
      <c r="I38" s="119"/>
      <c r="J38" s="104">
        <f t="shared" si="10"/>
        <v>0</v>
      </c>
      <c r="K38" s="119"/>
      <c r="L38" s="104">
        <f t="shared" si="11"/>
        <v>0</v>
      </c>
      <c r="M38" s="119">
        <v>142198.69</v>
      </c>
      <c r="N38" s="104">
        <f t="shared" si="12"/>
        <v>31.609121382811772</v>
      </c>
      <c r="O38" s="88"/>
      <c r="P38" s="88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211" t="s">
        <v>90</v>
      </c>
      <c r="B39" s="212"/>
      <c r="C39" s="212"/>
      <c r="D39" s="212"/>
      <c r="E39" s="213"/>
      <c r="F39" s="103" t="s">
        <v>65</v>
      </c>
      <c r="G39" s="104"/>
      <c r="H39" s="104">
        <f>N39*$C$4</f>
        <v>297219.0056771572</v>
      </c>
      <c r="I39" s="119">
        <f>'[6]Ger_Tec e Adm'!$N$104</f>
        <v>462826.16000000003</v>
      </c>
      <c r="J39" s="104">
        <f t="shared" si="10"/>
        <v>91.830951710125845</v>
      </c>
      <c r="K39" s="119">
        <v>1156289.6543294913</v>
      </c>
      <c r="L39" s="104">
        <f t="shared" si="11"/>
        <v>207.23410948924771</v>
      </c>
      <c r="M39" s="119">
        <v>250022.86</v>
      </c>
      <c r="N39" s="104">
        <f t="shared" si="12"/>
        <v>55.577185206261419</v>
      </c>
      <c r="O39" s="88"/>
      <c r="P39" s="88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87"/>
      <c r="B40" s="87"/>
      <c r="C40" s="87"/>
      <c r="D40" s="87"/>
      <c r="E40" s="87"/>
      <c r="F40" s="88"/>
      <c r="G40" s="87"/>
      <c r="H40" s="88"/>
      <c r="I40" s="89"/>
      <c r="J40" s="89"/>
      <c r="K40" s="88"/>
      <c r="L40" s="88"/>
      <c r="M40" s="88"/>
      <c r="N40" s="88"/>
      <c r="O40" s="88"/>
      <c r="P40" s="88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mergeCells count="10">
    <mergeCell ref="A22:J22"/>
    <mergeCell ref="A31:J31"/>
    <mergeCell ref="A39:E39"/>
    <mergeCell ref="D3:E3"/>
    <mergeCell ref="D4:E4"/>
    <mergeCell ref="A9:E9"/>
    <mergeCell ref="A15:E15"/>
    <mergeCell ref="A18:J18"/>
    <mergeCell ref="A19:E19"/>
    <mergeCell ref="A20:E20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workbookViewId="0">
      <selection activeCell="A4" sqref="A4:F45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tr">
        <f>OBRA!B1</f>
        <v xml:space="preserve"> Jurerê Blue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tr">
        <f>OBRA!B2</f>
        <v xml:space="preserve">GRUPO EIS 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202" t="s">
        <v>16</v>
      </c>
      <c r="B4" s="203"/>
      <c r="C4" s="203"/>
      <c r="D4" s="203"/>
      <c r="E4" s="203"/>
      <c r="F4" s="204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205" t="s">
        <v>91</v>
      </c>
      <c r="B6" s="203"/>
      <c r="C6" s="203"/>
      <c r="D6" s="203"/>
      <c r="E6" s="203"/>
      <c r="F6" s="204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f>'[7]Obra '!$F$23</f>
        <v>87.82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f>'[7]Obra '!$F$24</f>
        <v>93.9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</f>
        <v>87.82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93.9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43</v>
      </c>
      <c r="D19" s="26">
        <f>D12</f>
        <v>93.9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43</v>
      </c>
      <c r="D21" s="128">
        <f>(D19*D20)</f>
        <v>375.6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212</v>
      </c>
      <c r="C26" s="25" t="s">
        <v>43</v>
      </c>
      <c r="D26" s="125">
        <f>D12</f>
        <v>93.9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213</v>
      </c>
      <c r="C27" s="192" t="s">
        <v>43</v>
      </c>
      <c r="D27" s="193">
        <f>SUM('[7]Obra '!$G$23:$G$32)</f>
        <v>30.760000000000012</v>
      </c>
      <c r="E27" s="52"/>
      <c r="F27" s="194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101</v>
      </c>
      <c r="C28" s="127" t="s">
        <v>49</v>
      </c>
      <c r="D28" s="128">
        <f>D26*D27</f>
        <v>2888.3640000000014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102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103</v>
      </c>
      <c r="C33" s="28" t="s">
        <v>49</v>
      </c>
      <c r="D33" s="30">
        <f>0.9*2.4</f>
        <v>2.16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104</v>
      </c>
      <c r="C34" s="28" t="s">
        <v>24</v>
      </c>
      <c r="D34" s="30">
        <v>2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105</v>
      </c>
      <c r="C35" s="28" t="s">
        <v>24</v>
      </c>
      <c r="D35" s="30">
        <f>D34*11</f>
        <v>22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102</v>
      </c>
      <c r="C36" s="136" t="s">
        <v>49</v>
      </c>
      <c r="D36" s="137">
        <f>D33*D35</f>
        <v>47.52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106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107</v>
      </c>
      <c r="C41" s="25" t="s">
        <v>43</v>
      </c>
      <c r="D41" s="26">
        <f>24*2+30/2</f>
        <v>63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108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109</v>
      </c>
      <c r="C43" s="127" t="s">
        <v>49</v>
      </c>
      <c r="D43" s="128">
        <f>D42*D41</f>
        <v>151.19999999999999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1"/>
  <sheetViews>
    <sheetView showGridLines="0" tabSelected="1" topLeftCell="A56" workbookViewId="0">
      <selection activeCell="F67" sqref="F67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5.42578125" style="198" customWidth="1"/>
    <col min="8" max="8" width="15.42578125" customWidth="1"/>
    <col min="9" max="9" width="9.140625" customWidth="1"/>
    <col min="10" max="10" width="11.7109375" customWidth="1"/>
    <col min="11" max="27" width="9.140625" customWidth="1"/>
  </cols>
  <sheetData>
    <row r="1" spans="1:27" ht="12.75" customHeight="1" x14ac:dyDescent="0.25">
      <c r="A1" s="224" t="s">
        <v>110</v>
      </c>
      <c r="B1" s="225"/>
      <c r="C1" s="225"/>
      <c r="D1" s="225"/>
      <c r="E1" s="225"/>
      <c r="F1" s="226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</row>
    <row r="2" spans="1:27" ht="12.75" customHeight="1" x14ac:dyDescent="0.25">
      <c r="A2" s="227"/>
      <c r="B2" s="228"/>
      <c r="C2" s="228"/>
      <c r="D2" s="228"/>
      <c r="E2" s="228"/>
      <c r="F2" s="229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</row>
    <row r="3" spans="1:27" ht="12.75" customHeight="1" x14ac:dyDescent="0.25">
      <c r="A3" s="227"/>
      <c r="B3" s="228"/>
      <c r="C3" s="228"/>
      <c r="D3" s="228"/>
      <c r="E3" s="228"/>
      <c r="F3" s="229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</row>
    <row r="4" spans="1:27" ht="12.75" customHeight="1" x14ac:dyDescent="0.25">
      <c r="A4" s="227"/>
      <c r="B4" s="228"/>
      <c r="C4" s="228"/>
      <c r="D4" s="228"/>
      <c r="E4" s="228"/>
      <c r="F4" s="229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</row>
    <row r="5" spans="1:27" ht="13.5" customHeight="1" x14ac:dyDescent="0.25">
      <c r="A5" s="230"/>
      <c r="B5" s="231"/>
      <c r="C5" s="231"/>
      <c r="D5" s="231"/>
      <c r="E5" s="231"/>
      <c r="F5" s="232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</row>
    <row r="6" spans="1:27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</row>
    <row r="7" spans="1:27" ht="19.5" customHeight="1" x14ac:dyDescent="0.25">
      <c r="A7" s="150" t="s">
        <v>111</v>
      </c>
      <c r="B7" s="233" t="str">
        <f>OBRA!B2</f>
        <v xml:space="preserve">GRUPO EIS </v>
      </c>
      <c r="C7" s="234"/>
      <c r="D7" s="234"/>
      <c r="E7" s="234"/>
      <c r="F7" s="23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</row>
    <row r="8" spans="1:27" ht="19.5" customHeight="1" x14ac:dyDescent="0.25">
      <c r="A8" s="151" t="s">
        <v>0</v>
      </c>
      <c r="B8" s="236" t="str">
        <f>OBRA!B1</f>
        <v xml:space="preserve"> Jurerê Blue</v>
      </c>
      <c r="C8" s="203"/>
      <c r="D8" s="203"/>
      <c r="E8" s="203"/>
      <c r="F8" s="204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</row>
    <row r="9" spans="1:27" ht="19.5" customHeight="1" x14ac:dyDescent="0.25">
      <c r="A9" s="151" t="s">
        <v>112</v>
      </c>
      <c r="B9" s="237">
        <v>45931</v>
      </c>
      <c r="C9" s="203"/>
      <c r="D9" s="203"/>
      <c r="E9" s="203"/>
      <c r="F9" s="204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</row>
    <row r="10" spans="1:27" ht="19.5" customHeight="1" x14ac:dyDescent="0.25">
      <c r="A10" s="152" t="s">
        <v>113</v>
      </c>
      <c r="B10" s="238" t="str">
        <f>OBRA!B3</f>
        <v>R00</v>
      </c>
      <c r="C10" s="239"/>
      <c r="D10" s="239"/>
      <c r="E10" s="239"/>
      <c r="F10" s="240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</row>
    <row r="11" spans="1:27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</row>
    <row r="12" spans="1:27" ht="21" customHeight="1" x14ac:dyDescent="0.25">
      <c r="A12" s="219" t="s">
        <v>114</v>
      </c>
      <c r="B12" s="207"/>
      <c r="C12" s="207"/>
      <c r="D12" s="207"/>
      <c r="E12" s="207"/>
      <c r="F12" s="220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</row>
    <row r="13" spans="1:27" ht="19.5" customHeight="1" x14ac:dyDescent="0.25">
      <c r="A13" s="155" t="s">
        <v>115</v>
      </c>
      <c r="B13" s="155" t="s">
        <v>5</v>
      </c>
      <c r="C13" s="155" t="s">
        <v>116</v>
      </c>
      <c r="D13" s="156" t="s">
        <v>117</v>
      </c>
      <c r="E13" s="156" t="s">
        <v>118</v>
      </c>
      <c r="F13" s="156" t="s">
        <v>119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</row>
    <row r="14" spans="1:27" ht="15.75" customHeight="1" x14ac:dyDescent="0.25">
      <c r="A14" s="158" t="s">
        <v>120</v>
      </c>
      <c r="B14" s="159" t="s">
        <v>114</v>
      </c>
      <c r="C14" s="159"/>
      <c r="D14" s="160"/>
      <c r="E14" s="160"/>
      <c r="F14" s="161">
        <f>F15+F20</f>
        <v>1542090.5386736789</v>
      </c>
      <c r="G14" s="162"/>
      <c r="H14" s="162"/>
      <c r="I14" s="162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</row>
    <row r="15" spans="1:27" ht="15.75" customHeight="1" x14ac:dyDescent="0.25">
      <c r="A15" s="163" t="s">
        <v>121</v>
      </c>
      <c r="B15" s="164" t="s">
        <v>122</v>
      </c>
      <c r="C15" s="164"/>
      <c r="D15" s="165"/>
      <c r="E15" s="165"/>
      <c r="F15" s="166">
        <f>SUM(F16:F19)</f>
        <v>461924.94479017297</v>
      </c>
      <c r="G15" s="200">
        <f t="shared" ref="G15:G46" si="0">F15/$F$67</f>
        <v>0.15217591664585492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</row>
    <row r="16" spans="1:27" ht="15.75" customHeight="1" x14ac:dyDescent="0.25">
      <c r="A16" s="167" t="s">
        <v>123</v>
      </c>
      <c r="B16" s="168" t="s">
        <v>124</v>
      </c>
      <c r="C16" s="168"/>
      <c r="D16" s="169"/>
      <c r="E16" s="169"/>
      <c r="F16" s="170">
        <f>BASES!H10</f>
        <v>27217.956591097587</v>
      </c>
      <c r="G16" s="200">
        <f t="shared" si="0"/>
        <v>8.9666460757143324E-3</v>
      </c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</row>
    <row r="17" spans="1:27" ht="15.75" customHeight="1" x14ac:dyDescent="0.25">
      <c r="A17" s="167" t="s">
        <v>125</v>
      </c>
      <c r="B17" s="168" t="s">
        <v>126</v>
      </c>
      <c r="C17" s="168"/>
      <c r="D17" s="169"/>
      <c r="E17" s="169"/>
      <c r="F17" s="170">
        <f>BASES!H11+4500</f>
        <v>311485.78189933335</v>
      </c>
      <c r="G17" s="200">
        <f t="shared" si="0"/>
        <v>0.1026154463344979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</row>
    <row r="18" spans="1:27" ht="15.75" customHeight="1" x14ac:dyDescent="0.25">
      <c r="A18" s="167" t="s">
        <v>127</v>
      </c>
      <c r="B18" s="168" t="s">
        <v>128</v>
      </c>
      <c r="C18" s="168"/>
      <c r="D18" s="169"/>
      <c r="E18" s="169"/>
      <c r="F18" s="170">
        <f>BASES!H12</f>
        <v>87643.1190072155</v>
      </c>
      <c r="G18" s="200">
        <f t="shared" si="0"/>
        <v>2.8873028233370492E-2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</row>
    <row r="19" spans="1:27" ht="15.75" customHeight="1" x14ac:dyDescent="0.25">
      <c r="A19" s="167" t="s">
        <v>129</v>
      </c>
      <c r="B19" s="168" t="s">
        <v>130</v>
      </c>
      <c r="C19" s="168"/>
      <c r="D19" s="169"/>
      <c r="E19" s="169"/>
      <c r="F19" s="170">
        <f>BASES!H13</f>
        <v>35578.087292526565</v>
      </c>
      <c r="G19" s="200">
        <f t="shared" si="0"/>
        <v>1.1720796002272216E-2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</row>
    <row r="20" spans="1:27" ht="15.75" customHeight="1" x14ac:dyDescent="0.25">
      <c r="A20" s="163" t="s">
        <v>131</v>
      </c>
      <c r="B20" s="164" t="s">
        <v>132</v>
      </c>
      <c r="C20" s="164"/>
      <c r="D20" s="165"/>
      <c r="E20" s="165"/>
      <c r="F20" s="166">
        <f>SUM(F21:F23)</f>
        <v>1080165.593883506</v>
      </c>
      <c r="G20" s="200">
        <f t="shared" si="0"/>
        <v>0.35584826330001162</v>
      </c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</row>
    <row r="21" spans="1:27" ht="15.75" customHeight="1" x14ac:dyDescent="0.25">
      <c r="A21" s="171" t="s">
        <v>133</v>
      </c>
      <c r="B21" s="168" t="s">
        <v>134</v>
      </c>
      <c r="C21" s="168"/>
      <c r="D21" s="169"/>
      <c r="E21" s="169"/>
      <c r="F21" s="170">
        <f>BASES!H15</f>
        <v>47632.156184826141</v>
      </c>
      <c r="G21" s="200">
        <f t="shared" si="0"/>
        <v>1.5691871831119718E-2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</row>
    <row r="22" spans="1:27" ht="15.75" customHeight="1" x14ac:dyDescent="0.25">
      <c r="A22" s="171" t="s">
        <v>135</v>
      </c>
      <c r="B22" s="168" t="s">
        <v>230</v>
      </c>
      <c r="C22" s="168"/>
      <c r="D22" s="169"/>
      <c r="E22" s="169"/>
      <c r="F22" s="170">
        <f>BASES!H16+H22</f>
        <v>1009911.7034629423</v>
      </c>
      <c r="G22" s="200">
        <f t="shared" si="0"/>
        <v>0.33270391854603204</v>
      </c>
      <c r="H22" s="199">
        <v>936174</v>
      </c>
      <c r="I22" s="145" t="s">
        <v>227</v>
      </c>
      <c r="J22" s="145" t="s">
        <v>228</v>
      </c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</row>
    <row r="23" spans="1:27" ht="15.75" customHeight="1" x14ac:dyDescent="0.25">
      <c r="A23" s="167" t="s">
        <v>136</v>
      </c>
      <c r="B23" s="168" t="s">
        <v>137</v>
      </c>
      <c r="C23" s="168"/>
      <c r="D23" s="169"/>
      <c r="E23" s="169"/>
      <c r="F23" s="170">
        <f>BASES!H17</f>
        <v>22621.734235737764</v>
      </c>
      <c r="G23" s="200">
        <f t="shared" si="0"/>
        <v>7.4524729228598883E-3</v>
      </c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</row>
    <row r="24" spans="1:27" ht="15.75" customHeight="1" x14ac:dyDescent="0.25">
      <c r="A24" s="172" t="s">
        <v>138</v>
      </c>
      <c r="B24" s="173" t="s">
        <v>139</v>
      </c>
      <c r="C24" s="173"/>
      <c r="D24" s="174"/>
      <c r="E24" s="174"/>
      <c r="F24" s="175">
        <f>F25+F39+F53</f>
        <v>1493376.2748114571</v>
      </c>
      <c r="G24" s="200">
        <f t="shared" si="0"/>
        <v>0.49197582005413343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</row>
    <row r="25" spans="1:27" ht="15.75" customHeight="1" x14ac:dyDescent="0.25">
      <c r="A25" s="176" t="s">
        <v>140</v>
      </c>
      <c r="B25" s="164" t="s">
        <v>141</v>
      </c>
      <c r="C25" s="164"/>
      <c r="D25" s="165"/>
      <c r="E25" s="165"/>
      <c r="F25" s="166">
        <f>F26+F28+F38</f>
        <v>351212.50828593178</v>
      </c>
      <c r="G25" s="200">
        <f t="shared" si="0"/>
        <v>0.11570296427740917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</row>
    <row r="26" spans="1:27" ht="15.75" customHeight="1" x14ac:dyDescent="0.25">
      <c r="A26" s="171" t="s">
        <v>142</v>
      </c>
      <c r="B26" s="168" t="s">
        <v>143</v>
      </c>
      <c r="C26" s="168"/>
      <c r="D26" s="169"/>
      <c r="E26" s="169"/>
      <c r="F26" s="170">
        <f>F27</f>
        <v>105600</v>
      </c>
      <c r="G26" s="200">
        <f t="shared" si="0"/>
        <v>3.4788718338434603E-2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</row>
    <row r="27" spans="1:27" ht="15.75" customHeight="1" x14ac:dyDescent="0.25">
      <c r="A27" s="177" t="s">
        <v>144</v>
      </c>
      <c r="B27" s="178" t="s">
        <v>145</v>
      </c>
      <c r="C27" s="178" t="s">
        <v>146</v>
      </c>
      <c r="D27" s="179">
        <f>OBRA!D12</f>
        <v>48</v>
      </c>
      <c r="E27" s="180">
        <v>2200</v>
      </c>
      <c r="F27" s="181">
        <f>E27*D27</f>
        <v>105600</v>
      </c>
      <c r="G27" s="200">
        <f t="shared" si="0"/>
        <v>3.4788718338434603E-2</v>
      </c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</row>
    <row r="28" spans="1:27" ht="15.75" customHeight="1" x14ac:dyDescent="0.25">
      <c r="A28" s="171" t="s">
        <v>147</v>
      </c>
      <c r="B28" s="168" t="s">
        <v>148</v>
      </c>
      <c r="C28" s="168"/>
      <c r="D28" s="169"/>
      <c r="E28" s="169"/>
      <c r="F28" s="170">
        <f>SUM(F29:F37)</f>
        <v>205556.45350000003</v>
      </c>
      <c r="G28" s="200">
        <f t="shared" si="0"/>
        <v>6.7718234502452943E-2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</row>
    <row r="29" spans="1:27" ht="15.75" customHeight="1" x14ac:dyDescent="0.25">
      <c r="A29" s="177" t="s">
        <v>149</v>
      </c>
      <c r="B29" s="178" t="s">
        <v>95</v>
      </c>
      <c r="C29" s="178" t="s">
        <v>43</v>
      </c>
      <c r="D29" s="179">
        <f>EPCs!D13</f>
        <v>87.82</v>
      </c>
      <c r="E29" s="179">
        <v>294.33</v>
      </c>
      <c r="F29" s="181">
        <f t="shared" ref="F29:F37" si="1">E29*D29</f>
        <v>25848.060599999997</v>
      </c>
      <c r="G29" s="200">
        <f t="shared" si="0"/>
        <v>8.5153494300017878E-3</v>
      </c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</row>
    <row r="30" spans="1:27" ht="15.75" customHeight="1" x14ac:dyDescent="0.25">
      <c r="A30" s="177" t="s">
        <v>150</v>
      </c>
      <c r="B30" s="178" t="s">
        <v>96</v>
      </c>
      <c r="C30" s="178" t="s">
        <v>43</v>
      </c>
      <c r="D30" s="179">
        <f>EPCs!D14</f>
        <v>93.9</v>
      </c>
      <c r="E30" s="179">
        <v>210.06</v>
      </c>
      <c r="F30" s="181">
        <f t="shared" si="1"/>
        <v>19724.634000000002</v>
      </c>
      <c r="G30" s="200">
        <f t="shared" si="0"/>
        <v>6.4980562173741546E-3</v>
      </c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</row>
    <row r="31" spans="1:27" ht="19.5" customHeight="1" x14ac:dyDescent="0.25">
      <c r="A31" s="177" t="s">
        <v>152</v>
      </c>
      <c r="B31" s="178" t="s">
        <v>151</v>
      </c>
      <c r="C31" s="178" t="s">
        <v>43</v>
      </c>
      <c r="D31" s="179">
        <f>EPCs!D21</f>
        <v>375.6</v>
      </c>
      <c r="E31" s="179">
        <f>39.19+7.55+0.63+1.63</f>
        <v>49</v>
      </c>
      <c r="F31" s="181">
        <f t="shared" si="1"/>
        <v>18404.400000000001</v>
      </c>
      <c r="G31" s="200">
        <f t="shared" si="0"/>
        <v>6.063120149506494E-3</v>
      </c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</row>
    <row r="32" spans="1:27" ht="19.5" customHeight="1" x14ac:dyDescent="0.25">
      <c r="A32" s="177" t="s">
        <v>152</v>
      </c>
      <c r="B32" s="178" t="s">
        <v>220</v>
      </c>
      <c r="C32" s="178" t="s">
        <v>43</v>
      </c>
      <c r="D32" s="179">
        <f>[8]ESQUADRIAS!$D$13</f>
        <v>109.345</v>
      </c>
      <c r="E32" s="179">
        <v>15.38</v>
      </c>
      <c r="F32" s="181">
        <f t="shared" ref="F32" si="2">E32*D32</f>
        <v>1681.7261000000001</v>
      </c>
      <c r="G32" s="200">
        <f t="shared" si="0"/>
        <v>5.5402552665998199E-4</v>
      </c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</row>
    <row r="33" spans="1:27" ht="19.5" customHeight="1" x14ac:dyDescent="0.25">
      <c r="A33" s="177" t="s">
        <v>154</v>
      </c>
      <c r="B33" s="178" t="s">
        <v>153</v>
      </c>
      <c r="C33" s="178" t="s">
        <v>49</v>
      </c>
      <c r="D33" s="179">
        <f>EPCs!D36</f>
        <v>47.52</v>
      </c>
      <c r="E33" s="179">
        <v>19.89</v>
      </c>
      <c r="F33" s="181">
        <f t="shared" si="1"/>
        <v>945.17280000000005</v>
      </c>
      <c r="G33" s="200">
        <f t="shared" si="0"/>
        <v>3.1137642348815891E-4</v>
      </c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</row>
    <row r="34" spans="1:27" ht="17.25" customHeight="1" x14ac:dyDescent="0.25">
      <c r="A34" s="177" t="s">
        <v>157</v>
      </c>
      <c r="B34" s="178" t="s">
        <v>155</v>
      </c>
      <c r="C34" s="178" t="s">
        <v>43</v>
      </c>
      <c r="D34" s="179">
        <f>D31</f>
        <v>375.6</v>
      </c>
      <c r="E34" s="179">
        <v>195</v>
      </c>
      <c r="F34" s="181">
        <f t="shared" si="1"/>
        <v>73242</v>
      </c>
      <c r="G34" s="200">
        <f t="shared" si="0"/>
        <v>2.4128743452117681E-2</v>
      </c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</row>
    <row r="35" spans="1:27" ht="17.25" customHeight="1" x14ac:dyDescent="0.25">
      <c r="A35" s="177" t="s">
        <v>218</v>
      </c>
      <c r="B35" s="178" t="s">
        <v>156</v>
      </c>
      <c r="C35" s="178" t="s">
        <v>49</v>
      </c>
      <c r="D35" s="179">
        <f>EPCs!D28</f>
        <v>2888.3640000000014</v>
      </c>
      <c r="E35" s="179">
        <v>15</v>
      </c>
      <c r="F35" s="181">
        <f t="shared" si="1"/>
        <v>43325.460000000021</v>
      </c>
      <c r="G35" s="200">
        <f t="shared" si="0"/>
        <v>1.4273079780521926E-2</v>
      </c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</row>
    <row r="36" spans="1:27" ht="15.75" customHeight="1" x14ac:dyDescent="0.25">
      <c r="A36" s="177" t="s">
        <v>159</v>
      </c>
      <c r="B36" s="178" t="s">
        <v>158</v>
      </c>
      <c r="C36" s="178" t="s">
        <v>65</v>
      </c>
      <c r="D36" s="179">
        <v>1</v>
      </c>
      <c r="E36" s="179">
        <f>BASES!H20*1.1</f>
        <v>3135.0000000000005</v>
      </c>
      <c r="F36" s="181">
        <f t="shared" si="1"/>
        <v>3135.0000000000005</v>
      </c>
      <c r="G36" s="200">
        <f t="shared" si="0"/>
        <v>1.0327900756722773E-3</v>
      </c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</row>
    <row r="37" spans="1:27" ht="15.75" customHeight="1" x14ac:dyDescent="0.25">
      <c r="A37" s="177" t="s">
        <v>219</v>
      </c>
      <c r="B37" s="178" t="s">
        <v>160</v>
      </c>
      <c r="C37" s="178" t="s">
        <v>65</v>
      </c>
      <c r="D37" s="179">
        <v>1</v>
      </c>
      <c r="E37" s="179">
        <f>CANTEIRO!D18*1.1</f>
        <v>19250</v>
      </c>
      <c r="F37" s="181">
        <f t="shared" si="1"/>
        <v>19250</v>
      </c>
      <c r="G37" s="200">
        <f t="shared" si="0"/>
        <v>6.3416934471104743E-3</v>
      </c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</row>
    <row r="38" spans="1:27" ht="15.75" customHeight="1" x14ac:dyDescent="0.25">
      <c r="A38" s="171" t="s">
        <v>161</v>
      </c>
      <c r="B38" s="168" t="s">
        <v>162</v>
      </c>
      <c r="C38" s="168"/>
      <c r="D38" s="169"/>
      <c r="E38" s="169"/>
      <c r="F38" s="170">
        <f>BASES!H21</f>
        <v>40056.054785931701</v>
      </c>
      <c r="G38" s="200">
        <f t="shared" si="0"/>
        <v>1.3196011436521621E-2</v>
      </c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</row>
    <row r="39" spans="1:27" ht="15.75" customHeight="1" x14ac:dyDescent="0.25">
      <c r="A39" s="176" t="s">
        <v>163</v>
      </c>
      <c r="B39" s="164" t="s">
        <v>164</v>
      </c>
      <c r="C39" s="164"/>
      <c r="D39" s="165"/>
      <c r="E39" s="165"/>
      <c r="F39" s="166">
        <f>F40+F42+F44+F52</f>
        <v>669157.16652552539</v>
      </c>
      <c r="G39" s="200">
        <f t="shared" si="0"/>
        <v>0.22044621392425645</v>
      </c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</row>
    <row r="40" spans="1:27" ht="15.75" customHeight="1" x14ac:dyDescent="0.25">
      <c r="A40" s="171" t="s">
        <v>165</v>
      </c>
      <c r="B40" s="168" t="s">
        <v>166</v>
      </c>
      <c r="C40" s="168"/>
      <c r="D40" s="169"/>
      <c r="E40" s="169"/>
      <c r="F40" s="170">
        <f>SUM(F41:F41)</f>
        <v>120000</v>
      </c>
      <c r="G40" s="200">
        <f t="shared" si="0"/>
        <v>3.9532634475493864E-2</v>
      </c>
      <c r="H40" s="195">
        <f>F40/OBRA!$D$10</f>
        <v>22.43888209489403</v>
      </c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</row>
    <row r="41" spans="1:27" ht="15.75" customHeight="1" x14ac:dyDescent="0.25">
      <c r="A41" s="177" t="s">
        <v>167</v>
      </c>
      <c r="B41" s="178" t="s">
        <v>81</v>
      </c>
      <c r="C41" s="178" t="s">
        <v>146</v>
      </c>
      <c r="D41" s="179">
        <f>OBRA!$D$12</f>
        <v>48</v>
      </c>
      <c r="E41" s="180">
        <f>BASES!H30</f>
        <v>2500</v>
      </c>
      <c r="F41" s="181">
        <f t="shared" ref="F41" si="3">E41*D41</f>
        <v>120000</v>
      </c>
      <c r="G41" s="200">
        <f t="shared" si="0"/>
        <v>3.9532634475493864E-2</v>
      </c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</row>
    <row r="42" spans="1:27" ht="15.75" customHeight="1" x14ac:dyDescent="0.25">
      <c r="A42" s="171" t="s">
        <v>168</v>
      </c>
      <c r="B42" s="168" t="s">
        <v>169</v>
      </c>
      <c r="C42" s="168"/>
      <c r="D42" s="169"/>
      <c r="E42" s="169"/>
      <c r="F42" s="170">
        <f>SUM(F43)</f>
        <v>9000</v>
      </c>
      <c r="G42" s="200">
        <f t="shared" si="0"/>
        <v>2.9649475856620396E-3</v>
      </c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</row>
    <row r="43" spans="1:27" ht="15.75" customHeight="1" x14ac:dyDescent="0.25">
      <c r="A43" s="177" t="s">
        <v>170</v>
      </c>
      <c r="B43" s="178" t="s">
        <v>171</v>
      </c>
      <c r="C43" s="178" t="s">
        <v>49</v>
      </c>
      <c r="D43" s="179">
        <f>OBRA!D9</f>
        <v>720</v>
      </c>
      <c r="E43" s="180">
        <v>12.5</v>
      </c>
      <c r="F43" s="181">
        <f>E43*D43</f>
        <v>9000</v>
      </c>
      <c r="G43" s="200">
        <f t="shared" si="0"/>
        <v>2.9649475856620396E-3</v>
      </c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</row>
    <row r="44" spans="1:27" ht="15.75" customHeight="1" x14ac:dyDescent="0.25">
      <c r="A44" s="171" t="s">
        <v>172</v>
      </c>
      <c r="B44" s="168" t="s">
        <v>173</v>
      </c>
      <c r="C44" s="168"/>
      <c r="D44" s="169"/>
      <c r="E44" s="169"/>
      <c r="F44" s="170">
        <f>SUM(F45:F51)</f>
        <v>242938.16084836822</v>
      </c>
      <c r="G44" s="200">
        <f t="shared" si="0"/>
        <v>8.0033212608060622E-2</v>
      </c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</row>
    <row r="45" spans="1:27" ht="15.75" customHeight="1" x14ac:dyDescent="0.25">
      <c r="A45" s="177" t="s">
        <v>174</v>
      </c>
      <c r="B45" s="178" t="s">
        <v>88</v>
      </c>
      <c r="C45" s="182" t="s">
        <v>146</v>
      </c>
      <c r="D45" s="179">
        <v>6</v>
      </c>
      <c r="E45" s="179">
        <v>2850</v>
      </c>
      <c r="F45" s="181">
        <f t="shared" ref="F45:F50" si="4">E45*D45</f>
        <v>17100</v>
      </c>
      <c r="G45" s="200">
        <f t="shared" si="0"/>
        <v>5.6334004127578758E-3</v>
      </c>
      <c r="H45" s="145"/>
      <c r="I45" s="145"/>
      <c r="J45" s="162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</row>
    <row r="46" spans="1:27" ht="15.75" customHeight="1" x14ac:dyDescent="0.25">
      <c r="A46" s="177" t="s">
        <v>175</v>
      </c>
      <c r="B46" s="178" t="s">
        <v>19</v>
      </c>
      <c r="C46" s="178" t="s">
        <v>65</v>
      </c>
      <c r="D46" s="180">
        <v>1</v>
      </c>
      <c r="E46" s="180">
        <f>BASES!H38</f>
        <v>169041.15587828378</v>
      </c>
      <c r="F46" s="183">
        <f t="shared" si="4"/>
        <v>169041.15587828378</v>
      </c>
      <c r="G46" s="200">
        <f t="shared" si="0"/>
        <v>5.5688685222093116E-2</v>
      </c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</row>
    <row r="47" spans="1:27" ht="15.75" customHeight="1" x14ac:dyDescent="0.25">
      <c r="A47" s="177" t="s">
        <v>176</v>
      </c>
      <c r="B47" s="178" t="s">
        <v>86</v>
      </c>
      <c r="C47" s="178" t="s">
        <v>65</v>
      </c>
      <c r="D47" s="180">
        <v>1</v>
      </c>
      <c r="E47" s="180">
        <f>BASES!H35</f>
        <v>6419.343537853495</v>
      </c>
      <c r="F47" s="183">
        <f t="shared" si="4"/>
        <v>6419.343537853495</v>
      </c>
      <c r="G47" s="200">
        <f t="shared" ref="G47:G67" si="5">F47/$F$67</f>
        <v>2.1147796804548819E-3</v>
      </c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</row>
    <row r="48" spans="1:27" ht="15.75" customHeight="1" x14ac:dyDescent="0.25">
      <c r="A48" s="177" t="s">
        <v>177</v>
      </c>
      <c r="B48" s="178" t="s">
        <v>87</v>
      </c>
      <c r="C48" s="178" t="s">
        <v>65</v>
      </c>
      <c r="D48" s="180">
        <v>1</v>
      </c>
      <c r="E48" s="180">
        <f>BASES!H36</f>
        <v>5622.869432230932</v>
      </c>
      <c r="F48" s="183">
        <f t="shared" si="4"/>
        <v>5622.869432230932</v>
      </c>
      <c r="G48" s="200">
        <f t="shared" si="5"/>
        <v>1.8523903497317763E-3</v>
      </c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</row>
    <row r="49" spans="1:27" ht="15.75" customHeight="1" x14ac:dyDescent="0.25">
      <c r="A49" s="177" t="s">
        <v>178</v>
      </c>
      <c r="B49" s="178" t="s">
        <v>179</v>
      </c>
      <c r="C49" s="178" t="s">
        <v>65</v>
      </c>
      <c r="D49" s="180">
        <v>1</v>
      </c>
      <c r="E49" s="180">
        <f>CANTEIRO!F29</f>
        <v>12200</v>
      </c>
      <c r="F49" s="183">
        <f t="shared" si="4"/>
        <v>12200</v>
      </c>
      <c r="G49" s="200">
        <f t="shared" si="5"/>
        <v>4.0191511716752091E-3</v>
      </c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</row>
    <row r="50" spans="1:27" ht="15.75" customHeight="1" x14ac:dyDescent="0.25">
      <c r="A50" s="177" t="s">
        <v>180</v>
      </c>
      <c r="B50" s="178" t="s">
        <v>181</v>
      </c>
      <c r="C50" s="182" t="s">
        <v>65</v>
      </c>
      <c r="D50" s="180">
        <v>1</v>
      </c>
      <c r="E50" s="180">
        <f>CANTEIRO!F34</f>
        <v>14500</v>
      </c>
      <c r="F50" s="183">
        <f t="shared" si="4"/>
        <v>14500</v>
      </c>
      <c r="G50" s="200">
        <f t="shared" si="5"/>
        <v>4.7768599991221752E-3</v>
      </c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spans="1:27" ht="15.75" customHeight="1" x14ac:dyDescent="0.25">
      <c r="A51" s="177" t="s">
        <v>182</v>
      </c>
      <c r="B51" s="178" t="s">
        <v>183</v>
      </c>
      <c r="C51" s="178" t="s">
        <v>49</v>
      </c>
      <c r="D51" s="179">
        <f>EPCs!D43</f>
        <v>151.19999999999999</v>
      </c>
      <c r="E51" s="180">
        <v>119.41</v>
      </c>
      <c r="F51" s="181">
        <f>E51*D51</f>
        <v>18054.791999999998</v>
      </c>
      <c r="G51" s="200">
        <f t="shared" si="5"/>
        <v>5.9479457722255895E-3</v>
      </c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</row>
    <row r="52" spans="1:27" ht="15.75" customHeight="1" x14ac:dyDescent="0.25">
      <c r="A52" s="171" t="s">
        <v>184</v>
      </c>
      <c r="B52" s="168" t="s">
        <v>185</v>
      </c>
      <c r="C52" s="168"/>
      <c r="D52" s="169"/>
      <c r="E52" s="169"/>
      <c r="F52" s="170">
        <f>BASES!H39</f>
        <v>297219.0056771572</v>
      </c>
      <c r="G52" s="200">
        <f t="shared" si="5"/>
        <v>9.7915419255039923E-2</v>
      </c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</row>
    <row r="53" spans="1:27" ht="15.75" customHeight="1" x14ac:dyDescent="0.25">
      <c r="A53" s="176" t="s">
        <v>186</v>
      </c>
      <c r="B53" s="164" t="s">
        <v>187</v>
      </c>
      <c r="C53" s="164"/>
      <c r="D53" s="165"/>
      <c r="E53" s="165"/>
      <c r="F53" s="166">
        <f>F54+F63</f>
        <v>473006.6</v>
      </c>
      <c r="G53" s="200">
        <f t="shared" si="5"/>
        <v>0.15582664185246778</v>
      </c>
      <c r="H53" s="195">
        <f>F53/OBRA!$D$10</f>
        <v>88.44782772922251</v>
      </c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</row>
    <row r="54" spans="1:27" ht="15.75" customHeight="1" x14ac:dyDescent="0.25">
      <c r="A54" s="171" t="s">
        <v>188</v>
      </c>
      <c r="B54" s="168" t="s">
        <v>189</v>
      </c>
      <c r="C54" s="168"/>
      <c r="D54" s="169"/>
      <c r="E54" s="169"/>
      <c r="F54" s="170">
        <f>SUM(F55:F62)</f>
        <v>396281.59999999998</v>
      </c>
      <c r="G54" s="200">
        <f t="shared" si="5"/>
        <v>0.13055046368469891</v>
      </c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</row>
    <row r="55" spans="1:27" ht="15.75" customHeight="1" x14ac:dyDescent="0.25">
      <c r="A55" s="177" t="s">
        <v>190</v>
      </c>
      <c r="B55" s="178" t="s">
        <v>191</v>
      </c>
      <c r="C55" s="178" t="s">
        <v>65</v>
      </c>
      <c r="D55" s="179">
        <v>1</v>
      </c>
      <c r="E55" s="179">
        <f>CANTEIRO!D17</f>
        <v>24800</v>
      </c>
      <c r="F55" s="183">
        <f>E55*D55*1.1</f>
        <v>27280.000000000004</v>
      </c>
      <c r="G55" s="200">
        <f t="shared" si="5"/>
        <v>8.9870855707622731E-3</v>
      </c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</row>
    <row r="56" spans="1:27" s="196" customFormat="1" ht="15.75" customHeight="1" x14ac:dyDescent="0.25">
      <c r="A56" s="177" t="s">
        <v>192</v>
      </c>
      <c r="B56" s="178" t="s">
        <v>225</v>
      </c>
      <c r="C56" s="178" t="s">
        <v>116</v>
      </c>
      <c r="D56" s="179">
        <v>1</v>
      </c>
      <c r="E56" s="179">
        <v>7500</v>
      </c>
      <c r="F56" s="183">
        <f t="shared" ref="F56" si="6">E56*D56*1.1</f>
        <v>8250</v>
      </c>
      <c r="G56" s="200">
        <f t="shared" si="5"/>
        <v>2.717868620190203E-3</v>
      </c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</row>
    <row r="57" spans="1:27" ht="15.75" customHeight="1" x14ac:dyDescent="0.25">
      <c r="A57" s="177" t="s">
        <v>193</v>
      </c>
      <c r="B57" s="178" t="s">
        <v>214</v>
      </c>
      <c r="C57" s="178" t="s">
        <v>146</v>
      </c>
      <c r="D57" s="179">
        <v>19</v>
      </c>
      <c r="E57" s="179">
        <v>6000</v>
      </c>
      <c r="F57" s="183">
        <f t="shared" ref="F57:F62" si="7">E57*D57*1.1</f>
        <v>125400.00000000001</v>
      </c>
      <c r="G57" s="200">
        <f t="shared" si="5"/>
        <v>4.1311603026891096E-2</v>
      </c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</row>
    <row r="58" spans="1:27" ht="15.75" customHeight="1" x14ac:dyDescent="0.25">
      <c r="A58" s="177" t="s">
        <v>216</v>
      </c>
      <c r="B58" s="178" t="s">
        <v>197</v>
      </c>
      <c r="C58" s="178" t="s">
        <v>116</v>
      </c>
      <c r="D58" s="179">
        <v>1</v>
      </c>
      <c r="E58" s="180">
        <v>17600</v>
      </c>
      <c r="F58" s="183">
        <f t="shared" si="7"/>
        <v>19360</v>
      </c>
      <c r="G58" s="200">
        <f t="shared" si="5"/>
        <v>6.3779316953796765E-3</v>
      </c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</row>
    <row r="59" spans="1:27" ht="15.75" customHeight="1" x14ac:dyDescent="0.25">
      <c r="A59" s="177" t="s">
        <v>194</v>
      </c>
      <c r="B59" s="178" t="s">
        <v>215</v>
      </c>
      <c r="C59" s="178" t="s">
        <v>116</v>
      </c>
      <c r="D59" s="179">
        <v>1</v>
      </c>
      <c r="E59" s="180">
        <v>13000</v>
      </c>
      <c r="F59" s="183">
        <f t="shared" si="7"/>
        <v>14300.000000000002</v>
      </c>
      <c r="G59" s="200">
        <f t="shared" si="5"/>
        <v>4.7109722749963528E-3</v>
      </c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</row>
    <row r="60" spans="1:27" ht="15.75" customHeight="1" x14ac:dyDescent="0.25">
      <c r="A60" s="177" t="s">
        <v>195</v>
      </c>
      <c r="B60" s="178" t="s">
        <v>217</v>
      </c>
      <c r="C60" s="178" t="s">
        <v>146</v>
      </c>
      <c r="D60" s="179">
        <v>17</v>
      </c>
      <c r="E60" s="179">
        <v>9800</v>
      </c>
      <c r="F60" s="183">
        <f t="shared" si="7"/>
        <v>183260.00000000003</v>
      </c>
      <c r="G60" s="200">
        <f t="shared" si="5"/>
        <v>6.0372921616491722E-2</v>
      </c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</row>
    <row r="61" spans="1:27" ht="15.75" customHeight="1" x14ac:dyDescent="0.25">
      <c r="A61" s="177" t="s">
        <v>196</v>
      </c>
      <c r="B61" s="178" t="s">
        <v>198</v>
      </c>
      <c r="C61" s="178" t="s">
        <v>116</v>
      </c>
      <c r="D61" s="179">
        <v>1</v>
      </c>
      <c r="E61" s="179">
        <v>7000</v>
      </c>
      <c r="F61" s="183">
        <f t="shared" si="7"/>
        <v>7700.0000000000009</v>
      </c>
      <c r="G61" s="200">
        <f t="shared" si="5"/>
        <v>2.5366773788441897E-3</v>
      </c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</row>
    <row r="62" spans="1:27" ht="15.75" customHeight="1" x14ac:dyDescent="0.25">
      <c r="A62" s="177" t="s">
        <v>226</v>
      </c>
      <c r="B62" s="178" t="s">
        <v>199</v>
      </c>
      <c r="C62" s="178" t="s">
        <v>146</v>
      </c>
      <c r="D62" s="179">
        <v>1</v>
      </c>
      <c r="E62" s="179">
        <v>9756</v>
      </c>
      <c r="F62" s="183">
        <f t="shared" si="7"/>
        <v>10731.6</v>
      </c>
      <c r="G62" s="200">
        <f t="shared" si="5"/>
        <v>3.5354035011434162E-3</v>
      </c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spans="1:27" ht="15.75" customHeight="1" x14ac:dyDescent="0.25">
      <c r="A63" s="171" t="s">
        <v>200</v>
      </c>
      <c r="B63" s="168" t="s">
        <v>201</v>
      </c>
      <c r="C63" s="168"/>
      <c r="D63" s="184"/>
      <c r="E63" s="184"/>
      <c r="F63" s="170">
        <f>SUM(F64:F66)</f>
        <v>76725.000000000015</v>
      </c>
      <c r="G63" s="200">
        <f t="shared" si="5"/>
        <v>2.5276178167768892E-2</v>
      </c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</row>
    <row r="64" spans="1:27" ht="15.75" customHeight="1" x14ac:dyDescent="0.25">
      <c r="A64" s="177" t="s">
        <v>202</v>
      </c>
      <c r="B64" s="178" t="s">
        <v>203</v>
      </c>
      <c r="C64" s="178" t="s">
        <v>146</v>
      </c>
      <c r="D64" s="179">
        <v>13</v>
      </c>
      <c r="E64" s="179">
        <f>1800*2</f>
        <v>3600</v>
      </c>
      <c r="F64" s="183">
        <f>E64*D64*1.1</f>
        <v>51480.000000000007</v>
      </c>
      <c r="G64" s="200">
        <f t="shared" si="5"/>
        <v>1.6959500189986869E-2</v>
      </c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</row>
    <row r="65" spans="1:27" ht="15.75" customHeight="1" x14ac:dyDescent="0.25">
      <c r="A65" s="177" t="s">
        <v>204</v>
      </c>
      <c r="B65" s="178" t="s">
        <v>205</v>
      </c>
      <c r="C65" s="178" t="s">
        <v>116</v>
      </c>
      <c r="D65" s="179">
        <f>ROUNDUP(EPCs!$D$12/6,0)+ROUNDUP(EPCs!$D$11/6,0)</f>
        <v>31</v>
      </c>
      <c r="E65" s="179">
        <v>450</v>
      </c>
      <c r="F65" s="183">
        <f t="shared" ref="F65:F66" si="8">E65*D65*1.1</f>
        <v>15345.000000000002</v>
      </c>
      <c r="G65" s="200">
        <f t="shared" si="5"/>
        <v>5.0552356335537788E-3</v>
      </c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</row>
    <row r="66" spans="1:27" ht="15.75" customHeight="1" x14ac:dyDescent="0.25">
      <c r="A66" s="177" t="s">
        <v>206</v>
      </c>
      <c r="B66" s="185" t="s">
        <v>207</v>
      </c>
      <c r="C66" s="178" t="s">
        <v>146</v>
      </c>
      <c r="D66" s="186">
        <v>6</v>
      </c>
      <c r="E66" s="186">
        <v>1500</v>
      </c>
      <c r="F66" s="183">
        <f t="shared" si="8"/>
        <v>9900</v>
      </c>
      <c r="G66" s="200">
        <f t="shared" si="5"/>
        <v>3.2614423442282438E-3</v>
      </c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</row>
    <row r="67" spans="1:27" ht="19.5" customHeight="1" x14ac:dyDescent="0.25">
      <c r="A67" s="221" t="s">
        <v>208</v>
      </c>
      <c r="B67" s="222"/>
      <c r="C67" s="222"/>
      <c r="D67" s="222"/>
      <c r="E67" s="223"/>
      <c r="F67" s="187">
        <f>F24+F14</f>
        <v>3035466.8134851363</v>
      </c>
      <c r="G67" s="200">
        <f t="shared" si="5"/>
        <v>1</v>
      </c>
      <c r="H67" s="195">
        <f>F67/OBRA!$D$10</f>
        <v>567.60401608963878</v>
      </c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</row>
    <row r="68" spans="1:27" ht="19.5" customHeight="1" x14ac:dyDescent="0.25">
      <c r="A68" s="153"/>
      <c r="B68" s="153"/>
      <c r="C68" s="153"/>
      <c r="D68" s="154"/>
      <c r="E68" s="154"/>
      <c r="F68" s="154">
        <f>F67/OBRA!D10</f>
        <v>567.60401608963878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</row>
    <row r="69" spans="1:27" ht="19.5" customHeight="1" x14ac:dyDescent="0.25">
      <c r="A69" s="153"/>
      <c r="B69" s="153"/>
      <c r="C69" s="153"/>
      <c r="D69" s="154"/>
      <c r="E69" s="154"/>
      <c r="F69" s="154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</row>
    <row r="70" spans="1:27" ht="19.5" customHeight="1" x14ac:dyDescent="0.25">
      <c r="A70" s="153"/>
      <c r="B70" s="153"/>
      <c r="C70" s="153"/>
      <c r="D70" s="154"/>
      <c r="E70" s="154"/>
      <c r="F70" s="154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</row>
    <row r="71" spans="1:27" ht="19.5" customHeight="1" x14ac:dyDescent="0.25">
      <c r="A71" s="153"/>
      <c r="B71" s="153"/>
      <c r="C71" s="153"/>
      <c r="D71" s="154"/>
      <c r="E71" s="154"/>
      <c r="F71" s="154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</row>
    <row r="72" spans="1:27" ht="19.5" customHeight="1" x14ac:dyDescent="0.25">
      <c r="A72" s="153"/>
      <c r="B72" s="153"/>
      <c r="C72" s="153"/>
      <c r="D72" s="154"/>
      <c r="E72" s="154"/>
      <c r="F72" s="154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</row>
    <row r="73" spans="1:27" ht="19.5" customHeight="1" x14ac:dyDescent="0.25">
      <c r="A73" s="153"/>
      <c r="B73" s="153"/>
      <c r="C73" s="153"/>
      <c r="D73" s="154"/>
      <c r="E73" s="154"/>
      <c r="F73" s="154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spans="1:27" ht="19.5" customHeight="1" x14ac:dyDescent="0.25">
      <c r="A74" s="153"/>
      <c r="B74" s="153"/>
      <c r="C74" s="153"/>
      <c r="D74" s="154"/>
      <c r="E74" s="154"/>
      <c r="F74" s="15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spans="1:27" ht="19.5" customHeight="1" x14ac:dyDescent="0.25">
      <c r="A75" s="153"/>
      <c r="B75" s="153"/>
      <c r="C75" s="153"/>
      <c r="D75" s="154"/>
      <c r="E75" s="154"/>
      <c r="F75" s="15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spans="1:27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spans="1:27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spans="1:27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spans="1:27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spans="1:27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spans="1:27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spans="1:27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spans="1:27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spans="1:27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spans="1:27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spans="1:27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spans="1:27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spans="1:27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spans="1:27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spans="1:27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spans="1:27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spans="1:27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spans="1:27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spans="1:27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spans="1:27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spans="1:27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spans="1:27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spans="1:27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spans="1:27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spans="1:27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spans="1:27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spans="1:27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spans="1:27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spans="1:27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spans="1:27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spans="1:27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spans="1:27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spans="1:27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spans="1:27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spans="1:27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spans="1:27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spans="1:27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spans="1:27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</row>
    <row r="114" spans="1:27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spans="1:27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</row>
    <row r="116" spans="1:27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</row>
    <row r="117" spans="1:27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</row>
    <row r="118" spans="1:27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</row>
    <row r="119" spans="1:27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</row>
    <row r="120" spans="1:27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</row>
    <row r="121" spans="1:27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</row>
    <row r="122" spans="1:27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</row>
    <row r="123" spans="1:27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</row>
    <row r="124" spans="1:27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</row>
    <row r="125" spans="1:27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</row>
    <row r="126" spans="1:27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spans="1:27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</row>
    <row r="128" spans="1:27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spans="1:27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</row>
    <row r="130" spans="1:27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spans="1:27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</row>
    <row r="132" spans="1:27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spans="1:27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</row>
    <row r="134" spans="1:27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spans="1:27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</row>
    <row r="136" spans="1:27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spans="1:27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</row>
    <row r="138" spans="1:27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spans="1:27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</row>
    <row r="140" spans="1:27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spans="1:27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</row>
    <row r="142" spans="1:27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spans="1:27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</row>
    <row r="144" spans="1:27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</row>
    <row r="145" spans="1:27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</row>
    <row r="146" spans="1:27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spans="1:27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</row>
    <row r="148" spans="1:27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spans="1:27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</row>
    <row r="150" spans="1:27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spans="1:27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</row>
    <row r="152" spans="1:27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spans="1:27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</row>
    <row r="154" spans="1:27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spans="1:27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</row>
    <row r="156" spans="1:27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spans="1:27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</row>
    <row r="158" spans="1:27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spans="1:27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</row>
    <row r="160" spans="1:27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spans="1:27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</row>
    <row r="162" spans="1:27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spans="1:27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</row>
    <row r="164" spans="1:27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spans="1:27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</row>
    <row r="166" spans="1:27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spans="1:27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</row>
    <row r="168" spans="1:27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spans="1:27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</row>
    <row r="170" spans="1:27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spans="1:27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</row>
    <row r="172" spans="1:27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spans="1:27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</row>
    <row r="174" spans="1:27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</row>
    <row r="175" spans="1:27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</row>
    <row r="176" spans="1:27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spans="1:27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</row>
    <row r="178" spans="1:27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spans="1:27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</row>
    <row r="180" spans="1:27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</row>
    <row r="181" spans="1:27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</row>
    <row r="182" spans="1:27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</row>
    <row r="183" spans="1:27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</row>
    <row r="184" spans="1:27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spans="1:27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</row>
    <row r="186" spans="1:27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spans="1:27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</row>
    <row r="188" spans="1:27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spans="1:27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</row>
    <row r="190" spans="1:27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spans="1:27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</row>
    <row r="192" spans="1:27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spans="1:27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</row>
    <row r="194" spans="1:27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spans="1:27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</row>
    <row r="196" spans="1:27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spans="1:27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</row>
    <row r="198" spans="1:27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spans="1:27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</row>
    <row r="200" spans="1:27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spans="1:27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</row>
    <row r="202" spans="1:27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spans="1:27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</row>
    <row r="204" spans="1:27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spans="1:27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</row>
    <row r="206" spans="1:27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spans="1:27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</row>
    <row r="208" spans="1:27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</row>
    <row r="209" spans="1:27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</row>
    <row r="210" spans="1:27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spans="1:27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</row>
    <row r="212" spans="1:27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</row>
    <row r="213" spans="1:27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</row>
    <row r="214" spans="1:27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spans="1:27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</row>
    <row r="216" spans="1:27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spans="1:27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</row>
    <row r="218" spans="1:27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spans="1:27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</row>
    <row r="220" spans="1:27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spans="1:27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</row>
    <row r="222" spans="1:27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spans="1:27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</row>
    <row r="224" spans="1:27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spans="1:27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</row>
    <row r="226" spans="1:27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spans="1:27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</row>
    <row r="228" spans="1:27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spans="1:27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</row>
    <row r="230" spans="1:27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spans="1:27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</row>
    <row r="232" spans="1:27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spans="1:27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</row>
    <row r="234" spans="1:27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spans="1:27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</row>
    <row r="236" spans="1:27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spans="1:27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</row>
    <row r="238" spans="1:27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spans="1:27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</row>
    <row r="240" spans="1:27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spans="1:27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</row>
    <row r="242" spans="1:27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spans="1:27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</row>
    <row r="244" spans="1:27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spans="1:27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</row>
    <row r="246" spans="1:27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</row>
    <row r="247" spans="1:27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</row>
    <row r="248" spans="1:27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</row>
    <row r="249" spans="1:27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</row>
    <row r="250" spans="1:27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</row>
    <row r="251" spans="1:27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</row>
    <row r="252" spans="1:27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</row>
    <row r="253" spans="1:27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</row>
    <row r="254" spans="1:27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</row>
    <row r="255" spans="1:27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</row>
    <row r="256" spans="1:27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</row>
    <row r="257" spans="1:27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</row>
    <row r="258" spans="1:27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</row>
    <row r="259" spans="1:27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</row>
    <row r="260" spans="1:27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spans="1:27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</row>
    <row r="262" spans="1:27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spans="1:27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</row>
    <row r="264" spans="1:27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spans="1:27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</row>
    <row r="266" spans="1:27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spans="1:27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</row>
    <row r="268" spans="1:27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spans="1:27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</row>
    <row r="270" spans="1:27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</row>
    <row r="271" spans="1:27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</row>
    <row r="272" spans="1:27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spans="1:27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</row>
    <row r="274" spans="1:27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spans="1:27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</row>
    <row r="276" spans="1:27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</row>
    <row r="277" spans="1:27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</row>
    <row r="278" spans="1:27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spans="1:27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</row>
    <row r="280" spans="1:27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</row>
    <row r="281" spans="1:27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</row>
    <row r="282" spans="1:27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</row>
    <row r="283" spans="1:27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</row>
    <row r="284" spans="1:27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</row>
    <row r="285" spans="1:27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</row>
    <row r="286" spans="1:27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</row>
    <row r="287" spans="1:27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</row>
    <row r="288" spans="1:27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</row>
    <row r="289" spans="1:27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</row>
    <row r="290" spans="1:27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</row>
    <row r="291" spans="1:27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</row>
    <row r="292" spans="1:27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</row>
    <row r="293" spans="1:27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</row>
    <row r="294" spans="1:27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</row>
    <row r="295" spans="1:27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</row>
    <row r="296" spans="1:27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</row>
    <row r="297" spans="1:27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</row>
    <row r="298" spans="1:27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</row>
    <row r="299" spans="1:27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</row>
    <row r="300" spans="1:27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</row>
    <row r="301" spans="1:27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  <row r="302" spans="1:27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</row>
    <row r="303" spans="1:27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</row>
    <row r="304" spans="1:27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</row>
    <row r="305" spans="1:27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</row>
    <row r="306" spans="1:27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</row>
    <row r="307" spans="1:27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</row>
    <row r="308" spans="1:27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</row>
    <row r="309" spans="1:27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</row>
    <row r="310" spans="1:27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</row>
    <row r="311" spans="1:27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</row>
    <row r="312" spans="1:27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</row>
    <row r="313" spans="1:27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</row>
    <row r="314" spans="1:27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</row>
    <row r="315" spans="1:27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</row>
    <row r="316" spans="1:27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</row>
    <row r="317" spans="1:27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</row>
    <row r="318" spans="1:27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</row>
    <row r="319" spans="1:27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</row>
    <row r="320" spans="1:27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</row>
    <row r="321" spans="1:27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</row>
    <row r="322" spans="1:27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</row>
    <row r="323" spans="1:27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</row>
    <row r="324" spans="1:27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</row>
    <row r="325" spans="1:27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</row>
    <row r="326" spans="1:27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</row>
    <row r="327" spans="1:27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</row>
    <row r="328" spans="1:27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</row>
    <row r="329" spans="1:27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</row>
    <row r="330" spans="1:27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</row>
    <row r="331" spans="1:27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</row>
    <row r="332" spans="1:27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</row>
    <row r="333" spans="1:27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</row>
    <row r="334" spans="1:27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</row>
    <row r="335" spans="1:27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</row>
    <row r="336" spans="1:27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</row>
    <row r="337" spans="1:27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</row>
    <row r="338" spans="1:27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</row>
    <row r="339" spans="1:27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</row>
    <row r="340" spans="1:27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</row>
    <row r="341" spans="1:27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</row>
    <row r="342" spans="1:27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</row>
    <row r="343" spans="1:27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</row>
    <row r="344" spans="1:27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</row>
    <row r="345" spans="1:27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</row>
    <row r="346" spans="1:27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</row>
    <row r="347" spans="1:27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</row>
    <row r="348" spans="1:27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</row>
    <row r="349" spans="1:27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</row>
    <row r="350" spans="1:27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</row>
    <row r="351" spans="1:27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</row>
    <row r="352" spans="1:27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</row>
    <row r="353" spans="1:27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</row>
    <row r="354" spans="1:27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</row>
    <row r="355" spans="1:27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</row>
    <row r="356" spans="1:27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</row>
    <row r="357" spans="1:27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</row>
    <row r="358" spans="1:27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</row>
    <row r="359" spans="1:27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</row>
    <row r="360" spans="1:27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</row>
    <row r="361" spans="1:27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</row>
    <row r="362" spans="1:27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</row>
    <row r="363" spans="1:27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</row>
    <row r="364" spans="1:27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</row>
    <row r="365" spans="1:27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</row>
    <row r="366" spans="1:27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</row>
    <row r="367" spans="1:27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</row>
    <row r="368" spans="1:27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</row>
    <row r="369" spans="1:27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</row>
    <row r="370" spans="1:27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</row>
    <row r="371" spans="1:27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</row>
    <row r="372" spans="1:27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</row>
    <row r="373" spans="1:27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</row>
    <row r="374" spans="1:27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</row>
    <row r="375" spans="1:27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</row>
    <row r="376" spans="1:27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</row>
    <row r="377" spans="1:27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</row>
    <row r="378" spans="1:27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</row>
    <row r="379" spans="1:27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</row>
    <row r="380" spans="1:27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</row>
    <row r="381" spans="1:27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</row>
    <row r="382" spans="1:27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</row>
    <row r="383" spans="1:27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</row>
    <row r="384" spans="1:27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</row>
    <row r="385" spans="1:27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</row>
    <row r="386" spans="1:27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</row>
    <row r="387" spans="1:27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</row>
    <row r="388" spans="1:27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</row>
    <row r="389" spans="1:27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</row>
    <row r="390" spans="1:27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</row>
    <row r="391" spans="1:27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</row>
    <row r="392" spans="1:27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</row>
    <row r="393" spans="1:27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</row>
    <row r="394" spans="1:27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</row>
    <row r="395" spans="1:27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</row>
    <row r="396" spans="1:27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</row>
    <row r="397" spans="1:27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</row>
    <row r="398" spans="1:27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</row>
    <row r="399" spans="1:27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</row>
    <row r="400" spans="1:27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</row>
    <row r="401" spans="1:27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</row>
    <row r="402" spans="1:27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</row>
    <row r="403" spans="1:27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</row>
    <row r="404" spans="1:27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</row>
    <row r="405" spans="1:27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</row>
    <row r="406" spans="1:27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</row>
    <row r="407" spans="1:27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</row>
    <row r="408" spans="1:27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</row>
    <row r="409" spans="1:27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</row>
    <row r="410" spans="1:27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</row>
    <row r="411" spans="1:27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</row>
    <row r="412" spans="1:27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</row>
    <row r="413" spans="1:27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</row>
    <row r="414" spans="1:27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</row>
    <row r="415" spans="1:27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</row>
    <row r="416" spans="1:27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</row>
    <row r="417" spans="1:27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</row>
    <row r="418" spans="1:27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</row>
    <row r="419" spans="1:27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</row>
    <row r="420" spans="1:27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</row>
    <row r="421" spans="1:27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</row>
    <row r="422" spans="1:27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</row>
    <row r="423" spans="1:27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</row>
    <row r="424" spans="1:27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</row>
    <row r="425" spans="1:27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</row>
    <row r="426" spans="1:27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</row>
    <row r="427" spans="1:27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</row>
    <row r="428" spans="1:27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</row>
    <row r="429" spans="1:27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</row>
    <row r="430" spans="1:27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</row>
    <row r="431" spans="1:27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</row>
    <row r="432" spans="1:27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</row>
    <row r="433" spans="1:27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</row>
    <row r="434" spans="1:27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</row>
    <row r="435" spans="1:27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</row>
    <row r="436" spans="1:27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</row>
    <row r="437" spans="1:27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</row>
    <row r="438" spans="1:27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</row>
    <row r="439" spans="1:27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</row>
    <row r="440" spans="1:27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</row>
    <row r="441" spans="1:27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</row>
    <row r="442" spans="1:27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</row>
    <row r="443" spans="1:27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</row>
    <row r="444" spans="1:27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</row>
    <row r="445" spans="1:27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</row>
    <row r="446" spans="1:27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</row>
    <row r="447" spans="1:27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</row>
    <row r="448" spans="1:27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</row>
    <row r="449" spans="1:27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</row>
    <row r="450" spans="1:27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</row>
    <row r="451" spans="1:27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</row>
    <row r="452" spans="1:27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</row>
    <row r="453" spans="1:27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</row>
    <row r="454" spans="1:27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</row>
    <row r="455" spans="1:27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</row>
    <row r="456" spans="1:27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</row>
    <row r="457" spans="1:27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</row>
    <row r="458" spans="1:27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</row>
    <row r="459" spans="1:27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</row>
    <row r="460" spans="1:27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</row>
    <row r="461" spans="1:27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</row>
    <row r="462" spans="1:27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</row>
    <row r="463" spans="1:27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</row>
    <row r="464" spans="1:27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</row>
    <row r="465" spans="1:27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</row>
    <row r="466" spans="1:27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</row>
    <row r="467" spans="1:27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</row>
    <row r="468" spans="1:27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</row>
    <row r="469" spans="1:27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</row>
    <row r="470" spans="1:27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</row>
    <row r="471" spans="1:27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</row>
    <row r="472" spans="1:27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</row>
    <row r="473" spans="1:27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</row>
    <row r="474" spans="1:27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</row>
    <row r="475" spans="1:27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</row>
    <row r="476" spans="1:27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</row>
    <row r="477" spans="1:27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</row>
    <row r="478" spans="1:27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</row>
    <row r="479" spans="1:27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</row>
    <row r="480" spans="1:27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</row>
    <row r="481" spans="1:27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</row>
    <row r="482" spans="1:27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</row>
    <row r="483" spans="1:27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</row>
    <row r="484" spans="1:27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</row>
    <row r="485" spans="1:27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</row>
    <row r="486" spans="1:27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</row>
    <row r="487" spans="1:27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</row>
    <row r="488" spans="1:27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</row>
    <row r="489" spans="1:27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</row>
    <row r="490" spans="1:27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</row>
    <row r="491" spans="1:27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</row>
    <row r="492" spans="1:27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</row>
    <row r="493" spans="1:27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</row>
    <row r="494" spans="1:27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</row>
    <row r="495" spans="1:27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</row>
    <row r="496" spans="1:27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</row>
    <row r="497" spans="1:27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</row>
    <row r="498" spans="1:27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</row>
    <row r="499" spans="1:27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</row>
    <row r="500" spans="1:27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</row>
    <row r="501" spans="1:27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</row>
    <row r="502" spans="1:27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</row>
    <row r="503" spans="1:27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</row>
    <row r="504" spans="1:27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</row>
    <row r="505" spans="1:27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</row>
    <row r="506" spans="1:27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</row>
    <row r="507" spans="1:27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</row>
    <row r="508" spans="1:27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</row>
    <row r="509" spans="1:27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</row>
    <row r="510" spans="1:27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</row>
    <row r="511" spans="1:27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</row>
    <row r="512" spans="1:27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</row>
    <row r="513" spans="1:27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</row>
    <row r="514" spans="1:27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</row>
    <row r="515" spans="1:27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</row>
    <row r="516" spans="1:27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</row>
    <row r="517" spans="1:27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</row>
    <row r="518" spans="1:27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</row>
    <row r="519" spans="1:27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</row>
    <row r="520" spans="1:27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</row>
    <row r="521" spans="1:27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</row>
    <row r="522" spans="1:27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</row>
    <row r="523" spans="1:27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</row>
    <row r="524" spans="1:27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</row>
    <row r="525" spans="1:27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</row>
    <row r="526" spans="1:27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</row>
    <row r="527" spans="1:27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</row>
    <row r="528" spans="1:27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</row>
    <row r="529" spans="1:27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</row>
    <row r="530" spans="1:27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</row>
    <row r="531" spans="1:27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</row>
    <row r="532" spans="1:27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</row>
    <row r="533" spans="1:27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</row>
    <row r="534" spans="1:27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</row>
    <row r="535" spans="1:27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</row>
    <row r="536" spans="1:27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</row>
    <row r="537" spans="1:27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</row>
    <row r="538" spans="1:27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</row>
    <row r="539" spans="1:27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</row>
    <row r="540" spans="1:27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</row>
    <row r="541" spans="1:27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</row>
    <row r="542" spans="1:27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</row>
    <row r="543" spans="1:27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</row>
    <row r="544" spans="1:27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</row>
    <row r="545" spans="1:27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</row>
    <row r="546" spans="1:27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</row>
    <row r="547" spans="1:27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</row>
    <row r="548" spans="1:27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</row>
    <row r="549" spans="1:27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</row>
    <row r="550" spans="1:27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</row>
    <row r="551" spans="1:27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</row>
    <row r="552" spans="1:27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</row>
    <row r="553" spans="1:27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</row>
    <row r="554" spans="1:27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</row>
    <row r="555" spans="1:27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</row>
    <row r="556" spans="1:27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</row>
    <row r="557" spans="1:27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</row>
    <row r="558" spans="1:27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</row>
    <row r="559" spans="1:27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</row>
    <row r="560" spans="1:27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</row>
    <row r="561" spans="1:27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</row>
    <row r="562" spans="1:27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</row>
    <row r="563" spans="1:27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</row>
    <row r="564" spans="1:27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</row>
    <row r="565" spans="1:27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</row>
    <row r="566" spans="1:27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</row>
    <row r="567" spans="1:27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</row>
    <row r="568" spans="1:27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</row>
    <row r="569" spans="1:27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</row>
    <row r="570" spans="1:27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</row>
    <row r="571" spans="1:27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</row>
    <row r="572" spans="1:27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</row>
    <row r="573" spans="1:27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</row>
    <row r="574" spans="1:27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</row>
    <row r="575" spans="1:27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</row>
    <row r="576" spans="1:27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</row>
    <row r="577" spans="1:27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</row>
    <row r="578" spans="1:27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</row>
    <row r="579" spans="1:27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</row>
    <row r="580" spans="1:27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</row>
    <row r="581" spans="1:27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</row>
    <row r="582" spans="1:27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</row>
    <row r="583" spans="1:27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</row>
    <row r="584" spans="1:27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</row>
    <row r="585" spans="1:27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</row>
    <row r="586" spans="1:27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</row>
    <row r="587" spans="1:27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</row>
    <row r="588" spans="1:27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</row>
    <row r="589" spans="1:27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</row>
    <row r="590" spans="1:27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</row>
    <row r="591" spans="1:27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</row>
    <row r="592" spans="1:27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</row>
    <row r="593" spans="1:27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</row>
    <row r="594" spans="1:27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</row>
    <row r="595" spans="1:27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</row>
    <row r="596" spans="1:27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</row>
    <row r="597" spans="1:27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</row>
    <row r="598" spans="1:27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</row>
    <row r="599" spans="1:27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</row>
    <row r="600" spans="1:27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</row>
    <row r="601" spans="1:27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</row>
    <row r="602" spans="1:27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</row>
    <row r="603" spans="1:27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</row>
    <row r="604" spans="1:27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</row>
    <row r="605" spans="1:27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</row>
    <row r="606" spans="1:27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</row>
    <row r="607" spans="1:27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</row>
    <row r="608" spans="1:27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</row>
    <row r="609" spans="1:27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</row>
    <row r="610" spans="1:27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</row>
    <row r="611" spans="1:27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</row>
    <row r="612" spans="1:27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</row>
    <row r="613" spans="1:27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</row>
    <row r="614" spans="1:27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</row>
    <row r="615" spans="1:27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</row>
    <row r="616" spans="1:27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</row>
    <row r="617" spans="1:27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</row>
    <row r="618" spans="1:27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</row>
    <row r="619" spans="1:27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</row>
    <row r="620" spans="1:27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</row>
    <row r="621" spans="1:27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</row>
    <row r="622" spans="1:27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</row>
    <row r="623" spans="1:27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</row>
    <row r="624" spans="1:27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</row>
    <row r="625" spans="1:27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</row>
    <row r="626" spans="1:27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</row>
    <row r="627" spans="1:27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</row>
    <row r="628" spans="1:27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</row>
    <row r="629" spans="1:27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</row>
    <row r="630" spans="1:27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</row>
    <row r="631" spans="1:27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</row>
    <row r="632" spans="1:27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</row>
    <row r="633" spans="1:27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</row>
    <row r="634" spans="1:27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</row>
    <row r="635" spans="1:27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</row>
    <row r="636" spans="1:27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</row>
    <row r="637" spans="1:27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</row>
    <row r="638" spans="1:27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</row>
    <row r="639" spans="1:27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</row>
    <row r="640" spans="1:27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</row>
    <row r="641" spans="1:27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</row>
    <row r="642" spans="1:27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</row>
    <row r="643" spans="1:27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</row>
    <row r="644" spans="1:27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</row>
    <row r="645" spans="1:27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</row>
    <row r="646" spans="1:27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</row>
    <row r="647" spans="1:27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</row>
    <row r="648" spans="1:27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</row>
    <row r="649" spans="1:27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</row>
    <row r="650" spans="1:27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</row>
    <row r="651" spans="1:27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</row>
    <row r="652" spans="1:27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</row>
    <row r="653" spans="1:27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</row>
    <row r="654" spans="1:27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</row>
    <row r="655" spans="1:27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</row>
    <row r="656" spans="1:27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</row>
    <row r="657" spans="1:27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</row>
    <row r="658" spans="1:27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</row>
    <row r="659" spans="1:27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</row>
    <row r="660" spans="1:27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</row>
    <row r="661" spans="1:27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</row>
    <row r="662" spans="1:27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</row>
    <row r="663" spans="1:27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</row>
    <row r="664" spans="1:27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</row>
    <row r="665" spans="1:27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</row>
    <row r="666" spans="1:27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</row>
    <row r="667" spans="1:27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</row>
    <row r="668" spans="1:27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</row>
    <row r="669" spans="1:27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</row>
    <row r="670" spans="1:27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</row>
    <row r="671" spans="1:27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</row>
    <row r="672" spans="1:27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</row>
    <row r="673" spans="1:27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</row>
    <row r="674" spans="1:27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</row>
    <row r="675" spans="1:27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</row>
    <row r="676" spans="1:27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</row>
    <row r="677" spans="1:27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</row>
    <row r="678" spans="1:27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</row>
    <row r="679" spans="1:27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</row>
    <row r="680" spans="1:27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</row>
    <row r="681" spans="1:27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</row>
    <row r="682" spans="1:27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</row>
    <row r="683" spans="1:27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</row>
    <row r="684" spans="1:27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</row>
    <row r="685" spans="1:27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</row>
    <row r="686" spans="1:27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</row>
    <row r="687" spans="1:27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</row>
    <row r="688" spans="1:27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</row>
    <row r="689" spans="1:27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</row>
    <row r="690" spans="1:27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</row>
    <row r="691" spans="1:27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</row>
    <row r="692" spans="1:27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</row>
    <row r="693" spans="1:27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</row>
    <row r="694" spans="1:27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</row>
    <row r="695" spans="1:27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</row>
    <row r="696" spans="1:27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</row>
    <row r="697" spans="1:27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</row>
    <row r="698" spans="1:27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</row>
    <row r="699" spans="1:27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</row>
    <row r="700" spans="1:27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</row>
    <row r="701" spans="1:27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</row>
    <row r="702" spans="1:27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</row>
    <row r="703" spans="1:27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</row>
    <row r="704" spans="1:27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</row>
    <row r="705" spans="1:27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</row>
    <row r="706" spans="1:27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</row>
    <row r="707" spans="1:27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</row>
    <row r="708" spans="1:27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</row>
    <row r="709" spans="1:27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</row>
    <row r="710" spans="1:27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</row>
    <row r="711" spans="1:27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</row>
    <row r="712" spans="1:27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</row>
    <row r="713" spans="1:27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</row>
    <row r="714" spans="1:27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</row>
    <row r="715" spans="1:27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</row>
    <row r="716" spans="1:27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</row>
    <row r="717" spans="1:27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</row>
    <row r="718" spans="1:27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</row>
    <row r="719" spans="1:27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</row>
    <row r="720" spans="1:27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</row>
    <row r="721" spans="1:27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</row>
    <row r="722" spans="1:27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</row>
    <row r="723" spans="1:27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</row>
    <row r="724" spans="1:27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</row>
    <row r="725" spans="1:27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</row>
    <row r="726" spans="1:27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</row>
    <row r="727" spans="1:27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</row>
    <row r="728" spans="1:27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</row>
    <row r="729" spans="1:27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</row>
    <row r="730" spans="1:27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</row>
    <row r="731" spans="1:27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</row>
    <row r="732" spans="1:27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</row>
    <row r="733" spans="1:27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</row>
    <row r="734" spans="1:27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</row>
    <row r="735" spans="1:27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</row>
    <row r="736" spans="1:27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</row>
    <row r="737" spans="1:27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</row>
    <row r="738" spans="1:27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</row>
    <row r="739" spans="1:27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</row>
    <row r="740" spans="1:27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</row>
    <row r="741" spans="1:27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</row>
    <row r="742" spans="1:27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</row>
    <row r="743" spans="1:27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</row>
    <row r="744" spans="1:27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</row>
    <row r="745" spans="1:27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</row>
    <row r="746" spans="1:27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</row>
    <row r="747" spans="1:27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</row>
    <row r="748" spans="1:27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</row>
    <row r="749" spans="1:27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</row>
    <row r="750" spans="1:27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</row>
    <row r="751" spans="1:27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</row>
    <row r="752" spans="1:27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</row>
    <row r="753" spans="1:27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</row>
    <row r="754" spans="1:27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</row>
    <row r="755" spans="1:27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</row>
    <row r="756" spans="1:27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</row>
    <row r="757" spans="1:27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</row>
    <row r="758" spans="1:27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</row>
    <row r="759" spans="1:27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</row>
    <row r="760" spans="1:27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</row>
    <row r="761" spans="1:27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</row>
    <row r="762" spans="1:27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</row>
    <row r="763" spans="1:27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</row>
    <row r="764" spans="1:27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</row>
    <row r="765" spans="1:27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</row>
    <row r="766" spans="1:27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</row>
    <row r="767" spans="1:27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</row>
    <row r="768" spans="1:27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</row>
    <row r="769" spans="1:27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</row>
    <row r="770" spans="1:27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</row>
    <row r="771" spans="1:27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</row>
    <row r="772" spans="1:27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</row>
    <row r="773" spans="1:27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</row>
    <row r="774" spans="1:27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</row>
    <row r="775" spans="1:27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</row>
    <row r="776" spans="1:27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</row>
    <row r="777" spans="1:27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</row>
    <row r="778" spans="1:27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</row>
    <row r="779" spans="1:27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</row>
    <row r="780" spans="1:27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</row>
    <row r="781" spans="1:27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</row>
    <row r="782" spans="1:27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</row>
    <row r="783" spans="1:27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</row>
    <row r="784" spans="1:27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</row>
    <row r="785" spans="1:27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</row>
    <row r="786" spans="1:27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</row>
    <row r="787" spans="1:27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</row>
    <row r="788" spans="1:27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</row>
    <row r="789" spans="1:27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</row>
    <row r="790" spans="1:27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</row>
    <row r="791" spans="1:27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</row>
    <row r="792" spans="1:27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</row>
    <row r="793" spans="1:27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</row>
    <row r="794" spans="1:27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</row>
    <row r="795" spans="1:27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</row>
    <row r="796" spans="1:27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</row>
    <row r="797" spans="1:27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</row>
    <row r="798" spans="1:27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</row>
    <row r="799" spans="1:27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</row>
    <row r="800" spans="1:27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</row>
    <row r="801" spans="1:27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</row>
    <row r="802" spans="1:27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</row>
    <row r="803" spans="1:27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</row>
    <row r="804" spans="1:27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</row>
    <row r="805" spans="1:27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</row>
    <row r="806" spans="1:27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</row>
    <row r="807" spans="1:27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</row>
    <row r="808" spans="1:27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</row>
    <row r="809" spans="1:27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</row>
    <row r="810" spans="1:27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</row>
    <row r="811" spans="1:27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</row>
    <row r="812" spans="1:27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</row>
    <row r="813" spans="1:27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</row>
    <row r="814" spans="1:27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</row>
    <row r="815" spans="1:27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</row>
    <row r="816" spans="1:27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</row>
    <row r="817" spans="1:27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</row>
    <row r="818" spans="1:27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</row>
    <row r="819" spans="1:27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</row>
    <row r="820" spans="1:27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</row>
    <row r="821" spans="1:27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</row>
    <row r="822" spans="1:27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</row>
    <row r="823" spans="1:27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</row>
    <row r="824" spans="1:27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</row>
    <row r="825" spans="1:27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</row>
    <row r="826" spans="1:27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</row>
    <row r="827" spans="1:27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</row>
    <row r="828" spans="1:27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</row>
    <row r="829" spans="1:27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</row>
    <row r="830" spans="1:27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</row>
    <row r="831" spans="1:27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</row>
    <row r="832" spans="1:27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</row>
    <row r="833" spans="1:27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</row>
    <row r="834" spans="1:27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</row>
    <row r="835" spans="1:27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</row>
    <row r="836" spans="1:27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</row>
    <row r="837" spans="1:27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</row>
    <row r="838" spans="1:27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</row>
    <row r="839" spans="1:27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</row>
    <row r="840" spans="1:27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</row>
    <row r="841" spans="1:27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</row>
    <row r="842" spans="1:27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</row>
    <row r="843" spans="1:27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</row>
    <row r="844" spans="1:27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</row>
    <row r="845" spans="1:27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</row>
    <row r="846" spans="1:27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</row>
    <row r="847" spans="1:27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</row>
    <row r="848" spans="1:27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</row>
    <row r="849" spans="1:27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</row>
    <row r="850" spans="1:27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</row>
    <row r="851" spans="1:27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</row>
    <row r="852" spans="1:27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</row>
    <row r="853" spans="1:27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</row>
    <row r="854" spans="1:27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</row>
    <row r="855" spans="1:27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</row>
    <row r="856" spans="1:27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</row>
    <row r="857" spans="1:27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</row>
    <row r="858" spans="1:27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</row>
    <row r="859" spans="1:27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</row>
    <row r="860" spans="1:27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</row>
    <row r="861" spans="1:27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</row>
    <row r="862" spans="1:27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</row>
    <row r="863" spans="1:27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</row>
    <row r="864" spans="1:27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</row>
    <row r="865" spans="1:27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</row>
    <row r="866" spans="1:27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</row>
    <row r="867" spans="1:27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</row>
    <row r="868" spans="1:27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</row>
    <row r="869" spans="1:27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</row>
    <row r="870" spans="1:27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</row>
    <row r="871" spans="1:27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</row>
    <row r="872" spans="1:27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</row>
    <row r="873" spans="1:27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</row>
    <row r="874" spans="1:27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</row>
    <row r="875" spans="1:27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</row>
    <row r="876" spans="1:27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</row>
    <row r="877" spans="1:27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</row>
    <row r="878" spans="1:27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</row>
    <row r="879" spans="1:27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</row>
    <row r="880" spans="1:27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</row>
    <row r="881" spans="1:27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</row>
    <row r="882" spans="1:27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</row>
    <row r="883" spans="1:27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</row>
    <row r="884" spans="1:27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</row>
    <row r="885" spans="1:27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</row>
    <row r="886" spans="1:27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</row>
    <row r="887" spans="1:27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</row>
    <row r="888" spans="1:27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</row>
    <row r="889" spans="1:27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</row>
    <row r="890" spans="1:27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</row>
    <row r="891" spans="1:27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</row>
    <row r="892" spans="1:27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</row>
    <row r="893" spans="1:27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</row>
    <row r="894" spans="1:27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</row>
    <row r="895" spans="1:27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</row>
    <row r="896" spans="1:27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</row>
    <row r="897" spans="1:27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</row>
    <row r="898" spans="1:27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</row>
    <row r="899" spans="1:27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</row>
    <row r="900" spans="1:27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</row>
    <row r="901" spans="1:27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</row>
    <row r="902" spans="1:27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</row>
    <row r="903" spans="1:27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</row>
    <row r="904" spans="1:27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</row>
    <row r="905" spans="1:27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</row>
    <row r="906" spans="1:27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</row>
    <row r="907" spans="1:27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</row>
    <row r="908" spans="1:27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</row>
    <row r="909" spans="1:27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</row>
    <row r="910" spans="1:27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</row>
    <row r="911" spans="1:27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</row>
    <row r="912" spans="1:27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</row>
    <row r="913" spans="1:27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</row>
    <row r="914" spans="1:27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</row>
    <row r="915" spans="1:27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</row>
    <row r="916" spans="1:27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</row>
    <row r="917" spans="1:27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</row>
    <row r="918" spans="1:27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</row>
    <row r="919" spans="1:27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</row>
    <row r="920" spans="1:27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</row>
    <row r="921" spans="1:27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</row>
    <row r="922" spans="1:27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</row>
    <row r="923" spans="1:27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</row>
    <row r="924" spans="1:27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</row>
    <row r="925" spans="1:27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</row>
    <row r="926" spans="1:27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</row>
    <row r="927" spans="1:27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</row>
    <row r="928" spans="1:27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</row>
    <row r="929" spans="1:27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</row>
    <row r="930" spans="1:27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</row>
    <row r="931" spans="1:27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</row>
    <row r="932" spans="1:27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</row>
    <row r="933" spans="1:27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</row>
    <row r="934" spans="1:27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</row>
    <row r="935" spans="1:27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</row>
    <row r="936" spans="1:27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</row>
    <row r="937" spans="1:27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</row>
    <row r="938" spans="1:27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</row>
    <row r="939" spans="1:27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</row>
    <row r="940" spans="1:27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</row>
    <row r="941" spans="1:27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</row>
    <row r="942" spans="1:27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</row>
    <row r="943" spans="1:27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</row>
    <row r="944" spans="1:27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</row>
    <row r="945" spans="1:27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</row>
    <row r="946" spans="1:27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</row>
    <row r="947" spans="1:27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</row>
    <row r="948" spans="1:27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</row>
    <row r="949" spans="1:27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</row>
    <row r="950" spans="1:27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</row>
    <row r="951" spans="1:27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</row>
    <row r="952" spans="1:27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</row>
    <row r="953" spans="1:27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</row>
    <row r="954" spans="1:27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</row>
    <row r="955" spans="1:27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</row>
    <row r="956" spans="1:27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</row>
    <row r="957" spans="1:27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</row>
    <row r="958" spans="1:27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</row>
    <row r="959" spans="1:27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</row>
    <row r="960" spans="1:27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</row>
    <row r="961" spans="1:27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</row>
    <row r="962" spans="1:27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</row>
    <row r="963" spans="1:27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</row>
    <row r="964" spans="1:27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</row>
    <row r="965" spans="1:27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</row>
    <row r="966" spans="1:27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</row>
    <row r="967" spans="1:27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</row>
    <row r="968" spans="1:27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</row>
    <row r="969" spans="1:27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</row>
    <row r="970" spans="1:27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</row>
    <row r="971" spans="1:27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</row>
    <row r="972" spans="1:27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</row>
    <row r="973" spans="1:27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</row>
    <row r="974" spans="1:27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</row>
    <row r="975" spans="1:27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</row>
    <row r="976" spans="1:27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</row>
    <row r="977" spans="1:27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</row>
    <row r="978" spans="1:27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</row>
    <row r="979" spans="1:27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</row>
    <row r="980" spans="1:27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</row>
    <row r="981" spans="1:27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</row>
    <row r="982" spans="1:27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</row>
    <row r="983" spans="1:27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</row>
    <row r="984" spans="1:27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</row>
    <row r="985" spans="1:27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</row>
    <row r="986" spans="1:27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</row>
    <row r="987" spans="1:27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</row>
    <row r="988" spans="1:27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</row>
    <row r="989" spans="1:27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</row>
    <row r="990" spans="1:27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</row>
    <row r="991" spans="1:27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</row>
  </sheetData>
  <mergeCells count="7">
    <mergeCell ref="A12:F12"/>
    <mergeCell ref="A67:E67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valquiria vansquelhe de oliveira</cp:lastModifiedBy>
  <dcterms:created xsi:type="dcterms:W3CDTF">2011-05-06T12:13:22Z</dcterms:created>
  <dcterms:modified xsi:type="dcterms:W3CDTF">2026-01-16T20:18:22Z</dcterms:modified>
</cp:coreProperties>
</file>