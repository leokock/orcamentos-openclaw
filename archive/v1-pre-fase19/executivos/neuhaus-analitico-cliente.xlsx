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Neuhaus\2023.08 - Origem 3300\04. Custo\03.0 Custo - Orçamento Paramétrico\05. Revisão 04\"/>
    </mc:Choice>
  </mc:AlternateContent>
  <xr:revisionPtr revIDLastSave="0" documentId="13_ncr:1_{762B84DE-142B-4E20-95DC-258EA1469C62}" xr6:coauthVersionLast="47" xr6:coauthVersionMax="47" xr10:uidLastSave="{00000000-0000-0000-0000-000000000000}"/>
  <bookViews>
    <workbookView xWindow="25974" yWindow="-54" windowWidth="26301" windowHeight="14169" xr2:uid="{00000000-000D-0000-FFFF-FFFF00000000}"/>
  </bookViews>
  <sheets>
    <sheet name="CUSTOS INDIRETOS" sheetId="2" r:id="rId1"/>
    <sheet name="ORÇAMENTO RESUMO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\0">#REF!</definedName>
    <definedName name="\a">#REF!</definedName>
    <definedName name="\m">#REF!</definedName>
    <definedName name="_xlnm._FilterDatabase" localSheetId="1" hidden="1">'ORÇAMENTO RESUMO'!$A$1:$E$187</definedName>
    <definedName name="aa">#REF!</definedName>
    <definedName name="aaaa">[1]M.O.!#REF!</definedName>
    <definedName name="angelo">[2]Geral!#REF!</definedName>
    <definedName name="_xlnm.Print_Area">#REF!</definedName>
    <definedName name="aux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hidden="1">{#N/A,#N/A,FALSE,"ET-CAPA";#N/A,#N/A,FALSE,"ET-PAG1";#N/A,#N/A,FALSE,"ET-PAG2";#N/A,#N/A,FALSE,"ET-PAG3";#N/A,#N/A,FALSE,"ET-PAG4";#N/A,#N/A,FALSE,"ET-PAG5"}</definedName>
    <definedName name="FFFFFFF">#REF!</definedName>
    <definedName name="item_1">#REF!</definedName>
    <definedName name="LS">[1]M.O.!#REF!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_xlnm.Print_Titles">#REF!</definedName>
    <definedName name="TOT">#REF!</definedName>
    <definedName name="Total">#REF!</definedName>
    <definedName name="TRP">#REF!</definedName>
    <definedName name="u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2" l="1"/>
  <c r="B8" i="2"/>
  <c r="F15" i="2"/>
  <c r="F20" i="2"/>
  <c r="F14" i="2" s="1"/>
  <c r="F25" i="2"/>
  <c r="F39" i="2"/>
  <c r="F38" i="2" s="1"/>
  <c r="F49" i="2"/>
  <c r="F52" i="2"/>
  <c r="F62" i="2"/>
  <c r="F61" i="2" s="1"/>
  <c r="F77" i="2"/>
  <c r="J35" i="1"/>
  <c r="J34" i="1"/>
  <c r="F24" i="2" l="1"/>
  <c r="F81" i="2" s="1"/>
  <c r="E34" i="1" l="1"/>
  <c r="E32" i="1"/>
  <c r="E35" i="1"/>
  <c r="E39" i="1"/>
  <c r="E37" i="1" l="1"/>
  <c r="E29" i="1"/>
  <c r="C35" i="1"/>
  <c r="E174" i="1"/>
  <c r="E173" i="1"/>
  <c r="E168" i="1"/>
  <c r="E167" i="1"/>
  <c r="E156" i="1"/>
  <c r="E160" i="1"/>
  <c r="E157" i="1"/>
  <c r="E153" i="1"/>
  <c r="E159" i="1"/>
  <c r="E162" i="1"/>
  <c r="E123" i="1"/>
  <c r="E136" i="1"/>
  <c r="E135" i="1"/>
  <c r="E121" i="1"/>
  <c r="E120" i="1"/>
  <c r="E119" i="1"/>
  <c r="E118" i="1"/>
  <c r="E116" i="1"/>
  <c r="E96" i="1"/>
  <c r="E99" i="1"/>
  <c r="E98" i="1"/>
  <c r="E97" i="1"/>
  <c r="E95" i="1"/>
  <c r="E94" i="1"/>
  <c r="E90" i="1"/>
  <c r="E89" i="1"/>
  <c r="E84" i="1"/>
  <c r="E83" i="1"/>
  <c r="E82" i="1"/>
  <c r="E74" i="1"/>
  <c r="E73" i="1"/>
  <c r="E72" i="1"/>
  <c r="E71" i="1"/>
  <c r="E70" i="1"/>
  <c r="E69" i="1"/>
  <c r="E68" i="1"/>
  <c r="E67" i="1"/>
  <c r="E65" i="1"/>
  <c r="E64" i="1"/>
  <c r="E63" i="1"/>
  <c r="E62" i="1"/>
  <c r="E61" i="1"/>
  <c r="E60" i="1"/>
  <c r="E59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134" i="1" l="1"/>
  <c r="E2" i="1" l="1"/>
  <c r="E40" i="1"/>
  <c r="E31" i="1"/>
  <c r="E24" i="1"/>
  <c r="E23" i="1"/>
  <c r="E22" i="1"/>
  <c r="E21" i="1"/>
  <c r="E19" i="1"/>
  <c r="E18" i="1"/>
  <c r="E17" i="1"/>
  <c r="E16" i="1"/>
  <c r="E15" i="1"/>
  <c r="E12" i="1"/>
  <c r="E10" i="1"/>
  <c r="E9" i="1"/>
  <c r="E11" i="1"/>
  <c r="E8" i="1"/>
  <c r="E7" i="1"/>
  <c r="E3" i="1" l="1"/>
  <c r="E4" i="1" s="1"/>
  <c r="E187" i="1"/>
  <c r="E6" i="1"/>
  <c r="E38" i="1" l="1"/>
  <c r="E172" i="1" l="1"/>
  <c r="E5" i="1" l="1"/>
  <c r="E30" i="1" l="1"/>
  <c r="E36" i="1"/>
  <c r="E146" i="1"/>
  <c r="E85" i="1"/>
  <c r="E166" i="1" l="1"/>
  <c r="E93" i="1"/>
  <c r="E87" i="1"/>
  <c r="E117" i="1" l="1"/>
  <c r="E14" i="1"/>
  <c r="E112" i="1" l="1"/>
  <c r="E169" i="1" l="1"/>
  <c r="E165" i="1" s="1"/>
  <c r="E80" i="1"/>
  <c r="E75" i="1"/>
  <c r="E66" i="1"/>
  <c r="E58" i="1"/>
  <c r="E57" i="1" l="1"/>
  <c r="E177" i="1" l="1"/>
  <c r="E152" i="1"/>
  <c r="E138" i="1"/>
  <c r="E102" i="1"/>
  <c r="E101" i="1" s="1"/>
  <c r="E42" i="1"/>
  <c r="E20" i="1"/>
  <c r="E91" i="1" l="1"/>
  <c r="E79" i="1" s="1"/>
  <c r="E176" i="1" l="1"/>
  <c r="E137" i="1"/>
  <c r="E41" i="1"/>
  <c r="E122" i="1" l="1"/>
  <c r="E151" i="1"/>
  <c r="E111" i="1"/>
  <c r="E13" i="1"/>
  <c r="E145" i="1" l="1"/>
  <c r="E186" i="1" l="1"/>
  <c r="E185" i="1" s="1"/>
  <c r="E184" i="1" s="1"/>
  <c r="E28" i="1" l="1" a="1"/>
  <c r="E28" i="1" s="1"/>
  <c r="E27" i="1" l="1" a="1"/>
  <c r="E27" i="1" s="1"/>
  <c r="E26" i="1" s="1"/>
  <c r="E33" i="1" l="1"/>
  <c r="E25" i="1" s="1"/>
  <c r="F28" i="1"/>
  <c r="F27" i="1"/>
  <c r="F145" i="1" l="1"/>
  <c r="F176" i="1"/>
  <c r="F57" i="1"/>
  <c r="F79" i="1"/>
  <c r="F151" i="1"/>
  <c r="F111" i="1"/>
  <c r="F122" i="1"/>
  <c r="F184" i="1"/>
  <c r="F25" i="1"/>
  <c r="F2" i="1"/>
  <c r="F5" i="1"/>
  <c r="F165" i="1"/>
  <c r="F101" i="1"/>
  <c r="F41" i="1"/>
  <c r="F137" i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<sst xmlns="http://schemas.openxmlformats.org/spreadsheetml/2006/main" count="757" uniqueCount="560">
  <si>
    <t>REVESTIMENTOS E ACABAMENTOS DE FACHADA</t>
  </si>
  <si>
    <t>PINTURA INTERNA</t>
  </si>
  <si>
    <t>IMPERMEABILIZAÇÃO</t>
  </si>
  <si>
    <t>Valor Orçado</t>
  </si>
  <si>
    <t>INFRAESTRUTURA</t>
  </si>
  <si>
    <t>SUPRAESTRUTURA</t>
  </si>
  <si>
    <t>REVESTIMENTOS INTERNOS EM PISO E PAREDE</t>
  </si>
  <si>
    <t>REVESTIMENTOS E ACABAMENTOS INTERNOS EM TETO</t>
  </si>
  <si>
    <t>ACABAMENTOS EM PISO E PAREDE</t>
  </si>
  <si>
    <t>ESQUADRIAS</t>
  </si>
  <si>
    <t>GERENCIAMENTO TÉCNICO E ADMINISTRATIVO</t>
  </si>
  <si>
    <t>MOVIMENTAÇÃO DE TERRA</t>
  </si>
  <si>
    <t>ALVENARIA</t>
  </si>
  <si>
    <t>SERVIÇOS COMPLEMENTARES</t>
  </si>
  <si>
    <t>INSTALAÇÕES ELÉTRICAS, HIDRÁULICAS E GLP</t>
  </si>
  <si>
    <t>CÓDIGO</t>
  </si>
  <si>
    <t>ITEM</t>
  </si>
  <si>
    <t>Escavação mecanizada para blocos e baldrames</t>
  </si>
  <si>
    <t>Reaterro para blocos e baldrames</t>
  </si>
  <si>
    <t xml:space="preserve">Lastro de concreto magro e= 10cm - Blocos </t>
  </si>
  <si>
    <t>Fabricação forma</t>
  </si>
  <si>
    <t>Montagem de forma</t>
  </si>
  <si>
    <t>Escoramento - Torre</t>
  </si>
  <si>
    <t>Escoramento - Embasamento</t>
  </si>
  <si>
    <t>Armadura Convencional para Estrutura</t>
  </si>
  <si>
    <t>Concreto</t>
  </si>
  <si>
    <t>2.1</t>
  </si>
  <si>
    <t>5.1</t>
  </si>
  <si>
    <t>5.2</t>
  </si>
  <si>
    <t>6.1</t>
  </si>
  <si>
    <t>Entrada de Energia</t>
  </si>
  <si>
    <t>Eletrodutos e Eletrocalhas</t>
  </si>
  <si>
    <t>Instalações Embutidas e Aparentes</t>
  </si>
  <si>
    <t>Cabos e Fiações</t>
  </si>
  <si>
    <t>Quadros e Disjuntores</t>
  </si>
  <si>
    <t>Equipamentos e Iluminação</t>
  </si>
  <si>
    <t>Instalações de Água Fria</t>
  </si>
  <si>
    <t>Instalações de Água Quente</t>
  </si>
  <si>
    <t>Instalações de Águas Pluviais</t>
  </si>
  <si>
    <t>Instalações Sanitárias</t>
  </si>
  <si>
    <t>Louças e Metais</t>
  </si>
  <si>
    <t>Instalações Preventivas</t>
  </si>
  <si>
    <t>Instalações de GLP</t>
  </si>
  <si>
    <t>6.1.1</t>
  </si>
  <si>
    <t>6.1.2</t>
  </si>
  <si>
    <t>6.1.3</t>
  </si>
  <si>
    <t>6.1.4</t>
  </si>
  <si>
    <t>7.1</t>
  </si>
  <si>
    <t>8.1</t>
  </si>
  <si>
    <t>Regularização de Superfície</t>
  </si>
  <si>
    <t>Ralos</t>
  </si>
  <si>
    <t>Impermeabilizações cimenticias</t>
  </si>
  <si>
    <t>Impermeabilizações com manta asfaltica</t>
  </si>
  <si>
    <t>Impermeabilização de peitoril</t>
  </si>
  <si>
    <t>Proteção Mecânica</t>
  </si>
  <si>
    <t>Poço do elevador</t>
  </si>
  <si>
    <t>Baldrames</t>
  </si>
  <si>
    <t>Chapisco</t>
  </si>
  <si>
    <t>Reboco</t>
  </si>
  <si>
    <t>Estucamento</t>
  </si>
  <si>
    <t>9.1</t>
  </si>
  <si>
    <t>Rodapés</t>
  </si>
  <si>
    <t>10.1</t>
  </si>
  <si>
    <t>10.2</t>
  </si>
  <si>
    <t>11.1</t>
  </si>
  <si>
    <t>Negativo</t>
  </si>
  <si>
    <t>11.2</t>
  </si>
  <si>
    <t>12.1</t>
  </si>
  <si>
    <t>Esquadrias de Alumínio</t>
  </si>
  <si>
    <t>Móveis e decoração</t>
  </si>
  <si>
    <t>Comunicação visual</t>
  </si>
  <si>
    <t>Paisagismo</t>
  </si>
  <si>
    <t>Limpeza</t>
  </si>
  <si>
    <t>14.1</t>
  </si>
  <si>
    <t>13.1</t>
  </si>
  <si>
    <t>17.1</t>
  </si>
  <si>
    <t>14.2</t>
  </si>
  <si>
    <t>14.3</t>
  </si>
  <si>
    <t>15.1</t>
  </si>
  <si>
    <t>SISTEMAS ESPECIAIS</t>
  </si>
  <si>
    <t>Infraestrutura para Instalação de Ar Condicionado</t>
  </si>
  <si>
    <t>Revestimentos argamassados externos</t>
  </si>
  <si>
    <t xml:space="preserve">INSTALAÇÕES ELÉTRICAS </t>
  </si>
  <si>
    <t xml:space="preserve">CLIMATIZAÇÃO, EXAUSTÃO MECÂNICA E PRESSURIZAÇÃO </t>
  </si>
  <si>
    <t xml:space="preserve">INSTALAÇÕES HIDRÁULICAS </t>
  </si>
  <si>
    <t xml:space="preserve">INSTALAÇÕES PREVENTIVAS E GLP </t>
  </si>
  <si>
    <t>Unidade</t>
  </si>
  <si>
    <t>vb</t>
  </si>
  <si>
    <t>Quantidade</t>
  </si>
  <si>
    <t>m³</t>
  </si>
  <si>
    <t>m3</t>
  </si>
  <si>
    <t>m2</t>
  </si>
  <si>
    <t>3.1</t>
  </si>
  <si>
    <t xml:space="preserve">Armação </t>
  </si>
  <si>
    <t>3.2</t>
  </si>
  <si>
    <t>m</t>
  </si>
  <si>
    <t>kg</t>
  </si>
  <si>
    <t xml:space="preserve">FUNDAÇÃO PROFUNDA </t>
  </si>
  <si>
    <t>3.1.1</t>
  </si>
  <si>
    <t>3.2.1</t>
  </si>
  <si>
    <t>3.2.2</t>
  </si>
  <si>
    <t>3.2.3</t>
  </si>
  <si>
    <t>FUNDAÇÃO RASA</t>
  </si>
  <si>
    <t>Fabricação, montagem e desmontagem de forma para blocos e baldrames</t>
  </si>
  <si>
    <t>m²</t>
  </si>
  <si>
    <t>Instalações de Proteção e Aterramento - SPDA</t>
  </si>
  <si>
    <t>un</t>
  </si>
  <si>
    <t>Instalação de Ar Condicionado</t>
  </si>
  <si>
    <t>Ventokit</t>
  </si>
  <si>
    <t>Outros sistemas</t>
  </si>
  <si>
    <t xml:space="preserve">m² </t>
  </si>
  <si>
    <t>Serralherias</t>
  </si>
  <si>
    <t>Portão de alumínio</t>
  </si>
  <si>
    <t>2.1.1</t>
  </si>
  <si>
    <t>2.1.2</t>
  </si>
  <si>
    <t>2.1.3</t>
  </si>
  <si>
    <t>2.1.4</t>
  </si>
  <si>
    <t>2.1.5</t>
  </si>
  <si>
    <t>FORMA</t>
  </si>
  <si>
    <t>ESCORAMENTO</t>
  </si>
  <si>
    <t>ARMADURA</t>
  </si>
  <si>
    <t>CONCRETO</t>
  </si>
  <si>
    <t>MÃO DE OBRA</t>
  </si>
  <si>
    <t>5.1.1</t>
  </si>
  <si>
    <t>5.2.1</t>
  </si>
  <si>
    <t>5.1.2</t>
  </si>
  <si>
    <t>7.1.1</t>
  </si>
  <si>
    <t>7.1.2</t>
  </si>
  <si>
    <t>7.1.3</t>
  </si>
  <si>
    <t>7.1.4</t>
  </si>
  <si>
    <t>8.1.1</t>
  </si>
  <si>
    <t>8.1.2</t>
  </si>
  <si>
    <t>8.1.3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</si>
  <si>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</si>
  <si>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</si>
  <si>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</si>
  <si>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</si>
  <si>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</si>
  <si>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</si>
  <si>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</si>
  <si>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</si>
  <si>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10.1.1</t>
  </si>
  <si>
    <t xml:space="preserve">REVESTIMENTOS INTERNOS EM PISO </t>
  </si>
  <si>
    <t>REVESTIMENTOS INTERNOS EM PAREDE</t>
  </si>
  <si>
    <t>10.2.1</t>
  </si>
  <si>
    <t>10.2.2</t>
  </si>
  <si>
    <t>10.2.3</t>
  </si>
  <si>
    <t>ACABAMENTOS EM PISO</t>
  </si>
  <si>
    <t>ACABAMENTOS EM PAREDE</t>
  </si>
  <si>
    <t>11.1.1</t>
  </si>
  <si>
    <t>11.1.2</t>
  </si>
  <si>
    <t>11.1.3</t>
  </si>
  <si>
    <t>11.1.4</t>
  </si>
  <si>
    <t>11.2.1</t>
  </si>
  <si>
    <t>REVESTIMENTOS E ACABAMENTOS EM TETO</t>
  </si>
  <si>
    <t>12.1.1</t>
  </si>
  <si>
    <t>12.1.3</t>
  </si>
  <si>
    <t>13.1.1</t>
  </si>
  <si>
    <t>ESQUADRIAS DE ALUMÍNIO</t>
  </si>
  <si>
    <t>Porta Corta - Fogo</t>
  </si>
  <si>
    <t>ESQUADRIAS METÁLICAS</t>
  </si>
  <si>
    <t>ESQUADRIAS DE MADEIRA</t>
  </si>
  <si>
    <t>14.1.1</t>
  </si>
  <si>
    <t>14.1.3</t>
  </si>
  <si>
    <t>14.1.4</t>
  </si>
  <si>
    <t>14.1.5</t>
  </si>
  <si>
    <t>14.2.1</t>
  </si>
  <si>
    <t>14.2.2</t>
  </si>
  <si>
    <t>REVESTIMENTOS ARGAMASSADOS EXTERNOS</t>
  </si>
  <si>
    <t>PINTURA EXTERNA</t>
  </si>
  <si>
    <t>15.1.1</t>
  </si>
  <si>
    <t>1.1</t>
  </si>
  <si>
    <t>1.1.1</t>
  </si>
  <si>
    <t>Gerenciamento técnico e administrativo</t>
  </si>
  <si>
    <t>17.1.1</t>
  </si>
  <si>
    <t>5.2.2</t>
  </si>
  <si>
    <t>5.3</t>
  </si>
  <si>
    <t>5.3.1</t>
  </si>
  <si>
    <t>5.4</t>
  </si>
  <si>
    <t>5.4.1</t>
  </si>
  <si>
    <t>Serviços complementares</t>
  </si>
  <si>
    <t>7.1.5</t>
  </si>
  <si>
    <t>7.1.7</t>
  </si>
  <si>
    <t>7.2</t>
  </si>
  <si>
    <t>7.2.1</t>
  </si>
  <si>
    <t>7.2.2</t>
  </si>
  <si>
    <t>7.2.3</t>
  </si>
  <si>
    <t>7.2.4</t>
  </si>
  <si>
    <t>7.2.5</t>
  </si>
  <si>
    <t>7.2.6</t>
  </si>
  <si>
    <t>7.3</t>
  </si>
  <si>
    <t>7.3.1</t>
  </si>
  <si>
    <t>7.3.2</t>
  </si>
  <si>
    <t>7.3.3</t>
  </si>
  <si>
    <t>8.2</t>
  </si>
  <si>
    <t>8.2.1</t>
  </si>
  <si>
    <t>8.3</t>
  </si>
  <si>
    <t>8.3.1</t>
  </si>
  <si>
    <t>OUTROS SISTEMAS</t>
  </si>
  <si>
    <t>Grupo de geradores</t>
  </si>
  <si>
    <t>Elevador</t>
  </si>
  <si>
    <t>8.4</t>
  </si>
  <si>
    <t>8.4.1</t>
  </si>
  <si>
    <t>Contrapiso com argamassa estabilizada</t>
  </si>
  <si>
    <t>11.1.5</t>
  </si>
  <si>
    <t>11.1.6</t>
  </si>
  <si>
    <t>13.1.3</t>
  </si>
  <si>
    <t>Pintura piso epoxi</t>
  </si>
  <si>
    <t>3.2.5</t>
  </si>
  <si>
    <t>Mão de obra infraestrutura</t>
  </si>
  <si>
    <t>5.5</t>
  </si>
  <si>
    <t>Mão de obra supraestrutura</t>
  </si>
  <si>
    <t>11.1.7</t>
  </si>
  <si>
    <t>Mão de Obra para Instalações Elétricas</t>
  </si>
  <si>
    <t>7.1.8</t>
  </si>
  <si>
    <t>Mão de Obra para Instalações Hidráulicas</t>
  </si>
  <si>
    <t>8.1.4</t>
  </si>
  <si>
    <t>Churrasqueiras</t>
  </si>
  <si>
    <t>Saunas</t>
  </si>
  <si>
    <t>Equipamentos piscina</t>
  </si>
  <si>
    <t>Pintura acrílica paredes</t>
  </si>
  <si>
    <t>Guarda-corpo</t>
  </si>
  <si>
    <t>TOTAL</t>
  </si>
  <si>
    <t>Movimentação de terra (30% de empolamento)</t>
  </si>
  <si>
    <t>Ligações definitivas</t>
  </si>
  <si>
    <t>Desmobilização</t>
  </si>
  <si>
    <t>12.1.2</t>
  </si>
  <si>
    <t>14.1.2</t>
  </si>
  <si>
    <t>Corrimão</t>
  </si>
  <si>
    <t>Esquadrias de Madeira</t>
  </si>
  <si>
    <t>Considerações</t>
  </si>
  <si>
    <t>3.1.2</t>
  </si>
  <si>
    <t>3.1.3</t>
  </si>
  <si>
    <t>3.1.4</t>
  </si>
  <si>
    <t>3.1.5</t>
  </si>
  <si>
    <t>6.1.5</t>
  </si>
  <si>
    <t>Infraestrutura de carro elétrico</t>
  </si>
  <si>
    <t>10.1.2</t>
  </si>
  <si>
    <t>IMPREVISTOS</t>
  </si>
  <si>
    <t>Rebaixamento de lençol freático</t>
  </si>
  <si>
    <t>dias</t>
  </si>
  <si>
    <t>Estaca hélice contínua diâmetro 50cm</t>
  </si>
  <si>
    <t>Estaca hélice contínua diâmetro 60cm</t>
  </si>
  <si>
    <t>Arrasamento de estacas</t>
  </si>
  <si>
    <t>und</t>
  </si>
  <si>
    <t>Consideração de área do térreo</t>
  </si>
  <si>
    <t>Forro gesso</t>
  </si>
  <si>
    <t>Alvenaria embasamento</t>
  </si>
  <si>
    <t>Alvenaria lazer</t>
  </si>
  <si>
    <t>Alvenaria tipo diferenciado</t>
  </si>
  <si>
    <t>Alvenaria tipo</t>
  </si>
  <si>
    <t>Bloco de concreto autoclavado</t>
  </si>
  <si>
    <t>6.1.6</t>
  </si>
  <si>
    <t>6.1.7</t>
  </si>
  <si>
    <t>6.1.8</t>
  </si>
  <si>
    <t>Cisterna</t>
  </si>
  <si>
    <t>Sistemas de bombas</t>
  </si>
  <si>
    <t>7.2.7</t>
  </si>
  <si>
    <t>7.2.8</t>
  </si>
  <si>
    <t>AUTOMAÇÃO</t>
  </si>
  <si>
    <t>Automação, telecomunicação e sistemas de segurança</t>
  </si>
  <si>
    <t>SPA</t>
  </si>
  <si>
    <t>Mão de Obra Contrapiso</t>
  </si>
  <si>
    <t>10.2.4</t>
  </si>
  <si>
    <t>Mão de Obra Revestimentos Internos em Parede</t>
  </si>
  <si>
    <t>12.1.4</t>
  </si>
  <si>
    <t>Cortineiro</t>
  </si>
  <si>
    <t>11.2.2</t>
  </si>
  <si>
    <t>Revestimento Cerâmico 30x60</t>
  </si>
  <si>
    <t>Mão de Obra Revestimento Cerâmico Parede30x60</t>
  </si>
  <si>
    <t>Brise Vertical</t>
  </si>
  <si>
    <t>Pintura externa</t>
  </si>
  <si>
    <t>REVESTIMENTOS ESPECIAIS</t>
  </si>
  <si>
    <t>Detalhes</t>
  </si>
  <si>
    <t>15.2</t>
  </si>
  <si>
    <t>15.2.1</t>
  </si>
  <si>
    <t>15.2.2</t>
  </si>
  <si>
    <t>15.3</t>
  </si>
  <si>
    <t>15.3.1</t>
  </si>
  <si>
    <t>15.3.2</t>
  </si>
  <si>
    <t>COMUNICAÇÃO</t>
  </si>
  <si>
    <t>CFTV</t>
  </si>
  <si>
    <t>Interfone</t>
  </si>
  <si>
    <t>TV e internet</t>
  </si>
  <si>
    <t>8.3.2</t>
  </si>
  <si>
    <t>8.3.3</t>
  </si>
  <si>
    <t>8.5</t>
  </si>
  <si>
    <t>8.5.1</t>
  </si>
  <si>
    <t>8.5.2</t>
  </si>
  <si>
    <t>8.5.3</t>
  </si>
  <si>
    <t>8.5.4</t>
  </si>
  <si>
    <t>8.5.5</t>
  </si>
  <si>
    <t>8.5.6</t>
  </si>
  <si>
    <t>Piso emborrachado</t>
  </si>
  <si>
    <t>Soleiras e peitoris</t>
  </si>
  <si>
    <t>11.1.9</t>
  </si>
  <si>
    <t>13.1.2</t>
  </si>
  <si>
    <t>13.1.4</t>
  </si>
  <si>
    <t>Pintura acrílica escadaria</t>
  </si>
  <si>
    <t>Textura acrílica paredes</t>
  </si>
  <si>
    <t>15.1.2</t>
  </si>
  <si>
    <t>Mão de obra revestimentos argamassados externos</t>
  </si>
  <si>
    <t>Textura externa</t>
  </si>
  <si>
    <t>10.1.3</t>
  </si>
  <si>
    <t>10.1.4</t>
  </si>
  <si>
    <t>Manta acústica lazer</t>
  </si>
  <si>
    <t>Manta acústica torre</t>
  </si>
  <si>
    <t>Consideração de R$ 8,50/kg</t>
  </si>
  <si>
    <t>Considerado tela, encunhamento, verga e contraverga</t>
  </si>
  <si>
    <t>Considerado área das escadas e churrasqueiras</t>
  </si>
  <si>
    <t>14.3.1</t>
  </si>
  <si>
    <t>14.3.2</t>
  </si>
  <si>
    <t>Fechadura eletrônica</t>
  </si>
  <si>
    <t>Tijolinho</t>
  </si>
  <si>
    <t>17.1.2</t>
  </si>
  <si>
    <t>17.1.3</t>
  </si>
  <si>
    <t>17.1.4</t>
  </si>
  <si>
    <t>17.1.5</t>
  </si>
  <si>
    <t>17.1.6</t>
  </si>
  <si>
    <t>18.1</t>
  </si>
  <si>
    <t>18.1.1</t>
  </si>
  <si>
    <t>Imprevistos</t>
  </si>
  <si>
    <t>5.5.1</t>
  </si>
  <si>
    <t>Valor estimado com base na área construída</t>
  </si>
  <si>
    <t>Consideração de bloco cerâmico de 14x19x19cm</t>
  </si>
  <si>
    <t>Consideração de áres comuns, aptos e salas comerciais</t>
  </si>
  <si>
    <t>Considerando somente as áreas comuns</t>
  </si>
  <si>
    <t>Ventilação mecânica em banheiros enclausurados</t>
  </si>
  <si>
    <t>Considerado uma por apto e mais áreas comuns</t>
  </si>
  <si>
    <t>1 gerador no G1</t>
  </si>
  <si>
    <t>1 sauna lazer e 1 pvto Penthouse</t>
  </si>
  <si>
    <t>Considerado no pvto Lazer 02</t>
  </si>
  <si>
    <t>Considerado 2 piscinas, 1 no lazer e 1 no pvto Penthouse</t>
  </si>
  <si>
    <t>Considerado 1 ponto por apto</t>
  </si>
  <si>
    <t>Consideração áreas comuns e apartamentos</t>
  </si>
  <si>
    <t>Consideração banheiros e área de serviço aptos</t>
  </si>
  <si>
    <t>Consideração área técnica das torres para ventilação</t>
  </si>
  <si>
    <t>Consideração escada torre</t>
  </si>
  <si>
    <t>Consideração 1 portão</t>
  </si>
  <si>
    <t>Consideração porta com todas as ferragens</t>
  </si>
  <si>
    <t>Consideração de uma unidade por apto na porta de entrada</t>
  </si>
  <si>
    <t>Chapisco e reboco externo</t>
  </si>
  <si>
    <t>14.1.6</t>
  </si>
  <si>
    <t>Pele de vidro</t>
  </si>
  <si>
    <t>15.3.3</t>
  </si>
  <si>
    <t>Consideração nas áreas de lazer</t>
  </si>
  <si>
    <t>ORÇAMENTO PARAMÉTRICO - CUSTOS INDIRETOS</t>
  </si>
  <si>
    <t>Cliente</t>
  </si>
  <si>
    <t>Obra</t>
  </si>
  <si>
    <t>Data</t>
  </si>
  <si>
    <t>Versão</t>
  </si>
  <si>
    <t xml:space="preserve">GERENCIAMENTO TÉCNICO 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</si>
  <si>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</si>
  <si>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</si>
  <si>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</si>
  <si>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</si>
  <si>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</si>
  <si>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</si>
  <si>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</si>
  <si>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GERENCIAMENTO TÉCNICO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</si>
  <si>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</si>
  <si>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</si>
  <si>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</si>
  <si>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</si>
  <si>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</si>
  <si>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</si>
  <si>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</si>
  <si>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</si>
  <si>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</si>
  <si>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</si>
  <si>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</si>
  <si>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</si>
  <si>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</si>
  <si>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</si>
  <si>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</si>
  <si>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>Licenciamentos, Taxas, Impostos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</si>
  <si>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</si>
  <si>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</si>
  <si>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</si>
  <si>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</si>
  <si>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</si>
  <si>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</si>
  <si>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</si>
  <si>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</si>
  <si>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</si>
  <si>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</si>
  <si>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</si>
  <si>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</si>
  <si>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</si>
  <si>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</si>
  <si>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Bandeja de proteção primária</t>
  </si>
  <si>
    <t>02.001.002.002</t>
  </si>
  <si>
    <t>Bandeja de proteção secundária</t>
  </si>
  <si>
    <t>02.001.002.003</t>
  </si>
  <si>
    <t>Guarda corpo em laje pós - desforma</t>
  </si>
  <si>
    <t>02.001.002.004</t>
  </si>
  <si>
    <t>Fechamento removível de vãos de porta de elevador em madeira</t>
  </si>
  <si>
    <t>02.001.002.005</t>
  </si>
  <si>
    <t>02.001.002.006</t>
  </si>
  <si>
    <t>Sinalização com placa indicativa fixada na estrutura</t>
  </si>
  <si>
    <t>02.001.002.007</t>
  </si>
  <si>
    <t>Tela fachadeira reforçada com impressão digital</t>
  </si>
  <si>
    <t>02.001.002.008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</si>
  <si>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</si>
  <si>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</si>
  <si>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</si>
  <si>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</si>
  <si>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</si>
  <si>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</si>
  <si>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</si>
  <si>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</si>
  <si>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Engenheiro civil</t>
  </si>
  <si>
    <t>02.002.001.002</t>
  </si>
  <si>
    <t>Almoxarife</t>
  </si>
  <si>
    <t>02.002.001.003</t>
  </si>
  <si>
    <t>Mestre de obras</t>
  </si>
  <si>
    <t>02.002.001.004</t>
  </si>
  <si>
    <t>Estagiário</t>
  </si>
  <si>
    <t>02.002.001.005</t>
  </si>
  <si>
    <t>Serviço de vigilância 24h</t>
  </si>
  <si>
    <t>02.002.001.007</t>
  </si>
  <si>
    <t>Operador de grua</t>
  </si>
  <si>
    <t xml:space="preserve">02.002.002 </t>
  </si>
  <si>
    <t>Operação Inicial do Canteiro</t>
  </si>
  <si>
    <t xml:space="preserve">02.002.002.001 </t>
  </si>
  <si>
    <t>Limpeza mecanizada de camada vegetal</t>
  </si>
  <si>
    <t>02.002.002.002</t>
  </si>
  <si>
    <t>Locação da obra</t>
  </si>
  <si>
    <t xml:space="preserve">02.002.003 </t>
  </si>
  <si>
    <t>Instalações Provisórias</t>
  </si>
  <si>
    <t xml:space="preserve">02.002.003.001 </t>
  </si>
  <si>
    <t>Locação de banheiro químico</t>
  </si>
  <si>
    <t>02.002.003.002</t>
  </si>
  <si>
    <t>Instalações de canteiro</t>
  </si>
  <si>
    <t>02.002.003.003</t>
  </si>
  <si>
    <t>Instalações Provisórias: Redes de Água Fria, Esgoto e Drenagem</t>
  </si>
  <si>
    <t>02.002.003.004</t>
  </si>
  <si>
    <t>Instalações Provisórias: Redes Elétrica, Comunicação e Dados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</si>
  <si>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</si>
  <si>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</si>
  <si>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</si>
  <si>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</si>
  <si>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</si>
  <si>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</si>
  <si>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</si>
  <si>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</si>
  <si>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</si>
  <si>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</si>
  <si>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</si>
  <si>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</si>
  <si>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</si>
  <si>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</si>
  <si>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02.003.001.002</t>
  </si>
  <si>
    <t>Mobilização e desmobilização de grua</t>
  </si>
  <si>
    <t>02.003.001.003</t>
  </si>
  <si>
    <t>Locação de grua</t>
  </si>
  <si>
    <t>02.003.001.004</t>
  </si>
  <si>
    <t>Serviço de montagem de grua</t>
  </si>
  <si>
    <t>02.003.001.005</t>
  </si>
  <si>
    <t>Serviço de desmontagem de grua</t>
  </si>
  <si>
    <t>02.003.001.006</t>
  </si>
  <si>
    <t>Ascensão da grua</t>
  </si>
  <si>
    <t>02.003.001.007</t>
  </si>
  <si>
    <t xml:space="preserve">Manutenção preventiva de grua </t>
  </si>
  <si>
    <t>02.003.001.008</t>
  </si>
  <si>
    <t>Locação de elevador cremalheira</t>
  </si>
  <si>
    <t>02.003.001.009</t>
  </si>
  <si>
    <t>02.003.001.010</t>
  </si>
  <si>
    <t>Desmontagem de elevador cremalheira</t>
  </si>
  <si>
    <t>02.003.001.011</t>
  </si>
  <si>
    <t>Manutenção preventiva de elevador cremalheira</t>
  </si>
  <si>
    <t>02.003.001.012</t>
  </si>
  <si>
    <t>Locação de balancim</t>
  </si>
  <si>
    <t>02.003.001.013</t>
  </si>
  <si>
    <t>Montagem e desmontagem de balancim</t>
  </si>
  <si>
    <t>02.003.001.014</t>
  </si>
  <si>
    <t>Manutenção periódica de balancim</t>
  </si>
  <si>
    <t>02.003.001</t>
  </si>
  <si>
    <t>Andaimes</t>
  </si>
  <si>
    <t>02.003.001.001</t>
  </si>
  <si>
    <t>Locação de andaime fachadeiro</t>
  </si>
  <si>
    <t xml:space="preserve">Mão de obra de montagem de andaime fachadeiro </t>
  </si>
  <si>
    <t>Plataformas de trabalho em madeira para andaime</t>
  </si>
  <si>
    <t>Total</t>
  </si>
  <si>
    <t>Textura projetada na cor preta em toda a fachada</t>
  </si>
  <si>
    <t>12.1.5</t>
  </si>
  <si>
    <t>12.1.6</t>
  </si>
  <si>
    <t>Forro vinílico</t>
  </si>
  <si>
    <t>Forro ACM</t>
  </si>
  <si>
    <t>5.3.2</t>
  </si>
  <si>
    <t>5.5.2</t>
  </si>
  <si>
    <t>5.1.3</t>
  </si>
  <si>
    <t xml:space="preserve">Protensão </t>
  </si>
  <si>
    <t>Cabos para protensão</t>
  </si>
  <si>
    <t>Serviços de protensão</t>
  </si>
  <si>
    <t>Valor estimado por laje da torre</t>
  </si>
  <si>
    <t>Consideração todas as lajes da torre</t>
  </si>
  <si>
    <t>Consideração de 1,83 kg/m² de laje e 12,30/kg</t>
  </si>
  <si>
    <t>02.002.001.006</t>
  </si>
  <si>
    <t>02.002.001.008</t>
  </si>
  <si>
    <t>02.002.001.009</t>
  </si>
  <si>
    <t>Servente para segurança</t>
  </si>
  <si>
    <t>Carpinteiro para segurança</t>
  </si>
  <si>
    <t>Portaria</t>
  </si>
  <si>
    <t>2.1.6</t>
  </si>
  <si>
    <t>Bota-fora da escavação</t>
  </si>
  <si>
    <t>19 estacas com 32 metros de profundidade</t>
  </si>
  <si>
    <t>141 estacas com 32 metros de profundidade</t>
  </si>
  <si>
    <t>Consideração de R$ 9,00/kg</t>
  </si>
  <si>
    <t>Consideração de R$ 640,00/m³ com 5% de perda</t>
  </si>
  <si>
    <t>Drywall lazer</t>
  </si>
  <si>
    <t>Drywall tipo</t>
  </si>
  <si>
    <t>Alvenaria dupla tipo</t>
  </si>
  <si>
    <t>Drywall Diferenciado</t>
  </si>
  <si>
    <t>Alvenaria dupla</t>
  </si>
  <si>
    <t>Alvenaria cobertura / reservatório</t>
  </si>
  <si>
    <t>Mão de obra - Bloco Cerâmico</t>
  </si>
  <si>
    <t>Mão de obra - Bloco Concreto</t>
  </si>
  <si>
    <t>6.1.9</t>
  </si>
  <si>
    <t>6.1.10</t>
  </si>
  <si>
    <t>6.1.11</t>
  </si>
  <si>
    <t>6.1.12</t>
  </si>
  <si>
    <t>6.1.13</t>
  </si>
  <si>
    <t>6.1.14</t>
  </si>
  <si>
    <t>Considerado material e mão de obra</t>
  </si>
  <si>
    <t>8.5.7</t>
  </si>
  <si>
    <t>Elevador de serviço</t>
  </si>
  <si>
    <t>um</t>
  </si>
  <si>
    <t>2 elevadores sociais</t>
  </si>
  <si>
    <t>1 elevador para serviço</t>
  </si>
  <si>
    <t xml:space="preserve">Piso porcelanato </t>
  </si>
  <si>
    <t>Piso Vinílico - MAT E MDO</t>
  </si>
  <si>
    <t>Pastilha piscinas</t>
  </si>
  <si>
    <t>Piso concreto estampado</t>
  </si>
  <si>
    <t>Piso deck</t>
  </si>
  <si>
    <t>MO Porcelanato</t>
  </si>
  <si>
    <t>MO Pastilhas</t>
  </si>
  <si>
    <t>11.1.11</t>
  </si>
  <si>
    <t>11.1.12</t>
  </si>
  <si>
    <t>Consideração de porcelanato 80x80</t>
  </si>
  <si>
    <t>Esquadrias de vidro</t>
  </si>
  <si>
    <t>Consideração de R$ 640,00/m³ com 10% de perda</t>
  </si>
  <si>
    <t>R03</t>
  </si>
  <si>
    <t>observação</t>
  </si>
  <si>
    <t>Varal de segurança com cabo de aço (linha de vida)</t>
  </si>
  <si>
    <t>será contratado uma pessoa, ou somente empresa de vigilãncia?</t>
  </si>
  <si>
    <t>não teremos, adicionar em provisório de agua</t>
  </si>
  <si>
    <t>Montagem e ascenção de elevador cremalheira</t>
  </si>
  <si>
    <t>reajustado valores, mais proximos dos executados</t>
  </si>
  <si>
    <t>falta adicionar o tecnico de segurança</t>
  </si>
  <si>
    <t>mover verba para m.o. de supraestrutura</t>
  </si>
  <si>
    <t>158 reais o m2 da forma esta de acordo, porem se usarmos a metragem total de area do empreendimento já da um valor grande pois não estamos levando em conta as repetições . consideraria 5000 m2 de forma para o embasamento, pois 2 jogos fazer toda o embasamento. E para a torre 3 mil m2 de forma, por serão 3 jogos de formas com 2 jogos, levando em consideração 500m2 de area de laje.</t>
  </si>
  <si>
    <t>desconsiderar este item.... Já incluso no fabricaçao de forma</t>
  </si>
  <si>
    <t>considerar 21 reais o m2</t>
  </si>
  <si>
    <t>considerar 7,20 o kg do aço com arame e espaçadores</t>
  </si>
  <si>
    <t>ok, verificaer somente quantidade</t>
  </si>
  <si>
    <t>ok</t>
  </si>
  <si>
    <t>excluir</t>
  </si>
  <si>
    <t>considerar 48 reais o m2</t>
  </si>
  <si>
    <t>rever 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</si>
</sst>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.##0.00_-;\-* #.##0.00_-;_-* &quot;-&quot;??_-;_-@_-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Roboto"/>
    </font>
    <font>
      <sz val="11"/>
      <name val="Roboto"/>
    </font>
    <font>
      <sz val="11"/>
      <color rgb="FF010000"/>
      <name val="Roboto"/>
    </font>
    <font>
      <sz val="8"/>
      <name val="Arial"/>
      <family val="2"/>
    </font>
    <font>
      <b/>
      <sz val="11"/>
      <color theme="0"/>
      <name val="Roboto"/>
    </font>
    <font>
      <b/>
      <sz val="14"/>
      <color rgb="FF121212"/>
      <name val="Poppins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sz val="10"/>
      <name val="Poppins"/>
    </font>
    <font>
      <b/>
      <sz val="10"/>
      <color rgb="FF010000"/>
      <name val="Poppins"/>
    </font>
    <font>
      <b/>
      <sz val="10"/>
      <name val="Poppins"/>
    </font>
    <font>
      <sz val="10"/>
      <color rgb="FF010000"/>
      <name val="Poppins"/>
    </font>
    <font>
      <sz val="10"/>
      <color rgb="FFFF0000"/>
      <name val="Poppins"/>
    </font>
    <font>
      <sz val="11"/>
      <color theme="0"/>
      <name val="Roboto"/>
    </font>
    <font>
      <sz val="10"/>
      <color theme="0"/>
      <name val="Poppins"/>
    </font>
    <font>
      <sz val="1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73737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121212"/>
        <bgColor rgb="FFFFFFFF"/>
      </patternFill>
    </fill>
    <fill>
      <patternFill patternType="solid">
        <fgColor rgb="FFFE34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medium">
        <color auto="1"/>
      </right>
      <top/>
      <bottom style="hair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medium">
        <color auto="1"/>
      </right>
      <top style="hair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medium">
        <color indexed="64"/>
      </right>
      <top/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hair">
        <color rgb="FF010000"/>
      </top>
      <bottom style="medium">
        <color indexed="64"/>
      </bottom>
      <diagonal/>
    </border>
    <border>
      <left/>
      <right/>
      <top style="hair">
        <color rgb="FF010000"/>
      </top>
      <bottom style="medium">
        <color indexed="64"/>
      </bottom>
      <diagonal/>
    </border>
    <border>
      <left/>
      <right style="thin">
        <color indexed="64"/>
      </right>
      <top style="hair">
        <color rgb="FF010000"/>
      </top>
      <bottom style="medium">
        <color indexed="64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71">
    <xf numFmtId="0" fontId="0" fillId="0" borderId="0" xfId="0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43" fontId="6" fillId="0" borderId="0" xfId="2" applyFont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43" fontId="7" fillId="2" borderId="3" xfId="2" applyFont="1" applyFill="1" applyBorder="1" applyAlignment="1" applyProtection="1">
      <alignment horizontal="right" vertical="center" wrapText="1"/>
    </xf>
    <xf numFmtId="0" fontId="7" fillId="2" borderId="1" xfId="0" applyFont="1" applyFill="1" applyBorder="1" applyAlignment="1">
      <alignment horizontal="center" vertical="center" wrapText="1"/>
    </xf>
    <xf numFmtId="43" fontId="6" fillId="2" borderId="3" xfId="2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vertical="center" wrapText="1"/>
    </xf>
    <xf numFmtId="43" fontId="6" fillId="0" borderId="3" xfId="2" applyFont="1" applyFill="1" applyBorder="1" applyAlignment="1">
      <alignment horizontal="right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43" fontId="9" fillId="3" borderId="9" xfId="2" applyFont="1" applyFill="1" applyBorder="1" applyAlignment="1">
      <alignment horizontal="center" vertical="center" wrapText="1"/>
    </xf>
    <xf numFmtId="43" fontId="9" fillId="3" borderId="9" xfId="2" applyFont="1" applyFill="1" applyBorder="1" applyAlignment="1">
      <alignment horizontal="righ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43" fontId="7" fillId="2" borderId="6" xfId="2" applyFont="1" applyFill="1" applyBorder="1" applyAlignment="1" applyProtection="1">
      <alignment horizontal="right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left" vertical="center" wrapText="1"/>
    </xf>
    <xf numFmtId="43" fontId="9" fillId="4" borderId="14" xfId="2" applyFont="1" applyFill="1" applyBorder="1" applyAlignment="1" applyProtection="1">
      <alignment horizontal="right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left" vertical="center" wrapText="1"/>
    </xf>
    <xf numFmtId="43" fontId="9" fillId="4" borderId="17" xfId="2" applyFont="1" applyFill="1" applyBorder="1" applyAlignment="1" applyProtection="1">
      <alignment horizontal="right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left" vertical="center" wrapText="1"/>
    </xf>
    <xf numFmtId="43" fontId="5" fillId="5" borderId="14" xfId="2" applyFont="1" applyFill="1" applyBorder="1" applyAlignment="1" applyProtection="1">
      <alignment horizontal="right" vertical="center" wrapText="1"/>
    </xf>
    <xf numFmtId="0" fontId="7" fillId="2" borderId="10" xfId="0" applyFont="1" applyFill="1" applyBorder="1" applyAlignment="1">
      <alignment horizontal="left" vertical="center" wrapText="1"/>
    </xf>
    <xf numFmtId="43" fontId="7" fillId="2" borderId="11" xfId="2" applyFont="1" applyFill="1" applyBorder="1" applyAlignment="1" applyProtection="1">
      <alignment horizontal="right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left" vertical="center" wrapText="1"/>
    </xf>
    <xf numFmtId="43" fontId="5" fillId="5" borderId="17" xfId="2" applyFont="1" applyFill="1" applyBorder="1" applyAlignment="1" applyProtection="1">
      <alignment horizontal="right" vertical="center" wrapText="1"/>
    </xf>
    <xf numFmtId="43" fontId="9" fillId="4" borderId="14" xfId="2" applyFont="1" applyFill="1" applyBorder="1" applyAlignment="1" applyProtection="1">
      <alignment horizontal="center" vertical="center" wrapText="1"/>
    </xf>
    <xf numFmtId="43" fontId="9" fillId="4" borderId="17" xfId="2" applyFont="1" applyFill="1" applyBorder="1" applyAlignment="1" applyProtection="1">
      <alignment horizontal="center" vertical="center" wrapText="1"/>
    </xf>
    <xf numFmtId="43" fontId="7" fillId="2" borderId="6" xfId="2" applyFont="1" applyFill="1" applyBorder="1" applyAlignment="1" applyProtection="1">
      <alignment horizontal="center" vertical="center" wrapText="1"/>
    </xf>
    <xf numFmtId="43" fontId="7" fillId="2" borderId="3" xfId="2" applyFont="1" applyFill="1" applyBorder="1" applyAlignment="1" applyProtection="1">
      <alignment horizontal="center" vertical="center" wrapText="1"/>
    </xf>
    <xf numFmtId="43" fontId="7" fillId="2" borderId="11" xfId="2" applyFont="1" applyFill="1" applyBorder="1" applyAlignment="1" applyProtection="1">
      <alignment horizontal="center" vertical="center" wrapText="1"/>
    </xf>
    <xf numFmtId="43" fontId="5" fillId="5" borderId="14" xfId="2" applyFont="1" applyFill="1" applyBorder="1" applyAlignment="1" applyProtection="1">
      <alignment horizontal="center" vertical="center" wrapText="1"/>
    </xf>
    <xf numFmtId="43" fontId="5" fillId="5" borderId="17" xfId="2" applyFont="1" applyFill="1" applyBorder="1" applyAlignment="1" applyProtection="1">
      <alignment horizontal="center" vertical="center" wrapText="1"/>
    </xf>
    <xf numFmtId="43" fontId="6" fillId="2" borderId="3" xfId="2" applyFont="1" applyFill="1" applyBorder="1" applyAlignment="1">
      <alignment horizontal="center" vertical="center" wrapText="1"/>
    </xf>
    <xf numFmtId="43" fontId="6" fillId="0" borderId="3" xfId="2" applyFont="1" applyFill="1" applyBorder="1" applyAlignment="1">
      <alignment horizontal="center" vertical="center" wrapText="1"/>
    </xf>
    <xf numFmtId="43" fontId="6" fillId="0" borderId="0" xfId="2" applyFont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left" vertical="center" wrapText="1"/>
    </xf>
    <xf numFmtId="43" fontId="7" fillId="2" borderId="20" xfId="2" applyFont="1" applyFill="1" applyBorder="1" applyAlignment="1" applyProtection="1">
      <alignment horizontal="center" vertical="center" wrapText="1"/>
    </xf>
    <xf numFmtId="43" fontId="7" fillId="2" borderId="20" xfId="2" applyFont="1" applyFill="1" applyBorder="1" applyAlignment="1" applyProtection="1">
      <alignment horizontal="right" vertical="center" wrapText="1"/>
    </xf>
    <xf numFmtId="0" fontId="7" fillId="2" borderId="21" xfId="0" applyFont="1" applyFill="1" applyBorder="1" applyAlignment="1">
      <alignment horizontal="left" vertical="center" wrapText="1"/>
    </xf>
    <xf numFmtId="43" fontId="7" fillId="2" borderId="22" xfId="2" applyFont="1" applyFill="1" applyBorder="1" applyAlignment="1" applyProtection="1">
      <alignment horizontal="right" vertical="center" wrapText="1"/>
    </xf>
    <xf numFmtId="43" fontId="6" fillId="2" borderId="22" xfId="2" applyFont="1" applyFill="1" applyBorder="1" applyAlignment="1">
      <alignment horizontal="right" vertical="center" wrapText="1"/>
    </xf>
    <xf numFmtId="0" fontId="6" fillId="2" borderId="21" xfId="0" applyFont="1" applyFill="1" applyBorder="1" applyAlignment="1">
      <alignment vertical="center" wrapText="1"/>
    </xf>
    <xf numFmtId="43" fontId="6" fillId="0" borderId="22" xfId="2" applyFont="1" applyFill="1" applyBorder="1" applyAlignment="1">
      <alignment horizontal="right" vertical="center" wrapText="1"/>
    </xf>
    <xf numFmtId="43" fontId="6" fillId="2" borderId="22" xfId="2" applyFont="1" applyFill="1" applyBorder="1" applyAlignment="1">
      <alignment horizontal="center" vertical="center" wrapText="1"/>
    </xf>
    <xf numFmtId="43" fontId="6" fillId="0" borderId="22" xfId="2" applyFont="1" applyFill="1" applyBorder="1" applyAlignment="1">
      <alignment horizontal="center" vertical="center" wrapText="1"/>
    </xf>
    <xf numFmtId="43" fontId="7" fillId="2" borderId="3" xfId="2" applyFont="1" applyFill="1" applyBorder="1" applyAlignment="1" applyProtection="1">
      <alignment horizontal="left" vertical="center" wrapText="1"/>
    </xf>
    <xf numFmtId="43" fontId="7" fillId="2" borderId="22" xfId="2" applyFont="1" applyFill="1" applyBorder="1" applyAlignment="1" applyProtection="1">
      <alignment horizontal="center" vertical="center" wrapText="1"/>
    </xf>
    <xf numFmtId="43" fontId="7" fillId="2" borderId="22" xfId="2" applyFont="1" applyFill="1" applyBorder="1" applyAlignment="1" applyProtection="1">
      <alignment horizontal="left" vertical="center" wrapText="1"/>
    </xf>
    <xf numFmtId="43" fontId="6" fillId="2" borderId="3" xfId="2" applyFont="1" applyFill="1" applyBorder="1" applyAlignment="1">
      <alignment horizontal="left" vertical="center" wrapText="1"/>
    </xf>
    <xf numFmtId="43" fontId="6" fillId="2" borderId="22" xfId="2" applyFont="1" applyFill="1" applyBorder="1" applyAlignment="1">
      <alignment horizontal="left" vertical="center" wrapText="1"/>
    </xf>
    <xf numFmtId="43" fontId="5" fillId="5" borderId="17" xfId="2" applyFont="1" applyFill="1" applyBorder="1" applyAlignment="1" applyProtection="1">
      <alignment horizontal="left" vertical="center" wrapText="1"/>
    </xf>
    <xf numFmtId="43" fontId="6" fillId="0" borderId="3" xfId="2" applyFont="1" applyFill="1" applyBorder="1" applyAlignment="1">
      <alignment horizontal="left" vertical="center" wrapText="1"/>
    </xf>
    <xf numFmtId="43" fontId="6" fillId="0" borderId="22" xfId="2" applyFont="1" applyFill="1" applyBorder="1" applyAlignment="1">
      <alignment horizontal="left" vertical="center" wrapText="1"/>
    </xf>
    <xf numFmtId="44" fontId="6" fillId="0" borderId="0" xfId="7" applyFont="1" applyAlignment="1">
      <alignment horizontal="right" vertical="center" wrapText="1"/>
    </xf>
    <xf numFmtId="49" fontId="11" fillId="0" borderId="0" xfId="3" applyNumberFormat="1" applyFont="1" applyAlignment="1">
      <alignment vertical="center"/>
    </xf>
    <xf numFmtId="0" fontId="11" fillId="6" borderId="0" xfId="3" applyFont="1" applyFill="1" applyAlignment="1">
      <alignment vertical="center"/>
    </xf>
    <xf numFmtId="43" fontId="11" fillId="6" borderId="0" xfId="2" applyFont="1" applyFill="1" applyAlignment="1">
      <alignment vertical="center"/>
    </xf>
    <xf numFmtId="43" fontId="11" fillId="6" borderId="0" xfId="2" applyFont="1" applyFill="1" applyAlignment="1">
      <alignment horizontal="center" vertical="center"/>
    </xf>
    <xf numFmtId="49" fontId="12" fillId="7" borderId="12" xfId="3" applyNumberFormat="1" applyFont="1" applyFill="1" applyBorder="1" applyAlignment="1">
      <alignment vertical="center"/>
    </xf>
    <xf numFmtId="49" fontId="12" fillId="7" borderId="15" xfId="3" applyNumberFormat="1" applyFont="1" applyFill="1" applyBorder="1" applyAlignment="1">
      <alignment vertical="center"/>
    </xf>
    <xf numFmtId="49" fontId="12" fillId="7" borderId="23" xfId="3" applyNumberFormat="1" applyFont="1" applyFill="1" applyBorder="1" applyAlignment="1">
      <alignment horizontal="left" vertical="center"/>
    </xf>
    <xf numFmtId="0" fontId="14" fillId="0" borderId="0" xfId="3" applyFont="1" applyAlignment="1">
      <alignment vertical="center"/>
    </xf>
    <xf numFmtId="43" fontId="14" fillId="0" borderId="0" xfId="2" applyFont="1" applyAlignment="1">
      <alignment vertical="center"/>
    </xf>
    <xf numFmtId="0" fontId="12" fillId="4" borderId="24" xfId="3" applyFont="1" applyFill="1" applyBorder="1" applyAlignment="1">
      <alignment horizontal="center" vertical="center" wrapText="1"/>
    </xf>
    <xf numFmtId="43" fontId="12" fillId="4" borderId="24" xfId="2" applyFont="1" applyFill="1" applyBorder="1" applyAlignment="1">
      <alignment horizontal="center" vertical="center" wrapText="1"/>
    </xf>
    <xf numFmtId="43" fontId="12" fillId="4" borderId="24" xfId="2" applyFont="1" applyFill="1" applyBorder="1" applyAlignment="1" applyProtection="1">
      <alignment horizontal="center" vertical="center" wrapText="1"/>
    </xf>
    <xf numFmtId="0" fontId="15" fillId="9" borderId="25" xfId="3" applyFont="1" applyFill="1" applyBorder="1" applyAlignment="1">
      <alignment horizontal="left" vertical="center" wrapText="1"/>
    </xf>
    <xf numFmtId="0" fontId="15" fillId="9" borderId="26" xfId="3" applyFont="1" applyFill="1" applyBorder="1" applyAlignment="1">
      <alignment horizontal="left" vertical="center" wrapText="1"/>
    </xf>
    <xf numFmtId="43" fontId="15" fillId="9" borderId="26" xfId="2" applyFont="1" applyFill="1" applyBorder="1" applyAlignment="1">
      <alignment horizontal="right" vertical="center" wrapText="1"/>
    </xf>
    <xf numFmtId="43" fontId="15" fillId="9" borderId="26" xfId="2" applyFont="1" applyFill="1" applyBorder="1" applyAlignment="1" applyProtection="1">
      <alignment horizontal="right" vertical="center" wrapText="1"/>
    </xf>
    <xf numFmtId="43" fontId="15" fillId="9" borderId="27" xfId="2" applyFont="1" applyFill="1" applyBorder="1" applyAlignment="1" applyProtection="1">
      <alignment horizontal="right" vertical="center" wrapText="1"/>
    </xf>
    <xf numFmtId="3" fontId="15" fillId="10" borderId="28" xfId="3" applyNumberFormat="1" applyFont="1" applyFill="1" applyBorder="1" applyAlignment="1">
      <alignment horizontal="left" vertical="center" wrapText="1"/>
    </xf>
    <xf numFmtId="0" fontId="15" fillId="10" borderId="29" xfId="3" applyFont="1" applyFill="1" applyBorder="1" applyAlignment="1">
      <alignment horizontal="left" vertical="center" wrapText="1"/>
    </xf>
    <xf numFmtId="43" fontId="15" fillId="10" borderId="29" xfId="2" applyFont="1" applyFill="1" applyBorder="1" applyAlignment="1">
      <alignment horizontal="right" vertical="center" wrapText="1"/>
    </xf>
    <xf numFmtId="43" fontId="15" fillId="10" borderId="29" xfId="2" applyFont="1" applyFill="1" applyBorder="1" applyAlignment="1" applyProtection="1">
      <alignment horizontal="right" vertical="center" wrapText="1"/>
    </xf>
    <xf numFmtId="43" fontId="15" fillId="10" borderId="30" xfId="2" applyFont="1" applyFill="1" applyBorder="1" applyAlignment="1" applyProtection="1">
      <alignment horizontal="right" vertical="center" wrapText="1"/>
    </xf>
    <xf numFmtId="0" fontId="15" fillId="11" borderId="28" xfId="3" applyFont="1" applyFill="1" applyBorder="1" applyAlignment="1">
      <alignment horizontal="left" vertical="center" wrapText="1"/>
    </xf>
    <xf numFmtId="0" fontId="15" fillId="11" borderId="29" xfId="3" applyFont="1" applyFill="1" applyBorder="1" applyAlignment="1">
      <alignment horizontal="left" vertical="center" wrapText="1"/>
    </xf>
    <xf numFmtId="43" fontId="15" fillId="11" borderId="29" xfId="2" applyFont="1" applyFill="1" applyBorder="1" applyAlignment="1">
      <alignment horizontal="right" vertical="center" wrapText="1"/>
    </xf>
    <xf numFmtId="43" fontId="15" fillId="11" borderId="29" xfId="2" applyFont="1" applyFill="1" applyBorder="1" applyAlignment="1" applyProtection="1">
      <alignment horizontal="right" vertical="center" wrapText="1"/>
    </xf>
    <xf numFmtId="43" fontId="15" fillId="11" borderId="30" xfId="2" applyFont="1" applyFill="1" applyBorder="1" applyAlignment="1" applyProtection="1">
      <alignment horizontal="right" vertical="center" wrapText="1"/>
    </xf>
    <xf numFmtId="43" fontId="16" fillId="11" borderId="30" xfId="2" applyFont="1" applyFill="1" applyBorder="1" applyAlignment="1" applyProtection="1">
      <alignment horizontal="right" vertical="center" wrapText="1"/>
    </xf>
    <xf numFmtId="49" fontId="15" fillId="11" borderId="28" xfId="3" applyNumberFormat="1" applyFont="1" applyFill="1" applyBorder="1" applyAlignment="1">
      <alignment horizontal="left" vertical="center" wrapText="1"/>
    </xf>
    <xf numFmtId="49" fontId="15" fillId="9" borderId="28" xfId="3" applyNumberFormat="1" applyFont="1" applyFill="1" applyBorder="1" applyAlignment="1">
      <alignment horizontal="left" vertical="center" wrapText="1"/>
    </xf>
    <xf numFmtId="0" fontId="15" fillId="9" borderId="29" xfId="3" applyFont="1" applyFill="1" applyBorder="1" applyAlignment="1">
      <alignment horizontal="left" vertical="center" wrapText="1"/>
    </xf>
    <xf numFmtId="43" fontId="15" fillId="9" borderId="29" xfId="2" applyFont="1" applyFill="1" applyBorder="1" applyAlignment="1">
      <alignment horizontal="right" vertical="center" wrapText="1"/>
    </xf>
    <xf numFmtId="43" fontId="15" fillId="9" borderId="29" xfId="2" applyFont="1" applyFill="1" applyBorder="1" applyAlignment="1" applyProtection="1">
      <alignment horizontal="right" vertical="center" wrapText="1"/>
    </xf>
    <xf numFmtId="43" fontId="15" fillId="9" borderId="30" xfId="2" applyFont="1" applyFill="1" applyBorder="1" applyAlignment="1" applyProtection="1">
      <alignment horizontal="right" vertical="center" wrapText="1"/>
    </xf>
    <xf numFmtId="49" fontId="15" fillId="10" borderId="28" xfId="3" applyNumberFormat="1" applyFont="1" applyFill="1" applyBorder="1" applyAlignment="1">
      <alignment horizontal="left" vertical="center" wrapText="1"/>
    </xf>
    <xf numFmtId="49" fontId="17" fillId="0" borderId="28" xfId="3" applyNumberFormat="1" applyFont="1" applyBorder="1" applyAlignment="1">
      <alignment horizontal="left" vertical="center" wrapText="1"/>
    </xf>
    <xf numFmtId="0" fontId="17" fillId="0" borderId="29" xfId="3" applyFont="1" applyBorder="1" applyAlignment="1">
      <alignment horizontal="left" vertical="center" wrapText="1"/>
    </xf>
    <xf numFmtId="43" fontId="14" fillId="0" borderId="29" xfId="2" applyFont="1" applyBorder="1" applyAlignment="1">
      <alignment horizontal="right" vertical="center" wrapText="1"/>
    </xf>
    <xf numFmtId="43" fontId="17" fillId="0" borderId="29" xfId="2" applyFont="1" applyFill="1" applyBorder="1" applyAlignment="1" applyProtection="1">
      <alignment horizontal="right" vertical="center" wrapText="1"/>
    </xf>
    <xf numFmtId="43" fontId="14" fillId="0" borderId="30" xfId="2" applyFont="1" applyFill="1" applyBorder="1" applyAlignment="1" applyProtection="1">
      <alignment horizontal="right" vertical="center" wrapText="1"/>
    </xf>
    <xf numFmtId="43" fontId="14" fillId="0" borderId="29" xfId="2" applyFont="1" applyFill="1" applyBorder="1" applyAlignment="1" applyProtection="1">
      <alignment horizontal="right" vertical="center" wrapText="1"/>
    </xf>
    <xf numFmtId="43" fontId="14" fillId="0" borderId="29" xfId="2" applyFont="1" applyFill="1" applyBorder="1" applyAlignment="1">
      <alignment horizontal="right" vertical="center" wrapText="1"/>
    </xf>
    <xf numFmtId="0" fontId="14" fillId="0" borderId="29" xfId="3" applyFont="1" applyBorder="1" applyAlignment="1">
      <alignment horizontal="left" vertical="center" wrapText="1"/>
    </xf>
    <xf numFmtId="43" fontId="17" fillId="0" borderId="29" xfId="2" applyFont="1" applyBorder="1" applyAlignment="1">
      <alignment horizontal="right" vertical="center" wrapText="1"/>
    </xf>
    <xf numFmtId="43" fontId="17" fillId="0" borderId="30" xfId="2" applyFont="1" applyFill="1" applyBorder="1" applyAlignment="1" applyProtection="1">
      <alignment horizontal="right" vertical="center" wrapText="1"/>
    </xf>
    <xf numFmtId="43" fontId="15" fillId="12" borderId="31" xfId="2" applyFont="1" applyFill="1" applyBorder="1" applyAlignment="1" applyProtection="1">
      <alignment horizontal="right" vertical="center" wrapText="1"/>
    </xf>
    <xf numFmtId="9" fontId="9" fillId="4" borderId="14" xfId="8" applyFont="1" applyFill="1" applyBorder="1" applyAlignment="1" applyProtection="1">
      <alignment horizontal="center" vertical="center" wrapText="1"/>
    </xf>
    <xf numFmtId="43" fontId="12" fillId="4" borderId="21" xfId="2" applyFont="1" applyFill="1" applyBorder="1" applyAlignment="1" applyProtection="1">
      <alignment horizontal="center" vertical="center" wrapText="1"/>
    </xf>
    <xf numFmtId="43" fontId="6" fillId="0" borderId="0" xfId="0" applyNumberFormat="1" applyFont="1" applyAlignment="1">
      <alignment vertical="center" wrapText="1"/>
    </xf>
    <xf numFmtId="0" fontId="9" fillId="3" borderId="7" xfId="0" applyFont="1" applyFill="1" applyBorder="1" applyAlignment="1">
      <alignment horizontal="right" vertical="center" wrapText="1"/>
    </xf>
    <xf numFmtId="0" fontId="9" fillId="3" borderId="8" xfId="0" applyFont="1" applyFill="1" applyBorder="1" applyAlignment="1">
      <alignment horizontal="right" vertical="center" wrapText="1"/>
    </xf>
    <xf numFmtId="43" fontId="6" fillId="0" borderId="32" xfId="2" applyFont="1" applyFill="1" applyBorder="1" applyAlignment="1">
      <alignment horizontal="left" vertical="center" wrapText="1"/>
    </xf>
    <xf numFmtId="43" fontId="6" fillId="0" borderId="33" xfId="2" applyFont="1" applyFill="1" applyBorder="1" applyAlignment="1">
      <alignment horizontal="left" vertical="center" wrapText="1"/>
    </xf>
    <xf numFmtId="4" fontId="6" fillId="0" borderId="0" xfId="0" applyNumberFormat="1" applyFont="1" applyAlignment="1">
      <alignment vertical="center" wrapText="1"/>
    </xf>
    <xf numFmtId="0" fontId="19" fillId="3" borderId="2" xfId="0" applyFont="1" applyFill="1" applyBorder="1" applyAlignment="1">
      <alignment horizontal="left" vertical="center" wrapText="1"/>
    </xf>
    <xf numFmtId="43" fontId="19" fillId="3" borderId="3" xfId="2" applyFont="1" applyFill="1" applyBorder="1" applyAlignment="1" applyProtection="1">
      <alignment horizontal="center" vertical="center" wrapText="1"/>
    </xf>
    <xf numFmtId="43" fontId="19" fillId="3" borderId="3" xfId="2" applyFont="1" applyFill="1" applyBorder="1" applyAlignment="1" applyProtection="1">
      <alignment horizontal="right" vertical="center" wrapText="1"/>
    </xf>
    <xf numFmtId="43" fontId="19" fillId="3" borderId="3" xfId="2" applyFont="1" applyFill="1" applyBorder="1" applyAlignment="1" applyProtection="1">
      <alignment horizontal="left" vertical="center" wrapText="1"/>
    </xf>
    <xf numFmtId="49" fontId="19" fillId="3" borderId="0" xfId="0" applyNumberFormat="1" applyFont="1" applyFill="1" applyAlignment="1">
      <alignment horizontal="center" vertical="center" wrapText="1"/>
    </xf>
    <xf numFmtId="0" fontId="19" fillId="3" borderId="0" xfId="0" applyFont="1" applyFill="1" applyAlignment="1">
      <alignment vertical="center" wrapText="1"/>
    </xf>
    <xf numFmtId="44" fontId="19" fillId="3" borderId="0" xfId="7" applyFont="1" applyFill="1" applyAlignment="1">
      <alignment vertical="center" wrapText="1"/>
    </xf>
    <xf numFmtId="0" fontId="19" fillId="3" borderId="21" xfId="0" applyFont="1" applyFill="1" applyBorder="1" applyAlignment="1">
      <alignment horizontal="left" vertical="center" wrapText="1"/>
    </xf>
    <xf numFmtId="43" fontId="19" fillId="3" borderId="22" xfId="2" applyFont="1" applyFill="1" applyBorder="1" applyAlignment="1" applyProtection="1">
      <alignment horizontal="center" vertical="center" wrapText="1"/>
    </xf>
    <xf numFmtId="43" fontId="19" fillId="3" borderId="22" xfId="2" applyFont="1" applyFill="1" applyBorder="1" applyAlignment="1" applyProtection="1">
      <alignment horizontal="right" vertical="center" wrapText="1"/>
    </xf>
    <xf numFmtId="43" fontId="19" fillId="3" borderId="22" xfId="2" applyFont="1" applyFill="1" applyBorder="1" applyAlignment="1" applyProtection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43" fontId="9" fillId="3" borderId="17" xfId="2" applyFont="1" applyFill="1" applyBorder="1" applyAlignment="1" applyProtection="1">
      <alignment horizontal="center" vertical="center" wrapText="1"/>
    </xf>
    <xf numFmtId="43" fontId="9" fillId="3" borderId="17" xfId="2" applyFont="1" applyFill="1" applyBorder="1" applyAlignment="1" applyProtection="1">
      <alignment horizontal="right" vertical="center" wrapText="1"/>
    </xf>
    <xf numFmtId="43" fontId="9" fillId="3" borderId="14" xfId="2" applyFont="1" applyFill="1" applyBorder="1" applyAlignment="1" applyProtection="1">
      <alignment horizontal="right" vertical="center" wrapText="1"/>
    </xf>
    <xf numFmtId="43" fontId="19" fillId="3" borderId="0" xfId="0" applyNumberFormat="1" applyFont="1" applyFill="1" applyAlignment="1">
      <alignment vertical="center" wrapText="1"/>
    </xf>
    <xf numFmtId="0" fontId="18" fillId="3" borderId="29" xfId="3" applyFont="1" applyFill="1" applyBorder="1" applyAlignment="1">
      <alignment horizontal="left" vertical="center" wrapText="1"/>
    </xf>
    <xf numFmtId="49" fontId="20" fillId="3" borderId="28" xfId="3" applyNumberFormat="1" applyFont="1" applyFill="1" applyBorder="1" applyAlignment="1">
      <alignment horizontal="left" vertical="center" wrapText="1"/>
    </xf>
    <xf numFmtId="0" fontId="20" fillId="3" borderId="29" xfId="3" applyFont="1" applyFill="1" applyBorder="1" applyAlignment="1">
      <alignment horizontal="left" vertical="center" wrapText="1"/>
    </xf>
    <xf numFmtId="43" fontId="20" fillId="3" borderId="29" xfId="2" applyFont="1" applyFill="1" applyBorder="1" applyAlignment="1">
      <alignment horizontal="right" vertical="center" wrapText="1"/>
    </xf>
    <xf numFmtId="43" fontId="20" fillId="3" borderId="29" xfId="2" applyFont="1" applyFill="1" applyBorder="1" applyAlignment="1" applyProtection="1">
      <alignment horizontal="right" vertical="center" wrapText="1"/>
    </xf>
    <xf numFmtId="43" fontId="20" fillId="3" borderId="30" xfId="2" applyFont="1" applyFill="1" applyBorder="1" applyAlignment="1" applyProtection="1">
      <alignment horizontal="right" vertical="center" wrapText="1"/>
    </xf>
    <xf numFmtId="0" fontId="21" fillId="3" borderId="0" xfId="0" applyFont="1" applyFill="1" applyAlignment="1">
      <alignment wrapText="1"/>
    </xf>
    <xf numFmtId="0" fontId="17" fillId="3" borderId="29" xfId="3" applyFont="1" applyFill="1" applyBorder="1" applyAlignment="1">
      <alignment horizontal="left" vertical="center" wrapText="1"/>
    </xf>
    <xf numFmtId="43" fontId="14" fillId="3" borderId="29" xfId="2" applyFont="1" applyFill="1" applyBorder="1" applyAlignment="1">
      <alignment horizontal="right" vertical="center" wrapText="1"/>
    </xf>
    <xf numFmtId="43" fontId="14" fillId="3" borderId="30" xfId="2" applyFont="1" applyFill="1" applyBorder="1" applyAlignment="1" applyProtection="1">
      <alignment horizontal="right" vertical="center" wrapText="1"/>
    </xf>
    <xf numFmtId="43" fontId="14" fillId="3" borderId="29" xfId="2" applyFont="1" applyFill="1" applyBorder="1" applyAlignment="1" applyProtection="1">
      <alignment horizontal="right" vertical="center" wrapText="1"/>
    </xf>
    <xf numFmtId="0" fontId="0" fillId="3" borderId="0" xfId="0" applyFill="1"/>
    <xf numFmtId="0" fontId="12" fillId="8" borderId="34" xfId="3" applyFont="1" applyFill="1" applyBorder="1" applyAlignment="1">
      <alignment horizontal="center" vertical="center" wrapText="1"/>
    </xf>
    <xf numFmtId="0" fontId="12" fillId="8" borderId="35" xfId="3" applyFont="1" applyFill="1" applyBorder="1" applyAlignment="1">
      <alignment horizontal="center" vertical="center" wrapText="1"/>
    </xf>
    <xf numFmtId="0" fontId="12" fillId="8" borderId="36" xfId="3" applyFont="1" applyFill="1" applyBorder="1" applyAlignment="1">
      <alignment horizontal="center" vertical="center" wrapText="1"/>
    </xf>
    <xf numFmtId="0" fontId="13" fillId="0" borderId="37" xfId="3" applyFont="1" applyBorder="1" applyAlignment="1">
      <alignment horizontal="left" vertical="center"/>
    </xf>
    <xf numFmtId="0" fontId="13" fillId="0" borderId="38" xfId="3" applyFont="1" applyBorder="1" applyAlignment="1">
      <alignment horizontal="left" vertical="center"/>
    </xf>
    <xf numFmtId="0" fontId="13" fillId="0" borderId="39" xfId="3" applyFont="1" applyBorder="1" applyAlignment="1">
      <alignment horizontal="left" vertical="center"/>
    </xf>
    <xf numFmtId="14" fontId="13" fillId="0" borderId="40" xfId="3" applyNumberFormat="1" applyFont="1" applyBorder="1" applyAlignment="1">
      <alignment horizontal="left" vertical="center"/>
    </xf>
    <xf numFmtId="14" fontId="13" fillId="0" borderId="41" xfId="3" applyNumberFormat="1" applyFont="1" applyBorder="1" applyAlignment="1">
      <alignment horizontal="left" vertical="center"/>
    </xf>
    <xf numFmtId="14" fontId="13" fillId="0" borderId="42" xfId="3" applyNumberFormat="1" applyFont="1" applyBorder="1" applyAlignment="1">
      <alignment horizontal="left" vertical="center"/>
    </xf>
    <xf numFmtId="0" fontId="13" fillId="0" borderId="40" xfId="3" applyFont="1" applyBorder="1" applyAlignment="1">
      <alignment horizontal="left" vertical="center"/>
    </xf>
    <xf numFmtId="0" fontId="13" fillId="0" borderId="41" xfId="3" applyFont="1" applyBorder="1" applyAlignment="1">
      <alignment horizontal="left" vertical="center"/>
    </xf>
    <xf numFmtId="0" fontId="13" fillId="0" borderId="42" xfId="3" applyFont="1" applyBorder="1" applyAlignment="1">
      <alignment horizontal="left" vertical="center"/>
    </xf>
    <xf numFmtId="0" fontId="13" fillId="0" borderId="43" xfId="3" applyFont="1" applyBorder="1" applyAlignment="1">
      <alignment horizontal="left" vertical="center"/>
    </xf>
    <xf numFmtId="0" fontId="13" fillId="0" borderId="44" xfId="3" applyFont="1" applyBorder="1" applyAlignment="1">
      <alignment horizontal="left" vertical="center"/>
    </xf>
    <xf numFmtId="0" fontId="13" fillId="0" borderId="45" xfId="3" applyFont="1" applyBorder="1" applyAlignment="1">
      <alignment horizontal="left" vertical="center"/>
    </xf>
    <xf numFmtId="0" fontId="10" fillId="0" borderId="46" xfId="3" applyFont="1" applyBorder="1" applyAlignment="1">
      <alignment horizontal="left" vertical="center" wrapText="1"/>
    </xf>
    <xf numFmtId="0" fontId="10" fillId="0" borderId="47" xfId="3" applyFont="1" applyBorder="1" applyAlignment="1">
      <alignment horizontal="left" vertical="center" wrapText="1"/>
    </xf>
    <xf numFmtId="0" fontId="10" fillId="0" borderId="48" xfId="3" applyFont="1" applyBorder="1" applyAlignment="1">
      <alignment horizontal="left" vertical="center" wrapText="1"/>
    </xf>
    <xf numFmtId="0" fontId="10" fillId="0" borderId="49" xfId="3" applyFont="1" applyBorder="1" applyAlignment="1">
      <alignment horizontal="left" vertical="center" wrapText="1"/>
    </xf>
    <xf numFmtId="0" fontId="10" fillId="0" borderId="0" xfId="3" applyFont="1" applyBorder="1" applyAlignment="1">
      <alignment horizontal="left" vertical="center" wrapText="1"/>
    </xf>
    <xf numFmtId="0" fontId="10" fillId="0" borderId="50" xfId="3" applyFont="1" applyBorder="1" applyAlignment="1">
      <alignment horizontal="left" vertical="center" wrapText="1"/>
    </xf>
    <xf numFmtId="0" fontId="10" fillId="0" borderId="51" xfId="3" applyFont="1" applyBorder="1" applyAlignment="1">
      <alignment horizontal="left" vertical="center" wrapText="1"/>
    </xf>
    <xf numFmtId="0" fontId="10" fillId="0" borderId="52" xfId="3" applyFont="1" applyBorder="1" applyAlignment="1">
      <alignment horizontal="left" vertical="center" wrapText="1"/>
    </xf>
    <xf numFmtId="0" fontId="10" fillId="0" borderId="53" xfId="3" applyFont="1" applyBorder="1" applyAlignment="1">
      <alignment horizontal="left" vertical="center" wrapText="1"/>
    </xf>
    <xf numFmtId="0" fontId="15" fillId="12" borderId="54" xfId="3" applyFont="1" applyFill="1" applyBorder="1" applyAlignment="1">
      <alignment horizontal="right" vertical="center" wrapText="1"/>
    </xf>
    <xf numFmtId="0" fontId="15" fillId="12" borderId="55" xfId="3" applyFont="1" applyFill="1" applyBorder="1" applyAlignment="1">
      <alignment horizontal="right" vertical="center" wrapText="1"/>
    </xf>
    <xf numFmtId="0" fontId="15" fillId="12" borderId="56" xfId="3" applyFont="1" applyFill="1" applyBorder="1" applyAlignment="1">
      <alignment horizontal="right" vertical="center" wrapText="1"/>
    </xf>
  </cellXfs>
  <cellStyles count="9">
    <cellStyle name="Moeda" xfId="7" builtinId="4"/>
    <cellStyle name="Normal" xfId="0" builtinId="0"/>
    <cellStyle name="Normal 4" xfId="3" xr:uid="{948A0770-897E-4339-A9DA-34919C5177CB}"/>
    <cellStyle name="Porcentagem" xfId="8" builtinId="5"/>
    <cellStyle name="Vírgula" xfId="2" builtinId="3"/>
    <cellStyle name="Vírgula 2" xfId="1" xr:uid="{EDE64979-55C3-4F58-B0B0-DFF449A9723F}"/>
    <cellStyle name="Vírgula 3" xfId="4" xr:uid="{6515ED1A-96FE-4707-9052-F5A0A59F08F2}"/>
    <cellStyle name="Vírgula 4" xfId="5" xr:uid="{76A1F7BD-E580-4620-87AF-EF92F96088A0}"/>
    <cellStyle name="Vírgula 5" xfId="6" xr:uid="{C953F79C-F103-4044-867A-1E6E5D7E068C}"/>
  </cellStyles>
  <dxfs count="0"/>
  <tableStyles count="0" defaultTableStyle="TableStyleMedium2" defaultPivotStyle="PivotStyleLight16"/>
  <colors>
    <mruColors>
      <color rgb="FF255AE5"/>
      <color rgb="FFFF5425"/>
      <color rgb="FFFE3400"/>
      <color rgb="FF737373"/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588080</xdr:colOff>
      <xdr:row>0</xdr:row>
      <xdr:rowOff>86236</xdr:rowOff>
    </xdr:from>
    <xdr:to>
      <xdr:col>5</xdr:col>
      <xdr:colOff>27736</xdr:colOff>
      <xdr:row>3</xdr:row>
      <xdr:rowOff>72480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8103AA2-B768-43F3-BA54-CA66174F8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5905" y="86236"/>
          <a:ext cx="2208256" cy="4720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H:\.shortcut-targets-by-id\16oaQUYgx8kiowDwLhg-oO1zGZ777DJUb\2.%20Projetos%20em%20Andamento\Neuhaus\2023.08%20-%20Origem%203300\04.%20Custo\03.0%20Custo%20-%20Or&#231;amento%20Param&#233;trico\CTN-NEUHAUS-ORIGEM%203300%20-%20Custos_Indiretos_Estimativas_R00.xlsx?11310ABD" TargetMode="External"/><Relationship Id="rId1" Type="http://schemas.openxmlformats.org/officeDocument/2006/relationships/externalLinkPath" Target="file:///\\11310ABD\CTN-NEUHAUS-ORIGEM%203300%20-%20Custos_Indiretos_Estimativas_R00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Neuhaus\2023.08%20-%20Origem%203300\04.%20Custo\03.0%20Custo%20-%20Or&#231;amento%20Param&#233;trico\03.%20Revis&#227;o%2002\CTN-NEUHAUS-ORIGEM%203300%20-%20Gerenciamento_executivo_R02.xlsx" TargetMode="External"/><Relationship Id="rId2" Type="http://schemas.microsoft.com/office/2019/04/relationships/externalLinkLongPath" Target="/.shortcut-targets-by-id/16oaQUYgx8kiowDwLhg-oO1zGZ777DJUb/2.%20Projetos%20em%20Andamento/Neuhaus/2023.08%20-%20Origem%203300/04.%20Custo/03.0%20Custo%20-%20Or&#231;amento%20Param&#233;trico/03.%20Revis&#227;o%2002/CTN-NEUHAUS-ORIGEM%203300%20-%20Gerenciamento_executivo_R02.xlsx?2548A507" TargetMode="External"/><Relationship Id="rId1" Type="http://schemas.openxmlformats.org/officeDocument/2006/relationships/externalLinkPath" Target="file:///\\2548A507\CTN-NEUHAUS-ORIGEM%203300%20-%20Gerenciamento_executivo_R02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.shortcut-targets-by-id\16oaQUYgx8kiowDwLhg-oO1zGZ777DJUb\2.%20Projetos%20em%20Andamento\Neuhaus\2023.08%20-%20Origem%203300\04.%20Custo\03.0%20Custo%20-%20Or&#231;amento%20Param&#233;trico\05.%20Revis&#227;o%2004\CTN-NEUHAUS-ORIGEM%203300%20-%20Gerenciamento_executivo_R03.xlsx" TargetMode="External"/><Relationship Id="rId2" Type="http://schemas.microsoft.com/office/2019/04/relationships/externalLinkLongPath" Target="file:///H:\.shortcut-targets-by-id\16oaQUYgx8kiowDwLhg-oO1zGZ777DJUb\2.%20Projetos%20em%20Andamento\Neuhaus\2023.08%20-%20Origem%203300\04.%20Custo\03.0%20Custo%20-%20Or&#231;amento%20Param&#233;trico\05.%20Revis&#227;o%2004\CTN-NEUHAUS-ORIGEM%203300%20-%20Gerenciamento_executivo_R03.xlsx?5686A616" TargetMode="External"/><Relationship Id="rId1" Type="http://schemas.openxmlformats.org/officeDocument/2006/relationships/externalLinkPath" Target="file:///\\5686A616\CTN-NEUHAUS-ORIGEM%203300%20-%20Gerenciamento_executivo_R03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Neuhaus\2023.08%20-%20Origem%203300\04.%20Custo\03.0%20Custo%20-%20Or&#231;amento%20Param&#233;trico\CTN-NEUHAUS-ORIGEM%203300%20-%20Gerenciamento_executivo_R03.xlsx" TargetMode="External"/><Relationship Id="rId2" Type="http://schemas.microsoft.com/office/2019/04/relationships/externalLinkLongPath" Target="/.shortcut-targets-by-id/16oaQUYgx8kiowDwLhg-oO1zGZ777DJUb/2.%20Projetos%20em%20Andamento/Neuhaus/2023.08%20-%20Origem%203300/04.%20Custo/03.0%20Custo%20-%20Or&#231;amento%20Param&#233;trico/CTN-NEUHAUS-ORIGEM%203300%20-%20Gerenciamento_executivo_R03.xlsx?7555AD12" TargetMode="External"/><Relationship Id="rId1" Type="http://schemas.openxmlformats.org/officeDocument/2006/relationships/externalLinkPath" Target="file:///\\7555AD12\CTN-NEUHAUS-ORIGEM%203300%20-%20Gerenciamento_executivo_R03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eo\AppData\Roaming\Microsoft\Excel\CTN-NEUHAUS-ORIGEM%203300%20-%20Apresenta&#231;&#227;o%20Or&#231;amento_R02%20(version%201).xlsb" TargetMode="External"/><Relationship Id="rId1" Type="http://schemas.openxmlformats.org/officeDocument/2006/relationships/externalLinkPath" Target="file:///C:\Users\deleo\AppData\Roaming\Microsoft\Excel\CTN-NEUHAUS-ORIGEM%203300%20-%20Apresenta&#231;&#227;o%20Or&#231;amento_R02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RA"/>
      <sheetName val="EPC's"/>
      <sheetName val="CANTEIRO"/>
      <sheetName val="BASES"/>
      <sheetName val="CUSTOS_INDIRETOS"/>
      <sheetName val="EQUIPAMENTOS"/>
      <sheetName val="MOBILIÁRIOS"/>
      <sheetName val="PROJETOS"/>
    </sheetNames>
    <sheetDataSet>
      <sheetData sheetId="0" refreshError="1">
        <row r="1">
          <cell r="B1" t="str">
            <v>Origem 3300</v>
          </cell>
        </row>
        <row r="2">
          <cell r="B2" t="str">
            <v>Neuhaus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Dados Gerais"/>
      <sheetName val="Resumo"/>
      <sheetName val="Movimentação de Terra"/>
      <sheetName val="Infraestrutura"/>
      <sheetName val="Supraestrutura"/>
      <sheetName val="Alvenaria"/>
      <sheetName val="Instalações"/>
      <sheetName val="Sistemas especiais"/>
      <sheetName val="Impermeabilização"/>
      <sheetName val="Rev. Internos Piso e Parede"/>
      <sheetName val="Acabamentos de Piso e Parede"/>
      <sheetName val="Acabamentos de Teto"/>
      <sheetName val="Pintura Interna"/>
      <sheetName val="Esquadrias"/>
      <sheetName val="Rev. Fachada"/>
      <sheetName val="Complementares"/>
    </sheetNames>
    <sheetDataSet>
      <sheetData sheetId="0" refreshError="1"/>
      <sheetData sheetId="1" refreshError="1"/>
      <sheetData sheetId="2" refreshError="1">
        <row r="22">
          <cell r="I22">
            <v>5500</v>
          </cell>
        </row>
        <row r="29">
          <cell r="I29">
            <v>134618</v>
          </cell>
        </row>
        <row r="30">
          <cell r="I30">
            <v>13592</v>
          </cell>
        </row>
        <row r="31">
          <cell r="I31">
            <v>131906.25</v>
          </cell>
        </row>
        <row r="32">
          <cell r="I32">
            <v>19200.87</v>
          </cell>
        </row>
        <row r="39">
          <cell r="I39">
            <v>29580</v>
          </cell>
        </row>
      </sheetData>
      <sheetData sheetId="3" refreshError="1">
        <row r="17">
          <cell r="I17">
            <v>66880</v>
          </cell>
        </row>
        <row r="19">
          <cell r="I19">
            <v>502986.42</v>
          </cell>
        </row>
        <row r="20">
          <cell r="I20">
            <v>176197</v>
          </cell>
        </row>
        <row r="21">
          <cell r="I21">
            <v>1072000</v>
          </cell>
        </row>
        <row r="22">
          <cell r="I22">
            <v>56000</v>
          </cell>
        </row>
        <row r="29">
          <cell r="I29">
            <v>41809.120000000003</v>
          </cell>
        </row>
        <row r="30">
          <cell r="I30">
            <v>334784.40000000002</v>
          </cell>
        </row>
        <row r="31">
          <cell r="I31">
            <v>196439.67</v>
          </cell>
        </row>
        <row r="32">
          <cell r="I32">
            <v>361862.55</v>
          </cell>
        </row>
      </sheetData>
      <sheetData sheetId="4" refreshError="1">
        <row r="15">
          <cell r="I15">
            <v>1433492.5249999999</v>
          </cell>
        </row>
        <row r="17">
          <cell r="I17">
            <v>322383.59999999998</v>
          </cell>
        </row>
        <row r="18">
          <cell r="I18">
            <v>316483.25</v>
          </cell>
        </row>
        <row r="21">
          <cell r="I21">
            <v>252000</v>
          </cell>
        </row>
      </sheetData>
      <sheetData sheetId="5" refreshError="1">
        <row r="15">
          <cell r="I15">
            <v>206805.49999999997</v>
          </cell>
        </row>
        <row r="16">
          <cell r="I16">
            <v>36156.011096792674</v>
          </cell>
        </row>
        <row r="17">
          <cell r="I17">
            <v>135082.29733676976</v>
          </cell>
        </row>
        <row r="18">
          <cell r="I18">
            <v>287607.09999999998</v>
          </cell>
        </row>
        <row r="19">
          <cell r="I19">
            <v>1328897.4690721652</v>
          </cell>
        </row>
        <row r="20">
          <cell r="I20">
            <v>92245.117983963355</v>
          </cell>
        </row>
        <row r="21">
          <cell r="I21">
            <v>14407.235037227951</v>
          </cell>
        </row>
        <row r="22">
          <cell r="I22">
            <v>67089.853350515477</v>
          </cell>
        </row>
        <row r="23">
          <cell r="I23">
            <v>4657.0270332187865</v>
          </cell>
        </row>
        <row r="24">
          <cell r="I24">
            <v>15382</v>
          </cell>
        </row>
        <row r="25">
          <cell r="I25">
            <v>125764.20000000001</v>
          </cell>
        </row>
        <row r="26">
          <cell r="I26">
            <v>172733.2983032646</v>
          </cell>
        </row>
        <row r="27">
          <cell r="I27">
            <v>468903.75457044668</v>
          </cell>
        </row>
        <row r="28">
          <cell r="I28">
            <v>104803.50000000001</v>
          </cell>
        </row>
      </sheetData>
      <sheetData sheetId="6" refreshError="1">
        <row r="15">
          <cell r="I15">
            <v>72581.899999999994</v>
          </cell>
        </row>
        <row r="16">
          <cell r="I16">
            <v>185809.66399999999</v>
          </cell>
        </row>
        <row r="17">
          <cell r="I17">
            <v>245326.82199999996</v>
          </cell>
        </row>
        <row r="18">
          <cell r="I18">
            <v>580655.19999999995</v>
          </cell>
        </row>
        <row r="19">
          <cell r="I19">
            <v>290327.59999999998</v>
          </cell>
        </row>
        <row r="20">
          <cell r="I20">
            <v>275811.21999999997</v>
          </cell>
        </row>
        <row r="21">
          <cell r="I21">
            <v>798400.89999999991</v>
          </cell>
        </row>
        <row r="27">
          <cell r="I27">
            <v>362909.5</v>
          </cell>
        </row>
        <row r="28">
          <cell r="I28">
            <v>217745.69999999998</v>
          </cell>
        </row>
        <row r="29">
          <cell r="I29">
            <v>145163.79999999999</v>
          </cell>
        </row>
        <row r="30">
          <cell r="I30">
            <v>217745.69999999998</v>
          </cell>
        </row>
        <row r="31">
          <cell r="I31">
            <v>5371.0605999999998</v>
          </cell>
        </row>
        <row r="32">
          <cell r="I32">
            <v>31936.036</v>
          </cell>
        </row>
        <row r="33">
          <cell r="I33">
            <v>653237.1</v>
          </cell>
        </row>
        <row r="34">
          <cell r="I34">
            <v>725819</v>
          </cell>
        </row>
      </sheetData>
      <sheetData sheetId="7" refreshError="1">
        <row r="16">
          <cell r="I16">
            <v>60000</v>
          </cell>
        </row>
        <row r="17">
          <cell r="I17">
            <v>184000</v>
          </cell>
        </row>
        <row r="18">
          <cell r="I18">
            <v>54000</v>
          </cell>
        </row>
        <row r="25">
          <cell r="I25">
            <v>130647.42</v>
          </cell>
        </row>
        <row r="26">
          <cell r="I26">
            <v>174196.56</v>
          </cell>
        </row>
        <row r="44">
          <cell r="I44">
            <v>1320000</v>
          </cell>
        </row>
        <row r="45">
          <cell r="I45">
            <v>660000</v>
          </cell>
        </row>
        <row r="46">
          <cell r="I46">
            <v>240000</v>
          </cell>
        </row>
        <row r="47">
          <cell r="I47">
            <v>40000</v>
          </cell>
        </row>
        <row r="48">
          <cell r="I48">
            <v>35000</v>
          </cell>
        </row>
        <row r="49">
          <cell r="I49">
            <v>120000</v>
          </cell>
        </row>
      </sheetData>
      <sheetData sheetId="8" refreshError="1"/>
      <sheetData sheetId="9" refreshError="1">
        <row r="18">
          <cell r="I18">
            <v>28366.72075</v>
          </cell>
        </row>
        <row r="19">
          <cell r="I19">
            <v>260973.8309</v>
          </cell>
        </row>
        <row r="20">
          <cell r="I20">
            <v>18871.293999999998</v>
          </cell>
        </row>
        <row r="21">
          <cell r="I21">
            <v>581466.15</v>
          </cell>
        </row>
        <row r="22">
          <cell r="I22">
            <v>397134.09049999999</v>
          </cell>
        </row>
      </sheetData>
      <sheetData sheetId="10" refreshError="1">
        <row r="22">
          <cell r="I22">
            <v>424424.7</v>
          </cell>
        </row>
        <row r="24">
          <cell r="I24">
            <v>212212.35</v>
          </cell>
        </row>
      </sheetData>
      <sheetData sheetId="11" refreshError="1"/>
      <sheetData sheetId="12" refreshError="1"/>
      <sheetData sheetId="13" refreshError="1">
        <row r="15">
          <cell r="I15">
            <v>1767034.5</v>
          </cell>
        </row>
        <row r="17">
          <cell r="I17">
            <v>1512210</v>
          </cell>
        </row>
        <row r="20">
          <cell r="I20">
            <v>126000</v>
          </cell>
        </row>
        <row r="21">
          <cell r="I21">
            <v>78846</v>
          </cell>
        </row>
      </sheetData>
      <sheetData sheetId="14" refreshError="1">
        <row r="15">
          <cell r="I15">
            <v>260190.30000000002</v>
          </cell>
        </row>
        <row r="16">
          <cell r="I16">
            <v>607110.70000000007</v>
          </cell>
        </row>
        <row r="30">
          <cell r="I30">
            <v>113088.79999999999</v>
          </cell>
        </row>
        <row r="31">
          <cell r="I31">
            <v>290990</v>
          </cell>
        </row>
      </sheetData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Dados Gerais"/>
      <sheetName val="Resumo"/>
      <sheetName val="Movimentação de Terra"/>
      <sheetName val="Infraestrutura"/>
      <sheetName val="Supraestrutura"/>
      <sheetName val="Alvenaria"/>
      <sheetName val="Instalações"/>
      <sheetName val="Sistemas especiais"/>
      <sheetName val="Impermeabilização"/>
      <sheetName val="Rev. Internos Piso e Parede"/>
      <sheetName val="Acabamentos de Piso e Parede"/>
      <sheetName val="Acabamentos de Teto"/>
      <sheetName val="Pintura Interna"/>
      <sheetName val="Esquadrias"/>
      <sheetName val="Rev. Fachada"/>
      <sheetName val="Complementa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I15">
            <v>4970913.84</v>
          </cell>
        </row>
        <row r="16">
          <cell r="I16">
            <v>489927.82499999995</v>
          </cell>
        </row>
        <row r="19">
          <cell r="I19">
            <v>112150.41600000001</v>
          </cell>
        </row>
        <row r="23">
          <cell r="I23">
            <v>4679624</v>
          </cell>
        </row>
        <row r="24">
          <cell r="I24">
            <v>3748686.48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Dados Gerais"/>
      <sheetName val="Resumo"/>
      <sheetName val="Movimentação de Terra"/>
      <sheetName val="Infraestrutura"/>
      <sheetName val="Supraestrutura"/>
      <sheetName val="Alvenaria"/>
      <sheetName val="Instalações"/>
      <sheetName val="Sistemas especiais"/>
      <sheetName val="Impermeabilização"/>
      <sheetName val="Rev. Internos Piso e Parede"/>
      <sheetName val="Acabamentos de Piso e Parede"/>
      <sheetName val="Acabamentos de Teto"/>
      <sheetName val="Pintura Interna"/>
      <sheetName val="Esquadrias"/>
      <sheetName val="Rev. Fachada"/>
      <sheetName val="Complementa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0">
          <cell r="I20">
            <v>319084.14</v>
          </cell>
        </row>
        <row r="22">
          <cell r="I22">
            <v>115188.27</v>
          </cell>
        </row>
        <row r="25">
          <cell r="I25">
            <v>3511139.0399999996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ÇAMENTO_PARAMÉTRICO"/>
      <sheetName val="DIFERENÇA"/>
      <sheetName val="ANÁLISE_CUSTOS"/>
      <sheetName val="CÁLCULO_MÉDIAS"/>
      <sheetName val="CONTINGÊNCIAS"/>
    </sheetNames>
    <sheetDataSet>
      <sheetData sheetId="0" refreshError="1">
        <row r="17">
          <cell r="B17">
            <v>871221.67704471538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26CE-82EA-4345-921C-F3D88994C6F6}">
  <dimension ref="A1:G81"/>
  <sheetViews>
    <sheetView showGridLines="0" tabSelected="1" view="pageBreakPreview" topLeftCell="A7" zoomScale="90" zoomScaleNormal="90" zoomScaleSheetLayoutView="90" workbookViewId="0">
      <selection activeCell="B76" sqref="B76"/>
    </sheetView>
  </sheetViews>
  <sheetFormatPr defaultRowHeight="12.9" x14ac:dyDescent="0.2"/>
  <cols>
    <col min="1" max="1" width="15.75" customWidth="1"/>
    <col min="2" max="2" width="66.125" customWidth="1"/>
    <col min="3" max="3" width="11.375" customWidth="1"/>
    <col min="4" max="4" width="18.375" customWidth="1"/>
    <col min="5" max="5" width="11.75" bestFit="1" customWidth="1"/>
    <col min="6" max="6" width="14.25" bestFit="1" customWidth="1"/>
    <col min="7" max="7" width="35.75" customWidth="1"/>
  </cols>
  <sheetData>
    <row r="1" spans="1:7" ht="12.9" customHeight="1" x14ac:dyDescent="0.2">
      <c r="A1" s="159" t="s">
        <v>346</v>
      </c>
      <c r="B1" s="160"/>
      <c r="C1" s="160"/>
      <c r="D1" s="160"/>
      <c r="E1" s="160"/>
      <c r="F1" s="161"/>
    </row>
    <row r="2" spans="1:7" ht="12.9" customHeight="1" x14ac:dyDescent="0.2">
      <c r="A2" s="162"/>
      <c r="B2" s="163"/>
      <c r="C2" s="163"/>
      <c r="D2" s="163"/>
      <c r="E2" s="163"/>
      <c r="F2" s="164"/>
    </row>
    <row r="3" spans="1:7" ht="12.9" customHeight="1" x14ac:dyDescent="0.2">
      <c r="A3" s="162"/>
      <c r="B3" s="163"/>
      <c r="C3" s="163"/>
      <c r="D3" s="163"/>
      <c r="E3" s="163"/>
      <c r="F3" s="164"/>
    </row>
    <row r="4" spans="1:7" ht="12.9" customHeight="1" x14ac:dyDescent="0.2">
      <c r="A4" s="162"/>
      <c r="B4" s="163"/>
      <c r="C4" s="163"/>
      <c r="D4" s="163"/>
      <c r="E4" s="163"/>
      <c r="F4" s="164"/>
    </row>
    <row r="5" spans="1:7" ht="12.9" customHeight="1" x14ac:dyDescent="0.2">
      <c r="A5" s="165"/>
      <c r="B5" s="166"/>
      <c r="C5" s="166"/>
      <c r="D5" s="166"/>
      <c r="E5" s="166"/>
      <c r="F5" s="167"/>
    </row>
    <row r="6" spans="1:7" ht="20.399999999999999" thickBot="1" x14ac:dyDescent="0.25">
      <c r="A6" s="62"/>
      <c r="B6" s="63"/>
      <c r="C6" s="63"/>
      <c r="D6" s="64"/>
      <c r="E6" s="64"/>
      <c r="F6" s="65"/>
    </row>
    <row r="7" spans="1:7" ht="19.7" x14ac:dyDescent="0.2">
      <c r="A7" s="66" t="s">
        <v>347</v>
      </c>
      <c r="B7" s="156" t="str">
        <f>[3]OBRA!B2</f>
        <v>Neuhaus</v>
      </c>
      <c r="C7" s="157"/>
      <c r="D7" s="157"/>
      <c r="E7" s="157"/>
      <c r="F7" s="158"/>
    </row>
    <row r="8" spans="1:7" ht="19.7" x14ac:dyDescent="0.2">
      <c r="A8" s="67" t="s">
        <v>348</v>
      </c>
      <c r="B8" s="153" t="str">
        <f>[3]OBRA!B1</f>
        <v>Origem 3300</v>
      </c>
      <c r="C8" s="154"/>
      <c r="D8" s="154"/>
      <c r="E8" s="154"/>
      <c r="F8" s="155"/>
    </row>
    <row r="9" spans="1:7" ht="19.7" x14ac:dyDescent="0.2">
      <c r="A9" s="67" t="s">
        <v>349</v>
      </c>
      <c r="B9" s="150">
        <v>45462</v>
      </c>
      <c r="C9" s="151"/>
      <c r="D9" s="151"/>
      <c r="E9" s="151"/>
      <c r="F9" s="152"/>
    </row>
    <row r="10" spans="1:7" ht="20.399999999999999" thickBot="1" x14ac:dyDescent="0.25">
      <c r="A10" s="68" t="s">
        <v>350</v>
      </c>
      <c r="B10" s="147" t="s">
        <v>542</v>
      </c>
      <c r="C10" s="148"/>
      <c r="D10" s="148"/>
      <c r="E10" s="148"/>
      <c r="F10" s="149"/>
    </row>
    <row r="11" spans="1:7" ht="20.399999999999999" thickBot="1" x14ac:dyDescent="0.25">
      <c r="A11" s="69"/>
      <c r="B11" s="69"/>
      <c r="C11" s="69"/>
      <c r="D11" s="70"/>
      <c r="E11" s="70"/>
      <c r="F11" s="70"/>
    </row>
    <row r="12" spans="1:7" ht="20.399999999999999" customHeight="1" thickBot="1" x14ac:dyDescent="0.25">
      <c r="A12" s="144" t="s">
        <v>351</v>
      </c>
      <c r="B12" s="145"/>
      <c r="C12" s="145"/>
      <c r="D12" s="145"/>
      <c r="E12" s="145"/>
      <c r="F12" s="146"/>
    </row>
    <row r="13" spans="1:7" ht="39.4" x14ac:dyDescent="0.2">
      <c r="A13" s="71" t="s">
        <v>352</v>
      </c>
      <c r="B13" s="71" t="s">
        <v>353</v>
      </c>
      <c r="C13" s="71" t="s">
        <v>354</v>
      </c>
      <c r="D13" s="72" t="s">
        <v>355</v>
      </c>
      <c r="E13" s="73" t="s">
        <v>356</v>
      </c>
      <c r="F13" s="73" t="s">
        <v>357</v>
      </c>
      <c r="G13" s="109" t="s">
        <v>543</v>
      </c>
    </row>
    <row r="14" spans="1:7" ht="19.7" x14ac:dyDescent="0.2">
      <c r="A14" s="74" t="s">
        <v>358</v>
      </c>
      <c r="B14" s="75" t="s">
        <v>359</v>
      </c>
      <c r="C14" s="75"/>
      <c r="D14" s="76"/>
      <c r="E14" s="77"/>
      <c r="F14" s="78">
        <f>SUM(F20+F15)</f>
        <v>1276327.0737287248</v>
      </c>
    </row>
    <row r="15" spans="1:7" ht="19.7" x14ac:dyDescent="0.2">
      <c r="A15" s="79" t="s">
        <v>360</v>
      </c>
      <c r="B15" s="80" t="s">
        <v>361</v>
      </c>
      <c r="C15" s="80"/>
      <c r="D15" s="81"/>
      <c r="E15" s="82"/>
      <c r="F15" s="83">
        <f>SUM(F16:F19)</f>
        <v>584595.64151582902</v>
      </c>
    </row>
    <row r="16" spans="1:7" ht="19.7" x14ac:dyDescent="0.2">
      <c r="A16" s="84" t="s">
        <v>362</v>
      </c>
      <c r="B16" s="85" t="s">
        <v>363</v>
      </c>
      <c r="C16" s="85"/>
      <c r="D16" s="86"/>
      <c r="E16" s="87"/>
      <c r="F16" s="88">
        <v>28641.924007139438</v>
      </c>
    </row>
    <row r="17" spans="1:6" ht="19.7" x14ac:dyDescent="0.2">
      <c r="A17" s="84" t="s">
        <v>364</v>
      </c>
      <c r="B17" s="85" t="s">
        <v>365</v>
      </c>
      <c r="C17" s="85"/>
      <c r="D17" s="86"/>
      <c r="E17" s="87"/>
      <c r="F17" s="89">
        <v>466942.44889220182</v>
      </c>
    </row>
    <row r="18" spans="1:6" ht="19.7" x14ac:dyDescent="0.2">
      <c r="A18" s="84" t="s">
        <v>366</v>
      </c>
      <c r="B18" s="85" t="s">
        <v>367</v>
      </c>
      <c r="C18" s="85"/>
      <c r="D18" s="86"/>
      <c r="E18" s="87"/>
      <c r="F18" s="88">
        <v>63138.443895112941</v>
      </c>
    </row>
    <row r="19" spans="1:6" ht="19.7" x14ac:dyDescent="0.2">
      <c r="A19" s="84" t="s">
        <v>368</v>
      </c>
      <c r="B19" s="85" t="s">
        <v>369</v>
      </c>
      <c r="C19" s="85"/>
      <c r="D19" s="86"/>
      <c r="E19" s="87"/>
      <c r="F19" s="88">
        <v>25872.824721374731</v>
      </c>
    </row>
    <row r="20" spans="1:6" ht="19.7" x14ac:dyDescent="0.2">
      <c r="A20" s="79" t="s">
        <v>370</v>
      </c>
      <c r="B20" s="80" t="s">
        <v>371</v>
      </c>
      <c r="C20" s="80"/>
      <c r="D20" s="81"/>
      <c r="E20" s="82"/>
      <c r="F20" s="83">
        <f>SUM(F21:F23)</f>
        <v>691731.43221289571</v>
      </c>
    </row>
    <row r="21" spans="1:6" ht="19.7" x14ac:dyDescent="0.2">
      <c r="A21" s="90" t="s">
        <v>372</v>
      </c>
      <c r="B21" s="85" t="s">
        <v>373</v>
      </c>
      <c r="C21" s="85"/>
      <c r="D21" s="86"/>
      <c r="E21" s="87"/>
      <c r="F21" s="88">
        <v>94382.854461404349</v>
      </c>
    </row>
    <row r="22" spans="1:6" ht="19.7" x14ac:dyDescent="0.2">
      <c r="A22" s="90" t="s">
        <v>374</v>
      </c>
      <c r="B22" s="85" t="s">
        <v>375</v>
      </c>
      <c r="C22" s="85"/>
      <c r="D22" s="86"/>
      <c r="E22" s="87"/>
      <c r="F22" s="88">
        <v>529878.76703631051</v>
      </c>
    </row>
    <row r="23" spans="1:6" ht="19.7" x14ac:dyDescent="0.2">
      <c r="A23" s="84" t="s">
        <v>376</v>
      </c>
      <c r="B23" s="85" t="s">
        <v>377</v>
      </c>
      <c r="C23" s="85"/>
      <c r="D23" s="86"/>
      <c r="E23" s="87"/>
      <c r="F23" s="88">
        <v>67469.810715180836</v>
      </c>
    </row>
    <row r="24" spans="1:6" ht="19.7" x14ac:dyDescent="0.2">
      <c r="A24" s="91" t="s">
        <v>378</v>
      </c>
      <c r="B24" s="92" t="s">
        <v>379</v>
      </c>
      <c r="C24" s="92"/>
      <c r="D24" s="93"/>
      <c r="E24" s="94"/>
      <c r="F24" s="95">
        <f>SUM(F25+F38+F61)</f>
        <v>6238585.7041216101</v>
      </c>
    </row>
    <row r="25" spans="1:6" ht="19.7" x14ac:dyDescent="0.2">
      <c r="A25" s="96" t="s">
        <v>380</v>
      </c>
      <c r="B25" s="80" t="s">
        <v>381</v>
      </c>
      <c r="C25" s="80"/>
      <c r="D25" s="81"/>
      <c r="E25" s="82"/>
      <c r="F25" s="83">
        <f>SUM(F26+F28+F37)</f>
        <v>1052775.2460449957</v>
      </c>
    </row>
    <row r="26" spans="1:6" ht="19.7" x14ac:dyDescent="0.2">
      <c r="A26" s="90" t="s">
        <v>382</v>
      </c>
      <c r="B26" s="85" t="s">
        <v>383</v>
      </c>
      <c r="C26" s="85"/>
      <c r="D26" s="86"/>
      <c r="E26" s="87"/>
      <c r="F26" s="88">
        <v>168000</v>
      </c>
    </row>
    <row r="27" spans="1:6" ht="19.7" x14ac:dyDescent="0.2">
      <c r="A27" s="97" t="s">
        <v>384</v>
      </c>
      <c r="B27" s="98" t="s">
        <v>385</v>
      </c>
      <c r="C27" s="98" t="s">
        <v>386</v>
      </c>
      <c r="D27" s="99">
        <v>48</v>
      </c>
      <c r="E27" s="100">
        <v>3500</v>
      </c>
      <c r="F27" s="101">
        <v>168000</v>
      </c>
    </row>
    <row r="28" spans="1:6" ht="19.7" x14ac:dyDescent="0.2">
      <c r="A28" s="90" t="s">
        <v>387</v>
      </c>
      <c r="B28" s="85" t="s">
        <v>388</v>
      </c>
      <c r="C28" s="85"/>
      <c r="D28" s="86"/>
      <c r="E28" s="87"/>
      <c r="F28" s="88">
        <v>795976.46799999999</v>
      </c>
    </row>
    <row r="29" spans="1:6" ht="19.7" x14ac:dyDescent="0.2">
      <c r="A29" s="97" t="s">
        <v>389</v>
      </c>
      <c r="B29" s="98" t="s">
        <v>390</v>
      </c>
      <c r="C29" s="98" t="s">
        <v>95</v>
      </c>
      <c r="D29" s="99">
        <v>301.68</v>
      </c>
      <c r="E29" s="102">
        <v>350</v>
      </c>
      <c r="F29" s="101">
        <v>105588</v>
      </c>
    </row>
    <row r="30" spans="1:6" ht="19.7" x14ac:dyDescent="0.2">
      <c r="A30" s="97" t="s">
        <v>391</v>
      </c>
      <c r="B30" s="98" t="s">
        <v>392</v>
      </c>
      <c r="C30" s="98" t="s">
        <v>95</v>
      </c>
      <c r="D30" s="99">
        <v>779.67</v>
      </c>
      <c r="E30" s="102">
        <v>300</v>
      </c>
      <c r="F30" s="101">
        <v>233901</v>
      </c>
    </row>
    <row r="31" spans="1:6" ht="19.7" x14ac:dyDescent="0.2">
      <c r="A31" s="97" t="s">
        <v>393</v>
      </c>
      <c r="B31" s="98" t="s">
        <v>394</v>
      </c>
      <c r="C31" s="98" t="s">
        <v>95</v>
      </c>
      <c r="D31" s="103">
        <v>754.2</v>
      </c>
      <c r="E31" s="102">
        <v>49</v>
      </c>
      <c r="F31" s="101">
        <v>36955.800000000003</v>
      </c>
    </row>
    <row r="32" spans="1:6" ht="19.7" x14ac:dyDescent="0.2">
      <c r="A32" s="97" t="s">
        <v>395</v>
      </c>
      <c r="B32" s="98" t="s">
        <v>396</v>
      </c>
      <c r="C32" s="98" t="s">
        <v>91</v>
      </c>
      <c r="D32" s="99">
        <v>638.55000000000007</v>
      </c>
      <c r="E32" s="102">
        <v>50</v>
      </c>
      <c r="F32" s="101">
        <v>31927.500000000004</v>
      </c>
    </row>
    <row r="33" spans="1:7" ht="19.7" x14ac:dyDescent="0.2">
      <c r="A33" s="97" t="s">
        <v>397</v>
      </c>
      <c r="B33" s="132" t="s">
        <v>544</v>
      </c>
      <c r="C33" s="139" t="s">
        <v>95</v>
      </c>
      <c r="D33" s="140">
        <v>754.2</v>
      </c>
      <c r="E33" s="142">
        <v>244</v>
      </c>
      <c r="F33" s="141">
        <v>184024.80000000002</v>
      </c>
      <c r="G33" s="143"/>
    </row>
    <row r="34" spans="1:7" ht="19.7" x14ac:dyDescent="0.2">
      <c r="A34" s="97" t="s">
        <v>398</v>
      </c>
      <c r="B34" s="98" t="s">
        <v>399</v>
      </c>
      <c r="C34" s="98" t="s">
        <v>87</v>
      </c>
      <c r="D34" s="99">
        <v>1</v>
      </c>
      <c r="E34" s="102">
        <v>15968.018</v>
      </c>
      <c r="F34" s="101">
        <v>15968.018</v>
      </c>
    </row>
    <row r="35" spans="1:7" ht="19.7" x14ac:dyDescent="0.2">
      <c r="A35" s="97" t="s">
        <v>400</v>
      </c>
      <c r="B35" s="98" t="s">
        <v>401</v>
      </c>
      <c r="C35" s="98" t="s">
        <v>91</v>
      </c>
      <c r="D35" s="99">
        <v>9974.09</v>
      </c>
      <c r="E35" s="102">
        <v>15</v>
      </c>
      <c r="F35" s="101">
        <v>149611.35</v>
      </c>
    </row>
    <row r="36" spans="1:7" ht="19.7" x14ac:dyDescent="0.2">
      <c r="A36" s="97" t="s">
        <v>402</v>
      </c>
      <c r="B36" s="98" t="s">
        <v>403</v>
      </c>
      <c r="C36" s="98" t="s">
        <v>87</v>
      </c>
      <c r="D36" s="99">
        <v>1</v>
      </c>
      <c r="E36" s="102">
        <v>38000</v>
      </c>
      <c r="F36" s="101">
        <v>38000</v>
      </c>
    </row>
    <row r="37" spans="1:7" ht="19.7" x14ac:dyDescent="0.2">
      <c r="A37" s="90" t="s">
        <v>404</v>
      </c>
      <c r="B37" s="85" t="s">
        <v>405</v>
      </c>
      <c r="C37" s="85"/>
      <c r="D37" s="86"/>
      <c r="E37" s="87"/>
      <c r="F37" s="88">
        <v>88798.778044995823</v>
      </c>
    </row>
    <row r="38" spans="1:7" ht="19.7" x14ac:dyDescent="0.2">
      <c r="A38" s="96" t="s">
        <v>406</v>
      </c>
      <c r="B38" s="80" t="s">
        <v>407</v>
      </c>
      <c r="C38" s="80"/>
      <c r="D38" s="81"/>
      <c r="E38" s="82"/>
      <c r="F38" s="83">
        <f>SUM(F39+F49+F60+F52)</f>
        <v>3331912.4580766149</v>
      </c>
    </row>
    <row r="39" spans="1:7" ht="19.7" x14ac:dyDescent="0.2">
      <c r="A39" s="90" t="s">
        <v>408</v>
      </c>
      <c r="B39" s="85" t="s">
        <v>409</v>
      </c>
      <c r="C39" s="85"/>
      <c r="D39" s="86"/>
      <c r="E39" s="87"/>
      <c r="F39" s="88">
        <f>SUM(F40:F48)</f>
        <v>2461893.12</v>
      </c>
      <c r="G39" t="s">
        <v>549</v>
      </c>
    </row>
    <row r="40" spans="1:7" ht="19.7" x14ac:dyDescent="0.2">
      <c r="A40" s="97" t="s">
        <v>410</v>
      </c>
      <c r="B40" s="98" t="s">
        <v>411</v>
      </c>
      <c r="C40" s="98" t="s">
        <v>386</v>
      </c>
      <c r="D40" s="99">
        <v>48</v>
      </c>
      <c r="E40" s="100">
        <v>12000</v>
      </c>
      <c r="F40" s="101">
        <v>576000</v>
      </c>
    </row>
    <row r="41" spans="1:7" ht="19.7" x14ac:dyDescent="0.2">
      <c r="A41" s="97" t="s">
        <v>412</v>
      </c>
      <c r="B41" s="98" t="s">
        <v>413</v>
      </c>
      <c r="C41" s="98" t="s">
        <v>386</v>
      </c>
      <c r="D41" s="99">
        <v>48</v>
      </c>
      <c r="E41" s="100">
        <v>4254.4479999999994</v>
      </c>
      <c r="F41" s="101">
        <v>204213.50399999996</v>
      </c>
    </row>
    <row r="42" spans="1:7" ht="19.7" x14ac:dyDescent="0.2">
      <c r="A42" s="97" t="s">
        <v>414</v>
      </c>
      <c r="B42" s="98" t="s">
        <v>415</v>
      </c>
      <c r="C42" s="98" t="s">
        <v>386</v>
      </c>
      <c r="D42" s="99">
        <v>48</v>
      </c>
      <c r="E42" s="100">
        <v>8369.7920000000013</v>
      </c>
      <c r="F42" s="101">
        <v>401750.01600000006</v>
      </c>
    </row>
    <row r="43" spans="1:7" ht="19.7" x14ac:dyDescent="0.2">
      <c r="A43" s="97" t="s">
        <v>416</v>
      </c>
      <c r="B43" s="98" t="s">
        <v>417</v>
      </c>
      <c r="C43" s="98" t="s">
        <v>386</v>
      </c>
      <c r="D43" s="99">
        <v>48</v>
      </c>
      <c r="E43" s="100">
        <v>3000</v>
      </c>
      <c r="F43" s="101">
        <v>144000</v>
      </c>
    </row>
    <row r="44" spans="1:7" ht="25.85" x14ac:dyDescent="0.2">
      <c r="A44" s="97" t="s">
        <v>418</v>
      </c>
      <c r="B44" s="134" t="s">
        <v>419</v>
      </c>
      <c r="C44" s="134" t="s">
        <v>386</v>
      </c>
      <c r="D44" s="135">
        <v>48</v>
      </c>
      <c r="E44" s="136">
        <v>5086.84</v>
      </c>
      <c r="F44" s="137">
        <v>244168.32000000001</v>
      </c>
      <c r="G44" s="138" t="s">
        <v>545</v>
      </c>
    </row>
    <row r="45" spans="1:7" ht="19.7" x14ac:dyDescent="0.2">
      <c r="A45" s="97" t="s">
        <v>498</v>
      </c>
      <c r="B45" s="98" t="s">
        <v>421</v>
      </c>
      <c r="C45" s="98" t="s">
        <v>386</v>
      </c>
      <c r="D45" s="99">
        <v>22</v>
      </c>
      <c r="E45" s="100">
        <v>7800</v>
      </c>
      <c r="F45" s="101">
        <v>171600</v>
      </c>
    </row>
    <row r="46" spans="1:7" ht="19.7" x14ac:dyDescent="0.2">
      <c r="A46" s="97" t="s">
        <v>420</v>
      </c>
      <c r="B46" s="98" t="s">
        <v>501</v>
      </c>
      <c r="C46" s="98" t="s">
        <v>386</v>
      </c>
      <c r="D46" s="99">
        <v>48</v>
      </c>
      <c r="E46" s="100">
        <v>3812.48</v>
      </c>
      <c r="F46" s="101">
        <v>182999.04000000001</v>
      </c>
    </row>
    <row r="47" spans="1:7" ht="19.7" x14ac:dyDescent="0.2">
      <c r="A47" s="97" t="s">
        <v>499</v>
      </c>
      <c r="B47" s="98" t="s">
        <v>502</v>
      </c>
      <c r="C47" s="98" t="s">
        <v>386</v>
      </c>
      <c r="D47" s="99">
        <v>48</v>
      </c>
      <c r="E47" s="100">
        <v>7142.88</v>
      </c>
      <c r="F47" s="101">
        <v>342858.23999999999</v>
      </c>
    </row>
    <row r="48" spans="1:7" ht="19.7" x14ac:dyDescent="0.2">
      <c r="A48" s="97" t="s">
        <v>500</v>
      </c>
      <c r="B48" s="98" t="s">
        <v>503</v>
      </c>
      <c r="C48" s="98" t="s">
        <v>386</v>
      </c>
      <c r="D48" s="99">
        <v>48</v>
      </c>
      <c r="E48" s="100">
        <v>4048</v>
      </c>
      <c r="F48" s="101">
        <v>194304</v>
      </c>
    </row>
    <row r="49" spans="1:7" ht="19.7" x14ac:dyDescent="0.2">
      <c r="A49" s="90" t="s">
        <v>422</v>
      </c>
      <c r="B49" s="85" t="s">
        <v>423</v>
      </c>
      <c r="C49" s="85"/>
      <c r="D49" s="86"/>
      <c r="E49" s="87"/>
      <c r="F49" s="88">
        <f>SUM(F50:F51)</f>
        <v>34191.804400000001</v>
      </c>
    </row>
    <row r="50" spans="1:7" ht="19.7" x14ac:dyDescent="0.2">
      <c r="A50" s="97" t="s">
        <v>424</v>
      </c>
      <c r="B50" s="98" t="s">
        <v>425</v>
      </c>
      <c r="C50" s="98" t="s">
        <v>91</v>
      </c>
      <c r="D50" s="99">
        <v>1294.4000000000001</v>
      </c>
      <c r="E50" s="100">
        <v>12.5</v>
      </c>
      <c r="F50" s="101">
        <v>16180.000000000002</v>
      </c>
    </row>
    <row r="51" spans="1:7" ht="19.7" x14ac:dyDescent="0.2">
      <c r="A51" s="97" t="s">
        <v>426</v>
      </c>
      <c r="B51" s="98" t="s">
        <v>427</v>
      </c>
      <c r="C51" s="98" t="s">
        <v>95</v>
      </c>
      <c r="D51" s="99">
        <v>150.84</v>
      </c>
      <c r="E51" s="102">
        <v>119.41000000000001</v>
      </c>
      <c r="F51" s="101">
        <v>18011.804400000001</v>
      </c>
    </row>
    <row r="52" spans="1:7" ht="19.7" x14ac:dyDescent="0.2">
      <c r="A52" s="90" t="s">
        <v>428</v>
      </c>
      <c r="B52" s="85" t="s">
        <v>429</v>
      </c>
      <c r="C52" s="85"/>
      <c r="D52" s="86"/>
      <c r="E52" s="87"/>
      <c r="F52" s="88">
        <f>SUM(F53:F59)</f>
        <v>327754.23367661505</v>
      </c>
    </row>
    <row r="53" spans="1:7" ht="25.85" x14ac:dyDescent="0.2">
      <c r="A53" s="133" t="s">
        <v>430</v>
      </c>
      <c r="B53" s="134" t="s">
        <v>431</v>
      </c>
      <c r="C53" s="134" t="s">
        <v>386</v>
      </c>
      <c r="D53" s="135">
        <v>25</v>
      </c>
      <c r="E53" s="136">
        <v>1700</v>
      </c>
      <c r="F53" s="137">
        <v>85000</v>
      </c>
      <c r="G53" s="138" t="s">
        <v>546</v>
      </c>
    </row>
    <row r="54" spans="1:7" ht="19.7" x14ac:dyDescent="0.2">
      <c r="A54" s="97" t="s">
        <v>432</v>
      </c>
      <c r="B54" s="98" t="s">
        <v>433</v>
      </c>
      <c r="C54" s="98" t="s">
        <v>87</v>
      </c>
      <c r="D54" s="105">
        <v>1</v>
      </c>
      <c r="E54" s="100">
        <v>145163.79999999999</v>
      </c>
      <c r="F54" s="106">
        <v>145163.79999999999</v>
      </c>
    </row>
    <row r="55" spans="1:7" ht="19.7" x14ac:dyDescent="0.2">
      <c r="A55" s="97" t="s">
        <v>434</v>
      </c>
      <c r="B55" s="98" t="s">
        <v>435</v>
      </c>
      <c r="C55" s="98" t="s">
        <v>87</v>
      </c>
      <c r="D55" s="105">
        <v>1</v>
      </c>
      <c r="E55" s="100">
        <v>12355.569968307549</v>
      </c>
      <c r="F55" s="106">
        <v>12355.569968307549</v>
      </c>
    </row>
    <row r="56" spans="1:7" ht="19.7" x14ac:dyDescent="0.2">
      <c r="A56" s="97" t="s">
        <v>436</v>
      </c>
      <c r="B56" s="98" t="s">
        <v>437</v>
      </c>
      <c r="C56" s="98" t="s">
        <v>87</v>
      </c>
      <c r="D56" s="105">
        <v>1</v>
      </c>
      <c r="E56" s="100">
        <v>12355.569968307549</v>
      </c>
      <c r="F56" s="106">
        <v>12355.569968307549</v>
      </c>
    </row>
    <row r="57" spans="1:7" ht="19.7" x14ac:dyDescent="0.2">
      <c r="A57" s="97" t="s">
        <v>438</v>
      </c>
      <c r="B57" s="98" t="s">
        <v>439</v>
      </c>
      <c r="C57" s="98" t="s">
        <v>87</v>
      </c>
      <c r="D57" s="105">
        <v>1</v>
      </c>
      <c r="E57" s="100">
        <v>14300</v>
      </c>
      <c r="F57" s="106">
        <v>14300</v>
      </c>
    </row>
    <row r="58" spans="1:7" ht="19.7" x14ac:dyDescent="0.2">
      <c r="A58" s="97" t="s">
        <v>440</v>
      </c>
      <c r="B58" s="98" t="s">
        <v>441</v>
      </c>
      <c r="C58" s="104" t="s">
        <v>87</v>
      </c>
      <c r="D58" s="105">
        <v>1</v>
      </c>
      <c r="E58" s="100">
        <v>33000</v>
      </c>
      <c r="F58" s="106">
        <v>33000</v>
      </c>
    </row>
    <row r="59" spans="1:7" ht="19.7" x14ac:dyDescent="0.2">
      <c r="A59" s="97" t="s">
        <v>442</v>
      </c>
      <c r="B59" s="98" t="s">
        <v>443</v>
      </c>
      <c r="C59" s="98" t="s">
        <v>91</v>
      </c>
      <c r="D59" s="99">
        <v>214.21400000000003</v>
      </c>
      <c r="E59" s="100">
        <v>119.41000000000001</v>
      </c>
      <c r="F59" s="101">
        <v>25579.293740000005</v>
      </c>
    </row>
    <row r="60" spans="1:7" ht="19.7" x14ac:dyDescent="0.2">
      <c r="A60" s="90" t="s">
        <v>444</v>
      </c>
      <c r="B60" s="85" t="s">
        <v>445</v>
      </c>
      <c r="C60" s="85"/>
      <c r="D60" s="86"/>
      <c r="E60" s="87"/>
      <c r="F60" s="88">
        <v>508073.3</v>
      </c>
    </row>
    <row r="61" spans="1:7" ht="19.7" x14ac:dyDescent="0.2">
      <c r="A61" s="96" t="s">
        <v>446</v>
      </c>
      <c r="B61" s="80" t="s">
        <v>447</v>
      </c>
      <c r="C61" s="80"/>
      <c r="D61" s="81"/>
      <c r="E61" s="82"/>
      <c r="F61" s="83">
        <f>F62+F77</f>
        <v>1853898</v>
      </c>
    </row>
    <row r="62" spans="1:7" ht="19.7" x14ac:dyDescent="0.2">
      <c r="A62" s="90" t="s">
        <v>448</v>
      </c>
      <c r="B62" s="85" t="s">
        <v>449</v>
      </c>
      <c r="C62" s="85"/>
      <c r="D62" s="86"/>
      <c r="E62" s="87"/>
      <c r="F62" s="88">
        <f>SUM(F63:F76)</f>
        <v>1794425</v>
      </c>
    </row>
    <row r="63" spans="1:7" ht="19.7" x14ac:dyDescent="0.2">
      <c r="A63" s="97" t="s">
        <v>450</v>
      </c>
      <c r="B63" s="98" t="s">
        <v>451</v>
      </c>
      <c r="C63" s="98" t="s">
        <v>87</v>
      </c>
      <c r="D63" s="103">
        <v>1</v>
      </c>
      <c r="E63" s="100">
        <v>60800</v>
      </c>
      <c r="F63" s="106">
        <v>60800</v>
      </c>
    </row>
    <row r="64" spans="1:7" ht="19.7" x14ac:dyDescent="0.2">
      <c r="A64" s="97" t="s">
        <v>452</v>
      </c>
      <c r="B64" s="98" t="s">
        <v>453</v>
      </c>
      <c r="C64" s="98" t="s">
        <v>354</v>
      </c>
      <c r="D64" s="103">
        <v>1</v>
      </c>
      <c r="E64" s="100">
        <v>24000</v>
      </c>
      <c r="F64" s="106">
        <v>24000</v>
      </c>
    </row>
    <row r="65" spans="1:7" ht="20.25" customHeight="1" x14ac:dyDescent="0.2">
      <c r="A65" s="97" t="s">
        <v>454</v>
      </c>
      <c r="B65" s="98" t="s">
        <v>455</v>
      </c>
      <c r="C65" s="98" t="s">
        <v>386</v>
      </c>
      <c r="D65" s="103">
        <v>22</v>
      </c>
      <c r="E65" s="100">
        <v>22000</v>
      </c>
      <c r="F65" s="106">
        <v>484000</v>
      </c>
    </row>
    <row r="66" spans="1:7" ht="19.7" x14ac:dyDescent="0.2">
      <c r="A66" s="97" t="s">
        <v>456</v>
      </c>
      <c r="B66" s="98" t="s">
        <v>457</v>
      </c>
      <c r="C66" s="98" t="s">
        <v>354</v>
      </c>
      <c r="D66" s="103">
        <v>1</v>
      </c>
      <c r="E66" s="100">
        <v>7500</v>
      </c>
      <c r="F66" s="106">
        <v>7500</v>
      </c>
    </row>
    <row r="67" spans="1:7" ht="19.7" x14ac:dyDescent="0.2">
      <c r="A67" s="97" t="s">
        <v>458</v>
      </c>
      <c r="B67" s="98" t="s">
        <v>459</v>
      </c>
      <c r="C67" s="98" t="s">
        <v>354</v>
      </c>
      <c r="D67" s="103">
        <v>1</v>
      </c>
      <c r="E67" s="100">
        <v>20000</v>
      </c>
      <c r="F67" s="106">
        <v>20000</v>
      </c>
    </row>
    <row r="68" spans="1:7" ht="19.7" x14ac:dyDescent="0.2">
      <c r="A68" s="97" t="s">
        <v>460</v>
      </c>
      <c r="B68" s="98" t="s">
        <v>461</v>
      </c>
      <c r="C68" s="98" t="s">
        <v>354</v>
      </c>
      <c r="D68" s="103">
        <v>11</v>
      </c>
      <c r="E68" s="100">
        <v>4500</v>
      </c>
      <c r="F68" s="106">
        <v>49500</v>
      </c>
    </row>
    <row r="69" spans="1:7" ht="19.7" x14ac:dyDescent="0.2">
      <c r="A69" s="97" t="s">
        <v>462</v>
      </c>
      <c r="B69" s="98" t="s">
        <v>463</v>
      </c>
      <c r="C69" s="98" t="s">
        <v>386</v>
      </c>
      <c r="D69" s="103">
        <v>22</v>
      </c>
      <c r="E69" s="100">
        <v>2100</v>
      </c>
      <c r="F69" s="106">
        <v>46200</v>
      </c>
    </row>
    <row r="70" spans="1:7" ht="19.7" x14ac:dyDescent="0.2">
      <c r="A70" s="97" t="s">
        <v>464</v>
      </c>
      <c r="B70" s="98" t="s">
        <v>465</v>
      </c>
      <c r="C70" s="98" t="s">
        <v>386</v>
      </c>
      <c r="D70" s="103">
        <v>45</v>
      </c>
      <c r="E70" s="102">
        <v>20000</v>
      </c>
      <c r="F70" s="106">
        <v>900000</v>
      </c>
    </row>
    <row r="71" spans="1:7" ht="25.85" x14ac:dyDescent="0.2">
      <c r="A71" s="97" t="s">
        <v>466</v>
      </c>
      <c r="B71" s="134" t="s">
        <v>547</v>
      </c>
      <c r="C71" s="134" t="s">
        <v>87</v>
      </c>
      <c r="D71" s="135">
        <v>1</v>
      </c>
      <c r="E71" s="136">
        <v>48000</v>
      </c>
      <c r="F71" s="137">
        <v>48000</v>
      </c>
      <c r="G71" s="138" t="s">
        <v>548</v>
      </c>
    </row>
    <row r="72" spans="1:7" ht="19.7" x14ac:dyDescent="0.2">
      <c r="A72" s="97" t="s">
        <v>467</v>
      </c>
      <c r="B72" s="98" t="s">
        <v>468</v>
      </c>
      <c r="C72" s="98" t="s">
        <v>354</v>
      </c>
      <c r="D72" s="103">
        <v>2</v>
      </c>
      <c r="E72" s="102">
        <v>15000</v>
      </c>
      <c r="F72" s="106">
        <v>30000</v>
      </c>
    </row>
    <row r="73" spans="1:7" ht="25.85" x14ac:dyDescent="0.2">
      <c r="A73" s="97" t="s">
        <v>469</v>
      </c>
      <c r="B73" s="134" t="s">
        <v>470</v>
      </c>
      <c r="C73" s="134" t="s">
        <v>386</v>
      </c>
      <c r="D73" s="135">
        <v>15</v>
      </c>
      <c r="E73" s="136">
        <v>3000</v>
      </c>
      <c r="F73" s="137">
        <v>45000</v>
      </c>
      <c r="G73" s="138" t="s">
        <v>548</v>
      </c>
    </row>
    <row r="74" spans="1:7" ht="19.7" x14ac:dyDescent="0.2">
      <c r="A74" s="97" t="s">
        <v>471</v>
      </c>
      <c r="B74" s="98" t="s">
        <v>472</v>
      </c>
      <c r="C74" s="98" t="s">
        <v>386</v>
      </c>
      <c r="D74" s="103">
        <v>12</v>
      </c>
      <c r="E74" s="102">
        <v>3800</v>
      </c>
      <c r="F74" s="106">
        <v>45600</v>
      </c>
    </row>
    <row r="75" spans="1:7" ht="19.7" x14ac:dyDescent="0.2">
      <c r="A75" s="97" t="s">
        <v>473</v>
      </c>
      <c r="B75" s="98" t="s">
        <v>474</v>
      </c>
      <c r="C75" s="98" t="s">
        <v>354</v>
      </c>
      <c r="D75" s="103">
        <v>51</v>
      </c>
      <c r="E75" s="102">
        <v>450</v>
      </c>
      <c r="F75" s="106">
        <v>22950</v>
      </c>
    </row>
    <row r="76" spans="1:7" ht="19.7" x14ac:dyDescent="0.2">
      <c r="A76" s="97" t="s">
        <v>475</v>
      </c>
      <c r="B76" s="98" t="s">
        <v>476</v>
      </c>
      <c r="C76" s="98" t="s">
        <v>386</v>
      </c>
      <c r="D76" s="103">
        <v>10</v>
      </c>
      <c r="E76" s="102">
        <v>1087.5</v>
      </c>
      <c r="F76" s="106">
        <v>10875</v>
      </c>
    </row>
    <row r="77" spans="1:7" ht="19.7" x14ac:dyDescent="0.2">
      <c r="A77" s="90" t="s">
        <v>477</v>
      </c>
      <c r="B77" s="85" t="s">
        <v>478</v>
      </c>
      <c r="C77" s="85"/>
      <c r="D77" s="86"/>
      <c r="E77" s="87"/>
      <c r="F77" s="88">
        <f>SUM(F78:F80)</f>
        <v>59473</v>
      </c>
    </row>
    <row r="78" spans="1:7" ht="19.7" x14ac:dyDescent="0.2">
      <c r="A78" s="97" t="s">
        <v>479</v>
      </c>
      <c r="B78" s="98" t="s">
        <v>480</v>
      </c>
      <c r="C78" s="98" t="s">
        <v>386</v>
      </c>
      <c r="D78" s="103">
        <v>10</v>
      </c>
      <c r="E78" s="100">
        <v>3000</v>
      </c>
      <c r="F78" s="106">
        <v>30000</v>
      </c>
    </row>
    <row r="79" spans="1:7" ht="19.7" x14ac:dyDescent="0.2">
      <c r="A79" s="97" t="s">
        <v>452</v>
      </c>
      <c r="B79" s="98" t="s">
        <v>481</v>
      </c>
      <c r="C79" s="98" t="s">
        <v>91</v>
      </c>
      <c r="D79" s="103">
        <v>514.04</v>
      </c>
      <c r="E79" s="100">
        <v>50</v>
      </c>
      <c r="F79" s="106">
        <v>25702</v>
      </c>
    </row>
    <row r="80" spans="1:7" ht="19.7" x14ac:dyDescent="0.2">
      <c r="A80" s="97" t="s">
        <v>454</v>
      </c>
      <c r="B80" s="98" t="s">
        <v>482</v>
      </c>
      <c r="C80" s="98" t="s">
        <v>95</v>
      </c>
      <c r="D80" s="103">
        <v>150.84</v>
      </c>
      <c r="E80" s="100">
        <v>25</v>
      </c>
      <c r="F80" s="106">
        <v>3771</v>
      </c>
    </row>
    <row r="81" spans="1:6" ht="20.399999999999999" thickBot="1" x14ac:dyDescent="0.25">
      <c r="A81" s="168" t="s">
        <v>483</v>
      </c>
      <c r="B81" s="169"/>
      <c r="C81" s="169"/>
      <c r="D81" s="169"/>
      <c r="E81" s="170"/>
      <c r="F81" s="107">
        <f>F24+F14</f>
        <v>7514912.7778503355</v>
      </c>
    </row>
  </sheetData>
  <mergeCells count="7">
    <mergeCell ref="A81:E81"/>
    <mergeCell ref="A1:F5"/>
    <mergeCell ref="B7:F7"/>
    <mergeCell ref="B8:F8"/>
    <mergeCell ref="B9:F9"/>
    <mergeCell ref="B10:F10"/>
    <mergeCell ref="A12:F12"/>
  </mergeCells>
  <phoneticPr fontId="8" type="noConversion"/>
  <pageMargins left="0.511811024" right="0.511811024" top="0.78740157499999996" bottom="0.78740157499999996" header="0.31496062000000002" footer="0.31496062000000002"/>
  <pageSetup paperSize="9" scale="4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pageSetUpPr fitToPage="1"/>
  </sheetPr>
  <dimension ref="A1:J208"/>
  <sheetViews>
    <sheetView topLeftCell="B25" zoomScale="83" zoomScaleNormal="83" workbookViewId="0">
      <selection activeCell="C27" sqref="C27"/>
    </sheetView>
  </sheetViews>
  <sheetFormatPr defaultColWidth="9.125" defaultRowHeight="14.3" outlineLevelRow="2" x14ac:dyDescent="0.2"/>
  <cols>
    <col min="1" max="1" width="12.25" style="2" customWidth="1"/>
    <col min="2" max="2" width="56.875" style="1" bestFit="1" customWidth="1"/>
    <col min="3" max="3" width="15.875" style="41" bestFit="1" customWidth="1"/>
    <col min="4" max="4" width="16" style="41" bestFit="1" customWidth="1"/>
    <col min="5" max="5" width="18.875" style="3" bestFit="1" customWidth="1"/>
    <col min="6" max="6" width="63" style="1" customWidth="1"/>
    <col min="7" max="7" width="33.125" style="1" customWidth="1"/>
    <col min="8" max="8" width="16.625" style="1" bestFit="1" customWidth="1"/>
    <col min="9" max="9" width="11.625" style="1" bestFit="1" customWidth="1"/>
    <col min="10" max="10" width="12.75" style="1" bestFit="1" customWidth="1"/>
    <col min="11" max="16384" width="9.125" style="1"/>
  </cols>
  <sheetData>
    <row r="1" spans="1:6" ht="34.5" customHeight="1" thickBot="1" x14ac:dyDescent="0.25">
      <c r="A1" s="11" t="s">
        <v>15</v>
      </c>
      <c r="B1" s="12" t="s">
        <v>16</v>
      </c>
      <c r="C1" s="13" t="s">
        <v>88</v>
      </c>
      <c r="D1" s="13" t="s">
        <v>86</v>
      </c>
      <c r="E1" s="13" t="s">
        <v>3</v>
      </c>
      <c r="F1" s="13" t="s">
        <v>230</v>
      </c>
    </row>
    <row r="2" spans="1:6" ht="15.8" customHeight="1" thickBot="1" x14ac:dyDescent="0.25">
      <c r="A2" s="18">
        <v>1</v>
      </c>
      <c r="B2" s="19" t="s">
        <v>10</v>
      </c>
      <c r="C2" s="32"/>
      <c r="D2" s="32"/>
      <c r="E2" s="20">
        <f>'CUSTOS INDIRETOS'!F81</f>
        <v>7514912.7778503355</v>
      </c>
      <c r="F2" s="108">
        <f>E2/$E$187</f>
        <v>0.11527965002061287</v>
      </c>
    </row>
    <row r="3" spans="1:6" ht="15.8" customHeight="1" outlineLevel="1" x14ac:dyDescent="0.2">
      <c r="A3" s="24" t="s">
        <v>171</v>
      </c>
      <c r="B3" s="25" t="s">
        <v>10</v>
      </c>
      <c r="C3" s="37"/>
      <c r="D3" s="37"/>
      <c r="E3" s="26">
        <f>E2</f>
        <v>7514912.7778503355</v>
      </c>
      <c r="F3" s="26"/>
    </row>
    <row r="4" spans="1:6" ht="15.8" customHeight="1" outlineLevel="2" thickBot="1" x14ac:dyDescent="0.25">
      <c r="A4" s="15" t="s">
        <v>172</v>
      </c>
      <c r="B4" s="16" t="s">
        <v>173</v>
      </c>
      <c r="C4" s="34">
        <v>1</v>
      </c>
      <c r="D4" s="34" t="s">
        <v>87</v>
      </c>
      <c r="E4" s="17">
        <f>E3</f>
        <v>7514912.7778503355</v>
      </c>
      <c r="F4" s="53"/>
    </row>
    <row r="5" spans="1:6" ht="15.8" customHeight="1" thickBot="1" x14ac:dyDescent="0.25">
      <c r="A5" s="21">
        <v>2</v>
      </c>
      <c r="B5" s="22" t="s">
        <v>11</v>
      </c>
      <c r="C5" s="33"/>
      <c r="D5" s="33"/>
      <c r="E5" s="23">
        <f>E6</f>
        <v>334397.12</v>
      </c>
      <c r="F5" s="108">
        <f>E5/$E$187</f>
        <v>5.1296913352237199E-3</v>
      </c>
    </row>
    <row r="6" spans="1:6" ht="15.8" customHeight="1" outlineLevel="1" x14ac:dyDescent="0.2">
      <c r="A6" s="24" t="s">
        <v>26</v>
      </c>
      <c r="B6" s="25" t="s">
        <v>11</v>
      </c>
      <c r="C6" s="37"/>
      <c r="D6" s="37"/>
      <c r="E6" s="26">
        <f>SUM(E7:E12)</f>
        <v>334397.12</v>
      </c>
      <c r="F6" s="26"/>
    </row>
    <row r="7" spans="1:6" ht="15.8" customHeight="1" outlineLevel="1" x14ac:dyDescent="0.2">
      <c r="A7" s="15" t="s">
        <v>113</v>
      </c>
      <c r="B7" s="16" t="s">
        <v>239</v>
      </c>
      <c r="C7" s="34">
        <v>10</v>
      </c>
      <c r="D7" s="34" t="s">
        <v>240</v>
      </c>
      <c r="E7" s="17">
        <f>'[4]Movimentação de Terra'!$I$22</f>
        <v>5500</v>
      </c>
      <c r="F7" s="53"/>
    </row>
    <row r="8" spans="1:6" ht="15.8" customHeight="1" outlineLevel="2" x14ac:dyDescent="0.2">
      <c r="A8" s="15" t="s">
        <v>114</v>
      </c>
      <c r="B8" s="5" t="s">
        <v>17</v>
      </c>
      <c r="C8" s="35">
        <v>512.02</v>
      </c>
      <c r="D8" s="35" t="s">
        <v>90</v>
      </c>
      <c r="E8" s="6">
        <f>'[4]Movimentação de Terra'!$I$29</f>
        <v>134618</v>
      </c>
      <c r="F8" s="35"/>
    </row>
    <row r="9" spans="1:6" ht="15.8" customHeight="1" outlineLevel="2" x14ac:dyDescent="0.2">
      <c r="A9" s="15" t="s">
        <v>115</v>
      </c>
      <c r="B9" s="5" t="s">
        <v>18</v>
      </c>
      <c r="C9" s="35">
        <v>118.16</v>
      </c>
      <c r="D9" s="35" t="s">
        <v>90</v>
      </c>
      <c r="E9" s="6">
        <f>'[4]Movimentação de Terra'!$I$30</f>
        <v>13592</v>
      </c>
      <c r="F9" s="35"/>
    </row>
    <row r="10" spans="1:6" ht="15.8" customHeight="1" outlineLevel="2" x14ac:dyDescent="0.2">
      <c r="A10" s="15" t="s">
        <v>116</v>
      </c>
      <c r="B10" s="5" t="s">
        <v>223</v>
      </c>
      <c r="C10" s="35">
        <v>3014.01</v>
      </c>
      <c r="D10" s="35" t="s">
        <v>90</v>
      </c>
      <c r="E10" s="6">
        <f>'[4]Movimentação de Terra'!$I$31</f>
        <v>131906.25</v>
      </c>
      <c r="F10" s="35"/>
    </row>
    <row r="11" spans="1:6" ht="15.8" customHeight="1" outlineLevel="2" x14ac:dyDescent="0.2">
      <c r="A11" s="15" t="s">
        <v>117</v>
      </c>
      <c r="B11" s="27" t="s">
        <v>505</v>
      </c>
      <c r="C11" s="36">
        <v>640.03</v>
      </c>
      <c r="D11" s="35" t="s">
        <v>90</v>
      </c>
      <c r="E11" s="28">
        <f>'[4]Movimentação de Terra'!$I$32</f>
        <v>19200.87</v>
      </c>
      <c r="F11" s="35"/>
    </row>
    <row r="12" spans="1:6" ht="15.8" customHeight="1" outlineLevel="2" thickBot="1" x14ac:dyDescent="0.25">
      <c r="A12" s="15" t="s">
        <v>504</v>
      </c>
      <c r="B12" s="27" t="s">
        <v>19</v>
      </c>
      <c r="C12" s="36">
        <v>1035.52</v>
      </c>
      <c r="D12" s="36" t="s">
        <v>91</v>
      </c>
      <c r="E12" s="28">
        <f>'[4]Movimentação de Terra'!$I$39</f>
        <v>29580</v>
      </c>
      <c r="F12" s="35"/>
    </row>
    <row r="13" spans="1:6" ht="15.8" customHeight="1" thickBot="1" x14ac:dyDescent="0.25">
      <c r="A13" s="21">
        <v>3</v>
      </c>
      <c r="B13" s="22" t="s">
        <v>4</v>
      </c>
      <c r="C13" s="33"/>
      <c r="D13" s="33"/>
      <c r="E13" s="23">
        <f>E14+E20</f>
        <v>2808959.16</v>
      </c>
      <c r="F13" s="108">
        <f>E13/$E$187</f>
        <v>4.3089765438318668E-2</v>
      </c>
    </row>
    <row r="14" spans="1:6" ht="15.8" customHeight="1" outlineLevel="1" x14ac:dyDescent="0.2">
      <c r="A14" s="24" t="s">
        <v>92</v>
      </c>
      <c r="B14" s="25" t="s">
        <v>97</v>
      </c>
      <c r="C14" s="37"/>
      <c r="D14" s="37"/>
      <c r="E14" s="26">
        <f>SUM(E15:E19)</f>
        <v>1874063.42</v>
      </c>
      <c r="F14" s="26"/>
    </row>
    <row r="15" spans="1:6" ht="15.8" customHeight="1" outlineLevel="2" x14ac:dyDescent="0.2">
      <c r="A15" s="15" t="s">
        <v>98</v>
      </c>
      <c r="B15" s="16" t="s">
        <v>241</v>
      </c>
      <c r="C15" s="34">
        <v>608</v>
      </c>
      <c r="D15" s="34" t="s">
        <v>95</v>
      </c>
      <c r="E15" s="17">
        <f>[4]Infraestrutura!$I$17</f>
        <v>66880</v>
      </c>
      <c r="F15" s="53" t="s">
        <v>506</v>
      </c>
    </row>
    <row r="16" spans="1:6" ht="15.8" customHeight="1" outlineLevel="2" x14ac:dyDescent="0.2">
      <c r="A16" s="15" t="s">
        <v>231</v>
      </c>
      <c r="B16" s="16" t="s">
        <v>242</v>
      </c>
      <c r="C16" s="35">
        <v>4371</v>
      </c>
      <c r="D16" s="35" t="s">
        <v>95</v>
      </c>
      <c r="E16" s="6">
        <f>[4]Infraestrutura!$I$19</f>
        <v>502986.42</v>
      </c>
      <c r="F16" s="53" t="s">
        <v>507</v>
      </c>
    </row>
    <row r="17" spans="1:10" ht="15.8" customHeight="1" outlineLevel="2" x14ac:dyDescent="0.2">
      <c r="A17" s="15" t="s">
        <v>232</v>
      </c>
      <c r="B17" s="5" t="s">
        <v>93</v>
      </c>
      <c r="C17" s="35">
        <v>20729</v>
      </c>
      <c r="D17" s="35" t="s">
        <v>96</v>
      </c>
      <c r="E17" s="6">
        <f>[4]Infraestrutura!$I$20</f>
        <v>176197</v>
      </c>
      <c r="F17" s="53" t="s">
        <v>307</v>
      </c>
    </row>
    <row r="18" spans="1:10" ht="15.8" customHeight="1" outlineLevel="2" x14ac:dyDescent="0.2">
      <c r="A18" s="15" t="s">
        <v>233</v>
      </c>
      <c r="B18" s="5" t="s">
        <v>25</v>
      </c>
      <c r="C18" s="35">
        <v>1675</v>
      </c>
      <c r="D18" s="35" t="s">
        <v>90</v>
      </c>
      <c r="E18" s="6">
        <f>[4]Infraestrutura!$I$21</f>
        <v>1072000</v>
      </c>
      <c r="F18" s="53" t="s">
        <v>541</v>
      </c>
    </row>
    <row r="19" spans="1:10" ht="15.8" customHeight="1" outlineLevel="2" thickBot="1" x14ac:dyDescent="0.25">
      <c r="A19" s="15" t="s">
        <v>234</v>
      </c>
      <c r="B19" s="46" t="s">
        <v>243</v>
      </c>
      <c r="C19" s="54">
        <v>160</v>
      </c>
      <c r="D19" s="54" t="s">
        <v>244</v>
      </c>
      <c r="E19" s="47">
        <f>[4]Infraestrutura!$I$22</f>
        <v>56000</v>
      </c>
      <c r="F19" s="55"/>
    </row>
    <row r="20" spans="1:10" ht="15.8" customHeight="1" outlineLevel="1" x14ac:dyDescent="0.2">
      <c r="A20" s="29" t="s">
        <v>94</v>
      </c>
      <c r="B20" s="30" t="s">
        <v>102</v>
      </c>
      <c r="C20" s="38"/>
      <c r="D20" s="38"/>
      <c r="E20" s="31">
        <f>SUM(E21:E24)</f>
        <v>934895.74</v>
      </c>
      <c r="F20" s="26"/>
    </row>
    <row r="21" spans="1:10" ht="28.55" outlineLevel="2" x14ac:dyDescent="0.2">
      <c r="A21" s="42" t="s">
        <v>99</v>
      </c>
      <c r="B21" s="43" t="s">
        <v>103</v>
      </c>
      <c r="C21" s="44">
        <v>983.74</v>
      </c>
      <c r="D21" s="44" t="s">
        <v>104</v>
      </c>
      <c r="E21" s="45">
        <f>[4]Infraestrutura!$I$29</f>
        <v>41809.120000000003</v>
      </c>
      <c r="F21" s="53"/>
    </row>
    <row r="22" spans="1:10" ht="15.8" customHeight="1" outlineLevel="2" x14ac:dyDescent="0.2">
      <c r="A22" s="4" t="s">
        <v>100</v>
      </c>
      <c r="B22" s="5" t="s">
        <v>93</v>
      </c>
      <c r="C22" s="35">
        <v>39386.400000000001</v>
      </c>
      <c r="D22" s="35" t="s">
        <v>96</v>
      </c>
      <c r="E22" s="6">
        <f>[4]Infraestrutura!$I$30</f>
        <v>334784.40000000002</v>
      </c>
      <c r="F22" s="53" t="s">
        <v>307</v>
      </c>
    </row>
    <row r="23" spans="1:10" ht="15.8" customHeight="1" outlineLevel="2" x14ac:dyDescent="0.2">
      <c r="A23" s="4" t="s">
        <v>101</v>
      </c>
      <c r="B23" s="5" t="s">
        <v>25</v>
      </c>
      <c r="C23" s="35">
        <v>492.33</v>
      </c>
      <c r="D23" s="35" t="s">
        <v>89</v>
      </c>
      <c r="E23" s="6">
        <f>[4]Infraestrutura!$I$31</f>
        <v>196439.67</v>
      </c>
      <c r="F23" s="53" t="s">
        <v>509</v>
      </c>
    </row>
    <row r="24" spans="1:10" ht="15.8" customHeight="1" outlineLevel="2" thickBot="1" x14ac:dyDescent="0.25">
      <c r="A24" s="4" t="s">
        <v>208</v>
      </c>
      <c r="B24" s="5" t="s">
        <v>209</v>
      </c>
      <c r="C24" s="35">
        <v>984.66</v>
      </c>
      <c r="D24" s="35" t="s">
        <v>87</v>
      </c>
      <c r="E24" s="6">
        <f>[4]Infraestrutura!$I$32</f>
        <v>361862.55</v>
      </c>
      <c r="F24" s="53" t="s">
        <v>245</v>
      </c>
    </row>
    <row r="25" spans="1:10" ht="15.8" customHeight="1" outlineLevel="2" thickBot="1" x14ac:dyDescent="0.25">
      <c r="A25" s="21">
        <v>5</v>
      </c>
      <c r="B25" s="22" t="s">
        <v>5</v>
      </c>
      <c r="C25" s="33"/>
      <c r="D25" s="33"/>
      <c r="E25" s="23">
        <f>E26+E30+E33+E36+E38</f>
        <v>18837580.861000001</v>
      </c>
      <c r="F25" s="108">
        <f>E25/$E$187</f>
        <v>0.28897071637234167</v>
      </c>
    </row>
    <row r="26" spans="1:10" ht="15.8" customHeight="1" outlineLevel="2" x14ac:dyDescent="0.2">
      <c r="A26" s="29" t="s">
        <v>27</v>
      </c>
      <c r="B26" s="30" t="s">
        <v>118</v>
      </c>
      <c r="C26" s="38"/>
      <c r="D26" s="38"/>
      <c r="E26" s="31">
        <f>E27+E28+E29</f>
        <v>5572992.0810000002</v>
      </c>
      <c r="F26" s="26"/>
    </row>
    <row r="27" spans="1:10" ht="196" customHeight="1" outlineLevel="2" x14ac:dyDescent="0.2">
      <c r="A27" s="4" t="s">
        <v>123</v>
      </c>
      <c r="B27" s="116" t="s">
        <v>20</v>
      </c>
      <c r="C27" s="117">
        <v>14500</v>
      </c>
      <c r="D27" s="117" t="s">
        <v>104</v>
      </c>
      <c r="E27" s="118" cm="1">
        <f t="array" ref="E27:F27">[5]Supraestrutura!$I$15:$J$15</f>
        <v>4970913.84</v>
      </c>
      <c r="F27" s="119" t="e">
        <v>#REF!</v>
      </c>
      <c r="G27" s="120" t="s">
        <v>551</v>
      </c>
      <c r="H27" s="122">
        <v>1264000</v>
      </c>
    </row>
    <row r="28" spans="1:10" ht="28.55" outlineLevel="2" x14ac:dyDescent="0.2">
      <c r="A28" s="4" t="s">
        <v>125</v>
      </c>
      <c r="B28" s="116" t="s">
        <v>21</v>
      </c>
      <c r="C28" s="117">
        <v>36290.949999999997</v>
      </c>
      <c r="D28" s="117" t="s">
        <v>104</v>
      </c>
      <c r="E28" s="118" cm="1">
        <f t="array" ref="E28:F28">[5]Supraestrutura!$I$16:$J$16</f>
        <v>489927.82499999995</v>
      </c>
      <c r="F28" s="119" t="e">
        <v>#REF!</v>
      </c>
      <c r="G28" s="121" t="s">
        <v>550</v>
      </c>
      <c r="H28" s="122" t="s">
        <v>557</v>
      </c>
    </row>
    <row r="29" spans="1:10" ht="29.25" outlineLevel="2" thickBot="1" x14ac:dyDescent="0.25">
      <c r="A29" s="4" t="s">
        <v>491</v>
      </c>
      <c r="B29" s="123" t="s">
        <v>492</v>
      </c>
      <c r="C29" s="124">
        <v>9117.92</v>
      </c>
      <c r="D29" s="124" t="s">
        <v>104</v>
      </c>
      <c r="E29" s="125">
        <f>[5]Supraestrutura!$I$19</f>
        <v>112150.41600000001</v>
      </c>
      <c r="F29" s="126" t="s">
        <v>496</v>
      </c>
      <c r="G29" s="121" t="s">
        <v>552</v>
      </c>
      <c r="H29" s="121" t="s">
        <v>557</v>
      </c>
    </row>
    <row r="30" spans="1:10" ht="15.8" customHeight="1" outlineLevel="2" x14ac:dyDescent="0.2">
      <c r="A30" s="29" t="s">
        <v>28</v>
      </c>
      <c r="B30" s="127" t="s">
        <v>119</v>
      </c>
      <c r="C30" s="128"/>
      <c r="D30" s="128"/>
      <c r="E30" s="129">
        <f>E31+E32</f>
        <v>638866.85</v>
      </c>
      <c r="F30" s="130"/>
      <c r="G30" s="121"/>
      <c r="H30" s="121"/>
    </row>
    <row r="31" spans="1:10" ht="15.8" customHeight="1" outlineLevel="2" x14ac:dyDescent="0.2">
      <c r="A31" s="4" t="s">
        <v>124</v>
      </c>
      <c r="B31" s="116" t="s">
        <v>22</v>
      </c>
      <c r="C31" s="124">
        <v>9117.92</v>
      </c>
      <c r="D31" s="117" t="s">
        <v>104</v>
      </c>
      <c r="E31" s="118">
        <f>[4]Supraestrutura!$I$17</f>
        <v>322383.59999999998</v>
      </c>
      <c r="F31" s="119" t="s">
        <v>559</v>
      </c>
      <c r="G31" s="131" t="s">
        <v>553</v>
      </c>
      <c r="H31" s="121"/>
      <c r="I31" s="110"/>
    </row>
    <row r="32" spans="1:10" ht="15.8" customHeight="1" outlineLevel="2" thickBot="1" x14ac:dyDescent="0.25">
      <c r="A32" s="4" t="s">
        <v>175</v>
      </c>
      <c r="B32" s="116" t="s">
        <v>23</v>
      </c>
      <c r="C32" s="117">
        <v>5188.25</v>
      </c>
      <c r="D32" s="117" t="s">
        <v>104</v>
      </c>
      <c r="E32" s="118">
        <f>[4]Supraestrutura!$I$18</f>
        <v>316483.25</v>
      </c>
      <c r="F32" s="119" t="s">
        <v>559</v>
      </c>
      <c r="G32" s="131" t="s">
        <v>558</v>
      </c>
      <c r="H32" s="121"/>
      <c r="I32" s="110"/>
      <c r="J32" s="115">
        <v>3822.31</v>
      </c>
    </row>
    <row r="33" spans="1:10" ht="15.8" customHeight="1" outlineLevel="2" x14ac:dyDescent="0.2">
      <c r="A33" s="29" t="s">
        <v>176</v>
      </c>
      <c r="B33" s="127" t="s">
        <v>120</v>
      </c>
      <c r="C33" s="128"/>
      <c r="D33" s="128"/>
      <c r="E33" s="129">
        <f>E34+E35</f>
        <v>5113896.41</v>
      </c>
      <c r="F33" s="130"/>
      <c r="G33" s="121"/>
      <c r="H33" s="121"/>
      <c r="J33" s="1">
        <v>484</v>
      </c>
    </row>
    <row r="34" spans="1:10" ht="28.55" outlineLevel="2" x14ac:dyDescent="0.2">
      <c r="A34" s="4" t="s">
        <v>177</v>
      </c>
      <c r="B34" s="116" t="s">
        <v>24</v>
      </c>
      <c r="C34" s="117">
        <v>550544</v>
      </c>
      <c r="D34" s="117" t="s">
        <v>96</v>
      </c>
      <c r="E34" s="118">
        <f>[5]Supraestrutura!$I$23</f>
        <v>4679624</v>
      </c>
      <c r="F34" s="119" t="s">
        <v>508</v>
      </c>
      <c r="G34" s="131" t="s">
        <v>554</v>
      </c>
      <c r="H34" s="121"/>
      <c r="J34" s="1">
        <f>J33/J32</f>
        <v>0.12662499901891788</v>
      </c>
    </row>
    <row r="35" spans="1:10" ht="15.8" customHeight="1" outlineLevel="2" thickBot="1" x14ac:dyDescent="0.25">
      <c r="A35" s="4" t="s">
        <v>489</v>
      </c>
      <c r="B35" s="123" t="s">
        <v>493</v>
      </c>
      <c r="C35" s="124">
        <f>25941.8+9364.9</f>
        <v>35306.699999999997</v>
      </c>
      <c r="D35" s="124" t="s">
        <v>96</v>
      </c>
      <c r="E35" s="125">
        <f>[6]Supraestrutura!$I$20+[6]Supraestrutura!$I$22</f>
        <v>434272.41000000003</v>
      </c>
      <c r="F35" s="126" t="s">
        <v>497</v>
      </c>
      <c r="G35" s="131" t="s">
        <v>555</v>
      </c>
      <c r="H35" s="121"/>
      <c r="J35" s="1">
        <f>J32/J33</f>
        <v>7.8973347107438014</v>
      </c>
    </row>
    <row r="36" spans="1:10" ht="15.8" customHeight="1" outlineLevel="2" x14ac:dyDescent="0.2">
      <c r="A36" s="29" t="s">
        <v>178</v>
      </c>
      <c r="B36" s="127" t="s">
        <v>121</v>
      </c>
      <c r="C36" s="128"/>
      <c r="D36" s="128"/>
      <c r="E36" s="129">
        <f>E37</f>
        <v>3748686.48</v>
      </c>
      <c r="F36" s="130"/>
      <c r="G36" s="121"/>
      <c r="H36" s="121"/>
    </row>
    <row r="37" spans="1:10" ht="15.8" customHeight="1" outlineLevel="2" thickBot="1" x14ac:dyDescent="0.25">
      <c r="A37" s="4" t="s">
        <v>179</v>
      </c>
      <c r="B37" s="116" t="s">
        <v>25</v>
      </c>
      <c r="C37" s="117">
        <v>5409.36</v>
      </c>
      <c r="D37" s="117" t="s">
        <v>89</v>
      </c>
      <c r="E37" s="118">
        <f>[5]Supraestrutura!$I$24</f>
        <v>3748686.48</v>
      </c>
      <c r="F37" s="119" t="s">
        <v>509</v>
      </c>
      <c r="G37" s="121" t="s">
        <v>556</v>
      </c>
      <c r="H37" s="121"/>
    </row>
    <row r="38" spans="1:10" ht="15.8" customHeight="1" outlineLevel="2" x14ac:dyDescent="0.2">
      <c r="A38" s="29" t="s">
        <v>210</v>
      </c>
      <c r="B38" s="127" t="s">
        <v>122</v>
      </c>
      <c r="C38" s="128"/>
      <c r="D38" s="128"/>
      <c r="E38" s="129">
        <f>E39+E40</f>
        <v>3763139.0399999996</v>
      </c>
      <c r="F38" s="130"/>
      <c r="G38" s="121"/>
      <c r="H38" s="121"/>
    </row>
    <row r="39" spans="1:10" ht="15.8" customHeight="1" outlineLevel="2" x14ac:dyDescent="0.2">
      <c r="A39" s="4" t="s">
        <v>322</v>
      </c>
      <c r="B39" s="116" t="s">
        <v>211</v>
      </c>
      <c r="C39" s="117">
        <v>14516.38</v>
      </c>
      <c r="D39" s="117" t="s">
        <v>104</v>
      </c>
      <c r="E39" s="118">
        <f>[6]Supraestrutura!$I$25</f>
        <v>3511139.0399999996</v>
      </c>
      <c r="F39" s="119" t="s">
        <v>323</v>
      </c>
      <c r="G39" s="121" t="s">
        <v>556</v>
      </c>
      <c r="H39" s="121"/>
    </row>
    <row r="40" spans="1:10" ht="15.8" customHeight="1" outlineLevel="2" thickBot="1" x14ac:dyDescent="0.25">
      <c r="A40" s="4" t="s">
        <v>490</v>
      </c>
      <c r="B40" s="123" t="s">
        <v>494</v>
      </c>
      <c r="C40" s="124">
        <v>28</v>
      </c>
      <c r="D40" s="124" t="s">
        <v>244</v>
      </c>
      <c r="E40" s="125">
        <f>[4]Supraestrutura!$I$21</f>
        <v>252000</v>
      </c>
      <c r="F40" s="126" t="s">
        <v>495</v>
      </c>
      <c r="G40" s="121" t="s">
        <v>556</v>
      </c>
      <c r="H40" s="121"/>
    </row>
    <row r="41" spans="1:10" ht="15.8" customHeight="1" x14ac:dyDescent="0.2">
      <c r="A41" s="21">
        <v>6</v>
      </c>
      <c r="B41" s="22" t="s">
        <v>12</v>
      </c>
      <c r="C41" s="33"/>
      <c r="D41" s="33"/>
      <c r="E41" s="23">
        <f>E42</f>
        <v>3060534.3637843644</v>
      </c>
      <c r="F41" s="108">
        <f>E41/$E$187</f>
        <v>4.6948958792046698E-2</v>
      </c>
    </row>
    <row r="42" spans="1:10" ht="15.8" customHeight="1" outlineLevel="1" x14ac:dyDescent="0.2">
      <c r="A42" s="29" t="s">
        <v>29</v>
      </c>
      <c r="B42" s="30" t="s">
        <v>12</v>
      </c>
      <c r="C42" s="38"/>
      <c r="D42" s="38"/>
      <c r="E42" s="31">
        <f>SUM(E43:E56)</f>
        <v>3060534.3637843644</v>
      </c>
      <c r="F42" s="31"/>
    </row>
    <row r="43" spans="1:10" ht="17" customHeight="1" outlineLevel="2" x14ac:dyDescent="0.2">
      <c r="A43" s="7" t="s">
        <v>43</v>
      </c>
      <c r="B43" s="5" t="s">
        <v>247</v>
      </c>
      <c r="C43" s="35">
        <v>4136.1099999999997</v>
      </c>
      <c r="D43" s="35" t="s">
        <v>104</v>
      </c>
      <c r="E43" s="6">
        <f>[4]Alvenaria!$I$15</f>
        <v>206805.49999999997</v>
      </c>
      <c r="F43" s="53" t="s">
        <v>324</v>
      </c>
    </row>
    <row r="44" spans="1:10" ht="15.8" customHeight="1" outlineLevel="2" x14ac:dyDescent="0.2">
      <c r="A44" s="7" t="s">
        <v>44</v>
      </c>
      <c r="B44" s="5" t="s">
        <v>248</v>
      </c>
      <c r="C44" s="35">
        <v>723.12022193585346</v>
      </c>
      <c r="D44" s="35" t="s">
        <v>104</v>
      </c>
      <c r="E44" s="6">
        <f>[4]Alvenaria!$I$16</f>
        <v>36156.011096792674</v>
      </c>
      <c r="F44" s="53" t="s">
        <v>324</v>
      </c>
    </row>
    <row r="45" spans="1:10" ht="15.8" customHeight="1" outlineLevel="2" x14ac:dyDescent="0.2">
      <c r="A45" s="7" t="s">
        <v>45</v>
      </c>
      <c r="B45" s="5" t="s">
        <v>510</v>
      </c>
      <c r="C45" s="35">
        <v>614.01044243986257</v>
      </c>
      <c r="D45" s="35" t="s">
        <v>104</v>
      </c>
      <c r="E45" s="6">
        <f>[4]Alvenaria!$I$17</f>
        <v>135082.29733676976</v>
      </c>
      <c r="F45" s="53" t="s">
        <v>524</v>
      </c>
    </row>
    <row r="46" spans="1:10" ht="15.8" customHeight="1" outlineLevel="2" x14ac:dyDescent="0.2">
      <c r="A46" s="7" t="s">
        <v>46</v>
      </c>
      <c r="B46" s="5" t="s">
        <v>250</v>
      </c>
      <c r="C46" s="35">
        <v>5752.1419999999998</v>
      </c>
      <c r="D46" s="35" t="s">
        <v>104</v>
      </c>
      <c r="E46" s="6">
        <f>[4]Alvenaria!$I$18</f>
        <v>287607.09999999998</v>
      </c>
      <c r="F46" s="53" t="s">
        <v>324</v>
      </c>
    </row>
    <row r="47" spans="1:10" ht="15.8" customHeight="1" outlineLevel="2" x14ac:dyDescent="0.2">
      <c r="A47" s="7" t="s">
        <v>235</v>
      </c>
      <c r="B47" s="5" t="s">
        <v>511</v>
      </c>
      <c r="C47" s="35">
        <v>6040.4430412371148</v>
      </c>
      <c r="D47" s="35" t="s">
        <v>104</v>
      </c>
      <c r="E47" s="6">
        <f>[4]Alvenaria!$I$19</f>
        <v>1328897.4690721652</v>
      </c>
      <c r="F47" s="53" t="s">
        <v>524</v>
      </c>
    </row>
    <row r="48" spans="1:10" ht="15.8" customHeight="1" outlineLevel="2" x14ac:dyDescent="0.2">
      <c r="A48" s="7" t="s">
        <v>252</v>
      </c>
      <c r="B48" s="5" t="s">
        <v>512</v>
      </c>
      <c r="C48" s="35">
        <v>490.66552119129443</v>
      </c>
      <c r="D48" s="35" t="s">
        <v>104</v>
      </c>
      <c r="E48" s="6">
        <f>[4]Alvenaria!$I$20</f>
        <v>92245.117983963355</v>
      </c>
      <c r="F48" s="53" t="s">
        <v>324</v>
      </c>
    </row>
    <row r="49" spans="1:6" ht="15.8" customHeight="1" outlineLevel="2" x14ac:dyDescent="0.2">
      <c r="A49" s="7" t="s">
        <v>253</v>
      </c>
      <c r="B49" s="5" t="s">
        <v>249</v>
      </c>
      <c r="C49" s="35">
        <v>288.14470074455903</v>
      </c>
      <c r="D49" s="35" t="s">
        <v>104</v>
      </c>
      <c r="E49" s="6">
        <f>[4]Alvenaria!$I$21</f>
        <v>14407.235037227951</v>
      </c>
      <c r="F49" s="53" t="s">
        <v>324</v>
      </c>
    </row>
    <row r="50" spans="1:6" ht="15.8" customHeight="1" outlineLevel="2" x14ac:dyDescent="0.2">
      <c r="A50" s="7" t="s">
        <v>254</v>
      </c>
      <c r="B50" s="5" t="s">
        <v>513</v>
      </c>
      <c r="C50" s="35">
        <v>304.95387886597945</v>
      </c>
      <c r="D50" s="35" t="s">
        <v>104</v>
      </c>
      <c r="E50" s="6">
        <f>[4]Alvenaria!$I$22</f>
        <v>67089.853350515477</v>
      </c>
      <c r="F50" s="53" t="s">
        <v>524</v>
      </c>
    </row>
    <row r="51" spans="1:6" ht="15.8" customHeight="1" outlineLevel="2" x14ac:dyDescent="0.2">
      <c r="A51" s="7" t="s">
        <v>518</v>
      </c>
      <c r="B51" s="5" t="s">
        <v>514</v>
      </c>
      <c r="C51" s="35">
        <v>24.771420389461628</v>
      </c>
      <c r="D51" s="35" t="s">
        <v>104</v>
      </c>
      <c r="E51" s="6">
        <f>[4]Alvenaria!$I$23</f>
        <v>4657.0270332187865</v>
      </c>
      <c r="F51" s="53" t="s">
        <v>324</v>
      </c>
    </row>
    <row r="52" spans="1:6" ht="15.8" customHeight="1" outlineLevel="2" x14ac:dyDescent="0.2">
      <c r="A52" s="7" t="s">
        <v>519</v>
      </c>
      <c r="B52" s="5" t="s">
        <v>515</v>
      </c>
      <c r="C52" s="35">
        <v>307.64</v>
      </c>
      <c r="D52" s="35" t="s">
        <v>104</v>
      </c>
      <c r="E52" s="6">
        <f>[4]Alvenaria!$I$24</f>
        <v>15382</v>
      </c>
      <c r="F52" s="53" t="s">
        <v>324</v>
      </c>
    </row>
    <row r="53" spans="1:6" ht="15.8" customHeight="1" outlineLevel="2" x14ac:dyDescent="0.2">
      <c r="A53" s="7" t="s">
        <v>520</v>
      </c>
      <c r="B53" s="5" t="s">
        <v>251</v>
      </c>
      <c r="C53" s="35">
        <v>2096.0700000000002</v>
      </c>
      <c r="D53" s="35" t="s">
        <v>104</v>
      </c>
      <c r="E53" s="6">
        <f>[4]Alvenaria!$I$25</f>
        <v>125764.20000000001</v>
      </c>
      <c r="F53" s="53" t="s">
        <v>309</v>
      </c>
    </row>
    <row r="54" spans="1:6" ht="15.8" customHeight="1" outlineLevel="1" x14ac:dyDescent="0.2">
      <c r="A54" s="7" t="s">
        <v>521</v>
      </c>
      <c r="B54" s="5" t="s">
        <v>180</v>
      </c>
      <c r="C54" s="35">
        <v>13818.663864261167</v>
      </c>
      <c r="D54" s="35" t="s">
        <v>104</v>
      </c>
      <c r="E54" s="6">
        <f>[4]Alvenaria!$I$26</f>
        <v>172733.2983032646</v>
      </c>
      <c r="F54" s="53" t="s">
        <v>308</v>
      </c>
    </row>
    <row r="55" spans="1:6" outlineLevel="2" x14ac:dyDescent="0.2">
      <c r="A55" s="7" t="s">
        <v>522</v>
      </c>
      <c r="B55" s="5" t="s">
        <v>516</v>
      </c>
      <c r="C55" s="35">
        <v>11722.593864261167</v>
      </c>
      <c r="D55" s="35" t="s">
        <v>104</v>
      </c>
      <c r="E55" s="6">
        <f>[4]Alvenaria!$I$27</f>
        <v>468903.75457044668</v>
      </c>
      <c r="F55" s="53"/>
    </row>
    <row r="56" spans="1:6" ht="14.95" outlineLevel="1" thickBot="1" x14ac:dyDescent="0.25">
      <c r="A56" s="7" t="s">
        <v>523</v>
      </c>
      <c r="B56" s="5" t="s">
        <v>517</v>
      </c>
      <c r="C56" s="35">
        <v>2096.0700000000002</v>
      </c>
      <c r="D56" s="35" t="s">
        <v>104</v>
      </c>
      <c r="E56" s="6">
        <f>[4]Alvenaria!$I$28</f>
        <v>104803.50000000001</v>
      </c>
      <c r="F56" s="53"/>
    </row>
    <row r="57" spans="1:6" ht="14.95" customHeight="1" outlineLevel="2" thickBot="1" x14ac:dyDescent="0.25">
      <c r="A57" s="21">
        <v>7</v>
      </c>
      <c r="B57" s="22" t="s">
        <v>14</v>
      </c>
      <c r="C57" s="33"/>
      <c r="D57" s="33"/>
      <c r="E57" s="23">
        <f>E58+E66+E75</f>
        <v>5636274.8625999996</v>
      </c>
      <c r="F57" s="108">
        <f>E57/$E$187</f>
        <v>8.6461122409243488E-2</v>
      </c>
    </row>
    <row r="58" spans="1:6" ht="15.8" customHeight="1" outlineLevel="1" x14ac:dyDescent="0.2">
      <c r="A58" s="24" t="s">
        <v>47</v>
      </c>
      <c r="B58" s="25" t="s">
        <v>82</v>
      </c>
      <c r="C58" s="37"/>
      <c r="D58" s="37"/>
      <c r="E58" s="26">
        <f>SUM(E59:E65)</f>
        <v>2448913.3059999999</v>
      </c>
      <c r="F58" s="26"/>
    </row>
    <row r="59" spans="1:6" ht="15.8" customHeight="1" outlineLevel="2" x14ac:dyDescent="0.2">
      <c r="A59" s="4" t="s">
        <v>126</v>
      </c>
      <c r="B59" s="5" t="s">
        <v>30</v>
      </c>
      <c r="C59" s="35">
        <v>1</v>
      </c>
      <c r="D59" s="35" t="s">
        <v>87</v>
      </c>
      <c r="E59" s="6">
        <f>[4]Instalações!$I$15</f>
        <v>72581.899999999994</v>
      </c>
      <c r="F59" s="6"/>
    </row>
    <row r="60" spans="1:6" ht="15.8" customHeight="1" outlineLevel="2" x14ac:dyDescent="0.2">
      <c r="A60" s="4" t="s">
        <v>127</v>
      </c>
      <c r="B60" s="5" t="s">
        <v>31</v>
      </c>
      <c r="C60" s="35">
        <v>1</v>
      </c>
      <c r="D60" s="35" t="s">
        <v>87</v>
      </c>
      <c r="E60" s="6">
        <f>[4]Instalações!$I$16</f>
        <v>185809.66399999999</v>
      </c>
      <c r="F60" s="6"/>
    </row>
    <row r="61" spans="1:6" ht="15.8" customHeight="1" outlineLevel="2" x14ac:dyDescent="0.2">
      <c r="A61" s="4" t="s">
        <v>128</v>
      </c>
      <c r="B61" s="5" t="s">
        <v>32</v>
      </c>
      <c r="C61" s="35">
        <v>1</v>
      </c>
      <c r="D61" s="35" t="s">
        <v>87</v>
      </c>
      <c r="E61" s="6">
        <f>[4]Instalações!$I$17</f>
        <v>245326.82199999996</v>
      </c>
      <c r="F61" s="6"/>
    </row>
    <row r="62" spans="1:6" ht="15.8" customHeight="1" outlineLevel="2" x14ac:dyDescent="0.2">
      <c r="A62" s="4" t="s">
        <v>129</v>
      </c>
      <c r="B62" s="5" t="s">
        <v>33</v>
      </c>
      <c r="C62" s="35">
        <v>1</v>
      </c>
      <c r="D62" s="35" t="s">
        <v>87</v>
      </c>
      <c r="E62" s="6">
        <f>[4]Instalações!$I$18</f>
        <v>580655.19999999995</v>
      </c>
      <c r="F62" s="6"/>
    </row>
    <row r="63" spans="1:6" ht="15.8" customHeight="1" outlineLevel="2" x14ac:dyDescent="0.2">
      <c r="A63" s="4" t="s">
        <v>181</v>
      </c>
      <c r="B63" s="5" t="s">
        <v>34</v>
      </c>
      <c r="C63" s="35">
        <v>1</v>
      </c>
      <c r="D63" s="35" t="s">
        <v>87</v>
      </c>
      <c r="E63" s="6">
        <f>[4]Instalações!$I$19</f>
        <v>290327.59999999998</v>
      </c>
      <c r="F63" s="6"/>
    </row>
    <row r="64" spans="1:6" ht="15.8" customHeight="1" outlineLevel="1" x14ac:dyDescent="0.2">
      <c r="A64" s="4" t="s">
        <v>182</v>
      </c>
      <c r="B64" s="5" t="s">
        <v>35</v>
      </c>
      <c r="C64" s="35">
        <v>1</v>
      </c>
      <c r="D64" s="35" t="s">
        <v>87</v>
      </c>
      <c r="E64" s="6">
        <f>[4]Instalações!$I$20</f>
        <v>275811.21999999997</v>
      </c>
      <c r="F64" s="6"/>
    </row>
    <row r="65" spans="1:6" outlineLevel="2" x14ac:dyDescent="0.2">
      <c r="A65" s="4" t="s">
        <v>214</v>
      </c>
      <c r="B65" s="46" t="s">
        <v>213</v>
      </c>
      <c r="C65" s="35">
        <v>1</v>
      </c>
      <c r="D65" s="35" t="s">
        <v>87</v>
      </c>
      <c r="E65" s="47">
        <f>[4]Instalações!$I$21</f>
        <v>798400.89999999991</v>
      </c>
      <c r="F65" s="47"/>
    </row>
    <row r="66" spans="1:6" outlineLevel="2" x14ac:dyDescent="0.2">
      <c r="A66" s="29" t="s">
        <v>183</v>
      </c>
      <c r="B66" s="30" t="s">
        <v>84</v>
      </c>
      <c r="C66" s="38"/>
      <c r="D66" s="38"/>
      <c r="E66" s="31">
        <f>SUM(E67:E74)</f>
        <v>2359927.8965999996</v>
      </c>
      <c r="F66" s="31"/>
    </row>
    <row r="67" spans="1:6" ht="15.8" customHeight="1" outlineLevel="2" x14ac:dyDescent="0.2">
      <c r="A67" s="4" t="s">
        <v>184</v>
      </c>
      <c r="B67" s="5" t="s">
        <v>36</v>
      </c>
      <c r="C67" s="35">
        <v>1</v>
      </c>
      <c r="D67" s="35" t="s">
        <v>87</v>
      </c>
      <c r="E67" s="6">
        <f>[4]Instalações!$I$27</f>
        <v>362909.5</v>
      </c>
      <c r="F67" s="6"/>
    </row>
    <row r="68" spans="1:6" ht="15.8" customHeight="1" outlineLevel="2" x14ac:dyDescent="0.2">
      <c r="A68" s="4" t="s">
        <v>185</v>
      </c>
      <c r="B68" s="5" t="s">
        <v>37</v>
      </c>
      <c r="C68" s="35">
        <v>1</v>
      </c>
      <c r="D68" s="35" t="s">
        <v>87</v>
      </c>
      <c r="E68" s="6">
        <f>[4]Instalações!$I$28</f>
        <v>217745.69999999998</v>
      </c>
      <c r="F68" s="6"/>
    </row>
    <row r="69" spans="1:6" ht="15.8" customHeight="1" outlineLevel="2" x14ac:dyDescent="0.2">
      <c r="A69" s="4" t="s">
        <v>186</v>
      </c>
      <c r="B69" s="5" t="s">
        <v>38</v>
      </c>
      <c r="C69" s="35">
        <v>1</v>
      </c>
      <c r="D69" s="35" t="s">
        <v>87</v>
      </c>
      <c r="E69" s="6">
        <f>[4]Instalações!$I$29</f>
        <v>145163.79999999999</v>
      </c>
      <c r="F69" s="6"/>
    </row>
    <row r="70" spans="1:6" ht="15.8" customHeight="1" outlineLevel="2" x14ac:dyDescent="0.2">
      <c r="A70" s="4" t="s">
        <v>187</v>
      </c>
      <c r="B70" s="5" t="s">
        <v>39</v>
      </c>
      <c r="C70" s="35">
        <v>1</v>
      </c>
      <c r="D70" s="35" t="s">
        <v>87</v>
      </c>
      <c r="E70" s="6">
        <f>[4]Instalações!$I$30</f>
        <v>217745.69999999998</v>
      </c>
      <c r="F70" s="6"/>
    </row>
    <row r="71" spans="1:6" x14ac:dyDescent="0.2">
      <c r="A71" s="4" t="s">
        <v>188</v>
      </c>
      <c r="B71" s="5" t="s">
        <v>40</v>
      </c>
      <c r="C71" s="35">
        <v>1</v>
      </c>
      <c r="D71" s="35" t="s">
        <v>87</v>
      </c>
      <c r="E71" s="6">
        <f>[4]Instalações!$I$31</f>
        <v>5371.0605999999998</v>
      </c>
      <c r="F71" s="6"/>
    </row>
    <row r="72" spans="1:6" x14ac:dyDescent="0.2">
      <c r="A72" s="4" t="s">
        <v>189</v>
      </c>
      <c r="B72" s="5" t="s">
        <v>255</v>
      </c>
      <c r="C72" s="35">
        <v>1</v>
      </c>
      <c r="D72" s="35" t="s">
        <v>87</v>
      </c>
      <c r="E72" s="6">
        <f>[4]Instalações!$I$32</f>
        <v>31936.036</v>
      </c>
      <c r="F72" s="6"/>
    </row>
    <row r="73" spans="1:6" x14ac:dyDescent="0.2">
      <c r="A73" s="4" t="s">
        <v>257</v>
      </c>
      <c r="B73" s="5" t="s">
        <v>256</v>
      </c>
      <c r="C73" s="35">
        <v>1</v>
      </c>
      <c r="D73" s="35" t="s">
        <v>87</v>
      </c>
      <c r="E73" s="6">
        <f>[4]Instalações!$I$33</f>
        <v>653237.1</v>
      </c>
      <c r="F73" s="6"/>
    </row>
    <row r="74" spans="1:6" ht="15.8" customHeight="1" outlineLevel="1" x14ac:dyDescent="0.2">
      <c r="A74" s="4" t="s">
        <v>258</v>
      </c>
      <c r="B74" s="46" t="s">
        <v>215</v>
      </c>
      <c r="C74" s="35">
        <v>1</v>
      </c>
      <c r="D74" s="35" t="s">
        <v>87</v>
      </c>
      <c r="E74" s="6">
        <f>[4]Instalações!$I$34</f>
        <v>725819</v>
      </c>
      <c r="F74" s="47"/>
    </row>
    <row r="75" spans="1:6" outlineLevel="2" x14ac:dyDescent="0.2">
      <c r="A75" s="29" t="s">
        <v>190</v>
      </c>
      <c r="B75" s="30" t="s">
        <v>85</v>
      </c>
      <c r="C75" s="38"/>
      <c r="D75" s="38"/>
      <c r="E75" s="31">
        <f>SUM(E76:E78)</f>
        <v>827433.65999999992</v>
      </c>
      <c r="F75" s="31"/>
    </row>
    <row r="76" spans="1:6" outlineLevel="2" x14ac:dyDescent="0.2">
      <c r="A76" s="4" t="s">
        <v>191</v>
      </c>
      <c r="B76" s="5" t="s">
        <v>41</v>
      </c>
      <c r="C76" s="35">
        <v>1</v>
      </c>
      <c r="D76" s="35" t="s">
        <v>87</v>
      </c>
      <c r="E76" s="6">
        <v>362909.5</v>
      </c>
      <c r="F76" s="6"/>
    </row>
    <row r="77" spans="1:6" outlineLevel="2" x14ac:dyDescent="0.2">
      <c r="A77" s="4" t="s">
        <v>192</v>
      </c>
      <c r="B77" s="5" t="s">
        <v>42</v>
      </c>
      <c r="C77" s="35">
        <v>1</v>
      </c>
      <c r="D77" s="35" t="s">
        <v>87</v>
      </c>
      <c r="E77" s="6">
        <v>319360.36</v>
      </c>
      <c r="F77" s="6"/>
    </row>
    <row r="78" spans="1:6" ht="14.95" outlineLevel="2" thickBot="1" x14ac:dyDescent="0.25">
      <c r="A78" s="4" t="s">
        <v>193</v>
      </c>
      <c r="B78" s="5" t="s">
        <v>105</v>
      </c>
      <c r="C78" s="35">
        <v>1</v>
      </c>
      <c r="D78" s="35" t="s">
        <v>87</v>
      </c>
      <c r="E78" s="6">
        <v>145163.79999999999</v>
      </c>
      <c r="F78" s="6"/>
    </row>
    <row r="79" spans="1:6" outlineLevel="2" x14ac:dyDescent="0.2">
      <c r="A79" s="21">
        <v>8</v>
      </c>
      <c r="B79" s="22" t="s">
        <v>79</v>
      </c>
      <c r="C79" s="33"/>
      <c r="D79" s="33"/>
      <c r="E79" s="23">
        <f>E80+E85+E91+E93+E87</f>
        <v>4015448.32</v>
      </c>
      <c r="F79" s="108">
        <f>E79/$E$187</f>
        <v>6.1597451718910269E-2</v>
      </c>
    </row>
    <row r="80" spans="1:6" ht="28.55" outlineLevel="2" x14ac:dyDescent="0.2">
      <c r="A80" s="29" t="s">
        <v>48</v>
      </c>
      <c r="B80" s="30" t="s">
        <v>83</v>
      </c>
      <c r="C80" s="38"/>
      <c r="D80" s="38"/>
      <c r="E80" s="31">
        <f>SUM(E81:E84)</f>
        <v>637000</v>
      </c>
      <c r="F80" s="31"/>
    </row>
    <row r="81" spans="1:6" outlineLevel="2" x14ac:dyDescent="0.2">
      <c r="A81" s="4" t="s">
        <v>130</v>
      </c>
      <c r="B81" s="5" t="s">
        <v>80</v>
      </c>
      <c r="C81" s="39">
        <v>226</v>
      </c>
      <c r="D81" s="39" t="s">
        <v>244</v>
      </c>
      <c r="E81" s="8">
        <v>339000</v>
      </c>
      <c r="F81" s="56" t="s">
        <v>325</v>
      </c>
    </row>
    <row r="82" spans="1:6" ht="15.8" customHeight="1" outlineLevel="1" x14ac:dyDescent="0.2">
      <c r="A82" s="4" t="s">
        <v>131</v>
      </c>
      <c r="B82" s="5" t="s">
        <v>107</v>
      </c>
      <c r="C82" s="35">
        <v>16</v>
      </c>
      <c r="D82" s="35" t="s">
        <v>106</v>
      </c>
      <c r="E82" s="6">
        <f>'[4]Sistemas especiais'!$I$16</f>
        <v>60000</v>
      </c>
      <c r="F82" s="53" t="s">
        <v>326</v>
      </c>
    </row>
    <row r="83" spans="1:6" ht="15.8" customHeight="1" outlineLevel="2" x14ac:dyDescent="0.2">
      <c r="A83" s="4" t="s">
        <v>132</v>
      </c>
      <c r="B83" s="5" t="s">
        <v>108</v>
      </c>
      <c r="C83" s="39">
        <v>54</v>
      </c>
      <c r="D83" s="39" t="s">
        <v>106</v>
      </c>
      <c r="E83" s="6">
        <f>'[4]Sistemas especiais'!$I$17</f>
        <v>184000</v>
      </c>
      <c r="F83" s="56" t="s">
        <v>327</v>
      </c>
    </row>
    <row r="84" spans="1:6" ht="15.8" customHeight="1" outlineLevel="2" x14ac:dyDescent="0.2">
      <c r="A84" s="4" t="s">
        <v>216</v>
      </c>
      <c r="B84" s="46" t="s">
        <v>217</v>
      </c>
      <c r="C84" s="51">
        <v>46</v>
      </c>
      <c r="D84" s="51" t="s">
        <v>106</v>
      </c>
      <c r="E84" s="6">
        <f>'[4]Sistemas especiais'!$I$18</f>
        <v>54000</v>
      </c>
      <c r="F84" s="57" t="s">
        <v>328</v>
      </c>
    </row>
    <row r="85" spans="1:6" ht="15.8" customHeight="1" outlineLevel="2" x14ac:dyDescent="0.2">
      <c r="A85" s="29" t="s">
        <v>194</v>
      </c>
      <c r="B85" s="30" t="s">
        <v>259</v>
      </c>
      <c r="C85" s="38"/>
      <c r="D85" s="38"/>
      <c r="E85" s="31">
        <f>SUM(E86)</f>
        <v>116131.04</v>
      </c>
      <c r="F85" s="58"/>
    </row>
    <row r="86" spans="1:6" ht="15.8" customHeight="1" outlineLevel="2" x14ac:dyDescent="0.2">
      <c r="A86" s="4" t="s">
        <v>195</v>
      </c>
      <c r="B86" s="5" t="s">
        <v>260</v>
      </c>
      <c r="C86" s="39">
        <v>1</v>
      </c>
      <c r="D86" s="39" t="s">
        <v>87</v>
      </c>
      <c r="E86" s="8">
        <v>116131.04</v>
      </c>
      <c r="F86" s="56"/>
    </row>
    <row r="87" spans="1:6" ht="15.8" customHeight="1" outlineLevel="1" x14ac:dyDescent="0.2">
      <c r="A87" s="29" t="s">
        <v>196</v>
      </c>
      <c r="B87" s="30" t="s">
        <v>280</v>
      </c>
      <c r="C87" s="38"/>
      <c r="D87" s="38"/>
      <c r="E87" s="31">
        <f>SUM(E88:E90)</f>
        <v>377425.88</v>
      </c>
      <c r="F87" s="58"/>
    </row>
    <row r="88" spans="1:6" ht="15.8" customHeight="1" outlineLevel="2" x14ac:dyDescent="0.2">
      <c r="A88" s="4" t="s">
        <v>197</v>
      </c>
      <c r="B88" s="5" t="s">
        <v>281</v>
      </c>
      <c r="C88" s="39">
        <v>1</v>
      </c>
      <c r="D88" s="39" t="s">
        <v>87</v>
      </c>
      <c r="E88" s="8">
        <v>72581.899999999994</v>
      </c>
      <c r="F88" s="56"/>
    </row>
    <row r="89" spans="1:6" ht="15.8" customHeight="1" outlineLevel="2" x14ac:dyDescent="0.2">
      <c r="A89" s="4" t="s">
        <v>284</v>
      </c>
      <c r="B89" s="5" t="s">
        <v>282</v>
      </c>
      <c r="C89" s="35">
        <v>1</v>
      </c>
      <c r="D89" s="35" t="s">
        <v>87</v>
      </c>
      <c r="E89" s="6">
        <f>'[4]Sistemas especiais'!$I$25</f>
        <v>130647.42</v>
      </c>
      <c r="F89" s="53"/>
    </row>
    <row r="90" spans="1:6" ht="15.8" customHeight="1" outlineLevel="2" x14ac:dyDescent="0.2">
      <c r="A90" s="4" t="s">
        <v>285</v>
      </c>
      <c r="B90" s="5" t="s">
        <v>283</v>
      </c>
      <c r="C90" s="39">
        <v>1</v>
      </c>
      <c r="D90" s="39" t="s">
        <v>87</v>
      </c>
      <c r="E90" s="8">
        <f>'[4]Sistemas especiais'!$I$26</f>
        <v>174196.56</v>
      </c>
      <c r="F90" s="56"/>
    </row>
    <row r="91" spans="1:6" ht="15.8" customHeight="1" outlineLevel="2" x14ac:dyDescent="0.2">
      <c r="A91" s="29" t="s">
        <v>201</v>
      </c>
      <c r="B91" s="30" t="s">
        <v>198</v>
      </c>
      <c r="C91" s="38"/>
      <c r="D91" s="38"/>
      <c r="E91" s="31">
        <f>SUM(E92)</f>
        <v>435491.4</v>
      </c>
      <c r="F91" s="58"/>
    </row>
    <row r="92" spans="1:6" ht="15.8" customHeight="1" outlineLevel="2" x14ac:dyDescent="0.2">
      <c r="A92" s="4" t="s">
        <v>202</v>
      </c>
      <c r="B92" s="5" t="s">
        <v>109</v>
      </c>
      <c r="C92" s="39">
        <v>1</v>
      </c>
      <c r="D92" s="39" t="s">
        <v>87</v>
      </c>
      <c r="E92" s="8">
        <v>435491.4</v>
      </c>
      <c r="F92" s="56"/>
    </row>
    <row r="93" spans="1:6" ht="15.8" customHeight="1" outlineLevel="2" x14ac:dyDescent="0.2">
      <c r="A93" s="29" t="s">
        <v>286</v>
      </c>
      <c r="B93" s="30" t="s">
        <v>79</v>
      </c>
      <c r="C93" s="38"/>
      <c r="D93" s="38"/>
      <c r="E93" s="31">
        <f>SUM(E94:E100)</f>
        <v>2449400</v>
      </c>
      <c r="F93" s="58"/>
    </row>
    <row r="94" spans="1:6" ht="15.8" customHeight="1" outlineLevel="2" x14ac:dyDescent="0.2">
      <c r="A94" s="4" t="s">
        <v>287</v>
      </c>
      <c r="B94" s="5" t="s">
        <v>199</v>
      </c>
      <c r="C94" s="39">
        <v>1</v>
      </c>
      <c r="D94" s="39" t="s">
        <v>106</v>
      </c>
      <c r="E94" s="8">
        <f>'[4]Sistemas especiais'!$I$49</f>
        <v>120000</v>
      </c>
      <c r="F94" s="56" t="s">
        <v>329</v>
      </c>
    </row>
    <row r="95" spans="1:6" ht="15.8" customHeight="1" x14ac:dyDescent="0.2">
      <c r="A95" s="4" t="s">
        <v>288</v>
      </c>
      <c r="B95" s="5" t="s">
        <v>200</v>
      </c>
      <c r="C95" s="35">
        <v>2</v>
      </c>
      <c r="D95" s="35" t="s">
        <v>106</v>
      </c>
      <c r="E95" s="6">
        <f>'[4]Sistemas especiais'!$I$44</f>
        <v>1320000</v>
      </c>
      <c r="F95" s="53" t="s">
        <v>528</v>
      </c>
    </row>
    <row r="96" spans="1:6" ht="15.8" customHeight="1" x14ac:dyDescent="0.2">
      <c r="A96" s="4" t="s">
        <v>289</v>
      </c>
      <c r="B96" s="5" t="s">
        <v>526</v>
      </c>
      <c r="C96" s="35">
        <v>1</v>
      </c>
      <c r="D96" s="35" t="s">
        <v>527</v>
      </c>
      <c r="E96" s="6">
        <f>'[4]Sistemas especiais'!$I$45</f>
        <v>660000</v>
      </c>
      <c r="F96" s="53" t="s">
        <v>529</v>
      </c>
    </row>
    <row r="97" spans="1:6" ht="15.8" customHeight="1" x14ac:dyDescent="0.2">
      <c r="A97" s="4" t="s">
        <v>290</v>
      </c>
      <c r="B97" s="5" t="s">
        <v>218</v>
      </c>
      <c r="C97" s="35">
        <v>2</v>
      </c>
      <c r="D97" s="35" t="s">
        <v>106</v>
      </c>
      <c r="E97" s="6">
        <f>'[4]Sistemas especiais'!$I$47</f>
        <v>40000</v>
      </c>
      <c r="F97" s="53" t="s">
        <v>330</v>
      </c>
    </row>
    <row r="98" spans="1:6" x14ac:dyDescent="0.2">
      <c r="A98" s="4" t="s">
        <v>291</v>
      </c>
      <c r="B98" s="5" t="s">
        <v>261</v>
      </c>
      <c r="C98" s="35">
        <v>1</v>
      </c>
      <c r="D98" s="35" t="s">
        <v>106</v>
      </c>
      <c r="E98" s="6">
        <f>'[4]Sistemas especiais'!$I$48</f>
        <v>35000</v>
      </c>
      <c r="F98" s="53" t="s">
        <v>331</v>
      </c>
    </row>
    <row r="99" spans="1:6" ht="15.8" customHeight="1" x14ac:dyDescent="0.2">
      <c r="A99" s="4" t="s">
        <v>292</v>
      </c>
      <c r="B99" s="9" t="s">
        <v>219</v>
      </c>
      <c r="C99" s="39">
        <v>2</v>
      </c>
      <c r="D99" s="39" t="s">
        <v>106</v>
      </c>
      <c r="E99" s="8">
        <f>'[4]Sistemas especiais'!$I$46</f>
        <v>240000</v>
      </c>
      <c r="F99" s="56" t="s">
        <v>332</v>
      </c>
    </row>
    <row r="100" spans="1:6" ht="15.8" customHeight="1" thickBot="1" x14ac:dyDescent="0.25">
      <c r="A100" s="4" t="s">
        <v>525</v>
      </c>
      <c r="B100" s="9" t="s">
        <v>236</v>
      </c>
      <c r="C100" s="39">
        <v>43</v>
      </c>
      <c r="D100" s="39" t="s">
        <v>106</v>
      </c>
      <c r="E100" s="8">
        <v>34400</v>
      </c>
      <c r="F100" s="56" t="s">
        <v>333</v>
      </c>
    </row>
    <row r="101" spans="1:6" ht="15.8" customHeight="1" x14ac:dyDescent="0.2">
      <c r="A101" s="21">
        <v>9</v>
      </c>
      <c r="B101" s="22" t="s">
        <v>2</v>
      </c>
      <c r="C101" s="33"/>
      <c r="D101" s="33"/>
      <c r="E101" s="23">
        <f>E102</f>
        <v>1142037.169</v>
      </c>
      <c r="F101" s="108">
        <f>E101/$E$187</f>
        <v>1.75189851226073E-2</v>
      </c>
    </row>
    <row r="102" spans="1:6" ht="15.8" customHeight="1" x14ac:dyDescent="0.2">
      <c r="A102" s="29" t="s">
        <v>60</v>
      </c>
      <c r="B102" s="30" t="s">
        <v>2</v>
      </c>
      <c r="C102" s="38"/>
      <c r="D102" s="38"/>
      <c r="E102" s="31">
        <f>SUM(E103:E110)</f>
        <v>1142037.169</v>
      </c>
      <c r="F102" s="58"/>
    </row>
    <row r="103" spans="1:6" x14ac:dyDescent="0.2">
      <c r="A103" s="4" t="s">
        <v>133</v>
      </c>
      <c r="B103" s="9" t="s">
        <v>49</v>
      </c>
      <c r="C103" s="35">
        <v>1</v>
      </c>
      <c r="D103" s="35" t="s">
        <v>87</v>
      </c>
      <c r="E103" s="6">
        <v>130647.42</v>
      </c>
      <c r="F103" s="53"/>
    </row>
    <row r="104" spans="1:6" ht="15.8" customHeight="1" x14ac:dyDescent="0.2">
      <c r="A104" s="4" t="s">
        <v>134</v>
      </c>
      <c r="B104" s="9" t="s">
        <v>55</v>
      </c>
      <c r="C104" s="35">
        <v>30</v>
      </c>
      <c r="D104" s="35" t="s">
        <v>104</v>
      </c>
      <c r="E104" s="6">
        <v>900</v>
      </c>
      <c r="F104" s="53"/>
    </row>
    <row r="105" spans="1:6" ht="15.8" customHeight="1" x14ac:dyDescent="0.2">
      <c r="A105" s="4" t="s">
        <v>135</v>
      </c>
      <c r="B105" s="9" t="s">
        <v>56</v>
      </c>
      <c r="C105" s="35">
        <v>688.62</v>
      </c>
      <c r="D105" s="35" t="s">
        <v>104</v>
      </c>
      <c r="E105" s="6">
        <v>24101.728000000003</v>
      </c>
      <c r="F105" s="53"/>
    </row>
    <row r="106" spans="1:6" ht="15.8" customHeight="1" x14ac:dyDescent="0.2">
      <c r="A106" s="4" t="s">
        <v>136</v>
      </c>
      <c r="B106" s="9" t="s">
        <v>50</v>
      </c>
      <c r="C106" s="35">
        <v>1</v>
      </c>
      <c r="D106" s="35" t="s">
        <v>87</v>
      </c>
      <c r="E106" s="6">
        <v>31936.036</v>
      </c>
      <c r="F106" s="53"/>
    </row>
    <row r="107" spans="1:6" outlineLevel="1" x14ac:dyDescent="0.2">
      <c r="A107" s="4" t="s">
        <v>137</v>
      </c>
      <c r="B107" s="9" t="s">
        <v>51</v>
      </c>
      <c r="C107" s="35">
        <v>1</v>
      </c>
      <c r="D107" s="35" t="s">
        <v>87</v>
      </c>
      <c r="E107" s="6">
        <v>188712.94</v>
      </c>
      <c r="F107" s="53"/>
    </row>
    <row r="108" spans="1:6" ht="14.3" customHeight="1" outlineLevel="2" x14ac:dyDescent="0.2">
      <c r="A108" s="4" t="s">
        <v>138</v>
      </c>
      <c r="B108" s="9" t="s">
        <v>52</v>
      </c>
      <c r="C108" s="35">
        <v>1</v>
      </c>
      <c r="D108" s="35" t="s">
        <v>87</v>
      </c>
      <c r="E108" s="6">
        <v>580655.19999999995</v>
      </c>
      <c r="F108" s="53"/>
    </row>
    <row r="109" spans="1:6" ht="15.8" customHeight="1" outlineLevel="2" x14ac:dyDescent="0.2">
      <c r="A109" s="4" t="s">
        <v>139</v>
      </c>
      <c r="B109" s="9" t="s">
        <v>53</v>
      </c>
      <c r="C109" s="35">
        <v>1</v>
      </c>
      <c r="D109" s="35" t="s">
        <v>87</v>
      </c>
      <c r="E109" s="6">
        <v>10887.285</v>
      </c>
      <c r="F109" s="53"/>
    </row>
    <row r="110" spans="1:6" ht="15.8" customHeight="1" outlineLevel="2" thickBot="1" x14ac:dyDescent="0.25">
      <c r="A110" s="4" t="s">
        <v>140</v>
      </c>
      <c r="B110" s="9" t="s">
        <v>54</v>
      </c>
      <c r="C110" s="35">
        <v>1</v>
      </c>
      <c r="D110" s="35" t="s">
        <v>87</v>
      </c>
      <c r="E110" s="6">
        <v>174196.56</v>
      </c>
      <c r="F110" s="53"/>
    </row>
    <row r="111" spans="1:6" ht="15.8" customHeight="1" outlineLevel="2" x14ac:dyDescent="0.2">
      <c r="A111" s="21">
        <v>10</v>
      </c>
      <c r="B111" s="22" t="s">
        <v>6</v>
      </c>
      <c r="C111" s="33"/>
      <c r="D111" s="33"/>
      <c r="E111" s="23">
        <f>E112+E117</f>
        <v>1922134.1421500002</v>
      </c>
      <c r="F111" s="108">
        <f>E111/$E$187</f>
        <v>2.9485764871792362E-2</v>
      </c>
    </row>
    <row r="112" spans="1:6" ht="15.8" customHeight="1" outlineLevel="2" x14ac:dyDescent="0.2">
      <c r="A112" s="29" t="s">
        <v>62</v>
      </c>
      <c r="B112" s="30" t="s">
        <v>142</v>
      </c>
      <c r="C112" s="38"/>
      <c r="D112" s="38"/>
      <c r="E112" s="31">
        <f>SUM(E113:E116)</f>
        <v>1216788.2060000002</v>
      </c>
      <c r="F112" s="31"/>
    </row>
    <row r="113" spans="1:6" outlineLevel="2" x14ac:dyDescent="0.2">
      <c r="A113" s="4" t="s">
        <v>141</v>
      </c>
      <c r="B113" s="5" t="s">
        <v>203</v>
      </c>
      <c r="C113" s="35">
        <v>12921.47</v>
      </c>
      <c r="D113" s="35" t="s">
        <v>104</v>
      </c>
      <c r="E113" s="6">
        <v>516858.8</v>
      </c>
      <c r="F113" s="53"/>
    </row>
    <row r="114" spans="1:6" outlineLevel="2" x14ac:dyDescent="0.2">
      <c r="A114" s="4" t="s">
        <v>237</v>
      </c>
      <c r="B114" s="5" t="s">
        <v>305</v>
      </c>
      <c r="C114" s="35">
        <v>955.09</v>
      </c>
      <c r="D114" s="35" t="s">
        <v>104</v>
      </c>
      <c r="E114" s="6">
        <v>95541</v>
      </c>
      <c r="F114" s="53"/>
    </row>
    <row r="115" spans="1:6" outlineLevel="2" x14ac:dyDescent="0.2">
      <c r="A115" s="4" t="s">
        <v>303</v>
      </c>
      <c r="B115" s="5" t="s">
        <v>306</v>
      </c>
      <c r="C115" s="35">
        <v>6369.4</v>
      </c>
      <c r="D115" s="35" t="s">
        <v>104</v>
      </c>
      <c r="E115" s="6">
        <v>22922.256000000001</v>
      </c>
      <c r="F115" s="53"/>
    </row>
    <row r="116" spans="1:6" outlineLevel="1" x14ac:dyDescent="0.2">
      <c r="A116" s="4" t="s">
        <v>304</v>
      </c>
      <c r="B116" s="5" t="s">
        <v>262</v>
      </c>
      <c r="C116" s="35">
        <v>12921.47</v>
      </c>
      <c r="D116" s="35" t="s">
        <v>104</v>
      </c>
      <c r="E116" s="6">
        <f>'[4]Rev. Internos Piso e Parede'!$I$21</f>
        <v>581466.15</v>
      </c>
      <c r="F116" s="53"/>
    </row>
    <row r="117" spans="1:6" ht="15.8" customHeight="1" outlineLevel="2" x14ac:dyDescent="0.2">
      <c r="A117" s="29" t="s">
        <v>63</v>
      </c>
      <c r="B117" s="30" t="s">
        <v>143</v>
      </c>
      <c r="C117" s="38"/>
      <c r="D117" s="38"/>
      <c r="E117" s="31">
        <f>SUM(E118:E121)</f>
        <v>705345.93614999996</v>
      </c>
      <c r="F117" s="58"/>
    </row>
    <row r="118" spans="1:6" ht="15.8" customHeight="1" outlineLevel="2" x14ac:dyDescent="0.2">
      <c r="A118" s="4" t="s">
        <v>144</v>
      </c>
      <c r="B118" s="5" t="s">
        <v>57</v>
      </c>
      <c r="C118" s="35">
        <v>24141.89</v>
      </c>
      <c r="D118" s="35" t="s">
        <v>104</v>
      </c>
      <c r="E118" s="6">
        <f>'[4]Rev. Internos Piso e Parede'!$I$18</f>
        <v>28366.72075</v>
      </c>
      <c r="F118" s="53"/>
    </row>
    <row r="119" spans="1:6" ht="15.8" customHeight="1" outlineLevel="2" x14ac:dyDescent="0.2">
      <c r="A119" s="4" t="s">
        <v>145</v>
      </c>
      <c r="B119" s="5" t="s">
        <v>58</v>
      </c>
      <c r="C119" s="35">
        <v>24141.89</v>
      </c>
      <c r="D119" s="35" t="s">
        <v>104</v>
      </c>
      <c r="E119" s="6">
        <f>'[4]Rev. Internos Piso e Parede'!$I$19</f>
        <v>260973.8309</v>
      </c>
      <c r="F119" s="53"/>
    </row>
    <row r="120" spans="1:6" ht="15.8" customHeight="1" outlineLevel="2" x14ac:dyDescent="0.2">
      <c r="A120" s="4" t="s">
        <v>146</v>
      </c>
      <c r="B120" s="5" t="s">
        <v>59</v>
      </c>
      <c r="C120" s="35">
        <v>1</v>
      </c>
      <c r="D120" s="35" t="s">
        <v>87</v>
      </c>
      <c r="E120" s="6">
        <f>'[4]Rev. Internos Piso e Parede'!$I$20</f>
        <v>18871.293999999998</v>
      </c>
      <c r="F120" s="53"/>
    </row>
    <row r="121" spans="1:6" ht="15.8" customHeight="1" outlineLevel="2" thickBot="1" x14ac:dyDescent="0.25">
      <c r="A121" s="4" t="s">
        <v>263</v>
      </c>
      <c r="B121" s="46" t="s">
        <v>264</v>
      </c>
      <c r="C121" s="54">
        <v>24141.89</v>
      </c>
      <c r="D121" s="54" t="s">
        <v>104</v>
      </c>
      <c r="E121" s="47">
        <f>'[4]Rev. Internos Piso e Parede'!$I$22</f>
        <v>397134.09049999999</v>
      </c>
      <c r="F121" s="55"/>
    </row>
    <row r="122" spans="1:6" ht="15.8" customHeight="1" outlineLevel="2" x14ac:dyDescent="0.2">
      <c r="A122" s="21">
        <v>11</v>
      </c>
      <c r="B122" s="22" t="s">
        <v>8</v>
      </c>
      <c r="C122" s="33"/>
      <c r="D122" s="33"/>
      <c r="E122" s="23">
        <f>E123+E134</f>
        <v>2915218.5199999996</v>
      </c>
      <c r="F122" s="108">
        <f>E122/$E$187</f>
        <v>4.4719796576979241E-2</v>
      </c>
    </row>
    <row r="123" spans="1:6" ht="15.8" customHeight="1" outlineLevel="2" x14ac:dyDescent="0.2">
      <c r="A123" s="29" t="s">
        <v>64</v>
      </c>
      <c r="B123" s="30" t="s">
        <v>147</v>
      </c>
      <c r="C123" s="38"/>
      <c r="D123" s="38"/>
      <c r="E123" s="31">
        <f>SUM(E124:E133)</f>
        <v>2278581.4699999997</v>
      </c>
      <c r="F123" s="31"/>
    </row>
    <row r="124" spans="1:6" ht="15.8" customHeight="1" outlineLevel="2" x14ac:dyDescent="0.2">
      <c r="A124" s="4" t="s">
        <v>149</v>
      </c>
      <c r="B124" s="5" t="s">
        <v>530</v>
      </c>
      <c r="C124" s="39">
        <v>5420.4340000000002</v>
      </c>
      <c r="D124" s="39" t="s">
        <v>110</v>
      </c>
      <c r="E124" s="8">
        <v>677554.25</v>
      </c>
      <c r="F124" s="56" t="s">
        <v>539</v>
      </c>
    </row>
    <row r="125" spans="1:6" ht="15.8" customHeight="1" x14ac:dyDescent="0.2">
      <c r="A125" s="4" t="s">
        <v>150</v>
      </c>
      <c r="B125" s="5" t="s">
        <v>531</v>
      </c>
      <c r="C125" s="39">
        <v>2617.77</v>
      </c>
      <c r="D125" s="39" t="s">
        <v>110</v>
      </c>
      <c r="E125" s="8">
        <v>680620.2</v>
      </c>
      <c r="F125" s="56"/>
    </row>
    <row r="126" spans="1:6" ht="15.8" customHeight="1" x14ac:dyDescent="0.2">
      <c r="A126" s="4" t="s">
        <v>151</v>
      </c>
      <c r="B126" s="5" t="s">
        <v>293</v>
      </c>
      <c r="C126" s="39">
        <v>23.47</v>
      </c>
      <c r="D126" s="39" t="s">
        <v>104</v>
      </c>
      <c r="E126" s="8">
        <v>5867.5</v>
      </c>
      <c r="F126" s="56"/>
    </row>
    <row r="127" spans="1:6" ht="15.8" customHeight="1" x14ac:dyDescent="0.2">
      <c r="A127" s="4" t="s">
        <v>152</v>
      </c>
      <c r="B127" s="5" t="s">
        <v>532</v>
      </c>
      <c r="C127" s="39">
        <v>113</v>
      </c>
      <c r="D127" s="39" t="s">
        <v>104</v>
      </c>
      <c r="E127" s="8">
        <v>16385</v>
      </c>
      <c r="F127" s="56"/>
    </row>
    <row r="128" spans="1:6" outlineLevel="1" x14ac:dyDescent="0.2">
      <c r="A128" s="4" t="s">
        <v>204</v>
      </c>
      <c r="B128" s="5" t="s">
        <v>533</v>
      </c>
      <c r="C128" s="39">
        <v>391</v>
      </c>
      <c r="D128" s="39" t="s">
        <v>110</v>
      </c>
      <c r="E128" s="8">
        <v>46920</v>
      </c>
      <c r="F128" s="56"/>
    </row>
    <row r="129" spans="1:6" outlineLevel="1" x14ac:dyDescent="0.2">
      <c r="A129" s="4" t="s">
        <v>205</v>
      </c>
      <c r="B129" s="5" t="s">
        <v>534</v>
      </c>
      <c r="C129" s="39">
        <v>91.15</v>
      </c>
      <c r="D129" s="39" t="s">
        <v>104</v>
      </c>
      <c r="E129" s="8">
        <v>45575</v>
      </c>
      <c r="F129" s="56"/>
    </row>
    <row r="130" spans="1:6" ht="14.45" customHeight="1" outlineLevel="2" x14ac:dyDescent="0.2">
      <c r="A130" s="4" t="s">
        <v>212</v>
      </c>
      <c r="B130" s="5" t="s">
        <v>61</v>
      </c>
      <c r="C130" s="39">
        <v>6826.0099999999993</v>
      </c>
      <c r="D130" s="39" t="s">
        <v>95</v>
      </c>
      <c r="E130" s="8">
        <v>409560.6</v>
      </c>
      <c r="F130" s="8"/>
    </row>
    <row r="131" spans="1:6" ht="15.8" customHeight="1" outlineLevel="2" x14ac:dyDescent="0.2">
      <c r="A131" s="4" t="s">
        <v>295</v>
      </c>
      <c r="B131" s="5" t="s">
        <v>294</v>
      </c>
      <c r="C131" s="39">
        <v>1</v>
      </c>
      <c r="D131" s="39" t="s">
        <v>87</v>
      </c>
      <c r="E131" s="8">
        <v>174196.56</v>
      </c>
      <c r="F131" s="56"/>
    </row>
    <row r="132" spans="1:6" ht="15.8" customHeight="1" outlineLevel="2" x14ac:dyDescent="0.2">
      <c r="A132" s="4" t="s">
        <v>537</v>
      </c>
      <c r="B132" s="5" t="s">
        <v>535</v>
      </c>
      <c r="C132" s="39">
        <v>5420.4340000000002</v>
      </c>
      <c r="D132" s="39" t="s">
        <v>104</v>
      </c>
      <c r="E132" s="8">
        <v>216817.36000000002</v>
      </c>
      <c r="F132" s="56"/>
    </row>
    <row r="133" spans="1:6" ht="15.8" customHeight="1" outlineLevel="2" x14ac:dyDescent="0.2">
      <c r="A133" s="4" t="s">
        <v>538</v>
      </c>
      <c r="B133" s="5" t="s">
        <v>536</v>
      </c>
      <c r="C133" s="39">
        <v>113</v>
      </c>
      <c r="D133" s="39" t="s">
        <v>104</v>
      </c>
      <c r="E133" s="8">
        <v>5085</v>
      </c>
      <c r="F133" s="56"/>
    </row>
    <row r="134" spans="1:6" ht="15.8" customHeight="1" outlineLevel="2" x14ac:dyDescent="0.2">
      <c r="A134" s="29" t="s">
        <v>66</v>
      </c>
      <c r="B134" s="30" t="s">
        <v>148</v>
      </c>
      <c r="C134" s="38"/>
      <c r="D134" s="38"/>
      <c r="E134" s="31">
        <f>E135+E136</f>
        <v>636637.05000000005</v>
      </c>
      <c r="F134" s="31"/>
    </row>
    <row r="135" spans="1:6" ht="15.8" customHeight="1" outlineLevel="2" x14ac:dyDescent="0.2">
      <c r="A135" s="4" t="s">
        <v>153</v>
      </c>
      <c r="B135" s="5" t="s">
        <v>268</v>
      </c>
      <c r="C135" s="39">
        <v>4715.83</v>
      </c>
      <c r="D135" s="39" t="s">
        <v>104</v>
      </c>
      <c r="E135" s="8">
        <f>'[4]Acabamentos de Piso e Parede'!$I$22</f>
        <v>424424.7</v>
      </c>
      <c r="F135" s="56" t="s">
        <v>335</v>
      </c>
    </row>
    <row r="136" spans="1:6" ht="15.8" customHeight="1" outlineLevel="2" thickBot="1" x14ac:dyDescent="0.25">
      <c r="A136" s="4" t="s">
        <v>267</v>
      </c>
      <c r="B136" s="46" t="s">
        <v>269</v>
      </c>
      <c r="C136" s="51">
        <v>4715.83</v>
      </c>
      <c r="D136" s="51" t="s">
        <v>104</v>
      </c>
      <c r="E136" s="48">
        <f>'[4]Acabamentos de Piso e Parede'!$I$24</f>
        <v>212212.35</v>
      </c>
      <c r="F136" s="57"/>
    </row>
    <row r="137" spans="1:6" ht="15.8" customHeight="1" x14ac:dyDescent="0.2">
      <c r="A137" s="21">
        <v>12</v>
      </c>
      <c r="B137" s="22" t="s">
        <v>7</v>
      </c>
      <c r="C137" s="33"/>
      <c r="D137" s="33"/>
      <c r="E137" s="23">
        <f>E138</f>
        <v>1271472.6699999997</v>
      </c>
      <c r="F137" s="108">
        <f>E137/$E$187</f>
        <v>1.9504541002843465E-2</v>
      </c>
    </row>
    <row r="138" spans="1:6" ht="14.95" customHeight="1" outlineLevel="1" x14ac:dyDescent="0.2">
      <c r="A138" s="29" t="s">
        <v>67</v>
      </c>
      <c r="B138" s="30" t="s">
        <v>154</v>
      </c>
      <c r="C138" s="38"/>
      <c r="D138" s="38"/>
      <c r="E138" s="31">
        <f>SUM(E139:E144)</f>
        <v>1271472.6699999997</v>
      </c>
      <c r="F138" s="31"/>
    </row>
    <row r="139" spans="1:6" ht="14.95" customHeight="1" outlineLevel="2" x14ac:dyDescent="0.2">
      <c r="A139" s="4" t="s">
        <v>155</v>
      </c>
      <c r="B139" s="5" t="s">
        <v>246</v>
      </c>
      <c r="C139" s="39">
        <v>6549.19</v>
      </c>
      <c r="D139" s="39" t="s">
        <v>104</v>
      </c>
      <c r="E139" s="8">
        <v>556426.15</v>
      </c>
      <c r="F139" s="56"/>
    </row>
    <row r="140" spans="1:6" ht="14.95" customHeight="1" outlineLevel="2" x14ac:dyDescent="0.2">
      <c r="A140" s="4" t="s">
        <v>226</v>
      </c>
      <c r="B140" s="5" t="s">
        <v>487</v>
      </c>
      <c r="C140" s="39">
        <v>662.45</v>
      </c>
      <c r="D140" s="39" t="s">
        <v>104</v>
      </c>
      <c r="E140" s="8">
        <v>298102.5</v>
      </c>
      <c r="F140" s="56"/>
    </row>
    <row r="141" spans="1:6" ht="14.95" customHeight="1" outlineLevel="2" x14ac:dyDescent="0.2">
      <c r="A141" s="4" t="s">
        <v>156</v>
      </c>
      <c r="B141" s="5" t="s">
        <v>488</v>
      </c>
      <c r="C141" s="39">
        <v>13.85</v>
      </c>
      <c r="D141" s="39" t="s">
        <v>104</v>
      </c>
      <c r="E141" s="8">
        <v>4155</v>
      </c>
      <c r="F141" s="56"/>
    </row>
    <row r="142" spans="1:6" ht="14.95" customHeight="1" outlineLevel="2" x14ac:dyDescent="0.2">
      <c r="A142" s="4" t="s">
        <v>265</v>
      </c>
      <c r="B142" s="5" t="s">
        <v>65</v>
      </c>
      <c r="C142" s="39">
        <v>8065.83</v>
      </c>
      <c r="D142" s="39" t="s">
        <v>95</v>
      </c>
      <c r="E142" s="8">
        <v>201645.75</v>
      </c>
      <c r="F142" s="56"/>
    </row>
    <row r="143" spans="1:6" ht="14.95" customHeight="1" outlineLevel="2" x14ac:dyDescent="0.2">
      <c r="A143" s="4" t="s">
        <v>485</v>
      </c>
      <c r="B143" s="5" t="s">
        <v>266</v>
      </c>
      <c r="C143" s="39">
        <v>1016.15</v>
      </c>
      <c r="D143" s="39" t="s">
        <v>104</v>
      </c>
      <c r="E143" s="8">
        <v>43549.14</v>
      </c>
      <c r="F143" s="56"/>
    </row>
    <row r="144" spans="1:6" ht="14.95" customHeight="1" outlineLevel="2" thickBot="1" x14ac:dyDescent="0.25">
      <c r="A144" s="4" t="s">
        <v>486</v>
      </c>
      <c r="B144" s="5" t="s">
        <v>59</v>
      </c>
      <c r="C144" s="39">
        <v>5078.6099999999997</v>
      </c>
      <c r="D144" s="39" t="s">
        <v>104</v>
      </c>
      <c r="E144" s="8">
        <v>167594.12999999998</v>
      </c>
      <c r="F144" s="56"/>
    </row>
    <row r="145" spans="1:6" ht="14.95" customHeight="1" outlineLevel="2" x14ac:dyDescent="0.2">
      <c r="A145" s="21">
        <v>13</v>
      </c>
      <c r="B145" s="22" t="s">
        <v>1</v>
      </c>
      <c r="C145" s="33"/>
      <c r="D145" s="33"/>
      <c r="E145" s="23">
        <f>E146</f>
        <v>1912985.6899999997</v>
      </c>
      <c r="F145" s="108">
        <f>E145/$E$187</f>
        <v>2.9345426534773889E-2</v>
      </c>
    </row>
    <row r="146" spans="1:6" ht="14.95" customHeight="1" outlineLevel="2" x14ac:dyDescent="0.2">
      <c r="A146" s="29" t="s">
        <v>74</v>
      </c>
      <c r="B146" s="30" t="s">
        <v>1</v>
      </c>
      <c r="C146" s="38"/>
      <c r="D146" s="38"/>
      <c r="E146" s="31">
        <f>E147+E148+E149+E150</f>
        <v>1912985.6899999997</v>
      </c>
      <c r="F146" s="31"/>
    </row>
    <row r="147" spans="1:6" ht="14.95" customHeight="1" outlineLevel="2" x14ac:dyDescent="0.2">
      <c r="A147" s="4" t="s">
        <v>157</v>
      </c>
      <c r="B147" s="9" t="s">
        <v>207</v>
      </c>
      <c r="C147" s="39">
        <v>2141.16</v>
      </c>
      <c r="D147" s="39" t="s">
        <v>104</v>
      </c>
      <c r="E147" s="8">
        <v>342585.59999999998</v>
      </c>
      <c r="F147" s="56"/>
    </row>
    <row r="148" spans="1:6" ht="14.95" customHeight="1" outlineLevel="2" x14ac:dyDescent="0.2">
      <c r="A148" s="4" t="s">
        <v>296</v>
      </c>
      <c r="B148" s="9" t="s">
        <v>220</v>
      </c>
      <c r="C148" s="39">
        <v>20946.87</v>
      </c>
      <c r="D148" s="39" t="s">
        <v>104</v>
      </c>
      <c r="E148" s="8">
        <v>242776.3</v>
      </c>
      <c r="F148" s="56"/>
    </row>
    <row r="149" spans="1:6" ht="14.95" customHeight="1" outlineLevel="2" x14ac:dyDescent="0.2">
      <c r="A149" s="4" t="s">
        <v>206</v>
      </c>
      <c r="B149" s="9" t="s">
        <v>298</v>
      </c>
      <c r="C149" s="39">
        <v>3735.02</v>
      </c>
      <c r="D149" s="39" t="s">
        <v>104</v>
      </c>
      <c r="E149" s="8">
        <v>1152077.8499999999</v>
      </c>
      <c r="F149" s="56"/>
    </row>
    <row r="150" spans="1:6" ht="14.95" customHeight="1" outlineLevel="2" thickBot="1" x14ac:dyDescent="0.25">
      <c r="A150" s="4" t="s">
        <v>297</v>
      </c>
      <c r="B150" s="9" t="s">
        <v>299</v>
      </c>
      <c r="C150" s="39">
        <v>3735.02</v>
      </c>
      <c r="D150" s="39" t="s">
        <v>104</v>
      </c>
      <c r="E150" s="8">
        <v>175545.94</v>
      </c>
      <c r="F150" s="56"/>
    </row>
    <row r="151" spans="1:6" ht="14.95" customHeight="1" outlineLevel="2" x14ac:dyDescent="0.2">
      <c r="A151" s="21">
        <v>14</v>
      </c>
      <c r="B151" s="22" t="s">
        <v>9</v>
      </c>
      <c r="C151" s="33"/>
      <c r="D151" s="33"/>
      <c r="E151" s="23">
        <f>E152+E159+E162</f>
        <v>5559680.5</v>
      </c>
      <c r="F151" s="108">
        <f>E151/$E$187</f>
        <v>8.5286155836097749E-2</v>
      </c>
    </row>
    <row r="152" spans="1:6" ht="14.95" customHeight="1" outlineLevel="2" x14ac:dyDescent="0.2">
      <c r="A152" s="29" t="s">
        <v>73</v>
      </c>
      <c r="B152" s="30" t="s">
        <v>158</v>
      </c>
      <c r="C152" s="38"/>
      <c r="D152" s="38"/>
      <c r="E152" s="31">
        <f>SUM(E153:E158)</f>
        <v>4199180.5</v>
      </c>
      <c r="F152" s="31"/>
    </row>
    <row r="153" spans="1:6" ht="15.8" customHeight="1" outlineLevel="2" x14ac:dyDescent="0.2">
      <c r="A153" s="4" t="s">
        <v>162</v>
      </c>
      <c r="B153" s="9" t="s">
        <v>68</v>
      </c>
      <c r="C153" s="39">
        <v>1070.93</v>
      </c>
      <c r="D153" s="39" t="s">
        <v>104</v>
      </c>
      <c r="E153" s="8">
        <f>[4]Esquadrias!$I$15</f>
        <v>1767034.5</v>
      </c>
      <c r="F153" s="56" t="s">
        <v>334</v>
      </c>
    </row>
    <row r="154" spans="1:6" ht="15.8" customHeight="1" outlineLevel="2" x14ac:dyDescent="0.2">
      <c r="A154" s="4" t="s">
        <v>227</v>
      </c>
      <c r="B154" s="9" t="s">
        <v>540</v>
      </c>
      <c r="C154" s="39">
        <v>389.85</v>
      </c>
      <c r="D154" s="39" t="s">
        <v>104</v>
      </c>
      <c r="E154" s="8">
        <v>389850</v>
      </c>
      <c r="F154" s="56" t="s">
        <v>345</v>
      </c>
    </row>
    <row r="155" spans="1:6" ht="14.45" customHeight="1" outlineLevel="1" x14ac:dyDescent="0.2">
      <c r="A155" s="4" t="s">
        <v>163</v>
      </c>
      <c r="B155" s="9" t="s">
        <v>270</v>
      </c>
      <c r="C155" s="39">
        <v>210.62</v>
      </c>
      <c r="D155" s="39" t="s">
        <v>104</v>
      </c>
      <c r="E155" s="8">
        <v>421240</v>
      </c>
      <c r="F155" s="56" t="s">
        <v>336</v>
      </c>
    </row>
    <row r="156" spans="1:6" ht="15.8" customHeight="1" outlineLevel="2" x14ac:dyDescent="0.2">
      <c r="A156" s="4" t="s">
        <v>164</v>
      </c>
      <c r="B156" s="9" t="s">
        <v>221</v>
      </c>
      <c r="C156" s="39">
        <v>720.1</v>
      </c>
      <c r="D156" s="39" t="s">
        <v>104</v>
      </c>
      <c r="E156" s="8">
        <f>[4]Esquadrias!$I$17</f>
        <v>1512210</v>
      </c>
      <c r="F156" s="56" t="s">
        <v>334</v>
      </c>
    </row>
    <row r="157" spans="1:6" ht="15.8" customHeight="1" outlineLevel="2" x14ac:dyDescent="0.2">
      <c r="A157" s="4" t="s">
        <v>165</v>
      </c>
      <c r="B157" s="9" t="s">
        <v>228</v>
      </c>
      <c r="C157" s="39">
        <v>525.64</v>
      </c>
      <c r="D157" s="39" t="s">
        <v>95</v>
      </c>
      <c r="E157" s="8">
        <f>[4]Esquadrias!$I$21</f>
        <v>78846</v>
      </c>
      <c r="F157" s="56" t="s">
        <v>337</v>
      </c>
    </row>
    <row r="158" spans="1:6" ht="15.8" customHeight="1" x14ac:dyDescent="0.2">
      <c r="A158" s="4" t="s">
        <v>342</v>
      </c>
      <c r="B158" s="9" t="s">
        <v>112</v>
      </c>
      <c r="C158" s="39">
        <v>1</v>
      </c>
      <c r="D158" s="39" t="s">
        <v>106</v>
      </c>
      <c r="E158" s="8">
        <v>30000</v>
      </c>
      <c r="F158" s="56" t="s">
        <v>338</v>
      </c>
    </row>
    <row r="159" spans="1:6" ht="14.95" customHeight="1" outlineLevel="1" x14ac:dyDescent="0.2">
      <c r="A159" s="29" t="s">
        <v>76</v>
      </c>
      <c r="B159" s="30" t="s">
        <v>160</v>
      </c>
      <c r="C159" s="38"/>
      <c r="D159" s="38"/>
      <c r="E159" s="31">
        <f>SUM(E160:E161)</f>
        <v>326000</v>
      </c>
      <c r="F159" s="31"/>
    </row>
    <row r="160" spans="1:6" ht="15.8" customHeight="1" outlineLevel="2" x14ac:dyDescent="0.2">
      <c r="A160" s="4" t="s">
        <v>166</v>
      </c>
      <c r="B160" s="9" t="s">
        <v>159</v>
      </c>
      <c r="C160" s="39">
        <v>72</v>
      </c>
      <c r="D160" s="39" t="s">
        <v>106</v>
      </c>
      <c r="E160" s="8">
        <f>[4]Esquadrias!$I$20</f>
        <v>126000</v>
      </c>
      <c r="F160" s="56"/>
    </row>
    <row r="161" spans="1:6" ht="15.8" customHeight="1" outlineLevel="2" x14ac:dyDescent="0.2">
      <c r="A161" s="4" t="s">
        <v>167</v>
      </c>
      <c r="B161" s="9" t="s">
        <v>111</v>
      </c>
      <c r="C161" s="39">
        <v>1</v>
      </c>
      <c r="D161" s="39" t="s">
        <v>87</v>
      </c>
      <c r="E161" s="8">
        <v>200000</v>
      </c>
      <c r="F161" s="8"/>
    </row>
    <row r="162" spans="1:6" ht="15.8" customHeight="1" outlineLevel="2" x14ac:dyDescent="0.2">
      <c r="A162" s="29" t="s">
        <v>77</v>
      </c>
      <c r="B162" s="30" t="s">
        <v>161</v>
      </c>
      <c r="C162" s="38"/>
      <c r="D162" s="38"/>
      <c r="E162" s="31">
        <f>E163+E164</f>
        <v>1034500</v>
      </c>
      <c r="F162" s="31"/>
    </row>
    <row r="163" spans="1:6" ht="15.8" customHeight="1" outlineLevel="2" x14ac:dyDescent="0.2">
      <c r="A163" s="4" t="s">
        <v>310</v>
      </c>
      <c r="B163" s="9" t="s">
        <v>229</v>
      </c>
      <c r="C163" s="39">
        <v>309</v>
      </c>
      <c r="D163" s="39" t="s">
        <v>106</v>
      </c>
      <c r="E163" s="8">
        <v>927000</v>
      </c>
      <c r="F163" s="56" t="s">
        <v>339</v>
      </c>
    </row>
    <row r="164" spans="1:6" ht="15.8" customHeight="1" outlineLevel="2" thickBot="1" x14ac:dyDescent="0.25">
      <c r="A164" s="4" t="s">
        <v>311</v>
      </c>
      <c r="B164" s="49" t="s">
        <v>312</v>
      </c>
      <c r="C164" s="51">
        <v>43</v>
      </c>
      <c r="D164" s="51" t="s">
        <v>106</v>
      </c>
      <c r="E164" s="48">
        <v>107500</v>
      </c>
      <c r="F164" s="57" t="s">
        <v>340</v>
      </c>
    </row>
    <row r="165" spans="1:6" ht="15.8" customHeight="1" x14ac:dyDescent="0.2">
      <c r="A165" s="21">
        <v>15</v>
      </c>
      <c r="B165" s="22" t="s">
        <v>0</v>
      </c>
      <c r="C165" s="33"/>
      <c r="D165" s="33"/>
      <c r="E165" s="23">
        <f>E166+E169+E172</f>
        <v>2672331.2999999998</v>
      </c>
      <c r="F165" s="108">
        <f>E165/$E$187</f>
        <v>4.0993877921129046E-2</v>
      </c>
    </row>
    <row r="166" spans="1:6" ht="14.95" customHeight="1" outlineLevel="1" x14ac:dyDescent="0.2">
      <c r="A166" s="29" t="s">
        <v>78</v>
      </c>
      <c r="B166" s="30" t="s">
        <v>168</v>
      </c>
      <c r="C166" s="38"/>
      <c r="D166" s="38"/>
      <c r="E166" s="31">
        <f>E167+E168</f>
        <v>867301.00000000012</v>
      </c>
      <c r="F166" s="31"/>
    </row>
    <row r="167" spans="1:6" ht="15.8" customHeight="1" outlineLevel="2" x14ac:dyDescent="0.2">
      <c r="A167" s="4" t="s">
        <v>170</v>
      </c>
      <c r="B167" s="9" t="s">
        <v>81</v>
      </c>
      <c r="C167" s="40">
        <v>8673.01</v>
      </c>
      <c r="D167" s="40" t="s">
        <v>104</v>
      </c>
      <c r="E167" s="10">
        <f>'[4]Rev. Fachada'!$I$15</f>
        <v>260190.30000000002</v>
      </c>
      <c r="F167" s="59" t="s">
        <v>341</v>
      </c>
    </row>
    <row r="168" spans="1:6" ht="15.8" customHeight="1" outlineLevel="2" x14ac:dyDescent="0.2">
      <c r="A168" s="4" t="s">
        <v>300</v>
      </c>
      <c r="B168" s="49" t="s">
        <v>301</v>
      </c>
      <c r="C168" s="52">
        <v>8673.01</v>
      </c>
      <c r="D168" s="52" t="s">
        <v>104</v>
      </c>
      <c r="E168" s="50">
        <f>'[4]Rev. Fachada'!$I$16</f>
        <v>607110.70000000007</v>
      </c>
      <c r="F168" s="60"/>
    </row>
    <row r="169" spans="1:6" ht="15.8" customHeight="1" outlineLevel="2" x14ac:dyDescent="0.2">
      <c r="A169" s="29" t="s">
        <v>274</v>
      </c>
      <c r="B169" s="30" t="s">
        <v>169</v>
      </c>
      <c r="C169" s="38"/>
      <c r="D169" s="38"/>
      <c r="E169" s="31">
        <f>E170+E171</f>
        <v>1300951.5</v>
      </c>
      <c r="F169" s="31"/>
    </row>
    <row r="170" spans="1:6" ht="15.8" customHeight="1" outlineLevel="2" x14ac:dyDescent="0.2">
      <c r="A170" s="4" t="s">
        <v>275</v>
      </c>
      <c r="B170" s="9" t="s">
        <v>302</v>
      </c>
      <c r="C170" s="40">
        <v>8673.01</v>
      </c>
      <c r="D170" s="40" t="s">
        <v>104</v>
      </c>
      <c r="E170" s="10">
        <v>520380.6</v>
      </c>
      <c r="F170" s="113" t="s">
        <v>484</v>
      </c>
    </row>
    <row r="171" spans="1:6" ht="15.8" customHeight="1" outlineLevel="2" x14ac:dyDescent="0.2">
      <c r="A171" s="4" t="s">
        <v>276</v>
      </c>
      <c r="B171" s="49" t="s">
        <v>271</v>
      </c>
      <c r="C171" s="52">
        <v>8673.01</v>
      </c>
      <c r="D171" s="52" t="s">
        <v>104</v>
      </c>
      <c r="E171" s="50">
        <v>780570.9</v>
      </c>
      <c r="F171" s="114"/>
    </row>
    <row r="172" spans="1:6" ht="15.8" customHeight="1" x14ac:dyDescent="0.2">
      <c r="A172" s="29" t="s">
        <v>277</v>
      </c>
      <c r="B172" s="30" t="s">
        <v>272</v>
      </c>
      <c r="C172" s="38"/>
      <c r="D172" s="38"/>
      <c r="E172" s="31">
        <f>E173+E175+E174</f>
        <v>504078.8</v>
      </c>
      <c r="F172" s="31"/>
    </row>
    <row r="173" spans="1:6" ht="14.95" customHeight="1" outlineLevel="1" x14ac:dyDescent="0.2">
      <c r="A173" s="4" t="s">
        <v>278</v>
      </c>
      <c r="B173" s="9" t="s">
        <v>313</v>
      </c>
      <c r="C173" s="40">
        <v>514.04</v>
      </c>
      <c r="D173" s="40" t="s">
        <v>104</v>
      </c>
      <c r="E173" s="10">
        <f>'[4]Rev. Fachada'!$I$30</f>
        <v>113088.79999999999</v>
      </c>
      <c r="F173" s="10"/>
    </row>
    <row r="174" spans="1:6" ht="14.95" customHeight="1" outlineLevel="1" x14ac:dyDescent="0.2">
      <c r="A174" s="4" t="s">
        <v>279</v>
      </c>
      <c r="B174" s="9" t="s">
        <v>343</v>
      </c>
      <c r="C174" s="39">
        <v>290.99</v>
      </c>
      <c r="D174" s="39" t="s">
        <v>104</v>
      </c>
      <c r="E174" s="8">
        <f>'[4]Rev. Fachada'!$I$31</f>
        <v>290990</v>
      </c>
      <c r="F174" s="56"/>
    </row>
    <row r="175" spans="1:6" ht="15.8" customHeight="1" outlineLevel="2" thickBot="1" x14ac:dyDescent="0.25">
      <c r="A175" s="4" t="s">
        <v>344</v>
      </c>
      <c r="B175" s="49" t="s">
        <v>273</v>
      </c>
      <c r="C175" s="52">
        <v>1</v>
      </c>
      <c r="D175" s="52" t="s">
        <v>87</v>
      </c>
      <c r="E175" s="50">
        <v>100000</v>
      </c>
      <c r="F175" s="50"/>
    </row>
    <row r="176" spans="1:6" ht="15.8" customHeight="1" outlineLevel="2" x14ac:dyDescent="0.2">
      <c r="A176" s="21">
        <v>17</v>
      </c>
      <c r="B176" s="22" t="s">
        <v>13</v>
      </c>
      <c r="C176" s="33"/>
      <c r="D176" s="33"/>
      <c r="E176" s="23">
        <f>E177</f>
        <v>4713356.95</v>
      </c>
      <c r="F176" s="108">
        <f>E176/$E$187</f>
        <v>7.2303452572293397E-2</v>
      </c>
    </row>
    <row r="177" spans="1:6" ht="15.8" customHeight="1" outlineLevel="2" x14ac:dyDescent="0.2">
      <c r="A177" s="29" t="s">
        <v>75</v>
      </c>
      <c r="B177" s="30" t="s">
        <v>13</v>
      </c>
      <c r="C177" s="38"/>
      <c r="D177" s="38"/>
      <c r="E177" s="31">
        <f>SUM(E178:E183)</f>
        <v>4713356.95</v>
      </c>
      <c r="F177" s="31"/>
    </row>
    <row r="178" spans="1:6" ht="15.8" customHeight="1" outlineLevel="2" x14ac:dyDescent="0.2">
      <c r="A178" s="4" t="s">
        <v>174</v>
      </c>
      <c r="B178" s="9" t="s">
        <v>69</v>
      </c>
      <c r="C178" s="40">
        <v>1</v>
      </c>
      <c r="D178" s="40" t="s">
        <v>87</v>
      </c>
      <c r="E178" s="10">
        <v>3081600</v>
      </c>
      <c r="F178" s="59"/>
    </row>
    <row r="179" spans="1:6" ht="15.8" customHeight="1" outlineLevel="2" x14ac:dyDescent="0.2">
      <c r="A179" s="4" t="s">
        <v>314</v>
      </c>
      <c r="B179" s="9" t="s">
        <v>70</v>
      </c>
      <c r="C179" s="40">
        <v>1</v>
      </c>
      <c r="D179" s="40" t="s">
        <v>87</v>
      </c>
      <c r="E179" s="10">
        <v>145163.79999999999</v>
      </c>
      <c r="F179" s="59"/>
    </row>
    <row r="180" spans="1:6" ht="15.8" customHeight="1" outlineLevel="2" x14ac:dyDescent="0.2">
      <c r="A180" s="4" t="s">
        <v>315</v>
      </c>
      <c r="B180" s="9" t="s">
        <v>71</v>
      </c>
      <c r="C180" s="40">
        <v>1</v>
      </c>
      <c r="D180" s="40" t="s">
        <v>87</v>
      </c>
      <c r="E180" s="10">
        <v>580655.19999999995</v>
      </c>
      <c r="F180" s="59"/>
    </row>
    <row r="181" spans="1:6" ht="15.8" customHeight="1" outlineLevel="2" x14ac:dyDescent="0.2">
      <c r="A181" s="4" t="s">
        <v>316</v>
      </c>
      <c r="B181" s="9" t="s">
        <v>224</v>
      </c>
      <c r="C181" s="40">
        <v>1</v>
      </c>
      <c r="D181" s="40" t="s">
        <v>87</v>
      </c>
      <c r="E181" s="10">
        <v>217745.69999999998</v>
      </c>
      <c r="F181" s="59"/>
    </row>
    <row r="182" spans="1:6" ht="14.95" customHeight="1" outlineLevel="2" x14ac:dyDescent="0.2">
      <c r="A182" s="4" t="s">
        <v>317</v>
      </c>
      <c r="B182" s="9" t="s">
        <v>225</v>
      </c>
      <c r="C182" s="40">
        <v>1</v>
      </c>
      <c r="D182" s="40" t="s">
        <v>87</v>
      </c>
      <c r="E182" s="10">
        <v>470446.55</v>
      </c>
      <c r="F182" s="59"/>
    </row>
    <row r="183" spans="1:6" ht="14.95" customHeight="1" outlineLevel="1" thickBot="1" x14ac:dyDescent="0.25">
      <c r="A183" s="4" t="s">
        <v>318</v>
      </c>
      <c r="B183" s="9" t="s">
        <v>72</v>
      </c>
      <c r="C183" s="40">
        <v>1</v>
      </c>
      <c r="D183" s="40" t="s">
        <v>87</v>
      </c>
      <c r="E183" s="10">
        <v>217745.69999999998</v>
      </c>
      <c r="F183" s="59"/>
    </row>
    <row r="184" spans="1:6" ht="15.8" customHeight="1" outlineLevel="2" thickBot="1" x14ac:dyDescent="0.25">
      <c r="A184" s="21">
        <v>18</v>
      </c>
      <c r="B184" s="22" t="s">
        <v>238</v>
      </c>
      <c r="C184" s="33"/>
      <c r="D184" s="33"/>
      <c r="E184" s="23">
        <f>E185</f>
        <v>871221.67704471538</v>
      </c>
      <c r="F184" s="108">
        <f>E184/$E$187</f>
        <v>1.3364643474786371E-2</v>
      </c>
    </row>
    <row r="185" spans="1:6" ht="14.95" customHeight="1" outlineLevel="1" x14ac:dyDescent="0.2">
      <c r="A185" s="24" t="s">
        <v>319</v>
      </c>
      <c r="B185" s="25" t="s">
        <v>238</v>
      </c>
      <c r="C185" s="37"/>
      <c r="D185" s="37"/>
      <c r="E185" s="26">
        <f>E186</f>
        <v>871221.67704471538</v>
      </c>
      <c r="F185" s="26"/>
    </row>
    <row r="186" spans="1:6" ht="14.95" customHeight="1" outlineLevel="2" thickBot="1" x14ac:dyDescent="0.25">
      <c r="A186" s="15" t="s">
        <v>320</v>
      </c>
      <c r="B186" s="16" t="s">
        <v>321</v>
      </c>
      <c r="C186" s="34">
        <v>1</v>
      </c>
      <c r="D186" s="34" t="s">
        <v>87</v>
      </c>
      <c r="E186" s="17">
        <f>[7]ORÇAMENTO_PARAMÉTRICO!$B$17</f>
        <v>871221.67704471538</v>
      </c>
      <c r="F186" s="10"/>
    </row>
    <row r="187" spans="1:6" ht="14.95" customHeight="1" outlineLevel="2" thickBot="1" x14ac:dyDescent="0.25">
      <c r="A187" s="111" t="s">
        <v>222</v>
      </c>
      <c r="B187" s="112"/>
      <c r="C187" s="13"/>
      <c r="D187" s="13"/>
      <c r="E187" s="14">
        <f>E1292+E176+E165+E151+E145+E137+E122+E111+E101+E79+E57+E41+E25+E13+E5+E2+E184</f>
        <v>65188546.083429404</v>
      </c>
      <c r="F187" s="14"/>
    </row>
    <row r="188" spans="1:6" outlineLevel="2" x14ac:dyDescent="0.2"/>
    <row r="189" spans="1:6" ht="14.95" customHeight="1" outlineLevel="2" x14ac:dyDescent="0.2">
      <c r="E189" s="61"/>
    </row>
    <row r="190" spans="1:6" ht="15.8" customHeight="1" x14ac:dyDescent="0.2">
      <c r="E190" s="61"/>
    </row>
    <row r="191" spans="1:6" ht="14.95" customHeight="1" outlineLevel="1" x14ac:dyDescent="0.2"/>
    <row r="192" spans="1:6" outlineLevel="2" x14ac:dyDescent="0.2"/>
    <row r="193" ht="14.95" customHeight="1" outlineLevel="1" x14ac:dyDescent="0.2"/>
    <row r="194" outlineLevel="2" x14ac:dyDescent="0.2"/>
    <row r="195" outlineLevel="2" x14ac:dyDescent="0.2"/>
    <row r="196" ht="15.8" customHeight="1" x14ac:dyDescent="0.2"/>
    <row r="197" ht="14.95" customHeight="1" outlineLevel="1" x14ac:dyDescent="0.2"/>
    <row r="198" outlineLevel="2" x14ac:dyDescent="0.2"/>
    <row r="199" outlineLevel="2" x14ac:dyDescent="0.2"/>
    <row r="200" outlineLevel="2" x14ac:dyDescent="0.2"/>
    <row r="201" ht="16.5" customHeight="1" outlineLevel="2" x14ac:dyDescent="0.2"/>
    <row r="202" outlineLevel="2" x14ac:dyDescent="0.2"/>
    <row r="203" outlineLevel="2" x14ac:dyDescent="0.2"/>
    <row r="204" outlineLevel="2" x14ac:dyDescent="0.2"/>
    <row r="205" outlineLevel="2" x14ac:dyDescent="0.2"/>
    <row r="206" ht="15.8" customHeight="1" x14ac:dyDescent="0.2"/>
    <row r="207" ht="15.8" customHeight="1" outlineLevel="1" x14ac:dyDescent="0.2"/>
    <row r="208" ht="15.8" customHeight="1" outlineLevel="2" x14ac:dyDescent="0.2"/>
  </sheetData>
  <mergeCells count="2">
    <mergeCell ref="A187:B187"/>
    <mergeCell ref="F170:F171"/>
  </mergeCells>
  <phoneticPr fontId="8" type="noConversion"/>
  <pageMargins left="0.51181102362204722" right="0.51181102362204722" top="0.78740157480314965" bottom="0.78740157480314965" header="0.31496062992125984" footer="0.31496062992125984"/>
  <pageSetup paperSize="9" scal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CUSTOS INDIRETOS</vt:lpstr>
      <vt:lpstr>ORÇAMENTO 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Bianca Karine Galvin</cp:lastModifiedBy>
  <cp:lastPrinted>2024-06-14T19:32:02Z</cp:lastPrinted>
  <dcterms:created xsi:type="dcterms:W3CDTF">2020-06-25T16:50:19Z</dcterms:created>
  <dcterms:modified xsi:type="dcterms:W3CDTF">2024-08-06T19:39:16Z</dcterms:modified>
</cp:coreProperties>
</file>