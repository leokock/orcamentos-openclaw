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BD Empreendimentos\2025 - Jardim Campeche\04. Custo\04.1 Custo - Paramétrico\02 - Diretos\"/>
    </mc:Choice>
  </mc:AlternateContent>
  <xr:revisionPtr revIDLastSave="0" documentId="13_ncr:1_{EAFC4411-9613-427E-979E-7541BAA46D47}" xr6:coauthVersionLast="47" xr6:coauthVersionMax="47" xr10:uidLastSave="{00000000-0000-0000-0000-000000000000}"/>
  <bookViews>
    <workbookView xWindow="-23148" yWindow="-48" windowWidth="23256" windowHeight="12456" tabRatio="849" activeTab="7" xr2:uid="{00000000-000D-0000-FFFF-FFFF00000000}"/>
  </bookViews>
  <sheets>
    <sheet name="Obra " sheetId="67" r:id="rId1"/>
    <sheet name="DADOS_INICIAIS" sheetId="46" r:id="rId2"/>
    <sheet name="MOVIMENTAÇÃO_DE_TERRA" sheetId="47" r:id="rId3"/>
    <sheet name="INFRAESTRUTURA" sheetId="21" r:id="rId4"/>
    <sheet name="CONTENÇÕES" sheetId="49" r:id="rId5"/>
    <sheet name="SUPRAESTRUTURA" sheetId="48" r:id="rId6"/>
    <sheet name="ALVENARIA" sheetId="61" r:id="rId7"/>
    <sheet name="IMPERMEABILIZAÇÃO" sheetId="62" r:id="rId8"/>
    <sheet name="INSTALAÇÕES" sheetId="58" r:id="rId9"/>
    <sheet name="SISTEMAS ESPECIAIS" sheetId="59" r:id="rId10"/>
    <sheet name="ARQUITETURA" sheetId="69" r:id="rId11"/>
    <sheet name="Rev. Internos Piso e Parede" sheetId="51" r:id="rId12"/>
    <sheet name="TETO" sheetId="63" r:id="rId13"/>
    <sheet name="Acabamentos de Piso e Parede" sheetId="53" r:id="rId14"/>
    <sheet name="PINTURA INTERNA" sheetId="64" r:id="rId15"/>
    <sheet name="ESQUADRIAS" sheetId="65" r:id="rId16"/>
    <sheet name="COBERTURA" sheetId="66" state="hidden" r:id="rId17"/>
    <sheet name="Rev. Fachada" sheetId="55" r:id="rId18"/>
    <sheet name="COMPLEMENTARES" sheetId="60" r:id="rId19"/>
    <sheet name="Auxiliar" sheetId="36" state="hidden" r:id="rId20"/>
  </sheets>
  <externalReferences>
    <externalReference r:id="rId21"/>
    <externalReference r:id="rId22"/>
    <externalReference r:id="rId23"/>
  </externalReferences>
  <definedNames>
    <definedName name="\0" localSheetId="16">#REF!</definedName>
    <definedName name="\0" localSheetId="18">#REF!</definedName>
    <definedName name="\0" localSheetId="1">#REF!</definedName>
    <definedName name="\0" localSheetId="8">#REF!</definedName>
    <definedName name="\0" localSheetId="2">#REF!</definedName>
    <definedName name="\0" localSheetId="0">#REF!</definedName>
    <definedName name="\0" localSheetId="9">#REF!</definedName>
    <definedName name="\0">#REF!</definedName>
    <definedName name="\1">#REF!</definedName>
    <definedName name="\a" localSheetId="1">#REF!</definedName>
    <definedName name="\a" localSheetId="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 localSheetId="1">#REF!</definedName>
    <definedName name="\m" localSheetId="0">#REF!</definedName>
    <definedName name="\m">#REF!</definedName>
    <definedName name="\o" localSheetId="0">#REF!</definedName>
    <definedName name="\o">#REF!</definedName>
    <definedName name="\p">#REF!</definedName>
    <definedName name="\r">#REF!</definedName>
    <definedName name="\T">#REF!</definedName>
    <definedName name="\xasd" localSheetId="0" hidden="1">{#N/A,#N/A,FALSE,"Plan1";#N/A,#N/A,FALSE,"Plan2"}</definedName>
    <definedName name="\xasd" hidden="1">{#N/A,#N/A,FALSE,"Plan1";#N/A,#N/A,FALSE,"Plan2"}</definedName>
    <definedName name="\z" localSheetId="0">#REF!</definedName>
    <definedName name="\z">#REF!</definedName>
    <definedName name="_" localSheetId="0" hidden="1">#REF!</definedName>
    <definedName name="_" hidden="1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 localSheetId="0" hidden="1">#REF!</definedName>
    <definedName name="__" hidden="1">#REF!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0">#REF!</definedName>
    <definedName name="______ACR10">#REF!</definedName>
    <definedName name="______ACR15" localSheetId="0">#REF!</definedName>
    <definedName name="______ACR15">#REF!</definedName>
    <definedName name="______acr20" localSheetId="0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0">#REF!</definedName>
    <definedName name="_____ACR10">#REF!</definedName>
    <definedName name="_____ACR15" localSheetId="0">#REF!</definedName>
    <definedName name="_____ACR15">#REF!</definedName>
    <definedName name="_____acr20" localSheetId="0">#REF!</definedName>
    <definedName name="_____acr20">#REF!</definedName>
    <definedName name="_____acr5">#REF!</definedName>
    <definedName name="_____ARQ1">#REF!</definedName>
    <definedName name="_____key2" localSheetId="0" hidden="1">#REF!</definedName>
    <definedName name="_____key2" hidden="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0" hidden="1">#REF!</definedName>
    <definedName name="____key2" hidden="1">#REF!</definedName>
    <definedName name="____la29" localSheetId="0" hidden="1">#REF!</definedName>
    <definedName name="____la29" hidden="1">#REF!</definedName>
    <definedName name="____la3" localSheetId="0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localSheetId="0" hidden="1">{"'장비'!$A$3:$M$12"}</definedName>
    <definedName name="____PK2" hidden="1">{"'장비'!$A$3:$M$12"}</definedName>
    <definedName name="____PKG3" localSheetId="0" hidden="1">{"'장비'!$A$3:$M$12"}</definedName>
    <definedName name="____PKG3" hidden="1">{"'장비'!$A$3:$M$12"}</definedName>
    <definedName name="____qqq222" localSheetId="0" hidden="1">{"'장비'!$A$3:$M$12"}</definedName>
    <definedName name="____qqq222" hidden="1">{"'장비'!$A$3:$M$12"}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localSheetId="0" hidden="1">#REF!</definedName>
    <definedName name="____x10" hidden="1">#REF!</definedName>
    <definedName name="____x11" localSheetId="0" hidden="1">#REF!</definedName>
    <definedName name="____x11" hidden="1">#REF!</definedName>
    <definedName name="____x12" localSheetId="0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0" hidden="1">#REF!</definedName>
    <definedName name="___key2" hidden="1">#REF!</definedName>
    <definedName name="___la29" localSheetId="0" hidden="1">#REF!</definedName>
    <definedName name="___la29" hidden="1">#REF!</definedName>
    <definedName name="___la3" localSheetId="0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localSheetId="0" hidden="1">{"'장비'!$A$3:$M$12"}</definedName>
    <definedName name="___PK2" hidden="1">{"'장비'!$A$3:$M$12"}</definedName>
    <definedName name="___PKG3" localSheetId="0" hidden="1">{"'장비'!$A$3:$M$12"}</definedName>
    <definedName name="___PKG3" hidden="1">{"'장비'!$A$3:$M$12"}</definedName>
    <definedName name="___qqq222" localSheetId="0" hidden="1">{"'장비'!$A$3:$M$12"}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localSheetId="0" hidden="1">#REF!</definedName>
    <definedName name="___x10" hidden="1">#REF!</definedName>
    <definedName name="___x11" localSheetId="0" hidden="1">#REF!</definedName>
    <definedName name="___x11" hidden="1">#REF!</definedName>
    <definedName name="___x12" localSheetId="0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localSheetId="0" hidden="1">#REF!</definedName>
    <definedName name="__123Graph_AGRA1" hidden="1">#REF!</definedName>
    <definedName name="__123Graph_ARES" localSheetId="0" hidden="1">#REF!</definedName>
    <definedName name="__123Graph_ARES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localSheetId="0" hidden="1">#REF!</definedName>
    <definedName name="__123Graph_C" hidden="1">#REF!</definedName>
    <definedName name="__123Graph_D" localSheetId="0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localSheetId="0" hidden="1">#REF!</definedName>
    <definedName name="__123Graph_XGRA1" hidden="1">#REF!</definedName>
    <definedName name="__123Graph_XRES" localSheetId="0" hidden="1">#REF!</definedName>
    <definedName name="__123Graph_XRES" hidden="1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0">#REF!</definedName>
    <definedName name="__htm2">#REF!</definedName>
    <definedName name="__htn2" localSheetId="0">#REF!</definedName>
    <definedName name="__htn2">#REF!</definedName>
    <definedName name="__iss2" localSheetId="0">#REF!</definedName>
    <definedName name="__iss2">#REF!</definedName>
    <definedName name="__key2" localSheetId="0" hidden="1">#REF!</definedName>
    <definedName name="__key2" hidden="1">#REF!</definedName>
    <definedName name="__la29" localSheetId="0" hidden="1">#REF!</definedName>
    <definedName name="__la29" hidden="1">#REF!</definedName>
    <definedName name="__la3" localSheetId="0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localSheetId="0" hidden="1">{"'장비'!$A$3:$M$12"}</definedName>
    <definedName name="__PK2" hidden="1">{"'장비'!$A$3:$M$12"}</definedName>
    <definedName name="__PKG3" localSheetId="0" hidden="1">{"'장비'!$A$3:$M$12"}</definedName>
    <definedName name="__PKG3" hidden="1">{"'장비'!$A$3:$M$12"}</definedName>
    <definedName name="__qqq222" localSheetId="0" hidden="1">{"'장비'!$A$3:$M$12"}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localSheetId="0" hidden="1">#REF!</definedName>
    <definedName name="__x10" hidden="1">#REF!</definedName>
    <definedName name="__x11" localSheetId="0" hidden="1">#REF!</definedName>
    <definedName name="__x11" hidden="1">#REF!</definedName>
    <definedName name="__x12" localSheetId="0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localSheetId="0" hidden="1">#REF!</definedName>
    <definedName name="_1__123Graph_ACHART_1" hidden="1">#REF!</definedName>
    <definedName name="_10__123Graph_CCHART_1" localSheetId="0" hidden="1">#REF!</definedName>
    <definedName name="_10__123Graph_CCHART_1" hidden="1">#REF!</definedName>
    <definedName name="_11.SERV.TECNIC">#REF!</definedName>
    <definedName name="_11__123Graph_DCHART_1" localSheetId="0" hidden="1">#REF!</definedName>
    <definedName name="_11__123Graph_DCHART_1" hidden="1">#REF!</definedName>
    <definedName name="_12.GAST_GERAIS">#REF!</definedName>
    <definedName name="_12__123Graph_XChart_1A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 hidden="1">#REF!</definedName>
    <definedName name="_2">#REF!</definedName>
    <definedName name="_2__123Graph_BCHART_1" localSheetId="0" hidden="1">#REF!</definedName>
    <definedName name="_2__123Graph_BCHART_1" hidden="1">#REF!</definedName>
    <definedName name="_25.PREP.TERREN">#REF!</definedName>
    <definedName name="_27.FUND._ESCOR">#REF!</definedName>
    <definedName name="_2F" hidden="1">#REF!</definedName>
    <definedName name="_3__123Graph_XCHART_1" localSheetId="0" hidden="1">#REF!</definedName>
    <definedName name="_3__123Graph_XCHART_1" hidden="1">#REF!</definedName>
    <definedName name="_31_32_33.C_A">#REF!</definedName>
    <definedName name="_41.ALVENARIA">#REF!</definedName>
    <definedName name="_47.IMP._ISOLA.">#REF!</definedName>
    <definedName name="_5__123Graph_ACHART_1" localSheetId="0" hidden="1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 hidden="1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localSheetId="0" hidden="1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8__123Graph_BChart_1A" hidden="1">#REF!</definedName>
    <definedName name="_81.APAR._SANIT">#REF!</definedName>
    <definedName name="_83_85.PINT_LIM">#REF!</definedName>
    <definedName name="_9__123Graph_BCHART_2" localSheetId="0" hidden="1">#REF!</definedName>
    <definedName name="_9__123Graph_BCHART_2" hidden="1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 hidden="1">"'54256040-62ff-475a-9348-dbdfce08df30'"</definedName>
    <definedName name="_ARQ1" localSheetId="0">#REF!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uiltin13" localSheetId="0" hidden="1">#REF!</definedName>
    <definedName name="_Builtin13" hidden="1">#REF!</definedName>
    <definedName name="_CAB1">#REF!</definedName>
    <definedName name="_CAB2">#REF!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localSheetId="0" hidden="1">#REF!</definedName>
    <definedName name="_Fill" hidden="1">#REF!</definedName>
    <definedName name="_fill1" localSheetId="0" hidden="1">#REF!</definedName>
    <definedName name="_fill1" hidden="1">#REF!</definedName>
    <definedName name="_FiltrarBancoDados2" localSheetId="0" hidden="1">#REF!</definedName>
    <definedName name="_FiltrarBancoDados2" hidden="1">#REF!</definedName>
    <definedName name="_xlnm._FilterDatabase" localSheetId="19" hidden="1">Auxiliar!$A$1:$D$68</definedName>
    <definedName name="_xlnm._FilterDatabase" localSheetId="1" hidden="1">DADOS_INICIAIS!#REF!</definedName>
    <definedName name="_xlnm._FilterDatabase" localSheetId="0" hidden="1">#REF!</definedName>
    <definedName name="_xlnm._FilterDatabase" hidden="1">#REF!</definedName>
    <definedName name="_htm2" localSheetId="0">#REF!</definedName>
    <definedName name="_htm2">#REF!</definedName>
    <definedName name="_htn2" localSheetId="0">#REF!</definedName>
    <definedName name="_htn2">#REF!</definedName>
    <definedName name="_IA0542" localSheetId="0" hidden="1">{#N/A,#N/A,FALSE,"Plan1";#N/A,#N/A,FALSE,"Plan2"}</definedName>
    <definedName name="_IA0542" hidden="1">{#N/A,#N/A,FALSE,"Plan1";#N/A,#N/A,FALSE,"Plan2"}</definedName>
    <definedName name="_iss2" localSheetId="0">#REF!</definedName>
    <definedName name="_iss2">#REF!</definedName>
    <definedName name="_IV65617" localSheetId="0">#REF!</definedName>
    <definedName name="_IV65617">#REF!</definedName>
    <definedName name="_IV65999" localSheetId="0">#REF!</definedName>
    <definedName name="_IV65999">#REF!</definedName>
    <definedName name="_IV66000">#REF!</definedName>
    <definedName name="_IV67021">#REF!</definedName>
    <definedName name="_IV67022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hidden="1">#REF!</definedName>
    <definedName name="_key4" hidden="1">#REF!</definedName>
    <definedName name="_l">#REF!</definedName>
    <definedName name="_la29" localSheetId="0" hidden="1">#REF!</definedName>
    <definedName name="_la29" hidden="1">#REF!</definedName>
    <definedName name="_la3" localSheetId="0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localSheetId="0" hidden="1">#REF!</definedName>
    <definedName name="_MatMult_A" hidden="1">#REF!</definedName>
    <definedName name="_MatMult_AxB" hidden="1">#REF!</definedName>
    <definedName name="_MatMult_B" hidden="1">#REF!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localSheetId="0" hidden="1">255</definedName>
    <definedName name="_Order2" hidden="1">255</definedName>
    <definedName name="_Parse_Out" localSheetId="0" hidden="1">#REF!</definedName>
    <definedName name="_Parse_Out" hidden="1">#REF!</definedName>
    <definedName name="_PAV01" localSheetId="0">#REF!</definedName>
    <definedName name="_PAV01">#REF!</definedName>
    <definedName name="_PAV02" localSheetId="0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localSheetId="0" hidden="1">{"'장비'!$A$3:$M$12"}</definedName>
    <definedName name="_PK2" hidden="1">{"'장비'!$A$3:$M$12"}</definedName>
    <definedName name="_PKG3" localSheetId="0" hidden="1">{"'장비'!$A$3:$M$12"}</definedName>
    <definedName name="_PKG3" hidden="1">{"'장비'!$A$3:$M$12"}</definedName>
    <definedName name="_qqq222" localSheetId="0" hidden="1">{"'장비'!$A$3:$M$12"}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0" hidden="1">#REF!</definedName>
    <definedName name="_Sort" hidden="1">#REF!</definedName>
    <definedName name="_T" localSheetId="0">#REF!</definedName>
    <definedName name="_T">#REF!</definedName>
    <definedName name="_Table1_In1" localSheetId="0" hidden="1">#REF!</definedName>
    <definedName name="_Table1_In1" hidden="1">#REF!</definedName>
    <definedName name="_Table1_Out" hidden="1">#REF!</definedName>
    <definedName name="_wer3" localSheetId="0" hidden="1">{#N/A,#N/A,FALSE,"Plan1";#N/A,#N/A,FALSE,"Plan2"}</definedName>
    <definedName name="_wer3" hidden="1">{#N/A,#N/A,FALSE,"Plan1";#N/A,#N/A,FALSE,"Plan2"}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0" hidden="1">#REF!</definedName>
    <definedName name="_x10" hidden="1">#REF!</definedName>
    <definedName name="_x11" localSheetId="0" hidden="1">#REF!</definedName>
    <definedName name="_x11" hidden="1">#REF!</definedName>
    <definedName name="_x12" localSheetId="0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localSheetId="0" hidden="1">#REF!</definedName>
    <definedName name="_xlcn.WorksheetConnection_2018_03ResumoRGOObrasRJ.xlsbTabela1" hidden="1">#REF!</definedName>
    <definedName name="_xlcn.WorksheetConnection_ProjetocontrolefisicoefinanceiroRJ.xlsxTabela31" localSheetId="0" hidden="1">#REF!</definedName>
    <definedName name="_xlcn.WorksheetConnection_ProjetocontrolefisicoefinanceiroRJ.xlsxTabela31" hidden="1">#REF!</definedName>
    <definedName name="´cAE°eE¹" localSheetId="0" hidden="1">#REF!</definedName>
    <definedName name="´cAE°eE¹" hidden="1">#REF!</definedName>
    <definedName name="￠￥cAE¡ÆeEⓒo" hidden="1">#REF!</definedName>
    <definedName name="a" localSheetId="0" hidden="1">#REF!</definedName>
    <definedName name="a">#REF!</definedName>
    <definedName name="a\sgt" localSheetId="0" hidden="1">{#N/A,#N/A,FALSE,"Plan1";#N/A,#N/A,FALSE,"Plan2"}</definedName>
    <definedName name="a\sgt" hidden="1">{#N/A,#N/A,FALSE,"Plan1";#N/A,#N/A,FALSE,"Plan2"}</definedName>
    <definedName name="aa" localSheetId="1">#REF!</definedName>
    <definedName name="aa" localSheetId="0">#REF!</definedName>
    <definedName name="aa">#REF!</definedName>
    <definedName name="aaa">#REF!</definedName>
    <definedName name="aaaa" localSheetId="16">'[1]M.O.'!#REF!</definedName>
    <definedName name="aaaa" localSheetId="18">'[1]M.O.'!#REF!</definedName>
    <definedName name="aaaa" localSheetId="1">'[1]M.O.'!#REF!</definedName>
    <definedName name="aaaa" localSheetId="8">'[1]M.O.'!#REF!</definedName>
    <definedName name="aaaa" localSheetId="2">'[1]M.O.'!#REF!</definedName>
    <definedName name="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9">'[1]M.O.'!#REF!</definedName>
    <definedName name="aaaa">'[1]M.O.'!#REF!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0">#REF!</definedName>
    <definedName name="aaaadc">#REF!</definedName>
    <definedName name="aaacccc" localSheetId="0" hidden="1">{#N/A,#N/A,FALSE,"Plan1";#N/A,#N/A,FALSE,"Plan2"}</definedName>
    <definedName name="aaacccc" hidden="1">{#N/A,#N/A,FALSE,"Plan1";#N/A,#N/A,FALSE,"Plan2"}</definedName>
    <definedName name="aaas" localSheetId="0">#REF!</definedName>
    <definedName name="aaas">#REF!</definedName>
    <definedName name="AB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>#REF!</definedName>
    <definedName name="Abat_ISS" localSheetId="0">#REF!</definedName>
    <definedName name="Abat_ISS">#REF!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localSheetId="0" hidden="1">#REF!</definedName>
    <definedName name="ABCD" hidden="1">#REF!</definedName>
    <definedName name="abebqt" localSheetId="0">#REF!</definedName>
    <definedName name="abebqt">#REF!</definedName>
    <definedName name="abr17RJ" localSheetId="0">#REF!</definedName>
    <definedName name="abr17RJ">#REF!</definedName>
    <definedName name="ABRIL">#REF!</definedName>
    <definedName name="ABRIL2001">#REF!</definedName>
    <definedName name="ac" localSheetId="0" hidden="1">#REF!</definedName>
    <definedName name="ac" hidden="1">#REF!</definedName>
    <definedName name="Acabam.">#REF!</definedName>
    <definedName name="ACADUC">#REF!</definedName>
    <definedName name="ACBEB">#REF!</definedName>
    <definedName name="ACBOMB">#REF!</definedName>
    <definedName name="AccessDatabase" hidden="1">"C:\posec\DATABASE\vlv_list\vlvlist1.mdb"</definedName>
    <definedName name="ACCHAF" localSheetId="0">#REF!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localSheetId="0" hidden="1">#REF!</definedName>
    <definedName name="acdb" hidden="1">#REF!</definedName>
    <definedName name="ACDER" localSheetId="0">#REF!</definedName>
    <definedName name="ACDER">#REF!</definedName>
    <definedName name="ACDIV" localSheetId="0">#REF!</definedName>
    <definedName name="ACDIV">#REF!</definedName>
    <definedName name="ACDS" localSheetId="0" hidden="1">#REF!</definedName>
    <definedName name="ACDS" hidden="1">#REF!</definedName>
    <definedName name="ACEQP">#REF!</definedName>
    <definedName name="ACHAFQT">#REF!</definedName>
    <definedName name="achar18" localSheetId="0" hidden="1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çoeeer" localSheetId="0" hidden="1">{#N/A,#N/A,FALSE,"Plan1";#N/A,#N/A,FALSE,"Plan2"}</definedName>
    <definedName name="açoeeer" hidden="1">{#N/A,#N/A,FALSE,"Plan1";#N/A,#N/A,FALSE,"Plan2"}</definedName>
    <definedName name="ACOMP" localSheetId="0">#REF!</definedName>
    <definedName name="ACOMP">#REF!</definedName>
    <definedName name="ACONT2" localSheetId="0">#REF!</definedName>
    <definedName name="ACONT2">#REF!</definedName>
    <definedName name="ACPIPA" localSheetId="0">#REF!</definedName>
    <definedName name="ACPIPA">#REF!</definedName>
    <definedName name="ACTRANSP">#REF!</definedName>
    <definedName name="ACwvu.Características." localSheetId="0" hidden="1">#REF!</definedName>
    <definedName name="ACwvu.Características." hidden="1">#REF!</definedName>
    <definedName name="ACwvu.Ciclos." localSheetId="0" hidden="1">#REF!</definedName>
    <definedName name="ACwvu.Ciclos." hidden="1">#REF!</definedName>
    <definedName name="ACwvu.Custos." localSheetId="0" hidden="1">#REF!</definedName>
    <definedName name="ACwvu.Custos." hidden="1">#REF!</definedName>
    <definedName name="ACwvu.PLANILHA2." localSheetId="0" hidden="1">#REF!</definedName>
    <definedName name="ACwvu.PLANILHA2." hidden="1">#REF!</definedName>
    <definedName name="ACwvu.Recursos." hidden="1">#REF!</definedName>
    <definedName name="ad" localSheetId="0" hidden="1">{#N/A,#N/A,FALSE,"Plan1";#N/A,#N/A,FALSE,"Plan2"}</definedName>
    <definedName name="ad" hidden="1">{#N/A,#N/A,FALSE,"Plan1";#N/A,#N/A,FALSE,"Plan2"}</definedName>
    <definedName name="adads" localSheetId="0" hidden="1">{#N/A,#N/A,FALSE,"Plan1";#N/A,#N/A,FALSE,"Plan2"}</definedName>
    <definedName name="adads" hidden="1">{#N/A,#N/A,FALSE,"Plan1";#N/A,#N/A,FALSE,"Plan2"}</definedName>
    <definedName name="adads2" localSheetId="0" hidden="1">{#N/A,#N/A,FALSE,"Plan1";#N/A,#N/A,FALSE,"Plan2"}</definedName>
    <definedName name="adads2" hidden="1">{#N/A,#N/A,FALSE,"Plan1";#N/A,#N/A,FALSE,"Plan2"}</definedName>
    <definedName name="adced" localSheetId="0" hidden="1">{#N/A,#N/A,FALSE,"Plan1";#N/A,#N/A,FALSE,"Plan2"}</definedName>
    <definedName name="adced" hidden="1">{#N/A,#N/A,FALSE,"Plan1";#N/A,#N/A,FALSE,"Plan2"}</definedName>
    <definedName name="adced2" localSheetId="0" hidden="1">{#N/A,#N/A,FALSE,"Plan1";#N/A,#N/A,FALSE,"Plan2"}</definedName>
    <definedName name="adced2" hidden="1">{#N/A,#N/A,FALSE,"Plan1";#N/A,#N/A,FALSE,"Plan2"}</definedName>
    <definedName name="ader" localSheetId="0" hidden="1">{#N/A,#N/A,FALSE,"Plan1";#N/A,#N/A,FALSE,"Plan2"}</definedName>
    <definedName name="ader" hidden="1">{#N/A,#N/A,FALSE,"Plan1";#N/A,#N/A,FALSE,"Plan2"}</definedName>
    <definedName name="ader2" localSheetId="0" hidden="1">{#N/A,#N/A,FALSE,"Plan1";#N/A,#N/A,FALSE,"Plan2"}</definedName>
    <definedName name="ader2" hidden="1">{#N/A,#N/A,FALSE,"Plan1";#N/A,#N/A,FALSE,"Plan2"}</definedName>
    <definedName name="adesr" localSheetId="0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localSheetId="0" hidden="1">{#N/A,#N/A,FALSE,"Plan1";#N/A,#N/A,FALSE,"Plan2"}</definedName>
    <definedName name="adewr" hidden="1">{#N/A,#N/A,FALSE,"Plan1";#N/A,#N/A,FALSE,"Plan2"}</definedName>
    <definedName name="adf" localSheetId="0" hidden="1">{#N/A,#N/A,FALSE,"Plan1";#N/A,#N/A,FALSE,"Plan2"}</definedName>
    <definedName name="adf" hidden="1">{#N/A,#N/A,FALSE,"Plan1";#N/A,#N/A,FALSE,"Plan2"}</definedName>
    <definedName name="ADITIVO_BRUTO" localSheetId="0">#REF!</definedName>
    <definedName name="ADITIVO_BRUTO">#REF!</definedName>
    <definedName name="ADITIVO_LIQUIDO" localSheetId="0">#REF!</definedName>
    <definedName name="ADITIVO_LIQUIDO">#REF!</definedName>
    <definedName name="ADM.EXTERNA" localSheetId="0">#REF!</definedName>
    <definedName name="ADM.EXTERNA">#REF!</definedName>
    <definedName name="adsfr" localSheetId="0" hidden="1">{#N/A,#N/A,FALSE,"Plan1";#N/A,#N/A,FALSE,"Plan2"}</definedName>
    <definedName name="adsfr" hidden="1">{#N/A,#N/A,FALSE,"Plan1";#N/A,#N/A,FALSE,"Plan2"}</definedName>
    <definedName name="adssrgtg" localSheetId="0" hidden="1">{#N/A,#N/A,FALSE,"Plan1";#N/A,#N/A,FALSE,"Plan2"}</definedName>
    <definedName name="adssrgtg" hidden="1">{#N/A,#N/A,FALSE,"Plan1";#N/A,#N/A,FALSE,"Plan2"}</definedName>
    <definedName name="adtsetrr6t" localSheetId="0" hidden="1">{#N/A,#N/A,FALSE,"Plan1";#N/A,#N/A,FALSE,"Plan2"}</definedName>
    <definedName name="adtsetrr6t" hidden="1">{#N/A,#N/A,FALSE,"Plan1";#N/A,#N/A,FALSE,"Plan2"}</definedName>
    <definedName name="ADUCQT" localSheetId="0">#REF!</definedName>
    <definedName name="ADUCQT">#REF!</definedName>
    <definedName name="adwr" localSheetId="0" hidden="1">{#N/A,#N/A,FALSE,"Plan1";#N/A,#N/A,FALSE,"Plan2"}</definedName>
    <definedName name="adwr" hidden="1">{#N/A,#N/A,FALSE,"Plan1";#N/A,#N/A,FALSE,"Plan2"}</definedName>
    <definedName name="aeiresft" localSheetId="0" hidden="1">{#N/A,#N/A,FALSE,"Plan1";#N/A,#N/A,FALSE,"Plan2"}</definedName>
    <definedName name="aeiresft" hidden="1">{#N/A,#N/A,FALSE,"Plan1";#N/A,#N/A,FALSE,"Plan2"}</definedName>
    <definedName name="aEL3QE" localSheetId="0" hidden="1">{#N/A,#N/A,FALSE,"Plan1";#N/A,#N/A,FALSE,"Plan2"}</definedName>
    <definedName name="aEL3QE" hidden="1">{#N/A,#N/A,FALSE,"Plan1";#N/A,#N/A,FALSE,"Plan2"}</definedName>
    <definedName name="afeasfre" localSheetId="0" hidden="1">{#N/A,#N/A,FALSE,"Plan1";#N/A,#N/A,FALSE,"Plan2"}</definedName>
    <definedName name="afeasfre" hidden="1">{#N/A,#N/A,FALSE,"Plan1";#N/A,#N/A,FALSE,"Plan2"}</definedName>
    <definedName name="agdsf" localSheetId="0" hidden="1">#REF!</definedName>
    <definedName name="agdsf" hidden="1">#REF!</definedName>
    <definedName name="ago17RJ" localSheetId="0">#REF!</definedName>
    <definedName name="ago17RJ">#REF!</definedName>
    <definedName name="AGOSTO" localSheetId="0">#REF!</definedName>
    <definedName name="AGOSTO">#REF!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0" hidden="1">{#N/A,#N/A,FALSE,"CCTV"}</definedName>
    <definedName name="AH" hidden="1">{#N/A,#N/A,FALSE,"CCTV"}</definedName>
    <definedName name="AITEM" localSheetId="0">#REF!</definedName>
    <definedName name="AITEM">#REF!</definedName>
    <definedName name="Ajudante_Geral" localSheetId="0">#REF!</definedName>
    <definedName name="Ajudante_Geral">#REF!</definedName>
    <definedName name="ajudante_mes" localSheetId="0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 localSheetId="16">[2]Geral!#REF!</definedName>
    <definedName name="angelo" localSheetId="18">[2]Geral!#REF!</definedName>
    <definedName name="angelo" localSheetId="1">[2]Geral!#REF!</definedName>
    <definedName name="angelo" localSheetId="8">[2]Geral!#REF!</definedName>
    <definedName name="angelo" localSheetId="2">[2]Geral!#REF!</definedName>
    <definedName name="angelo" localSheetId="0">[2]Geral!#REF!</definedName>
    <definedName name="angelo" localSheetId="9">[2]Geral!#REF!</definedName>
    <definedName name="angelo">[2]Geral!#REF!</definedName>
    <definedName name="anscount" localSheetId="0" hidden="1">3</definedName>
    <definedName name="anscount" hidden="1">3</definedName>
    <definedName name="AQE" localSheetId="0" hidden="1">{"'장비'!$A$3:$M$12"}</definedName>
    <definedName name="AQE" hidden="1">{"'장비'!$A$3:$M$12"}</definedName>
    <definedName name="AQTEMP1">#REF!</definedName>
    <definedName name="AQTEMP2">#REF!</definedName>
    <definedName name="ArComprimido" localSheetId="0" hidden="1">{"'Estimativa de Lançamento-JAN'!$A$1:$AI$85"}</definedName>
    <definedName name="ArComprimido" hidden="1">{"'Estimativa de Lançamento-JAN'!$A$1:$AI$85"}</definedName>
    <definedName name="area" localSheetId="0" hidden="1">{#N/A,#N/A,FALSE,"Plan1";#N/A,#N/A,FALSE,"Plan2"}</definedName>
    <definedName name="area">#REF!</definedName>
    <definedName name="área">#REF!</definedName>
    <definedName name="Área_Construída" localSheetId="0">#REF!</definedName>
    <definedName name="Área_Construída">#REF!</definedName>
    <definedName name="_xlnm.Print_Area" localSheetId="13">'Acabamentos de Piso e Parede'!$A$1:$H$25</definedName>
    <definedName name="_xlnm.Print_Area" localSheetId="6">ALVENARIA!$A$1:$I$22</definedName>
    <definedName name="_xlnm.Print_Area" localSheetId="16">COBERTURA!$A$1:$H$14</definedName>
    <definedName name="_xlnm.Print_Area" localSheetId="18">COMPLEMENTARES!$A$1:$G$17</definedName>
    <definedName name="_xlnm.Print_Area" localSheetId="4">CONTENÇÕES!$A$1:$I$49</definedName>
    <definedName name="_xlnm.Print_Area" localSheetId="1">DADOS_INICIAIS!$A$1:$G$28</definedName>
    <definedName name="_xlnm.Print_Area" localSheetId="15">ESQUADRIAS!$A$1:$I$22</definedName>
    <definedName name="_xlnm.Print_Area" localSheetId="7">IMPERMEABILIZAÇÃO!$A$1:$I$19</definedName>
    <definedName name="_xlnm.Print_Area" localSheetId="3">INFRAESTRUTURA!$A$1:$I$35</definedName>
    <definedName name="_xlnm.Print_Area" localSheetId="8">INSTALAÇÕES!$A$1:$E$34</definedName>
    <definedName name="_xlnm.Print_Area" localSheetId="2">MOVIMENTAÇÃO_DE_TERRA!$A$1:$G$26</definedName>
    <definedName name="_xlnm.Print_Area" localSheetId="0">'Obra '!$A$1:$O$52</definedName>
    <definedName name="_xlnm.Print_Area" localSheetId="14">'PINTURA INTERNA'!$A$1:$I$16</definedName>
    <definedName name="_xlnm.Print_Area" localSheetId="17">'Rev. Fachada'!$A$1:$H$28</definedName>
    <definedName name="_xlnm.Print_Area" localSheetId="11">'Rev. Internos Piso e Parede'!$A$1:$H$22</definedName>
    <definedName name="_xlnm.Print_Area" localSheetId="9">'SISTEMAS ESPECIAIS'!$A$1:$E$37</definedName>
    <definedName name="_xlnm.Print_Area" localSheetId="5">SUPRAESTRUTURA!$A$1:$I$18</definedName>
    <definedName name="_xlnm.Print_Area" localSheetId="12">TETO!$A$1:$I$15</definedName>
    <definedName name="_xlnm.Print_Area">#REF!</definedName>
    <definedName name="Área_impressão_IM" localSheetId="0">#REF!</definedName>
    <definedName name="Área_impressão_IM">#REF!</definedName>
    <definedName name="Área_Privativa" localSheetId="0">#REF!</definedName>
    <definedName name="Área_Privativa">#REF!</definedName>
    <definedName name="Área_Terreno" localSheetId="0">#REF!</definedName>
    <definedName name="Área_Terreno">#REF!</definedName>
    <definedName name="area1" localSheetId="0">#REF!</definedName>
    <definedName name="area1">#REF!</definedName>
    <definedName name="Areaimpresso" localSheetId="0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 hidden="1">"AS2DocumentBrowse"</definedName>
    <definedName name="asawe3" localSheetId="0" hidden="1">{#N/A,#N/A,FALSE,"Plan1";#N/A,#N/A,FALSE,"Plan2"}</definedName>
    <definedName name="asawe3" hidden="1">{#N/A,#N/A,FALSE,"Plan1";#N/A,#N/A,FALSE,"Plan2"}</definedName>
    <definedName name="ASD" localSheetId="0" hidden="1">17</definedName>
    <definedName name="ASD" hidden="1">17</definedName>
    <definedName name="ASDA" localSheetId="0" hidden="1">{#N/A,#N/A,FALSE,"Plan1";#N/A,#N/A,FALSE,"Plan2"}</definedName>
    <definedName name="ASDA" hidden="1">{#N/A,#N/A,FALSE,"Plan1";#N/A,#N/A,FALSE,"Plan2"}</definedName>
    <definedName name="asdade" localSheetId="0" hidden="1">{#N/A,#N/A,FALSE,"Plan1";#N/A,#N/A,FALSE,"Plan2"}</definedName>
    <definedName name="asdade" hidden="1">{#N/A,#N/A,FALSE,"Plan1";#N/A,#N/A,FALSE,"Plan2"}</definedName>
    <definedName name="asdas" localSheetId="0" hidden="1">{#N/A,#N/A,FALSE,"Plan1";#N/A,#N/A,FALSE,"Plan2"}</definedName>
    <definedName name="asdas" hidden="1">{#N/A,#N/A,FALSE,"Plan1";#N/A,#N/A,FALSE,"Plan2"}</definedName>
    <definedName name="asdawed" localSheetId="0" hidden="1">{#N/A,#N/A,FALSE,"Plan1";#N/A,#N/A,FALSE,"Plan2"}</definedName>
    <definedName name="asdawed" hidden="1">{#N/A,#N/A,FALSE,"Plan1";#N/A,#N/A,FALSE,"Plan2"}</definedName>
    <definedName name="ASDER" localSheetId="0" hidden="1">{#N/A,#N/A,FALSE,"Plan1";#N/A,#N/A,FALSE,"Plan2"}</definedName>
    <definedName name="ASDER" hidden="1">{#N/A,#N/A,FALSE,"Plan1";#N/A,#N/A,FALSE,"Plan2"}</definedName>
    <definedName name="asderr" localSheetId="0" hidden="1">{#N/A,#N/A,FALSE,"Plan1";#N/A,#N/A,FALSE,"Plan2"}</definedName>
    <definedName name="asderr" hidden="1">{#N/A,#N/A,FALSE,"Plan1";#N/A,#N/A,FALSE,"Plan2"}</definedName>
    <definedName name="asdesre" localSheetId="0" hidden="1">{#N/A,#N/A,FALSE,"Plan1";#N/A,#N/A,FALSE,"Plan2"}</definedName>
    <definedName name="asdesre" hidden="1">{#N/A,#N/A,FALSE,"Plan1";#N/A,#N/A,FALSE,"Plan2"}</definedName>
    <definedName name="asdewr" localSheetId="0" hidden="1">{#N/A,#N/A,FALSE,"Plan1";#N/A,#N/A,FALSE,"Plan2"}</definedName>
    <definedName name="asdewr" hidden="1">{#N/A,#N/A,FALSE,"Plan1";#N/A,#N/A,FALSE,"Plan2"}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0" hidden="1">{#N/A,#N/A,FALSE,"Plan1";#N/A,#N/A,FALSE,"Plan2"}</definedName>
    <definedName name="asdfs" hidden="1">{#N/A,#N/A,FALSE,"Plan1";#N/A,#N/A,FALSE,"Plan2"}</definedName>
    <definedName name="asdg" localSheetId="0" hidden="1">{#N/A,#N/A,FALSE,"Plan1";#N/A,#N/A,FALSE,"Plan2"}</definedName>
    <definedName name="asdg" hidden="1">{#N/A,#N/A,FALSE,"Plan1";#N/A,#N/A,FALSE,"Plan2"}</definedName>
    <definedName name="asdjksej" localSheetId="0" hidden="1">#REF!</definedName>
    <definedName name="asdjksej" hidden="1">#REF!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0" hidden="1">{#N/A,#N/A,FALSE,"Plan1";#N/A,#N/A,FALSE,"Plan2"}</definedName>
    <definedName name="asdlas" hidden="1">{#N/A,#N/A,FALSE,"Plan1";#N/A,#N/A,FALSE,"Plan2"}</definedName>
    <definedName name="asdqwe" localSheetId="0" hidden="1">{#N/A,#N/A,FALSE,"Plan1";#N/A,#N/A,FALSE,"Plan2"}</definedName>
    <definedName name="asdqwe" hidden="1">{#N/A,#N/A,FALSE,"Plan1";#N/A,#N/A,FALSE,"Plan2"}</definedName>
    <definedName name="asdsa" localSheetId="0" hidden="1">{#N/A,#N/A,FALSE,"Plan1";#N/A,#N/A,FALSE,"Plan2"}</definedName>
    <definedName name="asdsa" hidden="1">{#N/A,#N/A,FALSE,"Plan1";#N/A,#N/A,FALSE,"Plan2"}</definedName>
    <definedName name="asdser" localSheetId="0" hidden="1">{#N/A,#N/A,FALSE,"Plan1";#N/A,#N/A,FALSE,"Plan2"}</definedName>
    <definedName name="asdser" hidden="1">{#N/A,#N/A,FALSE,"Plan1";#N/A,#N/A,FALSE,"Plan2"}</definedName>
    <definedName name="asdwef" localSheetId="0" hidden="1">{#N/A,#N/A,FALSE,"Plan1";#N/A,#N/A,FALSE,"Plan2"}</definedName>
    <definedName name="asdwef" hidden="1">{#N/A,#N/A,FALSE,"Plan1";#N/A,#N/A,FALSE,"Plan2"}</definedName>
    <definedName name="aseiuw" localSheetId="0" hidden="1">#REF!</definedName>
    <definedName name="aseiuw" hidden="1">#REF!</definedName>
    <definedName name="ASET" localSheetId="0" hidden="1">{#N/A,#N/A,FALSE,"Plan1";#N/A,#N/A,FALSE,"Plan2"}</definedName>
    <definedName name="ASET" hidden="1">{#N/A,#N/A,FALSE,"Plan1";#N/A,#N/A,FALSE,"Plan2"}</definedName>
    <definedName name="asfDSF" localSheetId="0" hidden="1">{#N/A,#N/A,FALSE,"Plan1";#N/A,#N/A,FALSE,"Plan2"}</definedName>
    <definedName name="asfDSF" hidden="1">{#N/A,#N/A,FALSE,"Plan1";#N/A,#N/A,FALSE,"Plan2"}</definedName>
    <definedName name="ASFERTE" localSheetId="0" hidden="1">{#N/A,#N/A,FALSE,"Plan1";#N/A,#N/A,FALSE,"Plan2"}</definedName>
    <definedName name="ASFERTE" hidden="1">{#N/A,#N/A,FALSE,"Plan1";#N/A,#N/A,FALSE,"Plan2"}</definedName>
    <definedName name="asfl" localSheetId="0" hidden="1">{#N/A,#N/A,FALSE,"Plan1";#N/A,#N/A,FALSE,"Plan2"}</definedName>
    <definedName name="asfl" hidden="1">{#N/A,#N/A,FALSE,"Plan1";#N/A,#N/A,FALSE,"Plan2"}</definedName>
    <definedName name="asfsz" localSheetId="0" hidden="1">{#N/A,#N/A,FALSE,"Plan1";#N/A,#N/A,FALSE,"Plan2"}</definedName>
    <definedName name="asfsz" hidden="1">{#N/A,#N/A,FALSE,"Plan1";#N/A,#N/A,FALSE,"Plan2"}</definedName>
    <definedName name="askserf" localSheetId="0" hidden="1">{#N/A,#N/A,FALSE,"Plan1";#N/A,#N/A,FALSE,"Plan2"}</definedName>
    <definedName name="askserf" hidden="1">{#N/A,#N/A,FALSE,"Plan1";#N/A,#N/A,FALSE,"Plan2"}</definedName>
    <definedName name="ASSFSDF" localSheetId="0" hidden="1">{#N/A,#N/A,FALSE,"Plan1";#N/A,#N/A,FALSE,"Plan2"}</definedName>
    <definedName name="ASSFSDF" hidden="1">{#N/A,#N/A,FALSE,"Plan1";#N/A,#N/A,FALSE,"Plan2"}</definedName>
    <definedName name="asw" localSheetId="0" hidden="1">{#N/A,#N/A,FALSE,"Plan1";#N/A,#N/A,FALSE,"Plan2"}</definedName>
    <definedName name="asw" hidden="1">{#N/A,#N/A,FALSE,"Plan1";#N/A,#N/A,FALSE,"Plan2"}</definedName>
    <definedName name="Até_Chaves" localSheetId="0">#REF!</definedName>
    <definedName name="Até_Chaves">#REF!</definedName>
    <definedName name="ATIVOS" localSheetId="0" hidden="1">{#N/A,#N/A,FALSE,"F-01"}</definedName>
    <definedName name="ATIVOS" hidden="1">{#N/A,#N/A,FALSE,"F-01"}</definedName>
    <definedName name="Ato" localSheetId="0">#REF!</definedName>
    <definedName name="Ato">#REF!</definedName>
    <definedName name="ATUAL" localSheetId="0">#REF!</definedName>
    <definedName name="ATUAL">#REF!</definedName>
    <definedName name="aux" localSheetId="16">#REF!</definedName>
    <definedName name="aux" localSheetId="18">#REF!</definedName>
    <definedName name="aux" localSheetId="1">#REF!</definedName>
    <definedName name="aux" localSheetId="8">#REF!</definedName>
    <definedName name="aux" localSheetId="2">#REF!</definedName>
    <definedName name="aux" localSheetId="0">#REF!</definedName>
    <definedName name="aux" localSheetId="9">#REF!</definedName>
    <definedName name="aux">#REF!</definedName>
    <definedName name="AUXILIO">#REF!</definedName>
    <definedName name="avulsos">#REF!</definedName>
    <definedName name="awdjw" localSheetId="0" hidden="1">{#N/A,#N/A,FALSE,"Plan1";#N/A,#N/A,FALSE,"Plan2"}</definedName>
    <definedName name="awdjw" hidden="1">{#N/A,#N/A,FALSE,"Plan1";#N/A,#N/A,FALSE,"Plan2"}</definedName>
    <definedName name="aweqw4" localSheetId="0" hidden="1">{#N/A,#N/A,FALSE,"Plan1";#N/A,#N/A,FALSE,"Plan2"}</definedName>
    <definedName name="aweqw4" hidden="1">{#N/A,#N/A,FALSE,"Plan1";#N/A,#N/A,FALSE,"Plan2"}</definedName>
    <definedName name="awssdwaer" localSheetId="0" hidden="1">{#N/A,#N/A,FALSE,"Plan1";#N/A,#N/A,FALSE,"Plan2"}</definedName>
    <definedName name="awssdwaer" hidden="1">{#N/A,#N/A,FALSE,"Plan1";#N/A,#N/A,FALSE,"Plan2"}</definedName>
    <definedName name="AZ" localSheetId="0" hidden="1">#REF!</definedName>
    <definedName name="AZ" hidden="1">#REF!</definedName>
    <definedName name="b" localSheetId="0" hidden="1">{#N/A,#N/A,FALSE,"Plan1";#N/A,#N/A,FALSE,"Plan2"}</definedName>
    <definedName name="B">#REF!</definedName>
    <definedName name="BA" localSheetId="0">#REF!</definedName>
    <definedName name="BA">#REF!</definedName>
    <definedName name="balão1">"AutoForma 17"</definedName>
    <definedName name="BANCO" localSheetId="0">#REF!</definedName>
    <definedName name="BANCO">#REF!</definedName>
    <definedName name="Banco_dados_IM" localSheetId="0">#REF!</definedName>
    <definedName name="Banco_dados_IM">#REF!</definedName>
    <definedName name="_xlnm.Database" localSheetId="0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 localSheetId="0">OFFSET(#REF!,0,0,COUNTA(#REF!)+1,5)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 localSheetId="0">#REF!</definedName>
    <definedName name="bb">#REF!</definedName>
    <definedName name="bbb" localSheetId="0">#REF!</definedName>
    <definedName name="bbb">#REF!</definedName>
    <definedName name="bbbbbbbbbbbbbbb" localSheetId="0" hidden="1">{"'Edit'!$A$1:$V$2277"}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>#REF!</definedName>
    <definedName name="BDA" localSheetId="1">#REF!</definedName>
    <definedName name="BDA" localSheetId="0">#REF!</definedName>
    <definedName name="BDA">#REF!</definedName>
    <definedName name="bdfjghf" localSheetId="0" hidden="1">{#N/A,#N/A,FALSE,"Plan1";#N/A,#N/A,FALSE,"Plan2"}</definedName>
    <definedName name="bdfjghf" hidden="1">{#N/A,#N/A,FALSE,"Plan1";#N/A,#N/A,FALSE,"Plan2"}</definedName>
    <definedName name="BDI" localSheetId="0">#REF!</definedName>
    <definedName name="BDI">#REF!</definedName>
    <definedName name="bdzbfbdr" localSheetId="0" hidden="1">{#N/A,#N/A,FALSE,"Plan1";#N/A,#N/A,FALSE,"Plan2"}</definedName>
    <definedName name="bdzbfbdr" hidden="1">{#N/A,#N/A,FALSE,"Plan1";#N/A,#N/A,FALSE,"Plan2"}</definedName>
    <definedName name="be" localSheetId="0">#REF!</definedName>
    <definedName name="be">#REF!</definedName>
    <definedName name="bebqt" localSheetId="0">#REF!</definedName>
    <definedName name="bebqt">#REF!</definedName>
    <definedName name="bela_cdi" localSheetId="0">#REF!</definedName>
    <definedName name="bela_cdi">#REF!</definedName>
    <definedName name="bela_hist">#REF!</definedName>
    <definedName name="bela_uss">#REF!</definedName>
    <definedName name="bg" localSheetId="0" hidden="1">#REF!</definedName>
    <definedName name="bg" hidden="1">#REF!</definedName>
    <definedName name="BGG" localSheetId="0" hidden="1">{#N/A,#N/A,FALSE,"Plan1";#N/A,#N/A,FALSE,"Plan2"}</definedName>
    <definedName name="BGG" hidden="1">{#N/A,#N/A,FALSE,"Plan1";#N/A,#N/A,FALSE,"Plan2"}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0" hidden="1">{#N/A,#N/A,FALSE,"Plan1";#N/A,#N/A,FALSE,"Plan2"}</definedName>
    <definedName name="BJSDKHFE" hidden="1">{#N/A,#N/A,FALSE,"Plan1";#N/A,#N/A,FALSE,"Plan2"}</definedName>
    <definedName name="bloco" localSheetId="0">#REF!</definedName>
    <definedName name="bloco">#REF!</definedName>
    <definedName name="BLPH1" localSheetId="0" hidden="1">#REF!</definedName>
    <definedName name="BLPH1" hidden="1">#REF!</definedName>
    <definedName name="BLPH100" localSheetId="0" hidden="1">#REF!</definedName>
    <definedName name="BLPH100" hidden="1">#REF!</definedName>
    <definedName name="BLPH101" localSheetId="0" hidden="1">#REF!</definedName>
    <definedName name="BLPH101" hidden="1">#REF!</definedName>
    <definedName name="BLPH102" localSheetId="0" hidden="1">#REF!</definedName>
    <definedName name="BLPH102" hidden="1">#REF!</definedName>
    <definedName name="BLPH103" localSheetId="0" hidden="1">#REF!</definedName>
    <definedName name="BLPH103" hidden="1">#REF!</definedName>
    <definedName name="BLPH104" localSheetId="0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localSheetId="0" hidden="1">#REF!</definedName>
    <definedName name="BLPH96" hidden="1">#REF!</definedName>
    <definedName name="BLPH97" localSheetId="0" hidden="1">#REF!</definedName>
    <definedName name="BLPH97" hidden="1">#REF!</definedName>
    <definedName name="BLPH98" localSheetId="0" hidden="1">#REF!</definedName>
    <definedName name="BLPH98" hidden="1">#REF!</definedName>
    <definedName name="BLPH99" localSheetId="0" hidden="1">#REF!</definedName>
    <definedName name="BLPH99" hidden="1">#REF!</definedName>
    <definedName name="bmdgghrtfde" localSheetId="0" hidden="1">{#N/A,#N/A,FALSE,"Plan1";#N/A,#N/A,FALSE,"Plan2"}</definedName>
    <definedName name="bmdgghrtfde" hidden="1">{#N/A,#N/A,FALSE,"Plan1";#N/A,#N/A,FALSE,"Plan2"}</definedName>
    <definedName name="bnkjhjhdfxgt" localSheetId="0" hidden="1">{#N/A,#N/A,FALSE,"Plan1";#N/A,#N/A,FALSE,"Plan2"}</definedName>
    <definedName name="bnkjhjhdfxgt" hidden="1">{#N/A,#N/A,FALSE,"Plan1";#N/A,#N/A,FALSE,"Plan2"}</definedName>
    <definedName name="BORBA2" localSheetId="0">#REF!</definedName>
    <definedName name="BORBA2">#REF!</definedName>
    <definedName name="BORDA1">#N/A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V" localSheetId="0" hidden="1">#REF!</definedName>
    <definedName name="BV" hidden="1">#REF!</definedName>
    <definedName name="bxnzfmkzxbhdf" localSheetId="0" hidden="1">{#N/A,#N/A,FALSE,"Plan1";#N/A,#N/A,FALSE,"Plan2"}</definedName>
    <definedName name="bxnzfmkzxbhdf" hidden="1">{#N/A,#N/A,FALSE,"Plan1";#N/A,#N/A,FALSE,"Plan2"}</definedName>
    <definedName name="ca" localSheetId="0">#REF!</definedName>
    <definedName name="ca">#REF!</definedName>
    <definedName name="CAB">#N/A</definedName>
    <definedName name="CAFS">"Carlos Antonio Fernandes da Silva"</definedName>
    <definedName name="CAGR" localSheetId="0">#REF!</definedName>
    <definedName name="CAGR">#REF!</definedName>
    <definedName name="caixa" localSheetId="0">#REF!</definedName>
    <definedName name="caixa">#REF!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0">#REF!</definedName>
    <definedName name="Cambio">#REF!</definedName>
    <definedName name="CAMP" localSheetId="0">#REF!</definedName>
    <definedName name="CAMP">#REF!</definedName>
    <definedName name="CAMPOS" localSheetId="0">#REF!</definedName>
    <definedName name="CAMPOS">#REF!</definedName>
    <definedName name="çaos\ewapo" localSheetId="0" hidden="1">{#N/A,#N/A,FALSE,"Plan1";#N/A,#N/A,FALSE,"Plan2"}</definedName>
    <definedName name="çaos\ewapo" hidden="1">{#N/A,#N/A,FALSE,"Plan1";#N/A,#N/A,FALSE,"Plan2"}</definedName>
    <definedName name="Capa" localSheetId="0">#REF!</definedName>
    <definedName name="Capa">#REF!</definedName>
    <definedName name="CAPA2" localSheetId="0">#REF!</definedName>
    <definedName name="CAPA2">#REF!</definedName>
    <definedName name="CAPA55">#REF!</definedName>
    <definedName name="CAPA55A">#REF!</definedName>
    <definedName name="CAPELA">#REF!</definedName>
    <definedName name="CARLA" hidden="1">#REF!</definedName>
    <definedName name="CARLOS1">#REF!</definedName>
    <definedName name="CARTÃO4">#REF!</definedName>
    <definedName name="CAT6_IP" localSheetId="0" hidden="1">{#N/A,#N/A,FALSE,"F-01"}</definedName>
    <definedName name="CAT6_IP" hidden="1">{#N/A,#N/A,FALSE,"F-01"}</definedName>
    <definedName name="categori45" localSheetId="0">#REF!</definedName>
    <definedName name="categori45">#REF!</definedName>
    <definedName name="CATEGORIA1" localSheetId="0">#REF!</definedName>
    <definedName name="CATEGORIA1">#REF!</definedName>
    <definedName name="CATEGORIA10" localSheetId="0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 localSheetId="0">OFFSET(#REF!,0,0,COUNTA(#REF!)+1,1)</definedName>
    <definedName name="CAUX2">OFFSET(#REF!,0,0,COUNTA(#REF!)+1,1)</definedName>
    <definedName name="CAUX3">OFFSET(#REF!,0,0,COUNTA(#REF!)+1,1)</definedName>
    <definedName name="CCC" localSheetId="0">#REF!</definedName>
    <definedName name="CCC">#REF!</definedName>
    <definedName name="ççç" localSheetId="0" hidden="1">{#N/A,#N/A,FALSE,"Plan1";#N/A,#N/A,FALSE,"Plan2"}</definedName>
    <definedName name="ççç" hidden="1">{#N/A,#N/A,FALSE,"Plan1";#N/A,#N/A,FALSE,"Plan2"}</definedName>
    <definedName name="cccc" localSheetId="0" hidden="1">{#N/A,#N/A,FALSE,"Plan1";#N/A,#N/A,FALSE,"Plan2"}</definedName>
    <definedName name="cccc" hidden="1">{#N/A,#N/A,FALSE,"Plan1";#N/A,#N/A,FALSE,"Plan2"}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0" hidden="1">{"HW",#N/A,FALSE,"1998"}</definedName>
    <definedName name="cccccccccccccccc" hidden="1">{"HW",#N/A,FALSE,"1998"}</definedName>
    <definedName name="cchart1" localSheetId="0" hidden="1">#REF!</definedName>
    <definedName name="cchart1" hidden="1">#REF!</definedName>
    <definedName name="cchart10" localSheetId="0" hidden="1">#REF!</definedName>
    <definedName name="cchart10" hidden="1">#REF!</definedName>
    <definedName name="cchart11" localSheetId="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0">#REF!</definedName>
    <definedName name="CD">#REF!</definedName>
    <definedName name="çdfmerf" localSheetId="0" hidden="1">{#N/A,#N/A,FALSE,"Plan1";#N/A,#N/A,FALSE,"Plan2"}</definedName>
    <definedName name="çdfmerf" hidden="1">{#N/A,#N/A,FALSE,"Plan1";#N/A,#N/A,FALSE,"Plan2"}</definedName>
    <definedName name="CDSGHE" localSheetId="0" hidden="1">{#N/A,#N/A,FALSE,"Plan1";#N/A,#N/A,FALSE,"Plan2"}</definedName>
    <definedName name="CDSGHE" hidden="1">{#N/A,#N/A,FALSE,"Plan1";#N/A,#N/A,FALSE,"Plan2"}</definedName>
    <definedName name="cdvthd" localSheetId="0">#REF!</definedName>
    <definedName name="cdvthd">#REF!</definedName>
    <definedName name="Cel_Constr" localSheetId="0">#REF!</definedName>
    <definedName name="Cel_Constr">#REF!</definedName>
    <definedName name="CestaExcel" localSheetId="0">#REF!</definedName>
    <definedName name="CestaExcel">#REF!</definedName>
    <definedName name="CevaG">#REF!</definedName>
    <definedName name="CevaGS">#REF!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0" hidden="1">{#N/A,#N/A,FALSE,"Plan1";#N/A,#N/A,FALSE,"Plan2"}</definedName>
    <definedName name="çflçf" hidden="1">{#N/A,#N/A,FALSE,"Plan1";#N/A,#N/A,FALSE,"Plan2"}</definedName>
    <definedName name="CHAFQT" localSheetId="0">#REF!</definedName>
    <definedName name="CHAFQT">#REF!</definedName>
    <definedName name="Chaves" localSheetId="0">#REF!</definedName>
    <definedName name="Chaves">#REF!</definedName>
    <definedName name="chfch" localSheetId="0" hidden="1">{#N/A,#N/A,FALSE,"Plan1";#N/A,#N/A,FALSE,"Plan2"}</definedName>
    <definedName name="chfch" hidden="1">{#N/A,#N/A,FALSE,"Plan1";#N/A,#N/A,FALSE,"Plan2"}</definedName>
    <definedName name="CI" localSheetId="0">#REF!</definedName>
    <definedName name="CI">#REF!</definedName>
    <definedName name="cidades" localSheetId="0">#REF!</definedName>
    <definedName name="cidades">#REF!</definedName>
    <definedName name="CIFIXA" localSheetId="0">#REF!</definedName>
    <definedName name="CIFIXA">#REF!</definedName>
    <definedName name="CINCO">#REF!</definedName>
    <definedName name="CITOTAL">#REF!</definedName>
    <definedName name="CIVAR">#REF!</definedName>
    <definedName name="ÇJKRÇLFS" localSheetId="0" hidden="1">{"Econ Consolidado",#N/A,FALSE,"Econ Consol";"Fluxo de Caixa",#N/A,FALSE,"Fluxo Caixa";"Investimentos",#N/A,FALSE,"Investimentos"}</definedName>
    <definedName name="ÇJKRÇLFS" hidden="1">{"Econ Consolidado",#N/A,FALSE,"Econ Consol";"Fluxo de Caixa",#N/A,FALSE,"Fluxo Caixa";"Investimentos",#N/A,FALSE,"Investimentos"}</definedName>
    <definedName name="ÇJsrejtçe" localSheetId="0" hidden="1">{#N/A,#N/A,FALSE,"Plan1";#N/A,#N/A,FALSE,"Plan2"}</definedName>
    <definedName name="ÇJsrejtçe" hidden="1">{#N/A,#N/A,FALSE,"Plan1";#N/A,#N/A,FALSE,"Plan2"}</definedName>
    <definedName name="çkaçekow" localSheetId="0" hidden="1">{#N/A,#N/A,FALSE,"Plan1";#N/A,#N/A,FALSE,"Plan2"}</definedName>
    <definedName name="çkaçekow" hidden="1">{#N/A,#N/A,FALSE,"Plan1";#N/A,#N/A,FALSE,"Plan2"}</definedName>
    <definedName name="ÇKSDOEKR" localSheetId="0" hidden="1">{#N/A,#N/A,FALSE,"Plan1";#N/A,#N/A,FALSE,"Plan2"}</definedName>
    <definedName name="ÇKSDOEKR" hidden="1">{#N/A,#N/A,FALSE,"Plan1";#N/A,#N/A,FALSE,"Plan2"}</definedName>
    <definedName name="çl" localSheetId="0" hidden="1">{#N/A,#N/A,FALSE,"Plan1";#N/A,#N/A,FALSE,"Plan2"}</definedName>
    <definedName name="çl" hidden="1">{#N/A,#N/A,FALSE,"Plan1";#N/A,#N/A,FALSE,"Plan2"}</definedName>
    <definedName name="çlassde" localSheetId="0" hidden="1">{#N/A,#N/A,FALSE,"Plan1";#N/A,#N/A,FALSE,"Plan2"}</definedName>
    <definedName name="çlassde" hidden="1">{#N/A,#N/A,FALSE,"Plan1";#N/A,#N/A,FALSE,"Plan2"}</definedName>
    <definedName name="Classificação" localSheetId="0">#REF!</definedName>
    <definedName name="Classificação">#REF!</definedName>
    <definedName name="çlçlç" localSheetId="0" hidden="1">{#N/A,#N/A,FALSE,"Plan1";#N/A,#N/A,FALSE,"Plan2"}</definedName>
    <definedName name="çlçlç" hidden="1">{#N/A,#N/A,FALSE,"Plan1";#N/A,#N/A,FALSE,"Plan2"}</definedName>
    <definedName name="çld" localSheetId="0" hidden="1">{#N/A,#N/A,FALSE,"Plan1";#N/A,#N/A,FALSE,"Plan2"}</definedName>
    <definedName name="çld" hidden="1">{#N/A,#N/A,FALSE,"Plan1";#N/A,#N/A,FALSE,"Plan2"}</definedName>
    <definedName name="çlererr" localSheetId="0" hidden="1">{#N/A,#N/A,FALSE,"Plan1";#N/A,#N/A,FALSE,"Plan2"}</definedName>
    <definedName name="çlererr" hidden="1">{#N/A,#N/A,FALSE,"Plan1";#N/A,#N/A,FALSE,"Plan2"}</definedName>
    <definedName name="çlertert" localSheetId="0" hidden="1">{#N/A,#N/A,FALSE,"Plan1";#N/A,#N/A,FALSE,"Plan2"}</definedName>
    <definedName name="çlertert" hidden="1">{#N/A,#N/A,FALSE,"Plan1";#N/A,#N/A,FALSE,"Plan2"}</definedName>
    <definedName name="çlkdflçkrlr" localSheetId="0" hidden="1">#REF!</definedName>
    <definedName name="çlkdflçkrlr" hidden="1">#REF!</definedName>
    <definedName name="çll" localSheetId="0" hidden="1">{#N/A,#N/A,FALSE,"Plan1";#N/A,#N/A,FALSE,"Plan2"}</definedName>
    <definedName name="çll" hidden="1">{#N/A,#N/A,FALSE,"Plan1";#N/A,#N/A,FALSE,"Plan2"}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0">#REF!</definedName>
    <definedName name="COBRANÇA">#REF!</definedName>
    <definedName name="Cod_Esquadrias" localSheetId="0">#REF!</definedName>
    <definedName name="Cod_Esquadrias">#REF!</definedName>
    <definedName name="CÓDG" localSheetId="0">OFFSET(#REF!,0,0,COUNTA(#REF!),1)</definedName>
    <definedName name="CÓDG">OFFSET(#REF!,0,0,COUNTA(#REF!),1)</definedName>
    <definedName name="codigo2" localSheetId="0">#REF!</definedName>
    <definedName name="codigo2">#REF!</definedName>
    <definedName name="codigo3" localSheetId="0">#REF!</definedName>
    <definedName name="codigo3">#REF!</definedName>
    <definedName name="CÓDT" localSheetId="0">OFFSET(#REF!,0,0,COUNTA(#REF!)+1,1)</definedName>
    <definedName name="CÓDT">OFFSET(#REF!,0,0,COUNTA(#REF!)+1,1)</definedName>
    <definedName name="COFINS" localSheetId="0">#REF!</definedName>
    <definedName name="COFINS">#REF!</definedName>
    <definedName name="cofins2" localSheetId="0">#REF!</definedName>
    <definedName name="cofins2">#REF!</definedName>
    <definedName name="COGS" localSheetId="0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localSheetId="0" hidden="1">{#N/A,#N/A,TRUE,"Quinzena 01 à 15-04-98 "}</definedName>
    <definedName name="CONFIRMAR" hidden="1">{#N/A,#N/A,TRUE,"Quinzena 01 à 15-04-98 "}</definedName>
    <definedName name="cont" localSheetId="0" hidden="1">{#N/A,#N/A,FALSE,"Plan1";#N/A,#N/A,FALSE,"Plan2"}</definedName>
    <definedName name="cont" hidden="1">{#N/A,#N/A,FALSE,"Plan1";#N/A,#N/A,FALSE,"Plan2"}</definedName>
    <definedName name="CONT1" localSheetId="0">#REF!</definedName>
    <definedName name="CONT1">#REF!</definedName>
    <definedName name="CONT2" localSheetId="0">#REF!</definedName>
    <definedName name="CONT2">#REF!</definedName>
    <definedName name="CONT3" localSheetId="0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 hidden="1">{#N/A,#N/A,FALSE,"Plan1";#N/A,#N/A,FALSE,"Plan2"}</definedName>
    <definedName name="Controle_tecnologico1" hidden="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 localSheetId="0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0" hidden="1">#REF!</definedName>
    <definedName name="çsdkfçdrkt" hidden="1">#REF!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0" hidden="1">{#N/A,#N/A,FALSE,"Plan1";#N/A,#N/A,FALSE,"Plan2"}</definedName>
    <definedName name="ÇSLÇDLFKD" hidden="1">{#N/A,#N/A,FALSE,"Plan1";#N/A,#N/A,FALSE,"Plan2"}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0">#REF!</definedName>
    <definedName name="CUST_DIR_IND">#REF!</definedName>
    <definedName name="CUSTINDIRETO" localSheetId="0">#REF!</definedName>
    <definedName name="CUSTINDIRETO">#REF!</definedName>
    <definedName name="CUSTO_DIR_IND" localSheetId="0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 localSheetId="0">#REF!</definedName>
    <definedName name="D">#REF!</definedName>
    <definedName name="da">#REF!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0" hidden="1">{#N/A,#N/A,FALSE,"Plan1";#N/A,#N/A,FALSE,"Plan2"}</definedName>
    <definedName name="dasfrt" hidden="1">{#N/A,#N/A,FALSE,"Plan1";#N/A,#N/A,FALSE,"Plan2"}</definedName>
    <definedName name="DATA" localSheetId="0">#REF!</definedName>
    <definedName name="DATA">#REF!</definedName>
    <definedName name="Data_base" localSheetId="0">#REF!</definedName>
    <definedName name="Data_base">#REF!</definedName>
    <definedName name="data_base_VL" localSheetId="0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 localSheetId="0" hidden="1">{#N/A,#N/A,FALSE,"Plan1";#N/A,#N/A,FALSE,"Plan2"}</definedName>
    <definedName name="DÇDL" hidden="1">{#N/A,#N/A,FALSE,"Plan1";#N/A,#N/A,FALSE,"Plan2"}</definedName>
    <definedName name="dchart26" localSheetId="0" hidden="1">#REF!</definedName>
    <definedName name="dchart26" hidden="1">#REF!</definedName>
    <definedName name="dchart31" localSheetId="0" hidden="1">#REF!</definedName>
    <definedName name="dchart31" hidden="1">#REF!</definedName>
    <definedName name="dcnsfgdjkgb" localSheetId="0" hidden="1">{#N/A,#N/A,FALSE,"Plan1";#N/A,#N/A,FALSE,"Plan2"}</definedName>
    <definedName name="dcnsfgdjkgb" hidden="1">{#N/A,#N/A,FALSE,"Plan1";#N/A,#N/A,FALSE,"Plan2"}</definedName>
    <definedName name="DÇWK" localSheetId="0" hidden="1">{#N/A,#N/A,FALSE,"Plan1";#N/A,#N/A,FALSE,"Plan2"}</definedName>
    <definedName name="DÇWK" hidden="1">{#N/A,#N/A,FALSE,"Plan1";#N/A,#N/A,FALSE,"Plan2"}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0" hidden="1">{"'장비'!$A$3:$M$12"}</definedName>
    <definedName name="DDD">#REF!</definedName>
    <definedName name="ddddd" localSheetId="0" hidden="1">{#N/A,#N/A,FALSE,"Plan1";#N/A,#N/A,FALSE,"Plan2"}</definedName>
    <definedName name="ddddd" hidden="1">{#N/A,#N/A,FALSE,"Plan1";#N/A,#N/A,FALSE,"Plan2"}</definedName>
    <definedName name="ddddddddddd" localSheetId="0">#REF!</definedName>
    <definedName name="ddddddddddd">#REF!</definedName>
    <definedName name="dddddddddddddddddddddddddd" localSheetId="0">#REF!</definedName>
    <definedName name="dddddddddddddddddddddddddd">#REF!</definedName>
    <definedName name="dddddddddddddppppppppp" localSheetId="0">#REF!</definedName>
    <definedName name="dddddddddddddppppppppp">#REF!</definedName>
    <definedName name="dde" localSheetId="0" hidden="1">{#N/A,#N/A,FALSE,"Plan1";#N/A,#N/A,FALSE,"Plan2"}</definedName>
    <definedName name="dde" hidden="1">{#N/A,#N/A,FALSE,"Plan1";#N/A,#N/A,FALSE,"Plan2"}</definedName>
    <definedName name="ddfs" localSheetId="0" hidden="1">#REF!</definedName>
    <definedName name="ddfs" hidden="1">#REF!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0" hidden="1">{#N/A,#N/A,FALSE,"Plan1";#N/A,#N/A,FALSE,"Plan2"}</definedName>
    <definedName name="DDGSFG" hidden="1">{#N/A,#N/A,FALSE,"Plan1";#N/A,#N/A,FALSE,"Plan2"}</definedName>
    <definedName name="dede" localSheetId="0" hidden="1">{#N/A,#N/A,FALSE,"Plan1";#N/A,#N/A,FALSE,"Plan2"}</definedName>
    <definedName name="dede" hidden="1">{#N/A,#N/A,FALSE,"Plan1";#N/A,#N/A,FALSE,"Plan2"}</definedName>
    <definedName name="defasagem" localSheetId="0">OFFSET(INDEX(#REF!,MATCH(#REF!,#REF!,0)),1,0,COUNTA(#REF!)-1)</definedName>
    <definedName name="defasagem">OFFSET(INDEX(#REF!,MATCH(#REF!,#REF!,0)),1,0,COUNTA(#REF!)-1)</definedName>
    <definedName name="depara" localSheetId="0">#REF!</definedName>
    <definedName name="depara">#REF!</definedName>
    <definedName name="DERIVQT" localSheetId="0">#REF!</definedName>
    <definedName name="DERIVQT">#REF!</definedName>
    <definedName name="des" localSheetId="0" hidden="1">{#N/A,#N/A,FALSE,"Plan1";#N/A,#N/A,FALSE,"Plan2"}</definedName>
    <definedName name="des" hidden="1">{#N/A,#N/A,FALSE,"Plan1";#N/A,#N/A,FALSE,"Plan2"}</definedName>
    <definedName name="desc" localSheetId="0" hidden="1">{#N/A,#N/A,FALSE,"Plan1";#N/A,#N/A,FALSE,"Plan2"}</definedName>
    <definedName name="desc" hidden="1">{#N/A,#N/A,FALSE,"Plan1";#N/A,#N/A,FALSE,"Plan2"}</definedName>
    <definedName name="DESCONTO" localSheetId="0">#REF!</definedName>
    <definedName name="DESCONTO">#REF!</definedName>
    <definedName name="DESCRIÇÃO_OBRA" localSheetId="0">#REF!</definedName>
    <definedName name="DESCRIÇÃO_OBRA">#REF!</definedName>
    <definedName name="DespFatur" localSheetId="0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0" hidden="1">{#N/A,#N/A,FALSE,"명세표"}</definedName>
    <definedName name="DFD" hidden="1">{#N/A,#N/A,FALSE,"명세표"}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0" hidden="1">{#N/A,#N/A,FALSE,"Plan1";#N/A,#N/A,FALSE,"Plan2"}</definedName>
    <definedName name="dfdjgfdfgdf" hidden="1">{#N/A,#N/A,FALSE,"Plan1";#N/A,#N/A,FALSE,"Plan2"}</definedName>
    <definedName name="dfdrtrr" localSheetId="0" hidden="1">{#N/A,#N/A,FALSE,"Plan1";#N/A,#N/A,FALSE,"Plan2"}</definedName>
    <definedName name="dfdrtrr" hidden="1">{#N/A,#N/A,FALSE,"Plan1";#N/A,#N/A,FALSE,"Plan2"}</definedName>
    <definedName name="DFDSG" localSheetId="0" hidden="1">{#N/A,#N/A,FALSE,"Plan1";#N/A,#N/A,FALSE,"Plan2"}</definedName>
    <definedName name="DFDSG" hidden="1">{#N/A,#N/A,FALSE,"Plan1";#N/A,#N/A,FALSE,"Plan2"}</definedName>
    <definedName name="dfer" localSheetId="0" hidden="1">{#N/A,#N/A,FALSE,"Plan1";#N/A,#N/A,FALSE,"Plan2"}</definedName>
    <definedName name="dfer" hidden="1">{#N/A,#N/A,FALSE,"Plan1";#N/A,#N/A,FALSE,"Plan2"}</definedName>
    <definedName name="dffbty" localSheetId="0" hidden="1">{#N/A,#N/A,FALSE,"Plan1";#N/A,#N/A,FALSE,"Plan2"}</definedName>
    <definedName name="dffbty" hidden="1">{#N/A,#N/A,FALSE,"Plan1";#N/A,#N/A,FALSE,"Plan2"}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0" hidden="1">{#N/A,#N/A,FALSE,"Plan1";#N/A,#N/A,FALSE,"Plan2"}</definedName>
    <definedName name="dffhg" hidden="1">{#N/A,#N/A,FALSE,"Plan1";#N/A,#N/A,FALSE,"Plan2"}</definedName>
    <definedName name="dfg" localSheetId="0" hidden="1">{#N/A,#N/A,FALSE,"Plan1";#N/A,#N/A,FALSE,"Plan2"}</definedName>
    <definedName name="dfg" hidden="1">{#N/A,#N/A,FALSE,"Plan1";#N/A,#N/A,FALSE,"Plan2"}</definedName>
    <definedName name="dfgdf" localSheetId="0" hidden="1">{#N/A,#N/A,FALSE,"Plan1";#N/A,#N/A,FALSE,"Plan2"}</definedName>
    <definedName name="dfgdf" hidden="1">{#N/A,#N/A,FALSE,"Plan1";#N/A,#N/A,FALSE,"Plan2"}</definedName>
    <definedName name="dfgdytygr" localSheetId="0" hidden="1">{#N/A,#N/A,FALSE,"Plan1";#N/A,#N/A,FALSE,"Plan2"}</definedName>
    <definedName name="dfgdytygr" hidden="1">{#N/A,#N/A,FALSE,"Plan1";#N/A,#N/A,FALSE,"Plan2"}</definedName>
    <definedName name="dfgftrrdt5" localSheetId="0" hidden="1">{#N/A,#N/A,FALSE,"Plan1";#N/A,#N/A,FALSE,"Plan2"}</definedName>
    <definedName name="dfgftrrdt5" hidden="1">{#N/A,#N/A,FALSE,"Plan1";#N/A,#N/A,FALSE,"Plan2"}</definedName>
    <definedName name="dfgh" localSheetId="0">#REF!</definedName>
    <definedName name="dfgh">#REF!</definedName>
    <definedName name="dfghjfhsg" localSheetId="0" hidden="1">{#N/A,#N/A,FALSE,"Plan1";#N/A,#N/A,FALSE,"Plan2"}</definedName>
    <definedName name="dfghjfhsg" hidden="1">{#N/A,#N/A,FALSE,"Plan1";#N/A,#N/A,FALSE,"Plan2"}</definedName>
    <definedName name="dfgj" localSheetId="0" hidden="1">{#N/A,#N/A,FALSE,"Plan1";#N/A,#N/A,FALSE,"Plan2"}</definedName>
    <definedName name="dfgj" hidden="1">{#N/A,#N/A,FALSE,"Plan1";#N/A,#N/A,FALSE,"Plan2"}</definedName>
    <definedName name="dfgjfttyd" localSheetId="0" hidden="1">{#N/A,#N/A,FALSE,"Plan1";#N/A,#N/A,FALSE,"Plan2"}</definedName>
    <definedName name="dfgjfttyd" hidden="1">{#N/A,#N/A,FALSE,"Plan1";#N/A,#N/A,FALSE,"Plan2"}</definedName>
    <definedName name="dfgjjtdrtg" localSheetId="0" hidden="1">{#N/A,#N/A,FALSE,"Plan1";#N/A,#N/A,FALSE,"Plan2"}</definedName>
    <definedName name="dfgjjtdrtg" hidden="1">{#N/A,#N/A,FALSE,"Plan1";#N/A,#N/A,FALSE,"Plan2"}</definedName>
    <definedName name="dfgt" localSheetId="0" hidden="1">{#N/A,#N/A,FALSE,"Plan1";#N/A,#N/A,FALSE,"Plan2"}</definedName>
    <definedName name="dfgt" hidden="1">{#N/A,#N/A,FALSE,"Plan1";#N/A,#N/A,FALSE,"Plan2"}</definedName>
    <definedName name="dfgtrkjhk" localSheetId="0" hidden="1">{#N/A,#N/A,FALSE,"Plan1";#N/A,#N/A,FALSE,"Plan2"}</definedName>
    <definedName name="dfgtrkjhk" hidden="1">{#N/A,#N/A,FALSE,"Plan1";#N/A,#N/A,FALSE,"Plan2"}</definedName>
    <definedName name="dfgty" localSheetId="0" hidden="1">{#N/A,#N/A,FALSE,"Plan1";#N/A,#N/A,FALSE,"Plan2"}</definedName>
    <definedName name="dfgty" hidden="1">{#N/A,#N/A,FALSE,"Plan1";#N/A,#N/A,FALSE,"Plan2"}</definedName>
    <definedName name="dfhdgfdgf" localSheetId="0" hidden="1">{#N/A,#N/A,FALSE,"Plan1";#N/A,#N/A,FALSE,"Plan2"}</definedName>
    <definedName name="dfhdgfdgf" hidden="1">{#N/A,#N/A,FALSE,"Plan1";#N/A,#N/A,FALSE,"Plan2"}</definedName>
    <definedName name="DFHDJGJFHJGF" localSheetId="0" hidden="1">{#N/A,#N/A,FALSE,"Plan1";#N/A,#N/A,FALSE,"Plan2"}</definedName>
    <definedName name="DFHDJGJFHJGF" hidden="1">{#N/A,#N/A,FALSE,"Plan1";#N/A,#N/A,FALSE,"Plan2"}</definedName>
    <definedName name="dfhdyg" localSheetId="0" hidden="1">{#N/A,#N/A,FALSE,"Plan1";#N/A,#N/A,FALSE,"Plan2"}</definedName>
    <definedName name="dfhdyg" hidden="1">{#N/A,#N/A,FALSE,"Plan1";#N/A,#N/A,FALSE,"Plan2"}</definedName>
    <definedName name="DFHGDHUR" localSheetId="0" hidden="1">{#N/A,#N/A,FALSE,"Plan1";#N/A,#N/A,FALSE,"Plan2"}</definedName>
    <definedName name="DFHGDHUR" hidden="1">{#N/A,#N/A,FALSE,"Plan1";#N/A,#N/A,FALSE,"Plan2"}</definedName>
    <definedName name="dfhgjfgdhfjdrf" localSheetId="0" hidden="1">{#N/A,#N/A,FALSE,"Plan1";#N/A,#N/A,FALSE,"Plan2"}</definedName>
    <definedName name="dfhgjfgdhfjdrf" hidden="1">{#N/A,#N/A,FALSE,"Plan1";#N/A,#N/A,FALSE,"Plan2"}</definedName>
    <definedName name="dfhgkhfut" localSheetId="0" hidden="1">{#N/A,#N/A,FALSE,"Plan1";#N/A,#N/A,FALSE,"Plan2"}</definedName>
    <definedName name="dfhgkhfut" hidden="1">{#N/A,#N/A,FALSE,"Plan1";#N/A,#N/A,FALSE,"Plan2"}</definedName>
    <definedName name="dfhgkjdhkjghjd" localSheetId="0" hidden="1">#REF!</definedName>
    <definedName name="dfhgkjdhkjghjd" hidden="1">#REF!</definedName>
    <definedName name="dfhguitrhfg" localSheetId="0" hidden="1">{#N/A,#N/A,FALSE,"Plan1";#N/A,#N/A,FALSE,"Plan2"}</definedName>
    <definedName name="dfhguitrhfg" hidden="1">{#N/A,#N/A,FALSE,"Plan1";#N/A,#N/A,FALSE,"Plan2"}</definedName>
    <definedName name="DFHKHDGKJHDKS" localSheetId="0" hidden="1">{#N/A,#N/A,FALSE,"Plan1";#N/A,#N/A,FALSE,"Plan2"}</definedName>
    <definedName name="DFHKHDGKJHDKS" hidden="1">{#N/A,#N/A,FALSE,"Plan1";#N/A,#N/A,FALSE,"Plan2"}</definedName>
    <definedName name="dfijvnqienvvnjv" localSheetId="0">#REF!</definedName>
    <definedName name="dfijvnqienvvnjv">#REF!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0" hidden="1">{#N/A,#N/A,FALSE,"Plan1";#N/A,#N/A,FALSE,"Plan2"}</definedName>
    <definedName name="dfjkgtdftr" hidden="1">{#N/A,#N/A,FALSE,"Plan1";#N/A,#N/A,FALSE,"Plan2"}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0" hidden="1">{#N/A,#N/A,FALSE,"Plan1";#N/A,#N/A,FALSE,"Plan2"}</definedName>
    <definedName name="dfknfhkdrj" hidden="1">{#N/A,#N/A,FALSE,"Plan1";#N/A,#N/A,FALSE,"Plan2"}</definedName>
    <definedName name="dfnert" localSheetId="0" hidden="1">{#N/A,#N/A,FALSE,"Plan1";#N/A,#N/A,FALSE,"Plan2"}</definedName>
    <definedName name="dfnert" hidden="1">{#N/A,#N/A,FALSE,"Plan1";#N/A,#N/A,FALSE,"Plan2"}</definedName>
    <definedName name="dfrt" localSheetId="0" hidden="1">{#N/A,#N/A,FALSE,"Plan1";#N/A,#N/A,FALSE,"Plan2"}</definedName>
    <definedName name="dfrt" hidden="1">{#N/A,#N/A,FALSE,"Plan1";#N/A,#N/A,FALSE,"Plan2"}</definedName>
    <definedName name="dfsdr5tt" localSheetId="0" hidden="1">{#N/A,#N/A,FALSE,"Plan1";#N/A,#N/A,FALSE,"Plan2"}</definedName>
    <definedName name="dfsdr5tt" hidden="1">{#N/A,#N/A,FALSE,"Plan1";#N/A,#N/A,FALSE,"Plan2"}</definedName>
    <definedName name="dfsds" localSheetId="0" hidden="1">#REF!</definedName>
    <definedName name="dfsds" hidden="1">#REF!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0" hidden="1">{#N/A,#N/A,FALSE,"Plan1";#N/A,#N/A,FALSE,"Plan2"}</definedName>
    <definedName name="dfsdtr" hidden="1">{#N/A,#N/A,FALSE,"Plan1";#N/A,#N/A,FALSE,"Plan2"}</definedName>
    <definedName name="dfsf" localSheetId="0" hidden="1">{#N/A,#N/A,FALSE,"Plan1";#N/A,#N/A,FALSE,"Plan2"}</definedName>
    <definedName name="dfsf" hidden="1">{#N/A,#N/A,FALSE,"Plan1";#N/A,#N/A,FALSE,"Plan2"}</definedName>
    <definedName name="DFT" localSheetId="0" hidden="1">{#N/A,#N/A,FALSE,"Plan1";#N/A,#N/A,FALSE,"Plan2"}</definedName>
    <definedName name="DFT" hidden="1">{#N/A,#N/A,FALSE,"Plan1";#N/A,#N/A,FALSE,"Plan2"}</definedName>
    <definedName name="DFTRTTY" localSheetId="0" hidden="1">{#N/A,#N/A,FALSE,"Plan1";#N/A,#N/A,FALSE,"Plan2"}</definedName>
    <definedName name="DFTRTTY" hidden="1">{#N/A,#N/A,FALSE,"Plan1";#N/A,#N/A,FALSE,"Plan2"}</definedName>
    <definedName name="dfurghifdjyhits" localSheetId="0" hidden="1">{#N/A,#N/A,FALSE,"Plan1";#N/A,#N/A,FALSE,"Plan2"}</definedName>
    <definedName name="dfurghifdjyhits" hidden="1">{#N/A,#N/A,FALSE,"Plan1";#N/A,#N/A,FALSE,"Plan2"}</definedName>
    <definedName name="dfxgdrged" localSheetId="0" hidden="1">{#N/A,#N/A,FALSE,"Plan1";#N/A,#N/A,FALSE,"Plan2"}</definedName>
    <definedName name="dfxgdrged" hidden="1">{#N/A,#N/A,FALSE,"Plan1";#N/A,#N/A,FALSE,"Plan2"}</definedName>
    <definedName name="dgfrtyt" localSheetId="0" hidden="1">{#N/A,#N/A,FALSE,"Plan1";#N/A,#N/A,FALSE,"Plan2"}</definedName>
    <definedName name="dgfrtyt" hidden="1">{#N/A,#N/A,FALSE,"Plan1";#N/A,#N/A,FALSE,"Plan2"}</definedName>
    <definedName name="dggfdg" localSheetId="0" hidden="1">{#N/A,#N/A,FALSE,"Plan1";#N/A,#N/A,FALSE,"Plan2"}</definedName>
    <definedName name="dggfdg" hidden="1">{#N/A,#N/A,FALSE,"Plan1";#N/A,#N/A,FALSE,"Plan2"}</definedName>
    <definedName name="dgldfhgkljslh" localSheetId="0" hidden="1">{#N/A,#N/A,FALSE,"Plan1";#N/A,#N/A,FALSE,"Plan2"}</definedName>
    <definedName name="dgldfhgkljslh" hidden="1">{#N/A,#N/A,FALSE,"Plan1";#N/A,#N/A,FALSE,"Plan2"}</definedName>
    <definedName name="dhfgdhrehrwe" localSheetId="0" hidden="1">{#N/A,#N/A,FALSE,"Plan1";#N/A,#N/A,FALSE,"Plan2"}</definedName>
    <definedName name="dhfgdhrehrwe" hidden="1">{#N/A,#N/A,FALSE,"Plan1";#N/A,#N/A,FALSE,"Plan2"}</definedName>
    <definedName name="dhgfdgrfgdfgd" localSheetId="0" hidden="1">{#N/A,#N/A,FALSE,"Plan1";#N/A,#N/A,FALSE,"Plan2"}</definedName>
    <definedName name="dhgfdgrfgdfgd" hidden="1">{#N/A,#N/A,FALSE,"Plan1";#N/A,#N/A,FALSE,"Plan2"}</definedName>
    <definedName name="dhkjfhdhfjdh" localSheetId="0" hidden="1">{#N/A,#N/A,FALSE,"Plan1";#N/A,#N/A,FALSE,"Plan2"}</definedName>
    <definedName name="dhkjfhdhfjdh" hidden="1">{#N/A,#N/A,FALSE,"Plan1";#N/A,#N/A,FALSE,"Plan2"}</definedName>
    <definedName name="DHTJRT" localSheetId="0" hidden="1">{#N/A,#N/A,FALSE,"Plan1";#N/A,#N/A,FALSE,"Plan2"}</definedName>
    <definedName name="DHTJRT" hidden="1">{#N/A,#N/A,FALSE,"Plan1";#N/A,#N/A,FALSE,"Plan2"}</definedName>
    <definedName name="DI" localSheetId="0">#REF!</definedName>
    <definedName name="DI">#REF!</definedName>
    <definedName name="dia3estac" localSheetId="0">#REF!</definedName>
    <definedName name="dia3estac">#REF!</definedName>
    <definedName name="diaestaca" localSheetId="0">#REF!</definedName>
    <definedName name="diaestaca">#REF!</definedName>
    <definedName name="diambase">#REF!</definedName>
    <definedName name="DIFQT">#REF!</definedName>
    <definedName name="dijghdhks" localSheetId="0" hidden="1">{#N/A,#N/A,FALSE,"Plan1";#N/A,#N/A,FALSE,"Plan2"}</definedName>
    <definedName name="dijghdhks" hidden="1">{#N/A,#N/A,FALSE,"Plan1";#N/A,#N/A,FALSE,"Plan2"}</definedName>
    <definedName name="DIMENSÕES" localSheetId="0">#REF!</definedName>
    <definedName name="DIMENSÕES">#REF!</definedName>
    <definedName name="DIR_OPER" localSheetId="0">#REF!</definedName>
    <definedName name="DIR_OPER">#REF!</definedName>
    <definedName name="DIR_TECNICO" localSheetId="0">#REF!</definedName>
    <definedName name="DIR_TECNICO">#REF!</definedName>
    <definedName name="direto" localSheetId="0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localSheetId="0" hidden="1">{#N/A,#N/A,FALSE,"Plan1";#N/A,#N/A,FALSE,"Plan2"}</definedName>
    <definedName name="djasdrjas" hidden="1">{#N/A,#N/A,FALSE,"Plan1";#N/A,#N/A,FALSE,"Plan2"}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0" hidden="1">{#N/A,#N/A,FALSE,"Plan1";#N/A,#N/A,FALSE,"Plan2"}</definedName>
    <definedName name="djfkhjhfgrgdfh" hidden="1">{#N/A,#N/A,FALSE,"Plan1";#N/A,#N/A,FALSE,"Plan2"}</definedName>
    <definedName name="djfkhsdkjhf" localSheetId="0" hidden="1">{#N/A,#N/A,FALSE,"Plan1";#N/A,#N/A,FALSE,"Plan2"}</definedName>
    <definedName name="djfkhsdkjhf" hidden="1">{#N/A,#N/A,FALSE,"Plan1";#N/A,#N/A,FALSE,"Plan2"}</definedName>
    <definedName name="djfldjsgljslkjtg" localSheetId="0" hidden="1">{#N/A,#N/A,FALSE,"Plan1";#N/A,#N/A,FALSE,"Plan2"}</definedName>
    <definedName name="djfldjsgljslkjtg" hidden="1">{#N/A,#N/A,FALSE,"Plan1";#N/A,#N/A,FALSE,"Plan2"}</definedName>
    <definedName name="djflkdjgdth" localSheetId="0" hidden="1">{#N/A,#N/A,FALSE,"Plan1";#N/A,#N/A,FALSE,"Plan2"}</definedName>
    <definedName name="djflkdjgdth" hidden="1">{#N/A,#N/A,FALSE,"Plan1";#N/A,#N/A,FALSE,"Plan2"}</definedName>
    <definedName name="DJFLKDJGKTJYJT" localSheetId="0" hidden="1">{#N/A,#N/A,FALSE,"Plan1";#N/A,#N/A,FALSE,"Plan2"}</definedName>
    <definedName name="DJFLKDJGKTJYJT" hidden="1">{#N/A,#N/A,FALSE,"Plan1";#N/A,#N/A,FALSE,"Plan2"}</definedName>
    <definedName name="djgkfjgtiyty" localSheetId="0" hidden="1">{#N/A,#N/A,FALSE,"Plan1";#N/A,#N/A,FALSE,"Plan2"}</definedName>
    <definedName name="djgkfjgtiyty" hidden="1">{#N/A,#N/A,FALSE,"Plan1";#N/A,#N/A,FALSE,"Plan2"}</definedName>
    <definedName name="djrkehrjfhng" localSheetId="0" hidden="1">{#N/A,#N/A,FALSE,"Plan1";#N/A,#N/A,FALSE,"Plan2"}</definedName>
    <definedName name="djrkehrjfhng" hidden="1">{#N/A,#N/A,FALSE,"Plan1";#N/A,#N/A,FALSE,"Plan2"}</definedName>
    <definedName name="djswfr" localSheetId="0" hidden="1">#REF!</definedName>
    <definedName name="djswfr" hidden="1">#REF!</definedName>
    <definedName name="djtkjldfr" localSheetId="0" hidden="1">{#N/A,#N/A,FALSE,"Plan1";#N/A,#N/A,FALSE,"Plan2"}</definedName>
    <definedName name="djtkjldfr" hidden="1">{#N/A,#N/A,FALSE,"Plan1";#N/A,#N/A,FALSE,"Plan2"}</definedName>
    <definedName name="DJXDLFGDFG" localSheetId="0" hidden="1">{#N/A,#N/A,FALSE,"Plan1";#N/A,#N/A,FALSE,"Plan2"}</definedName>
    <definedName name="DJXDLFGDFG" hidden="1">{#N/A,#N/A,FALSE,"Plan1";#N/A,#N/A,FALSE,"Plan2"}</definedName>
    <definedName name="dkdkdkdkd" localSheetId="0" hidden="1">{#N/A,#N/A,FALSE,"명세표"}</definedName>
    <definedName name="dkdkdkdkd" hidden="1">{#N/A,#N/A,FALSE,"명세표"}</definedName>
    <definedName name="dkfhskgf" localSheetId="0" hidden="1">{#N/A,#N/A,FALSE,"Plan1";#N/A,#N/A,FALSE,"Plan2"}</definedName>
    <definedName name="dkfhskgf" hidden="1">{#N/A,#N/A,FALSE,"Plan1";#N/A,#N/A,FALSE,"Plan2"}</definedName>
    <definedName name="dkjfk" localSheetId="0" hidden="1">{#N/A,#N/A,FALSE,"Plan1";#N/A,#N/A,FALSE,"Plan2"}</definedName>
    <definedName name="dkjfk" hidden="1">{#N/A,#N/A,FALSE,"Plan1";#N/A,#N/A,FALSE,"Plan2"}</definedName>
    <definedName name="DKLD" localSheetId="0" hidden="1">{#N/A,#N/A,FALSE,"Plan1";#N/A,#N/A,FALSE,"Plan2"}</definedName>
    <definedName name="DKLD" hidden="1">{#N/A,#N/A,FALSE,"Plan1";#N/A,#N/A,FALSE,"Plan2"}</definedName>
    <definedName name="DKLFJDKFD" localSheetId="0" hidden="1">{#N/A,#N/A,FALSE,"Plan1";#N/A,#N/A,FALSE,"Plan2"}</definedName>
    <definedName name="DKLFJDKFD" hidden="1">{#N/A,#N/A,FALSE,"Plan1";#N/A,#N/A,FALSE,"Plan2"}</definedName>
    <definedName name="dklfjgirtgid" localSheetId="0" hidden="1">{#N/A,#N/A,FALSE,"Plan1";#N/A,#N/A,FALSE,"Plan2"}</definedName>
    <definedName name="dklfjgirtgid" hidden="1">{#N/A,#N/A,FALSE,"Plan1";#N/A,#N/A,FALSE,"Plan2"}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0" hidden="1">{#N/A,#N/A,FALSE,"Plan1";#N/A,#N/A,FALSE,"Plan2"}</definedName>
    <definedName name="dmbfmndbmtrhed" hidden="1">{#N/A,#N/A,FALSE,"Plan1";#N/A,#N/A,FALSE,"Plan2"}</definedName>
    <definedName name="DNFJKDHTKRE" localSheetId="0" hidden="1">{#N/A,#N/A,FALSE,"Plan1";#N/A,#N/A,FALSE,"Plan2"}</definedName>
    <definedName name="DNFJKDHTKRE" hidden="1">{#N/A,#N/A,FALSE,"Plan1";#N/A,#N/A,FALSE,"Plan2"}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0">#REF!</definedName>
    <definedName name="DOCUMENT">#REF!</definedName>
    <definedName name="DOIS" localSheetId="0">#REF!</definedName>
    <definedName name="DOIS">#REF!</definedName>
    <definedName name="dolar" localSheetId="0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 localSheetId="0">#REF!</definedName>
    <definedName name="DRE">#REF!</definedName>
    <definedName name="drewr" localSheetId="0" hidden="1">{#N/A,#N/A,FALSE,"Plan1";#N/A,#N/A,FALSE,"Plan2"}</definedName>
    <definedName name="drewr" hidden="1">{#N/A,#N/A,FALSE,"Plan1";#N/A,#N/A,FALSE,"Plan2"}</definedName>
    <definedName name="DRRJR" localSheetId="0" hidden="1">{#N/A,#N/A,FALSE,"Plan1";#N/A,#N/A,FALSE,"Plan2"}</definedName>
    <definedName name="DRRJR" hidden="1">{#N/A,#N/A,FALSE,"Plan1";#N/A,#N/A,FALSE,"Plan2"}</definedName>
    <definedName name="drtr" localSheetId="0" hidden="1">#REF!</definedName>
    <definedName name="drtr" hidden="1">#REF!</definedName>
    <definedName name="drtrt" localSheetId="0" hidden="1">{"'Estimativa de Lançamento-JAN'!$A$1:$AI$85"}</definedName>
    <definedName name="drtrt" hidden="1">{"'Estimativa de Lançamento-JAN'!$A$1:$AI$85"}</definedName>
    <definedName name="dsdrf" localSheetId="0" hidden="1">{#N/A,#N/A,FALSE,"Plan1";#N/A,#N/A,FALSE,"Plan2"}</definedName>
    <definedName name="dsdrf" hidden="1">{#N/A,#N/A,FALSE,"Plan1";#N/A,#N/A,FALSE,"Plan2"}</definedName>
    <definedName name="dsfdf" localSheetId="0" hidden="1">{#N/A,#N/A,FALSE,"Plan1";#N/A,#N/A,FALSE,"Plan2"}</definedName>
    <definedName name="dsfdf" hidden="1">{#N/A,#N/A,FALSE,"Plan1";#N/A,#N/A,FALSE,"Plan2"}</definedName>
    <definedName name="dsfg" localSheetId="0" hidden="1">{#N/A,#N/A,FALSE,"Plan1";#N/A,#N/A,FALSE,"Plan2"}</definedName>
    <definedName name="dsfg" hidden="1">{#N/A,#N/A,FALSE,"Plan1";#N/A,#N/A,FALSE,"Plan2"}</definedName>
    <definedName name="DSFKDSKH" localSheetId="0" hidden="1">{#N/A,#N/A,FALSE,"Plan1";#N/A,#N/A,FALSE,"Plan2"}</definedName>
    <definedName name="DSFKDSKH" hidden="1">{#N/A,#N/A,FALSE,"Plan1";#N/A,#N/A,FALSE,"Plan2"}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0" hidden="1">{#N/A,#N/A,FALSE,"Plan1";#N/A,#N/A,FALSE,"Plan2"}</definedName>
    <definedName name="dsfrtyy" hidden="1">{#N/A,#N/A,FALSE,"Plan1";#N/A,#N/A,FALSE,"Plan2"}</definedName>
    <definedName name="DSFSAD" localSheetId="0" hidden="1">{#N/A,#N/A,FALSE,"Plan1";#N/A,#N/A,FALSE,"Plan2"}</definedName>
    <definedName name="DSFSAD" hidden="1">{#N/A,#N/A,FALSE,"Plan1";#N/A,#N/A,FALSE,"Plan2"}</definedName>
    <definedName name="dsfsdf" localSheetId="0" hidden="1">{#N/A,#N/A,FALSE,"Plan1";#N/A,#N/A,FALSE,"Plan2"}</definedName>
    <definedName name="dsfsdf" hidden="1">{#N/A,#N/A,FALSE,"Plan1";#N/A,#N/A,FALSE,"Plan2"}</definedName>
    <definedName name="dsfsdgfb" localSheetId="0" hidden="1">{#N/A,#N/A,FALSE,"Plan1";#N/A,#N/A,FALSE,"Plan2"}</definedName>
    <definedName name="dsfsdgfb" hidden="1">{#N/A,#N/A,FALSE,"Plan1";#N/A,#N/A,FALSE,"Plan2"}</definedName>
    <definedName name="dsgfr" localSheetId="0" hidden="1">{#N/A,#N/A,FALSE,"Plan1";#N/A,#N/A,FALSE,"Plan2"}</definedName>
    <definedName name="dsgfr" hidden="1">{#N/A,#N/A,FALSE,"Plan1";#N/A,#N/A,FALSE,"Plan2"}</definedName>
    <definedName name="dshfkhkrhesru" localSheetId="0" hidden="1">{#N/A,#N/A,FALSE,"Plan1";#N/A,#N/A,FALSE,"Plan2"}</definedName>
    <definedName name="dshfkhkrhesru" hidden="1">{#N/A,#N/A,FALSE,"Plan1";#N/A,#N/A,FALSE,"Plan2"}</definedName>
    <definedName name="dsjkthkr" localSheetId="0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localSheetId="0" hidden="1">{#N/A,#N/A,FALSE,"Plan1";#N/A,#N/A,FALSE,"Plan2"}</definedName>
    <definedName name="DSLFJSLFJ" hidden="1">{#N/A,#N/A,FALSE,"Plan1";#N/A,#N/A,FALSE,"Plan2"}</definedName>
    <definedName name="dslfkf" hidden="1">4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0" hidden="1">{#N/A,#N/A,FALSE,"Plan1";#N/A,#N/A,FALSE,"Plan2"}</definedName>
    <definedName name="dss" hidden="1">{#N/A,#N/A,FALSE,"Plan1";#N/A,#N/A,FALSE,"Plan2"}</definedName>
    <definedName name="dtgsrytt" localSheetId="0" hidden="1">{#N/A,#N/A,FALSE,"Plan1";#N/A,#N/A,FALSE,"Plan2"}</definedName>
    <definedName name="dtgsrytt" hidden="1">{#N/A,#N/A,FALSE,"Plan1";#N/A,#N/A,FALSE,"Plan2"}</definedName>
    <definedName name="dtrjkhtrgkfh" localSheetId="0" hidden="1">{#N/A,#N/A,FALSE,"Plan1";#N/A,#N/A,FALSE,"Plan2"}</definedName>
    <definedName name="dtrjkhtrgkfh" hidden="1">{#N/A,#N/A,FALSE,"Plan1";#N/A,#N/A,FALSE,"Plan2"}</definedName>
    <definedName name="dttjuk" localSheetId="0" hidden="1">{#N/A,#N/A,FALSE,"Plan1";#N/A,#N/A,FALSE,"Plan2"}</definedName>
    <definedName name="dttjuk" hidden="1">{#N/A,#N/A,FALSE,"Plan1";#N/A,#N/A,FALSE,"Plan2"}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0" hidden="1">{#N/A,#N/A,FALSE,"Plan1";#N/A,#N/A,FALSE,"Plan2"}</definedName>
    <definedName name="dwetrt" hidden="1">{#N/A,#N/A,FALSE,"Plan1";#N/A,#N/A,FALSE,"Plan2"}</definedName>
    <definedName name="dwqhdjwqgdwq" localSheetId="0">#REF!</definedName>
    <definedName name="dwqhdjwqgdwq">#REF!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0" hidden="1">{#N/A,#N/A,FALSE,"Plan1";#N/A,#N/A,FALSE,"Plan2"}</definedName>
    <definedName name="DYHYGJDHZKGF" hidden="1">{#N/A,#N/A,FALSE,"Plan1";#N/A,#N/A,FALSE,"Plan2"}</definedName>
    <definedName name="dzdfr" localSheetId="0" hidden="1">{#N/A,#N/A,FALSE,"Plan1";#N/A,#N/A,FALSE,"Plan2"}</definedName>
    <definedName name="dzdfr" hidden="1">{#N/A,#N/A,FALSE,"Plan1";#N/A,#N/A,FALSE,"Plan2"}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0">#REF!</definedName>
    <definedName name="ea">#REF!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0" hidden="1">{#N/A,#N/A,FALSE,"F-01"}</definedName>
    <definedName name="ECEW" hidden="1">{#N/A,#N/A,FALSE,"F-01"}</definedName>
    <definedName name="ECEW_1" localSheetId="0" hidden="1">{#N/A,#N/A,FALSE,"F-01"}</definedName>
    <definedName name="ECEW_1" hidden="1">{#N/A,#N/A,FALSE,"F-01"}</definedName>
    <definedName name="echart31" localSheetId="0" hidden="1">#REF!</definedName>
    <definedName name="echart31" hidden="1">#REF!</definedName>
    <definedName name="EcoPark" localSheetId="0">#REF!</definedName>
    <definedName name="EcoPark">#REF!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0" hidden="1">{#N/A,#N/A,FALSE,"Plan1";#N/A,#N/A,FALSE,"Plan2"}</definedName>
    <definedName name="EDE" hidden="1">{#N/A,#N/A,FALSE,"Plan1";#N/A,#N/A,FALSE,"Plan2"}</definedName>
    <definedName name="ee" localSheetId="0">#REF!</definedName>
    <definedName name="ee">#REF!</definedName>
    <definedName name="eee" localSheetId="16" hidden="1">{#N/A,#N/A,FALSE,"ET-CAPA";#N/A,#N/A,FALSE,"ET-PAG1";#N/A,#N/A,FALSE,"ET-PAG2";#N/A,#N/A,FALSE,"ET-PAG3";#N/A,#N/A,FALSE,"ET-PAG4";#N/A,#N/A,FALSE,"ET-PAG5"}</definedName>
    <definedName name="eee" localSheetId="18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8" hidden="1">{#N/A,#N/A,FALSE,"ET-CAPA";#N/A,#N/A,FALSE,"ET-PAG1";#N/A,#N/A,FALSE,"ET-PAG2";#N/A,#N/A,FALSE,"ET-PAG3";#N/A,#N/A,FALSE,"ET-PAG4";#N/A,#N/A,FALSE,"ET-PAG5"}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9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 localSheetId="0">#REF!</definedName>
    <definedName name="EF">#REF!</definedName>
    <definedName name="efestfr" localSheetId="0" hidden="1">{#N/A,#N/A,FALSE,"Plan1";#N/A,#N/A,FALSE,"Plan2"}</definedName>
    <definedName name="efestfr" hidden="1">{#N/A,#N/A,FALSE,"Plan1";#N/A,#N/A,FALSE,"Plan2"}</definedName>
    <definedName name="EFICIÊNCIA" localSheetId="0">#REF!</definedName>
    <definedName name="EFICIÊNCIA">#REF!</definedName>
    <definedName name="Eficiência1" localSheetId="0">#REF!</definedName>
    <definedName name="Eficiência1">#REF!</definedName>
    <definedName name="efrdrt" localSheetId="0" hidden="1">{#N/A,#N/A,FALSE,"Plan1";#N/A,#N/A,FALSE,"Plan2"}</definedName>
    <definedName name="efrdrt" hidden="1">{#N/A,#N/A,FALSE,"Plan1";#N/A,#N/A,FALSE,"Plan2"}</definedName>
    <definedName name="efrg" localSheetId="0" hidden="1">{#N/A,#N/A,FALSE,"Plan1";#N/A,#N/A,FALSE,"Plan2"}</definedName>
    <definedName name="efrg" hidden="1">{#N/A,#N/A,FALSE,"Plan1";#N/A,#N/A,FALSE,"Plan2"}</definedName>
    <definedName name="efsgfr" localSheetId="0" hidden="1">{#N/A,#N/A,FALSE,"Plan1";#N/A,#N/A,FALSE,"Plan2"}</definedName>
    <definedName name="efsgfr" hidden="1">{#N/A,#N/A,FALSE,"Plan1";#N/A,#N/A,FALSE,"Plan2"}</definedName>
    <definedName name="eixo_x_fluxo_graf1" localSheetId="0">IFERROR(OFFSET(INDEX(#REF!,MATCH((INDEX(#REF!,MATCH(1,#REF!,0))),#REF!,0)),0,0,1,COUNTIF(#REF!,"&gt;=0")+COUNTIF(#REF!,"&lt;0")),0)</definedName>
    <definedName name="eixo_x_fluxo_graf1">IFERROR(OFFSET(INDEX(#REF!,MATCH((INDEX(#REF!,MATCH(1,#REF!,0))),#REF!,0)),0,0,1,COUNTIF(#REF!,"&gt;=0")+COUNTIF(#REF!,"&lt;0")),0)</definedName>
    <definedName name="eixo_x_graf2" localSheetId="0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 localSheetId="0">#REF!</definedName>
    <definedName name="eixo_x_graf3_distratos">#REF!</definedName>
    <definedName name="eixo_x_graf3_vendas" localSheetId="0">#REF!</definedName>
    <definedName name="eixo_x_graf3_vendas">#REF!</definedName>
    <definedName name="eixo_y_cury_graf2" localSheetId="0">IFERROR(OFFSET(INDEX(#REF!,MATCH((INDEX(#REF!,MATCH(1,#REF!,0))),#REF!,0)),0,0,1,COUNTIF(#REF!,"&gt;=0")+COUNTIF(#REF!,"&lt;0")),0)</definedName>
    <definedName name="eixo_y_cury_graf2">IFERROR(OFFSET(INDEX(#REF!,MATCH((INDEX(#REF!,MATCH(1,#REF!,0))),#REF!,0)),0,0,1,COUNTIF(#REF!,"&gt;=0")+COUNTIF(#REF!,"&lt;0")),0)</definedName>
    <definedName name="eixo_y_fluxo_graf1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0">#REF!</definedName>
    <definedName name="eixo_y_graf3">#REF!</definedName>
    <definedName name="eixo_y_socio_graf2" localSheetId="0">IFERROR(OFFSET(INDEX(#REF!,MATCH((INDEX(#REF!,MATCH(1,#REF!,0))),#REF!,0)),0,0,1,COUNTIF(#REF!,"&gt;=0")+COUNTIF(#REF!,"&lt;0")),0)</definedName>
    <definedName name="eixo_y_socio_graf2">IFERROR(OFFSET(INDEX(#REF!,MATCH((INDEX(#REF!,MATCH(1,#REF!,0))),#REF!,0)),0,0,1,COUNTIF(#REF!,"&gt;=0")+COUNTIF(#REF!,"&lt;0")),0)</definedName>
    <definedName name="eixo_y_viab_graf1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0">#REF!</definedName>
    <definedName name="EM">#REF!</definedName>
    <definedName name="Empreend" localSheetId="0">#REF!</definedName>
    <definedName name="Empreend">#REF!</definedName>
    <definedName name="Empreendimentos" localSheetId="0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0" hidden="1">{#N/A,#N/A,FALSE,"Plan1";#N/A,#N/A,FALSE,"Plan2"}</definedName>
    <definedName name="ergfhyu" hidden="1">{#N/A,#N/A,FALSE,"Plan1";#N/A,#N/A,FALSE,"Plan2"}</definedName>
    <definedName name="erne_cdi" localSheetId="0">#REF!</definedName>
    <definedName name="erne_cdi">#REF!</definedName>
    <definedName name="erne_hist" localSheetId="0">#REF!</definedName>
    <definedName name="erne_hist">#REF!</definedName>
    <definedName name="erne_uss" localSheetId="0">#REF!</definedName>
    <definedName name="erne_uss">#REF!</definedName>
    <definedName name="erte" localSheetId="0" hidden="1">#REF!</definedName>
    <definedName name="erte" hidden="1">#REF!</definedName>
    <definedName name="ESGFDSFD" localSheetId="0" hidden="1">{#N/A,#N/A,FALSE,"Plan1";#N/A,#N/A,FALSE,"Plan2"}</definedName>
    <definedName name="ESGFDSFD" hidden="1">{#N/A,#N/A,FALSE,"Plan1";#N/A,#N/A,FALSE,"Plan2"}</definedName>
    <definedName name="esp" localSheetId="0">#REF!</definedName>
    <definedName name="esp">#REF!</definedName>
    <definedName name="ESPESSURA" localSheetId="0">#REF!</definedName>
    <definedName name="ESPESSURA">#REF!</definedName>
    <definedName name="estaca" localSheetId="0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localSheetId="0" hidden="1">{#N/A,#N/A,FALSE,"Plan1";#N/A,#N/A,FALSE,"Plan2"}</definedName>
    <definedName name="EU" hidden="1">{#N/A,#N/A,FALSE,"Plan1";#N/A,#N/A,FALSE,"Plan2"}</definedName>
    <definedName name="EV__LASTREFTIME__" hidden="1">39965.7223611111</definedName>
    <definedName name="EVL" localSheetId="0" hidden="1">{"Econ Consolidado",#N/A,FALSE,"Econ Consol";"Fluxo de Caixa",#N/A,FALSE,"Fluxo Caixa";"Investimentos",#N/A,FALSE,"Investimentos"}</definedName>
    <definedName name="EVL" hidden="1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localSheetId="0" hidden="1">{#N/A,#N/A,FALSE,"Plan1";#N/A,#N/A,FALSE,"Plan2"}</definedName>
    <definedName name="ewfr" hidden="1">{#N/A,#N/A,FALSE,"Plan1";#N/A,#N/A,FALSE,"Plan2"}</definedName>
    <definedName name="exce_cdi" localSheetId="0">#REF!</definedName>
    <definedName name="exce_cdi">#REF!</definedName>
    <definedName name="exce_hist" localSheetId="0">#REF!</definedName>
    <definedName name="exce_hist">#REF!</definedName>
    <definedName name="exce_uss" localSheetId="0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localSheetId="0" hidden="1">{#N/A,#N/A,FALSE,"Plan1";#N/A,#N/A,FALSE,"Plan2"}</definedName>
    <definedName name="eyruieyteta" hidden="1">{#N/A,#N/A,FALSE,"Plan1";#N/A,#N/A,FALSE,"Plan2"}</definedName>
    <definedName name="f" localSheetId="0" hidden="1">{#N/A,#N/A,FALSE,"Plan1";#N/A,#N/A,FALSE,"Plan2"}</definedName>
    <definedName name="f">#REF!</definedName>
    <definedName name="FACULDADE" localSheetId="0">#REF!</definedName>
    <definedName name="FACULDADE">#REF!</definedName>
    <definedName name="FAL" localSheetId="0">#REF!</definedName>
    <definedName name="FAL">#REF!</definedName>
    <definedName name="farialima">#REF!</definedName>
    <definedName name="FAS" localSheetId="0" hidden="1">{"'Total'!$A$1","'Total'!$A$3"}</definedName>
    <definedName name="FAS" hidden="1">{"'Total'!$A$1","'Total'!$A$3"}</definedName>
    <definedName name="fasfasf" localSheetId="0" hidden="1">{#N/A,#N/A,TRUE,"Quinzena 01 à 15-04-98 "}</definedName>
    <definedName name="fasfasf" hidden="1">{#N/A,#N/A,TRUE,"Quinzena 01 à 15-04-98 "}</definedName>
    <definedName name="FATOR_K" localSheetId="0">#REF!</definedName>
    <definedName name="FATOR_K">#REF!</definedName>
    <definedName name="FATORK" localSheetId="0">#REF!</definedName>
    <definedName name="FATORK">#REF!</definedName>
    <definedName name="FBancaria" localSheetId="0">#REF!</definedName>
    <definedName name="FBancaria">#REF!</definedName>
    <definedName name="fchart31" localSheetId="0" hidden="1">#REF!</definedName>
    <definedName name="fchart31" hidden="1">#REF!</definedName>
    <definedName name="fddhght" localSheetId="0" hidden="1">{#N/A,#N/A,FALSE,"Plan1";#N/A,#N/A,FALSE,"Plan2"}</definedName>
    <definedName name="fddhght" hidden="1">{#N/A,#N/A,FALSE,"Plan1";#N/A,#N/A,FALSE,"Plan2"}</definedName>
    <definedName name="fdfgd" localSheetId="0" hidden="1">{#N/A,#N/A,FALSE,"Plan1";#N/A,#N/A,FALSE,"Plan2"}</definedName>
    <definedName name="fdfgd" hidden="1">{#N/A,#N/A,FALSE,"Plan1";#N/A,#N/A,FALSE,"Plan2"}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0" hidden="1">{#N/A,#N/A,FALSE,"Plan1";#N/A,#N/A,FALSE,"Plan2"}</definedName>
    <definedName name="fdgaf" hidden="1">{#N/A,#N/A,FALSE,"Plan1";#N/A,#N/A,FALSE,"Plan2"}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0" hidden="1">{#N/A,#N/A,FALSE,"Plan1";#N/A,#N/A,FALSE,"Plan2"}</definedName>
    <definedName name="FDGFDJHGZEDR" hidden="1">{#N/A,#N/A,FALSE,"Plan1";#N/A,#N/A,FALSE,"Plan2"}</definedName>
    <definedName name="fdgfyhygfuj" localSheetId="0" hidden="1">{#N/A,#N/A,FALSE,"Plan1";#N/A,#N/A,FALSE,"Plan2"}</definedName>
    <definedName name="fdgfyhygfuj" hidden="1">{#N/A,#N/A,FALSE,"Plan1";#N/A,#N/A,FALSE,"Plan2"}</definedName>
    <definedName name="fdhgfdf" localSheetId="0" hidden="1">{#N/A,#N/A,FALSE,"Plan1";#N/A,#N/A,FALSE,"Plan2"}</definedName>
    <definedName name="fdhgfdf" hidden="1">{#N/A,#N/A,FALSE,"Plan1";#N/A,#N/A,FALSE,"Plan2"}</definedName>
    <definedName name="fdjfgdfjg" localSheetId="0" hidden="1">{#N/A,#N/A,FALSE,"Plan1";#N/A,#N/A,FALSE,"Plan2"}</definedName>
    <definedName name="fdjfgdfjg" hidden="1">{#N/A,#N/A,FALSE,"Plan1";#N/A,#N/A,FALSE,"Plan2"}</definedName>
    <definedName name="fdjghkshtygt" localSheetId="0" hidden="1">{#N/A,#N/A,FALSE,"Plan1";#N/A,#N/A,FALSE,"Plan2"}</definedName>
    <definedName name="fdjghkshtygt" hidden="1">{#N/A,#N/A,FALSE,"Plan1";#N/A,#N/A,FALSE,"Plan2"}</definedName>
    <definedName name="fdnhgf" localSheetId="0" hidden="1">{"'Estimativa de Lançamento-JAN'!$A$1:$AI$85"}</definedName>
    <definedName name="fdnhgf" hidden="1">{"'Estimativa de Lançamento-JAN'!$A$1:$AI$85"}</definedName>
    <definedName name="fdsf" localSheetId="0" hidden="1">{#N/A,#N/A,FALSE,"Plan1";#N/A,#N/A,FALSE,"Plan2"}</definedName>
    <definedName name="fdsf" hidden="1">{#N/A,#N/A,FALSE,"Plan1";#N/A,#N/A,FALSE,"Plan2"}</definedName>
    <definedName name="FE" localSheetId="0">#REF!</definedName>
    <definedName name="FE">#REF!</definedName>
    <definedName name="fefefefe" localSheetId="0">#REF!</definedName>
    <definedName name="fefefefe">#REF!</definedName>
    <definedName name="FER" localSheetId="0" hidden="1">#REF!</definedName>
    <definedName name="FER" hidden="1">#REF!</definedName>
    <definedName name="fev17RJ">#REF!</definedName>
    <definedName name="FEVEREIRO2001">#REF!</definedName>
    <definedName name="ff">#REF!</definedName>
    <definedName name="fffefes">#REF!</definedName>
    <definedName name="fffff" localSheetId="0" hidden="1">{#N/A,#N/A,FALSE,"Plan1";#N/A,#N/A,FALSE,"Plan2"}</definedName>
    <definedName name="fffff" hidden="1">{#N/A,#N/A,FALSE,"Plan1";#N/A,#N/A,FALSE,"Plan2"}</definedName>
    <definedName name="FFFFFFF" localSheetId="16">#REF!</definedName>
    <definedName name="FFFFFFF" localSheetId="18">#REF!</definedName>
    <definedName name="FFFFFFF" localSheetId="1">#REF!</definedName>
    <definedName name="FFFFFFF" localSheetId="8">#REF!</definedName>
    <definedName name="FFFFFFF" localSheetId="2">#REF!</definedName>
    <definedName name="FFFFFFF" localSheetId="0">#REF!</definedName>
    <definedName name="FFFFFFF" localSheetId="9">#REF!</definedName>
    <definedName name="FFFFFFF">#REF!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0" hidden="1">{#N/A,#N/A,FALSE,"Plan1";#N/A,#N/A,FALSE,"Plan2"}</definedName>
    <definedName name="fg" hidden="1">{#N/A,#N/A,FALSE,"Plan1";#N/A,#N/A,FALSE,"Plan2"}</definedName>
    <definedName name="fgg" localSheetId="0" hidden="1">{"'장비'!$A$3:$M$12"}</definedName>
    <definedName name="fgg" hidden="1">{"'장비'!$A$3:$M$12"}</definedName>
    <definedName name="fghfh" localSheetId="0" hidden="1">{"'Estimativa de Lançamento-JAN'!$A$1:$AI$85"}</definedName>
    <definedName name="fghfh" hidden="1">{"'Estimativa de Lançamento-JAN'!$A$1:$AI$85"}</definedName>
    <definedName name="fghgfh" localSheetId="0" hidden="1">{#N/A,#N/A,FALSE,"Plan1";#N/A,#N/A,FALSE,"Plan2"}</definedName>
    <definedName name="fghgfh" hidden="1">{#N/A,#N/A,FALSE,"Plan1";#N/A,#N/A,FALSE,"Plan2"}</definedName>
    <definedName name="FGJHFGK" localSheetId="0" hidden="1">{#N/A,#N/A,FALSE,"Plan1";#N/A,#N/A,FALSE,"Plan2"}</definedName>
    <definedName name="FGJHFGK" hidden="1">{#N/A,#N/A,FALSE,"Plan1";#N/A,#N/A,FALSE,"Plan2"}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0" hidden="1">{#N/A,#N/A,FALSE,"Plan1";#N/A,#N/A,FALSE,"Plan2"}</definedName>
    <definedName name="fgtrgty" hidden="1">{#N/A,#N/A,FALSE,"Plan1";#N/A,#N/A,FALSE,"Plan2"}</definedName>
    <definedName name="fgty" localSheetId="0" hidden="1">#REF!</definedName>
    <definedName name="fgty" hidden="1">#REF!</definedName>
    <definedName name="fhgjfgyt" localSheetId="0" hidden="1">{#N/A,#N/A,FALSE,"Plan1";#N/A,#N/A,FALSE,"Plan2"}</definedName>
    <definedName name="fhgjfgyt" hidden="1">{#N/A,#N/A,FALSE,"Plan1";#N/A,#N/A,FALSE,"Plan2"}</definedName>
    <definedName name="fhgjkhtrfg" localSheetId="0" hidden="1">{#N/A,#N/A,FALSE,"Plan1";#N/A,#N/A,FALSE,"Plan2"}</definedName>
    <definedName name="fhgjkhtrfg" hidden="1">{#N/A,#N/A,FALSE,"Plan1";#N/A,#N/A,FALSE,"Plan2"}</definedName>
    <definedName name="FHGTGSRSG" localSheetId="0" hidden="1">{#N/A,#N/A,FALSE,"Plan1";#N/A,#N/A,FALSE,"Plan2"}</definedName>
    <definedName name="FHGTGSRSG" hidden="1">{#N/A,#N/A,FALSE,"Plan1";#N/A,#N/A,FALSE,"Plan2"}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0" hidden="1">{#N/A,#N/A,TRUE,"Quinzena 01 à 15-04-98 "}</definedName>
    <definedName name="FILTRO" hidden="1">{#N/A,#N/A,TRUE,"Quinzena 01 à 15-04-98 "}</definedName>
    <definedName name="Filtro_Rel_Sienge" localSheetId="0">#REF!</definedName>
    <definedName name="Filtro_Rel_Sienge">#REF!</definedName>
    <definedName name="Firs_hist" localSheetId="0">#REF!</definedName>
    <definedName name="Firs_hist">#REF!</definedName>
    <definedName name="First_cdi" localSheetId="0">#REF!</definedName>
    <definedName name="First_cdi">#REF!</definedName>
    <definedName name="First_uss">#REF!</definedName>
    <definedName name="fjdhfgjdhtgu" localSheetId="0" hidden="1">{#N/A,#N/A,FALSE,"Plan1";#N/A,#N/A,FALSE,"Plan2"}</definedName>
    <definedName name="fjdhfgjdhtgu" hidden="1">{#N/A,#N/A,FALSE,"Plan1";#N/A,#N/A,FALSE,"Plan2"}</definedName>
    <definedName name="fjfjg" localSheetId="0" hidden="1">{#N/A,#N/A,FALSE,"명세표"}</definedName>
    <definedName name="fjfjg" hidden="1">{#N/A,#N/A,FALSE,"명세표"}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HJHG" hidden="1">{#N/A,#N/A,FALSE,"Plan1";#N/A,#N/A,FALSE,"Plan2"}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0" hidden="1">{#N/A,#N/A,FALSE,"Plan1";#N/A,#N/A,FALSE,"Plan2"}</definedName>
    <definedName name="fkfw" hidden="1">{#N/A,#N/A,FALSE,"Plan1";#N/A,#N/A,FALSE,"Plan2"}</definedName>
    <definedName name="f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>#REF!</definedName>
    <definedName name="FL_1" localSheetId="0">#REF!</definedName>
    <definedName name="FL_1">#REF!</definedName>
    <definedName name="FL_2" localSheetId="0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 localSheetId="0">OFFSET(#REF!,6,0,COUNTA(#REF!))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localSheetId="0" hidden="1">{#N/A,#N/A,FALSE,"Plan1";#N/A,#N/A,FALSE,"Plan2"}</definedName>
    <definedName name="frçt4r" hidden="1">{#N/A,#N/A,FALSE,"Plan1";#N/A,#N/A,FALSE,"Plan2"}</definedName>
    <definedName name="frdtty" localSheetId="0" hidden="1">{#N/A,#N/A,FALSE,"Plan1";#N/A,#N/A,FALSE,"Plan2"}</definedName>
    <definedName name="frdtty" hidden="1">{#N/A,#N/A,FALSE,"Plan1";#N/A,#N/A,FALSE,"Plan2"}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0" hidden="1">{#N/A,#N/A,FALSE,"Plan1";#N/A,#N/A,FALSE,"Plan2"}</definedName>
    <definedName name="fuihgjk" hidden="1">{#N/A,#N/A,FALSE,"Plan1";#N/A,#N/A,FALSE,"Plan2"}</definedName>
    <definedName name="fuste" localSheetId="0">#REF!</definedName>
    <definedName name="fuste">#REF!</definedName>
    <definedName name="fxjghkfg" localSheetId="0" hidden="1">{#N/A,#N/A,FALSE,"Plan1";#N/A,#N/A,FALSE,"Plan2"}</definedName>
    <definedName name="fxjghkfg" hidden="1">{#N/A,#N/A,FALSE,"Plan1";#N/A,#N/A,FALSE,"Plan2"}</definedName>
    <definedName name="g_10" localSheetId="0">#REF!</definedName>
    <definedName name="g_10">#REF!</definedName>
    <definedName name="g_11" localSheetId="0">#REF!</definedName>
    <definedName name="g_11">#REF!</definedName>
    <definedName name="g_12" localSheetId="0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0">#REF!</definedName>
    <definedName name="GARAGEM">#REF!</definedName>
    <definedName name="garcia" localSheetId="0">#REF!</definedName>
    <definedName name="garcia">#REF!</definedName>
    <definedName name="GASTOS_JULHO" localSheetId="0">#REF!</definedName>
    <definedName name="GASTOS_JULHO">#REF!</definedName>
    <definedName name="gbdjkvhgd" localSheetId="0" hidden="1">{#N/A,#N/A,FALSE,"Plan1";#N/A,#N/A,FALSE,"Plan2"}</definedName>
    <definedName name="gbdjkvhgd" hidden="1">{#N/A,#N/A,FALSE,"Plan1";#N/A,#N/A,FALSE,"Plan2"}</definedName>
    <definedName name="gbdsjgsjfdgj" localSheetId="0" hidden="1">{#N/A,#N/A,FALSE,"Plan1";#N/A,#N/A,FALSE,"Plan2"}</definedName>
    <definedName name="gbdsjgsjfdgj" hidden="1">{#N/A,#N/A,FALSE,"Plan1";#N/A,#N/A,FALSE,"Plan2"}</definedName>
    <definedName name="gdfdhgfjgj" localSheetId="0" hidden="1">{#N/A,#N/A,FALSE,"Plan1";#N/A,#N/A,FALSE,"Plan2"}</definedName>
    <definedName name="gdfdhgfjgj" hidden="1">{#N/A,#N/A,FALSE,"Plan1";#N/A,#N/A,FALSE,"Plan2"}</definedName>
    <definedName name="gdfgdstggt" localSheetId="0" hidden="1">{#N/A,#N/A,FALSE,"Plan1";#N/A,#N/A,FALSE,"Plan2"}</definedName>
    <definedName name="gdfgdstggt" hidden="1">{#N/A,#N/A,FALSE,"Plan1";#N/A,#N/A,FALSE,"Plan2"}</definedName>
    <definedName name="GDFHGRJGFJDRF" localSheetId="0" hidden="1">{"Econ Consolidado",#N/A,FALSE,"Econ Consol";"Fluxo de Caixa",#N/A,FALSE,"Fluxo Caixa";"Investimentos",#N/A,FALSE,"Investimentos"}</definedName>
    <definedName name="GDFHGRJGFJDRF" hidden="1">{"Econ Consolidado",#N/A,FALSE,"Econ Consol";"Fluxo de Caixa",#N/A,FALSE,"Fluxo Caixa";"Investimentos",#N/A,FALSE,"Investimentos"}</definedName>
    <definedName name="gdfigfhuyuy" localSheetId="0" hidden="1">{#N/A,#N/A,FALSE,"Plan1";#N/A,#N/A,FALSE,"Plan2"}</definedName>
    <definedName name="gdfigfhuyuy" hidden="1">{#N/A,#N/A,FALSE,"Plan1";#N/A,#N/A,FALSE,"Plan2"}</definedName>
    <definedName name="gdfsgfew" localSheetId="0" hidden="1">{#N/A,#N/A,FALSE,"Plan1";#N/A,#N/A,FALSE,"Plan2"}</definedName>
    <definedName name="gdfsgfew" hidden="1">{#N/A,#N/A,FALSE,"Plan1";#N/A,#N/A,FALSE,"Plan2"}</definedName>
    <definedName name="gdhfgdhfgf" localSheetId="0" hidden="1">{#N/A,#N/A,FALSE,"Plan1";#N/A,#N/A,FALSE,"Plan2"}</definedName>
    <definedName name="gdhfgdhfgf" hidden="1">{#N/A,#N/A,FALSE,"Plan1";#N/A,#N/A,FALSE,"Plan2"}</definedName>
    <definedName name="gdsfhefrwrw" localSheetId="0" hidden="1">{#N/A,#N/A,FALSE,"Plan1";#N/A,#N/A,FALSE,"Plan2"}</definedName>
    <definedName name="gdsfhefrwrw" hidden="1">{#N/A,#N/A,FALSE,"Plan1";#N/A,#N/A,FALSE,"Plan2"}</definedName>
    <definedName name="GER_TECNICO" localSheetId="0">#REF!</definedName>
    <definedName name="GER_TECNICO">#REF!</definedName>
    <definedName name="Gerentes" localSheetId="0">#REF!</definedName>
    <definedName name="Gerentes">#REF!</definedName>
    <definedName name="geshrjhed" localSheetId="0" hidden="1">{#N/A,#N/A,FALSE,"Plan1";#N/A,#N/A,FALSE,"Plan2"}</definedName>
    <definedName name="geshrjhed" hidden="1">{#N/A,#N/A,FALSE,"Plan1";#N/A,#N/A,FALSE,"Plan2"}</definedName>
    <definedName name="gestao" localSheetId="0" hidden="1">OFFSET(INDEX(#REF!,MATCH(#REF!,#REF!,0)),1,0,COUNTA(#REF!)-1)</definedName>
    <definedName name="gestao" hidden="1">OFFSET(INDEX(#REF!,MATCH(#REF!,#REF!,0)),1,0,COUNTA(#REF!)-1)</definedName>
    <definedName name="gfdcgnkf" localSheetId="0" hidden="1">{#N/A,#N/A,FALSE,"Plan1";#N/A,#N/A,FALSE,"Plan2"}</definedName>
    <definedName name="gfdcgnkf" hidden="1">{#N/A,#N/A,FALSE,"Plan1";#N/A,#N/A,FALSE,"Plan2"}</definedName>
    <definedName name="gfdjtgur" localSheetId="0" hidden="1">{#N/A,#N/A,FALSE,"Plan1";#N/A,#N/A,FALSE,"Plan2"}</definedName>
    <definedName name="gfdjtgur" hidden="1">{#N/A,#N/A,FALSE,"Plan1";#N/A,#N/A,FALSE,"Plan2"}</definedName>
    <definedName name="gfdrtg" localSheetId="0" hidden="1">#REF!</definedName>
    <definedName name="gfdrtg" hidden="1">#REF!</definedName>
    <definedName name="gfgdhxgfdhf" localSheetId="0" hidden="1">{#N/A,#N/A,FALSE,"Plan1";#N/A,#N/A,FALSE,"Plan2"}</definedName>
    <definedName name="gfgdhxgfdhf" hidden="1">{#N/A,#N/A,FALSE,"Plan1";#N/A,#N/A,FALSE,"Plan2"}</definedName>
    <definedName name="gfhfdtgjb" localSheetId="0" hidden="1">{#N/A,#N/A,FALSE,"Plan1";#N/A,#N/A,FALSE,"Plan2"}</definedName>
    <definedName name="gfhfdtgjb" hidden="1">{#N/A,#N/A,FALSE,"Plan1";#N/A,#N/A,FALSE,"Plan2"}</definedName>
    <definedName name="gfjdshrtjhtged" localSheetId="0" hidden="1">{#N/A,#N/A,FALSE,"Plan1";#N/A,#N/A,FALSE,"Plan2"}</definedName>
    <definedName name="gfjdshrtjhtged" hidden="1">{#N/A,#N/A,FALSE,"Plan1";#N/A,#N/A,FALSE,"Plan2"}</definedName>
    <definedName name="gfjgkddgfd" localSheetId="0" hidden="1">{#N/A,#N/A,FALSE,"Plan1";#N/A,#N/A,FALSE,"Plan2"}</definedName>
    <definedName name="gfjgkddgfd" hidden="1">{#N/A,#N/A,FALSE,"Plan1";#N/A,#N/A,FALSE,"Plan2"}</definedName>
    <definedName name="gfsghjdgygr" localSheetId="0" hidden="1">{#N/A,#N/A,FALSE,"Plan1";#N/A,#N/A,FALSE,"Plan2"}</definedName>
    <definedName name="gfsghjdgygr" hidden="1">{#N/A,#N/A,FALSE,"Plan1";#N/A,#N/A,FALSE,"Plan2"}</definedName>
    <definedName name="gftfy" localSheetId="0" hidden="1">{#N/A,#N/A,FALSE,"Plan1";#N/A,#N/A,FALSE,"Plan2"}</definedName>
    <definedName name="gftfy" hidden="1">{#N/A,#N/A,FALSE,"Plan1";#N/A,#N/A,FALSE,"Plan2"}</definedName>
    <definedName name="gfty" localSheetId="0" hidden="1">{#N/A,#N/A,FALSE,"Plan1";#N/A,#N/A,FALSE,"Plan2"}</definedName>
    <definedName name="gfty" hidden="1">{#N/A,#N/A,FALSE,"Plan1";#N/A,#N/A,FALSE,"Plan2"}</definedName>
    <definedName name="GFUJU9" localSheetId="0" hidden="1">{#N/A,#N/A,FALSE,"Plan1";#N/A,#N/A,FALSE,"Plan2"}</definedName>
    <definedName name="GFUJU9" hidden="1">{#N/A,#N/A,FALSE,"Plan1";#N/A,#N/A,FALSE,"Plan2"}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0" hidden="1">{#N/A,#N/A,FALSE,"Plan1";#N/A,#N/A,FALSE,"Plan2"}</definedName>
    <definedName name="GGGG" hidden="1">{#N/A,#N/A,FALSE,"Plan1";#N/A,#N/A,FALSE,"Plan2"}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0" hidden="1">{"'장비'!$A$3:$M$12"}</definedName>
    <definedName name="gh" hidden="1">{"'장비'!$A$3:$M$12"}</definedName>
    <definedName name="ghfgdfrtert" localSheetId="0" hidden="1">{#N/A,#N/A,FALSE,"Plan1";#N/A,#N/A,FALSE,"Plan2"}</definedName>
    <definedName name="ghfgdfrtert" hidden="1">{#N/A,#N/A,FALSE,"Plan1";#N/A,#N/A,FALSE,"Plan2"}</definedName>
    <definedName name="ghfhghft" localSheetId="0" hidden="1">{#N/A,#N/A,FALSE,"Plan1";#N/A,#N/A,FALSE,"Plan2"}</definedName>
    <definedName name="ghfhghft" hidden="1">{#N/A,#N/A,FALSE,"Plan1";#N/A,#N/A,FALSE,"Plan2"}</definedName>
    <definedName name="ghjg" localSheetId="0" hidden="1">{"'Estimativa de Lançamento-JAN'!$A$1:$AI$85"}</definedName>
    <definedName name="ghjg" hidden="1">{"'Estimativa de Lançamento-JAN'!$A$1:$AI$85"}</definedName>
    <definedName name="ghkfhgh" localSheetId="0" hidden="1">{#N/A,#N/A,FALSE,"Plan1";#N/A,#N/A,FALSE,"Plan2"}</definedName>
    <definedName name="ghkfhgh" hidden="1">{#N/A,#N/A,FALSE,"Plan1";#N/A,#N/A,FALSE,"Plan2"}</definedName>
    <definedName name="ghkjh" localSheetId="0" hidden="1">{#N/A,#N/A,FALSE,"ENG'G(보호계전기)"}</definedName>
    <definedName name="ghkjh" hidden="1">{#N/A,#N/A,FALSE,"ENG'G(보호계전기)"}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0" hidden="1">{#N/A,#N/A,FALSE,"Plan1";#N/A,#N/A,FALSE,"Plan2"}</definedName>
    <definedName name="gjfhjktgcf" hidden="1">{#N/A,#N/A,FALSE,"Plan1";#N/A,#N/A,FALSE,"Plan2"}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0" hidden="1">{#N/A,#N/A,FALSE,"Plan1";#N/A,#N/A,FALSE,"Plan2"}</definedName>
    <definedName name="gjkhgjhjfggfjhfg" hidden="1">{#N/A,#N/A,FALSE,"Plan1";#N/A,#N/A,FALSE,"Plan2"}</definedName>
    <definedName name="glgl" localSheetId="0" hidden="1">{#N/A,#N/A,FALSE,"Plan1";#N/A,#N/A,FALSE,"Plan2"}</definedName>
    <definedName name="glgl" hidden="1">{#N/A,#N/A,FALSE,"Plan1";#N/A,#N/A,FALSE,"Plan2"}</definedName>
    <definedName name="global" localSheetId="0" hidden="1">{"'Estimativa de Lançamento-JAN'!$A$1:$AI$85"}</definedName>
    <definedName name="GLOBAL">#REF!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0">#REF!</definedName>
    <definedName name="grec_cdi">#REF!</definedName>
    <definedName name="grec_hist" localSheetId="0">#REF!</definedName>
    <definedName name="grec_hist">#REF!</definedName>
    <definedName name="grec_uss" localSheetId="0">#REF!</definedName>
    <definedName name="grec_uss">#REF!</definedName>
    <definedName name="grua">#REF!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0" hidden="1">{#N/A,#N/A,FALSE,"Plan1";#N/A,#N/A,FALSE,"Plan2"}</definedName>
    <definedName name="gtuigsdyugsdf" hidden="1">{#N/A,#N/A,FALSE,"Plan1";#N/A,#N/A,FALSE,"Plan2"}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0" hidden="1">{#N/A,#N/A,FALSE,"CCTV"}</definedName>
    <definedName name="GV" hidden="1">{#N/A,#N/A,FALSE,"CCTV"}</definedName>
    <definedName name="h" localSheetId="0">#REF!</definedName>
    <definedName name="h">#REF!</definedName>
    <definedName name="hbjgjuae" localSheetId="0">#REF!</definedName>
    <definedName name="hbjgjuae">#REF!</definedName>
    <definedName name="hcjfkhdghfktg" localSheetId="0" hidden="1">{#N/A,#N/A,FALSE,"Plan1";#N/A,#N/A,FALSE,"Plan2"}</definedName>
    <definedName name="hcjfkhdghfktg" hidden="1">{#N/A,#N/A,FALSE,"Plan1";#N/A,#N/A,FALSE,"Plan2"}</definedName>
    <definedName name="hckhjfdkgfdg" localSheetId="0" hidden="1">#REF!</definedName>
    <definedName name="hckhjfdkgfdg" hidden="1">#REF!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0" hidden="1">{#N/A,#N/A,FALSE,"Plan1";#N/A,#N/A,FALSE,"Plan2"}</definedName>
    <definedName name="HDFGHGST" hidden="1">{#N/A,#N/A,FALSE,"Plan1";#N/A,#N/A,FALSE,"Plan2"}</definedName>
    <definedName name="HDFGJKHKFDHTY" localSheetId="0" hidden="1">{#N/A,#N/A,FALSE,"Plan1";#N/A,#N/A,FALSE,"Plan2"}</definedName>
    <definedName name="HDFGJKHKFDHTY" hidden="1">{#N/A,#N/A,FALSE,"Plan1";#N/A,#N/A,FALSE,"Plan2"}</definedName>
    <definedName name="hdfhdhrtgd" localSheetId="0" hidden="1">{#N/A,#N/A,FALSE,"Plan1";#N/A,#N/A,FALSE,"Plan2"}</definedName>
    <definedName name="hdfhdhrtgd" hidden="1">{#N/A,#N/A,FALSE,"Plan1";#N/A,#N/A,FALSE,"Plan2"}</definedName>
    <definedName name="hdfhftde" localSheetId="0" hidden="1">{#N/A,#N/A,FALSE,"Plan1";#N/A,#N/A,FALSE,"Plan2"}</definedName>
    <definedName name="hdfhftde" hidden="1">{#N/A,#N/A,FALSE,"Plan1";#N/A,#N/A,FALSE,"Plan2"}</definedName>
    <definedName name="hdfhgkdhgtrf" localSheetId="0" hidden="1">{#N/A,#N/A,FALSE,"Plan1";#N/A,#N/A,FALSE,"Plan2"}</definedName>
    <definedName name="hdfhgkdhgtrf" hidden="1">{#N/A,#N/A,FALSE,"Plan1";#N/A,#N/A,FALSE,"Plan2"}</definedName>
    <definedName name="hdfjhdkzhgdr" localSheetId="0" hidden="1">{#N/A,#N/A,FALSE,"Plan1";#N/A,#N/A,FALSE,"Plan2"}</definedName>
    <definedName name="hdfjhdkzhgdr" hidden="1">{#N/A,#N/A,FALSE,"Plan1";#N/A,#N/A,FALSE,"Plan2"}</definedName>
    <definedName name="hdfjkgvjgtd" localSheetId="0" hidden="1">{#N/A,#N/A,FALSE,"Plan1";#N/A,#N/A,FALSE,"Plan2"}</definedName>
    <definedName name="hdfjkgvjgtd" hidden="1">{#N/A,#N/A,FALSE,"Plan1";#N/A,#N/A,FALSE,"Plan2"}</definedName>
    <definedName name="hdfjkhdhrute" localSheetId="0" hidden="1">{#N/A,#N/A,FALSE,"Plan1";#N/A,#N/A,FALSE,"Plan2"}</definedName>
    <definedName name="hdfjkhdhrute" hidden="1">{#N/A,#N/A,FALSE,"Plan1";#N/A,#N/A,FALSE,"Plan2"}</definedName>
    <definedName name="HDFKGVF" localSheetId="0" hidden="1">{#N/A,#N/A,FALSE,"Plan1";#N/A,#N/A,FALSE,"Plan2"}</definedName>
    <definedName name="HDFKGVF" hidden="1">{#N/A,#N/A,FALSE,"Plan1";#N/A,#N/A,FALSE,"Plan2"}</definedName>
    <definedName name="hdgfhdgtdrt" localSheetId="0" hidden="1">{#N/A,#N/A,FALSE,"Plan1";#N/A,#N/A,FALSE,"Plan2"}</definedName>
    <definedName name="hdgfhdgtdrt" hidden="1">{#N/A,#N/A,FALSE,"Plan1";#N/A,#N/A,FALSE,"Plan2"}</definedName>
    <definedName name="hdghgtgtrgd" localSheetId="0" hidden="1">{#N/A,#N/A,FALSE,"Plan1";#N/A,#N/A,FALSE,"Plan2"}</definedName>
    <definedName name="hdghgtgtrgd" hidden="1">{#N/A,#N/A,FALSE,"Plan1";#N/A,#N/A,FALSE,"Plan2"}</definedName>
    <definedName name="HDHDGHTUHDTG" localSheetId="0" hidden="1">{#N/A,#N/A,FALSE,"Plan1";#N/A,#N/A,FALSE,"Plan2"}</definedName>
    <definedName name="HDHDGHTUHDTG" hidden="1">{#N/A,#N/A,FALSE,"Plan1";#N/A,#N/A,FALSE,"Plan2"}</definedName>
    <definedName name="hdhghfthrrhy" localSheetId="0" hidden="1">{#N/A,#N/A,FALSE,"Plan1";#N/A,#N/A,FALSE,"Plan2"}</definedName>
    <definedName name="hdhghfthrrhy" hidden="1">{#N/A,#N/A,FALSE,"Plan1";#N/A,#N/A,FALSE,"Plan2"}</definedName>
    <definedName name="hdkfjhydjh" localSheetId="0" hidden="1">{#N/A,#N/A,FALSE,"Plan1";#N/A,#N/A,FALSE,"Plan2"}</definedName>
    <definedName name="hdkfjhydjh" hidden="1">{#N/A,#N/A,FALSE,"Plan1";#N/A,#N/A,FALSE,"Plan2"}</definedName>
    <definedName name="hdsgfgrrdgr" localSheetId="0" hidden="1">{#N/A,#N/A,FALSE,"Plan1";#N/A,#N/A,FALSE,"Plan2"}</definedName>
    <definedName name="hdsgfgrrdgr" hidden="1">{#N/A,#N/A,FALSE,"Plan1";#N/A,#N/A,FALSE,"Plan2"}</definedName>
    <definedName name="hdtertkkdsa" localSheetId="0" hidden="1">{#N/A,#N/A,FALSE,"Plan1";#N/A,#N/A,FALSE,"Plan2"}</definedName>
    <definedName name="hdtertkkdsa" hidden="1">{#N/A,#N/A,FALSE,"Plan1";#N/A,#N/A,FALSE,"Plan2"}</definedName>
    <definedName name="Header" localSheetId="0">#REF!</definedName>
    <definedName name="Header">#REF!</definedName>
    <definedName name="HEDHA" localSheetId="0" hidden="1">{#N/A,#N/A,FALSE,"Plan1";#N/A,#N/A,FALSE,"Plan2"}</definedName>
    <definedName name="HEDHA" hidden="1">{#N/A,#N/A,FALSE,"Plan1";#N/A,#N/A,FALSE,"Plan2"}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0">#REF!</definedName>
    <definedName name="HELP">#REF!</definedName>
    <definedName name="herkfdshfker" localSheetId="0" hidden="1">{#N/A,#N/A,FALSE,"Plan1";#N/A,#N/A,FALSE,"Plan2"}</definedName>
    <definedName name="herkfdshfker" hidden="1">{#N/A,#N/A,FALSE,"Plan1";#N/A,#N/A,FALSE,"Plan2"}</definedName>
    <definedName name="hersdtretyt" localSheetId="0" hidden="1">{#N/A,#N/A,FALSE,"Plan1";#N/A,#N/A,FALSE,"Plan2"}</definedName>
    <definedName name="hersdtretyt" hidden="1">{#N/A,#N/A,FALSE,"Plan1";#N/A,#N/A,FALSE,"Plan2"}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0" hidden="1">{#N/A,#N/A,FALSE,"Plan1";#N/A,#N/A,FALSE,"Plan2"}</definedName>
    <definedName name="HFDKHGFR" hidden="1">{#N/A,#N/A,FALSE,"Plan1";#N/A,#N/A,FALSE,"Plan2"}</definedName>
    <definedName name="hfdkhgkfdhtj" localSheetId="0" hidden="1">{#N/A,#N/A,FALSE,"Plan1";#N/A,#N/A,FALSE,"Plan2"}</definedName>
    <definedName name="hfdkhgkfdhtj" hidden="1">{#N/A,#N/A,FALSE,"Plan1";#N/A,#N/A,FALSE,"Plan2"}</definedName>
    <definedName name="hfgfktgkhyt" localSheetId="0" hidden="1">{#N/A,#N/A,FALSE,"Plan1";#N/A,#N/A,FALSE,"Plan2"}</definedName>
    <definedName name="hfgfktgkhyt" hidden="1">{#N/A,#N/A,FALSE,"Plan1";#N/A,#N/A,FALSE,"Plan2"}</definedName>
    <definedName name="hfghdkhrgkjg" localSheetId="0" hidden="1">{#N/A,#N/A,FALSE,"Plan1";#N/A,#N/A,FALSE,"Plan2"}</definedName>
    <definedName name="hfghdkhrgkjg" hidden="1">{#N/A,#N/A,FALSE,"Plan1";#N/A,#N/A,FALSE,"Plan2"}</definedName>
    <definedName name="hfighfth" localSheetId="0" hidden="1">{#N/A,#N/A,FALSE,"Plan1";#N/A,#N/A,FALSE,"Plan2"}</definedName>
    <definedName name="hfighfth" hidden="1">{#N/A,#N/A,FALSE,"Plan1";#N/A,#N/A,FALSE,"Plan2"}</definedName>
    <definedName name="hfjghtfuyrf" localSheetId="0" hidden="1">{#N/A,#N/A,FALSE,"Plan1";#N/A,#N/A,FALSE,"Plan2"}</definedName>
    <definedName name="hfjghtfuyrf" hidden="1">{#N/A,#N/A,FALSE,"Plan1";#N/A,#N/A,FALSE,"Plan2"}</definedName>
    <definedName name="HFKJHDJGHFJ" localSheetId="0" hidden="1">{#N/A,#N/A,FALSE,"Plan1";#N/A,#N/A,FALSE,"Plan2"}</definedName>
    <definedName name="HFKJHDJGHFJ" hidden="1">{#N/A,#N/A,FALSE,"Plan1";#N/A,#N/A,FALSE,"Plan2"}</definedName>
    <definedName name="hgdesgfgsj" localSheetId="0" hidden="1">{#N/A,#N/A,FALSE,"Plan1";#N/A,#N/A,FALSE,"Plan2"}</definedName>
    <definedName name="hgdesgfgsj" hidden="1">{#N/A,#N/A,FALSE,"Plan1";#N/A,#N/A,FALSE,"Plan2"}</definedName>
    <definedName name="hgdgfd" localSheetId="0" hidden="1">{#N/A,#N/A,FALSE,"Plan1";#N/A,#N/A,FALSE,"Plan2"}</definedName>
    <definedName name="hgdgfd" hidden="1">{#N/A,#N/A,FALSE,"Plan1";#N/A,#N/A,FALSE,"Plan2"}</definedName>
    <definedName name="hgfhjkdfhj" localSheetId="0" hidden="1">{#N/A,#N/A,FALSE,"Plan1";#N/A,#N/A,FALSE,"Plan2"}</definedName>
    <definedName name="hgfhjkdfhj" hidden="1">{#N/A,#N/A,FALSE,"Plan1";#N/A,#N/A,FALSE,"Plan2"}</definedName>
    <definedName name="hgg" localSheetId="0" hidden="1">{#N/A,#N/A,FALSE,"Plan1";#N/A,#N/A,FALSE,"Plan2"}</definedName>
    <definedName name="hgg" hidden="1">{#N/A,#N/A,FALSE,"Plan1";#N/A,#N/A,FALSE,"Plan2"}</definedName>
    <definedName name="hgjdfgghg" localSheetId="0" hidden="1">{#N/A,#N/A,FALSE,"Plan1";#N/A,#N/A,FALSE,"Plan2"}</definedName>
    <definedName name="hgjdfgghg" hidden="1">{#N/A,#N/A,FALSE,"Plan1";#N/A,#N/A,FALSE,"Plan2"}</definedName>
    <definedName name="hgjkfdhg" localSheetId="0" hidden="1">{#N/A,#N/A,FALSE,"Plan1";#N/A,#N/A,FALSE,"Plan2"}</definedName>
    <definedName name="hgjkfdhg" hidden="1">{#N/A,#N/A,FALSE,"Plan1";#N/A,#N/A,FALSE,"Plan2"}</definedName>
    <definedName name="hgkdfhkfk" localSheetId="0" hidden="1">{#N/A,#N/A,FALSE,"Plan1";#N/A,#N/A,FALSE,"Plan2"}</definedName>
    <definedName name="hgkdfhkfk" hidden="1">{#N/A,#N/A,FALSE,"Plan1";#N/A,#N/A,FALSE,"Plan2"}</definedName>
    <definedName name="hgkjhdfhtrdyt" localSheetId="0" hidden="1">{#N/A,#N/A,FALSE,"Plan1";#N/A,#N/A,FALSE,"Plan2"}</definedName>
    <definedName name="hgkjhdfhtrdyt" hidden="1">{#N/A,#N/A,FALSE,"Plan1";#N/A,#N/A,FALSE,"Plan2"}</definedName>
    <definedName name="hgkjhdfkhgtfhg" localSheetId="0" hidden="1">{#N/A,#N/A,FALSE,"Plan1";#N/A,#N/A,FALSE,"Plan2"}</definedName>
    <definedName name="hgkjhdfkhgtfhg" hidden="1">{#N/A,#N/A,FALSE,"Plan1";#N/A,#N/A,FALSE,"Plan2"}</definedName>
    <definedName name="hgkjhkfhsdkdhgk" localSheetId="0" hidden="1">{#N/A,#N/A,FALSE,"Plan1";#N/A,#N/A,FALSE,"Plan2"}</definedName>
    <definedName name="hgkjhkfhsdkdhgk" hidden="1">{#N/A,#N/A,FALSE,"Plan1";#N/A,#N/A,FALSE,"Plan2"}</definedName>
    <definedName name="hgsufgdhghd" localSheetId="0" hidden="1">{#N/A,#N/A,FALSE,"Plan1";#N/A,#N/A,FALSE,"Plan2"}</definedName>
    <definedName name="hgsufgdhghd" hidden="1">{#N/A,#N/A,FALSE,"Plan1";#N/A,#N/A,FALSE,"Plan2"}</definedName>
    <definedName name="HHGFHTYUT" localSheetId="0" hidden="1">{#N/A,#N/A,FALSE,"Plan1";#N/A,#N/A,FALSE,"Plan2"}</definedName>
    <definedName name="HHGFHTYUT" hidden="1">{#N/A,#N/A,FALSE,"Plan1";#N/A,#N/A,FALSE,"Plan2"}</definedName>
    <definedName name="hhh" localSheetId="0" hidden="1">{"'Total'!$A$1","'Total'!$A$3"}</definedName>
    <definedName name="hhh" hidden="1">{"'Total'!$A$1","'Total'!$A$3"}</definedName>
    <definedName name="HHIHLK" localSheetId="0" hidden="1">#REF!</definedName>
    <definedName name="HHIHLK" hidden="1">#REF!</definedName>
    <definedName name="hik" localSheetId="0" hidden="1">{#N/A,#N/A,FALSE,"TABLE"}</definedName>
    <definedName name="hik" hidden="1">{#N/A,#N/A,FALSE,"TABLE"}</definedName>
    <definedName name="hist" localSheetId="0">#REF!</definedName>
    <definedName name="hist">#REF!</definedName>
    <definedName name="HIST1" localSheetId="0">#REF!</definedName>
    <definedName name="HIST1">#REF!</definedName>
    <definedName name="HISTEQ" localSheetId="0">#REF!</definedName>
    <definedName name="HISTEQ">#REF!</definedName>
    <definedName name="HISTOGRAMA">#REF!</definedName>
    <definedName name="hjdgtjdjxrfg" localSheetId="0" hidden="1">{#N/A,#N/A,FALSE,"Plan1";#N/A,#N/A,FALSE,"Plan2"}</definedName>
    <definedName name="hjdgtjdjxrfg" hidden="1">{#N/A,#N/A,FALSE,"Plan1";#N/A,#N/A,FALSE,"Plan2"}</definedName>
    <definedName name="HJFDGD" localSheetId="0" hidden="1">{#N/A,#N/A,FALSE,"Plan1";#N/A,#N/A,FALSE,"Plan2"}</definedName>
    <definedName name="HJFDGD" hidden="1">{#N/A,#N/A,FALSE,"Plan1";#N/A,#N/A,FALSE,"Plan2"}</definedName>
    <definedName name="HJGASD" localSheetId="0" hidden="1">{#N/A,#N/A,FALSE,"Plan1";#N/A,#N/A,FALSE,"Plan2"}</definedName>
    <definedName name="HJGASD" hidden="1">{#N/A,#N/A,FALSE,"Plan1";#N/A,#N/A,FALSE,"Plan2"}</definedName>
    <definedName name="HJGFGTFDG" localSheetId="0" hidden="1">{#N/A,#N/A,FALSE,"Plan1";#N/A,#N/A,FALSE,"Plan2"}</definedName>
    <definedName name="HJGFGTFDG" hidden="1">{#N/A,#N/A,FALSE,"Plan1";#N/A,#N/A,FALSE,"Plan2"}</definedName>
    <definedName name="hjgfhdsgfhsd" localSheetId="0" hidden="1">{#N/A,#N/A,FALSE,"Plan1";#N/A,#N/A,FALSE,"Plan2"}</definedName>
    <definedName name="hjgfhdsgfhsd" hidden="1">{#N/A,#N/A,FALSE,"Plan1";#N/A,#N/A,FALSE,"Plan2"}</definedName>
    <definedName name="hjgxfjgdjyftr" localSheetId="0" hidden="1">{#N/A,#N/A,FALSE,"Plan1";#N/A,#N/A,FALSE,"Plan2"}</definedName>
    <definedName name="hjgxfjgdjyftr" hidden="1">{#N/A,#N/A,FALSE,"Plan1";#N/A,#N/A,FALSE,"Plan2"}</definedName>
    <definedName name="hjgyugasd" localSheetId="0" hidden="1">{#N/A,#N/A,FALSE,"Plan1";#N/A,#N/A,FALSE,"Plan2"}</definedName>
    <definedName name="hjgyugasd" hidden="1">{#N/A,#N/A,FALSE,"Plan1";#N/A,#N/A,FALSE,"Plan2"}</definedName>
    <definedName name="hjjfyfy" localSheetId="0" hidden="1">{#N/A,#N/A,FALSE,"Plan1";#N/A,#N/A,FALSE,"Plan2"}</definedName>
    <definedName name="hjjfyfy" hidden="1">{#N/A,#N/A,FALSE,"Plan1";#N/A,#N/A,FALSE,"Plan2"}</definedName>
    <definedName name="hjkchkvjhdjkgh" localSheetId="0" hidden="1">{#N/A,#N/A,FALSE,"Plan1";#N/A,#N/A,FALSE,"Plan2"}</definedName>
    <definedName name="hjkchkvjhdjkgh" hidden="1">{#N/A,#N/A,FALSE,"Plan1";#N/A,#N/A,FALSE,"Plan2"}</definedName>
    <definedName name="hjkfjdyht" localSheetId="0" hidden="1">{#N/A,#N/A,FALSE,"Plan1";#N/A,#N/A,FALSE,"Plan2"}</definedName>
    <definedName name="hjkfjdyht" hidden="1">{#N/A,#N/A,FALSE,"Plan1";#N/A,#N/A,FALSE,"Plan2"}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0" hidden="1">{#N/A,#N/A,FALSE,"Plan1";#N/A,#N/A,FALSE,"Plan2"}</definedName>
    <definedName name="hjsdkhk" hidden="1">{#N/A,#N/A,FALSE,"Plan1";#N/A,#N/A,FALSE,"Plan2"}</definedName>
    <definedName name="hjsdsdrjfrh" hidden="1">2</definedName>
    <definedName name="hjsrdfre" localSheetId="0" hidden="1">{"Econ Consolidado",#N/A,FALSE,"Econ Consol";"Fluxo de Caixa",#N/A,FALSE,"Fluxo Caixa";"Investimentos",#N/A,FALSE,"Investimentos"}</definedName>
    <definedName name="hjsrdfre" hidden="1">{"Econ Consolidado",#N/A,FALSE,"Econ Consol";"Fluxo de Caixa",#N/A,FALSE,"Fluxo Caixa";"Investimentos",#N/A,FALSE,"Investimentos"}</definedName>
    <definedName name="HKewewsr" localSheetId="0" hidden="1">{#N/A,#N/A,FALSE,"Plan1";#N/A,#N/A,FALSE,"Plan2"}</definedName>
    <definedName name="HKewewsr" hidden="1">{#N/A,#N/A,FALSE,"Plan1";#N/A,#N/A,FALSE,"Plan2"}</definedName>
    <definedName name="hkhdskacd" localSheetId="0" hidden="1">{#N/A,#N/A,FALSE,"Plan1";#N/A,#N/A,FALSE,"Plan2"}</definedName>
    <definedName name="hkhdskacd" hidden="1">{#N/A,#N/A,FALSE,"Plan1";#N/A,#N/A,FALSE,"Plan2"}</definedName>
    <definedName name="hkjfgfhgfh" localSheetId="0" hidden="1">{#N/A,#N/A,FALSE,"Plan1";#N/A,#N/A,FALSE,"Plan2"}</definedName>
    <definedName name="hkjfgfhgfh" hidden="1">{#N/A,#N/A,FALSE,"Plan1";#N/A,#N/A,FALSE,"Plan2"}</definedName>
    <definedName name="hkjfhgjkfhghfg" localSheetId="0" hidden="1">{#N/A,#N/A,FALSE,"Plan1";#N/A,#N/A,FALSE,"Plan2"}</definedName>
    <definedName name="hkjfhgjkfhghfg" hidden="1">{#N/A,#N/A,FALSE,"Plan1";#N/A,#N/A,FALSE,"Plan2"}</definedName>
    <definedName name="HKLZHFRH" localSheetId="0" hidden="1">{#N/A,#N/A,FALSE,"Plan1";#N/A,#N/A,FALSE,"Plan2"}</definedName>
    <definedName name="HKLZHFRH" hidden="1">{#N/A,#N/A,FALSE,"Plan1";#N/A,#N/A,FALSE,"Plan2"}</definedName>
    <definedName name="ho" localSheetId="0" hidden="1">{#N/A,#N/A,FALSE,"TABLE"}</definedName>
    <definedName name="ho" hidden="1">{#N/A,#N/A,FALSE,"TABLE"}</definedName>
    <definedName name="HOJE" localSheetId="0">#REF!</definedName>
    <definedName name="HOJE">#REF!</definedName>
    <definedName name="HONORARIOS" localSheetId="0">#REF!</definedName>
    <definedName name="HONORARIOS">#REF!</definedName>
    <definedName name="HOSPEDES" localSheetId="0">#REF!</definedName>
    <definedName name="HOSPEDES">#REF!</definedName>
    <definedName name="HOTEL">#REF!</definedName>
    <definedName name="hrterte" localSheetId="0" hidden="1">{#N/A,#N/A,FALSE,"Plan1";#N/A,#N/A,FALSE,"Plan2"}</definedName>
    <definedName name="hrterte" hidden="1">{#N/A,#N/A,FALSE,"Plan1";#N/A,#N/A,FALSE,"Plan2"}</definedName>
    <definedName name="hsdf" localSheetId="0" hidden="1">{#N/A,#N/A,FALSE,"Plan1";#N/A,#N/A,FALSE,"Plan2"}</definedName>
    <definedName name="hsdf" hidden="1">{#N/A,#N/A,FALSE,"Plan1";#N/A,#N/A,FALSE,"Plan2"}</definedName>
    <definedName name="hsdfgdgudrt" localSheetId="0" hidden="1">{#N/A,#N/A,FALSE,"Plan1";#N/A,#N/A,FALSE,"Plan2"}</definedName>
    <definedName name="hsdfgdgudrt" hidden="1">{#N/A,#N/A,FALSE,"Plan1";#N/A,#N/A,FALSE,"Plan2"}</definedName>
    <definedName name="hsdfjkdhur" localSheetId="0" hidden="1">{#N/A,#N/A,FALSE,"Plan1";#N/A,#N/A,FALSE,"Plan2"}</definedName>
    <definedName name="hsdfjkdhur" hidden="1">{#N/A,#N/A,FALSE,"Plan1";#N/A,#N/A,FALSE,"Plan2"}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0" hidden="1">{#N/A,#N/A,FALSE,"Plan1";#N/A,#N/A,FALSE,"Plan2"}</definedName>
    <definedName name="hsdjffd" hidden="1">{#N/A,#N/A,FALSE,"Plan1";#N/A,#N/A,FALSE,"Plan2"}</definedName>
    <definedName name="hsdjffe" localSheetId="0" hidden="1">{#N/A,#N/A,FALSE,"Plan1";#N/A,#N/A,FALSE,"Plan2"}</definedName>
    <definedName name="hsdjffe" hidden="1">{#N/A,#N/A,FALSE,"Plan1";#N/A,#N/A,FALSE,"Plan2"}</definedName>
    <definedName name="HSFIHDTR" localSheetId="0" hidden="1">{"Econ Consolidado",#N/A,FALSE,"Econ Consol";"Fluxo de Caixa",#N/A,FALSE,"Fluxo Caixa";"Investimentos",#N/A,FALSE,"Investimentos"}</definedName>
    <definedName name="HSFIHDTR" hidden="1">{"Econ Consolidado",#N/A,FALSE,"Econ Consol";"Fluxo de Caixa",#N/A,FALSE,"Fluxo Caixa";"Investimentos",#N/A,FALSE,"Investimentos"}</definedName>
    <definedName name="hsfjkdshrgf" localSheetId="0" hidden="1">{#N/A,#N/A,FALSE,"Plan1";#N/A,#N/A,FALSE,"Plan2"}</definedName>
    <definedName name="hsfjkdshrgf" hidden="1">{#N/A,#N/A,FALSE,"Plan1";#N/A,#N/A,FALSE,"Plan2"}</definedName>
    <definedName name="hthhrtetdre" localSheetId="0" hidden="1">{#N/A,#N/A,FALSE,"Plan1";#N/A,#N/A,FALSE,"Plan2"}</definedName>
    <definedName name="hthhrtetdre" hidden="1">{#N/A,#N/A,FALSE,"Plan1";#N/A,#N/A,FALSE,"Plan2"}</definedName>
    <definedName name="HTM" localSheetId="0">#REF!</definedName>
    <definedName name="HTM">#REF!</definedName>
    <definedName name="HTML_CodePage" hidden="1">949</definedName>
    <definedName name="HTML_Control" localSheetId="0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localSheetId="0" hidden="1">{"'Estimativa de Lançamento-JAN'!$A$1:$AI$85"}</definedName>
    <definedName name="HTML2_CONTROL" hidden="1">{"'Estimativa de Lançamento-JAN'!$A$1:$AI$85"}</definedName>
    <definedName name="HTML3_CONTROL" localSheetId="0" hidden="1">{"'Estimativa de Lançamento-JAN'!$A$1:$AI$85"}</definedName>
    <definedName name="HTML3_CONTROL" hidden="1">{"'Estimativa de Lançamento-JAN'!$A$1:$AI$85"}</definedName>
    <definedName name="HTMLControl" localSheetId="0" hidden="1">{"'Edit'!$A$1:$V$2277"}</definedName>
    <definedName name="HTMLControl" hidden="1">{"'Edit'!$A$1:$V$2277"}</definedName>
    <definedName name="HTN">#REF!</definedName>
    <definedName name="HVJKHGKFXHFD" localSheetId="0" hidden="1">{#N/A,#N/A,FALSE,"Plan1";#N/A,#N/A,FALSE,"Plan2"}</definedName>
    <definedName name="HVJKHGKFXHFD" hidden="1">{#N/A,#N/A,FALSE,"Plan1";#N/A,#N/A,FALSE,"Plan2"}</definedName>
    <definedName name="hwekjhekhf" localSheetId="0" hidden="1">{#N/A,#N/A,FALSE,"Plan1";#N/A,#N/A,FALSE,"Plan2"}</definedName>
    <definedName name="hwekjhekhf" hidden="1">{#N/A,#N/A,FALSE,"Plan1";#N/A,#N/A,FALSE,"Plan2"}</definedName>
    <definedName name="HXFRE" localSheetId="0" hidden="1">{#N/A,#N/A,FALSE,"Plan1";#N/A,#N/A,FALSE,"Plan2"}</definedName>
    <definedName name="HXFRE" hidden="1">{#N/A,#N/A,FALSE,"Plan1";#N/A,#N/A,FALSE,"Plan2"}</definedName>
    <definedName name="HXKJFGDKHG" localSheetId="0" hidden="1">{#N/A,#N/A,FALSE,"Plan1";#N/A,#N/A,FALSE,"Plan2"}</definedName>
    <definedName name="HXKJFGDKHG" hidden="1">{#N/A,#N/A,FALSE,"Plan1";#N/A,#N/A,FALSE,"Plan2"}</definedName>
    <definedName name="I" localSheetId="0">#REF!</definedName>
    <definedName name="I">#REF!</definedName>
    <definedName name="ibir_cdi" localSheetId="0">#REF!</definedName>
    <definedName name="ibir_cdi">#REF!</definedName>
    <definedName name="ibir_hist" localSheetId="0">#REF!</definedName>
    <definedName name="ibir_hist">#REF!</definedName>
    <definedName name="ibir_uss">#REF!</definedName>
    <definedName name="IC" localSheetId="0" hidden="1">#REF!</definedName>
    <definedName name="IC" hidden="1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localSheetId="0" hidden="1">{#N/A,#N/A,FALSE,"Plan1";#N/A,#N/A,FALSE,"Plan2"}</definedName>
    <definedName name="idfhgkjhfkthy" hidden="1">{#N/A,#N/A,FALSE,"Plan1";#N/A,#N/A,FALSE,"Plan2"}</definedName>
    <definedName name="ieroweft" localSheetId="0" hidden="1">{#N/A,#N/A,FALSE,"Plan1";#N/A,#N/A,FALSE,"Plan2"}</definedName>
    <definedName name="ieroweft" hidden="1">{#N/A,#N/A,FALSE,"Plan1";#N/A,#N/A,FALSE,"Plan2"}</definedName>
    <definedName name="iewpotqi5poejy" localSheetId="0" hidden="1">{#N/A,#N/A,FALSE,"Plan1";#N/A,#N/A,FALSE,"Plan2"}</definedName>
    <definedName name="iewpotqi5poejy" hidden="1">{#N/A,#N/A,FALSE,"Plan1";#N/A,#N/A,FALSE,"Plan2"}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0" hidden="1">#REF!</definedName>
    <definedName name="iheidhgufr" hidden="1">#REF!</definedName>
    <definedName name="ihfdkjhktgrd" localSheetId="0" hidden="1">{#N/A,#N/A,FALSE,"Plan1";#N/A,#N/A,FALSE,"Plan2"}</definedName>
    <definedName name="ihfdkjhktgrd" hidden="1">{#N/A,#N/A,FALSE,"Plan1";#N/A,#N/A,FALSE,"Plan2"}</definedName>
    <definedName name="ihrtetw4r" localSheetId="0" hidden="1">{#N/A,#N/A,FALSE,"Plan1";#N/A,#N/A,FALSE,"Plan2"}</definedName>
    <definedName name="ihrtetw4r" hidden="1">{#N/A,#N/A,FALSE,"Plan1";#N/A,#N/A,FALSE,"Plan2"}</definedName>
    <definedName name="II" localSheetId="0">#REF!</definedName>
    <definedName name="II">#REF!</definedName>
    <definedName name="IIASDSAWE" localSheetId="0" hidden="1">{"Econ Consolidado",#N/A,FALSE,"Econ Consol";"Fluxo de Caixa",#N/A,FALSE,"Fluxo Caixa";"Investimentos",#N/A,FALSE,"Investimentos"}</definedName>
    <definedName name="IIASDSAWE" hidden="1">{"Econ Consolidado",#N/A,FALSE,"Econ Consol";"Fluxo de Caixa",#N/A,FALSE,"Fluxo Caixa";"Investimentos",#N/A,FALSE,"Investimentos"}</definedName>
    <definedName name="III" localSheetId="0">#REF!</definedName>
    <definedName name="III">#REF!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0" hidden="1">{#N/A,#N/A,FALSE,"Plan1";#N/A,#N/A,FALSE,"Plan2"}</definedName>
    <definedName name="ilhweilrji4e" hidden="1">{#N/A,#N/A,FALSE,"Plan1";#N/A,#N/A,FALSE,"Plan2"}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0">#REF!</definedName>
    <definedName name="IM">#REF!</definedName>
    <definedName name="IMP" localSheetId="0" hidden="1">#REF!</definedName>
    <definedName name="IMP" hidden="1">#REF!</definedName>
    <definedName name="IMPERMEABILIZ." localSheetId="0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localSheetId="0" hidden="1">#REF!</definedName>
    <definedName name="Index" hidden="1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0">#REF!</definedName>
    <definedName name="INSS_Bloqueado_Fin_Medição">#REF!</definedName>
    <definedName name="Inss_Bloqueado_Previsão_Fin_Medições" localSheetId="0">#REF!</definedName>
    <definedName name="Inss_Bloqueado_Previsão_Fin_Medições">#REF!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0">OFFSET(#REF!,0,0,COUNTA(#REF!),1)</definedName>
    <definedName name="INSU">OFFSET(#REF!,0,0,COUNTA(#REF!),1)</definedName>
    <definedName name="INSUMOS" localSheetId="0">#REF!</definedName>
    <definedName name="INSUMOS">#REF!</definedName>
    <definedName name="INT.FILTRO.NBASE" localSheetId="0">#REF!</definedName>
    <definedName name="INT.FILTRO.NBASE">#REF!</definedName>
    <definedName name="INTEGRA" localSheetId="0" hidden="1">{"'Edit'!$A$1:$V$2277"}</definedName>
    <definedName name="INTEGRA" hidden="1">{"'Edit'!$A$1:$V$2277"}</definedName>
    <definedName name="IO">196.003</definedName>
    <definedName name="ioeriotyt" localSheetId="0" hidden="1">{#N/A,#N/A,FALSE,"Plan1";#N/A,#N/A,FALSE,"Plan2"}</definedName>
    <definedName name="ioeriotyt" hidden="1">{#N/A,#N/A,FALSE,"Plan1";#N/A,#N/A,FALSE,"Plan2"}</definedName>
    <definedName name="iohudtorh" localSheetId="0" hidden="1">{#N/A,#N/A,FALSE,"Plan1";#N/A,#N/A,FALSE,"Plan2"}</definedName>
    <definedName name="iohudtorh" hidden="1">{#N/A,#N/A,FALSE,"Plan1";#N/A,#N/A,FALSE,"Plan2"}</definedName>
    <definedName name="iojtkheayed" localSheetId="0" hidden="1">{#N/A,#N/A,FALSE,"Plan1";#N/A,#N/A,FALSE,"Plan2"}</definedName>
    <definedName name="iojtkheayed" hidden="1">{#N/A,#N/A,FALSE,"Plan1";#N/A,#N/A,FALSE,"Plan2"}</definedName>
    <definedName name="iouweroieuw4" localSheetId="0" hidden="1">{#N/A,#N/A,FALSE,"Plan1";#N/A,#N/A,FALSE,"Plan2"}</definedName>
    <definedName name="iouweroieuw4" hidden="1">{#N/A,#N/A,FALSE,"Plan1";#N/A,#N/A,FALSE,"Plan2"}</definedName>
    <definedName name="iphifpgh" localSheetId="0" hidden="1">{#N/A,#N/A,FALSE,"Plan1";#N/A,#N/A,FALSE,"Plan2"}</definedName>
    <definedName name="iphifpgh" hidden="1">{#N/A,#N/A,FALSE,"Plan1";#N/A,#N/A,FALSE,"Plan2"}</definedName>
    <definedName name="IPMF" localSheetId="0">#REF!</definedName>
    <definedName name="IPMF">#REF!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0" hidden="1">{#N/A,#N/A,FALSE,"Plan1";#N/A,#N/A,FALSE,"Plan2"}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 localSheetId="0">#REF!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 localSheetId="16">#REF!</definedName>
    <definedName name="item_1" localSheetId="18">#REF!</definedName>
    <definedName name="item_1" localSheetId="1">#REF!</definedName>
    <definedName name="item_1" localSheetId="8">#REF!</definedName>
    <definedName name="item_1" localSheetId="2">#REF!</definedName>
    <definedName name="item_1" localSheetId="0">#REF!</definedName>
    <definedName name="item_1" localSheetId="9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0">#REF!</definedName>
    <definedName name="ITENS">#REF!</definedName>
    <definedName name="ITENS0" localSheetId="0">#REF!</definedName>
    <definedName name="ITENS0">#REF!</definedName>
    <definedName name="ITENS1" localSheetId="0">#REF!</definedName>
    <definedName name="ITENS1">#REF!</definedName>
    <definedName name="ITENSP">#REF!</definedName>
    <definedName name="ITENSPMED">#REF!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0">#REF!</definedName>
    <definedName name="IV">#REF!</definedName>
    <definedName name="iyguygiyt" localSheetId="0" hidden="1">{#N/A,#N/A,FALSE,"Plan1";#N/A,#N/A,FALSE,"Plan2"}</definedName>
    <definedName name="iyguygiyt" hidden="1">{#N/A,#N/A,FALSE,"Plan1";#N/A,#N/A,FALSE,"Plan2"}</definedName>
    <definedName name="iyuyheturtd" localSheetId="0" hidden="1">{#N/A,#N/A,FALSE,"Plan1";#N/A,#N/A,FALSE,"Plan2"}</definedName>
    <definedName name="iyuyheturtd" hidden="1">{#N/A,#N/A,FALSE,"Plan1";#N/A,#N/A,FALSE,"Plan2"}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0" hidden="1">{#N/A,#N/A,FALSE,"Plan1";#N/A,#N/A,FALSE,"Plan2"}</definedName>
    <definedName name="jalejdasjf" hidden="1">{#N/A,#N/A,FALSE,"Plan1";#N/A,#N/A,FALSE,"Plan2"}</definedName>
    <definedName name="jan_05" localSheetId="0">#REF!</definedName>
    <definedName name="jan_05">#REF!</definedName>
    <definedName name="jan17RJ" localSheetId="0">#REF!</definedName>
    <definedName name="jan17RJ">#REF!</definedName>
    <definedName name="JANEIRO2001" localSheetId="0">#REF!</definedName>
    <definedName name="JANEIRO2001">#REF!</definedName>
    <definedName name="JASDJS" localSheetId="0" hidden="1">{#N/A,#N/A,FALSE,"Plan1";#N/A,#N/A,FALSE,"Plan2"}</definedName>
    <definedName name="JASDJS" hidden="1">{#N/A,#N/A,FALSE,"Plan1";#N/A,#N/A,FALSE,"Plan2"}</definedName>
    <definedName name="jaskldjlse" localSheetId="0" hidden="1">{#N/A,#N/A,FALSE,"Plan1";#N/A,#N/A,FALSE,"Plan2"}</definedName>
    <definedName name="jaskldjlse" hidden="1">{#N/A,#N/A,FALSE,"Plan1";#N/A,#N/A,FALSE,"Plan2"}</definedName>
    <definedName name="JASLDKLD" localSheetId="0" hidden="1">{#N/A,#N/A,FALSE,"Plan1";#N/A,#N/A,FALSE,"Plan2"}</definedName>
    <definedName name="JASLDKLD" hidden="1">{#N/A,#N/A,FALSE,"Plan1";#N/A,#N/A,FALSE,"Plan2"}</definedName>
    <definedName name="jasoe" localSheetId="0" hidden="1">#REF!</definedName>
    <definedName name="jasoe" hidden="1">#REF!</definedName>
    <definedName name="jbzxffcbgdhgft" localSheetId="0" hidden="1">#REF!</definedName>
    <definedName name="jbzxffcbgdhgft" hidden="1">#REF!</definedName>
    <definedName name="JÇDFHDF" localSheetId="0" hidden="1">{"Econ Consolidado",#N/A,FALSE,"Econ Consol";"Fluxo de Caixa",#N/A,FALSE,"Fluxo Caixa";"Investimentos",#N/A,FALSE,"Investimentos"}</definedName>
    <definedName name="JÇDFHDF" hidden="1">{"Econ Consolidado",#N/A,FALSE,"Econ Consol";"Fluxo de Caixa",#N/A,FALSE,"Fluxo Caixa";"Investimentos",#N/A,FALSE,"Investimentos"}</definedName>
    <definedName name="jdbgftbhr" localSheetId="0" hidden="1">{#N/A,#N/A,FALSE,"Plan1";#N/A,#N/A,FALSE,"Plan2"}</definedName>
    <definedName name="jdbgftbhr" hidden="1">{#N/A,#N/A,FALSE,"Plan1";#N/A,#N/A,FALSE,"Plan2"}</definedName>
    <definedName name="jdfgkrhgft" localSheetId="0" hidden="1">#REF!</definedName>
    <definedName name="jdfgkrhgft" hidden="1">#REF!</definedName>
    <definedName name="jdfgldfjgklh" localSheetId="0" hidden="1">{#N/A,#N/A,FALSE,"Plan1";#N/A,#N/A,FALSE,"Plan2"}</definedName>
    <definedName name="jdfgldfjgklh" hidden="1">{#N/A,#N/A,FALSE,"Plan1";#N/A,#N/A,FALSE,"Plan2"}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0" hidden="1">{#N/A,#N/A,FALSE,"Plan1";#N/A,#N/A,FALSE,"Plan2"}</definedName>
    <definedName name="jdfjdtrgt" hidden="1">{#N/A,#N/A,FALSE,"Plan1";#N/A,#N/A,FALSE,"Plan2"}</definedName>
    <definedName name="JDFJLDJR" localSheetId="0" hidden="1">{#N/A,#N/A,FALSE,"Plan1";#N/A,#N/A,FALSE,"Plan2"}</definedName>
    <definedName name="JDFJLDJR" hidden="1">{#N/A,#N/A,FALSE,"Plan1";#N/A,#N/A,FALSE,"Plan2"}</definedName>
    <definedName name="jdfkgitfgdrtt" localSheetId="0" hidden="1">{#N/A,#N/A,FALSE,"Plan1";#N/A,#N/A,FALSE,"Plan2"}</definedName>
    <definedName name="jdfkgitfgdrtt" hidden="1">{#N/A,#N/A,FALSE,"Plan1";#N/A,#N/A,FALSE,"Plan2"}</definedName>
    <definedName name="JDFKHFKJ" localSheetId="0" hidden="1">{#N/A,#N/A,FALSE,"Plan1";#N/A,#N/A,FALSE,"Plan2"}</definedName>
    <definedName name="JDFKHFKJ" hidden="1">{#N/A,#N/A,FALSE,"Plan1";#N/A,#N/A,FALSE,"Plan2"}</definedName>
    <definedName name="jdfklgtdtr" localSheetId="0" hidden="1">{#N/A,#N/A,FALSE,"Plan1";#N/A,#N/A,FALSE,"Plan2"}</definedName>
    <definedName name="jdfklgtdtr" hidden="1">{#N/A,#N/A,FALSE,"Plan1";#N/A,#N/A,FALSE,"Plan2"}</definedName>
    <definedName name="JDFKTHRT" localSheetId="0" hidden="1">{#N/A,#N/A,FALSE,"Plan1";#N/A,#N/A,FALSE,"Plan2"}</definedName>
    <definedName name="JDFKTHRT" hidden="1">{#N/A,#N/A,FALSE,"Plan1";#N/A,#N/A,FALSE,"Plan2"}</definedName>
    <definedName name="JDFLKJDRF" localSheetId="0" hidden="1">{#N/A,#N/A,FALSE,"Plan1";#N/A,#N/A,FALSE,"Plan2"}</definedName>
    <definedName name="JDFLKJDRF" hidden="1">{#N/A,#N/A,FALSE,"Plan1";#N/A,#N/A,FALSE,"Plan2"}</definedName>
    <definedName name="jdfzlkjgfdht" localSheetId="0" hidden="1">{#N/A,#N/A,FALSE,"Plan1";#N/A,#N/A,FALSE,"Plan2"}</definedName>
    <definedName name="jdfzlkjgfdht" hidden="1">{#N/A,#N/A,FALSE,"Plan1";#N/A,#N/A,FALSE,"Plan2"}</definedName>
    <definedName name="jdglhfghkt" localSheetId="0" hidden="1">{#N/A,#N/A,FALSE,"Plan1";#N/A,#N/A,FALSE,"Plan2"}</definedName>
    <definedName name="jdglhfghkt" hidden="1">{#N/A,#N/A,FALSE,"Plan1";#N/A,#N/A,FALSE,"Plan2"}</definedName>
    <definedName name="jdhfjdhgfd" localSheetId="0" hidden="1">{#N/A,#N/A,FALSE,"Plan1";#N/A,#N/A,FALSE,"Plan2"}</definedName>
    <definedName name="jdhfjdhgfd" hidden="1">{#N/A,#N/A,FALSE,"Plan1";#N/A,#N/A,FALSE,"Plan2"}</definedName>
    <definedName name="jdjdjdjd" localSheetId="0" hidden="1">{#N/A,#N/A,FALSE,"명세표"}</definedName>
    <definedName name="jdjdjdjd" hidden="1">{#N/A,#N/A,FALSE,"명세표"}</definedName>
    <definedName name="jdkfhgjhf" localSheetId="0" hidden="1">{#N/A,#N/A,FALSE,"Plan1";#N/A,#N/A,FALSE,"Plan2"}</definedName>
    <definedName name="jdkfhgjhf" hidden="1">{#N/A,#N/A,FALSE,"Plan1";#N/A,#N/A,FALSE,"Plan2"}</definedName>
    <definedName name="jdkfjdtr" localSheetId="0" hidden="1">{#N/A,#N/A,FALSE,"Plan1";#N/A,#N/A,FALSE,"Plan2"}</definedName>
    <definedName name="jdkfjdtr" hidden="1">{#N/A,#N/A,FALSE,"Plan1";#N/A,#N/A,FALSE,"Plan2"}</definedName>
    <definedName name="jdljgftldjti5r" localSheetId="0" hidden="1">{#N/A,#N/A,FALSE,"Plan1";#N/A,#N/A,FALSE,"Plan2"}</definedName>
    <definedName name="jdljgftldjti5r" hidden="1">{#N/A,#N/A,FALSE,"Plan1";#N/A,#N/A,FALSE,"Plan2"}</definedName>
    <definedName name="JDLKJDASGF" localSheetId="0" hidden="1">{#N/A,#N/A,FALSE,"Plan1";#N/A,#N/A,FALSE,"Plan2"}</definedName>
    <definedName name="JDLKJDASGF" hidden="1">{#N/A,#N/A,FALSE,"Plan1";#N/A,#N/A,FALSE,"Plan2"}</definedName>
    <definedName name="jdrfkdjfghrtfjg" localSheetId="0" hidden="1">{#N/A,#N/A,FALSE,"Plan1";#N/A,#N/A,FALSE,"Plan2"}</definedName>
    <definedName name="jdrfkdjfghrtfjg" hidden="1">{#N/A,#N/A,FALSE,"Plan1";#N/A,#N/A,FALSE,"Plan2"}</definedName>
    <definedName name="jdskfhdk" localSheetId="0" hidden="1">{#N/A,#N/A,FALSE,"Plan1";#N/A,#N/A,FALSE,"Plan2"}</definedName>
    <definedName name="jdskfhdk" hidden="1">{#N/A,#N/A,FALSE,"Plan1";#N/A,#N/A,FALSE,"Plan2"}</definedName>
    <definedName name="JDSKLGKDRHGGF" localSheetId="0" hidden="1">{#N/A,#N/A,FALSE,"Plan1";#N/A,#N/A,FALSE,"Plan2"}</definedName>
    <definedName name="JDSKLGKDRHGGF" hidden="1">{#N/A,#N/A,FALSE,"Plan1";#N/A,#N/A,FALSE,"Plan2"}</definedName>
    <definedName name="jefsgfr" localSheetId="0" hidden="1">{#N/A,#N/A,FALSE,"Plan1";#N/A,#N/A,FALSE,"Plan2"}</definedName>
    <definedName name="jefsgfr" hidden="1">{#N/A,#N/A,FALSE,"Plan1";#N/A,#N/A,FALSE,"Plan2"}</definedName>
    <definedName name="JERHIEHYURE" localSheetId="0" hidden="1">{#N/A,#N/A,FALSE,"Plan1";#N/A,#N/A,FALSE,"Plan2"}</definedName>
    <definedName name="JERHIEHYURE" hidden="1">{#N/A,#N/A,FALSE,"Plan1";#N/A,#N/A,FALSE,"Plan2"}</definedName>
    <definedName name="jfddlsrtyty" localSheetId="0" hidden="1">{#N/A,#N/A,FALSE,"Plan1";#N/A,#N/A,FALSE,"Plan2"}</definedName>
    <definedName name="jfddlsrtyty" hidden="1">{#N/A,#N/A,FALSE,"Plan1";#N/A,#N/A,FALSE,"Plan2"}</definedName>
    <definedName name="jfdjtgdjghitfyh" localSheetId="0" hidden="1">{#N/A,#N/A,FALSE,"Plan1";#N/A,#N/A,FALSE,"Plan2"}</definedName>
    <definedName name="jfdjtgdjghitfyh" hidden="1">{#N/A,#N/A,FALSE,"Plan1";#N/A,#N/A,FALSE,"Plan2"}</definedName>
    <definedName name="jfdkgkftftg" localSheetId="0" hidden="1">{#N/A,#N/A,FALSE,"Plan1";#N/A,#N/A,FALSE,"Plan2"}</definedName>
    <definedName name="jfdkgkftftg" hidden="1">{#N/A,#N/A,FALSE,"Plan1";#N/A,#N/A,FALSE,"Plan2"}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0" hidden="1">{#N/A,#N/A,FALSE,"Plan1";#N/A,#N/A,FALSE,"Plan2"}</definedName>
    <definedName name="JFGJYHTY" hidden="1">{#N/A,#N/A,FALSE,"Plan1";#N/A,#N/A,FALSE,"Plan2"}</definedName>
    <definedName name="jfgkflcnjkglc" localSheetId="0" hidden="1">{#N/A,#N/A,FALSE,"Plan1";#N/A,#N/A,FALSE,"Plan2"}</definedName>
    <definedName name="jfgkflcnjkglc" hidden="1">{#N/A,#N/A,FALSE,"Plan1";#N/A,#N/A,FALSE,"Plan2"}</definedName>
    <definedName name="JFHRE" localSheetId="0" hidden="1">{#N/A,#N/A,FALSE,"Plan1";#N/A,#N/A,FALSE,"Plan2"}</definedName>
    <definedName name="JFHRE" hidden="1">{#N/A,#N/A,FALSE,"Plan1";#N/A,#N/A,FALSE,"Plan2"}</definedName>
    <definedName name="jfkdls5jtirjd" localSheetId="0" hidden="1">{#N/A,#N/A,FALSE,"Plan1";#N/A,#N/A,FALSE,"Plan2"}</definedName>
    <definedName name="jfkdls5jtirjd" hidden="1">{#N/A,#N/A,FALSE,"Plan1";#N/A,#N/A,FALSE,"Plan2"}</definedName>
    <definedName name="jfkljdkfcj" localSheetId="0" hidden="1">{#N/A,#N/A,FALSE,"Plan1";#N/A,#N/A,FALSE,"Plan2"}</definedName>
    <definedName name="jfkljdkfcj" hidden="1">{#N/A,#N/A,FALSE,"Plan1";#N/A,#N/A,FALSE,"Plan2"}</definedName>
    <definedName name="jfkrhdtghdut" localSheetId="0" hidden="1">{#N/A,#N/A,FALSE,"Plan1";#N/A,#N/A,FALSE,"Plan2"}</definedName>
    <definedName name="jfkrhdtghdut" hidden="1">{#N/A,#N/A,FALSE,"Plan1";#N/A,#N/A,FALSE,"Plan2"}</definedName>
    <definedName name="JFRESR" localSheetId="0" hidden="1">{#N/A,#N/A,FALSE,"Plan1";#N/A,#N/A,FALSE,"Plan2"}</definedName>
    <definedName name="JFRESR" hidden="1">{#N/A,#N/A,FALSE,"Plan1";#N/A,#N/A,FALSE,"Plan2"}</definedName>
    <definedName name="jgdfdgfjgdj" localSheetId="0" hidden="1">{#N/A,#N/A,FALSE,"Plan1";#N/A,#N/A,FALSE,"Plan2"}</definedName>
    <definedName name="jgdfdgfjgdj" hidden="1">{#N/A,#N/A,FALSE,"Plan1";#N/A,#N/A,FALSE,"Plan2"}</definedName>
    <definedName name="jgdfght" localSheetId="0" hidden="1">{#N/A,#N/A,FALSE,"Plan1";#N/A,#N/A,FALSE,"Plan2"}</definedName>
    <definedName name="jgdfght" hidden="1">{#N/A,#N/A,FALSE,"Plan1";#N/A,#N/A,FALSE,"Plan2"}</definedName>
    <definedName name="jgfgdsgfdhrf" localSheetId="0" hidden="1">{#N/A,#N/A,FALSE,"Plan1";#N/A,#N/A,FALSE,"Plan2"}</definedName>
    <definedName name="jgfgdsgfdhrf" hidden="1">{#N/A,#N/A,FALSE,"Plan1";#N/A,#N/A,FALSE,"Plan2"}</definedName>
    <definedName name="JGFJGTFT" localSheetId="0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localSheetId="0" hidden="1">{#N/A,#N/A,FALSE,"Plan1";#N/A,#N/A,FALSE,"Plan2"}</definedName>
    <definedName name="jgkjkhjuftgi" hidden="1">{#N/A,#N/A,FALSE,"Plan1";#N/A,#N/A,FALSE,"Plan2"}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0" hidden="1">{#N/A,#N/A,FALSE,"Plan1";#N/A,#N/A,FALSE,"Plan2"}</definedName>
    <definedName name="jhdfjjhirft" hidden="1">{#N/A,#N/A,FALSE,"Plan1";#N/A,#N/A,FALSE,"Plan2"}</definedName>
    <definedName name="jhdfjkhtrdhf" localSheetId="0" hidden="1">{#N/A,#N/A,FALSE,"Plan1";#N/A,#N/A,FALSE,"Plan2"}</definedName>
    <definedName name="jhdfjkhtrdhf" hidden="1">{#N/A,#N/A,FALSE,"Plan1";#N/A,#N/A,FALSE,"Plan2"}</definedName>
    <definedName name="jhdfuthr" localSheetId="0" hidden="1">{#N/A,#N/A,FALSE,"Plan1";#N/A,#N/A,FALSE,"Plan2"}</definedName>
    <definedName name="jhdfuthr" hidden="1">{#N/A,#N/A,FALSE,"Plan1";#N/A,#N/A,FALSE,"Plan2"}</definedName>
    <definedName name="JHDFZGRDHF" localSheetId="0" hidden="1">{"Econ Consolidado",#N/A,FALSE,"Econ Consol";"Fluxo de Caixa",#N/A,FALSE,"Fluxo Caixa";"Investimentos",#N/A,FALSE,"Investimentos"}</definedName>
    <definedName name="JHDFZGRDHF" hidden="1">{"Econ Consolidado",#N/A,FALSE,"Econ Consol";"Fluxo de Caixa",#N/A,FALSE,"Fluxo Caixa";"Investimentos",#N/A,FALSE,"Investimentos"}</definedName>
    <definedName name="JHERKHKFGH" localSheetId="0" hidden="1">{#N/A,#N/A,FALSE,"Plan1";#N/A,#N/A,FALSE,"Plan2"}</definedName>
    <definedName name="JHERKHKFGH" hidden="1">{#N/A,#N/A,FALSE,"Plan1";#N/A,#N/A,FALSE,"Plan2"}</definedName>
    <definedName name="jhfhhztfhe" localSheetId="0" hidden="1">#REF!</definedName>
    <definedName name="jhfhhztfhe" hidden="1">#REF!</definedName>
    <definedName name="JHGKJFJFJGL" localSheetId="0" hidden="1">{#N/A,#N/A,FALSE,"Plan1";#N/A,#N/A,FALSE,"Plan2"}</definedName>
    <definedName name="JHGKJFJFJGL" hidden="1">{#N/A,#N/A,FALSE,"Plan1";#N/A,#N/A,FALSE,"Plan2"}</definedName>
    <definedName name="jhsdjkhfuks" localSheetId="0" hidden="1">{#N/A,#N/A,FALSE,"Plan1";#N/A,#N/A,FALSE,"Plan2"}</definedName>
    <definedName name="jhsdjkhfuks" hidden="1">{#N/A,#N/A,FALSE,"Plan1";#N/A,#N/A,FALSE,"Plan2"}</definedName>
    <definedName name="jisdrkje" localSheetId="0" hidden="1">{#N/A,#N/A,FALSE,"Plan1";#N/A,#N/A,FALSE,"Plan2"}</definedName>
    <definedName name="jisdrkje" hidden="1">{#N/A,#N/A,FALSE,"Plan1";#N/A,#N/A,FALSE,"Plan2"}</definedName>
    <definedName name="jishfrieyhtau" localSheetId="0" hidden="1">{#N/A,#N/A,FALSE,"Plan1";#N/A,#N/A,FALSE,"Plan2"}</definedName>
    <definedName name="jishfrieyhtau" hidden="1">{#N/A,#N/A,FALSE,"Plan1";#N/A,#N/A,FALSE,"Plan2"}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0" hidden="1">{"'Apr-00'!$B$4:$AD$44"}</definedName>
    <definedName name="jj" hidden="1">{"'Apr-00'!$B$4:$AD$44"}</definedName>
    <definedName name="jjfdsktyhhy" localSheetId="0" hidden="1">{#N/A,#N/A,FALSE,"Plan1";#N/A,#N/A,FALSE,"Plan2"}</definedName>
    <definedName name="jjfdsktyhhy" hidden="1">{#N/A,#N/A,FALSE,"Plan1";#N/A,#N/A,FALSE,"Plan2"}</definedName>
    <definedName name="jjjjjjjjjjjjjjjjjjjj" localSheetId="0">#REF!</definedName>
    <definedName name="jjjjjjjjjjjjjjjjjjjj">#REF!</definedName>
    <definedName name="jjkjkjk" localSheetId="0" hidden="1">{#N/A,#N/A,FALSE,"Plan1";#N/A,#N/A,FALSE,"Plan2"}</definedName>
    <definedName name="jjkjkjk" hidden="1">{#N/A,#N/A,FALSE,"Plan1";#N/A,#N/A,FALSE,"Plan2"}</definedName>
    <definedName name="JKDCK" localSheetId="0" hidden="1">{#N/A,#N/A,FALSE,"Plan1";#N/A,#N/A,FALSE,"Plan2"}</definedName>
    <definedName name="JKDCK" hidden="1">{#N/A,#N/A,FALSE,"Plan1";#N/A,#N/A,FALSE,"Plan2"}</definedName>
    <definedName name="JKDFHKHFR" localSheetId="0" hidden="1">{#N/A,#N/A,FALSE,"Plan1";#N/A,#N/A,FALSE,"Plan2"}</definedName>
    <definedName name="JKDFHKHFR" hidden="1">{#N/A,#N/A,FALSE,"Plan1";#N/A,#N/A,FALSE,"Plan2"}</definedName>
    <definedName name="JKDFTRDRJ" localSheetId="0" hidden="1">{#N/A,#N/A,FALSE,"Plan1";#N/A,#N/A,FALSE,"Plan2"}</definedName>
    <definedName name="JKDFTRDRJ" hidden="1">{#N/A,#N/A,FALSE,"Plan1";#N/A,#N/A,FALSE,"Plan2"}</definedName>
    <definedName name="jkdhfukhddf" localSheetId="0" hidden="1">{#N/A,#N/A,FALSE,"Plan1";#N/A,#N/A,FALSE,"Plan2"}</definedName>
    <definedName name="jkdhfukhddf" hidden="1">{#N/A,#N/A,FALSE,"Plan1";#N/A,#N/A,FALSE,"Plan2"}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0" hidden="1">{#N/A,#N/A,FALSE,"Plan1";#N/A,#N/A,FALSE,"Plan2"}</definedName>
    <definedName name="jkelsjreja" hidden="1">{#N/A,#N/A,FALSE,"Plan1";#N/A,#N/A,FALSE,"Plan2"}</definedName>
    <definedName name="jkfhjgkfhghh" localSheetId="0" hidden="1">{#N/A,#N/A,FALSE,"Plan1";#N/A,#N/A,FALSE,"Plan2"}</definedName>
    <definedName name="jkfhjgkfhghh" hidden="1">{#N/A,#N/A,FALSE,"Plan1";#N/A,#N/A,FALSE,"Plan2"}</definedName>
    <definedName name="jkhderjkhes" localSheetId="0" hidden="1">{#N/A,#N/A,FALSE,"Plan1";#N/A,#N/A,FALSE,"Plan2"}</definedName>
    <definedName name="jkhderjkhes" hidden="1">{#N/A,#N/A,FALSE,"Plan1";#N/A,#N/A,FALSE,"Plan2"}</definedName>
    <definedName name="jkhdfhfd" localSheetId="0" hidden="1">{#N/A,#N/A,FALSE,"Plan1";#N/A,#N/A,FALSE,"Plan2"}</definedName>
    <definedName name="jkhdfhfd" hidden="1">{#N/A,#N/A,FALSE,"Plan1";#N/A,#N/A,FALSE,"Plan2"}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0" hidden="1">{#N/A,#N/A,FALSE,"Plan1";#N/A,#N/A,FALSE,"Plan2"}</definedName>
    <definedName name="JKHFKJHGKFTHUDET" hidden="1">{#N/A,#N/A,FALSE,"Plan1";#N/A,#N/A,FALSE,"Plan2"}</definedName>
    <definedName name="JKHGDHFUHTG" localSheetId="0" hidden="1">{#N/A,#N/A,FALSE,"Plan1";#N/A,#N/A,FALSE,"Plan2"}</definedName>
    <definedName name="JKHGDHFUHTG" hidden="1">{#N/A,#N/A,FALSE,"Plan1";#N/A,#N/A,FALSE,"Plan2"}</definedName>
    <definedName name="jkhsdzjkfyiu" localSheetId="0" hidden="1">{#N/A,#N/A,FALSE,"Plan1";#N/A,#N/A,FALSE,"Plan2"}</definedName>
    <definedName name="jkhsdzjkfyiu" hidden="1">{#N/A,#N/A,FALSE,"Plan1";#N/A,#N/A,FALSE,"Plan2"}</definedName>
    <definedName name="jkjsdkhfdhrf" localSheetId="0" hidden="1">{#N/A,#N/A,FALSE,"Plan1";#N/A,#N/A,FALSE,"Plan2"}</definedName>
    <definedName name="jkjsdkhfdhrf" hidden="1">{#N/A,#N/A,FALSE,"Plan1";#N/A,#N/A,FALSE,"Plan2"}</definedName>
    <definedName name="jklgfsjgtjtg" localSheetId="0" hidden="1">{#N/A,#N/A,FALSE,"Plan1";#N/A,#N/A,FALSE,"Plan2"}</definedName>
    <definedName name="jklgfsjgtjtg" hidden="1">{#N/A,#N/A,FALSE,"Plan1";#N/A,#N/A,FALSE,"Plan2"}</definedName>
    <definedName name="jksldfjsdhf" localSheetId="0" hidden="1">{#N/A,#N/A,FALSE,"Plan1";#N/A,#N/A,FALSE,"Plan2"}</definedName>
    <definedName name="jksldfjsdhf" hidden="1">{#N/A,#N/A,FALSE,"Plan1";#N/A,#N/A,FALSE,"Plan2"}</definedName>
    <definedName name="jkxhcjkhfr" localSheetId="0" hidden="1">{#N/A,#N/A,FALSE,"Plan1";#N/A,#N/A,FALSE,"Plan2"}</definedName>
    <definedName name="jkxhcjkhfr" hidden="1">{#N/A,#N/A,FALSE,"Plan1";#N/A,#N/A,FALSE,"Plan2"}</definedName>
    <definedName name="JNGCKFKJFGH" localSheetId="0" hidden="1">{#N/A,#N/A,FALSE,"Plan1";#N/A,#N/A,FALSE,"Plan2"}</definedName>
    <definedName name="JNGCKFKJFGH" hidden="1">{#N/A,#N/A,FALSE,"Plan1";#N/A,#N/A,FALSE,"Plan2"}</definedName>
    <definedName name="JOALDO" localSheetId="0">#REF!</definedName>
    <definedName name="JOALDO">#REF!</definedName>
    <definedName name="joao_cdi" localSheetId="0">#REF!</definedName>
    <definedName name="joao_cdi">#REF!</definedName>
    <definedName name="joao_hist" localSheetId="0">#REF!</definedName>
    <definedName name="joao_hist">#REF!</definedName>
    <definedName name="joao_uss">#REF!</definedName>
    <definedName name="JREJRW" localSheetId="0" hidden="1">{#N/A,#N/A,FALSE,"Plan1";#N/A,#N/A,FALSE,"Plan2"}</definedName>
    <definedName name="JREJRW" hidden="1">{#N/A,#N/A,FALSE,"Plan1";#N/A,#N/A,FALSE,"Plan2"}</definedName>
    <definedName name="JSADKAH" localSheetId="0" hidden="1">{"Econ Consolidado",#N/A,FALSE,"Econ Consol";"Fluxo de Caixa",#N/A,FALSE,"Fluxo Caixa";"Investimentos",#N/A,FALSE,"Investimentos"}</definedName>
    <definedName name="JSADKAH" hidden="1">{"Econ Consolidado",#N/A,FALSE,"Econ Consol";"Fluxo de Caixa",#N/A,FALSE,"Fluxo Caixa";"Investimentos",#N/A,FALSE,"Investimentos"}</definedName>
    <definedName name="JSDAJRE" localSheetId="0" hidden="1">{#N/A,#N/A,FALSE,"Plan1";#N/A,#N/A,FALSE,"Plan2"}</definedName>
    <definedName name="JSDAJRE" hidden="1">{#N/A,#N/A,FALSE,"Plan1";#N/A,#N/A,FALSE,"Plan2"}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0" hidden="1">{#N/A,#N/A,FALSE,"Plan1";#N/A,#N/A,FALSE,"Plan2"}</definedName>
    <definedName name="jsdfjgx" hidden="1">{#N/A,#N/A,FALSE,"Plan1";#N/A,#N/A,FALSE,"Plan2"}</definedName>
    <definedName name="jsdfkgnfr" localSheetId="0" hidden="1">#REF!</definedName>
    <definedName name="jsdfkgnfr" hidden="1">#REF!</definedName>
    <definedName name="jsdfsdfd" localSheetId="0" hidden="1">{#N/A,#N/A,FALSE,"Plan1";#N/A,#N/A,FALSE,"Plan2"}</definedName>
    <definedName name="jsdfsdfd" hidden="1">{#N/A,#N/A,FALSE,"Plan1";#N/A,#N/A,FALSE,"Plan2"}</definedName>
    <definedName name="jsdljficd" localSheetId="0" hidden="1">{#N/A,#N/A,FALSE,"Plan1";#N/A,#N/A,FALSE,"Plan2"}</definedName>
    <definedName name="jsdljficd" hidden="1">{#N/A,#N/A,FALSE,"Plan1";#N/A,#N/A,FALSE,"Plan2"}</definedName>
    <definedName name="JSDTLFJDRG" localSheetId="0" hidden="1">{#N/A,#N/A,FALSE,"Plan1";#N/A,#N/A,FALSE,"Plan2"}</definedName>
    <definedName name="JSDTLFJDRG" hidden="1">{#N/A,#N/A,FALSE,"Plan1";#N/A,#N/A,FALSE,"Plan2"}</definedName>
    <definedName name="jsfjsjferwea" localSheetId="0" hidden="1">{#N/A,#N/A,FALSE,"Plan1";#N/A,#N/A,FALSE,"Plan2"}</definedName>
    <definedName name="jsfjsjferwea" hidden="1">{#N/A,#N/A,FALSE,"Plan1";#N/A,#N/A,FALSE,"Plan2"}</definedName>
    <definedName name="jslrjer" localSheetId="0" hidden="1">{#N/A,#N/A,FALSE,"Plan1";#N/A,#N/A,FALSE,"Plan2"}</definedName>
    <definedName name="jslrjer" hidden="1">{#N/A,#N/A,FALSE,"Plan1";#N/A,#N/A,FALSE,"Plan2"}</definedName>
    <definedName name="juklhkhdf" localSheetId="0" hidden="1">{#N/A,#N/A,FALSE,"Plan1";#N/A,#N/A,FALSE,"Plan2"}</definedName>
    <definedName name="juklhkhdf" hidden="1">{#N/A,#N/A,FALSE,"Plan1";#N/A,#N/A,FALSE,"Plan2"}</definedName>
    <definedName name="jul17RJ" localSheetId="0">#REF!</definedName>
    <definedName name="jul17RJ">#REF!</definedName>
    <definedName name="JULHO" localSheetId="0">#REF!</definedName>
    <definedName name="JULHO">#REF!</definedName>
    <definedName name="JULHO2001" localSheetId="0">#REF!</definedName>
    <definedName name="JULHO2001">#REF!</definedName>
    <definedName name="JULHO99" localSheetId="0" hidden="1">{#N/A,#N/A,TRUE,"Quinzena 01 à 15-04-98 "}</definedName>
    <definedName name="JULHO99" hidden="1">{#N/A,#N/A,TRUE,"Quinzena 01 à 15-04-98 "}</definedName>
    <definedName name="jun17RJ" localSheetId="0">#REF!</definedName>
    <definedName name="jun17RJ">#REF!</definedName>
    <definedName name="JUNHO" localSheetId="0">#REF!</definedName>
    <definedName name="JUNHO">#REF!</definedName>
    <definedName name="JUNHO2001" localSheetId="0">#REF!</definedName>
    <definedName name="JUNHO2001">#REF!</definedName>
    <definedName name="JurosTpMes">#REF!</definedName>
    <definedName name="jwekljd" localSheetId="0" hidden="1">{#N/A,#N/A,FALSE,"Plan1";#N/A,#N/A,FALSE,"Plan2"}</definedName>
    <definedName name="jwekljd" hidden="1">{#N/A,#N/A,FALSE,"Plan1";#N/A,#N/A,FALSE,"Plan2"}</definedName>
    <definedName name="JWEOITORU5Y" localSheetId="0" hidden="1">{#N/A,#N/A,FALSE,"Plan1";#N/A,#N/A,FALSE,"Plan2"}</definedName>
    <definedName name="JWEOITORU5Y" hidden="1">{#N/A,#N/A,FALSE,"Plan1";#N/A,#N/A,FALSE,"Plan2"}</definedName>
    <definedName name="jxdfjsrf" localSheetId="0" hidden="1">{#N/A,#N/A,FALSE,"Plan1";#N/A,#N/A,FALSE,"Plan2"}</definedName>
    <definedName name="jxdfjsrf" hidden="1">{#N/A,#N/A,FALSE,"Plan1";#N/A,#N/A,FALSE,"Plan2"}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0" hidden="1">#REF!</definedName>
    <definedName name="JY" hidden="1">#REF!</definedName>
    <definedName name="jzsdjkszl" localSheetId="0" hidden="1">{#N/A,#N/A,FALSE,"Plan1";#N/A,#N/A,FALSE,"Plan2"}</definedName>
    <definedName name="jzsdjkszl" hidden="1">{#N/A,#N/A,FALSE,"Plan1";#N/A,#N/A,FALSE,"Plan2"}</definedName>
    <definedName name="JZXFKLJLDJF" localSheetId="0" hidden="1">{#N/A,#N/A,FALSE,"Plan1";#N/A,#N/A,FALSE,"Plan2"}</definedName>
    <definedName name="JZXFKLJLDJF" hidden="1">{#N/A,#N/A,FALSE,"Plan1";#N/A,#N/A,FALSE,"Plan2"}</definedName>
    <definedName name="jzxklfdlvgfg" localSheetId="0" hidden="1">{#N/A,#N/A,FALSE,"Plan1";#N/A,#N/A,FALSE,"Plan2"}</definedName>
    <definedName name="jzxklfdlvgfg" hidden="1">{#N/A,#N/A,FALSE,"Plan1";#N/A,#N/A,FALSE,"Plan2"}</definedName>
    <definedName name="k" localSheetId="0" hidden="1">{#N/A,#N/A,FALSE,"Plan1";#N/A,#N/A,FALSE,"Plan2"}</definedName>
    <definedName name="k" hidden="1">{#N/A,#N/A,FALSE,"Plan1";#N/A,#N/A,FALSE,"Plan2"}</definedName>
    <definedName name="K_1" localSheetId="0">#REF!</definedName>
    <definedName name="K_1">#REF!</definedName>
    <definedName name="kaedkroswr" localSheetId="0" hidden="1">{"Econ Consolidado",#N/A,FALSE,"Econ Consol";"Fluxo de Caixa",#N/A,FALSE,"Fluxo Caixa";"Investimentos",#N/A,FALSE,"Investimentos"}</definedName>
    <definedName name="kaedkroswr" hidden="1">{"Econ Consolidado",#N/A,FALSE,"Econ Consol";"Fluxo de Caixa",#N/A,FALSE,"Fluxo Caixa";"Investimentos",#N/A,FALSE,"Investimentos"}</definedName>
    <definedName name="kapa" localSheetId="0">#REF!</definedName>
    <definedName name="kapa">#REF!</definedName>
    <definedName name="kç\lKçaksdçaqew" localSheetId="0" hidden="1">{#N/A,#N/A,FALSE,"Plan1";#N/A,#N/A,FALSE,"Plan2"}</definedName>
    <definedName name="kç\lKçaksdçaqew" hidden="1">{#N/A,#N/A,FALSE,"Plan1";#N/A,#N/A,FALSE,"Plan2"}</definedName>
    <definedName name="kçdasekr" localSheetId="0" hidden="1">{#N/A,#N/A,FALSE,"Plan1";#N/A,#N/A,FALSE,"Plan2"}</definedName>
    <definedName name="kçdasekr" hidden="1">{#N/A,#N/A,FALSE,"Plan1";#N/A,#N/A,FALSE,"Plan2"}</definedName>
    <definedName name="kçfdljtredr" localSheetId="0" hidden="1">{#N/A,#N/A,FALSE,"Plan1";#N/A,#N/A,FALSE,"Plan2"}</definedName>
    <definedName name="kçfdljtredr" hidden="1">{#N/A,#N/A,FALSE,"Plan1";#N/A,#N/A,FALSE,"Plan2"}</definedName>
    <definedName name="KCIVIL" localSheetId="0">#REF!</definedName>
    <definedName name="KCIVIL">#REF!</definedName>
    <definedName name="kclçkglf" localSheetId="0" hidden="1">{#N/A,#N/A,FALSE,"Plan1";#N/A,#N/A,FALSE,"Plan2"}</definedName>
    <definedName name="kclçkglf" hidden="1">{#N/A,#N/A,FALSE,"Plan1";#N/A,#N/A,FALSE,"Plan2"}</definedName>
    <definedName name="kçlkasçkere" localSheetId="0" hidden="1">{#N/A,#N/A,FALSE,"Plan1";#N/A,#N/A,FALSE,"Plan2"}</definedName>
    <definedName name="kçlkasçkere" hidden="1">{#N/A,#N/A,FALSE,"Plan1";#N/A,#N/A,FALSE,"Plan2"}</definedName>
    <definedName name="kdfbngtjkbf" localSheetId="0" hidden="1">{#N/A,#N/A,FALSE,"Plan1";#N/A,#N/A,FALSE,"Plan2"}</definedName>
    <definedName name="kdfbngtjkbf" hidden="1">{#N/A,#N/A,FALSE,"Plan1";#N/A,#N/A,FALSE,"Plan2"}</definedName>
    <definedName name="kdfhkghkrh" localSheetId="0" hidden="1">{#N/A,#N/A,FALSE,"Plan1";#N/A,#N/A,FALSE,"Plan2"}</definedName>
    <definedName name="kdfhkghkrh" hidden="1">{#N/A,#N/A,FALSE,"Plan1";#N/A,#N/A,FALSE,"Plan2"}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0" hidden="1">{#N/A,#N/A,FALSE,"Plan1";#N/A,#N/A,FALSE,"Plan2"}</definedName>
    <definedName name="kdfkçrkf" hidden="1">{#N/A,#N/A,FALSE,"Plan1";#N/A,#N/A,FALSE,"Plan2"}</definedName>
    <definedName name="kdfljlfr" localSheetId="0" hidden="1">{#N/A,#N/A,FALSE,"Plan1";#N/A,#N/A,FALSE,"Plan2"}</definedName>
    <definedName name="kdfljlfr" hidden="1">{#N/A,#N/A,FALSE,"Plan1";#N/A,#N/A,FALSE,"Plan2"}</definedName>
    <definedName name="kdhfgkdfhytgu" localSheetId="0" hidden="1">{#N/A,#N/A,FALSE,"Plan1";#N/A,#N/A,FALSE,"Plan2"}</definedName>
    <definedName name="kdhfgkdfhytgu" hidden="1">{#N/A,#N/A,FALSE,"Plan1";#N/A,#N/A,FALSE,"Plan2"}</definedName>
    <definedName name="kdhgftfg" localSheetId="0" hidden="1">{#N/A,#N/A,FALSE,"Plan1";#N/A,#N/A,FALSE,"Plan2"}</definedName>
    <definedName name="kdhgftfg" hidden="1">{#N/A,#N/A,FALSE,"Plan1";#N/A,#N/A,FALSE,"Plan2"}</definedName>
    <definedName name="KDHKFGKKHGF" localSheetId="0" hidden="1">{#N/A,#N/A,FALSE,"Plan1";#N/A,#N/A,FALSE,"Plan2"}</definedName>
    <definedName name="KDHKFGKKHGF" hidden="1">{#N/A,#N/A,FALSE,"Plan1";#N/A,#N/A,FALSE,"Plan2"}</definedName>
    <definedName name="kdjfdr" localSheetId="0" hidden="1">#REF!</definedName>
    <definedName name="kdjfdr" hidden="1">#REF!</definedName>
    <definedName name="kdjgkfjgd" localSheetId="0" hidden="1">{#N/A,#N/A,FALSE,"Plan1";#N/A,#N/A,FALSE,"Plan2"}</definedName>
    <definedName name="kdjgkfjgd" hidden="1">{#N/A,#N/A,FALSE,"Plan1";#N/A,#N/A,FALSE,"Plan2"}</definedName>
    <definedName name="kdjglkdlgjd" localSheetId="0" hidden="1">{#N/A,#N/A,FALSE,"Plan1";#N/A,#N/A,FALSE,"Plan2"}</definedName>
    <definedName name="kdjglkdlgjd" hidden="1">{#N/A,#N/A,FALSE,"Plan1";#N/A,#N/A,FALSE,"Plan2"}</definedName>
    <definedName name="kdjsfkldjgkty" localSheetId="0" hidden="1">{#N/A,#N/A,FALSE,"Plan1";#N/A,#N/A,FALSE,"Plan2"}</definedName>
    <definedName name="kdjsfkldjgkty" hidden="1">{#N/A,#N/A,FALSE,"Plan1";#N/A,#N/A,FALSE,"Plan2"}</definedName>
    <definedName name="KDJU" localSheetId="0" hidden="1">{"'장비'!$A$3:$M$12"}</definedName>
    <definedName name="KDJU" hidden="1">{"'장비'!$A$3:$M$12"}</definedName>
    <definedName name="kdkjhgdkfhjk" localSheetId="0" hidden="1">{#N/A,#N/A,FALSE,"Plan1";#N/A,#N/A,FALSE,"Plan2"}</definedName>
    <definedName name="kdkjhgdkfhjk" hidden="1">{#N/A,#N/A,FALSE,"Plan1";#N/A,#N/A,FALSE,"Plan2"}</definedName>
    <definedName name="kdsf" localSheetId="0" hidden="1">{#N/A,#N/A,FALSE,"Plan1";#N/A,#N/A,FALSE,"Plan2"}</definedName>
    <definedName name="kdsf" hidden="1">{#N/A,#N/A,FALSE,"Plan1";#N/A,#N/A,FALSE,"Plan2"}</definedName>
    <definedName name="kdsr" localSheetId="0" hidden="1">{#N/A,#N/A,FALSE,"Plan1";#N/A,#N/A,FALSE,"Plan2"}</definedName>
    <definedName name="kdsr" hidden="1">{#N/A,#N/A,FALSE,"Plan1";#N/A,#N/A,FALSE,"Plan2"}</definedName>
    <definedName name="kergtfdstr" localSheetId="0" hidden="1">{#N/A,#N/A,FALSE,"Plan1";#N/A,#N/A,FALSE,"Plan2"}</definedName>
    <definedName name="kergtfdstr" hidden="1">{#N/A,#N/A,FALSE,"Plan1";#N/A,#N/A,FALSE,"Plan2"}</definedName>
    <definedName name="kesp" localSheetId="0">#REF!</definedName>
    <definedName name="kesp">#REF!</definedName>
    <definedName name="KFDKTHGT" localSheetId="0" hidden="1">{#N/A,#N/A,FALSE,"Plan1";#N/A,#N/A,FALSE,"Plan2"}</definedName>
    <definedName name="KFDKTHGT" hidden="1">{#N/A,#N/A,FALSE,"Plan1";#N/A,#N/A,FALSE,"Plan2"}</definedName>
    <definedName name="kfdxlfdzs" localSheetId="0" hidden="1">{"Econ Consolidado",#N/A,FALSE,"Econ Consol";"Fluxo de Caixa",#N/A,FALSE,"Fluxo Caixa";"Investimentos",#N/A,FALSE,"Investimentos"}</definedName>
    <definedName name="kfdxlfdzs" hidden="1">{"Econ Consolidado",#N/A,FALSE,"Econ Consol";"Fluxo de Caixa",#N/A,FALSE,"Fluxo Caixa";"Investimentos",#N/A,FALSE,"Investimentos"}</definedName>
    <definedName name="kfgkhjkjhy" localSheetId="0" hidden="1">{#N/A,#N/A,FALSE,"Plan1";#N/A,#N/A,FALSE,"Plan2"}</definedName>
    <definedName name="kfgkhjkjhy" hidden="1">{#N/A,#N/A,FALSE,"Plan1";#N/A,#N/A,FALSE,"Plan2"}</definedName>
    <definedName name="KFJFDSDF" localSheetId="0" hidden="1">{#N/A,#N/A,FALSE,"Plan1";#N/A,#N/A,FALSE,"Plan2"}</definedName>
    <definedName name="KFJFDSDF" hidden="1">{#N/A,#N/A,FALSE,"Plan1";#N/A,#N/A,FALSE,"Plan2"}</definedName>
    <definedName name="kfnkeasd" localSheetId="0" hidden="1">{#N/A,#N/A,FALSE,"Plan1";#N/A,#N/A,FALSE,"Plan2"}</definedName>
    <definedName name="kfnkeasd" hidden="1">{#N/A,#N/A,FALSE,"Plan1";#N/A,#N/A,FALSE,"Plan2"}</definedName>
    <definedName name="khdjkfkjhtg" localSheetId="0" hidden="1">{#N/A,#N/A,FALSE,"Plan1";#N/A,#N/A,FALSE,"Plan2"}</definedName>
    <definedName name="khdjkfkjhtg" hidden="1">{#N/A,#N/A,FALSE,"Plan1";#N/A,#N/A,FALSE,"Plan2"}</definedName>
    <definedName name="khdkfjhhfsdg" localSheetId="0" hidden="1">{#N/A,#N/A,FALSE,"Plan1";#N/A,#N/A,FALSE,"Plan2"}</definedName>
    <definedName name="khdkfjhhfsdg" hidden="1">{#N/A,#N/A,FALSE,"Plan1";#N/A,#N/A,FALSE,"Plan2"}</definedName>
    <definedName name="khdkjfhgudytu" localSheetId="0" hidden="1">{#N/A,#N/A,FALSE,"Plan1";#N/A,#N/A,FALSE,"Plan2"}</definedName>
    <definedName name="khdkjfhgudytu" hidden="1">{#N/A,#N/A,FALSE,"Plan1";#N/A,#N/A,FALSE,"Plan2"}</definedName>
    <definedName name="khfdghhhgd" localSheetId="0" hidden="1">{#N/A,#N/A,FALSE,"Plan1";#N/A,#N/A,FALSE,"Plan2"}</definedName>
    <definedName name="khfdghhhgd" hidden="1">{#N/A,#N/A,FALSE,"Plan1";#N/A,#N/A,FALSE,"Plan2"}</definedName>
    <definedName name="khfdkjhsdjf" localSheetId="0" hidden="1">{#N/A,#N/A,FALSE,"Plan1";#N/A,#N/A,FALSE,"Plan2"}</definedName>
    <definedName name="khfdkjhsdjf" hidden="1">{#N/A,#N/A,FALSE,"Plan1";#N/A,#N/A,FALSE,"Plan2"}</definedName>
    <definedName name="khgdkftfy" localSheetId="0" hidden="1">{#N/A,#N/A,FALSE,"Plan1";#N/A,#N/A,FALSE,"Plan2"}</definedName>
    <definedName name="khgdkftfy" hidden="1">{#N/A,#N/A,FALSE,"Plan1";#N/A,#N/A,FALSE,"Plan2"}</definedName>
    <definedName name="khgfhhtuhf" localSheetId="0" hidden="1">{#N/A,#N/A,FALSE,"Plan1";#N/A,#N/A,FALSE,"Plan2"}</definedName>
    <definedName name="khgfhhtuhf" hidden="1">{#N/A,#N/A,FALSE,"Plan1";#N/A,#N/A,FALSE,"Plan2"}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0" hidden="1">{#N/A,#N/A,FALSE,"Plan1";#N/A,#N/A,FALSE,"Plan2"}</definedName>
    <definedName name="KHJKLSDF" hidden="1">{#N/A,#N/A,FALSE,"Plan1";#N/A,#N/A,FALSE,"Plan2"}</definedName>
    <definedName name="kieret" localSheetId="0" hidden="1">{#N/A,#N/A,FALSE,"Plan1";#N/A,#N/A,FALSE,"Plan2"}</definedName>
    <definedName name="kieret" hidden="1">{#N/A,#N/A,FALSE,"Plan1";#N/A,#N/A,FALSE,"Plan2"}</definedName>
    <definedName name="kiweokwr" localSheetId="0" hidden="1">#REF!</definedName>
    <definedName name="kiweokwr" hidden="1">#REF!</definedName>
    <definedName name="kjchkfhsezk" localSheetId="0" hidden="1">{#N/A,#N/A,FALSE,"Plan1";#N/A,#N/A,FALSE,"Plan2"}</definedName>
    <definedName name="kjchkfhsezk" hidden="1">{#N/A,#N/A,FALSE,"Plan1";#N/A,#N/A,FALSE,"Plan2"}</definedName>
    <definedName name="kjdghksef" localSheetId="0" hidden="1">{#N/A,#N/A,FALSE,"Plan1";#N/A,#N/A,FALSE,"Plan2"}</definedName>
    <definedName name="kjdghksef" hidden="1">{#N/A,#N/A,FALSE,"Plan1";#N/A,#N/A,FALSE,"Plan2"}</definedName>
    <definedName name="kjdkftyhtert" localSheetId="0" hidden="1">{#N/A,#N/A,FALSE,"Plan1";#N/A,#N/A,FALSE,"Plan2"}</definedName>
    <definedName name="kjdkftyhtert" hidden="1">{#N/A,#N/A,FALSE,"Plan1";#N/A,#N/A,FALSE,"Plan2"}</definedName>
    <definedName name="kjdlfkjds" localSheetId="0" hidden="1">{#N/A,#N/A,FALSE,"Plan1";#N/A,#N/A,FALSE,"Plan2"}</definedName>
    <definedName name="kjdlfkjds" hidden="1">{#N/A,#N/A,FALSE,"Plan1";#N/A,#N/A,FALSE,"Plan2"}</definedName>
    <definedName name="kjdzhfytrfy" localSheetId="0" hidden="1">{#N/A,#N/A,FALSE,"Plan1";#N/A,#N/A,FALSE,"Plan2"}</definedName>
    <definedName name="kjdzhfytrfy" hidden="1">{#N/A,#N/A,FALSE,"Plan1";#N/A,#N/A,FALSE,"Plan2"}</definedName>
    <definedName name="kjhdfgjthdft" localSheetId="0" hidden="1">{#N/A,#N/A,FALSE,"Plan1";#N/A,#N/A,FALSE,"Plan2"}</definedName>
    <definedName name="kjhdfgjthdft" hidden="1">{#N/A,#N/A,FALSE,"Plan1";#N/A,#N/A,FALSE,"Plan2"}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0" hidden="1">{#N/A,#N/A,FALSE,"Plan1";#N/A,#N/A,FALSE,"Plan2"}</definedName>
    <definedName name="kjhsiorf" hidden="1">{#N/A,#N/A,FALSE,"Plan1";#N/A,#N/A,FALSE,"Plan2"}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0" hidden="1">{#N/A,#N/A,FALSE,"Plan1";#N/A,#N/A,FALSE,"Plan2"}</definedName>
    <definedName name="kjjwww" hidden="1">{#N/A,#N/A,FALSE,"Plan1";#N/A,#N/A,FALSE,"Plan2"}</definedName>
    <definedName name="kjl" localSheetId="0" hidden="1">{#N/A,#N/A,FALSE,"ENG'G(보호계전기)"}</definedName>
    <definedName name="kjl" hidden="1">{#N/A,#N/A,FALSE,"ENG'G(보호계전기)"}</definedName>
    <definedName name="KJOI" localSheetId="0" hidden="1">{#N/A,#N/A,FALSE,"Plan1";#N/A,#N/A,FALSE,"Plan2"}</definedName>
    <definedName name="KJOI" hidden="1">{#N/A,#N/A,FALSE,"Plan1";#N/A,#N/A,FALSE,"Plan2"}</definedName>
    <definedName name="kjqwerw" localSheetId="0" hidden="1">{#N/A,#N/A,FALSE,"Plan1";#N/A,#N/A,FALSE,"Plan2"}</definedName>
    <definedName name="kjqwerw" hidden="1">{#N/A,#N/A,FALSE,"Plan1";#N/A,#N/A,FALSE,"Plan2"}</definedName>
    <definedName name="kjsfert" localSheetId="0" hidden="1">{#N/A,#N/A,FALSE,"Plan1";#N/A,#N/A,FALSE,"Plan2"}</definedName>
    <definedName name="kjsfert" hidden="1">{#N/A,#N/A,FALSE,"Plan1";#N/A,#N/A,FALSE,"Plan2"}</definedName>
    <definedName name="KJXCFKR" localSheetId="0" hidden="1">{#N/A,#N/A,FALSE,"Plan1";#N/A,#N/A,FALSE,"Plan2"}</definedName>
    <definedName name="KJXCFKR" hidden="1">{#N/A,#N/A,FALSE,"Plan1";#N/A,#N/A,FALSE,"Plan2"}</definedName>
    <definedName name="KJXDFD" localSheetId="0" hidden="1">{#N/A,#N/A,FALSE,"Plan1";#N/A,#N/A,FALSE,"Plan2"}</definedName>
    <definedName name="KJXDFD" hidden="1">{#N/A,#N/A,FALSE,"Plan1";#N/A,#N/A,FALSE,"Plan2"}</definedName>
    <definedName name="kjydhfkjghkjfh" localSheetId="0" hidden="1">#REF!</definedName>
    <definedName name="kjydhfkjghkjfh" hidden="1">#REF!</definedName>
    <definedName name="kk" localSheetId="0">#REF!</definedName>
    <definedName name="kk">#REF!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0" hidden="1">{#N/A,#N/A,FALSE,"Plan1";#N/A,#N/A,FALSE,"Plan2"}</definedName>
    <definedName name="kkk" hidden="1">{#N/A,#N/A,FALSE,"Plan1";#N/A,#N/A,FALSE,"Plan2"}</definedName>
    <definedName name="kkkkk" localSheetId="0" hidden="1">{#N/A,#N/A,FALSE,"Plan1";#N/A,#N/A,FALSE,"Plan2"}</definedName>
    <definedName name="kkkkk" hidden="1">{#N/A,#N/A,FALSE,"Plan1";#N/A,#N/A,FALSE,"Plan2"}</definedName>
    <definedName name="kkkkkk" localSheetId="0" hidden="1">{#N/A,#N/A,FALSE,"Plan1";#N/A,#N/A,FALSE,"Plan2"}</definedName>
    <definedName name="kkkkkk" hidden="1">{#N/A,#N/A,FALSE,"Plan1";#N/A,#N/A,FALSE,"Plan2"}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0" hidden="1">{#N/A,#N/A,FALSE,"Plan1";#N/A,#N/A,FALSE,"Plan2"}</definedName>
    <definedName name="kksaklçer" hidden="1">{#N/A,#N/A,FALSE,"Plan1";#N/A,#N/A,FALSE,"Plan2"}</definedName>
    <definedName name="kksarde" localSheetId="0" hidden="1">{#N/A,#N/A,FALSE,"Plan1";#N/A,#N/A,FALSE,"Plan2"}</definedName>
    <definedName name="kksarde" hidden="1">{#N/A,#N/A,FALSE,"Plan1";#N/A,#N/A,FALSE,"Plan2"}</definedName>
    <definedName name="klaskldjsw" localSheetId="0" hidden="1">{#N/A,#N/A,FALSE,"Plan1";#N/A,#N/A,FALSE,"Plan2"}</definedName>
    <definedName name="klaskldjsw" hidden="1">{#N/A,#N/A,FALSE,"Plan1";#N/A,#N/A,FALSE,"Plan2"}</definedName>
    <definedName name="klçkop" localSheetId="0" hidden="1">{#N/A,#N/A,FALSE,"Plan1";#N/A,#N/A,FALSE,"Plan2"}</definedName>
    <definedName name="klçkop" hidden="1">{#N/A,#N/A,FALSE,"Plan1";#N/A,#N/A,FALSE,"Plan2"}</definedName>
    <definedName name="KLDFNTRDT" localSheetId="0" hidden="1">{#N/A,#N/A,FALSE,"Plan1";#N/A,#N/A,FALSE,"Plan2"}</definedName>
    <definedName name="KLDFNTRDT" hidden="1">{#N/A,#N/A,FALSE,"Plan1";#N/A,#N/A,FALSE,"Plan2"}</definedName>
    <definedName name="klhjsdklhdf" localSheetId="0" hidden="1">{#N/A,#N/A,FALSE,"Plan1";#N/A,#N/A,FALSE,"Plan2"}</definedName>
    <definedName name="klhjsdklhdf" hidden="1">{#N/A,#N/A,FALSE,"Plan1";#N/A,#N/A,FALSE,"Plan2"}</definedName>
    <definedName name="KLHSKLRHWE" localSheetId="0" hidden="1">{#N/A,#N/A,FALSE,"Plan1";#N/A,#N/A,FALSE,"Plan2"}</definedName>
    <definedName name="KLHSKLRHWE" hidden="1">{#N/A,#N/A,FALSE,"Plan1";#N/A,#N/A,FALSE,"Plan2"}</definedName>
    <definedName name="KLJASKJD" localSheetId="0" hidden="1">{#N/A,#N/A,FALSE,"Plan1";#N/A,#N/A,FALSE,"Plan2"}</definedName>
    <definedName name="KLJASKJD" hidden="1">{#N/A,#N/A,FALSE,"Plan1";#N/A,#N/A,FALSE,"Plan2"}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0" hidden="1">{#N/A,#N/A,FALSE,"Plan1";#N/A,#N/A,FALSE,"Plan2"}</definedName>
    <definedName name="kljeflwr" hidden="1">{#N/A,#N/A,FALSE,"Plan1";#N/A,#N/A,FALSE,"Plan2"}</definedName>
    <definedName name="kljflgjrf" localSheetId="0" hidden="1">{#N/A,#N/A,FALSE,"Plan1";#N/A,#N/A,FALSE,"Plan2"}</definedName>
    <definedName name="kljflgjrf" hidden="1">{#N/A,#N/A,FALSE,"Plan1";#N/A,#N/A,FALSE,"Plan2"}</definedName>
    <definedName name="kljgfdfr" localSheetId="0" hidden="1">{#N/A,#N/A,FALSE,"Plan1";#N/A,#N/A,FALSE,"Plan2"}</definedName>
    <definedName name="kljgfdfr" hidden="1">{#N/A,#N/A,FALSE,"Plan1";#N/A,#N/A,FALSE,"Plan2"}</definedName>
    <definedName name="kljgfjrt" localSheetId="0" hidden="1">{#N/A,#N/A,FALSE,"Plan1";#N/A,#N/A,FALSE,"Plan2"}</definedName>
    <definedName name="kljgfjrt" hidden="1">{#N/A,#N/A,FALSE,"Plan1";#N/A,#N/A,FALSE,"Plan2"}</definedName>
    <definedName name="kljlkdfj" localSheetId="0" hidden="1">{#N/A,#N/A,FALSE,"Plan1";#N/A,#N/A,FALSE,"Plan2"}</definedName>
    <definedName name="kljlkdfj" hidden="1">{#N/A,#N/A,FALSE,"Plan1";#N/A,#N/A,FALSE,"Plan2"}</definedName>
    <definedName name="kljsakjfr" localSheetId="0" hidden="1">{#N/A,#N/A,FALSE,"Plan1";#N/A,#N/A,FALSE,"Plan2"}</definedName>
    <definedName name="kljsakjfr" hidden="1">{#N/A,#N/A,FALSE,"Plan1";#N/A,#N/A,FALSE,"Plan2"}</definedName>
    <definedName name="kljsdje" localSheetId="0" hidden="1">{#N/A,#N/A,FALSE,"Plan1";#N/A,#N/A,FALSE,"Plan2"}</definedName>
    <definedName name="kljsdje" hidden="1">{#N/A,#N/A,FALSE,"Plan1";#N/A,#N/A,FALSE,"Plan2"}</definedName>
    <definedName name="kljsfwe" localSheetId="0" hidden="1">{#N/A,#N/A,FALSE,"Plan1";#N/A,#N/A,FALSE,"Plan2"}</definedName>
    <definedName name="kljsfwe" hidden="1">{#N/A,#N/A,FALSE,"Plan1";#N/A,#N/A,FALSE,"Plan2"}</definedName>
    <definedName name="klk" localSheetId="0" hidden="1">{#N/A,#N/A,FALSE,"Plan1";#N/A,#N/A,FALSE,"Plan2"}</definedName>
    <definedName name="klk" hidden="1">{#N/A,#N/A,FALSE,"Plan1";#N/A,#N/A,FALSE,"Plan2"}</definedName>
    <definedName name="KLKKLKÇJÇ" localSheetId="0" hidden="1">{#N/A,#N/A,FALSE,"Plan1";#N/A,#N/A,FALSE,"Plan2"}</definedName>
    <definedName name="KLKKLKÇJÇ" hidden="1">{#N/A,#N/A,FALSE,"Plan1";#N/A,#N/A,FALSE,"Plan2"}</definedName>
    <definedName name="KLSDFT" localSheetId="0" hidden="1">{#N/A,#N/A,FALSE,"Plan1";#N/A,#N/A,FALSE,"Plan2"}</definedName>
    <definedName name="KLSDFT" hidden="1">{#N/A,#N/A,FALSE,"Plan1";#N/A,#N/A,FALSE,"Plan2"}</definedName>
    <definedName name="KLSDHSJKHF" localSheetId="0" hidden="1">{#N/A,#N/A,FALSE,"Plan1";#N/A,#N/A,FALSE,"Plan2"}</definedName>
    <definedName name="KLSDHSJKHF" hidden="1">{#N/A,#N/A,FALSE,"Plan1";#N/A,#N/A,FALSE,"Plan2"}</definedName>
    <definedName name="klsdkre" localSheetId="0" hidden="1">{#N/A,#N/A,FALSE,"Plan1";#N/A,#N/A,FALSE,"Plan2"}</definedName>
    <definedName name="klsdkre" hidden="1">{#N/A,#N/A,FALSE,"Plan1";#N/A,#N/A,FALSE,"Plan2"}</definedName>
    <definedName name="KLSIDJE" localSheetId="0" hidden="1">{#N/A,#N/A,FALSE,"Plan1";#N/A,#N/A,FALSE,"Plan2"}</definedName>
    <definedName name="KLSIDJE" hidden="1">{#N/A,#N/A,FALSE,"Plan1";#N/A,#N/A,FALSE,"Plan2"}</definedName>
    <definedName name="klsjarsf" localSheetId="0" hidden="1">{#N/A,#N/A,FALSE,"Plan1";#N/A,#N/A,FALSE,"Plan2"}</definedName>
    <definedName name="klsjarsf" hidden="1">{#N/A,#N/A,FALSE,"Plan1";#N/A,#N/A,FALSE,"Plan2"}</definedName>
    <definedName name="klsjdwe" localSheetId="0" hidden="1">#REF!</definedName>
    <definedName name="klsjdwe" hidden="1">#REF!</definedName>
    <definedName name="klxhjfdkhser" localSheetId="0" hidden="1">{#N/A,#N/A,FALSE,"Plan1";#N/A,#N/A,FALSE,"Plan2"}</definedName>
    <definedName name="klxhjfdkhser" hidden="1">{#N/A,#N/A,FALSE,"Plan1";#N/A,#N/A,FALSE,"Plan2"}</definedName>
    <definedName name="kopipnsdfne" localSheetId="0" hidden="1">{#N/A,#N/A,FALSE,"Plan1";#N/A,#N/A,FALSE,"Plan2"}</definedName>
    <definedName name="kopipnsdfne" hidden="1">{#N/A,#N/A,FALSE,"Plan1";#N/A,#N/A,FALSE,"Plan2"}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0" hidden="1">{#N/A,#N/A,FALSE,"Plan1";#N/A,#N/A,FALSE,"Plan2"}</definedName>
    <definedName name="KSDLDF" hidden="1">{#N/A,#N/A,FALSE,"Plan1";#N/A,#N/A,FALSE,"Plan2"}</definedName>
    <definedName name="ksdlkfsçzd" localSheetId="0" hidden="1">{#N/A,#N/A,FALSE,"Plan1";#N/A,#N/A,FALSE,"Plan2"}</definedName>
    <definedName name="ksdlkfsçzd" hidden="1">{#N/A,#N/A,FALSE,"Plan1";#N/A,#N/A,FALSE,"Plan2"}</definedName>
    <definedName name="KSDNFK" localSheetId="0">#REF!</definedName>
    <definedName name="KSDNFK">#REF!</definedName>
    <definedName name="ksdoçierfe" localSheetId="0" hidden="1">{#N/A,#N/A,FALSE,"Plan1";#N/A,#N/A,FALSE,"Plan2"}</definedName>
    <definedName name="ksdoçierfe" hidden="1">{#N/A,#N/A,FALSE,"Plan1";#N/A,#N/A,FALSE,"Plan2"}</definedName>
    <definedName name="ksdtrdrkf" localSheetId="0" hidden="1">{#N/A,#N/A,FALSE,"Plan1";#N/A,#N/A,FALSE,"Plan2"}</definedName>
    <definedName name="ksdtrdrkf" hidden="1">{#N/A,#N/A,FALSE,"Plan1";#N/A,#N/A,FALSE,"Plan2"}</definedName>
    <definedName name="KSFÇJDFJL" localSheetId="0" hidden="1">{#N/A,#N/A,FALSE,"Plan1";#N/A,#N/A,FALSE,"Plan2"}</definedName>
    <definedName name="KSFÇJDFJL" hidden="1">{#N/A,#N/A,FALSE,"Plan1";#N/A,#N/A,FALSE,"Plan2"}</definedName>
    <definedName name="ksfhse" localSheetId="0" hidden="1">{#N/A,#N/A,FALSE,"Plan1";#N/A,#N/A,FALSE,"Plan2"}</definedName>
    <definedName name="ksfhse" hidden="1">{#N/A,#N/A,FALSE,"Plan1";#N/A,#N/A,FALSE,"Plan2"}</definedName>
    <definedName name="KSRKOE" localSheetId="0" hidden="1">{#N/A,#N/A,FALSE,"Plan1";#N/A,#N/A,FALSE,"Plan2"}</definedName>
    <definedName name="KSRKOE" hidden="1">{#N/A,#N/A,FALSE,"Plan1";#N/A,#N/A,FALSE,"Plan2"}</definedName>
    <definedName name="KSWKE" localSheetId="0" hidden="1">{#N/A,#N/A,FALSE,"Plan1";#N/A,#N/A,FALSE,"Plan2"}</definedName>
    <definedName name="KSWKE" hidden="1">{#N/A,#N/A,FALSE,"Plan1";#N/A,#N/A,FALSE,"Plan2"}</definedName>
    <definedName name="kubus" localSheetId="0">#REF!</definedName>
    <definedName name="kubus">#REF!</definedName>
    <definedName name="kubus1" localSheetId="0">#REF!</definedName>
    <definedName name="kubus1">#REF!</definedName>
    <definedName name="kysdusf" localSheetId="0" hidden="1">{#N/A,#N/A,FALSE,"Plan1";#N/A,#N/A,FALSE,"Plan2"}</definedName>
    <definedName name="kysdusf" hidden="1">{#N/A,#N/A,FALSE,"Plan1";#N/A,#N/A,FALSE,"Plan2"}</definedName>
    <definedName name="kzslçdkçle" localSheetId="0" hidden="1">{#N/A,#N/A,FALSE,"Plan1";#N/A,#N/A,FALSE,"Plan2"}</definedName>
    <definedName name="kzslçdkçle" hidden="1">{#N/A,#N/A,FALSE,"Plan1";#N/A,#N/A,FALSE,"Plan2"}</definedName>
    <definedName name="L_" localSheetId="0">#REF!</definedName>
    <definedName name="L_">#REF!</definedName>
    <definedName name="LAEKWRK" localSheetId="0" hidden="1">{#N/A,#N/A,FALSE,"Plan1";#N/A,#N/A,FALSE,"Plan2"}</definedName>
    <definedName name="LAEKWRK" hidden="1">{#N/A,#N/A,FALSE,"Plan1";#N/A,#N/A,FALSE,"Plan2"}</definedName>
    <definedName name="laeqwep" localSheetId="0" hidden="1">#REF!</definedName>
    <definedName name="laeqwep" hidden="1">#REF!</definedName>
    <definedName name="LAKDEWRF" localSheetId="0" hidden="1">{#N/A,#N/A,FALSE,"Plan1";#N/A,#N/A,FALSE,"Plan2"}</definedName>
    <definedName name="LAKDEWRF" hidden="1">{#N/A,#N/A,FALSE,"Plan1";#N/A,#N/A,FALSE,"Plan2"}</definedName>
    <definedName name="Lancamentos" localSheetId="0">#REF!</definedName>
    <definedName name="Lancamentos">#REF!</definedName>
    <definedName name="LARGURA" localSheetId="0">#REF!</definedName>
    <definedName name="LARGURA">#REF!</definedName>
    <definedName name="LASÇDSRLF" localSheetId="0" hidden="1">{#N/A,#N/A,FALSE,"Plan1";#N/A,#N/A,FALSE,"Plan2"}</definedName>
    <definedName name="LASÇDSRLF" hidden="1">{#N/A,#N/A,FALSE,"Plan1";#N/A,#N/A,FALSE,"Plan2"}</definedName>
    <definedName name="LASDAKWE" hidden="1">25</definedName>
    <definedName name="lasrlswer" localSheetId="0" hidden="1">{#N/A,#N/A,FALSE,"Plan1";#N/A,#N/A,FALSE,"Plan2"}</definedName>
    <definedName name="lasrlswer" hidden="1">{#N/A,#N/A,FALSE,"Plan1";#N/A,#N/A,FALSE,"Plan2"}</definedName>
    <definedName name="LAZER" localSheetId="0">#REF!</definedName>
    <definedName name="LAZER">#REF!</definedName>
    <definedName name="lbla1" localSheetId="0" hidden="1">#REF!</definedName>
    <definedName name="lbla1" hidden="1">#REF!</definedName>
    <definedName name="lbla10" localSheetId="0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localSheetId="0" hidden="1">{#N/A,#N/A,FALSE,"Plan1";#N/A,#N/A,FALSE,"Plan2"}</definedName>
    <definedName name="lçadple4r" hidden="1">{#N/A,#N/A,FALSE,"Plan1";#N/A,#N/A,FALSE,"Plan2"}</definedName>
    <definedName name="lçasser" localSheetId="0" hidden="1">{#N/A,#N/A,FALSE,"Plan1";#N/A,#N/A,FALSE,"Plan2"}</definedName>
    <definedName name="lçasser" hidden="1">{#N/A,#N/A,FALSE,"Plan1";#N/A,#N/A,FALSE,"Plan2"}</definedName>
    <definedName name="lcdgjtklfrn" localSheetId="0" hidden="1">{#N/A,#N/A,FALSE,"Plan1";#N/A,#N/A,FALSE,"Plan2"}</definedName>
    <definedName name="lcdgjtklfrn" hidden="1">{#N/A,#N/A,FALSE,"Plan1";#N/A,#N/A,FALSE,"Plan2"}</definedName>
    <definedName name="lçfklsdkçaer" localSheetId="0" hidden="1">{#N/A,#N/A,FALSE,"Plan1";#N/A,#N/A,FALSE,"Plan2"}</definedName>
    <definedName name="lçfklsdkçaer" hidden="1">{#N/A,#N/A,FALSE,"Plan1";#N/A,#N/A,FALSE,"Plan2"}</definedName>
    <definedName name="lçjkgf" localSheetId="0" hidden="1">{#N/A,#N/A,FALSE,"Plan1";#N/A,#N/A,FALSE,"Plan2"}</definedName>
    <definedName name="lçjkgf" hidden="1">{#N/A,#N/A,FALSE,"Plan1";#N/A,#N/A,FALSE,"Plan2"}</definedName>
    <definedName name="LÇJSLDFJ" localSheetId="0" hidden="1">{#N/A,#N/A,FALSE,"Plan1";#N/A,#N/A,FALSE,"Plan2"}</definedName>
    <definedName name="LÇJSLDFJ" hidden="1">{#N/A,#N/A,FALSE,"Plan1";#N/A,#N/A,FALSE,"Plan2"}</definedName>
    <definedName name="LÇKÇSDRLK" localSheetId="0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0" hidden="1">{#N/A,#N/A,FALSE,"Plan1";#N/A,#N/A,FALSE,"Plan2"}</definedName>
    <definedName name="lçlfklçdglfdgt" hidden="1">{#N/A,#N/A,FALSE,"Plan1";#N/A,#N/A,FALSE,"Plan2"}</definedName>
    <definedName name="lçslrr4r" localSheetId="0" hidden="1">{#N/A,#N/A,FALSE,"Plan1";#N/A,#N/A,FALSE,"Plan2"}</definedName>
    <definedName name="lçslrr4r" hidden="1">{#N/A,#N/A,FALSE,"Plan1";#N/A,#N/A,FALSE,"Plan2"}</definedName>
    <definedName name="ldfjgry" localSheetId="0" hidden="1">{#N/A,#N/A,FALSE,"Plan1";#N/A,#N/A,FALSE,"Plan2"}</definedName>
    <definedName name="ldfjgry" hidden="1">{#N/A,#N/A,FALSE,"Plan1";#N/A,#N/A,FALSE,"Plan2"}</definedName>
    <definedName name="ldfjgtilrf" localSheetId="0" hidden="1">{#N/A,#N/A,FALSE,"Plan1";#N/A,#N/A,FALSE,"Plan2"}</definedName>
    <definedName name="ldfjgtilrf" hidden="1">{#N/A,#N/A,FALSE,"Plan1";#N/A,#N/A,FALSE,"Plan2"}</definedName>
    <definedName name="ldk" localSheetId="0" hidden="1">{#N/A,#N/A,FALSE,"Plan1";#N/A,#N/A,FALSE,"Plan2"}</definedName>
    <definedName name="ldk" hidden="1">{#N/A,#N/A,FALSE,"Plan1";#N/A,#N/A,FALSE,"Plan2"}</definedName>
    <definedName name="ldkgkdfjgkh" localSheetId="0" hidden="1">{#N/A,#N/A,FALSE,"Plan1";#N/A,#N/A,FALSE,"Plan2"}</definedName>
    <definedName name="ldkgkdfjgkh" hidden="1">{#N/A,#N/A,FALSE,"Plan1";#N/A,#N/A,FALSE,"Plan2"}</definedName>
    <definedName name="LDTJGR" localSheetId="0" hidden="1">{#N/A,#N/A,FALSE,"Plan1";#N/A,#N/A,FALSE,"Plan2"}</definedName>
    <definedName name="LDTJGR" hidden="1">{#N/A,#N/A,FALSE,"Plan1";#N/A,#N/A,FALSE,"Plan2"}</definedName>
    <definedName name="Leg" localSheetId="0" hidden="1">#REF!</definedName>
    <definedName name="Leg" hidden="1">#REF!</definedName>
    <definedName name="legr_cdi" localSheetId="0">#REF!</definedName>
    <definedName name="legr_cdi">#REF!</definedName>
    <definedName name="legr_hist" localSheetId="0">#REF!</definedName>
    <definedName name="legr_hist">#REF!</definedName>
    <definedName name="legr_uss">#REF!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0">#REF!</definedName>
    <definedName name="LEVANTAMENTO">#REF!</definedName>
    <definedName name="lfjdjrt" localSheetId="0" hidden="1">{#N/A,#N/A,FALSE,"Plan1";#N/A,#N/A,FALSE,"Plan2"}</definedName>
    <definedName name="lfjdjrt" hidden="1">{#N/A,#N/A,FALSE,"Plan1";#N/A,#N/A,FALSE,"Plan2"}</definedName>
    <definedName name="LI" localSheetId="0">#REF!</definedName>
    <definedName name="LI">#REF!</definedName>
    <definedName name="LIDER_OPER" localSheetId="0">#REF!</definedName>
    <definedName name="LIDER_OPER">#REF!</definedName>
    <definedName name="lidfjgklruf" localSheetId="0" hidden="1">{#N/A,#N/A,FALSE,"Plan1";#N/A,#N/A,FALSE,"Plan2"}</definedName>
    <definedName name="lidfjgklruf" hidden="1">{#N/A,#N/A,FALSE,"Plan1";#N/A,#N/A,FALSE,"Plan2"}</definedName>
    <definedName name="LII" localSheetId="0">#REF!</definedName>
    <definedName name="LII">#REF!</definedName>
    <definedName name="LIII" localSheetId="0">#REF!</definedName>
    <definedName name="LIII">#REF!</definedName>
    <definedName name="LIMBO" localSheetId="0">#REF!</definedName>
    <definedName name="LIMBO">#REF!</definedName>
    <definedName name="limcount" hidden="1">3</definedName>
    <definedName name="LIN" localSheetId="0">#REF!</definedName>
    <definedName name="LIN">#REF!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0">#REF!</definedName>
    <definedName name="LISTA">#REF!</definedName>
    <definedName name="LISTA_CONTAS" localSheetId="0">#REF!</definedName>
    <definedName name="LISTA_CONTAS">#REF!</definedName>
    <definedName name="lista_empresa" localSheetId="0">OFFSET(INDEX(#REF!,MATCH(#REF!,#REF!,0)),1,0,COUNTA(#REF!)-1)</definedName>
    <definedName name="lista_empresa">OFFSET(INDEX(#REF!,MATCH(#REF!,#REF!,0)),1,0,COUNTA(#REF!)-1)</definedName>
    <definedName name="LISTA_FORNECEDORES" localSheetId="0">#REF!</definedName>
    <definedName name="LISTA_FORNECEDORES">#REF!</definedName>
    <definedName name="LISTSEL" localSheetId="0">#REF!</definedName>
    <definedName name="LISTSEL">#REF!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0">#REF!</definedName>
    <definedName name="LIV">#REF!</definedName>
    <definedName name="LIX" localSheetId="0">#REF!</definedName>
    <definedName name="LIX">#REF!</definedName>
    <definedName name="ljdfkgyt" localSheetId="0" hidden="1">{#N/A,#N/A,FALSE,"Plan1";#N/A,#N/A,FALSE,"Plan2"}</definedName>
    <definedName name="ljdfkgyt" hidden="1">{#N/A,#N/A,FALSE,"Plan1";#N/A,#N/A,FALSE,"Plan2"}</definedName>
    <definedName name="LJDFLJRL" localSheetId="0" hidden="1">{#N/A,#N/A,FALSE,"Plan1";#N/A,#N/A,FALSE,"Plan2"}</definedName>
    <definedName name="LJDFLJRL" hidden="1">{#N/A,#N/A,FALSE,"Plan1";#N/A,#N/A,FALSE,"Plan2"}</definedName>
    <definedName name="ljsdfrd" localSheetId="0" hidden="1">{#N/A,#N/A,FALSE,"Plan1";#N/A,#N/A,FALSE,"Plan2"}</definedName>
    <definedName name="ljsdfrd" hidden="1">{#N/A,#N/A,FALSE,"Plan1";#N/A,#N/A,FALSE,"Plan2"}</definedName>
    <definedName name="LJSFLDJDLKFJG" localSheetId="0" hidden="1">#REF!</definedName>
    <definedName name="LJSFLDJDLKFJG" hidden="1">#REF!</definedName>
    <definedName name="LK" localSheetId="0" hidden="1">{#N/A,#N/A,TRUE,"Quinzena 01 à 15-04-98 "}</definedName>
    <definedName name="LK" hidden="1">{#N/A,#N/A,TRUE,"Quinzena 01 à 15-04-98 "}</definedName>
    <definedName name="lkasdkeo" localSheetId="0" hidden="1">{#N/A,#N/A,FALSE,"Plan1";#N/A,#N/A,FALSE,"Plan2"}</definedName>
    <definedName name="lkasdkeo" hidden="1">{#N/A,#N/A,FALSE,"Plan1";#N/A,#N/A,FALSE,"Plan2"}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0" hidden="1">{#N/A,#N/A,FALSE,"Plan1";#N/A,#N/A,FALSE,"Plan2"}</definedName>
    <definedName name="lkdzxfsdrf" hidden="1">{#N/A,#N/A,FALSE,"Plan1";#N/A,#N/A,FALSE,"Plan2"}</definedName>
    <definedName name="lkfdkçtktr" localSheetId="0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localSheetId="0" hidden="1">{#N/A,#N/A,FALSE,"Plan1";#N/A,#N/A,FALSE,"Plan2"}</definedName>
    <definedName name="LKSSDKÇ\E" hidden="1">{#N/A,#N/A,FALSE,"Plan1";#N/A,#N/A,FALSE,"Plan2"}</definedName>
    <definedName name="lkt" localSheetId="0" hidden="1">{#N/A,#N/A,FALSE,"Plan1";#N/A,#N/A,FALSE,"Plan2"}</definedName>
    <definedName name="lkt" hidden="1">{#N/A,#N/A,FALSE,"Plan1";#N/A,#N/A,FALSE,"Plan2"}</definedName>
    <definedName name="lktlyklt" localSheetId="0" hidden="1">{#N/A,#N/A,FALSE,"Plan1";#N/A,#N/A,FALSE,"Plan2"}</definedName>
    <definedName name="lktlyklt" hidden="1">{#N/A,#N/A,FALSE,"Plan1";#N/A,#N/A,FALSE,"Plan2"}</definedName>
    <definedName name="LKTTYT" localSheetId="0" hidden="1">{#N/A,#N/A,FALSE,"Plan1";#N/A,#N/A,FALSE,"Plan2"}</definedName>
    <definedName name="LKTTYT" hidden="1">{#N/A,#N/A,FALSE,"Plan1";#N/A,#N/A,FALSE,"Plan2"}</definedName>
    <definedName name="llgg" localSheetId="0" hidden="1">{#N/A,#N/A,FALSE,"Plan1";#N/A,#N/A,FALSE,"Plan2"}</definedName>
    <definedName name="llgg" hidden="1">{#N/A,#N/A,FALSE,"Plan1";#N/A,#N/A,FALSE,"Plan2"}</definedName>
    <definedName name="LLL" localSheetId="0" hidden="1">{#N/A,#N/A,FALSE,"Plan1";#N/A,#N/A,FALSE,"Plan2"}</definedName>
    <definedName name="LLL" hidden="1">{#N/A,#N/A,FALSE,"Plan1";#N/A,#N/A,FALSE,"Plan2"}</definedName>
    <definedName name="LM_AR" localSheetId="0" hidden="1">{#N/A,#N/A,FALSE,"F-01"}</definedName>
    <definedName name="LM_AR" hidden="1">{#N/A,#N/A,FALSE,"F-01"}</definedName>
    <definedName name="LM_AT" localSheetId="0" hidden="1">{#N/A,#N/A,FALSE,"F-01"}</definedName>
    <definedName name="LM_AT" hidden="1">{#N/A,#N/A,FALSE,"F-01"}</definedName>
    <definedName name="LM_INC" localSheetId="0" hidden="1">{#N/A,#N/A,FALSE,"F-01"}</definedName>
    <definedName name="LM_INC" hidden="1">{#N/A,#N/A,FALSE,"F-01"}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0">#REF!</definedName>
    <definedName name="LOCALMENU">#REF!</definedName>
    <definedName name="LOCALOBRA" localSheetId="0">#REF!</definedName>
    <definedName name="LOCALOBRA">#REF!</definedName>
    <definedName name="LS" localSheetId="16">'[1]M.O.'!#REF!</definedName>
    <definedName name="LS" localSheetId="18">'[1]M.O.'!#REF!</definedName>
    <definedName name="LS" localSheetId="1">'[1]M.O.'!#REF!</definedName>
    <definedName name="LS" localSheetId="8">'[1]M.O.'!#REF!</definedName>
    <definedName name="LS" localSheetId="2">'[1]M.O.'!#REF!</definedName>
    <definedName name="LS" localSheetId="0">'[1]M.O.'!#REF!</definedName>
    <definedName name="LS" localSheetId="9">'[1]M.O.'!#REF!</definedName>
    <definedName name="LS">'[1]M.O.'!#REF!</definedName>
    <definedName name="LSDFKLDKFTR" localSheetId="0" hidden="1">{#N/A,#N/A,FALSE,"Plan1";#N/A,#N/A,FALSE,"Plan2"}</definedName>
    <definedName name="LSDFKLDKFTR" hidden="1">{#N/A,#N/A,FALSE,"Plan1";#N/A,#N/A,FALSE,"Plan2"}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0" hidden="1">{#N/A,#N/A,FALSE,"Plan1";#N/A,#N/A,FALSE,"Plan2"}</definedName>
    <definedName name="lsdkljfkg" hidden="1">{#N/A,#N/A,FALSE,"Plan1";#N/A,#N/A,FALSE,"Plan2"}</definedName>
    <definedName name="lsdsder" localSheetId="0" hidden="1">{#N/A,#N/A,FALSE,"Plan1";#N/A,#N/A,FALSE,"Plan2"}</definedName>
    <definedName name="lsdsder" hidden="1">{#N/A,#N/A,FALSE,"Plan1";#N/A,#N/A,FALSE,"Plan2"}</definedName>
    <definedName name="ltj6ljyhdjhngças" localSheetId="0" hidden="1">{#N/A,#N/A,FALSE,"Plan1";#N/A,#N/A,FALSE,"Plan2"}</definedName>
    <definedName name="ltj6ljyhdjhngças" hidden="1">{#N/A,#N/A,FALSE,"Plan1";#N/A,#N/A,FALSE,"Plan2"}</definedName>
    <definedName name="LUCRO" localSheetId="0">#REF!</definedName>
    <definedName name="LUCRO">#REF!</definedName>
    <definedName name="luis_cdi" localSheetId="0">#REF!</definedName>
    <definedName name="luis_cdi">#REF!</definedName>
    <definedName name="luis_hist" localSheetId="0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localSheetId="0" hidden="1">#REF!</definedName>
    <definedName name="lwaeddew" hidden="1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0">#REF!</definedName>
    <definedName name="MADRI">#REF!</definedName>
    <definedName name="mai17RJ" localSheetId="0">#REF!</definedName>
    <definedName name="mai17RJ">#REF!</definedName>
    <definedName name="MAIO" localSheetId="0">#REF!</definedName>
    <definedName name="MAIO">#REF!</definedName>
    <definedName name="MAIO2001">#REF!</definedName>
    <definedName name="MAISAP" localSheetId="0" hidden="1">{#N/A,#N/A,FALSE,"Plan1";#N/A,#N/A,FALSE,"Plan2"}</definedName>
    <definedName name="MAISAP" hidden="1">{#N/A,#N/A,FALSE,"Plan1";#N/A,#N/A,FALSE,"Plan2"}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0">#REF!</definedName>
    <definedName name="MAO_DE_OBRA">#REF!</definedName>
    <definedName name="mar17RJ" localSheetId="0">#REF!</definedName>
    <definedName name="mar17RJ">#REF!</definedName>
    <definedName name="MARCAX" localSheetId="0">#REF!</definedName>
    <definedName name="MARCAX">#REF!</definedName>
    <definedName name="MARÇO">#REF!</definedName>
    <definedName name="MARÇO2001">#REF!</definedName>
    <definedName name="martha">#REF!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0">#REF!</definedName>
    <definedName name="MATERIAL">#REF!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0" hidden="1">{#N/A,#N/A,FALSE,"Plan1";#N/A,#N/A,FALSE,"Plan2"}</definedName>
    <definedName name="MAURILIO" hidden="1">{#N/A,#N/A,FALSE,"Plan1";#N/A,#N/A,FALSE,"Plan2"}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0">#REF!</definedName>
    <definedName name="MCMV">#REF!</definedName>
    <definedName name="mdfgtr" localSheetId="0" hidden="1">{#N/A,#N/A,FALSE,"Plan1";#N/A,#N/A,FALSE,"Plan2"}</definedName>
    <definedName name="mdfgtr" hidden="1">{#N/A,#N/A,FALSE,"Plan1";#N/A,#N/A,FALSE,"Plan2"}</definedName>
    <definedName name="MDSÇLFJKJSD" localSheetId="0" hidden="1">{#N/A,#N/A,FALSE,"Plan1";#N/A,#N/A,FALSE,"Plan2"}</definedName>
    <definedName name="MDSÇLFJKJSD" hidden="1">{#N/A,#N/A,FALSE,"Plan1";#N/A,#N/A,FALSE,"Plan2"}</definedName>
    <definedName name="ME" localSheetId="0" hidden="1">{"HW",#N/A,FALSE,"1998"}</definedName>
    <definedName name="ME" hidden="1">{"HW",#N/A,FALSE,"1998"}</definedName>
    <definedName name="Medido_Fin_Medições" localSheetId="0">#REF!</definedName>
    <definedName name="Medido_Fin_Medições">#REF!</definedName>
    <definedName name="melo_cdi" localSheetId="0">#REF!</definedName>
    <definedName name="melo_cdi">#REF!</definedName>
    <definedName name="melo_hist" localSheetId="0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 localSheetId="16">#REF!</definedName>
    <definedName name="MENU" localSheetId="18">#REF!</definedName>
    <definedName name="MENU" localSheetId="1">#REF!</definedName>
    <definedName name="MENU" localSheetId="8">#REF!</definedName>
    <definedName name="MENU" localSheetId="2">#REF!</definedName>
    <definedName name="MENU" localSheetId="0">#REF!</definedName>
    <definedName name="MENU" localSheetId="9">#REF!</definedName>
    <definedName name="MENU">#REF!</definedName>
    <definedName name="MENU1" localSheetId="1">#REF!</definedName>
    <definedName name="MENU1" localSheetId="0">#REF!</definedName>
    <definedName name="MENU1">#REF!</definedName>
    <definedName name="MENU2" localSheetId="1">#REF!</definedName>
    <definedName name="MENU2" localSheetId="0">#REF!</definedName>
    <definedName name="MENU2">#REF!</definedName>
    <definedName name="MENU3" localSheetId="0">#REF!</definedName>
    <definedName name="MENU3">#REF!</definedName>
    <definedName name="MENU4" localSheetId="0">#REF!</definedName>
    <definedName name="MENU4">#REF!</definedName>
    <definedName name="MENU5" localSheetId="0">#REF!</definedName>
    <definedName name="MENU5">#REF!</definedName>
    <definedName name="MENU6" localSheetId="0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0">#REF!</definedName>
    <definedName name="meta_venda">#REF!</definedName>
    <definedName name="MetaBP" localSheetId="0">#REF!</definedName>
    <definedName name="MetaBP">#REF!</definedName>
    <definedName name="MILENA" localSheetId="0" hidden="1">#REF!</definedName>
    <definedName name="MILENA" hidden="1">#REF!</definedName>
    <definedName name="Minha_Casa_Minha_Vida">#REF!</definedName>
    <definedName name="MLMÇLKJKI" localSheetId="0" hidden="1">{#N/A,#N/A,FALSE,"Plan1";#N/A,#N/A,FALSE,"Plan2"}</definedName>
    <definedName name="MLMÇLKJKI" hidden="1">{#N/A,#N/A,FALSE,"Plan1";#N/A,#N/A,FALSE,"Plan2"}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0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0" hidden="1">{#N/A,#N/A,FALSE,"Plan1";#N/A,#N/A,FALSE,"Plan2"}</definedName>
    <definedName name="MNBXFKGS" hidden="1">{#N/A,#N/A,FALSE,"Plan1";#N/A,#N/A,FALSE,"Plan2"}</definedName>
    <definedName name="mncvbgcvmc" localSheetId="0" hidden="1">{#N/A,#N/A,FALSE,"Plan1";#N/A,#N/A,FALSE,"Plan2"}</definedName>
    <definedName name="mncvbgcvmc" hidden="1">{#N/A,#N/A,FALSE,"Plan1";#N/A,#N/A,FALSE,"Plan2"}</definedName>
    <definedName name="MNDKZSFNCEA" localSheetId="0" hidden="1">{#N/A,#N/A,FALSE,"Plan1";#N/A,#N/A,FALSE,"Plan2"}</definedName>
    <definedName name="MNDKZSFNCEA" hidden="1">{#N/A,#N/A,FALSE,"Plan1";#N/A,#N/A,FALSE,"Plan2"}</definedName>
    <definedName name="mnhdshfgfhd" localSheetId="0" hidden="1">{#N/A,#N/A,FALSE,"Plan1";#N/A,#N/A,FALSE,"Plan2"}</definedName>
    <definedName name="mnhdshfgfhd" hidden="1">{#N/A,#N/A,FALSE,"Plan1";#N/A,#N/A,FALSE,"Plan2"}</definedName>
    <definedName name="mo" localSheetId="0">#REF!</definedName>
    <definedName name="mo">#REF!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0" hidden="1">{#N/A,#N/A,FALSE,"cdi";#N/A,#N/A,FALSE,"debent";#N/A,#N/A,FALSE,"fdos";#N/A,#N/A,FALSE,"resumo"}</definedName>
    <definedName name="Modelo1" hidden="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0">#REF!</definedName>
    <definedName name="módulo">#REF!</definedName>
    <definedName name="mond_cdi" localSheetId="0">#REF!</definedName>
    <definedName name="mond_cdi">#REF!</definedName>
    <definedName name="mond_hist" localSheetId="0">#REF!</definedName>
    <definedName name="mond_hist">#REF!</definedName>
    <definedName name="mond_uss">#REF!</definedName>
    <definedName name="MP" localSheetId="0" hidden="1">{#N/A,#N/A,FALSE,"CCTV"}</definedName>
    <definedName name="MP" hidden="1">{#N/A,#N/A,FALSE,"CCTV"}</definedName>
    <definedName name="MSDFJKDT" hidden="1">25</definedName>
    <definedName name="MSDRFSWER" localSheetId="0" hidden="1">{"Econ Consolidado",#N/A,FALSE,"Econ Consol";"Fluxo de Caixa",#N/A,FALSE,"Fluxo Caixa";"Investimentos",#N/A,FALSE,"Investimentos"}</definedName>
    <definedName name="MSDRFSWER" hidden="1">{"Econ Consolidado",#N/A,FALSE,"Econ Consol";"Fluxo de Caixa",#N/A,FALSE,"Fluxo Caixa";"Investimentos",#N/A,FALSE,"Investimentos"}</definedName>
    <definedName name="MURBOMB" localSheetId="0">#REF!</definedName>
    <definedName name="MURBOMB">#REF!</definedName>
    <definedName name="mzshdjshjs" localSheetId="0" hidden="1">{#N/A,#N/A,FALSE,"Plan1";#N/A,#N/A,FALSE,"Plan2"}</definedName>
    <definedName name="mzshdjshjs" hidden="1">{#N/A,#N/A,FALSE,"Plan1";#N/A,#N/A,FALSE,"Plan2"}</definedName>
    <definedName name="na" localSheetId="0" hidden="1">{#N/A,#N/A,FALSE,"$170M Cash";#N/A,#N/A,FALSE,"$250M Cash";#N/A,#N/A,FALSE,"$325M Cash"}</definedName>
    <definedName name="na" hidden="1">{#N/A,#N/A,FALSE,"$170M Cash";#N/A,#N/A,FALSE,"$250M Cash";#N/A,#N/A,FALSE,"$325M Cash"}</definedName>
    <definedName name="ncdgrdhrtg" localSheetId="0" hidden="1">{#N/A,#N/A,FALSE,"Plan1";#N/A,#N/A,FALSE,"Plan2"}</definedName>
    <definedName name="ncdgrdhrtg" hidden="1">{#N/A,#N/A,FALSE,"Plan1";#N/A,#N/A,FALSE,"Plan2"}</definedName>
    <definedName name="nchngdfhgdh" localSheetId="0" hidden="1">{#N/A,#N/A,FALSE,"Plan1";#N/A,#N/A,FALSE,"Plan2"}</definedName>
    <definedName name="nchngdfhgdh" hidden="1">{#N/A,#N/A,FALSE,"Plan1";#N/A,#N/A,FALSE,"Plan2"}</definedName>
    <definedName name="NCJFKNGJHF" localSheetId="0" hidden="1">{#N/A,#N/A,FALSE,"Plan1";#N/A,#N/A,FALSE,"Plan2"}</definedName>
    <definedName name="NCJFKNGJHF" hidden="1">{#N/A,#N/A,FALSE,"Plan1";#N/A,#N/A,FALSE,"Plan2"}</definedName>
    <definedName name="NDATA" localSheetId="0">#REF!</definedName>
    <definedName name="NDATA">#REF!</definedName>
    <definedName name="ndcxhgdhf" localSheetId="0" hidden="1">{#N/A,#N/A,FALSE,"Plan1";#N/A,#N/A,FALSE,"Plan2"}</definedName>
    <definedName name="ndcxhgdhf" hidden="1">{#N/A,#N/A,FALSE,"Plan1";#N/A,#N/A,FALSE,"Plan2"}</definedName>
    <definedName name="ndfjnjkrhdgt" localSheetId="0" hidden="1">{#N/A,#N/A,FALSE,"Plan1";#N/A,#N/A,FALSE,"Plan2"}</definedName>
    <definedName name="ndfjnjkrhdgt" hidden="1">{#N/A,#N/A,FALSE,"Plan1";#N/A,#N/A,FALSE,"Plan2"}</definedName>
    <definedName name="ndfkghkjthfyst" localSheetId="0" hidden="1">{#N/A,#N/A,FALSE,"Plan1";#N/A,#N/A,FALSE,"Plan2"}</definedName>
    <definedName name="ndfkghkjthfyst" hidden="1">{#N/A,#N/A,FALSE,"Plan1";#N/A,#N/A,FALSE,"Plan2"}</definedName>
    <definedName name="ndfldslvjnvberugberqubquierbv" localSheetId="0">#REF!</definedName>
    <definedName name="ndfldslvjnvberugberqubquierbv">#REF!</definedName>
    <definedName name="NDJGKFKGHUFG" localSheetId="0" hidden="1">{#N/A,#N/A,FALSE,"Plan1";#N/A,#N/A,FALSE,"Plan2"}</definedName>
    <definedName name="NDJGKFKGHUFG" hidden="1">{#N/A,#N/A,FALSE,"Plan1";#N/A,#N/A,FALSE,"Plan2"}</definedName>
    <definedName name="ndrjkt" localSheetId="0" hidden="1">{#N/A,#N/A,FALSE,"Plan1";#N/A,#N/A,FALSE,"Plan2"}</definedName>
    <definedName name="ndrjkt" hidden="1">{#N/A,#N/A,FALSE,"Plan1";#N/A,#N/A,FALSE,"Plan2"}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localSheetId="0" hidden="1">{#N/A,#N/A,FALSE,"CCTV"}</definedName>
    <definedName name="NEWNAME" hidden="1">{#N/A,#N/A,FALSE,"CCTV"}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0" hidden="1">{#N/A,#N/A,FALSE,"Plan1";#N/A,#N/A,FALSE,"Plan2"}</definedName>
    <definedName name="nfkhdjkthde" hidden="1">{#N/A,#N/A,FALSE,"Plan1";#N/A,#N/A,FALSE,"Plan2"}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0" hidden="1">{#N/A,#N/A,FALSE,"Plan1";#N/A,#N/A,FALSE,"Plan2"}</definedName>
    <definedName name="NHJHFDSHF" hidden="1">{#N/A,#N/A,FALSE,"Plan1";#N/A,#N/A,FALSE,"Plan2"}</definedName>
    <definedName name="NJSDFHERTG" localSheetId="0" hidden="1">{#N/A,#N/A,FALSE,"Plan1";#N/A,#N/A,FALSE,"Plan2"}</definedName>
    <definedName name="NJSDFHERTG" hidden="1">{#N/A,#N/A,FALSE,"Plan1";#N/A,#N/A,FALSE,"Plan2"}</definedName>
    <definedName name="nkfnsskdn" localSheetId="0" hidden="1">{#N/A,#N/A,FALSE,"Plan1";#N/A,#N/A,FALSE,"Plan2"}</definedName>
    <definedName name="nkfnsskdn" hidden="1">{#N/A,#N/A,FALSE,"Plan1";#N/A,#N/A,FALSE,"Plan2"}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0">#REF!</definedName>
    <definedName name="nl">#REF!</definedName>
    <definedName name="nlaksjdwe" localSheetId="0" hidden="1">{#N/A,#N/A,FALSE,"Plan1";#N/A,#N/A,FALSE,"Plan2"}</definedName>
    <definedName name="nlaksjdwe" hidden="1">{#N/A,#N/A,FALSE,"Plan1";#N/A,#N/A,FALSE,"Plan2"}</definedName>
    <definedName name="nljsdfljfdsfr" localSheetId="0" hidden="1">{#N/A,#N/A,FALSE,"Plan1";#N/A,#N/A,FALSE,"Plan2"}</definedName>
    <definedName name="nljsdfljfdsfr" hidden="1">{#N/A,#N/A,FALSE,"Plan1";#N/A,#N/A,FALSE,"Plan2"}</definedName>
    <definedName name="nm_k1" localSheetId="0">#REF!</definedName>
    <definedName name="nm_k1">#REF!</definedName>
    <definedName name="nm_k2" localSheetId="0">#REF!</definedName>
    <definedName name="nm_k2">#REF!</definedName>
    <definedName name="nm_k3" localSheetId="0">#REF!</definedName>
    <definedName name="nm_k3">#REF!</definedName>
    <definedName name="nmjdfhxj" localSheetId="0" hidden="1">{#N/A,#N/A,FALSE,"Plan1";#N/A,#N/A,FALSE,"Plan2"}</definedName>
    <definedName name="nmjdfhxj" hidden="1">{#N/A,#N/A,FALSE,"Plan1";#N/A,#N/A,FALSE,"Plan2"}</definedName>
    <definedName name="nnmn" localSheetId="0" hidden="1">{#N/A,#N/A,FALSE,"Plan1";#N/A,#N/A,FALSE,"Plan2"}</definedName>
    <definedName name="nnmn" hidden="1">{#N/A,#N/A,FALSE,"Plan1";#N/A,#N/A,FALSE,"Plan2"}</definedName>
    <definedName name="nnn" localSheetId="0" hidden="1">{#N/A,#N/A,FALSE,"Plan1";#N/A,#N/A,FALSE,"Plan2"}</definedName>
    <definedName name="nnn" hidden="1">{#N/A,#N/A,FALSE,"Plan1";#N/A,#N/A,FALSE,"Plan2"}</definedName>
    <definedName name="nnnnnnnnnnn" localSheetId="0" hidden="1">{"HW",#N/A,FALSE,"1998"}</definedName>
    <definedName name="nnnnnnnnnnn" hidden="1">{"HW",#N/A,FALSE,"1998"}</definedName>
    <definedName name="NNNNNNNNNNNNNNN" localSheetId="0" hidden="1">{#N/A,#N/A,FALSE,"Plan1";#N/A,#N/A,FALSE,"Plan2"}</definedName>
    <definedName name="NNNNNNNNNNNNNNN" hidden="1">{#N/A,#N/A,FALSE,"Plan1";#N/A,#N/A,FALSE,"Plan2"}</definedName>
    <definedName name="nnnnnnnnnnnnnnnnnnnn" localSheetId="0" hidden="1">{#N/A,#N/A,FALSE,"Plan1";#N/A,#N/A,FALSE,"Plan2"}</definedName>
    <definedName name="nnnnnnnnnnnnnnnnnnnn" hidden="1">{#N/A,#N/A,FALSE,"Plan1";#N/A,#N/A,FALSE,"Plan2"}</definedName>
    <definedName name="NNXFT" localSheetId="0" hidden="1">{#N/A,#N/A,FALSE,"Plan1";#N/A,#N/A,FALSE,"Plan2"}</definedName>
    <definedName name="NNXFT" hidden="1">{#N/A,#N/A,FALSE,"Plan1";#N/A,#N/A,FALSE,"Plan2"}</definedName>
    <definedName name="no" localSheetId="0">#REF!</definedName>
    <definedName name="no">#REF!</definedName>
    <definedName name="NOME" localSheetId="0">#REF!</definedName>
    <definedName name="NOME">#REF!</definedName>
    <definedName name="nome2" localSheetId="0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localSheetId="0" hidden="1">{#N/A,#N/A,FALSE,"Plan1";#N/A,#N/A,FALSE,"Plan2"}</definedName>
    <definedName name="nsdkfndgfdnatf" hidden="1">{#N/A,#N/A,FALSE,"Plan1";#N/A,#N/A,FALSE,"Plan2"}</definedName>
    <definedName name="nsfljdiljrf" localSheetId="0" hidden="1">{#N/A,#N/A,FALSE,"Plan1";#N/A,#N/A,FALSE,"Plan2"}</definedName>
    <definedName name="nsfljdiljrf" hidden="1">{#N/A,#N/A,FALSE,"Plan1";#N/A,#N/A,FALSE,"Plan2"}</definedName>
    <definedName name="NUCOPIAS" localSheetId="0">#REF!</definedName>
    <definedName name="NUCOPIAS">#REF!</definedName>
    <definedName name="NUMOBRA" localSheetId="0">#REF!</definedName>
    <definedName name="NUMOBRA">#REF!</definedName>
    <definedName name="NutN" localSheetId="0">#REF!</definedName>
    <definedName name="NutN">#REF!</definedName>
    <definedName name="nzxcnnjkd" localSheetId="0" hidden="1">{#N/A,#N/A,FALSE,"Plan1";#N/A,#N/A,FALSE,"Plan2"}</definedName>
    <definedName name="nzxcnnjkd" hidden="1">{#N/A,#N/A,FALSE,"Plan1";#N/A,#N/A,FALSE,"Plan2"}</definedName>
    <definedName name="OAE" localSheetId="0">#REF!</definedName>
    <definedName name="OAE">#REF!</definedName>
    <definedName name="OBRA" localSheetId="0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 hidden="1">25</definedName>
    <definedName name="odfuudor" localSheetId="0" hidden="1">{#N/A,#N/A,FALSE,"Plan1";#N/A,#N/A,FALSE,"Plan2"}</definedName>
    <definedName name="odfuudor" hidden="1">{#N/A,#N/A,FALSE,"Plan1";#N/A,#N/A,FALSE,"Plan2"}</definedName>
    <definedName name="ODH" localSheetId="0" hidden="1">#REF!</definedName>
    <definedName name="ODH" hidden="1">#REF!</definedName>
    <definedName name="oficial_mes" localSheetId="0">#REF!</definedName>
    <definedName name="oficial_mes">#REF!</definedName>
    <definedName name="oficial2_mes" localSheetId="0">#REF!</definedName>
    <definedName name="oficial2_mes">#REF!</definedName>
    <definedName name="oiditrot" localSheetId="0" hidden="1">{#N/A,#N/A,FALSE,"Plan1";#N/A,#N/A,FALSE,"Plan2"}</definedName>
    <definedName name="oiditrot" hidden="1">{#N/A,#N/A,FALSE,"Plan1";#N/A,#N/A,FALSE,"Plan2"}</definedName>
    <definedName name="oio" localSheetId="0" hidden="1">{#N/A,#N/A,FALSE,"Plan1";#N/A,#N/A,FALSE,"Plan2"}</definedName>
    <definedName name="oio" hidden="1">{#N/A,#N/A,FALSE,"Plan1";#N/A,#N/A,FALSE,"Plan2"}</definedName>
    <definedName name="OITO" localSheetId="0">#REF!</definedName>
    <definedName name="OITO">#REF!</definedName>
    <definedName name="oiufioorif" localSheetId="0" hidden="1">#REF!</definedName>
    <definedName name="oiufioorif" hidden="1">#REF!</definedName>
    <definedName name="OJÇLJ" localSheetId="0" hidden="1">{#N/A,#N/A,FALSE,"Plan1";#N/A,#N/A,FALSE,"Plan2"}</definedName>
    <definedName name="OJÇLJ" hidden="1">{#N/A,#N/A,FALSE,"Plan1";#N/A,#N/A,FALSE,"Plan2"}</definedName>
    <definedName name="ojkdfit" localSheetId="0" hidden="1">{#N/A,#N/A,FALSE,"Plan1";#N/A,#N/A,FALSE,"Plan2"}</definedName>
    <definedName name="ojkdfit" hidden="1">{#N/A,#N/A,FALSE,"Plan1";#N/A,#N/A,FALSE,"Plan2"}</definedName>
    <definedName name="oMISSOS" localSheetId="0" hidden="1">#REF!</definedName>
    <definedName name="oMISSOS" hidden="1">#REF!</definedName>
    <definedName name="ONZE" localSheetId="0">#REF!</definedName>
    <definedName name="ONZE">#REF!</definedName>
    <definedName name="ooo" localSheetId="0" hidden="1">{#N/A,#N/A,FALSE,"Plan1";#N/A,#N/A,FALSE,"Plan2"}</definedName>
    <definedName name="ooo" hidden="1">{#N/A,#N/A,FALSE,"Plan1";#N/A,#N/A,FALSE,"Plan2"}</definedName>
    <definedName name="OPASEDWED" localSheetId="0" hidden="1">{"Econ Consolidado",#N/A,FALSE,"Econ Consol";"Fluxo de Caixa",#N/A,FALSE,"Fluxo Caixa";"Investimentos",#N/A,FALSE,"Investimentos"}</definedName>
    <definedName name="OPASEDWED" hidden="1">{"Econ Consolidado",#N/A,FALSE,"Econ Consol";"Fluxo de Caixa",#N/A,FALSE,"Fluxo Caixa";"Investimentos",#N/A,FALSE,"Investimentos"}</definedName>
    <definedName name="opcao_taxa_desconto" localSheetId="0">#REF!</definedName>
    <definedName name="opcao_taxa_desconto">#REF!</definedName>
    <definedName name="opções" localSheetId="0">#REF!</definedName>
    <definedName name="opções">#REF!</definedName>
    <definedName name="opiwre" localSheetId="0" hidden="1">{#N/A,#N/A,FALSE,"Plan1";#N/A,#N/A,FALSE,"Plan2"}</definedName>
    <definedName name="opiwre" hidden="1">{#N/A,#N/A,FALSE,"Plan1";#N/A,#N/A,FALSE,"Plan2"}</definedName>
    <definedName name="ORCAMEN" localSheetId="0">#REF!</definedName>
    <definedName name="ORCAMEN">#REF!</definedName>
    <definedName name="Orcamentistas" localSheetId="0">#REF!</definedName>
    <definedName name="Orcamentistas">#REF!</definedName>
    <definedName name="origem_recebiveis" localSheetId="0">#REF!</definedName>
    <definedName name="origem_recebiveis">#REF!</definedName>
    <definedName name="origem_unidades">#REF!</definedName>
    <definedName name="Origem2_Recebimento_Fin_Medições">#REF!</definedName>
    <definedName name="os" localSheetId="0" hidden="1">{#N/A,#N/A,FALSE,"TABLE"}</definedName>
    <definedName name="os" hidden="1">{#N/A,#N/A,FALSE,"TABLE"}</definedName>
    <definedName name="osca_cdi" localSheetId="0">#REF!</definedName>
    <definedName name="osca_cdi">#REF!</definedName>
    <definedName name="osca_hist" localSheetId="0">#REF!</definedName>
    <definedName name="osca_hist">#REF!</definedName>
    <definedName name="osca_uss" localSheetId="0">#REF!</definedName>
    <definedName name="osca_uss">#REF!</definedName>
    <definedName name="otodgkrjglsrd" localSheetId="0" hidden="1">{#N/A,#N/A,FALSE,"Plan1";#N/A,#N/A,FALSE,"Plan2"}</definedName>
    <definedName name="otodgkrjglsrd" hidden="1">{#N/A,#N/A,FALSE,"Plan1";#N/A,#N/A,FALSE,"Plan2"}</definedName>
    <definedName name="OUERWRSR" localSheetId="0" hidden="1">{#N/A,#N/A,FALSE,"Plan1";#N/A,#N/A,FALSE,"Plan2"}</definedName>
    <definedName name="OUERWRSR" hidden="1">{#N/A,#N/A,FALSE,"Plan1";#N/A,#N/A,FALSE,"Plan2"}</definedName>
    <definedName name="out17RJ" localSheetId="0">#REF!</definedName>
    <definedName name="out17RJ">#REF!</definedName>
    <definedName name="outro" localSheetId="0" hidden="1">#REF!</definedName>
    <definedName name="outro" hidden="1">#REF!</definedName>
    <definedName name="OUTROS" localSheetId="0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0">#REF!</definedName>
    <definedName name="oxfo_cdi">#REF!</definedName>
    <definedName name="oxfo_hist" localSheetId="0">#REF!</definedName>
    <definedName name="oxfo_hist">#REF!</definedName>
    <definedName name="oxfo_uss" localSheetId="0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 localSheetId="0">ROW()-Linha_Cabeçalho</definedName>
    <definedName name="Pagamento_Num">ROW()-Linha_Cabeçalho</definedName>
    <definedName name="Pago_Até_2015_Controladoria" localSheetId="0">#REF!</definedName>
    <definedName name="Pago_Até_2015_Controladoria">#REF!</definedName>
    <definedName name="Pal_Workbook_GUID" hidden="1">"3HURD34M2XKWJ5V6M4BWCR5Q"</definedName>
    <definedName name="PAP" localSheetId="0">#REF!</definedName>
    <definedName name="PAP">#REF!</definedName>
    <definedName name="PARAM_FIS_1" localSheetId="0">#REF!</definedName>
    <definedName name="PARAM_FIS_1">#REF!</definedName>
    <definedName name="PARAM_FIS_2" localSheetId="0">#REF!</definedName>
    <definedName name="PARAM_FIS_2">#REF!</definedName>
    <definedName name="ParamValues1" localSheetId="0">[3]ParamValues!$A$1:$A$39</definedName>
    <definedName name="ParamValues1">[3]ParamValues!$A$1:$A$39</definedName>
    <definedName name="ParamValues2">#REF!</definedName>
    <definedName name="Parao_E" localSheetId="0">#REF!</definedName>
    <definedName name="Parao_E">#REF!</definedName>
    <definedName name="Parede1" localSheetId="0">#REF!</definedName>
    <definedName name="Parede1">#REF!</definedName>
    <definedName name="Parede2" localSheetId="0">#REF!</definedName>
    <definedName name="Parede2">#REF!</definedName>
    <definedName name="PAREDES">#REF!</definedName>
    <definedName name="PAV" localSheetId="16">#REF!</definedName>
    <definedName name="PAV" localSheetId="18">#REF!</definedName>
    <definedName name="PAV" localSheetId="1">#REF!</definedName>
    <definedName name="PAV" localSheetId="8">#REF!</definedName>
    <definedName name="PAV" localSheetId="2">#REF!</definedName>
    <definedName name="PAV" localSheetId="0">#REF!</definedName>
    <definedName name="PAV" localSheetId="9">#REF!</definedName>
    <definedName name="PAV">#REF!</definedName>
    <definedName name="PAVILHAO">#REF!</definedName>
    <definedName name="PAVT">#REF!</definedName>
    <definedName name="pçgktr" hidden="1">#REF!</definedName>
    <definedName name="PDER">#REF!</definedName>
    <definedName name="PDIVERS">#REF!</definedName>
    <definedName name="PE">#REF!</definedName>
    <definedName name="PEMD">#REF!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0">#REF!</definedName>
    <definedName name="perfura">#REF!</definedName>
    <definedName name="Perímetro_lajão" localSheetId="0">#REF!</definedName>
    <definedName name="Perímetro_lajão">#REF!</definedName>
    <definedName name="Perímetro_Terreno" localSheetId="0">#REF!</definedName>
    <definedName name="Perímetro_Terreno">#REF!</definedName>
    <definedName name="Perímetro_torre" localSheetId="0">#REF!</definedName>
    <definedName name="Perímetro_torre">#REF!</definedName>
    <definedName name="pessoal" localSheetId="0">#REF!</definedName>
    <definedName name="pessoal">#REF!</definedName>
    <definedName name="petro2" localSheetId="0" hidden="1">#REF!</definedName>
    <definedName name="petro2" hidden="1">#REF!</definedName>
    <definedName name="PhyG">#REF!</definedName>
    <definedName name="PhyGS">#REF!</definedName>
    <definedName name="PI">#REF!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0">#REF!</definedName>
    <definedName name="PIEQUIP">#REF!</definedName>
    <definedName name="Pintura">'[1]M.O.'!#REF!</definedName>
    <definedName name="PIS_COFINS" localSheetId="0">#REF!</definedName>
    <definedName name="PIS_COFINS">#REF!</definedName>
    <definedName name="PisCofins" localSheetId="0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 localSheetId="0" hidden="1">{#N/A,#N/A,TRUE,"Quinzena 01 à 15-04-98 "}</definedName>
    <definedName name="PLACAS" hidden="1">{#N/A,#N/A,TRUE,"Quinzena 01 à 15-04-98 "}</definedName>
    <definedName name="Placas_Areas" localSheetId="0" hidden="1">{#N/A,#N/A,TRUE,"Quinzena 01 à 15-04-98 "}</definedName>
    <definedName name="Placas_Areas" hidden="1">{#N/A,#N/A,TRUE,"Quinzena 01 à 15-04-98 "}</definedName>
    <definedName name="plan" localSheetId="0" hidden="1">#REF!</definedName>
    <definedName name="PLAN">#REF!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0">#REF!</definedName>
    <definedName name="PLANILHA">#REF!</definedName>
    <definedName name="Planilha2" localSheetId="0">#REF!</definedName>
    <definedName name="Planilha2">#REF!</definedName>
    <definedName name="plasçdeaw" localSheetId="0" hidden="1">{#N/A,#N/A,FALSE,"Plan1";#N/A,#N/A,FALSE,"Plan2"}</definedName>
    <definedName name="plasçdeaw" hidden="1">{#N/A,#N/A,FALSE,"Plan1";#N/A,#N/A,FALSE,"Plan2"}</definedName>
    <definedName name="plaslrswe" localSheetId="0" hidden="1">{#N/A,#N/A,FALSE,"Plan1";#N/A,#N/A,FALSE,"Plan2"}</definedName>
    <definedName name="plaslrswe" hidden="1">{#N/A,#N/A,FALSE,"Plan1";#N/A,#N/A,FALSE,"Plan2"}</definedName>
    <definedName name="pls" localSheetId="0" hidden="1">#REF!</definedName>
    <definedName name="pls" hidden="1">#REF!</definedName>
    <definedName name="plsearpef" localSheetId="0" hidden="1">{#N/A,#N/A,FALSE,"Plan1";#N/A,#N/A,FALSE,"Plan2"}</definedName>
    <definedName name="plsearpef" hidden="1">{#N/A,#N/A,FALSE,"Plan1";#N/A,#N/A,FALSE,"Plan2"}</definedName>
    <definedName name="plss" localSheetId="0" hidden="1">{#N/A,#N/A,FALSE,"Plan1";#N/A,#N/A,FALSE,"Plan2"}</definedName>
    <definedName name="plss" hidden="1">{#N/A,#N/A,FALSE,"Plan1";#N/A,#N/A,FALSE,"Plan2"}</definedName>
    <definedName name="PMUR" localSheetId="0">#REF!</definedName>
    <definedName name="PMUR">#REF!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0">#REF!</definedName>
    <definedName name="Ponderações">#REF!</definedName>
    <definedName name="Pós_Chaves" localSheetId="0">#REF!</definedName>
    <definedName name="Pós_Chaves">#REF!</definedName>
    <definedName name="pr" localSheetId="0">#REF!</definedName>
    <definedName name="pr">#REF!</definedName>
    <definedName name="PRAZO">#REF!</definedName>
    <definedName name="Prazo_da_Estrutura" localSheetId="0">#REF!</definedName>
    <definedName name="Prazo_da_Estrutura">#REF!</definedName>
    <definedName name="PRAZO_EDITAL">#REF!</definedName>
    <definedName name="Prazo_Obra" localSheetId="0">#REF!</definedName>
    <definedName name="Prazo_Obra">#REF!</definedName>
    <definedName name="PRAZO_ORC">#REF!</definedName>
    <definedName name="prazo2">#REF!</definedName>
    <definedName name="PRE" localSheetId="0">#REF!</definedName>
    <definedName name="PRE">#REF!</definedName>
    <definedName name="PREÇ" localSheetId="0">OFFSET(#REF!,0,0,COUNTA(#REF!),1)</definedName>
    <definedName name="PREÇ">OFFSET(#REF!,0,0,COUNTA(#REF!),1)</definedName>
    <definedName name="Previsão_Inicial_abr_16" localSheetId="0">#REF!</definedName>
    <definedName name="Previsão_Inicial_abr_16">#REF!</definedName>
    <definedName name="Previsão_Inicial_ago_16" localSheetId="0">#REF!</definedName>
    <definedName name="Previsão_Inicial_ago_16">#REF!</definedName>
    <definedName name="Previsão_Inicial_dez_16" localSheetId="0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localSheetId="0" hidden="1">{#N/A,#N/A,FALSE,"$170M Cash";#N/A,#N/A,FALSE,"$250M Cash";#N/A,#N/A,FALSE,"$325M Cash"}</definedName>
    <definedName name="print" hidden="1">{#N/A,#N/A,FALSE,"$170M Cash";#N/A,#N/A,FALSE,"$250M Cash";#N/A,#N/A,FALSE,"$325M Cash"}</definedName>
    <definedName name="Print_Area">#REF!</definedName>
    <definedName name="Print_Area_MI" localSheetId="0">#REF!</definedName>
    <definedName name="Print_Area_MI">#REF!</definedName>
    <definedName name="Print_Titles">#REF!</definedName>
    <definedName name="PRINT_TITLES_MI" localSheetId="0">#REF!</definedName>
    <definedName name="PRINT_TITLES_MI">#REF!</definedName>
    <definedName name="programa">#REF!</definedName>
    <definedName name="Programaa">#REF!</definedName>
    <definedName name="Projeção_torre" localSheetId="0">#REF!</definedName>
    <definedName name="Projeção_torre">#REF!</definedName>
    <definedName name="projeto_nome_com" localSheetId="0">IF((COUNTA(#REF!)-2)&gt;1,"TERRENO "&amp;VLOOKUP(#REF!,#REF!,8,0),VLOOKUP(#REF!,#REF!,3,0))</definedName>
    <definedName name="projeto_nome_com">IF((COUNTA(#REF!)-2)&gt;1,"TERRENO "&amp;VLOOKUP(#REF!,#REF!,8,0),VLOOKUP(#REF!,#REF!,3,0))</definedName>
    <definedName name="PROPAGANDA" localSheetId="0">#REF!</definedName>
    <definedName name="PROPAGANDA">#REF!</definedName>
    <definedName name="ptirigyiotut" localSheetId="0" hidden="1">{#N/A,#N/A,FALSE,"Plan1";#N/A,#N/A,FALSE,"Plan2"}</definedName>
    <definedName name="ptirigyiotut" hidden="1">{#N/A,#N/A,FALSE,"Plan1";#N/A,#N/A,FALSE,"Plan2"}</definedName>
    <definedName name="PWER3" localSheetId="0" hidden="1">{#N/A,#N/A,FALSE,"Plan1";#N/A,#N/A,FALSE,"Plan2"}</definedName>
    <definedName name="PWER3" hidden="1">{#N/A,#N/A,FALSE,"Plan1";#N/A,#N/A,FALSE,"Plan2"}</definedName>
    <definedName name="q" localSheetId="0" hidden="1">#REF!</definedName>
    <definedName name="q">#REF!</definedName>
    <definedName name="QCLIENTE_PCLIENTE" localSheetId="0">#REF!</definedName>
    <definedName name="QCLIENTE_PCLIENTE">#REF!</definedName>
    <definedName name="QCliente_PCliente1" localSheetId="0">#REF!</definedName>
    <definedName name="QCliente_PCliente1">#REF!</definedName>
    <definedName name="qe" localSheetId="0">#REF!</definedName>
    <definedName name="qe">#REF!</definedName>
    <definedName name="qee" localSheetId="0">#REF!</definedName>
    <definedName name="qee">#REF!</definedName>
    <definedName name="qkqh1" localSheetId="0" hidden="1">{#N/A,#N/A,FALSE,"명세표"}</definedName>
    <definedName name="qkqh1" hidden="1">{#N/A,#N/A,FALSE,"명세표"}</definedName>
    <definedName name="QOAS_POAS" localSheetId="0">#REF!</definedName>
    <definedName name="QOAS_POAS">#REF!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0">#REF!:#REF!</definedName>
    <definedName name="QQQ">#REF!:#REF!</definedName>
    <definedName name="QQQQQQQQ" localSheetId="0" hidden="1">#REF!</definedName>
    <definedName name="QQQQQQQQ" hidden="1">#REF!</definedName>
    <definedName name="QREAL_PCLIENTE" localSheetId="0">#REF!</definedName>
    <definedName name="QREAL_PCLIENTE">#REF!</definedName>
    <definedName name="QReal_PCliente1" localSheetId="0">#REF!</definedName>
    <definedName name="QReal_PCliente1">#REF!</definedName>
    <definedName name="QSQWSE" localSheetId="0" hidden="1">{#N/A,#N/A,FALSE,"Plan1";#N/A,#N/A,FALSE,"Plan2"}</definedName>
    <definedName name="QSQWSE" hidden="1">{#N/A,#N/A,FALSE,"Plan1";#N/A,#N/A,FALSE,"Plan2"}</definedName>
    <definedName name="qtd_mensal" localSheetId="0">#REF!</definedName>
    <definedName name="qtd_mensal">#REF!</definedName>
    <definedName name="qtd3esta" localSheetId="0">#REF!</definedName>
    <definedName name="qtd3esta">#REF!</definedName>
    <definedName name="qtdbase" localSheetId="0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 localSheetId="0">#REF!</definedName>
    <definedName name="Quant_Aptos">#REF!</definedName>
    <definedName name="Quant_Cremalheira" localSheetId="0">#REF!</definedName>
    <definedName name="Quant_Cremalheira">#REF!</definedName>
    <definedName name="Quant_grua" localSheetId="0">#REF!</definedName>
    <definedName name="Quant_grua">#REF!</definedName>
    <definedName name="Quant_pav_lajão" localSheetId="0">#REF!</definedName>
    <definedName name="Quant_pav_lajão">#REF!</definedName>
    <definedName name="Quant_tipo" localSheetId="0">#REF!</definedName>
    <definedName name="Quant_tipo">#REF!</definedName>
    <definedName name="Quant_torres" localSheetId="0">#REF!</definedName>
    <definedName name="Quant_torres">#REF!</definedName>
    <definedName name="Quantidade_Elevadores" localSheetId="0">#REF!</definedName>
    <definedName name="Quantidade_Elevadores">#REF!</definedName>
    <definedName name="QUANTP">#REF!</definedName>
    <definedName name="QUATRO">#REF!</definedName>
    <definedName name="QUINZE">#REF!</definedName>
    <definedName name="qwdqw" localSheetId="0" hidden="1">{#N/A,#N/A,FALSE,"Plan1";#N/A,#N/A,FALSE,"Plan2"}</definedName>
    <definedName name="qwdqw" hidden="1">{#N/A,#N/A,FALSE,"Plan1";#N/A,#N/A,FALSE,"Plan2"}</definedName>
    <definedName name="qweqwe" localSheetId="0" hidden="1">{#N/A,#N/A,FALSE,"Plan1";#N/A,#N/A,FALSE,"Plan2"}</definedName>
    <definedName name="qweqwe" hidden="1">{#N/A,#N/A,FALSE,"Plan1";#N/A,#N/A,FALSE,"Plan2"}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0" hidden="1">#REF!</definedName>
    <definedName name="qwewqe" hidden="1">#REF!</definedName>
    <definedName name="qwqw" localSheetId="0" hidden="1">#REF!</definedName>
    <definedName name="qwqw" hidden="1">#REF!</definedName>
    <definedName name="R.imobAtualiz" localSheetId="0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localSheetId="0" hidden="1">{"HW",#N/A,FALSE,"1998"}</definedName>
    <definedName name="RADIO" hidden="1">{"HW",#N/A,FALSE,"1998"}</definedName>
    <definedName name="RANGE" localSheetId="0">#REF!</definedName>
    <definedName name="RANGE">#REF!</definedName>
    <definedName name="RANGE1" localSheetId="0">#REF!</definedName>
    <definedName name="RANGE1">#REF!</definedName>
    <definedName name="RANGE2" localSheetId="0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0">#REF!</definedName>
    <definedName name="reforsu">#REF!</definedName>
    <definedName name="REL_RJ" localSheetId="0">#REF!</definedName>
    <definedName name="REL_RJ">#REF!</definedName>
    <definedName name="REL_SP">#REF!</definedName>
    <definedName name="relat3">#REF!</definedName>
    <definedName name="ren" localSheetId="0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0">#REF!</definedName>
    <definedName name="RESUMO">#REF!</definedName>
    <definedName name="RESUMO2" localSheetId="0" hidden="1">{#N/A,#N/A,TRUE,"Quinzena 01 à 15-04-98 "}</definedName>
    <definedName name="RESUMO2" hidden="1">{#N/A,#N/A,TRUE,"Quinzena 01 à 15-04-98 "}</definedName>
    <definedName name="REV" localSheetId="0">#REF!</definedName>
    <definedName name="REV">#REF!</definedName>
    <definedName name="RF" localSheetId="0" hidden="1">{#N/A,#N/A,FALSE,"CCTV"}</definedName>
    <definedName name="RF" hidden="1">{#N/A,#N/A,FALSE,"CCTV"}</definedName>
    <definedName name="rgedrfrgfdg" localSheetId="0" hidden="1">{#N/A,#N/A,FALSE,"Plan1";#N/A,#N/A,FALSE,"Plan2"}</definedName>
    <definedName name="rgedrfrgfdg" hidden="1">{#N/A,#N/A,FALSE,"Plan1";#N/A,#N/A,FALSE,"Plan2"}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0">#REF!</definedName>
    <definedName name="RI">#REF!</definedName>
    <definedName name="ridbeb" localSheetId="0">#REF!</definedName>
    <definedName name="ridbeb">#REF!</definedName>
    <definedName name="RIDCHAF" localSheetId="0">#REF!</definedName>
    <definedName name="RIDCHAF">#REF!</definedName>
    <definedName name="ridres05">#REF!</definedName>
    <definedName name="RIDRES10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 localSheetId="0">#REF!</definedName>
    <definedName name="RO">#REF!</definedName>
    <definedName name="Rodapé" localSheetId="0">#REF!</definedName>
    <definedName name="Rodapé">#REF!</definedName>
    <definedName name="RODAPÉS" localSheetId="0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localSheetId="0" hidden="1">#REF!</definedName>
    <definedName name="RRR" hidden="1">#REF!</definedName>
    <definedName name="rrrrr" localSheetId="0" hidden="1">{"'장비'!$A$3:$M$12"}</definedName>
    <definedName name="rrrrr" hidden="1">{"'장비'!$A$3:$M$12"}</definedName>
    <definedName name="rrrrrrrr" localSheetId="0" hidden="1">{"'장비'!$A$3:$M$12"}</definedName>
    <definedName name="rrrrrrrr" hidden="1">{"'장비'!$A$3:$M$12"}</definedName>
    <definedName name="rrrrrrrrrrr" localSheetId="0" hidden="1">{#N/A,#N/A,TRUE,"Quinzena 01 à 15-04-98 "}</definedName>
    <definedName name="rrrrrrrrrrr" hidden="1">{#N/A,#N/A,TRUE,"Quinzena 01 à 15-04-98 "}</definedName>
    <definedName name="RSEQ" localSheetId="0">#REF!</definedName>
    <definedName name="RSEQ">#REF!</definedName>
    <definedName name="RSUBTOT" localSheetId="0">#REF!</definedName>
    <definedName name="RSUBTOT">#REF!</definedName>
    <definedName name="rtitbeb" localSheetId="0">#REF!</definedName>
    <definedName name="rtitbeb">#REF!</definedName>
    <definedName name="RTITCHAF">#REF!</definedName>
    <definedName name="rtubos">#REF!</definedName>
    <definedName name="RTYE" localSheetId="0" hidden="1">{"'장비'!$A$3:$M$12"}</definedName>
    <definedName name="RTYE" hidden="1">{"'장비'!$A$3:$M$12"}</definedName>
    <definedName name="s">#REF!</definedName>
    <definedName name="s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>#REF!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0" hidden="1">{#N/A,#N/A,FALSE,"Plan1";#N/A,#N/A,FALSE,"Plan2"}</definedName>
    <definedName name="sadasd" hidden="1">{#N/A,#N/A,FALSE,"Plan1";#N/A,#N/A,FALSE,"Plan2"}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0" hidden="1">{#N/A,#N/A,FALSE,"Plan1";#N/A,#N/A,FALSE,"Plan2"}</definedName>
    <definedName name="sadkrjkedft" hidden="1">{#N/A,#N/A,FALSE,"Plan1";#N/A,#N/A,FALSE,"Plan2"}</definedName>
    <definedName name="SADSRTR" localSheetId="0" hidden="1">{#N/A,#N/A,FALSE,"Plan1";#N/A,#N/A,FALSE,"Plan2"}</definedName>
    <definedName name="SADSRTR" hidden="1">{#N/A,#N/A,FALSE,"Plan1";#N/A,#N/A,FALSE,"Plan2"}</definedName>
    <definedName name="sadwde" localSheetId="0" hidden="1">{#N/A,#N/A,FALSE,"Plan1";#N/A,#N/A,FALSE,"Plan2"}</definedName>
    <definedName name="sadwde" hidden="1">{#N/A,#N/A,FALSE,"Plan1";#N/A,#N/A,FALSE,"Plan2"}</definedName>
    <definedName name="Salas" localSheetId="0">#REF!</definedName>
    <definedName name="Salas">#REF!</definedName>
    <definedName name="sanjay" localSheetId="0" hidden="1">{#N/A,#N/A,FALSE,"TABLE"}</definedName>
    <definedName name="sanjay" hidden="1">{#N/A,#N/A,FALSE,"TABLE"}</definedName>
    <definedName name="sapata" localSheetId="0">#REF!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localSheetId="0" hidden="1">{#N/A,#N/A,FALSE,"Plan1";#N/A,#N/A,FALSE,"Plan2"}</definedName>
    <definedName name="SAS" hidden="1">{#N/A,#N/A,FALSE,"Plan1";#N/A,#N/A,FALSE,"Plan2"}</definedName>
    <definedName name="sasads" localSheetId="0" hidden="1">{#N/A,#N/A,FALSE,"Plan1";#N/A,#N/A,FALSE,"Plan2"}</definedName>
    <definedName name="sasads" hidden="1">{#N/A,#N/A,FALSE,"Plan1";#N/A,#N/A,FALSE,"Plan2"}</definedName>
    <definedName name="SC" localSheetId="0" hidden="1">#REF!</definedName>
    <definedName name="SC" hidden="1">#REF!</definedName>
    <definedName name="sçadldfsfd" hidden="1">25</definedName>
    <definedName name="sda" localSheetId="0">#REF!</definedName>
    <definedName name="sda">#REF!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0" hidden="1">{#N/A,#N/A,FALSE,"Plan1";#N/A,#N/A,FALSE,"Plan2"}</definedName>
    <definedName name="SDAOTGFR" hidden="1">{#N/A,#N/A,FALSE,"Plan1";#N/A,#N/A,FALSE,"Plan2"}</definedName>
    <definedName name="sdckd" localSheetId="0" hidden="1">{#N/A,#N/A,FALSE,"Plan1";#N/A,#N/A,FALSE,"Plan2"}</definedName>
    <definedName name="sdckd" hidden="1">{#N/A,#N/A,FALSE,"Plan1";#N/A,#N/A,FALSE,"Plan2"}</definedName>
    <definedName name="SDDFKSEDE" localSheetId="0" hidden="1">{#N/A,#N/A,FALSE,"Plan1";#N/A,#N/A,FALSE,"Plan2"}</definedName>
    <definedName name="SDDFKSEDE" hidden="1">{#N/A,#N/A,FALSE,"Plan1";#N/A,#N/A,FALSE,"Plan2"}</definedName>
    <definedName name="sddkslker" localSheetId="0" hidden="1">{#N/A,#N/A,FALSE,"Plan1";#N/A,#N/A,FALSE,"Plan2"}</definedName>
    <definedName name="sddkslker" hidden="1">{#N/A,#N/A,FALSE,"Plan1";#N/A,#N/A,FALSE,"Plan2"}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0" hidden="1">#REF!</definedName>
    <definedName name="sdert" hidden="1">#REF!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0" hidden="1">{#N/A,#N/A,FALSE,"Plan1";#N/A,#N/A,FALSE,"Plan2"}</definedName>
    <definedName name="sdfdds" hidden="1">{#N/A,#N/A,FALSE,"Plan1";#N/A,#N/A,FALSE,"Plan2"}</definedName>
    <definedName name="sdfdfc" localSheetId="0" hidden="1">{#N/A,#N/A,FALSE,"Plan1";#N/A,#N/A,FALSE,"Plan2"}</definedName>
    <definedName name="sdfdfc" hidden="1">{#N/A,#N/A,FALSE,"Plan1";#N/A,#N/A,FALSE,"Plan2"}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0" hidden="1">{#N/A,#N/A,FALSE,"Plan1";#N/A,#N/A,FALSE,"Plan2"}</definedName>
    <definedName name="sdfdgft" hidden="1">{#N/A,#N/A,FALSE,"Plan1";#N/A,#N/A,FALSE,"Plan2"}</definedName>
    <definedName name="sdfdsf" localSheetId="0" hidden="1">{#N/A,#N/A,FALSE,"Plan1";#N/A,#N/A,FALSE,"Plan2"}</definedName>
    <definedName name="sdfdsf" hidden="1">{#N/A,#N/A,FALSE,"Plan1";#N/A,#N/A,FALSE,"Plan2"}</definedName>
    <definedName name="sdfdsf\da" localSheetId="0" hidden="1">{#N/A,#N/A,FALSE,"Plan1";#N/A,#N/A,FALSE,"Plan2"}</definedName>
    <definedName name="sdfdsf\da" hidden="1">{#N/A,#N/A,FALSE,"Plan1";#N/A,#N/A,FALSE,"Plan2"}</definedName>
    <definedName name="SDFEDRT" localSheetId="0" hidden="1">{#N/A,#N/A,FALSE,"Plan1";#N/A,#N/A,FALSE,"Plan2"}</definedName>
    <definedName name="SDFEDRT" hidden="1">{#N/A,#N/A,FALSE,"Plan1";#N/A,#N/A,FALSE,"Plan2"}</definedName>
    <definedName name="sdfer" localSheetId="0" hidden="1">{#N/A,#N/A,FALSE,"Plan1";#N/A,#N/A,FALSE,"Plan2"}</definedName>
    <definedName name="sdfer" hidden="1">{#N/A,#N/A,FALSE,"Plan1";#N/A,#N/A,FALSE,"Plan2"}</definedName>
    <definedName name="sdferr" localSheetId="0" hidden="1">{#N/A,#N/A,FALSE,"Plan1";#N/A,#N/A,FALSE,"Plan2"}</definedName>
    <definedName name="sdferr" hidden="1">{#N/A,#N/A,FALSE,"Plan1";#N/A,#N/A,FALSE,"Plan2"}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0" hidden="1">{#N/A,#N/A,FALSE,"Plan1";#N/A,#N/A,FALSE,"Plan2"}</definedName>
    <definedName name="SDFGJFSRF" hidden="1">{#N/A,#N/A,FALSE,"Plan1";#N/A,#N/A,FALSE,"Plan2"}</definedName>
    <definedName name="sdfgtr" localSheetId="0" hidden="1">{#N/A,#N/A,FALSE,"Plan1";#N/A,#N/A,FALSE,"Plan2"}</definedName>
    <definedName name="sdfgtr" hidden="1">{#N/A,#N/A,FALSE,"Plan1";#N/A,#N/A,FALSE,"Plan2"}</definedName>
    <definedName name="sdfjdetrt" localSheetId="0" hidden="1">{#N/A,#N/A,FALSE,"Plan1";#N/A,#N/A,FALSE,"Plan2"}</definedName>
    <definedName name="sdfjdetrt" hidden="1">{#N/A,#N/A,FALSE,"Plan1";#N/A,#N/A,FALSE,"Plan2"}</definedName>
    <definedName name="SDFJDRTJEIDR" localSheetId="0" hidden="1">{#N/A,#N/A,FALSE,"Plan1";#N/A,#N/A,FALSE,"Plan2"}</definedName>
    <definedName name="SDFJDRTJEIDR" hidden="1">{#N/A,#N/A,FALSE,"Plan1";#N/A,#N/A,FALSE,"Plan2"}</definedName>
    <definedName name="sdfjergtij" localSheetId="0" hidden="1">{#N/A,#N/A,FALSE,"Plan1";#N/A,#N/A,FALSE,"Plan2"}</definedName>
    <definedName name="sdfjergtij" hidden="1">{#N/A,#N/A,FALSE,"Plan1";#N/A,#N/A,FALSE,"Plan2"}</definedName>
    <definedName name="SDFOPJKWE" localSheetId="0" hidden="1">{#N/A,#N/A,FALSE,"Plan1";#N/A,#N/A,FALSE,"Plan2"}</definedName>
    <definedName name="SDFOPJKWE" hidden="1">{#N/A,#N/A,FALSE,"Plan1";#N/A,#N/A,FALSE,"Plan2"}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0" hidden="1">{#N/A,#N/A,FALSE,"Plan1";#N/A,#N/A,FALSE,"Plan2"}</definedName>
    <definedName name="sdfrt" hidden="1">{#N/A,#N/A,FALSE,"Plan1";#N/A,#N/A,FALSE,"Plan2"}</definedName>
    <definedName name="SDFRTKK" localSheetId="0" hidden="1">{#N/A,#N/A,FALSE,"Plan1";#N/A,#N/A,FALSE,"Plan2"}</definedName>
    <definedName name="SDFRTKK" hidden="1">{#N/A,#N/A,FALSE,"Plan1";#N/A,#N/A,FALSE,"Plan2"}</definedName>
    <definedName name="SDFRTR" localSheetId="0" hidden="1">{#N/A,#N/A,FALSE,"Plan1";#N/A,#N/A,FALSE,"Plan2"}</definedName>
    <definedName name="SDFRTR" hidden="1">{#N/A,#N/A,FALSE,"Plan1";#N/A,#N/A,FALSE,"Plan2"}</definedName>
    <definedName name="sdfry6" localSheetId="0" hidden="1">{#N/A,#N/A,FALSE,"Plan1";#N/A,#N/A,FALSE,"Plan2"}</definedName>
    <definedName name="sdfry6" hidden="1">{#N/A,#N/A,FALSE,"Plan1";#N/A,#N/A,FALSE,"Plan2"}</definedName>
    <definedName name="sdfsaf" localSheetId="0" hidden="1">{#N/A,#N/A,FALSE,"Plan1";#N/A,#N/A,FALSE,"Plan2"}</definedName>
    <definedName name="sdfsaf" hidden="1">{#N/A,#N/A,FALSE,"Plan1";#N/A,#N/A,FALSE,"Plan2"}</definedName>
    <definedName name="sdfsd" localSheetId="0" hidden="1">{"'Estimativa de Lançamento-JAN'!$A$1:$AI$85"}</definedName>
    <definedName name="sdfsd" hidden="1">{"'Estimativa de Lançamento-JAN'!$A$1:$AI$85"}</definedName>
    <definedName name="sdfsdfg" localSheetId="0" hidden="1">{#N/A,#N/A,FALSE,"Plan1";#N/A,#N/A,FALSE,"Plan2"}</definedName>
    <definedName name="sdfsdfg" hidden="1">{#N/A,#N/A,FALSE,"Plan1";#N/A,#N/A,FALSE,"Plan2"}</definedName>
    <definedName name="SDFSDFK" localSheetId="0" hidden="1">{#N/A,#N/A,FALSE,"Plan1";#N/A,#N/A,FALSE,"Plan2"}</definedName>
    <definedName name="SDFSDFK" hidden="1">{#N/A,#N/A,FALSE,"Plan1";#N/A,#N/A,FALSE,"Plan2"}</definedName>
    <definedName name="sdfsdgftret" localSheetId="0" hidden="1">{#N/A,#N/A,FALSE,"Plan1";#N/A,#N/A,FALSE,"Plan2"}</definedName>
    <definedName name="sdfsdgftret" hidden="1">{#N/A,#N/A,FALSE,"Plan1";#N/A,#N/A,FALSE,"Plan2"}</definedName>
    <definedName name="sdfsdr" hidden="1">1</definedName>
    <definedName name="sdfsf" localSheetId="0" hidden="1">{#N/A,#N/A,FALSE,"Plan1";#N/A,#N/A,FALSE,"Plan2"}</definedName>
    <definedName name="sdfsf" hidden="1">{#N/A,#N/A,FALSE,"Plan1";#N/A,#N/A,FALSE,"Plan2"}</definedName>
    <definedName name="SDFSFRT" localSheetId="0" hidden="1">{"Econ Consolidado",#N/A,FALSE,"Econ Consol";"Fluxo de Caixa",#N/A,FALSE,"Fluxo Caixa";"Investimentos",#N/A,FALSE,"Investimentos"}</definedName>
    <definedName name="SDFSFRT" hidden="1">{"Econ Consolidado",#N/A,FALSE,"Econ Consol";"Fluxo de Caixa",#N/A,FALSE,"Fluxo Caixa";"Investimentos",#N/A,FALSE,"Investimentos"}</definedName>
    <definedName name="sdfsr" localSheetId="0" hidden="1">{#N/A,#N/A,FALSE,"Plan1";#N/A,#N/A,FALSE,"Plan2"}</definedName>
    <definedName name="sdfsr" hidden="1">{#N/A,#N/A,FALSE,"Plan1";#N/A,#N/A,FALSE,"Plan2"}</definedName>
    <definedName name="sdfty" localSheetId="0" hidden="1">{#N/A,#N/A,FALSE,"Plan1";#N/A,#N/A,FALSE,"Plan2"}</definedName>
    <definedName name="sdfty" hidden="1">{#N/A,#N/A,FALSE,"Plan1";#N/A,#N/A,FALSE,"Plan2"}</definedName>
    <definedName name="sdgdf" localSheetId="0" hidden="1">{#N/A,#N/A,FALSE,"Plan1";#N/A,#N/A,FALSE,"Plan2"}</definedName>
    <definedName name="sdgdf" hidden="1">{#N/A,#N/A,FALSE,"Plan1";#N/A,#N/A,FALSE,"Plan2"}</definedName>
    <definedName name="sdgfrt" localSheetId="0" hidden="1">{#N/A,#N/A,FALSE,"Plan1";#N/A,#N/A,FALSE,"Plan2"}</definedName>
    <definedName name="sdgfrt" hidden="1">{#N/A,#N/A,FALSE,"Plan1";#N/A,#N/A,FALSE,"Plan2"}</definedName>
    <definedName name="sdgft" localSheetId="0" hidden="1">{#N/A,#N/A,FALSE,"Plan1";#N/A,#N/A,FALSE,"Plan2"}</definedName>
    <definedName name="sdgft" hidden="1">{#N/A,#N/A,FALSE,"Plan1";#N/A,#N/A,FALSE,"Plan2"}</definedName>
    <definedName name="sdgt" localSheetId="0" hidden="1">{#N/A,#N/A,FALSE,"Plan1";#N/A,#N/A,FALSE,"Plan2"}</definedName>
    <definedName name="sdgt" hidden="1">{#N/A,#N/A,FALSE,"Plan1";#N/A,#N/A,FALSE,"Plan2"}</definedName>
    <definedName name="sdgtry" localSheetId="0" hidden="1">#REF!</definedName>
    <definedName name="sdgtry" hidden="1">#REF!</definedName>
    <definedName name="sdhfghdsfg" localSheetId="0" hidden="1">{#N/A,#N/A,FALSE,"Plan1";#N/A,#N/A,FALSE,"Plan2"}</definedName>
    <definedName name="sdhfghdsfg" hidden="1">{#N/A,#N/A,FALSE,"Plan1";#N/A,#N/A,FALSE,"Plan2"}</definedName>
    <definedName name="SDHFJKHDFJRE" localSheetId="0" hidden="1">{#N/A,#N/A,FALSE,"Plan1";#N/A,#N/A,FALSE,"Plan2"}</definedName>
    <definedName name="SDHFJKHDFJRE" hidden="1">{#N/A,#N/A,FALSE,"Plan1";#N/A,#N/A,FALSE,"Plan2"}</definedName>
    <definedName name="SDHKFDRKGTR" localSheetId="0" hidden="1">{#N/A,#N/A,FALSE,"Plan1";#N/A,#N/A,FALSE,"Plan2"}</definedName>
    <definedName name="SDHKFDRKGTR" hidden="1">{#N/A,#N/A,FALSE,"Plan1";#N/A,#N/A,FALSE,"Plan2"}</definedName>
    <definedName name="sdjdswger" localSheetId="0" hidden="1">{#N/A,#N/A,FALSE,"Plan1";#N/A,#N/A,FALSE,"Plan2"}</definedName>
    <definedName name="sdjdswger" hidden="1">{#N/A,#N/A,FALSE,"Plan1";#N/A,#N/A,FALSE,"Plan2"}</definedName>
    <definedName name="sdjfdf" localSheetId="0" hidden="1">{#N/A,#N/A,FALSE,"Plan1";#N/A,#N/A,FALSE,"Plan2"}</definedName>
    <definedName name="sdjfdf" hidden="1">{#N/A,#N/A,FALSE,"Plan1";#N/A,#N/A,FALSE,"Plan2"}</definedName>
    <definedName name="sdjfhdjk" localSheetId="0" hidden="1">{#N/A,#N/A,FALSE,"Plan1";#N/A,#N/A,FALSE,"Plan2"}</definedName>
    <definedName name="sdjfhdjk" hidden="1">{#N/A,#N/A,FALSE,"Plan1";#N/A,#N/A,FALSE,"Plan2"}</definedName>
    <definedName name="SDJFJDER" localSheetId="0" hidden="1">{#N/A,#N/A,FALSE,"Plan1";#N/A,#N/A,FALSE,"Plan2"}</definedName>
    <definedName name="SDJFJDER" hidden="1">{#N/A,#N/A,FALSE,"Plan1";#N/A,#N/A,FALSE,"Plan2"}</definedName>
    <definedName name="sdjflsdjfl" localSheetId="0" hidden="1">{#N/A,#N/A,FALSE,"Plan1";#N/A,#N/A,FALSE,"Plan2"}</definedName>
    <definedName name="sdjflsdjfl" hidden="1">{#N/A,#N/A,FALSE,"Plan1";#N/A,#N/A,FALSE,"Plan2"}</definedName>
    <definedName name="SDJHF" localSheetId="0" hidden="1">{#N/A,#N/A,FALSE,"Plan1";#N/A,#N/A,FALSE,"Plan2"}</definedName>
    <definedName name="SDJHF" hidden="1">{#N/A,#N/A,FALSE,"Plan1";#N/A,#N/A,FALSE,"Plan2"}</definedName>
    <definedName name="sdjrderertrr" localSheetId="0" hidden="1">{#N/A,#N/A,FALSE,"Plan1";#N/A,#N/A,FALSE,"Plan2"}</definedName>
    <definedName name="sdjrderertrr" hidden="1">{#N/A,#N/A,FALSE,"Plan1";#N/A,#N/A,FALSE,"Plan2"}</definedName>
    <definedName name="sdkdjk" localSheetId="0" hidden="1">{#N/A,#N/A,FALSE,"Plan1";#N/A,#N/A,FALSE,"Plan2"}</definedName>
    <definedName name="sdkdjk" hidden="1">{#N/A,#N/A,FALSE,"Plan1";#N/A,#N/A,FALSE,"Plan2"}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0" hidden="1">{#N/A,#N/A,FALSE,"Plan1";#N/A,#N/A,FALSE,"Plan2"}</definedName>
    <definedName name="sdkfnjd" hidden="1">{#N/A,#N/A,FALSE,"Plan1";#N/A,#N/A,FALSE,"Plan2"}</definedName>
    <definedName name="sdkk" localSheetId="0" hidden="1">{#N/A,#N/A,FALSE,"Plan1";#N/A,#N/A,FALSE,"Plan2"}</definedName>
    <definedName name="sdkk" hidden="1">{#N/A,#N/A,FALSE,"Plan1";#N/A,#N/A,FALSE,"Plan2"}</definedName>
    <definedName name="sdlfsdflj" localSheetId="0" hidden="1">{#N/A,#N/A,FALSE,"Plan1";#N/A,#N/A,FALSE,"Plan2"}</definedName>
    <definedName name="sdlfsdflj" hidden="1">{#N/A,#N/A,FALSE,"Plan1";#N/A,#N/A,FALSE,"Plan2"}</definedName>
    <definedName name="sdmfmdfsgfd" localSheetId="0" hidden="1">{#N/A,#N/A,FALSE,"Plan1";#N/A,#N/A,FALSE,"Plan2"}</definedName>
    <definedName name="sdmfmdfsgfd" hidden="1">{#N/A,#N/A,FALSE,"Plan1";#N/A,#N/A,FALSE,"Plan2"}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0" hidden="1">{#N/A,#N/A,FALSE,"Plan1";#N/A,#N/A,FALSE,"Plan2"}</definedName>
    <definedName name="sdrfgt" hidden="1">{#N/A,#N/A,FALSE,"Plan1";#N/A,#N/A,FALSE,"Plan2"}</definedName>
    <definedName name="sdsd" localSheetId="0" hidden="1">{#N/A,#N/A,FALSE,"Plan1";#N/A,#N/A,FALSE,"Plan2"}</definedName>
    <definedName name="sdsd" hidden="1">{#N/A,#N/A,FALSE,"Plan1";#N/A,#N/A,FALSE,"Plan2"}</definedName>
    <definedName name="sdser" localSheetId="0" hidden="1">{#N/A,#N/A,FALSE,"Plan1";#N/A,#N/A,FALSE,"Plan2"}</definedName>
    <definedName name="sdser" hidden="1">{#N/A,#N/A,FALSE,"Plan1";#N/A,#N/A,FALSE,"Plan2"}</definedName>
    <definedName name="sdsre" localSheetId="0" hidden="1">{#N/A,#N/A,FALSE,"Plan1";#N/A,#N/A,FALSE,"Plan2"}</definedName>
    <definedName name="sdsre" hidden="1">{#N/A,#N/A,FALSE,"Plan1";#N/A,#N/A,FALSE,"Plan2"}</definedName>
    <definedName name="sdss" localSheetId="0" hidden="1">{#N/A,#N/A,FALSE,"Plan1";#N/A,#N/A,FALSE,"Plan2"}</definedName>
    <definedName name="sdss" hidden="1">{#N/A,#N/A,FALSE,"Plan1";#N/A,#N/A,FALSE,"Plan2"}</definedName>
    <definedName name="sdtrtg" localSheetId="0" hidden="1">#REF!</definedName>
    <definedName name="sdtrtg" hidden="1">#REF!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0" hidden="1">{"Econ Consolidado",#N/A,FALSE,"Econ Consol";"Fluxo de Caixa",#N/A,FALSE,"Fluxo Caixa";"Investimentos",#N/A,FALSE,"Investimentos"}</definedName>
    <definedName name="SDWER" hidden="1">{"Econ Consolidado",#N/A,FALSE,"Econ Consol";"Fluxo de Caixa",#N/A,FALSE,"Fluxo Caixa";"Investimentos",#N/A,FALSE,"Investimentos"}</definedName>
    <definedName name="sdxfrt" localSheetId="0" hidden="1">{#N/A,#N/A,FALSE,"Plan1";#N/A,#N/A,FALSE,"Plan2"}</definedName>
    <definedName name="sdxfrt" hidden="1">{#N/A,#N/A,FALSE,"Plan1";#N/A,#N/A,FALSE,"Plan2"}</definedName>
    <definedName name="SDZFERF" localSheetId="0" hidden="1">{#N/A,#N/A,FALSE,"Plan1";#N/A,#N/A,FALSE,"Plan2"}</definedName>
    <definedName name="SDZFERF" hidden="1">{#N/A,#N/A,FALSE,"Plan1";#N/A,#N/A,FALSE,"Plan2"}</definedName>
    <definedName name="se" localSheetId="0">#REF!</definedName>
    <definedName name="se">#REF!</definedName>
    <definedName name="SEDE" localSheetId="0">#REF!</definedName>
    <definedName name="SEDE">#REF!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0">#REF!</definedName>
    <definedName name="SEG">#REF!</definedName>
    <definedName name="segftru" localSheetId="0" hidden="1">{#N/A,#N/A,FALSE,"Plan1";#N/A,#N/A,FALSE,"Plan2"}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 localSheetId="0">#REF!</definedName>
    <definedName name="SEIS">#REF!</definedName>
    <definedName name="sencount" localSheetId="0" hidden="1">3</definedName>
    <definedName name="sencount" hidden="1">3</definedName>
    <definedName name="SEQUENCIA" localSheetId="0">#REF!</definedName>
    <definedName name="SEQUENCIA">#REF!</definedName>
    <definedName name="SEREWRSWE" localSheetId="0" hidden="1">{"tabela",#N/A,FALSE,"Tabela";"decoração",#N/A,FALSE,"Decor.";"Informações",#N/A,FALSE,"Inform."}</definedName>
    <definedName name="SEREWRSWE" hidden="1">{"tabela",#N/A,FALSE,"Tabela";"decoração",#N/A,FALSE,"Decor.";"Informações",#N/A,FALSE,"Inform."}</definedName>
    <definedName name="Set_17" localSheetId="0">#REF!</definedName>
    <definedName name="Set_17">#REF!</definedName>
    <definedName name="SETE" localSheetId="0">#REF!</definedName>
    <definedName name="SETE">#REF!</definedName>
    <definedName name="SETEMBRO" localSheetId="0">#REF!</definedName>
    <definedName name="SETEMBRO">#REF!</definedName>
    <definedName name="setRJ17">#REF!</definedName>
    <definedName name="severo">#REF!</definedName>
    <definedName name="sf" localSheetId="0" hidden="1">{#N/A,#N/A,FALSE,"Plan1";#N/A,#N/A,FALSE,"Plan2"}</definedName>
    <definedName name="sf" hidden="1">{#N/A,#N/A,FALSE,"Plan1";#N/A,#N/A,FALSE,"Plan2"}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0" hidden="1">{#N/A,#N/A,FALSE,"Plan1";#N/A,#N/A,FALSE,"Plan2"}</definedName>
    <definedName name="sfddfd" hidden="1">{#N/A,#N/A,FALSE,"Plan1";#N/A,#N/A,FALSE,"Plan2"}</definedName>
    <definedName name="sfds" localSheetId="0" hidden="1">{#N/A,#N/A,FALSE,"Plan1";#N/A,#N/A,FALSE,"Plan2"}</definedName>
    <definedName name="sfds" hidden="1">{#N/A,#N/A,FALSE,"Plan1";#N/A,#N/A,FALSE,"Plan2"}</definedName>
    <definedName name="sfdsd" localSheetId="0" hidden="1">{#N/A,#N/A,FALSE,"Plan1";#N/A,#N/A,FALSE,"Plan2"}</definedName>
    <definedName name="sfdsd" hidden="1">{#N/A,#N/A,FALSE,"Plan1";#N/A,#N/A,FALSE,"Plan2"}</definedName>
    <definedName name="SFDSF" hidden="1">34</definedName>
    <definedName name="sfrsdrgt" localSheetId="0" hidden="1">{#N/A,#N/A,FALSE,"Plan1";#N/A,#N/A,FALSE,"Plan2"}</definedName>
    <definedName name="sfrsdrgt" hidden="1">{#N/A,#N/A,FALSE,"Plan1";#N/A,#N/A,FALSE,"Plan2"}</definedName>
    <definedName name="SFRT" localSheetId="0" hidden="1">{#N/A,#N/A,FALSE,"Plan1";#N/A,#N/A,FALSE,"Plan2"}</definedName>
    <definedName name="SFRT" hidden="1">{#N/A,#N/A,FALSE,"Plan1";#N/A,#N/A,FALSE,"Plan2"}</definedName>
    <definedName name="sfsdferf" localSheetId="0" hidden="1">{#N/A,#N/A,FALSE,"Plan1";#N/A,#N/A,FALSE,"Plan2"}</definedName>
    <definedName name="sfsdferf" hidden="1">{#N/A,#N/A,FALSE,"Plan1";#N/A,#N/A,FALSE,"Plan2"}</definedName>
    <definedName name="sfsdfs" hidden="1">34</definedName>
    <definedName name="SFSDS" localSheetId="0" hidden="1">{#N/A,#N/A,FALSE,"Plan1";#N/A,#N/A,FALSE,"Plan2"}</definedName>
    <definedName name="SFSDS" hidden="1">{#N/A,#N/A,FALSE,"Plan1";#N/A,#N/A,FALSE,"Plan2"}</definedName>
    <definedName name="SGarantia" localSheetId="0">#REF!</definedName>
    <definedName name="SGarantia">#REF!</definedName>
    <definedName name="sgtghty" localSheetId="0" hidden="1">{#N/A,#N/A,FALSE,"Plan1";#N/A,#N/A,FALSE,"Plan2"}</definedName>
    <definedName name="sgtghty" hidden="1">{#N/A,#N/A,FALSE,"Plan1";#N/A,#N/A,FALSE,"Plan2"}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 localSheetId="0">#REF!</definedName>
    <definedName name="SIH">#REF!</definedName>
    <definedName name="SISTEM1" localSheetId="0">#REF!</definedName>
    <definedName name="SISTEM1">#REF!</definedName>
    <definedName name="SISTEM2">#REF!</definedName>
    <definedName name="SIV" localSheetId="0">#REF!</definedName>
    <definedName name="SIV">#REF!</definedName>
    <definedName name="sjawe" localSheetId="0" hidden="1">{#N/A,#N/A,FALSE,"Plan1";#N/A,#N/A,FALSE,"Plan2"}</definedName>
    <definedName name="sjawe" hidden="1">{#N/A,#N/A,FALSE,"Plan1";#N/A,#N/A,FALSE,"Plan2"}</definedName>
    <definedName name="sjdffd" localSheetId="0" hidden="1">{#N/A,#N/A,FALSE,"Plan1";#N/A,#N/A,FALSE,"Plan2"}</definedName>
    <definedName name="sjdffd" hidden="1">{#N/A,#N/A,FALSE,"Plan1";#N/A,#N/A,FALSE,"Plan2"}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0" hidden="1">{#N/A,#N/A,FALSE,"Plan1";#N/A,#N/A,FALSE,"Plan2"}</definedName>
    <definedName name="SJDHFHRE" hidden="1">{#N/A,#N/A,FALSE,"Plan1";#N/A,#N/A,FALSE,"Plan2"}</definedName>
    <definedName name="SJDKJDE" localSheetId="0" hidden="1">{"Econ Consolidado",#N/A,FALSE,"Econ Consol";"Fluxo de Caixa",#N/A,FALSE,"Fluxo Caixa";"Investimentos",#N/A,FALSE,"Investimentos"}</definedName>
    <definedName name="SJDKJDE" hidden="1">{"Econ Consolidado",#N/A,FALSE,"Econ Consol";"Fluxo de Caixa",#N/A,FALSE,"Fluxo Caixa";"Investimentos",#N/A,FALSE,"Investimentos"}</definedName>
    <definedName name="sjekwjri" localSheetId="0" hidden="1">{#N/A,#N/A,FALSE,"Plan1";#N/A,#N/A,FALSE,"Plan2"}</definedName>
    <definedName name="sjekwjri" hidden="1">{#N/A,#N/A,FALSE,"Plan1";#N/A,#N/A,FALSE,"Plan2"}</definedName>
    <definedName name="sjfkdhsfds" localSheetId="0" hidden="1">{#N/A,#N/A,FALSE,"Plan1";#N/A,#N/A,FALSE,"Plan2"}</definedName>
    <definedName name="sjfkdhsfds" hidden="1">{#N/A,#N/A,FALSE,"Plan1";#N/A,#N/A,FALSE,"Plan2"}</definedName>
    <definedName name="sjkdljslkrje" localSheetId="0" hidden="1">{#N/A,#N/A,FALSE,"Plan1";#N/A,#N/A,FALSE,"Plan2"}</definedName>
    <definedName name="sjkdljslkrje" hidden="1">{#N/A,#N/A,FALSE,"Plan1";#N/A,#N/A,FALSE,"Plan2"}</definedName>
    <definedName name="skadadaszs" localSheetId="0" hidden="1">{#N/A,#N/A,FALSE,"Plan1";#N/A,#N/A,FALSE,"Plan2"}</definedName>
    <definedName name="skadadaszs" hidden="1">{#N/A,#N/A,FALSE,"Plan1";#N/A,#N/A,FALSE,"Plan2"}</definedName>
    <definedName name="SKASH" localSheetId="0" hidden="1">{#N/A,#N/A,FALSE,"Plan1";#N/A,#N/A,FALSE,"Plan2"}</definedName>
    <definedName name="SKASH" hidden="1">{#N/A,#N/A,FALSE,"Plan1";#N/A,#N/A,FALSE,"Plan2"}</definedName>
    <definedName name="skldfrde" localSheetId="0" hidden="1">{#N/A,#N/A,FALSE,"Plan1";#N/A,#N/A,FALSE,"Plan2"}</definedName>
    <definedName name="skldfrde" hidden="1">{#N/A,#N/A,FALSE,"Plan1";#N/A,#N/A,FALSE,"Plan2"}</definedName>
    <definedName name="skosroer" localSheetId="0" hidden="1">{#N/A,#N/A,FALSE,"Plan1";#N/A,#N/A,FALSE,"Plan2"}</definedName>
    <definedName name="skosroer" hidden="1">{#N/A,#N/A,FALSE,"Plan1";#N/A,#N/A,FALSE,"Plan2"}</definedName>
    <definedName name="SO" localSheetId="0">#REF!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 localSheetId="0">#REF!</definedName>
    <definedName name="soma">#REF!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0" hidden="1">{#N/A,#N/A,FALSE,"Plan1";#N/A,#N/A,FALSE,"Plan2"}</definedName>
    <definedName name="sQEWWE" hidden="1">{#N/A,#N/A,FALSE,"Plan1";#N/A,#N/A,FALSE,"Plan2"}</definedName>
    <definedName name="SR" localSheetId="0" hidden="1">#REF!</definedName>
    <definedName name="SR" hidden="1">#REF!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0" hidden="1">#REF!</definedName>
    <definedName name="ss">#REF!</definedName>
    <definedName name="sssss" localSheetId="0" hidden="1">#REF!</definedName>
    <definedName name="sssss" hidden="1">#REF!</definedName>
    <definedName name="stake_cury">#REF!</definedName>
    <definedName name="status_projeto" localSheetId="0" hidden="1">OFFSET(INDEX(#REF!,MATCH(#REF!,#REF!,0)),1,0,COUNTA(#REF!)-1)</definedName>
    <definedName name="status_projeto" hidden="1">OFFSET(INDEX(#REF!,MATCH(#REF!,#REF!,0)),1,0,COUNTA(#REF!)-1)</definedName>
    <definedName name="SUB_TOTAL_1" localSheetId="0">#REF!</definedName>
    <definedName name="SUB_TOTAL_1">#REF!</definedName>
    <definedName name="SUBDER" localSheetId="0">#REF!</definedName>
    <definedName name="SUBDER">#REF!</definedName>
    <definedName name="SUBDIV" localSheetId="0">#REF!</definedName>
    <definedName name="SUBDIV">#REF!</definedName>
    <definedName name="SUBEQP">#REF!</definedName>
    <definedName name="SUBMUR">#REF!</definedName>
    <definedName name="summ" localSheetId="0" hidden="1">#REF!</definedName>
    <definedName name="summ" hidden="1">#REF!</definedName>
    <definedName name="susref" localSheetId="0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>#REF!</definedName>
    <definedName name="t_cc">#REF!</definedName>
    <definedName name="t_KSB1_Transport">#REF!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0">#REF!</definedName>
    <definedName name="TAB_GASTOS">#REF!</definedName>
    <definedName name="TABACABAMENTOS" localSheetId="0">#REF!</definedName>
    <definedName name="TABACABAMENTOS">#REF!</definedName>
    <definedName name="tabela" localSheetId="0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 localSheetId="0">#REF!</definedName>
    <definedName name="tania">#REF!</definedName>
    <definedName name="TAUX2" localSheetId="0">OFFSET(#REF!,0,0,COUNTA(#REF!)+1,1)</definedName>
    <definedName name="TAUX2">OFFSET(#REF!,0,0,COUNTA(#REF!)+1,1)</definedName>
    <definedName name="TAUX3">OFFSET(#REF!,0,0,COUNTA(#REF!)+1,1)</definedName>
    <definedName name="TAXA_VENTO" localSheetId="0">#REF!</definedName>
    <definedName name="TAXA_VENTO">#REF!</definedName>
    <definedName name="TAXAS" localSheetId="0">#REF!</definedName>
    <definedName name="TAXAS">#REF!</definedName>
    <definedName name="TbDin" localSheetId="0">OFFSET(#REF!,0,0,COUNTA(#REF!),13)</definedName>
    <definedName name="TbDin">OFFSET(#REF!,0,0,COUNTA(#REF!),13)</definedName>
    <definedName name="tc" localSheetId="0">#REF!</definedName>
    <definedName name="tc">#REF!</definedName>
    <definedName name="TE" localSheetId="0">#REF!</definedName>
    <definedName name="TE">#REF!</definedName>
    <definedName name="TECLA">#REF!</definedName>
    <definedName name="Tendência_Obra_Controladoria">#REF!</definedName>
    <definedName name="TERRENO">#REF!</definedName>
    <definedName name="Test" localSheetId="0" hidden="1">{"'Edit'!$A$1:$V$2277"}</definedName>
    <definedName name="Test" hidden="1">{"'Edit'!$A$1:$V$2277"}</definedName>
    <definedName name="TESTANDO" localSheetId="0" hidden="1">{#N/A,#N/A,TRUE,"Quinzena 01 à 15-04-98 "}</definedName>
    <definedName name="TESTANDO" hidden="1">{#N/A,#N/A,TRUE,"Quinzena 01 à 15-04-98 "}</definedName>
    <definedName name="teste" localSheetId="0">#REF!</definedName>
    <definedName name="teste">#REF!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0">#REF!</definedName>
    <definedName name="teste3">#REF!</definedName>
    <definedName name="TESTHKEY" localSheetId="0">#REF!</definedName>
    <definedName name="TESTHKEY">#REF!</definedName>
    <definedName name="teto1" localSheetId="0">#REF!</definedName>
    <definedName name="teto1">#REF!</definedName>
    <definedName name="Teto2">#REF!</definedName>
    <definedName name="tetuytw">#REF!</definedName>
    <definedName name="TextRefCopyRangeCount" hidden="1">1</definedName>
    <definedName name="thjgsergsr" localSheetId="0" hidden="1">{#N/A,#N/A,FALSE,"Plan1";#N/A,#N/A,FALSE,"Plan2"}</definedName>
    <definedName name="thjgsergsr" hidden="1">{#N/A,#N/A,FALSE,"Plan1";#N/A,#N/A,FALSE,"Plan2"}</definedName>
    <definedName name="THYJ" localSheetId="0" hidden="1">{#N/A,#N/A,FALSE,"Plan1";#N/A,#N/A,FALSE,"Plan2"}</definedName>
    <definedName name="THYJ" hidden="1">{#N/A,#N/A,FALSE,"Plan1";#N/A,#N/A,FALSE,"Plan2"}</definedName>
    <definedName name="tihjgih" localSheetId="0" hidden="1">{#N/A,#N/A,FALSE,"Plan1";#N/A,#N/A,FALSE,"Plan2"}</definedName>
    <definedName name="tihjgih" hidden="1">{#N/A,#N/A,FALSE,"Plan1";#N/A,#N/A,FALSE,"Plan2"}</definedName>
    <definedName name="TIPO_CTT" localSheetId="0">#REF!</definedName>
    <definedName name="TIPO_CTT">#REF!</definedName>
    <definedName name="Tipo_de_Diretoria" localSheetId="0">#REF!</definedName>
    <definedName name="Tipo_de_Diretoria">#REF!</definedName>
    <definedName name="Tipo_de_Gestao" localSheetId="0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 localSheetId="0">#REF!</definedName>
    <definedName name="titulos">#REF!</definedName>
    <definedName name="_xlnm.Print_Titles" localSheetId="13">'Acabamentos de Piso e Parede'!$7:$11</definedName>
    <definedName name="_xlnm.Print_Titles" localSheetId="6">ALVENARIA!$2:$2</definedName>
    <definedName name="_xlnm.Print_Titles" localSheetId="16">COBERTURA!#REF!</definedName>
    <definedName name="_xlnm.Print_Titles" localSheetId="18">COMPLEMENTARES!#REF!</definedName>
    <definedName name="_xlnm.Print_Titles" localSheetId="4">CONTENÇÕES!$2:$2</definedName>
    <definedName name="_xlnm.Print_Titles" localSheetId="1">DADOS_INICIAIS!$1:$6</definedName>
    <definedName name="_xlnm.Print_Titles" localSheetId="15">ESQUADRIAS!$2:$2</definedName>
    <definedName name="_xlnm.Print_Titles" localSheetId="7">IMPERMEABILIZAÇÃO!$2:$2</definedName>
    <definedName name="_xlnm.Print_Titles" localSheetId="3">INFRAESTRUTURA!$2:$2</definedName>
    <definedName name="_xlnm.Print_Titles" localSheetId="8">INSTALAÇÕES!#REF!</definedName>
    <definedName name="_xlnm.Print_Titles" localSheetId="2">MOVIMENTAÇÃO_DE_TERRA!#REF!</definedName>
    <definedName name="_xlnm.Print_Titles" localSheetId="0">#REF!</definedName>
    <definedName name="_xlnm.Print_Titles" localSheetId="14">'PINTURA INTERNA'!$2:$2</definedName>
    <definedName name="_xlnm.Print_Titles" localSheetId="17">'Rev. Fachada'!$7:$11</definedName>
    <definedName name="_xlnm.Print_Titles" localSheetId="11">'Rev. Internos Piso e Parede'!$7:$11</definedName>
    <definedName name="_xlnm.Print_Titles" localSheetId="9">'SISTEMAS ESPECIAIS'!#REF!</definedName>
    <definedName name="_xlnm.Print_Titles" localSheetId="5">SUPRAESTRUTURA!$2:$2</definedName>
    <definedName name="_xlnm.Print_Titles" localSheetId="12">TETO!$2:$2</definedName>
    <definedName name="_xlnm.Print_Titles">#REF!</definedName>
    <definedName name="Títulos_impressão_IM" localSheetId="0">#REF!</definedName>
    <definedName name="Títulos_impressão_IM">#REF!</definedName>
    <definedName name="TMO" localSheetId="0">#REF!</definedName>
    <definedName name="TMO">#REF!</definedName>
    <definedName name="TOLTAL2">#REF!</definedName>
    <definedName name="TOT" localSheetId="16">#REF!</definedName>
    <definedName name="TOT" localSheetId="18">#REF!</definedName>
    <definedName name="TOT" localSheetId="1">#REF!</definedName>
    <definedName name="TOT" localSheetId="8">#REF!</definedName>
    <definedName name="TOT" localSheetId="2">#REF!</definedName>
    <definedName name="TOT" localSheetId="0">#REF!</definedName>
    <definedName name="TOT" localSheetId="9">#REF!</definedName>
    <definedName name="TOT">#REF!</definedName>
    <definedName name="tot3estac">#REF!</definedName>
    <definedName name="TOTAIS">#REF!</definedName>
    <definedName name="Total" localSheetId="1">#REF!</definedName>
    <definedName name="Total" localSheetId="0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 localSheetId="0">OFFSET(#REF!,0,0,COUNTA(#REF!),1)</definedName>
    <definedName name="TOTG">OFFSET(#REF!,0,0,COUNTA(#REF!),1)</definedName>
    <definedName name="totperfura" localSheetId="0">#REF!</definedName>
    <definedName name="totperfura">#REF!</definedName>
    <definedName name="TOTQTS" localSheetId="0">#REF!</definedName>
    <definedName name="TOTQTS">#REF!</definedName>
    <definedName name="TOTT" localSheetId="0">OFFSET(#REF!,0,0,COUNTA(#REF!)+1,1)</definedName>
    <definedName name="TOTT">OFFSET(#REF!,0,0,COUNTA(#REF!)+1,1)</definedName>
    <definedName name="TR" localSheetId="0">#REF!</definedName>
    <definedName name="TR">#REF!</definedName>
    <definedName name="Transferencia1" localSheetId="0">#REF!</definedName>
    <definedName name="Transferencia1">#REF!</definedName>
    <definedName name="TRES" localSheetId="0">#REF!</definedName>
    <definedName name="TRES">#REF!</definedName>
    <definedName name="TREZE">#REF!</definedName>
    <definedName name="tri">#REF!</definedName>
    <definedName name="Trimestre_data_base">#REF!</definedName>
    <definedName name="trjyidih" localSheetId="0" hidden="1">{#N/A,#N/A,FALSE,"Plan1";#N/A,#N/A,FALSE,"Plan2"}</definedName>
    <definedName name="trjyidih" hidden="1">{#N/A,#N/A,FALSE,"Plan1";#N/A,#N/A,FALSE,"Plan2"}</definedName>
    <definedName name="TRP" localSheetId="0">#REF!</definedName>
    <definedName name="TRP">#REF!</definedName>
    <definedName name="TTT" localSheetId="0">#REF!</definedName>
    <definedName name="TTT">#REF!</definedName>
    <definedName name="TURNO">#REF!</definedName>
    <definedName name="tuyedjsksj" localSheetId="0" hidden="1">{#N/A,#N/A,FALSE,"Plan1";#N/A,#N/A,FALSE,"Plan2"}</definedName>
    <definedName name="tuyedjsksj" hidden="1">{#N/A,#N/A,FALSE,"Plan1";#N/A,#N/A,FALSE,"Plan2"}</definedName>
    <definedName name="TX_ADM" localSheetId="0">#REF!</definedName>
    <definedName name="TX_ADM">#REF!</definedName>
    <definedName name="tx_desconto_real" localSheetId="0">#REF!</definedName>
    <definedName name="tx_desconto_real">#REF!</definedName>
    <definedName name="TxAplicMes" localSheetId="0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localSheetId="0" hidden="1">{#N/A,#N/A,FALSE,"Plan1";#N/A,#N/A,FALSE,"Plan2"}</definedName>
    <definedName name="TYHGFHFHG" hidden="1">{#N/A,#N/A,FALSE,"Plan1";#N/A,#N/A,FALSE,"Plan2"}</definedName>
    <definedName name="u" localSheetId="16" hidden="1">{#N/A,#N/A,FALSE,"ET-CAPA";#N/A,#N/A,FALSE,"ET-PAG1";#N/A,#N/A,FALSE,"ET-PAG2";#N/A,#N/A,FALSE,"ET-PAG3";#N/A,#N/A,FALSE,"ET-PAG4";#N/A,#N/A,FALSE,"ET-PAG5"}</definedName>
    <definedName name="u" localSheetId="18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8" hidden="1">{#N/A,#N/A,FALSE,"ET-CAPA";#N/A,#N/A,FALSE,"ET-PAG1";#N/A,#N/A,FALSE,"ET-PAG2";#N/A,#N/A,FALSE,"ET-PAG3";#N/A,#N/A,FALSE,"ET-PAG4";#N/A,#N/A,FALSE,"ET-PAG5"}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9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localSheetId="0" hidden="1">{#N/A,#N/A,FALSE,"Plan1";#N/A,#N/A,FALSE,"Plan2"}</definedName>
    <definedName name="udhgfhfg" hidden="1">{#N/A,#N/A,FALSE,"Plan1";#N/A,#N/A,FALSE,"Plan2"}</definedName>
    <definedName name="ueiutriuef" localSheetId="0" hidden="1">{#N/A,#N/A,FALSE,"Plan1";#N/A,#N/A,FALSE,"Plan2"}</definedName>
    <definedName name="ueiutriuef" hidden="1">{#N/A,#N/A,FALSE,"Plan1";#N/A,#N/A,FALSE,"Plan2"}</definedName>
    <definedName name="UENSIT" localSheetId="0">#REF!</definedName>
    <definedName name="UENSIT">#REF!</definedName>
    <definedName name="UENSITS" localSheetId="0">#REF!</definedName>
    <definedName name="UENSITS">#REF!</definedName>
    <definedName name="UHGSDUS" localSheetId="0" hidden="1">{#N/A,#N/A,FALSE,"Plan1";#N/A,#N/A,FALSE,"Plan2"}</definedName>
    <definedName name="UHGSDUS" hidden="1">{#N/A,#N/A,FALSE,"Plan1";#N/A,#N/A,FALSE,"Plan2"}</definedName>
    <definedName name="UI" localSheetId="0" hidden="1">#REF!</definedName>
    <definedName name="UI" hidden="1">#REF!</definedName>
    <definedName name="UIHWER45R" localSheetId="0" hidden="1">{#N/A,#N/A,FALSE,"Plan1";#N/A,#N/A,FALSE,"Plan2"}</definedName>
    <definedName name="UIHWER45R" hidden="1">{#N/A,#N/A,FALSE,"Plan1";#N/A,#N/A,FALSE,"Plan2"}</definedName>
    <definedName name="uiosderuiu" localSheetId="0" hidden="1">{#N/A,#N/A,FALSE,"Plan1";#N/A,#N/A,FALSE,"Plan2"}</definedName>
    <definedName name="uiosderuiu" hidden="1">{#N/A,#N/A,FALSE,"Plan1";#N/A,#N/A,FALSE,"Plan2"}</definedName>
    <definedName name="UIOURET" localSheetId="0" hidden="1">{#N/A,#N/A,FALSE,"Plan1";#N/A,#N/A,FALSE,"Plan2"}</definedName>
    <definedName name="UIOURET" hidden="1">{#N/A,#N/A,FALSE,"Plan1";#N/A,#N/A,FALSE,"Plan2"}</definedName>
    <definedName name="uiwuer" localSheetId="0" hidden="1">{#N/A,#N/A,FALSE,"Plan1";#N/A,#N/A,FALSE,"Plan2"}</definedName>
    <definedName name="uiwuer" hidden="1">{#N/A,#N/A,FALSE,"Plan1";#N/A,#N/A,FALSE,"Plan2"}</definedName>
    <definedName name="UKHDFDSGUDFKD" localSheetId="0" hidden="1">{#N/A,#N/A,FALSE,"Plan1";#N/A,#N/A,FALSE,"Plan2"}</definedName>
    <definedName name="UKHDFDSGUDFKD" hidden="1">{#N/A,#N/A,FALSE,"Plan1";#N/A,#N/A,FALSE,"Plan2"}</definedName>
    <definedName name="um" localSheetId="0" hidden="1">0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 localSheetId="0">OFFSET(#REF!,0,0,COUNTA(#REF!),1)</definedName>
    <definedName name="UNID">OFFSET(#REF!,0,0,COUNTA(#REF!),1)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0">#REF!</definedName>
    <definedName name="univ_cdi">#REF!</definedName>
    <definedName name="univ_hist" localSheetId="0">#REF!</definedName>
    <definedName name="univ_hist">#REF!</definedName>
    <definedName name="univ_uss" localSheetId="0">#REF!</definedName>
    <definedName name="univ_uss">#REF!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0" hidden="1">{#N/A,#N/A,FALSE,"Plan1";#N/A,#N/A,FALSE,"Plan2"}</definedName>
    <definedName name="uryrtyt" hidden="1">{#N/A,#N/A,FALSE,"Plan1";#N/A,#N/A,FALSE,"Plan2"}</definedName>
    <definedName name="V" localSheetId="0">#REF!</definedName>
    <definedName name="V">#REF!</definedName>
    <definedName name="VALIDADE_EXECUÇÃO" localSheetId="0">#REF!</definedName>
    <definedName name="VALIDADE_EXECUÇÃO">#REF!</definedName>
    <definedName name="Valor_PLS_Controladoria" localSheetId="0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0">#REF!</definedName>
    <definedName name="VAOS">#REF!</definedName>
    <definedName name="vdsgfrhgfr" localSheetId="0" hidden="1">{#N/A,#N/A,FALSE,"Plan1";#N/A,#N/A,FALSE,"Plan2"}</definedName>
    <definedName name="vdsgfrhgfr" hidden="1">{#N/A,#N/A,FALSE,"Plan1";#N/A,#N/A,FALSE,"Plan2"}</definedName>
    <definedName name="Veiculos" localSheetId="0">#REF!</definedName>
    <definedName name="Veiculos">#REF!</definedName>
    <definedName name="VENDA_ADOTADA" localSheetId="0">#REF!</definedName>
    <definedName name="VENDA_ADOTADA">#REF!</definedName>
    <definedName name="VENDAFINAL_R" localSheetId="0">#REF!</definedName>
    <definedName name="VENDAFINAL_R">#REF!</definedName>
    <definedName name="VENDAFINAL_U">#REF!</definedName>
    <definedName name="Vendas">#REF!</definedName>
    <definedName name="vendas_">#REF!</definedName>
    <definedName name="VERIFICAR" localSheetId="0" hidden="1">{#N/A,#N/A,TRUE,"Quinzena 01 à 15-04-98 "}</definedName>
    <definedName name="VERIFICAR" hidden="1">{#N/A,#N/A,TRUE,"Quinzena 01 à 15-04-98 "}</definedName>
    <definedName name="versao_estudo" localSheetId="0">#REF!</definedName>
    <definedName name="versao_estudo">#REF!</definedName>
    <definedName name="vfbg" localSheetId="0">#REF!</definedName>
    <definedName name="vfbg">#REF!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0" hidden="1">{#N/A,#N/A,FALSE,"Plan1";#N/A,#N/A,FALSE,"Plan2"}</definedName>
    <definedName name="VFV" hidden="1">{#N/A,#N/A,FALSE,"Plan1";#N/A,#N/A,FALSE,"Plan2"}</definedName>
    <definedName name="VI" localSheetId="0">#REF!</definedName>
    <definedName name="VI">#REF!</definedName>
    <definedName name="VINTE" localSheetId="0">#REF!</definedName>
    <definedName name="VINTE">#REF!</definedName>
    <definedName name="visao_cashflow" localSheetId="0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localSheetId="0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 localSheetId="0">#REF!</definedName>
    <definedName name="VOLUME1">#REF!</definedName>
    <definedName name="VOLUME2" localSheetId="0">#REF!</definedName>
    <definedName name="VOLUME2">#REF!</definedName>
    <definedName name="VOLUME3">#REF!</definedName>
    <definedName name="VSDHFGDFGR" localSheetId="0" hidden="1">{#N/A,#N/A,FALSE,"Plan1";#N/A,#N/A,FALSE,"Plan2"}</definedName>
    <definedName name="VSDHFGDFGR" hidden="1">{#N/A,#N/A,FALSE,"Plan1";#N/A,#N/A,FALSE,"Plan2"}</definedName>
    <definedName name="vvbb" localSheetId="0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0" hidden="1">{#N/A,#N/A,FALSE,"Plan1";#N/A,#N/A,FALSE,"Plan2"}</definedName>
    <definedName name="vvcbnb" hidden="1">{#N/A,#N/A,FALSE,"Plan1";#N/A,#N/A,FALSE,"Plan2"}</definedName>
    <definedName name="vvvvv" localSheetId="0" hidden="1">{"Econ Consolidado",#N/A,FALSE,"Econ Consol";"Fluxo de Caixa",#N/A,FALSE,"Fluxo Caixa";"Investimentos",#N/A,FALSE,"Investimentos"}</definedName>
    <definedName name="vvvvv" hidden="1">{"Econ Consolidado",#N/A,FALSE,"Econ Consol";"Fluxo de Caixa",#N/A,FALSE,"Fluxo Caixa";"Investimentos",#N/A,FALSE,"Investimentos"}</definedName>
    <definedName name="vvvvvv" localSheetId="0" hidden="1">{#N/A,#N/A,FALSE,"Plan1";#N/A,#N/A,FALSE,"Plan2"}</definedName>
    <definedName name="vvvvvv" hidden="1">{#N/A,#N/A,FALSE,"Plan1";#N/A,#N/A,FALSE,"Plan2"}</definedName>
    <definedName name="vvvvvvvvvvvvvvvvv" localSheetId="0" hidden="1">{"HW",#N/A,FALSE,"1998"}</definedName>
    <definedName name="vvvvvvvvvvvvvvvvv" hidden="1">{"HW",#N/A,FALSE,"1998"}</definedName>
    <definedName name="VX" localSheetId="0" hidden="1">#REF!</definedName>
    <definedName name="VX" hidden="1">#REF!</definedName>
    <definedName name="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>#REF!</definedName>
    <definedName name="wacc" localSheetId="0">#REF!</definedName>
    <definedName name="wacc">#REF!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0" hidden="1">#REF!</definedName>
    <definedName name="wdewr" hidden="1">#REF!</definedName>
    <definedName name="WE" localSheetId="0" hidden="1">#REF!</definedName>
    <definedName name="WE" hidden="1">#REF!</definedName>
    <definedName name="weki_9701.xls" localSheetId="0" hidden="1">#REF!</definedName>
    <definedName name="weki_9701.xls" hidden="1">#REF!</definedName>
    <definedName name="wekir9701.xls" hidden="1">#REF!</definedName>
    <definedName name="werw4tr" localSheetId="0" hidden="1">{#N/A,#N/A,FALSE,"Plan1";#N/A,#N/A,FALSE,"Plan2"}</definedName>
    <definedName name="werw4tr" hidden="1">{#N/A,#N/A,FALSE,"Plan1";#N/A,#N/A,FALSE,"Plan2"}</definedName>
    <definedName name="wetoedjtkdr" localSheetId="0" hidden="1">{#N/A,#N/A,FALSE,"Plan1";#N/A,#N/A,FALSE,"Plan2"}</definedName>
    <definedName name="wetoedjtkdr" hidden="1">{#N/A,#N/A,FALSE,"Plan1";#N/A,#N/A,FALSE,"Plan2"}</definedName>
    <definedName name="WHATS" localSheetId="0" hidden="1">{"'Edit'!$A$1:$V$2277"}</definedName>
    <definedName name="WHATS" hidden="1">{"'Edit'!$A$1:$V$2277"}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0">#REF!</definedName>
    <definedName name="WITENS">#REF!</definedName>
    <definedName name="WKJHIR" localSheetId="0" hidden="1">{#N/A,#N/A,FALSE,"Plan1";#N/A,#N/A,FALSE,"Plan2"}</definedName>
    <definedName name="WKJHIR" hidden="1">{#N/A,#N/A,FALSE,"Plan1";#N/A,#N/A,FALSE,"Plan2"}</definedName>
    <definedName name="WLQ" localSheetId="0" hidden="1">{#N/A,#N/A,FALSE,"명세표"}</definedName>
    <definedName name="WLQ" hidden="1">{#N/A,#N/A,FALSE,"명세표"}</definedName>
    <definedName name="WNMLOCAL" localSheetId="0">#REF!</definedName>
    <definedName name="WNMLOCAL">#REF!</definedName>
    <definedName name="WNMMUN" localSheetId="0">#REF!</definedName>
    <definedName name="WNMMUN">#REF!</definedName>
    <definedName name="WNMSERV" localSheetId="0">#REF!</definedName>
    <definedName name="WNMSERV">#REF!</definedName>
    <definedName name="worl_cdi">#REF!</definedName>
    <definedName name="worl_hist">#REF!</definedName>
    <definedName name="worl_uss">#REF!</definedName>
    <definedName name="WRITE" localSheetId="0" hidden="1">{#N/A,#N/A,FALSE,"CCTV"}</definedName>
    <definedName name="WRITE" hidden="1">{#N/A,#N/A,FALSE,"CCTV"}</definedName>
    <definedName name="wrn.BM." localSheetId="0" hidden="1">{#N/A,#N/A,FALSE,"CCTV"}</definedName>
    <definedName name="wrn.BM." hidden="1">{#N/A,#N/A,FALSE,"CCTV"}</definedName>
    <definedName name="wrn.Brita98.xls." localSheetId="0" hidden="1">{#N/A,#N/A,TRUE,"Quinzena 01 à 15-04-98 "}</definedName>
    <definedName name="wrn.Brita98.xls." hidden="1">{#N/A,#N/A,TRUE,"Quinzena 01 à 15-04-98 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." hidden="1">{"EconCons",#N/A,TRUE,"Econômico - Consolidado";"CaixaCons",#N/A,TRUE,"Caixa - Consolidado";"InvestCons",#N/A,TRUE,"Invest Consolidado"}</definedName>
    <definedName name="wrn.Consolidado." localSheetId="0" hidden="1">{"Econ Consolidado",#N/A,FALSE,"Econ Consol";"Fluxo de Caixa",#N/A,FALSE,"Fluxo Caixa";"Investimentos",#N/A,FALSE,"Investimentos"}</definedName>
    <definedName name="wrn.Consolidado." hidden="1">{"Econ Consolidado",#N/A,FALSE,"Econ Consol";"Fluxo de Caixa",#N/A,FALSE,"Fluxo Caixa";"Investimentos",#N/A,FALSE,"Investimentos"}</definedName>
    <definedName name="wrn.GERAL." localSheetId="16" hidden="1">{#N/A,#N/A,FALSE,"ET-CAPA";#N/A,#N/A,FALSE,"ET-PAG1";#N/A,#N/A,FALSE,"ET-PAG2";#N/A,#N/A,FALSE,"ET-PAG3";#N/A,#N/A,FALSE,"ET-PAG4";#N/A,#N/A,FALSE,"ET-PAG5"}</definedName>
    <definedName name="wrn.GERAL." localSheetId="18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9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localSheetId="0" hidden="1">{#N/A,#N/A,FALSE,"cdi";#N/A,#N/A,FALSE,"debent";#N/A,#N/A,FALSE,"fdos";#N/A,#N/A,FALSE,"resumo"}</definedName>
    <definedName name="wrn.HAGE." hidden="1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localSheetId="0" hidden="1">{"HW",#N/A,FALSE,"1998"}</definedName>
    <definedName name="wrn.HW." hidden="1">{"HW",#N/A,FALSE,"1998"}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0" hidden="1">{#N/A,#N/A,FALSE,"Plan1";#N/A,#N/A,FALSE,"Plan2"}</definedName>
    <definedName name="wrn.IMPRESSO." hidden="1">{#N/A,#N/A,FALSE,"Plan1";#N/A,#N/A,FALSE,"Plan2"}</definedName>
    <definedName name="wrn.Imprimir." localSheetId="0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 hidden="1">{#N/A,#N/A,FALSE,"ALVENARIA";#N/A,#N/A,FALSE,"BLOCOS";#N/A,#N/A,FALSE,"CINTAS";#N/A,#N/A,FALSE,"CORTINA";#N/A,#N/A,FALSE,"LAJES";#N/A,#N/A,FALSE,"PILARES";#N/A,#N/A,FALSE,"VIGAS"}</definedName>
    <definedName name="wrn.Month._.Report._.Package." localSheetId="0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0" hidden="1">{#N/A,#N/A,FALSE,"F-01"}</definedName>
    <definedName name="wrn.Planiha._.de._.Medição._.F._.01." hidden="1">{#N/A,#N/A,FALSE,"F-01"}</definedName>
    <definedName name="wrn.Planiha._.de._.Medição._.F._.01._1" localSheetId="0" hidden="1">{#N/A,#N/A,FALSE,"F-01"}</definedName>
    <definedName name="wrn.Planiha._.de._.Medição._.F._.01._1" hidden="1">{#N/A,#N/A,FALSE,"F-01"}</definedName>
    <definedName name="wrn.Planilha_de_Medição_F_02" localSheetId="0" hidden="1">{#N/A,#N/A,FALSE,"F-01"}</definedName>
    <definedName name="wrn.Planilha_de_Medição_F_02" hidden="1">{#N/A,#N/A,FALSE,"F-01"}</definedName>
    <definedName name="wrn.print._.all." localSheetId="0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0" hidden="1">{#N/A,#N/A,FALSE,"Sheet1";#N/A,#N/A,FALSE,"Sheet2";#N/A,#N/A,FALSE,"Sheet3"}</definedName>
    <definedName name="wrn.PrintCurr." hidden="1">{#N/A,#N/A,FALSE,"Sheet1";#N/A,#N/A,FALSE,"Sheet2";#N/A,#N/A,FALSE,"Sheet3"}</definedName>
    <definedName name="wrn.PrintPrev1." localSheetId="0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0" hidden="1">{#N/A,#N/A,FALSE,"Sheet7";#N/A,#N/A,FALSE,"Sheet8";#N/A,#N/A,FALSE,"Sheet9"}</definedName>
    <definedName name="wrn.PrintPrev2." hidden="1">{#N/A,#N/A,FALSE,"Sheet7";#N/A,#N/A,FALSE,"Sheet8";#N/A,#N/A,FALSE,"Sheet9"}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0" hidden="1">{#N/A,#N/A,FALSE,"TABLE"}</definedName>
    <definedName name="wrn.STAFFS." hidden="1">{#N/A,#N/A,FALSE,"TABLE"}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0" hidden="1">{#N/A,#N/A,FALSE,"명세표"}</definedName>
    <definedName name="wrn.test1." hidden="1">{#N/A,#N/A,FALSE,"명세표"}</definedName>
    <definedName name="wrn.Unidades." localSheetId="0" hidden="1">{"Rio Branco",#N/A,FALSE,"Rio Branco";"Itajaí",#N/A,FALSE,"Itajaí";"Pinheiro Machado",#N/A,FALSE,"PMachado";"Esteio",#N/A,FALSE,"Esteio"}</definedName>
    <definedName name="wrn.Unidades." hidden="1">{"Rio Branco",#N/A,FALSE,"Rio Branco";"Itajaí",#N/A,FALSE,"Itajaí";"Pinheiro Machado",#N/A,FALSE,"PMachado";"Esteio",#N/A,FALSE,"Esteio"}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0" hidden="1">{#N/A,#N/A,FALSE,"Sheet1";#N/A,#N/A,FALSE,"Sheet2";#N/A,#N/A,FALSE,"TAB96-1"}</definedName>
    <definedName name="wrn.견적." hidden="1">{#N/A,#N/A,FALSE,"Sheet1";#N/A,#N/A,FALSE,"Sheet2";#N/A,#N/A,FALSE,"TAB96-1"}</definedName>
    <definedName name="wrn.보호계전기." localSheetId="0" hidden="1">{#N/A,#N/A,FALSE,"ENG'G(보호계전기)"}</definedName>
    <definedName name="wrn.보호계전기." hidden="1">{#N/A,#N/A,FALSE,"ENG'G(보호계전기)"}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1.Cons." localSheetId="0" hidden="1">{"EconCons",#N/A,TRUE,"Econômico - Consolidado";"CaixaCons",#N/A,TRUE,"Caixa - Consolidado";"InvestCons",#N/A,TRUE,"Invest Consolidado"}</definedName>
    <definedName name="wrn1.Cons." hidden="1">{"EconCons",#N/A,TRUE,"Econômico - Consolidado";"CaixaCons",#N/A,TRUE,"Caixa - Consolidado";"InvestCons",#N/A,TRUE,"Invest Consolidado"}</definedName>
    <definedName name="wrn1.print._.all." localSheetId="0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S" localSheetId="0" hidden="1">{"'장비'!$A$3:$M$12"}</definedName>
    <definedName name="WRS" hidden="1">{"'장비'!$A$3:$M$12"}</definedName>
    <definedName name="wrt" localSheetId="0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0">#REF!</definedName>
    <definedName name="X">#REF!</definedName>
    <definedName name="XALFA" localSheetId="0">#REF!</definedName>
    <definedName name="XALFA">#REF!</definedName>
    <definedName name="XC" localSheetId="0">#REF!</definedName>
    <definedName name="XC">#REF!</definedName>
    <definedName name="xcfrt" localSheetId="0" hidden="1">{#N/A,#N/A,FALSE,"Plan1";#N/A,#N/A,FALSE,"Plan2"}</definedName>
    <definedName name="xcfrt" hidden="1">{#N/A,#N/A,FALSE,"Plan1";#N/A,#N/A,FALSE,"Plan2"}</definedName>
    <definedName name="xcgjkfghf" localSheetId="0" hidden="1">{#N/A,#N/A,FALSE,"Plan1";#N/A,#N/A,FALSE,"Plan2"}</definedName>
    <definedName name="xcgjkfghf" hidden="1">{#N/A,#N/A,FALSE,"Plan1";#N/A,#N/A,FALSE,"Plan2"}</definedName>
    <definedName name="XCGJKVHFDG" localSheetId="0" hidden="1">{#N/A,#N/A,FALSE,"Plan1";#N/A,#N/A,FALSE,"Plan2"}</definedName>
    <definedName name="XCGJKVHFDG" hidden="1">{#N/A,#N/A,FALSE,"Plan1";#N/A,#N/A,FALSE,"Plan2"}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0">#REF!</definedName>
    <definedName name="XCI">#REF!</definedName>
    <definedName name="XCII" localSheetId="0">#REF!</definedName>
    <definedName name="XCII">#REF!</definedName>
    <definedName name="XCIII" localSheetId="0">#REF!</definedName>
    <definedName name="XCIII">#REF!</definedName>
    <definedName name="XCIV">#REF!</definedName>
    <definedName name="XCIX">#REF!</definedName>
    <definedName name="xçl" localSheetId="0" hidden="1">{#N/A,#N/A,FALSE,"Plan1";#N/A,#N/A,FALSE,"Plan2"}</definedName>
    <definedName name="xçl" hidden="1">{#N/A,#N/A,FALSE,"Plan1";#N/A,#N/A,FALSE,"Plan2"}</definedName>
    <definedName name="xcndj" localSheetId="0" hidden="1">{#N/A,#N/A,FALSE,"Plan1";#N/A,#N/A,FALSE,"Plan2"}</definedName>
    <definedName name="xcndj" hidden="1">{#N/A,#N/A,FALSE,"Plan1";#N/A,#N/A,FALSE,"Plan2"}</definedName>
    <definedName name="XCV" localSheetId="0">#REF!</definedName>
    <definedName name="XCV">#REF!</definedName>
    <definedName name="XCVGGT" localSheetId="0" hidden="1">{#N/A,#N/A,FALSE,"Plan1";#N/A,#N/A,FALSE,"Plan2"}</definedName>
    <definedName name="XCVGGT" hidden="1">{#N/A,#N/A,FALSE,"Plan1";#N/A,#N/A,FALSE,"Plan2"}</definedName>
    <definedName name="XCVI" localSheetId="0">#REF!</definedName>
    <definedName name="XCVI">#REF!</definedName>
    <definedName name="XCVII" localSheetId="0">#REF!</definedName>
    <definedName name="XCVII">#REF!</definedName>
    <definedName name="XCVIII" localSheetId="0">#REF!</definedName>
    <definedName name="XCVIII">#REF!</definedName>
    <definedName name="xcvrg" localSheetId="0" hidden="1">{#N/A,#N/A,FALSE,"Plan1";#N/A,#N/A,FALSE,"Plan2"}</definedName>
    <definedName name="xcvrg" hidden="1">{#N/A,#N/A,FALSE,"Plan1";#N/A,#N/A,FALSE,"Plan2"}</definedName>
    <definedName name="XDATA" localSheetId="0">#REF!</definedName>
    <definedName name="XDATA">#REF!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0" hidden="1">{#N/A,#N/A,FALSE,"Plan1";#N/A,#N/A,FALSE,"Plan2"}</definedName>
    <definedName name="xdgtyhyt" hidden="1">{#N/A,#N/A,FALSE,"Plan1";#N/A,#N/A,FALSE,"Plan2"}</definedName>
    <definedName name="xfdlfj" localSheetId="0" hidden="1">{#N/A,#N/A,FALSE,"Plan1";#N/A,#N/A,FALSE,"Plan2"}</definedName>
    <definedName name="xfdlfj" hidden="1">{#N/A,#N/A,FALSE,"Plan1";#N/A,#N/A,FALSE,"Plan2"}</definedName>
    <definedName name="xfdxfdf" localSheetId="0" hidden="1">{#N/A,#N/A,FALSE,"Plan1";#N/A,#N/A,FALSE,"Plan2"}</definedName>
    <definedName name="xfdxfdf" hidden="1">{#N/A,#N/A,FALSE,"Plan1";#N/A,#N/A,FALSE,"Plan2"}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0" hidden="1">{#N/A,#N/A,FALSE,"Plan1";#N/A,#N/A,FALSE,"Plan2"}</definedName>
    <definedName name="xfrty" hidden="1">{#N/A,#N/A,FALSE,"Plan1";#N/A,#N/A,FALSE,"Plan2"}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0" hidden="1">{"Econ Consolidado",#N/A,FALSE,"Econ Consol";"Fluxo de Caixa",#N/A,FALSE,"Fluxo Caixa";"Investimentos",#N/A,FALSE,"Investimentos"}</definedName>
    <definedName name="xfvchdhhd" hidden="1">{"Econ Consolidado",#N/A,FALSE,"Econ Consol";"Fluxo de Caixa",#N/A,FALSE,"Fluxo Caixa";"Investimentos",#N/A,FALSE,"Investimentos"}</definedName>
    <definedName name="xfvgcfgt" localSheetId="0" hidden="1">{#N/A,#N/A,FALSE,"Plan1";#N/A,#N/A,FALSE,"Plan2"}</definedName>
    <definedName name="xfvgcfgt" hidden="1">{#N/A,#N/A,FALSE,"Plan1";#N/A,#N/A,FALSE,"Plan2"}</definedName>
    <definedName name="xgrg" localSheetId="0" hidden="1">{#N/A,#N/A,FALSE,"Plan1";#N/A,#N/A,FALSE,"Plan2"}</definedName>
    <definedName name="xgrg" hidden="1">{#N/A,#N/A,FALSE,"Plan1";#N/A,#N/A,FALSE,"Plan2"}</definedName>
    <definedName name="XI" localSheetId="0">#REF!</definedName>
    <definedName name="XI">#REF!</definedName>
    <definedName name="XII" localSheetId="0">#REF!</definedName>
    <definedName name="XII">#REF!</definedName>
    <definedName name="XIII" localSheetId="0">#REF!</definedName>
    <definedName name="XIII">#REF!</definedName>
    <definedName name="XITEM">#REF!</definedName>
    <definedName name="XIV">#REF!</definedName>
    <definedName name="XLOC">#REF!</definedName>
    <definedName name="xmght" localSheetId="0" hidden="1">{#N/A,#N/A,FALSE,"Plan1";#N/A,#N/A,FALSE,"Plan2"}</definedName>
    <definedName name="xmght" hidden="1">{#N/A,#N/A,FALSE,"Plan1";#N/A,#N/A,FALSE,"Plan2"}</definedName>
    <definedName name="xnInforme_quantos_bebedouros____bebqt__if_bebqt__0__xlQt.bebedouros_invalida___ENTER_p_reinformar__xresp__branch_rqtderv" localSheetId="0">#REF!</definedName>
    <definedName name="xnInforme_quantos_bebedouros____bebqt__if_bebqt__0__xlQt.bebedouros_invalida___ENTER_p_reinformar__xresp__branch_rqtderv">#REF!</definedName>
    <definedName name="XNUCOPIAS" localSheetId="0">#REF!</definedName>
    <definedName name="XNUCOPIAS">#REF!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localSheetId="0" hidden="1">#REF!</definedName>
    <definedName name="XREF_COLUMN_1" hidden="1">#REF!</definedName>
    <definedName name="XREF_COLUMN_2" localSheetId="0" hidden="1">#REF!</definedName>
    <definedName name="XREF_COLUMN_2" hidden="1">#REF!</definedName>
    <definedName name="XREF_COLUMN_3" localSheetId="0" hidden="1">#REF!</definedName>
    <definedName name="XREF_COLUMN_3" hidden="1">#REF!</definedName>
    <definedName name="XREF_COLUMN_4" hidden="1">#REF!</definedName>
    <definedName name="XRefColumnsCount" hidden="1">1</definedName>
    <definedName name="XRefCopy2" localSheetId="0" hidden="1">#REF!</definedName>
    <definedName name="XRefCopy2" hidden="1">#REF!</definedName>
    <definedName name="XRefCopy3Row" localSheetId="0" hidden="1">#REF!</definedName>
    <definedName name="XRefCopy3Row" hidden="1">#REF!</definedName>
    <definedName name="XRefCopy4Row" localSheetId="0" hidden="1">#REF!</definedName>
    <definedName name="XRefCopy4Row" hidden="1">#REF!</definedName>
    <definedName name="XRefCopy6" hidden="1">#REF!</definedName>
    <definedName name="XRefCopyRangeCount" hidden="1">1</definedName>
    <definedName name="XRefPaste2" localSheetId="0" hidden="1">#REF!</definedName>
    <definedName name="XRefPaste2" hidden="1">#REF!</definedName>
    <definedName name="XRefPaste4" localSheetId="0" hidden="1">#REF!</definedName>
    <definedName name="XRefPaste4" hidden="1">#REF!</definedName>
    <definedName name="XRefPaste5" localSheetId="0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 localSheetId="0">#REF!</definedName>
    <definedName name="XRESP">#REF!</definedName>
    <definedName name="XTITRES" localSheetId="0">#REF!</definedName>
    <definedName name="XTITRES">#REF!</definedName>
    <definedName name="XV" localSheetId="0">#REF!</definedName>
    <definedName name="XV">#REF!</definedName>
    <definedName name="xx" localSheetId="0" hidden="1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localSheetId="16">#REF!</definedName>
    <definedName name="xxxx" localSheetId="18">#REF!</definedName>
    <definedName name="xxxx" localSheetId="1">#REF!</definedName>
    <definedName name="xxxx" localSheetId="8">#REF!</definedName>
    <definedName name="xxxx" localSheetId="2">#REF!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9">#REF!</definedName>
    <definedName name="xxxx">#REF!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0" hidden="1">{"'Edit'!$A$1:$V$2277"}</definedName>
    <definedName name="xxxxxxxxxxxx">#REF!</definedName>
    <definedName name="xxxxxxxxxxxxxx" localSheetId="0" hidden="1">{#N/A,#N/A,FALSE,"Plan1";#N/A,#N/A,FALSE,"Plan2"}</definedName>
    <definedName name="xxxxxxxxxxxxxx" hidden="1">{#N/A,#N/A,FALSE,"Plan1";#N/A,#N/A,FALSE,"Plan2"}</definedName>
    <definedName name="xzfrt" localSheetId="0" hidden="1">{#N/A,#N/A,FALSE,"Plan1";#N/A,#N/A,FALSE,"Plan2"}</definedName>
    <definedName name="xzfrt" hidden="1">{#N/A,#N/A,FALSE,"Plan1";#N/A,#N/A,FALSE,"Plan2"}</definedName>
    <definedName name="yeitrtged" localSheetId="0" hidden="1">{#N/A,#N/A,FALSE,"Plan1";#N/A,#N/A,FALSE,"Plan2"}</definedName>
    <definedName name="yeitrtged" hidden="1">{#N/A,#N/A,FALSE,"Plan1";#N/A,#N/A,FALSE,"Plan2"}</definedName>
    <definedName name="yhdfiuygrui" localSheetId="0" hidden="1">{#N/A,#N/A,FALSE,"Plan1";#N/A,#N/A,FALSE,"Plan2"}</definedName>
    <definedName name="yhdfiuygrui" hidden="1">{#N/A,#N/A,FALSE,"Plan1";#N/A,#N/A,FALSE,"Plan2"}</definedName>
    <definedName name="YRGUYDRIY" localSheetId="0" hidden="1">{"Econ Consolidado",#N/A,FALSE,"Econ Consol";"Fluxo de Caixa",#N/A,FALSE,"Fluxo Caixa";"Investimentos",#N/A,FALSE,"Investimentos"}</definedName>
    <definedName name="YRGUYDRIY" hidden="1">{"Econ Consolidado",#N/A,FALSE,"Econ Consol";"Fluxo de Caixa",#N/A,FALSE,"Fluxo Caixa";"Investimentos",#N/A,FALSE,"Investimentos"}</definedName>
    <definedName name="ytdju" localSheetId="0">#REF!</definedName>
    <definedName name="ytdju">#REF!</definedName>
    <definedName name="yuegursdmksf" localSheetId="0" hidden="1">{#N/A,#N/A,FALSE,"Plan1";#N/A,#N/A,FALSE,"Plan2"}</definedName>
    <definedName name="yuegursdmksf" hidden="1">{#N/A,#N/A,FALSE,"Plan1";#N/A,#N/A,FALSE,"Plan2"}</definedName>
    <definedName name="yuekl4fr" localSheetId="0" hidden="1">{#N/A,#N/A,FALSE,"Plan1";#N/A,#N/A,FALSE,"Plan2"}</definedName>
    <definedName name="yuekl4fr" hidden="1">{#N/A,#N/A,FALSE,"Plan1";#N/A,#N/A,FALSE,"Plan2"}</definedName>
    <definedName name="yureytuyrea" localSheetId="0" hidden="1">{#N/A,#N/A,FALSE,"Plan1";#N/A,#N/A,FALSE,"Plan2"}</definedName>
    <definedName name="yureytuyrea" hidden="1">{#N/A,#N/A,FALSE,"Plan1";#N/A,#N/A,FALSE,"Plan2"}</definedName>
    <definedName name="z" localSheetId="0" hidden="1">{"'Estimativa de Lançamento-JAN'!$A$1:$AI$85"}</definedName>
    <definedName name="z" hidden="1">{"'Estimativa de Lançamento-JAN'!$A$1:$AI$85"}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localSheetId="0" hidden="1">#REF!</definedName>
    <definedName name="Z_022B7420_7F94_427F_B370_84030F9B3342_.wvu.FilterData" hidden="1">#REF!</definedName>
    <definedName name="Z_04BC043C_175B_412D_8093_6F29CD74FBAE_.wvu.FilterData" localSheetId="0" hidden="1">#REF!</definedName>
    <definedName name="Z_04BC043C_175B_412D_8093_6F29CD74FBAE_.wvu.FilterData" hidden="1">#REF!</definedName>
    <definedName name="Z_058B9256_CB4D_4C39_834D_D693FEEB491F_.wvu.FilterData" localSheetId="0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localSheetId="0" hidden="1">#REF!</definedName>
    <definedName name="Z_14D375AC_5615_46DE_8EE3_95915B2A8B54_.wvu.FilterData" hidden="1">#REF!</definedName>
    <definedName name="Z_15697660_066E_11D5_AF15_00010242ED40_.wvu.PrintArea" localSheetId="0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localSheetId="0" hidden="1">#REF!,#REF!</definedName>
    <definedName name="Z_60DF8B29_1C1F_4B50_BDA8_B8E0C7DD04C3_.wvu.Cols" hidden="1">#REF!,#REF!</definedName>
    <definedName name="Z_60DF8B29_1C1F_4B50_BDA8_B8E0C7DD04C3_.wvu.FilterData" localSheetId="0" hidden="1">#REF!</definedName>
    <definedName name="Z_60DF8B29_1C1F_4B50_BDA8_B8E0C7DD04C3_.wvu.FilterData" hidden="1">#REF!</definedName>
    <definedName name="Z_615F4A4D_D5AB_4A04_81F5_F436484247A5_.wvu.FilterData" localSheetId="0" hidden="1">#REF!</definedName>
    <definedName name="Z_615F4A4D_D5AB_4A04_81F5_F436484247A5_.wvu.FilterData" hidden="1">#REF!</definedName>
    <definedName name="Z_616443B5_6F0D_4082_9223_F71B54305366_.wvu.FilterData" localSheetId="0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localSheetId="0" hidden="1">#REF!,#REF!</definedName>
    <definedName name="Z_E3FFE9E0_6C4F_4FB4_A56E_FBE96871B5C8_.wvu.Cols" hidden="1">#REF!,#REF!</definedName>
    <definedName name="Z_E3FFE9E0_6C4F_4FB4_A56E_FBE96871B5C8_.wvu.FilterData" localSheetId="0" hidden="1">#REF!</definedName>
    <definedName name="Z_E3FFE9E0_6C4F_4FB4_A56E_FBE96871B5C8_.wvu.FilterData" hidden="1">#REF!</definedName>
    <definedName name="Z_E42D429F_E4E8_41D2_9176_83C726BAF8E3_.wvu.FilterData" localSheetId="0" hidden="1">#REF!</definedName>
    <definedName name="Z_E42D429F_E4E8_41D2_9176_83C726BAF8E3_.wvu.FilterData" hidden="1">#REF!</definedName>
    <definedName name="Z_E491B72F_902A_11D7_9C1E_0004231B06E7_.wvu.FilterData" localSheetId="0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localSheetId="0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localSheetId="0" hidden="1">{#N/A,#N/A,FALSE,"Plan1";#N/A,#N/A,FALSE,"Plan2"}</definedName>
    <definedName name="zcdçskld" hidden="1">{#N/A,#N/A,FALSE,"Plan1";#N/A,#N/A,FALSE,"Plan2"}</definedName>
    <definedName name="zcsdrfrt" localSheetId="0" hidden="1">{#N/A,#N/A,FALSE,"Plan1";#N/A,#N/A,FALSE,"Plan2"}</definedName>
    <definedName name="zcsdrfrt" hidden="1">{#N/A,#N/A,FALSE,"Plan1";#N/A,#N/A,FALSE,"Plan2"}</definedName>
    <definedName name="ZDRE" localSheetId="0" hidden="1">{#N/A,#N/A,FALSE,"Plan1";#N/A,#N/A,FALSE,"Plan2"}</definedName>
    <definedName name="ZDRE" hidden="1">{#N/A,#N/A,FALSE,"Plan1";#N/A,#N/A,FALSE,"Plan2"}</definedName>
    <definedName name="ZEZE" localSheetId="0">#REF!</definedName>
    <definedName name="ZEZE">#REF!</definedName>
    <definedName name="ZIN" localSheetId="0">#REF!</definedName>
    <definedName name="ZIN">#REF!</definedName>
    <definedName name="ZINS" localSheetId="0">#REF!</definedName>
    <definedName name="ZINS">#REF!</definedName>
    <definedName name="ZSADF" localSheetId="0" hidden="1">{#N/A,#N/A,FALSE,"Plan1";#N/A,#N/A,FALSE,"Plan2"}</definedName>
    <definedName name="ZSADF" hidden="1">{#N/A,#N/A,FALSE,"Plan1";#N/A,#N/A,FALSE,"Plan2"}</definedName>
    <definedName name="zsads" localSheetId="0" hidden="1">{#N/A,#N/A,FALSE,"Plan1";#N/A,#N/A,FALSE,"Plan2"}</definedName>
    <definedName name="zsads" hidden="1">{#N/A,#N/A,FALSE,"Plan1";#N/A,#N/A,FALSE,"Plan2"}</definedName>
    <definedName name="ZSDFSETR" localSheetId="0" hidden="1">#REF!</definedName>
    <definedName name="ZSDFSETR" hidden="1">#REF!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0" hidden="1">{#N/A,#N/A,FALSE,"Plan1";#N/A,#N/A,FALSE,"Plan2"}</definedName>
    <definedName name="zxccdf" hidden="1">{#N/A,#N/A,FALSE,"Plan1";#N/A,#N/A,FALSE,"Plan2"}</definedName>
    <definedName name="zxcdsf" localSheetId="0" hidden="1">#REF!</definedName>
    <definedName name="zxcdsf" hidden="1">#REF!</definedName>
    <definedName name="zxcfdstrrt" localSheetId="0" hidden="1">{#N/A,#N/A,FALSE,"Plan1";#N/A,#N/A,FALSE,"Plan2"}</definedName>
    <definedName name="zxcfdstrrt" hidden="1">{#N/A,#N/A,FALSE,"Plan1";#N/A,#N/A,FALSE,"Plan2"}</definedName>
    <definedName name="zxcx" localSheetId="0" hidden="1">{#N/A,#N/A,FALSE,"Plan1";#N/A,#N/A,FALSE,"Plan2"}</definedName>
    <definedName name="zxcx" hidden="1">{#N/A,#N/A,FALSE,"Plan1";#N/A,#N/A,FALSE,"Plan2"}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0" hidden="1">{#N/A,#N/A,FALSE,"Plan1";#N/A,#N/A,FALSE,"Plan2"}</definedName>
    <definedName name="ZXFHDFRHDF" hidden="1">{#N/A,#N/A,FALSE,"Plan1";#N/A,#N/A,FALSE,"Plan2"}</definedName>
    <definedName name="ZZ" localSheetId="0">#REF!</definedName>
    <definedName name="ZZ">#REF!</definedName>
    <definedName name="zzdftr" localSheetId="0" hidden="1">{#N/A,#N/A,FALSE,"Plan1";#N/A,#N/A,FALSE,"Plan2"}</definedName>
    <definedName name="zzdftr" hidden="1">{#N/A,#N/A,FALSE,"Plan1";#N/A,#N/A,FALSE,"Plan2"}</definedName>
    <definedName name="zzz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>#REF!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0" hidden="1">{"'장비'!$A$3:$M$12"}</definedName>
    <definedName name="ㄱㄷㄱㄷㄱㄱㅎㄺㄷ" hidden="1">{"'장비'!$A$3:$M$12"}</definedName>
    <definedName name="가나다" hidden="1">#REF!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localSheetId="0" hidden="1">#REF!</definedName>
    <definedName name="견적조건" hidden="1">#REF!</definedName>
    <definedName name="계약고햔황2" localSheetId="0" hidden="1">#REF!</definedName>
    <definedName name="계약고햔황2" hidden="1">#REF!</definedName>
    <definedName name="계약고현황2" localSheetId="0" hidden="1">#REF!</definedName>
    <definedName name="계약고현황2" hidden="1">#REF!</definedName>
    <definedName name="고문" localSheetId="0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0" hidden="1">{#N/A,#N/A,FALSE,"ENG'G(보호계전기)"}</definedName>
    <definedName name="공급구분표_수정" hidden="1">{#N/A,#N/A,FALSE,"ENG'G(보호계전기)"}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localSheetId="0" hidden="1">#REF!</definedName>
    <definedName name="ㄴㄴㄴㄴ" hidden="1">#REF!</definedName>
    <definedName name="내역" localSheetId="0" hidden="1">{#N/A,#N/A,FALSE,"CCTV"}</definedName>
    <definedName name="내역" hidden="1">{#N/A,#N/A,FALSE,"CCTV"}</definedName>
    <definedName name="ㄷㄳ" localSheetId="0" hidden="1">{"'장비'!$A$3:$M$12"}</definedName>
    <definedName name="ㄷㄳ" hidden="1">{"'장비'!$A$3:$M$12"}</definedName>
    <definedName name="ㄷㄷㄷㄷ" localSheetId="0" hidden="1">{"'장비'!$A$3:$M$12"}</definedName>
    <definedName name="ㄷㄷㄷㄷ" hidden="1">{"'장비'!$A$3:$M$12"}</definedName>
    <definedName name="ㄷㅈㅂㄷ" localSheetId="0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localSheetId="0" hidden="1">{"'장비'!$A$3:$M$12"}</definedName>
    <definedName name="ㄹㄹ" hidden="1">{"'장비'!$A$3:$M$12"}</definedName>
    <definedName name="ㄹㄹㄹ" hidden="1">#REF!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0" hidden="1">{#N/A,#N/A,FALSE,"현장 NCR 분석";#N/A,#N/A,FALSE,"현장품질감사";#N/A,#N/A,FALSE,"현장품질감사"}</definedName>
    <definedName name="러러러" hidden="1">{#N/A,#N/A,FALSE,"현장 NCR 분석";#N/A,#N/A,FALSE,"현장품질감사";#N/A,#N/A,FALSE,"현장품질감사"}</definedName>
    <definedName name="ㅁ" localSheetId="0" hidden="1">{#N/A,#N/A,FALSE,"명세표"}</definedName>
    <definedName name="ㅁ" hidden="1">{#N/A,#N/A,FALSE,"명세표"}</definedName>
    <definedName name="ㅁㄱ해ㅜ5" localSheetId="0" hidden="1">#REF!</definedName>
    <definedName name="ㅁㄱ해ㅜ5" hidden="1">#REF!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0" hidden="1">{#N/A,#N/A,FALSE,"명세표"}</definedName>
    <definedName name="ㅁㅁ" hidden="1">{#N/A,#N/A,FALSE,"명세표"}</definedName>
    <definedName name="ㅁㅁㅁ" localSheetId="0" hidden="1">#REF!</definedName>
    <definedName name="ㅁㅁㅁ" hidden="1">#REF!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0" hidden="1">{#N/A,#N/A,FALSE,"명세표"}</definedName>
    <definedName name="머" hidden="1">{#N/A,#N/A,FALSE,"명세표"}</definedName>
    <definedName name="ㅂㅂㅂㅂ" localSheetId="0" hidden="1">{#N/A,#N/A,FALSE,"명세표"}</definedName>
    <definedName name="ㅂㅂㅂㅂ" hidden="1">{#N/A,#N/A,FALSE,"명세표"}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0" hidden="1">{"'장비'!$A$3:$M$12"}</definedName>
    <definedName name="ㅂㅈㄱㅂㅈㄷㄱ" hidden="1">{"'장비'!$A$3:$M$12"}</definedName>
    <definedName name="ㅂㅈㄷ" localSheetId="0" hidden="1">{"'장비'!$A$3:$M$12"}</definedName>
    <definedName name="ㅂㅈㄷ" hidden="1">{"'장비'!$A$3:$M$12"}</definedName>
    <definedName name="ㅂㅈㄷㄷㅂㅈㅈㅂ" localSheetId="0" hidden="1">{"'장비'!$A$3:$M$12"}</definedName>
    <definedName name="ㅂㅈㄷㄷㅂㅈㅈㅂ" hidden="1">{"'장비'!$A$3:$M$12"}</definedName>
    <definedName name="ㅂㅈㄷㅂㅈ" localSheetId="0" hidden="1">{"'장비'!$A$3:$M$12"}</definedName>
    <definedName name="ㅂㅈㄷㅂㅈ" hidden="1">{"'장비'!$A$3:$M$12"}</definedName>
    <definedName name="ㅂㅈㄷㅂㅈㅈㅂㄷ" localSheetId="0" hidden="1">{"'장비'!$A$3:$M$12"}</definedName>
    <definedName name="ㅂㅈㄷㅂㅈㅈㅂㄷ" hidden="1">{"'장비'!$A$3:$M$12"}</definedName>
    <definedName name="ㅂㅈㄷㅈㅂㄷ" localSheetId="0" hidden="1">{"'장비'!$A$3:$M$12"}</definedName>
    <definedName name="ㅂㅈㄷㅈㅂㄷ" hidden="1">{"'장비'!$A$3:$M$12"}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0" hidden="1">#REF!</definedName>
    <definedName name="보충" hidden="1">#REF!</definedName>
    <definedName name="보호" localSheetId="0" hidden="1">{#N/A,#N/A,FALSE,"ENG'G(보호계전기)"}</definedName>
    <definedName name="보호" hidden="1">{#N/A,#N/A,FALSE,"ENG'G(보호계전기)"}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0" hidden="1">#REF!</definedName>
    <definedName name="부대공사" hidden="1">#REF!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0" hidden="1">{"'장비'!$A$3:$M$12"}</definedName>
    <definedName name="ㅅㄱㄱㄷ" hidden="1">{"'장비'!$A$3:$M$12"}</definedName>
    <definedName name="ㅅㅅㅅㅅㅅ" localSheetId="0" hidden="1">{"'장비'!$A$3:$M$12"}</definedName>
    <definedName name="ㅅㅅㅅㅅㅅ" hidden="1">{"'장비'!$A$3:$M$12"}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0" hidden="1">#REF!</definedName>
    <definedName name="사업계획수정" hidden="1">#REF!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0" hidden="1">#REF!</definedName>
    <definedName name="사업부양식2" hidden="1">#REF!</definedName>
    <definedName name="산출" localSheetId="0" hidden="1">#REF!</definedName>
    <definedName name="산출" hidden="1">#REF!</definedName>
    <definedName name="새안" localSheetId="0" hidden="1">{#N/A,#N/A,FALSE,"TABLE"}</definedName>
    <definedName name="새안" hidden="1">{#N/A,#N/A,FALSE,"TABLE"}</definedName>
    <definedName name="석항" localSheetId="0" hidden="1">{#N/A,#N/A,FALSE,"명세표"}</definedName>
    <definedName name="석항" hidden="1">{#N/A,#N/A,FALSE,"명세표"}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0" hidden="1">#REF!</definedName>
    <definedName name="손익계산서" hidden="1">#REF!</definedName>
    <definedName name="쇼ㅗㅎ로" localSheetId="0" hidden="1">{"'장비'!$A$3:$M$12"}</definedName>
    <definedName name="쇼ㅗㅎ로" hidden="1">{"'장비'!$A$3:$M$12"}</definedName>
    <definedName name="수" hidden="1">#REF!</definedName>
    <definedName name="수당" hidden="1">#N/A</definedName>
    <definedName name="신설" localSheetId="0" hidden="1">{#N/A,#N/A,FALSE,"명세표"}</definedName>
    <definedName name="신설" hidden="1">{#N/A,#N/A,FALSE,"명세표"}</definedName>
    <definedName name="실적총괄1" localSheetId="0" hidden="1">#REF!</definedName>
    <definedName name="실적총괄1" hidden="1">#REF!</definedName>
    <definedName name="실총" localSheetId="0" hidden="1">#REF!</definedName>
    <definedName name="실총" hidden="1">#REF!</definedName>
    <definedName name="ㅇㄹㄹ" localSheetId="0" hidden="1">#REF!</definedName>
    <definedName name="ㅇㄹㄹ" hidden="1">#REF!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localSheetId="0" hidden="1">#REF!</definedName>
    <definedName name="ㅇㅇㅇㅇ" hidden="1">#REF!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0" hidden="1">#REF!</definedName>
    <definedName name="이월" hidden="1">#REF!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0" hidden="1">{#N/A,#N/A,FALSE,"명세표"}</definedName>
    <definedName name="ㅈ" hidden="1">{#N/A,#N/A,FALSE,"명세표"}</definedName>
    <definedName name="ㅈㅈㅈㅈ" localSheetId="0" hidden="1">{#N/A,#N/A,FALSE,"명세표"}</definedName>
    <definedName name="ㅈㅈㅈㅈ" hidden="1">{#N/A,#N/A,FALSE,"명세표"}</definedName>
    <definedName name="자미" localSheetId="0" hidden="1">{#N/A,#N/A,FALSE,"명세표"}</definedName>
    <definedName name="자미" hidden="1">{#N/A,#N/A,FALSE,"명세표"}</definedName>
    <definedName name="자운" localSheetId="0" hidden="1">#REF!</definedName>
    <definedName name="자운" hidden="1">#REF!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0" hidden="1">#REF!</definedName>
    <definedName name="전계장금액" hidden="1">#REF!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0" hidden="1">#REF!</definedName>
    <definedName name="전선조장" hidden="1">#REF!</definedName>
    <definedName name="조직표현장" localSheetId="0" hidden="1">#REF!</definedName>
    <definedName name="조직표현장" hidden="1">#REF!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0" hidden="1">{#N/A,#N/A,FALSE,"ENG'G(보호계전기)"}</definedName>
    <definedName name="중량비교검토" hidden="1">{#N/A,#N/A,FALSE,"ENG'G(보호계전기)"}</definedName>
    <definedName name="집계" localSheetId="0" hidden="1">{#N/A,#N/A,FALSE,"명세표"}</definedName>
    <definedName name="집계" hidden="1">{#N/A,#N/A,FALSE,"명세표"}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0" hidden="1">{#N/A,#N/A,FALSE,"명세표"}</definedName>
    <definedName name="ㅋㅁ" hidden="1">{#N/A,#N/A,FALSE,"명세표"}</definedName>
    <definedName name="ㅋㅋㅋ" localSheetId="0" hidden="1">{#N/A,#N/A,FALSE,"명세표"}</definedName>
    <definedName name="ㅋㅋㅋ" hidden="1">{#N/A,#N/A,FALSE,"명세표"}</definedName>
    <definedName name="ㅌㅌ" localSheetId="0" hidden="1">{#N/A,#N/A,FALSE,"명세표"}</definedName>
    <definedName name="ㅌㅌ" hidden="1">{#N/A,#N/A,FALSE,"명세표"}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0" hidden="1">{"'장비'!$A$3:$M$12"}</definedName>
    <definedName name="ㅎㅎㅎㅎ" hidden="1">{"'장비'!$A$3:$M$12"}</definedName>
    <definedName name="하하하" localSheetId="0" hidden="1">{#N/A,#N/A,FALSE,"명세표"}</definedName>
    <definedName name="하하하" hidden="1">{#N/A,#N/A,FALSE,"명세표"}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0" hidden="1">{#N/A,#N/A,FALSE,"명세표"}</definedName>
    <definedName name="호호호" hidden="1">{#N/A,#N/A,FALSE,"명세표"}</definedName>
    <definedName name="ㅏㅏㅏ" localSheetId="0" hidden="1">{#N/A,#N/A,FALSE,"명세표"}</definedName>
    <definedName name="ㅏㅏㅏ" hidden="1">{#N/A,#N/A,FALSE,"명세표"}</definedName>
    <definedName name="ㅔㅔ" localSheetId="0" hidden="1">{#N/A,#N/A,FALSE,"명세표"}</definedName>
    <definedName name="ㅔㅔ" hidden="1">{#N/A,#N/A,FALSE,"명세표"}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0" hidden="1">{"'장비'!$A$3:$M$12"}</definedName>
    <definedName name="ㅗ홓ㅎ로" hidden="1">{"'장비'!$A$3:$M$12"}</definedName>
    <definedName name="ㅗㅗ" localSheetId="0" hidden="1">{#N/A,#N/A,FALSE,"명세표"}</definedName>
    <definedName name="ㅗㅗ" hidden="1">{#N/A,#N/A,FALSE,"명세표"}</definedName>
    <definedName name="ㅗㅗㅗㅗㅗ" localSheetId="0" hidden="1">{"'장비'!$A$3:$M$12"}</definedName>
    <definedName name="ㅗㅗㅗㅗㅗ" hidden="1">{"'장비'!$A$3:$M$12"}</definedName>
    <definedName name="ㅛ" localSheetId="0" hidden="1">{"'장비'!$A$3:$M$12"}</definedName>
    <definedName name="ㅛ" hidden="1">{"'장비'!$A$3:$M$12"}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0" hidden="1">{"'장비'!$A$3:$M$12"}</definedName>
    <definedName name="ㅛㅛㅛ" hidden="1">{"'장비'!$A$3:$M$12"}</definedName>
    <definedName name="ㅜ" localSheetId="0" hidden="1">{#N/A,#N/A,FALSE,"명세표"}</definedName>
    <definedName name="ㅜ" hidden="1">{#N/A,#N/A,FALSE,"명세표"}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0" hidden="1">{#N/A,#N/A,FALSE,"명세표"}</definedName>
    <definedName name="ㅡㅡ" hidden="1">{#N/A,#N/A,FALSE,"명세표"}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61" l="1"/>
  <c r="F11" i="47"/>
  <c r="D10" i="47"/>
  <c r="F10" i="47"/>
  <c r="D51" i="48"/>
  <c r="D12" i="48"/>
  <c r="B15" i="55"/>
  <c r="C31" i="59"/>
  <c r="B26" i="55" l="1"/>
  <c r="B25" i="55"/>
  <c r="B23" i="55"/>
  <c r="B24" i="55" s="1"/>
  <c r="B16" i="55"/>
  <c r="L16" i="55" s="1"/>
  <c r="D16" i="55"/>
  <c r="F33" i="67"/>
  <c r="G32" i="67"/>
  <c r="H25" i="55"/>
  <c r="H23" i="55"/>
  <c r="H24" i="55"/>
  <c r="J16" i="55" l="1"/>
  <c r="G16" i="55"/>
  <c r="H40" i="49" l="1"/>
  <c r="H39" i="49"/>
  <c r="H38" i="49"/>
  <c r="H37" i="49"/>
  <c r="H36" i="49"/>
  <c r="H43" i="49"/>
  <c r="H42" i="49"/>
  <c r="J41" i="49"/>
  <c r="I43" i="49"/>
  <c r="I42" i="49"/>
  <c r="I41" i="49"/>
  <c r="I40" i="49"/>
  <c r="B42" i="49"/>
  <c r="K40" i="49"/>
  <c r="G40" i="49"/>
  <c r="B40" i="49"/>
  <c r="B41" i="49"/>
  <c r="F37" i="49"/>
  <c r="F52" i="48"/>
  <c r="G31" i="48" l="1"/>
  <c r="F51" i="48"/>
  <c r="F24" i="48"/>
  <c r="F12" i="48"/>
  <c r="G57" i="48" l="1"/>
  <c r="G15" i="48"/>
  <c r="G26" i="48"/>
  <c r="G27" i="48"/>
  <c r="G28" i="48"/>
  <c r="H34" i="58" l="1"/>
  <c r="L21" i="65" l="1"/>
  <c r="J22" i="53"/>
  <c r="L22" i="53"/>
  <c r="J17" i="51"/>
  <c r="L33" i="21"/>
  <c r="L23" i="21"/>
  <c r="J23" i="21"/>
  <c r="D9" i="60" l="1"/>
  <c r="F9" i="60"/>
  <c r="D26" i="59"/>
  <c r="D19" i="59"/>
  <c r="C25" i="59"/>
  <c r="D15" i="55" l="1"/>
  <c r="D25" i="55" l="1"/>
  <c r="D26" i="55" s="1"/>
  <c r="D16" i="61"/>
  <c r="I16" i="61"/>
  <c r="J16" i="61" s="1"/>
  <c r="G16" i="61"/>
  <c r="L16" i="61"/>
  <c r="D20" i="65"/>
  <c r="D18" i="65"/>
  <c r="D10" i="65"/>
  <c r="D17" i="65"/>
  <c r="D15" i="65"/>
  <c r="D11" i="65"/>
  <c r="D14" i="65"/>
  <c r="D12" i="65"/>
  <c r="L12" i="65"/>
  <c r="I12" i="65"/>
  <c r="G12" i="65"/>
  <c r="G76" i="69"/>
  <c r="G78" i="69"/>
  <c r="G79" i="69"/>
  <c r="G80" i="69"/>
  <c r="G81" i="69"/>
  <c r="G77" i="69"/>
  <c r="G23" i="69"/>
  <c r="G25" i="69"/>
  <c r="G26" i="69"/>
  <c r="G27" i="69"/>
  <c r="G28" i="69"/>
  <c r="G29" i="69"/>
  <c r="G30" i="69"/>
  <c r="G31" i="69"/>
  <c r="G32" i="69"/>
  <c r="G33" i="69"/>
  <c r="G34" i="69"/>
  <c r="G35" i="69"/>
  <c r="G36" i="69"/>
  <c r="G37" i="69"/>
  <c r="G24" i="69"/>
  <c r="D10" i="64"/>
  <c r="D11" i="64"/>
  <c r="D12" i="64"/>
  <c r="B23" i="53"/>
  <c r="B18" i="53"/>
  <c r="D15" i="62" s="1"/>
  <c r="G22" i="53"/>
  <c r="B18" i="51"/>
  <c r="B16" i="53"/>
  <c r="B20" i="53"/>
  <c r="G20" i="53" s="1"/>
  <c r="B19" i="53"/>
  <c r="G19" i="53" s="1"/>
  <c r="D10" i="63"/>
  <c r="D11" i="63"/>
  <c r="D12" i="63"/>
  <c r="B17" i="55"/>
  <c r="B17" i="51"/>
  <c r="B15" i="51"/>
  <c r="D18" i="61"/>
  <c r="D12" i="61"/>
  <c r="D11" i="61"/>
  <c r="D10" i="61"/>
  <c r="B16" i="51"/>
  <c r="J12" i="65" l="1"/>
  <c r="L26" i="55" l="1"/>
  <c r="G15" i="55"/>
  <c r="D33" i="59"/>
  <c r="D34" i="59"/>
  <c r="B10" i="59"/>
  <c r="D31" i="58"/>
  <c r="D14" i="62"/>
  <c r="D11" i="62"/>
  <c r="D20" i="61"/>
  <c r="D19" i="61"/>
  <c r="D15" i="61"/>
  <c r="D52" i="48"/>
  <c r="D53" i="48"/>
  <c r="D54" i="48"/>
  <c r="F25" i="48"/>
  <c r="L25" i="55" l="1"/>
  <c r="G25" i="55"/>
  <c r="D25" i="48"/>
  <c r="D24" i="48"/>
  <c r="F13" i="48"/>
  <c r="G21" i="21" l="1"/>
  <c r="F19" i="21"/>
  <c r="D23" i="48" l="1"/>
  <c r="D22" i="48" s="1"/>
  <c r="K3" i="49"/>
  <c r="J3" i="49"/>
  <c r="J6" i="49" s="1"/>
  <c r="D32" i="21"/>
  <c r="D31" i="21"/>
  <c r="D29" i="21"/>
  <c r="D30" i="21" s="1"/>
  <c r="D28" i="21"/>
  <c r="D10" i="21"/>
  <c r="C9" i="47"/>
  <c r="B9" i="47"/>
  <c r="D9" i="47" s="1"/>
  <c r="F9" i="47" s="1"/>
  <c r="E25" i="46"/>
  <c r="E24" i="46"/>
  <c r="G29" i="67"/>
  <c r="G28" i="67"/>
  <c r="G27" i="67"/>
  <c r="G26" i="67"/>
  <c r="G25" i="67"/>
  <c r="G24" i="67"/>
  <c r="G22" i="67"/>
  <c r="G21" i="67"/>
  <c r="F26" i="67"/>
  <c r="B2" i="46"/>
  <c r="B1" i="46"/>
  <c r="N28" i="67"/>
  <c r="C16" i="67"/>
  <c r="C14" i="67"/>
  <c r="J27" i="67"/>
  <c r="L27" i="67" s="1"/>
  <c r="H27" i="67"/>
  <c r="N27" i="67" s="1"/>
  <c r="K26" i="67"/>
  <c r="J26" i="67"/>
  <c r="L26" i="67" s="1"/>
  <c r="H26" i="67"/>
  <c r="N26" i="67" s="1"/>
  <c r="K25" i="67"/>
  <c r="J25" i="67"/>
  <c r="L25" i="67" s="1"/>
  <c r="H25" i="67"/>
  <c r="N25" i="67" s="1"/>
  <c r="N24" i="67"/>
  <c r="J24" i="67"/>
  <c r="L24" i="67" s="1"/>
  <c r="K24" i="67"/>
  <c r="H24" i="67"/>
  <c r="L22" i="67"/>
  <c r="M22" i="67" s="1"/>
  <c r="H22" i="67"/>
  <c r="N22" i="67" s="1"/>
  <c r="E45" i="67"/>
  <c r="E24" i="67"/>
  <c r="E22" i="67"/>
  <c r="F6" i="67"/>
  <c r="E27" i="67"/>
  <c r="E26" i="67"/>
  <c r="E25" i="67"/>
  <c r="C10" i="67"/>
  <c r="F17" i="62"/>
  <c r="F10" i="62"/>
  <c r="J12" i="63"/>
  <c r="J13" i="63"/>
  <c r="J11" i="63"/>
  <c r="J10" i="63"/>
  <c r="D24" i="55"/>
  <c r="Q18" i="55" s="1"/>
  <c r="P17" i="55"/>
  <c r="D43" i="49" l="1"/>
  <c r="D42" i="49"/>
  <c r="D41" i="49"/>
  <c r="O3" i="49"/>
  <c r="J4" i="49"/>
  <c r="P18" i="55"/>
  <c r="R18" i="55" s="1"/>
  <c r="D22" i="47"/>
  <c r="D23" i="47" s="1"/>
  <c r="D24" i="47" s="1"/>
  <c r="K22" i="67"/>
  <c r="C12" i="67"/>
  <c r="G41" i="49" l="1"/>
  <c r="K41" i="49"/>
  <c r="G42" i="49"/>
  <c r="K42" i="49"/>
  <c r="D38" i="49"/>
  <c r="N4" i="49"/>
  <c r="J5" i="49"/>
  <c r="O4" i="49"/>
  <c r="I17" i="65"/>
  <c r="O5" i="49" l="1"/>
  <c r="D37" i="49" s="1"/>
  <c r="D39" i="49" s="1"/>
  <c r="N5" i="49"/>
  <c r="N6" i="49"/>
  <c r="D36" i="49" s="1"/>
  <c r="I31" i="21"/>
  <c r="I30" i="21"/>
  <c r="I29" i="21"/>
  <c r="I28" i="21"/>
  <c r="L21" i="21"/>
  <c r="K22" i="21"/>
  <c r="I21" i="21"/>
  <c r="J21" i="21" s="1"/>
  <c r="I20" i="21"/>
  <c r="I19" i="21"/>
  <c r="I16" i="21"/>
  <c r="I14" i="21"/>
  <c r="I55" i="48"/>
  <c r="F55" i="48"/>
  <c r="J58" i="48"/>
  <c r="J54" i="48"/>
  <c r="I51" i="48"/>
  <c r="I56" i="48"/>
  <c r="I53" i="48"/>
  <c r="I50" i="48"/>
  <c r="I49" i="48"/>
  <c r="I19" i="61"/>
  <c r="I18" i="61"/>
  <c r="J18" i="61" s="1"/>
  <c r="I17" i="61"/>
  <c r="J17" i="61" s="1"/>
  <c r="I15" i="61"/>
  <c r="J15" i="61" s="1"/>
  <c r="I14" i="61"/>
  <c r="I13" i="61"/>
  <c r="J13" i="61" s="1"/>
  <c r="I12" i="61"/>
  <c r="I11" i="61"/>
  <c r="J11" i="61" s="1"/>
  <c r="I10" i="61"/>
  <c r="J10" i="61" s="1"/>
  <c r="L18" i="61"/>
  <c r="L17" i="61"/>
  <c r="L15" i="61"/>
  <c r="L13" i="61"/>
  <c r="L11" i="61"/>
  <c r="L10" i="61"/>
  <c r="K20" i="61"/>
  <c r="I20" i="51"/>
  <c r="I19" i="51"/>
  <c r="I18" i="51"/>
  <c r="L16" i="51"/>
  <c r="L18" i="51"/>
  <c r="L15" i="51"/>
  <c r="J18" i="51"/>
  <c r="J16" i="51"/>
  <c r="J15" i="51"/>
  <c r="I17" i="51"/>
  <c r="G17" i="53"/>
  <c r="J17" i="53"/>
  <c r="I16" i="53"/>
  <c r="I15" i="53"/>
  <c r="J15" i="53" s="1"/>
  <c r="J19" i="53"/>
  <c r="L16" i="65"/>
  <c r="G13" i="65"/>
  <c r="J15" i="55"/>
  <c r="I23" i="55"/>
  <c r="L15" i="55"/>
  <c r="I19" i="65"/>
  <c r="I18" i="65"/>
  <c r="I15" i="65"/>
  <c r="I13" i="65"/>
  <c r="I11" i="65"/>
  <c r="L13" i="65"/>
  <c r="J13" i="65"/>
  <c r="L17" i="53"/>
  <c r="I10" i="65"/>
  <c r="F13" i="64"/>
  <c r="F14" i="64" s="1"/>
  <c r="I23" i="53"/>
  <c r="D23" i="53"/>
  <c r="G23" i="53" s="1"/>
  <c r="K18" i="53"/>
  <c r="I18" i="53"/>
  <c r="D18" i="53"/>
  <c r="G18" i="53" s="1"/>
  <c r="K16" i="53"/>
  <c r="D16" i="53"/>
  <c r="G16" i="53" s="1"/>
  <c r="K15" i="53"/>
  <c r="L15" i="53" s="1"/>
  <c r="D15" i="53"/>
  <c r="L20" i="65"/>
  <c r="L15" i="65"/>
  <c r="G10" i="65"/>
  <c r="G18" i="65"/>
  <c r="G11" i="65"/>
  <c r="D21" i="53"/>
  <c r="L19" i="53"/>
  <c r="G11" i="63"/>
  <c r="G10" i="63"/>
  <c r="D32" i="55"/>
  <c r="I32" i="55" s="1"/>
  <c r="D23" i="55"/>
  <c r="L17" i="51"/>
  <c r="G18" i="61"/>
  <c r="G17" i="61"/>
  <c r="G15" i="61"/>
  <c r="G13" i="61"/>
  <c r="G11" i="61"/>
  <c r="G37" i="49" l="1"/>
  <c r="I37" i="49"/>
  <c r="O6" i="49"/>
  <c r="J32" i="55"/>
  <c r="J15" i="65"/>
  <c r="J18" i="65"/>
  <c r="J20" i="53"/>
  <c r="L20" i="53"/>
  <c r="G32" i="55"/>
  <c r="L10" i="65"/>
  <c r="G24" i="55"/>
  <c r="L32" i="55"/>
  <c r="J10" i="65"/>
  <c r="L11" i="65"/>
  <c r="L14" i="65"/>
  <c r="L18" i="65"/>
  <c r="G15" i="65"/>
  <c r="J11" i="65"/>
  <c r="M10" i="63"/>
  <c r="M11" i="63"/>
  <c r="K10" i="63"/>
  <c r="K11" i="63"/>
  <c r="L24" i="55" l="1"/>
  <c r="J24" i="55"/>
  <c r="G23" i="55"/>
  <c r="J23" i="55"/>
  <c r="L23" i="55"/>
  <c r="L35" i="55" s="1"/>
  <c r="G13" i="63"/>
  <c r="M13" i="63"/>
  <c r="K13" i="63"/>
  <c r="B31" i="58"/>
  <c r="B21" i="53" l="1"/>
  <c r="G21" i="53" s="1"/>
  <c r="L16" i="53"/>
  <c r="J16" i="53"/>
  <c r="D30" i="59"/>
  <c r="L21" i="53" l="1"/>
  <c r="J21" i="53"/>
  <c r="F57" i="48"/>
  <c r="K57" i="48" s="1"/>
  <c r="F38" i="49" l="1"/>
  <c r="G15" i="53" l="1"/>
  <c r="F12" i="64" l="1"/>
  <c r="J23" i="53" l="1"/>
  <c r="L23" i="53"/>
  <c r="I20" i="65" l="1"/>
  <c r="J20" i="65" s="1"/>
  <c r="G20" i="65"/>
  <c r="B8" i="59"/>
  <c r="L18" i="53" l="1"/>
  <c r="L24" i="53" s="1"/>
  <c r="J18" i="53"/>
  <c r="G36" i="49"/>
  <c r="I36" i="49"/>
  <c r="G12" i="63"/>
  <c r="G14" i="63" s="1"/>
  <c r="M12" i="63"/>
  <c r="K12" i="63"/>
  <c r="G43" i="49"/>
  <c r="K43" i="49"/>
  <c r="K44" i="49" s="1"/>
  <c r="I38" i="49" l="1"/>
  <c r="G38" i="49"/>
  <c r="L14" i="61"/>
  <c r="G14" i="61"/>
  <c r="J14" i="61"/>
  <c r="G39" i="49"/>
  <c r="I39" i="49"/>
  <c r="I44" i="49" l="1"/>
  <c r="J12" i="64"/>
  <c r="L12" i="64"/>
  <c r="G12" i="64"/>
  <c r="L12" i="61"/>
  <c r="G12" i="61"/>
  <c r="J12" i="61"/>
  <c r="B19" i="51" l="1"/>
  <c r="L20" i="61"/>
  <c r="J20" i="61"/>
  <c r="G20" i="61"/>
  <c r="L19" i="61"/>
  <c r="J19" i="61"/>
  <c r="G6" i="48"/>
  <c r="L19" i="51" l="1"/>
  <c r="J19" i="51"/>
  <c r="E26" i="46"/>
  <c r="E23" i="46"/>
  <c r="E22" i="46"/>
  <c r="E20" i="46"/>
  <c r="E19" i="46"/>
  <c r="E16" i="46"/>
  <c r="E13" i="46"/>
  <c r="E10" i="46"/>
  <c r="E8" i="46"/>
  <c r="F18" i="67"/>
  <c r="E14" i="46" s="1"/>
  <c r="E15" i="46"/>
  <c r="E9" i="46"/>
  <c r="D30" i="58" s="1"/>
  <c r="E21" i="46" l="1"/>
  <c r="C18" i="67"/>
  <c r="E12" i="46" s="1"/>
  <c r="L51" i="48"/>
  <c r="J51" i="48"/>
  <c r="D42" i="59"/>
  <c r="E31" i="58"/>
  <c r="D13" i="62"/>
  <c r="F24" i="62"/>
  <c r="B9" i="59"/>
  <c r="F12" i="67"/>
  <c r="E11" i="46" s="1"/>
  <c r="B7" i="59"/>
  <c r="D25" i="59"/>
  <c r="L17" i="65" l="1"/>
  <c r="J17" i="65"/>
  <c r="G17" i="65"/>
  <c r="L52" i="48"/>
  <c r="C27" i="59"/>
  <c r="D27" i="59" s="1"/>
  <c r="D19" i="65" l="1"/>
  <c r="L19" i="65" l="1"/>
  <c r="G19" i="65"/>
  <c r="J19" i="65"/>
  <c r="Q17" i="55" l="1"/>
  <c r="R17" i="55" s="1"/>
  <c r="R19" i="55" s="1"/>
  <c r="S19" i="55" s="1"/>
  <c r="G33" i="55"/>
  <c r="G35" i="55"/>
  <c r="D28" i="48"/>
  <c r="D26" i="48"/>
  <c r="D27" i="48" s="1"/>
  <c r="G25" i="48"/>
  <c r="G24" i="48"/>
  <c r="G34" i="55" l="1"/>
  <c r="G36" i="55" s="1"/>
  <c r="H25" i="48"/>
  <c r="F26" i="48"/>
  <c r="B32" i="21"/>
  <c r="F29" i="21"/>
  <c r="E31" i="47"/>
  <c r="B16" i="47" l="1"/>
  <c r="D10" i="60" l="1"/>
  <c r="F10" i="60" s="1"/>
  <c r="D35" i="59"/>
  <c r="D32" i="59" l="1"/>
  <c r="J30" i="21" l="1"/>
  <c r="J33" i="21" s="1"/>
  <c r="J29" i="21"/>
  <c r="G29" i="21"/>
  <c r="D10" i="66"/>
  <c r="D31" i="59"/>
  <c r="C36" i="59" l="1"/>
  <c r="D36" i="59" s="1"/>
  <c r="D32" i="61"/>
  <c r="D31" i="61"/>
  <c r="D30" i="61"/>
  <c r="D29" i="61"/>
  <c r="D28" i="61"/>
  <c r="D27" i="61"/>
  <c r="D26" i="61"/>
  <c r="D55" i="48"/>
  <c r="J10" i="21" l="1"/>
  <c r="L10" i="21"/>
  <c r="G31" i="21"/>
  <c r="J31" i="21"/>
  <c r="D56" i="48"/>
  <c r="G56" i="48" s="1"/>
  <c r="L55" i="48"/>
  <c r="G55" i="48"/>
  <c r="J55" i="48"/>
  <c r="D17" i="21"/>
  <c r="D22" i="21"/>
  <c r="D15" i="21"/>
  <c r="D13" i="21"/>
  <c r="D11" i="21"/>
  <c r="D33" i="61"/>
  <c r="F58" i="48"/>
  <c r="D57" i="48"/>
  <c r="I52" i="48"/>
  <c r="J52" i="48" s="1"/>
  <c r="G51" i="48"/>
  <c r="D50" i="48"/>
  <c r="K54" i="48"/>
  <c r="L54" i="48" s="1"/>
  <c r="G58" i="48" l="1"/>
  <c r="K58" i="48"/>
  <c r="L58" i="48" s="1"/>
  <c r="J11" i="21"/>
  <c r="L11" i="21"/>
  <c r="D14" i="21"/>
  <c r="J13" i="21"/>
  <c r="L13" i="21"/>
  <c r="D16" i="21"/>
  <c r="L15" i="21"/>
  <c r="J15" i="21"/>
  <c r="J22" i="21"/>
  <c r="L22" i="21"/>
  <c r="J17" i="21"/>
  <c r="L17" i="21"/>
  <c r="G53" i="48"/>
  <c r="J53" i="48"/>
  <c r="L53" i="48"/>
  <c r="J57" i="48"/>
  <c r="L57" i="48"/>
  <c r="D49" i="48"/>
  <c r="J50" i="48"/>
  <c r="L50" i="48"/>
  <c r="J56" i="48"/>
  <c r="L56" i="48"/>
  <c r="G54" i="48"/>
  <c r="G52" i="48"/>
  <c r="G50" i="48"/>
  <c r="L16" i="21" l="1"/>
  <c r="J16" i="21"/>
  <c r="J14" i="21"/>
  <c r="L14" i="21"/>
  <c r="L49" i="48"/>
  <c r="J49" i="48"/>
  <c r="G49" i="48"/>
  <c r="G59" i="48" s="1"/>
  <c r="G60" i="48" s="1"/>
  <c r="D18" i="21" l="1"/>
  <c r="G18" i="21" l="1"/>
  <c r="J18" i="21"/>
  <c r="L18" i="21"/>
  <c r="D20" i="58"/>
  <c r="D21" i="58"/>
  <c r="G31" i="61" l="1"/>
  <c r="G30" i="61"/>
  <c r="F33" i="61"/>
  <c r="D34" i="61" l="1"/>
  <c r="G33" i="61"/>
  <c r="G29" i="61"/>
  <c r="F29" i="48"/>
  <c r="F16" i="48"/>
  <c r="F28" i="48"/>
  <c r="D15" i="48"/>
  <c r="D13" i="48"/>
  <c r="D14" i="48" s="1"/>
  <c r="D11" i="48"/>
  <c r="J29" i="61" l="1"/>
  <c r="J30" i="61" s="1"/>
  <c r="G16" i="51" l="1"/>
  <c r="G15" i="51" l="1"/>
  <c r="G11" i="62"/>
  <c r="D28" i="59"/>
  <c r="G10" i="66" l="1"/>
  <c r="G11" i="66"/>
  <c r="G12" i="66"/>
  <c r="G9" i="66"/>
  <c r="G13" i="66" s="1"/>
  <c r="D12" i="60"/>
  <c r="F12" i="60" s="1"/>
  <c r="D13" i="60"/>
  <c r="F13" i="60" s="1"/>
  <c r="D14" i="60"/>
  <c r="F14" i="60" s="1"/>
  <c r="D15" i="60"/>
  <c r="F15" i="60" s="1"/>
  <c r="D11" i="60"/>
  <c r="F11" i="60" s="1"/>
  <c r="F16" i="65"/>
  <c r="F14" i="65"/>
  <c r="G11" i="64"/>
  <c r="G10" i="64"/>
  <c r="G22" i="64"/>
  <c r="H22" i="64" s="1"/>
  <c r="I14" i="65" l="1"/>
  <c r="J14" i="65" s="1"/>
  <c r="G14" i="65"/>
  <c r="I16" i="65"/>
  <c r="J16" i="65" s="1"/>
  <c r="G16" i="65"/>
  <c r="F16" i="60"/>
  <c r="G15" i="66"/>
  <c r="G17" i="55" l="1"/>
  <c r="G18" i="55" s="1"/>
  <c r="H15" i="66"/>
  <c r="D29" i="59" l="1"/>
  <c r="D37" i="59" s="1"/>
  <c r="D32" i="58"/>
  <c r="E32" i="58" s="1"/>
  <c r="D33" i="58"/>
  <c r="E33" i="58" s="1"/>
  <c r="E30" i="58"/>
  <c r="D24" i="58"/>
  <c r="D22" i="58"/>
  <c r="D23" i="58"/>
  <c r="D19" i="58"/>
  <c r="D8" i="58"/>
  <c r="D9" i="58"/>
  <c r="D10" i="58"/>
  <c r="D11" i="58"/>
  <c r="D12" i="58"/>
  <c r="D13" i="58"/>
  <c r="D7" i="58"/>
  <c r="D18" i="59"/>
  <c r="D17" i="59"/>
  <c r="D16" i="59"/>
  <c r="D9" i="59"/>
  <c r="D8" i="59"/>
  <c r="G12" i="48"/>
  <c r="D20" i="59" l="1"/>
  <c r="D10" i="59"/>
  <c r="G32" i="61"/>
  <c r="D7" i="59"/>
  <c r="D11" i="59" s="1"/>
  <c r="D25" i="58"/>
  <c r="E25" i="58" s="1"/>
  <c r="F16" i="62" l="1"/>
  <c r="G16" i="62" s="1"/>
  <c r="G13" i="62"/>
  <c r="G14" i="62"/>
  <c r="G28" i="61"/>
  <c r="G27" i="61"/>
  <c r="G11" i="48"/>
  <c r="F43" i="48"/>
  <c r="G43" i="48" s="1"/>
  <c r="F42" i="48"/>
  <c r="D42" i="48"/>
  <c r="F40" i="48"/>
  <c r="D40" i="48"/>
  <c r="D41" i="48" s="1"/>
  <c r="G41" i="48" s="1"/>
  <c r="F39" i="48"/>
  <c r="D39" i="48"/>
  <c r="D38" i="48"/>
  <c r="G38" i="48" s="1"/>
  <c r="D37" i="48"/>
  <c r="G37" i="48" s="1"/>
  <c r="D36" i="48"/>
  <c r="G36" i="48" s="1"/>
  <c r="G29" i="48"/>
  <c r="G23" i="48"/>
  <c r="K17" i="48"/>
  <c r="L17" i="48" s="1"/>
  <c r="G16" i="48"/>
  <c r="F16" i="47"/>
  <c r="D31" i="47"/>
  <c r="F31" i="47" s="1"/>
  <c r="B43" i="49"/>
  <c r="D43" i="59"/>
  <c r="D14" i="58"/>
  <c r="E14" i="58" s="1"/>
  <c r="D34" i="58"/>
  <c r="D45" i="59" l="1"/>
  <c r="D10" i="62"/>
  <c r="G10" i="62" s="1"/>
  <c r="G15" i="62"/>
  <c r="D17" i="62"/>
  <c r="G17" i="62" s="1"/>
  <c r="F18" i="60"/>
  <c r="F32" i="47"/>
  <c r="H31" i="47"/>
  <c r="G26" i="61"/>
  <c r="G34" i="61"/>
  <c r="G42" i="48"/>
  <c r="G39" i="48"/>
  <c r="D35" i="48"/>
  <c r="G35" i="48" s="1"/>
  <c r="G22" i="48"/>
  <c r="G40" i="48"/>
  <c r="D10" i="48"/>
  <c r="G10" i="48" s="1"/>
  <c r="D36" i="58"/>
  <c r="G30" i="48" l="1"/>
  <c r="G62" i="48" s="1"/>
  <c r="G35" i="61"/>
  <c r="G18" i="60"/>
  <c r="E45" i="59"/>
  <c r="E36" i="58"/>
  <c r="E38" i="58" s="1"/>
  <c r="G44" i="48"/>
  <c r="G44" i="49"/>
  <c r="G50" i="49" s="1"/>
  <c r="A24" i="53"/>
  <c r="D29" i="49" l="1"/>
  <c r="B29" i="49"/>
  <c r="F29" i="49" s="1"/>
  <c r="D27" i="49"/>
  <c r="G27" i="49" s="1"/>
  <c r="D26" i="49"/>
  <c r="G26" i="49" s="1"/>
  <c r="G20" i="49"/>
  <c r="D10" i="49"/>
  <c r="D11" i="49" s="1"/>
  <c r="D12" i="49" s="1"/>
  <c r="G12" i="49" s="1"/>
  <c r="G29" i="49" l="1"/>
  <c r="D28" i="49"/>
  <c r="G28" i="49" s="1"/>
  <c r="D15" i="49"/>
  <c r="D16" i="49" s="1"/>
  <c r="G16" i="49" s="1"/>
  <c r="D13" i="49"/>
  <c r="D14" i="49" s="1"/>
  <c r="F32" i="21"/>
  <c r="K32" i="21" s="1"/>
  <c r="L32" i="21"/>
  <c r="F15" i="48"/>
  <c r="F17" i="47"/>
  <c r="G28" i="21" l="1"/>
  <c r="J28" i="21"/>
  <c r="D12" i="62"/>
  <c r="G13" i="48"/>
  <c r="G32" i="21"/>
  <c r="G14" i="21"/>
  <c r="G30" i="21"/>
  <c r="G30" i="49"/>
  <c r="D17" i="49"/>
  <c r="B17" i="49"/>
  <c r="G14" i="49"/>
  <c r="G16" i="21"/>
  <c r="G33" i="21" l="1"/>
  <c r="G12" i="62"/>
  <c r="G18" i="62" s="1"/>
  <c r="G20" i="62" s="1"/>
  <c r="F23" i="47"/>
  <c r="F22" i="47"/>
  <c r="D18" i="49"/>
  <c r="G18" i="49" s="1"/>
  <c r="D19" i="49"/>
  <c r="G19" i="49" s="1"/>
  <c r="G17" i="49"/>
  <c r="H20" i="62" l="1"/>
  <c r="H23" i="62" s="1"/>
  <c r="F24" i="47"/>
  <c r="G21" i="49"/>
  <c r="H50" i="49" s="1"/>
  <c r="G14" i="48" l="1"/>
  <c r="G17" i="48" s="1"/>
  <c r="G18" i="48" s="1"/>
  <c r="H11" i="36"/>
  <c r="H10" i="36"/>
  <c r="H9" i="36"/>
  <c r="H8" i="36"/>
  <c r="H7" i="36"/>
  <c r="H6" i="36"/>
  <c r="H12" i="36"/>
  <c r="H5" i="36"/>
  <c r="H62" i="48" l="1"/>
  <c r="H64" i="48" s="1"/>
  <c r="D12" i="21"/>
  <c r="D19" i="21" s="1"/>
  <c r="G22" i="21"/>
  <c r="D20" i="21" l="1"/>
  <c r="G20" i="21" s="1"/>
  <c r="G19" i="21"/>
  <c r="D25" i="47"/>
  <c r="J12" i="21"/>
  <c r="L12" i="21"/>
  <c r="G12" i="21"/>
  <c r="J19" i="21" l="1"/>
  <c r="L19" i="21"/>
  <c r="F25" i="47"/>
  <c r="F26" i="47" s="1"/>
  <c r="F34" i="47" s="1"/>
  <c r="G34" i="47" l="1"/>
  <c r="J20" i="21"/>
  <c r="L20" i="21"/>
  <c r="G10" i="61"/>
  <c r="G21" i="61" s="1"/>
  <c r="G23" i="21"/>
  <c r="G36" i="21" s="1"/>
  <c r="D14" i="64" l="1"/>
  <c r="H36" i="21"/>
  <c r="H38" i="21" s="1"/>
  <c r="G14" i="64" l="1"/>
  <c r="J14" i="64"/>
  <c r="L14" i="64"/>
  <c r="G26" i="55"/>
  <c r="G27" i="55" s="1"/>
  <c r="G39" i="55" s="1"/>
  <c r="H39" i="55" l="1"/>
  <c r="H40" i="55" s="1"/>
  <c r="G18" i="51"/>
  <c r="D18" i="51"/>
  <c r="G24" i="53"/>
  <c r="G19" i="51" l="1"/>
  <c r="D19" i="51"/>
  <c r="B20" i="51"/>
  <c r="D13" i="64" s="1"/>
  <c r="L13" i="64" l="1"/>
  <c r="L15" i="64" s="1"/>
  <c r="J13" i="64"/>
  <c r="G13" i="64"/>
  <c r="G15" i="64" s="1"/>
  <c r="G17" i="64" s="1"/>
  <c r="L20" i="51"/>
  <c r="L21" i="51" s="1"/>
  <c r="J20" i="51"/>
  <c r="D20" i="51"/>
  <c r="G20" i="51"/>
  <c r="H17" i="64" l="1"/>
  <c r="H19" i="64" s="1"/>
  <c r="G16" i="63"/>
  <c r="H16" i="63" s="1"/>
  <c r="G21" i="65" l="1"/>
  <c r="G23" i="65" s="1"/>
  <c r="G27" i="53"/>
  <c r="H23" i="65" l="1"/>
  <c r="H27" i="53"/>
  <c r="H29" i="53" s="1"/>
  <c r="G38" i="61"/>
  <c r="G17" i="51"/>
  <c r="G21" i="51" s="1"/>
  <c r="G24" i="51" s="1"/>
  <c r="D17" i="51"/>
  <c r="H24" i="51" l="1"/>
  <c r="H26" i="51" s="1"/>
  <c r="G41" i="61"/>
  <c r="H41" i="61" s="1"/>
  <c r="H38" i="6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6" authorId="0" shapeId="0" xr:uid="{255BEB06-A237-439E-9203-EB5CCD91F641}">
      <text>
        <r>
          <rPr>
            <b/>
            <sz val="9"/>
            <color indexed="81"/>
            <rFont val="Segoe UI"/>
            <family val="2"/>
          </rPr>
          <t>TEMPO DE EXECUÇÃO DO SUBOLO</t>
        </r>
      </text>
    </comment>
    <comment ref="B24" authorId="0" shapeId="0" xr:uid="{24E26533-CC5C-4581-B306-D492C246179F}">
      <text>
        <r>
          <rPr>
            <b/>
            <sz val="9"/>
            <color indexed="81"/>
            <rFont val="Segoe UI"/>
            <family val="2"/>
          </rPr>
          <t>EMPOLAMENTO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9" authorId="0" shapeId="0" xr:uid="{D8DF5BAD-98F5-43BE-892A-4FA5FBCF8F29}">
      <text>
        <r>
          <rPr>
            <sz val="9"/>
            <color indexed="81"/>
            <rFont val="Segoe UI"/>
            <family val="2"/>
          </rPr>
          <t>30% de perda</t>
        </r>
      </text>
    </comment>
    <comment ref="G29" authorId="0" shapeId="0" xr:uid="{D8202987-3B4C-45BF-B1C8-25FB05DD6B6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0" authorId="0" shapeId="0" xr:uid="{3898590B-17B9-40D2-A0C6-EB5B71EBE615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F39" authorId="0" shapeId="0" xr:uid="{B8E6D01F-BF9F-4E0E-ABB1-4922AC3F78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0" authorId="0" shapeId="0" xr:uid="{7A7D1CAA-C999-4F28-8CCA-47A34CF3D7FD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10" authorId="0" shapeId="0" xr:uid="{D074337E-44C5-47F9-A8F8-6780F729DF55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12" authorId="0" shapeId="0" xr:uid="{C4B9D2E0-ED6C-4C20-ABB4-8D7C619D61EE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12" authorId="0" shapeId="0" xr:uid="{7749EC47-7605-457C-BAB1-76132283E301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13" authorId="0" shapeId="0" xr:uid="{42D385EB-E97A-4FF8-9E25-D21E9843584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14" authorId="0" shapeId="0" xr:uid="{393D86CF-22CF-427B-9EAE-26D0BC5FE81B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22" authorId="0" shapeId="0" xr:uid="{D3A1D1C5-76BD-4435-935F-C7E4F70B0C4A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22" authorId="0" shapeId="0" xr:uid="{907FE9F7-0D4F-46D9-A2C0-C5B647773F5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24" authorId="0" shapeId="0" xr:uid="{5D1C62E2-BA6D-4CB7-883E-07C5706393A9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24" authorId="0" shapeId="0" xr:uid="{36E4544B-281C-4C00-B62D-BDB23894D9BC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D25" authorId="0" shapeId="0" xr:uid="{9C29D9F4-3A90-45B0-8D33-A7A9EA7C25E0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26" authorId="0" shapeId="0" xr:uid="{F18420EE-B641-4973-84F8-1AFE5AFC91A5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27" authorId="0" shapeId="0" xr:uid="{CFAE0208-C94E-4720-A99A-392F739C2D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35" authorId="0" shapeId="0" xr:uid="{4ECB0ED9-6BCD-4505-A135-121E331946FF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35" authorId="0" shapeId="0" xr:uid="{81951B11-7B56-420D-ADD3-188465EF4D7F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40" authorId="0" shapeId="0" xr:uid="{E32EABE4-D24C-453B-9857-2D95D3F5FDBF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B49" authorId="0" shapeId="0" xr:uid="{A5B116E8-B653-4F25-BF25-2F85AD2A5008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49" authorId="0" shapeId="0" xr:uid="{AEB90F6D-E8CD-4DCC-9D59-AC6FB9ADEFF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51" authorId="0" shapeId="0" xr:uid="{11D9F340-2DB4-42D6-AACE-A2169BA3095F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51" authorId="0" shapeId="0" xr:uid="{D62BFDDA-8C85-4CDC-8BF6-C36C9717C1C9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55" authorId="0" shapeId="0" xr:uid="{B5E182E8-9D95-4E0F-AA19-F669731AA80B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56" authorId="0" shapeId="0" xr:uid="{09657194-E7DE-4003-90B7-F70AC1A0E4D4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G62" authorId="0" shapeId="0" xr:uid="{9AA28148-10EA-4C94-BDBE-5135BF849D19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38" authorId="0" shapeId="0" xr:uid="{F99D21DE-C680-41FC-80BD-D01F80D77713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sharedStrings.xml><?xml version="1.0" encoding="utf-8"?>
<sst xmlns="http://schemas.openxmlformats.org/spreadsheetml/2006/main" count="1532" uniqueCount="648">
  <si>
    <t>Obra</t>
  </si>
  <si>
    <t>Revisão</t>
  </si>
  <si>
    <t>m²</t>
  </si>
  <si>
    <t>un</t>
  </si>
  <si>
    <t>m</t>
  </si>
  <si>
    <t>Parâmetro</t>
  </si>
  <si>
    <t>R$ / AC</t>
  </si>
  <si>
    <t>AT</t>
  </si>
  <si>
    <t>AC</t>
  </si>
  <si>
    <t>NP</t>
  </si>
  <si>
    <t>NPT</t>
  </si>
  <si>
    <t>APT</t>
  </si>
  <si>
    <t>PPT</t>
  </si>
  <si>
    <t>NS</t>
  </si>
  <si>
    <t>Descrição</t>
  </si>
  <si>
    <t>Identificador</t>
  </si>
  <si>
    <t>Valor total</t>
  </si>
  <si>
    <t>TOTAL</t>
  </si>
  <si>
    <t>Quantidade</t>
  </si>
  <si>
    <t>ESCAVAÇÃO E REATERRO DE VALAS</t>
  </si>
  <si>
    <t>Escavação mecanizada para blocos e baldrames</t>
  </si>
  <si>
    <t>Reaterro para blocos e baldrames</t>
  </si>
  <si>
    <t>m³</t>
  </si>
  <si>
    <t>Armação</t>
  </si>
  <si>
    <t>Concreto</t>
  </si>
  <si>
    <t>Mão de obra</t>
  </si>
  <si>
    <t>kg</t>
  </si>
  <si>
    <t>vb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</si>
  <si>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</si>
  <si>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</si>
  <si>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</si>
  <si>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</si>
  <si>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</si>
  <si>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</si>
  <si>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kg / m³</t>
  </si>
  <si>
    <t>AE</t>
  </si>
  <si>
    <t>AL</t>
  </si>
  <si>
    <t>m² / AC</t>
  </si>
  <si>
    <t>m³ / AC</t>
  </si>
  <si>
    <t>APE</t>
  </si>
  <si>
    <t>NPD</t>
  </si>
  <si>
    <t>ND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</si>
  <si>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</si>
  <si>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</si>
  <si>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</si>
  <si>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</si>
  <si>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</si>
  <si>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</si>
  <si>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</si>
  <si>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</si>
  <si>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</si>
  <si>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</si>
  <si>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</si>
  <si>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</si>
  <si>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</si>
  <si>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</si>
  <si>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</si>
  <si>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</si>
  <si>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</si>
  <si>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</si>
  <si>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</si>
  <si>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</si>
  <si>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</si>
  <si>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</si>
  <si>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</si>
  <si>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</si>
  <si>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</si>
  <si>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</si>
  <si>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</si>
  <si>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</si>
  <si>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</si>
  <si>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</si>
  <si>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</si>
  <si>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</si>
  <si>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</si>
  <si>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</si>
  <si>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</si>
  <si>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</si>
  <si>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</si>
  <si>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</si>
  <si>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</si>
  <si>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</si>
  <si>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</si>
  <si>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</si>
  <si>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</si>
  <si>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</si>
  <si>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</si>
  <si>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</si>
  <si>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</si>
  <si>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</si>
  <si>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</si>
  <si>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</si>
  <si>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</si>
  <si>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</si>
  <si>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</si>
  <si>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</si>
  <si>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</si>
  <si>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</si>
  <si>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</si>
  <si>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 xml:space="preserve">Concreto </t>
  </si>
  <si>
    <t>REGULARIZAÇÃO E APILOAMENTO DE FUNDO DE VALAS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</si>
  <si>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</si>
  <si>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</si>
  <si>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</si>
  <si>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</si>
  <si>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</si>
  <si>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FUNDAÇÃO PROFUNDA</t>
  </si>
  <si>
    <t>Número de Estacas</t>
  </si>
  <si>
    <t>un / APE</t>
  </si>
  <si>
    <t>Mobilização</t>
  </si>
  <si>
    <t>FUNDAÇÃO RASA</t>
  </si>
  <si>
    <t>Fabricação, montagem e desmontagem de forma para blocos e baldrames resinado</t>
  </si>
  <si>
    <t>m³ / APE</t>
  </si>
  <si>
    <t>m² / APE</t>
  </si>
  <si>
    <t>Estaca Hélice Continua Diâmetro 60</t>
  </si>
  <si>
    <t>Armação 6,3mm</t>
  </si>
  <si>
    <t>Cubetas</t>
  </si>
  <si>
    <t>Empresa</t>
  </si>
  <si>
    <t>Preço unitário</t>
  </si>
  <si>
    <t>M</t>
  </si>
  <si>
    <t>M2</t>
  </si>
  <si>
    <t>MOVIMENTAÇÃO DE TERRA</t>
  </si>
  <si>
    <t>INFRAESTRUTURA</t>
  </si>
  <si>
    <t>UN</t>
  </si>
  <si>
    <t>Rebaixamento de lençol</t>
  </si>
  <si>
    <t>Armação 16mm</t>
  </si>
  <si>
    <t>DADOS OBRA</t>
  </si>
  <si>
    <t>Unidade</t>
  </si>
  <si>
    <t>ÁREA DO TERRENO</t>
  </si>
  <si>
    <t>ÁREA TOTAL CONSTRUÍDA</t>
  </si>
  <si>
    <t>NÚMERO TOTAL DE PAVIMENTOS</t>
  </si>
  <si>
    <t>NÚMERO DE PAVIMENTOS TIPO</t>
  </si>
  <si>
    <t>NÚMERO DE PAVIMENTOS TIPO DIFERENCIADOS</t>
  </si>
  <si>
    <t>NÚMERO DE PAVIMENTOS DUPLEX</t>
  </si>
  <si>
    <t>ÁREA DE PROJEÇÃO DA TORRE</t>
  </si>
  <si>
    <t>PERÍMETRO DE PROJEÇÃO DA TORRE</t>
  </si>
  <si>
    <t>ÁREA DE LAZER</t>
  </si>
  <si>
    <t xml:space="preserve">ÁREA DO EMBASAMENTO </t>
  </si>
  <si>
    <t>ÁREA DE SUBSOLOS</t>
  </si>
  <si>
    <t>S</t>
  </si>
  <si>
    <t>NÚMERO DE SUBSOLOS</t>
  </si>
  <si>
    <t>ÁREA DE PROJEÇÃO DO EMBASAMENTO</t>
  </si>
  <si>
    <t>PERÍMETRO DE PROJEÇÃO DE EMBAMENTO</t>
  </si>
  <si>
    <t>NÚMERO DE PAVIMENTOS DE EMBASAMENTO</t>
  </si>
  <si>
    <t>Movimentação de terra das estacas</t>
  </si>
  <si>
    <t>Escavação</t>
  </si>
  <si>
    <t>Preço unitário de escavação (R$ / m3)</t>
  </si>
  <si>
    <t>Volume total de escavação (m3)</t>
  </si>
  <si>
    <t>Altura do subsolo (m)</t>
  </si>
  <si>
    <t>Área de subsolo (m)</t>
  </si>
  <si>
    <t>ESCAVAÇÃO VERTICAL DE SUBSOLO</t>
  </si>
  <si>
    <t>Preço unitário de rebaixamento (R$ / dias)</t>
  </si>
  <si>
    <t>Quantidade (dias)</t>
  </si>
  <si>
    <t>REBAIXAMENTO DE LENÇOL FREÁTICO</t>
  </si>
  <si>
    <t>PE</t>
  </si>
  <si>
    <t>NE</t>
  </si>
  <si>
    <t>Movimentação de bota-fora</t>
  </si>
  <si>
    <t>m³ / Vol Escavação</t>
  </si>
  <si>
    <t>Área de lastro (m²)</t>
  </si>
  <si>
    <t>Preço unitário (R$ / m2)</t>
  </si>
  <si>
    <t>Preço unitário (R$ / m3)</t>
  </si>
  <si>
    <t>Estaca Hélice Continua Diâmetro 50</t>
  </si>
  <si>
    <t>Estaca Hélice Continua Diâmetro 40</t>
  </si>
  <si>
    <t xml:space="preserve">m/un </t>
  </si>
  <si>
    <t>un / APT*NPT</t>
  </si>
  <si>
    <t>un / AE</t>
  </si>
  <si>
    <t>CONTENÇÃO</t>
  </si>
  <si>
    <t>CORTINA DE ESTACAS</t>
  </si>
  <si>
    <t>TOTAL ALVENARIA</t>
  </si>
  <si>
    <t>Média</t>
  </si>
  <si>
    <t>R$ / m²</t>
  </si>
  <si>
    <t>Serviços complementares</t>
  </si>
  <si>
    <t>Alvenaria refratárias</t>
  </si>
  <si>
    <t>m² / APT</t>
  </si>
  <si>
    <t>Alvenaria cobertura / reservatório</t>
  </si>
  <si>
    <t xml:space="preserve">Alvenaria escadas </t>
  </si>
  <si>
    <t>m² / APT*(NPT+2ND)</t>
  </si>
  <si>
    <t>Alvenaria tipo</t>
  </si>
  <si>
    <t>m² / AL</t>
  </si>
  <si>
    <t>Alvenaria lazer</t>
  </si>
  <si>
    <t>m² / AE</t>
  </si>
  <si>
    <t>Alvenaria embasamento</t>
  </si>
  <si>
    <t>Referência</t>
  </si>
  <si>
    <t>ALVENARIA</t>
  </si>
  <si>
    <t>R00</t>
  </si>
  <si>
    <t>Data</t>
  </si>
  <si>
    <t>Cliente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</si>
  <si>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</si>
  <si>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>TOTAL REVESTIMENTOS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</si>
  <si>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</si>
  <si>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Reboco</t>
  </si>
  <si>
    <t>Chapisco</t>
  </si>
  <si>
    <t>Manta acústica</t>
  </si>
  <si>
    <t>Contrapiso</t>
  </si>
  <si>
    <t>REVESTIMENTOS INTERNOS EM PISO E PAREDE</t>
  </si>
  <si>
    <t>Chapisco e reboco</t>
  </si>
  <si>
    <t>Estucamento</t>
  </si>
  <si>
    <t>COBERTURA</t>
  </si>
  <si>
    <t>TOTAL ACABAMENTOS</t>
  </si>
  <si>
    <t>Revestimentos de Parede</t>
  </si>
  <si>
    <t>Soleiras e peitoris</t>
  </si>
  <si>
    <t>Rodapés</t>
  </si>
  <si>
    <t xml:space="preserve">m² </t>
  </si>
  <si>
    <t>Paver</t>
  </si>
  <si>
    <t>Piscina</t>
  </si>
  <si>
    <t>ACABAMENTOS EM PISO E PAREDE</t>
  </si>
  <si>
    <t>Pintura acrílica antiderrapante</t>
  </si>
  <si>
    <t>Pintura piso epoxi</t>
  </si>
  <si>
    <t>TOTAL FACHADA</t>
  </si>
  <si>
    <t>-</t>
  </si>
  <si>
    <t>ACABAMENTOS ESPECIAIS</t>
  </si>
  <si>
    <t>PINTURA</t>
  </si>
  <si>
    <t>REVESTIMENTOS ARGAMASSADOS</t>
  </si>
  <si>
    <t>TOTAL IMPERMEABILIZAÇÃO</t>
  </si>
  <si>
    <t>Proteção Mecânica</t>
  </si>
  <si>
    <t>Impermeabilização de peitoril</t>
  </si>
  <si>
    <t>Impermeabilizações com manta asfaltica</t>
  </si>
  <si>
    <t>Impermeabilizações cimenticias</t>
  </si>
  <si>
    <t>Ralos</t>
  </si>
  <si>
    <t>Baldrames</t>
  </si>
  <si>
    <t>Poço do elevador</t>
  </si>
  <si>
    <t>Regularização de Superfície</t>
  </si>
  <si>
    <t>IMPERMEABILIZAÇÃO</t>
  </si>
  <si>
    <t>Esquadrias de Madeira</t>
  </si>
  <si>
    <t>Corrimão madeira</t>
  </si>
  <si>
    <t>Guarda-corpo - vidro</t>
  </si>
  <si>
    <t>Serralherias</t>
  </si>
  <si>
    <t>PCF</t>
  </si>
  <si>
    <t>Esquadrias de Alumínio</t>
  </si>
  <si>
    <t>ESQUADRIAS</t>
  </si>
  <si>
    <t>TOTAL INSTALAÇÕES</t>
  </si>
  <si>
    <t>Instalações de Proteção e Aterramento - SPDA</t>
  </si>
  <si>
    <t>Instalações de GLP</t>
  </si>
  <si>
    <t>Instalações Preventivas</t>
  </si>
  <si>
    <t>INSTALAÇÕES PREVENTIVAS E GLP</t>
  </si>
  <si>
    <t>Mão de Obra para Instalações Hidráulicas</t>
  </si>
  <si>
    <t>Louças e Metais</t>
  </si>
  <si>
    <t>Instalações Sanitárias</t>
  </si>
  <si>
    <t>Instalações de Águas Pluviais</t>
  </si>
  <si>
    <t>Instalações de Água Quente</t>
  </si>
  <si>
    <t>Instalações de Água Fria</t>
  </si>
  <si>
    <t>INSTALAÇÕES HIDROSSANITÁRIAS</t>
  </si>
  <si>
    <t>Mão de Obra para Instalações Elétricas</t>
  </si>
  <si>
    <t>Equipamentos e Iluminação</t>
  </si>
  <si>
    <t>Acabamentos Elétricos</t>
  </si>
  <si>
    <t>Quadros e Disjuntores</t>
  </si>
  <si>
    <t>Cabos e Fiações</t>
  </si>
  <si>
    <t>Eletrodutos e Eletrocalhas</t>
  </si>
  <si>
    <t>Entrada de Energia</t>
  </si>
  <si>
    <t>INSTALAÇÕES ELÉTRICAS</t>
  </si>
  <si>
    <t>INSTALAÇÕES</t>
  </si>
  <si>
    <t>TOTAL SISTEMAS ESPECIAIS</t>
  </si>
  <si>
    <t>Outros sistemas</t>
  </si>
  <si>
    <t>OUTROS SISTEMAS ESPECIAIS</t>
  </si>
  <si>
    <t>Infra de carro elétrico</t>
  </si>
  <si>
    <t>Grupo de geradores</t>
  </si>
  <si>
    <t>Elevadores</t>
  </si>
  <si>
    <t>Preço Unitário</t>
  </si>
  <si>
    <t>EQUIPAMENTOS</t>
  </si>
  <si>
    <t>Automação, telecomunicação e sistemas de segurança</t>
  </si>
  <si>
    <t>TV e internet</t>
  </si>
  <si>
    <t>Interfone</t>
  </si>
  <si>
    <t>CFTV</t>
  </si>
  <si>
    <t>COMUNICAÇÃO</t>
  </si>
  <si>
    <t>Churrasqueiras</t>
  </si>
  <si>
    <t>Ventokit</t>
  </si>
  <si>
    <t>Instalação de Ar Condicionado</t>
  </si>
  <si>
    <t>Infraestrutura para Instalação de Ar Condicionado</t>
  </si>
  <si>
    <t>CLIMATIZAÇÃO, EXAUSTÃO MECÂNICA E PRESSURIZAÇÃO</t>
  </si>
  <si>
    <t>SISTEMAS ESPECIAIS</t>
  </si>
  <si>
    <t>TOTAL COMPLEMENTARES</t>
  </si>
  <si>
    <t>Limpeza</t>
  </si>
  <si>
    <t>Desmobilização</t>
  </si>
  <si>
    <t>Ligações definitivas</t>
  </si>
  <si>
    <t>Paisagismo</t>
  </si>
  <si>
    <t>Comunicação visual</t>
  </si>
  <si>
    <t>R$ / AL</t>
  </si>
  <si>
    <t>Móveis e decoração</t>
  </si>
  <si>
    <t>SERVIÇOS COMPLEMENTARES</t>
  </si>
  <si>
    <t>COMPLEMENTARES</t>
  </si>
  <si>
    <t>Connect</t>
  </si>
  <si>
    <t>Passe</t>
  </si>
  <si>
    <t>Arquitetura base</t>
  </si>
  <si>
    <t>UNIDADES RESIDENCIAIS</t>
  </si>
  <si>
    <t>UR</t>
  </si>
  <si>
    <t>Dormitórios</t>
  </si>
  <si>
    <t>Banheiros</t>
  </si>
  <si>
    <t>UNIDADES COMERCIAIS</t>
  </si>
  <si>
    <t>UC</t>
  </si>
  <si>
    <t>dorm</t>
  </si>
  <si>
    <t>ban</t>
  </si>
  <si>
    <t>Arquivo base</t>
  </si>
  <si>
    <t>PAREDE DE CONCRETO</t>
  </si>
  <si>
    <t>Lastro de concreto magto e=5cm</t>
  </si>
  <si>
    <t>Observação</t>
  </si>
  <si>
    <t>Definição trazida do Celebration da Passe</t>
  </si>
  <si>
    <t>Concreto (40 Mpa)</t>
  </si>
  <si>
    <t>Apoio e arrasamento de estacas</t>
  </si>
  <si>
    <t>Perfuração de vigas</t>
  </si>
  <si>
    <t>R$ / NP</t>
  </si>
  <si>
    <t>Coeficiente originário do Gran Torino (R$ 160,00/un)</t>
  </si>
  <si>
    <t>Jogos</t>
  </si>
  <si>
    <t>SUPRAESTRUTURA - LAJE MACIÇA</t>
  </si>
  <si>
    <t>SUPRAESTRUTURA - LAJE TRELIÇADA</t>
  </si>
  <si>
    <t>Nova utiliza a verba de 1.500,00 por pav</t>
  </si>
  <si>
    <t>PAREDES E PAINÉIS</t>
  </si>
  <si>
    <t>Drywall tipo</t>
  </si>
  <si>
    <t>CHU</t>
  </si>
  <si>
    <t>m² * CHU</t>
  </si>
  <si>
    <t>perda</t>
  </si>
  <si>
    <t>m³ / Vol infra</t>
  </si>
  <si>
    <t>Escoramento</t>
  </si>
  <si>
    <t>Bombas</t>
  </si>
  <si>
    <t>m / FORRO</t>
  </si>
  <si>
    <t>PINTURA INTERNA</t>
  </si>
  <si>
    <t>REVESTIMENTOS E ACABAMENTOS DE TETO</t>
  </si>
  <si>
    <t xml:space="preserve"> m² / AC</t>
  </si>
  <si>
    <t>Estrutura e telhamento</t>
  </si>
  <si>
    <t>Pergolados</t>
  </si>
  <si>
    <t>Passarelas</t>
  </si>
  <si>
    <t>TELHADO</t>
  </si>
  <si>
    <t>Textura</t>
  </si>
  <si>
    <t>Polimento de concreto</t>
  </si>
  <si>
    <t>Piso alisado</t>
  </si>
  <si>
    <t>TOTAL ESQUADRIAS</t>
  </si>
  <si>
    <t xml:space="preserve">un </t>
  </si>
  <si>
    <t>Estaca Hélice Continua Diâmetro 80</t>
  </si>
  <si>
    <t xml:space="preserve">Armação </t>
  </si>
  <si>
    <t>SUPRAESTRUTURA - LAJE PROTENDIDA</t>
  </si>
  <si>
    <t>RS / m²</t>
  </si>
  <si>
    <t>kg / m²</t>
  </si>
  <si>
    <t>Protensão - lajes - materiais</t>
  </si>
  <si>
    <t>Protensão - lajes - cabos</t>
  </si>
  <si>
    <t>Protensão - lajes - serviços</t>
  </si>
  <si>
    <t>und / pav</t>
  </si>
  <si>
    <t>pav</t>
  </si>
  <si>
    <t>Piso de concreto armado</t>
  </si>
  <si>
    <t>Base obra Trindade Parkside</t>
  </si>
  <si>
    <t>ALVENARIA - DRYWALL</t>
  </si>
  <si>
    <t>Sistema de aquecimento</t>
  </si>
  <si>
    <t>Equipamento de piscina</t>
  </si>
  <si>
    <t>TOTAL FORRO</t>
  </si>
  <si>
    <t>Fechadura Biometrica</t>
  </si>
  <si>
    <t>Spa</t>
  </si>
  <si>
    <t>Pele de vidro</t>
  </si>
  <si>
    <t xml:space="preserve">Gradil </t>
  </si>
  <si>
    <t>ACM embasamento</t>
  </si>
  <si>
    <t>4 meses</t>
  </si>
  <si>
    <t>Trtamento de friso</t>
  </si>
  <si>
    <t>Led vertical</t>
  </si>
  <si>
    <t>R$ / m</t>
  </si>
  <si>
    <t>Brise Amadeirado embasamento</t>
  </si>
  <si>
    <t>Vinilico</t>
  </si>
  <si>
    <t>Pressurização de escada</t>
  </si>
  <si>
    <t>DADOS DO EMPREENDIMENTO</t>
  </si>
  <si>
    <t xml:space="preserve">Projeto: </t>
  </si>
  <si>
    <t>ENDEREÇO DA OBRA:</t>
  </si>
  <si>
    <t xml:space="preserve">Empresa: </t>
  </si>
  <si>
    <t>Cidade/ES:</t>
  </si>
  <si>
    <t>Florianópolis /SC</t>
  </si>
  <si>
    <t xml:space="preserve">Revisão: </t>
  </si>
  <si>
    <t>CNPJ:</t>
  </si>
  <si>
    <t xml:space="preserve">Pazo de Obra: </t>
  </si>
  <si>
    <t xml:space="preserve">Nº Unid. Residenciais: </t>
  </si>
  <si>
    <t xml:space="preserve">Nº Elevadores: </t>
  </si>
  <si>
    <t>Imagens</t>
  </si>
  <si>
    <t xml:space="preserve">Área do Terreno: </t>
  </si>
  <si>
    <t xml:space="preserve">Nº Unid. Comerciais: </t>
  </si>
  <si>
    <t xml:space="preserve">Área Construída: </t>
  </si>
  <si>
    <t xml:space="preserve">Nº Pavimentos: </t>
  </si>
  <si>
    <t xml:space="preserve">Área Privativa: </t>
  </si>
  <si>
    <t xml:space="preserve">Total de Dormitórios: </t>
  </si>
  <si>
    <t>Área de Lazer:</t>
  </si>
  <si>
    <t xml:space="preserve">Nº Subsolos: </t>
  </si>
  <si>
    <t>Área Comercial:</t>
  </si>
  <si>
    <t xml:space="preserve">Nº Vagas: </t>
  </si>
  <si>
    <t xml:space="preserve">Nº Banheiros: </t>
  </si>
  <si>
    <t xml:space="preserve">Nº Churrasqueiras: </t>
  </si>
  <si>
    <t xml:space="preserve">Torre </t>
  </si>
  <si>
    <t>Pavimento</t>
  </si>
  <si>
    <t>Área</t>
  </si>
  <si>
    <t>Área Privativa</t>
  </si>
  <si>
    <t>Perímetro</t>
  </si>
  <si>
    <t>Pé direito</t>
  </si>
  <si>
    <t>Churrasqueira</t>
  </si>
  <si>
    <t>Quartos</t>
  </si>
  <si>
    <t>Ar - Condicionado
Ponto</t>
  </si>
  <si>
    <t>Ar - Condicionado
Equipamento</t>
  </si>
  <si>
    <t>Nº Unidades</t>
  </si>
  <si>
    <t>Torre A</t>
  </si>
  <si>
    <t>SUBSOLO 01</t>
  </si>
  <si>
    <t>1º PAV-TÉRREO</t>
  </si>
  <si>
    <t>1º PAV-MEZANINO</t>
  </si>
  <si>
    <t>2º PAVIMENTO</t>
  </si>
  <si>
    <t>3º PAVIMENTO</t>
  </si>
  <si>
    <t>4º PAVIMENTO</t>
  </si>
  <si>
    <t>BARRILETE</t>
  </si>
  <si>
    <t>RESERVATÓRIO</t>
  </si>
  <si>
    <t>Torre</t>
  </si>
  <si>
    <t xml:space="preserve">Área </t>
  </si>
  <si>
    <t>QUADRO DE ÁREAS</t>
  </si>
  <si>
    <t>CIRCULAÇÃO</t>
  </si>
  <si>
    <t>PISCINA</t>
  </si>
  <si>
    <t>DADOS</t>
  </si>
  <si>
    <t>Titulo</t>
  </si>
  <si>
    <t>QUANTITATIVO</t>
  </si>
  <si>
    <t>Cidade</t>
  </si>
  <si>
    <t>Endereço</t>
  </si>
  <si>
    <t>QUANTITATIVOS</t>
  </si>
  <si>
    <t>Item</t>
  </si>
  <si>
    <t>Unid.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</si>
  <si>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</si>
  <si>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</si>
  <si>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</si>
  <si>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</si>
  <si>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</si>
  <si>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</si>
  <si>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</si>
  <si>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</si>
  <si>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</si>
  <si>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</si>
  <si>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Bloco de 09</t>
  </si>
  <si>
    <t>Bloco de 11,5</t>
  </si>
  <si>
    <t>Bloco de 14</t>
  </si>
  <si>
    <t>Bloco de 19</t>
  </si>
  <si>
    <t>Drywall tipo RU</t>
  </si>
  <si>
    <t>11.</t>
  </si>
  <si>
    <t>Piso Cerâmico Garagens</t>
  </si>
  <si>
    <t>Piso Cerâmico halls, Circulaçõa, áreas Comuns e banheiros unidades</t>
  </si>
  <si>
    <t>Ladrilho Hidraulico Rampa</t>
  </si>
  <si>
    <t>Forro gesso Acartonado RU</t>
  </si>
  <si>
    <t>Forro gesso Acartonado ST</t>
  </si>
  <si>
    <t>Tratamento de concreto Aparente</t>
  </si>
  <si>
    <t>Subestação de Energia</t>
  </si>
  <si>
    <t>Altura</t>
  </si>
  <si>
    <t xml:space="preserve">Perímetro </t>
  </si>
  <si>
    <t>Contenção</t>
  </si>
  <si>
    <t>Espessura</t>
  </si>
  <si>
    <t>Repetição</t>
  </si>
  <si>
    <t>FACHADA VENTILADA COM PORCELANATO</t>
  </si>
  <si>
    <t>*ìndice da All - Acácias JK</t>
  </si>
  <si>
    <t>m2</t>
  </si>
  <si>
    <t>Pintura Interna Paredes</t>
  </si>
  <si>
    <t>Pintura Interna Teto</t>
  </si>
  <si>
    <t>Fechadura consideraeda no Coline é de 1500,00</t>
  </si>
  <si>
    <t>Equipamento Carro Elétrico</t>
  </si>
  <si>
    <t>Estimado com Base no Redentor</t>
  </si>
  <si>
    <t>Instalações Sprinklers</t>
  </si>
  <si>
    <t>Outros</t>
  </si>
  <si>
    <t/>
  </si>
  <si>
    <t>12.</t>
  </si>
  <si>
    <t>Drywall tipo ST</t>
  </si>
  <si>
    <t>Selador</t>
  </si>
  <si>
    <t>MT</t>
  </si>
  <si>
    <t>MO</t>
  </si>
  <si>
    <t>Terceirizado</t>
  </si>
  <si>
    <t>Emp</t>
  </si>
  <si>
    <t>Terceiro</t>
  </si>
  <si>
    <t>MT Total</t>
  </si>
  <si>
    <t>MO Total</t>
  </si>
  <si>
    <t>Versão Sem Fachada Ventilada Com Textura Comum</t>
  </si>
  <si>
    <t>Qtdade</t>
  </si>
  <si>
    <t>Custo Unit</t>
  </si>
  <si>
    <t>Custo Total</t>
  </si>
  <si>
    <t>Jardim Campeche</t>
  </si>
  <si>
    <t>BD Empreendimentos</t>
  </si>
  <si>
    <t>R00 -Patricia</t>
  </si>
  <si>
    <t>COBERTURA APTOS</t>
  </si>
  <si>
    <t>GARAGEM</t>
  </si>
  <si>
    <t>DEPÓSITO</t>
  </si>
  <si>
    <t>GARAGEM VISITANTES</t>
  </si>
  <si>
    <t>DEP LIXO</t>
  </si>
  <si>
    <t>ACESSO PRAIA</t>
  </si>
  <si>
    <t>HALL</t>
  </si>
  <si>
    <t>LOCKER</t>
  </si>
  <si>
    <t>SALA DE FESTAS</t>
  </si>
  <si>
    <t>AREA DE LAZER</t>
  </si>
  <si>
    <t xml:space="preserve"> BRINQUEDOTECA</t>
  </si>
  <si>
    <t>SALA DE JOGOS</t>
  </si>
  <si>
    <t>BANHEIROS</t>
  </si>
  <si>
    <t>WC</t>
  </si>
  <si>
    <t>SAUNA</t>
  </si>
  <si>
    <t>OFFICE</t>
  </si>
  <si>
    <t>ACADEMIA</t>
  </si>
  <si>
    <t>SUPRAESTRUTURA - LAJE CUBETAS</t>
  </si>
  <si>
    <t>um</t>
  </si>
  <si>
    <t>8 meses</t>
  </si>
  <si>
    <t>Sauna</t>
  </si>
  <si>
    <t>Estaçao de tratamento de esgoto</t>
  </si>
  <si>
    <t>escada</t>
  </si>
  <si>
    <t>Adaptador Soldavel com Anel para CxDagua - Fortlev:Standard</t>
  </si>
  <si>
    <t>12.2.1</t>
  </si>
  <si>
    <t>Conexão</t>
  </si>
  <si>
    <t>12.2.</t>
  </si>
  <si>
    <t>IND</t>
  </si>
  <si>
    <t>RampaA-FLOR-LEVL-OTLN</t>
  </si>
  <si>
    <t>12.1.1</t>
  </si>
  <si>
    <t>Rampa</t>
  </si>
  <si>
    <t>12.1.</t>
  </si>
  <si>
    <t>PORTA ELEVADOR:PORTA ELEVADOR</t>
  </si>
  <si>
    <t>11.1.6</t>
  </si>
  <si>
    <t>D_Porta Simples com vista_Pintura Branca:90</t>
  </si>
  <si>
    <t>11.1.5</t>
  </si>
  <si>
    <t>D_Porta Simples com vista_Pintura Branca:80</t>
  </si>
  <si>
    <t>11.1.4</t>
  </si>
  <si>
    <t>D_Porta Simples com vista_Pintura Branca:70</t>
  </si>
  <si>
    <t>11.1.3</t>
  </si>
  <si>
    <t>D_Porta Simples com vista_Pintura Branca:60</t>
  </si>
  <si>
    <t>11.1.2</t>
  </si>
  <si>
    <t>DIERRE_SPLIT_REI_120:LVM 1000 - HVM 2100</t>
  </si>
  <si>
    <t>11.1.1</t>
  </si>
  <si>
    <t>Porta</t>
  </si>
  <si>
    <t>11.1.</t>
  </si>
  <si>
    <t>GERAL PORTAS</t>
  </si>
  <si>
    <t>Painel do sistema:Vidro</t>
  </si>
  <si>
    <t>10.1.2</t>
  </si>
  <si>
    <t>COBOGO_ELO:COBOGO_ELO</t>
  </si>
  <si>
    <t>10.1.1</t>
  </si>
  <si>
    <t>Placa</t>
  </si>
  <si>
    <t>10.1.</t>
  </si>
  <si>
    <t>GERAL PLACAS</t>
  </si>
  <si>
    <t>Piso:PASSEIO</t>
  </si>
  <si>
    <t>9.1.9</t>
  </si>
  <si>
    <t>Piso:MEIO FIO</t>
  </si>
  <si>
    <t>9.1.8</t>
  </si>
  <si>
    <t>Piso:LAJE_PROTENDIDA_24</t>
  </si>
  <si>
    <t>9.1.7</t>
  </si>
  <si>
    <t>Piso:LAJE_PROTENDIDA_20</t>
  </si>
  <si>
    <t>9.1.6</t>
  </si>
  <si>
    <t>Piso:LAJE_PREMOLDADA_20</t>
  </si>
  <si>
    <t>9.1.5</t>
  </si>
  <si>
    <t>Piso:LAJE_PREMOLDADA_10</t>
  </si>
  <si>
    <t>9.1.4</t>
  </si>
  <si>
    <t>Piso:CONTRAPISO CONCRETO_20</t>
  </si>
  <si>
    <t>9.1.3</t>
  </si>
  <si>
    <t>Piso:BRITA</t>
  </si>
  <si>
    <t>9.1.2</t>
  </si>
  <si>
    <t>Piso:ASFALTO</t>
  </si>
  <si>
    <t>9.1.1</t>
  </si>
  <si>
    <t>Laje</t>
  </si>
  <si>
    <t>9.1.</t>
  </si>
  <si>
    <t>GERAL PISOS</t>
  </si>
  <si>
    <t>Parede cortina:D_Portão_PRETO</t>
  </si>
  <si>
    <t>8.1.3</t>
  </si>
  <si>
    <t>Parede cortina:D_Cortina_Vidro_NOMontante</t>
  </si>
  <si>
    <t>8.1.2</t>
  </si>
  <si>
    <t>Parede cortina:D_Cortina_Cobogó</t>
  </si>
  <si>
    <t>8.1.1</t>
  </si>
  <si>
    <t>Parede de cortina</t>
  </si>
  <si>
    <t>8.1.</t>
  </si>
  <si>
    <t>GERAL PAREDE CORTINA</t>
  </si>
  <si>
    <t>Parede PAREDE DRYWALL_10_ST</t>
  </si>
  <si>
    <t>7.1.7</t>
  </si>
  <si>
    <t>Parede PAREDE CONCRETO_20</t>
  </si>
  <si>
    <t>7.1.6</t>
  </si>
  <si>
    <t>Parede PAREDE CONCRETO_10</t>
  </si>
  <si>
    <t>7.1.5</t>
  </si>
  <si>
    <t>Parede PAREDE ALVENARIA_18</t>
  </si>
  <si>
    <t>7.1.4</t>
  </si>
  <si>
    <t>Parede PAREDE ALVENARIA_15</t>
  </si>
  <si>
    <t>7.1.3</t>
  </si>
  <si>
    <t>Parede PAREDE ALVENARIA_13</t>
  </si>
  <si>
    <t>7.1.2</t>
  </si>
  <si>
    <t>Parede PAREDE ALVENARIA_12</t>
  </si>
  <si>
    <t>7.1.1</t>
  </si>
  <si>
    <t>Parede padrão</t>
  </si>
  <si>
    <t>7.1.</t>
  </si>
  <si>
    <t xml:space="preserve">GERAL PAREDE </t>
  </si>
  <si>
    <t>Montante retangular:Metal Preto 15x5 face</t>
  </si>
  <si>
    <t>6.1.3</t>
  </si>
  <si>
    <t>Montante retangular:D_3x2 Metal_PRETO</t>
  </si>
  <si>
    <t>6.1.2</t>
  </si>
  <si>
    <t>Montante retangular:D_3x0.5 Metal_PRETO</t>
  </si>
  <si>
    <t>6.1.1</t>
  </si>
  <si>
    <t>Membro</t>
  </si>
  <si>
    <t>6.1.</t>
  </si>
  <si>
    <t>GERAL MEMBRO</t>
  </si>
  <si>
    <t>Lance monolítico:10 mm Tread 10 mm Riser</t>
  </si>
  <si>
    <t>5.1.1</t>
  </si>
  <si>
    <t>Lance de escada</t>
  </si>
  <si>
    <t>5.1.</t>
  </si>
  <si>
    <t>GERAL LANCE ESCADAS</t>
  </si>
  <si>
    <t>JANELA _3F:JANELA _3F_420x243</t>
  </si>
  <si>
    <t>4.1.14</t>
  </si>
  <si>
    <t>JANELA _3F:JANELA _3F_360x243</t>
  </si>
  <si>
    <t>4.1.13</t>
  </si>
  <si>
    <t>JANELA _3F:JANELA _3F_338x243</t>
  </si>
  <si>
    <t>4.1.12</t>
  </si>
  <si>
    <t>JANELA _2F:JANELA _2F_240x60</t>
  </si>
  <si>
    <t>4.1.11</t>
  </si>
  <si>
    <t>JANELA _2F:JANELA _2F_240x243</t>
  </si>
  <si>
    <t>4.1.10</t>
  </si>
  <si>
    <t>JANELA _2F:JANELA _2F_240x130</t>
  </si>
  <si>
    <t>4.1.9</t>
  </si>
  <si>
    <t>JANELA _2F:JANELA _2F_200X243</t>
  </si>
  <si>
    <t>4.1.8</t>
  </si>
  <si>
    <t>JANELA _2F+FIXA:JANELA _2F+FIXA_240x194</t>
  </si>
  <si>
    <t>4.1.7</t>
  </si>
  <si>
    <t>JANELA _1F:JANELA _1F_80x243</t>
  </si>
  <si>
    <t>4.1.6</t>
  </si>
  <si>
    <t>JANELA _1F:JANELA _1F_60x80</t>
  </si>
  <si>
    <t>4.1.5</t>
  </si>
  <si>
    <t>JANELA _1F:JANELA _1F_240x60</t>
  </si>
  <si>
    <t>4.1.4</t>
  </si>
  <si>
    <t>JANELA _1F+FIXA:JANELA _1F+FIXA_60x200</t>
  </si>
  <si>
    <t>4.1.3</t>
  </si>
  <si>
    <t>JANELA _1F+FIXA:JANELA _1F+FIXA_60x130</t>
  </si>
  <si>
    <t>4.1.2</t>
  </si>
  <si>
    <t>JANELA _1F+FIXA:JANELA _1F+FIXA_120x200</t>
  </si>
  <si>
    <t>4.1.1</t>
  </si>
  <si>
    <t>Janela</t>
  </si>
  <si>
    <t>4.1.</t>
  </si>
  <si>
    <t>GERAL JANELAS</t>
  </si>
  <si>
    <t>Forro básico:D_Película</t>
  </si>
  <si>
    <t>3.1.1</t>
  </si>
  <si>
    <t>Revestimento</t>
  </si>
  <si>
    <t>3.1.</t>
  </si>
  <si>
    <t>GERAL FORRO</t>
  </si>
  <si>
    <t>Escada moldada no local:D_18x28</t>
  </si>
  <si>
    <t>2.1.1</t>
  </si>
  <si>
    <t>Escada</t>
  </si>
  <si>
    <t>2.1.</t>
  </si>
  <si>
    <t>GERAL ESCADAS</t>
  </si>
  <si>
    <t>Guarda-corpo:GUARDACORPO SACADA</t>
  </si>
  <si>
    <t>1.1.2</t>
  </si>
  <si>
    <t>Guarda-corpo:GUARDACORPO AR CONDICIONADO</t>
  </si>
  <si>
    <t>1.1.1</t>
  </si>
  <si>
    <t>Corrimão</t>
  </si>
  <si>
    <t>1.1.</t>
  </si>
  <si>
    <t>GERAL CORRIMAO</t>
  </si>
  <si>
    <t>Garagem, barrilete e escadas</t>
  </si>
  <si>
    <t>Textura estucamento</t>
  </si>
  <si>
    <t>Portão de alumínio ripado</t>
  </si>
  <si>
    <t xml:space="preserve">lojas </t>
  </si>
  <si>
    <t>Cobogó</t>
  </si>
  <si>
    <t>Pastilha</t>
  </si>
  <si>
    <t>Móveis e decoração INTERNO</t>
  </si>
  <si>
    <t>Viga de coroamento</t>
  </si>
  <si>
    <t>Mureta guia</t>
  </si>
  <si>
    <t>Forma</t>
  </si>
  <si>
    <t>Concreto apoio</t>
  </si>
  <si>
    <t>Concreto lamela</t>
  </si>
  <si>
    <t>Mão de obra apoio</t>
  </si>
  <si>
    <t>Mão de obra diagrafma</t>
  </si>
  <si>
    <t>Tratamento de juntas</t>
  </si>
  <si>
    <t>Porcelanato amadeirado</t>
  </si>
  <si>
    <t>Chapisco e reboco abas</t>
  </si>
  <si>
    <t>IMPERMEBAILIZAÇÃO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</si>
</sst>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.##0.00_-;\-* #.##0.00_-;_-* &quot;-&quot;??_-;_-@_-"/>
    <numFmt numFmtId="166" formatCode="_-* #,##0.0000_-;\-* #,##0.0000_-;_-* &quot;-&quot;??_-;_-@_-"/>
    <numFmt numFmtId="167" formatCode="_(* #,##0.00_);_(* \(#,##0.00\);_(* &quot;-&quot;??_);_(@_)"/>
    <numFmt numFmtId="168" formatCode="dd/mm/yy;@"/>
    <numFmt numFmtId="169" formatCode="00\ &quot;Meses&quot;"/>
    <numFmt numFmtId="170" formatCode="00\ &quot;un&quot;"/>
    <numFmt numFmtId="171" formatCode="00\ &quot;M²&quot;"/>
    <numFmt numFmtId="172" formatCode="00.0\ &quot;M²&quot;"/>
    <numFmt numFmtId="173" formatCode="00.00\ &quot;M²&quot;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sz val="10"/>
      <color rgb="FFFF0000"/>
      <name val="Roboto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Poppins"/>
    </font>
    <font>
      <sz val="10"/>
      <color theme="1"/>
      <name val="Poppins"/>
    </font>
    <font>
      <sz val="10"/>
      <name val="Poppins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b/>
      <sz val="9"/>
      <color indexed="81"/>
      <name val="Segoe UI"/>
      <family val="2"/>
    </font>
    <font>
      <b/>
      <sz val="10"/>
      <color theme="0"/>
      <name val="Roboto"/>
    </font>
    <font>
      <sz val="11"/>
      <color rgb="FFFF0000"/>
      <name val="Roboto"/>
    </font>
    <font>
      <sz val="11"/>
      <name val="Roboto"/>
    </font>
    <font>
      <sz val="11"/>
      <name val="Poppins"/>
    </font>
    <font>
      <b/>
      <sz val="11"/>
      <color theme="0"/>
      <name val="Roboto"/>
    </font>
    <font>
      <b/>
      <sz val="10"/>
      <color theme="1"/>
      <name val="Roboto"/>
    </font>
    <font>
      <sz val="10"/>
      <name val="Roboto"/>
    </font>
    <font>
      <b/>
      <u/>
      <sz val="10"/>
      <color theme="1"/>
      <name val="Roboto"/>
    </font>
    <font>
      <sz val="10"/>
      <color rgb="FF000000"/>
      <name val="Roboto"/>
    </font>
    <font>
      <b/>
      <sz val="14"/>
      <color rgb="FF293549"/>
      <name val="Roboto"/>
    </font>
    <font>
      <b/>
      <sz val="14"/>
      <color rgb="FF255AE5"/>
      <name val="Roboto"/>
    </font>
    <font>
      <b/>
      <sz val="11"/>
      <color rgb="FFFF0000"/>
      <name val="Roboto"/>
    </font>
    <font>
      <b/>
      <sz val="10"/>
      <color rgb="FFFF0000"/>
      <name val="Roboto"/>
    </font>
    <font>
      <sz val="9"/>
      <color indexed="81"/>
      <name val="Segoe UI"/>
      <family val="2"/>
    </font>
    <font>
      <sz val="11"/>
      <color rgb="FFFF0000"/>
      <name val="Poppins"/>
    </font>
    <font>
      <sz val="8"/>
      <name val="Arial"/>
      <family val="2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sz val="9.5"/>
      <name val="Calibri"/>
      <family val="2"/>
      <scheme val="minor"/>
    </font>
    <font>
      <sz val="1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i/>
      <sz val="10"/>
      <color rgb="FF121212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4"/>
      <name val="Calibri"/>
      <family val="2"/>
      <scheme val="minor"/>
    </font>
    <font>
      <i/>
      <sz val="4"/>
      <name val="Calibri"/>
      <family val="2"/>
      <scheme val="minor"/>
    </font>
    <font>
      <i/>
      <sz val="4"/>
      <color rgb="FF1212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ECECE"/>
        <bgColor rgb="FFCECE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1851D6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800080"/>
        <bgColor indexed="64"/>
      </patternFill>
    </fill>
    <fill>
      <patternFill patternType="solid">
        <fgColor rgb="FFA077B5"/>
        <bgColor indexed="64"/>
      </patternFill>
    </fill>
    <fill>
      <patternFill patternType="solid">
        <fgColor rgb="FFF6F4F6"/>
        <bgColor indexed="64"/>
      </patternFill>
    </fill>
    <fill>
      <patternFill patternType="solid">
        <fgColor rgb="FF989DD0"/>
        <bgColor indexed="64"/>
      </patternFill>
    </fill>
  </fills>
  <borders count="1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CECECE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29292F"/>
      </bottom>
      <diagonal/>
    </border>
    <border>
      <left style="medium">
        <color indexed="64"/>
      </left>
      <right/>
      <top style="thin">
        <color rgb="FF29292F"/>
      </top>
      <bottom style="hair">
        <color rgb="FF29292F"/>
      </bottom>
      <diagonal/>
    </border>
    <border>
      <left/>
      <right/>
      <top style="thin">
        <color rgb="FF29292F"/>
      </top>
      <bottom style="hair">
        <color rgb="FF29292F"/>
      </bottom>
      <diagonal/>
    </border>
    <border>
      <left/>
      <right style="medium">
        <color indexed="64"/>
      </right>
      <top style="thin">
        <color rgb="FF29292F"/>
      </top>
      <bottom style="hair">
        <color rgb="FF29292F"/>
      </bottom>
      <diagonal/>
    </border>
    <border>
      <left style="medium">
        <color indexed="64"/>
      </left>
      <right/>
      <top style="hair">
        <color rgb="FF29292F"/>
      </top>
      <bottom style="hair">
        <color rgb="FF29292F"/>
      </bottom>
      <diagonal/>
    </border>
    <border>
      <left/>
      <right/>
      <top style="hair">
        <color rgb="FF29292F"/>
      </top>
      <bottom style="hair">
        <color rgb="FF29292F"/>
      </bottom>
      <diagonal/>
    </border>
    <border>
      <left/>
      <right style="medium">
        <color indexed="64"/>
      </right>
      <top style="hair">
        <color rgb="FF29292F"/>
      </top>
      <bottom style="hair">
        <color rgb="FF29292F"/>
      </bottom>
      <diagonal/>
    </border>
    <border>
      <left style="medium">
        <color indexed="64"/>
      </left>
      <right/>
      <top style="hair">
        <color rgb="FF29292F"/>
      </top>
      <bottom style="medium">
        <color indexed="64"/>
      </bottom>
      <diagonal/>
    </border>
    <border>
      <left/>
      <right/>
      <top style="hair">
        <color rgb="FF29292F"/>
      </top>
      <bottom style="medium">
        <color indexed="64"/>
      </bottom>
      <diagonal/>
    </border>
    <border>
      <left/>
      <right style="medium">
        <color indexed="64"/>
      </right>
      <top style="hair">
        <color rgb="FF29292F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thin">
        <color theme="0" tint="-4.9989318521683403E-2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8" fillId="0" borderId="0"/>
    <xf numFmtId="167" fontId="2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2" fillId="0" borderId="0"/>
  </cellStyleXfs>
  <cellXfs count="36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0" fillId="0" borderId="0" xfId="1" applyFont="1"/>
    <xf numFmtId="0" fontId="9" fillId="5" borderId="15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43" fontId="6" fillId="2" borderId="9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/>
    <xf numFmtId="0" fontId="9" fillId="5" borderId="16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3" fontId="6" fillId="2" borderId="10" xfId="1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2" borderId="17" xfId="0" applyFont="1" applyFill="1" applyBorder="1"/>
    <xf numFmtId="0" fontId="12" fillId="2" borderId="19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2" borderId="20" xfId="0" applyFont="1" applyFill="1" applyBorder="1"/>
    <xf numFmtId="0" fontId="14" fillId="2" borderId="20" xfId="0" applyFont="1" applyFill="1" applyBorder="1"/>
    <xf numFmtId="0" fontId="7" fillId="2" borderId="19" xfId="0" applyFont="1" applyFill="1" applyBorder="1"/>
    <xf numFmtId="0" fontId="5" fillId="6" borderId="15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 wrapText="1"/>
    </xf>
    <xf numFmtId="43" fontId="5" fillId="6" borderId="22" xfId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23" xfId="0" applyFont="1" applyFill="1" applyBorder="1" applyAlignment="1">
      <alignment vertical="center" wrapText="1"/>
    </xf>
    <xf numFmtId="43" fontId="7" fillId="2" borderId="4" xfId="1" applyFont="1" applyFill="1" applyBorder="1" applyAlignment="1">
      <alignment horizontal="center" vertical="center" wrapText="1"/>
    </xf>
    <xf numFmtId="43" fontId="7" fillId="2" borderId="24" xfId="1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43" fontId="7" fillId="2" borderId="5" xfId="1" applyFont="1" applyFill="1" applyBorder="1" applyAlignment="1">
      <alignment horizontal="center" vertical="center" wrapText="1"/>
    </xf>
    <xf numFmtId="43" fontId="7" fillId="2" borderId="13" xfId="1" applyFont="1" applyFill="1" applyBorder="1" applyAlignment="1">
      <alignment vertical="center" wrapText="1"/>
    </xf>
    <xf numFmtId="0" fontId="7" fillId="2" borderId="26" xfId="0" applyFont="1" applyFill="1" applyBorder="1" applyAlignment="1">
      <alignment vertical="center" wrapText="1"/>
    </xf>
    <xf numFmtId="43" fontId="7" fillId="2" borderId="27" xfId="1" applyFont="1" applyFill="1" applyBorder="1" applyAlignment="1">
      <alignment horizontal="center" vertical="center" wrapText="1"/>
    </xf>
    <xf numFmtId="43" fontId="7" fillId="2" borderId="14" xfId="1" applyFont="1" applyFill="1" applyBorder="1" applyAlignment="1">
      <alignment vertical="center" wrapText="1"/>
    </xf>
    <xf numFmtId="0" fontId="14" fillId="2" borderId="28" xfId="0" applyFont="1" applyFill="1" applyBorder="1"/>
    <xf numFmtId="0" fontId="14" fillId="2" borderId="29" xfId="0" applyFont="1" applyFill="1" applyBorder="1" applyAlignment="1">
      <alignment horizontal="center"/>
    </xf>
    <xf numFmtId="43" fontId="14" fillId="2" borderId="29" xfId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14" fillId="2" borderId="30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9" fontId="3" fillId="0" borderId="0" xfId="6" applyFont="1" applyAlignment="1">
      <alignment vertical="center"/>
    </xf>
    <xf numFmtId="0" fontId="17" fillId="0" borderId="0" xfId="0" applyFont="1" applyAlignment="1">
      <alignment vertical="center"/>
    </xf>
    <xf numFmtId="43" fontId="17" fillId="5" borderId="0" xfId="1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0" fontId="18" fillId="0" borderId="33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43" fontId="10" fillId="0" borderId="33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 wrapText="1"/>
    </xf>
    <xf numFmtId="43" fontId="10" fillId="4" borderId="0" xfId="1" applyFont="1" applyFill="1" applyBorder="1" applyAlignment="1">
      <alignment vertical="center" wrapText="1"/>
    </xf>
    <xf numFmtId="43" fontId="10" fillId="4" borderId="10" xfId="1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43" fontId="21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3" fontId="10" fillId="0" borderId="1" xfId="1" applyFont="1" applyBorder="1" applyAlignment="1">
      <alignment vertical="center" wrapText="1"/>
    </xf>
    <xf numFmtId="43" fontId="10" fillId="0" borderId="1" xfId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/>
    </xf>
    <xf numFmtId="43" fontId="10" fillId="0" borderId="10" xfId="1" applyFont="1" applyBorder="1" applyAlignment="1">
      <alignment horizontal="left" vertical="center" wrapText="1"/>
    </xf>
    <xf numFmtId="43" fontId="10" fillId="0" borderId="0" xfId="1" applyFont="1" applyBorder="1" applyAlignment="1">
      <alignment horizontal="left" vertical="center" wrapText="1"/>
    </xf>
    <xf numFmtId="43" fontId="10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horizontal="left" vertical="center" wrapText="1"/>
    </xf>
    <xf numFmtId="9" fontId="10" fillId="4" borderId="10" xfId="1" applyNumberFormat="1" applyFont="1" applyFill="1" applyBorder="1" applyAlignment="1">
      <alignment vertical="center" wrapText="1"/>
    </xf>
    <xf numFmtId="2" fontId="10" fillId="4" borderId="10" xfId="1" applyNumberFormat="1" applyFont="1" applyFill="1" applyBorder="1" applyAlignment="1">
      <alignment vertical="center" wrapText="1"/>
    </xf>
    <xf numFmtId="0" fontId="10" fillId="0" borderId="35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19" fillId="0" borderId="0" xfId="1" applyFont="1" applyAlignment="1">
      <alignment horizontal="center" vertical="center"/>
    </xf>
    <xf numFmtId="0" fontId="26" fillId="5" borderId="0" xfId="0" applyFont="1" applyFill="1" applyAlignment="1">
      <alignment vertical="center"/>
    </xf>
    <xf numFmtId="43" fontId="26" fillId="5" borderId="0" xfId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0" xfId="1" applyFont="1" applyBorder="1" applyAlignment="1">
      <alignment horizontal="center" vertical="center"/>
    </xf>
    <xf numFmtId="44" fontId="10" fillId="0" borderId="1" xfId="10" applyFont="1" applyBorder="1" applyAlignment="1">
      <alignment horizontal="left" vertical="center" wrapText="1"/>
    </xf>
    <xf numFmtId="44" fontId="10" fillId="0" borderId="1" xfId="10" applyFont="1" applyBorder="1" applyAlignment="1">
      <alignment horizontal="center" vertical="center"/>
    </xf>
    <xf numFmtId="44" fontId="21" fillId="7" borderId="1" xfId="10" applyFont="1" applyFill="1" applyBorder="1" applyAlignment="1">
      <alignment horizontal="center" vertical="center"/>
    </xf>
    <xf numFmtId="44" fontId="27" fillId="8" borderId="6" xfId="10" applyFont="1" applyFill="1" applyBorder="1" applyAlignment="1">
      <alignment horizontal="center" vertical="center"/>
    </xf>
    <xf numFmtId="44" fontId="10" fillId="8" borderId="1" xfId="10" applyFont="1" applyFill="1" applyBorder="1" applyAlignment="1">
      <alignment horizontal="left" vertical="center" wrapText="1"/>
    </xf>
    <xf numFmtId="44" fontId="10" fillId="8" borderId="1" xfId="10" applyFont="1" applyFill="1" applyBorder="1" applyAlignment="1">
      <alignment horizontal="center" vertical="center"/>
    </xf>
    <xf numFmtId="44" fontId="19" fillId="0" borderId="0" xfId="10" applyFont="1" applyAlignment="1">
      <alignment vertical="center"/>
    </xf>
    <xf numFmtId="44" fontId="25" fillId="0" borderId="0" xfId="10" applyFont="1" applyAlignment="1">
      <alignment vertical="center"/>
    </xf>
    <xf numFmtId="44" fontId="26" fillId="5" borderId="0" xfId="10" applyFont="1" applyFill="1" applyBorder="1" applyAlignment="1">
      <alignment vertical="center"/>
    </xf>
    <xf numFmtId="44" fontId="26" fillId="0" borderId="0" xfId="10" applyFont="1" applyAlignment="1">
      <alignment vertical="center"/>
    </xf>
    <xf numFmtId="44" fontId="10" fillId="0" borderId="33" xfId="10" applyFont="1" applyBorder="1" applyAlignment="1">
      <alignment vertical="center"/>
    </xf>
    <xf numFmtId="44" fontId="18" fillId="0" borderId="0" xfId="10" applyFont="1" applyBorder="1" applyAlignment="1">
      <alignment vertical="center"/>
    </xf>
    <xf numFmtId="44" fontId="10" fillId="0" borderId="0" xfId="10" applyFont="1" applyAlignment="1">
      <alignment vertical="center"/>
    </xf>
    <xf numFmtId="44" fontId="21" fillId="7" borderId="1" xfId="10" applyFont="1" applyFill="1" applyBorder="1" applyAlignment="1">
      <alignment horizontal="center" vertical="center" wrapText="1"/>
    </xf>
    <xf numFmtId="44" fontId="18" fillId="0" borderId="0" xfId="10" applyFont="1" applyAlignment="1">
      <alignment vertical="center"/>
    </xf>
    <xf numFmtId="44" fontId="10" fillId="0" borderId="0" xfId="10" applyFont="1" applyBorder="1" applyAlignment="1">
      <alignment horizontal="center" vertical="center" wrapText="1"/>
    </xf>
    <xf numFmtId="44" fontId="17" fillId="0" borderId="0" xfId="10" applyFont="1" applyAlignment="1">
      <alignment vertical="center"/>
    </xf>
    <xf numFmtId="44" fontId="17" fillId="5" borderId="0" xfId="10" applyFont="1" applyFill="1" applyBorder="1" applyAlignment="1">
      <alignment vertical="center"/>
    </xf>
    <xf numFmtId="44" fontId="10" fillId="0" borderId="34" xfId="10" applyFont="1" applyBorder="1" applyAlignment="1">
      <alignment horizontal="center" vertical="center"/>
    </xf>
    <xf numFmtId="44" fontId="16" fillId="0" borderId="0" xfId="10" applyFont="1" applyAlignment="1">
      <alignment vertical="center"/>
    </xf>
    <xf numFmtId="44" fontId="23" fillId="8" borderId="6" xfId="1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28" fillId="9" borderId="6" xfId="1" applyFont="1" applyFill="1" applyBorder="1" applyAlignment="1">
      <alignment horizontal="center" vertical="center"/>
    </xf>
    <xf numFmtId="43" fontId="28" fillId="10" borderId="6" xfId="1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3" fontId="3" fillId="0" borderId="39" xfId="1" applyFont="1" applyBorder="1" applyAlignment="1">
      <alignment horizontal="center" vertical="center" wrapText="1"/>
    </xf>
    <xf numFmtId="43" fontId="28" fillId="10" borderId="40" xfId="1" applyFont="1" applyFill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43" fontId="3" fillId="0" borderId="43" xfId="1" applyFont="1" applyBorder="1" applyAlignment="1">
      <alignment horizontal="center" vertical="center" wrapText="1"/>
    </xf>
    <xf numFmtId="43" fontId="3" fillId="0" borderId="44" xfId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166" fontId="3" fillId="0" borderId="47" xfId="1" applyNumberFormat="1" applyFont="1" applyBorder="1" applyAlignment="1">
      <alignment horizontal="center" vertical="center"/>
    </xf>
    <xf numFmtId="43" fontId="3" fillId="0" borderId="47" xfId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28" fillId="9" borderId="49" xfId="0" applyFont="1" applyFill="1" applyBorder="1" applyAlignment="1">
      <alignment horizontal="center" vertical="center"/>
    </xf>
    <xf numFmtId="0" fontId="28" fillId="9" borderId="50" xfId="0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43" fontId="28" fillId="0" borderId="0" xfId="1" applyFont="1" applyBorder="1" applyAlignment="1">
      <alignment horizontal="center" vertical="center"/>
    </xf>
    <xf numFmtId="43" fontId="28" fillId="0" borderId="0" xfId="1" applyFont="1" applyBorder="1" applyAlignment="1">
      <alignment vertical="center"/>
    </xf>
    <xf numFmtId="0" fontId="30" fillId="0" borderId="54" xfId="0" applyFont="1" applyBorder="1" applyAlignment="1">
      <alignment vertical="center"/>
    </xf>
    <xf numFmtId="0" fontId="3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56" xfId="0" applyFont="1" applyBorder="1" applyAlignment="1">
      <alignment horizontal="center" vertical="center"/>
    </xf>
    <xf numFmtId="43" fontId="3" fillId="0" borderId="56" xfId="1" applyFont="1" applyBorder="1" applyAlignment="1">
      <alignment horizontal="center" vertical="center"/>
    </xf>
    <xf numFmtId="43" fontId="3" fillId="0" borderId="56" xfId="1" applyFont="1" applyBorder="1" applyAlignment="1">
      <alignment vertical="center"/>
    </xf>
    <xf numFmtId="0" fontId="30" fillId="0" borderId="57" xfId="0" applyFont="1" applyBorder="1" applyAlignment="1">
      <alignment vertical="center"/>
    </xf>
    <xf numFmtId="14" fontId="3" fillId="11" borderId="58" xfId="0" applyNumberFormat="1" applyFont="1" applyFill="1" applyBorder="1" applyAlignment="1">
      <alignment vertical="center"/>
    </xf>
    <xf numFmtId="14" fontId="3" fillId="11" borderId="59" xfId="0" applyNumberFormat="1" applyFont="1" applyFill="1" applyBorder="1" applyAlignment="1">
      <alignment vertical="center"/>
    </xf>
    <xf numFmtId="14" fontId="3" fillId="11" borderId="60" xfId="0" applyNumberFormat="1" applyFont="1" applyFill="1" applyBorder="1" applyAlignment="1">
      <alignment vertical="center"/>
    </xf>
    <xf numFmtId="0" fontId="3" fillId="12" borderId="61" xfId="0" applyFont="1" applyFill="1" applyBorder="1" applyAlignment="1">
      <alignment horizontal="left" vertical="center"/>
    </xf>
    <xf numFmtId="14" fontId="3" fillId="11" borderId="62" xfId="0" applyNumberFormat="1" applyFont="1" applyFill="1" applyBorder="1" applyAlignment="1">
      <alignment horizontal="left" vertical="center"/>
    </xf>
    <xf numFmtId="14" fontId="3" fillId="11" borderId="63" xfId="0" applyNumberFormat="1" applyFont="1" applyFill="1" applyBorder="1" applyAlignment="1">
      <alignment horizontal="left" vertical="center"/>
    </xf>
    <xf numFmtId="14" fontId="3" fillId="11" borderId="60" xfId="0" applyNumberFormat="1" applyFont="1" applyFill="1" applyBorder="1" applyAlignment="1">
      <alignment horizontal="left" vertical="center"/>
    </xf>
    <xf numFmtId="0" fontId="3" fillId="12" borderId="64" xfId="0" applyFont="1" applyFill="1" applyBorder="1" applyAlignment="1">
      <alignment vertical="center"/>
    </xf>
    <xf numFmtId="14" fontId="3" fillId="11" borderId="62" xfId="0" applyNumberFormat="1" applyFont="1" applyFill="1" applyBorder="1" applyAlignment="1">
      <alignment vertical="center"/>
    </xf>
    <xf numFmtId="14" fontId="3" fillId="11" borderId="63" xfId="0" applyNumberFormat="1" applyFont="1" applyFill="1" applyBorder="1" applyAlignment="1">
      <alignment vertical="center"/>
    </xf>
    <xf numFmtId="49" fontId="3" fillId="11" borderId="60" xfId="0" applyNumberFormat="1" applyFont="1" applyFill="1" applyBorder="1" applyAlignment="1">
      <alignment vertical="center"/>
    </xf>
    <xf numFmtId="0" fontId="31" fillId="12" borderId="64" xfId="0" applyFont="1" applyFill="1" applyBorder="1" applyAlignment="1">
      <alignment vertical="center"/>
    </xf>
    <xf numFmtId="0" fontId="3" fillId="11" borderId="65" xfId="0" applyFont="1" applyFill="1" applyBorder="1" applyAlignment="1">
      <alignment vertical="center"/>
    </xf>
    <xf numFmtId="0" fontId="3" fillId="11" borderId="66" xfId="0" applyFont="1" applyFill="1" applyBorder="1" applyAlignment="1">
      <alignment vertical="center"/>
    </xf>
    <xf numFmtId="0" fontId="3" fillId="11" borderId="60" xfId="0" applyFont="1" applyFill="1" applyBorder="1" applyAlignment="1">
      <alignment vertical="center"/>
    </xf>
    <xf numFmtId="0" fontId="31" fillId="12" borderId="67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3" fillId="12" borderId="0" xfId="0" applyFont="1" applyFill="1" applyAlignment="1">
      <alignment vertical="center"/>
    </xf>
    <xf numFmtId="0" fontId="29" fillId="0" borderId="68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3" fillId="12" borderId="68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" fillId="0" borderId="37" xfId="0" applyNumberFormat="1" applyFont="1" applyBorder="1" applyAlignment="1">
      <alignment vertical="center"/>
    </xf>
    <xf numFmtId="0" fontId="3" fillId="0" borderId="69" xfId="0" applyFont="1" applyBorder="1" applyAlignment="1">
      <alignment horizontal="center" vertical="center" wrapText="1"/>
    </xf>
    <xf numFmtId="166" fontId="3" fillId="0" borderId="70" xfId="1" applyNumberFormat="1" applyFont="1" applyBorder="1" applyAlignment="1">
      <alignment horizontal="center" vertical="center"/>
    </xf>
    <xf numFmtId="43" fontId="3" fillId="0" borderId="70" xfId="1" applyFont="1" applyBorder="1" applyAlignment="1">
      <alignment horizontal="center" vertical="center" wrapText="1"/>
    </xf>
    <xf numFmtId="43" fontId="3" fillId="0" borderId="71" xfId="1" applyFont="1" applyBorder="1" applyAlignment="1">
      <alignment horizontal="center" vertical="center" wrapText="1"/>
    </xf>
    <xf numFmtId="0" fontId="3" fillId="0" borderId="72" xfId="0" applyFont="1" applyBorder="1" applyAlignment="1">
      <alignment horizontal="left" vertical="center" wrapText="1"/>
    </xf>
    <xf numFmtId="0" fontId="3" fillId="0" borderId="73" xfId="0" applyFont="1" applyBorder="1" applyAlignment="1">
      <alignment horizontal="left" vertical="center" wrapText="1"/>
    </xf>
    <xf numFmtId="0" fontId="3" fillId="0" borderId="72" xfId="0" applyFont="1" applyBorder="1" applyAlignment="1">
      <alignment vertical="center" wrapText="1"/>
    </xf>
    <xf numFmtId="2" fontId="3" fillId="0" borderId="43" xfId="1" applyNumberFormat="1" applyFont="1" applyBorder="1" applyAlignment="1">
      <alignment horizontal="center" vertical="center" wrapText="1"/>
    </xf>
    <xf numFmtId="43" fontId="0" fillId="0" borderId="0" xfId="0" applyNumberFormat="1"/>
    <xf numFmtId="43" fontId="28" fillId="10" borderId="76" xfId="1" applyFont="1" applyFill="1" applyBorder="1" applyAlignment="1">
      <alignment horizontal="center" vertical="center"/>
    </xf>
    <xf numFmtId="166" fontId="29" fillId="0" borderId="70" xfId="1" applyNumberFormat="1" applyFont="1" applyBorder="1" applyAlignment="1">
      <alignment horizontal="center" vertical="center"/>
    </xf>
    <xf numFmtId="0" fontId="29" fillId="0" borderId="73" xfId="0" applyFont="1" applyBorder="1" applyAlignment="1">
      <alignment horizontal="left" vertical="center" wrapText="1"/>
    </xf>
    <xf numFmtId="43" fontId="29" fillId="0" borderId="71" xfId="1" applyFont="1" applyBorder="1" applyAlignment="1">
      <alignment horizontal="center" vertical="center" wrapText="1"/>
    </xf>
    <xf numFmtId="0" fontId="29" fillId="0" borderId="72" xfId="0" applyFont="1" applyBorder="1" applyAlignment="1">
      <alignment vertical="center" wrapText="1"/>
    </xf>
    <xf numFmtId="0" fontId="29" fillId="0" borderId="72" xfId="0" applyFont="1" applyBorder="1" applyAlignment="1">
      <alignment horizontal="left" vertical="center" wrapText="1"/>
    </xf>
    <xf numFmtId="43" fontId="35" fillId="0" borderId="0" xfId="1" applyFont="1" applyBorder="1" applyAlignment="1">
      <alignment vertical="center"/>
    </xf>
    <xf numFmtId="43" fontId="29" fillId="0" borderId="0" xfId="1" applyFont="1" applyFill="1" applyBorder="1" applyAlignment="1">
      <alignment horizontal="center" vertical="center" wrapText="1"/>
    </xf>
    <xf numFmtId="44" fontId="10" fillId="0" borderId="1" xfId="1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2" borderId="78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6" fillId="2" borderId="79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14" fontId="6" fillId="2" borderId="2" xfId="0" applyNumberFormat="1" applyFont="1" applyFill="1" applyBorder="1" applyAlignment="1">
      <alignment vertical="center" wrapText="1"/>
    </xf>
    <xf numFmtId="0" fontId="6" fillId="2" borderId="78" xfId="0" applyFont="1" applyFill="1" applyBorder="1" applyAlignment="1">
      <alignment horizontal="center" vertical="center" wrapText="1"/>
    </xf>
    <xf numFmtId="43" fontId="37" fillId="4" borderId="10" xfId="1" applyFont="1" applyFill="1" applyBorder="1" applyAlignment="1">
      <alignment vertical="center" wrapText="1"/>
    </xf>
    <xf numFmtId="44" fontId="19" fillId="0" borderId="0" xfId="0" applyNumberFormat="1" applyFont="1" applyAlignment="1">
      <alignment vertical="center"/>
    </xf>
    <xf numFmtId="44" fontId="16" fillId="0" borderId="0" xfId="0" applyNumberFormat="1" applyFont="1" applyAlignment="1">
      <alignment vertical="center"/>
    </xf>
    <xf numFmtId="43" fontId="26" fillId="0" borderId="1" xfId="1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43" fontId="7" fillId="2" borderId="0" xfId="0" applyNumberFormat="1" applyFont="1" applyFill="1" applyAlignment="1">
      <alignment horizontal="center"/>
    </xf>
    <xf numFmtId="43" fontId="26" fillId="4" borderId="10" xfId="1" applyFont="1" applyFill="1" applyBorder="1" applyAlignment="1">
      <alignment vertical="center" wrapText="1"/>
    </xf>
    <xf numFmtId="0" fontId="18" fillId="13" borderId="33" xfId="0" applyFont="1" applyFill="1" applyBorder="1" applyAlignment="1">
      <alignment vertical="center"/>
    </xf>
    <xf numFmtId="43" fontId="26" fillId="0" borderId="1" xfId="1" applyFont="1" applyFill="1" applyBorder="1" applyAlignment="1">
      <alignment vertical="center" wrapText="1"/>
    </xf>
    <xf numFmtId="44" fontId="10" fillId="0" borderId="1" xfId="10" applyFont="1" applyFill="1" applyBorder="1" applyAlignment="1">
      <alignment horizontal="left" vertical="center" wrapText="1"/>
    </xf>
    <xf numFmtId="0" fontId="3" fillId="0" borderId="80" xfId="0" applyFont="1" applyBorder="1" applyAlignment="1">
      <alignment horizontal="left" vertical="center" wrapText="1"/>
    </xf>
    <xf numFmtId="2" fontId="3" fillId="0" borderId="81" xfId="1" applyNumberFormat="1" applyFont="1" applyBorder="1" applyAlignment="1">
      <alignment horizontal="center" vertical="center" wrapText="1"/>
    </xf>
    <xf numFmtId="0" fontId="7" fillId="2" borderId="0" xfId="0" applyFont="1" applyFill="1" applyAlignment="1">
      <alignment horizontal="left"/>
    </xf>
    <xf numFmtId="43" fontId="3" fillId="0" borderId="39" xfId="0" applyNumberFormat="1" applyFont="1" applyBorder="1" applyAlignment="1">
      <alignment vertical="center"/>
    </xf>
    <xf numFmtId="17" fontId="39" fillId="14" borderId="82" xfId="11" applyNumberFormat="1" applyFont="1" applyFill="1" applyBorder="1" applyAlignment="1">
      <alignment vertical="center"/>
    </xf>
    <xf numFmtId="17" fontId="39" fillId="14" borderId="83" xfId="11" applyNumberFormat="1" applyFont="1" applyFill="1" applyBorder="1" applyAlignment="1">
      <alignment vertical="center"/>
    </xf>
    <xf numFmtId="0" fontId="41" fillId="0" borderId="0" xfId="11" applyFont="1"/>
    <xf numFmtId="0" fontId="42" fillId="0" borderId="85" xfId="11" applyFont="1" applyBorder="1" applyAlignment="1">
      <alignment vertical="center"/>
    </xf>
    <xf numFmtId="0" fontId="43" fillId="0" borderId="86" xfId="11" applyFont="1" applyBorder="1" applyAlignment="1">
      <alignment horizontal="right" vertical="center"/>
    </xf>
    <xf numFmtId="0" fontId="42" fillId="0" borderId="86" xfId="11" applyFont="1" applyBorder="1" applyAlignment="1">
      <alignment vertical="center"/>
    </xf>
    <xf numFmtId="0" fontId="42" fillId="0" borderId="86" xfId="11" applyFont="1" applyBorder="1" applyAlignment="1">
      <alignment horizontal="right" vertical="center"/>
    </xf>
    <xf numFmtId="0" fontId="42" fillId="0" borderId="86" xfId="11" applyFont="1" applyBorder="1" applyAlignment="1">
      <alignment horizontal="left" vertical="center"/>
    </xf>
    <xf numFmtId="0" fontId="42" fillId="0" borderId="87" xfId="11" applyFont="1" applyBorder="1" applyAlignment="1">
      <alignment vertical="center"/>
    </xf>
    <xf numFmtId="0" fontId="44" fillId="0" borderId="0" xfId="11" applyFont="1" applyAlignment="1">
      <alignment vertical="center"/>
    </xf>
    <xf numFmtId="0" fontId="42" fillId="0" borderId="0" xfId="11" applyFont="1" applyAlignment="1">
      <alignment vertical="center"/>
    </xf>
    <xf numFmtId="0" fontId="42" fillId="0" borderId="88" xfId="11" applyFont="1" applyBorder="1" applyAlignment="1">
      <alignment vertical="center"/>
    </xf>
    <xf numFmtId="0" fontId="43" fillId="0" borderId="89" xfId="11" applyFont="1" applyBorder="1" applyAlignment="1">
      <alignment horizontal="right" vertical="center"/>
    </xf>
    <xf numFmtId="0" fontId="42" fillId="0" borderId="89" xfId="11" applyFont="1" applyBorder="1" applyAlignment="1">
      <alignment vertical="center"/>
    </xf>
    <xf numFmtId="0" fontId="42" fillId="0" borderId="89" xfId="11" applyFont="1" applyBorder="1" applyAlignment="1">
      <alignment horizontal="right" vertical="center"/>
    </xf>
    <xf numFmtId="0" fontId="42" fillId="0" borderId="89" xfId="11" applyFont="1" applyBorder="1" applyAlignment="1">
      <alignment horizontal="left" vertical="center"/>
    </xf>
    <xf numFmtId="168" fontId="45" fillId="0" borderId="89" xfId="12" quotePrefix="1" applyNumberFormat="1" applyFont="1" applyFill="1" applyBorder="1" applyAlignment="1">
      <alignment horizontal="left" vertical="center"/>
    </xf>
    <xf numFmtId="0" fontId="42" fillId="0" borderId="90" xfId="11" applyFont="1" applyBorder="1" applyAlignment="1">
      <alignment vertical="center"/>
    </xf>
    <xf numFmtId="0" fontId="41" fillId="0" borderId="0" xfId="11" applyFont="1" applyAlignment="1">
      <alignment vertical="center"/>
    </xf>
    <xf numFmtId="0" fontId="42" fillId="0" borderId="91" xfId="11" applyFont="1" applyBorder="1" applyAlignment="1">
      <alignment vertical="center"/>
    </xf>
    <xf numFmtId="0" fontId="43" fillId="0" borderId="92" xfId="11" applyFont="1" applyBorder="1" applyAlignment="1">
      <alignment horizontal="right" vertical="center"/>
    </xf>
    <xf numFmtId="0" fontId="42" fillId="0" borderId="92" xfId="11" applyFont="1" applyBorder="1" applyAlignment="1">
      <alignment vertical="center"/>
    </xf>
    <xf numFmtId="0" fontId="42" fillId="0" borderId="92" xfId="11" applyFont="1" applyBorder="1" applyAlignment="1">
      <alignment horizontal="right" vertical="center"/>
    </xf>
    <xf numFmtId="0" fontId="42" fillId="0" borderId="92" xfId="11" applyFont="1" applyBorder="1" applyAlignment="1">
      <alignment horizontal="left" vertical="center"/>
    </xf>
    <xf numFmtId="0" fontId="42" fillId="0" borderId="93" xfId="11" applyFont="1" applyBorder="1" applyAlignment="1">
      <alignment vertical="center"/>
    </xf>
    <xf numFmtId="0" fontId="46" fillId="0" borderId="0" xfId="13" applyNumberFormat="1" applyFont="1" applyFill="1" applyBorder="1" applyAlignment="1"/>
    <xf numFmtId="0" fontId="42" fillId="0" borderId="0" xfId="13" applyNumberFormat="1" applyFont="1" applyFill="1" applyBorder="1" applyAlignment="1"/>
    <xf numFmtId="0" fontId="47" fillId="15" borderId="2" xfId="13" applyFont="1" applyFill="1" applyBorder="1" applyAlignment="1">
      <alignment vertical="center"/>
    </xf>
    <xf numFmtId="169" fontId="48" fillId="16" borderId="94" xfId="13" applyNumberFormat="1" applyFont="1" applyFill="1" applyBorder="1" applyAlignment="1">
      <alignment vertical="center" wrapText="1"/>
    </xf>
    <xf numFmtId="0" fontId="47" fillId="15" borderId="2" xfId="13" applyFont="1" applyFill="1" applyBorder="1" applyAlignment="1">
      <alignment horizontal="right" vertical="center"/>
    </xf>
    <xf numFmtId="170" fontId="48" fillId="16" borderId="94" xfId="13" applyNumberFormat="1" applyFont="1" applyFill="1" applyBorder="1" applyAlignment="1">
      <alignment vertical="center" wrapText="1"/>
    </xf>
    <xf numFmtId="170" fontId="48" fillId="16" borderId="0" xfId="13" applyNumberFormat="1" applyFont="1" applyFill="1" applyBorder="1" applyAlignment="1">
      <alignment vertical="center" wrapText="1"/>
    </xf>
    <xf numFmtId="0" fontId="50" fillId="0" borderId="0" xfId="13" applyNumberFormat="1" applyFont="1" applyFill="1" applyBorder="1" applyAlignment="1"/>
    <xf numFmtId="0" fontId="51" fillId="0" borderId="0" xfId="13" applyNumberFormat="1" applyFont="1" applyFill="1" applyBorder="1" applyAlignment="1"/>
    <xf numFmtId="170" fontId="52" fillId="16" borderId="0" xfId="13" applyNumberFormat="1" applyFont="1" applyFill="1" applyBorder="1" applyAlignment="1">
      <alignment vertical="center" wrapText="1"/>
    </xf>
    <xf numFmtId="0" fontId="50" fillId="0" borderId="19" xfId="13" applyNumberFormat="1" applyFont="1" applyFill="1" applyBorder="1" applyAlignment="1"/>
    <xf numFmtId="0" fontId="50" fillId="0" borderId="20" xfId="13" applyNumberFormat="1" applyFont="1" applyFill="1" applyBorder="1" applyAlignment="1"/>
    <xf numFmtId="0" fontId="50" fillId="0" borderId="0" xfId="13" applyNumberFormat="1" applyFont="1" applyFill="1" applyBorder="1" applyAlignment="1">
      <alignment horizontal="center" wrapText="1"/>
    </xf>
    <xf numFmtId="171" fontId="48" fillId="16" borderId="94" xfId="13" applyNumberFormat="1" applyFont="1" applyFill="1" applyBorder="1" applyAlignment="1">
      <alignment vertical="center" wrapText="1"/>
    </xf>
    <xf numFmtId="0" fontId="42" fillId="0" borderId="19" xfId="13" applyNumberFormat="1" applyFont="1" applyFill="1" applyBorder="1" applyAlignment="1"/>
    <xf numFmtId="0" fontId="42" fillId="0" borderId="20" xfId="13" applyNumberFormat="1" applyFont="1" applyFill="1" applyBorder="1" applyAlignment="1"/>
    <xf numFmtId="0" fontId="42" fillId="0" borderId="28" xfId="13" applyNumberFormat="1" applyFont="1" applyFill="1" applyBorder="1" applyAlignment="1"/>
    <xf numFmtId="0" fontId="42" fillId="0" borderId="29" xfId="13" applyNumberFormat="1" applyFont="1" applyFill="1" applyBorder="1" applyAlignment="1"/>
    <xf numFmtId="0" fontId="42" fillId="0" borderId="30" xfId="13" applyNumberFormat="1" applyFont="1" applyFill="1" applyBorder="1" applyAlignment="1"/>
    <xf numFmtId="0" fontId="49" fillId="15" borderId="15" xfId="13" applyFont="1" applyFill="1" applyBorder="1" applyAlignment="1">
      <alignment horizontal="center" vertical="center"/>
    </xf>
    <xf numFmtId="0" fontId="49" fillId="15" borderId="21" xfId="13" applyFont="1" applyFill="1" applyBorder="1" applyAlignment="1">
      <alignment horizontal="center" vertical="center"/>
    </xf>
    <xf numFmtId="0" fontId="49" fillId="15" borderId="8" xfId="13" applyFont="1" applyFill="1" applyBorder="1" applyAlignment="1">
      <alignment horizontal="center" vertical="center"/>
    </xf>
    <xf numFmtId="0" fontId="49" fillId="15" borderId="8" xfId="13" applyFont="1" applyFill="1" applyBorder="1" applyAlignment="1">
      <alignment horizontal="center" vertical="center" wrapText="1"/>
    </xf>
    <xf numFmtId="0" fontId="49" fillId="15" borderId="22" xfId="13" applyFont="1" applyFill="1" applyBorder="1" applyAlignment="1">
      <alignment horizontal="center" vertical="center"/>
    </xf>
    <xf numFmtId="0" fontId="42" fillId="0" borderId="96" xfId="13" applyNumberFormat="1" applyFont="1" applyFill="1" applyBorder="1" applyAlignment="1">
      <alignment horizontal="center"/>
    </xf>
    <xf numFmtId="0" fontId="42" fillId="0" borderId="97" xfId="13" applyNumberFormat="1" applyFont="1" applyFill="1" applyBorder="1" applyAlignment="1">
      <alignment horizontal="left"/>
    </xf>
    <xf numFmtId="0" fontId="42" fillId="0" borderId="97" xfId="13" applyNumberFormat="1" applyFont="1" applyFill="1" applyBorder="1" applyAlignment="1">
      <alignment horizontal="center"/>
    </xf>
    <xf numFmtId="0" fontId="42" fillId="0" borderId="98" xfId="13" applyNumberFormat="1" applyFont="1" applyFill="1" applyBorder="1" applyAlignment="1">
      <alignment horizontal="center"/>
    </xf>
    <xf numFmtId="0" fontId="42" fillId="0" borderId="99" xfId="13" applyNumberFormat="1" applyFont="1" applyFill="1" applyBorder="1" applyAlignment="1">
      <alignment horizontal="center"/>
    </xf>
    <xf numFmtId="0" fontId="42" fillId="0" borderId="100" xfId="13" applyNumberFormat="1" applyFont="1" applyFill="1" applyBorder="1" applyAlignment="1">
      <alignment horizontal="center"/>
    </xf>
    <xf numFmtId="0" fontId="42" fillId="0" borderId="101" xfId="13" applyNumberFormat="1" applyFont="1" applyFill="1" applyBorder="1" applyAlignment="1">
      <alignment horizontal="left"/>
    </xf>
    <xf numFmtId="0" fontId="42" fillId="0" borderId="101" xfId="13" applyNumberFormat="1" applyFont="1" applyFill="1" applyBorder="1" applyAlignment="1">
      <alignment horizontal="center"/>
    </xf>
    <xf numFmtId="0" fontId="42" fillId="0" borderId="102" xfId="13" applyNumberFormat="1" applyFont="1" applyFill="1" applyBorder="1" applyAlignment="1">
      <alignment horizontal="center"/>
    </xf>
    <xf numFmtId="0" fontId="42" fillId="0" borderId="103" xfId="13" applyNumberFormat="1" applyFont="1" applyFill="1" applyBorder="1" applyAlignment="1">
      <alignment horizontal="center"/>
    </xf>
    <xf numFmtId="43" fontId="42" fillId="0" borderId="0" xfId="1" applyFont="1" applyFill="1" applyBorder="1" applyAlignment="1"/>
    <xf numFmtId="0" fontId="53" fillId="0" borderId="97" xfId="13" applyNumberFormat="1" applyFont="1" applyFill="1" applyBorder="1" applyAlignment="1">
      <alignment horizontal="left"/>
    </xf>
    <xf numFmtId="0" fontId="53" fillId="0" borderId="99" xfId="13" applyNumberFormat="1" applyFont="1" applyFill="1" applyBorder="1" applyAlignment="1">
      <alignment horizontal="center"/>
    </xf>
    <xf numFmtId="2" fontId="42" fillId="0" borderId="0" xfId="13" applyNumberFormat="1" applyFont="1" applyFill="1" applyBorder="1" applyAlignment="1"/>
    <xf numFmtId="0" fontId="2" fillId="0" borderId="0" xfId="2"/>
    <xf numFmtId="9" fontId="0" fillId="2" borderId="107" xfId="14" applyFont="1" applyFill="1" applyBorder="1" applyAlignment="1">
      <alignment horizontal="center" vertical="center"/>
    </xf>
    <xf numFmtId="0" fontId="2" fillId="0" borderId="0" xfId="2" applyAlignment="1">
      <alignment horizontal="center"/>
    </xf>
    <xf numFmtId="0" fontId="2" fillId="0" borderId="0" xfId="2" applyAlignment="1">
      <alignment horizontal="center" vertical="center"/>
    </xf>
    <xf numFmtId="0" fontId="3" fillId="0" borderId="72" xfId="0" applyFont="1" applyBorder="1" applyAlignment="1">
      <alignment horizontal="left" vertical="center"/>
    </xf>
    <xf numFmtId="0" fontId="19" fillId="0" borderId="0" xfId="0" applyFont="1" applyAlignment="1">
      <alignment horizontal="right" vertical="center"/>
    </xf>
    <xf numFmtId="43" fontId="26" fillId="13" borderId="10" xfId="1" applyFont="1" applyFill="1" applyBorder="1" applyAlignment="1">
      <alignment vertical="center" wrapText="1"/>
    </xf>
    <xf numFmtId="43" fontId="19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43" fontId="4" fillId="0" borderId="0" xfId="1" applyFont="1" applyAlignment="1">
      <alignment vertical="center"/>
    </xf>
    <xf numFmtId="43" fontId="4" fillId="0" borderId="0" xfId="1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172" fontId="48" fillId="16" borderId="94" xfId="13" applyNumberFormat="1" applyFont="1" applyFill="1" applyBorder="1" applyAlignment="1">
      <alignment vertical="center" wrapText="1"/>
    </xf>
    <xf numFmtId="173" fontId="48" fillId="16" borderId="94" xfId="13" applyNumberFormat="1" applyFont="1" applyFill="1" applyBorder="1" applyAlignment="1">
      <alignment vertical="center" wrapText="1"/>
    </xf>
    <xf numFmtId="0" fontId="53" fillId="0" borderId="97" xfId="13" applyNumberFormat="1" applyFont="1" applyFill="1" applyBorder="1" applyAlignment="1">
      <alignment horizontal="center"/>
    </xf>
    <xf numFmtId="173" fontId="50" fillId="0" borderId="0" xfId="13" applyNumberFormat="1" applyFont="1" applyFill="1" applyBorder="1" applyAlignment="1"/>
    <xf numFmtId="43" fontId="10" fillId="0" borderId="1" xfId="1" applyFont="1" applyFill="1" applyBorder="1" applyAlignment="1">
      <alignment vertical="center" wrapText="1"/>
    </xf>
    <xf numFmtId="2" fontId="2" fillId="19" borderId="117" xfId="2" applyNumberFormat="1" applyFill="1" applyBorder="1" applyAlignment="1">
      <alignment horizontal="center" vertical="center"/>
    </xf>
    <xf numFmtId="1" fontId="2" fillId="19" borderId="117" xfId="2" applyNumberFormat="1" applyFill="1" applyBorder="1" applyAlignment="1">
      <alignment horizontal="center" vertical="center"/>
    </xf>
    <xf numFmtId="0" fontId="2" fillId="19" borderId="117" xfId="2" applyFill="1" applyBorder="1" applyAlignment="1">
      <alignment horizontal="left" vertical="center" wrapText="1"/>
    </xf>
    <xf numFmtId="0" fontId="2" fillId="19" borderId="117" xfId="2" applyFill="1" applyBorder="1" applyAlignment="1">
      <alignment horizontal="left" vertical="center"/>
    </xf>
    <xf numFmtId="2" fontId="2" fillId="20" borderId="117" xfId="2" applyNumberFormat="1" applyFill="1" applyBorder="1" applyAlignment="1">
      <alignment horizontal="center" vertical="center"/>
    </xf>
    <xf numFmtId="1" fontId="2" fillId="20" borderId="117" xfId="2" applyNumberFormat="1" applyFill="1" applyBorder="1" applyAlignment="1">
      <alignment horizontal="center" vertical="center"/>
    </xf>
    <xf numFmtId="0" fontId="2" fillId="20" borderId="117" xfId="2" applyFill="1" applyBorder="1" applyAlignment="1">
      <alignment horizontal="left" vertical="center" wrapText="1"/>
    </xf>
    <xf numFmtId="0" fontId="2" fillId="20" borderId="117" xfId="2" applyFill="1" applyBorder="1" applyAlignment="1">
      <alignment horizontal="left" vertical="center"/>
    </xf>
    <xf numFmtId="2" fontId="2" fillId="2" borderId="117" xfId="2" applyNumberFormat="1" applyFill="1" applyBorder="1" applyAlignment="1">
      <alignment horizontal="center" vertical="center"/>
    </xf>
    <xf numFmtId="1" fontId="2" fillId="2" borderId="117" xfId="2" applyNumberFormat="1" applyFill="1" applyBorder="1" applyAlignment="1">
      <alignment horizontal="center" vertical="center"/>
    </xf>
    <xf numFmtId="0" fontId="2" fillId="2" borderId="117" xfId="2" applyFill="1" applyBorder="1" applyAlignment="1">
      <alignment horizontal="left" vertical="center" wrapText="1"/>
    </xf>
    <xf numFmtId="0" fontId="2" fillId="2" borderId="117" xfId="2" applyFill="1" applyBorder="1" applyAlignment="1">
      <alignment horizontal="left" vertical="center"/>
    </xf>
    <xf numFmtId="2" fontId="2" fillId="18" borderId="116" xfId="2" applyNumberFormat="1" applyFill="1" applyBorder="1" applyAlignment="1">
      <alignment horizontal="center" vertical="center"/>
    </xf>
    <xf numFmtId="1" fontId="2" fillId="18" borderId="116" xfId="2" applyNumberFormat="1" applyFill="1" applyBorder="1" applyAlignment="1">
      <alignment horizontal="center" vertical="center"/>
    </xf>
    <xf numFmtId="0" fontId="2" fillId="18" borderId="116" xfId="2" applyFill="1" applyBorder="1" applyAlignment="1">
      <alignment horizontal="left" vertical="center" wrapText="1"/>
    </xf>
    <xf numFmtId="0" fontId="2" fillId="18" borderId="116" xfId="2" applyFill="1" applyBorder="1" applyAlignment="1">
      <alignment horizontal="left" vertical="center"/>
    </xf>
    <xf numFmtId="0" fontId="2" fillId="0" borderId="118" xfId="2" applyBorder="1"/>
    <xf numFmtId="0" fontId="55" fillId="2" borderId="113" xfId="2" applyFont="1" applyFill="1" applyBorder="1" applyAlignment="1">
      <alignment horizontal="center" vertical="center"/>
    </xf>
    <xf numFmtId="0" fontId="55" fillId="2" borderId="112" xfId="2" applyFont="1" applyFill="1" applyBorder="1" applyAlignment="1">
      <alignment horizontal="center"/>
    </xf>
    <xf numFmtId="0" fontId="2" fillId="2" borderId="105" xfId="2" applyFill="1" applyBorder="1"/>
    <xf numFmtId="0" fontId="55" fillId="2" borderId="104" xfId="2" applyFont="1" applyFill="1" applyBorder="1"/>
    <xf numFmtId="0" fontId="55" fillId="2" borderId="111" xfId="2" applyFont="1" applyFill="1" applyBorder="1" applyAlignment="1">
      <alignment horizontal="center" vertical="center"/>
    </xf>
    <xf numFmtId="0" fontId="55" fillId="2" borderId="110" xfId="2" applyFont="1" applyFill="1" applyBorder="1" applyAlignment="1">
      <alignment horizontal="center"/>
    </xf>
    <xf numFmtId="0" fontId="2" fillId="2" borderId="111" xfId="2" applyFill="1" applyBorder="1" applyAlignment="1">
      <alignment horizontal="center" vertical="center"/>
    </xf>
    <xf numFmtId="0" fontId="2" fillId="2" borderId="110" xfId="2" applyFill="1" applyBorder="1" applyAlignment="1">
      <alignment horizontal="center"/>
    </xf>
    <xf numFmtId="0" fontId="2" fillId="2" borderId="109" xfId="2" applyFill="1" applyBorder="1" applyAlignment="1">
      <alignment horizontal="center" vertical="center"/>
    </xf>
    <xf numFmtId="0" fontId="55" fillId="2" borderId="108" xfId="2" applyFont="1" applyFill="1" applyBorder="1" applyAlignment="1">
      <alignment horizontal="center"/>
    </xf>
    <xf numFmtId="0" fontId="55" fillId="2" borderId="106" xfId="2" applyFont="1" applyFill="1" applyBorder="1" applyAlignment="1">
      <alignment horizontal="center"/>
    </xf>
    <xf numFmtId="43" fontId="3" fillId="0" borderId="43" xfId="1" applyFont="1" applyFill="1" applyBorder="1" applyAlignment="1">
      <alignment horizontal="center" vertical="center" wrapText="1"/>
    </xf>
    <xf numFmtId="44" fontId="10" fillId="0" borderId="1" xfId="10" applyFont="1" applyFill="1" applyBorder="1" applyAlignment="1">
      <alignment horizontal="center" vertical="center"/>
    </xf>
    <xf numFmtId="17" fontId="40" fillId="14" borderId="84" xfId="11" applyNumberFormat="1" applyFont="1" applyFill="1" applyBorder="1" applyAlignment="1">
      <alignment horizontal="center" vertical="center"/>
    </xf>
    <xf numFmtId="0" fontId="49" fillId="15" borderId="82" xfId="13" applyFont="1" applyFill="1" applyBorder="1" applyAlignment="1">
      <alignment horizontal="center" vertical="center"/>
    </xf>
    <xf numFmtId="0" fontId="49" fillId="15" borderId="83" xfId="13" applyFont="1" applyFill="1" applyBorder="1" applyAlignment="1">
      <alignment horizontal="center" vertical="center"/>
    </xf>
    <xf numFmtId="0" fontId="49" fillId="15" borderId="95" xfId="13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54" fillId="17" borderId="80" xfId="2" applyFont="1" applyFill="1" applyBorder="1" applyAlignment="1">
      <alignment horizontal="center" vertical="center"/>
    </xf>
    <xf numFmtId="0" fontId="54" fillId="17" borderId="0" xfId="2" applyFont="1" applyFill="1" applyAlignment="1">
      <alignment horizontal="center" vertical="center"/>
    </xf>
    <xf numFmtId="0" fontId="55" fillId="2" borderId="1" xfId="2" applyFont="1" applyFill="1" applyBorder="1" applyAlignment="1">
      <alignment horizontal="center" vertical="center"/>
    </xf>
    <xf numFmtId="0" fontId="54" fillId="17" borderId="78" xfId="2" applyFont="1" applyFill="1" applyBorder="1" applyAlignment="1">
      <alignment horizontal="center" vertical="center"/>
    </xf>
    <xf numFmtId="0" fontId="54" fillId="17" borderId="33" xfId="2" applyFont="1" applyFill="1" applyBorder="1" applyAlignment="1">
      <alignment horizontal="center" vertical="center"/>
    </xf>
    <xf numFmtId="0" fontId="55" fillId="2" borderId="114" xfId="2" applyFont="1" applyFill="1" applyBorder="1" applyAlignment="1">
      <alignment horizontal="center"/>
    </xf>
    <xf numFmtId="0" fontId="55" fillId="2" borderId="0" xfId="2" applyFont="1" applyFill="1" applyAlignment="1">
      <alignment horizontal="center"/>
    </xf>
    <xf numFmtId="0" fontId="55" fillId="2" borderId="115" xfId="2" applyFont="1" applyFill="1" applyBorder="1" applyAlignment="1">
      <alignment horizontal="center"/>
    </xf>
    <xf numFmtId="0" fontId="32" fillId="0" borderId="0" xfId="0" applyFont="1" applyAlignment="1">
      <alignment horizontal="left" vertical="center" wrapText="1"/>
    </xf>
    <xf numFmtId="0" fontId="0" fillId="0" borderId="0" xfId="0"/>
    <xf numFmtId="0" fontId="28" fillId="10" borderId="6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8" fillId="10" borderId="42" xfId="0" applyFont="1" applyFill="1" applyBorder="1" applyAlignment="1">
      <alignment horizontal="center" vertical="center" wrapText="1"/>
    </xf>
    <xf numFmtId="0" fontId="28" fillId="10" borderId="41" xfId="0" applyFont="1" applyFill="1" applyBorder="1" applyAlignment="1">
      <alignment horizontal="center" vertical="center" wrapText="1"/>
    </xf>
    <xf numFmtId="43" fontId="28" fillId="9" borderId="52" xfId="1" applyFont="1" applyFill="1" applyBorder="1" applyAlignment="1">
      <alignment horizontal="center" vertical="center"/>
    </xf>
    <xf numFmtId="43" fontId="28" fillId="9" borderId="51" xfId="1" applyFont="1" applyFill="1" applyBorder="1" applyAlignment="1">
      <alignment horizontal="center" vertical="center"/>
    </xf>
    <xf numFmtId="0" fontId="28" fillId="9" borderId="52" xfId="0" applyFont="1" applyFill="1" applyBorder="1" applyAlignment="1">
      <alignment horizontal="center" vertical="center"/>
    </xf>
    <xf numFmtId="0" fontId="28" fillId="9" borderId="51" xfId="0" applyFont="1" applyFill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28" fillId="10" borderId="77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</cellXfs>
  <cellStyles count="15">
    <cellStyle name="Moeda" xfId="10" builtinId="4"/>
    <cellStyle name="Normal" xfId="0" builtinId="0"/>
    <cellStyle name="Normal 10" xfId="11" xr:uid="{BA8F89B6-91ED-4126-A69F-91944AEBC21D}"/>
    <cellStyle name="Normal 2" xfId="2" xr:uid="{00000000-0005-0000-0000-000001000000}"/>
    <cellStyle name="Normal 2 4" xfId="13" xr:uid="{61427BC9-91B4-4E6F-AC17-17520BE9AC85}"/>
    <cellStyle name="Normal 3" xfId="7" xr:uid="{E04F1BAC-8E74-4A37-9445-C7335308FD48}"/>
    <cellStyle name="Normal 7" xfId="5" xr:uid="{B5D56057-44D1-4A2B-9814-263CBEA5E92D}"/>
    <cellStyle name="Porcentagem" xfId="6" builtinId="5"/>
    <cellStyle name="Porcentagem 2" xfId="14" xr:uid="{94A2CC83-9E87-49CB-8CE2-484183CAF5A1}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3 2 2" xfId="12" xr:uid="{25848F0E-1F68-4516-B56B-E0CC6B31E532}"/>
    <cellStyle name="Vírgula 4" xfId="9" xr:uid="{36500701-2F34-46A0-BEC0-E5982B15FF0A}"/>
  </cellStyles>
  <dxfs count="0"/>
  <tableStyles count="0" defaultTableStyle="TableStyleMedium2" defaultPivotStyle="PivotStyleLight16"/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423657</xdr:colOff>
      <xdr:row>0</xdr:row>
      <xdr:rowOff>322339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21D6966-FF57-41F6-B239-19EADC6703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283" b="39658"/>
        <a:stretch/>
      </xdr:blipFill>
      <xdr:spPr bwMode="auto">
        <a:xfrm>
          <a:off x="0" y="0"/>
          <a:ext cx="1566657" cy="322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281940</xdr:colOff>
      <xdr:row>34</xdr:row>
      <xdr:rowOff>56608</xdr:rowOff>
    </xdr:from>
    <xdr:to>
      <xdr:col>15</xdr:col>
      <xdr:colOff>45303</xdr:colOff>
      <xdr:row>45</xdr:row>
      <xdr:rowOff>131866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6AACA67-6104-812D-4128-B2FB5E3DC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3080" y="6221188"/>
          <a:ext cx="7070943" cy="20031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97595</xdr:colOff>
      <xdr:row>0</xdr:row>
      <xdr:rowOff>225491</xdr:rowOff>
    </xdr:from>
    <xdr:to>
      <xdr:col>6</xdr:col>
      <xdr:colOff>1521657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0A8EF1-5172-424E-904A-801C19B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45" y="225491"/>
          <a:ext cx="1424062" cy="2398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533400</xdr:colOff>
      <xdr:row>8</xdr:row>
      <xdr:rowOff>219075</xdr:rowOff>
    </xdr:from>
    <xdr:to>
      <xdr:col>15</xdr:col>
      <xdr:colOff>343660</xdr:colOff>
      <xdr:row>16</xdr:row>
      <xdr:rowOff>236548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2F3D3E-2DB5-E488-37FC-290404544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30325" y="2181225"/>
          <a:ext cx="5449060" cy="23530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331695</xdr:colOff>
      <xdr:row>1</xdr:row>
      <xdr:rowOff>134472</xdr:rowOff>
    </xdr:from>
    <xdr:ext cx="719417" cy="841000"/>
    <xdr:pic>
      <xdr:nvPicPr>
        <xdr:cNvPr id="2" name="Imagem 1">
          <a:extLst>
            <a:ext uri="{FF2B5EF4-FFF2-40B4-BE49-F238E27FC236}">
              <a16:creationId xmlns:a16="http://schemas.microsoft.com/office/drawing/2014/main" id="{AF394E2D-6CA0-45CB-B164-FC01A694F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6655" y="302112"/>
          <a:ext cx="719417" cy="8410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887FC87-A112-41C2-8D6C-E71A2E39EE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CD5673A-8A7E-4D4B-95CE-ED066E2308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11B8AAF6-A5B4-4006-9C3C-189C0CC6AA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DE8C-2FE9-46D4-9925-492614BC41C3}">
  <sheetPr>
    <tabColor theme="1"/>
    <pageSetUpPr fitToPage="1"/>
  </sheetPr>
  <dimension ref="A1:S57"/>
  <sheetViews>
    <sheetView showGridLines="0" zoomScaleNormal="100" zoomScaleSheetLayoutView="90" workbookViewId="0">
      <pane ySplit="4" topLeftCell="A18" activePane="bottomLeft" state="frozen"/>
      <selection pane="bottomLeft" activeCell="F32" sqref="F32"/>
    </sheetView>
  </sheetViews>
  <sheetFormatPr defaultColWidth="9.140625" defaultRowHeight="12.75" x14ac:dyDescent="0.2"/>
  <cols>
    <col min="1" max="1" width="1.85546875" style="234" customWidth="1"/>
    <col min="2" max="2" width="15.28515625" style="234" customWidth="1"/>
    <col min="3" max="3" width="17.7109375" style="234" customWidth="1"/>
    <col min="4" max="4" width="14.42578125" style="234" customWidth="1"/>
    <col min="5" max="5" width="18.140625" style="234" customWidth="1"/>
    <col min="6" max="6" width="10" style="234" customWidth="1"/>
    <col min="7" max="7" width="9.28515625" style="234" customWidth="1"/>
    <col min="8" max="8" width="17.85546875" style="234" bestFit="1" customWidth="1"/>
    <col min="9" max="9" width="10.28515625" style="234" bestFit="1" customWidth="1"/>
    <col min="10" max="11" width="10.28515625" style="234" customWidth="1"/>
    <col min="12" max="12" width="12.7109375" style="234" bestFit="1" customWidth="1"/>
    <col min="13" max="14" width="12.7109375" style="234" customWidth="1"/>
    <col min="15" max="16" width="10.28515625" style="234" customWidth="1"/>
    <col min="17" max="17" width="2.42578125" style="234" customWidth="1"/>
    <col min="18" max="16384" width="9.140625" style="234"/>
  </cols>
  <sheetData>
    <row r="1" spans="1:19" s="210" customFormat="1" ht="26.25" x14ac:dyDescent="0.2">
      <c r="A1" s="208"/>
      <c r="B1" s="209"/>
      <c r="C1" s="318" t="s">
        <v>354</v>
      </c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</row>
    <row r="2" spans="1:19" s="218" customFormat="1" ht="15" customHeight="1" x14ac:dyDescent="0.25">
      <c r="A2" s="211"/>
      <c r="B2" s="212" t="s">
        <v>355</v>
      </c>
      <c r="C2" s="215" t="s">
        <v>464</v>
      </c>
      <c r="D2" s="214"/>
      <c r="E2" s="212" t="s">
        <v>356</v>
      </c>
      <c r="F2" s="215"/>
      <c r="G2" s="215"/>
      <c r="H2" s="215"/>
      <c r="I2" s="215"/>
      <c r="J2" s="213"/>
      <c r="K2" s="213"/>
      <c r="L2" s="215"/>
      <c r="M2" s="213"/>
      <c r="N2" s="213"/>
      <c r="O2" s="213"/>
      <c r="P2" s="213"/>
      <c r="Q2" s="216"/>
      <c r="R2" s="217"/>
      <c r="S2" s="217"/>
    </row>
    <row r="3" spans="1:19" s="226" customFormat="1" ht="15" customHeight="1" x14ac:dyDescent="0.25">
      <c r="A3" s="219"/>
      <c r="B3" s="220" t="s">
        <v>357</v>
      </c>
      <c r="C3" s="223" t="s">
        <v>465</v>
      </c>
      <c r="D3" s="222"/>
      <c r="E3" s="220" t="s">
        <v>358</v>
      </c>
      <c r="F3" s="223" t="s">
        <v>359</v>
      </c>
      <c r="G3" s="223"/>
      <c r="H3" s="223"/>
      <c r="I3" s="223"/>
      <c r="J3" s="224"/>
      <c r="K3" s="224"/>
      <c r="L3" s="223"/>
      <c r="M3" s="221"/>
      <c r="N3" s="221"/>
      <c r="O3" s="221"/>
      <c r="P3" s="221"/>
      <c r="Q3" s="225"/>
    </row>
    <row r="4" spans="1:19" s="226" customFormat="1" ht="15" customHeight="1" thickBot="1" x14ac:dyDescent="0.3">
      <c r="A4" s="227"/>
      <c r="B4" s="228" t="s">
        <v>360</v>
      </c>
      <c r="C4" s="231" t="s">
        <v>466</v>
      </c>
      <c r="D4" s="230"/>
      <c r="E4" s="228" t="s">
        <v>361</v>
      </c>
      <c r="F4" s="231"/>
      <c r="G4" s="231"/>
      <c r="H4" s="231"/>
      <c r="I4" s="231"/>
      <c r="J4" s="229"/>
      <c r="K4" s="229"/>
      <c r="L4" s="231"/>
      <c r="M4" s="229"/>
      <c r="N4" s="229"/>
      <c r="O4" s="229"/>
      <c r="P4" s="229"/>
      <c r="Q4" s="232"/>
    </row>
    <row r="5" spans="1:19" s="233" customFormat="1" ht="6" thickBot="1" x14ac:dyDescent="0.2"/>
    <row r="6" spans="1:19" ht="18" customHeight="1" x14ac:dyDescent="0.2">
      <c r="B6" s="235" t="s">
        <v>362</v>
      </c>
      <c r="C6" s="236"/>
      <c r="E6" s="237" t="s">
        <v>363</v>
      </c>
      <c r="F6" s="238">
        <f>SUM(O21:O31)</f>
        <v>20</v>
      </c>
      <c r="G6" s="239"/>
      <c r="H6" s="237" t="s">
        <v>364</v>
      </c>
      <c r="I6" s="238">
        <v>1</v>
      </c>
      <c r="J6" s="239"/>
      <c r="K6" s="319" t="s">
        <v>365</v>
      </c>
      <c r="L6" s="320"/>
      <c r="M6" s="320"/>
      <c r="N6" s="320"/>
      <c r="O6" s="320"/>
      <c r="P6" s="321"/>
    </row>
    <row r="7" spans="1:19" s="240" customFormat="1" ht="6.75" x14ac:dyDescent="0.15">
      <c r="B7" s="241"/>
      <c r="E7" s="241"/>
      <c r="H7" s="241"/>
      <c r="J7" s="242"/>
      <c r="K7" s="243"/>
      <c r="P7" s="244"/>
      <c r="Q7" s="245"/>
    </row>
    <row r="8" spans="1:19" ht="18" customHeight="1" x14ac:dyDescent="0.2">
      <c r="B8" s="235" t="s">
        <v>366</v>
      </c>
      <c r="C8" s="246">
        <v>866.65</v>
      </c>
      <c r="E8" s="237" t="s">
        <v>367</v>
      </c>
      <c r="F8" s="238">
        <v>2</v>
      </c>
      <c r="G8" s="239"/>
      <c r="H8" s="237"/>
      <c r="I8" s="238"/>
      <c r="J8" s="239"/>
      <c r="K8" s="247"/>
      <c r="P8" s="248"/>
    </row>
    <row r="9" spans="1:19" s="240" customFormat="1" ht="6.75" x14ac:dyDescent="0.15">
      <c r="B9" s="241"/>
      <c r="E9" s="241"/>
      <c r="H9" s="241"/>
      <c r="J9" s="242"/>
      <c r="K9" s="243"/>
      <c r="P9" s="244"/>
    </row>
    <row r="10" spans="1:19" ht="18" customHeight="1" x14ac:dyDescent="0.2">
      <c r="B10" s="235" t="s">
        <v>368</v>
      </c>
      <c r="C10" s="284">
        <f>SUM($D$21:$D$31)</f>
        <v>3632.7799999999997</v>
      </c>
      <c r="E10" s="237" t="s">
        <v>369</v>
      </c>
      <c r="F10" s="238">
        <v>7</v>
      </c>
      <c r="G10" s="239"/>
      <c r="H10" s="237"/>
      <c r="I10" s="238"/>
      <c r="J10" s="239"/>
      <c r="K10" s="247"/>
      <c r="P10" s="248"/>
    </row>
    <row r="11" spans="1:19" s="240" customFormat="1" ht="6.75" x14ac:dyDescent="0.15">
      <c r="B11" s="241"/>
      <c r="E11" s="241"/>
      <c r="H11" s="241"/>
      <c r="J11" s="242"/>
      <c r="K11" s="243"/>
      <c r="P11" s="244"/>
    </row>
    <row r="12" spans="1:19" ht="18" customHeight="1" x14ac:dyDescent="0.2">
      <c r="B12" s="235" t="s">
        <v>370</v>
      </c>
      <c r="C12" s="283">
        <f>SUM($E$21:$E$30)</f>
        <v>2064.5500000000002</v>
      </c>
      <c r="E12" s="237" t="s">
        <v>371</v>
      </c>
      <c r="F12" s="238">
        <f>SUM(J20:J31)</f>
        <v>42</v>
      </c>
      <c r="G12" s="239"/>
      <c r="H12" s="237"/>
      <c r="I12" s="238"/>
      <c r="J12" s="239"/>
      <c r="K12" s="247"/>
      <c r="P12" s="248"/>
    </row>
    <row r="13" spans="1:19" s="240" customFormat="1" ht="6.75" x14ac:dyDescent="0.15">
      <c r="B13" s="241"/>
      <c r="E13" s="241"/>
      <c r="H13" s="241"/>
      <c r="J13" s="242"/>
      <c r="K13" s="243"/>
      <c r="P13" s="244"/>
    </row>
    <row r="14" spans="1:19" ht="18" customHeight="1" x14ac:dyDescent="0.2">
      <c r="B14" s="235" t="s">
        <v>372</v>
      </c>
      <c r="C14" s="284">
        <f>SUM(E38:E51)</f>
        <v>473.79</v>
      </c>
      <c r="E14" s="237" t="s">
        <v>373</v>
      </c>
      <c r="F14" s="238">
        <v>1</v>
      </c>
      <c r="G14" s="239"/>
      <c r="H14" s="237"/>
      <c r="I14" s="238"/>
      <c r="J14" s="239"/>
      <c r="K14" s="247"/>
      <c r="P14" s="248"/>
    </row>
    <row r="15" spans="1:19" s="240" customFormat="1" ht="6.75" x14ac:dyDescent="0.15">
      <c r="C15" s="286"/>
      <c r="J15" s="242"/>
      <c r="K15" s="243"/>
      <c r="P15" s="244"/>
    </row>
    <row r="16" spans="1:19" ht="18" customHeight="1" x14ac:dyDescent="0.2">
      <c r="B16" s="235" t="s">
        <v>374</v>
      </c>
      <c r="C16" s="284">
        <f>E22</f>
        <v>90.37</v>
      </c>
      <c r="E16" s="237" t="s">
        <v>375</v>
      </c>
      <c r="F16" s="238">
        <v>22</v>
      </c>
      <c r="G16" s="239"/>
      <c r="H16" s="237"/>
      <c r="I16" s="238"/>
      <c r="J16" s="239"/>
      <c r="K16" s="247"/>
      <c r="P16" s="248"/>
    </row>
    <row r="17" spans="2:16" s="240" customFormat="1" ht="6.75" x14ac:dyDescent="0.15">
      <c r="J17" s="242"/>
      <c r="K17" s="243"/>
      <c r="P17" s="244"/>
    </row>
    <row r="18" spans="2:16" ht="18" customHeight="1" thickBot="1" x14ac:dyDescent="0.25">
      <c r="B18" s="237" t="s">
        <v>376</v>
      </c>
      <c r="C18" s="238">
        <f>SUM(H20:H31)</f>
        <v>51</v>
      </c>
      <c r="E18" s="237" t="s">
        <v>377</v>
      </c>
      <c r="F18" s="238">
        <f>SUM(I20:I31)</f>
        <v>21</v>
      </c>
      <c r="G18" s="239"/>
      <c r="H18" s="237"/>
      <c r="I18" s="238"/>
      <c r="J18" s="239"/>
      <c r="K18" s="249"/>
      <c r="L18" s="250"/>
      <c r="M18" s="250"/>
      <c r="N18" s="250"/>
      <c r="O18" s="250"/>
      <c r="P18" s="251"/>
    </row>
    <row r="19" spans="2:16" ht="13.5" thickBot="1" x14ac:dyDescent="0.25"/>
    <row r="20" spans="2:16" ht="22.5" x14ac:dyDescent="0.2">
      <c r="B20" s="252" t="s">
        <v>378</v>
      </c>
      <c r="C20" s="253" t="s">
        <v>379</v>
      </c>
      <c r="D20" s="253" t="s">
        <v>380</v>
      </c>
      <c r="E20" s="253" t="s">
        <v>381</v>
      </c>
      <c r="F20" s="253" t="s">
        <v>382</v>
      </c>
      <c r="G20" s="254" t="s">
        <v>383</v>
      </c>
      <c r="H20" s="254" t="s">
        <v>286</v>
      </c>
      <c r="I20" s="254" t="s">
        <v>384</v>
      </c>
      <c r="J20" s="254" t="s">
        <v>385</v>
      </c>
      <c r="K20" s="254" t="s">
        <v>265</v>
      </c>
      <c r="L20" s="255" t="s">
        <v>386</v>
      </c>
      <c r="M20" s="255" t="s">
        <v>387</v>
      </c>
      <c r="N20" s="254" t="s">
        <v>218</v>
      </c>
      <c r="O20" s="254" t="s">
        <v>388</v>
      </c>
      <c r="P20" s="256"/>
    </row>
    <row r="21" spans="2:16" x14ac:dyDescent="0.2">
      <c r="B21" s="257" t="s">
        <v>389</v>
      </c>
      <c r="C21" s="258" t="s">
        <v>390</v>
      </c>
      <c r="D21" s="259">
        <v>655.95</v>
      </c>
      <c r="E21" s="259"/>
      <c r="F21" s="259">
        <v>115.34</v>
      </c>
      <c r="G21" s="260">
        <f>2.52+0.72</f>
        <v>3.24</v>
      </c>
      <c r="H21" s="260"/>
      <c r="I21" s="260"/>
      <c r="J21" s="260"/>
      <c r="K21" s="260"/>
      <c r="L21" s="260"/>
      <c r="M21" s="260"/>
      <c r="N21" s="260"/>
      <c r="O21" s="260"/>
      <c r="P21" s="261"/>
    </row>
    <row r="22" spans="2:16" x14ac:dyDescent="0.2">
      <c r="B22" s="257" t="s">
        <v>389</v>
      </c>
      <c r="C22" s="258" t="s">
        <v>391</v>
      </c>
      <c r="D22" s="259">
        <v>674.15</v>
      </c>
      <c r="E22" s="285">
        <f>45.52+44.85</f>
        <v>90.37</v>
      </c>
      <c r="F22" s="259">
        <v>123.46</v>
      </c>
      <c r="G22" s="260">
        <f>7.2-0.72</f>
        <v>6.48</v>
      </c>
      <c r="H22" s="260">
        <f>2+2</f>
        <v>4</v>
      </c>
      <c r="I22" s="260">
        <v>1</v>
      </c>
      <c r="J22" s="260"/>
      <c r="K22" s="260">
        <f>H22</f>
        <v>4</v>
      </c>
      <c r="L22" s="260">
        <f>2+3+4</f>
        <v>9</v>
      </c>
      <c r="M22" s="260">
        <f>L22-2</f>
        <v>7</v>
      </c>
      <c r="N22" s="260">
        <f>H22+4</f>
        <v>8</v>
      </c>
      <c r="O22" s="260"/>
      <c r="P22" s="261"/>
    </row>
    <row r="23" spans="2:16" x14ac:dyDescent="0.2">
      <c r="B23" s="257" t="s">
        <v>389</v>
      </c>
      <c r="C23" s="258" t="s">
        <v>392</v>
      </c>
      <c r="D23" s="259">
        <v>104.52</v>
      </c>
      <c r="E23" s="259"/>
      <c r="F23" s="259"/>
      <c r="G23" s="260"/>
      <c r="H23" s="260">
        <v>1</v>
      </c>
      <c r="I23" s="260"/>
      <c r="J23" s="260"/>
      <c r="K23" s="260">
        <v>1</v>
      </c>
      <c r="L23" s="260">
        <v>2</v>
      </c>
      <c r="M23" s="260">
        <v>2</v>
      </c>
      <c r="N23" s="260"/>
      <c r="O23" s="260"/>
      <c r="P23" s="261"/>
    </row>
    <row r="24" spans="2:16" x14ac:dyDescent="0.2">
      <c r="B24" s="257" t="s">
        <v>389</v>
      </c>
      <c r="C24" s="258" t="s">
        <v>393</v>
      </c>
      <c r="D24" s="259">
        <v>634.94000000000005</v>
      </c>
      <c r="E24" s="259">
        <f>92.14+63.85+119.55+105.43+111.13+98.03</f>
        <v>590.13</v>
      </c>
      <c r="F24" s="259">
        <v>120.7</v>
      </c>
      <c r="G24" s="260">
        <f>10.26-7.2</f>
        <v>3.0599999999999996</v>
      </c>
      <c r="H24" s="260">
        <f>3+1+2+3+3+2</f>
        <v>14</v>
      </c>
      <c r="I24" s="260">
        <v>6</v>
      </c>
      <c r="J24" s="260">
        <f>2+1+2+3+2+2</f>
        <v>12</v>
      </c>
      <c r="K24" s="260">
        <f>1+1+2+1+2</f>
        <v>7</v>
      </c>
      <c r="L24" s="260">
        <f>J24+O24</f>
        <v>18</v>
      </c>
      <c r="M24" s="260"/>
      <c r="N24" s="260">
        <f>H24+O24*2</f>
        <v>26</v>
      </c>
      <c r="O24" s="260">
        <v>6</v>
      </c>
      <c r="P24" s="261"/>
    </row>
    <row r="25" spans="2:16" x14ac:dyDescent="0.2">
      <c r="B25" s="257" t="s">
        <v>389</v>
      </c>
      <c r="C25" s="258" t="s">
        <v>394</v>
      </c>
      <c r="D25" s="259">
        <v>519.17999999999995</v>
      </c>
      <c r="E25" s="259">
        <f>76.63+48.72+87.05+76.92+86.68+97.95</f>
        <v>473.95</v>
      </c>
      <c r="F25" s="259">
        <v>116.66</v>
      </c>
      <c r="G25" s="260">
        <f>13.32-10.26</f>
        <v>3.0600000000000005</v>
      </c>
      <c r="H25" s="260">
        <f>3+1+2+3+3+2</f>
        <v>14</v>
      </c>
      <c r="I25" s="260">
        <v>6</v>
      </c>
      <c r="J25" s="260">
        <f>2+1+2+3+2+2</f>
        <v>12</v>
      </c>
      <c r="K25" s="260">
        <f>1+1+2+1+2</f>
        <v>7</v>
      </c>
      <c r="L25" s="260">
        <f>J25+O25</f>
        <v>18</v>
      </c>
      <c r="M25" s="260"/>
      <c r="N25" s="260">
        <f t="shared" ref="N25" si="0">H25+O25*2</f>
        <v>26</v>
      </c>
      <c r="O25" s="260">
        <v>6</v>
      </c>
      <c r="P25" s="261"/>
    </row>
    <row r="26" spans="2:16" x14ac:dyDescent="0.2">
      <c r="B26" s="257" t="s">
        <v>389</v>
      </c>
      <c r="C26" s="258" t="s">
        <v>395</v>
      </c>
      <c r="D26" s="259">
        <v>519.17999999999995</v>
      </c>
      <c r="E26" s="259">
        <f>76.63+48.72+87.05+76.92+86.68+97.95</f>
        <v>473.95</v>
      </c>
      <c r="F26" s="259">
        <f>F25</f>
        <v>116.66</v>
      </c>
      <c r="G26" s="260">
        <f>16.38-13.32</f>
        <v>3.0599999999999987</v>
      </c>
      <c r="H26" s="260">
        <f>3+1+2+3+3+2</f>
        <v>14</v>
      </c>
      <c r="I26" s="260">
        <v>6</v>
      </c>
      <c r="J26" s="260">
        <f>2+1+2+3+2+2</f>
        <v>12</v>
      </c>
      <c r="K26" s="260">
        <f>1+1+2+1+2</f>
        <v>7</v>
      </c>
      <c r="L26" s="260">
        <f>J26+O26</f>
        <v>18</v>
      </c>
      <c r="M26" s="260"/>
      <c r="N26" s="260">
        <f t="shared" ref="N26" si="1">H26+O26*2</f>
        <v>26</v>
      </c>
      <c r="O26" s="260">
        <v>6</v>
      </c>
      <c r="P26" s="261"/>
    </row>
    <row r="27" spans="2:16" x14ac:dyDescent="0.2">
      <c r="B27" s="257" t="s">
        <v>389</v>
      </c>
      <c r="C27" s="258" t="s">
        <v>467</v>
      </c>
      <c r="D27" s="259">
        <v>466.78</v>
      </c>
      <c r="E27" s="259">
        <f>227.07+209.08</f>
        <v>436.15</v>
      </c>
      <c r="F27" s="259">
        <v>103.15</v>
      </c>
      <c r="G27" s="260">
        <f>19.44-16.38</f>
        <v>3.0600000000000023</v>
      </c>
      <c r="H27" s="260">
        <f>2*2</f>
        <v>4</v>
      </c>
      <c r="I27" s="260">
        <v>2</v>
      </c>
      <c r="J27" s="260">
        <f>3*2</f>
        <v>6</v>
      </c>
      <c r="K27" s="260"/>
      <c r="L27" s="260">
        <f>J27+2*2</f>
        <v>10</v>
      </c>
      <c r="M27" s="260"/>
      <c r="N27" s="260">
        <f>H27+O27*3</f>
        <v>10</v>
      </c>
      <c r="O27" s="260">
        <v>2</v>
      </c>
      <c r="P27" s="261"/>
    </row>
    <row r="28" spans="2:16" x14ac:dyDescent="0.2">
      <c r="B28" s="257" t="s">
        <v>389</v>
      </c>
      <c r="C28" s="258" t="s">
        <v>396</v>
      </c>
      <c r="D28" s="259">
        <v>32.4</v>
      </c>
      <c r="E28" s="259"/>
      <c r="F28" s="259">
        <v>24.7</v>
      </c>
      <c r="G28" s="260">
        <f>22.5-19.44</f>
        <v>3.0599999999999987</v>
      </c>
      <c r="H28" s="260"/>
      <c r="I28" s="260"/>
      <c r="J28" s="260"/>
      <c r="K28" s="260"/>
      <c r="L28" s="260"/>
      <c r="M28" s="260"/>
      <c r="N28" s="260">
        <f>4</f>
        <v>4</v>
      </c>
      <c r="O28" s="260"/>
      <c r="P28" s="261"/>
    </row>
    <row r="29" spans="2:16" x14ac:dyDescent="0.2">
      <c r="B29" s="257" t="s">
        <v>389</v>
      </c>
      <c r="C29" s="258" t="s">
        <v>397</v>
      </c>
      <c r="D29" s="259">
        <v>25.68</v>
      </c>
      <c r="E29" s="259"/>
      <c r="F29" s="259">
        <v>20.100000000000001</v>
      </c>
      <c r="G29" s="260">
        <f>25.56-22.5</f>
        <v>3.0599999999999987</v>
      </c>
      <c r="H29" s="260"/>
      <c r="I29" s="260"/>
      <c r="J29" s="260"/>
      <c r="K29" s="260"/>
      <c r="L29" s="260"/>
      <c r="M29" s="260"/>
      <c r="N29" s="260"/>
      <c r="O29" s="260"/>
      <c r="P29" s="261"/>
    </row>
    <row r="30" spans="2:16" x14ac:dyDescent="0.2">
      <c r="B30" s="257" t="s">
        <v>389</v>
      </c>
      <c r="C30" s="258"/>
      <c r="D30" s="259"/>
      <c r="E30" s="259"/>
      <c r="F30" s="259"/>
      <c r="G30" s="260"/>
      <c r="H30" s="260"/>
      <c r="I30" s="260"/>
      <c r="J30" s="260"/>
      <c r="K30" s="260"/>
      <c r="L30" s="260"/>
      <c r="M30" s="260"/>
      <c r="N30" s="260"/>
      <c r="O30" s="260"/>
      <c r="P30" s="261"/>
    </row>
    <row r="31" spans="2:16" ht="13.5" thickBot="1" x14ac:dyDescent="0.25">
      <c r="B31" s="262"/>
      <c r="C31" s="263"/>
      <c r="D31" s="264"/>
      <c r="E31" s="264"/>
      <c r="F31" s="264"/>
      <c r="G31" s="264"/>
      <c r="H31" s="265"/>
      <c r="I31" s="265"/>
      <c r="J31" s="265"/>
      <c r="K31" s="265"/>
      <c r="L31" s="265"/>
      <c r="M31" s="265"/>
      <c r="N31" s="265"/>
      <c r="O31" s="265"/>
      <c r="P31" s="266"/>
    </row>
    <row r="32" spans="2:16" ht="13.5" thickBot="1" x14ac:dyDescent="0.25">
      <c r="G32" s="234">
        <f>SUM(G22:G29)</f>
        <v>24.839999999999996</v>
      </c>
    </row>
    <row r="33" spans="2:16" ht="15" customHeight="1" x14ac:dyDescent="0.2">
      <c r="B33" s="252" t="s">
        <v>398</v>
      </c>
      <c r="C33" s="253" t="s">
        <v>379</v>
      </c>
      <c r="D33" s="253" t="s">
        <v>14</v>
      </c>
      <c r="E33" s="256" t="s">
        <v>399</v>
      </c>
      <c r="F33" s="267">
        <f>F25*G32</f>
        <v>2897.8343999999993</v>
      </c>
      <c r="G33" s="319" t="s">
        <v>400</v>
      </c>
      <c r="H33" s="320"/>
      <c r="I33" s="320"/>
      <c r="J33" s="320"/>
      <c r="K33" s="320"/>
      <c r="L33" s="320"/>
      <c r="M33" s="320"/>
      <c r="N33" s="320"/>
      <c r="O33" s="320"/>
      <c r="P33" s="321"/>
    </row>
    <row r="34" spans="2:16" x14ac:dyDescent="0.2">
      <c r="B34" s="257" t="s">
        <v>389</v>
      </c>
      <c r="C34" s="258" t="s">
        <v>390</v>
      </c>
      <c r="D34" s="268" t="s">
        <v>468</v>
      </c>
      <c r="E34" s="269">
        <v>531</v>
      </c>
      <c r="F34" s="267"/>
      <c r="G34" s="247"/>
      <c r="P34" s="248"/>
    </row>
    <row r="35" spans="2:16" x14ac:dyDescent="0.2">
      <c r="B35" s="257" t="s">
        <v>389</v>
      </c>
      <c r="C35" s="258" t="s">
        <v>390</v>
      </c>
      <c r="D35" s="268" t="s">
        <v>469</v>
      </c>
      <c r="E35" s="269">
        <v>9.1199999999999992</v>
      </c>
      <c r="G35" s="247"/>
      <c r="P35" s="248"/>
    </row>
    <row r="36" spans="2:16" x14ac:dyDescent="0.2">
      <c r="B36" s="257" t="s">
        <v>389</v>
      </c>
      <c r="C36" s="258" t="s">
        <v>391</v>
      </c>
      <c r="D36" s="268" t="s">
        <v>470</v>
      </c>
      <c r="E36" s="269">
        <v>114.4</v>
      </c>
      <c r="G36" s="247"/>
      <c r="P36" s="248"/>
    </row>
    <row r="37" spans="2:16" x14ac:dyDescent="0.2">
      <c r="B37" s="257" t="s">
        <v>389</v>
      </c>
      <c r="C37" s="258" t="s">
        <v>391</v>
      </c>
      <c r="D37" s="268" t="s">
        <v>471</v>
      </c>
      <c r="E37" s="269">
        <v>5.81</v>
      </c>
      <c r="G37" s="247"/>
      <c r="P37" s="248"/>
    </row>
    <row r="38" spans="2:16" x14ac:dyDescent="0.2">
      <c r="B38" s="257" t="s">
        <v>389</v>
      </c>
      <c r="C38" s="258" t="s">
        <v>391</v>
      </c>
      <c r="D38" s="258" t="s">
        <v>472</v>
      </c>
      <c r="E38" s="261">
        <v>3.86</v>
      </c>
      <c r="G38" s="247"/>
      <c r="P38" s="248"/>
    </row>
    <row r="39" spans="2:16" x14ac:dyDescent="0.2">
      <c r="B39" s="257" t="s">
        <v>389</v>
      </c>
      <c r="C39" s="258" t="s">
        <v>391</v>
      </c>
      <c r="D39" s="258" t="s">
        <v>473</v>
      </c>
      <c r="E39" s="261">
        <v>32.94</v>
      </c>
      <c r="G39" s="247"/>
      <c r="P39" s="248"/>
    </row>
    <row r="40" spans="2:16" x14ac:dyDescent="0.2">
      <c r="B40" s="257" t="s">
        <v>389</v>
      </c>
      <c r="C40" s="258" t="s">
        <v>391</v>
      </c>
      <c r="D40" s="258" t="s">
        <v>474</v>
      </c>
      <c r="E40" s="261">
        <v>4.0599999999999996</v>
      </c>
      <c r="G40" s="247"/>
      <c r="P40" s="248"/>
    </row>
    <row r="41" spans="2:16" x14ac:dyDescent="0.2">
      <c r="B41" s="257" t="s">
        <v>389</v>
      </c>
      <c r="C41" s="258" t="s">
        <v>391</v>
      </c>
      <c r="D41" s="258" t="s">
        <v>475</v>
      </c>
      <c r="E41" s="261">
        <v>77.489999999999995</v>
      </c>
      <c r="G41" s="247"/>
      <c r="P41" s="248"/>
    </row>
    <row r="42" spans="2:16" x14ac:dyDescent="0.2">
      <c r="B42" s="257" t="s">
        <v>389</v>
      </c>
      <c r="C42" s="258" t="s">
        <v>391</v>
      </c>
      <c r="D42" s="258" t="s">
        <v>476</v>
      </c>
      <c r="E42" s="261">
        <v>150.56</v>
      </c>
      <c r="G42" s="247"/>
      <c r="P42" s="248"/>
    </row>
    <row r="43" spans="2:16" x14ac:dyDescent="0.2">
      <c r="B43" s="257" t="s">
        <v>389</v>
      </c>
      <c r="C43" s="258" t="s">
        <v>391</v>
      </c>
      <c r="D43" s="258" t="s">
        <v>477</v>
      </c>
      <c r="E43" s="261">
        <v>26.01</v>
      </c>
      <c r="G43" s="247"/>
      <c r="P43" s="248"/>
    </row>
    <row r="44" spans="2:16" x14ac:dyDescent="0.2">
      <c r="B44" s="257" t="s">
        <v>389</v>
      </c>
      <c r="C44" s="258" t="s">
        <v>391</v>
      </c>
      <c r="D44" s="258" t="s">
        <v>478</v>
      </c>
      <c r="E44" s="261">
        <v>35.56</v>
      </c>
      <c r="G44" s="247"/>
      <c r="P44" s="248"/>
    </row>
    <row r="45" spans="2:16" x14ac:dyDescent="0.2">
      <c r="B45" s="257" t="s">
        <v>389</v>
      </c>
      <c r="C45" s="258" t="s">
        <v>391</v>
      </c>
      <c r="D45" s="258" t="s">
        <v>479</v>
      </c>
      <c r="E45" s="261">
        <f>3.24+3.24</f>
        <v>6.48</v>
      </c>
      <c r="G45" s="247"/>
      <c r="P45" s="248"/>
    </row>
    <row r="46" spans="2:16" x14ac:dyDescent="0.2">
      <c r="B46" s="257" t="s">
        <v>389</v>
      </c>
      <c r="C46" s="258" t="s">
        <v>391</v>
      </c>
      <c r="D46" s="258" t="s">
        <v>402</v>
      </c>
      <c r="E46" s="261">
        <v>63.05</v>
      </c>
      <c r="G46" s="247"/>
      <c r="P46" s="248"/>
    </row>
    <row r="47" spans="2:16" x14ac:dyDescent="0.2">
      <c r="B47" s="257" t="s">
        <v>389</v>
      </c>
      <c r="C47" s="258" t="s">
        <v>392</v>
      </c>
      <c r="D47" s="258" t="s">
        <v>401</v>
      </c>
      <c r="E47" s="261">
        <v>16.239999999999998</v>
      </c>
      <c r="G47" s="247"/>
      <c r="P47" s="248"/>
    </row>
    <row r="48" spans="2:16" x14ac:dyDescent="0.2">
      <c r="B48" s="257" t="s">
        <v>389</v>
      </c>
      <c r="C48" s="258" t="s">
        <v>392</v>
      </c>
      <c r="D48" s="258" t="s">
        <v>480</v>
      </c>
      <c r="E48" s="261">
        <v>3.24</v>
      </c>
      <c r="G48" s="247"/>
      <c r="P48" s="248"/>
    </row>
    <row r="49" spans="2:16" x14ac:dyDescent="0.2">
      <c r="B49" s="257" t="s">
        <v>389</v>
      </c>
      <c r="C49" s="258" t="s">
        <v>391</v>
      </c>
      <c r="D49" s="258" t="s">
        <v>481</v>
      </c>
      <c r="E49" s="261">
        <v>6.7</v>
      </c>
      <c r="G49" s="247"/>
      <c r="P49" s="248"/>
    </row>
    <row r="50" spans="2:16" x14ac:dyDescent="0.2">
      <c r="B50" s="257" t="s">
        <v>389</v>
      </c>
      <c r="C50" s="258" t="s">
        <v>391</v>
      </c>
      <c r="D50" s="258" t="s">
        <v>482</v>
      </c>
      <c r="E50" s="261">
        <v>13.66</v>
      </c>
      <c r="G50" s="247"/>
      <c r="P50" s="248"/>
    </row>
    <row r="51" spans="2:16" x14ac:dyDescent="0.2">
      <c r="B51" s="257" t="s">
        <v>389</v>
      </c>
      <c r="C51" s="258" t="s">
        <v>391</v>
      </c>
      <c r="D51" s="258" t="s">
        <v>483</v>
      </c>
      <c r="E51" s="261">
        <v>33.94</v>
      </c>
      <c r="G51" s="247"/>
      <c r="P51" s="248"/>
    </row>
    <row r="52" spans="2:16" x14ac:dyDescent="0.2">
      <c r="B52" s="257" t="s">
        <v>389</v>
      </c>
      <c r="C52" s="258"/>
      <c r="D52" s="258"/>
      <c r="E52" s="261"/>
      <c r="G52" s="247"/>
      <c r="P52" s="248"/>
    </row>
    <row r="53" spans="2:16" ht="13.5" thickBot="1" x14ac:dyDescent="0.25">
      <c r="B53" s="262"/>
      <c r="C53" s="263"/>
      <c r="D53" s="263"/>
      <c r="E53" s="266"/>
      <c r="F53" s="270"/>
      <c r="G53" s="249"/>
      <c r="H53" s="250"/>
      <c r="I53" s="250"/>
      <c r="J53" s="250"/>
      <c r="K53" s="250"/>
      <c r="L53" s="250"/>
      <c r="M53" s="250"/>
      <c r="N53" s="250"/>
      <c r="O53" s="250"/>
      <c r="P53" s="251"/>
    </row>
    <row r="57" spans="2:16" x14ac:dyDescent="0.2">
      <c r="E57" s="270"/>
    </row>
  </sheetData>
  <mergeCells count="3">
    <mergeCell ref="C1:Q1"/>
    <mergeCell ref="K6:P6"/>
    <mergeCell ref="G33:P33"/>
  </mergeCells>
  <phoneticPr fontId="56" type="noConversion"/>
  <pageMargins left="0.511811024" right="0.511811024" top="0.78740157499999996" bottom="0.78740157499999996" header="0.31496062000000002" footer="0.31496062000000002"/>
  <pageSetup paperSize="9" scale="49" fitToHeight="0" orientation="portrait" r:id="rId1"/>
  <colBreaks count="1" manualBreakCount="1">
    <brk id="1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AD-C2EE-4E14-BE9E-4A287CFE07C4}">
  <sheetPr>
    <pageSetUpPr fitToPage="1"/>
  </sheetPr>
  <dimension ref="A1:G28"/>
  <sheetViews>
    <sheetView view="pageBreakPreview" topLeftCell="A13" zoomScale="85" zoomScaleNormal="115" zoomScaleSheetLayoutView="85" workbookViewId="0">
      <selection activeCell="E25" sqref="E25"/>
    </sheetView>
  </sheetViews>
  <sheetFormatPr defaultRowHeight="21.75" x14ac:dyDescent="0.6"/>
  <cols>
    <col min="1" max="1" width="19.140625" style="41" customWidth="1"/>
    <col min="2" max="2" width="83.7109375" style="42" customWidth="1"/>
    <col min="3" max="4" width="11.28515625" style="42" customWidth="1"/>
    <col min="5" max="5" width="11.28515625" style="43" customWidth="1"/>
    <col min="6" max="6" width="11.140625" style="44" customWidth="1"/>
    <col min="7" max="7" width="24" style="41" customWidth="1"/>
    <col min="8" max="9" width="9.28515625" bestFit="1" customWidth="1"/>
  </cols>
  <sheetData>
    <row r="1" spans="1:7" ht="18" customHeight="1" x14ac:dyDescent="0.6">
      <c r="A1" s="4" t="s">
        <v>0</v>
      </c>
      <c r="B1" s="5" t="str">
        <f>'Obra '!C2</f>
        <v>Jardim Campeche</v>
      </c>
      <c r="C1" s="6"/>
      <c r="D1" s="6"/>
      <c r="E1" s="7"/>
      <c r="F1" s="8"/>
      <c r="G1" s="9"/>
    </row>
    <row r="2" spans="1:7" ht="18" customHeight="1" x14ac:dyDescent="0.6">
      <c r="A2" s="10" t="s">
        <v>117</v>
      </c>
      <c r="B2" s="11" t="str">
        <f>'Obra '!C3</f>
        <v>BD Empreendimentos</v>
      </c>
      <c r="C2" s="12"/>
      <c r="D2" s="12"/>
      <c r="E2" s="13"/>
      <c r="F2" s="14"/>
      <c r="G2" s="15"/>
    </row>
    <row r="3" spans="1:7" ht="18" customHeight="1" x14ac:dyDescent="0.6">
      <c r="A3" s="10" t="s">
        <v>1</v>
      </c>
      <c r="B3" s="11" t="s">
        <v>184</v>
      </c>
      <c r="C3" s="12"/>
      <c r="D3" s="12"/>
      <c r="E3" s="13"/>
      <c r="F3" s="14"/>
      <c r="G3" s="15"/>
    </row>
    <row r="4" spans="1:7" ht="18" customHeight="1" x14ac:dyDescent="0.6">
      <c r="A4" s="10" t="s">
        <v>282</v>
      </c>
      <c r="B4" s="11"/>
      <c r="C4" s="12"/>
      <c r="D4" s="12"/>
      <c r="E4" s="13"/>
      <c r="F4" s="14"/>
      <c r="G4" s="20"/>
    </row>
    <row r="5" spans="1:7" ht="25.15" customHeight="1" x14ac:dyDescent="0.25">
      <c r="A5" s="322" t="s">
        <v>126</v>
      </c>
      <c r="B5" s="323"/>
      <c r="C5" s="323"/>
      <c r="D5" s="323"/>
      <c r="E5" s="323"/>
      <c r="F5" s="323"/>
      <c r="G5" s="324"/>
    </row>
    <row r="6" spans="1:7" ht="14.45" customHeight="1" thickBot="1" x14ac:dyDescent="0.65">
      <c r="A6" s="16"/>
      <c r="B6" s="17"/>
      <c r="C6" s="17"/>
      <c r="D6" s="17"/>
      <c r="E6" s="18"/>
      <c r="F6" s="19"/>
      <c r="G6" s="20"/>
    </row>
    <row r="7" spans="1:7" x14ac:dyDescent="0.6">
      <c r="A7" s="22"/>
      <c r="B7" s="23" t="s">
        <v>14</v>
      </c>
      <c r="C7" s="24" t="s">
        <v>15</v>
      </c>
      <c r="D7" s="24" t="s">
        <v>127</v>
      </c>
      <c r="E7" s="25" t="s">
        <v>18</v>
      </c>
      <c r="F7" s="26"/>
      <c r="G7" s="21"/>
    </row>
    <row r="8" spans="1:7" x14ac:dyDescent="0.6">
      <c r="A8" s="22"/>
      <c r="B8" s="27" t="s">
        <v>128</v>
      </c>
      <c r="C8" s="28" t="s">
        <v>7</v>
      </c>
      <c r="D8" s="28" t="s">
        <v>120</v>
      </c>
      <c r="E8" s="29">
        <f>'Obra '!C8</f>
        <v>866.65</v>
      </c>
      <c r="F8" s="26"/>
      <c r="G8" s="21"/>
    </row>
    <row r="9" spans="1:7" x14ac:dyDescent="0.6">
      <c r="A9" s="22"/>
      <c r="B9" s="30" t="s">
        <v>129</v>
      </c>
      <c r="C9" s="31" t="s">
        <v>8</v>
      </c>
      <c r="D9" s="31" t="s">
        <v>120</v>
      </c>
      <c r="E9" s="32">
        <f>'Obra '!C10</f>
        <v>3632.7799999999997</v>
      </c>
      <c r="F9" s="26"/>
      <c r="G9" s="21"/>
    </row>
    <row r="10" spans="1:7" x14ac:dyDescent="0.6">
      <c r="A10" s="22"/>
      <c r="B10" s="30" t="s">
        <v>283</v>
      </c>
      <c r="C10" s="31" t="s">
        <v>284</v>
      </c>
      <c r="D10" s="31" t="s">
        <v>123</v>
      </c>
      <c r="E10" s="32">
        <f>'Obra '!F6</f>
        <v>20</v>
      </c>
      <c r="F10" s="199"/>
      <c r="G10" s="21"/>
    </row>
    <row r="11" spans="1:7" x14ac:dyDescent="0.6">
      <c r="A11" s="22"/>
      <c r="B11" s="30" t="s">
        <v>285</v>
      </c>
      <c r="C11" s="31" t="s">
        <v>289</v>
      </c>
      <c r="D11" s="31" t="s">
        <v>123</v>
      </c>
      <c r="E11" s="32">
        <f>'Obra '!F12</f>
        <v>42</v>
      </c>
      <c r="F11" s="26"/>
      <c r="G11" s="21"/>
    </row>
    <row r="12" spans="1:7" x14ac:dyDescent="0.6">
      <c r="A12" s="22"/>
      <c r="B12" s="30" t="s">
        <v>286</v>
      </c>
      <c r="C12" s="31" t="s">
        <v>290</v>
      </c>
      <c r="D12" s="31" t="s">
        <v>123</v>
      </c>
      <c r="E12" s="32">
        <f>'Obra '!$C$18</f>
        <v>51</v>
      </c>
      <c r="F12" s="26"/>
      <c r="G12" s="21"/>
    </row>
    <row r="13" spans="1:7" x14ac:dyDescent="0.6">
      <c r="A13" s="22"/>
      <c r="B13" s="30" t="s">
        <v>287</v>
      </c>
      <c r="C13" s="31" t="s">
        <v>288</v>
      </c>
      <c r="D13" s="31" t="s">
        <v>123</v>
      </c>
      <c r="E13" s="32">
        <f>'Obra '!$F$8</f>
        <v>2</v>
      </c>
      <c r="F13" s="26"/>
      <c r="G13" s="21"/>
    </row>
    <row r="14" spans="1:7" x14ac:dyDescent="0.6">
      <c r="A14" s="22"/>
      <c r="B14" s="30" t="s">
        <v>264</v>
      </c>
      <c r="C14" s="31" t="s">
        <v>307</v>
      </c>
      <c r="D14" s="31" t="s">
        <v>123</v>
      </c>
      <c r="E14" s="32">
        <f>'Obra '!$F$18</f>
        <v>21</v>
      </c>
      <c r="F14" s="206"/>
      <c r="G14" s="21"/>
    </row>
    <row r="15" spans="1:7" x14ac:dyDescent="0.6">
      <c r="A15" s="22"/>
      <c r="B15" s="30" t="s">
        <v>130</v>
      </c>
      <c r="C15" s="31" t="s">
        <v>9</v>
      </c>
      <c r="D15" s="31" t="s">
        <v>123</v>
      </c>
      <c r="E15" s="32">
        <f>'Obra '!$F$10</f>
        <v>7</v>
      </c>
      <c r="F15" s="26"/>
      <c r="G15" s="21"/>
    </row>
    <row r="16" spans="1:7" x14ac:dyDescent="0.6">
      <c r="A16" s="22"/>
      <c r="B16" s="30" t="s">
        <v>131</v>
      </c>
      <c r="C16" s="31" t="s">
        <v>10</v>
      </c>
      <c r="D16" s="31" t="s">
        <v>123</v>
      </c>
      <c r="E16" s="32">
        <f>COUNTA('Obra '!C24:C27)</f>
        <v>4</v>
      </c>
      <c r="F16" s="26"/>
      <c r="G16" s="21"/>
    </row>
    <row r="17" spans="1:7" x14ac:dyDescent="0.6">
      <c r="A17" s="22"/>
      <c r="B17" s="30" t="s">
        <v>132</v>
      </c>
      <c r="C17" s="31" t="s">
        <v>40</v>
      </c>
      <c r="D17" s="31" t="s">
        <v>123</v>
      </c>
      <c r="E17" s="32">
        <v>1</v>
      </c>
      <c r="F17" s="26"/>
      <c r="G17" s="21"/>
    </row>
    <row r="18" spans="1:7" x14ac:dyDescent="0.6">
      <c r="A18" s="22"/>
      <c r="B18" s="30" t="s">
        <v>133</v>
      </c>
      <c r="C18" s="31" t="s">
        <v>41</v>
      </c>
      <c r="D18" s="31" t="s">
        <v>123</v>
      </c>
      <c r="E18" s="32">
        <v>0</v>
      </c>
      <c r="F18" s="26"/>
      <c r="G18" s="21"/>
    </row>
    <row r="19" spans="1:7" x14ac:dyDescent="0.6">
      <c r="A19" s="22"/>
      <c r="B19" s="30" t="s">
        <v>134</v>
      </c>
      <c r="C19" s="31" t="s">
        <v>11</v>
      </c>
      <c r="D19" s="31" t="s">
        <v>120</v>
      </c>
      <c r="E19" s="32">
        <f>'Obra '!D24</f>
        <v>634.94000000000005</v>
      </c>
      <c r="F19" s="26"/>
      <c r="G19" s="21"/>
    </row>
    <row r="20" spans="1:7" x14ac:dyDescent="0.6">
      <c r="A20" s="22"/>
      <c r="B20" s="30" t="s">
        <v>135</v>
      </c>
      <c r="C20" s="31" t="s">
        <v>12</v>
      </c>
      <c r="D20" s="31" t="s">
        <v>119</v>
      </c>
      <c r="E20" s="32">
        <f>'Obra '!F24</f>
        <v>120.7</v>
      </c>
      <c r="F20" s="26"/>
      <c r="G20" s="21"/>
    </row>
    <row r="21" spans="1:7" x14ac:dyDescent="0.6">
      <c r="A21" s="22"/>
      <c r="B21" s="30" t="s">
        <v>136</v>
      </c>
      <c r="C21" s="31" t="s">
        <v>36</v>
      </c>
      <c r="D21" s="31" t="s">
        <v>120</v>
      </c>
      <c r="E21" s="32">
        <f>'Obra '!$C$14</f>
        <v>473.79</v>
      </c>
      <c r="F21" s="26"/>
      <c r="G21" s="21"/>
    </row>
    <row r="22" spans="1:7" x14ac:dyDescent="0.6">
      <c r="A22" s="22"/>
      <c r="B22" s="30" t="s">
        <v>137</v>
      </c>
      <c r="C22" s="31" t="s">
        <v>35</v>
      </c>
      <c r="D22" s="31" t="s">
        <v>120</v>
      </c>
      <c r="E22" s="32">
        <f>'Obra '!D22</f>
        <v>674.15</v>
      </c>
      <c r="F22" s="26"/>
      <c r="G22" s="21"/>
    </row>
    <row r="23" spans="1:7" x14ac:dyDescent="0.6">
      <c r="A23" s="22"/>
      <c r="B23" s="30" t="s">
        <v>138</v>
      </c>
      <c r="C23" s="31" t="s">
        <v>139</v>
      </c>
      <c r="D23" s="31" t="s">
        <v>120</v>
      </c>
      <c r="E23" s="32">
        <f>'Obra '!D21</f>
        <v>655.95</v>
      </c>
      <c r="F23" s="26"/>
      <c r="G23" s="21"/>
    </row>
    <row r="24" spans="1:7" x14ac:dyDescent="0.6">
      <c r="A24" s="22"/>
      <c r="B24" s="30" t="s">
        <v>140</v>
      </c>
      <c r="C24" s="31" t="s">
        <v>13</v>
      </c>
      <c r="D24" s="31" t="s">
        <v>123</v>
      </c>
      <c r="E24" s="32">
        <f>'Obra '!F14</f>
        <v>1</v>
      </c>
      <c r="F24" s="26"/>
      <c r="G24" s="21"/>
    </row>
    <row r="25" spans="1:7" x14ac:dyDescent="0.6">
      <c r="A25" s="22"/>
      <c r="B25" s="30" t="s">
        <v>141</v>
      </c>
      <c r="C25" s="31" t="s">
        <v>39</v>
      </c>
      <c r="D25" s="31" t="s">
        <v>120</v>
      </c>
      <c r="E25" s="32">
        <f>E22</f>
        <v>674.15</v>
      </c>
      <c r="F25" s="26"/>
      <c r="G25" s="21"/>
    </row>
    <row r="26" spans="1:7" x14ac:dyDescent="0.6">
      <c r="A26" s="22"/>
      <c r="B26" s="30" t="s">
        <v>142</v>
      </c>
      <c r="C26" s="31" t="s">
        <v>154</v>
      </c>
      <c r="D26" s="31" t="s">
        <v>119</v>
      </c>
      <c r="E26" s="32">
        <f>'Obra '!F22</f>
        <v>123.46</v>
      </c>
      <c r="F26" s="26"/>
      <c r="G26" s="21"/>
    </row>
    <row r="27" spans="1:7" ht="22.5" thickBot="1" x14ac:dyDescent="0.65">
      <c r="A27" s="22"/>
      <c r="B27" s="33" t="s">
        <v>143</v>
      </c>
      <c r="C27" s="34" t="s">
        <v>155</v>
      </c>
      <c r="D27" s="34" t="s">
        <v>123</v>
      </c>
      <c r="E27" s="35">
        <v>1</v>
      </c>
      <c r="F27" s="26"/>
      <c r="G27" s="21"/>
    </row>
    <row r="28" spans="1:7" ht="22.5" thickBot="1" x14ac:dyDescent="0.65">
      <c r="A28" s="36"/>
      <c r="B28" s="37"/>
      <c r="C28" s="37"/>
      <c r="D28" s="37"/>
      <c r="E28" s="38"/>
      <c r="F28" s="39"/>
      <c r="G28" s="40"/>
    </row>
  </sheetData>
  <mergeCells count="1">
    <mergeCell ref="A5:G5"/>
  </mergeCells>
  <pageMargins left="0.51181102362204722" right="0.51181102362204722" top="0.78740157480314965" bottom="0.78740157480314965" header="0.31496062992125984" footer="0.31496062992125984"/>
  <pageSetup paperSize="9" scale="53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7BB-C74E-481B-9724-B93989582F70}">
  <sheetPr>
    <tabColor rgb="FF92D050"/>
  </sheetPr>
  <dimension ref="A1:K34"/>
  <sheetViews>
    <sheetView showGridLines="0" topLeftCell="A23" zoomScale="85" zoomScaleNormal="85" zoomScaleSheetLayoutView="95" workbookViewId="0">
      <selection activeCell="F31" sqref="F31"/>
    </sheetView>
  </sheetViews>
  <sheetFormatPr defaultColWidth="9.140625" defaultRowHeight="19.5" x14ac:dyDescent="0.25"/>
  <cols>
    <col min="1" max="1" width="53" style="45" bestFit="1" customWidth="1"/>
    <col min="2" max="3" width="27" style="45" customWidth="1"/>
    <col min="4" max="4" width="27" style="46" customWidth="1"/>
    <col min="5" max="6" width="27" style="107" customWidth="1"/>
    <col min="7" max="7" width="31.7109375" style="107" customWidth="1"/>
    <col min="8" max="16384" width="9.140625" style="1"/>
  </cols>
  <sheetData>
    <row r="1" spans="1:9" x14ac:dyDescent="0.25">
      <c r="A1" s="48"/>
      <c r="B1" s="48"/>
      <c r="C1" s="48"/>
      <c r="D1" s="51"/>
      <c r="E1" s="104"/>
      <c r="F1" s="104"/>
      <c r="G1" s="104"/>
      <c r="I1" s="2"/>
    </row>
    <row r="2" spans="1:9" ht="28.5" x14ac:dyDescent="0.25">
      <c r="A2" s="329" t="s">
        <v>121</v>
      </c>
      <c r="B2" s="330"/>
      <c r="C2" s="330"/>
      <c r="D2" s="330"/>
      <c r="E2" s="330"/>
      <c r="F2" s="330"/>
      <c r="G2" s="331"/>
      <c r="I2" s="2"/>
    </row>
    <row r="3" spans="1:9" ht="28.5" customHeight="1" x14ac:dyDescent="0.25">
      <c r="A3" s="186" t="s">
        <v>185</v>
      </c>
      <c r="B3" s="192">
        <v>45472</v>
      </c>
      <c r="C3" s="190"/>
      <c r="D3" s="190"/>
      <c r="E3" s="190"/>
      <c r="F3" s="190"/>
      <c r="G3" s="191"/>
      <c r="I3" s="2"/>
    </row>
    <row r="4" spans="1:9" ht="28.5" customHeight="1" x14ac:dyDescent="0.25">
      <c r="A4" s="186" t="s">
        <v>291</v>
      </c>
      <c r="B4" s="193" t="s">
        <v>209</v>
      </c>
      <c r="C4" s="188"/>
      <c r="D4" s="188"/>
      <c r="E4" s="188"/>
      <c r="F4" s="188"/>
      <c r="G4" s="189"/>
      <c r="I4" s="2"/>
    </row>
    <row r="5" spans="1:9" x14ac:dyDescent="0.25">
      <c r="A5" s="50"/>
      <c r="B5" s="50"/>
      <c r="C5" s="50"/>
      <c r="D5" s="49"/>
      <c r="E5" s="105"/>
      <c r="F5" s="104"/>
      <c r="G5" s="104"/>
      <c r="I5" s="2"/>
    </row>
    <row r="6" spans="1:9" s="55" customFormat="1" ht="21.75" x14ac:dyDescent="0.25">
      <c r="A6" s="52" t="s">
        <v>150</v>
      </c>
      <c r="B6" s="53"/>
      <c r="C6" s="53"/>
      <c r="D6" s="54"/>
      <c r="E6" s="98"/>
      <c r="F6" s="98"/>
      <c r="G6" s="98"/>
    </row>
    <row r="7" spans="1:9" s="55" customFormat="1" ht="21.75" x14ac:dyDescent="0.25">
      <c r="A7" s="56"/>
      <c r="B7" s="57"/>
      <c r="C7" s="57"/>
      <c r="D7" s="58"/>
      <c r="E7" s="99"/>
      <c r="F7" s="100"/>
      <c r="G7" s="100"/>
    </row>
    <row r="8" spans="1:9" s="55" customFormat="1" ht="42" customHeight="1" x14ac:dyDescent="0.25">
      <c r="A8" s="63" t="s">
        <v>14</v>
      </c>
      <c r="B8" s="64" t="s">
        <v>149</v>
      </c>
      <c r="C8" s="64" t="s">
        <v>148</v>
      </c>
      <c r="D8" s="65" t="s">
        <v>147</v>
      </c>
      <c r="E8" s="101" t="s">
        <v>146</v>
      </c>
      <c r="F8" s="90" t="s">
        <v>16</v>
      </c>
      <c r="G8" s="90" t="s">
        <v>294</v>
      </c>
    </row>
    <row r="9" spans="1:9" s="55" customFormat="1" ht="21.75" x14ac:dyDescent="0.25">
      <c r="A9" s="66" t="s">
        <v>145</v>
      </c>
      <c r="B9" s="67">
        <f>DADOS_INICIAIS!E23</f>
        <v>655.95</v>
      </c>
      <c r="C9" s="67">
        <f>'Obra '!G21</f>
        <v>3.24</v>
      </c>
      <c r="D9" s="68">
        <f>C9*B9</f>
        <v>2125.2780000000002</v>
      </c>
      <c r="E9" s="88">
        <v>36.36</v>
      </c>
      <c r="F9" s="89">
        <f>E9*D9*1.1</f>
        <v>85002.618888000012</v>
      </c>
      <c r="G9" s="67"/>
    </row>
    <row r="10" spans="1:9" s="55" customFormat="1" ht="21.75" x14ac:dyDescent="0.25">
      <c r="A10" s="70" t="s">
        <v>156</v>
      </c>
      <c r="B10" s="67"/>
      <c r="C10" s="67"/>
      <c r="D10" s="68">
        <f>D9*1.3</f>
        <v>2762.8614000000002</v>
      </c>
      <c r="E10" s="88">
        <v>45.45</v>
      </c>
      <c r="F10" s="89">
        <f>E10*D10*1.1</f>
        <v>138129.25569300001</v>
      </c>
      <c r="G10" s="67"/>
    </row>
    <row r="11" spans="1:9" s="55" customFormat="1" ht="21.75" x14ac:dyDescent="0.25">
      <c r="A11" s="328" t="s">
        <v>17</v>
      </c>
      <c r="B11" s="328"/>
      <c r="C11" s="328"/>
      <c r="D11" s="328"/>
      <c r="E11" s="328"/>
      <c r="F11" s="90">
        <f>SUM(F9:F10)</f>
        <v>223131.87458100001</v>
      </c>
      <c r="G11" s="90"/>
    </row>
    <row r="12" spans="1:9" s="55" customFormat="1" ht="21.75" x14ac:dyDescent="0.25">
      <c r="A12" s="332"/>
      <c r="B12" s="332"/>
      <c r="C12" s="332"/>
      <c r="D12" s="332"/>
      <c r="E12" s="332"/>
      <c r="F12" s="100"/>
      <c r="G12" s="100"/>
    </row>
    <row r="13" spans="1:9" s="55" customFormat="1" ht="21.75" x14ac:dyDescent="0.25">
      <c r="A13" s="52" t="s">
        <v>153</v>
      </c>
      <c r="B13" s="53"/>
      <c r="C13" s="53"/>
      <c r="D13" s="54"/>
      <c r="E13" s="98"/>
      <c r="F13" s="98"/>
      <c r="G13" s="98"/>
    </row>
    <row r="14" spans="1:9" s="55" customFormat="1" ht="21.75" x14ac:dyDescent="0.25">
      <c r="A14" s="56"/>
      <c r="B14" s="57"/>
      <c r="C14" s="57"/>
      <c r="D14" s="58"/>
      <c r="E14" s="99"/>
      <c r="F14" s="100"/>
      <c r="G14" s="100"/>
    </row>
    <row r="15" spans="1:9" s="55" customFormat="1" ht="42" customHeight="1" x14ac:dyDescent="0.25">
      <c r="A15" s="63" t="s">
        <v>14</v>
      </c>
      <c r="B15" s="64" t="s">
        <v>152</v>
      </c>
      <c r="C15" s="64"/>
      <c r="D15" s="65"/>
      <c r="E15" s="101" t="s">
        <v>151</v>
      </c>
      <c r="F15" s="90" t="s">
        <v>16</v>
      </c>
      <c r="G15" s="90" t="s">
        <v>294</v>
      </c>
    </row>
    <row r="16" spans="1:9" s="55" customFormat="1" ht="21.75" x14ac:dyDescent="0.25">
      <c r="A16" s="66" t="s">
        <v>124</v>
      </c>
      <c r="B16" s="287">
        <f>4*30</f>
        <v>120</v>
      </c>
      <c r="C16" s="74"/>
      <c r="D16" s="75"/>
      <c r="E16" s="88">
        <v>250</v>
      </c>
      <c r="F16" s="89">
        <f>B16*E16*1.1</f>
        <v>33000</v>
      </c>
      <c r="G16" s="67" t="s">
        <v>347</v>
      </c>
    </row>
    <row r="17" spans="1:11" s="55" customFormat="1" ht="21.75" x14ac:dyDescent="0.25">
      <c r="A17" s="328" t="s">
        <v>17</v>
      </c>
      <c r="B17" s="328"/>
      <c r="C17" s="328"/>
      <c r="D17" s="328"/>
      <c r="E17" s="328"/>
      <c r="F17" s="90">
        <f>SUM(F16:F16)</f>
        <v>33000</v>
      </c>
      <c r="G17" s="90"/>
    </row>
    <row r="18" spans="1:11" s="55" customFormat="1" ht="21.75" x14ac:dyDescent="0.25">
      <c r="A18" s="332"/>
      <c r="B18" s="332"/>
      <c r="C18" s="332"/>
      <c r="D18" s="332"/>
      <c r="E18" s="332"/>
      <c r="F18" s="100"/>
      <c r="G18" s="100"/>
    </row>
    <row r="19" spans="1:11" s="55" customFormat="1" ht="21.75" x14ac:dyDescent="0.25">
      <c r="A19" s="52" t="s">
        <v>19</v>
      </c>
      <c r="B19" s="53"/>
      <c r="C19" s="53"/>
      <c r="D19" s="54"/>
      <c r="E19" s="98"/>
      <c r="F19" s="98"/>
      <c r="G19" s="98"/>
    </row>
    <row r="20" spans="1:11" s="55" customFormat="1" ht="21.75" x14ac:dyDescent="0.25">
      <c r="A20" s="56"/>
      <c r="B20" s="57"/>
      <c r="C20" s="57"/>
      <c r="D20" s="58"/>
      <c r="E20" s="99"/>
      <c r="F20" s="100"/>
      <c r="G20" s="100"/>
    </row>
    <row r="21" spans="1:11" s="55" customFormat="1" ht="42" customHeight="1" x14ac:dyDescent="0.25">
      <c r="A21" s="63" t="s">
        <v>14</v>
      </c>
      <c r="B21" s="333" t="s">
        <v>5</v>
      </c>
      <c r="C21" s="334"/>
      <c r="D21" s="65" t="s">
        <v>147</v>
      </c>
      <c r="E21" s="101" t="s">
        <v>160</v>
      </c>
      <c r="F21" s="90" t="s">
        <v>16</v>
      </c>
      <c r="G21" s="90" t="s">
        <v>294</v>
      </c>
    </row>
    <row r="22" spans="1:11" s="55" customFormat="1" ht="43.5" x14ac:dyDescent="0.25">
      <c r="A22" s="70" t="s">
        <v>20</v>
      </c>
      <c r="B22" s="62">
        <v>1.3</v>
      </c>
      <c r="C22" s="62" t="s">
        <v>310</v>
      </c>
      <c r="D22" s="72">
        <f>B22*INFRAESTRUTURA!D29</f>
        <v>175.27900000000002</v>
      </c>
      <c r="E22" s="88">
        <v>36.36</v>
      </c>
      <c r="F22" s="106">
        <f>E22*D22*1.1</f>
        <v>7010.4588840000015</v>
      </c>
      <c r="G22" s="67"/>
    </row>
    <row r="23" spans="1:11" s="55" customFormat="1" ht="26.25" customHeight="1" x14ac:dyDescent="0.25">
      <c r="A23" s="70" t="s">
        <v>21</v>
      </c>
      <c r="B23" s="62">
        <v>0.6</v>
      </c>
      <c r="C23" s="62" t="s">
        <v>157</v>
      </c>
      <c r="D23" s="72">
        <f>D22-INFRAESTRUTURA!D29</f>
        <v>40.449000000000012</v>
      </c>
      <c r="E23" s="88">
        <v>14.55</v>
      </c>
      <c r="F23" s="106">
        <f>E23*D23*1.1</f>
        <v>647.38624500000037</v>
      </c>
      <c r="G23" s="67"/>
    </row>
    <row r="24" spans="1:11" s="55" customFormat="1" ht="21.75" x14ac:dyDescent="0.25">
      <c r="A24" s="70" t="s">
        <v>156</v>
      </c>
      <c r="B24" s="62">
        <v>1.3</v>
      </c>
      <c r="C24" s="62"/>
      <c r="D24" s="72">
        <f>(D22-D23)*B24</f>
        <v>175.27900000000002</v>
      </c>
      <c r="E24" s="88">
        <v>45.45</v>
      </c>
      <c r="F24" s="106">
        <f>E24*D24*1.1</f>
        <v>8763.0736050000032</v>
      </c>
      <c r="G24" s="67"/>
    </row>
    <row r="25" spans="1:11" s="55" customFormat="1" ht="21.75" x14ac:dyDescent="0.25">
      <c r="A25" s="69" t="s">
        <v>144</v>
      </c>
      <c r="B25" s="61">
        <v>1</v>
      </c>
      <c r="C25" s="61" t="s">
        <v>22</v>
      </c>
      <c r="D25" s="73">
        <f>INFRAESTRUTURA!D19</f>
        <v>206.52044706535904</v>
      </c>
      <c r="E25" s="88">
        <v>68.180000000000007</v>
      </c>
      <c r="F25" s="106">
        <f>E25*D25*1.1</f>
        <v>15488.620489007801</v>
      </c>
      <c r="G25" s="67"/>
    </row>
    <row r="26" spans="1:11" s="55" customFormat="1" ht="21.75" x14ac:dyDescent="0.25">
      <c r="A26" s="328" t="s">
        <v>17</v>
      </c>
      <c r="B26" s="328"/>
      <c r="C26" s="328"/>
      <c r="D26" s="328"/>
      <c r="E26" s="328"/>
      <c r="F26" s="90">
        <f>SUM(F22:F25)</f>
        <v>31909.539223007807</v>
      </c>
      <c r="G26" s="90"/>
    </row>
    <row r="27" spans="1:11" x14ac:dyDescent="0.25">
      <c r="K27" s="47"/>
    </row>
    <row r="28" spans="1:11" ht="21.75" x14ac:dyDescent="0.25">
      <c r="A28" s="52" t="s">
        <v>100</v>
      </c>
      <c r="B28" s="53"/>
      <c r="C28" s="53"/>
      <c r="D28" s="54"/>
      <c r="E28" s="98"/>
      <c r="F28" s="98"/>
      <c r="G28" s="98"/>
    </row>
    <row r="29" spans="1:11" ht="21.75" x14ac:dyDescent="0.25">
      <c r="A29" s="56"/>
      <c r="B29" s="57"/>
      <c r="C29" s="57"/>
      <c r="D29" s="58"/>
      <c r="E29" s="99"/>
      <c r="F29" s="100"/>
      <c r="G29" s="100"/>
    </row>
    <row r="30" spans="1:11" ht="43.5" x14ac:dyDescent="0.25">
      <c r="A30" s="63" t="s">
        <v>14</v>
      </c>
      <c r="B30" s="333" t="s">
        <v>5</v>
      </c>
      <c r="C30" s="334"/>
      <c r="D30" s="65" t="s">
        <v>158</v>
      </c>
      <c r="E30" s="101" t="s">
        <v>159</v>
      </c>
      <c r="F30" s="90" t="s">
        <v>16</v>
      </c>
      <c r="G30" s="90" t="s">
        <v>294</v>
      </c>
    </row>
    <row r="31" spans="1:11" ht="43.5" x14ac:dyDescent="0.25">
      <c r="A31" s="70" t="s">
        <v>293</v>
      </c>
      <c r="B31" s="62">
        <v>0.8</v>
      </c>
      <c r="C31" s="62" t="s">
        <v>113</v>
      </c>
      <c r="D31" s="72">
        <f>B31*DADOS_INICIAIS!E25</f>
        <v>539.32000000000005</v>
      </c>
      <c r="E31" s="88">
        <f>370*0.1</f>
        <v>37</v>
      </c>
      <c r="F31" s="106">
        <f>E31*D31*1.1</f>
        <v>21950.324000000001</v>
      </c>
      <c r="G31" s="67" t="s">
        <v>295</v>
      </c>
      <c r="H31" s="1">
        <f>F31/DADOS_INICIAIS!E25</f>
        <v>32.56</v>
      </c>
      <c r="I31" s="100"/>
    </row>
    <row r="32" spans="1:11" ht="21.75" x14ac:dyDescent="0.25">
      <c r="A32" s="328" t="s">
        <v>17</v>
      </c>
      <c r="B32" s="328"/>
      <c r="C32" s="328"/>
      <c r="D32" s="328"/>
      <c r="E32" s="328"/>
      <c r="F32" s="90">
        <f>SUM(F31:F31)</f>
        <v>21950.324000000001</v>
      </c>
      <c r="G32" s="90"/>
    </row>
    <row r="34" spans="1:7" ht="23.25" customHeight="1" x14ac:dyDescent="0.25">
      <c r="A34" s="325" t="s">
        <v>103</v>
      </c>
      <c r="B34" s="326"/>
      <c r="C34" s="326"/>
      <c r="D34" s="326"/>
      <c r="E34" s="327"/>
      <c r="F34" s="108">
        <f>F11+F17+F26+F32</f>
        <v>309991.73780400783</v>
      </c>
      <c r="G34" s="108">
        <f>F34/DADOS_INICIAIS!E9</f>
        <v>85.331822407084346</v>
      </c>
    </row>
  </sheetData>
  <mergeCells count="10">
    <mergeCell ref="A34:E34"/>
    <mergeCell ref="A26:E26"/>
    <mergeCell ref="A2:G2"/>
    <mergeCell ref="A11:E11"/>
    <mergeCell ref="A12:E12"/>
    <mergeCell ref="B21:C21"/>
    <mergeCell ref="B30:C30"/>
    <mergeCell ref="A32:E32"/>
    <mergeCell ref="A17:E17"/>
    <mergeCell ref="A18:E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L38"/>
  <sheetViews>
    <sheetView showGridLines="0" topLeftCell="A19" zoomScale="80" zoomScaleNormal="80" zoomScaleSheetLayoutView="95" workbookViewId="0">
      <selection activeCell="G28" sqref="G28:G32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27.5703125" style="94" customWidth="1"/>
    <col min="9" max="9" width="15.28515625" style="55" bestFit="1" customWidth="1"/>
    <col min="10" max="10" width="13.140625" style="55" customWidth="1"/>
    <col min="11" max="11" width="12.140625" style="55" bestFit="1" customWidth="1"/>
    <col min="12" max="12" width="13.140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95"/>
      <c r="I1" s="80"/>
      <c r="J1" s="79"/>
    </row>
    <row r="3" spans="1:12" ht="28.5" x14ac:dyDescent="0.25">
      <c r="A3" s="329" t="s">
        <v>122</v>
      </c>
      <c r="B3" s="340"/>
      <c r="C3" s="340"/>
      <c r="D3" s="330"/>
      <c r="E3" s="330"/>
      <c r="F3" s="330"/>
      <c r="G3" s="330"/>
      <c r="H3" s="331"/>
      <c r="J3" s="79"/>
    </row>
    <row r="4" spans="1:12" ht="19.5" x14ac:dyDescent="0.25">
      <c r="A4" s="186" t="s">
        <v>185</v>
      </c>
      <c r="B4" s="192">
        <v>45472</v>
      </c>
      <c r="C4" s="190"/>
      <c r="D4" s="190"/>
      <c r="E4" s="190"/>
      <c r="F4" s="190"/>
      <c r="G4" s="190"/>
      <c r="H4" s="191"/>
      <c r="J4" s="79"/>
    </row>
    <row r="5" spans="1:12" ht="19.5" x14ac:dyDescent="0.25">
      <c r="A5" s="186" t="s">
        <v>291</v>
      </c>
      <c r="B5" s="193" t="s">
        <v>209</v>
      </c>
      <c r="C5" s="188"/>
      <c r="D5" s="188"/>
      <c r="E5" s="188"/>
      <c r="F5" s="188"/>
      <c r="G5" s="188"/>
      <c r="H5" s="189"/>
      <c r="J5" s="79"/>
    </row>
    <row r="6" spans="1:12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2" ht="21.75" x14ac:dyDescent="0.25">
      <c r="A7" s="52" t="s">
        <v>106</v>
      </c>
      <c r="B7" s="52"/>
      <c r="C7" s="52"/>
      <c r="D7" s="53"/>
      <c r="E7" s="53"/>
      <c r="F7" s="98"/>
      <c r="G7" s="98"/>
      <c r="H7" s="98"/>
    </row>
    <row r="8" spans="1:12" ht="21.75" x14ac:dyDescent="0.25">
      <c r="A8" s="56"/>
      <c r="B8" s="56"/>
      <c r="C8" s="56"/>
      <c r="D8" s="57"/>
      <c r="E8" s="57"/>
      <c r="F8" s="99"/>
      <c r="G8" s="100"/>
      <c r="H8" s="100"/>
    </row>
    <row r="9" spans="1:12" ht="21.75" x14ac:dyDescent="0.25">
      <c r="A9" s="63" t="s">
        <v>14</v>
      </c>
      <c r="B9" s="333" t="s">
        <v>5</v>
      </c>
      <c r="C9" s="334"/>
      <c r="D9" s="333" t="s">
        <v>18</v>
      </c>
      <c r="E9" s="334"/>
      <c r="F9" s="101" t="s">
        <v>118</v>
      </c>
      <c r="G9" s="90" t="s">
        <v>16</v>
      </c>
      <c r="H9" s="90" t="s">
        <v>294</v>
      </c>
      <c r="I9" s="279" t="s">
        <v>453</v>
      </c>
      <c r="J9" s="279" t="s">
        <v>458</v>
      </c>
      <c r="K9" s="112" t="s">
        <v>454</v>
      </c>
      <c r="L9" s="112" t="s">
        <v>459</v>
      </c>
    </row>
    <row r="10" spans="1:12" ht="43.5" x14ac:dyDescent="0.25">
      <c r="A10" s="66" t="s">
        <v>107</v>
      </c>
      <c r="B10" s="62">
        <v>0.12</v>
      </c>
      <c r="C10" s="62" t="s">
        <v>108</v>
      </c>
      <c r="D10" s="67">
        <f>ROUNDUP(B10*DADOS_INICIAIS!$E$25,0)</f>
        <v>81</v>
      </c>
      <c r="E10" s="67" t="s">
        <v>3</v>
      </c>
      <c r="F10" s="92"/>
      <c r="G10" s="93"/>
      <c r="H10" s="67" t="s">
        <v>337</v>
      </c>
      <c r="I10" s="81"/>
      <c r="J10" s="81">
        <f t="shared" ref="J10:J13" si="0">I10*$D10</f>
        <v>0</v>
      </c>
      <c r="K10" s="81"/>
      <c r="L10" s="81">
        <f t="shared" ref="L10:L22" si="1">K10*$D10</f>
        <v>0</v>
      </c>
    </row>
    <row r="11" spans="1:12" ht="21.75" x14ac:dyDescent="0.25">
      <c r="A11" s="338" t="s">
        <v>162</v>
      </c>
      <c r="B11" s="76">
        <v>0.4</v>
      </c>
      <c r="C11" s="62"/>
      <c r="D11" s="67">
        <f>ROUNDUP(B11*$D$10,0)</f>
        <v>33</v>
      </c>
      <c r="E11" s="67" t="s">
        <v>3</v>
      </c>
      <c r="F11" s="92"/>
      <c r="G11" s="93"/>
      <c r="H11" s="67"/>
      <c r="I11" s="81"/>
      <c r="J11" s="81">
        <f t="shared" si="0"/>
        <v>0</v>
      </c>
      <c r="K11" s="81"/>
      <c r="L11" s="81">
        <f t="shared" si="1"/>
        <v>0</v>
      </c>
    </row>
    <row r="12" spans="1:12" ht="21.75" x14ac:dyDescent="0.25">
      <c r="A12" s="339"/>
      <c r="B12" s="77">
        <v>15</v>
      </c>
      <c r="C12" s="62" t="s">
        <v>163</v>
      </c>
      <c r="D12" s="67">
        <f>B12*D11</f>
        <v>495</v>
      </c>
      <c r="E12" s="67" t="s">
        <v>4</v>
      </c>
      <c r="F12" s="88">
        <v>70</v>
      </c>
      <c r="G12" s="89">
        <f>F12*D12*1.1</f>
        <v>38115</v>
      </c>
      <c r="H12" s="67"/>
      <c r="I12" s="81"/>
      <c r="J12" s="81">
        <f t="shared" si="0"/>
        <v>0</v>
      </c>
      <c r="K12" s="81"/>
      <c r="L12" s="81">
        <f t="shared" si="1"/>
        <v>0</v>
      </c>
    </row>
    <row r="13" spans="1:12" ht="21.75" x14ac:dyDescent="0.25">
      <c r="A13" s="338" t="s">
        <v>161</v>
      </c>
      <c r="B13" s="76">
        <v>0.6</v>
      </c>
      <c r="C13" s="62"/>
      <c r="D13" s="67">
        <f>ROUNDUP(B13*D10,0)</f>
        <v>49</v>
      </c>
      <c r="E13" s="67" t="s">
        <v>3</v>
      </c>
      <c r="F13" s="92"/>
      <c r="G13" s="93"/>
      <c r="H13" s="67"/>
      <c r="I13" s="81"/>
      <c r="J13" s="81">
        <f t="shared" si="0"/>
        <v>0</v>
      </c>
      <c r="K13" s="81"/>
      <c r="L13" s="81">
        <f t="shared" si="1"/>
        <v>0</v>
      </c>
    </row>
    <row r="14" spans="1:12" ht="21.75" x14ac:dyDescent="0.25">
      <c r="A14" s="339"/>
      <c r="B14" s="77">
        <v>15</v>
      </c>
      <c r="C14" s="62" t="s">
        <v>163</v>
      </c>
      <c r="D14" s="67">
        <f>B14*D13</f>
        <v>735</v>
      </c>
      <c r="E14" s="67" t="s">
        <v>4</v>
      </c>
      <c r="F14" s="88">
        <v>90</v>
      </c>
      <c r="G14" s="89">
        <f>F14*D14*1.1</f>
        <v>72765</v>
      </c>
      <c r="H14" s="67"/>
      <c r="I14" s="81">
        <f>F14*1.1</f>
        <v>99.000000000000014</v>
      </c>
      <c r="J14" s="81">
        <f>I14*$D14</f>
        <v>72765.000000000015</v>
      </c>
      <c r="K14" s="81"/>
      <c r="L14" s="81">
        <f t="shared" si="1"/>
        <v>0</v>
      </c>
    </row>
    <row r="15" spans="1:12" ht="21.75" x14ac:dyDescent="0.25">
      <c r="A15" s="338" t="s">
        <v>114</v>
      </c>
      <c r="B15" s="76">
        <v>0</v>
      </c>
      <c r="C15" s="62" t="s">
        <v>108</v>
      </c>
      <c r="D15" s="67">
        <f>ROUNDUP(B15*$D$10,0)</f>
        <v>0</v>
      </c>
      <c r="E15" s="67" t="s">
        <v>3</v>
      </c>
      <c r="F15" s="92"/>
      <c r="G15" s="93"/>
      <c r="H15" s="67"/>
      <c r="I15" s="81"/>
      <c r="J15" s="81">
        <f t="shared" ref="J15:J22" si="2">I15*$D15</f>
        <v>0</v>
      </c>
      <c r="K15" s="81"/>
      <c r="L15" s="81">
        <f t="shared" si="1"/>
        <v>0</v>
      </c>
    </row>
    <row r="16" spans="1:12" ht="21.75" x14ac:dyDescent="0.25">
      <c r="A16" s="339"/>
      <c r="B16" s="77">
        <v>15</v>
      </c>
      <c r="C16" s="62" t="s">
        <v>163</v>
      </c>
      <c r="D16" s="67">
        <f>B16*D15</f>
        <v>0</v>
      </c>
      <c r="E16" s="67" t="s">
        <v>4</v>
      </c>
      <c r="F16" s="88">
        <v>105</v>
      </c>
      <c r="G16" s="89">
        <f>F16*D16*1.1</f>
        <v>0</v>
      </c>
      <c r="H16" s="67"/>
      <c r="I16" s="81">
        <f>F16*1.1</f>
        <v>115.50000000000001</v>
      </c>
      <c r="J16" s="81">
        <f t="shared" si="2"/>
        <v>0</v>
      </c>
      <c r="K16" s="81"/>
      <c r="L16" s="81">
        <f t="shared" si="1"/>
        <v>0</v>
      </c>
    </row>
    <row r="17" spans="1:12" ht="21.75" x14ac:dyDescent="0.25">
      <c r="A17" s="338" t="s">
        <v>326</v>
      </c>
      <c r="B17" s="76">
        <v>0</v>
      </c>
      <c r="C17" s="62" t="s">
        <v>108</v>
      </c>
      <c r="D17" s="67">
        <f>ROUNDUP(B17*$D$10,0)</f>
        <v>0</v>
      </c>
      <c r="E17" s="67" t="s">
        <v>3</v>
      </c>
      <c r="F17" s="92"/>
      <c r="G17" s="93"/>
      <c r="H17" s="67"/>
      <c r="I17" s="81"/>
      <c r="J17" s="81">
        <f t="shared" si="2"/>
        <v>0</v>
      </c>
      <c r="K17" s="81"/>
      <c r="L17" s="81">
        <f t="shared" si="1"/>
        <v>0</v>
      </c>
    </row>
    <row r="18" spans="1:12" ht="21.75" x14ac:dyDescent="0.25">
      <c r="A18" s="339"/>
      <c r="B18" s="77">
        <v>15</v>
      </c>
      <c r="C18" s="62" t="s">
        <v>163</v>
      </c>
      <c r="D18" s="67">
        <f>B18*D17</f>
        <v>0</v>
      </c>
      <c r="E18" s="67" t="s">
        <v>4</v>
      </c>
      <c r="F18" s="88">
        <v>120</v>
      </c>
      <c r="G18" s="89">
        <f>F18*D18*1.1</f>
        <v>0</v>
      </c>
      <c r="H18" s="67"/>
      <c r="I18" s="81"/>
      <c r="J18" s="81">
        <f t="shared" si="2"/>
        <v>0</v>
      </c>
      <c r="K18" s="81"/>
      <c r="L18" s="81">
        <f t="shared" si="1"/>
        <v>0</v>
      </c>
    </row>
    <row r="19" spans="1:12" ht="21.75" x14ac:dyDescent="0.25">
      <c r="A19" s="66" t="s">
        <v>296</v>
      </c>
      <c r="B19" s="62">
        <v>1.3</v>
      </c>
      <c r="C19" s="62" t="s">
        <v>309</v>
      </c>
      <c r="D19" s="67">
        <f>(PI()*((0.4^2)/4)*D12+PI()*((0.5^2)/4)*D14+PI()*((0.6^2)/4)*D16)</f>
        <v>206.52044706535904</v>
      </c>
      <c r="E19" s="67" t="s">
        <v>22</v>
      </c>
      <c r="F19" s="88">
        <f>(535+45+(1.67*0.6))*B19</f>
        <v>755.30259999999998</v>
      </c>
      <c r="G19" s="89">
        <f>F19*D19*1.1</f>
        <v>171583.97368379086</v>
      </c>
      <c r="H19" s="67"/>
      <c r="I19" s="81">
        <f t="shared" ref="I19:I21" si="3">F19*1.1</f>
        <v>830.8328600000001</v>
      </c>
      <c r="J19" s="81">
        <f t="shared" si="2"/>
        <v>171583.97368379089</v>
      </c>
      <c r="K19" s="81"/>
      <c r="L19" s="81">
        <f t="shared" si="1"/>
        <v>0</v>
      </c>
    </row>
    <row r="20" spans="1:12" ht="21.75" x14ac:dyDescent="0.25">
      <c r="A20" s="66" t="s">
        <v>327</v>
      </c>
      <c r="B20" s="62">
        <v>12</v>
      </c>
      <c r="C20" s="62" t="s">
        <v>34</v>
      </c>
      <c r="D20" s="67">
        <f>B20*D19</f>
        <v>2478.2453647843085</v>
      </c>
      <c r="E20" s="67" t="s">
        <v>26</v>
      </c>
      <c r="F20" s="88">
        <v>7.62</v>
      </c>
      <c r="G20" s="89">
        <f>F20*D20*1.1</f>
        <v>20772.652647622075</v>
      </c>
      <c r="H20" s="67"/>
      <c r="I20" s="81">
        <f t="shared" si="3"/>
        <v>8.3820000000000014</v>
      </c>
      <c r="J20" s="81">
        <f t="shared" si="2"/>
        <v>20772.652647622079</v>
      </c>
      <c r="K20" s="81"/>
      <c r="L20" s="81">
        <f t="shared" si="1"/>
        <v>0</v>
      </c>
    </row>
    <row r="21" spans="1:12" ht="21.75" x14ac:dyDescent="0.25">
      <c r="A21" s="66" t="s">
        <v>109</v>
      </c>
      <c r="B21" s="62">
        <v>1</v>
      </c>
      <c r="C21" s="62" t="s">
        <v>27</v>
      </c>
      <c r="D21" s="67">
        <v>1</v>
      </c>
      <c r="E21" s="67" t="s">
        <v>27</v>
      </c>
      <c r="F21" s="88">
        <v>8500</v>
      </c>
      <c r="G21" s="89">
        <f>F21*D21*1.1</f>
        <v>9350</v>
      </c>
      <c r="H21" s="67"/>
      <c r="I21" s="81">
        <f t="shared" si="3"/>
        <v>9350</v>
      </c>
      <c r="J21" s="81">
        <f t="shared" si="2"/>
        <v>9350</v>
      </c>
      <c r="K21" s="81"/>
      <c r="L21" s="81">
        <f t="shared" si="1"/>
        <v>0</v>
      </c>
    </row>
    <row r="22" spans="1:12" ht="21.75" x14ac:dyDescent="0.25">
      <c r="A22" s="66" t="s">
        <v>297</v>
      </c>
      <c r="B22" s="62"/>
      <c r="C22" s="62"/>
      <c r="D22" s="67">
        <f>D10</f>
        <v>81</v>
      </c>
      <c r="E22" s="67" t="s">
        <v>3</v>
      </c>
      <c r="F22" s="88">
        <v>300</v>
      </c>
      <c r="G22" s="89">
        <f>F22*D22*1</f>
        <v>24300</v>
      </c>
      <c r="H22" s="67"/>
      <c r="I22" s="81"/>
      <c r="J22" s="81">
        <f t="shared" si="2"/>
        <v>0</v>
      </c>
      <c r="K22" s="81">
        <f>F22</f>
        <v>300</v>
      </c>
      <c r="L22" s="81">
        <f t="shared" si="1"/>
        <v>24300</v>
      </c>
    </row>
    <row r="23" spans="1:12" ht="21.75" x14ac:dyDescent="0.25">
      <c r="A23" s="328" t="s">
        <v>17</v>
      </c>
      <c r="B23" s="328"/>
      <c r="C23" s="328"/>
      <c r="D23" s="328"/>
      <c r="E23" s="328"/>
      <c r="F23" s="328"/>
      <c r="G23" s="90">
        <f>SUM(G10:G22)</f>
        <v>336886.62633141293</v>
      </c>
      <c r="H23" s="90"/>
      <c r="I23" s="81"/>
      <c r="J23" s="81">
        <f>SUM(J10:J22)</f>
        <v>274471.62633141299</v>
      </c>
      <c r="K23" s="81"/>
      <c r="L23" s="81">
        <f>SUM(L10:L22)</f>
        <v>24300</v>
      </c>
    </row>
    <row r="25" spans="1:12" ht="21.75" x14ac:dyDescent="0.25">
      <c r="A25" s="52" t="s">
        <v>110</v>
      </c>
      <c r="B25" s="52"/>
      <c r="C25" s="52"/>
      <c r="D25" s="53"/>
      <c r="E25" s="53"/>
      <c r="F25" s="98"/>
      <c r="G25" s="98"/>
      <c r="H25" s="98"/>
    </row>
    <row r="26" spans="1:12" ht="21.75" x14ac:dyDescent="0.25">
      <c r="A26" s="56"/>
      <c r="B26" s="56"/>
      <c r="C26" s="56"/>
      <c r="D26" s="57"/>
      <c r="E26" s="57"/>
      <c r="F26" s="99"/>
      <c r="G26" s="100"/>
      <c r="H26" s="100"/>
    </row>
    <row r="27" spans="1:12" ht="21.75" x14ac:dyDescent="0.25">
      <c r="A27" s="63" t="s">
        <v>14</v>
      </c>
      <c r="B27" s="333" t="s">
        <v>5</v>
      </c>
      <c r="C27" s="334"/>
      <c r="D27" s="333" t="s">
        <v>18</v>
      </c>
      <c r="E27" s="334"/>
      <c r="F27" s="101" t="s">
        <v>118</v>
      </c>
      <c r="G27" s="90" t="s">
        <v>16</v>
      </c>
      <c r="H27" s="90" t="s">
        <v>294</v>
      </c>
      <c r="I27" s="279" t="s">
        <v>453</v>
      </c>
      <c r="J27" s="279" t="s">
        <v>458</v>
      </c>
      <c r="K27" s="112" t="s">
        <v>454</v>
      </c>
      <c r="L27" s="112" t="s">
        <v>459</v>
      </c>
    </row>
    <row r="28" spans="1:12" ht="43.5" x14ac:dyDescent="0.25">
      <c r="A28" s="66" t="s">
        <v>111</v>
      </c>
      <c r="B28" s="62">
        <v>0.55000000000000004</v>
      </c>
      <c r="C28" s="62" t="s">
        <v>113</v>
      </c>
      <c r="D28" s="67">
        <f>B28*DADOS_INICIAIS!E25</f>
        <v>370.78250000000003</v>
      </c>
      <c r="E28" s="67" t="s">
        <v>2</v>
      </c>
      <c r="F28" s="88">
        <v>68</v>
      </c>
      <c r="G28" s="89">
        <f>F28*D28*1.1</f>
        <v>27734.531000000006</v>
      </c>
      <c r="H28" s="67"/>
      <c r="I28" s="81">
        <f t="shared" ref="I28" si="4">F28*1.1</f>
        <v>74.800000000000011</v>
      </c>
      <c r="J28" s="81">
        <f t="shared" ref="J28:J31" si="5">I28*$D28</f>
        <v>27734.531000000006</v>
      </c>
    </row>
    <row r="29" spans="1:12" ht="21.75" x14ac:dyDescent="0.25">
      <c r="A29" s="66" t="s">
        <v>296</v>
      </c>
      <c r="B29" s="62">
        <v>0.2</v>
      </c>
      <c r="C29" s="62" t="s">
        <v>112</v>
      </c>
      <c r="D29" s="67">
        <f>B29*DADOS_INICIAIS!E25</f>
        <v>134.83000000000001</v>
      </c>
      <c r="E29" s="67" t="s">
        <v>22</v>
      </c>
      <c r="F29" s="88">
        <f>(535+45+(1.67*0.6))*1.05</f>
        <v>610.0521</v>
      </c>
      <c r="G29" s="89">
        <f>F29*D29*1.1</f>
        <v>90478.657107300009</v>
      </c>
      <c r="H29" s="67"/>
      <c r="I29" s="81">
        <f t="shared" ref="I29:I31" si="6">F29*1.1</f>
        <v>671.05731000000003</v>
      </c>
      <c r="J29" s="81">
        <f t="shared" si="5"/>
        <v>90478.657107300009</v>
      </c>
    </row>
    <row r="30" spans="1:12" ht="21.75" x14ac:dyDescent="0.25">
      <c r="A30" s="66" t="s">
        <v>23</v>
      </c>
      <c r="B30" s="62">
        <v>60</v>
      </c>
      <c r="C30" s="62" t="s">
        <v>34</v>
      </c>
      <c r="D30" s="67">
        <f>B30*D29</f>
        <v>8089.8000000000011</v>
      </c>
      <c r="E30" s="67" t="s">
        <v>26</v>
      </c>
      <c r="F30" s="88">
        <v>7.62</v>
      </c>
      <c r="G30" s="89">
        <f>F30*D30*1.1</f>
        <v>67808.703600000023</v>
      </c>
      <c r="H30" s="67"/>
      <c r="I30" s="81">
        <f t="shared" si="6"/>
        <v>8.3820000000000014</v>
      </c>
      <c r="J30" s="81">
        <f t="shared" si="5"/>
        <v>67808.703600000023</v>
      </c>
    </row>
    <row r="31" spans="1:12" ht="21.75" x14ac:dyDescent="0.25">
      <c r="A31" s="66" t="s">
        <v>336</v>
      </c>
      <c r="B31" s="62">
        <v>1</v>
      </c>
      <c r="C31" s="62" t="s">
        <v>113</v>
      </c>
      <c r="D31" s="67">
        <f>B31*DADOS_INICIAIS!E25</f>
        <v>674.15</v>
      </c>
      <c r="E31" s="67" t="s">
        <v>2</v>
      </c>
      <c r="F31" s="88">
        <v>180</v>
      </c>
      <c r="G31" s="89">
        <f>F31*D31*1.1</f>
        <v>133481.70000000001</v>
      </c>
      <c r="H31" s="67"/>
      <c r="I31" s="81">
        <f t="shared" si="6"/>
        <v>198.00000000000003</v>
      </c>
      <c r="J31" s="81">
        <f t="shared" si="5"/>
        <v>133481.70000000001</v>
      </c>
    </row>
    <row r="32" spans="1:12" ht="21.75" x14ac:dyDescent="0.25">
      <c r="A32" s="66" t="s">
        <v>25</v>
      </c>
      <c r="B32" s="62">
        <f>SUPRAESTRUTURA!B28*1.5</f>
        <v>435</v>
      </c>
      <c r="C32" s="62" t="s">
        <v>102</v>
      </c>
      <c r="D32" s="67">
        <f>DADOS_INICIAIS!E25</f>
        <v>674.15</v>
      </c>
      <c r="E32" s="67" t="s">
        <v>2</v>
      </c>
      <c r="F32" s="88">
        <f>B32</f>
        <v>435</v>
      </c>
      <c r="G32" s="89">
        <f>F32*D32*1.1</f>
        <v>322580.77500000002</v>
      </c>
      <c r="H32" s="67"/>
      <c r="K32" s="81">
        <f>F32*1.1</f>
        <v>478.50000000000006</v>
      </c>
      <c r="L32" s="81">
        <f t="shared" ref="L32" si="7">K32*$D32</f>
        <v>322580.77500000002</v>
      </c>
    </row>
    <row r="33" spans="1:12" ht="21.75" x14ac:dyDescent="0.25">
      <c r="A33" s="328" t="s">
        <v>17</v>
      </c>
      <c r="B33" s="328"/>
      <c r="C33" s="328"/>
      <c r="D33" s="328"/>
      <c r="E33" s="328"/>
      <c r="F33" s="328"/>
      <c r="G33" s="90">
        <f>SUM(G28:G32)</f>
        <v>642084.36670730007</v>
      </c>
      <c r="H33" s="90"/>
      <c r="J33" s="278">
        <f>SUM(J28:J32)</f>
        <v>319503.59170730005</v>
      </c>
      <c r="L33" s="278">
        <f>SUM(L28:L32)</f>
        <v>322580.77500000002</v>
      </c>
    </row>
    <row r="35" spans="1:12" x14ac:dyDescent="0.25">
      <c r="D35" s="86"/>
      <c r="E35" s="87"/>
    </row>
    <row r="36" spans="1:12" ht="21.75" x14ac:dyDescent="0.25">
      <c r="A36" s="335" t="s">
        <v>104</v>
      </c>
      <c r="B36" s="336"/>
      <c r="C36" s="336"/>
      <c r="D36" s="336"/>
      <c r="E36" s="336"/>
      <c r="F36" s="337"/>
      <c r="G36" s="91">
        <f>G23+G33</f>
        <v>978970.993038713</v>
      </c>
      <c r="H36" s="91">
        <f>G36/DADOS_INICIAIS!E9</f>
        <v>269.48259818615855</v>
      </c>
    </row>
    <row r="38" spans="1:12" x14ac:dyDescent="0.25">
      <c r="H38" s="94">
        <f>H36/1.1</f>
        <v>244.98418016923503</v>
      </c>
    </row>
  </sheetData>
  <mergeCells count="12">
    <mergeCell ref="A33:F33"/>
    <mergeCell ref="A36:F36"/>
    <mergeCell ref="A3:H3"/>
    <mergeCell ref="A23:F23"/>
    <mergeCell ref="D9:E9"/>
    <mergeCell ref="B9:C9"/>
    <mergeCell ref="A11:A12"/>
    <mergeCell ref="A13:A14"/>
    <mergeCell ref="A15:A16"/>
    <mergeCell ref="B27:C27"/>
    <mergeCell ref="D27:E27"/>
    <mergeCell ref="A17:A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B24-4A14-470C-9528-250F4A4412CB}">
  <sheetPr>
    <tabColor rgb="FF92D050"/>
  </sheetPr>
  <dimension ref="A1:O50"/>
  <sheetViews>
    <sheetView showGridLines="0" topLeftCell="A5" zoomScale="80" zoomScaleNormal="80" zoomScaleSheetLayoutView="95" workbookViewId="0">
      <selection activeCell="G39" sqref="G39:G43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15.140625" style="94" customWidth="1"/>
    <col min="9" max="9" width="18.7109375" style="55" bestFit="1" customWidth="1"/>
    <col min="10" max="10" width="9.140625" style="55"/>
    <col min="11" max="11" width="13.140625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5" x14ac:dyDescent="0.25">
      <c r="D1" s="79"/>
      <c r="E1" s="55"/>
      <c r="H1" s="95"/>
      <c r="I1" s="80"/>
      <c r="J1" s="79"/>
    </row>
    <row r="2" spans="1:15" x14ac:dyDescent="0.25">
      <c r="J2" s="55" t="s">
        <v>435</v>
      </c>
      <c r="K2" s="55" t="s">
        <v>434</v>
      </c>
      <c r="L2" s="55" t="s">
        <v>437</v>
      </c>
      <c r="M2" s="55" t="s">
        <v>438</v>
      </c>
      <c r="N2" s="55" t="s">
        <v>639</v>
      </c>
      <c r="O2" s="55" t="s">
        <v>24</v>
      </c>
    </row>
    <row r="3" spans="1:15" ht="28.5" x14ac:dyDescent="0.25">
      <c r="A3" s="329" t="s">
        <v>166</v>
      </c>
      <c r="B3" s="340"/>
      <c r="C3" s="340"/>
      <c r="D3" s="330"/>
      <c r="E3" s="330"/>
      <c r="F3" s="330"/>
      <c r="G3" s="330"/>
      <c r="H3" s="331"/>
      <c r="I3" s="276" t="s">
        <v>436</v>
      </c>
      <c r="J3" s="55">
        <f>'Obra '!F21</f>
        <v>115.34</v>
      </c>
      <c r="K3" s="55">
        <f>'Obra '!G21*2</f>
        <v>6.48</v>
      </c>
      <c r="L3" s="55">
        <v>0.2</v>
      </c>
      <c r="M3" s="55">
        <v>1</v>
      </c>
      <c r="O3" s="55">
        <f>J3*K3*L3*M3</f>
        <v>149.48064000000002</v>
      </c>
    </row>
    <row r="4" spans="1:15" ht="19.5" x14ac:dyDescent="0.25">
      <c r="A4" s="186" t="s">
        <v>185</v>
      </c>
      <c r="B4" s="192"/>
      <c r="C4" s="190"/>
      <c r="D4" s="190"/>
      <c r="E4" s="190"/>
      <c r="F4" s="190"/>
      <c r="G4" s="190"/>
      <c r="H4" s="191"/>
      <c r="I4" s="276" t="s">
        <v>637</v>
      </c>
      <c r="J4" s="55">
        <f>J3</f>
        <v>115.34</v>
      </c>
      <c r="K4" s="55">
        <v>0.4</v>
      </c>
      <c r="L4" s="55">
        <v>0.4</v>
      </c>
      <c r="M4" s="55">
        <v>1</v>
      </c>
      <c r="N4" s="55">
        <f>J4*K4*2*M4</f>
        <v>92.272000000000006</v>
      </c>
      <c r="O4" s="55">
        <f t="shared" ref="O4:O5" si="0">J4*K4*L4*M4</f>
        <v>18.454400000000003</v>
      </c>
    </row>
    <row r="5" spans="1:15" ht="19.5" x14ac:dyDescent="0.25">
      <c r="A5" s="186" t="s">
        <v>291</v>
      </c>
      <c r="B5" s="187"/>
      <c r="C5" s="188"/>
      <c r="D5" s="188"/>
      <c r="E5" s="188"/>
      <c r="F5" s="188"/>
      <c r="G5" s="188"/>
      <c r="H5" s="189"/>
      <c r="I5" s="276" t="s">
        <v>638</v>
      </c>
      <c r="J5" s="55">
        <f>J4</f>
        <v>115.34</v>
      </c>
      <c r="K5" s="55">
        <v>1</v>
      </c>
      <c r="L5" s="55">
        <v>0.1</v>
      </c>
      <c r="M5" s="55">
        <v>2</v>
      </c>
      <c r="N5" s="55">
        <f>J5*K5*2*M5</f>
        <v>461.36</v>
      </c>
      <c r="O5" s="55">
        <f t="shared" si="0"/>
        <v>23.068000000000001</v>
      </c>
    </row>
    <row r="6" spans="1:15" ht="21.75" x14ac:dyDescent="0.25">
      <c r="A6" s="83"/>
      <c r="B6" s="83"/>
      <c r="C6" s="83"/>
      <c r="D6" s="83"/>
      <c r="E6" s="83"/>
      <c r="F6" s="96"/>
      <c r="G6" s="97"/>
      <c r="H6" s="97"/>
      <c r="J6" s="79">
        <f>J3*K3</f>
        <v>747.40320000000008</v>
      </c>
      <c r="N6" s="55">
        <f>SUM(N3:N5)</f>
        <v>553.63200000000006</v>
      </c>
      <c r="O6" s="55">
        <f>SUM(O3:O5)</f>
        <v>191.00304000000003</v>
      </c>
    </row>
    <row r="7" spans="1:15" ht="21.75" hidden="1" x14ac:dyDescent="0.25">
      <c r="A7" s="52" t="s">
        <v>167</v>
      </c>
      <c r="B7" s="52"/>
      <c r="C7" s="52"/>
      <c r="D7" s="53"/>
      <c r="E7" s="53"/>
      <c r="F7" s="98"/>
      <c r="G7" s="98"/>
      <c r="H7" s="98"/>
    </row>
    <row r="8" spans="1:15" ht="21.75" hidden="1" x14ac:dyDescent="0.25">
      <c r="A8" s="56"/>
      <c r="B8" s="56"/>
      <c r="C8" s="56"/>
      <c r="D8" s="57"/>
      <c r="E8" s="57"/>
      <c r="F8" s="99"/>
      <c r="G8" s="100"/>
      <c r="H8" s="100"/>
    </row>
    <row r="9" spans="1:15" ht="42" hidden="1" customHeight="1" x14ac:dyDescent="0.25">
      <c r="A9" s="63" t="s">
        <v>14</v>
      </c>
      <c r="B9" s="333" t="s">
        <v>5</v>
      </c>
      <c r="C9" s="334"/>
      <c r="D9" s="333" t="s">
        <v>18</v>
      </c>
      <c r="E9" s="334"/>
      <c r="F9" s="101" t="s">
        <v>118</v>
      </c>
      <c r="G9" s="90" t="s">
        <v>16</v>
      </c>
      <c r="H9" s="100"/>
    </row>
    <row r="10" spans="1:15" ht="21.75" hidden="1" x14ac:dyDescent="0.25">
      <c r="A10" s="66" t="s">
        <v>107</v>
      </c>
      <c r="B10" s="62">
        <v>0.15</v>
      </c>
      <c r="C10" s="62" t="s">
        <v>108</v>
      </c>
      <c r="D10" s="67">
        <f>B10*DADOS_INICIAIS!E25</f>
        <v>101.12249999999999</v>
      </c>
      <c r="E10" s="67" t="s">
        <v>3</v>
      </c>
      <c r="F10" s="92"/>
      <c r="G10" s="93"/>
      <c r="H10" s="102"/>
    </row>
    <row r="11" spans="1:15" ht="21.75" hidden="1" x14ac:dyDescent="0.25">
      <c r="A11" s="338" t="s">
        <v>162</v>
      </c>
      <c r="B11" s="76">
        <v>0.1</v>
      </c>
      <c r="C11" s="62"/>
      <c r="D11" s="67">
        <f>B11*$D$10</f>
        <v>10.11225</v>
      </c>
      <c r="E11" s="67" t="s">
        <v>3</v>
      </c>
      <c r="F11" s="92"/>
      <c r="G11" s="93"/>
      <c r="H11" s="102"/>
    </row>
    <row r="12" spans="1:15" ht="21.75" hidden="1" x14ac:dyDescent="0.25">
      <c r="A12" s="339"/>
      <c r="B12" s="77">
        <v>20</v>
      </c>
      <c r="C12" s="62" t="s">
        <v>163</v>
      </c>
      <c r="D12" s="67">
        <f>B12*D11</f>
        <v>202.245</v>
      </c>
      <c r="E12" s="67" t="s">
        <v>4</v>
      </c>
      <c r="F12" s="88"/>
      <c r="G12" s="89">
        <f>F12*D12</f>
        <v>0</v>
      </c>
      <c r="H12" s="102"/>
    </row>
    <row r="13" spans="1:15" ht="21.75" hidden="1" x14ac:dyDescent="0.25">
      <c r="A13" s="338" t="s">
        <v>161</v>
      </c>
      <c r="B13" s="76">
        <v>0.5</v>
      </c>
      <c r="C13" s="62"/>
      <c r="D13" s="67">
        <f>B13*$D$10</f>
        <v>50.561249999999994</v>
      </c>
      <c r="E13" s="67" t="s">
        <v>3</v>
      </c>
      <c r="F13" s="92"/>
      <c r="G13" s="93"/>
      <c r="H13" s="102"/>
    </row>
    <row r="14" spans="1:15" ht="21.75" hidden="1" x14ac:dyDescent="0.25">
      <c r="A14" s="339"/>
      <c r="B14" s="77">
        <v>20</v>
      </c>
      <c r="C14" s="62" t="s">
        <v>163</v>
      </c>
      <c r="D14" s="67">
        <f>B14*D13</f>
        <v>1011.2249999999999</v>
      </c>
      <c r="E14" s="67" t="s">
        <v>4</v>
      </c>
      <c r="F14" s="88"/>
      <c r="G14" s="89">
        <f>F14*D14</f>
        <v>0</v>
      </c>
      <c r="H14" s="102"/>
    </row>
    <row r="15" spans="1:15" ht="21.75" hidden="1" x14ac:dyDescent="0.25">
      <c r="A15" s="338" t="s">
        <v>114</v>
      </c>
      <c r="B15" s="76">
        <v>0.4</v>
      </c>
      <c r="C15" s="62" t="s">
        <v>108</v>
      </c>
      <c r="D15" s="67">
        <f>B15*$D$10</f>
        <v>40.448999999999998</v>
      </c>
      <c r="E15" s="67" t="s">
        <v>3</v>
      </c>
      <c r="F15" s="92"/>
      <c r="G15" s="93"/>
      <c r="H15" s="102"/>
    </row>
    <row r="16" spans="1:15" ht="21.75" hidden="1" x14ac:dyDescent="0.25">
      <c r="A16" s="339"/>
      <c r="B16" s="77">
        <v>20</v>
      </c>
      <c r="C16" s="62" t="s">
        <v>163</v>
      </c>
      <c r="D16" s="67">
        <f>B16*D15</f>
        <v>808.98</v>
      </c>
      <c r="E16" s="67" t="s">
        <v>4</v>
      </c>
      <c r="F16" s="88"/>
      <c r="G16" s="89">
        <f>F16*D16</f>
        <v>0</v>
      </c>
      <c r="H16" s="102"/>
    </row>
    <row r="17" spans="1:8" ht="21.75" hidden="1" x14ac:dyDescent="0.25">
      <c r="A17" s="66" t="s">
        <v>24</v>
      </c>
      <c r="B17" s="62">
        <f>(PI()*0.4^2)/4*D14+(PI()*0.5^2)/4*D16+(PI()*0.6^2)/4*D12</f>
        <v>343.10055936164457</v>
      </c>
      <c r="C17" s="62" t="s">
        <v>108</v>
      </c>
      <c r="D17" s="67">
        <f>(PI()*0.4^2)/4*D14+(PI()*0.5^2)/4*D16+(PI()*0.6^2)/4*D12</f>
        <v>343.10055936164457</v>
      </c>
      <c r="E17" s="67" t="s">
        <v>22</v>
      </c>
      <c r="F17" s="88"/>
      <c r="G17" s="89">
        <f>F17*D17</f>
        <v>0</v>
      </c>
      <c r="H17" s="102"/>
    </row>
    <row r="18" spans="1:8" ht="21.75" hidden="1" x14ac:dyDescent="0.25">
      <c r="A18" s="66" t="s">
        <v>115</v>
      </c>
      <c r="B18" s="62">
        <v>1.6575131198547477</v>
      </c>
      <c r="C18" s="62" t="s">
        <v>34</v>
      </c>
      <c r="D18" s="67">
        <f>B18*D17</f>
        <v>568.69367857142856</v>
      </c>
      <c r="E18" s="67" t="s">
        <v>26</v>
      </c>
      <c r="F18" s="88"/>
      <c r="G18" s="89">
        <f>F18*D18</f>
        <v>0</v>
      </c>
      <c r="H18" s="102"/>
    </row>
    <row r="19" spans="1:8" ht="21.75" hidden="1" x14ac:dyDescent="0.25">
      <c r="A19" s="66" t="s">
        <v>125</v>
      </c>
      <c r="B19" s="62">
        <v>10.178337551067401</v>
      </c>
      <c r="C19" s="62" t="s">
        <v>34</v>
      </c>
      <c r="D19" s="67">
        <f>B19*D17</f>
        <v>3492.1933071428566</v>
      </c>
      <c r="E19" s="67" t="s">
        <v>26</v>
      </c>
      <c r="F19" s="88"/>
      <c r="G19" s="89">
        <f>F19*D19</f>
        <v>0</v>
      </c>
      <c r="H19" s="102"/>
    </row>
    <row r="20" spans="1:8" ht="21.75" hidden="1" x14ac:dyDescent="0.25">
      <c r="A20" s="66" t="s">
        <v>109</v>
      </c>
      <c r="B20" s="62">
        <v>1</v>
      </c>
      <c r="C20" s="62" t="s">
        <v>27</v>
      </c>
      <c r="D20" s="67">
        <v>1</v>
      </c>
      <c r="E20" s="67" t="s">
        <v>27</v>
      </c>
      <c r="F20" s="88"/>
      <c r="G20" s="89">
        <f>F20*D20</f>
        <v>0</v>
      </c>
      <c r="H20" s="102"/>
    </row>
    <row r="21" spans="1:8" ht="21.75" hidden="1" x14ac:dyDescent="0.25">
      <c r="A21" s="328" t="s">
        <v>17</v>
      </c>
      <c r="B21" s="328"/>
      <c r="C21" s="328"/>
      <c r="D21" s="328"/>
      <c r="E21" s="328"/>
      <c r="F21" s="328"/>
      <c r="G21" s="90">
        <f>SUM(G10:G20)</f>
        <v>0</v>
      </c>
      <c r="H21" s="103"/>
    </row>
    <row r="22" spans="1:8" hidden="1" x14ac:dyDescent="0.25"/>
    <row r="23" spans="1:8" ht="21.75" hidden="1" x14ac:dyDescent="0.25">
      <c r="A23" s="52" t="s">
        <v>292</v>
      </c>
      <c r="B23" s="52"/>
      <c r="C23" s="52"/>
      <c r="D23" s="53"/>
      <c r="E23" s="53"/>
      <c r="F23" s="98"/>
      <c r="G23" s="98"/>
      <c r="H23" s="98"/>
    </row>
    <row r="24" spans="1:8" ht="21.75" hidden="1" x14ac:dyDescent="0.25">
      <c r="A24" s="56"/>
      <c r="B24" s="56"/>
      <c r="C24" s="56"/>
      <c r="D24" s="57"/>
      <c r="E24" s="57"/>
      <c r="F24" s="99"/>
      <c r="G24" s="100"/>
      <c r="H24" s="100"/>
    </row>
    <row r="25" spans="1:8" ht="21.75" hidden="1" x14ac:dyDescent="0.25">
      <c r="A25" s="63" t="s">
        <v>14</v>
      </c>
      <c r="B25" s="333" t="s">
        <v>5</v>
      </c>
      <c r="C25" s="334"/>
      <c r="D25" s="333" t="s">
        <v>18</v>
      </c>
      <c r="E25" s="334"/>
      <c r="F25" s="101" t="s">
        <v>118</v>
      </c>
      <c r="G25" s="90" t="s">
        <v>16</v>
      </c>
      <c r="H25" s="100"/>
    </row>
    <row r="26" spans="1:8" ht="43.5" hidden="1" x14ac:dyDescent="0.25">
      <c r="A26" s="66" t="s">
        <v>111</v>
      </c>
      <c r="B26" s="62">
        <v>2.1</v>
      </c>
      <c r="C26" s="62" t="s">
        <v>113</v>
      </c>
      <c r="D26" s="67">
        <f>B26*DADOS_INICIAIS!E25</f>
        <v>1415.7149999999999</v>
      </c>
      <c r="E26" s="67" t="s">
        <v>2</v>
      </c>
      <c r="F26" s="88"/>
      <c r="G26" s="89">
        <f>F26*D26</f>
        <v>0</v>
      </c>
      <c r="H26" s="102"/>
    </row>
    <row r="27" spans="1:8" ht="21.75" hidden="1" x14ac:dyDescent="0.25">
      <c r="A27" s="66" t="s">
        <v>24</v>
      </c>
      <c r="B27" s="62">
        <v>0.65</v>
      </c>
      <c r="C27" s="62" t="s">
        <v>112</v>
      </c>
      <c r="D27" s="67">
        <f>B27*DADOS_INICIAIS!E25</f>
        <v>438.19749999999999</v>
      </c>
      <c r="E27" s="67" t="s">
        <v>22</v>
      </c>
      <c r="F27" s="88"/>
      <c r="G27" s="89">
        <f>F27*D27</f>
        <v>0</v>
      </c>
      <c r="H27" s="102"/>
    </row>
    <row r="28" spans="1:8" ht="21.75" hidden="1" x14ac:dyDescent="0.25">
      <c r="A28" s="66" t="s">
        <v>23</v>
      </c>
      <c r="B28" s="62">
        <v>110</v>
      </c>
      <c r="C28" s="62" t="s">
        <v>34</v>
      </c>
      <c r="D28" s="67">
        <f>B28*D27</f>
        <v>48201.724999999999</v>
      </c>
      <c r="E28" s="67" t="s">
        <v>26</v>
      </c>
      <c r="F28" s="88"/>
      <c r="G28" s="89">
        <f>F28*D28</f>
        <v>0</v>
      </c>
      <c r="H28" s="102"/>
    </row>
    <row r="29" spans="1:8" ht="21.75" hidden="1" x14ac:dyDescent="0.25">
      <c r="A29" s="66" t="s">
        <v>25</v>
      </c>
      <c r="B29" s="62">
        <f>SUPRAESTRUTURA!B15*1.5</f>
        <v>435</v>
      </c>
      <c r="C29" s="62" t="s">
        <v>102</v>
      </c>
      <c r="D29" s="67">
        <f>DADOS_INICIAIS!E25</f>
        <v>674.15</v>
      </c>
      <c r="E29" s="67" t="s">
        <v>2</v>
      </c>
      <c r="F29" s="88">
        <f>B29</f>
        <v>435</v>
      </c>
      <c r="G29" s="89">
        <f>F29*D29</f>
        <v>293255.25</v>
      </c>
      <c r="H29" s="102"/>
    </row>
    <row r="30" spans="1:8" ht="21.75" hidden="1" x14ac:dyDescent="0.25">
      <c r="A30" s="328" t="s">
        <v>17</v>
      </c>
      <c r="B30" s="328"/>
      <c r="C30" s="328"/>
      <c r="D30" s="328"/>
      <c r="E30" s="328"/>
      <c r="F30" s="328"/>
      <c r="G30" s="90">
        <f>SUM(G26:G29)</f>
        <v>293255.25</v>
      </c>
      <c r="H30" s="103"/>
    </row>
    <row r="33" spans="1:11" ht="21.75" x14ac:dyDescent="0.25">
      <c r="A33" s="52" t="s">
        <v>292</v>
      </c>
      <c r="B33" s="52"/>
      <c r="C33" s="52"/>
      <c r="D33" s="53"/>
      <c r="E33" s="53"/>
      <c r="F33" s="98"/>
      <c r="G33" s="98"/>
      <c r="H33" s="98"/>
    </row>
    <row r="34" spans="1:11" ht="21.75" x14ac:dyDescent="0.25">
      <c r="A34" s="56"/>
      <c r="B34" s="56"/>
      <c r="C34" s="56"/>
      <c r="D34" s="57"/>
      <c r="E34" s="57"/>
      <c r="F34" s="99"/>
      <c r="G34" s="100"/>
      <c r="H34" s="100"/>
    </row>
    <row r="35" spans="1:11" ht="21.75" x14ac:dyDescent="0.25">
      <c r="A35" s="63" t="s">
        <v>14</v>
      </c>
      <c r="B35" s="333" t="s">
        <v>5</v>
      </c>
      <c r="C35" s="334"/>
      <c r="D35" s="333" t="s">
        <v>18</v>
      </c>
      <c r="E35" s="334"/>
      <c r="F35" s="101" t="s">
        <v>118</v>
      </c>
      <c r="G35" s="90" t="s">
        <v>16</v>
      </c>
      <c r="H35" s="279" t="s">
        <v>453</v>
      </c>
      <c r="I35" s="279" t="s">
        <v>458</v>
      </c>
      <c r="J35" s="112" t="s">
        <v>454</v>
      </c>
      <c r="K35" s="112" t="s">
        <v>459</v>
      </c>
    </row>
    <row r="36" spans="1:11" ht="43.5" x14ac:dyDescent="0.25">
      <c r="A36" s="66" t="s">
        <v>111</v>
      </c>
      <c r="B36" s="62">
        <v>2.1</v>
      </c>
      <c r="C36" s="62" t="s">
        <v>113</v>
      </c>
      <c r="D36" s="67">
        <f>N6</f>
        <v>553.63200000000006</v>
      </c>
      <c r="E36" s="67" t="s">
        <v>2</v>
      </c>
      <c r="F36" s="88">
        <v>68</v>
      </c>
      <c r="G36" s="89">
        <f>F36*D36*1.1</f>
        <v>41411.673600000009</v>
      </c>
      <c r="H36" s="81">
        <f>F36*1.1</f>
        <v>74.800000000000011</v>
      </c>
      <c r="I36" s="81">
        <f>H36*$D36</f>
        <v>41411.673600000009</v>
      </c>
    </row>
    <row r="37" spans="1:11" ht="21.75" x14ac:dyDescent="0.25">
      <c r="A37" s="66" t="s">
        <v>640</v>
      </c>
      <c r="B37" s="62"/>
      <c r="C37" s="62" t="s">
        <v>112</v>
      </c>
      <c r="D37" s="67">
        <f>O4+O5</f>
        <v>41.522400000000005</v>
      </c>
      <c r="E37" s="67" t="s">
        <v>22</v>
      </c>
      <c r="F37" s="88">
        <f>(535+45+(1.67*0.6))*1.3</f>
        <v>755.30259999999998</v>
      </c>
      <c r="G37" s="89">
        <f t="shared" ref="G37" si="1">F37*D37*1.1</f>
        <v>34498.174346064006</v>
      </c>
      <c r="H37" s="81">
        <f>F37*1.1</f>
        <v>830.8328600000001</v>
      </c>
      <c r="I37" s="81">
        <f>H37*$D37</f>
        <v>34498.174346064006</v>
      </c>
    </row>
    <row r="38" spans="1:11" ht="21.75" x14ac:dyDescent="0.25">
      <c r="A38" s="66" t="s">
        <v>641</v>
      </c>
      <c r="B38" s="62"/>
      <c r="C38" s="62" t="s">
        <v>112</v>
      </c>
      <c r="D38" s="67">
        <f>O3</f>
        <v>149.48064000000002</v>
      </c>
      <c r="E38" s="67" t="s">
        <v>22</v>
      </c>
      <c r="F38" s="88">
        <f>(535+45+(1.67*0.6))*1.3</f>
        <v>755.30259999999998</v>
      </c>
      <c r="G38" s="89">
        <f t="shared" ref="G38:G43" si="2">F38*D38*1.1</f>
        <v>124193.42764583044</v>
      </c>
      <c r="H38" s="81">
        <f>F38*1.1</f>
        <v>830.8328600000001</v>
      </c>
      <c r="I38" s="81">
        <f>H38*$D38</f>
        <v>124193.42764583044</v>
      </c>
    </row>
    <row r="39" spans="1:11" ht="21.75" x14ac:dyDescent="0.25">
      <c r="A39" s="66" t="s">
        <v>23</v>
      </c>
      <c r="B39" s="62">
        <v>110</v>
      </c>
      <c r="C39" s="62" t="s">
        <v>34</v>
      </c>
      <c r="D39" s="67">
        <f>B39*(D38+D37)</f>
        <v>21010.334400000003</v>
      </c>
      <c r="E39" s="67" t="s">
        <v>26</v>
      </c>
      <c r="F39" s="88">
        <v>7.62</v>
      </c>
      <c r="G39" s="89">
        <f t="shared" si="2"/>
        <v>176108.62294080007</v>
      </c>
      <c r="H39" s="81">
        <f>F39*1.1</f>
        <v>8.3820000000000014</v>
      </c>
      <c r="I39" s="81">
        <f>H39*$D39</f>
        <v>176108.62294080007</v>
      </c>
    </row>
    <row r="40" spans="1:11" ht="21.75" x14ac:dyDescent="0.25">
      <c r="A40" s="66" t="s">
        <v>109</v>
      </c>
      <c r="B40" s="62">
        <f>SUPRAESTRUTURA!B67*1.5</f>
        <v>0</v>
      </c>
      <c r="C40" s="62" t="s">
        <v>102</v>
      </c>
      <c r="D40" s="67">
        <v>1</v>
      </c>
      <c r="E40" s="67" t="s">
        <v>27</v>
      </c>
      <c r="F40" s="88">
        <v>650</v>
      </c>
      <c r="G40" s="89">
        <f t="shared" si="2"/>
        <v>715.00000000000011</v>
      </c>
      <c r="H40" s="81">
        <f>F40*1.1</f>
        <v>715.00000000000011</v>
      </c>
      <c r="I40" s="81">
        <f t="shared" ref="I40:I43" si="3">H40*$D40</f>
        <v>715.00000000000011</v>
      </c>
      <c r="J40" s="81"/>
      <c r="K40" s="81">
        <f>J40*$D40</f>
        <v>0</v>
      </c>
    </row>
    <row r="41" spans="1:11" ht="21.75" x14ac:dyDescent="0.25">
      <c r="A41" s="66" t="s">
        <v>642</v>
      </c>
      <c r="B41" s="62">
        <f>SUPRAESTRUTURA!B68*1.5</f>
        <v>0</v>
      </c>
      <c r="C41" s="62" t="s">
        <v>102</v>
      </c>
      <c r="D41" s="67">
        <f>J6</f>
        <v>747.40320000000008</v>
      </c>
      <c r="E41" s="67" t="s">
        <v>22</v>
      </c>
      <c r="F41" s="88">
        <v>100</v>
      </c>
      <c r="G41" s="89">
        <f t="shared" ref="G41:G42" si="4">F41*D41*1.1</f>
        <v>82214.352000000014</v>
      </c>
      <c r="H41" s="81"/>
      <c r="I41" s="81">
        <f t="shared" si="3"/>
        <v>0</v>
      </c>
      <c r="J41" s="81">
        <f>F41*1.1</f>
        <v>110.00000000000001</v>
      </c>
      <c r="K41" s="81">
        <f>J41*$D41</f>
        <v>82214.352000000014</v>
      </c>
    </row>
    <row r="42" spans="1:11" ht="21.75" x14ac:dyDescent="0.25">
      <c r="A42" s="66" t="s">
        <v>643</v>
      </c>
      <c r="B42" s="62">
        <f>SUPRAESTRUTURA!B68*1.5</f>
        <v>0</v>
      </c>
      <c r="C42" s="62" t="s">
        <v>102</v>
      </c>
      <c r="D42" s="67">
        <f>J6</f>
        <v>747.40320000000008</v>
      </c>
      <c r="E42" s="67" t="s">
        <v>22</v>
      </c>
      <c r="F42" s="88">
        <v>228.13</v>
      </c>
      <c r="G42" s="89">
        <f t="shared" si="4"/>
        <v>187555.60121760002</v>
      </c>
      <c r="H42" s="81">
        <f>F42*1.1</f>
        <v>250.94300000000001</v>
      </c>
      <c r="I42" s="81">
        <f t="shared" si="3"/>
        <v>187555.60121760002</v>
      </c>
      <c r="J42" s="81"/>
      <c r="K42" s="81">
        <f>J42*$D42</f>
        <v>0</v>
      </c>
    </row>
    <row r="43" spans="1:11" ht="21.75" x14ac:dyDescent="0.25">
      <c r="A43" s="66" t="s">
        <v>644</v>
      </c>
      <c r="B43" s="62">
        <f>SUPRAESTRUTURA!B69*1.5</f>
        <v>0</v>
      </c>
      <c r="C43" s="62" t="s">
        <v>102</v>
      </c>
      <c r="D43" s="67">
        <f>J6</f>
        <v>747.40320000000008</v>
      </c>
      <c r="E43" s="67" t="s">
        <v>22</v>
      </c>
      <c r="F43" s="88">
        <v>55.27</v>
      </c>
      <c r="G43" s="89">
        <f t="shared" si="2"/>
        <v>45439.872350400008</v>
      </c>
      <c r="H43" s="81">
        <f>F43*1.1</f>
        <v>60.797000000000011</v>
      </c>
      <c r="I43" s="81">
        <f t="shared" si="3"/>
        <v>45439.872350400015</v>
      </c>
      <c r="J43" s="81"/>
      <c r="K43" s="81">
        <f>J43*$D43</f>
        <v>0</v>
      </c>
    </row>
    <row r="44" spans="1:11" ht="21.75" x14ac:dyDescent="0.25">
      <c r="A44" s="328" t="s">
        <v>17</v>
      </c>
      <c r="B44" s="328"/>
      <c r="C44" s="328"/>
      <c r="D44" s="328"/>
      <c r="E44" s="328"/>
      <c r="F44" s="328"/>
      <c r="G44" s="90">
        <f>SUM(G36:G43)</f>
        <v>692136.72410069453</v>
      </c>
      <c r="H44" s="103"/>
      <c r="I44" s="278">
        <f>SUM(I36:I43)</f>
        <v>609922.37210069457</v>
      </c>
      <c r="K44" s="278">
        <f>SUM(K36:K43)</f>
        <v>82214.352000000014</v>
      </c>
    </row>
    <row r="49" spans="1:8" x14ac:dyDescent="0.25">
      <c r="D49" s="86"/>
      <c r="E49" s="87"/>
    </row>
    <row r="50" spans="1:8" ht="21.75" x14ac:dyDescent="0.25">
      <c r="A50" s="335" t="s">
        <v>104</v>
      </c>
      <c r="B50" s="336"/>
      <c r="C50" s="336"/>
      <c r="D50" s="336"/>
      <c r="E50" s="336"/>
      <c r="F50" s="337"/>
      <c r="G50" s="91">
        <f>G44</f>
        <v>692136.72410069453</v>
      </c>
      <c r="H50" s="91">
        <f>G50/DADOS_INICIAIS!E9</f>
        <v>190.52536187181568</v>
      </c>
    </row>
  </sheetData>
  <mergeCells count="14">
    <mergeCell ref="A15:A16"/>
    <mergeCell ref="A3:H3"/>
    <mergeCell ref="B9:C9"/>
    <mergeCell ref="D9:E9"/>
    <mergeCell ref="A11:A12"/>
    <mergeCell ref="A13:A14"/>
    <mergeCell ref="A21:F21"/>
    <mergeCell ref="B25:C25"/>
    <mergeCell ref="D25:E25"/>
    <mergeCell ref="A30:F30"/>
    <mergeCell ref="A50:F50"/>
    <mergeCell ref="B35:C35"/>
    <mergeCell ref="D35:E35"/>
    <mergeCell ref="A44:F4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ECC-E58E-429D-83BE-C07977C5DA4B}">
  <sheetPr>
    <tabColor rgb="FF92D050"/>
  </sheetPr>
  <dimension ref="A1:L64"/>
  <sheetViews>
    <sheetView showGridLines="0" topLeftCell="A18" zoomScale="80" zoomScaleNormal="80" zoomScaleSheetLayoutView="95" workbookViewId="0">
      <selection activeCell="G29" sqref="G29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6.85546875" style="55" customWidth="1"/>
    <col min="8" max="8" width="49.7109375" style="55" customWidth="1"/>
    <col min="9" max="9" width="14.5703125" style="55" customWidth="1"/>
    <col min="10" max="10" width="16.42578125" style="55" bestFit="1" customWidth="1"/>
    <col min="11" max="11" width="15.140625" style="55" bestFit="1" customWidth="1"/>
    <col min="12" max="12" width="22.710937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329" t="s">
        <v>28</v>
      </c>
      <c r="B3" s="340"/>
      <c r="C3" s="340"/>
      <c r="D3" s="330"/>
      <c r="E3" s="330"/>
      <c r="F3" s="330"/>
      <c r="G3" s="330"/>
      <c r="H3" s="331"/>
      <c r="J3" s="79"/>
    </row>
    <row r="4" spans="1:10" ht="19.5" x14ac:dyDescent="0.25">
      <c r="A4" s="186" t="s">
        <v>185</v>
      </c>
      <c r="B4" s="192">
        <v>45472</v>
      </c>
      <c r="C4" s="190"/>
      <c r="D4" s="190"/>
      <c r="E4" s="190"/>
      <c r="F4" s="190"/>
      <c r="G4" s="190"/>
      <c r="H4" s="191"/>
      <c r="J4" s="79"/>
    </row>
    <row r="5" spans="1:10" ht="19.5" x14ac:dyDescent="0.25">
      <c r="A5" s="186" t="s">
        <v>291</v>
      </c>
      <c r="B5" s="193" t="s">
        <v>209</v>
      </c>
      <c r="C5" s="188"/>
      <c r="D5" s="188"/>
      <c r="E5" s="188"/>
      <c r="F5" s="188"/>
      <c r="G5" s="188"/>
      <c r="H5" s="189"/>
      <c r="J5" s="79"/>
    </row>
    <row r="6" spans="1:10" ht="21.75" x14ac:dyDescent="0.25">
      <c r="A6" s="83"/>
      <c r="B6" s="83"/>
      <c r="C6" s="83"/>
      <c r="D6" s="83"/>
      <c r="E6" s="83"/>
      <c r="F6" s="84"/>
      <c r="G6" s="85">
        <f>8-2+1</f>
        <v>7</v>
      </c>
      <c r="H6" s="85"/>
      <c r="J6" s="79"/>
    </row>
    <row r="7" spans="1:10" ht="21.75" x14ac:dyDescent="0.25">
      <c r="A7" s="52" t="s">
        <v>302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33" t="s">
        <v>5</v>
      </c>
      <c r="C9" s="334"/>
      <c r="D9" s="333" t="s">
        <v>18</v>
      </c>
      <c r="E9" s="334"/>
      <c r="F9" s="65" t="s">
        <v>118</v>
      </c>
      <c r="G9" s="71" t="s">
        <v>16</v>
      </c>
      <c r="H9" s="90" t="s">
        <v>294</v>
      </c>
    </row>
    <row r="10" spans="1:10" ht="21.75" x14ac:dyDescent="0.25">
      <c r="A10" s="66" t="s">
        <v>29</v>
      </c>
      <c r="B10" s="62">
        <v>2</v>
      </c>
      <c r="C10" s="62" t="s">
        <v>301</v>
      </c>
      <c r="D10" s="67">
        <f>(D11/DADOS_INICIAIS!$E$15)*B10</f>
        <v>2594.8428571428567</v>
      </c>
      <c r="E10" s="67" t="s">
        <v>2</v>
      </c>
      <c r="F10" s="88">
        <v>110</v>
      </c>
      <c r="G10" s="89">
        <f>F10*D10*1.1</f>
        <v>313975.98571428569</v>
      </c>
      <c r="H10" s="67"/>
    </row>
    <row r="11" spans="1:10" ht="21.75" x14ac:dyDescent="0.25">
      <c r="A11" s="78" t="s">
        <v>30</v>
      </c>
      <c r="B11" s="62">
        <v>2.5</v>
      </c>
      <c r="C11" s="62" t="s">
        <v>37</v>
      </c>
      <c r="D11" s="67">
        <f>B11*DADOS_INICIAIS!$E$9</f>
        <v>9081.9499999999989</v>
      </c>
      <c r="E11" s="67" t="s">
        <v>2</v>
      </c>
      <c r="F11" s="88">
        <v>2.5</v>
      </c>
      <c r="G11" s="89">
        <f>F11*D11*1.1</f>
        <v>24975.362499999999</v>
      </c>
      <c r="H11" s="67"/>
    </row>
    <row r="12" spans="1:10" ht="21.75" x14ac:dyDescent="0.25">
      <c r="A12" s="78" t="s">
        <v>311</v>
      </c>
      <c r="B12" s="62">
        <v>3</v>
      </c>
      <c r="C12" s="62" t="s">
        <v>165</v>
      </c>
      <c r="D12" s="67">
        <f>B12*'Obra '!$D$24*B10</f>
        <v>3809.6400000000003</v>
      </c>
      <c r="E12" s="67" t="s">
        <v>485</v>
      </c>
      <c r="F12" s="88">
        <f>4*8</f>
        <v>32</v>
      </c>
      <c r="G12" s="89">
        <f>F12*D12*1.1</f>
        <v>134099.32800000001</v>
      </c>
      <c r="H12" s="67"/>
      <c r="I12" s="195"/>
    </row>
    <row r="13" spans="1:10" ht="21.75" x14ac:dyDescent="0.25">
      <c r="A13" s="66" t="s">
        <v>99</v>
      </c>
      <c r="B13" s="62">
        <v>0.27</v>
      </c>
      <c r="C13" s="62" t="s">
        <v>38</v>
      </c>
      <c r="D13" s="67">
        <f>B13*DADOS_INICIAIS!$E$9</f>
        <v>980.85059999999999</v>
      </c>
      <c r="E13" s="67" t="s">
        <v>22</v>
      </c>
      <c r="F13" s="88">
        <f>(535+45+(1.67*0.6))*1.05</f>
        <v>610.0521</v>
      </c>
      <c r="G13" s="89">
        <f>F13*D13*1.05*1.1</f>
        <v>691117.31340528047</v>
      </c>
      <c r="H13" s="67"/>
    </row>
    <row r="14" spans="1:10" ht="21.75" x14ac:dyDescent="0.25">
      <c r="A14" s="66" t="s">
        <v>31</v>
      </c>
      <c r="B14" s="62">
        <v>100</v>
      </c>
      <c r="C14" s="62" t="s">
        <v>34</v>
      </c>
      <c r="D14" s="67">
        <f>D13*B14</f>
        <v>98085.06</v>
      </c>
      <c r="E14" s="67" t="s">
        <v>26</v>
      </c>
      <c r="F14" s="88">
        <v>7.62</v>
      </c>
      <c r="G14" s="89">
        <f>F14*D14*1.1</f>
        <v>822148.97292000009</v>
      </c>
      <c r="H14" s="67"/>
    </row>
    <row r="15" spans="1:10" ht="43.5" x14ac:dyDescent="0.25">
      <c r="A15" s="66" t="s">
        <v>101</v>
      </c>
      <c r="B15" s="62">
        <v>290</v>
      </c>
      <c r="C15" s="62" t="s">
        <v>6</v>
      </c>
      <c r="D15" s="67">
        <f>DADOS_INICIAIS!$E$9</f>
        <v>3632.7799999999997</v>
      </c>
      <c r="E15" s="67" t="s">
        <v>2</v>
      </c>
      <c r="F15" s="88">
        <f>B15</f>
        <v>290</v>
      </c>
      <c r="G15" s="89">
        <f>F15*D15*1.05</f>
        <v>1106181.51</v>
      </c>
      <c r="H15" s="67"/>
    </row>
    <row r="16" spans="1:10" ht="21.75" x14ac:dyDescent="0.25">
      <c r="A16" s="66" t="s">
        <v>298</v>
      </c>
      <c r="B16" s="62">
        <v>2300</v>
      </c>
      <c r="C16" s="62" t="s">
        <v>299</v>
      </c>
      <c r="D16" s="67">
        <v>1</v>
      </c>
      <c r="E16" s="67" t="s">
        <v>27</v>
      </c>
      <c r="F16" s="88">
        <f>B16*DADOS_INICIAIS!$E$15</f>
        <v>16100</v>
      </c>
      <c r="G16" s="89">
        <f>F16*D16*1.1</f>
        <v>17710</v>
      </c>
      <c r="H16" s="67"/>
      <c r="I16" s="55" t="s">
        <v>304</v>
      </c>
    </row>
    <row r="17" spans="1:12" ht="21.75" x14ac:dyDescent="0.25">
      <c r="A17" s="328" t="s">
        <v>17</v>
      </c>
      <c r="B17" s="328"/>
      <c r="C17" s="328"/>
      <c r="D17" s="328"/>
      <c r="E17" s="328"/>
      <c r="F17" s="328"/>
      <c r="G17" s="90">
        <f>SUM(G10:G16)</f>
        <v>3110208.4725395665</v>
      </c>
      <c r="H17" s="90"/>
      <c r="K17" s="55">
        <f>4160+1440+1120+2880+4800+91680+4000</f>
        <v>110080</v>
      </c>
      <c r="L17" s="55">
        <f>K17/21</f>
        <v>5241.9047619047615</v>
      </c>
    </row>
    <row r="18" spans="1:12" x14ac:dyDescent="0.25">
      <c r="G18" s="195">
        <f>G17/'Obra '!$C$10</f>
        <v>856.15106682473663</v>
      </c>
    </row>
    <row r="19" spans="1:12" ht="21.75" x14ac:dyDescent="0.25">
      <c r="A19" s="201" t="s">
        <v>484</v>
      </c>
      <c r="B19" s="52"/>
      <c r="C19" s="52"/>
      <c r="D19" s="53"/>
      <c r="E19" s="53"/>
      <c r="F19" s="54"/>
      <c r="G19" s="53"/>
      <c r="H19" s="53"/>
    </row>
    <row r="20" spans="1:12" ht="21.75" x14ac:dyDescent="0.25">
      <c r="A20" s="56"/>
      <c r="B20" s="56"/>
      <c r="C20" s="56"/>
      <c r="D20" s="57"/>
      <c r="E20" s="57"/>
      <c r="F20" s="58"/>
      <c r="G20" s="59"/>
      <c r="H20" s="59"/>
    </row>
    <row r="21" spans="1:12" ht="21.75" x14ac:dyDescent="0.25">
      <c r="A21" s="63" t="s">
        <v>14</v>
      </c>
      <c r="B21" s="333" t="s">
        <v>5</v>
      </c>
      <c r="C21" s="334"/>
      <c r="D21" s="333" t="s">
        <v>18</v>
      </c>
      <c r="E21" s="334"/>
      <c r="F21" s="65" t="s">
        <v>118</v>
      </c>
      <c r="G21" s="71" t="s">
        <v>16</v>
      </c>
      <c r="H21" s="90" t="s">
        <v>294</v>
      </c>
    </row>
    <row r="22" spans="1:12" ht="21.75" x14ac:dyDescent="0.25">
      <c r="A22" s="66" t="s">
        <v>29</v>
      </c>
      <c r="B22" s="62">
        <v>2</v>
      </c>
      <c r="C22" s="62" t="s">
        <v>301</v>
      </c>
      <c r="D22" s="67">
        <f>(D23/DADOS_INICIAIS!$E$15)*B22</f>
        <v>1556.9057142857143</v>
      </c>
      <c r="E22" s="67" t="s">
        <v>2</v>
      </c>
      <c r="F22" s="88">
        <v>110</v>
      </c>
      <c r="G22" s="89">
        <f t="shared" ref="G22:G29" si="0">F22*D22*1.1</f>
        <v>188385.59142857147</v>
      </c>
      <c r="H22" s="67"/>
    </row>
    <row r="23" spans="1:12" ht="21.75" x14ac:dyDescent="0.25">
      <c r="A23" s="78" t="s">
        <v>30</v>
      </c>
      <c r="B23" s="62">
        <v>1.5</v>
      </c>
      <c r="C23" s="62" t="s">
        <v>37</v>
      </c>
      <c r="D23" s="67">
        <f>B23*DADOS_INICIAIS!$E$9</f>
        <v>5449.17</v>
      </c>
      <c r="E23" s="67" t="s">
        <v>2</v>
      </c>
      <c r="F23" s="88">
        <v>2.5</v>
      </c>
      <c r="G23" s="89">
        <f t="shared" si="0"/>
        <v>14985.217500000001</v>
      </c>
      <c r="H23" s="67"/>
    </row>
    <row r="24" spans="1:12" ht="21.75" x14ac:dyDescent="0.25">
      <c r="A24" s="78" t="s">
        <v>311</v>
      </c>
      <c r="B24" s="62">
        <v>4</v>
      </c>
      <c r="C24" s="62" t="s">
        <v>164</v>
      </c>
      <c r="D24" s="67">
        <f>B24*'Obra '!D24*B22</f>
        <v>5079.5200000000004</v>
      </c>
      <c r="E24" s="67" t="s">
        <v>485</v>
      </c>
      <c r="F24" s="88">
        <f>4*8</f>
        <v>32</v>
      </c>
      <c r="G24" s="89">
        <f t="shared" si="0"/>
        <v>178799.10400000002</v>
      </c>
      <c r="H24" s="67"/>
      <c r="I24" s="55" t="s">
        <v>486</v>
      </c>
    </row>
    <row r="25" spans="1:12" ht="21.75" x14ac:dyDescent="0.25">
      <c r="A25" s="66" t="s">
        <v>116</v>
      </c>
      <c r="B25" s="62">
        <v>25</v>
      </c>
      <c r="C25" s="62" t="s">
        <v>6</v>
      </c>
      <c r="D25" s="67">
        <f>H25</f>
        <v>1270</v>
      </c>
      <c r="E25" s="67" t="s">
        <v>3</v>
      </c>
      <c r="F25" s="88">
        <f>0.3*30*8</f>
        <v>72</v>
      </c>
      <c r="G25" s="89">
        <f t="shared" si="0"/>
        <v>100584.00000000001</v>
      </c>
      <c r="H25" s="67">
        <f>ROUNDUP(DADOS_INICIAIS!E19*B22,0)</f>
        <v>1270</v>
      </c>
      <c r="I25" s="55" t="s">
        <v>486</v>
      </c>
    </row>
    <row r="26" spans="1:12" ht="21.75" x14ac:dyDescent="0.25">
      <c r="A26" s="66" t="s">
        <v>99</v>
      </c>
      <c r="B26" s="62">
        <v>0.25</v>
      </c>
      <c r="C26" s="62" t="s">
        <v>38</v>
      </c>
      <c r="D26" s="67">
        <f>B26*DADOS_INICIAIS!$E$9</f>
        <v>908.19499999999994</v>
      </c>
      <c r="E26" s="67" t="s">
        <v>22</v>
      </c>
      <c r="F26" s="88">
        <f>(535+45+(1.67*0.6))*1.05</f>
        <v>610.0521</v>
      </c>
      <c r="G26" s="89">
        <f>F26*D26*1.1</f>
        <v>609450.89365544997</v>
      </c>
      <c r="H26" s="67"/>
    </row>
    <row r="27" spans="1:12" ht="21.75" x14ac:dyDescent="0.25">
      <c r="A27" s="66" t="s">
        <v>31</v>
      </c>
      <c r="B27" s="62">
        <v>90</v>
      </c>
      <c r="C27" s="62" t="s">
        <v>34</v>
      </c>
      <c r="D27" s="67">
        <f>D26*B27</f>
        <v>81737.549999999988</v>
      </c>
      <c r="E27" s="67" t="s">
        <v>26</v>
      </c>
      <c r="F27" s="88">
        <v>7.62</v>
      </c>
      <c r="G27" s="89">
        <f>F27*D27*1.1</f>
        <v>685124.14410000003</v>
      </c>
      <c r="H27" s="67"/>
    </row>
    <row r="28" spans="1:12" ht="43.5" x14ac:dyDescent="0.25">
      <c r="A28" s="66" t="s">
        <v>101</v>
      </c>
      <c r="B28" s="62">
        <v>290</v>
      </c>
      <c r="C28" s="62" t="s">
        <v>6</v>
      </c>
      <c r="D28" s="67">
        <f>DADOS_INICIAIS!$E$9</f>
        <v>3632.7799999999997</v>
      </c>
      <c r="E28" s="67" t="s">
        <v>2</v>
      </c>
      <c r="F28" s="88">
        <f>B28</f>
        <v>290</v>
      </c>
      <c r="G28" s="89">
        <f>F28*D28*1.05</f>
        <v>1106181.51</v>
      </c>
      <c r="H28" s="67"/>
    </row>
    <row r="29" spans="1:12" ht="21.75" x14ac:dyDescent="0.25">
      <c r="A29" s="66" t="s">
        <v>298</v>
      </c>
      <c r="B29" s="62">
        <v>2300</v>
      </c>
      <c r="C29" s="62" t="s">
        <v>299</v>
      </c>
      <c r="D29" s="67">
        <v>1</v>
      </c>
      <c r="E29" s="67" t="s">
        <v>27</v>
      </c>
      <c r="F29" s="88">
        <f>B29*DADOS_INICIAIS!$E$15</f>
        <v>16100</v>
      </c>
      <c r="G29" s="89">
        <f t="shared" si="0"/>
        <v>17710</v>
      </c>
      <c r="H29" s="67"/>
    </row>
    <row r="30" spans="1:12" ht="21.75" x14ac:dyDescent="0.25">
      <c r="A30" s="328" t="s">
        <v>17</v>
      </c>
      <c r="B30" s="328"/>
      <c r="C30" s="328"/>
      <c r="D30" s="328"/>
      <c r="E30" s="328"/>
      <c r="F30" s="328"/>
      <c r="G30" s="90">
        <f>SUM(G22:G29)</f>
        <v>2901220.4606840219</v>
      </c>
      <c r="H30" s="90"/>
    </row>
    <row r="31" spans="1:12" x14ac:dyDescent="0.25">
      <c r="G31" s="195">
        <f>G30/'Obra '!$C$10</f>
        <v>798.62266932872956</v>
      </c>
    </row>
    <row r="32" spans="1:12" ht="21.75" hidden="1" x14ac:dyDescent="0.25">
      <c r="A32" s="52" t="s">
        <v>303</v>
      </c>
      <c r="B32" s="52"/>
      <c r="C32" s="52"/>
      <c r="D32" s="53"/>
      <c r="E32" s="53"/>
      <c r="F32" s="54"/>
      <c r="G32" s="53"/>
      <c r="H32" s="53"/>
    </row>
    <row r="33" spans="1:12" ht="21.75" hidden="1" x14ac:dyDescent="0.25">
      <c r="A33" s="56"/>
      <c r="B33" s="56"/>
      <c r="C33" s="56"/>
      <c r="D33" s="57"/>
      <c r="E33" s="57"/>
      <c r="F33" s="58"/>
      <c r="G33" s="59"/>
      <c r="H33" s="59"/>
    </row>
    <row r="34" spans="1:12" ht="21.75" hidden="1" x14ac:dyDescent="0.25">
      <c r="A34" s="63" t="s">
        <v>14</v>
      </c>
      <c r="B34" s="333" t="s">
        <v>5</v>
      </c>
      <c r="C34" s="334"/>
      <c r="D34" s="333" t="s">
        <v>18</v>
      </c>
      <c r="E34" s="334"/>
      <c r="F34" s="65" t="s">
        <v>118</v>
      </c>
      <c r="G34" s="71" t="s">
        <v>16</v>
      </c>
      <c r="H34" s="90" t="s">
        <v>294</v>
      </c>
    </row>
    <row r="35" spans="1:12" ht="21.75" hidden="1" x14ac:dyDescent="0.25">
      <c r="A35" s="66" t="s">
        <v>29</v>
      </c>
      <c r="B35" s="194">
        <v>2</v>
      </c>
      <c r="C35" s="194" t="s">
        <v>301</v>
      </c>
      <c r="D35" s="67">
        <f>(D36/DADOS_INICIAIS!$E$15)*B35</f>
        <v>0</v>
      </c>
      <c r="E35" s="67" t="s">
        <v>2</v>
      </c>
      <c r="F35" s="88">
        <v>85</v>
      </c>
      <c r="G35" s="89">
        <f>F35*D35*1.1</f>
        <v>0</v>
      </c>
      <c r="H35" s="67"/>
    </row>
    <row r="36" spans="1:12" ht="21.75" hidden="1" x14ac:dyDescent="0.25">
      <c r="A36" s="78" t="s">
        <v>30</v>
      </c>
      <c r="B36" s="194">
        <v>2.1</v>
      </c>
      <c r="C36" s="194" t="s">
        <v>37</v>
      </c>
      <c r="D36" s="67">
        <f>B36*DADOS_INICIAIS!E38</f>
        <v>0</v>
      </c>
      <c r="E36" s="67" t="s">
        <v>2</v>
      </c>
      <c r="F36" s="88">
        <v>1.5</v>
      </c>
      <c r="G36" s="89">
        <f>F36*D36*1.1</f>
        <v>0</v>
      </c>
      <c r="H36" s="67"/>
    </row>
    <row r="37" spans="1:12" ht="21.75" hidden="1" x14ac:dyDescent="0.25">
      <c r="A37" s="78" t="s">
        <v>32</v>
      </c>
      <c r="B37" s="194">
        <v>2</v>
      </c>
      <c r="C37" s="194" t="s">
        <v>164</v>
      </c>
      <c r="D37" s="67">
        <f>B37*DADOS_INICIAIS!E47*DADOS_INICIAIS!E44</f>
        <v>0</v>
      </c>
      <c r="E37" s="67" t="s">
        <v>3</v>
      </c>
      <c r="F37" s="88">
        <v>17</v>
      </c>
      <c r="G37" s="89">
        <f>F37*D37*1.1</f>
        <v>0</v>
      </c>
      <c r="H37" s="67"/>
    </row>
    <row r="38" spans="1:12" ht="21.75" hidden="1" x14ac:dyDescent="0.25">
      <c r="A38" s="78" t="s">
        <v>33</v>
      </c>
      <c r="B38" s="194">
        <v>2</v>
      </c>
      <c r="C38" s="194" t="s">
        <v>165</v>
      </c>
      <c r="D38" s="67">
        <f>B38*DADOS_INICIAIS!E50</f>
        <v>0</v>
      </c>
      <c r="E38" s="67" t="s">
        <v>3</v>
      </c>
      <c r="F38" s="88">
        <v>17</v>
      </c>
      <c r="G38" s="89">
        <f>F38*D38*1.1</f>
        <v>0</v>
      </c>
      <c r="H38" s="67"/>
    </row>
    <row r="39" spans="1:12" ht="21.75" hidden="1" x14ac:dyDescent="0.25">
      <c r="A39" s="66" t="s">
        <v>116</v>
      </c>
      <c r="B39" s="194">
        <v>25</v>
      </c>
      <c r="C39" s="194" t="s">
        <v>6</v>
      </c>
      <c r="D39" s="67">
        <f>B39*DADOS_INICIAIS!E38</f>
        <v>0</v>
      </c>
      <c r="E39" s="67" t="s">
        <v>22</v>
      </c>
      <c r="F39" s="88">
        <f>B39</f>
        <v>25</v>
      </c>
      <c r="G39" s="89">
        <f>F39*D39*1.1</f>
        <v>0</v>
      </c>
      <c r="H39" s="67"/>
    </row>
    <row r="40" spans="1:12" ht="21.75" hidden="1" x14ac:dyDescent="0.25">
      <c r="A40" s="66" t="s">
        <v>99</v>
      </c>
      <c r="B40" s="194">
        <v>0.25</v>
      </c>
      <c r="C40" s="194" t="s">
        <v>38</v>
      </c>
      <c r="D40" s="67">
        <f>B40*DADOS_INICIAIS!E38</f>
        <v>0</v>
      </c>
      <c r="E40" s="67" t="s">
        <v>22</v>
      </c>
      <c r="F40" s="88">
        <f>575</f>
        <v>575</v>
      </c>
      <c r="G40" s="89">
        <f>F40*D40*1.05*1.1</f>
        <v>0</v>
      </c>
      <c r="H40" s="67"/>
    </row>
    <row r="41" spans="1:12" ht="21.75" hidden="1" x14ac:dyDescent="0.25">
      <c r="A41" s="66" t="s">
        <v>31</v>
      </c>
      <c r="B41" s="194">
        <v>110</v>
      </c>
      <c r="C41" s="194" t="s">
        <v>34</v>
      </c>
      <c r="D41" s="67">
        <f>D40*B41</f>
        <v>0</v>
      </c>
      <c r="E41" s="67" t="s">
        <v>26</v>
      </c>
      <c r="F41" s="88">
        <v>7.25</v>
      </c>
      <c r="G41" s="89">
        <f>F41*D41*1.1</f>
        <v>0</v>
      </c>
      <c r="H41" s="67"/>
    </row>
    <row r="42" spans="1:12" ht="43.5" hidden="1" x14ac:dyDescent="0.25">
      <c r="A42" s="66" t="s">
        <v>101</v>
      </c>
      <c r="B42" s="194">
        <v>240</v>
      </c>
      <c r="C42" s="194" t="s">
        <v>6</v>
      </c>
      <c r="D42" s="67">
        <f>DADOS_INICIAIS!E38</f>
        <v>0</v>
      </c>
      <c r="E42" s="67" t="s">
        <v>2</v>
      </c>
      <c r="F42" s="88">
        <f>B42</f>
        <v>240</v>
      </c>
      <c r="G42" s="89">
        <f>F42*D42*1.1</f>
        <v>0</v>
      </c>
      <c r="H42" s="67"/>
    </row>
    <row r="43" spans="1:12" ht="43.5" hidden="1" x14ac:dyDescent="0.25">
      <c r="A43" s="66" t="s">
        <v>298</v>
      </c>
      <c r="B43" s="194">
        <v>5300</v>
      </c>
      <c r="C43" s="194" t="s">
        <v>299</v>
      </c>
      <c r="D43" s="67">
        <v>1</v>
      </c>
      <c r="E43" s="67" t="s">
        <v>27</v>
      </c>
      <c r="F43" s="88">
        <f>B43*DADOS_INICIAIS!E43</f>
        <v>0</v>
      </c>
      <c r="G43" s="89">
        <f>F43*D43*1.1</f>
        <v>0</v>
      </c>
      <c r="H43" s="67" t="s">
        <v>300</v>
      </c>
    </row>
    <row r="44" spans="1:12" ht="21.75" hidden="1" x14ac:dyDescent="0.25">
      <c r="A44" s="328" t="s">
        <v>17</v>
      </c>
      <c r="B44" s="328"/>
      <c r="C44" s="328"/>
      <c r="D44" s="328"/>
      <c r="E44" s="328"/>
      <c r="F44" s="328"/>
      <c r="G44" s="90">
        <f>SUM(G35:G43)</f>
        <v>0</v>
      </c>
      <c r="H44" s="90"/>
    </row>
    <row r="46" spans="1:12" ht="21.75" x14ac:dyDescent="0.25">
      <c r="A46" s="52" t="s">
        <v>328</v>
      </c>
      <c r="B46" s="52"/>
      <c r="C46" s="52"/>
      <c r="D46" s="53"/>
      <c r="E46" s="53"/>
      <c r="F46" s="54"/>
      <c r="G46" s="53"/>
      <c r="H46" s="53"/>
    </row>
    <row r="47" spans="1:12" ht="21.75" x14ac:dyDescent="0.25">
      <c r="A47" s="56"/>
      <c r="B47" s="56"/>
      <c r="C47" s="56"/>
      <c r="D47" s="57"/>
      <c r="E47" s="57"/>
      <c r="F47" s="58"/>
      <c r="G47" s="59"/>
      <c r="H47" s="59"/>
    </row>
    <row r="48" spans="1:12" ht="21.75" x14ac:dyDescent="0.25">
      <c r="A48" s="63" t="s">
        <v>14</v>
      </c>
      <c r="B48" s="333" t="s">
        <v>5</v>
      </c>
      <c r="C48" s="334"/>
      <c r="D48" s="333" t="s">
        <v>18</v>
      </c>
      <c r="E48" s="334"/>
      <c r="F48" s="65" t="s">
        <v>118</v>
      </c>
      <c r="G48" s="71" t="s">
        <v>16</v>
      </c>
      <c r="H48" s="90" t="s">
        <v>294</v>
      </c>
      <c r="I48" s="279" t="s">
        <v>453</v>
      </c>
      <c r="J48" s="279" t="s">
        <v>458</v>
      </c>
      <c r="K48" s="112" t="s">
        <v>454</v>
      </c>
      <c r="L48" s="112" t="s">
        <v>459</v>
      </c>
    </row>
    <row r="49" spans="1:12" ht="21.75" x14ac:dyDescent="0.25">
      <c r="A49" s="66" t="s">
        <v>29</v>
      </c>
      <c r="B49" s="62">
        <v>2</v>
      </c>
      <c r="C49" s="62" t="s">
        <v>301</v>
      </c>
      <c r="D49" s="67">
        <f>(D50/DADOS_INICIAIS!$E$15)*B49</f>
        <v>2179.6680000000001</v>
      </c>
      <c r="E49" s="67" t="s">
        <v>2</v>
      </c>
      <c r="F49" s="88">
        <v>110</v>
      </c>
      <c r="G49" s="89">
        <f t="shared" ref="G49:G54" si="1">F49*D49*1.1</f>
        <v>263739.82800000004</v>
      </c>
      <c r="H49" s="67"/>
      <c r="I49" s="195">
        <f>F49*1.1</f>
        <v>121.00000000000001</v>
      </c>
      <c r="J49" s="195">
        <f>I49*$D49</f>
        <v>263739.82800000004</v>
      </c>
      <c r="L49" s="195">
        <f t="shared" ref="L49:L53" si="2">K49*$D49</f>
        <v>0</v>
      </c>
    </row>
    <row r="50" spans="1:12" ht="21.75" x14ac:dyDescent="0.25">
      <c r="A50" s="78" t="s">
        <v>30</v>
      </c>
      <c r="B50" s="62">
        <v>2.1</v>
      </c>
      <c r="C50" s="62" t="s">
        <v>37</v>
      </c>
      <c r="D50" s="67">
        <f>B50*DADOS_INICIAIS!$E$9</f>
        <v>7628.8379999999997</v>
      </c>
      <c r="E50" s="67" t="s">
        <v>2</v>
      </c>
      <c r="F50" s="88">
        <v>2.5</v>
      </c>
      <c r="G50" s="89">
        <f t="shared" si="1"/>
        <v>20979.304500000002</v>
      </c>
      <c r="H50" s="67"/>
      <c r="I50" s="195">
        <f>F50*1.1</f>
        <v>2.75</v>
      </c>
      <c r="J50" s="195">
        <f t="shared" ref="J50:J58" si="3">I50*$D50</f>
        <v>20979.304499999998</v>
      </c>
      <c r="L50" s="195">
        <f t="shared" si="2"/>
        <v>0</v>
      </c>
    </row>
    <row r="51" spans="1:12" ht="21.75" x14ac:dyDescent="0.25">
      <c r="A51" s="78" t="s">
        <v>311</v>
      </c>
      <c r="B51" s="62">
        <v>3</v>
      </c>
      <c r="C51" s="62" t="s">
        <v>165</v>
      </c>
      <c r="D51" s="67">
        <f>B51*'Obra '!$D$24*B49</f>
        <v>3809.6400000000003</v>
      </c>
      <c r="E51" s="67" t="s">
        <v>3</v>
      </c>
      <c r="F51" s="88">
        <f>4*8</f>
        <v>32</v>
      </c>
      <c r="G51" s="89">
        <f t="shared" si="1"/>
        <v>134099.32800000001</v>
      </c>
      <c r="H51" s="67"/>
      <c r="I51" s="195">
        <f>F51*1.1</f>
        <v>35.200000000000003</v>
      </c>
      <c r="J51" s="195">
        <f t="shared" si="3"/>
        <v>134099.32800000001</v>
      </c>
      <c r="L51" s="195">
        <f t="shared" si="2"/>
        <v>0</v>
      </c>
    </row>
    <row r="52" spans="1:12" ht="21.75" x14ac:dyDescent="0.25">
      <c r="A52" s="78" t="s">
        <v>331</v>
      </c>
      <c r="B52" s="200">
        <v>12.3</v>
      </c>
      <c r="C52" s="200" t="s">
        <v>329</v>
      </c>
      <c r="D52" s="67">
        <f>DADOS_INICIAIS!E9-DADOS_INICIAIS!E23</f>
        <v>2976.83</v>
      </c>
      <c r="E52" s="67" t="s">
        <v>2</v>
      </c>
      <c r="F52" s="88">
        <f>B52</f>
        <v>12.3</v>
      </c>
      <c r="G52" s="89">
        <f t="shared" si="1"/>
        <v>40276.509900000005</v>
      </c>
      <c r="H52" s="67"/>
      <c r="I52" s="195">
        <f>F52*1.1</f>
        <v>13.530000000000001</v>
      </c>
      <c r="J52" s="195">
        <f t="shared" si="3"/>
        <v>40276.509900000005</v>
      </c>
      <c r="L52" s="195">
        <f t="shared" si="2"/>
        <v>0</v>
      </c>
    </row>
    <row r="53" spans="1:12" ht="21.75" x14ac:dyDescent="0.25">
      <c r="A53" s="78" t="s">
        <v>332</v>
      </c>
      <c r="B53" s="200">
        <v>1.9</v>
      </c>
      <c r="C53" s="200" t="s">
        <v>330</v>
      </c>
      <c r="D53" s="67">
        <f>B53*D52</f>
        <v>5655.9769999999999</v>
      </c>
      <c r="E53" s="67" t="s">
        <v>26</v>
      </c>
      <c r="F53" s="88">
        <v>15.3</v>
      </c>
      <c r="G53" s="89">
        <f t="shared" si="1"/>
        <v>95190.092910000021</v>
      </c>
      <c r="H53" s="67"/>
      <c r="I53" s="195">
        <f>F53*1.1</f>
        <v>16.830000000000002</v>
      </c>
      <c r="J53" s="195">
        <f t="shared" si="3"/>
        <v>95190.092910000007</v>
      </c>
      <c r="L53" s="195">
        <f t="shared" si="2"/>
        <v>0</v>
      </c>
    </row>
    <row r="54" spans="1:12" ht="21.75" x14ac:dyDescent="0.25">
      <c r="A54" s="66" t="s">
        <v>333</v>
      </c>
      <c r="B54" s="200">
        <v>9000</v>
      </c>
      <c r="C54" s="200" t="s">
        <v>334</v>
      </c>
      <c r="D54" s="67">
        <f>'Obra '!F10</f>
        <v>7</v>
      </c>
      <c r="E54" s="67" t="s">
        <v>335</v>
      </c>
      <c r="F54" s="88">
        <v>9500</v>
      </c>
      <c r="G54" s="89">
        <f t="shared" si="1"/>
        <v>73150</v>
      </c>
      <c r="H54" s="67"/>
      <c r="J54" s="195">
        <f t="shared" si="3"/>
        <v>0</v>
      </c>
      <c r="K54" s="195">
        <f>F54*1.1</f>
        <v>10450</v>
      </c>
      <c r="L54" s="195">
        <f>K54*$D54</f>
        <v>73150</v>
      </c>
    </row>
    <row r="55" spans="1:12" ht="21.75" x14ac:dyDescent="0.25">
      <c r="A55" s="66" t="s">
        <v>99</v>
      </c>
      <c r="B55" s="200">
        <v>0.25</v>
      </c>
      <c r="C55" s="200" t="s">
        <v>38</v>
      </c>
      <c r="D55" s="67">
        <f>B55*DADOS_INICIAIS!$E$9</f>
        <v>908.19499999999994</v>
      </c>
      <c r="E55" s="67" t="s">
        <v>22</v>
      </c>
      <c r="F55" s="88">
        <f>(535+45)*1.05</f>
        <v>609</v>
      </c>
      <c r="G55" s="89">
        <f>F55*D55*1.1</f>
        <v>608399.83050000004</v>
      </c>
      <c r="H55" s="67" t="s">
        <v>440</v>
      </c>
      <c r="I55" s="195">
        <f>F55*1.1</f>
        <v>669.90000000000009</v>
      </c>
      <c r="J55" s="195">
        <f t="shared" si="3"/>
        <v>608399.83050000004</v>
      </c>
      <c r="L55" s="195">
        <f t="shared" ref="L55:L58" si="4">K55*$D55</f>
        <v>0</v>
      </c>
    </row>
    <row r="56" spans="1:12" ht="21.75" x14ac:dyDescent="0.25">
      <c r="A56" s="66" t="s">
        <v>31</v>
      </c>
      <c r="B56" s="277">
        <v>60</v>
      </c>
      <c r="C56" s="200" t="s">
        <v>34</v>
      </c>
      <c r="D56" s="67">
        <f>D55*B56</f>
        <v>54491.7</v>
      </c>
      <c r="E56" s="67" t="s">
        <v>26</v>
      </c>
      <c r="F56" s="88">
        <v>7.62</v>
      </c>
      <c r="G56" s="89">
        <f>F56*D56*1.1</f>
        <v>456749.42939999996</v>
      </c>
      <c r="H56" s="67" t="s">
        <v>440</v>
      </c>
      <c r="I56" s="195">
        <f>F56*1.1</f>
        <v>8.3820000000000014</v>
      </c>
      <c r="J56" s="195">
        <f t="shared" si="3"/>
        <v>456749.42940000008</v>
      </c>
      <c r="L56" s="195">
        <f t="shared" si="4"/>
        <v>0</v>
      </c>
    </row>
    <row r="57" spans="1:12" ht="43.5" x14ac:dyDescent="0.25">
      <c r="A57" s="66" t="s">
        <v>101</v>
      </c>
      <c r="B57" s="62">
        <v>290</v>
      </c>
      <c r="C57" s="62" t="s">
        <v>6</v>
      </c>
      <c r="D57" s="67">
        <f>DADOS_INICIAIS!$E$9</f>
        <v>3632.7799999999997</v>
      </c>
      <c r="E57" s="67" t="s">
        <v>2</v>
      </c>
      <c r="F57" s="88">
        <f>B57</f>
        <v>290</v>
      </c>
      <c r="G57" s="89">
        <f>F57*D57*1.05</f>
        <v>1106181.51</v>
      </c>
      <c r="H57" s="67"/>
      <c r="J57" s="195">
        <f t="shared" si="3"/>
        <v>0</v>
      </c>
      <c r="K57" s="195">
        <f>F57*1.1</f>
        <v>319</v>
      </c>
      <c r="L57" s="195">
        <f t="shared" si="4"/>
        <v>1158856.8199999998</v>
      </c>
    </row>
    <row r="58" spans="1:12" ht="21.75" x14ac:dyDescent="0.25">
      <c r="A58" s="66" t="s">
        <v>298</v>
      </c>
      <c r="B58" s="62">
        <v>2300</v>
      </c>
      <c r="C58" s="62" t="s">
        <v>299</v>
      </c>
      <c r="D58" s="67">
        <v>1</v>
      </c>
      <c r="E58" s="67" t="s">
        <v>27</v>
      </c>
      <c r="F58" s="88">
        <f>B58*DADOS_INICIAIS!$E$15</f>
        <v>16100</v>
      </c>
      <c r="G58" s="89">
        <f>F58*D58*1.1</f>
        <v>17710</v>
      </c>
      <c r="H58" s="67"/>
      <c r="J58" s="195">
        <f t="shared" si="3"/>
        <v>0</v>
      </c>
      <c r="K58" s="195">
        <f>F58*1.1</f>
        <v>17710</v>
      </c>
      <c r="L58" s="195">
        <f t="shared" si="4"/>
        <v>17710</v>
      </c>
    </row>
    <row r="59" spans="1:12" ht="21.75" x14ac:dyDescent="0.25">
      <c r="A59" s="328" t="s">
        <v>17</v>
      </c>
      <c r="B59" s="328"/>
      <c r="C59" s="328"/>
      <c r="D59" s="328"/>
      <c r="E59" s="328"/>
      <c r="F59" s="328"/>
      <c r="G59" s="90">
        <f>SUM(G49:G58)</f>
        <v>2816475.8332100003</v>
      </c>
      <c r="H59" s="90"/>
    </row>
    <row r="60" spans="1:12" x14ac:dyDescent="0.25">
      <c r="G60" s="195">
        <f>G59/'Obra '!$C$10</f>
        <v>775.2949072638587</v>
      </c>
    </row>
    <row r="62" spans="1:12" ht="21.75" x14ac:dyDescent="0.25">
      <c r="A62" s="335" t="s">
        <v>105</v>
      </c>
      <c r="B62" s="336"/>
      <c r="C62" s="336"/>
      <c r="D62" s="336"/>
      <c r="E62" s="336"/>
      <c r="F62" s="337"/>
      <c r="G62" s="91">
        <f>G30</f>
        <v>2901220.4606840219</v>
      </c>
      <c r="H62" s="91">
        <f>G62/DADOS_INICIAIS!E9</f>
        <v>798.62266932872956</v>
      </c>
    </row>
    <row r="64" spans="1:12" x14ac:dyDescent="0.25">
      <c r="G64" s="195"/>
      <c r="H64" s="195">
        <f>H62/1.1</f>
        <v>726.02060848066321</v>
      </c>
    </row>
  </sheetData>
  <mergeCells count="14">
    <mergeCell ref="A17:F17"/>
    <mergeCell ref="A62:F62"/>
    <mergeCell ref="A3:H3"/>
    <mergeCell ref="B9:C9"/>
    <mergeCell ref="D9:E9"/>
    <mergeCell ref="B21:C21"/>
    <mergeCell ref="D21:E21"/>
    <mergeCell ref="A30:F30"/>
    <mergeCell ref="B34:C34"/>
    <mergeCell ref="D34:E34"/>
    <mergeCell ref="A44:F44"/>
    <mergeCell ref="B48:C48"/>
    <mergeCell ref="D48:E48"/>
    <mergeCell ref="A59:F5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B6A5-65C9-4D4C-AA84-F8C8A6AE044E}">
  <sheetPr>
    <tabColor rgb="FF92D050"/>
  </sheetPr>
  <dimension ref="A1:M41"/>
  <sheetViews>
    <sheetView showGridLines="0" topLeftCell="A8" zoomScale="80" zoomScaleNormal="80" zoomScaleSheetLayoutView="95" workbookViewId="0">
      <selection activeCell="G19" sqref="G19:G20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17.85546875" style="55" customWidth="1"/>
    <col min="9" max="9" width="12" style="55" bestFit="1" customWidth="1"/>
    <col min="10" max="10" width="15.140625" style="55" bestFit="1" customWidth="1"/>
    <col min="11" max="11" width="11" style="55" bestFit="1" customWidth="1"/>
    <col min="12" max="12" width="13.140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329" t="s">
        <v>305</v>
      </c>
      <c r="B3" s="340"/>
      <c r="C3" s="340"/>
      <c r="D3" s="330"/>
      <c r="E3" s="330"/>
      <c r="F3" s="330"/>
      <c r="G3" s="330"/>
      <c r="H3" s="331"/>
      <c r="J3" s="79"/>
    </row>
    <row r="4" spans="1:12" ht="19.5" x14ac:dyDescent="0.25">
      <c r="A4" s="186" t="s">
        <v>185</v>
      </c>
      <c r="B4" s="192">
        <v>45469</v>
      </c>
      <c r="C4" s="190"/>
      <c r="D4" s="190"/>
      <c r="E4" s="190"/>
      <c r="F4" s="190"/>
      <c r="G4" s="190"/>
      <c r="H4" s="191"/>
      <c r="J4" s="79"/>
    </row>
    <row r="5" spans="1:12" ht="19.5" x14ac:dyDescent="0.25">
      <c r="A5" s="186" t="s">
        <v>291</v>
      </c>
      <c r="B5" s="193" t="s">
        <v>209</v>
      </c>
      <c r="C5" s="188"/>
      <c r="D5" s="188"/>
      <c r="E5" s="188"/>
      <c r="F5" s="188"/>
      <c r="G5" s="188"/>
      <c r="H5" s="189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201" t="s">
        <v>183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333" t="s">
        <v>5</v>
      </c>
      <c r="C9" s="334"/>
      <c r="D9" s="333" t="s">
        <v>18</v>
      </c>
      <c r="E9" s="334"/>
      <c r="F9" s="65" t="s">
        <v>118</v>
      </c>
      <c r="G9" s="71" t="s">
        <v>16</v>
      </c>
      <c r="H9" s="90" t="s">
        <v>294</v>
      </c>
      <c r="I9" s="279" t="s">
        <v>453</v>
      </c>
      <c r="J9" s="279" t="s">
        <v>458</v>
      </c>
      <c r="K9" s="112" t="s">
        <v>454</v>
      </c>
      <c r="L9" s="112" t="s">
        <v>459</v>
      </c>
    </row>
    <row r="10" spans="1:12" ht="21.75" x14ac:dyDescent="0.25">
      <c r="A10" s="66" t="s">
        <v>421</v>
      </c>
      <c r="B10" s="62">
        <v>0.6</v>
      </c>
      <c r="C10" s="62" t="s">
        <v>180</v>
      </c>
      <c r="D10" s="67">
        <f>ARQUITETURA!D48</f>
        <v>128.07</v>
      </c>
      <c r="E10" s="67" t="s">
        <v>2</v>
      </c>
      <c r="F10" s="88">
        <v>30.919999999999998</v>
      </c>
      <c r="G10" s="89">
        <f>F10*D10*1</f>
        <v>3959.9243999999994</v>
      </c>
      <c r="H10" s="67"/>
      <c r="I10" s="195">
        <f t="shared" ref="I10:I19" si="0">F10</f>
        <v>30.919999999999998</v>
      </c>
      <c r="J10" s="278">
        <f>I10*$D10</f>
        <v>3959.9243999999994</v>
      </c>
      <c r="L10" s="278">
        <f t="shared" ref="J10:L20" si="1">K10*$D10</f>
        <v>0</v>
      </c>
    </row>
    <row r="11" spans="1:12" ht="21.75" x14ac:dyDescent="0.25">
      <c r="A11" s="66" t="s">
        <v>422</v>
      </c>
      <c r="B11" s="62">
        <v>0.6</v>
      </c>
      <c r="C11" s="62" t="s">
        <v>180</v>
      </c>
      <c r="D11" s="67">
        <f>ARQUITETURA!D49</f>
        <v>328.73</v>
      </c>
      <c r="E11" s="67" t="s">
        <v>2</v>
      </c>
      <c r="F11" s="88">
        <v>35.67</v>
      </c>
      <c r="G11" s="89">
        <f>F11*D11*1</f>
        <v>11725.799100000002</v>
      </c>
      <c r="H11" s="67"/>
      <c r="I11" s="195">
        <f t="shared" si="0"/>
        <v>35.67</v>
      </c>
      <c r="J11" s="278">
        <f t="shared" si="1"/>
        <v>11725.799100000002</v>
      </c>
      <c r="L11" s="278">
        <f t="shared" si="1"/>
        <v>0</v>
      </c>
    </row>
    <row r="12" spans="1:12" ht="21.75" x14ac:dyDescent="0.25">
      <c r="A12" s="66" t="s">
        <v>423</v>
      </c>
      <c r="B12" s="62">
        <v>0.8</v>
      </c>
      <c r="C12" s="62" t="s">
        <v>178</v>
      </c>
      <c r="D12" s="67">
        <f>ARQUITETURA!D50+ARQUITETURA!D51</f>
        <v>4419.6399999999994</v>
      </c>
      <c r="E12" s="67" t="s">
        <v>2</v>
      </c>
      <c r="F12" s="88">
        <v>41.18</v>
      </c>
      <c r="G12" s="89">
        <f>F12*D12*1</f>
        <v>182000.77519999997</v>
      </c>
      <c r="H12" s="67"/>
      <c r="I12" s="195">
        <f t="shared" si="0"/>
        <v>41.18</v>
      </c>
      <c r="J12" s="278">
        <f t="shared" si="1"/>
        <v>182000.77519999997</v>
      </c>
      <c r="L12" s="278">
        <f t="shared" si="1"/>
        <v>0</v>
      </c>
    </row>
    <row r="13" spans="1:12" ht="21.75" x14ac:dyDescent="0.25">
      <c r="A13" s="66" t="s">
        <v>424</v>
      </c>
      <c r="B13" s="62">
        <v>0.8</v>
      </c>
      <c r="C13" s="62" t="s">
        <v>178</v>
      </c>
      <c r="D13" s="67"/>
      <c r="E13" s="67" t="s">
        <v>2</v>
      </c>
      <c r="F13" s="88">
        <v>53.02</v>
      </c>
      <c r="G13" s="89">
        <f>F13*D13*1</f>
        <v>0</v>
      </c>
      <c r="H13" s="67"/>
      <c r="I13" s="195">
        <f t="shared" si="0"/>
        <v>53.02</v>
      </c>
      <c r="J13" s="278">
        <f t="shared" si="1"/>
        <v>0</v>
      </c>
      <c r="L13" s="278">
        <f t="shared" si="1"/>
        <v>0</v>
      </c>
    </row>
    <row r="14" spans="1:12" ht="21.75" x14ac:dyDescent="0.25">
      <c r="A14" s="66" t="s">
        <v>175</v>
      </c>
      <c r="B14" s="62">
        <v>0.18</v>
      </c>
      <c r="C14" s="62" t="s">
        <v>37</v>
      </c>
      <c r="D14" s="67"/>
      <c r="E14" s="67" t="s">
        <v>2</v>
      </c>
      <c r="F14" s="88">
        <v>82.960000000000008</v>
      </c>
      <c r="G14" s="89">
        <f>F14*D14*1</f>
        <v>0</v>
      </c>
      <c r="H14" s="67"/>
      <c r="I14" s="195">
        <f t="shared" si="0"/>
        <v>82.960000000000008</v>
      </c>
      <c r="J14" s="278">
        <f t="shared" si="1"/>
        <v>0</v>
      </c>
      <c r="L14" s="278">
        <f t="shared" si="1"/>
        <v>0</v>
      </c>
    </row>
    <row r="15" spans="1:12" ht="21.75" x14ac:dyDescent="0.25">
      <c r="A15" s="66" t="s">
        <v>172</v>
      </c>
      <c r="B15" s="62">
        <v>1.75</v>
      </c>
      <c r="C15" s="62" t="s">
        <v>308</v>
      </c>
      <c r="D15" s="67">
        <f>'Obra '!F18*B15</f>
        <v>36.75</v>
      </c>
      <c r="E15" s="67" t="s">
        <v>2</v>
      </c>
      <c r="F15" s="88">
        <v>310</v>
      </c>
      <c r="G15" s="89">
        <f>F15*D15*1.1</f>
        <v>12531.750000000002</v>
      </c>
      <c r="H15" s="67"/>
      <c r="I15" s="195">
        <f t="shared" si="0"/>
        <v>310</v>
      </c>
      <c r="J15" s="278">
        <f t="shared" si="1"/>
        <v>11392.5</v>
      </c>
      <c r="L15" s="278">
        <f t="shared" si="1"/>
        <v>0</v>
      </c>
    </row>
    <row r="16" spans="1:12" ht="21.75" x14ac:dyDescent="0.25">
      <c r="A16" s="66" t="s">
        <v>634</v>
      </c>
      <c r="B16" s="62"/>
      <c r="C16" s="62"/>
      <c r="D16" s="287">
        <f>864*0.24*0.24</f>
        <v>49.766399999999997</v>
      </c>
      <c r="E16" s="287" t="s">
        <v>2</v>
      </c>
      <c r="F16" s="203">
        <v>309.52499999999998</v>
      </c>
      <c r="G16" s="317">
        <f>F16*D16*1.1</f>
        <v>16944.339456000002</v>
      </c>
      <c r="H16" s="67"/>
      <c r="I16" s="195">
        <f t="shared" ref="I16" si="2">F16</f>
        <v>309.52499999999998</v>
      </c>
      <c r="J16" s="278">
        <f t="shared" ref="J16" si="3">I16*$D16</f>
        <v>15403.944959999999</v>
      </c>
      <c r="L16" s="278">
        <f t="shared" ref="L16" si="4">K16*$D16</f>
        <v>0</v>
      </c>
    </row>
    <row r="17" spans="1:13" ht="21.75" x14ac:dyDescent="0.25">
      <c r="A17" s="78" t="s">
        <v>425</v>
      </c>
      <c r="B17" s="62">
        <v>1.65</v>
      </c>
      <c r="C17" s="62" t="s">
        <v>176</v>
      </c>
      <c r="D17" s="67"/>
      <c r="E17" s="67" t="s">
        <v>2</v>
      </c>
      <c r="F17" s="88">
        <v>270</v>
      </c>
      <c r="G17" s="89">
        <f>F17*D17*1</f>
        <v>0</v>
      </c>
      <c r="H17" s="67"/>
      <c r="I17" s="195">
        <f t="shared" si="0"/>
        <v>270</v>
      </c>
      <c r="J17" s="278">
        <f t="shared" si="1"/>
        <v>0</v>
      </c>
      <c r="L17" s="278">
        <f t="shared" si="1"/>
        <v>0</v>
      </c>
      <c r="M17" s="55" t="s">
        <v>457</v>
      </c>
    </row>
    <row r="18" spans="1:13" ht="21.75" x14ac:dyDescent="0.25">
      <c r="A18" s="78" t="s">
        <v>451</v>
      </c>
      <c r="B18" s="62">
        <v>1.65</v>
      </c>
      <c r="C18" s="62" t="s">
        <v>176</v>
      </c>
      <c r="D18" s="67">
        <f>ARQUITETURA!D54</f>
        <v>45.99</v>
      </c>
      <c r="E18" s="67" t="s">
        <v>2</v>
      </c>
      <c r="F18" s="88">
        <v>250</v>
      </c>
      <c r="G18" s="89">
        <f>F18*D18*1</f>
        <v>11497.5</v>
      </c>
      <c r="H18" s="67"/>
      <c r="I18" s="195">
        <f t="shared" si="0"/>
        <v>250</v>
      </c>
      <c r="J18" s="278">
        <f t="shared" si="1"/>
        <v>11497.5</v>
      </c>
      <c r="L18" s="278">
        <f t="shared" si="1"/>
        <v>0</v>
      </c>
      <c r="M18" s="55" t="s">
        <v>457</v>
      </c>
    </row>
    <row r="19" spans="1:13" ht="21.75" x14ac:dyDescent="0.25">
      <c r="A19" s="66" t="s">
        <v>171</v>
      </c>
      <c r="B19" s="62">
        <v>12.5</v>
      </c>
      <c r="C19" s="62" t="s">
        <v>170</v>
      </c>
      <c r="D19" s="67">
        <f>SUM(D10:D14)</f>
        <v>4876.4399999999996</v>
      </c>
      <c r="E19" s="67" t="s">
        <v>2</v>
      </c>
      <c r="F19" s="88">
        <v>10.6</v>
      </c>
      <c r="G19" s="89">
        <f>F19*D19*1.1</f>
        <v>56859.290399999998</v>
      </c>
      <c r="H19" s="67"/>
      <c r="I19" s="195">
        <f t="shared" si="0"/>
        <v>10.6</v>
      </c>
      <c r="J19" s="278">
        <f t="shared" si="1"/>
        <v>51690.263999999996</v>
      </c>
      <c r="L19" s="278">
        <f t="shared" si="1"/>
        <v>0</v>
      </c>
    </row>
    <row r="20" spans="1:13" ht="21.75" x14ac:dyDescent="0.25">
      <c r="A20" s="66" t="s">
        <v>25</v>
      </c>
      <c r="B20" s="62">
        <v>35</v>
      </c>
      <c r="C20" s="62" t="s">
        <v>170</v>
      </c>
      <c r="D20" s="67">
        <f>SUM(D10:D14)</f>
        <v>4876.4399999999996</v>
      </c>
      <c r="E20" s="67" t="s">
        <v>2</v>
      </c>
      <c r="F20" s="88">
        <v>48</v>
      </c>
      <c r="G20" s="89">
        <f>F20*D20*1</f>
        <v>234069.12</v>
      </c>
      <c r="H20" s="67"/>
      <c r="J20" s="278">
        <f t="shared" si="1"/>
        <v>0</v>
      </c>
      <c r="K20" s="195">
        <f>F20</f>
        <v>48</v>
      </c>
      <c r="L20" s="278">
        <f t="shared" si="1"/>
        <v>234069.12</v>
      </c>
      <c r="M20" s="55" t="s">
        <v>456</v>
      </c>
    </row>
    <row r="21" spans="1:13" ht="21.75" x14ac:dyDescent="0.25">
      <c r="A21" s="328" t="s">
        <v>17</v>
      </c>
      <c r="B21" s="328"/>
      <c r="C21" s="328"/>
      <c r="D21" s="328"/>
      <c r="E21" s="328"/>
      <c r="F21" s="328"/>
      <c r="G21" s="90">
        <f>SUM(G10:G20)</f>
        <v>529588.49855599995</v>
      </c>
      <c r="H21" s="90"/>
    </row>
    <row r="23" spans="1:13" ht="21.75" hidden="1" x14ac:dyDescent="0.25">
      <c r="A23" s="52" t="s">
        <v>338</v>
      </c>
      <c r="B23" s="52"/>
      <c r="C23" s="52"/>
      <c r="D23" s="53"/>
      <c r="E23" s="53"/>
      <c r="F23" s="54"/>
      <c r="G23" s="53"/>
      <c r="H23" s="53"/>
    </row>
    <row r="24" spans="1:13" ht="21.75" hidden="1" x14ac:dyDescent="0.25">
      <c r="A24" s="56"/>
      <c r="B24" s="56"/>
      <c r="C24" s="56"/>
      <c r="D24" s="57"/>
      <c r="E24" s="57"/>
      <c r="F24" s="58"/>
      <c r="G24" s="59"/>
      <c r="H24" s="59"/>
    </row>
    <row r="25" spans="1:13" ht="21.75" hidden="1" x14ac:dyDescent="0.25">
      <c r="A25" s="63" t="s">
        <v>14</v>
      </c>
      <c r="B25" s="333" t="s">
        <v>5</v>
      </c>
      <c r="C25" s="334"/>
      <c r="D25" s="333" t="s">
        <v>18</v>
      </c>
      <c r="E25" s="334"/>
      <c r="F25" s="65" t="s">
        <v>118</v>
      </c>
      <c r="G25" s="71" t="s">
        <v>16</v>
      </c>
      <c r="H25" s="90" t="s">
        <v>294</v>
      </c>
    </row>
    <row r="26" spans="1:13" ht="21.75" hidden="1" x14ac:dyDescent="0.25">
      <c r="A26" s="66" t="s">
        <v>181</v>
      </c>
      <c r="B26" s="62">
        <v>1</v>
      </c>
      <c r="C26" s="62" t="s">
        <v>180</v>
      </c>
      <c r="D26" s="67">
        <f>B26*DADOS_INICIAIS!$E$22</f>
        <v>674.15</v>
      </c>
      <c r="E26" s="67" t="s">
        <v>2</v>
      </c>
      <c r="F26" s="88">
        <v>45</v>
      </c>
      <c r="G26" s="89">
        <f>F26*D26*1.1</f>
        <v>33370.425000000003</v>
      </c>
      <c r="H26" s="67"/>
    </row>
    <row r="27" spans="1:13" ht="21.75" hidden="1" x14ac:dyDescent="0.25">
      <c r="A27" s="78" t="s">
        <v>179</v>
      </c>
      <c r="B27" s="62">
        <v>0.4</v>
      </c>
      <c r="C27" s="62" t="s">
        <v>178</v>
      </c>
      <c r="D27" s="67">
        <f>B27*DADOS_INICIAIS!$E$21</f>
        <v>189.51600000000002</v>
      </c>
      <c r="E27" s="67" t="s">
        <v>2</v>
      </c>
      <c r="F27" s="88">
        <v>45</v>
      </c>
      <c r="G27" s="89">
        <f>F27*D27*1.1</f>
        <v>9381.0420000000013</v>
      </c>
      <c r="H27" s="67"/>
    </row>
    <row r="28" spans="1:13" ht="21.75" hidden="1" x14ac:dyDescent="0.25">
      <c r="A28" s="78" t="s">
        <v>177</v>
      </c>
      <c r="B28" s="62">
        <v>1.65</v>
      </c>
      <c r="C28" s="62" t="s">
        <v>176</v>
      </c>
      <c r="D28" s="67">
        <f>B28*(DADOS_INICIAIS!$E$19*(DADOS_INICIAIS!$E$16+DADOS_INICIAIS!$E$17))*0.4</f>
        <v>2095.3020000000001</v>
      </c>
      <c r="E28" s="67" t="s">
        <v>2</v>
      </c>
      <c r="F28" s="88">
        <v>45</v>
      </c>
      <c r="G28" s="89">
        <f>F28*D28*1.1</f>
        <v>103717.44900000002</v>
      </c>
      <c r="H28" s="67"/>
    </row>
    <row r="29" spans="1:13" ht="21.75" hidden="1" x14ac:dyDescent="0.25">
      <c r="A29" s="78" t="s">
        <v>306</v>
      </c>
      <c r="B29" s="62">
        <v>1.65</v>
      </c>
      <c r="C29" s="62" t="s">
        <v>176</v>
      </c>
      <c r="D29" s="67">
        <f>B29*(DADOS_INICIAIS!$E$19*(DADOS_INICIAIS!$E$16+DADOS_INICIAIS!$E$17))*0.6</f>
        <v>3142.953</v>
      </c>
      <c r="E29" s="67" t="s">
        <v>2</v>
      </c>
      <c r="F29" s="88">
        <v>220</v>
      </c>
      <c r="G29" s="89">
        <f t="shared" ref="G29:G33" si="5">F29*D29*1.1</f>
        <v>760594.62600000005</v>
      </c>
      <c r="H29" s="67"/>
      <c r="J29" s="55">
        <f>D29/(D33+D29)</f>
        <v>0.42840365523880897</v>
      </c>
    </row>
    <row r="30" spans="1:13" ht="21.75" hidden="1" x14ac:dyDescent="0.25">
      <c r="A30" s="78" t="s">
        <v>175</v>
      </c>
      <c r="B30" s="62">
        <v>0.2</v>
      </c>
      <c r="C30" s="62" t="s">
        <v>37</v>
      </c>
      <c r="D30" s="67">
        <f>B30*DADOS_INICIAIS!$E$9</f>
        <v>726.55600000000004</v>
      </c>
      <c r="E30" s="67" t="s">
        <v>2</v>
      </c>
      <c r="F30" s="88">
        <v>70</v>
      </c>
      <c r="G30" s="89">
        <f t="shared" si="5"/>
        <v>55944.812000000013</v>
      </c>
      <c r="H30" s="67"/>
      <c r="J30" s="55">
        <f>1-J29</f>
        <v>0.57159634476119103</v>
      </c>
    </row>
    <row r="31" spans="1:13" ht="21.75" hidden="1" x14ac:dyDescent="0.25">
      <c r="A31" s="66" t="s">
        <v>174</v>
      </c>
      <c r="B31" s="62">
        <v>0.8</v>
      </c>
      <c r="C31" s="62" t="s">
        <v>173</v>
      </c>
      <c r="D31" s="67">
        <f>B31*DADOS_INICIAIS!$E$19</f>
        <v>507.95200000000006</v>
      </c>
      <c r="E31" s="67" t="s">
        <v>22</v>
      </c>
      <c r="F31" s="88">
        <v>45</v>
      </c>
      <c r="G31" s="89">
        <f t="shared" si="5"/>
        <v>25143.624000000007</v>
      </c>
      <c r="H31" s="67"/>
    </row>
    <row r="32" spans="1:13" ht="21.75" hidden="1" x14ac:dyDescent="0.25">
      <c r="A32" s="66" t="s">
        <v>172</v>
      </c>
      <c r="B32" s="62">
        <v>1.75</v>
      </c>
      <c r="C32" s="62" t="s">
        <v>308</v>
      </c>
      <c r="D32" s="67">
        <f>'SISTEMAS ESPECIAIS'!B10</f>
        <v>21</v>
      </c>
      <c r="E32" s="67" t="s">
        <v>325</v>
      </c>
      <c r="F32" s="88">
        <v>210</v>
      </c>
      <c r="G32" s="89">
        <f t="shared" si="5"/>
        <v>4851</v>
      </c>
      <c r="H32" s="67"/>
    </row>
    <row r="33" spans="1:8" ht="21.75" hidden="1" x14ac:dyDescent="0.25">
      <c r="A33" s="66" t="s">
        <v>171</v>
      </c>
      <c r="B33" s="62">
        <v>12.5</v>
      </c>
      <c r="C33" s="62" t="s">
        <v>170</v>
      </c>
      <c r="D33" s="67">
        <f>D27+D28+D26+D30+D31</f>
        <v>4193.4760000000006</v>
      </c>
      <c r="E33" s="67" t="s">
        <v>2</v>
      </c>
      <c r="F33" s="88">
        <f>B33</f>
        <v>12.5</v>
      </c>
      <c r="G33" s="89">
        <f t="shared" si="5"/>
        <v>57660.295000000013</v>
      </c>
      <c r="H33" s="67"/>
    </row>
    <row r="34" spans="1:8" ht="21.75" hidden="1" x14ac:dyDescent="0.25">
      <c r="A34" s="66" t="s">
        <v>25</v>
      </c>
      <c r="B34" s="62">
        <v>35</v>
      </c>
      <c r="C34" s="62" t="s">
        <v>170</v>
      </c>
      <c r="D34" s="67">
        <f>D27+D28+D26+D30+D31</f>
        <v>4193.4760000000006</v>
      </c>
      <c r="E34" s="67" t="s">
        <v>2</v>
      </c>
      <c r="F34" s="88">
        <v>35</v>
      </c>
      <c r="G34" s="89">
        <f>F34*D34*1.1</f>
        <v>161448.82600000006</v>
      </c>
      <c r="H34" s="67"/>
    </row>
    <row r="35" spans="1:8" ht="21.75" hidden="1" x14ac:dyDescent="0.25">
      <c r="A35" s="328" t="s">
        <v>17</v>
      </c>
      <c r="B35" s="328"/>
      <c r="C35" s="328"/>
      <c r="D35" s="328"/>
      <c r="E35" s="328"/>
      <c r="F35" s="328"/>
      <c r="G35" s="90">
        <f>SUM(G26:G34)</f>
        <v>1212112.0990000002</v>
      </c>
      <c r="H35" s="90"/>
    </row>
    <row r="36" spans="1:8" hidden="1" x14ac:dyDescent="0.25"/>
    <row r="37" spans="1:8" hidden="1" x14ac:dyDescent="0.25"/>
    <row r="38" spans="1:8" ht="21.75" x14ac:dyDescent="0.25">
      <c r="A38" s="335" t="s">
        <v>168</v>
      </c>
      <c r="B38" s="336"/>
      <c r="C38" s="336"/>
      <c r="D38" s="336"/>
      <c r="E38" s="336"/>
      <c r="F38" s="337"/>
      <c r="G38" s="91">
        <f>G21</f>
        <v>529588.49855599995</v>
      </c>
      <c r="H38" s="91">
        <f>G38/DADOS_INICIAIS!E9</f>
        <v>145.78050378938443</v>
      </c>
    </row>
    <row r="41" spans="1:8" x14ac:dyDescent="0.25">
      <c r="G41" s="195">
        <f>G38/1.1</f>
        <v>481444.08959636354</v>
      </c>
      <c r="H41" s="55">
        <f>G41/DADOS_INICIAIS!E9</f>
        <v>132.52773071762221</v>
      </c>
    </row>
  </sheetData>
  <mergeCells count="8">
    <mergeCell ref="A35:F35"/>
    <mergeCell ref="A38:F38"/>
    <mergeCell ref="A3:H3"/>
    <mergeCell ref="B9:C9"/>
    <mergeCell ref="D9:E9"/>
    <mergeCell ref="A21:F21"/>
    <mergeCell ref="B25:C25"/>
    <mergeCell ref="D25:E2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20EE-5AC6-4766-BCD9-F110DF8BD5BE}">
  <sheetPr>
    <tabColor rgb="FF92D050"/>
  </sheetPr>
  <dimension ref="A1:L24"/>
  <sheetViews>
    <sheetView showGridLines="0" tabSelected="1" zoomScale="80" zoomScaleNormal="80" zoomScaleSheetLayoutView="95" workbookViewId="0">
      <selection activeCell="A8" sqref="A8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18.57031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329" t="s">
        <v>222</v>
      </c>
      <c r="B3" s="340"/>
      <c r="C3" s="340"/>
      <c r="D3" s="330"/>
      <c r="E3" s="330"/>
      <c r="F3" s="330"/>
      <c r="G3" s="330"/>
      <c r="H3" s="331"/>
      <c r="J3" s="79"/>
    </row>
    <row r="4" spans="1:12" ht="19.5" x14ac:dyDescent="0.25">
      <c r="A4" s="186" t="s">
        <v>185</v>
      </c>
      <c r="B4" s="192">
        <v>45471</v>
      </c>
      <c r="C4" s="190"/>
      <c r="D4" s="190"/>
      <c r="E4" s="190"/>
      <c r="F4" s="190"/>
      <c r="G4" s="190"/>
      <c r="H4" s="191"/>
      <c r="J4" s="79"/>
    </row>
    <row r="5" spans="1:12" ht="19.5" x14ac:dyDescent="0.25">
      <c r="A5" s="186" t="s">
        <v>291</v>
      </c>
      <c r="B5" s="193" t="s">
        <v>209</v>
      </c>
      <c r="C5" s="188"/>
      <c r="D5" s="188"/>
      <c r="E5" s="188"/>
      <c r="F5" s="188"/>
      <c r="G5" s="188"/>
      <c r="H5" s="189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647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333" t="s">
        <v>5</v>
      </c>
      <c r="C9" s="334"/>
      <c r="D9" s="333" t="s">
        <v>18</v>
      </c>
      <c r="E9" s="334"/>
      <c r="F9" s="65" t="s">
        <v>118</v>
      </c>
      <c r="G9" s="71" t="s">
        <v>16</v>
      </c>
      <c r="H9" s="90" t="s">
        <v>294</v>
      </c>
      <c r="I9" s="279"/>
      <c r="J9" s="279"/>
      <c r="K9" s="112"/>
      <c r="L9" s="112"/>
    </row>
    <row r="10" spans="1:12" ht="21.75" x14ac:dyDescent="0.25">
      <c r="A10" s="66" t="s">
        <v>221</v>
      </c>
      <c r="B10" s="62">
        <v>25</v>
      </c>
      <c r="C10" s="62" t="s">
        <v>170</v>
      </c>
      <c r="D10" s="67">
        <f>D14+D15</f>
        <v>1624.665</v>
      </c>
      <c r="E10" s="67" t="s">
        <v>2</v>
      </c>
      <c r="F10" s="88">
        <f>7.69+25</f>
        <v>32.69</v>
      </c>
      <c r="G10" s="89">
        <f t="shared" ref="G10:G17" si="0">F10*D10*1.1</f>
        <v>58421.328734999996</v>
      </c>
      <c r="H10" s="67"/>
      <c r="I10" s="55" t="s">
        <v>457</v>
      </c>
    </row>
    <row r="11" spans="1:12" ht="21.75" x14ac:dyDescent="0.25">
      <c r="A11" s="78" t="s">
        <v>220</v>
      </c>
      <c r="B11" s="62">
        <v>45</v>
      </c>
      <c r="C11" s="62" t="s">
        <v>170</v>
      </c>
      <c r="D11" s="67">
        <f>(3.24+(7.2)*1.8)</f>
        <v>16.200000000000003</v>
      </c>
      <c r="E11" s="67" t="s">
        <v>2</v>
      </c>
      <c r="F11" s="88">
        <v>41</v>
      </c>
      <c r="G11" s="89">
        <f t="shared" si="0"/>
        <v>730.62000000000023</v>
      </c>
      <c r="H11" s="67"/>
      <c r="I11" s="55" t="s">
        <v>457</v>
      </c>
    </row>
    <row r="12" spans="1:12" ht="21.75" x14ac:dyDescent="0.25">
      <c r="A12" s="78" t="s">
        <v>219</v>
      </c>
      <c r="B12" s="62">
        <v>30</v>
      </c>
      <c r="C12" s="62" t="s">
        <v>170</v>
      </c>
      <c r="D12" s="67">
        <f>INFRAESTRUTURA!D28</f>
        <v>370.78250000000003</v>
      </c>
      <c r="E12" s="67" t="s">
        <v>2</v>
      </c>
      <c r="F12" s="88">
        <v>35</v>
      </c>
      <c r="G12" s="89">
        <f t="shared" si="0"/>
        <v>14275.126250000001</v>
      </c>
      <c r="H12" s="67"/>
      <c r="I12" s="55" t="s">
        <v>457</v>
      </c>
    </row>
    <row r="13" spans="1:12" ht="21.75" x14ac:dyDescent="0.25">
      <c r="A13" s="66" t="s">
        <v>218</v>
      </c>
      <c r="B13" s="62"/>
      <c r="C13" s="62"/>
      <c r="D13" s="67">
        <f>SUM('Obra '!N21:N31)</f>
        <v>100</v>
      </c>
      <c r="E13" s="67" t="s">
        <v>3</v>
      </c>
      <c r="F13" s="88">
        <v>80</v>
      </c>
      <c r="G13" s="89">
        <f t="shared" si="0"/>
        <v>8800</v>
      </c>
      <c r="H13" s="67"/>
      <c r="I13" s="55" t="s">
        <v>457</v>
      </c>
    </row>
    <row r="14" spans="1:12" ht="21.75" x14ac:dyDescent="0.25">
      <c r="A14" s="66" t="s">
        <v>217</v>
      </c>
      <c r="B14" s="62">
        <v>0.25</v>
      </c>
      <c r="C14" s="62" t="s">
        <v>37</v>
      </c>
      <c r="D14" s="67">
        <f>B14*DADOS_INICIAIS!E9</f>
        <v>908.19499999999994</v>
      </c>
      <c r="E14" s="67" t="s">
        <v>2</v>
      </c>
      <c r="F14" s="88">
        <v>60</v>
      </c>
      <c r="G14" s="89">
        <f t="shared" si="0"/>
        <v>59940.87</v>
      </c>
      <c r="H14" s="67"/>
      <c r="I14" s="55" t="s">
        <v>457</v>
      </c>
    </row>
    <row r="15" spans="1:12" ht="21.75" x14ac:dyDescent="0.25">
      <c r="A15" s="66" t="s">
        <v>216</v>
      </c>
      <c r="B15" s="62">
        <v>0.11</v>
      </c>
      <c r="C15" s="62" t="s">
        <v>37</v>
      </c>
      <c r="D15" s="67">
        <f>'Obra '!D27+'Obra '!D22*0.2+'Acabamentos de Piso e Parede'!B18</f>
        <v>716.47</v>
      </c>
      <c r="E15" s="67" t="s">
        <v>2</v>
      </c>
      <c r="F15" s="88">
        <v>110</v>
      </c>
      <c r="G15" s="89">
        <f t="shared" si="0"/>
        <v>86692.87000000001</v>
      </c>
      <c r="H15" s="67"/>
      <c r="I15" s="55" t="s">
        <v>457</v>
      </c>
    </row>
    <row r="16" spans="1:12" ht="21.75" x14ac:dyDescent="0.25">
      <c r="A16" s="66" t="s">
        <v>215</v>
      </c>
      <c r="B16" s="62">
        <v>0.6</v>
      </c>
      <c r="C16" s="62" t="s">
        <v>6</v>
      </c>
      <c r="D16" s="67">
        <v>1</v>
      </c>
      <c r="E16" s="67" t="s">
        <v>27</v>
      </c>
      <c r="F16" s="88">
        <f>B16*DADOS_INICIAIS!$E$9</f>
        <v>2179.6679999999997</v>
      </c>
      <c r="G16" s="89">
        <f t="shared" si="0"/>
        <v>2397.6347999999998</v>
      </c>
      <c r="H16" s="67"/>
      <c r="I16" s="55" t="s">
        <v>457</v>
      </c>
    </row>
    <row r="17" spans="1:9" ht="21.75" x14ac:dyDescent="0.25">
      <c r="A17" s="66" t="s">
        <v>214</v>
      </c>
      <c r="B17" s="62">
        <v>28</v>
      </c>
      <c r="C17" s="62" t="s">
        <v>170</v>
      </c>
      <c r="D17" s="67">
        <f>D15</f>
        <v>716.47</v>
      </c>
      <c r="E17" s="67" t="s">
        <v>2</v>
      </c>
      <c r="F17" s="88">
        <f>42.3+35</f>
        <v>77.3</v>
      </c>
      <c r="G17" s="89">
        <f t="shared" si="0"/>
        <v>60921.444100000008</v>
      </c>
      <c r="H17" s="67"/>
      <c r="I17" s="55" t="s">
        <v>457</v>
      </c>
    </row>
    <row r="18" spans="1:9" ht="21.75" x14ac:dyDescent="0.25">
      <c r="A18" s="328" t="s">
        <v>17</v>
      </c>
      <c r="B18" s="328"/>
      <c r="C18" s="328"/>
      <c r="D18" s="328"/>
      <c r="E18" s="328"/>
      <c r="F18" s="328"/>
      <c r="G18" s="90">
        <f>SUM(G10:G17)</f>
        <v>292179.89388500003</v>
      </c>
      <c r="H18" s="90"/>
    </row>
    <row r="20" spans="1:9" ht="21.75" x14ac:dyDescent="0.25">
      <c r="A20" s="335" t="s">
        <v>213</v>
      </c>
      <c r="B20" s="336"/>
      <c r="C20" s="336"/>
      <c r="D20" s="336"/>
      <c r="E20" s="336"/>
      <c r="F20" s="337"/>
      <c r="G20" s="91">
        <f>G18</f>
        <v>292179.89388500003</v>
      </c>
      <c r="H20" s="91">
        <f>G20/DADOS_INICIAIS!E9</f>
        <v>80.428733335076728</v>
      </c>
    </row>
    <row r="23" spans="1:9" x14ac:dyDescent="0.25">
      <c r="H23" s="195">
        <f>H20/1.1</f>
        <v>73.117030304615199</v>
      </c>
    </row>
    <row r="24" spans="1:9" x14ac:dyDescent="0.25">
      <c r="F24" s="55">
        <f>SUM('Obra '!N21:N31)</f>
        <v>100</v>
      </c>
    </row>
  </sheetData>
  <mergeCells count="5">
    <mergeCell ref="A20:F20"/>
    <mergeCell ref="A3:H3"/>
    <mergeCell ref="B9:C9"/>
    <mergeCell ref="D9:E9"/>
    <mergeCell ref="A18:F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1518-D0F4-4632-BC49-7307CA0DA86C}">
  <sheetPr>
    <tabColor rgb="FF92D050"/>
  </sheetPr>
  <dimension ref="A1:I38"/>
  <sheetViews>
    <sheetView showGridLines="0" topLeftCell="A27" zoomScale="85" zoomScaleNormal="85" zoomScaleSheetLayoutView="95" workbookViewId="0">
      <selection activeCell="H35" sqref="H35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7" width="9.140625" style="1"/>
    <col min="8" max="8" width="15.7109375" style="1" bestFit="1" customWidth="1"/>
    <col min="9" max="16384" width="9.140625" style="1"/>
  </cols>
  <sheetData>
    <row r="1" spans="1:7" x14ac:dyDescent="0.25">
      <c r="A1" s="48"/>
      <c r="B1" s="48"/>
      <c r="C1" s="48"/>
      <c r="D1" s="48"/>
      <c r="E1" s="48"/>
      <c r="G1" s="2"/>
    </row>
    <row r="2" spans="1:7" ht="28.5" x14ac:dyDescent="0.25">
      <c r="A2" s="329" t="s">
        <v>250</v>
      </c>
      <c r="B2" s="330"/>
      <c r="C2" s="330"/>
      <c r="D2" s="330"/>
      <c r="E2" s="331"/>
      <c r="G2" s="2"/>
    </row>
    <row r="3" spans="1:7" x14ac:dyDescent="0.25">
      <c r="A3" s="50"/>
      <c r="B3" s="50"/>
      <c r="C3" s="50"/>
      <c r="D3" s="48"/>
      <c r="E3" s="48"/>
      <c r="G3" s="2"/>
    </row>
    <row r="4" spans="1:7" s="55" customFormat="1" ht="21.75" x14ac:dyDescent="0.25">
      <c r="A4" s="52" t="s">
        <v>249</v>
      </c>
      <c r="B4" s="53"/>
      <c r="C4" s="53"/>
      <c r="D4" s="53"/>
      <c r="E4" s="53"/>
    </row>
    <row r="5" spans="1:7" s="55" customFormat="1" ht="21.75" x14ac:dyDescent="0.25">
      <c r="A5" s="56"/>
      <c r="B5" s="57"/>
      <c r="C5" s="57"/>
      <c r="D5" s="59"/>
      <c r="E5" s="59"/>
    </row>
    <row r="6" spans="1:7" s="55" customFormat="1" ht="42" customHeight="1" x14ac:dyDescent="0.25">
      <c r="A6" s="63" t="s">
        <v>14</v>
      </c>
      <c r="B6" s="333" t="s">
        <v>5</v>
      </c>
      <c r="C6" s="334"/>
      <c r="D6" s="71" t="s">
        <v>16</v>
      </c>
      <c r="E6" s="59"/>
    </row>
    <row r="7" spans="1:7" s="55" customFormat="1" ht="21.75" x14ac:dyDescent="0.25">
      <c r="A7" s="66" t="s">
        <v>248</v>
      </c>
      <c r="B7" s="62">
        <v>5.5</v>
      </c>
      <c r="C7" s="62" t="s">
        <v>6</v>
      </c>
      <c r="D7" s="89">
        <f>B7*DADOS_INICIAIS!$E$9*1.1</f>
        <v>21978.319</v>
      </c>
      <c r="E7" s="57"/>
    </row>
    <row r="8" spans="1:7" s="55" customFormat="1" ht="21.75" x14ac:dyDescent="0.25">
      <c r="A8" s="66" t="s">
        <v>247</v>
      </c>
      <c r="B8" s="62">
        <v>10</v>
      </c>
      <c r="C8" s="62" t="s">
        <v>6</v>
      </c>
      <c r="D8" s="89">
        <f>B8*DADOS_INICIAIS!$E$9*1.1</f>
        <v>39960.58</v>
      </c>
      <c r="E8" s="57"/>
    </row>
    <row r="9" spans="1:7" s="55" customFormat="1" ht="21.75" x14ac:dyDescent="0.25">
      <c r="A9" s="66" t="s">
        <v>246</v>
      </c>
      <c r="B9" s="62">
        <v>30</v>
      </c>
      <c r="C9" s="62" t="s">
        <v>6</v>
      </c>
      <c r="D9" s="89">
        <f>B9*DADOS_INICIAIS!$E$9*1.1</f>
        <v>119881.74</v>
      </c>
      <c r="E9" s="57"/>
    </row>
    <row r="10" spans="1:7" s="55" customFormat="1" ht="21.75" x14ac:dyDescent="0.25">
      <c r="A10" s="66" t="s">
        <v>245</v>
      </c>
      <c r="B10" s="62">
        <v>18</v>
      </c>
      <c r="C10" s="62" t="s">
        <v>6</v>
      </c>
      <c r="D10" s="89">
        <f>B10*DADOS_INICIAIS!$E$9*1.1</f>
        <v>71929.043999999994</v>
      </c>
      <c r="E10" s="57"/>
    </row>
    <row r="11" spans="1:7" s="55" customFormat="1" ht="21.75" x14ac:dyDescent="0.25">
      <c r="A11" s="66" t="s">
        <v>244</v>
      </c>
      <c r="B11" s="62">
        <v>15</v>
      </c>
      <c r="C11" s="62" t="s">
        <v>6</v>
      </c>
      <c r="D11" s="89">
        <f>B11*DADOS_INICIAIS!$E$9*1.1</f>
        <v>59940.87</v>
      </c>
      <c r="E11" s="57"/>
    </row>
    <row r="12" spans="1:7" s="55" customFormat="1" ht="21.75" x14ac:dyDescent="0.25">
      <c r="A12" s="66" t="s">
        <v>243</v>
      </c>
      <c r="B12" s="62">
        <v>15</v>
      </c>
      <c r="C12" s="62" t="s">
        <v>6</v>
      </c>
      <c r="D12" s="89">
        <f>B12*DADOS_INICIAIS!$E$9*1.1</f>
        <v>59940.87</v>
      </c>
      <c r="E12" s="57"/>
    </row>
    <row r="13" spans="1:7" s="55" customFormat="1" ht="21.75" x14ac:dyDescent="0.25">
      <c r="A13" s="66" t="s">
        <v>242</v>
      </c>
      <c r="B13" s="62">
        <v>60</v>
      </c>
      <c r="C13" s="62" t="s">
        <v>6</v>
      </c>
      <c r="D13" s="89">
        <f>B13*DADOS_INICIAIS!$E$9*1.1</f>
        <v>239763.48</v>
      </c>
      <c r="E13" s="57"/>
    </row>
    <row r="14" spans="1:7" s="55" customFormat="1" ht="21.75" x14ac:dyDescent="0.25">
      <c r="A14" s="328" t="s">
        <v>17</v>
      </c>
      <c r="B14" s="328"/>
      <c r="C14" s="328"/>
      <c r="D14" s="90">
        <f>SUM(D7:D13)</f>
        <v>613394.90300000005</v>
      </c>
      <c r="E14" s="60">
        <f>D14/'Obra '!$C$10</f>
        <v>168.85000000000002</v>
      </c>
    </row>
    <row r="15" spans="1:7" s="55" customFormat="1" ht="21.75" x14ac:dyDescent="0.25">
      <c r="A15" s="332"/>
      <c r="B15" s="332"/>
      <c r="C15" s="332"/>
      <c r="D15" s="100"/>
      <c r="E15" s="59"/>
    </row>
    <row r="16" spans="1:7" s="55" customFormat="1" ht="21.75" x14ac:dyDescent="0.25">
      <c r="A16" s="52" t="s">
        <v>241</v>
      </c>
      <c r="B16" s="53"/>
      <c r="C16" s="53"/>
      <c r="D16" s="98"/>
      <c r="E16" s="53"/>
    </row>
    <row r="17" spans="1:6" s="55" customFormat="1" ht="21.75" x14ac:dyDescent="0.25">
      <c r="A17" s="56"/>
      <c r="B17" s="57"/>
      <c r="C17" s="57"/>
      <c r="D17" s="100"/>
      <c r="E17" s="59"/>
    </row>
    <row r="18" spans="1:6" s="55" customFormat="1" ht="42" customHeight="1" x14ac:dyDescent="0.25">
      <c r="A18" s="63" t="s">
        <v>14</v>
      </c>
      <c r="B18" s="333" t="s">
        <v>5</v>
      </c>
      <c r="C18" s="334"/>
      <c r="D18" s="90" t="s">
        <v>16</v>
      </c>
      <c r="E18" s="59"/>
    </row>
    <row r="19" spans="1:6" s="55" customFormat="1" ht="21.75" x14ac:dyDescent="0.25">
      <c r="A19" s="66" t="s">
        <v>240</v>
      </c>
      <c r="B19" s="62">
        <v>25</v>
      </c>
      <c r="C19" s="62" t="s">
        <v>6</v>
      </c>
      <c r="D19" s="89">
        <f>B19*DADOS_INICIAIS!$E$9*1.1</f>
        <v>99901.450000000012</v>
      </c>
      <c r="E19" s="57"/>
    </row>
    <row r="20" spans="1:6" s="55" customFormat="1" ht="21.75" x14ac:dyDescent="0.25">
      <c r="A20" s="66" t="s">
        <v>239</v>
      </c>
      <c r="B20" s="62">
        <v>20</v>
      </c>
      <c r="C20" s="62" t="s">
        <v>6</v>
      </c>
      <c r="D20" s="89">
        <f>B20*DADOS_INICIAIS!$E$9*1.1</f>
        <v>79921.16</v>
      </c>
      <c r="E20" s="57"/>
    </row>
    <row r="21" spans="1:6" s="55" customFormat="1" ht="21.75" x14ac:dyDescent="0.25">
      <c r="A21" s="66" t="s">
        <v>238</v>
      </c>
      <c r="B21" s="62">
        <v>10</v>
      </c>
      <c r="C21" s="62" t="s">
        <v>6</v>
      </c>
      <c r="D21" s="89">
        <f>B21*DADOS_INICIAIS!$E$9*1.1</f>
        <v>39960.58</v>
      </c>
      <c r="E21" s="57"/>
    </row>
    <row r="22" spans="1:6" s="55" customFormat="1" ht="21.75" x14ac:dyDescent="0.25">
      <c r="A22" s="66" t="s">
        <v>237</v>
      </c>
      <c r="B22" s="62">
        <v>15</v>
      </c>
      <c r="C22" s="62" t="s">
        <v>6</v>
      </c>
      <c r="D22" s="89">
        <f>B22*DADOS_INICIAIS!$E$9*1.1</f>
        <v>59940.87</v>
      </c>
      <c r="E22" s="57"/>
    </row>
    <row r="23" spans="1:6" s="55" customFormat="1" ht="21.75" x14ac:dyDescent="0.25">
      <c r="A23" s="66" t="s">
        <v>236</v>
      </c>
      <c r="B23" s="62">
        <v>22</v>
      </c>
      <c r="C23" s="62" t="s">
        <v>6</v>
      </c>
      <c r="D23" s="89">
        <f>B23*DADOS_INICIAIS!$E$9*1.1</f>
        <v>87913.275999999998</v>
      </c>
      <c r="E23" s="57"/>
    </row>
    <row r="24" spans="1:6" s="55" customFormat="1" ht="21.75" x14ac:dyDescent="0.25">
      <c r="A24" s="66" t="s">
        <v>235</v>
      </c>
      <c r="B24" s="62">
        <v>55</v>
      </c>
      <c r="C24" s="62" t="s">
        <v>6</v>
      </c>
      <c r="D24" s="89">
        <f>B24*DADOS_INICIAIS!$E$9*1.1</f>
        <v>219783.19</v>
      </c>
      <c r="E24" s="57"/>
    </row>
    <row r="25" spans="1:6" s="55" customFormat="1" ht="21.75" x14ac:dyDescent="0.25">
      <c r="A25" s="328" t="s">
        <v>17</v>
      </c>
      <c r="B25" s="328"/>
      <c r="C25" s="328"/>
      <c r="D25" s="90">
        <f>SUM(D19:D24)</f>
        <v>587420.52600000007</v>
      </c>
      <c r="E25" s="60">
        <f>D25/'Obra '!$C$10</f>
        <v>161.70000000000002</v>
      </c>
    </row>
    <row r="26" spans="1:6" s="55" customFormat="1" ht="21.75" x14ac:dyDescent="0.25">
      <c r="A26" s="332"/>
      <c r="B26" s="332"/>
      <c r="C26" s="332"/>
      <c r="D26" s="100"/>
      <c r="E26" s="59"/>
    </row>
    <row r="27" spans="1:6" s="55" customFormat="1" ht="21.75" x14ac:dyDescent="0.25">
      <c r="A27" s="52" t="s">
        <v>234</v>
      </c>
      <c r="B27" s="53"/>
      <c r="C27" s="53"/>
      <c r="D27" s="98"/>
      <c r="E27" s="53"/>
    </row>
    <row r="28" spans="1:6" s="55" customFormat="1" ht="21.75" x14ac:dyDescent="0.25">
      <c r="A28" s="56"/>
      <c r="B28" s="57"/>
      <c r="C28" s="57"/>
      <c r="D28" s="100"/>
      <c r="E28" s="59"/>
    </row>
    <row r="29" spans="1:6" s="55" customFormat="1" ht="42" customHeight="1" x14ac:dyDescent="0.25">
      <c r="A29" s="63" t="s">
        <v>14</v>
      </c>
      <c r="B29" s="333" t="s">
        <v>5</v>
      </c>
      <c r="C29" s="334"/>
      <c r="D29" s="90" t="s">
        <v>16</v>
      </c>
      <c r="E29" s="59"/>
    </row>
    <row r="30" spans="1:6" s="55" customFormat="1" ht="26.25" customHeight="1" x14ac:dyDescent="0.25">
      <c r="A30" s="70" t="s">
        <v>233</v>
      </c>
      <c r="B30" s="62">
        <v>20</v>
      </c>
      <c r="C30" s="62" t="s">
        <v>6</v>
      </c>
      <c r="D30" s="89">
        <f>B30*DADOS_INICIAIS!$E$9*1.1</f>
        <v>79921.16</v>
      </c>
      <c r="E30" s="60">
        <f>D30/'Obra '!$C$10</f>
        <v>22.000000000000004</v>
      </c>
    </row>
    <row r="31" spans="1:6" s="55" customFormat="1" ht="26.25" customHeight="1" x14ac:dyDescent="0.25">
      <c r="A31" s="70" t="s">
        <v>447</v>
      </c>
      <c r="B31" s="62">
        <f>95+35</f>
        <v>130</v>
      </c>
      <c r="C31" s="62" t="s">
        <v>6</v>
      </c>
      <c r="D31" s="89">
        <f>B31*DADOS_INICIAIS!$E$9*1.1*0</f>
        <v>0</v>
      </c>
      <c r="E31" s="60">
        <f>D31/'Obra '!$C$10</f>
        <v>0</v>
      </c>
      <c r="F31" s="55" t="s">
        <v>446</v>
      </c>
    </row>
    <row r="32" spans="1:6" s="55" customFormat="1" ht="26.25" customHeight="1" x14ac:dyDescent="0.25">
      <c r="A32" s="70" t="s">
        <v>232</v>
      </c>
      <c r="B32" s="62">
        <v>15</v>
      </c>
      <c r="C32" s="62" t="s">
        <v>6</v>
      </c>
      <c r="D32" s="89">
        <f>B32*DADOS_INICIAIS!$E$9*1.1</f>
        <v>59940.87</v>
      </c>
      <c r="E32" s="60">
        <f>D32/'Obra '!$C$10</f>
        <v>16.500000000000004</v>
      </c>
    </row>
    <row r="33" spans="1:9" s="55" customFormat="1" ht="21.75" x14ac:dyDescent="0.25">
      <c r="A33" s="70" t="s">
        <v>231</v>
      </c>
      <c r="B33" s="62">
        <v>8</v>
      </c>
      <c r="C33" s="62" t="s">
        <v>6</v>
      </c>
      <c r="D33" s="89">
        <f>B33*DADOS_INICIAIS!$E$9*1.1</f>
        <v>31968.464</v>
      </c>
      <c r="E33" s="60">
        <f>D33/'Obra '!$C$10</f>
        <v>8.8000000000000007</v>
      </c>
    </row>
    <row r="34" spans="1:9" s="55" customFormat="1" ht="21.75" x14ac:dyDescent="0.25">
      <c r="A34" s="328" t="s">
        <v>17</v>
      </c>
      <c r="B34" s="328"/>
      <c r="C34" s="328"/>
      <c r="D34" s="90">
        <f>SUM(D30:D33)</f>
        <v>171830.49400000001</v>
      </c>
      <c r="E34" s="60"/>
      <c r="H34" s="195">
        <f>D34*0.4</f>
        <v>68732.1976</v>
      </c>
    </row>
    <row r="35" spans="1:9" x14ac:dyDescent="0.25">
      <c r="D35" s="107"/>
      <c r="I35" s="47"/>
    </row>
    <row r="36" spans="1:9" ht="23.25" customHeight="1" x14ac:dyDescent="0.25">
      <c r="A36" s="325" t="s">
        <v>230</v>
      </c>
      <c r="B36" s="326"/>
      <c r="C36" s="326"/>
      <c r="D36" s="108">
        <f>D14+D25+D34</f>
        <v>1372645.923</v>
      </c>
      <c r="E36" s="108">
        <f>D36/DADOS_INICIAIS!E9</f>
        <v>377.85</v>
      </c>
    </row>
    <row r="38" spans="1:9" x14ac:dyDescent="0.25">
      <c r="E38" s="196">
        <f>E36/1.1</f>
        <v>343.5</v>
      </c>
    </row>
  </sheetData>
  <mergeCells count="10">
    <mergeCell ref="A36:C36"/>
    <mergeCell ref="A34:C34"/>
    <mergeCell ref="A2:E2"/>
    <mergeCell ref="A14:C14"/>
    <mergeCell ref="A15:C15"/>
    <mergeCell ref="B6:C6"/>
    <mergeCell ref="B18:C18"/>
    <mergeCell ref="B29:C29"/>
    <mergeCell ref="A25:C25"/>
    <mergeCell ref="A26:C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187-AAF1-4E2E-B3CF-221688C97F2B}">
  <sheetPr>
    <tabColor rgb="FF92D050"/>
  </sheetPr>
  <dimension ref="A1:I45"/>
  <sheetViews>
    <sheetView showGridLines="0" topLeftCell="A28" zoomScale="85" zoomScaleNormal="85" zoomScaleSheetLayoutView="95" workbookViewId="0">
      <selection activeCell="C32" sqref="C32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7" x14ac:dyDescent="0.25">
      <c r="A1" s="48"/>
      <c r="B1" s="48"/>
      <c r="C1" s="48"/>
      <c r="D1" s="48"/>
      <c r="E1" s="48"/>
      <c r="G1" s="2"/>
    </row>
    <row r="2" spans="1:7" ht="28.5" x14ac:dyDescent="0.25">
      <c r="A2" s="329" t="s">
        <v>269</v>
      </c>
      <c r="B2" s="330"/>
      <c r="C2" s="330"/>
      <c r="D2" s="330"/>
      <c r="E2" s="331"/>
      <c r="G2" s="2"/>
    </row>
    <row r="3" spans="1:7" x14ac:dyDescent="0.25">
      <c r="A3" s="50"/>
      <c r="B3" s="50"/>
      <c r="C3" s="50"/>
      <c r="D3" s="48"/>
      <c r="E3" s="48"/>
      <c r="G3" s="2"/>
    </row>
    <row r="4" spans="1:7" s="55" customFormat="1" ht="21.75" x14ac:dyDescent="0.25">
      <c r="A4" s="52" t="s">
        <v>268</v>
      </c>
      <c r="B4" s="53"/>
      <c r="C4" s="53"/>
      <c r="D4" s="53"/>
      <c r="E4" s="53"/>
    </row>
    <row r="5" spans="1:7" s="55" customFormat="1" ht="21.75" x14ac:dyDescent="0.25">
      <c r="A5" s="56"/>
      <c r="B5" s="57"/>
      <c r="C5" s="57"/>
      <c r="D5" s="59"/>
      <c r="E5" s="59"/>
    </row>
    <row r="6" spans="1:7" s="55" customFormat="1" ht="42" customHeight="1" x14ac:dyDescent="0.25">
      <c r="A6" s="63" t="s">
        <v>14</v>
      </c>
      <c r="B6" s="65" t="s">
        <v>18</v>
      </c>
      <c r="C6" s="71" t="s">
        <v>257</v>
      </c>
      <c r="D6" s="71" t="s">
        <v>16</v>
      </c>
      <c r="E6" s="59"/>
    </row>
    <row r="7" spans="1:7" s="55" customFormat="1" ht="43.5" x14ac:dyDescent="0.25">
      <c r="A7" s="66" t="s">
        <v>267</v>
      </c>
      <c r="B7" s="67">
        <f>SUM('Obra '!L21:L31)</f>
        <v>75</v>
      </c>
      <c r="C7" s="185">
        <v>1200</v>
      </c>
      <c r="D7" s="89">
        <f>B7*C7*1.1</f>
        <v>99000.000000000015</v>
      </c>
      <c r="E7" s="57"/>
    </row>
    <row r="8" spans="1:7" s="55" customFormat="1" ht="21.75" x14ac:dyDescent="0.25">
      <c r="A8" s="66" t="s">
        <v>266</v>
      </c>
      <c r="B8" s="67">
        <f>SUM('Obra '!M21:M31)</f>
        <v>9</v>
      </c>
      <c r="C8" s="185">
        <v>5000</v>
      </c>
      <c r="D8" s="89">
        <f>B8*C8*1.1</f>
        <v>49500.000000000007</v>
      </c>
      <c r="E8" s="57"/>
    </row>
    <row r="9" spans="1:7" s="55" customFormat="1" ht="21.75" x14ac:dyDescent="0.25">
      <c r="A9" s="66" t="s">
        <v>265</v>
      </c>
      <c r="B9" s="67">
        <f>SUM('Obra '!K21:K31)</f>
        <v>26</v>
      </c>
      <c r="C9" s="185">
        <v>900</v>
      </c>
      <c r="D9" s="89">
        <f>B9*C9*1.1</f>
        <v>25740.000000000004</v>
      </c>
      <c r="E9" s="57"/>
    </row>
    <row r="10" spans="1:7" s="55" customFormat="1" ht="21.75" x14ac:dyDescent="0.25">
      <c r="A10" s="66" t="s">
        <v>264</v>
      </c>
      <c r="B10" s="67">
        <f>'Obra '!F18</f>
        <v>21</v>
      </c>
      <c r="C10" s="185">
        <v>2600</v>
      </c>
      <c r="D10" s="89">
        <f>B10*C10*1.1</f>
        <v>60060.000000000007</v>
      </c>
      <c r="E10" s="57"/>
    </row>
    <row r="11" spans="1:7" s="55" customFormat="1" ht="21.75" x14ac:dyDescent="0.25">
      <c r="A11" s="328" t="s">
        <v>17</v>
      </c>
      <c r="B11" s="328"/>
      <c r="C11" s="328"/>
      <c r="D11" s="90">
        <f>SUM(D7:D10)</f>
        <v>234300.00000000003</v>
      </c>
      <c r="E11" s="60"/>
    </row>
    <row r="12" spans="1:7" s="55" customFormat="1" ht="21.75" x14ac:dyDescent="0.25">
      <c r="A12" s="332"/>
      <c r="B12" s="332"/>
      <c r="C12" s="332"/>
      <c r="D12" s="59"/>
      <c r="E12" s="59"/>
    </row>
    <row r="13" spans="1:7" s="55" customFormat="1" ht="21.75" x14ac:dyDescent="0.25">
      <c r="A13" s="52" t="s">
        <v>263</v>
      </c>
      <c r="B13" s="53"/>
      <c r="C13" s="53"/>
      <c r="D13" s="53"/>
      <c r="E13" s="53"/>
    </row>
    <row r="14" spans="1:7" s="55" customFormat="1" ht="21.75" x14ac:dyDescent="0.25">
      <c r="A14" s="56"/>
      <c r="B14" s="57"/>
      <c r="C14" s="57"/>
      <c r="D14" s="59"/>
      <c r="E14" s="59"/>
    </row>
    <row r="15" spans="1:7" s="55" customFormat="1" ht="42" customHeight="1" x14ac:dyDescent="0.25">
      <c r="A15" s="63" t="s">
        <v>14</v>
      </c>
      <c r="B15" s="333" t="s">
        <v>5</v>
      </c>
      <c r="C15" s="334"/>
      <c r="D15" s="71" t="s">
        <v>16</v>
      </c>
      <c r="E15" s="59"/>
    </row>
    <row r="16" spans="1:7" s="55" customFormat="1" ht="21.75" x14ac:dyDescent="0.25">
      <c r="A16" s="66" t="s">
        <v>262</v>
      </c>
      <c r="B16" s="62">
        <v>1.5</v>
      </c>
      <c r="C16" s="62" t="s">
        <v>6</v>
      </c>
      <c r="D16" s="89">
        <f>B16*DADOS_INICIAIS!$E$9*1.1</f>
        <v>5994.0870000000004</v>
      </c>
      <c r="E16" s="57"/>
    </row>
    <row r="17" spans="1:5" s="55" customFormat="1" ht="21.75" x14ac:dyDescent="0.25">
      <c r="A17" s="66" t="s">
        <v>261</v>
      </c>
      <c r="B17" s="62">
        <v>2</v>
      </c>
      <c r="C17" s="62" t="s">
        <v>6</v>
      </c>
      <c r="D17" s="89">
        <f>B17*DADOS_INICIAIS!$E$9*1.1</f>
        <v>7992.116</v>
      </c>
      <c r="E17" s="57"/>
    </row>
    <row r="18" spans="1:5" s="55" customFormat="1" ht="21.75" x14ac:dyDescent="0.25">
      <c r="A18" s="66" t="s">
        <v>260</v>
      </c>
      <c r="B18" s="62">
        <v>4</v>
      </c>
      <c r="C18" s="62" t="s">
        <v>6</v>
      </c>
      <c r="D18" s="89">
        <f>B18*DADOS_INICIAIS!$E$9*1.1</f>
        <v>15984.232</v>
      </c>
      <c r="E18" s="57"/>
    </row>
    <row r="19" spans="1:5" s="55" customFormat="1" ht="43.5" x14ac:dyDescent="0.25">
      <c r="A19" s="66" t="s">
        <v>259</v>
      </c>
      <c r="B19" s="62">
        <v>5</v>
      </c>
      <c r="C19" s="62" t="s">
        <v>6</v>
      </c>
      <c r="D19" s="89">
        <f>B19*DADOS_INICIAIS!$E$9*1.1</f>
        <v>19980.29</v>
      </c>
      <c r="E19" s="57"/>
    </row>
    <row r="20" spans="1:5" s="55" customFormat="1" ht="21.75" x14ac:dyDescent="0.25">
      <c r="A20" s="328" t="s">
        <v>17</v>
      </c>
      <c r="B20" s="328"/>
      <c r="C20" s="328"/>
      <c r="D20" s="90">
        <f>SUM(D16:D19)</f>
        <v>49950.725000000006</v>
      </c>
      <c r="E20" s="60"/>
    </row>
    <row r="21" spans="1:5" s="55" customFormat="1" ht="21.75" x14ac:dyDescent="0.25">
      <c r="A21" s="332"/>
      <c r="B21" s="332"/>
      <c r="C21" s="332"/>
      <c r="D21" s="59"/>
      <c r="E21" s="59"/>
    </row>
    <row r="22" spans="1:5" s="55" customFormat="1" ht="21.75" x14ac:dyDescent="0.25">
      <c r="A22" s="52" t="s">
        <v>258</v>
      </c>
      <c r="B22" s="53"/>
      <c r="C22" s="53"/>
      <c r="D22" s="53"/>
      <c r="E22" s="53"/>
    </row>
    <row r="23" spans="1:5" s="55" customFormat="1" ht="21.75" x14ac:dyDescent="0.25">
      <c r="A23" s="56"/>
      <c r="B23" s="57"/>
      <c r="C23" s="57"/>
      <c r="D23" s="59"/>
      <c r="E23" s="59"/>
    </row>
    <row r="24" spans="1:5" s="55" customFormat="1" ht="42" customHeight="1" x14ac:dyDescent="0.25">
      <c r="A24" s="63" t="s">
        <v>14</v>
      </c>
      <c r="B24" s="65" t="s">
        <v>18</v>
      </c>
      <c r="C24" s="71" t="s">
        <v>257</v>
      </c>
      <c r="D24" s="71" t="s">
        <v>16</v>
      </c>
      <c r="E24" s="59"/>
    </row>
    <row r="25" spans="1:5" s="55" customFormat="1" ht="26.25" customHeight="1" x14ac:dyDescent="0.25">
      <c r="A25" s="70" t="s">
        <v>256</v>
      </c>
      <c r="B25" s="67">
        <v>1</v>
      </c>
      <c r="C25" s="185">
        <f>266000/12*7</f>
        <v>155166.66666666669</v>
      </c>
      <c r="D25" s="89">
        <f>B25*C25*1.1</f>
        <v>170683.33333333337</v>
      </c>
      <c r="E25" s="57"/>
    </row>
    <row r="26" spans="1:5" s="55" customFormat="1" ht="25.9" customHeight="1" x14ac:dyDescent="0.25">
      <c r="A26" s="70" t="s">
        <v>255</v>
      </c>
      <c r="B26" s="67">
        <v>0</v>
      </c>
      <c r="C26" s="185">
        <v>60000</v>
      </c>
      <c r="D26" s="89">
        <f t="shared" ref="D26:D35" si="0">B26*C26*1.1</f>
        <v>0</v>
      </c>
      <c r="E26" s="57"/>
    </row>
    <row r="27" spans="1:5" s="55" customFormat="1" ht="26.25" customHeight="1" x14ac:dyDescent="0.25">
      <c r="A27" s="70" t="s">
        <v>353</v>
      </c>
      <c r="B27" s="67">
        <v>0</v>
      </c>
      <c r="C27" s="185">
        <f>26.4*DADOS_INICIAIS!E9</f>
        <v>95905.391999999993</v>
      </c>
      <c r="D27" s="89">
        <f t="shared" ref="D27" si="1">B27*C27*1.1</f>
        <v>0</v>
      </c>
      <c r="E27" s="57"/>
    </row>
    <row r="28" spans="1:5" s="55" customFormat="1" ht="26.25" customHeight="1" x14ac:dyDescent="0.25">
      <c r="A28" s="70" t="s">
        <v>312</v>
      </c>
      <c r="B28" s="67">
        <v>1</v>
      </c>
      <c r="C28" s="185">
        <v>10000</v>
      </c>
      <c r="D28" s="89">
        <f t="shared" si="0"/>
        <v>11000</v>
      </c>
      <c r="E28" s="57"/>
    </row>
    <row r="29" spans="1:5" s="55" customFormat="1" ht="26.25" customHeight="1" x14ac:dyDescent="0.25">
      <c r="A29" s="70" t="s">
        <v>254</v>
      </c>
      <c r="B29" s="67">
        <v>0</v>
      </c>
      <c r="C29" s="185">
        <v>560</v>
      </c>
      <c r="D29" s="89">
        <f t="shared" si="0"/>
        <v>0</v>
      </c>
      <c r="E29" s="57"/>
    </row>
    <row r="30" spans="1:5" s="55" customFormat="1" ht="26.25" customHeight="1" x14ac:dyDescent="0.25">
      <c r="A30" s="70" t="s">
        <v>445</v>
      </c>
      <c r="B30" s="67">
        <v>0</v>
      </c>
      <c r="C30" s="185">
        <v>43000</v>
      </c>
      <c r="D30" s="89">
        <f t="shared" ref="D30" si="2">B30*C30*1.1</f>
        <v>0</v>
      </c>
      <c r="E30" s="57"/>
    </row>
    <row r="31" spans="1:5" s="55" customFormat="1" ht="26.25" customHeight="1" x14ac:dyDescent="0.25">
      <c r="A31" s="70" t="s">
        <v>340</v>
      </c>
      <c r="B31" s="67">
        <v>1</v>
      </c>
      <c r="C31" s="185">
        <f>39684-15000</f>
        <v>24684</v>
      </c>
      <c r="D31" s="89">
        <f t="shared" si="0"/>
        <v>27152.400000000001</v>
      </c>
      <c r="E31" s="57"/>
    </row>
    <row r="32" spans="1:5" s="55" customFormat="1" ht="26.25" customHeight="1" x14ac:dyDescent="0.25">
      <c r="A32" s="70" t="s">
        <v>433</v>
      </c>
      <c r="B32" s="67">
        <v>0</v>
      </c>
      <c r="C32" s="185">
        <v>238000</v>
      </c>
      <c r="D32" s="89">
        <f t="shared" si="0"/>
        <v>0</v>
      </c>
      <c r="E32" s="57"/>
    </row>
    <row r="33" spans="1:9" s="55" customFormat="1" ht="26.25" customHeight="1" x14ac:dyDescent="0.25">
      <c r="A33" s="70" t="s">
        <v>488</v>
      </c>
      <c r="B33" s="67">
        <v>1</v>
      </c>
      <c r="C33" s="185">
        <v>105000</v>
      </c>
      <c r="D33" s="89">
        <f t="shared" si="0"/>
        <v>115500.00000000001</v>
      </c>
      <c r="E33" s="57"/>
    </row>
    <row r="34" spans="1:9" s="55" customFormat="1" ht="26.25" customHeight="1" x14ac:dyDescent="0.25">
      <c r="A34" s="70" t="s">
        <v>487</v>
      </c>
      <c r="B34" s="67">
        <v>1</v>
      </c>
      <c r="C34" s="185">
        <v>8500</v>
      </c>
      <c r="D34" s="89">
        <f t="shared" ref="D34" si="3">B34*C34*1.1</f>
        <v>9350</v>
      </c>
      <c r="E34" s="57"/>
    </row>
    <row r="35" spans="1:9" s="55" customFormat="1" ht="26.25" customHeight="1" x14ac:dyDescent="0.25">
      <c r="A35" s="70" t="s">
        <v>343</v>
      </c>
      <c r="B35" s="67"/>
      <c r="C35" s="185">
        <v>15000</v>
      </c>
      <c r="D35" s="89">
        <f t="shared" si="0"/>
        <v>0</v>
      </c>
      <c r="E35" s="57"/>
    </row>
    <row r="36" spans="1:9" s="55" customFormat="1" ht="26.25" customHeight="1" x14ac:dyDescent="0.25">
      <c r="A36" s="70" t="s">
        <v>339</v>
      </c>
      <c r="B36" s="67">
        <v>0</v>
      </c>
      <c r="C36" s="185">
        <f>55*DADOS_INICIAIS!E9</f>
        <v>199802.9</v>
      </c>
      <c r="D36" s="89">
        <f>B36*C36</f>
        <v>0</v>
      </c>
      <c r="E36" s="57"/>
    </row>
    <row r="37" spans="1:9" s="55" customFormat="1" ht="21.75" x14ac:dyDescent="0.25">
      <c r="A37" s="328" t="s">
        <v>17</v>
      </c>
      <c r="B37" s="328"/>
      <c r="C37" s="328"/>
      <c r="D37" s="90">
        <f>SUM(D25:D36)</f>
        <v>333685.7333333334</v>
      </c>
      <c r="E37" s="60"/>
    </row>
    <row r="38" spans="1:9" x14ac:dyDescent="0.25">
      <c r="I38" s="47"/>
    </row>
    <row r="39" spans="1:9" s="55" customFormat="1" ht="21.75" x14ac:dyDescent="0.25">
      <c r="A39" s="52" t="s">
        <v>253</v>
      </c>
      <c r="B39" s="53"/>
      <c r="C39" s="53"/>
      <c r="D39" s="53"/>
      <c r="E39" s="53"/>
    </row>
    <row r="40" spans="1:9" s="55" customFormat="1" ht="21.75" x14ac:dyDescent="0.25">
      <c r="A40" s="56"/>
      <c r="B40" s="57"/>
      <c r="C40" s="57"/>
      <c r="D40" s="59"/>
      <c r="E40" s="59"/>
    </row>
    <row r="41" spans="1:9" s="55" customFormat="1" ht="40.5" customHeight="1" x14ac:dyDescent="0.25">
      <c r="A41" s="63" t="s">
        <v>14</v>
      </c>
      <c r="B41" s="333" t="s">
        <v>5</v>
      </c>
      <c r="C41" s="334"/>
      <c r="D41" s="71" t="s">
        <v>16</v>
      </c>
      <c r="E41" s="59"/>
    </row>
    <row r="42" spans="1:9" s="55" customFormat="1" ht="26.25" customHeight="1" x14ac:dyDescent="0.25">
      <c r="A42" s="70" t="s">
        <v>252</v>
      </c>
      <c r="B42" s="62">
        <v>20</v>
      </c>
      <c r="C42" s="62" t="s">
        <v>6</v>
      </c>
      <c r="D42" s="89">
        <f>B42*DADOS_INICIAIS!E9*1.1</f>
        <v>79921.16</v>
      </c>
      <c r="E42" s="102"/>
    </row>
    <row r="43" spans="1:9" s="55" customFormat="1" ht="21.75" x14ac:dyDescent="0.25">
      <c r="A43" s="328" t="s">
        <v>17</v>
      </c>
      <c r="B43" s="328"/>
      <c r="C43" s="328"/>
      <c r="D43" s="90">
        <f>SUM(D42:D42)</f>
        <v>79921.16</v>
      </c>
      <c r="E43" s="103"/>
    </row>
    <row r="44" spans="1:9" x14ac:dyDescent="0.25">
      <c r="D44" s="107"/>
      <c r="E44" s="107"/>
      <c r="I44" s="47"/>
    </row>
    <row r="45" spans="1:9" ht="23.25" customHeight="1" x14ac:dyDescent="0.25">
      <c r="A45" s="325" t="s">
        <v>251</v>
      </c>
      <c r="B45" s="326"/>
      <c r="C45" s="327"/>
      <c r="D45" s="108">
        <f>D11+D20+D37+D43</f>
        <v>697857.61833333352</v>
      </c>
      <c r="E45" s="108">
        <f>D45/DADOS_INICIAIS!E9</f>
        <v>192.10015974909948</v>
      </c>
    </row>
  </sheetData>
  <mergeCells count="10">
    <mergeCell ref="A37:C37"/>
    <mergeCell ref="A45:C45"/>
    <mergeCell ref="B41:C41"/>
    <mergeCell ref="A43:C43"/>
    <mergeCell ref="A2:E2"/>
    <mergeCell ref="A11:C11"/>
    <mergeCell ref="A12:C12"/>
    <mergeCell ref="B15:C15"/>
    <mergeCell ref="A20:C20"/>
    <mergeCell ref="A21:C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1120F-1D8B-4A73-BD31-F915E05BD69D}">
  <sheetPr>
    <tabColor rgb="FF003C66"/>
    <pageSetUpPr fitToPage="1"/>
  </sheetPr>
  <dimension ref="A1:G87"/>
  <sheetViews>
    <sheetView showGridLines="0" zoomScale="85" zoomScaleNormal="85" zoomScalePageLayoutView="55" workbookViewId="0">
      <selection activeCell="G77" sqref="G77"/>
    </sheetView>
  </sheetViews>
  <sheetFormatPr defaultColWidth="11.5703125" defaultRowHeight="12.75" x14ac:dyDescent="0.2"/>
  <cols>
    <col min="1" max="1" width="12.28515625" style="271" customWidth="1"/>
    <col min="2" max="2" width="76.42578125" style="271" customWidth="1"/>
    <col min="3" max="3" width="8.140625" style="273" customWidth="1"/>
    <col min="4" max="4" width="11.7109375" style="274" customWidth="1"/>
    <col min="5" max="16384" width="11.5703125" style="271"/>
  </cols>
  <sheetData>
    <row r="1" spans="1:7" ht="18" customHeight="1" x14ac:dyDescent="0.2">
      <c r="A1" s="341" t="s">
        <v>403</v>
      </c>
      <c r="B1" s="342"/>
      <c r="C1" s="342"/>
      <c r="D1" s="342"/>
    </row>
    <row r="2" spans="1:7" ht="15" x14ac:dyDescent="0.2">
      <c r="A2" s="308" t="s">
        <v>404</v>
      </c>
      <c r="B2" s="307" t="s">
        <v>405</v>
      </c>
      <c r="C2" s="315"/>
      <c r="D2" s="272"/>
    </row>
    <row r="3" spans="1:7" x14ac:dyDescent="0.2">
      <c r="A3" s="308" t="s">
        <v>0</v>
      </c>
      <c r="B3" s="307" t="s">
        <v>449</v>
      </c>
      <c r="C3" s="314"/>
      <c r="D3" s="313"/>
    </row>
    <row r="4" spans="1:7" x14ac:dyDescent="0.2">
      <c r="A4" s="308" t="s">
        <v>186</v>
      </c>
      <c r="B4" s="307" t="s">
        <v>449</v>
      </c>
      <c r="C4" s="312"/>
      <c r="D4" s="311"/>
    </row>
    <row r="5" spans="1:7" x14ac:dyDescent="0.2">
      <c r="A5" s="308" t="s">
        <v>406</v>
      </c>
      <c r="B5" s="307" t="s">
        <v>449</v>
      </c>
      <c r="C5" s="312"/>
      <c r="D5" s="311"/>
    </row>
    <row r="6" spans="1:7" x14ac:dyDescent="0.2">
      <c r="A6" s="308" t="s">
        <v>407</v>
      </c>
      <c r="B6" s="307" t="s">
        <v>449</v>
      </c>
      <c r="C6" s="310"/>
      <c r="D6" s="309"/>
    </row>
    <row r="7" spans="1:7" x14ac:dyDescent="0.2">
      <c r="A7" s="308" t="s">
        <v>14</v>
      </c>
      <c r="B7" s="307" t="s">
        <v>449</v>
      </c>
      <c r="C7" s="306"/>
      <c r="D7" s="305"/>
      <c r="G7" s="304"/>
    </row>
    <row r="8" spans="1:7" x14ac:dyDescent="0.2">
      <c r="A8" s="346"/>
      <c r="B8" s="347"/>
      <c r="C8" s="347"/>
      <c r="D8" s="348"/>
    </row>
    <row r="9" spans="1:7" ht="18" customHeight="1" x14ac:dyDescent="0.2">
      <c r="A9" s="344" t="s">
        <v>408</v>
      </c>
      <c r="B9" s="345"/>
      <c r="C9" s="345"/>
      <c r="D9" s="345"/>
    </row>
    <row r="10" spans="1:7" ht="21.75" customHeight="1" x14ac:dyDescent="0.2">
      <c r="A10" s="343" t="s">
        <v>409</v>
      </c>
      <c r="B10" s="343" t="s">
        <v>14</v>
      </c>
      <c r="C10" s="343" t="s">
        <v>410</v>
      </c>
      <c r="D10" s="343" t="s">
        <v>18</v>
      </c>
    </row>
    <row r="11" spans="1:7" ht="17.25" customHeight="1" x14ac:dyDescent="0.2">
      <c r="A11" s="343"/>
      <c r="B11" s="343"/>
      <c r="C11" s="343"/>
      <c r="D11" s="343"/>
    </row>
    <row r="12" spans="1:7" x14ac:dyDescent="0.2">
      <c r="A12" s="303" t="s">
        <v>411</v>
      </c>
      <c r="B12" s="302" t="s">
        <v>629</v>
      </c>
      <c r="C12" s="301"/>
      <c r="D12" s="300"/>
    </row>
    <row r="13" spans="1:7" x14ac:dyDescent="0.2">
      <c r="A13" s="295" t="s">
        <v>628</v>
      </c>
      <c r="B13" s="294" t="s">
        <v>627</v>
      </c>
      <c r="C13" s="293"/>
      <c r="D13" s="292"/>
    </row>
    <row r="14" spans="1:7" x14ac:dyDescent="0.2">
      <c r="A14" s="291" t="s">
        <v>626</v>
      </c>
      <c r="B14" s="290" t="s">
        <v>625</v>
      </c>
      <c r="C14" s="289" t="s">
        <v>4</v>
      </c>
      <c r="D14" s="288">
        <v>58.85</v>
      </c>
    </row>
    <row r="15" spans="1:7" x14ac:dyDescent="0.2">
      <c r="A15" s="299" t="s">
        <v>624</v>
      </c>
      <c r="B15" s="298" t="s">
        <v>623</v>
      </c>
      <c r="C15" s="297" t="s">
        <v>4</v>
      </c>
      <c r="D15" s="296">
        <v>135.6</v>
      </c>
    </row>
    <row r="16" spans="1:7" x14ac:dyDescent="0.2">
      <c r="A16" s="303" t="s">
        <v>412</v>
      </c>
      <c r="B16" s="302" t="s">
        <v>622</v>
      </c>
      <c r="C16" s="301"/>
      <c r="D16" s="300"/>
    </row>
    <row r="17" spans="1:7" x14ac:dyDescent="0.2">
      <c r="A17" s="295" t="s">
        <v>621</v>
      </c>
      <c r="B17" s="294" t="s">
        <v>620</v>
      </c>
      <c r="C17" s="293"/>
      <c r="D17" s="292"/>
    </row>
    <row r="18" spans="1:7" x14ac:dyDescent="0.2">
      <c r="A18" s="291" t="s">
        <v>619</v>
      </c>
      <c r="B18" s="290" t="s">
        <v>618</v>
      </c>
      <c r="C18" s="289" t="s">
        <v>2</v>
      </c>
      <c r="D18" s="288"/>
    </row>
    <row r="19" spans="1:7" x14ac:dyDescent="0.2">
      <c r="A19" s="303" t="s">
        <v>413</v>
      </c>
      <c r="B19" s="302" t="s">
        <v>617</v>
      </c>
      <c r="C19" s="301"/>
      <c r="D19" s="300"/>
    </row>
    <row r="20" spans="1:7" x14ac:dyDescent="0.2">
      <c r="A20" s="295" t="s">
        <v>616</v>
      </c>
      <c r="B20" s="294" t="s">
        <v>615</v>
      </c>
      <c r="C20" s="293"/>
      <c r="D20" s="292"/>
    </row>
    <row r="21" spans="1:7" x14ac:dyDescent="0.2">
      <c r="A21" s="299" t="s">
        <v>614</v>
      </c>
      <c r="B21" s="298" t="s">
        <v>613</v>
      </c>
      <c r="C21" s="297" t="s">
        <v>2</v>
      </c>
      <c r="D21" s="296">
        <v>147.09</v>
      </c>
    </row>
    <row r="22" spans="1:7" x14ac:dyDescent="0.2">
      <c r="A22" s="303" t="s">
        <v>414</v>
      </c>
      <c r="B22" s="302" t="s">
        <v>612</v>
      </c>
      <c r="C22" s="301"/>
      <c r="D22" s="300"/>
    </row>
    <row r="23" spans="1:7" x14ac:dyDescent="0.2">
      <c r="A23" s="295" t="s">
        <v>611</v>
      </c>
      <c r="B23" s="294" t="s">
        <v>610</v>
      </c>
      <c r="C23" s="293"/>
      <c r="D23" s="292"/>
      <c r="G23" s="271">
        <f>SUM(G24:G37)</f>
        <v>377.73019999999997</v>
      </c>
    </row>
    <row r="24" spans="1:7" x14ac:dyDescent="0.2">
      <c r="A24" s="291" t="s">
        <v>609</v>
      </c>
      <c r="B24" s="290" t="s">
        <v>608</v>
      </c>
      <c r="C24" s="289" t="s">
        <v>3</v>
      </c>
      <c r="D24" s="288">
        <v>3</v>
      </c>
      <c r="E24" s="271">
        <v>1.2</v>
      </c>
      <c r="F24" s="271">
        <v>2</v>
      </c>
      <c r="G24" s="271">
        <f>F24*D24*E24</f>
        <v>7.1999999999999993</v>
      </c>
    </row>
    <row r="25" spans="1:7" x14ac:dyDescent="0.2">
      <c r="A25" s="299" t="s">
        <v>607</v>
      </c>
      <c r="B25" s="298" t="s">
        <v>606</v>
      </c>
      <c r="C25" s="297" t="s">
        <v>3</v>
      </c>
      <c r="D25" s="296">
        <v>14</v>
      </c>
      <c r="E25" s="271">
        <v>0.6</v>
      </c>
      <c r="F25" s="271">
        <v>1.3</v>
      </c>
      <c r="G25" s="271">
        <f t="shared" ref="G25:G37" si="0">F25*D25*E25</f>
        <v>10.92</v>
      </c>
    </row>
    <row r="26" spans="1:7" x14ac:dyDescent="0.2">
      <c r="A26" s="291" t="s">
        <v>605</v>
      </c>
      <c r="B26" s="290" t="s">
        <v>604</v>
      </c>
      <c r="C26" s="289" t="s">
        <v>3</v>
      </c>
      <c r="D26" s="288">
        <v>6</v>
      </c>
      <c r="E26" s="271">
        <v>0.6</v>
      </c>
      <c r="F26" s="271">
        <v>2</v>
      </c>
      <c r="G26" s="271">
        <f t="shared" si="0"/>
        <v>7.1999999999999993</v>
      </c>
    </row>
    <row r="27" spans="1:7" x14ac:dyDescent="0.2">
      <c r="A27" s="299" t="s">
        <v>603</v>
      </c>
      <c r="B27" s="298" t="s">
        <v>602</v>
      </c>
      <c r="C27" s="297" t="s">
        <v>3</v>
      </c>
      <c r="D27" s="296">
        <v>7</v>
      </c>
      <c r="E27" s="271">
        <v>2.4</v>
      </c>
      <c r="F27" s="271">
        <v>0.6</v>
      </c>
      <c r="G27" s="271">
        <f t="shared" si="0"/>
        <v>10.08</v>
      </c>
    </row>
    <row r="28" spans="1:7" x14ac:dyDescent="0.2">
      <c r="A28" s="291" t="s">
        <v>601</v>
      </c>
      <c r="B28" s="290" t="s">
        <v>600</v>
      </c>
      <c r="C28" s="289" t="s">
        <v>3</v>
      </c>
      <c r="D28" s="288">
        <v>5</v>
      </c>
      <c r="E28" s="271">
        <v>0.6</v>
      </c>
      <c r="F28" s="271">
        <v>0.8</v>
      </c>
      <c r="G28" s="271">
        <f t="shared" si="0"/>
        <v>2.4</v>
      </c>
    </row>
    <row r="29" spans="1:7" x14ac:dyDescent="0.2">
      <c r="A29" s="299" t="s">
        <v>599</v>
      </c>
      <c r="B29" s="298" t="s">
        <v>598</v>
      </c>
      <c r="C29" s="297" t="s">
        <v>3</v>
      </c>
      <c r="D29" s="296">
        <v>6</v>
      </c>
      <c r="E29" s="271">
        <v>0.8</v>
      </c>
      <c r="F29" s="271">
        <v>1.94</v>
      </c>
      <c r="G29" s="271">
        <f t="shared" si="0"/>
        <v>9.3120000000000012</v>
      </c>
    </row>
    <row r="30" spans="1:7" x14ac:dyDescent="0.2">
      <c r="A30" s="291" t="s">
        <v>597</v>
      </c>
      <c r="B30" s="290" t="s">
        <v>596</v>
      </c>
      <c r="C30" s="289" t="s">
        <v>3</v>
      </c>
      <c r="D30" s="288">
        <v>15</v>
      </c>
      <c r="E30" s="271">
        <v>2.4</v>
      </c>
      <c r="F30" s="271">
        <v>2.4300000000000002</v>
      </c>
      <c r="G30" s="271">
        <f t="shared" si="0"/>
        <v>87.48</v>
      </c>
    </row>
    <row r="31" spans="1:7" x14ac:dyDescent="0.2">
      <c r="A31" s="299" t="s">
        <v>595</v>
      </c>
      <c r="B31" s="298" t="s">
        <v>594</v>
      </c>
      <c r="C31" s="297" t="s">
        <v>3</v>
      </c>
      <c r="D31" s="296">
        <v>4</v>
      </c>
      <c r="E31" s="271">
        <v>2</v>
      </c>
      <c r="F31" s="271">
        <v>1.3</v>
      </c>
      <c r="G31" s="271">
        <f t="shared" si="0"/>
        <v>10.4</v>
      </c>
    </row>
    <row r="32" spans="1:7" x14ac:dyDescent="0.2">
      <c r="A32" s="291" t="s">
        <v>593</v>
      </c>
      <c r="B32" s="290" t="s">
        <v>592</v>
      </c>
      <c r="C32" s="289" t="s">
        <v>3</v>
      </c>
      <c r="D32" s="288">
        <v>17</v>
      </c>
      <c r="E32" s="271">
        <v>2.4</v>
      </c>
      <c r="F32" s="271">
        <v>2.4300000000000002</v>
      </c>
      <c r="G32" s="271">
        <f t="shared" si="0"/>
        <v>99.144000000000005</v>
      </c>
    </row>
    <row r="33" spans="1:7" x14ac:dyDescent="0.2">
      <c r="A33" s="299" t="s">
        <v>591</v>
      </c>
      <c r="B33" s="298" t="s">
        <v>590</v>
      </c>
      <c r="C33" s="297" t="s">
        <v>3</v>
      </c>
      <c r="D33" s="296">
        <v>22</v>
      </c>
      <c r="E33" s="271">
        <v>2.4</v>
      </c>
      <c r="F33" s="271">
        <v>0.6</v>
      </c>
      <c r="G33" s="271">
        <f t="shared" si="0"/>
        <v>31.679999999999996</v>
      </c>
    </row>
    <row r="34" spans="1:7" x14ac:dyDescent="0.2">
      <c r="A34" s="291" t="s">
        <v>589</v>
      </c>
      <c r="B34" s="290" t="s">
        <v>588</v>
      </c>
      <c r="C34" s="289" t="s">
        <v>3</v>
      </c>
      <c r="D34" s="288">
        <v>2</v>
      </c>
      <c r="E34" s="271">
        <v>2.4</v>
      </c>
      <c r="F34" s="271">
        <v>2.4300000000000002</v>
      </c>
      <c r="G34" s="271">
        <f t="shared" si="0"/>
        <v>11.664</v>
      </c>
    </row>
    <row r="35" spans="1:7" x14ac:dyDescent="0.2">
      <c r="A35" s="299" t="s">
        <v>587</v>
      </c>
      <c r="B35" s="298" t="s">
        <v>586</v>
      </c>
      <c r="C35" s="297" t="s">
        <v>3</v>
      </c>
      <c r="D35" s="296">
        <v>3</v>
      </c>
      <c r="E35" s="271">
        <v>3.38</v>
      </c>
      <c r="F35" s="271">
        <v>2.4300000000000002</v>
      </c>
      <c r="G35" s="271">
        <f t="shared" si="0"/>
        <v>24.640200000000004</v>
      </c>
    </row>
    <row r="36" spans="1:7" x14ac:dyDescent="0.2">
      <c r="A36" s="291" t="s">
        <v>585</v>
      </c>
      <c r="B36" s="290" t="s">
        <v>584</v>
      </c>
      <c r="C36" s="289" t="s">
        <v>3</v>
      </c>
      <c r="D36" s="288">
        <v>4</v>
      </c>
      <c r="E36" s="271">
        <v>3.6</v>
      </c>
      <c r="F36" s="271">
        <v>2.4300000000000002</v>
      </c>
      <c r="G36" s="271">
        <f t="shared" si="0"/>
        <v>34.992000000000004</v>
      </c>
    </row>
    <row r="37" spans="1:7" x14ac:dyDescent="0.2">
      <c r="A37" s="299" t="s">
        <v>583</v>
      </c>
      <c r="B37" s="298" t="s">
        <v>582</v>
      </c>
      <c r="C37" s="297" t="s">
        <v>3</v>
      </c>
      <c r="D37" s="296">
        <v>3</v>
      </c>
      <c r="E37" s="271">
        <v>4.2</v>
      </c>
      <c r="F37" s="271">
        <v>2.4300000000000002</v>
      </c>
      <c r="G37" s="271">
        <f t="shared" si="0"/>
        <v>30.618000000000006</v>
      </c>
    </row>
    <row r="38" spans="1:7" x14ac:dyDescent="0.2">
      <c r="A38" s="303" t="s">
        <v>415</v>
      </c>
      <c r="B38" s="302" t="s">
        <v>581</v>
      </c>
      <c r="C38" s="301"/>
      <c r="D38" s="300"/>
    </row>
    <row r="39" spans="1:7" x14ac:dyDescent="0.2">
      <c r="A39" s="295" t="s">
        <v>580</v>
      </c>
      <c r="B39" s="294" t="s">
        <v>579</v>
      </c>
      <c r="C39" s="293"/>
      <c r="D39" s="292"/>
    </row>
    <row r="40" spans="1:7" x14ac:dyDescent="0.2">
      <c r="A40" s="291" t="s">
        <v>578</v>
      </c>
      <c r="B40" s="290" t="s">
        <v>577</v>
      </c>
      <c r="C40" s="289" t="s">
        <v>2</v>
      </c>
      <c r="D40" s="288">
        <v>57.74</v>
      </c>
    </row>
    <row r="41" spans="1:7" x14ac:dyDescent="0.2">
      <c r="A41" s="303" t="s">
        <v>416</v>
      </c>
      <c r="B41" s="302" t="s">
        <v>576</v>
      </c>
      <c r="C41" s="301"/>
      <c r="D41" s="300"/>
    </row>
    <row r="42" spans="1:7" x14ac:dyDescent="0.2">
      <c r="A42" s="295" t="s">
        <v>575</v>
      </c>
      <c r="B42" s="294" t="s">
        <v>574</v>
      </c>
      <c r="C42" s="293"/>
      <c r="D42" s="292"/>
    </row>
    <row r="43" spans="1:7" x14ac:dyDescent="0.2">
      <c r="A43" s="299" t="s">
        <v>573</v>
      </c>
      <c r="B43" s="298" t="s">
        <v>572</v>
      </c>
      <c r="C43" s="297" t="s">
        <v>2</v>
      </c>
      <c r="D43" s="296">
        <v>3.42</v>
      </c>
    </row>
    <row r="44" spans="1:7" x14ac:dyDescent="0.2">
      <c r="A44" s="291" t="s">
        <v>571</v>
      </c>
      <c r="B44" s="290" t="s">
        <v>570</v>
      </c>
      <c r="C44" s="289" t="s">
        <v>2</v>
      </c>
      <c r="D44" s="288">
        <v>0.93</v>
      </c>
    </row>
    <row r="45" spans="1:7" x14ac:dyDescent="0.2">
      <c r="A45" s="299" t="s">
        <v>569</v>
      </c>
      <c r="B45" s="298" t="s">
        <v>568</v>
      </c>
      <c r="C45" s="297" t="s">
        <v>2</v>
      </c>
      <c r="D45" s="296">
        <v>0.5</v>
      </c>
    </row>
    <row r="46" spans="1:7" x14ac:dyDescent="0.2">
      <c r="A46" s="303" t="s">
        <v>417</v>
      </c>
      <c r="B46" s="302" t="s">
        <v>567</v>
      </c>
      <c r="C46" s="301"/>
      <c r="D46" s="300"/>
    </row>
    <row r="47" spans="1:7" x14ac:dyDescent="0.2">
      <c r="A47" s="295" t="s">
        <v>566</v>
      </c>
      <c r="B47" s="294" t="s">
        <v>565</v>
      </c>
      <c r="C47" s="293"/>
      <c r="D47" s="292"/>
    </row>
    <row r="48" spans="1:7" x14ac:dyDescent="0.2">
      <c r="A48" s="291" t="s">
        <v>564</v>
      </c>
      <c r="B48" s="290" t="s">
        <v>563</v>
      </c>
      <c r="C48" s="289" t="s">
        <v>2</v>
      </c>
      <c r="D48" s="288">
        <v>128.07</v>
      </c>
    </row>
    <row r="49" spans="1:4" x14ac:dyDescent="0.2">
      <c r="A49" s="299" t="s">
        <v>562</v>
      </c>
      <c r="B49" s="298" t="s">
        <v>561</v>
      </c>
      <c r="C49" s="297" t="s">
        <v>2</v>
      </c>
      <c r="D49" s="296">
        <v>328.73</v>
      </c>
    </row>
    <row r="50" spans="1:4" x14ac:dyDescent="0.2">
      <c r="A50" s="291" t="s">
        <v>560</v>
      </c>
      <c r="B50" s="290" t="s">
        <v>559</v>
      </c>
      <c r="C50" s="289" t="s">
        <v>2</v>
      </c>
      <c r="D50" s="288">
        <v>2188.87</v>
      </c>
    </row>
    <row r="51" spans="1:4" x14ac:dyDescent="0.2">
      <c r="A51" s="299" t="s">
        <v>558</v>
      </c>
      <c r="B51" s="298" t="s">
        <v>557</v>
      </c>
      <c r="C51" s="297" t="s">
        <v>2</v>
      </c>
      <c r="D51" s="296">
        <v>2230.77</v>
      </c>
    </row>
    <row r="52" spans="1:4" x14ac:dyDescent="0.2">
      <c r="A52" s="291" t="s">
        <v>556</v>
      </c>
      <c r="B52" s="290" t="s">
        <v>555</v>
      </c>
      <c r="C52" s="289" t="s">
        <v>2</v>
      </c>
      <c r="D52" s="288">
        <v>25.24</v>
      </c>
    </row>
    <row r="53" spans="1:4" x14ac:dyDescent="0.2">
      <c r="A53" s="299" t="s">
        <v>554</v>
      </c>
      <c r="B53" s="298" t="s">
        <v>553</v>
      </c>
      <c r="C53" s="297" t="s">
        <v>2</v>
      </c>
      <c r="D53" s="296">
        <v>411.43</v>
      </c>
    </row>
    <row r="54" spans="1:4" x14ac:dyDescent="0.2">
      <c r="A54" s="291" t="s">
        <v>552</v>
      </c>
      <c r="B54" s="290" t="s">
        <v>551</v>
      </c>
      <c r="C54" s="289" t="s">
        <v>2</v>
      </c>
      <c r="D54" s="288">
        <v>45.99</v>
      </c>
    </row>
    <row r="55" spans="1:4" x14ac:dyDescent="0.2">
      <c r="A55" s="303" t="s">
        <v>418</v>
      </c>
      <c r="B55" s="302" t="s">
        <v>550</v>
      </c>
      <c r="C55" s="301"/>
      <c r="D55" s="300"/>
    </row>
    <row r="56" spans="1:4" x14ac:dyDescent="0.2">
      <c r="A56" s="295" t="s">
        <v>549</v>
      </c>
      <c r="B56" s="294" t="s">
        <v>548</v>
      </c>
      <c r="C56" s="293"/>
      <c r="D56" s="292"/>
    </row>
    <row r="57" spans="1:4" x14ac:dyDescent="0.2">
      <c r="A57" s="299" t="s">
        <v>547</v>
      </c>
      <c r="B57" s="298" t="s">
        <v>546</v>
      </c>
      <c r="C57" s="297" t="s">
        <v>2</v>
      </c>
      <c r="D57" s="296"/>
    </row>
    <row r="58" spans="1:4" x14ac:dyDescent="0.2">
      <c r="A58" s="291" t="s">
        <v>545</v>
      </c>
      <c r="B58" s="290" t="s">
        <v>544</v>
      </c>
      <c r="C58" s="289" t="s">
        <v>2</v>
      </c>
      <c r="D58" s="288"/>
    </row>
    <row r="59" spans="1:4" x14ac:dyDescent="0.2">
      <c r="A59" s="299" t="s">
        <v>543</v>
      </c>
      <c r="B59" s="298" t="s">
        <v>542</v>
      </c>
      <c r="C59" s="297" t="s">
        <v>2</v>
      </c>
      <c r="D59" s="296"/>
    </row>
    <row r="60" spans="1:4" x14ac:dyDescent="0.2">
      <c r="A60" s="303" t="s">
        <v>419</v>
      </c>
      <c r="B60" s="302" t="s">
        <v>541</v>
      </c>
      <c r="C60" s="301"/>
      <c r="D60" s="300"/>
    </row>
    <row r="61" spans="1:4" x14ac:dyDescent="0.2">
      <c r="A61" s="295" t="s">
        <v>540</v>
      </c>
      <c r="B61" s="294" t="s">
        <v>539</v>
      </c>
      <c r="C61" s="293"/>
      <c r="D61" s="292"/>
    </row>
    <row r="62" spans="1:4" x14ac:dyDescent="0.2">
      <c r="A62" s="291" t="s">
        <v>538</v>
      </c>
      <c r="B62" s="290" t="s">
        <v>537</v>
      </c>
      <c r="C62" s="289" t="s">
        <v>2</v>
      </c>
      <c r="D62" s="288">
        <v>1015.95</v>
      </c>
    </row>
    <row r="63" spans="1:4" x14ac:dyDescent="0.2">
      <c r="A63" s="299" t="s">
        <v>536</v>
      </c>
      <c r="B63" s="298" t="s">
        <v>535</v>
      </c>
      <c r="C63" s="297" t="s">
        <v>2</v>
      </c>
      <c r="D63" s="296">
        <v>662.81</v>
      </c>
    </row>
    <row r="64" spans="1:4" x14ac:dyDescent="0.2">
      <c r="A64" s="291" t="s">
        <v>534</v>
      </c>
      <c r="B64" s="290" t="s">
        <v>533</v>
      </c>
      <c r="C64" s="289" t="s">
        <v>2</v>
      </c>
      <c r="D64" s="288">
        <v>653.54999999999995</v>
      </c>
    </row>
    <row r="65" spans="1:7" x14ac:dyDescent="0.2">
      <c r="A65" s="299" t="s">
        <v>532</v>
      </c>
      <c r="B65" s="298" t="s">
        <v>531</v>
      </c>
      <c r="C65" s="297" t="s">
        <v>2</v>
      </c>
      <c r="D65" s="296">
        <v>100.27</v>
      </c>
    </row>
    <row r="66" spans="1:7" x14ac:dyDescent="0.2">
      <c r="A66" s="291" t="s">
        <v>530</v>
      </c>
      <c r="B66" s="290" t="s">
        <v>529</v>
      </c>
      <c r="C66" s="289" t="s">
        <v>2</v>
      </c>
      <c r="D66" s="288">
        <v>37.39</v>
      </c>
    </row>
    <row r="67" spans="1:7" x14ac:dyDescent="0.2">
      <c r="A67" s="299" t="s">
        <v>528</v>
      </c>
      <c r="B67" s="298" t="s">
        <v>527</v>
      </c>
      <c r="C67" s="297" t="s">
        <v>2</v>
      </c>
      <c r="D67" s="296">
        <v>103.22</v>
      </c>
    </row>
    <row r="68" spans="1:7" x14ac:dyDescent="0.2">
      <c r="A68" s="291" t="s">
        <v>526</v>
      </c>
      <c r="B68" s="290" t="s">
        <v>525</v>
      </c>
      <c r="C68" s="289" t="s">
        <v>2</v>
      </c>
      <c r="D68" s="288">
        <v>3791.34</v>
      </c>
    </row>
    <row r="69" spans="1:7" x14ac:dyDescent="0.2">
      <c r="A69" s="299" t="s">
        <v>524</v>
      </c>
      <c r="B69" s="298" t="s">
        <v>523</v>
      </c>
      <c r="C69" s="297" t="s">
        <v>2</v>
      </c>
      <c r="D69" s="296">
        <v>24.72</v>
      </c>
    </row>
    <row r="70" spans="1:7" x14ac:dyDescent="0.2">
      <c r="A70" s="291" t="s">
        <v>522</v>
      </c>
      <c r="B70" s="290" t="s">
        <v>521</v>
      </c>
      <c r="C70" s="289" t="s">
        <v>2</v>
      </c>
      <c r="D70" s="288">
        <v>679.88</v>
      </c>
    </row>
    <row r="71" spans="1:7" x14ac:dyDescent="0.2">
      <c r="A71" s="303" t="s">
        <v>420</v>
      </c>
      <c r="B71" s="302" t="s">
        <v>520</v>
      </c>
      <c r="C71" s="301"/>
      <c r="D71" s="300"/>
    </row>
    <row r="72" spans="1:7" x14ac:dyDescent="0.2">
      <c r="A72" s="295" t="s">
        <v>519</v>
      </c>
      <c r="B72" s="294" t="s">
        <v>518</v>
      </c>
      <c r="C72" s="293"/>
      <c r="D72" s="292"/>
    </row>
    <row r="73" spans="1:7" x14ac:dyDescent="0.2">
      <c r="A73" s="299" t="s">
        <v>517</v>
      </c>
      <c r="B73" s="298" t="s">
        <v>516</v>
      </c>
      <c r="C73" s="297" t="s">
        <v>2</v>
      </c>
      <c r="D73" s="296">
        <v>21.89</v>
      </c>
    </row>
    <row r="74" spans="1:7" x14ac:dyDescent="0.2">
      <c r="A74" s="291" t="s">
        <v>515</v>
      </c>
      <c r="B74" s="290" t="s">
        <v>514</v>
      </c>
      <c r="C74" s="289" t="s">
        <v>2</v>
      </c>
      <c r="D74" s="288">
        <v>504.99</v>
      </c>
    </row>
    <row r="75" spans="1:7" x14ac:dyDescent="0.2">
      <c r="A75" s="303" t="s">
        <v>426</v>
      </c>
      <c r="B75" s="302" t="s">
        <v>513</v>
      </c>
      <c r="C75" s="301"/>
      <c r="D75" s="300"/>
    </row>
    <row r="76" spans="1:7" x14ac:dyDescent="0.2">
      <c r="A76" s="295" t="s">
        <v>512</v>
      </c>
      <c r="B76" s="294" t="s">
        <v>511</v>
      </c>
      <c r="C76" s="293"/>
      <c r="D76" s="292"/>
      <c r="G76" s="271">
        <f>SUM(G77:G81)</f>
        <v>219.66000000000003</v>
      </c>
    </row>
    <row r="77" spans="1:7" x14ac:dyDescent="0.2">
      <c r="A77" s="299" t="s">
        <v>510</v>
      </c>
      <c r="B77" s="298" t="s">
        <v>509</v>
      </c>
      <c r="C77" s="297" t="s">
        <v>3</v>
      </c>
      <c r="D77" s="296">
        <v>9</v>
      </c>
      <c r="E77" s="271">
        <v>1</v>
      </c>
      <c r="F77" s="271">
        <v>2.1</v>
      </c>
      <c r="G77" s="271">
        <f>F77*D77*E77</f>
        <v>18.900000000000002</v>
      </c>
    </row>
    <row r="78" spans="1:7" x14ac:dyDescent="0.2">
      <c r="A78" s="291" t="s">
        <v>508</v>
      </c>
      <c r="B78" s="290" t="s">
        <v>507</v>
      </c>
      <c r="C78" s="289" t="s">
        <v>3</v>
      </c>
      <c r="D78" s="288">
        <v>1</v>
      </c>
      <c r="E78" s="271">
        <v>0.6</v>
      </c>
      <c r="F78" s="271">
        <v>2.1</v>
      </c>
      <c r="G78" s="271">
        <f t="shared" ref="G78:G81" si="1">F78*D78*E78</f>
        <v>1.26</v>
      </c>
    </row>
    <row r="79" spans="1:7" x14ac:dyDescent="0.2">
      <c r="A79" s="299" t="s">
        <v>506</v>
      </c>
      <c r="B79" s="298" t="s">
        <v>505</v>
      </c>
      <c r="C79" s="297" t="s">
        <v>3</v>
      </c>
      <c r="D79" s="296">
        <v>46</v>
      </c>
      <c r="E79" s="271">
        <v>0.7</v>
      </c>
      <c r="F79" s="271">
        <v>2.1</v>
      </c>
      <c r="G79" s="271">
        <f t="shared" si="1"/>
        <v>67.62</v>
      </c>
    </row>
    <row r="80" spans="1:7" x14ac:dyDescent="0.2">
      <c r="A80" s="291" t="s">
        <v>504</v>
      </c>
      <c r="B80" s="290" t="s">
        <v>503</v>
      </c>
      <c r="C80" s="289" t="s">
        <v>3</v>
      </c>
      <c r="D80" s="288">
        <v>74</v>
      </c>
      <c r="E80" s="271">
        <v>0.8</v>
      </c>
      <c r="F80" s="271">
        <v>2.1</v>
      </c>
      <c r="G80" s="271">
        <f t="shared" si="1"/>
        <v>124.32000000000001</v>
      </c>
    </row>
    <row r="81" spans="1:7" x14ac:dyDescent="0.2">
      <c r="A81" s="299" t="s">
        <v>502</v>
      </c>
      <c r="B81" s="298" t="s">
        <v>501</v>
      </c>
      <c r="C81" s="297" t="s">
        <v>3</v>
      </c>
      <c r="D81" s="296">
        <v>4</v>
      </c>
      <c r="E81" s="271">
        <v>0.9</v>
      </c>
      <c r="F81" s="271">
        <v>2.1</v>
      </c>
      <c r="G81" s="271">
        <f t="shared" si="1"/>
        <v>7.5600000000000005</v>
      </c>
    </row>
    <row r="82" spans="1:7" x14ac:dyDescent="0.2">
      <c r="A82" s="291" t="s">
        <v>500</v>
      </c>
      <c r="B82" s="290" t="s">
        <v>499</v>
      </c>
      <c r="C82" s="289" t="s">
        <v>3</v>
      </c>
      <c r="D82" s="288">
        <v>7</v>
      </c>
    </row>
    <row r="83" spans="1:7" x14ac:dyDescent="0.2">
      <c r="A83" s="303" t="s">
        <v>450</v>
      </c>
      <c r="B83" s="302" t="s">
        <v>448</v>
      </c>
      <c r="C83" s="301"/>
      <c r="D83" s="300"/>
    </row>
    <row r="84" spans="1:7" x14ac:dyDescent="0.2">
      <c r="A84" s="295" t="s">
        <v>498</v>
      </c>
      <c r="B84" s="294" t="s">
        <v>497</v>
      </c>
      <c r="C84" s="293"/>
      <c r="D84" s="292"/>
    </row>
    <row r="85" spans="1:7" x14ac:dyDescent="0.2">
      <c r="A85" s="299" t="s">
        <v>496</v>
      </c>
      <c r="B85" s="298" t="s">
        <v>495</v>
      </c>
      <c r="C85" s="297" t="s">
        <v>494</v>
      </c>
      <c r="D85" s="296"/>
    </row>
    <row r="86" spans="1:7" x14ac:dyDescent="0.2">
      <c r="A86" s="295" t="s">
        <v>493</v>
      </c>
      <c r="B86" s="294" t="s">
        <v>492</v>
      </c>
      <c r="C86" s="293"/>
      <c r="D86" s="292"/>
    </row>
    <row r="87" spans="1:7" x14ac:dyDescent="0.2">
      <c r="A87" s="291" t="s">
        <v>491</v>
      </c>
      <c r="B87" s="290" t="s">
        <v>490</v>
      </c>
      <c r="C87" s="289" t="s">
        <v>3</v>
      </c>
      <c r="D87" s="288">
        <v>24</v>
      </c>
    </row>
  </sheetData>
  <mergeCells count="7">
    <mergeCell ref="A1:D1"/>
    <mergeCell ref="B10:B11"/>
    <mergeCell ref="C10:C11"/>
    <mergeCell ref="A10:A11"/>
    <mergeCell ref="D10:D11"/>
    <mergeCell ref="A9:D9"/>
    <mergeCell ref="A8:D8"/>
  </mergeCells>
  <pageMargins left="0.78749999999999998" right="0.78749999999999998" top="1.05277777777778" bottom="1.05277777777778" header="0.78749999999999998" footer="0.78749999999999998"/>
  <pageSetup paperSize="9" scale="53" orientation="landscape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413-B84E-4F21-BDF8-BE523108E400}">
  <sheetPr>
    <tabColor rgb="FF92D050"/>
  </sheetPr>
  <dimension ref="A1:L42"/>
  <sheetViews>
    <sheetView showGridLines="0" topLeftCell="A4" zoomScale="87" zoomScaleNormal="87" zoomScaleSheetLayoutView="95" workbookViewId="0">
      <selection activeCell="L22" sqref="L22"/>
    </sheetView>
  </sheetViews>
  <sheetFormatPr defaultColWidth="9.140625" defaultRowHeight="12.75" x14ac:dyDescent="0.25"/>
  <cols>
    <col min="1" max="1" width="45" style="1" bestFit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5.140625" style="1" customWidth="1"/>
    <col min="7" max="7" width="17.7109375" style="1" customWidth="1"/>
    <col min="8" max="8" width="13.140625" style="1" bestFit="1" customWidth="1"/>
    <col min="9" max="9" width="11" style="1" bestFit="1" customWidth="1"/>
    <col min="10" max="10" width="12.85546875" style="1" bestFit="1" customWidth="1"/>
    <col min="11" max="11" width="12" style="1" bestFit="1" customWidth="1"/>
    <col min="12" max="12" width="12.140625" style="1" bestFit="1" customWidth="1"/>
    <col min="13" max="16384" width="9.140625" style="1"/>
  </cols>
  <sheetData>
    <row r="1" spans="1:12" x14ac:dyDescent="0.25">
      <c r="B1" s="2"/>
      <c r="C1" s="1"/>
      <c r="D1" s="1"/>
      <c r="G1" s="161"/>
      <c r="H1" s="161"/>
      <c r="I1" s="2"/>
    </row>
    <row r="2" spans="1:12" ht="12.75" customHeight="1" x14ac:dyDescent="0.25">
      <c r="A2" s="349" t="s">
        <v>187</v>
      </c>
      <c r="B2" s="2"/>
      <c r="C2" s="1"/>
      <c r="D2" s="1"/>
      <c r="G2" s="166"/>
      <c r="H2" s="166"/>
      <c r="I2" s="2"/>
    </row>
    <row r="3" spans="1:12" ht="12.75" customHeight="1" x14ac:dyDescent="0.25">
      <c r="A3" s="350"/>
      <c r="B3" s="2"/>
      <c r="C3" s="1"/>
      <c r="D3" s="1"/>
      <c r="G3" s="166"/>
      <c r="H3" s="166"/>
      <c r="I3" s="2"/>
    </row>
    <row r="4" spans="1:12" ht="12.75" customHeight="1" x14ac:dyDescent="0.25">
      <c r="A4" s="350"/>
      <c r="B4" s="2"/>
      <c r="C4" s="1"/>
      <c r="D4" s="1"/>
      <c r="G4" s="166"/>
      <c r="H4" s="166"/>
      <c r="I4" s="2"/>
    </row>
    <row r="5" spans="1:12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2" x14ac:dyDescent="0.25">
      <c r="A6" s="162"/>
      <c r="B6" s="2"/>
      <c r="C6" s="1"/>
      <c r="D6" s="1"/>
      <c r="G6" s="161"/>
      <c r="H6" s="161"/>
      <c r="I6" s="2"/>
    </row>
    <row r="7" spans="1:12" x14ac:dyDescent="0.25">
      <c r="A7" s="160" t="s">
        <v>186</v>
      </c>
      <c r="B7" s="159"/>
      <c r="C7" s="158"/>
      <c r="D7" s="158"/>
      <c r="E7" s="158"/>
      <c r="F7" s="158"/>
      <c r="G7" s="158"/>
      <c r="H7" s="157"/>
      <c r="I7" s="2"/>
    </row>
    <row r="8" spans="1:12" x14ac:dyDescent="0.25">
      <c r="A8" s="156" t="s">
        <v>0</v>
      </c>
      <c r="B8" s="155"/>
      <c r="C8" s="154"/>
      <c r="D8" s="154"/>
      <c r="E8" s="154"/>
      <c r="F8" s="154"/>
      <c r="G8" s="154"/>
      <c r="H8" s="153"/>
      <c r="I8" s="2"/>
    </row>
    <row r="9" spans="1:12" ht="15" customHeight="1" x14ac:dyDescent="0.25">
      <c r="A9" s="152" t="s">
        <v>185</v>
      </c>
      <c r="B9" s="151">
        <v>45471</v>
      </c>
      <c r="C9" s="150"/>
      <c r="D9" s="150"/>
      <c r="E9" s="150"/>
      <c r="F9" s="150"/>
      <c r="G9" s="150"/>
      <c r="H9" s="149"/>
    </row>
    <row r="10" spans="1:12" x14ac:dyDescent="0.25">
      <c r="A10" s="148" t="s">
        <v>1</v>
      </c>
      <c r="B10" s="147" t="s">
        <v>184</v>
      </c>
      <c r="C10" s="146"/>
      <c r="D10" s="146"/>
      <c r="E10" s="146"/>
      <c r="F10" s="146"/>
      <c r="G10" s="146"/>
      <c r="H10" s="145"/>
    </row>
    <row r="12" spans="1:12" x14ac:dyDescent="0.25">
      <c r="A12" s="144" t="s">
        <v>194</v>
      </c>
      <c r="B12" s="143"/>
      <c r="C12" s="142"/>
      <c r="D12" s="141"/>
      <c r="E12" s="140"/>
      <c r="F12" s="140"/>
      <c r="G12" s="140"/>
      <c r="H12" s="139"/>
    </row>
    <row r="13" spans="1:12" ht="15.95" customHeight="1" x14ac:dyDescent="0.25">
      <c r="A13" s="138"/>
      <c r="B13" s="137"/>
      <c r="C13" s="136"/>
      <c r="D13" s="135"/>
      <c r="E13" s="135"/>
      <c r="F13" s="135"/>
      <c r="H13" s="131"/>
      <c r="J13" s="115"/>
    </row>
    <row r="14" spans="1:12" ht="15.95" customHeight="1" x14ac:dyDescent="0.25">
      <c r="A14" s="134" t="s">
        <v>14</v>
      </c>
      <c r="B14" s="356" t="s">
        <v>18</v>
      </c>
      <c r="C14" s="357"/>
      <c r="D14" s="358" t="s">
        <v>5</v>
      </c>
      <c r="E14" s="359"/>
      <c r="F14" s="133" t="s">
        <v>182</v>
      </c>
      <c r="G14" s="132" t="s">
        <v>16</v>
      </c>
      <c r="H14" s="131"/>
      <c r="I14" s="279" t="s">
        <v>453</v>
      </c>
      <c r="J14" s="279" t="s">
        <v>458</v>
      </c>
      <c r="K14" s="112" t="s">
        <v>454</v>
      </c>
      <c r="L14" s="112" t="s">
        <v>459</v>
      </c>
    </row>
    <row r="15" spans="1:12" ht="15.95" customHeight="1" x14ac:dyDescent="0.25">
      <c r="A15" s="174" t="s">
        <v>322</v>
      </c>
      <c r="B15" s="124">
        <f>ARQUITETURA!D64</f>
        <v>653.54999999999995</v>
      </c>
      <c r="C15" s="129" t="s">
        <v>2</v>
      </c>
      <c r="D15" s="128">
        <v>16.5</v>
      </c>
      <c r="E15" s="130" t="s">
        <v>170</v>
      </c>
      <c r="F15" s="126" t="s">
        <v>169</v>
      </c>
      <c r="G15" s="125">
        <f>D15*B15*1.1</f>
        <v>11861.932499999999</v>
      </c>
      <c r="H15" s="131"/>
      <c r="J15" s="115">
        <f t="shared" ref="J15:L16" si="0">I15*$B15</f>
        <v>0</v>
      </c>
      <c r="L15" s="115">
        <f t="shared" si="0"/>
        <v>0</v>
      </c>
    </row>
    <row r="16" spans="1:12" ht="15.95" customHeight="1" x14ac:dyDescent="0.25">
      <c r="A16" s="174" t="s">
        <v>323</v>
      </c>
      <c r="B16" s="124">
        <f>12.08*'Obra '!F10</f>
        <v>84.56</v>
      </c>
      <c r="C16" s="129" t="s">
        <v>2</v>
      </c>
      <c r="D16" s="128">
        <v>25</v>
      </c>
      <c r="E16" s="130" t="s">
        <v>170</v>
      </c>
      <c r="F16" s="126" t="s">
        <v>169</v>
      </c>
      <c r="G16" s="125">
        <f>D16*B16*1.1</f>
        <v>2325.4</v>
      </c>
      <c r="H16" s="131" t="s">
        <v>489</v>
      </c>
      <c r="J16" s="115">
        <f t="shared" si="0"/>
        <v>0</v>
      </c>
      <c r="L16" s="115">
        <f t="shared" ref="L16" si="1">K16*$B16</f>
        <v>0</v>
      </c>
    </row>
    <row r="17" spans="1:12" ht="15.95" customHeight="1" x14ac:dyDescent="0.25">
      <c r="A17" s="172" t="s">
        <v>193</v>
      </c>
      <c r="B17" s="124">
        <f>ARQUITETURA!D68+ARQUITETURA!D67</f>
        <v>3894.56</v>
      </c>
      <c r="C17" s="129" t="s">
        <v>2</v>
      </c>
      <c r="D17" s="128">
        <f>B17/DADOS_INICIAIS!E9</f>
        <v>1.0720605156381615</v>
      </c>
      <c r="E17" s="130" t="s">
        <v>189</v>
      </c>
      <c r="F17" s="126" t="s">
        <v>169</v>
      </c>
      <c r="G17" s="125">
        <f>+B17*65*1.05</f>
        <v>265803.72000000003</v>
      </c>
      <c r="H17" s="207"/>
      <c r="I17" s="1">
        <f>65*1.05-K17</f>
        <v>28.25</v>
      </c>
      <c r="J17" s="115">
        <f>I17*$B17</f>
        <v>110021.31999999999</v>
      </c>
      <c r="K17" s="1">
        <v>40</v>
      </c>
      <c r="L17" s="115">
        <f t="shared" ref="L17" si="2">K17*$B17</f>
        <v>155782.39999999999</v>
      </c>
    </row>
    <row r="18" spans="1:12" ht="15.95" customHeight="1" x14ac:dyDescent="0.25">
      <c r="A18" s="172" t="s">
        <v>192</v>
      </c>
      <c r="B18" s="316">
        <f>'Obra '!C12</f>
        <v>2064.5500000000002</v>
      </c>
      <c r="C18" s="129" t="s">
        <v>2</v>
      </c>
      <c r="D18" s="128">
        <f>B18/DADOS_INICIAIS!E9</f>
        <v>0.56831132080665503</v>
      </c>
      <c r="E18" s="130" t="s">
        <v>189</v>
      </c>
      <c r="F18" s="126" t="s">
        <v>169</v>
      </c>
      <c r="G18" s="125">
        <f>+B18*26*1.05</f>
        <v>56362.215000000004</v>
      </c>
      <c r="H18" s="131"/>
      <c r="I18" s="1">
        <f>26*1.05</f>
        <v>27.3</v>
      </c>
      <c r="J18" s="115">
        <f t="shared" ref="J18:J20" si="3">I18*$B18</f>
        <v>56362.215000000004</v>
      </c>
      <c r="L18" s="115">
        <f t="shared" ref="L18" si="4">K18*$B18</f>
        <v>0</v>
      </c>
    </row>
    <row r="19" spans="1:12" ht="27" customHeight="1" x14ac:dyDescent="0.25">
      <c r="A19" s="173" t="s">
        <v>191</v>
      </c>
      <c r="B19" s="171">
        <f>ALVENARIA!D20*2-('Rev. Fachada'!B15)</f>
        <v>8170.7311999999993</v>
      </c>
      <c r="C19" s="170" t="s">
        <v>2</v>
      </c>
      <c r="D19" s="169">
        <f>B19/DADOS_INICIAIS!E9</f>
        <v>2.2491676347040008</v>
      </c>
      <c r="E19" s="127" t="s">
        <v>189</v>
      </c>
      <c r="F19" s="168" t="s">
        <v>169</v>
      </c>
      <c r="G19" s="125">
        <f>+B19*5*1.05</f>
        <v>42896.338799999998</v>
      </c>
      <c r="H19" s="123"/>
      <c r="I19" s="1">
        <f>5*1.05</f>
        <v>5.25</v>
      </c>
      <c r="J19" s="115">
        <f t="shared" si="3"/>
        <v>42896.338799999998</v>
      </c>
      <c r="L19" s="115">
        <f t="shared" ref="L19" si="5">K19*$B19</f>
        <v>0</v>
      </c>
    </row>
    <row r="20" spans="1:12" ht="27" customHeight="1" x14ac:dyDescent="0.25">
      <c r="A20" s="172" t="s">
        <v>190</v>
      </c>
      <c r="B20" s="171">
        <f>B19</f>
        <v>8170.7311999999993</v>
      </c>
      <c r="C20" s="170" t="s">
        <v>2</v>
      </c>
      <c r="D20" s="169">
        <f>B20/DADOS_INICIAIS!E9</f>
        <v>2.2491676347040008</v>
      </c>
      <c r="E20" s="127" t="s">
        <v>189</v>
      </c>
      <c r="F20" s="168" t="s">
        <v>169</v>
      </c>
      <c r="G20" s="125">
        <f>50*B20*1.05</f>
        <v>428963.38799999998</v>
      </c>
      <c r="H20" s="123"/>
      <c r="I20" s="1">
        <f>50*1.05-K20</f>
        <v>17.5</v>
      </c>
      <c r="J20" s="115">
        <f t="shared" si="3"/>
        <v>142987.79599999997</v>
      </c>
      <c r="K20" s="1">
        <v>35</v>
      </c>
      <c r="L20" s="115">
        <f t="shared" ref="L20" si="6">K20*$B20</f>
        <v>285975.59199999995</v>
      </c>
    </row>
    <row r="21" spans="1:12" ht="15.95" customHeight="1" x14ac:dyDescent="0.25">
      <c r="A21" s="354" t="s">
        <v>17</v>
      </c>
      <c r="B21" s="355"/>
      <c r="C21" s="355"/>
      <c r="D21" s="355"/>
      <c r="E21" s="355"/>
      <c r="F21" s="355"/>
      <c r="G21" s="122">
        <f>SUM(G15:G20)</f>
        <v>808212.99430000014</v>
      </c>
      <c r="H21" s="121"/>
      <c r="J21" s="115"/>
      <c r="L21" s="115">
        <f>L20+L17</f>
        <v>441757.99199999997</v>
      </c>
    </row>
    <row r="22" spans="1:12" ht="15.95" customHeight="1" x14ac:dyDescent="0.25">
      <c r="A22" s="352"/>
      <c r="B22" s="353"/>
      <c r="C22" s="353"/>
      <c r="D22" s="353"/>
      <c r="E22" s="353"/>
      <c r="F22" s="353"/>
      <c r="G22" s="167"/>
      <c r="H22" s="118"/>
      <c r="J22" s="115"/>
    </row>
    <row r="24" spans="1:12" x14ac:dyDescent="0.25">
      <c r="A24" s="351" t="s">
        <v>188</v>
      </c>
      <c r="B24" s="351"/>
      <c r="C24" s="351"/>
      <c r="D24" s="351"/>
      <c r="E24" s="351"/>
      <c r="F24" s="351"/>
      <c r="G24" s="117">
        <f>G21</f>
        <v>808212.99430000014</v>
      </c>
      <c r="H24" s="116">
        <f>G24/DADOS_INICIAIS!E9</f>
        <v>222.47782532936213</v>
      </c>
    </row>
    <row r="26" spans="1:12" x14ac:dyDescent="0.25">
      <c r="H26" s="115">
        <f>H24/1.1</f>
        <v>202.25256848123828</v>
      </c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</sheetData>
  <mergeCells count="6">
    <mergeCell ref="A2:A4"/>
    <mergeCell ref="A24:F24"/>
    <mergeCell ref="A22:F22"/>
    <mergeCell ref="A21:F21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BA5-59B3-4B37-8482-3A07D04C966C}">
  <sheetPr>
    <tabColor rgb="FF92D050"/>
  </sheetPr>
  <dimension ref="A1:M16"/>
  <sheetViews>
    <sheetView showGridLines="0" topLeftCell="A5" zoomScale="80" zoomScaleNormal="80" zoomScaleSheetLayoutView="95" workbookViewId="0">
      <selection activeCell="A13" sqref="A13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27.7109375" style="55" customWidth="1"/>
    <col min="9" max="9" width="11.28515625" style="55" customWidth="1"/>
    <col min="10" max="11" width="12.140625" style="55" bestFit="1" customWidth="1"/>
    <col min="12" max="12" width="11.42578125" style="55" bestFit="1" customWidth="1"/>
    <col min="13" max="13" width="12" style="55" bestFit="1" customWidth="1"/>
    <col min="14" max="15" width="11" style="55" bestFit="1" customWidth="1"/>
    <col min="16" max="16384" width="9.140625" style="55"/>
  </cols>
  <sheetData>
    <row r="1" spans="1:13" x14ac:dyDescent="0.25">
      <c r="D1" s="79"/>
      <c r="E1" s="55"/>
      <c r="H1" s="80"/>
      <c r="I1" s="80"/>
      <c r="J1" s="79"/>
    </row>
    <row r="3" spans="1:13" ht="28.5" x14ac:dyDescent="0.25">
      <c r="A3" s="329" t="s">
        <v>315</v>
      </c>
      <c r="B3" s="340"/>
      <c r="C3" s="340"/>
      <c r="D3" s="330"/>
      <c r="E3" s="330"/>
      <c r="F3" s="330"/>
      <c r="G3" s="330"/>
      <c r="H3" s="331"/>
      <c r="J3" s="79"/>
    </row>
    <row r="4" spans="1:13" ht="19.5" x14ac:dyDescent="0.25">
      <c r="A4" s="186" t="s">
        <v>185</v>
      </c>
      <c r="B4" s="192">
        <v>45471</v>
      </c>
      <c r="C4" s="190"/>
      <c r="D4" s="190"/>
      <c r="E4" s="190"/>
      <c r="F4" s="190"/>
      <c r="G4" s="190"/>
      <c r="H4" s="191"/>
      <c r="J4" s="79"/>
    </row>
    <row r="5" spans="1:13" ht="19.5" x14ac:dyDescent="0.25">
      <c r="A5" s="186" t="s">
        <v>291</v>
      </c>
      <c r="B5" s="193" t="s">
        <v>209</v>
      </c>
      <c r="C5" s="188"/>
      <c r="D5" s="188"/>
      <c r="E5" s="188"/>
      <c r="F5" s="188"/>
      <c r="G5" s="188"/>
      <c r="H5" s="189"/>
      <c r="J5" s="79"/>
    </row>
    <row r="6" spans="1:13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3" ht="21.75" x14ac:dyDescent="0.25">
      <c r="A7" s="52" t="s">
        <v>183</v>
      </c>
      <c r="B7" s="52"/>
      <c r="C7" s="52"/>
      <c r="D7" s="53"/>
      <c r="E7" s="53"/>
      <c r="F7" s="54"/>
      <c r="G7" s="53"/>
      <c r="H7" s="53"/>
    </row>
    <row r="8" spans="1:13" ht="21.75" x14ac:dyDescent="0.25">
      <c r="A8" s="56"/>
      <c r="B8" s="56"/>
      <c r="C8" s="56"/>
      <c r="D8" s="57"/>
      <c r="E8" s="57"/>
      <c r="F8" s="58"/>
      <c r="G8" s="59"/>
      <c r="H8" s="59"/>
    </row>
    <row r="9" spans="1:13" ht="42" customHeight="1" x14ac:dyDescent="0.25">
      <c r="A9" s="63" t="s">
        <v>14</v>
      </c>
      <c r="B9" s="333" t="s">
        <v>5</v>
      </c>
      <c r="C9" s="334"/>
      <c r="D9" s="333" t="s">
        <v>18</v>
      </c>
      <c r="E9" s="334"/>
      <c r="F9" s="65" t="s">
        <v>118</v>
      </c>
      <c r="G9" s="71" t="s">
        <v>16</v>
      </c>
      <c r="H9" s="90" t="s">
        <v>294</v>
      </c>
      <c r="J9" s="279" t="s">
        <v>453</v>
      </c>
      <c r="K9" s="279" t="s">
        <v>458</v>
      </c>
      <c r="L9" s="112" t="s">
        <v>454</v>
      </c>
      <c r="M9" s="112" t="s">
        <v>459</v>
      </c>
    </row>
    <row r="10" spans="1:13" ht="21.75" x14ac:dyDescent="0.25">
      <c r="A10" s="66" t="s">
        <v>431</v>
      </c>
      <c r="B10" s="62">
        <v>0.6</v>
      </c>
      <c r="C10" s="62" t="s">
        <v>37</v>
      </c>
      <c r="D10" s="67">
        <f>'Obra '!C14+'Obra '!C12-D11</f>
        <v>2338.42</v>
      </c>
      <c r="E10" s="67" t="s">
        <v>2</v>
      </c>
      <c r="F10" s="88">
        <v>110</v>
      </c>
      <c r="G10" s="89">
        <f>F10*D10*1</f>
        <v>257226.2</v>
      </c>
      <c r="H10" s="67"/>
      <c r="J10" s="81">
        <f>F10*1</f>
        <v>110</v>
      </c>
      <c r="K10" s="81">
        <f>J10*$D10</f>
        <v>257226.2</v>
      </c>
      <c r="L10" s="81"/>
      <c r="M10" s="81">
        <f>L10*$D10</f>
        <v>0</v>
      </c>
    </row>
    <row r="11" spans="1:13" ht="21.75" x14ac:dyDescent="0.25">
      <c r="A11" s="66" t="s">
        <v>430</v>
      </c>
      <c r="B11" s="62">
        <v>0.6</v>
      </c>
      <c r="C11" s="62" t="s">
        <v>37</v>
      </c>
      <c r="D11" s="67">
        <f>'Obra '!C18*3.92</f>
        <v>199.92</v>
      </c>
      <c r="E11" s="67" t="s">
        <v>2</v>
      </c>
      <c r="F11" s="88">
        <v>120</v>
      </c>
      <c r="G11" s="89">
        <f t="shared" ref="G11:G13" si="0">F11*D11*1</f>
        <v>23990.399999999998</v>
      </c>
      <c r="H11" s="67"/>
      <c r="J11" s="81">
        <f t="shared" ref="J11" si="1">F11*1</f>
        <v>120</v>
      </c>
      <c r="K11" s="81">
        <f t="shared" ref="K11:K13" si="2">J11*$D11</f>
        <v>23990.399999999998</v>
      </c>
      <c r="L11" s="81"/>
      <c r="M11" s="81">
        <f t="shared" ref="M11:M13" si="3">L11*$D11</f>
        <v>0</v>
      </c>
    </row>
    <row r="12" spans="1:13" ht="43.5" x14ac:dyDescent="0.25">
      <c r="A12" s="78" t="s">
        <v>196</v>
      </c>
      <c r="B12" s="62">
        <v>0.2</v>
      </c>
      <c r="C12" s="62" t="s">
        <v>37</v>
      </c>
      <c r="D12" s="67">
        <f>'Obra '!D21+'Obra '!D28+'Rev. Internos Piso e Parede'!B16</f>
        <v>772.91000000000008</v>
      </c>
      <c r="E12" s="67" t="s">
        <v>2</v>
      </c>
      <c r="F12" s="88">
        <v>24</v>
      </c>
      <c r="G12" s="89">
        <f>F12*D12*1</f>
        <v>18549.840000000004</v>
      </c>
      <c r="H12" s="67" t="s">
        <v>630</v>
      </c>
      <c r="J12" s="81">
        <f>F12*1-L12</f>
        <v>4</v>
      </c>
      <c r="K12" s="81">
        <f>J12*$D12</f>
        <v>3091.6400000000003</v>
      </c>
      <c r="L12" s="81">
        <v>20</v>
      </c>
      <c r="M12" s="81">
        <f>L12*$D12</f>
        <v>15458.2</v>
      </c>
    </row>
    <row r="13" spans="1:13" ht="21.75" x14ac:dyDescent="0.25">
      <c r="A13" s="78" t="s">
        <v>432</v>
      </c>
      <c r="B13" s="62">
        <v>1.2</v>
      </c>
      <c r="C13" s="62" t="s">
        <v>313</v>
      </c>
      <c r="D13" s="67"/>
      <c r="E13" s="67" t="s">
        <v>2</v>
      </c>
      <c r="F13" s="88">
        <v>47</v>
      </c>
      <c r="G13" s="89">
        <f t="shared" si="0"/>
        <v>0</v>
      </c>
      <c r="H13" s="67"/>
      <c r="J13" s="81">
        <f>F13*1-L13</f>
        <v>17</v>
      </c>
      <c r="K13" s="81">
        <f t="shared" si="2"/>
        <v>0</v>
      </c>
      <c r="L13" s="81">
        <v>30</v>
      </c>
      <c r="M13" s="81">
        <f t="shared" si="3"/>
        <v>0</v>
      </c>
    </row>
    <row r="14" spans="1:13" ht="21.75" x14ac:dyDescent="0.25">
      <c r="A14" s="328" t="s">
        <v>17</v>
      </c>
      <c r="B14" s="328"/>
      <c r="C14" s="328"/>
      <c r="D14" s="328"/>
      <c r="E14" s="328"/>
      <c r="F14" s="328"/>
      <c r="G14" s="90">
        <f>SUM(G10:G13)</f>
        <v>299766.44000000006</v>
      </c>
      <c r="H14" s="90"/>
    </row>
    <row r="16" spans="1:13" ht="21.75" x14ac:dyDescent="0.25">
      <c r="A16" s="335" t="s">
        <v>341</v>
      </c>
      <c r="B16" s="336"/>
      <c r="C16" s="336"/>
      <c r="D16" s="336"/>
      <c r="E16" s="336"/>
      <c r="F16" s="337"/>
      <c r="G16" s="91">
        <f>G14</f>
        <v>299766.44000000006</v>
      </c>
      <c r="H16" s="91">
        <f>G16/DADOS_INICIAIS!E9</f>
        <v>82.517091593765684</v>
      </c>
    </row>
  </sheetData>
  <mergeCells count="5">
    <mergeCell ref="A3:H3"/>
    <mergeCell ref="B9:C9"/>
    <mergeCell ref="D9:E9"/>
    <mergeCell ref="A14:F14"/>
    <mergeCell ref="A16:F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6FD0-B245-4D99-99B5-C3B4613FC83E}">
  <sheetPr>
    <tabColor rgb="FF92D050"/>
  </sheetPr>
  <dimension ref="A1:M58"/>
  <sheetViews>
    <sheetView showGridLines="0" topLeftCell="A4" zoomScaleNormal="100" zoomScaleSheetLayoutView="95" workbookViewId="0">
      <selection activeCell="L24" sqref="L24"/>
    </sheetView>
  </sheetViews>
  <sheetFormatPr defaultColWidth="9.140625" defaultRowHeight="12.75" x14ac:dyDescent="0.25"/>
  <cols>
    <col min="1" max="1" width="47.42578125" style="1" customWidth="1"/>
    <col min="2" max="2" width="14" style="114" customWidth="1"/>
    <col min="3" max="3" width="17.28515625" style="113" customWidth="1"/>
    <col min="4" max="4" width="10.7109375" style="112" customWidth="1"/>
    <col min="5" max="5" width="15.85546875" style="1" customWidth="1"/>
    <col min="6" max="6" width="12.85546875" style="1" customWidth="1"/>
    <col min="7" max="7" width="17" style="1" customWidth="1"/>
    <col min="8" max="8" width="11.85546875" style="1" customWidth="1"/>
    <col min="9" max="9" width="13.85546875" style="1" bestFit="1" customWidth="1"/>
    <col min="10" max="10" width="13.85546875" style="1" customWidth="1"/>
    <col min="11" max="11" width="11.140625" style="1" customWidth="1"/>
    <col min="12" max="12" width="11.7109375" style="1" bestFit="1" customWidth="1"/>
    <col min="13" max="13" width="13.85546875" style="1" bestFit="1" customWidth="1"/>
    <col min="14" max="16384" width="9.140625" style="1"/>
  </cols>
  <sheetData>
    <row r="1" spans="1:13" x14ac:dyDescent="0.25">
      <c r="B1" s="2"/>
      <c r="C1" s="1"/>
      <c r="D1" s="1"/>
      <c r="G1" s="161"/>
      <c r="H1" s="161"/>
      <c r="I1" s="2"/>
      <c r="J1" s="2"/>
    </row>
    <row r="2" spans="1:13" ht="12.75" customHeight="1" x14ac:dyDescent="0.25">
      <c r="A2" s="349" t="s">
        <v>187</v>
      </c>
      <c r="B2" s="2"/>
      <c r="C2" s="1"/>
      <c r="D2" s="1"/>
      <c r="G2" s="166"/>
      <c r="H2" s="166"/>
      <c r="I2" s="2"/>
      <c r="J2" s="2"/>
    </row>
    <row r="3" spans="1:13" ht="12.75" customHeight="1" x14ac:dyDescent="0.25">
      <c r="A3" s="350"/>
      <c r="B3" s="2"/>
      <c r="C3" s="1"/>
      <c r="D3" s="1"/>
      <c r="G3" s="166"/>
      <c r="H3" s="166"/>
      <c r="I3" s="2"/>
      <c r="J3" s="2"/>
    </row>
    <row r="4" spans="1:13" ht="12.75" customHeight="1" x14ac:dyDescent="0.25">
      <c r="A4" s="350"/>
      <c r="B4" s="2"/>
      <c r="C4" s="1"/>
      <c r="D4" s="1"/>
      <c r="G4" s="166"/>
      <c r="H4" s="166"/>
      <c r="I4" s="2"/>
      <c r="J4" s="2"/>
    </row>
    <row r="5" spans="1:13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  <c r="J5" s="2"/>
    </row>
    <row r="6" spans="1:13" x14ac:dyDescent="0.25">
      <c r="A6" s="162"/>
      <c r="B6" s="2"/>
      <c r="C6" s="1"/>
      <c r="D6" s="1"/>
      <c r="G6" s="161"/>
      <c r="H6" s="161"/>
      <c r="I6" s="2"/>
      <c r="J6" s="2"/>
    </row>
    <row r="7" spans="1:13" x14ac:dyDescent="0.25">
      <c r="A7" s="160" t="s">
        <v>186</v>
      </c>
      <c r="B7" s="159"/>
      <c r="C7" s="158"/>
      <c r="D7" s="158"/>
      <c r="E7" s="158"/>
      <c r="F7" s="158"/>
      <c r="G7" s="158"/>
      <c r="H7" s="157"/>
      <c r="I7" s="2"/>
      <c r="J7" s="2"/>
    </row>
    <row r="8" spans="1:13" x14ac:dyDescent="0.25">
      <c r="A8" s="156" t="s">
        <v>0</v>
      </c>
      <c r="B8" s="155"/>
      <c r="C8" s="154"/>
      <c r="D8" s="154"/>
      <c r="E8" s="154"/>
      <c r="F8" s="154"/>
      <c r="G8" s="154"/>
      <c r="H8" s="153"/>
      <c r="I8" s="2"/>
      <c r="J8" s="2"/>
    </row>
    <row r="9" spans="1:13" ht="15" customHeight="1" x14ac:dyDescent="0.25">
      <c r="A9" s="152" t="s">
        <v>185</v>
      </c>
      <c r="B9" s="151">
        <v>45471</v>
      </c>
      <c r="C9" s="150"/>
      <c r="D9" s="150"/>
      <c r="E9" s="150"/>
      <c r="F9" s="150"/>
      <c r="G9" s="150"/>
      <c r="H9" s="149"/>
    </row>
    <row r="10" spans="1:13" x14ac:dyDescent="0.25">
      <c r="A10" s="148" t="s">
        <v>1</v>
      </c>
      <c r="B10" s="147" t="s">
        <v>184</v>
      </c>
      <c r="C10" s="146"/>
      <c r="D10" s="146"/>
      <c r="E10" s="146"/>
      <c r="F10" s="146"/>
      <c r="G10" s="146"/>
      <c r="H10" s="145"/>
    </row>
    <row r="12" spans="1:13" x14ac:dyDescent="0.25">
      <c r="A12" s="144" t="s">
        <v>205</v>
      </c>
      <c r="B12" s="143"/>
      <c r="C12" s="142"/>
      <c r="D12" s="141"/>
      <c r="E12" s="140"/>
      <c r="F12" s="140"/>
      <c r="G12" s="140"/>
      <c r="H12" s="139"/>
    </row>
    <row r="13" spans="1:13" ht="15.95" customHeight="1" x14ac:dyDescent="0.25">
      <c r="A13" s="138"/>
      <c r="B13" s="137"/>
      <c r="C13" s="136"/>
      <c r="D13" s="135"/>
      <c r="E13" s="135"/>
      <c r="F13" s="135"/>
      <c r="H13" s="131"/>
    </row>
    <row r="14" spans="1:13" ht="15.95" customHeight="1" x14ac:dyDescent="0.25">
      <c r="A14" s="134" t="s">
        <v>14</v>
      </c>
      <c r="B14" s="356" t="s">
        <v>18</v>
      </c>
      <c r="C14" s="357"/>
      <c r="D14" s="358" t="s">
        <v>5</v>
      </c>
      <c r="E14" s="359"/>
      <c r="F14" s="133" t="s">
        <v>182</v>
      </c>
      <c r="G14" s="132" t="s">
        <v>16</v>
      </c>
      <c r="H14" s="131"/>
      <c r="I14" s="279" t="s">
        <v>453</v>
      </c>
      <c r="J14" s="279" t="s">
        <v>458</v>
      </c>
      <c r="K14" s="112" t="s">
        <v>454</v>
      </c>
      <c r="L14" s="112" t="s">
        <v>459</v>
      </c>
    </row>
    <row r="15" spans="1:13" ht="15.95" customHeight="1" x14ac:dyDescent="0.25">
      <c r="A15" s="172" t="s">
        <v>427</v>
      </c>
      <c r="B15" s="180"/>
      <c r="C15" s="170" t="s">
        <v>202</v>
      </c>
      <c r="D15" s="178">
        <f>40*1.1+1.75*8.5+8*0.5+60</f>
        <v>122.875</v>
      </c>
      <c r="E15" s="127" t="s">
        <v>170</v>
      </c>
      <c r="F15" s="168" t="s">
        <v>169</v>
      </c>
      <c r="G15" s="125">
        <f>+D15*B15*1</f>
        <v>0</v>
      </c>
      <c r="H15" s="131"/>
      <c r="I15" s="114">
        <f>40*1.1+1.75*8.5+8*0.5</f>
        <v>62.875</v>
      </c>
      <c r="J15" s="114">
        <f t="shared" ref="J15:J21" si="0">I15*$B15</f>
        <v>0</v>
      </c>
      <c r="K15" s="114">
        <f>60</f>
        <v>60</v>
      </c>
      <c r="L15" s="114">
        <f>K15*$B15</f>
        <v>0</v>
      </c>
      <c r="M15" s="115" t="s">
        <v>456</v>
      </c>
    </row>
    <row r="16" spans="1:13" ht="15.95" customHeight="1" x14ac:dyDescent="0.25">
      <c r="A16" s="275" t="s">
        <v>428</v>
      </c>
      <c r="B16" s="180">
        <f>TETO!D11+TETO!D10</f>
        <v>2538.34</v>
      </c>
      <c r="C16" s="170" t="s">
        <v>202</v>
      </c>
      <c r="D16" s="178">
        <f>55*1.1+1.75*8.5+8*0.5+60</f>
        <v>139.375</v>
      </c>
      <c r="E16" s="127" t="s">
        <v>170</v>
      </c>
      <c r="F16" s="168" t="s">
        <v>169</v>
      </c>
      <c r="G16" s="125">
        <f>+D16*B16*1.05</f>
        <v>371470.19437500002</v>
      </c>
      <c r="H16" s="131"/>
      <c r="I16" s="114">
        <f>55*1.1+1.75*8.5+8*0.5</f>
        <v>79.375</v>
      </c>
      <c r="J16" s="114">
        <f t="shared" si="0"/>
        <v>201480.73750000002</v>
      </c>
      <c r="K16" s="114">
        <f>60</f>
        <v>60</v>
      </c>
      <c r="L16" s="114">
        <f t="shared" ref="L16:L23" si="1">K16*$B16</f>
        <v>152300.40000000002</v>
      </c>
      <c r="M16" s="115" t="s">
        <v>456</v>
      </c>
    </row>
    <row r="17" spans="1:13" ht="15.95" customHeight="1" x14ac:dyDescent="0.25">
      <c r="A17" s="172" t="s">
        <v>352</v>
      </c>
      <c r="B17" s="180"/>
      <c r="C17" s="170" t="s">
        <v>202</v>
      </c>
      <c r="D17" s="178">
        <v>160</v>
      </c>
      <c r="E17" s="127" t="s">
        <v>170</v>
      </c>
      <c r="F17" s="168" t="s">
        <v>169</v>
      </c>
      <c r="G17" s="125">
        <f>+D17*B17*1</f>
        <v>0</v>
      </c>
      <c r="H17" s="131"/>
      <c r="I17" s="114">
        <v>160</v>
      </c>
      <c r="J17" s="114">
        <f t="shared" si="0"/>
        <v>0</v>
      </c>
      <c r="K17" s="114"/>
      <c r="L17" s="114">
        <f t="shared" si="1"/>
        <v>0</v>
      </c>
      <c r="M17" s="115" t="s">
        <v>455</v>
      </c>
    </row>
    <row r="18" spans="1:13" ht="15.95" customHeight="1" x14ac:dyDescent="0.25">
      <c r="A18" s="182" t="s">
        <v>204</v>
      </c>
      <c r="B18" s="180">
        <f>63.05+(3.14+1.63+12.5)*2*1.5</f>
        <v>114.86</v>
      </c>
      <c r="C18" s="170" t="s">
        <v>202</v>
      </c>
      <c r="D18" s="178">
        <f>110*1.1+1.8*8.5+9*0.5+60</f>
        <v>200.8</v>
      </c>
      <c r="E18" s="127" t="s">
        <v>170</v>
      </c>
      <c r="F18" s="168" t="s">
        <v>169</v>
      </c>
      <c r="G18" s="125">
        <f>+D18*B18*1</f>
        <v>23063.888000000003</v>
      </c>
      <c r="H18" s="131"/>
      <c r="I18" s="114">
        <f>110*1.1+1.8*8.5+9*0.5</f>
        <v>140.80000000000001</v>
      </c>
      <c r="J18" s="114">
        <f t="shared" si="0"/>
        <v>16172.288</v>
      </c>
      <c r="K18" s="114">
        <f>60</f>
        <v>60</v>
      </c>
      <c r="L18" s="114">
        <f t="shared" si="1"/>
        <v>6891.6</v>
      </c>
      <c r="M18" s="115" t="s">
        <v>456</v>
      </c>
    </row>
    <row r="19" spans="1:13" ht="15.95" customHeight="1" x14ac:dyDescent="0.25">
      <c r="A19" s="172" t="s">
        <v>429</v>
      </c>
      <c r="B19" s="180">
        <f>ARQUITETURA!D65+ARQUITETURA!D66</f>
        <v>137.66</v>
      </c>
      <c r="C19" s="170" t="s">
        <v>202</v>
      </c>
      <c r="D19" s="178">
        <v>60</v>
      </c>
      <c r="E19" s="127" t="s">
        <v>170</v>
      </c>
      <c r="F19" s="168" t="s">
        <v>169</v>
      </c>
      <c r="G19" s="125">
        <f>+D19*B19*1.05</f>
        <v>8672.58</v>
      </c>
      <c r="H19" s="131"/>
      <c r="I19" s="114">
        <v>30</v>
      </c>
      <c r="J19" s="114">
        <f t="shared" si="0"/>
        <v>4129.8</v>
      </c>
      <c r="K19" s="114">
        <v>30</v>
      </c>
      <c r="L19" s="114">
        <f t="shared" si="1"/>
        <v>4129.8</v>
      </c>
      <c r="M19" s="115" t="s">
        <v>456</v>
      </c>
    </row>
    <row r="20" spans="1:13" ht="15.95" customHeight="1" x14ac:dyDescent="0.25">
      <c r="A20" s="172" t="s">
        <v>203</v>
      </c>
      <c r="B20" s="180">
        <f>ARQUITETURA!D70</f>
        <v>679.88</v>
      </c>
      <c r="C20" s="170" t="s">
        <v>202</v>
      </c>
      <c r="D20" s="178">
        <v>60</v>
      </c>
      <c r="E20" s="127" t="s">
        <v>170</v>
      </c>
      <c r="F20" s="168" t="s">
        <v>169</v>
      </c>
      <c r="G20" s="125">
        <f>+D20*B20*1.05</f>
        <v>42832.44</v>
      </c>
      <c r="H20" s="131"/>
      <c r="I20" s="114">
        <v>30</v>
      </c>
      <c r="J20" s="114">
        <f t="shared" si="0"/>
        <v>20396.400000000001</v>
      </c>
      <c r="K20" s="114">
        <v>30</v>
      </c>
      <c r="L20" s="114">
        <f t="shared" si="1"/>
        <v>20396.400000000001</v>
      </c>
      <c r="M20" s="115" t="s">
        <v>456</v>
      </c>
    </row>
    <row r="21" spans="1:13" ht="15.95" customHeight="1" x14ac:dyDescent="0.25">
      <c r="A21" s="182" t="s">
        <v>201</v>
      </c>
      <c r="B21" s="180">
        <f>SUM(B15:B17)*1.2</f>
        <v>3046.0080000000003</v>
      </c>
      <c r="C21" s="170" t="s">
        <v>4</v>
      </c>
      <c r="D21" s="178">
        <f>35+20</f>
        <v>55</v>
      </c>
      <c r="E21" s="127" t="s">
        <v>6</v>
      </c>
      <c r="F21" s="168" t="s">
        <v>169</v>
      </c>
      <c r="G21" s="125">
        <f>D21*B21*1.05</f>
        <v>175906.962</v>
      </c>
      <c r="H21" s="131"/>
      <c r="I21" s="114">
        <v>35</v>
      </c>
      <c r="J21" s="114">
        <f t="shared" si="0"/>
        <v>106610.28000000001</v>
      </c>
      <c r="K21" s="114">
        <v>20</v>
      </c>
      <c r="L21" s="114">
        <f t="shared" si="1"/>
        <v>60920.160000000003</v>
      </c>
      <c r="M21" s="115" t="s">
        <v>456</v>
      </c>
    </row>
    <row r="22" spans="1:13" ht="15.95" customHeight="1" x14ac:dyDescent="0.25">
      <c r="A22" s="181" t="s">
        <v>200</v>
      </c>
      <c r="B22" s="180">
        <v>1</v>
      </c>
      <c r="C22" s="170" t="s">
        <v>27</v>
      </c>
      <c r="D22" s="178">
        <v>20</v>
      </c>
      <c r="E22" s="127" t="s">
        <v>6</v>
      </c>
      <c r="F22" s="168" t="s">
        <v>169</v>
      </c>
      <c r="G22" s="125">
        <f>D22*DADOS_INICIAIS!$E$9*1.1</f>
        <v>79921.16</v>
      </c>
      <c r="H22" s="131"/>
      <c r="I22" s="114"/>
      <c r="J22" s="114">
        <f>G22*0.6</f>
        <v>47952.696000000004</v>
      </c>
      <c r="K22" s="114"/>
      <c r="L22" s="114">
        <f>G22*0.4</f>
        <v>31968.464000000004</v>
      </c>
    </row>
    <row r="23" spans="1:13" ht="15.95" customHeight="1" x14ac:dyDescent="0.25">
      <c r="A23" s="179" t="s">
        <v>199</v>
      </c>
      <c r="B23" s="180">
        <f>(2.8*2+1.4*2)*3.06*'Obra '!C18</f>
        <v>1310.9039999999998</v>
      </c>
      <c r="C23" s="170" t="s">
        <v>441</v>
      </c>
      <c r="D23" s="178">
        <f>65*1.1+1.75*8.5+8*0.5+60</f>
        <v>150.375</v>
      </c>
      <c r="E23" s="127" t="s">
        <v>6</v>
      </c>
      <c r="F23" s="168" t="s">
        <v>169</v>
      </c>
      <c r="G23" s="125">
        <f>D23*B23*1.1</f>
        <v>216839.90789999996</v>
      </c>
      <c r="H23" s="123"/>
      <c r="I23" s="114">
        <f>65*1.1+1.75*8.5+8*0.5</f>
        <v>90.375</v>
      </c>
      <c r="J23" s="114">
        <f>I23*$B23</f>
        <v>118472.94899999998</v>
      </c>
      <c r="K23" s="114">
        <v>60</v>
      </c>
      <c r="L23" s="114">
        <f t="shared" si="1"/>
        <v>78654.239999999991</v>
      </c>
      <c r="M23" s="115" t="s">
        <v>456</v>
      </c>
    </row>
    <row r="24" spans="1:13" ht="15.95" customHeight="1" x14ac:dyDescent="0.25">
      <c r="A24" s="362">
        <f>20*40</f>
        <v>800</v>
      </c>
      <c r="B24" s="351"/>
      <c r="C24" s="351"/>
      <c r="D24" s="351"/>
      <c r="E24" s="351"/>
      <c r="F24" s="351"/>
      <c r="G24" s="177">
        <f>SUM(G15:G23)</f>
        <v>918707.1322750001</v>
      </c>
      <c r="H24" s="121"/>
      <c r="I24" s="114"/>
      <c r="J24" s="114"/>
      <c r="K24" s="114"/>
      <c r="L24" s="114">
        <f>SUM(L15:L23)</f>
        <v>355261.06400000001</v>
      </c>
    </row>
    <row r="25" spans="1:13" ht="15.95" customHeight="1" x14ac:dyDescent="0.25">
      <c r="A25" s="360"/>
      <c r="B25" s="361"/>
      <c r="C25" s="361"/>
      <c r="D25" s="361"/>
      <c r="E25" s="361"/>
      <c r="F25" s="361"/>
      <c r="G25" s="167"/>
      <c r="H25" s="118"/>
    </row>
    <row r="26" spans="1:13" ht="15.95" customHeight="1" x14ac:dyDescent="0.25">
      <c r="A26" s="120"/>
      <c r="B26" s="119"/>
      <c r="C26" s="119"/>
      <c r="D26" s="119"/>
      <c r="E26" s="119"/>
      <c r="F26" s="119"/>
      <c r="G26" s="167"/>
      <c r="H26" s="118"/>
    </row>
    <row r="27" spans="1:13" x14ac:dyDescent="0.25">
      <c r="A27" s="351" t="s">
        <v>198</v>
      </c>
      <c r="B27" s="351"/>
      <c r="C27" s="351"/>
      <c r="D27" s="351"/>
      <c r="E27" s="351"/>
      <c r="F27" s="351"/>
      <c r="G27" s="117">
        <f>G24</f>
        <v>918707.1322750001</v>
      </c>
      <c r="H27" s="116">
        <f>G27/DADOS_INICIAIS!E9</f>
        <v>252.89368810525278</v>
      </c>
    </row>
    <row r="29" spans="1:13" ht="15" x14ac:dyDescent="0.25">
      <c r="B29"/>
      <c r="C29"/>
      <c r="D29"/>
      <c r="E29"/>
      <c r="F29"/>
      <c r="G29"/>
      <c r="H29" s="176">
        <f>H27/1.1</f>
        <v>229.90335282295706</v>
      </c>
    </row>
    <row r="30" spans="1:13" ht="15" x14ac:dyDescent="0.25">
      <c r="B30"/>
      <c r="C30"/>
      <c r="D30"/>
      <c r="E30"/>
      <c r="F30"/>
      <c r="G30"/>
      <c r="H30"/>
    </row>
    <row r="31" spans="1:13" ht="15" x14ac:dyDescent="0.25">
      <c r="C31"/>
      <c r="D31"/>
      <c r="E31"/>
      <c r="F31"/>
      <c r="G31"/>
      <c r="H31"/>
    </row>
    <row r="32" spans="1:13" ht="15" x14ac:dyDescent="0.25">
      <c r="C32"/>
      <c r="D32"/>
      <c r="E32"/>
      <c r="F32"/>
      <c r="G32"/>
      <c r="H32"/>
    </row>
    <row r="33" spans="2:8" ht="15" x14ac:dyDescent="0.25">
      <c r="C33"/>
      <c r="D33"/>
      <c r="E33"/>
      <c r="F33"/>
      <c r="G33"/>
      <c r="H33"/>
    </row>
    <row r="34" spans="2:8" ht="15" x14ac:dyDescent="0.25">
      <c r="C34"/>
      <c r="D34"/>
      <c r="E34"/>
      <c r="F34"/>
      <c r="G34"/>
      <c r="H34"/>
    </row>
    <row r="35" spans="2:8" ht="15" x14ac:dyDescent="0.25">
      <c r="C35"/>
      <c r="D35"/>
      <c r="E35"/>
      <c r="F35"/>
      <c r="G35"/>
      <c r="H35"/>
    </row>
    <row r="36" spans="2:8" ht="15" x14ac:dyDescent="0.25">
      <c r="B36"/>
      <c r="C36"/>
      <c r="D36"/>
      <c r="E36"/>
      <c r="F36"/>
      <c r="G36"/>
      <c r="H36"/>
    </row>
    <row r="37" spans="2:8" ht="15" x14ac:dyDescent="0.25">
      <c r="C37"/>
      <c r="D37"/>
      <c r="E37"/>
      <c r="F37"/>
      <c r="G37"/>
      <c r="H37"/>
    </row>
    <row r="38" spans="2:8" ht="15" x14ac:dyDescent="0.25">
      <c r="C38"/>
      <c r="D38"/>
      <c r="E38"/>
      <c r="F38"/>
      <c r="G38"/>
      <c r="H38"/>
    </row>
    <row r="39" spans="2:8" ht="15" x14ac:dyDescent="0.25">
      <c r="C39"/>
      <c r="D39"/>
      <c r="E39"/>
      <c r="F39"/>
      <c r="G39"/>
      <c r="H39"/>
    </row>
    <row r="40" spans="2:8" ht="15" x14ac:dyDescent="0.25">
      <c r="C40"/>
      <c r="D40"/>
      <c r="E40"/>
      <c r="F40"/>
      <c r="G40"/>
      <c r="H40"/>
    </row>
    <row r="41" spans="2:8" ht="15" x14ac:dyDescent="0.25">
      <c r="B41"/>
      <c r="C41"/>
      <c r="D41"/>
      <c r="E41"/>
      <c r="F41"/>
      <c r="G41"/>
      <c r="H41"/>
    </row>
    <row r="42" spans="2:8" ht="15" x14ac:dyDescent="0.25">
      <c r="C42"/>
      <c r="D42"/>
      <c r="E42"/>
      <c r="F42"/>
      <c r="G42"/>
      <c r="H42"/>
    </row>
    <row r="43" spans="2:8" ht="15" x14ac:dyDescent="0.25">
      <c r="B43"/>
      <c r="C43"/>
      <c r="D43"/>
      <c r="E43"/>
      <c r="F43"/>
      <c r="G43"/>
      <c r="H43"/>
    </row>
    <row r="44" spans="2:8" ht="15" x14ac:dyDescent="0.25">
      <c r="C44"/>
      <c r="D44"/>
      <c r="E44"/>
      <c r="F44"/>
      <c r="G44"/>
      <c r="H44"/>
    </row>
    <row r="45" spans="2:8" ht="15" x14ac:dyDescent="0.25">
      <c r="C45"/>
      <c r="D45"/>
      <c r="E45"/>
      <c r="F45"/>
      <c r="G45"/>
      <c r="H45"/>
    </row>
    <row r="46" spans="2:8" ht="15" x14ac:dyDescent="0.25">
      <c r="C46"/>
      <c r="D46"/>
      <c r="E46"/>
      <c r="F46"/>
      <c r="G46"/>
      <c r="H46"/>
    </row>
    <row r="47" spans="2:8" ht="15" x14ac:dyDescent="0.25">
      <c r="C47"/>
      <c r="D47"/>
      <c r="E47"/>
      <c r="F47"/>
      <c r="G47"/>
      <c r="H47"/>
    </row>
    <row r="48" spans="2:8" ht="15" x14ac:dyDescent="0.25">
      <c r="B48"/>
      <c r="C48"/>
      <c r="D48"/>
      <c r="E48"/>
      <c r="F48"/>
      <c r="G48"/>
      <c r="H48"/>
    </row>
    <row r="49" spans="2:8" ht="15" x14ac:dyDescent="0.25">
      <c r="C49"/>
      <c r="D49"/>
      <c r="E49"/>
      <c r="F49"/>
      <c r="G49"/>
      <c r="H49"/>
    </row>
    <row r="50" spans="2:8" ht="15" x14ac:dyDescent="0.25">
      <c r="C50"/>
      <c r="D50"/>
      <c r="E50"/>
      <c r="F50"/>
      <c r="G50"/>
      <c r="H50"/>
    </row>
    <row r="51" spans="2:8" ht="15" x14ac:dyDescent="0.25">
      <c r="C51"/>
      <c r="D51"/>
      <c r="E51"/>
      <c r="F51"/>
      <c r="G51"/>
      <c r="H51"/>
    </row>
    <row r="52" spans="2:8" ht="15" x14ac:dyDescent="0.25">
      <c r="C52"/>
      <c r="D52"/>
      <c r="E52"/>
      <c r="F52"/>
      <c r="G52"/>
      <c r="H52"/>
    </row>
    <row r="53" spans="2:8" ht="15" x14ac:dyDescent="0.25">
      <c r="B53"/>
      <c r="C53"/>
      <c r="D53"/>
      <c r="E53"/>
      <c r="F53"/>
      <c r="G53"/>
      <c r="H53"/>
    </row>
    <row r="54" spans="2:8" ht="15" x14ac:dyDescent="0.25">
      <c r="C54"/>
      <c r="D54"/>
      <c r="E54"/>
      <c r="F54"/>
      <c r="G54"/>
      <c r="H54"/>
    </row>
    <row r="55" spans="2:8" ht="15" x14ac:dyDescent="0.25">
      <c r="C55"/>
      <c r="D55"/>
      <c r="E55"/>
      <c r="F55"/>
      <c r="G55"/>
      <c r="H55"/>
    </row>
    <row r="56" spans="2:8" ht="15" x14ac:dyDescent="0.25">
      <c r="C56"/>
      <c r="D56"/>
      <c r="E56"/>
      <c r="F56"/>
      <c r="G56"/>
      <c r="H56"/>
    </row>
    <row r="57" spans="2:8" ht="15" x14ac:dyDescent="0.25">
      <c r="C57"/>
      <c r="D57"/>
      <c r="E57"/>
      <c r="F57"/>
      <c r="G57"/>
      <c r="H57"/>
    </row>
    <row r="58" spans="2:8" ht="15" x14ac:dyDescent="0.25">
      <c r="C58"/>
      <c r="D58"/>
      <c r="E58"/>
      <c r="F58"/>
      <c r="G58"/>
      <c r="H58"/>
    </row>
  </sheetData>
  <mergeCells count="6">
    <mergeCell ref="A27:F27"/>
    <mergeCell ref="A25:F25"/>
    <mergeCell ref="A24:F24"/>
    <mergeCell ref="A2:A4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737-6C6E-4935-8874-7DD67B74A44A}">
  <sheetPr>
    <tabColor rgb="FF92D050"/>
  </sheetPr>
  <dimension ref="A1:M22"/>
  <sheetViews>
    <sheetView showGridLines="0" topLeftCell="B4" zoomScale="80" zoomScaleNormal="80" zoomScaleSheetLayoutView="95" workbookViewId="0">
      <selection activeCell="L16" sqref="L16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2.7109375" style="82" customWidth="1"/>
    <col min="6" max="6" width="17.42578125" style="55" bestFit="1" customWidth="1"/>
    <col min="7" max="7" width="19.28515625" style="55" bestFit="1" customWidth="1"/>
    <col min="8" max="8" width="58.28515625" style="55" customWidth="1"/>
    <col min="9" max="9" width="11.28515625" style="55" customWidth="1"/>
    <col min="10" max="10" width="14" style="55" customWidth="1"/>
    <col min="11" max="11" width="9.140625" style="55"/>
    <col min="12" max="12" width="13.5703125" style="55" customWidth="1"/>
    <col min="13" max="13" width="11" style="55" bestFit="1" customWidth="1"/>
    <col min="14" max="14" width="11.28515625" style="55" bestFit="1" customWidth="1"/>
    <col min="15" max="15" width="9.140625" style="55"/>
    <col min="16" max="17" width="11" style="55" bestFit="1" customWidth="1"/>
    <col min="18" max="16384" width="9.140625" style="55"/>
  </cols>
  <sheetData>
    <row r="1" spans="1:13" x14ac:dyDescent="0.25">
      <c r="D1" s="79"/>
      <c r="E1" s="55"/>
      <c r="H1" s="80"/>
      <c r="I1" s="80"/>
      <c r="J1" s="80"/>
      <c r="K1" s="79"/>
      <c r="L1" s="79"/>
    </row>
    <row r="3" spans="1:13" ht="28.5" x14ac:dyDescent="0.25">
      <c r="A3" s="329" t="s">
        <v>314</v>
      </c>
      <c r="B3" s="340"/>
      <c r="C3" s="340"/>
      <c r="D3" s="330"/>
      <c r="E3" s="330"/>
      <c r="F3" s="330"/>
      <c r="G3" s="330"/>
      <c r="H3" s="331"/>
      <c r="K3" s="79"/>
      <c r="L3" s="79"/>
    </row>
    <row r="4" spans="1:13" ht="19.5" x14ac:dyDescent="0.25">
      <c r="A4" s="186" t="s">
        <v>185</v>
      </c>
      <c r="B4" s="192">
        <v>45457</v>
      </c>
      <c r="C4" s="190"/>
      <c r="D4" s="190"/>
      <c r="E4" s="190"/>
      <c r="F4" s="190"/>
      <c r="G4" s="190"/>
      <c r="H4" s="191"/>
      <c r="K4" s="79"/>
      <c r="L4" s="79"/>
    </row>
    <row r="5" spans="1:13" ht="19.5" x14ac:dyDescent="0.25">
      <c r="A5" s="186" t="s">
        <v>291</v>
      </c>
      <c r="B5" s="193" t="s">
        <v>209</v>
      </c>
      <c r="C5" s="188"/>
      <c r="D5" s="188"/>
      <c r="E5" s="188"/>
      <c r="F5" s="188"/>
      <c r="G5" s="188"/>
      <c r="H5" s="189"/>
      <c r="K5" s="79"/>
      <c r="L5" s="79"/>
    </row>
    <row r="6" spans="1:13" ht="21.75" x14ac:dyDescent="0.25">
      <c r="A6" s="83"/>
      <c r="B6" s="83"/>
      <c r="C6" s="83"/>
      <c r="D6" s="83"/>
      <c r="E6" s="83"/>
      <c r="F6" s="84"/>
      <c r="G6" s="85"/>
      <c r="H6" s="85"/>
      <c r="K6" s="79"/>
      <c r="L6" s="79"/>
    </row>
    <row r="7" spans="1:13" ht="21.75" x14ac:dyDescent="0.25">
      <c r="A7" s="52" t="s">
        <v>183</v>
      </c>
      <c r="B7" s="52"/>
      <c r="C7" s="52"/>
      <c r="D7" s="53"/>
      <c r="E7" s="53"/>
      <c r="F7" s="54"/>
      <c r="G7" s="53"/>
      <c r="H7" s="53"/>
    </row>
    <row r="8" spans="1:13" ht="21.75" x14ac:dyDescent="0.25">
      <c r="A8" s="56"/>
      <c r="B8" s="56"/>
      <c r="C8" s="56"/>
      <c r="D8" s="57"/>
      <c r="E8" s="57"/>
      <c r="F8" s="58"/>
      <c r="G8" s="59"/>
      <c r="H8" s="59"/>
    </row>
    <row r="9" spans="1:13" ht="42" customHeight="1" x14ac:dyDescent="0.25">
      <c r="A9" s="63" t="s">
        <v>14</v>
      </c>
      <c r="B9" s="333" t="s">
        <v>5</v>
      </c>
      <c r="C9" s="334"/>
      <c r="D9" s="333" t="s">
        <v>18</v>
      </c>
      <c r="E9" s="334"/>
      <c r="F9" s="65" t="s">
        <v>118</v>
      </c>
      <c r="G9" s="71" t="s">
        <v>16</v>
      </c>
      <c r="H9" s="90" t="s">
        <v>294</v>
      </c>
      <c r="I9" s="279" t="s">
        <v>453</v>
      </c>
      <c r="J9" s="279" t="s">
        <v>458</v>
      </c>
      <c r="K9" s="112" t="s">
        <v>454</v>
      </c>
      <c r="L9" s="112" t="s">
        <v>459</v>
      </c>
    </row>
    <row r="10" spans="1:13" ht="21.75" x14ac:dyDescent="0.25">
      <c r="A10" s="66" t="s">
        <v>207</v>
      </c>
      <c r="B10" s="62">
        <v>110</v>
      </c>
      <c r="C10" s="62" t="s">
        <v>170</v>
      </c>
      <c r="D10" s="67">
        <f>'Rev. Internos Piso e Parede'!B15</f>
        <v>653.54999999999995</v>
      </c>
      <c r="E10" s="67" t="s">
        <v>2</v>
      </c>
      <c r="F10" s="88">
        <v>110</v>
      </c>
      <c r="G10" s="89">
        <f>F10*D10*1.1</f>
        <v>79079.55</v>
      </c>
      <c r="H10" s="67"/>
    </row>
    <row r="11" spans="1:13" ht="21.75" x14ac:dyDescent="0.25">
      <c r="A11" s="78" t="s">
        <v>206</v>
      </c>
      <c r="B11" s="62">
        <v>65</v>
      </c>
      <c r="C11" s="62" t="s">
        <v>170</v>
      </c>
      <c r="D11" s="67">
        <f>'Rev. Internos Piso e Parede'!B16</f>
        <v>84.56</v>
      </c>
      <c r="E11" s="67" t="s">
        <v>2</v>
      </c>
      <c r="F11" s="88">
        <v>65</v>
      </c>
      <c r="G11" s="89">
        <f>F11*D11*1.1</f>
        <v>6046.0400000000009</v>
      </c>
      <c r="H11" s="67"/>
    </row>
    <row r="12" spans="1:13" ht="21.75" x14ac:dyDescent="0.25">
      <c r="A12" s="78" t="s">
        <v>631</v>
      </c>
      <c r="B12" s="62">
        <v>26</v>
      </c>
      <c r="C12" s="62" t="s">
        <v>6</v>
      </c>
      <c r="D12" s="67">
        <f>TETO!D12</f>
        <v>772.91000000000008</v>
      </c>
      <c r="E12" s="67" t="s">
        <v>2</v>
      </c>
      <c r="F12" s="88">
        <f>12+35</f>
        <v>47</v>
      </c>
      <c r="G12" s="89">
        <f>F12*D12*1</f>
        <v>36326.770000000004</v>
      </c>
      <c r="H12" s="67"/>
      <c r="I12" s="55">
        <v>12</v>
      </c>
      <c r="J12" s="278">
        <f>I12*$D12</f>
        <v>9274.9200000000019</v>
      </c>
      <c r="K12" s="55">
        <v>35</v>
      </c>
      <c r="L12" s="278">
        <f>K12*$D12</f>
        <v>27051.850000000002</v>
      </c>
      <c r="M12" s="55" t="s">
        <v>456</v>
      </c>
    </row>
    <row r="13" spans="1:13" ht="21.75" x14ac:dyDescent="0.25">
      <c r="A13" s="66" t="s">
        <v>442</v>
      </c>
      <c r="B13" s="62"/>
      <c r="C13" s="62"/>
      <c r="D13" s="67">
        <f>'Rev. Internos Piso e Parede'!B20-'Acabamentos de Piso e Parede'!B23+ALVENARIA!D18</f>
        <v>6905.8171999999995</v>
      </c>
      <c r="E13" s="67" t="s">
        <v>2</v>
      </c>
      <c r="F13" s="88">
        <f>19+40</f>
        <v>59</v>
      </c>
      <c r="G13" s="89">
        <f t="shared" ref="G13:G14" si="0">F13*D13</f>
        <v>407443.21479999996</v>
      </c>
      <c r="H13" s="67"/>
      <c r="I13" s="55">
        <v>19</v>
      </c>
      <c r="J13" s="278">
        <f>I13*$D13</f>
        <v>131210.52679999999</v>
      </c>
      <c r="K13" s="55">
        <v>40</v>
      </c>
      <c r="L13" s="278">
        <f>K13*$D13</f>
        <v>276232.68799999997</v>
      </c>
      <c r="M13" s="55" t="s">
        <v>456</v>
      </c>
    </row>
    <row r="14" spans="1:13" ht="21.75" x14ac:dyDescent="0.25">
      <c r="A14" s="66" t="s">
        <v>443</v>
      </c>
      <c r="B14" s="62"/>
      <c r="C14" s="62"/>
      <c r="D14" s="67">
        <f>TETO!D10+TETO!D11</f>
        <v>2538.34</v>
      </c>
      <c r="E14" s="67" t="s">
        <v>2</v>
      </c>
      <c r="F14" s="88">
        <f>F13</f>
        <v>59</v>
      </c>
      <c r="G14" s="89">
        <f t="shared" si="0"/>
        <v>149762.06</v>
      </c>
      <c r="H14" s="67"/>
      <c r="I14" s="55">
        <v>19</v>
      </c>
      <c r="J14" s="278">
        <f>I14*$D14</f>
        <v>48228.460000000006</v>
      </c>
      <c r="K14" s="55">
        <v>40</v>
      </c>
      <c r="L14" s="278">
        <f>K14*$D14</f>
        <v>101533.6</v>
      </c>
      <c r="M14" s="55" t="s">
        <v>456</v>
      </c>
    </row>
    <row r="15" spans="1:13" ht="21.75" x14ac:dyDescent="0.25">
      <c r="A15" s="328" t="s">
        <v>17</v>
      </c>
      <c r="B15" s="328"/>
      <c r="C15" s="328"/>
      <c r="D15" s="328"/>
      <c r="E15" s="328"/>
      <c r="F15" s="328"/>
      <c r="G15" s="90">
        <f>SUM(G10:G14)</f>
        <v>678657.63479999988</v>
      </c>
      <c r="H15" s="90"/>
      <c r="L15" s="55">
        <f>SUM(L10:L14)</f>
        <v>404818.13799999992</v>
      </c>
    </row>
    <row r="17" spans="1:8" ht="21.75" x14ac:dyDescent="0.25">
      <c r="A17" s="335" t="s">
        <v>213</v>
      </c>
      <c r="B17" s="336"/>
      <c r="C17" s="336"/>
      <c r="D17" s="336"/>
      <c r="E17" s="336"/>
      <c r="F17" s="337"/>
      <c r="G17" s="91">
        <f>G15</f>
        <v>678657.63479999988</v>
      </c>
      <c r="H17" s="91">
        <f>G17/DADOS_INICIAIS!E9</f>
        <v>186.81495570885104</v>
      </c>
    </row>
    <row r="19" spans="1:8" x14ac:dyDescent="0.25">
      <c r="H19" s="195">
        <f>H17/1.1</f>
        <v>169.83177791713729</v>
      </c>
    </row>
    <row r="22" spans="1:8" x14ac:dyDescent="0.25">
      <c r="F22" s="278"/>
      <c r="G22" s="55">
        <f>4160+1440+1120+2880+4800+91680+4000</f>
        <v>110080</v>
      </c>
      <c r="H22" s="55">
        <f>G22/21</f>
        <v>5241.9047619047615</v>
      </c>
    </row>
  </sheetData>
  <mergeCells count="5">
    <mergeCell ref="A3:H3"/>
    <mergeCell ref="B9:C9"/>
    <mergeCell ref="D9:E9"/>
    <mergeCell ref="A15:F15"/>
    <mergeCell ref="A17:F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C23D-4848-47C0-9462-ED4026A4C01F}">
  <sheetPr>
    <tabColor rgb="FF92D050"/>
  </sheetPr>
  <dimension ref="A1:M23"/>
  <sheetViews>
    <sheetView showGridLines="0" topLeftCell="A7" zoomScale="80" zoomScaleNormal="80" zoomScaleSheetLayoutView="95" workbookViewId="0">
      <selection activeCell="L22" sqref="L22"/>
    </sheetView>
  </sheetViews>
  <sheetFormatPr defaultColWidth="9.140625" defaultRowHeight="15" x14ac:dyDescent="0.25"/>
  <cols>
    <col min="1" max="1" width="50.140625" style="55" customWidth="1"/>
    <col min="2" max="3" width="11.8554687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26.140625" style="55" customWidth="1"/>
    <col min="9" max="9" width="15.140625" style="55" bestFit="1" customWidth="1"/>
    <col min="10" max="10" width="18.140625" style="55" bestFit="1" customWidth="1"/>
    <col min="11" max="12" width="15.140625" style="55" bestFit="1" customWidth="1"/>
    <col min="13" max="13" width="11" style="55" bestFit="1" customWidth="1"/>
    <col min="14" max="14" width="11.28515625" style="55" bestFit="1" customWidth="1"/>
    <col min="15" max="15" width="9.140625" style="55"/>
    <col min="16" max="17" width="11" style="55" bestFit="1" customWidth="1"/>
    <col min="18" max="16384" width="9.140625" style="55"/>
  </cols>
  <sheetData>
    <row r="1" spans="1:13" x14ac:dyDescent="0.25">
      <c r="D1" s="79"/>
      <c r="E1" s="55"/>
      <c r="H1" s="80"/>
      <c r="I1" s="80"/>
      <c r="J1" s="80"/>
      <c r="K1" s="79"/>
      <c r="L1" s="79"/>
    </row>
    <row r="3" spans="1:13" ht="28.5" x14ac:dyDescent="0.25">
      <c r="A3" s="329" t="s">
        <v>229</v>
      </c>
      <c r="B3" s="340"/>
      <c r="C3" s="340"/>
      <c r="D3" s="330"/>
      <c r="E3" s="330"/>
      <c r="F3" s="330"/>
      <c r="G3" s="330"/>
      <c r="H3" s="331"/>
      <c r="K3" s="79"/>
      <c r="L3" s="79"/>
    </row>
    <row r="4" spans="1:13" ht="19.5" x14ac:dyDescent="0.25">
      <c r="A4" s="186" t="s">
        <v>185</v>
      </c>
      <c r="B4" s="192">
        <v>45460</v>
      </c>
      <c r="C4" s="190"/>
      <c r="D4" s="190"/>
      <c r="E4" s="190"/>
      <c r="F4" s="190"/>
      <c r="G4" s="190"/>
      <c r="H4" s="191"/>
      <c r="K4" s="79"/>
      <c r="L4" s="79"/>
    </row>
    <row r="5" spans="1:13" ht="19.5" x14ac:dyDescent="0.25">
      <c r="A5" s="186" t="s">
        <v>291</v>
      </c>
      <c r="B5" s="193" t="s">
        <v>209</v>
      </c>
      <c r="C5" s="188"/>
      <c r="D5" s="188"/>
      <c r="E5" s="188"/>
      <c r="F5" s="188"/>
      <c r="G5" s="188"/>
      <c r="H5" s="189"/>
      <c r="K5" s="79"/>
      <c r="L5" s="79"/>
    </row>
    <row r="6" spans="1:13" ht="21.75" x14ac:dyDescent="0.25">
      <c r="A6" s="83"/>
      <c r="B6" s="83"/>
      <c r="C6" s="83"/>
      <c r="D6" s="83"/>
      <c r="E6" s="83"/>
      <c r="F6" s="84"/>
      <c r="G6" s="85"/>
      <c r="H6" s="85"/>
      <c r="K6" s="79"/>
      <c r="L6" s="79"/>
    </row>
    <row r="7" spans="1:13" ht="21.75" x14ac:dyDescent="0.25">
      <c r="A7" s="52" t="s">
        <v>229</v>
      </c>
      <c r="B7" s="52"/>
      <c r="C7" s="52"/>
      <c r="D7" s="53"/>
      <c r="E7" s="53"/>
      <c r="F7" s="54"/>
      <c r="G7" s="53"/>
      <c r="H7" s="53"/>
    </row>
    <row r="8" spans="1:13" ht="21.75" x14ac:dyDescent="0.25">
      <c r="A8" s="56"/>
      <c r="B8" s="56"/>
      <c r="C8" s="56"/>
      <c r="D8" s="57"/>
      <c r="E8" s="57"/>
      <c r="F8" s="58"/>
      <c r="G8" s="59"/>
      <c r="H8" s="59"/>
    </row>
    <row r="9" spans="1:13" ht="42" customHeight="1" x14ac:dyDescent="0.25">
      <c r="A9" s="63" t="s">
        <v>14</v>
      </c>
      <c r="B9" s="333" t="s">
        <v>5</v>
      </c>
      <c r="C9" s="334"/>
      <c r="D9" s="333" t="s">
        <v>18</v>
      </c>
      <c r="E9" s="334"/>
      <c r="F9" s="65"/>
      <c r="G9" s="71" t="s">
        <v>16</v>
      </c>
      <c r="H9" s="90" t="s">
        <v>294</v>
      </c>
      <c r="I9" s="279" t="s">
        <v>453</v>
      </c>
      <c r="J9" s="279" t="s">
        <v>458</v>
      </c>
      <c r="K9" s="112" t="s">
        <v>454</v>
      </c>
      <c r="L9" s="112" t="s">
        <v>459</v>
      </c>
    </row>
    <row r="10" spans="1:13" ht="21.75" x14ac:dyDescent="0.25">
      <c r="A10" s="66" t="s">
        <v>228</v>
      </c>
      <c r="B10" s="62">
        <v>0.2</v>
      </c>
      <c r="C10" s="62" t="s">
        <v>316</v>
      </c>
      <c r="D10" s="197">
        <f>ARQUITETURA!G23</f>
        <v>377.73019999999997</v>
      </c>
      <c r="E10" s="67" t="s">
        <v>2</v>
      </c>
      <c r="F10" s="203">
        <v>1290</v>
      </c>
      <c r="G10" s="317">
        <f t="shared" ref="G10:G15" si="0">F10*D10*1</f>
        <v>487271.95799999998</v>
      </c>
      <c r="H10" s="67"/>
      <c r="I10" s="195">
        <f t="shared" ref="I10:I15" si="1">F10</f>
        <v>1290</v>
      </c>
      <c r="J10" s="195">
        <f>I10*$D10</f>
        <v>487271.95799999998</v>
      </c>
      <c r="L10" s="195">
        <f>K10*$D10</f>
        <v>0</v>
      </c>
      <c r="M10" s="55" t="s">
        <v>457</v>
      </c>
    </row>
    <row r="11" spans="1:13" ht="21.75" x14ac:dyDescent="0.25">
      <c r="A11" s="198" t="s">
        <v>344</v>
      </c>
      <c r="B11" s="62"/>
      <c r="C11" s="62"/>
      <c r="D11" s="197">
        <f>ARQUITETURA!D74-D14</f>
        <v>376.17</v>
      </c>
      <c r="E11" s="67" t="s">
        <v>2</v>
      </c>
      <c r="F11" s="88">
        <v>980</v>
      </c>
      <c r="G11" s="317">
        <f t="shared" si="0"/>
        <v>368646.60000000003</v>
      </c>
      <c r="H11" s="67" t="s">
        <v>633</v>
      </c>
      <c r="I11" s="195">
        <f t="shared" si="1"/>
        <v>980</v>
      </c>
      <c r="J11" s="195">
        <f t="shared" ref="J11:L20" si="2">I11*$D11</f>
        <v>368646.60000000003</v>
      </c>
      <c r="L11" s="195">
        <f t="shared" si="2"/>
        <v>0</v>
      </c>
      <c r="M11" s="55" t="s">
        <v>457</v>
      </c>
    </row>
    <row r="12" spans="1:13" ht="21.75" x14ac:dyDescent="0.25">
      <c r="A12" s="78" t="s">
        <v>98</v>
      </c>
      <c r="B12" s="62"/>
      <c r="C12" s="62"/>
      <c r="D12" s="67">
        <f>(0.96)*'Obra '!G22</f>
        <v>6.2208000000000006</v>
      </c>
      <c r="E12" s="67" t="s">
        <v>2</v>
      </c>
      <c r="F12" s="88">
        <v>950</v>
      </c>
      <c r="G12" s="317">
        <f t="shared" si="0"/>
        <v>5909.76</v>
      </c>
      <c r="H12" s="67"/>
      <c r="I12" s="195">
        <f t="shared" si="1"/>
        <v>950</v>
      </c>
      <c r="J12" s="195">
        <f t="shared" ref="J12" si="3">I12*$D12</f>
        <v>5909.76</v>
      </c>
      <c r="L12" s="195">
        <f t="shared" ref="L12" si="4">K12*$D12</f>
        <v>0</v>
      </c>
      <c r="M12" s="55" t="s">
        <v>457</v>
      </c>
    </row>
    <row r="13" spans="1:13" ht="21.75" x14ac:dyDescent="0.25">
      <c r="A13" s="78" t="s">
        <v>632</v>
      </c>
      <c r="B13" s="62"/>
      <c r="C13" s="62"/>
      <c r="D13" s="67">
        <v>2</v>
      </c>
      <c r="E13" s="67" t="s">
        <v>3</v>
      </c>
      <c r="F13" s="88">
        <v>16000</v>
      </c>
      <c r="G13" s="317">
        <f t="shared" si="0"/>
        <v>32000</v>
      </c>
      <c r="H13" s="67"/>
      <c r="I13" s="195">
        <f t="shared" si="1"/>
        <v>16000</v>
      </c>
      <c r="J13" s="195">
        <f t="shared" si="2"/>
        <v>32000</v>
      </c>
      <c r="L13" s="195">
        <f t="shared" si="2"/>
        <v>0</v>
      </c>
      <c r="M13" s="55" t="s">
        <v>457</v>
      </c>
    </row>
    <row r="14" spans="1:13" ht="21.75" x14ac:dyDescent="0.25">
      <c r="A14" s="78" t="s">
        <v>225</v>
      </c>
      <c r="B14" s="62"/>
      <c r="C14" s="62"/>
      <c r="D14" s="197">
        <f>ARQUITETURA!D15*0.95</f>
        <v>128.82</v>
      </c>
      <c r="E14" s="67" t="s">
        <v>2</v>
      </c>
      <c r="F14" s="88">
        <f>750*1.1</f>
        <v>825.00000000000011</v>
      </c>
      <c r="G14" s="317">
        <f t="shared" si="0"/>
        <v>106276.50000000001</v>
      </c>
      <c r="H14" s="67"/>
      <c r="I14" s="195">
        <f t="shared" si="1"/>
        <v>825.00000000000011</v>
      </c>
      <c r="J14" s="195">
        <f t="shared" si="2"/>
        <v>106276.50000000001</v>
      </c>
      <c r="L14" s="195">
        <f t="shared" si="2"/>
        <v>0</v>
      </c>
      <c r="M14" s="55" t="s">
        <v>457</v>
      </c>
    </row>
    <row r="15" spans="1:13" ht="21.75" x14ac:dyDescent="0.25">
      <c r="A15" s="78" t="s">
        <v>345</v>
      </c>
      <c r="B15" s="62"/>
      <c r="C15" s="62"/>
      <c r="D15" s="197">
        <f>ARQUITETURA!D14*1</f>
        <v>58.85</v>
      </c>
      <c r="E15" s="67" t="s">
        <v>2</v>
      </c>
      <c r="F15" s="88">
        <v>610</v>
      </c>
      <c r="G15" s="317">
        <f t="shared" si="0"/>
        <v>35898.5</v>
      </c>
      <c r="H15" s="67"/>
      <c r="I15" s="195">
        <f t="shared" si="1"/>
        <v>610</v>
      </c>
      <c r="J15" s="195">
        <f t="shared" si="2"/>
        <v>35898.5</v>
      </c>
      <c r="L15" s="195">
        <f t="shared" si="2"/>
        <v>0</v>
      </c>
      <c r="M15" s="55" t="s">
        <v>457</v>
      </c>
    </row>
    <row r="16" spans="1:13" ht="21.75" x14ac:dyDescent="0.25">
      <c r="A16" s="78" t="s">
        <v>226</v>
      </c>
      <c r="B16" s="62">
        <v>5</v>
      </c>
      <c r="C16" s="62" t="s">
        <v>6</v>
      </c>
      <c r="D16" s="67">
        <v>1</v>
      </c>
      <c r="E16" s="67" t="s">
        <v>27</v>
      </c>
      <c r="F16" s="88">
        <f>B16*DADOS_INICIAIS!$E$9</f>
        <v>18163.899999999998</v>
      </c>
      <c r="G16" s="89">
        <f>F16*D16*1.1</f>
        <v>19980.29</v>
      </c>
      <c r="H16" s="67"/>
      <c r="I16" s="195">
        <f>F16*1.1</f>
        <v>19980.29</v>
      </c>
      <c r="J16" s="195">
        <f t="shared" si="2"/>
        <v>19980.29</v>
      </c>
      <c r="K16" s="195"/>
      <c r="L16" s="195">
        <f t="shared" si="2"/>
        <v>0</v>
      </c>
      <c r="M16" s="55" t="s">
        <v>456</v>
      </c>
    </row>
    <row r="17" spans="1:13" ht="28.5" customHeight="1" x14ac:dyDescent="0.25">
      <c r="A17" s="78" t="s">
        <v>227</v>
      </c>
      <c r="B17" s="62"/>
      <c r="C17" s="62"/>
      <c r="D17" s="197">
        <f>ARQUITETURA!D77</f>
        <v>9</v>
      </c>
      <c r="E17" s="67" t="s">
        <v>3</v>
      </c>
      <c r="F17" s="88">
        <v>1750</v>
      </c>
      <c r="G17" s="89">
        <f>F17*D17*1</f>
        <v>15750</v>
      </c>
      <c r="H17" s="67"/>
      <c r="I17" s="195">
        <f>F17-K17</f>
        <v>1450</v>
      </c>
      <c r="J17" s="195">
        <f>I17*$D17</f>
        <v>13050</v>
      </c>
      <c r="K17" s="55">
        <v>300</v>
      </c>
      <c r="L17" s="195">
        <f>K17*$D17</f>
        <v>2700</v>
      </c>
      <c r="M17" s="55" t="s">
        <v>456</v>
      </c>
    </row>
    <row r="18" spans="1:13" ht="21.75" x14ac:dyDescent="0.25">
      <c r="A18" s="78" t="s">
        <v>224</v>
      </c>
      <c r="B18" s="62"/>
      <c r="C18" s="62"/>
      <c r="D18" s="197">
        <f>(7.36*2+2.64+2*2.24)*'Obra '!F10*1.2</f>
        <v>183.45599999999999</v>
      </c>
      <c r="E18" s="67" t="s">
        <v>4</v>
      </c>
      <c r="F18" s="88">
        <v>85</v>
      </c>
      <c r="G18" s="317">
        <f>F18*D18*1</f>
        <v>15593.759999999998</v>
      </c>
      <c r="H18" s="67"/>
      <c r="I18" s="195">
        <f>F18</f>
        <v>85</v>
      </c>
      <c r="J18" s="195">
        <f t="shared" si="2"/>
        <v>15593.759999999998</v>
      </c>
      <c r="L18" s="195">
        <f t="shared" si="2"/>
        <v>0</v>
      </c>
      <c r="M18" s="55" t="s">
        <v>457</v>
      </c>
    </row>
    <row r="19" spans="1:13" ht="65.25" x14ac:dyDescent="0.25">
      <c r="A19" s="78" t="s">
        <v>342</v>
      </c>
      <c r="B19" s="62"/>
      <c r="C19" s="62"/>
      <c r="D19" s="197">
        <f>DADOS_INICIAIS!E10</f>
        <v>20</v>
      </c>
      <c r="E19" s="67" t="s">
        <v>3</v>
      </c>
      <c r="F19" s="88">
        <v>1500</v>
      </c>
      <c r="G19" s="317">
        <f>F19*D19*1</f>
        <v>30000</v>
      </c>
      <c r="H19" s="67" t="s">
        <v>444</v>
      </c>
      <c r="I19" s="195">
        <f>F19</f>
        <v>1500</v>
      </c>
      <c r="J19" s="195">
        <f t="shared" si="2"/>
        <v>30000</v>
      </c>
      <c r="L19" s="195">
        <f t="shared" si="2"/>
        <v>0</v>
      </c>
      <c r="M19" s="55" t="s">
        <v>457</v>
      </c>
    </row>
    <row r="20" spans="1:13" ht="21.75" x14ac:dyDescent="0.25">
      <c r="A20" s="66" t="s">
        <v>223</v>
      </c>
      <c r="B20" s="62"/>
      <c r="C20" s="62"/>
      <c r="D20" s="202">
        <f>ARQUITETURA!D78+ARQUITETURA!D79+ARQUITETURA!D80+ARQUITETURA!D81</f>
        <v>125</v>
      </c>
      <c r="E20" s="67" t="s">
        <v>3</v>
      </c>
      <c r="F20" s="88">
        <v>2100</v>
      </c>
      <c r="G20" s="317">
        <f>F20*D20*1</f>
        <v>262500</v>
      </c>
      <c r="H20" s="67"/>
      <c r="I20" s="195">
        <f>F20-K20</f>
        <v>1800</v>
      </c>
      <c r="J20" s="195">
        <f t="shared" si="2"/>
        <v>225000</v>
      </c>
      <c r="K20" s="55">
        <v>300</v>
      </c>
      <c r="L20" s="195">
        <f t="shared" si="2"/>
        <v>37500</v>
      </c>
      <c r="M20" s="55" t="s">
        <v>456</v>
      </c>
    </row>
    <row r="21" spans="1:13" ht="21.75" x14ac:dyDescent="0.25">
      <c r="A21" s="328" t="s">
        <v>17</v>
      </c>
      <c r="B21" s="328"/>
      <c r="C21" s="328"/>
      <c r="D21" s="328"/>
      <c r="E21" s="328"/>
      <c r="F21" s="328"/>
      <c r="G21" s="90">
        <f>SUM(G10:G20)</f>
        <v>1379827.368</v>
      </c>
      <c r="H21" s="90"/>
      <c r="L21" s="195">
        <f>SUM(L10:L20)</f>
        <v>40200</v>
      </c>
    </row>
    <row r="23" spans="1:13" ht="21.75" x14ac:dyDescent="0.25">
      <c r="A23" s="335" t="s">
        <v>324</v>
      </c>
      <c r="B23" s="336"/>
      <c r="C23" s="336"/>
      <c r="D23" s="336"/>
      <c r="E23" s="336"/>
      <c r="F23" s="337"/>
      <c r="G23" s="91">
        <f>G21</f>
        <v>1379827.368</v>
      </c>
      <c r="H23" s="91">
        <f>G23/DADOS_INICIAIS!E9</f>
        <v>379.82684555629578</v>
      </c>
    </row>
  </sheetData>
  <mergeCells count="5">
    <mergeCell ref="A3:H3"/>
    <mergeCell ref="B9:C9"/>
    <mergeCell ref="D9:E9"/>
    <mergeCell ref="A21:F21"/>
    <mergeCell ref="A23:F23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B461-4C5C-413C-82B5-048D21A64C5E}">
  <dimension ref="A1:J15"/>
  <sheetViews>
    <sheetView showGridLines="0" zoomScale="85" zoomScaleNormal="85" zoomScaleSheetLayoutView="95" workbookViewId="0">
      <selection activeCell="D10" sqref="D10"/>
    </sheetView>
  </sheetViews>
  <sheetFormatPr defaultColWidth="9.140625" defaultRowHeight="19.5" x14ac:dyDescent="0.25"/>
  <cols>
    <col min="1" max="1" width="53" style="45" bestFit="1" customWidth="1"/>
    <col min="2" max="7" width="27" style="45" customWidth="1"/>
    <col min="8" max="8" width="14" style="45" customWidth="1"/>
    <col min="9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H1" s="48"/>
      <c r="J1" s="2"/>
    </row>
    <row r="2" spans="1:10" ht="28.5" x14ac:dyDescent="0.25">
      <c r="A2" s="329" t="s">
        <v>197</v>
      </c>
      <c r="B2" s="330"/>
      <c r="C2" s="330"/>
      <c r="D2" s="330"/>
      <c r="E2" s="330"/>
      <c r="F2" s="330"/>
      <c r="G2" s="330"/>
      <c r="H2" s="331"/>
      <c r="J2" s="2"/>
    </row>
    <row r="3" spans="1:10" s="55" customFormat="1" x14ac:dyDescent="0.25">
      <c r="A3" s="186" t="s">
        <v>185</v>
      </c>
      <c r="B3" s="192">
        <v>45460</v>
      </c>
      <c r="C3" s="190"/>
      <c r="D3" s="190"/>
      <c r="E3" s="190"/>
      <c r="F3" s="190"/>
      <c r="G3" s="190"/>
      <c r="H3" s="191"/>
      <c r="J3" s="79"/>
    </row>
    <row r="4" spans="1:10" s="55" customFormat="1" x14ac:dyDescent="0.25">
      <c r="A4" s="186" t="s">
        <v>291</v>
      </c>
      <c r="B4" s="193" t="s">
        <v>209</v>
      </c>
      <c r="C4" s="188"/>
      <c r="D4" s="188"/>
      <c r="E4" s="188"/>
      <c r="F4" s="188"/>
      <c r="G4" s="188"/>
      <c r="H4" s="189"/>
      <c r="J4" s="79"/>
    </row>
    <row r="5" spans="1:10" x14ac:dyDescent="0.25">
      <c r="A5" s="50"/>
      <c r="B5" s="50"/>
      <c r="C5" s="50"/>
      <c r="D5" s="50"/>
      <c r="E5" s="50"/>
      <c r="F5" s="50"/>
      <c r="G5" s="48"/>
      <c r="H5" s="48"/>
      <c r="J5" s="2"/>
    </row>
    <row r="6" spans="1:10" s="55" customFormat="1" ht="21.75" x14ac:dyDescent="0.25">
      <c r="A6" s="52" t="s">
        <v>320</v>
      </c>
      <c r="B6" s="53"/>
      <c r="C6" s="53"/>
      <c r="D6" s="53"/>
      <c r="E6" s="53"/>
      <c r="F6" s="53"/>
      <c r="G6" s="53"/>
      <c r="H6" s="53"/>
    </row>
    <row r="7" spans="1:10" s="55" customFormat="1" ht="21.75" x14ac:dyDescent="0.25">
      <c r="A7" s="56"/>
      <c r="B7" s="57"/>
      <c r="C7" s="57"/>
      <c r="D7" s="57"/>
      <c r="E7" s="57"/>
      <c r="F7" s="57"/>
      <c r="G7" s="59"/>
      <c r="H7" s="59"/>
    </row>
    <row r="8" spans="1:10" s="55" customFormat="1" ht="42" customHeight="1" x14ac:dyDescent="0.25">
      <c r="A8" s="63" t="s">
        <v>14</v>
      </c>
      <c r="B8" s="333" t="s">
        <v>5</v>
      </c>
      <c r="C8" s="334"/>
      <c r="D8" s="333" t="s">
        <v>18</v>
      </c>
      <c r="E8" s="334"/>
      <c r="F8" s="65" t="s">
        <v>118</v>
      </c>
      <c r="G8" s="71" t="s">
        <v>16</v>
      </c>
      <c r="H8" s="90" t="s">
        <v>294</v>
      </c>
    </row>
    <row r="9" spans="1:10" s="55" customFormat="1" ht="21.75" x14ac:dyDescent="0.25">
      <c r="A9" s="66" t="s">
        <v>317</v>
      </c>
      <c r="B9" s="62"/>
      <c r="C9" s="62"/>
      <c r="D9" s="67">
        <v>266.19</v>
      </c>
      <c r="E9" s="67" t="s">
        <v>2</v>
      </c>
      <c r="F9" s="88">
        <v>500</v>
      </c>
      <c r="G9" s="89">
        <f>F9*D9*1.1</f>
        <v>146404.5</v>
      </c>
      <c r="H9" s="67"/>
    </row>
    <row r="10" spans="1:10" s="55" customFormat="1" ht="21.75" x14ac:dyDescent="0.25">
      <c r="A10" s="66" t="s">
        <v>171</v>
      </c>
      <c r="B10" s="62"/>
      <c r="C10" s="62"/>
      <c r="D10" s="67">
        <f>D9</f>
        <v>266.19</v>
      </c>
      <c r="E10" s="67" t="s">
        <v>2</v>
      </c>
      <c r="F10" s="185">
        <v>45</v>
      </c>
      <c r="G10" s="89">
        <f>F10*D10*1.1</f>
        <v>13176.405000000001</v>
      </c>
      <c r="H10" s="67"/>
    </row>
    <row r="11" spans="1:10" s="55" customFormat="1" ht="21.75" x14ac:dyDescent="0.25">
      <c r="A11" s="66" t="s">
        <v>318</v>
      </c>
      <c r="B11" s="62"/>
      <c r="C11" s="62"/>
      <c r="D11" s="67"/>
      <c r="E11" s="67"/>
      <c r="F11" s="67"/>
      <c r="G11" s="89">
        <f t="shared" ref="G11:G12" si="0">F11*D11*1.1</f>
        <v>0</v>
      </c>
      <c r="H11" s="67"/>
    </row>
    <row r="12" spans="1:10" s="55" customFormat="1" ht="21.75" x14ac:dyDescent="0.25">
      <c r="A12" s="66" t="s">
        <v>319</v>
      </c>
      <c r="B12" s="62"/>
      <c r="C12" s="62"/>
      <c r="D12" s="67"/>
      <c r="E12" s="67"/>
      <c r="F12" s="67"/>
      <c r="G12" s="89">
        <f t="shared" si="0"/>
        <v>0</v>
      </c>
      <c r="H12" s="67"/>
    </row>
    <row r="13" spans="1:10" s="55" customFormat="1" ht="21.75" x14ac:dyDescent="0.25">
      <c r="A13" s="328" t="s">
        <v>17</v>
      </c>
      <c r="B13" s="328"/>
      <c r="C13" s="328"/>
      <c r="D13" s="110"/>
      <c r="E13" s="110"/>
      <c r="F13" s="110"/>
      <c r="G13" s="90">
        <f>SUM(G9:G12)</f>
        <v>159580.905</v>
      </c>
      <c r="H13" s="90"/>
    </row>
    <row r="14" spans="1:10" s="55" customFormat="1" ht="21.75" x14ac:dyDescent="0.25">
      <c r="A14" s="332"/>
      <c r="B14" s="332"/>
      <c r="C14" s="332"/>
      <c r="D14" s="111"/>
      <c r="E14" s="111"/>
      <c r="F14" s="111"/>
      <c r="G14" s="59"/>
      <c r="H14" s="59"/>
    </row>
    <row r="15" spans="1:10" ht="23.25" customHeight="1" x14ac:dyDescent="0.25">
      <c r="A15" s="325" t="s">
        <v>270</v>
      </c>
      <c r="B15" s="326"/>
      <c r="C15" s="327"/>
      <c r="D15" s="109"/>
      <c r="E15" s="109"/>
      <c r="F15" s="109"/>
      <c r="G15" s="108">
        <f>G13</f>
        <v>159580.905</v>
      </c>
      <c r="H15" s="108">
        <f>G15/DADOS_INICIAIS!$E$9</f>
        <v>43.928039958378989</v>
      </c>
    </row>
  </sheetData>
  <mergeCells count="6">
    <mergeCell ref="A15:C15"/>
    <mergeCell ref="A2:H2"/>
    <mergeCell ref="B8:C8"/>
    <mergeCell ref="D8:E8"/>
    <mergeCell ref="A13:C13"/>
    <mergeCell ref="A14:C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7A4-6D6F-45D4-B218-2ECBFC9788BF}">
  <sheetPr>
    <tabColor rgb="FF92D050"/>
  </sheetPr>
  <dimension ref="A1:S47"/>
  <sheetViews>
    <sheetView showGridLines="0" topLeftCell="A12" zoomScaleNormal="100" zoomScaleSheetLayoutView="95" workbookViewId="0">
      <selection activeCell="B25" sqref="B25:B26"/>
    </sheetView>
  </sheetViews>
  <sheetFormatPr defaultColWidth="9.140625" defaultRowHeight="12.75" x14ac:dyDescent="0.25"/>
  <cols>
    <col min="1" max="1" width="48.7109375" style="1" customWidth="1"/>
    <col min="2" max="2" width="15.85546875" style="114" customWidth="1"/>
    <col min="3" max="3" width="7.5703125" style="113" customWidth="1"/>
    <col min="4" max="4" width="11.5703125" style="112" customWidth="1"/>
    <col min="5" max="5" width="15.85546875" style="1" customWidth="1"/>
    <col min="6" max="6" width="12.85546875" style="1" customWidth="1"/>
    <col min="7" max="7" width="19.140625" style="1" customWidth="1"/>
    <col min="8" max="8" width="15" style="1" customWidth="1"/>
    <col min="9" max="9" width="13.7109375" style="114" bestFit="1" customWidth="1"/>
    <col min="10" max="10" width="12.5703125" style="114" bestFit="1" customWidth="1"/>
    <col min="11" max="11" width="12.140625" style="114" customWidth="1"/>
    <col min="12" max="12" width="11.7109375" style="114" bestFit="1" customWidth="1"/>
    <col min="13" max="14" width="9.140625" style="1"/>
    <col min="15" max="15" width="11" style="1" bestFit="1" customWidth="1"/>
    <col min="16" max="17" width="9.140625" style="1"/>
    <col min="18" max="18" width="11" style="1" bestFit="1" customWidth="1"/>
    <col min="19" max="16384" width="9.140625" style="1"/>
  </cols>
  <sheetData>
    <row r="1" spans="1:18" x14ac:dyDescent="0.25">
      <c r="B1" s="2"/>
      <c r="C1" s="1"/>
      <c r="D1" s="1"/>
      <c r="G1" s="161"/>
      <c r="H1" s="161"/>
      <c r="I1" s="280"/>
    </row>
    <row r="2" spans="1:18" ht="12.75" customHeight="1" x14ac:dyDescent="0.25">
      <c r="A2" s="349" t="s">
        <v>187</v>
      </c>
      <c r="B2" s="2"/>
      <c r="C2" s="1"/>
      <c r="D2" s="1"/>
      <c r="G2" s="166"/>
      <c r="H2" s="166"/>
      <c r="I2" s="280"/>
    </row>
    <row r="3" spans="1:18" ht="12.75" customHeight="1" x14ac:dyDescent="0.25">
      <c r="A3" s="350"/>
      <c r="B3" s="2"/>
      <c r="C3" s="1"/>
      <c r="D3" s="1"/>
      <c r="G3" s="166"/>
      <c r="H3" s="166"/>
      <c r="I3" s="280"/>
    </row>
    <row r="4" spans="1:18" ht="12.75" customHeight="1" x14ac:dyDescent="0.25">
      <c r="A4" s="350"/>
      <c r="B4" s="2"/>
      <c r="C4" s="1"/>
      <c r="D4" s="1"/>
      <c r="G4" s="166"/>
      <c r="H4" s="166"/>
      <c r="I4" s="280"/>
    </row>
    <row r="5" spans="1:18" ht="13.5" thickBot="1" x14ac:dyDescent="0.3">
      <c r="A5" s="165"/>
      <c r="B5" s="164"/>
      <c r="C5" s="164"/>
      <c r="D5" s="164"/>
      <c r="E5" s="164"/>
      <c r="F5" s="164"/>
      <c r="G5" s="163"/>
      <c r="H5" s="163"/>
      <c r="I5" s="280"/>
    </row>
    <row r="6" spans="1:18" x14ac:dyDescent="0.25">
      <c r="A6" s="162"/>
      <c r="B6" s="2"/>
      <c r="C6" s="1"/>
      <c r="D6" s="1"/>
      <c r="G6" s="161"/>
      <c r="H6" s="161"/>
      <c r="I6" s="280"/>
    </row>
    <row r="7" spans="1:18" x14ac:dyDescent="0.25">
      <c r="A7" s="160" t="s">
        <v>186</v>
      </c>
      <c r="B7" s="159" t="s">
        <v>281</v>
      </c>
      <c r="C7" s="158"/>
      <c r="D7" s="158"/>
      <c r="E7" s="158"/>
      <c r="F7" s="158"/>
      <c r="G7" s="158"/>
      <c r="H7" s="157"/>
      <c r="I7" s="280"/>
    </row>
    <row r="8" spans="1:18" x14ac:dyDescent="0.25">
      <c r="A8" s="156" t="s">
        <v>0</v>
      </c>
      <c r="B8" s="155" t="s">
        <v>280</v>
      </c>
      <c r="C8" s="154"/>
      <c r="D8" s="154"/>
      <c r="E8" s="154"/>
      <c r="F8" s="154"/>
      <c r="G8" s="154"/>
      <c r="H8" s="153"/>
      <c r="I8" s="280"/>
    </row>
    <row r="9" spans="1:18" ht="15" customHeight="1" x14ac:dyDescent="0.25">
      <c r="A9" s="152" t="s">
        <v>185</v>
      </c>
      <c r="B9" s="151">
        <v>45460</v>
      </c>
      <c r="C9" s="150"/>
      <c r="D9" s="150"/>
      <c r="E9" s="150"/>
      <c r="F9" s="150"/>
      <c r="G9" s="150"/>
      <c r="H9" s="149"/>
    </row>
    <row r="10" spans="1:18" x14ac:dyDescent="0.25">
      <c r="A10" s="148" t="s">
        <v>1</v>
      </c>
      <c r="B10" s="147" t="s">
        <v>184</v>
      </c>
      <c r="C10" s="146"/>
      <c r="D10" s="146"/>
      <c r="E10" s="146"/>
      <c r="F10" s="146"/>
      <c r="G10" s="146"/>
      <c r="H10" s="145"/>
    </row>
    <row r="12" spans="1:18" ht="15.75" customHeight="1" x14ac:dyDescent="0.25">
      <c r="A12" s="144" t="s">
        <v>212</v>
      </c>
      <c r="B12" s="143"/>
      <c r="C12" s="142"/>
      <c r="D12" s="141"/>
      <c r="E12" s="140"/>
      <c r="F12" s="140"/>
      <c r="G12" s="140"/>
      <c r="H12" s="139"/>
    </row>
    <row r="13" spans="1:18" ht="15.75" customHeight="1" x14ac:dyDescent="0.25">
      <c r="A13" s="138"/>
      <c r="B13" s="137"/>
      <c r="C13" s="136"/>
      <c r="D13" s="135"/>
      <c r="E13" s="135"/>
      <c r="F13" s="135"/>
      <c r="H13" s="131"/>
    </row>
    <row r="14" spans="1:18" ht="15.75" customHeight="1" x14ac:dyDescent="0.25">
      <c r="A14" s="134" t="s">
        <v>14</v>
      </c>
      <c r="B14" s="356" t="s">
        <v>18</v>
      </c>
      <c r="C14" s="357"/>
      <c r="D14" s="358" t="s">
        <v>5</v>
      </c>
      <c r="E14" s="359"/>
      <c r="F14" s="133" t="s">
        <v>182</v>
      </c>
      <c r="G14" s="132" t="s">
        <v>16</v>
      </c>
      <c r="H14" s="131"/>
      <c r="I14" s="281" t="s">
        <v>453</v>
      </c>
      <c r="J14" s="281" t="s">
        <v>458</v>
      </c>
      <c r="K14" s="113" t="s">
        <v>454</v>
      </c>
      <c r="L14" s="113" t="s">
        <v>459</v>
      </c>
      <c r="O14" s="1" t="s">
        <v>460</v>
      </c>
    </row>
    <row r="15" spans="1:18" x14ac:dyDescent="0.25">
      <c r="A15" s="172" t="s">
        <v>195</v>
      </c>
      <c r="B15" s="175">
        <f>'Obra '!F22*'Obra '!G22+'Obra '!F24*'Obra '!G24+'Obra '!F25*'Obra '!G25+'Obra '!F26*'Obra '!G26+'Obra '!F27*'Obra '!G27+'Obra '!F28*'Obra '!G28+'Obra '!F29*'Obra '!G29-ESQUADRIAS!D10-ESQUADRIAS!D11</f>
        <v>1582.1487999999999</v>
      </c>
      <c r="C15" s="129" t="s">
        <v>2</v>
      </c>
      <c r="D15" s="124">
        <f>25+80</f>
        <v>105</v>
      </c>
      <c r="E15" s="130" t="s">
        <v>170</v>
      </c>
      <c r="F15" s="126" t="s">
        <v>209</v>
      </c>
      <c r="G15" s="125">
        <f>B15*D15*1.05</f>
        <v>174431.90519999998</v>
      </c>
      <c r="H15" s="131"/>
      <c r="I15" s="114">
        <v>25</v>
      </c>
      <c r="J15" s="114">
        <f>I15*$B15</f>
        <v>39553.72</v>
      </c>
      <c r="K15" s="184">
        <v>80</v>
      </c>
      <c r="L15" s="114">
        <f>K15*$B15</f>
        <v>126571.90399999999</v>
      </c>
      <c r="M15" s="1" t="s">
        <v>456</v>
      </c>
      <c r="O15" s="1" t="s">
        <v>14</v>
      </c>
      <c r="P15" s="115" t="s">
        <v>461</v>
      </c>
      <c r="Q15" s="1" t="s">
        <v>462</v>
      </c>
      <c r="R15" s="1" t="s">
        <v>463</v>
      </c>
    </row>
    <row r="16" spans="1:18" x14ac:dyDescent="0.25">
      <c r="A16" s="172" t="s">
        <v>646</v>
      </c>
      <c r="B16" s="175">
        <f>B17*0.6*2</f>
        <v>750.51600000000008</v>
      </c>
      <c r="C16" s="129" t="s">
        <v>2</v>
      </c>
      <c r="D16" s="124">
        <f>25+80</f>
        <v>105</v>
      </c>
      <c r="E16" s="130" t="s">
        <v>170</v>
      </c>
      <c r="F16" s="126" t="s">
        <v>209</v>
      </c>
      <c r="G16" s="125">
        <f>B16*D16*1.05</f>
        <v>82744.38900000001</v>
      </c>
      <c r="H16" s="131"/>
      <c r="I16" s="114">
        <v>25</v>
      </c>
      <c r="J16" s="114">
        <f>I16*$B16</f>
        <v>18762.900000000001</v>
      </c>
      <c r="K16" s="184">
        <v>80</v>
      </c>
      <c r="L16" s="114">
        <f>K16*$B16</f>
        <v>60041.280000000006</v>
      </c>
      <c r="M16" s="1" t="s">
        <v>456</v>
      </c>
      <c r="O16" s="1" t="s">
        <v>14</v>
      </c>
      <c r="P16" s="115" t="s">
        <v>461</v>
      </c>
      <c r="Q16" s="1" t="s">
        <v>462</v>
      </c>
      <c r="R16" s="1" t="s">
        <v>463</v>
      </c>
    </row>
    <row r="17" spans="1:19" x14ac:dyDescent="0.25">
      <c r="A17" s="172" t="s">
        <v>348</v>
      </c>
      <c r="B17" s="175">
        <f>SUM('Obra '!F22:F29)</f>
        <v>625.43000000000006</v>
      </c>
      <c r="C17" s="129" t="s">
        <v>4</v>
      </c>
      <c r="D17" s="124">
        <v>5</v>
      </c>
      <c r="E17" s="130" t="s">
        <v>170</v>
      </c>
      <c r="F17" s="126" t="s">
        <v>209</v>
      </c>
      <c r="G17" s="125">
        <f>B17*D17*1.1</f>
        <v>3439.8650000000007</v>
      </c>
      <c r="H17" s="131"/>
      <c r="K17" s="184"/>
      <c r="O17" s="1" t="s">
        <v>195</v>
      </c>
      <c r="P17" s="282">
        <f>B15</f>
        <v>1582.1487999999999</v>
      </c>
      <c r="Q17" s="115">
        <f>D15*1.1</f>
        <v>115.50000000000001</v>
      </c>
      <c r="R17" s="115">
        <f>Q17*P17</f>
        <v>182738.18640000001</v>
      </c>
    </row>
    <row r="18" spans="1:19" x14ac:dyDescent="0.25">
      <c r="A18" s="354" t="s">
        <v>17</v>
      </c>
      <c r="B18" s="355"/>
      <c r="C18" s="355"/>
      <c r="D18" s="355"/>
      <c r="E18" s="355"/>
      <c r="F18" s="355"/>
      <c r="G18" s="122">
        <f>SUM(G15:G17)</f>
        <v>260616.15919999999</v>
      </c>
      <c r="H18" s="121"/>
      <c r="K18" s="184"/>
      <c r="O18" s="1" t="s">
        <v>321</v>
      </c>
      <c r="P18" s="282">
        <f>P17</f>
        <v>1582.1487999999999</v>
      </c>
      <c r="Q18" s="115">
        <f>D24*1.1</f>
        <v>99.000000000000014</v>
      </c>
      <c r="R18" s="115">
        <f>Q18*P18</f>
        <v>156632.73120000001</v>
      </c>
    </row>
    <row r="19" spans="1:19" ht="15.75" customHeight="1" x14ac:dyDescent="0.25">
      <c r="A19" s="352"/>
      <c r="B19" s="353"/>
      <c r="C19" s="353"/>
      <c r="D19" s="353"/>
      <c r="E19" s="353"/>
      <c r="F19" s="353"/>
      <c r="G19" s="167"/>
      <c r="H19" s="118"/>
      <c r="K19" s="184"/>
      <c r="R19" s="115">
        <f>SUM(R17:R18)</f>
        <v>339370.91760000004</v>
      </c>
      <c r="S19" s="1">
        <f>R19/DADOS_INICIAIS!$E$9</f>
        <v>93.419066830361345</v>
      </c>
    </row>
    <row r="20" spans="1:19" ht="15.75" customHeight="1" x14ac:dyDescent="0.25">
      <c r="A20" s="144" t="s">
        <v>211</v>
      </c>
      <c r="B20" s="143"/>
      <c r="C20" s="142"/>
      <c r="D20" s="141"/>
      <c r="E20" s="140"/>
      <c r="F20" s="140"/>
      <c r="G20" s="140"/>
      <c r="H20" s="139"/>
    </row>
    <row r="21" spans="1:19" ht="15.75" customHeight="1" x14ac:dyDescent="0.25">
      <c r="A21" s="138"/>
      <c r="B21" s="183"/>
      <c r="C21" s="136"/>
      <c r="D21" s="135"/>
      <c r="E21" s="135"/>
      <c r="F21" s="135"/>
      <c r="H21" s="131"/>
    </row>
    <row r="22" spans="1:19" ht="15.75" customHeight="1" x14ac:dyDescent="0.25">
      <c r="A22" s="134" t="s">
        <v>14</v>
      </c>
      <c r="B22" s="356" t="s">
        <v>18</v>
      </c>
      <c r="C22" s="357"/>
      <c r="D22" s="358" t="s">
        <v>5</v>
      </c>
      <c r="E22" s="359"/>
      <c r="F22" s="133" t="s">
        <v>182</v>
      </c>
      <c r="G22" s="132" t="s">
        <v>16</v>
      </c>
      <c r="H22" s="131"/>
    </row>
    <row r="23" spans="1:19" ht="15.75" customHeight="1" x14ac:dyDescent="0.25">
      <c r="A23" s="172" t="s">
        <v>452</v>
      </c>
      <c r="B23" s="175">
        <f>B16+B15*0.3</f>
        <v>1225.1606400000001</v>
      </c>
      <c r="C23" s="129" t="s">
        <v>2</v>
      </c>
      <c r="D23" s="124">
        <f>0.16*17+20</f>
        <v>22.72</v>
      </c>
      <c r="E23" s="130" t="s">
        <v>170</v>
      </c>
      <c r="F23" s="126" t="s">
        <v>209</v>
      </c>
      <c r="G23" s="125">
        <f>B23*D23*1</f>
        <v>27835.6497408</v>
      </c>
      <c r="H23" s="131">
        <f>4/8</f>
        <v>0.5</v>
      </c>
      <c r="I23" s="114">
        <f>0.16*17</f>
        <v>2.72</v>
      </c>
      <c r="J23" s="114">
        <f>I23*$B23</f>
        <v>3332.4369408000002</v>
      </c>
      <c r="K23" s="184">
        <v>20</v>
      </c>
      <c r="L23" s="114">
        <f>K23*$B23</f>
        <v>24503.212800000001</v>
      </c>
      <c r="M23" s="1" t="s">
        <v>456</v>
      </c>
    </row>
    <row r="24" spans="1:19" ht="15.75" customHeight="1" x14ac:dyDescent="0.25">
      <c r="A24" s="172" t="s">
        <v>321</v>
      </c>
      <c r="B24" s="175">
        <f>B23</f>
        <v>1225.1606400000001</v>
      </c>
      <c r="C24" s="129" t="s">
        <v>2</v>
      </c>
      <c r="D24" s="124">
        <f>30+60</f>
        <v>90</v>
      </c>
      <c r="E24" s="130" t="s">
        <v>170</v>
      </c>
      <c r="F24" s="126" t="s">
        <v>209</v>
      </c>
      <c r="G24" s="125">
        <f>B24*D24*1</f>
        <v>110264.45760000001</v>
      </c>
      <c r="H24" s="207">
        <f>1/8</f>
        <v>0.125</v>
      </c>
      <c r="I24" s="114">
        <v>25</v>
      </c>
      <c r="J24" s="114">
        <f>I24*$B24</f>
        <v>30629.016000000003</v>
      </c>
      <c r="K24" s="184">
        <v>52</v>
      </c>
      <c r="L24" s="114">
        <f>K24*$B24</f>
        <v>63708.353280000003</v>
      </c>
      <c r="M24" s="1" t="s">
        <v>456</v>
      </c>
    </row>
    <row r="25" spans="1:19" ht="15.75" customHeight="1" x14ac:dyDescent="0.25">
      <c r="A25" s="172" t="s">
        <v>635</v>
      </c>
      <c r="B25" s="175">
        <f>B15*0.3</f>
        <v>474.64463999999998</v>
      </c>
      <c r="C25" s="129" t="s">
        <v>2</v>
      </c>
      <c r="D25" s="124">
        <f>110*1.1+1.8*8.5+9*0.5+80</f>
        <v>220.8</v>
      </c>
      <c r="E25" s="130" t="s">
        <v>170</v>
      </c>
      <c r="F25" s="126" t="s">
        <v>209</v>
      </c>
      <c r="G25" s="125">
        <f>B25*D25*1.1</f>
        <v>115281.69016320002</v>
      </c>
      <c r="H25" s="131">
        <f>4/8</f>
        <v>0.5</v>
      </c>
      <c r="K25" s="114">
        <v>80</v>
      </c>
      <c r="L25" s="114">
        <f t="shared" ref="L25:L26" si="0">K25*$B25</f>
        <v>37971.571199999998</v>
      </c>
      <c r="M25" s="1" t="s">
        <v>456</v>
      </c>
    </row>
    <row r="26" spans="1:19" ht="15.75" customHeight="1" x14ac:dyDescent="0.25">
      <c r="A26" s="172" t="s">
        <v>645</v>
      </c>
      <c r="B26" s="175">
        <f>B15*0.4</f>
        <v>632.85951999999997</v>
      </c>
      <c r="C26" s="129" t="s">
        <v>2</v>
      </c>
      <c r="D26" s="124">
        <f>D25</f>
        <v>220.8</v>
      </c>
      <c r="E26" s="130" t="s">
        <v>170</v>
      </c>
      <c r="F26" s="126" t="s">
        <v>209</v>
      </c>
      <c r="G26" s="125">
        <f>B26*D26*1.1</f>
        <v>153708.92021760001</v>
      </c>
      <c r="H26" s="131"/>
      <c r="K26" s="114">
        <v>80</v>
      </c>
      <c r="L26" s="114">
        <f t="shared" si="0"/>
        <v>50628.761599999998</v>
      </c>
      <c r="M26" s="1" t="s">
        <v>457</v>
      </c>
    </row>
    <row r="27" spans="1:19" x14ac:dyDescent="0.25">
      <c r="A27" s="354" t="s">
        <v>17</v>
      </c>
      <c r="B27" s="355"/>
      <c r="C27" s="355"/>
      <c r="D27" s="355"/>
      <c r="E27" s="355"/>
      <c r="F27" s="355"/>
      <c r="G27" s="122">
        <f>SUM(G23:G26)</f>
        <v>407090.71772160003</v>
      </c>
      <c r="H27" s="121"/>
    </row>
    <row r="28" spans="1:19" x14ac:dyDescent="0.25">
      <c r="A28" s="363"/>
      <c r="B28" s="364"/>
      <c r="C28" s="364"/>
      <c r="D28" s="364"/>
      <c r="E28" s="364"/>
      <c r="F28" s="364"/>
      <c r="G28" s="167"/>
      <c r="H28" s="118"/>
    </row>
    <row r="29" spans="1:19" ht="15.75" customHeight="1" x14ac:dyDescent="0.25">
      <c r="A29" s="144" t="s">
        <v>210</v>
      </c>
      <c r="B29" s="143"/>
      <c r="C29" s="142"/>
      <c r="D29" s="141"/>
      <c r="E29" s="140"/>
      <c r="F29" s="140"/>
      <c r="G29" s="140"/>
      <c r="H29" s="139"/>
    </row>
    <row r="30" spans="1:19" ht="15.75" customHeight="1" x14ac:dyDescent="0.25">
      <c r="A30" s="138"/>
      <c r="B30" s="137"/>
      <c r="C30" s="136"/>
      <c r="D30" s="135"/>
      <c r="E30" s="135"/>
      <c r="F30" s="135"/>
      <c r="H30" s="131"/>
    </row>
    <row r="31" spans="1:19" ht="15.75" customHeight="1" x14ac:dyDescent="0.25">
      <c r="A31" s="134" t="s">
        <v>14</v>
      </c>
      <c r="B31" s="356" t="s">
        <v>18</v>
      </c>
      <c r="C31" s="357"/>
      <c r="D31" s="358" t="s">
        <v>5</v>
      </c>
      <c r="E31" s="359"/>
      <c r="F31" s="133" t="s">
        <v>182</v>
      </c>
      <c r="G31" s="132" t="s">
        <v>16</v>
      </c>
      <c r="H31" s="131"/>
    </row>
    <row r="32" spans="1:19" ht="15.75" customHeight="1" x14ac:dyDescent="0.25">
      <c r="A32" s="172" t="s">
        <v>439</v>
      </c>
      <c r="B32" s="175"/>
      <c r="C32" s="129" t="s">
        <v>2</v>
      </c>
      <c r="D32" s="124">
        <f>702+200</f>
        <v>902</v>
      </c>
      <c r="E32" s="130" t="s">
        <v>170</v>
      </c>
      <c r="F32" s="126" t="s">
        <v>209</v>
      </c>
      <c r="G32" s="125">
        <f>B32*D32*1</f>
        <v>0</v>
      </c>
      <c r="H32" s="131"/>
      <c r="I32" s="114">
        <f>D32</f>
        <v>902</v>
      </c>
      <c r="J32" s="114">
        <f>I32*$B32</f>
        <v>0</v>
      </c>
      <c r="K32" s="184"/>
      <c r="L32" s="114">
        <f>K32*$B32</f>
        <v>0</v>
      </c>
      <c r="M32" s="1" t="s">
        <v>457</v>
      </c>
    </row>
    <row r="33" spans="1:12" ht="15.75" customHeight="1" x14ac:dyDescent="0.25">
      <c r="A33" s="172" t="s">
        <v>346</v>
      </c>
      <c r="B33" s="175"/>
      <c r="C33" s="129" t="s">
        <v>2</v>
      </c>
      <c r="D33" s="124">
        <v>850</v>
      </c>
      <c r="E33" s="130" t="s">
        <v>170</v>
      </c>
      <c r="F33" s="126" t="s">
        <v>209</v>
      </c>
      <c r="G33" s="125">
        <f>B33*D33*1.1</f>
        <v>0</v>
      </c>
      <c r="H33" s="131"/>
    </row>
    <row r="34" spans="1:12" ht="15.75" customHeight="1" x14ac:dyDescent="0.25">
      <c r="A34" s="172" t="s">
        <v>349</v>
      </c>
      <c r="B34" s="175"/>
      <c r="C34" s="129" t="s">
        <v>4</v>
      </c>
      <c r="D34" s="124">
        <v>120</v>
      </c>
      <c r="E34" s="130" t="s">
        <v>350</v>
      </c>
      <c r="F34" s="126" t="s">
        <v>209</v>
      </c>
      <c r="G34" s="125">
        <f>B34*D34*1.1</f>
        <v>0</v>
      </c>
      <c r="H34" s="131"/>
    </row>
    <row r="35" spans="1:12" ht="15.75" customHeight="1" x14ac:dyDescent="0.25">
      <c r="A35" s="204" t="s">
        <v>351</v>
      </c>
      <c r="B35" s="205"/>
      <c r="C35" s="129" t="s">
        <v>2</v>
      </c>
      <c r="D35" s="124">
        <v>1800</v>
      </c>
      <c r="E35" s="130" t="s">
        <v>170</v>
      </c>
      <c r="F35" s="126" t="s">
        <v>209</v>
      </c>
      <c r="G35" s="125">
        <f>B35*D35*1.1</f>
        <v>0</v>
      </c>
      <c r="H35" s="131"/>
      <c r="L35" s="114">
        <f>SUM(L15:L32)</f>
        <v>363425.08288</v>
      </c>
    </row>
    <row r="36" spans="1:12" ht="15.75" customHeight="1" x14ac:dyDescent="0.25">
      <c r="A36" s="354"/>
      <c r="B36" s="355"/>
      <c r="C36" s="355"/>
      <c r="D36" s="355"/>
      <c r="E36" s="355"/>
      <c r="F36" s="355"/>
      <c r="G36" s="122">
        <f>SUM(G32:G35)</f>
        <v>0</v>
      </c>
      <c r="H36" s="121"/>
    </row>
    <row r="37" spans="1:12" x14ac:dyDescent="0.25">
      <c r="A37" s="352"/>
      <c r="B37" s="353"/>
      <c r="C37" s="353"/>
      <c r="D37" s="353"/>
      <c r="E37" s="353"/>
      <c r="F37" s="353"/>
      <c r="G37" s="167"/>
      <c r="H37" s="118"/>
    </row>
    <row r="38" spans="1:12" ht="15.75" customHeight="1" x14ac:dyDescent="0.25">
      <c r="G38" s="115"/>
    </row>
    <row r="39" spans="1:12" ht="15.75" customHeight="1" x14ac:dyDescent="0.25">
      <c r="A39" s="351" t="s">
        <v>208</v>
      </c>
      <c r="B39" s="351"/>
      <c r="C39" s="351"/>
      <c r="D39" s="351"/>
      <c r="E39" s="351"/>
      <c r="F39" s="351"/>
      <c r="G39" s="117">
        <f>G27+G18+G36</f>
        <v>667706.87692159996</v>
      </c>
      <c r="H39" s="116">
        <f>G39/DADOS_INICIAIS!$E$9</f>
        <v>183.80052657237709</v>
      </c>
    </row>
    <row r="40" spans="1:12" ht="15.75" customHeight="1" x14ac:dyDescent="0.25">
      <c r="H40" s="115">
        <f>H39/1.1</f>
        <v>167.09138779307008</v>
      </c>
    </row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</sheetData>
  <mergeCells count="14">
    <mergeCell ref="B14:C14"/>
    <mergeCell ref="D14:E14"/>
    <mergeCell ref="A2:A4"/>
    <mergeCell ref="A18:F18"/>
    <mergeCell ref="A19:F19"/>
    <mergeCell ref="B22:C22"/>
    <mergeCell ref="D22:E22"/>
    <mergeCell ref="A39:F39"/>
    <mergeCell ref="A27:F27"/>
    <mergeCell ref="A28:F28"/>
    <mergeCell ref="A37:F37"/>
    <mergeCell ref="B31:C31"/>
    <mergeCell ref="D31:E31"/>
    <mergeCell ref="A36:F3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F773-AC4A-4F21-B2EF-C9876C500E18}">
  <sheetPr>
    <tabColor rgb="FF92D050"/>
  </sheetPr>
  <dimension ref="A1:J18"/>
  <sheetViews>
    <sheetView showGridLines="0" zoomScale="85" zoomScaleNormal="85" zoomScaleSheetLayoutView="95" workbookViewId="0">
      <selection activeCell="B10" sqref="B10"/>
    </sheetView>
  </sheetViews>
  <sheetFormatPr defaultColWidth="9.140625" defaultRowHeight="19.5" x14ac:dyDescent="0.25"/>
  <cols>
    <col min="1" max="1" width="53" style="45" bestFit="1" customWidth="1"/>
    <col min="2" max="6" width="27" style="45" customWidth="1"/>
    <col min="7" max="7" width="14" style="45" customWidth="1"/>
    <col min="8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I1" s="2"/>
    </row>
    <row r="2" spans="1:10" ht="28.5" x14ac:dyDescent="0.25">
      <c r="A2" s="329" t="s">
        <v>279</v>
      </c>
      <c r="B2" s="330"/>
      <c r="C2" s="330"/>
      <c r="D2" s="330"/>
      <c r="E2" s="330"/>
      <c r="F2" s="330"/>
      <c r="G2" s="331"/>
      <c r="I2" s="2"/>
    </row>
    <row r="3" spans="1:10" s="55" customFormat="1" x14ac:dyDescent="0.25">
      <c r="A3" s="186" t="s">
        <v>185</v>
      </c>
      <c r="B3" s="192">
        <v>45460</v>
      </c>
      <c r="C3" s="190"/>
      <c r="D3" s="190"/>
      <c r="E3" s="190"/>
      <c r="F3" s="190"/>
      <c r="G3" s="190"/>
      <c r="H3" s="191"/>
      <c r="J3" s="79"/>
    </row>
    <row r="4" spans="1:10" s="55" customFormat="1" x14ac:dyDescent="0.25">
      <c r="A4" s="186" t="s">
        <v>291</v>
      </c>
      <c r="B4" s="193" t="s">
        <v>209</v>
      </c>
      <c r="C4" s="188"/>
      <c r="D4" s="188"/>
      <c r="E4" s="188"/>
      <c r="F4" s="188"/>
      <c r="G4" s="188"/>
      <c r="H4" s="189"/>
      <c r="J4" s="79"/>
    </row>
    <row r="5" spans="1:10" x14ac:dyDescent="0.25">
      <c r="A5" s="50"/>
      <c r="B5" s="50"/>
      <c r="C5" s="50"/>
      <c r="D5" s="50"/>
      <c r="E5" s="50"/>
      <c r="F5" s="48"/>
      <c r="G5" s="48"/>
      <c r="I5" s="2"/>
    </row>
    <row r="6" spans="1:10" s="55" customFormat="1" ht="21.75" x14ac:dyDescent="0.25">
      <c r="A6" s="52" t="s">
        <v>278</v>
      </c>
      <c r="B6" s="53"/>
      <c r="C6" s="53"/>
      <c r="D6" s="53"/>
      <c r="E6" s="53"/>
      <c r="F6" s="53"/>
      <c r="G6" s="53"/>
    </row>
    <row r="7" spans="1:10" s="55" customFormat="1" ht="21.75" x14ac:dyDescent="0.25">
      <c r="A7" s="56"/>
      <c r="B7" s="57"/>
      <c r="C7" s="57"/>
      <c r="D7" s="57"/>
      <c r="E7" s="57"/>
      <c r="F7" s="59"/>
      <c r="G7" s="59"/>
    </row>
    <row r="8" spans="1:10" s="55" customFormat="1" ht="42" customHeight="1" x14ac:dyDescent="0.25">
      <c r="A8" s="63" t="s">
        <v>14</v>
      </c>
      <c r="B8" s="333" t="s">
        <v>5</v>
      </c>
      <c r="C8" s="334"/>
      <c r="D8" s="333" t="s">
        <v>18</v>
      </c>
      <c r="E8" s="334"/>
      <c r="F8" s="71" t="s">
        <v>16</v>
      </c>
      <c r="G8" s="59"/>
    </row>
    <row r="9" spans="1:10" s="55" customFormat="1" ht="21.75" x14ac:dyDescent="0.25">
      <c r="A9" s="66" t="s">
        <v>636</v>
      </c>
      <c r="B9" s="62">
        <v>1950</v>
      </c>
      <c r="C9" s="62" t="s">
        <v>276</v>
      </c>
      <c r="D9" s="67">
        <f>'Obra '!C12</f>
        <v>2064.5500000000002</v>
      </c>
      <c r="E9" s="67" t="s">
        <v>2</v>
      </c>
      <c r="F9" s="89">
        <f>D9*B9*1.1</f>
        <v>4428459.7500000009</v>
      </c>
      <c r="G9" s="57"/>
    </row>
    <row r="10" spans="1:10" s="55" customFormat="1" ht="21.75" x14ac:dyDescent="0.25">
      <c r="A10" s="66" t="s">
        <v>277</v>
      </c>
      <c r="B10" s="62">
        <v>1500</v>
      </c>
      <c r="C10" s="62" t="s">
        <v>276</v>
      </c>
      <c r="D10" s="67">
        <f>DADOS_INICIAIS!E21</f>
        <v>473.79</v>
      </c>
      <c r="E10" s="67" t="s">
        <v>2</v>
      </c>
      <c r="F10" s="89">
        <f>D10*B10*1.1</f>
        <v>781753.50000000012</v>
      </c>
      <c r="G10" s="57"/>
    </row>
    <row r="11" spans="1:10" s="55" customFormat="1" ht="21.75" x14ac:dyDescent="0.25">
      <c r="A11" s="66" t="s">
        <v>275</v>
      </c>
      <c r="B11" s="62">
        <v>10</v>
      </c>
      <c r="C11" s="62" t="s">
        <v>6</v>
      </c>
      <c r="D11" s="67">
        <f>B11*DADOS_INICIAIS!$E$9</f>
        <v>36327.799999999996</v>
      </c>
      <c r="E11" s="67" t="s">
        <v>27</v>
      </c>
      <c r="F11" s="89">
        <f>D11*1.1</f>
        <v>39960.58</v>
      </c>
      <c r="G11" s="57"/>
    </row>
    <row r="12" spans="1:10" s="55" customFormat="1" ht="21.75" x14ac:dyDescent="0.25">
      <c r="A12" s="66" t="s">
        <v>274</v>
      </c>
      <c r="B12" s="62">
        <v>12</v>
      </c>
      <c r="C12" s="62" t="s">
        <v>6</v>
      </c>
      <c r="D12" s="67">
        <f>B12*DADOS_INICIAIS!$E$9</f>
        <v>43593.36</v>
      </c>
      <c r="E12" s="67" t="s">
        <v>27</v>
      </c>
      <c r="F12" s="89">
        <f t="shared" ref="F12:F15" si="0">D12*1.1</f>
        <v>47952.696000000004</v>
      </c>
      <c r="G12" s="57"/>
    </row>
    <row r="13" spans="1:10" s="55" customFormat="1" ht="21.75" x14ac:dyDescent="0.25">
      <c r="A13" s="66" t="s">
        <v>273</v>
      </c>
      <c r="B13" s="62">
        <v>4</v>
      </c>
      <c r="C13" s="62" t="s">
        <v>6</v>
      </c>
      <c r="D13" s="67">
        <f>B13*DADOS_INICIAIS!$E$9</f>
        <v>14531.119999999999</v>
      </c>
      <c r="E13" s="67" t="s">
        <v>27</v>
      </c>
      <c r="F13" s="89">
        <f t="shared" si="0"/>
        <v>15984.232</v>
      </c>
      <c r="G13" s="57"/>
    </row>
    <row r="14" spans="1:10" s="55" customFormat="1" ht="21.75" x14ac:dyDescent="0.25">
      <c r="A14" s="66" t="s">
        <v>272</v>
      </c>
      <c r="B14" s="62">
        <v>5</v>
      </c>
      <c r="C14" s="62" t="s">
        <v>6</v>
      </c>
      <c r="D14" s="67">
        <f>B14*DADOS_INICIAIS!$E$9</f>
        <v>18163.899999999998</v>
      </c>
      <c r="E14" s="67" t="s">
        <v>27</v>
      </c>
      <c r="F14" s="89">
        <f t="shared" si="0"/>
        <v>19980.29</v>
      </c>
      <c r="G14" s="57"/>
    </row>
    <row r="15" spans="1:10" s="55" customFormat="1" ht="21.75" x14ac:dyDescent="0.25">
      <c r="A15" s="66" t="s">
        <v>271</v>
      </c>
      <c r="B15" s="62">
        <v>15</v>
      </c>
      <c r="C15" s="62" t="s">
        <v>6</v>
      </c>
      <c r="D15" s="67">
        <f>B15*DADOS_INICIAIS!$E$9</f>
        <v>54491.7</v>
      </c>
      <c r="E15" s="67" t="s">
        <v>27</v>
      </c>
      <c r="F15" s="89">
        <f t="shared" si="0"/>
        <v>59940.87</v>
      </c>
      <c r="G15" s="57"/>
    </row>
    <row r="16" spans="1:10" s="55" customFormat="1" ht="21.75" x14ac:dyDescent="0.25">
      <c r="A16" s="328" t="s">
        <v>17</v>
      </c>
      <c r="B16" s="328"/>
      <c r="C16" s="328"/>
      <c r="D16" s="110"/>
      <c r="E16" s="110"/>
      <c r="F16" s="90">
        <f>SUM(F10:F15)</f>
        <v>965572.16800000006</v>
      </c>
      <c r="G16" s="60"/>
    </row>
    <row r="17" spans="1:7" s="55" customFormat="1" ht="21.75" x14ac:dyDescent="0.25">
      <c r="A17" s="332"/>
      <c r="B17" s="332"/>
      <c r="C17" s="332"/>
      <c r="D17" s="111"/>
      <c r="E17" s="111"/>
      <c r="F17" s="59"/>
      <c r="G17" s="59"/>
    </row>
    <row r="18" spans="1:7" ht="23.25" customHeight="1" x14ac:dyDescent="0.25">
      <c r="A18" s="325" t="s">
        <v>270</v>
      </c>
      <c r="B18" s="326"/>
      <c r="C18" s="327"/>
      <c r="D18" s="109"/>
      <c r="E18" s="109"/>
      <c r="F18" s="108">
        <f>F16</f>
        <v>965572.16800000006</v>
      </c>
      <c r="G18" s="108">
        <f>F18/DADOS_INICIAIS!$E$9</f>
        <v>265.79428646931552</v>
      </c>
    </row>
  </sheetData>
  <mergeCells count="6">
    <mergeCell ref="A18:C18"/>
    <mergeCell ref="B8:C8"/>
    <mergeCell ref="D8:E8"/>
    <mergeCell ref="A2:G2"/>
    <mergeCell ref="A16:C16"/>
    <mergeCell ref="A17:C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5" x14ac:dyDescent="0.25"/>
  <cols>
    <col min="1" max="1" width="106.5703125" bestFit="1" customWidth="1"/>
    <col min="3" max="3" width="15.7109375" bestFit="1" customWidth="1"/>
    <col min="4" max="4" width="8.85546875" style="3"/>
    <col min="7" max="7" width="14.85546875" bestFit="1" customWidth="1"/>
    <col min="8" max="8" width="9.28515625" style="3" bestFit="1" customWidth="1"/>
  </cols>
  <sheetData>
    <row r="2" spans="1:8" x14ac:dyDescent="0.25">
      <c r="A2" t="s">
        <v>42</v>
      </c>
      <c r="B2">
        <v>2</v>
      </c>
      <c r="C2" t="s">
        <v>89</v>
      </c>
      <c r="D2" s="3">
        <v>18.399999999999999</v>
      </c>
    </row>
    <row r="3" spans="1:8" x14ac:dyDescent="0.25">
      <c r="A3" t="s">
        <v>43</v>
      </c>
      <c r="B3">
        <v>2</v>
      </c>
      <c r="C3" t="s">
        <v>90</v>
      </c>
    </row>
    <row r="4" spans="1:8" x14ac:dyDescent="0.25">
      <c r="A4" t="s">
        <v>44</v>
      </c>
      <c r="B4">
        <v>1</v>
      </c>
      <c r="C4" t="s">
        <v>91</v>
      </c>
      <c r="D4" s="3">
        <v>3.4649999999999999</v>
      </c>
    </row>
    <row r="5" spans="1:8" x14ac:dyDescent="0.25">
      <c r="A5" t="s">
        <v>45</v>
      </c>
      <c r="B5">
        <v>1</v>
      </c>
      <c r="C5" t="s">
        <v>91</v>
      </c>
      <c r="D5" s="3">
        <v>1.7324999999999999</v>
      </c>
      <c r="G5" t="s">
        <v>95</v>
      </c>
      <c r="H5" s="3">
        <f>SUMIF(C:C,G5,D:D)</f>
        <v>400.52209999999991</v>
      </c>
    </row>
    <row r="6" spans="1:8" x14ac:dyDescent="0.25">
      <c r="A6" t="s">
        <v>46</v>
      </c>
      <c r="B6">
        <v>2</v>
      </c>
      <c r="C6" t="s">
        <v>91</v>
      </c>
      <c r="D6" s="3">
        <v>5.2751999999999999</v>
      </c>
      <c r="G6" t="s">
        <v>96</v>
      </c>
      <c r="H6" s="3">
        <f>SUMIF(C:C,G6,D:D)</f>
        <v>1895.0600000000002</v>
      </c>
    </row>
    <row r="7" spans="1:8" x14ac:dyDescent="0.25">
      <c r="A7" t="s">
        <v>47</v>
      </c>
      <c r="B7">
        <v>1</v>
      </c>
      <c r="C7" t="s">
        <v>91</v>
      </c>
      <c r="D7" s="3">
        <v>4.1916000000000002</v>
      </c>
      <c r="G7" t="s">
        <v>93</v>
      </c>
      <c r="H7" s="3">
        <f>SUMIF(C:C,G7,B:B)</f>
        <v>218</v>
      </c>
    </row>
    <row r="8" spans="1:8" x14ac:dyDescent="0.25">
      <c r="A8" t="s">
        <v>48</v>
      </c>
      <c r="B8">
        <v>1</v>
      </c>
      <c r="C8" t="s">
        <v>94</v>
      </c>
      <c r="G8" t="s">
        <v>90</v>
      </c>
      <c r="H8" s="3">
        <f>SUMIF(C:C,G8,B:B)</f>
        <v>60</v>
      </c>
    </row>
    <row r="9" spans="1:8" x14ac:dyDescent="0.25">
      <c r="A9" t="s">
        <v>49</v>
      </c>
      <c r="B9">
        <v>19</v>
      </c>
      <c r="C9" t="s">
        <v>93</v>
      </c>
      <c r="G9" t="s">
        <v>94</v>
      </c>
      <c r="H9" s="3">
        <f>SUMIF(C:C,G9,B:B)</f>
        <v>1</v>
      </c>
    </row>
    <row r="10" spans="1:8" x14ac:dyDescent="0.25">
      <c r="A10" t="s">
        <v>50</v>
      </c>
      <c r="B10">
        <v>3</v>
      </c>
      <c r="C10" t="s">
        <v>91</v>
      </c>
      <c r="D10" s="3">
        <v>6.3</v>
      </c>
      <c r="G10" t="s">
        <v>92</v>
      </c>
      <c r="H10" s="3">
        <f>SUMIF(C:C,G10,D:D)</f>
        <v>46.62</v>
      </c>
    </row>
    <row r="11" spans="1:8" x14ac:dyDescent="0.25">
      <c r="A11" t="s">
        <v>51</v>
      </c>
      <c r="B11">
        <v>2</v>
      </c>
      <c r="C11" t="s">
        <v>91</v>
      </c>
      <c r="D11" s="3">
        <v>3.78</v>
      </c>
      <c r="G11" t="s">
        <v>89</v>
      </c>
      <c r="H11" s="3">
        <f>SUMIF(C:C,G11,B:B)</f>
        <v>2</v>
      </c>
    </row>
    <row r="12" spans="1:8" x14ac:dyDescent="0.25">
      <c r="A12" t="s">
        <v>52</v>
      </c>
      <c r="B12">
        <v>1</v>
      </c>
      <c r="C12" t="s">
        <v>91</v>
      </c>
      <c r="D12" s="3">
        <v>2.0076000000000001</v>
      </c>
      <c r="G12" t="s">
        <v>97</v>
      </c>
      <c r="H12" s="3">
        <f>SUMIF(C:C,G12,D:D)</f>
        <v>113.88000000000002</v>
      </c>
    </row>
    <row r="13" spans="1:8" x14ac:dyDescent="0.25">
      <c r="A13" t="s">
        <v>53</v>
      </c>
      <c r="C13" t="s">
        <v>96</v>
      </c>
      <c r="D13" s="3">
        <v>23.4526</v>
      </c>
      <c r="G13" t="s">
        <v>98</v>
      </c>
      <c r="H13" s="3">
        <v>109.3146</v>
      </c>
    </row>
    <row r="14" spans="1:8" x14ac:dyDescent="0.25">
      <c r="A14" t="s">
        <v>54</v>
      </c>
      <c r="C14" t="s">
        <v>95</v>
      </c>
      <c r="D14" s="3">
        <v>20.8062</v>
      </c>
    </row>
    <row r="15" spans="1:8" x14ac:dyDescent="0.25">
      <c r="A15" t="s">
        <v>55</v>
      </c>
      <c r="B15">
        <v>8</v>
      </c>
      <c r="C15" t="s">
        <v>90</v>
      </c>
    </row>
    <row r="16" spans="1:8" x14ac:dyDescent="0.25">
      <c r="A16" t="s">
        <v>56</v>
      </c>
      <c r="C16" t="s">
        <v>96</v>
      </c>
      <c r="D16" s="3">
        <v>124.1564</v>
      </c>
    </row>
    <row r="17" spans="1:4" x14ac:dyDescent="0.25">
      <c r="A17" t="s">
        <v>57</v>
      </c>
      <c r="B17">
        <v>2</v>
      </c>
      <c r="C17" t="s">
        <v>90</v>
      </c>
    </row>
    <row r="18" spans="1:4" x14ac:dyDescent="0.25">
      <c r="A18" t="s">
        <v>58</v>
      </c>
      <c r="B18">
        <v>2</v>
      </c>
      <c r="C18" t="s">
        <v>92</v>
      </c>
      <c r="D18" s="3">
        <v>2.94</v>
      </c>
    </row>
    <row r="19" spans="1:4" x14ac:dyDescent="0.25">
      <c r="A19" t="s">
        <v>59</v>
      </c>
      <c r="B19">
        <v>2</v>
      </c>
      <c r="C19" t="s">
        <v>92</v>
      </c>
      <c r="D19" s="3">
        <v>3.78</v>
      </c>
    </row>
    <row r="20" spans="1:4" x14ac:dyDescent="0.25">
      <c r="A20" t="s">
        <v>60</v>
      </c>
      <c r="B20">
        <v>5</v>
      </c>
      <c r="C20" t="s">
        <v>93</v>
      </c>
    </row>
    <row r="21" spans="1:4" x14ac:dyDescent="0.25">
      <c r="A21" t="s">
        <v>61</v>
      </c>
      <c r="B21">
        <v>1</v>
      </c>
      <c r="C21" t="s">
        <v>96</v>
      </c>
      <c r="D21" s="3">
        <v>14.7348</v>
      </c>
    </row>
    <row r="22" spans="1:4" x14ac:dyDescent="0.25">
      <c r="A22" t="s">
        <v>62</v>
      </c>
      <c r="C22" t="s">
        <v>96</v>
      </c>
      <c r="D22" s="3">
        <v>45.024799999999999</v>
      </c>
    </row>
    <row r="23" spans="1:4" x14ac:dyDescent="0.25">
      <c r="A23" t="s">
        <v>63</v>
      </c>
      <c r="C23" t="s">
        <v>95</v>
      </c>
      <c r="D23" s="3">
        <v>19.8809</v>
      </c>
    </row>
    <row r="24" spans="1:4" x14ac:dyDescent="0.25">
      <c r="A24" t="s">
        <v>64</v>
      </c>
      <c r="B24">
        <v>38</v>
      </c>
      <c r="C24" t="s">
        <v>90</v>
      </c>
    </row>
    <row r="25" spans="1:4" x14ac:dyDescent="0.25">
      <c r="A25" t="s">
        <v>65</v>
      </c>
      <c r="B25">
        <v>171</v>
      </c>
      <c r="C25" t="s">
        <v>93</v>
      </c>
    </row>
    <row r="26" spans="1:4" x14ac:dyDescent="0.25">
      <c r="A26" t="s">
        <v>66</v>
      </c>
      <c r="B26">
        <v>19</v>
      </c>
      <c r="C26" t="s">
        <v>92</v>
      </c>
      <c r="D26" s="3">
        <v>23.94</v>
      </c>
    </row>
    <row r="27" spans="1:4" x14ac:dyDescent="0.25">
      <c r="A27" t="s">
        <v>67</v>
      </c>
      <c r="B27">
        <v>19</v>
      </c>
      <c r="C27" t="s">
        <v>96</v>
      </c>
      <c r="D27" s="3">
        <v>482.98950000000002</v>
      </c>
    </row>
    <row r="28" spans="1:4" x14ac:dyDescent="0.25">
      <c r="A28" t="s">
        <v>68</v>
      </c>
      <c r="B28">
        <v>19</v>
      </c>
      <c r="C28" t="s">
        <v>96</v>
      </c>
      <c r="D28" s="3">
        <v>338.7396</v>
      </c>
    </row>
    <row r="29" spans="1:4" x14ac:dyDescent="0.25">
      <c r="A29" t="s">
        <v>69</v>
      </c>
      <c r="C29" t="s">
        <v>96</v>
      </c>
      <c r="D29" s="3">
        <v>530.63199999999995</v>
      </c>
    </row>
    <row r="30" spans="1:4" x14ac:dyDescent="0.25">
      <c r="A30" t="s">
        <v>70</v>
      </c>
      <c r="C30" t="s">
        <v>97</v>
      </c>
      <c r="D30" s="3">
        <v>90.155000000000001</v>
      </c>
    </row>
    <row r="31" spans="1:4" x14ac:dyDescent="0.25">
      <c r="A31" t="s">
        <v>71</v>
      </c>
      <c r="C31" t="s">
        <v>95</v>
      </c>
      <c r="D31" s="3">
        <v>297.255</v>
      </c>
    </row>
    <row r="32" spans="1:4" x14ac:dyDescent="0.25">
      <c r="A32" t="s">
        <v>57</v>
      </c>
      <c r="B32">
        <v>2</v>
      </c>
      <c r="C32" t="s">
        <v>90</v>
      </c>
    </row>
    <row r="33" spans="1:4" x14ac:dyDescent="0.25">
      <c r="A33" t="s">
        <v>72</v>
      </c>
      <c r="B33">
        <v>2</v>
      </c>
      <c r="C33" t="s">
        <v>93</v>
      </c>
    </row>
    <row r="34" spans="1:4" x14ac:dyDescent="0.25">
      <c r="A34" t="s">
        <v>73</v>
      </c>
      <c r="B34">
        <v>1</v>
      </c>
      <c r="C34" t="s">
        <v>92</v>
      </c>
      <c r="D34" s="3">
        <v>1.26</v>
      </c>
    </row>
    <row r="35" spans="1:4" x14ac:dyDescent="0.25">
      <c r="A35" t="s">
        <v>74</v>
      </c>
      <c r="B35">
        <v>1</v>
      </c>
      <c r="C35" t="s">
        <v>96</v>
      </c>
      <c r="D35" s="3">
        <v>15.21</v>
      </c>
    </row>
    <row r="36" spans="1:4" x14ac:dyDescent="0.25">
      <c r="A36" t="s">
        <v>75</v>
      </c>
      <c r="B36">
        <v>1</v>
      </c>
      <c r="C36" t="s">
        <v>96</v>
      </c>
      <c r="D36" s="3">
        <v>25.420500000000001</v>
      </c>
    </row>
    <row r="37" spans="1:4" x14ac:dyDescent="0.25">
      <c r="A37" t="s">
        <v>76</v>
      </c>
      <c r="B37">
        <v>1</v>
      </c>
      <c r="C37" t="s">
        <v>96</v>
      </c>
      <c r="D37" s="3">
        <v>17.828399999999998</v>
      </c>
    </row>
    <row r="38" spans="1:4" x14ac:dyDescent="0.25">
      <c r="A38" t="s">
        <v>77</v>
      </c>
      <c r="C38" t="s">
        <v>96</v>
      </c>
      <c r="D38" s="3">
        <v>27.928000000000001</v>
      </c>
    </row>
    <row r="39" spans="1:4" x14ac:dyDescent="0.25">
      <c r="A39" t="s">
        <v>78</v>
      </c>
      <c r="C39" t="s">
        <v>97</v>
      </c>
      <c r="D39" s="3">
        <v>4.7450000000000001</v>
      </c>
    </row>
    <row r="40" spans="1:4" x14ac:dyDescent="0.25">
      <c r="A40" t="s">
        <v>79</v>
      </c>
      <c r="C40" t="s">
        <v>95</v>
      </c>
      <c r="D40" s="3">
        <v>15.645</v>
      </c>
    </row>
    <row r="41" spans="1:4" x14ac:dyDescent="0.25">
      <c r="A41" t="s">
        <v>57</v>
      </c>
      <c r="B41">
        <v>2</v>
      </c>
      <c r="C41" t="s">
        <v>90</v>
      </c>
    </row>
    <row r="42" spans="1:4" x14ac:dyDescent="0.25">
      <c r="A42" t="s">
        <v>80</v>
      </c>
      <c r="B42">
        <v>7</v>
      </c>
      <c r="C42" t="s">
        <v>93</v>
      </c>
    </row>
    <row r="43" spans="1:4" x14ac:dyDescent="0.25">
      <c r="A43" t="s">
        <v>81</v>
      </c>
      <c r="B43">
        <v>2</v>
      </c>
      <c r="C43" t="s">
        <v>93</v>
      </c>
    </row>
    <row r="44" spans="1:4" x14ac:dyDescent="0.25">
      <c r="A44" t="s">
        <v>75</v>
      </c>
      <c r="B44">
        <v>1</v>
      </c>
      <c r="C44" t="s">
        <v>96</v>
      </c>
      <c r="D44" s="3">
        <v>25.420500000000001</v>
      </c>
    </row>
    <row r="45" spans="1:4" x14ac:dyDescent="0.25">
      <c r="A45" t="s">
        <v>76</v>
      </c>
      <c r="B45">
        <v>1</v>
      </c>
      <c r="C45" t="s">
        <v>96</v>
      </c>
      <c r="D45" s="3">
        <v>17.828399999999998</v>
      </c>
    </row>
    <row r="46" spans="1:4" x14ac:dyDescent="0.25">
      <c r="A46" t="s">
        <v>82</v>
      </c>
      <c r="C46" t="s">
        <v>96</v>
      </c>
      <c r="D46" s="3">
        <v>26.827999999999999</v>
      </c>
    </row>
    <row r="47" spans="1:4" x14ac:dyDescent="0.25">
      <c r="A47" t="s">
        <v>78</v>
      </c>
      <c r="C47" t="s">
        <v>97</v>
      </c>
      <c r="D47" s="3">
        <v>4.7450000000000001</v>
      </c>
    </row>
    <row r="48" spans="1:4" x14ac:dyDescent="0.25">
      <c r="A48" t="s">
        <v>79</v>
      </c>
      <c r="C48" t="s">
        <v>95</v>
      </c>
      <c r="D48" s="3">
        <v>15.645</v>
      </c>
    </row>
    <row r="49" spans="1:4" x14ac:dyDescent="0.25">
      <c r="A49" t="s">
        <v>57</v>
      </c>
      <c r="B49">
        <v>2</v>
      </c>
      <c r="C49" t="s">
        <v>90</v>
      </c>
    </row>
    <row r="50" spans="1:4" x14ac:dyDescent="0.25">
      <c r="A50" t="s">
        <v>83</v>
      </c>
      <c r="B50">
        <v>4</v>
      </c>
      <c r="C50" t="s">
        <v>93</v>
      </c>
    </row>
    <row r="51" spans="1:4" x14ac:dyDescent="0.25">
      <c r="A51" t="s">
        <v>73</v>
      </c>
      <c r="B51">
        <v>1</v>
      </c>
      <c r="C51" t="s">
        <v>92</v>
      </c>
      <c r="D51" s="3">
        <v>1.26</v>
      </c>
    </row>
    <row r="52" spans="1:4" x14ac:dyDescent="0.25">
      <c r="A52" t="s">
        <v>84</v>
      </c>
      <c r="B52">
        <v>1</v>
      </c>
      <c r="C52" t="s">
        <v>93</v>
      </c>
    </row>
    <row r="53" spans="1:4" x14ac:dyDescent="0.25">
      <c r="A53" t="s">
        <v>85</v>
      </c>
      <c r="B53">
        <v>1</v>
      </c>
      <c r="C53" t="s">
        <v>92</v>
      </c>
      <c r="D53" s="3">
        <v>10.5</v>
      </c>
    </row>
    <row r="54" spans="1:4" x14ac:dyDescent="0.25">
      <c r="A54" t="s">
        <v>75</v>
      </c>
      <c r="B54">
        <v>1</v>
      </c>
      <c r="C54" t="s">
        <v>96</v>
      </c>
      <c r="D54" s="3">
        <v>25.420500000000001</v>
      </c>
    </row>
    <row r="55" spans="1:4" x14ac:dyDescent="0.25">
      <c r="A55" t="s">
        <v>76</v>
      </c>
      <c r="B55">
        <v>1</v>
      </c>
      <c r="C55" t="s">
        <v>96</v>
      </c>
      <c r="D55" s="3">
        <v>17.828399999999998</v>
      </c>
    </row>
    <row r="56" spans="1:4" x14ac:dyDescent="0.25">
      <c r="A56" t="s">
        <v>77</v>
      </c>
      <c r="C56" t="s">
        <v>96</v>
      </c>
      <c r="D56" s="3">
        <v>27.928000000000001</v>
      </c>
    </row>
    <row r="57" spans="1:4" x14ac:dyDescent="0.25">
      <c r="A57" t="s">
        <v>78</v>
      </c>
      <c r="C57" t="s">
        <v>97</v>
      </c>
      <c r="D57" s="3">
        <v>4.7450000000000001</v>
      </c>
    </row>
    <row r="58" spans="1:4" x14ac:dyDescent="0.25">
      <c r="A58" t="s">
        <v>79</v>
      </c>
      <c r="C58" t="s">
        <v>95</v>
      </c>
      <c r="D58" s="3">
        <v>15.645</v>
      </c>
    </row>
    <row r="59" spans="1:4" x14ac:dyDescent="0.25">
      <c r="A59" t="s">
        <v>57</v>
      </c>
      <c r="B59">
        <v>2</v>
      </c>
      <c r="C59" t="s">
        <v>90</v>
      </c>
    </row>
    <row r="60" spans="1:4" x14ac:dyDescent="0.25">
      <c r="A60" t="s">
        <v>80</v>
      </c>
      <c r="B60">
        <v>7</v>
      </c>
      <c r="C60" t="s">
        <v>93</v>
      </c>
    </row>
    <row r="61" spans="1:4" x14ac:dyDescent="0.25">
      <c r="A61" t="s">
        <v>86</v>
      </c>
      <c r="B61">
        <v>1</v>
      </c>
      <c r="C61" t="s">
        <v>96</v>
      </c>
      <c r="D61" s="3">
        <v>5.61</v>
      </c>
    </row>
    <row r="62" spans="1:4" x14ac:dyDescent="0.25">
      <c r="A62" t="s">
        <v>87</v>
      </c>
      <c r="C62" t="s">
        <v>96</v>
      </c>
      <c r="D62" s="3">
        <v>69.707599999999999</v>
      </c>
    </row>
    <row r="63" spans="1:4" x14ac:dyDescent="0.25">
      <c r="A63" t="s">
        <v>78</v>
      </c>
      <c r="C63" t="s">
        <v>97</v>
      </c>
      <c r="D63" s="3">
        <v>4.7450000000000001</v>
      </c>
    </row>
    <row r="64" spans="1:4" x14ac:dyDescent="0.25">
      <c r="A64" t="s">
        <v>79</v>
      </c>
      <c r="C64" t="s">
        <v>95</v>
      </c>
      <c r="D64" s="3">
        <v>15.645</v>
      </c>
    </row>
    <row r="65" spans="1:4" x14ac:dyDescent="0.25">
      <c r="A65" t="s">
        <v>57</v>
      </c>
      <c r="B65">
        <v>2</v>
      </c>
      <c r="C65" t="s">
        <v>90</v>
      </c>
    </row>
    <row r="66" spans="1:4" x14ac:dyDescent="0.25">
      <c r="A66" t="s">
        <v>58</v>
      </c>
      <c r="B66">
        <v>2</v>
      </c>
      <c r="C66" t="s">
        <v>92</v>
      </c>
      <c r="D66" s="3">
        <v>2.94</v>
      </c>
    </row>
    <row r="67" spans="1:4" x14ac:dyDescent="0.25">
      <c r="A67" t="s">
        <v>88</v>
      </c>
      <c r="C67" t="s">
        <v>96</v>
      </c>
      <c r="D67" s="3">
        <v>32.372</v>
      </c>
    </row>
    <row r="68" spans="1:4" x14ac:dyDescent="0.25">
      <c r="A68" t="s">
        <v>78</v>
      </c>
      <c r="C68" t="s">
        <v>97</v>
      </c>
      <c r="D68" s="3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20</vt:i4>
      </vt:variant>
      <vt:variant>
        <vt:lpstr>Intervalos Nomeados</vt:lpstr>
      </vt:variant>
      <vt:variant>
        <vt:i4>30</vt:i4>
      </vt:variant>
    </vt:vector>
  </HeadingPairs>
  <TitlesOfParts>
    <vt:vector size="50" baseType="lpstr">
      <vt:lpstr>Obra </vt:lpstr>
      <vt:lpstr>DADOS_INICIAIS</vt:lpstr>
      <vt:lpstr>MOVIMENTAÇÃO_DE_TERRA</vt:lpstr>
      <vt:lpstr>INFRAESTRUTURA</vt:lpstr>
      <vt:lpstr>CONTENÇÕES</vt:lpstr>
      <vt:lpstr>SUPRAESTRUTURA</vt:lpstr>
      <vt:lpstr>ALVENARIA</vt:lpstr>
      <vt:lpstr>IMPERMEABILIZAÇÃO</vt:lpstr>
      <vt:lpstr>INSTALAÇÕES</vt:lpstr>
      <vt:lpstr>SISTEMAS ESPECIAIS</vt:lpstr>
      <vt:lpstr>ARQUITETURA</vt:lpstr>
      <vt:lpstr>Rev. Internos Piso e Parede</vt:lpstr>
      <vt:lpstr>TETO</vt:lpstr>
      <vt:lpstr>Acabamentos de Piso e Parede</vt:lpstr>
      <vt:lpstr>PINTURA INTERNA</vt:lpstr>
      <vt:lpstr>ESQUADRIAS</vt:lpstr>
      <vt:lpstr>COBERTURA</vt:lpstr>
      <vt:lpstr>Rev. Fachada</vt:lpstr>
      <vt:lpstr>COMPLEMENTARES</vt:lpstr>
      <vt:lpstr>Auxiliar</vt:lpstr>
      <vt:lpstr>'Acabamentos de Piso e Parede'!Area_de_impressao</vt:lpstr>
      <vt:lpstr>ALVENARIA!Area_de_impressao</vt:lpstr>
      <vt:lpstr>COBERTURA!Area_de_impressao</vt:lpstr>
      <vt:lpstr>COMPLEMENTARES!Area_de_impressao</vt:lpstr>
      <vt:lpstr>CONTENÇÕES!Area_de_impressao</vt:lpstr>
      <vt:lpstr>DADOS_INICIAIS!Area_de_impressao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MOVIMENTAÇÃO_DE_TERRA!Area_de_impressao</vt:lpstr>
      <vt:lpstr>'Obra '!Area_de_impressao</vt:lpstr>
      <vt:lpstr>'PINTURA INTERNA'!Area_de_impressao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TETO!Area_de_impressao</vt:lpstr>
      <vt:lpstr>'Acabamentos de Piso e Parede'!Titulos_de_impressao</vt:lpstr>
      <vt:lpstr>ALVENARIA!Titulos_de_impressao</vt:lpstr>
      <vt:lpstr>CONTENÇÕES!Titulos_de_impressao</vt:lpstr>
      <vt:lpstr>DADOS_INICIAIS!Titulos_de_impressao</vt:lpstr>
      <vt:lpstr>ESQUADRIAS!Titulos_de_impressao</vt:lpstr>
      <vt:lpstr>IMPERMEABILIZAÇÃO!Titulos_de_impressao</vt:lpstr>
      <vt:lpstr>INFRAESTRUTURA!Titulos_de_impressao</vt:lpstr>
      <vt:lpstr>'PINTURA INTERNA'!Titulos_de_impressao</vt:lpstr>
      <vt:lpstr>'Rev. Fachada'!Titulos_de_impressao</vt:lpstr>
      <vt:lpstr>'Rev. Internos Piso e Parede'!Titulos_de_impressao</vt:lpstr>
      <vt:lpstr>SUPRAESTRUTURA!Titulos_de_impressao</vt:lpstr>
      <vt:lpstr>TETO!Titulos_de_impressao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Patricia Bragatto</cp:lastModifiedBy>
  <cp:lastPrinted>2020-09-28T02:21:03Z</cp:lastPrinted>
  <dcterms:created xsi:type="dcterms:W3CDTF">2013-07-31T19:52:57Z</dcterms:created>
  <dcterms:modified xsi:type="dcterms:W3CDTF">2026-02-02T18:03:48Z</dcterms:modified>
</cp:coreProperties>
</file>