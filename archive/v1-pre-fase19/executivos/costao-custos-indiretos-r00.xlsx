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postas Fechadas\Costão do Santinho - 12.2022\03. Custo\03.0 Custo - Orçamento Paramétrico\00 - Entregáveis\"/>
    </mc:Choice>
  </mc:AlternateContent>
  <xr:revisionPtr revIDLastSave="0" documentId="13_ncr:1_{873816ED-8779-4E40-AA04-9EA625131450}" xr6:coauthVersionLast="47" xr6:coauthVersionMax="47" xr10:uidLastSave="{00000000-0000-0000-0000-000000000000}"/>
  <bookViews>
    <workbookView xWindow="-108" yWindow="-108" windowWidth="23256" windowHeight="12456" tabRatio="660" activeTab="3" xr2:uid="{00000000-000D-0000-FFFF-FFFF00000000}"/>
  </bookViews>
  <sheets>
    <sheet name="SUÍTES_MAR" sheetId="29" r:id="rId1"/>
    <sheet name="MÃO_OBRA" sheetId="33" r:id="rId2"/>
    <sheet name="EPC's" sheetId="23" r:id="rId3"/>
    <sheet name="CUSTOS_INDIRETOS" sheetId="26" r:id="rId4"/>
  </sheets>
  <externalReferences>
    <externalReference r:id="rId5"/>
    <externalReference r:id="rId6"/>
  </externalReferences>
  <definedNames>
    <definedName name="\0" localSheetId="2">#REF!</definedName>
    <definedName name="\0" localSheetId="0">#REF!</definedName>
    <definedName name="\0">#REF!</definedName>
    <definedName name="\a" localSheetId="2">#REF!</definedName>
    <definedName name="\a" localSheetId="0">#REF!</definedName>
    <definedName name="\a">#REF!</definedName>
    <definedName name="\m" localSheetId="2">#REF!</definedName>
    <definedName name="\m" localSheetId="0">#REF!</definedName>
    <definedName name="\m">#REF!</definedName>
    <definedName name="_xlnm._FilterDatabase" localSheetId="2" hidden="1">'EPC''s'!#REF!</definedName>
    <definedName name="_xlnm._FilterDatabase" localSheetId="0" hidden="1">SUÍTES_MAR!#REF!</definedName>
    <definedName name="aa" localSheetId="2">#REF!</definedName>
    <definedName name="aa" localSheetId="0">#REF!</definedName>
    <definedName name="aa">#REF!</definedName>
    <definedName name="aaaa" localSheetId="2">'[1]M.O.'!#REF!</definedName>
    <definedName name="aaaa" localSheetId="0">'[1]M.O.'!#REF!</definedName>
    <definedName name="aaaa">'[1]M.O.'!#REF!</definedName>
    <definedName name="angelo" localSheetId="2">[2]Geral!#REF!</definedName>
    <definedName name="angelo" localSheetId="0">[2]Geral!#REF!</definedName>
    <definedName name="angelo">[2]Geral!#REF!</definedName>
    <definedName name="_xlnm.Print_Area" localSheetId="2">'EPC''s'!$A$1:$F$59</definedName>
    <definedName name="_xlnm.Print_Area" localSheetId="1">MÃO_OBRA!$A$1:$D$33</definedName>
    <definedName name="_xlnm.Print_Area" localSheetId="0">SUÍTES_MAR!$A$1:$F$14</definedName>
    <definedName name="_xlnm.Print_Area">#REF!</definedName>
    <definedName name="aux" localSheetId="2">#REF!</definedName>
    <definedName name="aux" localSheetId="0">#REF!</definedName>
    <definedName name="aux">#REF!</definedName>
    <definedName name="BDA" localSheetId="2">#REF!</definedName>
    <definedName name="BDA" localSheetId="0">#REF!</definedName>
    <definedName name="BDA">#REF!</definedName>
    <definedName name="BDI">#REF!</definedName>
    <definedName name="ca">#REF!</definedName>
    <definedName name="Capa">#REF!</definedName>
    <definedName name="cronograma">#REF!</definedName>
    <definedName name="D">#REF!</definedName>
    <definedName name="direto">#REF!</definedName>
    <definedName name="DRE">#REF!</definedName>
    <definedName name="ea">#REF!</definedName>
    <definedName name="eee" localSheetId="2" hidden="1">{#N/A,#N/A,FALSE,"ET-CAPA";#N/A,#N/A,FALSE,"ET-PAG1";#N/A,#N/A,FALSE,"ET-PAG2";#N/A,#N/A,FALSE,"ET-PAG3";#N/A,#N/A,FALSE,"ET-PAG4";#N/A,#N/A,FALSE,"ET-PAG5"}</definedName>
    <definedName name="eee" localSheetId="0" hidden="1">{#N/A,#N/A,FALSE,"ET-CAPA";#N/A,#N/A,FALSE,"ET-PAG1";#N/A,#N/A,FALSE,"ET-PAG2";#N/A,#N/A,FALSE,"ET-PAG3";#N/A,#N/A,FALSE,"ET-PAG4";#N/A,#N/A,FALSE,"ET-PAG5"}</definedName>
    <definedName name="eee" hidden="1">{#N/A,#N/A,FALSE,"ET-CAPA";#N/A,#N/A,FALSE,"ET-PAG1";#N/A,#N/A,FALSE,"ET-PAG2";#N/A,#N/A,FALSE,"ET-PAG3";#N/A,#N/A,FALSE,"ET-PAG4";#N/A,#N/A,FALSE,"ET-PAG5"}</definedName>
    <definedName name="FFFFFFF">#REF!</definedName>
    <definedName name="item_1">#REF!</definedName>
    <definedName name="LS">'[1]M.O.'!#REF!</definedName>
    <definedName name="MENU" localSheetId="2">#REF!</definedName>
    <definedName name="MENU" localSheetId="0">#REF!</definedName>
    <definedName name="MENU">#REF!</definedName>
    <definedName name="MENU1" localSheetId="2">#REF!</definedName>
    <definedName name="MENU1" localSheetId="0">#REF!</definedName>
    <definedName name="MENU1">#REF!</definedName>
    <definedName name="MENU2" localSheetId="2">#REF!</definedName>
    <definedName name="MENU2" localSheetId="0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o">#REF!</definedName>
    <definedName name="OAE">#REF!</definedName>
    <definedName name="PAV">#REF!</definedName>
    <definedName name="pr">#REF!</definedName>
    <definedName name="PRE">#REF!</definedName>
    <definedName name="Print_Area_MI">#REF!</definedName>
    <definedName name="qe">#REF!</definedName>
    <definedName name="qee">#REF!</definedName>
    <definedName name="reforsu">#REF!</definedName>
    <definedName name="ren">#REF!</definedName>
    <definedName name="REV">#REF!</definedName>
    <definedName name="sa">#REF!</definedName>
    <definedName name="SEG">#REF!</definedName>
    <definedName name="SIH">#REF!</definedName>
    <definedName name="SIV">#REF!</definedName>
    <definedName name="ss">#REF!</definedName>
    <definedName name="susref">#REF!</definedName>
    <definedName name="tania">#REF!</definedName>
    <definedName name="tc">#REF!</definedName>
    <definedName name="_xlnm.Print_Titles" localSheetId="2">'EPC''s'!$1:$7</definedName>
    <definedName name="_xlnm.Print_Titles" localSheetId="0">SUÍTES_MAR!$1:$7</definedName>
    <definedName name="_xlnm.Print_Titles">#REF!</definedName>
    <definedName name="TOT" localSheetId="2">#REF!</definedName>
    <definedName name="TOT" localSheetId="0">#REF!</definedName>
    <definedName name="TOT">#REF!</definedName>
    <definedName name="Total" localSheetId="2">#REF!</definedName>
    <definedName name="Total" localSheetId="0">#REF!</definedName>
    <definedName name="Total">#REF!</definedName>
    <definedName name="TRP">#REF!</definedName>
    <definedName name="u" localSheetId="2" hidden="1">{#N/A,#N/A,FALSE,"ET-CAPA";#N/A,#N/A,FALSE,"ET-PAG1";#N/A,#N/A,FALSE,"ET-PAG2";#N/A,#N/A,FALSE,"ET-PAG3";#N/A,#N/A,FALSE,"ET-PAG4";#N/A,#N/A,FALSE,"ET-PAG5"}</definedName>
    <definedName name="u" localSheetId="0" hidden="1">{#N/A,#N/A,FALSE,"ET-CAPA";#N/A,#N/A,FALSE,"ET-PAG1";#N/A,#N/A,FALSE,"ET-PAG2";#N/A,#N/A,FALSE,"ET-PAG3";#N/A,#N/A,FALSE,"ET-PAG4";#N/A,#N/A,FALSE,"ET-PAG5"}</definedName>
    <definedName name="u" hidden="1">{#N/A,#N/A,FALSE,"ET-CAPA";#N/A,#N/A,FALSE,"ET-PAG1";#N/A,#N/A,FALSE,"ET-PAG2";#N/A,#N/A,FALSE,"ET-PAG3";#N/A,#N/A,FALSE,"ET-PAG4";#N/A,#N/A,FALSE,"ET-PAG5"}</definedName>
    <definedName name="wrn.GERAL." localSheetId="2" hidden="1">{#N/A,#N/A,FALSE,"ET-CAPA";#N/A,#N/A,FALSE,"ET-PAG1";#N/A,#N/A,FALSE,"ET-PAG2";#N/A,#N/A,FALSE,"ET-PAG3";#N/A,#N/A,FALSE,"ET-PAG4";#N/A,#N/A,FALSE,"ET-PAG5"}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xxxx">#REF!</definedName>
  </definedNames>
  <calcPr calcId="191029"/>
  <customWorkbookViews>
    <customWorkbookView name="Stefani Nogueira - Modo de exibição pessoal" guid="{94D063F6-1F92-4895-96C8-B252AC6777F2}" mergeInterval="0" personalView="1" maximized="1" xWindow="1" yWindow="1" windowWidth="1600" windowHeight="679" tabRatio="828" activeSheetId="9"/>
    <customWorkbookView name="Stéfani Nogueira - Modo de exibição pessoal" guid="{BB8A837C-6BFA-4DA4-A004-0243486CD88F}" mergeInterval="0" personalView="1" maximized="1" xWindow="1" yWindow="1" windowWidth="1280" windowHeight="501" activeSheetId="1" showComments="commIndAndComment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3" l="1"/>
  <c r="B8" i="33"/>
  <c r="D19" i="33" s="1"/>
  <c r="D15" i="33" l="1"/>
  <c r="D22" i="33"/>
  <c r="D23" i="33"/>
  <c r="D16" i="33"/>
  <c r="D24" i="33"/>
  <c r="D20" i="33"/>
  <c r="D14" i="33"/>
  <c r="D25" i="33"/>
  <c r="D11" i="33"/>
  <c r="D18" i="33"/>
  <c r="D13" i="33"/>
  <c r="D21" i="33"/>
  <c r="D17" i="33"/>
  <c r="D12" i="33"/>
  <c r="D26" i="33" l="1"/>
  <c r="D56" i="23" l="1"/>
  <c r="D47" i="23"/>
  <c r="D34" i="23"/>
  <c r="D33" i="23"/>
  <c r="D32" i="23"/>
  <c r="D35" i="23" l="1"/>
  <c r="D40" i="23" l="1"/>
  <c r="D18" i="23"/>
  <c r="D42" i="23" l="1"/>
  <c r="D25" i="23" l="1"/>
  <c r="D49" i="23"/>
  <c r="D20" i="23" l="1"/>
  <c r="D13" i="23"/>
  <c r="D27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tc={7588690E-AD13-44E1-AFA5-1EE3D89C3035}</author>
  </authors>
  <commentList>
    <comment ref="D33" authorId="0" shapeId="0" xr:uid="{7588690E-AD13-44E1-AFA5-1EE3D89C303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7 - a partir do subsolo 
3 - a partir do térreo 
4 - a partir do mezanino</t>
      </text>
    </comment>
  </commentList>
</comments>
</file>

<file path=xl/sharedStrings.xml><?xml version="1.0" encoding="utf-8"?>
<sst xmlns="http://schemas.openxmlformats.org/spreadsheetml/2006/main" count="301" uniqueCount="196">
  <si>
    <t>Obra</t>
  </si>
  <si>
    <t>Empresa</t>
  </si>
  <si>
    <t>Revisão</t>
  </si>
  <si>
    <t>R00</t>
  </si>
  <si>
    <t>LEVANTAMENTO QUANTITATIVO</t>
  </si>
  <si>
    <t>Descrição</t>
  </si>
  <si>
    <t>Equipamentos de proteção coletiva</t>
  </si>
  <si>
    <t>Bandejas de proteção</t>
  </si>
  <si>
    <t>Unidade</t>
  </si>
  <si>
    <t>Quantidade</t>
  </si>
  <si>
    <t xml:space="preserve">Perímetro de projeção da torre </t>
  </si>
  <si>
    <t>m</t>
  </si>
  <si>
    <t>Número de montagens de bandeja primária</t>
  </si>
  <si>
    <t>un</t>
  </si>
  <si>
    <t>Bandeja de proteção primária</t>
  </si>
  <si>
    <t>Repetições de pavimentos**</t>
  </si>
  <si>
    <t>m2</t>
  </si>
  <si>
    <t>Cobertura para proteção de pedestres</t>
  </si>
  <si>
    <t>Tela fachadeira</t>
  </si>
  <si>
    <t>Perímetro de projeção</t>
  </si>
  <si>
    <t>Altura do empreendimento</t>
  </si>
  <si>
    <t>Tapume</t>
  </si>
  <si>
    <t>Perímetro de encontro com pavimentação</t>
  </si>
  <si>
    <t>Altura do tapume</t>
  </si>
  <si>
    <t xml:space="preserve">Fechamento removível de vãos em madeira </t>
  </si>
  <si>
    <t xml:space="preserve">Área das portas de elevadores </t>
  </si>
  <si>
    <t>Quantidade de portas de elevadores</t>
  </si>
  <si>
    <t>Guarda - corpo de vãos</t>
  </si>
  <si>
    <t xml:space="preserve">Perímetro de vãos por pavimento tipo </t>
  </si>
  <si>
    <t>Quantidade de pavimentos tipo</t>
  </si>
  <si>
    <t>Perímetro de projeção da torre</t>
  </si>
  <si>
    <t xml:space="preserve">SUÍTES DO MAR </t>
  </si>
  <si>
    <t xml:space="preserve">COSTÃO DO SANTINHO </t>
  </si>
  <si>
    <t>Cliente</t>
  </si>
  <si>
    <t>Data</t>
  </si>
  <si>
    <t>Versão</t>
  </si>
  <si>
    <t>GERENCIAMENTO TÉCNICO</t>
  </si>
  <si>
    <t>Código</t>
  </si>
  <si>
    <t>Un.</t>
  </si>
  <si>
    <t>Quantidade orçada</t>
  </si>
  <si>
    <t>Preço unitário</t>
  </si>
  <si>
    <t>Preço total</t>
  </si>
  <si>
    <t xml:space="preserve">01 </t>
  </si>
  <si>
    <t xml:space="preserve">01.001 </t>
  </si>
  <si>
    <t>ESTUDOS, PROJETOS E CONSULTORIAS</t>
  </si>
  <si>
    <t xml:space="preserve">01.001.001 </t>
  </si>
  <si>
    <t>Estudos</t>
  </si>
  <si>
    <t>vb</t>
  </si>
  <si>
    <t xml:space="preserve">01.001.002 </t>
  </si>
  <si>
    <t>Projetos</t>
  </si>
  <si>
    <t xml:space="preserve">01.001.003 </t>
  </si>
  <si>
    <t>Consultorias</t>
  </si>
  <si>
    <t xml:space="preserve">01.001.004 </t>
  </si>
  <si>
    <t>Ensaios e Laudos</t>
  </si>
  <si>
    <t xml:space="preserve">01.002 </t>
  </si>
  <si>
    <t>TAXAS E DOCUMENTOS</t>
  </si>
  <si>
    <t xml:space="preserve">01.002.001 </t>
  </si>
  <si>
    <t>Seguros</t>
  </si>
  <si>
    <t xml:space="preserve">01.002.002 </t>
  </si>
  <si>
    <t>Licenciamentos, Taxas, Impostos</t>
  </si>
  <si>
    <t xml:space="preserve">01.002.003 </t>
  </si>
  <si>
    <t>Documentos</t>
  </si>
  <si>
    <t xml:space="preserve">02 </t>
  </si>
  <si>
    <t>GERENCIAMENTO ADMINISTRATIVO</t>
  </si>
  <si>
    <t xml:space="preserve">02.001 </t>
  </si>
  <si>
    <t>SEGURANÇA, MEIO AMBIENTE E SAÚDE</t>
  </si>
  <si>
    <t xml:space="preserve">02.001.001 </t>
  </si>
  <si>
    <t>Segurança do Trabalho</t>
  </si>
  <si>
    <t xml:space="preserve">02.001.001.001 </t>
  </si>
  <si>
    <t>Serviço de segurança do trabalho terceirizado</t>
  </si>
  <si>
    <t>mes</t>
  </si>
  <si>
    <t xml:space="preserve">02.001.002 </t>
  </si>
  <si>
    <t>Equipamentos de proteção</t>
  </si>
  <si>
    <t xml:space="preserve">02.001.002.001 </t>
  </si>
  <si>
    <t xml:space="preserve">02.001.002.004 </t>
  </si>
  <si>
    <t>Guarda-corpo de vãos, fixado em forma de madeira, em trama de madeira com tela de polipropileno</t>
  </si>
  <si>
    <t xml:space="preserve">02.001.002.005 </t>
  </si>
  <si>
    <t>Guarda corpo em laje pós - desforma com escoras metálicas, travessão em madeira e fechamento em tela de polipropileno</t>
  </si>
  <si>
    <t xml:space="preserve">02.001.002.006 </t>
  </si>
  <si>
    <t>Fechamento removível de vãos de porta de elevador em madeira</t>
  </si>
  <si>
    <t xml:space="preserve">02.001.002.008 </t>
  </si>
  <si>
    <t>Varal de segurança com cabo de aço</t>
  </si>
  <si>
    <t xml:space="preserve">02.001.002.009 </t>
  </si>
  <si>
    <t>Sinalização com placa indicativa fixada na estrutura</t>
  </si>
  <si>
    <t xml:space="preserve">02.001.002.010 </t>
  </si>
  <si>
    <t>Tela fachadeira reforçada com impressão digital</t>
  </si>
  <si>
    <t xml:space="preserve">02.001.003 </t>
  </si>
  <si>
    <t>Meio Ambiente</t>
  </si>
  <si>
    <t xml:space="preserve">02.002 </t>
  </si>
  <si>
    <t>ADMINISTRAÇÃO E CANTEIRO DE OBRA</t>
  </si>
  <si>
    <t xml:space="preserve">02.002.001 </t>
  </si>
  <si>
    <t>Equipe de Gestão e Apoio</t>
  </si>
  <si>
    <t xml:space="preserve">02.002.001.001 </t>
  </si>
  <si>
    <t>Engenheiro civil</t>
  </si>
  <si>
    <t xml:space="preserve">02.002.001.002 </t>
  </si>
  <si>
    <t>Almoxarife</t>
  </si>
  <si>
    <t>Serviço de vigilância 24h</t>
  </si>
  <si>
    <t xml:space="preserve">02.002.002 </t>
  </si>
  <si>
    <t>Operação Inicial do Canteiro</t>
  </si>
  <si>
    <t xml:space="preserve">02.002.002.001 </t>
  </si>
  <si>
    <t>Limpeza mecanizada de camada vegetal</t>
  </si>
  <si>
    <t>Locação da obra</t>
  </si>
  <si>
    <t xml:space="preserve">02.002.003 </t>
  </si>
  <si>
    <t>Instalações Provisórias</t>
  </si>
  <si>
    <t xml:space="preserve">02.002.003.001 </t>
  </si>
  <si>
    <t xml:space="preserve">02.002.003.002 </t>
  </si>
  <si>
    <t xml:space="preserve">02.002.003.003 </t>
  </si>
  <si>
    <t xml:space="preserve">02.002.003.004 </t>
  </si>
  <si>
    <t xml:space="preserve">02.002.003.006 </t>
  </si>
  <si>
    <t>Mobiliário de apoio a obra</t>
  </si>
  <si>
    <t xml:space="preserve">02.002.003.007 </t>
  </si>
  <si>
    <t>Equipamentos escritório - aquisição</t>
  </si>
  <si>
    <t xml:space="preserve">02.002.003.008 </t>
  </si>
  <si>
    <t>Tapume com telha metálica</t>
  </si>
  <si>
    <t>Mão de obra para instalações provisórias de apoio ao canteiro de obras</t>
  </si>
  <si>
    <t xml:space="preserve">02.002.004 </t>
  </si>
  <si>
    <t>Despesas de Consumo e Manutenção</t>
  </si>
  <si>
    <t xml:space="preserve">02.003 </t>
  </si>
  <si>
    <t>EQUIPAMENTOS</t>
  </si>
  <si>
    <t xml:space="preserve">02.003.001 </t>
  </si>
  <si>
    <t>Equipamentos de Obra</t>
  </si>
  <si>
    <t xml:space="preserve">02.003.001.001 </t>
  </si>
  <si>
    <t>Ferramentas - aquisição/manutenção</t>
  </si>
  <si>
    <t xml:space="preserve">02.003.001.002 </t>
  </si>
  <si>
    <t>Galpão provisório externo</t>
  </si>
  <si>
    <t>Locação de banheiro químico</t>
  </si>
  <si>
    <t>02.002.003.009</t>
  </si>
  <si>
    <t>02.002.003.010</t>
  </si>
  <si>
    <t xml:space="preserve">Alambrado provisório de isolamento de área de preservação ambiental </t>
  </si>
  <si>
    <t>Total</t>
  </si>
  <si>
    <t>Pintura</t>
  </si>
  <si>
    <t>02.003.001.002</t>
  </si>
  <si>
    <t>02.003.001.001</t>
  </si>
  <si>
    <t>02.003.001</t>
  </si>
  <si>
    <t>Instalações Provisórias: Redes Elétrica, Comunicação e Dados</t>
  </si>
  <si>
    <t>Instalações Provisórias: Redes de Água Fria, Esgoto e Drenagem</t>
  </si>
  <si>
    <t>02.002.002.002</t>
  </si>
  <si>
    <t>02.002.001.007</t>
  </si>
  <si>
    <t>02.002.001.006</t>
  </si>
  <si>
    <t>02.002.001.004</t>
  </si>
  <si>
    <t>Mestre de obras</t>
  </si>
  <si>
    <t>02.002.001.003</t>
  </si>
  <si>
    <t>DADOS OBRA</t>
  </si>
  <si>
    <t>ARQUITETURA</t>
  </si>
  <si>
    <t>ÁREA DO TERRENO</t>
  </si>
  <si>
    <t>M2</t>
  </si>
  <si>
    <t>ÁREA CONSTRUÍDA</t>
  </si>
  <si>
    <t>NÚMERO DE UNIDADES HABITACIONAIS</t>
  </si>
  <si>
    <t>UN</t>
  </si>
  <si>
    <t>Guarda - corpo de desforma</t>
  </si>
  <si>
    <t>Proteção de periferia pós desforma</t>
  </si>
  <si>
    <t>Quantidade de elevadores</t>
  </si>
  <si>
    <t>MESES DE OBRA</t>
  </si>
  <si>
    <t>MÊS</t>
  </si>
  <si>
    <t>Estagiário</t>
  </si>
  <si>
    <t>NÚMERO DE PAVIMENTOS</t>
  </si>
  <si>
    <t>02.001.002.011</t>
  </si>
  <si>
    <t>Equipamentos de proteção individual</t>
  </si>
  <si>
    <t>Perímetro de encontro com área de preservação</t>
  </si>
  <si>
    <t>Locação de mini grua</t>
  </si>
  <si>
    <t>Manutenção preventiva de mini grua</t>
  </si>
  <si>
    <t>Montagem inicial de mini grua</t>
  </si>
  <si>
    <t>Desmontagem de mini grua</t>
  </si>
  <si>
    <t>Andaimes</t>
  </si>
  <si>
    <t>02.003.001.003</t>
  </si>
  <si>
    <t>Locação de andaime fachadeiro</t>
  </si>
  <si>
    <t xml:space="preserve">Mão de obra de montagem de andaime fachadeiro </t>
  </si>
  <si>
    <t>Plataformas de trabalho em madeira para andaime</t>
  </si>
  <si>
    <t>Assistente administrativo</t>
  </si>
  <si>
    <t>Equipamentos de apoio à obra</t>
  </si>
  <si>
    <t>Item</t>
  </si>
  <si>
    <t>Serviço</t>
  </si>
  <si>
    <t>Peso (%)</t>
  </si>
  <si>
    <t>Custo MO (R$)</t>
  </si>
  <si>
    <t>Instalação canteiro de obra</t>
  </si>
  <si>
    <t>Infraestrutura</t>
  </si>
  <si>
    <t>Supraestrutura</t>
  </si>
  <si>
    <t>Parede e paineis</t>
  </si>
  <si>
    <t>Esquadrias de madeiras</t>
  </si>
  <si>
    <t>Cobertura</t>
  </si>
  <si>
    <t>Impermeabilização e tratamento</t>
  </si>
  <si>
    <t>Revestimento de teto</t>
  </si>
  <si>
    <t>Revestimento interno</t>
  </si>
  <si>
    <t>Revestimento externo</t>
  </si>
  <si>
    <t>Pisos</t>
  </si>
  <si>
    <t>Instal. Hidro, louças, metais, gás, shp</t>
  </si>
  <si>
    <t>Instal elétrica, sist comb incêndio, outros</t>
  </si>
  <si>
    <t>Serviços complementares Entrega obra</t>
  </si>
  <si>
    <t>TOTAL</t>
  </si>
  <si>
    <t>ÍNDICE</t>
  </si>
  <si>
    <t>CUB REFERÊNCIA</t>
  </si>
  <si>
    <t>VALOR CUB</t>
  </si>
  <si>
    <t>ÁREA (m2)</t>
  </si>
  <si>
    <t>Aquisição de guincho de coluna</t>
  </si>
  <si>
    <t>COSTÃO DO SANTINHO</t>
  </si>
  <si>
    <t>ORÇAMENTO PARAMÉTRICO - CUSTOS INDIRETOS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</si>
</sst>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[$€]* #,##0.00_);_([$€]* \(#,##0.00\);_([$€]* &quot;-&quot;??_);_(@_)"/>
    <numFmt numFmtId="184" formatCode="&quot;R$&quot;#,##0.00"/>
  </numFmts>
  <fonts count="3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8"/>
      <name val="Times New Roman"/>
      <family val="1"/>
    </font>
    <font>
      <sz val="10"/>
      <name val="MS Sans Serif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Poppins"/>
    </font>
    <font>
      <b/>
      <sz val="14"/>
      <color theme="0"/>
      <name val="Poppins"/>
    </font>
    <font>
      <b/>
      <sz val="14"/>
      <color rgb="FF002060"/>
      <name val="Poppins"/>
    </font>
    <font>
      <b/>
      <sz val="10"/>
      <color rgb="FF121212"/>
      <name val="Poppins"/>
    </font>
    <font>
      <sz val="10"/>
      <color rgb="FF121212"/>
      <name val="Poppins"/>
    </font>
    <font>
      <sz val="11"/>
      <color rgb="FF121212"/>
      <name val="Poppins"/>
    </font>
    <font>
      <sz val="8"/>
      <color rgb="FF121212"/>
      <name val="Poppins"/>
    </font>
    <font>
      <b/>
      <sz val="8"/>
      <color theme="0"/>
      <name val="Poppins"/>
    </font>
    <font>
      <sz val="10"/>
      <color rgb="FF000000"/>
      <name val="Times New Roman"/>
      <family val="1"/>
    </font>
    <font>
      <b/>
      <sz val="8"/>
      <color rgb="FF002060"/>
      <name val="Poppins"/>
    </font>
    <font>
      <sz val="8"/>
      <color theme="1"/>
      <name val="Calibri"/>
      <family val="2"/>
      <scheme val="minor"/>
    </font>
    <font>
      <sz val="8"/>
      <color theme="1"/>
      <name val="Poppins"/>
    </font>
    <font>
      <b/>
      <sz val="14"/>
      <color rgb="FF121212"/>
      <name val="Poppins"/>
    </font>
    <font>
      <sz val="10"/>
      <name val="Roboto"/>
    </font>
    <font>
      <sz val="10"/>
      <color theme="1"/>
      <name val="Poppins"/>
    </font>
    <font>
      <b/>
      <sz val="10"/>
      <color theme="0"/>
      <name val="Poppins"/>
    </font>
    <font>
      <b/>
      <sz val="10"/>
      <color theme="1"/>
      <name val="Poppins"/>
    </font>
    <font>
      <sz val="10"/>
      <name val="Poppins"/>
    </font>
    <font>
      <b/>
      <sz val="10"/>
      <color rgb="FF010000"/>
      <name val="Poppins"/>
    </font>
    <font>
      <sz val="10"/>
      <color rgb="FF010000"/>
      <name val="Poppins"/>
    </font>
    <font>
      <sz val="11"/>
      <name val="Calibri"/>
      <family val="2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Poppins"/>
    </font>
    <font>
      <b/>
      <sz val="12"/>
      <color theme="0"/>
      <name val="Poppins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3400"/>
        <bgColor indexed="64"/>
      </patternFill>
    </fill>
    <fill>
      <patternFill patternType="solid">
        <fgColor rgb="FF255AE5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121212"/>
        <bgColor rgb="FFFFFFFF"/>
      </patternFill>
    </fill>
    <fill>
      <patternFill patternType="solid">
        <fgColor rgb="FFFE34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FBFBF"/>
        <bgColor indexed="64"/>
      </patternFill>
    </fill>
  </fills>
  <borders count="5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rgb="FF010000"/>
      </bottom>
      <diagonal/>
    </border>
    <border>
      <left style="thin">
        <color indexed="64"/>
      </left>
      <right style="thin">
        <color indexed="64"/>
      </right>
      <top/>
      <bottom style="hair">
        <color rgb="FF010000"/>
      </bottom>
      <diagonal/>
    </border>
    <border>
      <left style="thin">
        <color indexed="64"/>
      </left>
      <right style="medium">
        <color indexed="64"/>
      </right>
      <top/>
      <bottom style="hair">
        <color rgb="FF010000"/>
      </bottom>
      <diagonal/>
    </border>
    <border>
      <left style="medium">
        <color indexed="64"/>
      </left>
      <right style="thin">
        <color indexed="64"/>
      </right>
      <top style="hair">
        <color rgb="FF010000"/>
      </top>
      <bottom style="hair">
        <color rgb="FF010000"/>
      </bottom>
      <diagonal/>
    </border>
    <border>
      <left style="thin">
        <color indexed="64"/>
      </left>
      <right style="thin">
        <color indexed="64"/>
      </right>
      <top style="hair">
        <color rgb="FF010000"/>
      </top>
      <bottom style="hair">
        <color rgb="FF010000"/>
      </bottom>
      <diagonal/>
    </border>
    <border>
      <left style="thin">
        <color indexed="64"/>
      </left>
      <right style="medium">
        <color indexed="64"/>
      </right>
      <top style="hair">
        <color rgb="FF010000"/>
      </top>
      <bottom style="hair">
        <color rgb="FF010000"/>
      </bottom>
      <diagonal/>
    </border>
    <border>
      <left style="medium">
        <color indexed="64"/>
      </left>
      <right style="thin">
        <color indexed="64"/>
      </right>
      <top style="hair">
        <color rgb="FF01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01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rgb="FF01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2" fillId="0" borderId="0"/>
    <xf numFmtId="0" fontId="3" fillId="0" borderId="0" applyNumberFormat="0" applyFont="0" applyBorder="0" applyAlignment="0"/>
    <xf numFmtId="164" fontId="1" fillId="0" borderId="0" applyFont="0" applyFill="0" applyBorder="0" applyAlignment="0" applyProtection="0"/>
    <xf numFmtId="0" fontId="1" fillId="0" borderId="0"/>
    <xf numFmtId="0" fontId="4" fillId="0" borderId="1" applyNumberFormat="0" applyFont="0" applyBorder="0" applyAlignment="0"/>
    <xf numFmtId="38" fontId="5" fillId="0" borderId="0" applyFont="0" applyFill="0" applyBorder="0" applyAlignment="0" applyProtection="0"/>
    <xf numFmtId="0" fontId="6" fillId="0" borderId="0" applyNumberFormat="0">
      <alignment horizontal="left"/>
    </xf>
    <xf numFmtId="43" fontId="7" fillId="0" borderId="0" applyFont="0" applyFill="0" applyBorder="0" applyAlignment="0" applyProtection="0"/>
    <xf numFmtId="0" fontId="16" fillId="0" borderId="0"/>
    <xf numFmtId="0" fontId="1" fillId="0" borderId="0"/>
    <xf numFmtId="43" fontId="1" fillId="0" borderId="0" applyFont="0" applyFill="0" applyBorder="0" applyAlignment="0" applyProtection="0"/>
    <xf numFmtId="0" fontId="28" fillId="0" borderId="0"/>
    <xf numFmtId="0" fontId="29" fillId="0" borderId="0"/>
    <xf numFmtId="44" fontId="7" fillId="0" borderId="0" applyFont="0" applyFill="0" applyBorder="0" applyAlignment="0" applyProtection="0"/>
  </cellStyleXfs>
  <cellXfs count="172">
    <xf numFmtId="0" fontId="0" fillId="0" borderId="0" xfId="0"/>
    <xf numFmtId="0" fontId="10" fillId="2" borderId="7" xfId="0" applyFont="1" applyFill="1" applyBorder="1" applyAlignment="1">
      <alignment vertic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0" fontId="11" fillId="3" borderId="2" xfId="0" applyFont="1" applyFill="1" applyBorder="1" applyAlignment="1">
      <alignment vertical="center" wrapText="1"/>
    </xf>
    <xf numFmtId="0" fontId="11" fillId="3" borderId="4" xfId="0" applyFont="1" applyFill="1" applyBorder="1" applyAlignment="1">
      <alignment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2" fillId="2" borderId="5" xfId="0" applyFont="1" applyFill="1" applyBorder="1" applyAlignment="1">
      <alignment horizontal="left" vertical="center" wrapText="1"/>
    </xf>
    <xf numFmtId="0" fontId="13" fillId="2" borderId="7" xfId="0" applyFont="1" applyFill="1" applyBorder="1"/>
    <xf numFmtId="0" fontId="13" fillId="2" borderId="0" xfId="0" applyFont="1" applyFill="1" applyAlignment="1">
      <alignment horizontal="center"/>
    </xf>
    <xf numFmtId="0" fontId="12" fillId="2" borderId="7" xfId="0" applyFont="1" applyFill="1" applyBorder="1" applyAlignment="1">
      <alignment horizontal="left" vertical="center" wrapText="1"/>
    </xf>
    <xf numFmtId="0" fontId="14" fillId="2" borderId="8" xfId="0" applyFont="1" applyFill="1" applyBorder="1"/>
    <xf numFmtId="0" fontId="13" fillId="2" borderId="9" xfId="0" applyFont="1" applyFill="1" applyBorder="1" applyAlignment="1">
      <alignment horizontal="center"/>
    </xf>
    <xf numFmtId="0" fontId="8" fillId="2" borderId="13" xfId="0" applyFont="1" applyFill="1" applyBorder="1"/>
    <xf numFmtId="0" fontId="8" fillId="2" borderId="14" xfId="0" applyFont="1" applyFill="1" applyBorder="1"/>
    <xf numFmtId="0" fontId="8" fillId="2" borderId="16" xfId="0" applyFont="1" applyFill="1" applyBorder="1"/>
    <xf numFmtId="0" fontId="13" fillId="2" borderId="16" xfId="0" applyFont="1" applyFill="1" applyBorder="1"/>
    <xf numFmtId="0" fontId="13" fillId="2" borderId="17" xfId="0" applyFont="1" applyFill="1" applyBorder="1"/>
    <xf numFmtId="0" fontId="14" fillId="2" borderId="18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horizontal="center" vertical="center"/>
    </xf>
    <xf numFmtId="0" fontId="15" fillId="5" borderId="21" xfId="0" applyFont="1" applyFill="1" applyBorder="1" applyAlignment="1">
      <alignment horizontal="center" vertical="center" wrapText="1"/>
    </xf>
    <xf numFmtId="43" fontId="14" fillId="2" borderId="19" xfId="8" applyFont="1" applyFill="1" applyBorder="1" applyAlignment="1">
      <alignment vertical="center" wrapText="1"/>
    </xf>
    <xf numFmtId="0" fontId="12" fillId="2" borderId="10" xfId="0" applyFont="1" applyFill="1" applyBorder="1" applyAlignment="1">
      <alignment horizontal="center" vertical="center" wrapText="1"/>
    </xf>
    <xf numFmtId="43" fontId="12" fillId="2" borderId="10" xfId="8" applyFont="1" applyFill="1" applyBorder="1" applyAlignment="1">
      <alignment horizontal="left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43" fontId="12" fillId="2" borderId="6" xfId="8" applyFont="1" applyFill="1" applyBorder="1" applyAlignment="1">
      <alignment horizontal="left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43" fontId="10" fillId="2" borderId="0" xfId="8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center" vertical="center" wrapText="1"/>
    </xf>
    <xf numFmtId="43" fontId="12" fillId="2" borderId="0" xfId="8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center" vertical="center" wrapText="1"/>
    </xf>
    <xf numFmtId="43" fontId="13" fillId="2" borderId="9" xfId="8" applyFont="1" applyFill="1" applyBorder="1" applyAlignment="1">
      <alignment horizontal="center"/>
    </xf>
    <xf numFmtId="0" fontId="14" fillId="2" borderId="9" xfId="0" applyFont="1" applyFill="1" applyBorder="1" applyAlignment="1">
      <alignment horizontal="center"/>
    </xf>
    <xf numFmtId="0" fontId="14" fillId="2" borderId="7" xfId="0" applyFont="1" applyFill="1" applyBorder="1"/>
    <xf numFmtId="43" fontId="13" fillId="2" borderId="0" xfId="8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43" fontId="15" fillId="5" borderId="11" xfId="8" applyFont="1" applyFill="1" applyBorder="1" applyAlignment="1">
      <alignment horizontal="center" vertical="center" wrapText="1"/>
    </xf>
    <xf numFmtId="43" fontId="14" fillId="2" borderId="20" xfId="8" applyFont="1" applyFill="1" applyBorder="1" applyAlignment="1">
      <alignment horizontal="center" vertical="center" wrapText="1"/>
    </xf>
    <xf numFmtId="0" fontId="14" fillId="2" borderId="25" xfId="0" applyFont="1" applyFill="1" applyBorder="1" applyAlignment="1">
      <alignment vertical="center" wrapText="1"/>
    </xf>
    <xf numFmtId="43" fontId="14" fillId="2" borderId="26" xfId="8" applyFont="1" applyFill="1" applyBorder="1" applyAlignment="1">
      <alignment horizontal="center" vertical="center" wrapText="1"/>
    </xf>
    <xf numFmtId="43" fontId="14" fillId="2" borderId="27" xfId="8" applyFont="1" applyFill="1" applyBorder="1" applyAlignment="1">
      <alignment vertical="center" wrapText="1"/>
    </xf>
    <xf numFmtId="0" fontId="15" fillId="7" borderId="4" xfId="0" applyFont="1" applyFill="1" applyBorder="1" applyAlignment="1">
      <alignment vertical="center" wrapText="1"/>
    </xf>
    <xf numFmtId="43" fontId="15" fillId="7" borderId="12" xfId="8" applyFont="1" applyFill="1" applyBorder="1" applyAlignment="1">
      <alignment horizontal="center" vertical="center" wrapText="1"/>
    </xf>
    <xf numFmtId="43" fontId="15" fillId="7" borderId="15" xfId="8" applyFont="1" applyFill="1" applyBorder="1" applyAlignment="1">
      <alignment vertical="center" wrapText="1"/>
    </xf>
    <xf numFmtId="0" fontId="15" fillId="7" borderId="22" xfId="0" applyFont="1" applyFill="1" applyBorder="1" applyAlignment="1">
      <alignment vertical="center" wrapText="1"/>
    </xf>
    <xf numFmtId="43" fontId="15" fillId="7" borderId="23" xfId="8" applyFont="1" applyFill="1" applyBorder="1" applyAlignment="1">
      <alignment horizontal="center" vertical="center" wrapText="1"/>
    </xf>
    <xf numFmtId="43" fontId="15" fillId="7" borderId="24" xfId="8" applyFont="1" applyFill="1" applyBorder="1" applyAlignment="1">
      <alignment vertical="center" wrapText="1"/>
    </xf>
    <xf numFmtId="43" fontId="14" fillId="2" borderId="0" xfId="8" applyFont="1" applyFill="1" applyBorder="1" applyAlignment="1">
      <alignment horizontal="center"/>
    </xf>
    <xf numFmtId="0" fontId="14" fillId="2" borderId="16" xfId="0" applyFont="1" applyFill="1" applyBorder="1"/>
    <xf numFmtId="0" fontId="18" fillId="0" borderId="0" xfId="0" applyFont="1"/>
    <xf numFmtId="0" fontId="14" fillId="2" borderId="28" xfId="0" applyFont="1" applyFill="1" applyBorder="1" applyAlignment="1">
      <alignment vertical="center" wrapText="1"/>
    </xf>
    <xf numFmtId="43" fontId="14" fillId="2" borderId="29" xfId="8" applyFont="1" applyFill="1" applyBorder="1" applyAlignment="1">
      <alignment horizontal="center" vertical="center" wrapText="1"/>
    </xf>
    <xf numFmtId="43" fontId="14" fillId="2" borderId="30" xfId="8" applyFont="1" applyFill="1" applyBorder="1" applyAlignment="1">
      <alignment vertical="center" wrapText="1"/>
    </xf>
    <xf numFmtId="0" fontId="13" fillId="2" borderId="31" xfId="0" applyFont="1" applyFill="1" applyBorder="1"/>
    <xf numFmtId="0" fontId="13" fillId="2" borderId="32" xfId="0" applyFont="1" applyFill="1" applyBorder="1" applyAlignment="1">
      <alignment horizontal="center"/>
    </xf>
    <xf numFmtId="43" fontId="13" fillId="2" borderId="32" xfId="8" applyFont="1" applyFill="1" applyBorder="1" applyAlignment="1">
      <alignment horizontal="center"/>
    </xf>
    <xf numFmtId="0" fontId="14" fillId="2" borderId="32" xfId="0" applyFont="1" applyFill="1" applyBorder="1" applyAlignment="1">
      <alignment horizontal="center"/>
    </xf>
    <xf numFmtId="0" fontId="13" fillId="2" borderId="33" xfId="0" applyFont="1" applyFill="1" applyBorder="1"/>
    <xf numFmtId="43" fontId="8" fillId="0" borderId="0" xfId="8" applyFont="1" applyAlignment="1">
      <alignment horizontal="center"/>
    </xf>
    <xf numFmtId="0" fontId="19" fillId="0" borderId="0" xfId="0" applyFont="1" applyAlignment="1">
      <alignment horizontal="center"/>
    </xf>
    <xf numFmtId="0" fontId="21" fillId="0" borderId="0" xfId="10" applyFont="1" applyAlignment="1">
      <alignment vertical="center"/>
    </xf>
    <xf numFmtId="49" fontId="22" fillId="0" borderId="0" xfId="10" applyNumberFormat="1" applyFont="1" applyAlignment="1">
      <alignment vertical="center"/>
    </xf>
    <xf numFmtId="0" fontId="22" fillId="8" borderId="0" xfId="10" applyFont="1" applyFill="1" applyAlignment="1">
      <alignment vertical="center"/>
    </xf>
    <xf numFmtId="49" fontId="23" fillId="9" borderId="2" xfId="10" applyNumberFormat="1" applyFont="1" applyFill="1" applyBorder="1" applyAlignment="1">
      <alignment vertical="center"/>
    </xf>
    <xf numFmtId="49" fontId="23" fillId="9" borderId="4" xfId="10" applyNumberFormat="1" applyFont="1" applyFill="1" applyBorder="1" applyAlignment="1">
      <alignment vertical="center"/>
    </xf>
    <xf numFmtId="49" fontId="23" fillId="9" borderId="22" xfId="10" applyNumberFormat="1" applyFont="1" applyFill="1" applyBorder="1" applyAlignment="1">
      <alignment horizontal="left" vertical="center"/>
    </xf>
    <xf numFmtId="0" fontId="25" fillId="0" borderId="0" xfId="10" applyFont="1" applyAlignment="1">
      <alignment vertical="center"/>
    </xf>
    <xf numFmtId="0" fontId="23" fillId="6" borderId="37" xfId="10" applyFont="1" applyFill="1" applyBorder="1" applyAlignment="1">
      <alignment horizontal="center" vertical="center" wrapText="1"/>
    </xf>
    <xf numFmtId="0" fontId="21" fillId="0" borderId="0" xfId="10" applyFont="1" applyAlignment="1">
      <alignment horizontal="center" vertical="center"/>
    </xf>
    <xf numFmtId="0" fontId="26" fillId="11" borderId="38" xfId="10" applyFont="1" applyFill="1" applyBorder="1" applyAlignment="1">
      <alignment horizontal="left" vertical="center" wrapText="1"/>
    </xf>
    <xf numFmtId="0" fontId="26" fillId="11" borderId="39" xfId="10" applyFont="1" applyFill="1" applyBorder="1" applyAlignment="1">
      <alignment horizontal="left" vertical="center" wrapText="1"/>
    </xf>
    <xf numFmtId="3" fontId="26" fillId="12" borderId="41" xfId="10" applyNumberFormat="1" applyFont="1" applyFill="1" applyBorder="1" applyAlignment="1">
      <alignment horizontal="left" vertical="center" wrapText="1"/>
    </xf>
    <xf numFmtId="0" fontId="26" fillId="12" borderId="42" xfId="10" applyFont="1" applyFill="1" applyBorder="1" applyAlignment="1">
      <alignment horizontal="left" vertical="center" wrapText="1"/>
    </xf>
    <xf numFmtId="0" fontId="26" fillId="13" borderId="41" xfId="10" applyFont="1" applyFill="1" applyBorder="1" applyAlignment="1">
      <alignment horizontal="left" vertical="center" wrapText="1"/>
    </xf>
    <xf numFmtId="0" fontId="26" fillId="13" borderId="42" xfId="10" applyFont="1" applyFill="1" applyBorder="1" applyAlignment="1">
      <alignment horizontal="left" vertical="center" wrapText="1"/>
    </xf>
    <xf numFmtId="0" fontId="27" fillId="0" borderId="42" xfId="10" applyFont="1" applyBorder="1" applyAlignment="1">
      <alignment horizontal="left" vertical="center" wrapText="1"/>
    </xf>
    <xf numFmtId="49" fontId="26" fillId="13" borderId="41" xfId="10" applyNumberFormat="1" applyFont="1" applyFill="1" applyBorder="1" applyAlignment="1">
      <alignment horizontal="left" vertical="center" wrapText="1"/>
    </xf>
    <xf numFmtId="49" fontId="27" fillId="0" borderId="41" xfId="10" applyNumberFormat="1" applyFont="1" applyBorder="1" applyAlignment="1">
      <alignment horizontal="left" vertical="center" wrapText="1"/>
    </xf>
    <xf numFmtId="49" fontId="26" fillId="11" borderId="41" xfId="10" applyNumberFormat="1" applyFont="1" applyFill="1" applyBorder="1" applyAlignment="1">
      <alignment horizontal="left" vertical="center" wrapText="1"/>
    </xf>
    <xf numFmtId="0" fontId="26" fillId="11" borderId="42" xfId="10" applyFont="1" applyFill="1" applyBorder="1" applyAlignment="1">
      <alignment horizontal="left" vertical="center" wrapText="1"/>
    </xf>
    <xf numFmtId="49" fontId="26" fillId="12" borderId="41" xfId="10" applyNumberFormat="1" applyFont="1" applyFill="1" applyBorder="1" applyAlignment="1">
      <alignment horizontal="left" vertical="center" wrapText="1"/>
    </xf>
    <xf numFmtId="43" fontId="22" fillId="8" borderId="0" xfId="8" applyFont="1" applyFill="1" applyAlignment="1">
      <alignment vertical="center"/>
    </xf>
    <xf numFmtId="43" fontId="25" fillId="0" borderId="0" xfId="8" applyFont="1" applyAlignment="1">
      <alignment vertical="center"/>
    </xf>
    <xf numFmtId="43" fontId="23" fillId="6" borderId="37" xfId="8" applyFont="1" applyFill="1" applyBorder="1" applyAlignment="1">
      <alignment horizontal="center" vertical="center" wrapText="1"/>
    </xf>
    <xf numFmtId="43" fontId="26" fillId="11" borderId="39" xfId="8" applyFont="1" applyFill="1" applyBorder="1" applyAlignment="1">
      <alignment horizontal="right" vertical="center" wrapText="1"/>
    </xf>
    <xf numFmtId="43" fontId="26" fillId="12" borderId="42" xfId="8" applyFont="1" applyFill="1" applyBorder="1" applyAlignment="1">
      <alignment horizontal="right" vertical="center" wrapText="1"/>
    </xf>
    <xf numFmtId="43" fontId="26" fillId="13" borderId="42" xfId="8" applyFont="1" applyFill="1" applyBorder="1" applyAlignment="1">
      <alignment horizontal="right" vertical="center" wrapText="1"/>
    </xf>
    <xf numFmtId="43" fontId="26" fillId="11" borderId="42" xfId="8" applyFont="1" applyFill="1" applyBorder="1" applyAlignment="1">
      <alignment horizontal="right" vertical="center" wrapText="1"/>
    </xf>
    <xf numFmtId="43" fontId="27" fillId="0" borderId="42" xfId="8" applyFont="1" applyBorder="1" applyAlignment="1">
      <alignment horizontal="right" vertical="center" wrapText="1"/>
    </xf>
    <xf numFmtId="43" fontId="22" fillId="8" borderId="0" xfId="8" applyFont="1" applyFill="1" applyAlignment="1">
      <alignment horizontal="center" vertical="center"/>
    </xf>
    <xf numFmtId="43" fontId="23" fillId="6" borderId="37" xfId="8" applyFont="1" applyFill="1" applyBorder="1" applyAlignment="1" applyProtection="1">
      <alignment horizontal="center" vertical="center" wrapText="1"/>
    </xf>
    <xf numFmtId="43" fontId="26" fillId="11" borderId="39" xfId="8" applyFont="1" applyFill="1" applyBorder="1" applyAlignment="1" applyProtection="1">
      <alignment horizontal="right" vertical="center" wrapText="1"/>
    </xf>
    <xf numFmtId="43" fontId="26" fillId="11" borderId="40" xfId="8" applyFont="1" applyFill="1" applyBorder="1" applyAlignment="1" applyProtection="1">
      <alignment horizontal="right" vertical="center" wrapText="1"/>
    </xf>
    <xf numFmtId="43" fontId="26" fillId="12" borderId="42" xfId="8" applyFont="1" applyFill="1" applyBorder="1" applyAlignment="1" applyProtection="1">
      <alignment horizontal="right" vertical="center" wrapText="1"/>
    </xf>
    <xf numFmtId="43" fontId="26" fillId="12" borderId="43" xfId="8" applyFont="1" applyFill="1" applyBorder="1" applyAlignment="1" applyProtection="1">
      <alignment horizontal="right" vertical="center" wrapText="1"/>
    </xf>
    <xf numFmtId="43" fontId="26" fillId="13" borderId="42" xfId="8" applyFont="1" applyFill="1" applyBorder="1" applyAlignment="1" applyProtection="1">
      <alignment horizontal="right" vertical="center" wrapText="1"/>
    </xf>
    <xf numFmtId="43" fontId="26" fillId="13" borderId="43" xfId="8" applyFont="1" applyFill="1" applyBorder="1" applyAlignment="1" applyProtection="1">
      <alignment horizontal="right" vertical="center" wrapText="1"/>
    </xf>
    <xf numFmtId="43" fontId="26" fillId="11" borderId="42" xfId="8" applyFont="1" applyFill="1" applyBorder="1" applyAlignment="1" applyProtection="1">
      <alignment horizontal="right" vertical="center" wrapText="1"/>
    </xf>
    <xf numFmtId="43" fontId="26" fillId="11" borderId="43" xfId="8" applyFont="1" applyFill="1" applyBorder="1" applyAlignment="1" applyProtection="1">
      <alignment horizontal="right" vertical="center" wrapText="1"/>
    </xf>
    <xf numFmtId="43" fontId="27" fillId="0" borderId="42" xfId="8" applyFont="1" applyFill="1" applyBorder="1" applyAlignment="1" applyProtection="1">
      <alignment horizontal="right" vertical="center" wrapText="1"/>
    </xf>
    <xf numFmtId="43" fontId="27" fillId="0" borderId="43" xfId="8" applyFont="1" applyFill="1" applyBorder="1" applyAlignment="1" applyProtection="1">
      <alignment horizontal="right" vertical="center" wrapText="1"/>
    </xf>
    <xf numFmtId="43" fontId="26" fillId="14" borderId="46" xfId="8" applyFont="1" applyFill="1" applyBorder="1" applyAlignment="1" applyProtection="1">
      <alignment horizontal="right" vertical="center" wrapText="1"/>
    </xf>
    <xf numFmtId="0" fontId="15" fillId="5" borderId="47" xfId="0" applyFont="1" applyFill="1" applyBorder="1" applyAlignment="1">
      <alignment horizontal="center" vertical="center"/>
    </xf>
    <xf numFmtId="0" fontId="15" fillId="5" borderId="48" xfId="0" applyFont="1" applyFill="1" applyBorder="1" applyAlignment="1">
      <alignment horizontal="center" vertical="center" wrapText="1"/>
    </xf>
    <xf numFmtId="43" fontId="15" fillId="5" borderId="49" xfId="8" applyFont="1" applyFill="1" applyBorder="1" applyAlignment="1">
      <alignment horizontal="center" vertical="center" wrapText="1"/>
    </xf>
    <xf numFmtId="0" fontId="15" fillId="7" borderId="28" xfId="0" applyFont="1" applyFill="1" applyBorder="1" applyAlignment="1">
      <alignment vertical="center" wrapText="1"/>
    </xf>
    <xf numFmtId="43" fontId="15" fillId="7" borderId="29" xfId="8" applyFont="1" applyFill="1" applyBorder="1" applyAlignment="1">
      <alignment horizontal="center" vertical="center" wrapText="1"/>
    </xf>
    <xf numFmtId="43" fontId="15" fillId="7" borderId="30" xfId="8" applyFont="1" applyFill="1" applyBorder="1" applyAlignment="1">
      <alignment vertical="center" wrapText="1"/>
    </xf>
    <xf numFmtId="0" fontId="13" fillId="2" borderId="0" xfId="0" applyFont="1" applyFill="1" applyBorder="1" applyAlignment="1">
      <alignment horizontal="center"/>
    </xf>
    <xf numFmtId="0" fontId="14" fillId="2" borderId="0" xfId="0" applyFont="1" applyFill="1" applyBorder="1" applyAlignment="1">
      <alignment horizontal="center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43" fontId="8" fillId="2" borderId="0" xfId="8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14" fillId="2" borderId="50" xfId="0" applyFont="1" applyFill="1" applyBorder="1" applyAlignment="1">
      <alignment vertical="center" wrapText="1"/>
    </xf>
    <xf numFmtId="43" fontId="14" fillId="2" borderId="51" xfId="8" applyFont="1" applyFill="1" applyBorder="1" applyAlignment="1">
      <alignment horizontal="center" vertical="center" wrapText="1"/>
    </xf>
    <xf numFmtId="43" fontId="14" fillId="2" borderId="52" xfId="8" applyFont="1" applyFill="1" applyBorder="1" applyAlignment="1">
      <alignment vertical="center" wrapText="1"/>
    </xf>
    <xf numFmtId="43" fontId="27" fillId="0" borderId="42" xfId="8" applyFont="1" applyFill="1" applyBorder="1" applyAlignment="1">
      <alignment horizontal="right" vertical="center" wrapText="1"/>
    </xf>
    <xf numFmtId="0" fontId="31" fillId="0" borderId="0" xfId="0" applyFont="1"/>
    <xf numFmtId="0" fontId="31" fillId="0" borderId="0" xfId="0" applyFont="1" applyAlignment="1">
      <alignment horizontal="center"/>
    </xf>
    <xf numFmtId="10" fontId="31" fillId="0" borderId="0" xfId="0" applyNumberFormat="1" applyFont="1"/>
    <xf numFmtId="4" fontId="31" fillId="0" borderId="0" xfId="0" applyNumberFormat="1" applyFont="1"/>
    <xf numFmtId="44" fontId="31" fillId="0" borderId="0" xfId="14" applyFont="1"/>
    <xf numFmtId="43" fontId="31" fillId="0" borderId="0" xfId="8" applyFont="1"/>
    <xf numFmtId="0" fontId="32" fillId="0" borderId="12" xfId="0" applyFont="1" applyBorder="1"/>
    <xf numFmtId="10" fontId="32" fillId="0" borderId="12" xfId="0" applyNumberFormat="1" applyFont="1" applyBorder="1"/>
    <xf numFmtId="10" fontId="32" fillId="0" borderId="0" xfId="0" applyNumberFormat="1" applyFont="1"/>
    <xf numFmtId="4" fontId="32" fillId="0" borderId="0" xfId="0" applyNumberFormat="1" applyFont="1"/>
    <xf numFmtId="17" fontId="32" fillId="0" borderId="12" xfId="0" applyNumberFormat="1" applyFont="1" applyBorder="1"/>
    <xf numFmtId="184" fontId="32" fillId="0" borderId="12" xfId="0" applyNumberFormat="1" applyFont="1" applyBorder="1" applyAlignment="1">
      <alignment horizontal="right"/>
    </xf>
    <xf numFmtId="4" fontId="32" fillId="0" borderId="12" xfId="0" applyNumberFormat="1" applyFont="1" applyBorder="1"/>
    <xf numFmtId="44" fontId="32" fillId="0" borderId="0" xfId="14" applyFont="1"/>
    <xf numFmtId="0" fontId="32" fillId="0" borderId="0" xfId="0" applyFont="1"/>
    <xf numFmtId="0" fontId="33" fillId="6" borderId="12" xfId="0" applyFont="1" applyFill="1" applyBorder="1"/>
    <xf numFmtId="0" fontId="33" fillId="6" borderId="12" xfId="0" applyFont="1" applyFill="1" applyBorder="1" applyAlignment="1">
      <alignment horizontal="center"/>
    </xf>
    <xf numFmtId="10" fontId="33" fillId="6" borderId="12" xfId="0" applyNumberFormat="1" applyFont="1" applyFill="1" applyBorder="1" applyAlignment="1">
      <alignment horizontal="center"/>
    </xf>
    <xf numFmtId="4" fontId="33" fillId="6" borderId="12" xfId="0" applyNumberFormat="1" applyFont="1" applyFill="1" applyBorder="1" applyAlignment="1">
      <alignment horizontal="center"/>
    </xf>
    <xf numFmtId="0" fontId="33" fillId="5" borderId="5" xfId="0" applyFont="1" applyFill="1" applyBorder="1" applyAlignment="1"/>
    <xf numFmtId="0" fontId="33" fillId="5" borderId="53" xfId="0" applyFont="1" applyFill="1" applyBorder="1" applyAlignment="1"/>
    <xf numFmtId="10" fontId="33" fillId="5" borderId="12" xfId="0" applyNumberFormat="1" applyFont="1" applyFill="1" applyBorder="1"/>
    <xf numFmtId="4" fontId="33" fillId="5" borderId="12" xfId="0" applyNumberFormat="1" applyFont="1" applyFill="1" applyBorder="1"/>
    <xf numFmtId="49" fontId="27" fillId="0" borderId="41" xfId="10" applyNumberFormat="1" applyFont="1" applyFill="1" applyBorder="1" applyAlignment="1">
      <alignment horizontal="left" vertical="center" wrapText="1"/>
    </xf>
    <xf numFmtId="0" fontId="27" fillId="0" borderId="42" xfId="1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left" vertical="center" wrapText="1"/>
    </xf>
    <xf numFmtId="0" fontId="23" fillId="10" borderId="34" xfId="10" applyFont="1" applyFill="1" applyBorder="1" applyAlignment="1">
      <alignment horizontal="center" vertical="center" wrapText="1"/>
    </xf>
    <xf numFmtId="0" fontId="23" fillId="10" borderId="35" xfId="10" applyFont="1" applyFill="1" applyBorder="1" applyAlignment="1">
      <alignment horizontal="center" vertical="center" wrapText="1"/>
    </xf>
    <xf numFmtId="43" fontId="23" fillId="10" borderId="35" xfId="11" applyFont="1" applyFill="1" applyBorder="1" applyAlignment="1">
      <alignment horizontal="center" vertical="center" wrapText="1"/>
    </xf>
    <xf numFmtId="43" fontId="23" fillId="10" borderId="36" xfId="11" applyFont="1" applyFill="1" applyBorder="1" applyAlignment="1">
      <alignment horizontal="center" vertical="center" wrapText="1"/>
    </xf>
    <xf numFmtId="0" fontId="26" fillId="14" borderId="44" xfId="10" applyFont="1" applyFill="1" applyBorder="1" applyAlignment="1">
      <alignment horizontal="right" vertical="center" wrapText="1"/>
    </xf>
    <xf numFmtId="0" fontId="26" fillId="14" borderId="45" xfId="10" applyFont="1" applyFill="1" applyBorder="1" applyAlignment="1">
      <alignment horizontal="right" vertical="center" wrapText="1"/>
    </xf>
    <xf numFmtId="0" fontId="20" fillId="0" borderId="12" xfId="10" applyFont="1" applyBorder="1" applyAlignment="1">
      <alignment horizontal="left" vertical="center" wrapText="1"/>
    </xf>
    <xf numFmtId="43" fontId="20" fillId="0" borderId="12" xfId="11" applyFont="1" applyBorder="1" applyAlignment="1">
      <alignment horizontal="left" vertical="center" wrapText="1"/>
    </xf>
    <xf numFmtId="0" fontId="24" fillId="0" borderId="21" xfId="10" applyFont="1" applyBorder="1" applyAlignment="1">
      <alignment horizontal="left" vertical="center"/>
    </xf>
    <xf numFmtId="43" fontId="24" fillId="0" borderId="21" xfId="11" applyFont="1" applyFill="1" applyBorder="1" applyAlignment="1">
      <alignment horizontal="left" vertical="center"/>
    </xf>
    <xf numFmtId="43" fontId="24" fillId="0" borderId="11" xfId="11" applyFont="1" applyFill="1" applyBorder="1" applyAlignment="1">
      <alignment horizontal="left" vertical="center"/>
    </xf>
    <xf numFmtId="0" fontId="24" fillId="0" borderId="12" xfId="10" applyFont="1" applyBorder="1" applyAlignment="1">
      <alignment horizontal="left" vertical="center"/>
    </xf>
    <xf numFmtId="43" fontId="24" fillId="0" borderId="12" xfId="11" applyFont="1" applyFill="1" applyBorder="1" applyAlignment="1">
      <alignment horizontal="left" vertical="center"/>
    </xf>
    <xf numFmtId="43" fontId="24" fillId="0" borderId="15" xfId="11" applyFont="1" applyFill="1" applyBorder="1" applyAlignment="1">
      <alignment horizontal="left" vertical="center"/>
    </xf>
    <xf numFmtId="14" fontId="24" fillId="0" borderId="12" xfId="10" applyNumberFormat="1" applyFont="1" applyBorder="1" applyAlignment="1">
      <alignment horizontal="left" vertical="center"/>
    </xf>
    <xf numFmtId="0" fontId="24" fillId="0" borderId="23" xfId="10" applyFont="1" applyBorder="1" applyAlignment="1">
      <alignment horizontal="left" vertical="center"/>
    </xf>
    <xf numFmtId="43" fontId="24" fillId="0" borderId="23" xfId="11" applyFont="1" applyFill="1" applyBorder="1" applyAlignment="1">
      <alignment horizontal="left" vertical="center"/>
    </xf>
    <xf numFmtId="43" fontId="24" fillId="0" borderId="24" xfId="11" applyFont="1" applyFill="1" applyBorder="1" applyAlignment="1">
      <alignment horizontal="left" vertical="center"/>
    </xf>
  </cellXfs>
  <cellStyles count="15">
    <cellStyle name="ARIAL" xfId="2" xr:uid="{00000000-0005-0000-0000-000000000000}"/>
    <cellStyle name="Euro" xfId="3" xr:uid="{00000000-0005-0000-0000-000001000000}"/>
    <cellStyle name="M S SANS SERIF" xfId="4" xr:uid="{00000000-0005-0000-0000-000002000000}"/>
    <cellStyle name="Moeda" xfId="14" builtinId="4"/>
    <cellStyle name="Normal" xfId="0" builtinId="0"/>
    <cellStyle name="Normal 2" xfId="1" xr:uid="{00000000-0005-0000-0000-000004000000}"/>
    <cellStyle name="Normal 3" xfId="9" xr:uid="{418E42FA-8FE6-4E8D-97EB-FB5BAD7DB7D7}"/>
    <cellStyle name="Normal 4" xfId="10" xr:uid="{2AA794C8-B3F6-4D36-B23B-CC7C43AC0C92}"/>
    <cellStyle name="Normal 5" xfId="12" xr:uid="{95F3B438-76CC-4540-AB7F-D143777EBA6A}"/>
    <cellStyle name="Normal 6" xfId="13" xr:uid="{45F95BFD-FC4E-417C-A008-D65E3BB85BDE}"/>
    <cellStyle name="planilhas" xfId="5" xr:uid="{00000000-0005-0000-0000-000005000000}"/>
    <cellStyle name="Sep. milhar [0]" xfId="6" xr:uid="{00000000-0005-0000-0000-000006000000}"/>
    <cellStyle name="times" xfId="7" xr:uid="{00000000-0005-0000-0000-000007000000}"/>
    <cellStyle name="Vírgula" xfId="8" builtinId="3"/>
    <cellStyle name="Vírgula 2" xfId="11" xr:uid="{4C725431-8EC7-4745-AE1B-CCA7D2AEBB49}"/>
  </cellStyles>
  <dxfs count="0"/>
  <tableStyles count="0" defaultTableStyle="TableStyleMedium9" defaultPivotStyle="PivotStyleLight16"/>
  <colors>
    <mruColors>
      <color rgb="FF255AE5"/>
      <color rgb="FF121212"/>
      <color rgb="FF3F3F3F"/>
      <color rgb="FF4977E9"/>
      <color rgb="FFFC3400"/>
      <color rgb="FFFFFFDD"/>
      <color rgb="FFFFFFCC"/>
      <color rgb="FFFFFF99"/>
      <color rgb="FF15FFC2"/>
      <color rgb="FF97FF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93785</xdr:colOff>
      <xdr:row>1</xdr:row>
      <xdr:rowOff>92141</xdr:rowOff>
    </xdr:from>
    <xdr:to>
      <xdr:col>5</xdr:col>
      <xdr:colOff>1525467</xdr:colOff>
      <xdr:row>2</xdr:row>
      <xdr:rowOff>93876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A2F0A99-8F87-4912-8013-D6C4A4824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7265" y="320741"/>
          <a:ext cx="1431682" cy="2303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93785</xdr:colOff>
      <xdr:row>1</xdr:row>
      <xdr:rowOff>92141</xdr:rowOff>
    </xdr:from>
    <xdr:to>
      <xdr:col>5</xdr:col>
      <xdr:colOff>1525467</xdr:colOff>
      <xdr:row>2</xdr:row>
      <xdr:rowOff>93876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07CF434-8380-45FF-988C-ED7C0A323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2965" y="320741"/>
          <a:ext cx="1431682" cy="2303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921455</xdr:colOff>
      <xdr:row>0</xdr:row>
      <xdr:rowOff>124336</xdr:rowOff>
    </xdr:from>
    <xdr:to>
      <xdr:col>5</xdr:col>
      <xdr:colOff>794181</xdr:colOff>
      <xdr:row>3</xdr:row>
      <xdr:rowOff>99150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1B90348-31D9-4E9B-BEF8-BA8C94866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6151" y="124336"/>
          <a:ext cx="2271369" cy="4518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UISA ROMANIELLO" id="{40B61F7B-3294-49C0-B04A-712F9EEFD7A2}" userId="LUISA ROMANIELLO" providerId="Non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3" dT="2023-02-13T19:18:15.39" personId="{40B61F7B-3294-49C0-B04A-712F9EEFD7A2}" id="{7588690E-AD13-44E1-AFA5-1EE3D89C3035}">
    <text>7 - a partir do subsolo 
3 - a partir do térreo 
4 - a partir do mezanino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10A6E-3ED8-4864-BF51-00EC513518F9}">
  <sheetPr>
    <pageSetUpPr fitToPage="1"/>
  </sheetPr>
  <dimension ref="A1:F14"/>
  <sheetViews>
    <sheetView view="pageBreakPreview" zoomScaleNormal="115" zoomScaleSheetLayoutView="100" workbookViewId="0">
      <selection activeCell="D13" sqref="D13"/>
    </sheetView>
  </sheetViews>
  <sheetFormatPr defaultRowHeight="14.4" x14ac:dyDescent="0.3"/>
  <cols>
    <col min="1" max="1" width="10.77734375" style="2" customWidth="1"/>
    <col min="2" max="2" width="83.6640625" style="3" customWidth="1"/>
    <col min="3" max="3" width="11.33203125" style="3" customWidth="1"/>
    <col min="4" max="4" width="11.33203125" style="62" customWidth="1"/>
    <col min="5" max="5" width="11.109375" style="63" customWidth="1"/>
    <col min="6" max="6" width="24" style="2" customWidth="1"/>
    <col min="7" max="8" width="9.33203125" bestFit="1" customWidth="1"/>
  </cols>
  <sheetData>
    <row r="1" spans="1:6" ht="18" customHeight="1" x14ac:dyDescent="0.3">
      <c r="A1" s="4" t="s">
        <v>0</v>
      </c>
      <c r="B1" s="6" t="s">
        <v>31</v>
      </c>
      <c r="C1" s="22"/>
      <c r="D1" s="23"/>
      <c r="E1" s="24"/>
      <c r="F1" s="13"/>
    </row>
    <row r="2" spans="1:6" ht="18" customHeight="1" x14ac:dyDescent="0.3">
      <c r="A2" s="5" t="s">
        <v>1</v>
      </c>
      <c r="B2" s="7" t="s">
        <v>32</v>
      </c>
      <c r="C2" s="25"/>
      <c r="D2" s="26"/>
      <c r="E2" s="27"/>
      <c r="F2" s="14"/>
    </row>
    <row r="3" spans="1:6" ht="18" customHeight="1" x14ac:dyDescent="0.3">
      <c r="A3" s="5" t="s">
        <v>2</v>
      </c>
      <c r="B3" s="7" t="s">
        <v>3</v>
      </c>
      <c r="C3" s="25"/>
      <c r="D3" s="26"/>
      <c r="E3" s="27"/>
      <c r="F3" s="14"/>
    </row>
    <row r="4" spans="1:6" ht="25.2" customHeight="1" x14ac:dyDescent="0.3">
      <c r="A4" s="147" t="s">
        <v>142</v>
      </c>
      <c r="B4" s="148"/>
      <c r="C4" s="148"/>
      <c r="D4" s="148"/>
      <c r="E4" s="148"/>
      <c r="F4" s="149"/>
    </row>
    <row r="5" spans="1:6" ht="14.4" customHeight="1" x14ac:dyDescent="0.3">
      <c r="A5" s="1"/>
      <c r="B5" s="28"/>
      <c r="C5" s="28"/>
      <c r="D5" s="29"/>
      <c r="E5" s="30"/>
      <c r="F5" s="15"/>
    </row>
    <row r="6" spans="1:6" ht="16.95" customHeight="1" x14ac:dyDescent="0.3">
      <c r="A6" s="150" t="s">
        <v>143</v>
      </c>
      <c r="B6" s="151"/>
      <c r="C6" s="151"/>
      <c r="D6" s="151"/>
      <c r="E6" s="151"/>
      <c r="F6" s="152"/>
    </row>
    <row r="7" spans="1:6" ht="14.4" customHeight="1" thickBot="1" x14ac:dyDescent="0.35">
      <c r="A7" s="10"/>
      <c r="B7" s="31"/>
      <c r="C7" s="32"/>
      <c r="D7" s="33"/>
      <c r="E7" s="34"/>
      <c r="F7" s="16"/>
    </row>
    <row r="8" spans="1:6" x14ac:dyDescent="0.3">
      <c r="A8" s="37"/>
      <c r="B8" s="19" t="s">
        <v>5</v>
      </c>
      <c r="C8" s="20" t="s">
        <v>8</v>
      </c>
      <c r="D8" s="40" t="s">
        <v>9</v>
      </c>
      <c r="E8" s="39"/>
      <c r="F8" s="16"/>
    </row>
    <row r="9" spans="1:6" x14ac:dyDescent="0.3">
      <c r="A9" s="37"/>
      <c r="B9" s="18" t="s">
        <v>144</v>
      </c>
      <c r="C9" s="41" t="s">
        <v>145</v>
      </c>
      <c r="D9" s="21">
        <v>26752.720000000001</v>
      </c>
      <c r="E9" s="39"/>
      <c r="F9" s="16"/>
    </row>
    <row r="10" spans="1:6" x14ac:dyDescent="0.3">
      <c r="A10" s="37"/>
      <c r="B10" s="42" t="s">
        <v>146</v>
      </c>
      <c r="C10" s="43" t="s">
        <v>145</v>
      </c>
      <c r="D10" s="44">
        <v>38429.49</v>
      </c>
      <c r="E10" s="39"/>
      <c r="F10" s="16"/>
    </row>
    <row r="11" spans="1:6" x14ac:dyDescent="0.3">
      <c r="A11" s="37"/>
      <c r="B11" s="42" t="s">
        <v>147</v>
      </c>
      <c r="C11" s="43" t="s">
        <v>148</v>
      </c>
      <c r="D11" s="44">
        <v>351</v>
      </c>
      <c r="E11" s="39"/>
      <c r="F11" s="16"/>
    </row>
    <row r="12" spans="1:6" x14ac:dyDescent="0.3">
      <c r="A12" s="37"/>
      <c r="B12" s="42" t="s">
        <v>152</v>
      </c>
      <c r="C12" s="43" t="s">
        <v>153</v>
      </c>
      <c r="D12" s="44">
        <v>63</v>
      </c>
      <c r="E12" s="39"/>
      <c r="F12" s="16"/>
    </row>
    <row r="13" spans="1:6" ht="15" thickBot="1" x14ac:dyDescent="0.35">
      <c r="A13" s="37"/>
      <c r="B13" s="118" t="s">
        <v>155</v>
      </c>
      <c r="C13" s="119" t="s">
        <v>148</v>
      </c>
      <c r="D13" s="120">
        <v>7</v>
      </c>
      <c r="E13" s="39"/>
      <c r="F13" s="16"/>
    </row>
    <row r="14" spans="1:6" ht="15" thickBot="1" x14ac:dyDescent="0.35">
      <c r="A14" s="57"/>
      <c r="B14" s="58"/>
      <c r="C14" s="58"/>
      <c r="D14" s="59"/>
      <c r="E14" s="60"/>
      <c r="F14" s="61"/>
    </row>
  </sheetData>
  <mergeCells count="2">
    <mergeCell ref="A4:F4"/>
    <mergeCell ref="A6:F6"/>
  </mergeCells>
  <pageMargins left="0.51181102362204722" right="0.51181102362204722" top="0.78740157480314965" bottom="0.78740157480314965" header="0.31496062992125984" footer="0.31496062992125984"/>
  <pageSetup paperSize="9" scale="6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E74CF-5202-4AF3-AD8C-614C24AB4DFD}">
  <dimension ref="A1:G32"/>
  <sheetViews>
    <sheetView zoomScaleNormal="100" workbookViewId="0">
      <selection activeCell="B15" sqref="B15"/>
    </sheetView>
  </sheetViews>
  <sheetFormatPr defaultColWidth="9.109375" defaultRowHeight="15" x14ac:dyDescent="0.25"/>
  <cols>
    <col min="1" max="1" width="22.6640625" style="122" customWidth="1"/>
    <col min="2" max="2" width="47.44140625" style="122" bestFit="1" customWidth="1"/>
    <col min="3" max="3" width="12.33203125" style="124" customWidth="1"/>
    <col min="4" max="4" width="21.33203125" style="125" bestFit="1" customWidth="1"/>
    <col min="5" max="5" width="21.33203125" style="122" bestFit="1" customWidth="1"/>
    <col min="6" max="6" width="9.109375" style="122"/>
    <col min="7" max="7" width="15.5546875" style="122" bestFit="1" customWidth="1"/>
    <col min="8" max="16384" width="9.109375" style="122"/>
  </cols>
  <sheetData>
    <row r="1" spans="1:5" x14ac:dyDescent="0.25">
      <c r="A1" s="4" t="s">
        <v>0</v>
      </c>
      <c r="B1" s="153" t="s">
        <v>31</v>
      </c>
      <c r="C1" s="153"/>
      <c r="D1" s="153"/>
    </row>
    <row r="2" spans="1:5" ht="19.8" customHeight="1" x14ac:dyDescent="0.25">
      <c r="A2" s="5" t="s">
        <v>1</v>
      </c>
      <c r="B2" s="153" t="s">
        <v>32</v>
      </c>
      <c r="C2" s="153"/>
      <c r="D2" s="153"/>
    </row>
    <row r="3" spans="1:5" x14ac:dyDescent="0.25">
      <c r="A3" s="5" t="s">
        <v>2</v>
      </c>
      <c r="B3" s="153" t="s">
        <v>3</v>
      </c>
      <c r="C3" s="153"/>
      <c r="D3" s="153"/>
    </row>
    <row r="4" spans="1:5" ht="12" customHeight="1" x14ac:dyDescent="0.25">
      <c r="A4" s="123"/>
      <c r="B4" s="123"/>
      <c r="C4" s="123"/>
      <c r="D4" s="123"/>
    </row>
    <row r="5" spans="1:5" ht="15.6" x14ac:dyDescent="0.3">
      <c r="A5" s="137" t="s">
        <v>189</v>
      </c>
      <c r="B5" s="129">
        <v>0.38</v>
      </c>
      <c r="C5" s="130"/>
      <c r="D5" s="131"/>
    </row>
    <row r="6" spans="1:5" ht="15.6" x14ac:dyDescent="0.3">
      <c r="A6" s="137" t="s">
        <v>190</v>
      </c>
      <c r="B6" s="132">
        <v>45261</v>
      </c>
      <c r="C6" s="130"/>
      <c r="D6" s="131"/>
    </row>
    <row r="7" spans="1:5" ht="15.6" x14ac:dyDescent="0.3">
      <c r="A7" s="137" t="s">
        <v>191</v>
      </c>
      <c r="B7" s="133">
        <v>2662.47</v>
      </c>
      <c r="C7" s="130"/>
      <c r="D7" s="131"/>
    </row>
    <row r="8" spans="1:5" ht="15.6" x14ac:dyDescent="0.3">
      <c r="A8" s="137" t="s">
        <v>192</v>
      </c>
      <c r="B8" s="134">
        <f>SUÍTES_MAR!D10</f>
        <v>38429.49</v>
      </c>
      <c r="C8" s="130"/>
      <c r="D8" s="135"/>
      <c r="E8" s="126"/>
    </row>
    <row r="9" spans="1:5" x14ac:dyDescent="0.25">
      <c r="A9" s="136"/>
      <c r="B9" s="136"/>
      <c r="C9" s="130"/>
      <c r="D9" s="131"/>
    </row>
    <row r="10" spans="1:5" ht="15.6" x14ac:dyDescent="0.3">
      <c r="A10" s="138" t="s">
        <v>170</v>
      </c>
      <c r="B10" s="138" t="s">
        <v>171</v>
      </c>
      <c r="C10" s="139" t="s">
        <v>172</v>
      </c>
      <c r="D10" s="140" t="s">
        <v>173</v>
      </c>
    </row>
    <row r="11" spans="1:5" x14ac:dyDescent="0.25">
      <c r="A11" s="128">
        <v>1</v>
      </c>
      <c r="B11" s="128" t="s">
        <v>174</v>
      </c>
      <c r="C11" s="129">
        <v>0.01</v>
      </c>
      <c r="D11" s="134">
        <f t="shared" ref="D11:D25" si="0">$B$8*$B$7*$B$5*C11</f>
        <v>388805.98411313997</v>
      </c>
    </row>
    <row r="12" spans="1:5" x14ac:dyDescent="0.25">
      <c r="A12" s="128">
        <v>2</v>
      </c>
      <c r="B12" s="128" t="s">
        <v>175</v>
      </c>
      <c r="C12" s="129">
        <v>0.04</v>
      </c>
      <c r="D12" s="134">
        <f t="shared" si="0"/>
        <v>1555223.9364525599</v>
      </c>
    </row>
    <row r="13" spans="1:5" x14ac:dyDescent="0.25">
      <c r="A13" s="128">
        <v>3</v>
      </c>
      <c r="B13" s="128" t="s">
        <v>176</v>
      </c>
      <c r="C13" s="129">
        <v>0.25</v>
      </c>
      <c r="D13" s="134">
        <f t="shared" si="0"/>
        <v>9720149.6028284989</v>
      </c>
    </row>
    <row r="14" spans="1:5" x14ac:dyDescent="0.25">
      <c r="A14" s="128">
        <v>4</v>
      </c>
      <c r="B14" s="128" t="s">
        <v>177</v>
      </c>
      <c r="C14" s="129">
        <v>0.05</v>
      </c>
      <c r="D14" s="134">
        <f t="shared" si="0"/>
        <v>1944029.9205656999</v>
      </c>
    </row>
    <row r="15" spans="1:5" x14ac:dyDescent="0.25">
      <c r="A15" s="128">
        <v>5</v>
      </c>
      <c r="B15" s="128" t="s">
        <v>178</v>
      </c>
      <c r="C15" s="129">
        <v>0.02</v>
      </c>
      <c r="D15" s="134">
        <f t="shared" si="0"/>
        <v>777611.96822627995</v>
      </c>
    </row>
    <row r="16" spans="1:5" x14ac:dyDescent="0.25">
      <c r="A16" s="128">
        <v>6</v>
      </c>
      <c r="B16" s="128" t="s">
        <v>179</v>
      </c>
      <c r="C16" s="129">
        <v>0.03</v>
      </c>
      <c r="D16" s="134">
        <f t="shared" si="0"/>
        <v>1166417.9523394199</v>
      </c>
    </row>
    <row r="17" spans="1:7" x14ac:dyDescent="0.25">
      <c r="A17" s="128">
        <v>7</v>
      </c>
      <c r="B17" s="128" t="s">
        <v>180</v>
      </c>
      <c r="C17" s="129">
        <v>7.4999999999999997E-3</v>
      </c>
      <c r="D17" s="134">
        <f t="shared" si="0"/>
        <v>291604.48808485497</v>
      </c>
    </row>
    <row r="18" spans="1:7" x14ac:dyDescent="0.25">
      <c r="A18" s="128">
        <v>8</v>
      </c>
      <c r="B18" s="128" t="s">
        <v>181</v>
      </c>
      <c r="C18" s="129">
        <v>0.01</v>
      </c>
      <c r="D18" s="134">
        <f t="shared" si="0"/>
        <v>388805.98411313997</v>
      </c>
    </row>
    <row r="19" spans="1:7" x14ac:dyDescent="0.25">
      <c r="A19" s="128">
        <v>9</v>
      </c>
      <c r="B19" s="128" t="s">
        <v>182</v>
      </c>
      <c r="C19" s="129">
        <v>0.15</v>
      </c>
      <c r="D19" s="134">
        <f t="shared" si="0"/>
        <v>5832089.7616970995</v>
      </c>
    </row>
    <row r="20" spans="1:7" x14ac:dyDescent="0.25">
      <c r="A20" s="128">
        <v>10</v>
      </c>
      <c r="B20" s="128" t="s">
        <v>183</v>
      </c>
      <c r="C20" s="129">
        <v>0.1</v>
      </c>
      <c r="D20" s="134">
        <f t="shared" si="0"/>
        <v>3888059.8411313999</v>
      </c>
    </row>
    <row r="21" spans="1:7" x14ac:dyDescent="0.25">
      <c r="A21" s="128">
        <v>11</v>
      </c>
      <c r="B21" s="128" t="s">
        <v>184</v>
      </c>
      <c r="C21" s="129">
        <v>0.08</v>
      </c>
      <c r="D21" s="134">
        <f t="shared" si="0"/>
        <v>3110447.8729051198</v>
      </c>
      <c r="G21" s="125"/>
    </row>
    <row r="22" spans="1:7" x14ac:dyDescent="0.25">
      <c r="A22" s="128">
        <v>12</v>
      </c>
      <c r="B22" s="128" t="s">
        <v>185</v>
      </c>
      <c r="C22" s="129">
        <v>7.7499999999999999E-2</v>
      </c>
      <c r="D22" s="134">
        <f t="shared" si="0"/>
        <v>3013246.3768768348</v>
      </c>
      <c r="G22" s="125"/>
    </row>
    <row r="23" spans="1:7" x14ac:dyDescent="0.25">
      <c r="A23" s="128">
        <v>13</v>
      </c>
      <c r="B23" s="128" t="s">
        <v>186</v>
      </c>
      <c r="C23" s="129">
        <v>8.5000000000000006E-2</v>
      </c>
      <c r="D23" s="134">
        <f t="shared" si="0"/>
        <v>3304850.8649616898</v>
      </c>
      <c r="G23" s="125"/>
    </row>
    <row r="24" spans="1:7" x14ac:dyDescent="0.25">
      <c r="A24" s="128">
        <v>14</v>
      </c>
      <c r="B24" s="128" t="s">
        <v>130</v>
      </c>
      <c r="C24" s="129">
        <v>0.05</v>
      </c>
      <c r="D24" s="134">
        <f t="shared" si="0"/>
        <v>1944029.9205656999</v>
      </c>
    </row>
    <row r="25" spans="1:7" x14ac:dyDescent="0.25">
      <c r="A25" s="128">
        <v>15</v>
      </c>
      <c r="B25" s="128" t="s">
        <v>187</v>
      </c>
      <c r="C25" s="129">
        <v>0.04</v>
      </c>
      <c r="D25" s="134">
        <f t="shared" si="0"/>
        <v>1555223.9364525599</v>
      </c>
    </row>
    <row r="26" spans="1:7" ht="33" customHeight="1" x14ac:dyDescent="0.3">
      <c r="A26" s="141" t="s">
        <v>188</v>
      </c>
      <c r="B26" s="142"/>
      <c r="C26" s="143">
        <f>SUM(C11:C25)</f>
        <v>1</v>
      </c>
      <c r="D26" s="144">
        <f>SUM(D11:D25)</f>
        <v>38880598.411314003</v>
      </c>
    </row>
    <row r="28" spans="1:7" x14ac:dyDescent="0.25">
      <c r="C28" s="127"/>
    </row>
    <row r="29" spans="1:7" x14ac:dyDescent="0.25">
      <c r="C29" s="122"/>
      <c r="D29" s="122"/>
    </row>
    <row r="30" spans="1:7" x14ac:dyDescent="0.25">
      <c r="C30" s="122"/>
      <c r="D30" s="122"/>
    </row>
    <row r="31" spans="1:7" ht="15.75" customHeight="1" x14ac:dyDescent="0.25">
      <c r="C31" s="122"/>
      <c r="D31" s="122"/>
    </row>
    <row r="32" spans="1:7" ht="15.75" customHeight="1" x14ac:dyDescent="0.25">
      <c r="C32" s="122"/>
      <c r="D32" s="122"/>
    </row>
  </sheetData>
  <mergeCells count="3">
    <mergeCell ref="B1:D1"/>
    <mergeCell ref="B2:D2"/>
    <mergeCell ref="B3:D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622F8-632A-4638-902A-F419DA4CCBA5}">
  <sheetPr>
    <pageSetUpPr fitToPage="1"/>
  </sheetPr>
  <dimension ref="A1:F59"/>
  <sheetViews>
    <sheetView view="pageBreakPreview" zoomScaleNormal="115" zoomScaleSheetLayoutView="100" workbookViewId="0">
      <selection activeCell="D10" sqref="B10:D13"/>
    </sheetView>
  </sheetViews>
  <sheetFormatPr defaultRowHeight="14.4" x14ac:dyDescent="0.3"/>
  <cols>
    <col min="1" max="1" width="10.77734375" style="2" customWidth="1"/>
    <col min="2" max="2" width="83.6640625" style="3" customWidth="1"/>
    <col min="3" max="3" width="11.33203125" style="3" customWidth="1"/>
    <col min="4" max="4" width="11.33203125" style="62" customWidth="1"/>
    <col min="5" max="5" width="11.109375" style="63" customWidth="1"/>
    <col min="6" max="6" width="24" style="2" customWidth="1"/>
    <col min="7" max="8" width="9.33203125" bestFit="1" customWidth="1"/>
  </cols>
  <sheetData>
    <row r="1" spans="1:6" ht="18" customHeight="1" x14ac:dyDescent="0.3">
      <c r="A1" s="4" t="s">
        <v>0</v>
      </c>
      <c r="B1" s="6" t="s">
        <v>31</v>
      </c>
      <c r="C1" s="22"/>
      <c r="D1" s="23"/>
      <c r="E1" s="24"/>
      <c r="F1" s="13"/>
    </row>
    <row r="2" spans="1:6" ht="18" customHeight="1" x14ac:dyDescent="0.3">
      <c r="A2" s="5" t="s">
        <v>1</v>
      </c>
      <c r="B2" s="7" t="s">
        <v>32</v>
      </c>
      <c r="C2" s="25"/>
      <c r="D2" s="26"/>
      <c r="E2" s="27"/>
      <c r="F2" s="14"/>
    </row>
    <row r="3" spans="1:6" ht="18" customHeight="1" x14ac:dyDescent="0.3">
      <c r="A3" s="5" t="s">
        <v>2</v>
      </c>
      <c r="B3" s="7" t="s">
        <v>3</v>
      </c>
      <c r="C3" s="25"/>
      <c r="D3" s="26"/>
      <c r="E3" s="27"/>
      <c r="F3" s="14"/>
    </row>
    <row r="4" spans="1:6" ht="25.2" customHeight="1" x14ac:dyDescent="0.3">
      <c r="A4" s="147" t="s">
        <v>4</v>
      </c>
      <c r="B4" s="148"/>
      <c r="C4" s="148"/>
      <c r="D4" s="148"/>
      <c r="E4" s="148"/>
      <c r="F4" s="149"/>
    </row>
    <row r="5" spans="1:6" ht="14.4" customHeight="1" x14ac:dyDescent="0.3">
      <c r="A5" s="1"/>
      <c r="B5" s="28"/>
      <c r="C5" s="28"/>
      <c r="D5" s="29"/>
      <c r="E5" s="30"/>
      <c r="F5" s="15"/>
    </row>
    <row r="6" spans="1:6" ht="16.95" customHeight="1" x14ac:dyDescent="0.3">
      <c r="A6" s="150" t="s">
        <v>6</v>
      </c>
      <c r="B6" s="151"/>
      <c r="C6" s="151"/>
      <c r="D6" s="151"/>
      <c r="E6" s="151"/>
      <c r="F6" s="152"/>
    </row>
    <row r="7" spans="1:6" ht="14.4" customHeight="1" x14ac:dyDescent="0.3">
      <c r="A7" s="10"/>
      <c r="B7" s="31"/>
      <c r="C7" s="32"/>
      <c r="D7" s="33"/>
      <c r="E7" s="34"/>
      <c r="F7" s="16"/>
    </row>
    <row r="8" spans="1:6" x14ac:dyDescent="0.3">
      <c r="A8" s="11" t="s">
        <v>7</v>
      </c>
      <c r="B8" s="12"/>
      <c r="C8" s="12"/>
      <c r="D8" s="35"/>
      <c r="E8" s="36"/>
      <c r="F8" s="17"/>
    </row>
    <row r="9" spans="1:6" ht="15" thickBot="1" x14ac:dyDescent="0.35">
      <c r="A9" s="37"/>
      <c r="B9" s="9"/>
      <c r="C9" s="9"/>
      <c r="D9" s="38"/>
      <c r="E9" s="39"/>
      <c r="F9" s="16"/>
    </row>
    <row r="10" spans="1:6" x14ac:dyDescent="0.3">
      <c r="A10" s="37"/>
      <c r="B10" s="19" t="s">
        <v>5</v>
      </c>
      <c r="C10" s="20" t="s">
        <v>8</v>
      </c>
      <c r="D10" s="40" t="s">
        <v>9</v>
      </c>
      <c r="E10" s="39"/>
      <c r="F10" s="16"/>
    </row>
    <row r="11" spans="1:6" x14ac:dyDescent="0.3">
      <c r="A11" s="37"/>
      <c r="B11" s="18" t="s">
        <v>30</v>
      </c>
      <c r="C11" s="41" t="s">
        <v>11</v>
      </c>
      <c r="D11" s="21">
        <v>799</v>
      </c>
      <c r="E11" s="39"/>
      <c r="F11" s="16"/>
    </row>
    <row r="12" spans="1:6" x14ac:dyDescent="0.3">
      <c r="A12" s="37"/>
      <c r="B12" s="42" t="s">
        <v>12</v>
      </c>
      <c r="C12" s="43" t="s">
        <v>13</v>
      </c>
      <c r="D12" s="44">
        <v>1</v>
      </c>
      <c r="E12" s="39"/>
      <c r="F12" s="16"/>
    </row>
    <row r="13" spans="1:6" ht="15" thickBot="1" x14ac:dyDescent="0.35">
      <c r="A13" s="37"/>
      <c r="B13" s="48" t="s">
        <v>14</v>
      </c>
      <c r="C13" s="49" t="s">
        <v>11</v>
      </c>
      <c r="D13" s="50">
        <f>D12*D11</f>
        <v>799</v>
      </c>
      <c r="E13" s="39"/>
      <c r="F13" s="16"/>
    </row>
    <row r="14" spans="1:6" x14ac:dyDescent="0.3">
      <c r="A14" s="8"/>
      <c r="B14" s="9"/>
      <c r="C14" s="9"/>
      <c r="D14" s="38"/>
      <c r="E14" s="39"/>
      <c r="F14" s="16"/>
    </row>
    <row r="15" spans="1:6" x14ac:dyDescent="0.3">
      <c r="A15" s="11" t="s">
        <v>149</v>
      </c>
      <c r="B15" s="12"/>
      <c r="C15" s="12"/>
      <c r="D15" s="35"/>
      <c r="E15" s="36"/>
      <c r="F15" s="17"/>
    </row>
    <row r="16" spans="1:6" ht="15" thickBot="1" x14ac:dyDescent="0.35">
      <c r="A16" s="8"/>
      <c r="B16" s="9"/>
      <c r="C16" s="9"/>
      <c r="D16" s="38"/>
      <c r="E16" s="39"/>
      <c r="F16" s="16"/>
    </row>
    <row r="17" spans="1:6" x14ac:dyDescent="0.3">
      <c r="A17" s="8"/>
      <c r="B17" s="19" t="s">
        <v>5</v>
      </c>
      <c r="C17" s="20" t="s">
        <v>8</v>
      </c>
      <c r="D17" s="40" t="s">
        <v>9</v>
      </c>
      <c r="E17" s="39"/>
      <c r="F17" s="16"/>
    </row>
    <row r="18" spans="1:6" x14ac:dyDescent="0.3">
      <c r="A18" s="8"/>
      <c r="B18" s="18" t="s">
        <v>10</v>
      </c>
      <c r="C18" s="41" t="s">
        <v>11</v>
      </c>
      <c r="D18" s="21">
        <f>D11</f>
        <v>799</v>
      </c>
      <c r="E18" s="39"/>
      <c r="F18" s="16"/>
    </row>
    <row r="19" spans="1:6" x14ac:dyDescent="0.3">
      <c r="A19" s="8"/>
      <c r="B19" s="54" t="s">
        <v>15</v>
      </c>
      <c r="C19" s="55" t="s">
        <v>13</v>
      </c>
      <c r="D19" s="56">
        <v>4</v>
      </c>
      <c r="E19" s="39"/>
      <c r="F19" s="16"/>
    </row>
    <row r="20" spans="1:6" x14ac:dyDescent="0.3">
      <c r="A20" s="8"/>
      <c r="B20" s="45" t="s">
        <v>150</v>
      </c>
      <c r="C20" s="46" t="s">
        <v>11</v>
      </c>
      <c r="D20" s="47">
        <f>D18*D19</f>
        <v>3196</v>
      </c>
      <c r="E20" s="39"/>
      <c r="F20" s="16"/>
    </row>
    <row r="21" spans="1:6" s="53" customFormat="1" ht="10.199999999999999" x14ac:dyDescent="0.2">
      <c r="A21" s="37"/>
      <c r="B21" s="39"/>
      <c r="C21" s="39"/>
      <c r="D21" s="51"/>
      <c r="E21" s="39"/>
      <c r="F21" s="52"/>
    </row>
    <row r="22" spans="1:6" x14ac:dyDescent="0.3">
      <c r="A22" s="11" t="s">
        <v>18</v>
      </c>
      <c r="B22" s="12"/>
      <c r="C22" s="12"/>
      <c r="D22" s="35"/>
      <c r="E22" s="36"/>
      <c r="F22" s="17"/>
    </row>
    <row r="23" spans="1:6" ht="15" thickBot="1" x14ac:dyDescent="0.35">
      <c r="A23" s="8"/>
      <c r="B23" s="9"/>
      <c r="C23" s="9"/>
      <c r="D23" s="38"/>
      <c r="E23" s="39"/>
      <c r="F23" s="16"/>
    </row>
    <row r="24" spans="1:6" x14ac:dyDescent="0.3">
      <c r="A24" s="8"/>
      <c r="B24" s="19" t="s">
        <v>5</v>
      </c>
      <c r="C24" s="20" t="s">
        <v>8</v>
      </c>
      <c r="D24" s="40" t="s">
        <v>9</v>
      </c>
      <c r="E24" s="39"/>
      <c r="F24" s="16"/>
    </row>
    <row r="25" spans="1:6" x14ac:dyDescent="0.3">
      <c r="A25" s="8"/>
      <c r="B25" s="18" t="s">
        <v>19</v>
      </c>
      <c r="C25" s="41" t="s">
        <v>11</v>
      </c>
      <c r="D25" s="21">
        <f>D18</f>
        <v>799</v>
      </c>
      <c r="E25" s="39"/>
      <c r="F25" s="16"/>
    </row>
    <row r="26" spans="1:6" x14ac:dyDescent="0.3">
      <c r="A26" s="8"/>
      <c r="B26" s="54" t="s">
        <v>20</v>
      </c>
      <c r="C26" s="55" t="s">
        <v>11</v>
      </c>
      <c r="D26" s="56">
        <v>16.05</v>
      </c>
      <c r="E26" s="39"/>
      <c r="F26" s="16"/>
    </row>
    <row r="27" spans="1:6" x14ac:dyDescent="0.3">
      <c r="A27" s="8"/>
      <c r="B27" s="45" t="s">
        <v>17</v>
      </c>
      <c r="C27" s="46" t="s">
        <v>16</v>
      </c>
      <c r="D27" s="47">
        <f>D26*D25</f>
        <v>12823.95</v>
      </c>
      <c r="E27" s="39"/>
      <c r="F27" s="16"/>
    </row>
    <row r="28" spans="1:6" x14ac:dyDescent="0.3">
      <c r="A28" s="8"/>
      <c r="B28" s="9"/>
      <c r="C28" s="9"/>
      <c r="D28" s="38"/>
      <c r="E28" s="39"/>
      <c r="F28" s="16"/>
    </row>
    <row r="29" spans="1:6" x14ac:dyDescent="0.3">
      <c r="A29" s="11" t="s">
        <v>24</v>
      </c>
      <c r="B29" s="12"/>
      <c r="C29" s="12"/>
      <c r="D29" s="35"/>
      <c r="E29" s="36"/>
      <c r="F29" s="17"/>
    </row>
    <row r="30" spans="1:6" ht="15" thickBot="1" x14ac:dyDescent="0.35">
      <c r="A30" s="8"/>
      <c r="B30" s="9"/>
      <c r="C30" s="9"/>
      <c r="D30" s="38"/>
      <c r="E30" s="39"/>
      <c r="F30" s="16"/>
    </row>
    <row r="31" spans="1:6" x14ac:dyDescent="0.3">
      <c r="A31" s="8"/>
      <c r="B31" s="106" t="s">
        <v>5</v>
      </c>
      <c r="C31" s="107" t="s">
        <v>8</v>
      </c>
      <c r="D31" s="108" t="s">
        <v>9</v>
      </c>
      <c r="E31" s="39"/>
      <c r="F31" s="16"/>
    </row>
    <row r="32" spans="1:6" x14ac:dyDescent="0.3">
      <c r="A32" s="8"/>
      <c r="B32" s="42" t="s">
        <v>25</v>
      </c>
      <c r="C32" s="43" t="s">
        <v>16</v>
      </c>
      <c r="D32" s="44">
        <f>0.9*2.2</f>
        <v>1.9800000000000002</v>
      </c>
      <c r="E32" s="39"/>
      <c r="F32" s="16"/>
    </row>
    <row r="33" spans="1:6" x14ac:dyDescent="0.3">
      <c r="A33" s="8"/>
      <c r="B33" s="42" t="s">
        <v>151</v>
      </c>
      <c r="C33" s="43" t="s">
        <v>13</v>
      </c>
      <c r="D33" s="44">
        <f>7+3+4</f>
        <v>14</v>
      </c>
      <c r="E33" s="39"/>
      <c r="F33" s="16"/>
    </row>
    <row r="34" spans="1:6" x14ac:dyDescent="0.3">
      <c r="A34" s="8"/>
      <c r="B34" s="42" t="s">
        <v>26</v>
      </c>
      <c r="C34" s="43" t="s">
        <v>13</v>
      </c>
      <c r="D34" s="44">
        <f>7*7+3*6+4*5</f>
        <v>87</v>
      </c>
      <c r="E34" s="39"/>
      <c r="F34" s="16"/>
    </row>
    <row r="35" spans="1:6" x14ac:dyDescent="0.3">
      <c r="A35" s="8"/>
      <c r="B35" s="109" t="s">
        <v>24</v>
      </c>
      <c r="C35" s="110" t="s">
        <v>16</v>
      </c>
      <c r="D35" s="111">
        <f>SUM(D32:D34)</f>
        <v>102.98</v>
      </c>
      <c r="E35" s="39"/>
      <c r="F35" s="16"/>
    </row>
    <row r="36" spans="1:6" x14ac:dyDescent="0.3">
      <c r="A36" s="8"/>
      <c r="B36" s="9"/>
      <c r="C36" s="9"/>
      <c r="D36" s="38"/>
      <c r="E36" s="39"/>
      <c r="F36" s="16"/>
    </row>
    <row r="37" spans="1:6" x14ac:dyDescent="0.3">
      <c r="A37" s="11" t="s">
        <v>27</v>
      </c>
      <c r="B37" s="12"/>
      <c r="C37" s="12"/>
      <c r="D37" s="35"/>
      <c r="E37" s="36"/>
      <c r="F37" s="17"/>
    </row>
    <row r="38" spans="1:6" ht="15" thickBot="1" x14ac:dyDescent="0.35">
      <c r="A38" s="8"/>
      <c r="B38" s="9"/>
      <c r="C38" s="9"/>
      <c r="D38" s="38"/>
      <c r="E38" s="39"/>
      <c r="F38" s="16"/>
    </row>
    <row r="39" spans="1:6" x14ac:dyDescent="0.3">
      <c r="A39" s="8"/>
      <c r="B39" s="19" t="s">
        <v>5</v>
      </c>
      <c r="C39" s="20" t="s">
        <v>8</v>
      </c>
      <c r="D39" s="40" t="s">
        <v>9</v>
      </c>
      <c r="E39" s="39"/>
      <c r="F39" s="16"/>
    </row>
    <row r="40" spans="1:6" x14ac:dyDescent="0.3">
      <c r="A40" s="8"/>
      <c r="B40" s="18" t="s">
        <v>28</v>
      </c>
      <c r="C40" s="41" t="s">
        <v>11</v>
      </c>
      <c r="D40" s="21">
        <f>2.4*6</f>
        <v>14.399999999999999</v>
      </c>
      <c r="E40" s="39"/>
      <c r="F40" s="16"/>
    </row>
    <row r="41" spans="1:6" x14ac:dyDescent="0.3">
      <c r="A41" s="8"/>
      <c r="B41" s="54" t="s">
        <v>29</v>
      </c>
      <c r="C41" s="55" t="s">
        <v>13</v>
      </c>
      <c r="D41" s="56">
        <v>10</v>
      </c>
      <c r="E41" s="39"/>
      <c r="F41" s="16"/>
    </row>
    <row r="42" spans="1:6" x14ac:dyDescent="0.3">
      <c r="A42" s="8"/>
      <c r="B42" s="45" t="s">
        <v>27</v>
      </c>
      <c r="C42" s="46" t="s">
        <v>11</v>
      </c>
      <c r="D42" s="47">
        <f>D41*D40</f>
        <v>144</v>
      </c>
      <c r="E42" s="39"/>
      <c r="F42" s="16"/>
    </row>
    <row r="43" spans="1:6" x14ac:dyDescent="0.3">
      <c r="A43" s="8"/>
      <c r="B43" s="9"/>
      <c r="C43" s="9"/>
      <c r="D43" s="38"/>
      <c r="E43" s="39"/>
      <c r="F43" s="16"/>
    </row>
    <row r="44" spans="1:6" x14ac:dyDescent="0.3">
      <c r="A44" s="11" t="s">
        <v>21</v>
      </c>
      <c r="B44" s="12"/>
      <c r="C44" s="12"/>
      <c r="D44" s="35"/>
      <c r="E44" s="36"/>
      <c r="F44" s="17"/>
    </row>
    <row r="45" spans="1:6" ht="15" thickBot="1" x14ac:dyDescent="0.35">
      <c r="A45" s="8"/>
      <c r="B45" s="9"/>
      <c r="C45" s="9"/>
      <c r="D45" s="38"/>
      <c r="E45" s="39"/>
      <c r="F45" s="16"/>
    </row>
    <row r="46" spans="1:6" x14ac:dyDescent="0.3">
      <c r="A46" s="8"/>
      <c r="B46" s="19" t="s">
        <v>5</v>
      </c>
      <c r="C46" s="20" t="s">
        <v>8</v>
      </c>
      <c r="D46" s="40" t="s">
        <v>9</v>
      </c>
      <c r="E46" s="39"/>
      <c r="F46" s="16"/>
    </row>
    <row r="47" spans="1:6" x14ac:dyDescent="0.3">
      <c r="A47" s="8"/>
      <c r="B47" s="18" t="s">
        <v>22</v>
      </c>
      <c r="C47" s="41" t="s">
        <v>11</v>
      </c>
      <c r="D47" s="21">
        <f>289.51+193.76+55.77+6.35</f>
        <v>545.39</v>
      </c>
      <c r="E47" s="39"/>
      <c r="F47" s="16"/>
    </row>
    <row r="48" spans="1:6" x14ac:dyDescent="0.3">
      <c r="A48" s="8"/>
      <c r="B48" s="54" t="s">
        <v>23</v>
      </c>
      <c r="C48" s="55" t="s">
        <v>11</v>
      </c>
      <c r="D48" s="56">
        <v>2.2000000000000002</v>
      </c>
      <c r="E48" s="39"/>
      <c r="F48" s="16"/>
    </row>
    <row r="49" spans="1:6" x14ac:dyDescent="0.3">
      <c r="A49" s="8"/>
      <c r="B49" s="45" t="s">
        <v>17</v>
      </c>
      <c r="C49" s="46" t="s">
        <v>16</v>
      </c>
      <c r="D49" s="47">
        <f>D48*D47</f>
        <v>1199.8580000000002</v>
      </c>
      <c r="E49" s="39"/>
      <c r="F49" s="16"/>
    </row>
    <row r="50" spans="1:6" x14ac:dyDescent="0.3">
      <c r="A50" s="8"/>
      <c r="B50" s="112"/>
      <c r="C50" s="112"/>
      <c r="D50" s="38"/>
      <c r="E50" s="113"/>
      <c r="F50" s="16"/>
    </row>
    <row r="51" spans="1:6" x14ac:dyDescent="0.3">
      <c r="A51" s="11" t="s">
        <v>21</v>
      </c>
      <c r="B51" s="12"/>
      <c r="C51" s="12"/>
      <c r="D51" s="35"/>
      <c r="E51" s="36"/>
      <c r="F51" s="17"/>
    </row>
    <row r="52" spans="1:6" ht="15" thickBot="1" x14ac:dyDescent="0.35">
      <c r="A52" s="8"/>
      <c r="B52" s="9"/>
      <c r="C52" s="9"/>
      <c r="D52" s="38"/>
      <c r="E52" s="39"/>
      <c r="F52" s="16"/>
    </row>
    <row r="53" spans="1:6" x14ac:dyDescent="0.3">
      <c r="A53" s="8"/>
      <c r="B53" s="19" t="s">
        <v>5</v>
      </c>
      <c r="C53" s="20" t="s">
        <v>8</v>
      </c>
      <c r="D53" s="40" t="s">
        <v>9</v>
      </c>
      <c r="E53" s="39"/>
      <c r="F53" s="16"/>
    </row>
    <row r="54" spans="1:6" x14ac:dyDescent="0.3">
      <c r="A54" s="8"/>
      <c r="B54" s="18" t="s">
        <v>158</v>
      </c>
      <c r="C54" s="41" t="s">
        <v>11</v>
      </c>
      <c r="D54" s="21">
        <v>94.58</v>
      </c>
      <c r="E54" s="39"/>
      <c r="F54" s="16"/>
    </row>
    <row r="55" spans="1:6" x14ac:dyDescent="0.3">
      <c r="A55" s="8"/>
      <c r="B55" s="54" t="s">
        <v>23</v>
      </c>
      <c r="C55" s="55" t="s">
        <v>11</v>
      </c>
      <c r="D55" s="56">
        <v>2.2000000000000002</v>
      </c>
      <c r="E55" s="39"/>
      <c r="F55" s="16"/>
    </row>
    <row r="56" spans="1:6" x14ac:dyDescent="0.3">
      <c r="A56" s="8"/>
      <c r="B56" s="45" t="s">
        <v>17</v>
      </c>
      <c r="C56" s="46" t="s">
        <v>16</v>
      </c>
      <c r="D56" s="47">
        <f>D55*D54</f>
        <v>208.07600000000002</v>
      </c>
      <c r="E56" s="39"/>
      <c r="F56" s="16"/>
    </row>
    <row r="57" spans="1:6" ht="15" thickBot="1" x14ac:dyDescent="0.35">
      <c r="A57" s="57"/>
      <c r="B57" s="58"/>
      <c r="C57" s="58"/>
      <c r="D57" s="59"/>
      <c r="E57" s="60"/>
      <c r="F57" s="61"/>
    </row>
    <row r="58" spans="1:6" x14ac:dyDescent="0.3">
      <c r="A58" s="114"/>
      <c r="B58" s="115"/>
      <c r="C58" s="115"/>
      <c r="D58" s="116"/>
      <c r="E58" s="117"/>
      <c r="F58" s="114"/>
    </row>
    <row r="59" spans="1:6" x14ac:dyDescent="0.3">
      <c r="A59" s="114"/>
      <c r="B59" s="115"/>
      <c r="C59" s="115"/>
      <c r="D59" s="116"/>
      <c r="E59" s="117"/>
      <c r="F59" s="114"/>
    </row>
  </sheetData>
  <mergeCells count="2">
    <mergeCell ref="A4:F4"/>
    <mergeCell ref="A6:F6"/>
  </mergeCells>
  <pageMargins left="0.51181102362204722" right="0.51181102362204722" top="0.78740157480314965" bottom="0.78740157480314965" header="0.31496062992125984" footer="0.31496062992125984"/>
  <pageSetup paperSize="9" scale="60" fitToHeight="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CD640-2457-43AA-AC00-9529FAA38BC4}">
  <dimension ref="A1:F73"/>
  <sheetViews>
    <sheetView showGridLines="0" tabSelected="1" view="pageBreakPreview" zoomScale="115" zoomScaleNormal="70" zoomScaleSheetLayoutView="115" workbookViewId="0">
      <selection activeCell="A81" sqref="A81"/>
    </sheetView>
  </sheetViews>
  <sheetFormatPr defaultColWidth="9.109375" defaultRowHeight="13.2" x14ac:dyDescent="0.3"/>
  <cols>
    <col min="1" max="1" width="17.33203125" style="70" customWidth="1"/>
    <col min="2" max="2" width="60.5546875" style="70" customWidth="1"/>
    <col min="3" max="3" width="6.21875" style="70" customWidth="1"/>
    <col min="4" max="4" width="15.6640625" style="86" customWidth="1"/>
    <col min="5" max="5" width="19.33203125" style="86" bestFit="1" customWidth="1"/>
    <col min="6" max="6" width="15.21875" style="86" customWidth="1"/>
    <col min="7" max="7" width="14.5546875" style="64" bestFit="1" customWidth="1"/>
    <col min="8" max="8" width="9.109375" style="64"/>
    <col min="9" max="9" width="11.77734375" style="64" bestFit="1" customWidth="1"/>
    <col min="10" max="16384" width="9.109375" style="64"/>
  </cols>
  <sheetData>
    <row r="1" spans="1:6" ht="12.75" customHeight="1" x14ac:dyDescent="0.3">
      <c r="A1" s="160" t="s">
        <v>195</v>
      </c>
      <c r="B1" s="160"/>
      <c r="C1" s="160"/>
      <c r="D1" s="161"/>
      <c r="E1" s="161"/>
      <c r="F1" s="161"/>
    </row>
    <row r="2" spans="1:6" ht="12.75" customHeight="1" x14ac:dyDescent="0.3">
      <c r="A2" s="160"/>
      <c r="B2" s="160"/>
      <c r="C2" s="160"/>
      <c r="D2" s="161"/>
      <c r="E2" s="161"/>
      <c r="F2" s="161"/>
    </row>
    <row r="3" spans="1:6" ht="12.75" customHeight="1" x14ac:dyDescent="0.3">
      <c r="A3" s="160"/>
      <c r="B3" s="160"/>
      <c r="C3" s="160"/>
      <c r="D3" s="161"/>
      <c r="E3" s="161"/>
      <c r="F3" s="161"/>
    </row>
    <row r="4" spans="1:6" ht="12.75" customHeight="1" x14ac:dyDescent="0.3">
      <c r="A4" s="160"/>
      <c r="B4" s="160"/>
      <c r="C4" s="160"/>
      <c r="D4" s="161"/>
      <c r="E4" s="161"/>
      <c r="F4" s="161"/>
    </row>
    <row r="5" spans="1:6" ht="13.5" customHeight="1" x14ac:dyDescent="0.3">
      <c r="A5" s="160"/>
      <c r="B5" s="160"/>
      <c r="C5" s="160"/>
      <c r="D5" s="161"/>
      <c r="E5" s="161"/>
      <c r="F5" s="161"/>
    </row>
    <row r="6" spans="1:6" ht="13.8" thickBot="1" x14ac:dyDescent="0.35">
      <c r="A6" s="65"/>
      <c r="B6" s="66"/>
      <c r="C6" s="66"/>
      <c r="D6" s="85"/>
      <c r="E6" s="85"/>
      <c r="F6" s="93"/>
    </row>
    <row r="7" spans="1:6" x14ac:dyDescent="0.3">
      <c r="A7" s="67" t="s">
        <v>33</v>
      </c>
      <c r="B7" s="162" t="s">
        <v>194</v>
      </c>
      <c r="C7" s="162"/>
      <c r="D7" s="163"/>
      <c r="E7" s="163"/>
      <c r="F7" s="164"/>
    </row>
    <row r="8" spans="1:6" x14ac:dyDescent="0.3">
      <c r="A8" s="68" t="s">
        <v>0</v>
      </c>
      <c r="B8" s="165" t="s">
        <v>31</v>
      </c>
      <c r="C8" s="165"/>
      <c r="D8" s="166"/>
      <c r="E8" s="166"/>
      <c r="F8" s="167"/>
    </row>
    <row r="9" spans="1:6" x14ac:dyDescent="0.3">
      <c r="A9" s="68" t="s">
        <v>34</v>
      </c>
      <c r="B9" s="168">
        <v>44622</v>
      </c>
      <c r="C9" s="168"/>
      <c r="D9" s="166"/>
      <c r="E9" s="166"/>
      <c r="F9" s="167"/>
    </row>
    <row r="10" spans="1:6" ht="13.8" thickBot="1" x14ac:dyDescent="0.35">
      <c r="A10" s="69" t="s">
        <v>35</v>
      </c>
      <c r="B10" s="169" t="s">
        <v>3</v>
      </c>
      <c r="C10" s="169"/>
      <c r="D10" s="170"/>
      <c r="E10" s="170"/>
      <c r="F10" s="171"/>
    </row>
    <row r="11" spans="1:6" ht="13.8" thickBot="1" x14ac:dyDescent="0.35"/>
    <row r="12" spans="1:6" ht="21" customHeight="1" thickBot="1" x14ac:dyDescent="0.35">
      <c r="A12" s="154" t="s">
        <v>36</v>
      </c>
      <c r="B12" s="155"/>
      <c r="C12" s="155"/>
      <c r="D12" s="156"/>
      <c r="E12" s="156"/>
      <c r="F12" s="157"/>
    </row>
    <row r="13" spans="1:6" s="72" customFormat="1" ht="26.4" x14ac:dyDescent="0.3">
      <c r="A13" s="71" t="s">
        <v>37</v>
      </c>
      <c r="B13" s="71" t="s">
        <v>5</v>
      </c>
      <c r="C13" s="71" t="s">
        <v>38</v>
      </c>
      <c r="D13" s="87" t="s">
        <v>39</v>
      </c>
      <c r="E13" s="94" t="s">
        <v>40</v>
      </c>
      <c r="F13" s="94" t="s">
        <v>41</v>
      </c>
    </row>
    <row r="14" spans="1:6" x14ac:dyDescent="0.3">
      <c r="A14" s="73" t="s">
        <v>42</v>
      </c>
      <c r="B14" s="74" t="s">
        <v>36</v>
      </c>
      <c r="C14" s="74"/>
      <c r="D14" s="88"/>
      <c r="E14" s="95"/>
      <c r="F14" s="96">
        <v>5405639.7187988386</v>
      </c>
    </row>
    <row r="15" spans="1:6" x14ac:dyDescent="0.3">
      <c r="A15" s="75" t="s">
        <v>43</v>
      </c>
      <c r="B15" s="76" t="s">
        <v>44</v>
      </c>
      <c r="C15" s="76"/>
      <c r="D15" s="89"/>
      <c r="E15" s="97"/>
      <c r="F15" s="98">
        <v>4554140.2072981112</v>
      </c>
    </row>
    <row r="16" spans="1:6" x14ac:dyDescent="0.3">
      <c r="A16" s="77" t="s">
        <v>45</v>
      </c>
      <c r="B16" s="78" t="s">
        <v>46</v>
      </c>
      <c r="C16" s="78"/>
      <c r="D16" s="90"/>
      <c r="E16" s="99"/>
      <c r="F16" s="100">
        <v>912094.50816800783</v>
      </c>
    </row>
    <row r="17" spans="1:6" x14ac:dyDescent="0.3">
      <c r="A17" s="77" t="s">
        <v>48</v>
      </c>
      <c r="B17" s="78" t="s">
        <v>49</v>
      </c>
      <c r="C17" s="78"/>
      <c r="D17" s="90"/>
      <c r="E17" s="99"/>
      <c r="F17" s="100">
        <v>2096987.9426634582</v>
      </c>
    </row>
    <row r="18" spans="1:6" x14ac:dyDescent="0.3">
      <c r="A18" s="77" t="s">
        <v>50</v>
      </c>
      <c r="B18" s="78" t="s">
        <v>51</v>
      </c>
      <c r="C18" s="78"/>
      <c r="D18" s="90"/>
      <c r="E18" s="99"/>
      <c r="F18" s="100">
        <v>1151088.4347049517</v>
      </c>
    </row>
    <row r="19" spans="1:6" x14ac:dyDescent="0.3">
      <c r="A19" s="77" t="s">
        <v>52</v>
      </c>
      <c r="B19" s="78" t="s">
        <v>53</v>
      </c>
      <c r="C19" s="78"/>
      <c r="D19" s="90"/>
      <c r="E19" s="99"/>
      <c r="F19" s="100">
        <v>393969.32176169357</v>
      </c>
    </row>
    <row r="20" spans="1:6" x14ac:dyDescent="0.3">
      <c r="A20" s="75" t="s">
        <v>54</v>
      </c>
      <c r="B20" s="76" t="s">
        <v>55</v>
      </c>
      <c r="C20" s="76"/>
      <c r="D20" s="89"/>
      <c r="E20" s="97"/>
      <c r="F20" s="98">
        <v>851499.51150072739</v>
      </c>
    </row>
    <row r="21" spans="1:6" x14ac:dyDescent="0.3">
      <c r="A21" s="80" t="s">
        <v>56</v>
      </c>
      <c r="B21" s="78" t="s">
        <v>57</v>
      </c>
      <c r="C21" s="78"/>
      <c r="D21" s="90"/>
      <c r="E21" s="99"/>
      <c r="F21" s="100">
        <v>142685.25929790159</v>
      </c>
    </row>
    <row r="22" spans="1:6" x14ac:dyDescent="0.3">
      <c r="A22" s="80" t="s">
        <v>58</v>
      </c>
      <c r="B22" s="78" t="s">
        <v>59</v>
      </c>
      <c r="C22" s="78"/>
      <c r="D22" s="90"/>
      <c r="E22" s="99"/>
      <c r="F22" s="100">
        <v>533314.25220282574</v>
      </c>
    </row>
    <row r="23" spans="1:6" x14ac:dyDescent="0.3">
      <c r="A23" s="77" t="s">
        <v>60</v>
      </c>
      <c r="B23" s="78" t="s">
        <v>61</v>
      </c>
      <c r="C23" s="78"/>
      <c r="D23" s="90"/>
      <c r="E23" s="99"/>
      <c r="F23" s="100">
        <v>175500</v>
      </c>
    </row>
    <row r="24" spans="1:6" x14ac:dyDescent="0.3">
      <c r="A24" s="82" t="s">
        <v>62</v>
      </c>
      <c r="B24" s="83" t="s">
        <v>63</v>
      </c>
      <c r="C24" s="83"/>
      <c r="D24" s="91"/>
      <c r="E24" s="101"/>
      <c r="F24" s="102">
        <v>11746483.838890592</v>
      </c>
    </row>
    <row r="25" spans="1:6" x14ac:dyDescent="0.3">
      <c r="A25" s="84" t="s">
        <v>64</v>
      </c>
      <c r="B25" s="76" t="s">
        <v>65</v>
      </c>
      <c r="C25" s="76"/>
      <c r="D25" s="89"/>
      <c r="E25" s="97"/>
      <c r="F25" s="98">
        <v>1483032.2701272776</v>
      </c>
    </row>
    <row r="26" spans="1:6" x14ac:dyDescent="0.3">
      <c r="A26" s="80" t="s">
        <v>66</v>
      </c>
      <c r="B26" s="78" t="s">
        <v>67</v>
      </c>
      <c r="C26" s="78"/>
      <c r="D26" s="90"/>
      <c r="E26" s="99"/>
      <c r="F26" s="100">
        <v>283500</v>
      </c>
    </row>
    <row r="27" spans="1:6" x14ac:dyDescent="0.3">
      <c r="A27" s="81" t="s">
        <v>68</v>
      </c>
      <c r="B27" s="79" t="s">
        <v>69</v>
      </c>
      <c r="C27" s="79" t="s">
        <v>70</v>
      </c>
      <c r="D27" s="92">
        <v>63</v>
      </c>
      <c r="E27" s="103">
        <v>4500</v>
      </c>
      <c r="F27" s="104">
        <v>283500</v>
      </c>
    </row>
    <row r="28" spans="1:6" x14ac:dyDescent="0.3">
      <c r="A28" s="80" t="s">
        <v>71</v>
      </c>
      <c r="B28" s="78" t="s">
        <v>72</v>
      </c>
      <c r="C28" s="78"/>
      <c r="D28" s="90"/>
      <c r="E28" s="99"/>
      <c r="F28" s="100">
        <v>1111100.08439</v>
      </c>
    </row>
    <row r="29" spans="1:6" x14ac:dyDescent="0.3">
      <c r="A29" s="81" t="s">
        <v>73</v>
      </c>
      <c r="B29" s="79" t="s">
        <v>14</v>
      </c>
      <c r="C29" s="79" t="s">
        <v>11</v>
      </c>
      <c r="D29" s="92">
        <v>799</v>
      </c>
      <c r="E29" s="103">
        <v>345</v>
      </c>
      <c r="F29" s="104">
        <v>275655</v>
      </c>
    </row>
    <row r="30" spans="1:6" ht="26.4" x14ac:dyDescent="0.3">
      <c r="A30" s="145" t="s">
        <v>74</v>
      </c>
      <c r="B30" s="146" t="s">
        <v>75</v>
      </c>
      <c r="C30" s="146" t="s">
        <v>11</v>
      </c>
      <c r="D30" s="121">
        <v>339.69</v>
      </c>
      <c r="E30" s="103">
        <v>24.390999999999998</v>
      </c>
      <c r="F30" s="104">
        <v>8285.3787899999988</v>
      </c>
    </row>
    <row r="31" spans="1:6" ht="39.6" x14ac:dyDescent="0.3">
      <c r="A31" s="81" t="s">
        <v>76</v>
      </c>
      <c r="B31" s="79" t="s">
        <v>77</v>
      </c>
      <c r="C31" s="79" t="s">
        <v>11</v>
      </c>
      <c r="D31" s="92">
        <v>3196</v>
      </c>
      <c r="E31" s="103">
        <v>28.857399999999998</v>
      </c>
      <c r="F31" s="104">
        <v>92228.25039999999</v>
      </c>
    </row>
    <row r="32" spans="1:6" ht="26.4" x14ac:dyDescent="0.3">
      <c r="A32" s="81" t="s">
        <v>78</v>
      </c>
      <c r="B32" s="79" t="s">
        <v>79</v>
      </c>
      <c r="C32" s="79" t="s">
        <v>16</v>
      </c>
      <c r="D32" s="92">
        <v>102.98</v>
      </c>
      <c r="E32" s="103">
        <v>63.24</v>
      </c>
      <c r="F32" s="104">
        <v>6512.4552000000003</v>
      </c>
    </row>
    <row r="33" spans="1:6" x14ac:dyDescent="0.3">
      <c r="A33" s="81" t="s">
        <v>80</v>
      </c>
      <c r="B33" s="79" t="s">
        <v>81</v>
      </c>
      <c r="C33" s="79" t="s">
        <v>11</v>
      </c>
      <c r="D33" s="92">
        <v>3196</v>
      </c>
      <c r="E33" s="103">
        <v>140</v>
      </c>
      <c r="F33" s="104">
        <v>447440</v>
      </c>
    </row>
    <row r="34" spans="1:6" x14ac:dyDescent="0.3">
      <c r="A34" s="81" t="s">
        <v>82</v>
      </c>
      <c r="B34" s="79" t="s">
        <v>83</v>
      </c>
      <c r="C34" s="79" t="s">
        <v>47</v>
      </c>
      <c r="D34" s="92">
        <v>1</v>
      </c>
      <c r="E34" s="103">
        <v>24500</v>
      </c>
      <c r="F34" s="104">
        <v>24500</v>
      </c>
    </row>
    <row r="35" spans="1:6" x14ac:dyDescent="0.3">
      <c r="A35" s="81" t="s">
        <v>84</v>
      </c>
      <c r="B35" s="79" t="s">
        <v>85</v>
      </c>
      <c r="C35" s="79" t="s">
        <v>16</v>
      </c>
      <c r="D35" s="92">
        <v>12823.95</v>
      </c>
      <c r="E35" s="103">
        <v>20</v>
      </c>
      <c r="F35" s="104">
        <v>256479</v>
      </c>
    </row>
    <row r="36" spans="1:6" x14ac:dyDescent="0.3">
      <c r="A36" s="81" t="s">
        <v>156</v>
      </c>
      <c r="B36" s="79" t="s">
        <v>157</v>
      </c>
      <c r="C36" s="79" t="s">
        <v>47</v>
      </c>
      <c r="D36" s="92">
        <v>1</v>
      </c>
      <c r="E36" s="103">
        <v>71500</v>
      </c>
      <c r="F36" s="104">
        <v>71500</v>
      </c>
    </row>
    <row r="37" spans="1:6" x14ac:dyDescent="0.3">
      <c r="A37" s="80" t="s">
        <v>86</v>
      </c>
      <c r="B37" s="78" t="s">
        <v>87</v>
      </c>
      <c r="C37" s="78"/>
      <c r="D37" s="90"/>
      <c r="E37" s="99"/>
      <c r="F37" s="100">
        <v>88432.185737277672</v>
      </c>
    </row>
    <row r="38" spans="1:6" x14ac:dyDescent="0.3">
      <c r="A38" s="84" t="s">
        <v>88</v>
      </c>
      <c r="B38" s="76" t="s">
        <v>89</v>
      </c>
      <c r="C38" s="76"/>
      <c r="D38" s="89"/>
      <c r="E38" s="97"/>
      <c r="F38" s="98">
        <v>7419821.0377638182</v>
      </c>
    </row>
    <row r="39" spans="1:6" x14ac:dyDescent="0.3">
      <c r="A39" s="80" t="s">
        <v>90</v>
      </c>
      <c r="B39" s="78" t="s">
        <v>91</v>
      </c>
      <c r="C39" s="78"/>
      <c r="D39" s="90"/>
      <c r="E39" s="99"/>
      <c r="F39" s="100">
        <v>3118500</v>
      </c>
    </row>
    <row r="40" spans="1:6" x14ac:dyDescent="0.3">
      <c r="A40" s="81" t="s">
        <v>92</v>
      </c>
      <c r="B40" s="79" t="s">
        <v>93</v>
      </c>
      <c r="C40" s="79" t="s">
        <v>70</v>
      </c>
      <c r="D40" s="92">
        <v>63</v>
      </c>
      <c r="E40" s="103">
        <v>20000</v>
      </c>
      <c r="F40" s="104">
        <v>1260000</v>
      </c>
    </row>
    <row r="41" spans="1:6" x14ac:dyDescent="0.3">
      <c r="A41" s="81" t="s">
        <v>94</v>
      </c>
      <c r="B41" s="79" t="s">
        <v>95</v>
      </c>
      <c r="C41" s="79" t="s">
        <v>70</v>
      </c>
      <c r="D41" s="92">
        <v>63</v>
      </c>
      <c r="E41" s="103">
        <v>7000</v>
      </c>
      <c r="F41" s="104">
        <v>441000</v>
      </c>
    </row>
    <row r="42" spans="1:6" x14ac:dyDescent="0.3">
      <c r="A42" s="81" t="s">
        <v>141</v>
      </c>
      <c r="B42" s="79" t="s">
        <v>168</v>
      </c>
      <c r="C42" s="79" t="s">
        <v>70</v>
      </c>
      <c r="D42" s="92">
        <v>63</v>
      </c>
      <c r="E42" s="103">
        <v>5000</v>
      </c>
      <c r="F42" s="104">
        <v>315000</v>
      </c>
    </row>
    <row r="43" spans="1:6" x14ac:dyDescent="0.3">
      <c r="A43" s="81" t="s">
        <v>139</v>
      </c>
      <c r="B43" s="79" t="s">
        <v>140</v>
      </c>
      <c r="C43" s="79" t="s">
        <v>70</v>
      </c>
      <c r="D43" s="92">
        <v>63</v>
      </c>
      <c r="E43" s="103">
        <v>10000</v>
      </c>
      <c r="F43" s="104">
        <v>630000</v>
      </c>
    </row>
    <row r="44" spans="1:6" x14ac:dyDescent="0.3">
      <c r="A44" s="81" t="s">
        <v>138</v>
      </c>
      <c r="B44" s="79" t="s">
        <v>154</v>
      </c>
      <c r="C44" s="79" t="s">
        <v>70</v>
      </c>
      <c r="D44" s="92">
        <v>63</v>
      </c>
      <c r="E44" s="103">
        <v>4000</v>
      </c>
      <c r="F44" s="104">
        <v>252000</v>
      </c>
    </row>
    <row r="45" spans="1:6" x14ac:dyDescent="0.3">
      <c r="A45" s="81" t="s">
        <v>137</v>
      </c>
      <c r="B45" s="79" t="s">
        <v>96</v>
      </c>
      <c r="C45" s="79" t="s">
        <v>70</v>
      </c>
      <c r="D45" s="92">
        <v>63</v>
      </c>
      <c r="E45" s="103">
        <v>3500</v>
      </c>
      <c r="F45" s="104">
        <v>220500</v>
      </c>
    </row>
    <row r="46" spans="1:6" x14ac:dyDescent="0.3">
      <c r="A46" s="80" t="s">
        <v>97</v>
      </c>
      <c r="B46" s="78" t="s">
        <v>98</v>
      </c>
      <c r="C46" s="78"/>
      <c r="D46" s="90"/>
      <c r="E46" s="99"/>
      <c r="F46" s="100">
        <v>191708.5423</v>
      </c>
    </row>
    <row r="47" spans="1:6" x14ac:dyDescent="0.3">
      <c r="A47" s="81" t="s">
        <v>99</v>
      </c>
      <c r="B47" s="79" t="s">
        <v>100</v>
      </c>
      <c r="C47" s="79" t="s">
        <v>16</v>
      </c>
      <c r="D47" s="92">
        <v>26752.720000000001</v>
      </c>
      <c r="E47" s="103">
        <v>6.5</v>
      </c>
      <c r="F47" s="104">
        <v>173892.68</v>
      </c>
    </row>
    <row r="48" spans="1:6" x14ac:dyDescent="0.3">
      <c r="A48" s="81" t="s">
        <v>136</v>
      </c>
      <c r="B48" s="79" t="s">
        <v>101</v>
      </c>
      <c r="C48" s="79" t="s">
        <v>11</v>
      </c>
      <c r="D48" s="92">
        <v>799</v>
      </c>
      <c r="E48" s="103">
        <v>22.297699999999999</v>
      </c>
      <c r="F48" s="104">
        <v>17815.862300000001</v>
      </c>
    </row>
    <row r="49" spans="1:6" x14ac:dyDescent="0.3">
      <c r="A49" s="80" t="s">
        <v>102</v>
      </c>
      <c r="B49" s="78" t="s">
        <v>103</v>
      </c>
      <c r="C49" s="78"/>
      <c r="D49" s="90"/>
      <c r="E49" s="99"/>
      <c r="F49" s="100">
        <v>1837443.4227365453</v>
      </c>
    </row>
    <row r="50" spans="1:6" x14ac:dyDescent="0.3">
      <c r="A50" s="81" t="s">
        <v>104</v>
      </c>
      <c r="B50" s="79" t="s">
        <v>125</v>
      </c>
      <c r="C50" s="79" t="s">
        <v>70</v>
      </c>
      <c r="D50" s="92">
        <v>63</v>
      </c>
      <c r="E50" s="103">
        <v>5200</v>
      </c>
      <c r="F50" s="104">
        <v>327600</v>
      </c>
    </row>
    <row r="51" spans="1:6" x14ac:dyDescent="0.3">
      <c r="A51" s="81" t="s">
        <v>105</v>
      </c>
      <c r="B51" s="79" t="s">
        <v>124</v>
      </c>
      <c r="C51" s="79" t="s">
        <v>16</v>
      </c>
      <c r="D51" s="92">
        <v>614.44745</v>
      </c>
      <c r="E51" s="103">
        <v>150</v>
      </c>
      <c r="F51" s="104">
        <v>92167.117500000008</v>
      </c>
    </row>
    <row r="52" spans="1:6" ht="26.4" x14ac:dyDescent="0.3">
      <c r="A52" s="81" t="s">
        <v>106</v>
      </c>
      <c r="B52" s="79" t="s">
        <v>135</v>
      </c>
      <c r="C52" s="79" t="s">
        <v>47</v>
      </c>
      <c r="D52" s="92">
        <v>1</v>
      </c>
      <c r="E52" s="103">
        <v>157877.72974006677</v>
      </c>
      <c r="F52" s="104">
        <v>157877.72974006677</v>
      </c>
    </row>
    <row r="53" spans="1:6" x14ac:dyDescent="0.3">
      <c r="A53" s="81" t="s">
        <v>107</v>
      </c>
      <c r="B53" s="79" t="s">
        <v>134</v>
      </c>
      <c r="C53" s="79" t="s">
        <v>47</v>
      </c>
      <c r="D53" s="92">
        <v>1</v>
      </c>
      <c r="E53" s="103">
        <v>710548.14138333872</v>
      </c>
      <c r="F53" s="104">
        <v>710548.14138333872</v>
      </c>
    </row>
    <row r="54" spans="1:6" x14ac:dyDescent="0.3">
      <c r="A54" s="81" t="s">
        <v>108</v>
      </c>
      <c r="B54" s="79" t="s">
        <v>109</v>
      </c>
      <c r="C54" s="79" t="s">
        <v>47</v>
      </c>
      <c r="D54" s="92">
        <v>1</v>
      </c>
      <c r="E54" s="103">
        <v>15000</v>
      </c>
      <c r="F54" s="104">
        <v>15000</v>
      </c>
    </row>
    <row r="55" spans="1:6" x14ac:dyDescent="0.3">
      <c r="A55" s="81" t="s">
        <v>110</v>
      </c>
      <c r="B55" s="79" t="s">
        <v>111</v>
      </c>
      <c r="C55" s="79" t="s">
        <v>47</v>
      </c>
      <c r="D55" s="92">
        <v>1</v>
      </c>
      <c r="E55" s="103">
        <v>30000</v>
      </c>
      <c r="F55" s="104">
        <v>30000</v>
      </c>
    </row>
    <row r="56" spans="1:6" x14ac:dyDescent="0.3">
      <c r="A56" s="81" t="s">
        <v>112</v>
      </c>
      <c r="B56" s="79" t="s">
        <v>113</v>
      </c>
      <c r="C56" s="79" t="s">
        <v>16</v>
      </c>
      <c r="D56" s="92">
        <v>1199.8580000000002</v>
      </c>
      <c r="E56" s="103">
        <v>65</v>
      </c>
      <c r="F56" s="104">
        <v>77990.770000000019</v>
      </c>
    </row>
    <row r="57" spans="1:6" ht="26.4" x14ac:dyDescent="0.3">
      <c r="A57" s="81" t="s">
        <v>126</v>
      </c>
      <c r="B57" s="79" t="s">
        <v>128</v>
      </c>
      <c r="C57" s="79" t="s">
        <v>16</v>
      </c>
      <c r="D57" s="92">
        <v>208.07600000000002</v>
      </c>
      <c r="E57" s="103">
        <v>180</v>
      </c>
      <c r="F57" s="104">
        <v>37453.680000000008</v>
      </c>
    </row>
    <row r="58" spans="1:6" ht="26.4" x14ac:dyDescent="0.3">
      <c r="A58" s="145" t="s">
        <v>127</v>
      </c>
      <c r="B58" s="146" t="s">
        <v>114</v>
      </c>
      <c r="C58" s="146" t="s">
        <v>47</v>
      </c>
      <c r="D58" s="121">
        <v>1</v>
      </c>
      <c r="E58" s="103">
        <v>388805.98411313997</v>
      </c>
      <c r="F58" s="104">
        <v>388805.98411313997</v>
      </c>
    </row>
    <row r="59" spans="1:6" x14ac:dyDescent="0.3">
      <c r="A59" s="80" t="s">
        <v>115</v>
      </c>
      <c r="B59" s="78" t="s">
        <v>116</v>
      </c>
      <c r="C59" s="78"/>
      <c r="D59" s="90"/>
      <c r="E59" s="99"/>
      <c r="F59" s="100">
        <v>2272169.0727272732</v>
      </c>
    </row>
    <row r="60" spans="1:6" ht="21" customHeight="1" x14ac:dyDescent="0.3">
      <c r="A60" s="84" t="s">
        <v>117</v>
      </c>
      <c r="B60" s="76" t="s">
        <v>118</v>
      </c>
      <c r="C60" s="76"/>
      <c r="D60" s="89"/>
      <c r="E60" s="97"/>
      <c r="F60" s="98">
        <v>2843630.5309994966</v>
      </c>
    </row>
    <row r="61" spans="1:6" x14ac:dyDescent="0.3">
      <c r="A61" s="80" t="s">
        <v>119</v>
      </c>
      <c r="B61" s="78" t="s">
        <v>120</v>
      </c>
      <c r="C61" s="78"/>
      <c r="D61" s="90"/>
      <c r="E61" s="99"/>
      <c r="F61" s="100">
        <v>1755547.6209994969</v>
      </c>
    </row>
    <row r="62" spans="1:6" x14ac:dyDescent="0.3">
      <c r="A62" s="81" t="s">
        <v>121</v>
      </c>
      <c r="B62" s="79" t="s">
        <v>122</v>
      </c>
      <c r="C62" s="79" t="s">
        <v>47</v>
      </c>
      <c r="D62" s="121">
        <v>1</v>
      </c>
      <c r="E62" s="103">
        <v>114400</v>
      </c>
      <c r="F62" s="104">
        <v>114400</v>
      </c>
    </row>
    <row r="63" spans="1:6" x14ac:dyDescent="0.3">
      <c r="A63" s="81" t="s">
        <v>121</v>
      </c>
      <c r="B63" s="79" t="s">
        <v>169</v>
      </c>
      <c r="C63" s="79" t="s">
        <v>47</v>
      </c>
      <c r="D63" s="121">
        <v>1</v>
      </c>
      <c r="E63" s="103">
        <v>867947.62099949701</v>
      </c>
      <c r="F63" s="104">
        <v>867947.62099949701</v>
      </c>
    </row>
    <row r="64" spans="1:6" x14ac:dyDescent="0.3">
      <c r="A64" s="81" t="s">
        <v>123</v>
      </c>
      <c r="B64" s="79" t="s">
        <v>159</v>
      </c>
      <c r="C64" s="79" t="s">
        <v>70</v>
      </c>
      <c r="D64" s="121">
        <v>32</v>
      </c>
      <c r="E64" s="103">
        <v>20000</v>
      </c>
      <c r="F64" s="104">
        <v>640000</v>
      </c>
    </row>
    <row r="65" spans="1:6" x14ac:dyDescent="0.3">
      <c r="A65" s="145" t="s">
        <v>123</v>
      </c>
      <c r="B65" s="146" t="s">
        <v>161</v>
      </c>
      <c r="C65" s="146" t="s">
        <v>38</v>
      </c>
      <c r="D65" s="121">
        <v>2</v>
      </c>
      <c r="E65" s="103">
        <v>5000</v>
      </c>
      <c r="F65" s="104">
        <v>10000</v>
      </c>
    </row>
    <row r="66" spans="1:6" x14ac:dyDescent="0.3">
      <c r="A66" s="145" t="s">
        <v>123</v>
      </c>
      <c r="B66" s="146" t="s">
        <v>162</v>
      </c>
      <c r="C66" s="146" t="s">
        <v>38</v>
      </c>
      <c r="D66" s="121">
        <v>2</v>
      </c>
      <c r="E66" s="103">
        <v>5000</v>
      </c>
      <c r="F66" s="104">
        <v>10000</v>
      </c>
    </row>
    <row r="67" spans="1:6" x14ac:dyDescent="0.3">
      <c r="A67" s="81" t="s">
        <v>123</v>
      </c>
      <c r="B67" s="79" t="s">
        <v>160</v>
      </c>
      <c r="C67" s="79" t="s">
        <v>70</v>
      </c>
      <c r="D67" s="121">
        <v>32</v>
      </c>
      <c r="E67" s="103">
        <v>2600</v>
      </c>
      <c r="F67" s="104">
        <v>83200</v>
      </c>
    </row>
    <row r="68" spans="1:6" x14ac:dyDescent="0.3">
      <c r="A68" s="81" t="s">
        <v>123</v>
      </c>
      <c r="B68" s="79" t="s">
        <v>193</v>
      </c>
      <c r="C68" s="79" t="s">
        <v>38</v>
      </c>
      <c r="D68" s="121">
        <v>4</v>
      </c>
      <c r="E68" s="103">
        <v>7500</v>
      </c>
      <c r="F68" s="104">
        <v>30000</v>
      </c>
    </row>
    <row r="69" spans="1:6" x14ac:dyDescent="0.3">
      <c r="A69" s="80" t="s">
        <v>133</v>
      </c>
      <c r="B69" s="78" t="s">
        <v>163</v>
      </c>
      <c r="C69" s="78"/>
      <c r="D69" s="90"/>
      <c r="E69" s="99"/>
      <c r="F69" s="100">
        <v>1088082.9099999999</v>
      </c>
    </row>
    <row r="70" spans="1:6" x14ac:dyDescent="0.3">
      <c r="A70" s="81" t="s">
        <v>132</v>
      </c>
      <c r="B70" s="79" t="s">
        <v>165</v>
      </c>
      <c r="C70" s="79" t="s">
        <v>70</v>
      </c>
      <c r="D70" s="121">
        <v>23</v>
      </c>
      <c r="E70" s="103">
        <v>6000</v>
      </c>
      <c r="F70" s="104">
        <v>138000</v>
      </c>
    </row>
    <row r="71" spans="1:6" x14ac:dyDescent="0.3">
      <c r="A71" s="81" t="s">
        <v>131</v>
      </c>
      <c r="B71" s="79" t="s">
        <v>166</v>
      </c>
      <c r="C71" s="79" t="s">
        <v>16</v>
      </c>
      <c r="D71" s="121">
        <v>16779</v>
      </c>
      <c r="E71" s="103">
        <v>50</v>
      </c>
      <c r="F71" s="104">
        <v>838950</v>
      </c>
    </row>
    <row r="72" spans="1:6" x14ac:dyDescent="0.3">
      <c r="A72" s="81" t="s">
        <v>164</v>
      </c>
      <c r="B72" s="79" t="s">
        <v>167</v>
      </c>
      <c r="C72" s="79" t="s">
        <v>11</v>
      </c>
      <c r="D72" s="121">
        <v>5593</v>
      </c>
      <c r="E72" s="103">
        <v>19.87</v>
      </c>
      <c r="F72" s="104">
        <v>111132.91</v>
      </c>
    </row>
    <row r="73" spans="1:6" ht="13.8" thickBot="1" x14ac:dyDescent="0.35">
      <c r="A73" s="158" t="s">
        <v>129</v>
      </c>
      <c r="B73" s="159"/>
      <c r="C73" s="159"/>
      <c r="D73" s="159"/>
      <c r="E73" s="159"/>
      <c r="F73" s="105">
        <v>17152123.557689428</v>
      </c>
    </row>
  </sheetData>
  <mergeCells count="7">
    <mergeCell ref="A12:F12"/>
    <mergeCell ref="A73:E73"/>
    <mergeCell ref="A1:F5"/>
    <mergeCell ref="B7:F7"/>
    <mergeCell ref="B8:F8"/>
    <mergeCell ref="B9:F9"/>
    <mergeCell ref="B10:F10"/>
  </mergeCells>
  <phoneticPr fontId="30" type="noConversion"/>
  <pageMargins left="0.52999994886203072" right="0.52999994886203072" top="0.52999994886203072" bottom="0.68999998212799307" header="0" footer="0"/>
  <pageSetup paperSize="9" scale="6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5</vt:i4>
      </vt:variant>
    </vt:vector>
  </HeadingPairs>
  <TitlesOfParts>
    <vt:vector size="9" baseType="lpstr">
      <vt:lpstr>SUÍTES_MAR</vt:lpstr>
      <vt:lpstr>MÃO_OBRA</vt:lpstr>
      <vt:lpstr>EPC's</vt:lpstr>
      <vt:lpstr>CUSTOS_INDIRETOS</vt:lpstr>
      <vt:lpstr>'EPC''s'!Area_de_impressao</vt:lpstr>
      <vt:lpstr>MÃO_OBRA!Area_de_impressao</vt:lpstr>
      <vt:lpstr>SUÍTES_MAR!Area_de_impressao</vt:lpstr>
      <vt:lpstr>'EPC''s'!Titulos_de_impressao</vt:lpstr>
      <vt:lpstr>SUÍTES_MAR!Titulos_de_impressao</vt:lpstr>
    </vt:vector>
  </TitlesOfParts>
  <Company>Stéfani Nogueira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Kélen</dc:creator>
  <cp:lastModifiedBy>Luisa Romaniello</cp:lastModifiedBy>
  <cp:lastPrinted>2023-02-27T15:22:00Z</cp:lastPrinted>
  <dcterms:created xsi:type="dcterms:W3CDTF">2011-05-06T12:13:22Z</dcterms:created>
  <dcterms:modified xsi:type="dcterms:W3CDTF">2023-02-28T19:24:46Z</dcterms:modified>
</cp:coreProperties>
</file>