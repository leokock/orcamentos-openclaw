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activeX/activeX2.xml" ContentType="application/vnd.ms-office.activeX+xml"/>
  <Override PartName="/xl/activeX/activeX2.bin" ContentType="application/vnd.ms-office.activeX"/>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EstaPastaDeTrabalho" defaultThemeVersion="166925"/>
  <mc:AlternateContent xmlns:mc="http://schemas.openxmlformats.org/markup-compatibility/2006">
    <mc:Choice Requires="x15">
      <x15ac:absPath xmlns:x15ac="http://schemas.microsoft.com/office/spreadsheetml/2010/11/ac" url="G:\.shortcut-targets-by-id\16oaQUYgx8kiowDwLhg-oO1zGZ777DJUb\2. Projetos em Andamento\Kirchner Empreendimentos\03. Custo\03.5 Custo - Determinação do orçamento\"/>
    </mc:Choice>
  </mc:AlternateContent>
  <xr:revisionPtr revIDLastSave="0" documentId="13_ncr:1_{58359F28-CCD4-43F0-9A40-703DAD9621B1}" xr6:coauthVersionLast="47" xr6:coauthVersionMax="47" xr10:uidLastSave="{00000000-0000-0000-0000-000000000000}"/>
  <bookViews>
    <workbookView xWindow="17295" yWindow="1380" windowWidth="23040" windowHeight="12330" xr2:uid="{00000000-000D-0000-FFFF-FFFF00000000}"/>
  </bookViews>
  <sheets>
    <sheet name="Resumo" sheetId="3" r:id="rId1"/>
    <sheet name="CUSTOS DIRETOS" sheetId="4" r:id="rId2"/>
    <sheet name="CUSTOS INDIRETOS" sheetId="8" r:id="rId3"/>
    <sheet name="CUSTOS DISPONIBILIZADOS" sheetId="34" r:id="rId4"/>
    <sheet name="ESCAVAÇÕES" sheetId="14" r:id="rId5"/>
    <sheet name="ESTACAS" sheetId="15" r:id="rId6"/>
    <sheet name="BALDRAMES" sheetId="12" r:id="rId7"/>
    <sheet name="SUPRAESTRUTURA" sheetId="16" r:id="rId8"/>
    <sheet name="ESCORAMENTO" sheetId="17" r:id="rId9"/>
    <sheet name="ALVENARIA" sheetId="18" r:id="rId10"/>
    <sheet name="Verga e contra" sheetId="37" r:id="rId11"/>
    <sheet name="REVESTIMENTOS" sheetId="35" r:id="rId12"/>
    <sheet name="ARGAMASSADO EM ESTRUTURA" sheetId="28" r:id="rId13"/>
    <sheet name="CHURRASQUEIRA" sheetId="36" r:id="rId14"/>
    <sheet name="IMPER" sheetId="19" r:id="rId15"/>
    <sheet name="HIDRÁULICAS" sheetId="20" r:id="rId16"/>
    <sheet name="ESGOTO E PLUVIAL" sheetId="21" r:id="rId17"/>
    <sheet name="LOUÇAS E METAIS" sheetId="22" r:id="rId18"/>
    <sheet name="ELÉTRICA" sheetId="23" r:id="rId19"/>
    <sheet name="EXAUSTÃO" sheetId="24" r:id="rId20"/>
    <sheet name="TELECOM" sheetId="25" r:id="rId21"/>
    <sheet name="SPDA" sheetId="26" r:id="rId22"/>
    <sheet name="PISOS" sheetId="30" r:id="rId23"/>
    <sheet name="FORRO" sheetId="29" r:id="rId24"/>
    <sheet name="FACHADA" sheetId="27" r:id="rId25"/>
    <sheet name="SERVIÇOS COMPLEMENTARES" sheetId="31" r:id="rId26"/>
    <sheet name="MOBILIÁRIO E QUADRA" sheetId="32" r:id="rId27"/>
    <sheet name="EPC's" sheetId="33"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0" localSheetId="9">#REF!</definedName>
    <definedName name="\0" localSheetId="12">#REF!</definedName>
    <definedName name="\0" localSheetId="6">#REF!</definedName>
    <definedName name="\0" localSheetId="13">#REF!</definedName>
    <definedName name="\0" localSheetId="18">#REF!</definedName>
    <definedName name="\0" localSheetId="27">#REF!</definedName>
    <definedName name="\0" localSheetId="4">#REF!</definedName>
    <definedName name="\0" localSheetId="5">#REF!</definedName>
    <definedName name="\0" localSheetId="19">#REF!</definedName>
    <definedName name="\0" localSheetId="24">#REF!</definedName>
    <definedName name="\0" localSheetId="23">#REF!</definedName>
    <definedName name="\0" localSheetId="26">#REF!</definedName>
    <definedName name="\0" localSheetId="22">#REF!</definedName>
    <definedName name="\0" localSheetId="11">#REF!</definedName>
    <definedName name="\0" localSheetId="21">#REF!</definedName>
    <definedName name="\0" localSheetId="7">#REF!</definedName>
    <definedName name="\0" localSheetId="20">#REF!</definedName>
    <definedName name="\0" localSheetId="10">#REF!</definedName>
    <definedName name="\0">#REF!</definedName>
    <definedName name="\a" localSheetId="9">#REF!</definedName>
    <definedName name="\a" localSheetId="12">#REF!</definedName>
    <definedName name="\a" localSheetId="6">#REF!</definedName>
    <definedName name="\a" localSheetId="13">#REF!</definedName>
    <definedName name="\a" localSheetId="18">#REF!</definedName>
    <definedName name="\a" localSheetId="27">#REF!</definedName>
    <definedName name="\a" localSheetId="4">#REF!</definedName>
    <definedName name="\a" localSheetId="5">#REF!</definedName>
    <definedName name="\a" localSheetId="19">#REF!</definedName>
    <definedName name="\a" localSheetId="24">#REF!</definedName>
    <definedName name="\a" localSheetId="23">#REF!</definedName>
    <definedName name="\a" localSheetId="26">#REF!</definedName>
    <definedName name="\a" localSheetId="22">#REF!</definedName>
    <definedName name="\a" localSheetId="11">#REF!</definedName>
    <definedName name="\a" localSheetId="21">#REF!</definedName>
    <definedName name="\a" localSheetId="7">#REF!</definedName>
    <definedName name="\a" localSheetId="20">#REF!</definedName>
    <definedName name="\a" localSheetId="10">#REF!</definedName>
    <definedName name="\a">#REF!</definedName>
    <definedName name="\m" localSheetId="9">#REF!</definedName>
    <definedName name="\m" localSheetId="12">#REF!</definedName>
    <definedName name="\m" localSheetId="13">#REF!</definedName>
    <definedName name="\m" localSheetId="18">#REF!</definedName>
    <definedName name="\m" localSheetId="27">#REF!</definedName>
    <definedName name="\m" localSheetId="4">#REF!</definedName>
    <definedName name="\m" localSheetId="5">#REF!</definedName>
    <definedName name="\m" localSheetId="19">#REF!</definedName>
    <definedName name="\m" localSheetId="24">#REF!</definedName>
    <definedName name="\m" localSheetId="23">#REF!</definedName>
    <definedName name="\m" localSheetId="26">#REF!</definedName>
    <definedName name="\m" localSheetId="22">#REF!</definedName>
    <definedName name="\m" localSheetId="11">#REF!</definedName>
    <definedName name="\m" localSheetId="21">#REF!</definedName>
    <definedName name="\m" localSheetId="7">#REF!</definedName>
    <definedName name="\m" localSheetId="20">#REF!</definedName>
    <definedName name="\m" localSheetId="10">#REF!</definedName>
    <definedName name="\m">#REF!</definedName>
    <definedName name="_xlnm._FilterDatabase" localSheetId="9" hidden="1">ALVENARIA!#REF!</definedName>
    <definedName name="_xlnm._FilterDatabase" localSheetId="12" hidden="1">'ARGAMASSADO EM ESTRUTURA'!#REF!</definedName>
    <definedName name="_xlnm._FilterDatabase" localSheetId="6" hidden="1">BALDRAMES!#REF!</definedName>
    <definedName name="_xlnm._FilterDatabase" localSheetId="13" hidden="1">CHURRASQUEIRA!#REF!</definedName>
    <definedName name="_xlnm._FilterDatabase" localSheetId="1" hidden="1">'CUSTOS DIRETOS'!$A$2:$F$2</definedName>
    <definedName name="_xlnm._FilterDatabase" localSheetId="2" hidden="1">'CUSTOS INDIRETOS'!$A$1:$A$101</definedName>
    <definedName name="_xlnm._FilterDatabase" localSheetId="27" hidden="1">'EPC''s'!#REF!</definedName>
    <definedName name="_xlnm._FilterDatabase" localSheetId="4" hidden="1">ESCAVAÇÕES!#REF!</definedName>
    <definedName name="_xlnm._FilterDatabase" localSheetId="5" hidden="1">ESTACAS!#REF!</definedName>
    <definedName name="_xlnm._FilterDatabase" localSheetId="24" hidden="1">FACHADA!#REF!</definedName>
    <definedName name="_xlnm._FilterDatabase" localSheetId="23" hidden="1">FORRO!#REF!</definedName>
    <definedName name="_xlnm._FilterDatabase" localSheetId="26" hidden="1">'MOBILIÁRIO E QUADRA'!$A$10:$I$137</definedName>
    <definedName name="_xlnm._FilterDatabase" localSheetId="22" hidden="1">PISOS!#REF!</definedName>
    <definedName name="_xlnm._FilterDatabase" localSheetId="0" hidden="1">Resumo!$S$2:$S$30</definedName>
    <definedName name="_xlnm._FilterDatabase" localSheetId="11" hidden="1">REVESTIMENTOS!#REF!</definedName>
    <definedName name="_xlnm._FilterDatabase" localSheetId="25" hidden="1">'SERVIÇOS COMPLEMENTARES'!#REF!</definedName>
    <definedName name="_xlnm._FilterDatabase" localSheetId="7" hidden="1">SUPRAESTRUTURA!#REF!</definedName>
    <definedName name="_xlnm._FilterDatabase" localSheetId="10" hidden="1">'Verga e contra'!#REF!</definedName>
    <definedName name="aa" localSheetId="9">#REF!</definedName>
    <definedName name="aa" localSheetId="12">#REF!</definedName>
    <definedName name="aa" localSheetId="6">#REF!</definedName>
    <definedName name="aa" localSheetId="13">#REF!</definedName>
    <definedName name="aa" localSheetId="18">#REF!</definedName>
    <definedName name="aa" localSheetId="27">#REF!</definedName>
    <definedName name="aa" localSheetId="4">#REF!</definedName>
    <definedName name="aa" localSheetId="5">#REF!</definedName>
    <definedName name="aa" localSheetId="19">#REF!</definedName>
    <definedName name="aa" localSheetId="24">#REF!</definedName>
    <definedName name="aa" localSheetId="23">#REF!</definedName>
    <definedName name="aa" localSheetId="26">#REF!</definedName>
    <definedName name="aa" localSheetId="22">#REF!</definedName>
    <definedName name="aa" localSheetId="11">#REF!</definedName>
    <definedName name="aa" localSheetId="21">#REF!</definedName>
    <definedName name="aa" localSheetId="7">#REF!</definedName>
    <definedName name="aa" localSheetId="20">#REF!</definedName>
    <definedName name="aa" localSheetId="10">#REF!</definedName>
    <definedName name="aa">#REF!</definedName>
    <definedName name="aaaa" localSheetId="9">'[1]M.O.'!#REF!</definedName>
    <definedName name="aaaa" localSheetId="12">'[1]M.O.'!#REF!</definedName>
    <definedName name="aaaa" localSheetId="6">'[1]M.O.'!#REF!</definedName>
    <definedName name="aaaa" localSheetId="13">'[1]M.O.'!#REF!</definedName>
    <definedName name="aaaa" localSheetId="27">'[1]M.O.'!#REF!</definedName>
    <definedName name="aaaa" localSheetId="4">'[1]M.O.'!#REF!</definedName>
    <definedName name="aaaa" localSheetId="24">'[1]M.O.'!#REF!</definedName>
    <definedName name="aaaa" localSheetId="23">'[1]M.O.'!#REF!</definedName>
    <definedName name="aaaa" localSheetId="26">'[1]M.O.'!#REF!</definedName>
    <definedName name="aaaa" localSheetId="22">'[1]M.O.'!#REF!</definedName>
    <definedName name="aaaa" localSheetId="11">'[1]M.O.'!#REF!</definedName>
    <definedName name="aaaa" localSheetId="7">'[1]M.O.'!#REF!</definedName>
    <definedName name="aaaa" localSheetId="10">'[1]M.O.'!#REF!</definedName>
    <definedName name="aaaa">'[1]M.O.'!#REF!</definedName>
    <definedName name="angelo" localSheetId="9">[2]Geral!#REF!</definedName>
    <definedName name="angelo" localSheetId="12">[2]Geral!#REF!</definedName>
    <definedName name="angelo" localSheetId="6">[2]Geral!#REF!</definedName>
    <definedName name="angelo" localSheetId="13">[2]Geral!#REF!</definedName>
    <definedName name="angelo" localSheetId="27">[2]Geral!#REF!</definedName>
    <definedName name="angelo" localSheetId="4">[2]Geral!#REF!</definedName>
    <definedName name="angelo" localSheetId="24">[2]Geral!#REF!</definedName>
    <definedName name="angelo" localSheetId="23">[2]Geral!#REF!</definedName>
    <definedName name="angelo" localSheetId="26">[2]Geral!#REF!</definedName>
    <definedName name="angelo" localSheetId="22">[2]Geral!#REF!</definedName>
    <definedName name="angelo" localSheetId="11">[2]Geral!#REF!</definedName>
    <definedName name="angelo" localSheetId="7">[2]Geral!#REF!</definedName>
    <definedName name="angelo" localSheetId="10">[2]Geral!#REF!</definedName>
    <definedName name="angelo">[2]Geral!#REF!</definedName>
    <definedName name="area" localSheetId="21">#REF!</definedName>
    <definedName name="area" localSheetId="10">#REF!</definedName>
    <definedName name="area">#REF!</definedName>
    <definedName name="_xlnm.Extract" localSheetId="25">'SERVIÇOS COMPLEMENTARES'!#REF!</definedName>
    <definedName name="_xlnm.Print_Area" localSheetId="9">ALVENARIA!$A$1:$H$21</definedName>
    <definedName name="_xlnm.Print_Area" localSheetId="12">'ARGAMASSADO EM ESTRUTURA'!$A$1:$P$28</definedName>
    <definedName name="_xlnm.Print_Area" localSheetId="6">BALDRAMES!$A$1:$Q$17</definedName>
    <definedName name="_xlnm.Print_Area" localSheetId="13">CHURRASQUEIRA!$A$1:$F$32</definedName>
    <definedName name="_xlnm.Print_Area" localSheetId="18">#REF!</definedName>
    <definedName name="_xlnm.Print_Area" localSheetId="27">'EPC''s'!$A$1:$F$69</definedName>
    <definedName name="_xlnm.Print_Area" localSheetId="4">#REF!</definedName>
    <definedName name="_xlnm.Print_Area" localSheetId="5">#REF!</definedName>
    <definedName name="_xlnm.Print_Area" localSheetId="19">#REF!</definedName>
    <definedName name="_xlnm.Print_Area" localSheetId="24">FACHADA!$A$1:$R$15</definedName>
    <definedName name="_xlnm.Print_Area" localSheetId="23">FORRO!$A$1:$R$19</definedName>
    <definedName name="_xlnm.Print_Area" localSheetId="26">'MOBILIÁRIO E QUADRA'!$A$1:$F$18</definedName>
    <definedName name="_xlnm.Print_Area" localSheetId="22">PISOS!$A$1:$U$19</definedName>
    <definedName name="_xlnm.Print_Area" localSheetId="11">REVESTIMENTOS!$A$1:$G$20</definedName>
    <definedName name="_xlnm.Print_Area" localSheetId="21">#REF!</definedName>
    <definedName name="_xlnm.Print_Area" localSheetId="7">SUPRAESTRUTURA!$A$1:$Q$107</definedName>
    <definedName name="_xlnm.Print_Area" localSheetId="20">#REF!</definedName>
    <definedName name="_xlnm.Print_Area" localSheetId="10">'Verga e contra'!$A$1:$F$47</definedName>
    <definedName name="_xlnm.Print_Area">#REF!</definedName>
    <definedName name="Areaimpresso">#REF!</definedName>
    <definedName name="aux" localSheetId="9">#REF!</definedName>
    <definedName name="aux" localSheetId="12">#REF!</definedName>
    <definedName name="aux" localSheetId="6">#REF!</definedName>
    <definedName name="aux" localSheetId="13">#REF!</definedName>
    <definedName name="aux" localSheetId="18">#REF!</definedName>
    <definedName name="aux" localSheetId="27">#REF!</definedName>
    <definedName name="aux" localSheetId="4">#REF!</definedName>
    <definedName name="aux" localSheetId="5">#REF!</definedName>
    <definedName name="aux" localSheetId="19">#REF!</definedName>
    <definedName name="aux" localSheetId="24">#REF!</definedName>
    <definedName name="aux" localSheetId="23">#REF!</definedName>
    <definedName name="aux" localSheetId="26">#REF!</definedName>
    <definedName name="aux" localSheetId="22">#REF!</definedName>
    <definedName name="aux" localSheetId="11">#REF!</definedName>
    <definedName name="aux" localSheetId="21">#REF!</definedName>
    <definedName name="aux" localSheetId="7">#REF!</definedName>
    <definedName name="aux" localSheetId="20">#REF!</definedName>
    <definedName name="aux" localSheetId="10">#REF!</definedName>
    <definedName name="aux">#REF!</definedName>
    <definedName name="BDA" localSheetId="9">#REF!</definedName>
    <definedName name="BDA" localSheetId="12">#REF!</definedName>
    <definedName name="BDA" localSheetId="6">#REF!</definedName>
    <definedName name="BDA" localSheetId="13">#REF!</definedName>
    <definedName name="BDA" localSheetId="18">#REF!</definedName>
    <definedName name="BDA" localSheetId="27">#REF!</definedName>
    <definedName name="BDA" localSheetId="4">#REF!</definedName>
    <definedName name="BDA" localSheetId="5">#REF!</definedName>
    <definedName name="BDA" localSheetId="19">#REF!</definedName>
    <definedName name="BDA" localSheetId="24">#REF!</definedName>
    <definedName name="BDA" localSheetId="23">#REF!</definedName>
    <definedName name="BDA" localSheetId="26">#REF!</definedName>
    <definedName name="BDA" localSheetId="22">#REF!</definedName>
    <definedName name="BDA" localSheetId="11">#REF!</definedName>
    <definedName name="BDA" localSheetId="21">#REF!</definedName>
    <definedName name="BDA" localSheetId="7">#REF!</definedName>
    <definedName name="BDA" localSheetId="20">#REF!</definedName>
    <definedName name="BDA" localSheetId="10">#REF!</definedName>
    <definedName name="BDA">#REF!</definedName>
    <definedName name="BDI" localSheetId="9">#REF!</definedName>
    <definedName name="BDI" localSheetId="12">#REF!</definedName>
    <definedName name="BDI" localSheetId="18">#REF!</definedName>
    <definedName name="BDI" localSheetId="27">#REF!</definedName>
    <definedName name="BDI" localSheetId="4">#REF!</definedName>
    <definedName name="BDI" localSheetId="5">#REF!</definedName>
    <definedName name="BDI" localSheetId="19">#REF!</definedName>
    <definedName name="BDI" localSheetId="24">#REF!</definedName>
    <definedName name="BDI" localSheetId="23">#REF!</definedName>
    <definedName name="BDI" localSheetId="26">#REF!</definedName>
    <definedName name="BDI" localSheetId="22">#REF!</definedName>
    <definedName name="BDI" localSheetId="11">#REF!</definedName>
    <definedName name="BDI" localSheetId="21">#REF!</definedName>
    <definedName name="BDI" localSheetId="7">#REF!</definedName>
    <definedName name="BDI" localSheetId="20">#REF!</definedName>
    <definedName name="BDI">#REF!</definedName>
    <definedName name="ca" localSheetId="9">#REF!</definedName>
    <definedName name="ca" localSheetId="12">#REF!</definedName>
    <definedName name="ca" localSheetId="18">#REF!</definedName>
    <definedName name="ca" localSheetId="27">#REF!</definedName>
    <definedName name="ca" localSheetId="4">#REF!</definedName>
    <definedName name="ca" localSheetId="5">#REF!</definedName>
    <definedName name="ca" localSheetId="19">#REF!</definedName>
    <definedName name="ca" localSheetId="24">#REF!</definedName>
    <definedName name="ca" localSheetId="23">#REF!</definedName>
    <definedName name="ca" localSheetId="26">#REF!</definedName>
    <definedName name="ca" localSheetId="22">#REF!</definedName>
    <definedName name="ca" localSheetId="11">#REF!</definedName>
    <definedName name="ca" localSheetId="21">#REF!</definedName>
    <definedName name="ca" localSheetId="7">#REF!</definedName>
    <definedName name="ca" localSheetId="20">#REF!</definedName>
    <definedName name="ca">#REF!</definedName>
    <definedName name="Capa" localSheetId="9">#REF!</definedName>
    <definedName name="Capa" localSheetId="12">#REF!</definedName>
    <definedName name="Capa" localSheetId="18">#REF!</definedName>
    <definedName name="Capa" localSheetId="27">#REF!</definedName>
    <definedName name="Capa" localSheetId="4">#REF!</definedName>
    <definedName name="Capa" localSheetId="5">#REF!</definedName>
    <definedName name="Capa" localSheetId="19">#REF!</definedName>
    <definedName name="Capa" localSheetId="24">#REF!</definedName>
    <definedName name="Capa" localSheetId="23">#REF!</definedName>
    <definedName name="Capa" localSheetId="26">#REF!</definedName>
    <definedName name="Capa" localSheetId="22">#REF!</definedName>
    <definedName name="Capa" localSheetId="11">#REF!</definedName>
    <definedName name="Capa" localSheetId="21">#REF!</definedName>
    <definedName name="Capa" localSheetId="7">#REF!</definedName>
    <definedName name="Capa" localSheetId="20">#REF!</definedName>
    <definedName name="Capa">#REF!</definedName>
    <definedName name="_xlnm.Criteria" localSheetId="25">'SERVIÇOS COMPLEMENTARES'!#REF!</definedName>
    <definedName name="cronograma" localSheetId="9">#REF!</definedName>
    <definedName name="cronograma" localSheetId="12">#REF!</definedName>
    <definedName name="cronograma" localSheetId="18">#REF!</definedName>
    <definedName name="cronograma" localSheetId="27">#REF!</definedName>
    <definedName name="cronograma" localSheetId="4">#REF!</definedName>
    <definedName name="cronograma" localSheetId="5">#REF!</definedName>
    <definedName name="cronograma" localSheetId="19">#REF!</definedName>
    <definedName name="cronograma" localSheetId="24">#REF!</definedName>
    <definedName name="cronograma" localSheetId="23">#REF!</definedName>
    <definedName name="cronograma" localSheetId="26">#REF!</definedName>
    <definedName name="cronograma" localSheetId="22">#REF!</definedName>
    <definedName name="cronograma" localSheetId="11">#REF!</definedName>
    <definedName name="cronograma" localSheetId="21">#REF!</definedName>
    <definedName name="cronograma" localSheetId="7">#REF!</definedName>
    <definedName name="cronograma" localSheetId="20">#REF!</definedName>
    <definedName name="cronograma">#REF!</definedName>
    <definedName name="D" localSheetId="9">#REF!</definedName>
    <definedName name="D" localSheetId="12">#REF!</definedName>
    <definedName name="D" localSheetId="18">#REF!</definedName>
    <definedName name="D" localSheetId="27">#REF!</definedName>
    <definedName name="D" localSheetId="4">#REF!</definedName>
    <definedName name="D" localSheetId="5">#REF!</definedName>
    <definedName name="D" localSheetId="19">#REF!</definedName>
    <definedName name="D" localSheetId="24">#REF!</definedName>
    <definedName name="D" localSheetId="23">#REF!</definedName>
    <definedName name="D" localSheetId="26">#REF!</definedName>
    <definedName name="D" localSheetId="22">#REF!</definedName>
    <definedName name="D" localSheetId="11">#REF!</definedName>
    <definedName name="D" localSheetId="21">#REF!</definedName>
    <definedName name="D" localSheetId="7">#REF!</definedName>
    <definedName name="D" localSheetId="20">#REF!</definedName>
    <definedName name="D">#REF!</definedName>
    <definedName name="direto" localSheetId="9">#REF!</definedName>
    <definedName name="direto" localSheetId="12">#REF!</definedName>
    <definedName name="direto" localSheetId="18">#REF!</definedName>
    <definedName name="direto" localSheetId="27">#REF!</definedName>
    <definedName name="direto" localSheetId="4">#REF!</definedName>
    <definedName name="direto" localSheetId="5">#REF!</definedName>
    <definedName name="direto" localSheetId="19">#REF!</definedName>
    <definedName name="direto" localSheetId="24">#REF!</definedName>
    <definedName name="direto" localSheetId="23">#REF!</definedName>
    <definedName name="direto" localSheetId="26">#REF!</definedName>
    <definedName name="direto" localSheetId="22">#REF!</definedName>
    <definedName name="direto" localSheetId="11">#REF!</definedName>
    <definedName name="direto" localSheetId="21">#REF!</definedName>
    <definedName name="direto" localSheetId="7">#REF!</definedName>
    <definedName name="direto" localSheetId="20">#REF!</definedName>
    <definedName name="direto">#REF!</definedName>
    <definedName name="DRE" localSheetId="9">#REF!</definedName>
    <definedName name="DRE" localSheetId="12">#REF!</definedName>
    <definedName name="DRE" localSheetId="18">#REF!</definedName>
    <definedName name="DRE" localSheetId="27">#REF!</definedName>
    <definedName name="DRE" localSheetId="4">#REF!</definedName>
    <definedName name="DRE" localSheetId="5">#REF!</definedName>
    <definedName name="DRE" localSheetId="19">#REF!</definedName>
    <definedName name="DRE" localSheetId="24">#REF!</definedName>
    <definedName name="DRE" localSheetId="23">#REF!</definedName>
    <definedName name="DRE" localSheetId="26">#REF!</definedName>
    <definedName name="DRE" localSheetId="22">#REF!</definedName>
    <definedName name="DRE" localSheetId="11">#REF!</definedName>
    <definedName name="DRE" localSheetId="21">#REF!</definedName>
    <definedName name="DRE" localSheetId="7">#REF!</definedName>
    <definedName name="DRE" localSheetId="20">#REF!</definedName>
    <definedName name="DRE">#REF!</definedName>
    <definedName name="ea" localSheetId="9">#REF!</definedName>
    <definedName name="ea" localSheetId="12">#REF!</definedName>
    <definedName name="ea" localSheetId="18">#REF!</definedName>
    <definedName name="ea" localSheetId="27">#REF!</definedName>
    <definedName name="ea" localSheetId="4">#REF!</definedName>
    <definedName name="ea" localSheetId="5">#REF!</definedName>
    <definedName name="ea" localSheetId="19">#REF!</definedName>
    <definedName name="ea" localSheetId="24">#REF!</definedName>
    <definedName name="ea" localSheetId="23">#REF!</definedName>
    <definedName name="ea" localSheetId="26">#REF!</definedName>
    <definedName name="ea" localSheetId="22">#REF!</definedName>
    <definedName name="ea" localSheetId="11">#REF!</definedName>
    <definedName name="ea" localSheetId="21">#REF!</definedName>
    <definedName name="ea" localSheetId="7">#REF!</definedName>
    <definedName name="ea" localSheetId="20">#REF!</definedName>
    <definedName name="ea">#REF!</definedName>
    <definedName name="eee" localSheetId="9" hidden="1">{#N/A,#N/A,FALSE,"ET-CAPA";#N/A,#N/A,FALSE,"ET-PAG1";#N/A,#N/A,FALSE,"ET-PAG2";#N/A,#N/A,FALSE,"ET-PAG3";#N/A,#N/A,FALSE,"ET-PAG4";#N/A,#N/A,FALSE,"ET-PAG5"}</definedName>
    <definedName name="eee" localSheetId="12" hidden="1">{#N/A,#N/A,FALSE,"ET-CAPA";#N/A,#N/A,FALSE,"ET-PAG1";#N/A,#N/A,FALSE,"ET-PAG2";#N/A,#N/A,FALSE,"ET-PAG3";#N/A,#N/A,FALSE,"ET-PAG4";#N/A,#N/A,FALSE,"ET-PAG5"}</definedName>
    <definedName name="eee" localSheetId="6" hidden="1">{#N/A,#N/A,FALSE,"ET-CAPA";#N/A,#N/A,FALSE,"ET-PAG1";#N/A,#N/A,FALSE,"ET-PAG2";#N/A,#N/A,FALSE,"ET-PAG3";#N/A,#N/A,FALSE,"ET-PAG4";#N/A,#N/A,FALSE,"ET-PAG5"}</definedName>
    <definedName name="eee" localSheetId="13" hidden="1">{#N/A,#N/A,FALSE,"ET-CAPA";#N/A,#N/A,FALSE,"ET-PAG1";#N/A,#N/A,FALSE,"ET-PAG2";#N/A,#N/A,FALSE,"ET-PAG3";#N/A,#N/A,FALSE,"ET-PAG4";#N/A,#N/A,FALSE,"ET-PAG5"}</definedName>
    <definedName name="eee" localSheetId="18" hidden="1">{#N/A,#N/A,FALSE,"ET-CAPA";#N/A,#N/A,FALSE,"ET-PAG1";#N/A,#N/A,FALSE,"ET-PAG2";#N/A,#N/A,FALSE,"ET-PAG3";#N/A,#N/A,FALSE,"ET-PAG4";#N/A,#N/A,FALSE,"ET-PAG5"}</definedName>
    <definedName name="eee" localSheetId="27" hidden="1">{#N/A,#N/A,FALSE,"ET-CAPA";#N/A,#N/A,FALSE,"ET-PAG1";#N/A,#N/A,FALSE,"ET-PAG2";#N/A,#N/A,FALSE,"ET-PAG3";#N/A,#N/A,FALSE,"ET-PAG4";#N/A,#N/A,FALSE,"ET-PAG5"}</definedName>
    <definedName name="eee" localSheetId="4" hidden="1">{#N/A,#N/A,FALSE,"ET-CAPA";#N/A,#N/A,FALSE,"ET-PAG1";#N/A,#N/A,FALSE,"ET-PAG2";#N/A,#N/A,FALSE,"ET-PAG3";#N/A,#N/A,FALSE,"ET-PAG4";#N/A,#N/A,FALSE,"ET-PAG5"}</definedName>
    <definedName name="eee" localSheetId="5" hidden="1">{#N/A,#N/A,FALSE,"ET-CAPA";#N/A,#N/A,FALSE,"ET-PAG1";#N/A,#N/A,FALSE,"ET-PAG2";#N/A,#N/A,FALSE,"ET-PAG3";#N/A,#N/A,FALSE,"ET-PAG4";#N/A,#N/A,FALSE,"ET-PAG5"}</definedName>
    <definedName name="eee" localSheetId="19" hidden="1">{#N/A,#N/A,FALSE,"ET-CAPA";#N/A,#N/A,FALSE,"ET-PAG1";#N/A,#N/A,FALSE,"ET-PAG2";#N/A,#N/A,FALSE,"ET-PAG3";#N/A,#N/A,FALSE,"ET-PAG4";#N/A,#N/A,FALSE,"ET-PAG5"}</definedName>
    <definedName name="eee" localSheetId="24" hidden="1">{#N/A,#N/A,FALSE,"ET-CAPA";#N/A,#N/A,FALSE,"ET-PAG1";#N/A,#N/A,FALSE,"ET-PAG2";#N/A,#N/A,FALSE,"ET-PAG3";#N/A,#N/A,FALSE,"ET-PAG4";#N/A,#N/A,FALSE,"ET-PAG5"}</definedName>
    <definedName name="eee" localSheetId="23" hidden="1">{#N/A,#N/A,FALSE,"ET-CAPA";#N/A,#N/A,FALSE,"ET-PAG1";#N/A,#N/A,FALSE,"ET-PAG2";#N/A,#N/A,FALSE,"ET-PAG3";#N/A,#N/A,FALSE,"ET-PAG4";#N/A,#N/A,FALSE,"ET-PAG5"}</definedName>
    <definedName name="eee" localSheetId="26" hidden="1">{#N/A,#N/A,FALSE,"ET-CAPA";#N/A,#N/A,FALSE,"ET-PAG1";#N/A,#N/A,FALSE,"ET-PAG2";#N/A,#N/A,FALSE,"ET-PAG3";#N/A,#N/A,FALSE,"ET-PAG4";#N/A,#N/A,FALSE,"ET-PAG5"}</definedName>
    <definedName name="eee" localSheetId="22" hidden="1">{#N/A,#N/A,FALSE,"ET-CAPA";#N/A,#N/A,FALSE,"ET-PAG1";#N/A,#N/A,FALSE,"ET-PAG2";#N/A,#N/A,FALSE,"ET-PAG3";#N/A,#N/A,FALSE,"ET-PAG4";#N/A,#N/A,FALSE,"ET-PAG5"}</definedName>
    <definedName name="eee" localSheetId="11" hidden="1">{#N/A,#N/A,FALSE,"ET-CAPA";#N/A,#N/A,FALSE,"ET-PAG1";#N/A,#N/A,FALSE,"ET-PAG2";#N/A,#N/A,FALSE,"ET-PAG3";#N/A,#N/A,FALSE,"ET-PAG4";#N/A,#N/A,FALSE,"ET-PAG5"}</definedName>
    <definedName name="eee" localSheetId="21" hidden="1">{#N/A,#N/A,FALSE,"ET-CAPA";#N/A,#N/A,FALSE,"ET-PAG1";#N/A,#N/A,FALSE,"ET-PAG2";#N/A,#N/A,FALSE,"ET-PAG3";#N/A,#N/A,FALSE,"ET-PAG4";#N/A,#N/A,FALSE,"ET-PAG5"}</definedName>
    <definedName name="eee" localSheetId="7" hidden="1">{#N/A,#N/A,FALSE,"ET-CAPA";#N/A,#N/A,FALSE,"ET-PAG1";#N/A,#N/A,FALSE,"ET-PAG2";#N/A,#N/A,FALSE,"ET-PAG3";#N/A,#N/A,FALSE,"ET-PAG4";#N/A,#N/A,FALSE,"ET-PAG5"}</definedName>
    <definedName name="eee" localSheetId="20" hidden="1">{#N/A,#N/A,FALSE,"ET-CAPA";#N/A,#N/A,FALSE,"ET-PAG1";#N/A,#N/A,FALSE,"ET-PAG2";#N/A,#N/A,FALSE,"ET-PAG3";#N/A,#N/A,FALSE,"ET-PAG4";#N/A,#N/A,FALSE,"ET-PAG5"}</definedName>
    <definedName name="eee" localSheetId="10" hidden="1">{#N/A,#N/A,FALSE,"ET-CAPA";#N/A,#N/A,FALSE,"ET-PAG1";#N/A,#N/A,FALSE,"ET-PAG2";#N/A,#N/A,FALSE,"ET-PAG3";#N/A,#N/A,FALSE,"ET-PAG4";#N/A,#N/A,FALSE,"ET-PAG5"}</definedName>
    <definedName name="eee" hidden="1">{#N/A,#N/A,FALSE,"ET-CAPA";#N/A,#N/A,FALSE,"ET-PAG1";#N/A,#N/A,FALSE,"ET-PAG2";#N/A,#N/A,FALSE,"ET-PAG3";#N/A,#N/A,FALSE,"ET-PAG4";#N/A,#N/A,FALSE,"ET-PAG5"}</definedName>
    <definedName name="FFFFFFF" localSheetId="9">#REF!</definedName>
    <definedName name="FFFFFFF" localSheetId="12">#REF!</definedName>
    <definedName name="FFFFFFF" localSheetId="13">#REF!</definedName>
    <definedName name="FFFFFFF" localSheetId="18">#REF!</definedName>
    <definedName name="FFFFFFF" localSheetId="27">#REF!</definedName>
    <definedName name="FFFFFFF" localSheetId="19">#REF!</definedName>
    <definedName name="FFFFFFF" localSheetId="24">#REF!</definedName>
    <definedName name="FFFFFFF" localSheetId="23">#REF!</definedName>
    <definedName name="FFFFFFF" localSheetId="26">#REF!</definedName>
    <definedName name="FFFFFFF" localSheetId="22">#REF!</definedName>
    <definedName name="FFFFFFF" localSheetId="11">#REF!</definedName>
    <definedName name="FFFFFFF" localSheetId="21">#REF!</definedName>
    <definedName name="FFFFFFF" localSheetId="7">#REF!</definedName>
    <definedName name="FFFFFFF" localSheetId="20">#REF!</definedName>
    <definedName name="FFFFFFF" localSheetId="10">#REF!</definedName>
    <definedName name="FFFFFFF">#REF!</definedName>
    <definedName name="item_1" localSheetId="9">#REF!</definedName>
    <definedName name="item_1" localSheetId="12">#REF!</definedName>
    <definedName name="item_1" localSheetId="13">#REF!</definedName>
    <definedName name="item_1" localSheetId="18">#REF!</definedName>
    <definedName name="item_1" localSheetId="27">#REF!</definedName>
    <definedName name="item_1" localSheetId="4">#REF!</definedName>
    <definedName name="item_1" localSheetId="5">#REF!</definedName>
    <definedName name="item_1" localSheetId="19">#REF!</definedName>
    <definedName name="item_1" localSheetId="24">#REF!</definedName>
    <definedName name="item_1" localSheetId="23">#REF!</definedName>
    <definedName name="item_1" localSheetId="26">#REF!</definedName>
    <definedName name="item_1" localSheetId="22">#REF!</definedName>
    <definedName name="item_1" localSheetId="11">#REF!</definedName>
    <definedName name="item_1" localSheetId="21">#REF!</definedName>
    <definedName name="item_1" localSheetId="7">#REF!</definedName>
    <definedName name="item_1" localSheetId="20">#REF!</definedName>
    <definedName name="item_1" localSheetId="10">#REF!</definedName>
    <definedName name="item_1">#REF!</definedName>
    <definedName name="LS" localSheetId="13">'[1]M.O.'!#REF!</definedName>
    <definedName name="LS" localSheetId="27">'[1]M.O.'!#REF!</definedName>
    <definedName name="LS" localSheetId="10">'[1]M.O.'!#REF!</definedName>
    <definedName name="LS">'[1]M.O.'!#REF!</definedName>
    <definedName name="MENU" localSheetId="9">#REF!</definedName>
    <definedName name="MENU" localSheetId="12">#REF!</definedName>
    <definedName name="MENU" localSheetId="6">#REF!</definedName>
    <definedName name="MENU" localSheetId="13">#REF!</definedName>
    <definedName name="MENU" localSheetId="18">#REF!</definedName>
    <definedName name="MENU" localSheetId="27">#REF!</definedName>
    <definedName name="MENU" localSheetId="4">#REF!</definedName>
    <definedName name="MENU" localSheetId="5">#REF!</definedName>
    <definedName name="MENU" localSheetId="19">#REF!</definedName>
    <definedName name="MENU" localSheetId="24">#REF!</definedName>
    <definedName name="MENU" localSheetId="23">#REF!</definedName>
    <definedName name="MENU" localSheetId="26">#REF!</definedName>
    <definedName name="MENU" localSheetId="22">#REF!</definedName>
    <definedName name="MENU" localSheetId="11">#REF!</definedName>
    <definedName name="MENU" localSheetId="21">#REF!</definedName>
    <definedName name="MENU" localSheetId="7">#REF!</definedName>
    <definedName name="MENU" localSheetId="20">#REF!</definedName>
    <definedName name="MENU" localSheetId="10">#REF!</definedName>
    <definedName name="MENU">#REF!</definedName>
    <definedName name="MENU1" localSheetId="9">#REF!</definedName>
    <definedName name="MENU1" localSheetId="12">#REF!</definedName>
    <definedName name="MENU1" localSheetId="6">#REF!</definedName>
    <definedName name="MENU1" localSheetId="13">#REF!</definedName>
    <definedName name="MENU1" localSheetId="18">#REF!</definedName>
    <definedName name="MENU1" localSheetId="27">#REF!</definedName>
    <definedName name="MENU1" localSheetId="4">#REF!</definedName>
    <definedName name="MENU1" localSheetId="5">#REF!</definedName>
    <definedName name="MENU1" localSheetId="19">#REF!</definedName>
    <definedName name="MENU1" localSheetId="24">#REF!</definedName>
    <definedName name="MENU1" localSheetId="23">#REF!</definedName>
    <definedName name="MENU1" localSheetId="26">#REF!</definedName>
    <definedName name="MENU1" localSheetId="22">#REF!</definedName>
    <definedName name="MENU1" localSheetId="11">#REF!</definedName>
    <definedName name="MENU1" localSheetId="21">#REF!</definedName>
    <definedName name="MENU1" localSheetId="7">#REF!</definedName>
    <definedName name="MENU1" localSheetId="20">#REF!</definedName>
    <definedName name="MENU1" localSheetId="10">#REF!</definedName>
    <definedName name="MENU1">#REF!</definedName>
    <definedName name="MENU2" localSheetId="9">#REF!</definedName>
    <definedName name="MENU2" localSheetId="12">#REF!</definedName>
    <definedName name="MENU2" localSheetId="6">#REF!</definedName>
    <definedName name="MENU2" localSheetId="13">#REF!</definedName>
    <definedName name="MENU2" localSheetId="18">#REF!</definedName>
    <definedName name="MENU2" localSheetId="27">#REF!</definedName>
    <definedName name="MENU2" localSheetId="4">#REF!</definedName>
    <definedName name="MENU2" localSheetId="5">#REF!</definedName>
    <definedName name="MENU2" localSheetId="19">#REF!</definedName>
    <definedName name="MENU2" localSheetId="24">#REF!</definedName>
    <definedName name="MENU2" localSheetId="23">#REF!</definedName>
    <definedName name="MENU2" localSheetId="26">#REF!</definedName>
    <definedName name="MENU2" localSheetId="22">#REF!</definedName>
    <definedName name="MENU2" localSheetId="11">#REF!</definedName>
    <definedName name="MENU2" localSheetId="21">#REF!</definedName>
    <definedName name="MENU2" localSheetId="7">#REF!</definedName>
    <definedName name="MENU2" localSheetId="20">#REF!</definedName>
    <definedName name="MENU2" localSheetId="10">#REF!</definedName>
    <definedName name="MENU2">#REF!</definedName>
    <definedName name="MENU3" localSheetId="9">#REF!</definedName>
    <definedName name="MENU3" localSheetId="12">#REF!</definedName>
    <definedName name="MENU3" localSheetId="18">#REF!</definedName>
    <definedName name="MENU3" localSheetId="27">#REF!</definedName>
    <definedName name="MENU3" localSheetId="4">#REF!</definedName>
    <definedName name="MENU3" localSheetId="5">#REF!</definedName>
    <definedName name="MENU3" localSheetId="19">#REF!</definedName>
    <definedName name="MENU3" localSheetId="24">#REF!</definedName>
    <definedName name="MENU3" localSheetId="23">#REF!</definedName>
    <definedName name="MENU3" localSheetId="26">#REF!</definedName>
    <definedName name="MENU3" localSheetId="22">#REF!</definedName>
    <definedName name="MENU3" localSheetId="11">#REF!</definedName>
    <definedName name="MENU3" localSheetId="21">#REF!</definedName>
    <definedName name="MENU3" localSheetId="7">#REF!</definedName>
    <definedName name="MENU3" localSheetId="20">#REF!</definedName>
    <definedName name="MENU3">#REF!</definedName>
    <definedName name="MENU4" localSheetId="9">#REF!</definedName>
    <definedName name="MENU4" localSheetId="12">#REF!</definedName>
    <definedName name="MENU4" localSheetId="18">#REF!</definedName>
    <definedName name="MENU4" localSheetId="27">#REF!</definedName>
    <definedName name="MENU4" localSheetId="4">#REF!</definedName>
    <definedName name="MENU4" localSheetId="5">#REF!</definedName>
    <definedName name="MENU4" localSheetId="19">#REF!</definedName>
    <definedName name="MENU4" localSheetId="24">#REF!</definedName>
    <definedName name="MENU4" localSheetId="23">#REF!</definedName>
    <definedName name="MENU4" localSheetId="26">#REF!</definedName>
    <definedName name="MENU4" localSheetId="22">#REF!</definedName>
    <definedName name="MENU4" localSheetId="11">#REF!</definedName>
    <definedName name="MENU4" localSheetId="21">#REF!</definedName>
    <definedName name="MENU4" localSheetId="7">#REF!</definedName>
    <definedName name="MENU4" localSheetId="20">#REF!</definedName>
    <definedName name="MENU4">#REF!</definedName>
    <definedName name="MENU5" localSheetId="9">#REF!</definedName>
    <definedName name="MENU5" localSheetId="12">#REF!</definedName>
    <definedName name="MENU5" localSheetId="18">#REF!</definedName>
    <definedName name="MENU5" localSheetId="27">#REF!</definedName>
    <definedName name="MENU5" localSheetId="4">#REF!</definedName>
    <definedName name="MENU5" localSheetId="5">#REF!</definedName>
    <definedName name="MENU5" localSheetId="19">#REF!</definedName>
    <definedName name="MENU5" localSheetId="24">#REF!</definedName>
    <definedName name="MENU5" localSheetId="23">#REF!</definedName>
    <definedName name="MENU5" localSheetId="26">#REF!</definedName>
    <definedName name="MENU5" localSheetId="22">#REF!</definedName>
    <definedName name="MENU5" localSheetId="11">#REF!</definedName>
    <definedName name="MENU5" localSheetId="21">#REF!</definedName>
    <definedName name="MENU5" localSheetId="7">#REF!</definedName>
    <definedName name="MENU5" localSheetId="20">#REF!</definedName>
    <definedName name="MENU5">#REF!</definedName>
    <definedName name="MENU6" localSheetId="9">#REF!</definedName>
    <definedName name="MENU6" localSheetId="12">#REF!</definedName>
    <definedName name="MENU6" localSheetId="18">#REF!</definedName>
    <definedName name="MENU6" localSheetId="27">#REF!</definedName>
    <definedName name="MENU6" localSheetId="4">#REF!</definedName>
    <definedName name="MENU6" localSheetId="5">#REF!</definedName>
    <definedName name="MENU6" localSheetId="19">#REF!</definedName>
    <definedName name="MENU6" localSheetId="24">#REF!</definedName>
    <definedName name="MENU6" localSheetId="23">#REF!</definedName>
    <definedName name="MENU6" localSheetId="26">#REF!</definedName>
    <definedName name="MENU6" localSheetId="22">#REF!</definedName>
    <definedName name="MENU6" localSheetId="11">#REF!</definedName>
    <definedName name="MENU6" localSheetId="21">#REF!</definedName>
    <definedName name="MENU6" localSheetId="7">#REF!</definedName>
    <definedName name="MENU6" localSheetId="20">#REF!</definedName>
    <definedName name="MENU6">#REF!</definedName>
    <definedName name="mo" localSheetId="9">#REF!</definedName>
    <definedName name="mo" localSheetId="12">#REF!</definedName>
    <definedName name="mo" localSheetId="18">#REF!</definedName>
    <definedName name="mo" localSheetId="27">#REF!</definedName>
    <definedName name="mo" localSheetId="4">#REF!</definedName>
    <definedName name="mo" localSheetId="5">#REF!</definedName>
    <definedName name="mo" localSheetId="19">#REF!</definedName>
    <definedName name="mo" localSheetId="24">#REF!</definedName>
    <definedName name="mo" localSheetId="23">#REF!</definedName>
    <definedName name="mo" localSheetId="26">#REF!</definedName>
    <definedName name="mo" localSheetId="22">#REF!</definedName>
    <definedName name="mo" localSheetId="11">#REF!</definedName>
    <definedName name="mo" localSheetId="21">#REF!</definedName>
    <definedName name="mo" localSheetId="7">#REF!</definedName>
    <definedName name="mo" localSheetId="20">#REF!</definedName>
    <definedName name="mo">#REF!</definedName>
    <definedName name="OAE" localSheetId="9">#REF!</definedName>
    <definedName name="OAE" localSheetId="12">#REF!</definedName>
    <definedName name="OAE" localSheetId="18">#REF!</definedName>
    <definedName name="OAE" localSheetId="27">#REF!</definedName>
    <definedName name="OAE" localSheetId="4">#REF!</definedName>
    <definedName name="OAE" localSheetId="5">#REF!</definedName>
    <definedName name="OAE" localSheetId="19">#REF!</definedName>
    <definedName name="OAE" localSheetId="24">#REF!</definedName>
    <definedName name="OAE" localSheetId="23">#REF!</definedName>
    <definedName name="OAE" localSheetId="26">#REF!</definedName>
    <definedName name="OAE" localSheetId="22">#REF!</definedName>
    <definedName name="OAE" localSheetId="11">#REF!</definedName>
    <definedName name="OAE" localSheetId="21">#REF!</definedName>
    <definedName name="OAE" localSheetId="7">#REF!</definedName>
    <definedName name="OAE" localSheetId="20">#REF!</definedName>
    <definedName name="OAE">#REF!</definedName>
    <definedName name="ParamValues1" localSheetId="27">[3]ParamValues!$A$1:$A$11</definedName>
    <definedName name="ParamValues1" localSheetId="21">[4]ParamValues!$A$1:$A$39</definedName>
    <definedName name="ParamValues1" localSheetId="10">[15]ParamValues!$A$1:$A$39</definedName>
    <definedName name="ParamValues1">[4]ParamValues!$A$1:$A$39</definedName>
    <definedName name="PAV" localSheetId="9">#REF!</definedName>
    <definedName name="PAV" localSheetId="12">#REF!</definedName>
    <definedName name="PAV" localSheetId="18">#REF!</definedName>
    <definedName name="PAV" localSheetId="27">#REF!</definedName>
    <definedName name="PAV" localSheetId="4">#REF!</definedName>
    <definedName name="PAV" localSheetId="5">#REF!</definedName>
    <definedName name="PAV" localSheetId="19">#REF!</definedName>
    <definedName name="PAV" localSheetId="24">#REF!</definedName>
    <definedName name="PAV" localSheetId="23">#REF!</definedName>
    <definedName name="PAV" localSheetId="26">#REF!</definedName>
    <definedName name="PAV" localSheetId="22">#REF!</definedName>
    <definedName name="PAV" localSheetId="11">#REF!</definedName>
    <definedName name="PAV" localSheetId="21">#REF!</definedName>
    <definedName name="PAV" localSheetId="7">#REF!</definedName>
    <definedName name="PAV" localSheetId="20">#REF!</definedName>
    <definedName name="PAV" localSheetId="10">#REF!</definedName>
    <definedName name="PAV">#REF!</definedName>
    <definedName name="pr" localSheetId="9">#REF!</definedName>
    <definedName name="pr" localSheetId="12">#REF!</definedName>
    <definedName name="pr" localSheetId="18">#REF!</definedName>
    <definedName name="pr" localSheetId="27">#REF!</definedName>
    <definedName name="pr" localSheetId="4">#REF!</definedName>
    <definedName name="pr" localSheetId="5">#REF!</definedName>
    <definedName name="pr" localSheetId="19">#REF!</definedName>
    <definedName name="pr" localSheetId="24">#REF!</definedName>
    <definedName name="pr" localSheetId="23">#REF!</definedName>
    <definedName name="pr" localSheetId="26">#REF!</definedName>
    <definedName name="pr" localSheetId="22">#REF!</definedName>
    <definedName name="pr" localSheetId="11">#REF!</definedName>
    <definedName name="pr" localSheetId="21">#REF!</definedName>
    <definedName name="pr" localSheetId="7">#REF!</definedName>
    <definedName name="pr" localSheetId="20">#REF!</definedName>
    <definedName name="pr" localSheetId="10">#REF!</definedName>
    <definedName name="pr">#REF!</definedName>
    <definedName name="PRE" localSheetId="9">#REF!</definedName>
    <definedName name="PRE" localSheetId="12">#REF!</definedName>
    <definedName name="PRE" localSheetId="18">#REF!</definedName>
    <definedName name="PRE" localSheetId="27">#REF!</definedName>
    <definedName name="PRE" localSheetId="4">#REF!</definedName>
    <definedName name="PRE" localSheetId="5">#REF!</definedName>
    <definedName name="PRE" localSheetId="19">#REF!</definedName>
    <definedName name="PRE" localSheetId="24">#REF!</definedName>
    <definedName name="PRE" localSheetId="23">#REF!</definedName>
    <definedName name="PRE" localSheetId="26">#REF!</definedName>
    <definedName name="PRE" localSheetId="22">#REF!</definedName>
    <definedName name="PRE" localSheetId="11">#REF!</definedName>
    <definedName name="PRE" localSheetId="21">#REF!</definedName>
    <definedName name="PRE" localSheetId="7">#REF!</definedName>
    <definedName name="PRE" localSheetId="20">#REF!</definedName>
    <definedName name="PRE" localSheetId="10">#REF!</definedName>
    <definedName name="PRE">#REF!</definedName>
    <definedName name="Print_Area_MI" localSheetId="9">#REF!</definedName>
    <definedName name="Print_Area_MI" localSheetId="12">#REF!</definedName>
    <definedName name="Print_Area_MI" localSheetId="18">#REF!</definedName>
    <definedName name="Print_Area_MI" localSheetId="27">#REF!</definedName>
    <definedName name="Print_Area_MI" localSheetId="4">#REF!</definedName>
    <definedName name="Print_Area_MI" localSheetId="5">#REF!</definedName>
    <definedName name="Print_Area_MI" localSheetId="19">#REF!</definedName>
    <definedName name="Print_Area_MI" localSheetId="24">#REF!</definedName>
    <definedName name="Print_Area_MI" localSheetId="23">#REF!</definedName>
    <definedName name="Print_Area_MI" localSheetId="26">#REF!</definedName>
    <definedName name="Print_Area_MI" localSheetId="22">#REF!</definedName>
    <definedName name="Print_Area_MI" localSheetId="11">#REF!</definedName>
    <definedName name="Print_Area_MI" localSheetId="21">#REF!</definedName>
    <definedName name="Print_Area_MI" localSheetId="7">#REF!</definedName>
    <definedName name="Print_Area_MI" localSheetId="20">#REF!</definedName>
    <definedName name="Print_Area_MI">#REF!</definedName>
    <definedName name="qe" localSheetId="9">#REF!</definedName>
    <definedName name="qe" localSheetId="12">#REF!</definedName>
    <definedName name="qe" localSheetId="18">#REF!</definedName>
    <definedName name="qe" localSheetId="27">#REF!</definedName>
    <definedName name="qe" localSheetId="4">#REF!</definedName>
    <definedName name="qe" localSheetId="5">#REF!</definedName>
    <definedName name="qe" localSheetId="19">#REF!</definedName>
    <definedName name="qe" localSheetId="24">#REF!</definedName>
    <definedName name="qe" localSheetId="23">#REF!</definedName>
    <definedName name="qe" localSheetId="26">#REF!</definedName>
    <definedName name="qe" localSheetId="22">#REF!</definedName>
    <definedName name="qe" localSheetId="11">#REF!</definedName>
    <definedName name="qe" localSheetId="21">#REF!</definedName>
    <definedName name="qe" localSheetId="7">#REF!</definedName>
    <definedName name="qe" localSheetId="20">#REF!</definedName>
    <definedName name="qe">#REF!</definedName>
    <definedName name="qee" localSheetId="9">#REF!</definedName>
    <definedName name="qee" localSheetId="12">#REF!</definedName>
    <definedName name="qee" localSheetId="18">#REF!</definedName>
    <definedName name="qee" localSheetId="27">#REF!</definedName>
    <definedName name="qee" localSheetId="4">#REF!</definedName>
    <definedName name="qee" localSheetId="5">#REF!</definedName>
    <definedName name="qee" localSheetId="19">#REF!</definedName>
    <definedName name="qee" localSheetId="24">#REF!</definedName>
    <definedName name="qee" localSheetId="23">#REF!</definedName>
    <definedName name="qee" localSheetId="26">#REF!</definedName>
    <definedName name="qee" localSheetId="22">#REF!</definedName>
    <definedName name="qee" localSheetId="11">#REF!</definedName>
    <definedName name="qee" localSheetId="21">#REF!</definedName>
    <definedName name="qee" localSheetId="7">#REF!</definedName>
    <definedName name="qee" localSheetId="20">#REF!</definedName>
    <definedName name="qee">#REF!</definedName>
    <definedName name="reforsu" localSheetId="9">#REF!</definedName>
    <definedName name="reforsu" localSheetId="12">#REF!</definedName>
    <definedName name="reforsu" localSheetId="18">#REF!</definedName>
    <definedName name="reforsu" localSheetId="27">#REF!</definedName>
    <definedName name="reforsu" localSheetId="4">#REF!</definedName>
    <definedName name="reforsu" localSheetId="5">#REF!</definedName>
    <definedName name="reforsu" localSheetId="19">#REF!</definedName>
    <definedName name="reforsu" localSheetId="24">#REF!</definedName>
    <definedName name="reforsu" localSheetId="23">#REF!</definedName>
    <definedName name="reforsu" localSheetId="26">#REF!</definedName>
    <definedName name="reforsu" localSheetId="22">#REF!</definedName>
    <definedName name="reforsu" localSheetId="11">#REF!</definedName>
    <definedName name="reforsu" localSheetId="21">#REF!</definedName>
    <definedName name="reforsu" localSheetId="7">#REF!</definedName>
    <definedName name="reforsu" localSheetId="20">#REF!</definedName>
    <definedName name="reforsu">#REF!</definedName>
    <definedName name="ren" localSheetId="9">#REF!</definedName>
    <definedName name="ren" localSheetId="12">#REF!</definedName>
    <definedName name="ren" localSheetId="18">#REF!</definedName>
    <definedName name="ren" localSheetId="27">#REF!</definedName>
    <definedName name="ren" localSheetId="4">#REF!</definedName>
    <definedName name="ren" localSheetId="5">#REF!</definedName>
    <definedName name="ren" localSheetId="19">#REF!</definedName>
    <definedName name="ren" localSheetId="24">#REF!</definedName>
    <definedName name="ren" localSheetId="23">#REF!</definedName>
    <definedName name="ren" localSheetId="26">#REF!</definedName>
    <definedName name="ren" localSheetId="22">#REF!</definedName>
    <definedName name="ren" localSheetId="11">#REF!</definedName>
    <definedName name="ren" localSheetId="21">#REF!</definedName>
    <definedName name="ren" localSheetId="7">#REF!</definedName>
    <definedName name="ren" localSheetId="20">#REF!</definedName>
    <definedName name="ren">#REF!</definedName>
    <definedName name="RESU" localSheetId="9">#REF!</definedName>
    <definedName name="RESU" localSheetId="12">#REF!</definedName>
    <definedName name="RESU" localSheetId="4">#REF!</definedName>
    <definedName name="RESU" localSheetId="5">#REF!</definedName>
    <definedName name="RESU" localSheetId="24">#REF!</definedName>
    <definedName name="RESU" localSheetId="23">#REF!</definedName>
    <definedName name="RESU" localSheetId="26">#REF!</definedName>
    <definedName name="RESU" localSheetId="22">#REF!</definedName>
    <definedName name="RESU" localSheetId="11">#REF!</definedName>
    <definedName name="RESU">#REF!</definedName>
    <definedName name="REV" localSheetId="9">#REF!</definedName>
    <definedName name="REV" localSheetId="12">#REF!</definedName>
    <definedName name="REV" localSheetId="18">#REF!</definedName>
    <definedName name="REV" localSheetId="27">#REF!</definedName>
    <definedName name="REV" localSheetId="4">#REF!</definedName>
    <definedName name="REV" localSheetId="5">#REF!</definedName>
    <definedName name="REV" localSheetId="19">#REF!</definedName>
    <definedName name="REV" localSheetId="24">#REF!</definedName>
    <definedName name="REV" localSheetId="23">#REF!</definedName>
    <definedName name="REV" localSheetId="26">#REF!</definedName>
    <definedName name="REV" localSheetId="22">#REF!</definedName>
    <definedName name="REV" localSheetId="11">#REF!</definedName>
    <definedName name="REV" localSheetId="21">#REF!</definedName>
    <definedName name="REV" localSheetId="7">#REF!</definedName>
    <definedName name="REV" localSheetId="20">#REF!</definedName>
    <definedName name="REV">#REF!</definedName>
    <definedName name="sa" localSheetId="9">#REF!</definedName>
    <definedName name="sa" localSheetId="12">#REF!</definedName>
    <definedName name="sa" localSheetId="18">#REF!</definedName>
    <definedName name="sa" localSheetId="27">#REF!</definedName>
    <definedName name="sa" localSheetId="4">#REF!</definedName>
    <definedName name="sa" localSheetId="5">#REF!</definedName>
    <definedName name="sa" localSheetId="19">#REF!</definedName>
    <definedName name="sa" localSheetId="24">#REF!</definedName>
    <definedName name="sa" localSheetId="23">#REF!</definedName>
    <definedName name="sa" localSheetId="26">#REF!</definedName>
    <definedName name="sa" localSheetId="22">#REF!</definedName>
    <definedName name="sa" localSheetId="11">#REF!</definedName>
    <definedName name="sa" localSheetId="21">#REF!</definedName>
    <definedName name="sa" localSheetId="7">#REF!</definedName>
    <definedName name="sa" localSheetId="20">#REF!</definedName>
    <definedName name="sa">#REF!</definedName>
    <definedName name="SEG" localSheetId="9">#REF!</definedName>
    <definedName name="SEG" localSheetId="12">#REF!</definedName>
    <definedName name="SEG" localSheetId="18">#REF!</definedName>
    <definedName name="SEG" localSheetId="27">#REF!</definedName>
    <definedName name="SEG" localSheetId="4">#REF!</definedName>
    <definedName name="SEG" localSheetId="5">#REF!</definedName>
    <definedName name="SEG" localSheetId="19">#REF!</definedName>
    <definedName name="SEG" localSheetId="24">#REF!</definedName>
    <definedName name="SEG" localSheetId="23">#REF!</definedName>
    <definedName name="SEG" localSheetId="26">#REF!</definedName>
    <definedName name="SEG" localSheetId="22">#REF!</definedName>
    <definedName name="SEG" localSheetId="11">#REF!</definedName>
    <definedName name="SEG" localSheetId="21">#REF!</definedName>
    <definedName name="SEG" localSheetId="7">#REF!</definedName>
    <definedName name="SEG" localSheetId="20">#REF!</definedName>
    <definedName name="SEG">#REF!</definedName>
    <definedName name="SIH" localSheetId="9">#REF!</definedName>
    <definedName name="SIH" localSheetId="12">#REF!</definedName>
    <definedName name="SIH" localSheetId="18">#REF!</definedName>
    <definedName name="SIH" localSheetId="27">#REF!</definedName>
    <definedName name="SIH" localSheetId="4">#REF!</definedName>
    <definedName name="SIH" localSheetId="5">#REF!</definedName>
    <definedName name="SIH" localSheetId="19">#REF!</definedName>
    <definedName name="SIH" localSheetId="24">#REF!</definedName>
    <definedName name="SIH" localSheetId="23">#REF!</definedName>
    <definedName name="SIH" localSheetId="26">#REF!</definedName>
    <definedName name="SIH" localSheetId="22">#REF!</definedName>
    <definedName name="SIH" localSheetId="11">#REF!</definedName>
    <definedName name="SIH" localSheetId="21">#REF!</definedName>
    <definedName name="SIH" localSheetId="7">#REF!</definedName>
    <definedName name="SIH" localSheetId="20">#REF!</definedName>
    <definedName name="SIH">#REF!</definedName>
    <definedName name="SIV" localSheetId="9">#REF!</definedName>
    <definedName name="SIV" localSheetId="12">#REF!</definedName>
    <definedName name="SIV" localSheetId="18">#REF!</definedName>
    <definedName name="SIV" localSheetId="27">#REF!</definedName>
    <definedName name="SIV" localSheetId="4">#REF!</definedName>
    <definedName name="SIV" localSheetId="5">#REF!</definedName>
    <definedName name="SIV" localSheetId="19">#REF!</definedName>
    <definedName name="SIV" localSheetId="24">#REF!</definedName>
    <definedName name="SIV" localSheetId="23">#REF!</definedName>
    <definedName name="SIV" localSheetId="26">#REF!</definedName>
    <definedName name="SIV" localSheetId="22">#REF!</definedName>
    <definedName name="SIV" localSheetId="11">#REF!</definedName>
    <definedName name="SIV" localSheetId="21">#REF!</definedName>
    <definedName name="SIV" localSheetId="7">#REF!</definedName>
    <definedName name="SIV" localSheetId="20">#REF!</definedName>
    <definedName name="SIV">#REF!</definedName>
    <definedName name="ss" localSheetId="9">#REF!</definedName>
    <definedName name="ss" localSheetId="12">#REF!</definedName>
    <definedName name="ss" localSheetId="18">#REF!</definedName>
    <definedName name="ss" localSheetId="27">#REF!</definedName>
    <definedName name="ss" localSheetId="4">#REF!</definedName>
    <definedName name="ss" localSheetId="5">#REF!</definedName>
    <definedName name="ss" localSheetId="19">#REF!</definedName>
    <definedName name="ss" localSheetId="24">#REF!</definedName>
    <definedName name="ss" localSheetId="23">#REF!</definedName>
    <definedName name="ss" localSheetId="26">#REF!</definedName>
    <definedName name="ss" localSheetId="22">#REF!</definedName>
    <definedName name="ss" localSheetId="11">#REF!</definedName>
    <definedName name="ss" localSheetId="21">#REF!</definedName>
    <definedName name="ss" localSheetId="7">#REF!</definedName>
    <definedName name="ss" localSheetId="20">#REF!</definedName>
    <definedName name="ss">#REF!</definedName>
    <definedName name="susref" localSheetId="9">#REF!</definedName>
    <definedName name="susref" localSheetId="12">#REF!</definedName>
    <definedName name="susref" localSheetId="18">#REF!</definedName>
    <definedName name="susref" localSheetId="27">#REF!</definedName>
    <definedName name="susref" localSheetId="4">#REF!</definedName>
    <definedName name="susref" localSheetId="5">#REF!</definedName>
    <definedName name="susref" localSheetId="19">#REF!</definedName>
    <definedName name="susref" localSheetId="24">#REF!</definedName>
    <definedName name="susref" localSheetId="23">#REF!</definedName>
    <definedName name="susref" localSheetId="26">#REF!</definedName>
    <definedName name="susref" localSheetId="22">#REF!</definedName>
    <definedName name="susref" localSheetId="11">#REF!</definedName>
    <definedName name="susref" localSheetId="21">#REF!</definedName>
    <definedName name="susref" localSheetId="7">#REF!</definedName>
    <definedName name="susref" localSheetId="20">#REF!</definedName>
    <definedName name="susref">#REF!</definedName>
    <definedName name="tania" localSheetId="9">#REF!</definedName>
    <definedName name="tania" localSheetId="12">#REF!</definedName>
    <definedName name="tania" localSheetId="18">#REF!</definedName>
    <definedName name="tania" localSheetId="27">#REF!</definedName>
    <definedName name="tania" localSheetId="4">#REF!</definedName>
    <definedName name="tania" localSheetId="5">#REF!</definedName>
    <definedName name="tania" localSheetId="19">#REF!</definedName>
    <definedName name="tania" localSheetId="24">#REF!</definedName>
    <definedName name="tania" localSheetId="23">#REF!</definedName>
    <definedName name="tania" localSheetId="26">#REF!</definedName>
    <definedName name="tania" localSheetId="22">#REF!</definedName>
    <definedName name="tania" localSheetId="11">#REF!</definedName>
    <definedName name="tania" localSheetId="21">#REF!</definedName>
    <definedName name="tania" localSheetId="7">#REF!</definedName>
    <definedName name="tania" localSheetId="20">#REF!</definedName>
    <definedName name="tania">#REF!</definedName>
    <definedName name="tc" localSheetId="9">#REF!</definedName>
    <definedName name="tc" localSheetId="12">#REF!</definedName>
    <definedName name="tc" localSheetId="18">#REF!</definedName>
    <definedName name="tc" localSheetId="27">#REF!</definedName>
    <definedName name="tc" localSheetId="4">#REF!</definedName>
    <definedName name="tc" localSheetId="5">#REF!</definedName>
    <definedName name="tc" localSheetId="19">#REF!</definedName>
    <definedName name="tc" localSheetId="24">#REF!</definedName>
    <definedName name="tc" localSheetId="23">#REF!</definedName>
    <definedName name="tc" localSheetId="26">#REF!</definedName>
    <definedName name="tc" localSheetId="22">#REF!</definedName>
    <definedName name="tc" localSheetId="11">#REF!</definedName>
    <definedName name="tc" localSheetId="21">#REF!</definedName>
    <definedName name="tc" localSheetId="7">#REF!</definedName>
    <definedName name="tc" localSheetId="20">#REF!</definedName>
    <definedName name="tc">#REF!</definedName>
    <definedName name="titulos" localSheetId="21">#REF!</definedName>
    <definedName name="titulos">#REF!</definedName>
    <definedName name="_xlnm.Print_Titles" localSheetId="9">ALVENARIA!$1:$7</definedName>
    <definedName name="_xlnm.Print_Titles" localSheetId="12">'ARGAMASSADO EM ESTRUTURA'!$1:$7</definedName>
    <definedName name="_xlnm.Print_Titles" localSheetId="6">BALDRAMES!$1:$7</definedName>
    <definedName name="_xlnm.Print_Titles" localSheetId="13">CHURRASQUEIRA!$1:$7</definedName>
    <definedName name="_xlnm.Print_Titles" localSheetId="18">#REF!</definedName>
    <definedName name="_xlnm.Print_Titles" localSheetId="27">'EPC''s'!$1:$7</definedName>
    <definedName name="_xlnm.Print_Titles" localSheetId="4">ESCAVAÇÕES!$1:$7</definedName>
    <definedName name="_xlnm.Print_Titles" localSheetId="5">ESTACAS!$1:$7</definedName>
    <definedName name="_xlnm.Print_Titles" localSheetId="19">#REF!</definedName>
    <definedName name="_xlnm.Print_Titles" localSheetId="24">FACHADA!$1:$7</definedName>
    <definedName name="_xlnm.Print_Titles" localSheetId="23">FORRO!$1:$7</definedName>
    <definedName name="_xlnm.Print_Titles" localSheetId="26">'MOBILIÁRIO E QUADRA'!$1:$7</definedName>
    <definedName name="_xlnm.Print_Titles" localSheetId="22">PISOS!$1:$7</definedName>
    <definedName name="_xlnm.Print_Titles" localSheetId="11">REVESTIMENTOS!$1:$7</definedName>
    <definedName name="_xlnm.Print_Titles" localSheetId="21">#REF!</definedName>
    <definedName name="_xlnm.Print_Titles" localSheetId="7">SUPRAESTRUTURA!$1:$7</definedName>
    <definedName name="_xlnm.Print_Titles" localSheetId="20">#REF!</definedName>
    <definedName name="_xlnm.Print_Titles" localSheetId="10">'Verga e contra'!$1:$7</definedName>
    <definedName name="_xlnm.Print_Titles">#REF!</definedName>
    <definedName name="TOT" localSheetId="9">#REF!</definedName>
    <definedName name="TOT" localSheetId="12">#REF!</definedName>
    <definedName name="TOT" localSheetId="6">#REF!</definedName>
    <definedName name="TOT" localSheetId="13">#REF!</definedName>
    <definedName name="TOT" localSheetId="18">#REF!</definedName>
    <definedName name="TOT" localSheetId="27">#REF!</definedName>
    <definedName name="TOT" localSheetId="4">#REF!</definedName>
    <definedName name="TOT" localSheetId="5">#REF!</definedName>
    <definedName name="TOT" localSheetId="19">#REF!</definedName>
    <definedName name="TOT" localSheetId="24">#REF!</definedName>
    <definedName name="TOT" localSheetId="23">#REF!</definedName>
    <definedName name="TOT" localSheetId="26">#REF!</definedName>
    <definedName name="TOT" localSheetId="22">#REF!</definedName>
    <definedName name="TOT" localSheetId="11">#REF!</definedName>
    <definedName name="TOT" localSheetId="21">#REF!</definedName>
    <definedName name="TOT" localSheetId="7">#REF!</definedName>
    <definedName name="TOT" localSheetId="20">#REF!</definedName>
    <definedName name="TOT" localSheetId="10">#REF!</definedName>
    <definedName name="TOT">#REF!</definedName>
    <definedName name="Total" localSheetId="9">#REF!</definedName>
    <definedName name="Total" localSheetId="12">#REF!</definedName>
    <definedName name="Total" localSheetId="6">#REF!</definedName>
    <definedName name="Total" localSheetId="13">#REF!</definedName>
    <definedName name="Total" localSheetId="18">#REF!</definedName>
    <definedName name="Total" localSheetId="27">#REF!</definedName>
    <definedName name="Total" localSheetId="4">#REF!</definedName>
    <definedName name="Total" localSheetId="5">#REF!</definedName>
    <definedName name="Total" localSheetId="19">#REF!</definedName>
    <definedName name="Total" localSheetId="24">#REF!</definedName>
    <definedName name="Total" localSheetId="23">#REF!</definedName>
    <definedName name="Total" localSheetId="26">#REF!</definedName>
    <definedName name="Total" localSheetId="22">#REF!</definedName>
    <definedName name="Total" localSheetId="11">#REF!</definedName>
    <definedName name="Total" localSheetId="21">#REF!</definedName>
    <definedName name="Total" localSheetId="7">#REF!</definedName>
    <definedName name="Total" localSheetId="20">#REF!</definedName>
    <definedName name="Total" localSheetId="10">#REF!</definedName>
    <definedName name="Total">#REF!</definedName>
    <definedName name="TRP" localSheetId="9">#REF!</definedName>
    <definedName name="TRP" localSheetId="12">#REF!</definedName>
    <definedName name="TRP" localSheetId="18">#REF!</definedName>
    <definedName name="TRP" localSheetId="27">#REF!</definedName>
    <definedName name="TRP" localSheetId="4">#REF!</definedName>
    <definedName name="TRP" localSheetId="5">#REF!</definedName>
    <definedName name="TRP" localSheetId="19">#REF!</definedName>
    <definedName name="TRP" localSheetId="24">#REF!</definedName>
    <definedName name="TRP" localSheetId="23">#REF!</definedName>
    <definedName name="TRP" localSheetId="26">#REF!</definedName>
    <definedName name="TRP" localSheetId="22">#REF!</definedName>
    <definedName name="TRP" localSheetId="11">#REF!</definedName>
    <definedName name="TRP" localSheetId="21">#REF!</definedName>
    <definedName name="TRP" localSheetId="7">#REF!</definedName>
    <definedName name="TRP" localSheetId="20">#REF!</definedName>
    <definedName name="TRP">#REF!</definedName>
    <definedName name="u" localSheetId="9" hidden="1">{#N/A,#N/A,FALSE,"ET-CAPA";#N/A,#N/A,FALSE,"ET-PAG1";#N/A,#N/A,FALSE,"ET-PAG2";#N/A,#N/A,FALSE,"ET-PAG3";#N/A,#N/A,FALSE,"ET-PAG4";#N/A,#N/A,FALSE,"ET-PAG5"}</definedName>
    <definedName name="u" localSheetId="12" hidden="1">{#N/A,#N/A,FALSE,"ET-CAPA";#N/A,#N/A,FALSE,"ET-PAG1";#N/A,#N/A,FALSE,"ET-PAG2";#N/A,#N/A,FALSE,"ET-PAG3";#N/A,#N/A,FALSE,"ET-PAG4";#N/A,#N/A,FALSE,"ET-PAG5"}</definedName>
    <definedName name="u" localSheetId="6" hidden="1">{#N/A,#N/A,FALSE,"ET-CAPA";#N/A,#N/A,FALSE,"ET-PAG1";#N/A,#N/A,FALSE,"ET-PAG2";#N/A,#N/A,FALSE,"ET-PAG3";#N/A,#N/A,FALSE,"ET-PAG4";#N/A,#N/A,FALSE,"ET-PAG5"}</definedName>
    <definedName name="u" localSheetId="13" hidden="1">{#N/A,#N/A,FALSE,"ET-CAPA";#N/A,#N/A,FALSE,"ET-PAG1";#N/A,#N/A,FALSE,"ET-PAG2";#N/A,#N/A,FALSE,"ET-PAG3";#N/A,#N/A,FALSE,"ET-PAG4";#N/A,#N/A,FALSE,"ET-PAG5"}</definedName>
    <definedName name="u" localSheetId="18" hidden="1">{#N/A,#N/A,FALSE,"ET-CAPA";#N/A,#N/A,FALSE,"ET-PAG1";#N/A,#N/A,FALSE,"ET-PAG2";#N/A,#N/A,FALSE,"ET-PAG3";#N/A,#N/A,FALSE,"ET-PAG4";#N/A,#N/A,FALSE,"ET-PAG5"}</definedName>
    <definedName name="u" localSheetId="27" hidden="1">{#N/A,#N/A,FALSE,"ET-CAPA";#N/A,#N/A,FALSE,"ET-PAG1";#N/A,#N/A,FALSE,"ET-PAG2";#N/A,#N/A,FALSE,"ET-PAG3";#N/A,#N/A,FALSE,"ET-PAG4";#N/A,#N/A,FALSE,"ET-PAG5"}</definedName>
    <definedName name="u" localSheetId="4" hidden="1">{#N/A,#N/A,FALSE,"ET-CAPA";#N/A,#N/A,FALSE,"ET-PAG1";#N/A,#N/A,FALSE,"ET-PAG2";#N/A,#N/A,FALSE,"ET-PAG3";#N/A,#N/A,FALSE,"ET-PAG4";#N/A,#N/A,FALSE,"ET-PAG5"}</definedName>
    <definedName name="u" localSheetId="5" hidden="1">{#N/A,#N/A,FALSE,"ET-CAPA";#N/A,#N/A,FALSE,"ET-PAG1";#N/A,#N/A,FALSE,"ET-PAG2";#N/A,#N/A,FALSE,"ET-PAG3";#N/A,#N/A,FALSE,"ET-PAG4";#N/A,#N/A,FALSE,"ET-PAG5"}</definedName>
    <definedName name="u" localSheetId="19" hidden="1">{#N/A,#N/A,FALSE,"ET-CAPA";#N/A,#N/A,FALSE,"ET-PAG1";#N/A,#N/A,FALSE,"ET-PAG2";#N/A,#N/A,FALSE,"ET-PAG3";#N/A,#N/A,FALSE,"ET-PAG4";#N/A,#N/A,FALSE,"ET-PAG5"}</definedName>
    <definedName name="u" localSheetId="24" hidden="1">{#N/A,#N/A,FALSE,"ET-CAPA";#N/A,#N/A,FALSE,"ET-PAG1";#N/A,#N/A,FALSE,"ET-PAG2";#N/A,#N/A,FALSE,"ET-PAG3";#N/A,#N/A,FALSE,"ET-PAG4";#N/A,#N/A,FALSE,"ET-PAG5"}</definedName>
    <definedName name="u" localSheetId="23" hidden="1">{#N/A,#N/A,FALSE,"ET-CAPA";#N/A,#N/A,FALSE,"ET-PAG1";#N/A,#N/A,FALSE,"ET-PAG2";#N/A,#N/A,FALSE,"ET-PAG3";#N/A,#N/A,FALSE,"ET-PAG4";#N/A,#N/A,FALSE,"ET-PAG5"}</definedName>
    <definedName name="u" localSheetId="26" hidden="1">{#N/A,#N/A,FALSE,"ET-CAPA";#N/A,#N/A,FALSE,"ET-PAG1";#N/A,#N/A,FALSE,"ET-PAG2";#N/A,#N/A,FALSE,"ET-PAG3";#N/A,#N/A,FALSE,"ET-PAG4";#N/A,#N/A,FALSE,"ET-PAG5"}</definedName>
    <definedName name="u" localSheetId="22" hidden="1">{#N/A,#N/A,FALSE,"ET-CAPA";#N/A,#N/A,FALSE,"ET-PAG1";#N/A,#N/A,FALSE,"ET-PAG2";#N/A,#N/A,FALSE,"ET-PAG3";#N/A,#N/A,FALSE,"ET-PAG4";#N/A,#N/A,FALSE,"ET-PAG5"}</definedName>
    <definedName name="u" localSheetId="11" hidden="1">{#N/A,#N/A,FALSE,"ET-CAPA";#N/A,#N/A,FALSE,"ET-PAG1";#N/A,#N/A,FALSE,"ET-PAG2";#N/A,#N/A,FALSE,"ET-PAG3";#N/A,#N/A,FALSE,"ET-PAG4";#N/A,#N/A,FALSE,"ET-PAG5"}</definedName>
    <definedName name="u" localSheetId="21" hidden="1">{#N/A,#N/A,FALSE,"ET-CAPA";#N/A,#N/A,FALSE,"ET-PAG1";#N/A,#N/A,FALSE,"ET-PAG2";#N/A,#N/A,FALSE,"ET-PAG3";#N/A,#N/A,FALSE,"ET-PAG4";#N/A,#N/A,FALSE,"ET-PAG5"}</definedName>
    <definedName name="u" localSheetId="7" hidden="1">{#N/A,#N/A,FALSE,"ET-CAPA";#N/A,#N/A,FALSE,"ET-PAG1";#N/A,#N/A,FALSE,"ET-PAG2";#N/A,#N/A,FALSE,"ET-PAG3";#N/A,#N/A,FALSE,"ET-PAG4";#N/A,#N/A,FALSE,"ET-PAG5"}</definedName>
    <definedName name="u" localSheetId="20" hidden="1">{#N/A,#N/A,FALSE,"ET-CAPA";#N/A,#N/A,FALSE,"ET-PAG1";#N/A,#N/A,FALSE,"ET-PAG2";#N/A,#N/A,FALSE,"ET-PAG3";#N/A,#N/A,FALSE,"ET-PAG4";#N/A,#N/A,FALSE,"ET-PAG5"}</definedName>
    <definedName name="u" localSheetId="10" hidden="1">{#N/A,#N/A,FALSE,"ET-CAPA";#N/A,#N/A,FALSE,"ET-PAG1";#N/A,#N/A,FALSE,"ET-PAG2";#N/A,#N/A,FALSE,"ET-PAG3";#N/A,#N/A,FALSE,"ET-PAG4";#N/A,#N/A,FALSE,"ET-PAG5"}</definedName>
    <definedName name="u" hidden="1">{#N/A,#N/A,FALSE,"ET-CAPA";#N/A,#N/A,FALSE,"ET-PAG1";#N/A,#N/A,FALSE,"ET-PAG2";#N/A,#N/A,FALSE,"ET-PAG3";#N/A,#N/A,FALSE,"ET-PAG4";#N/A,#N/A,FALSE,"ET-PAG5"}</definedName>
    <definedName name="wrn.GERAL." localSheetId="9" hidden="1">{#N/A,#N/A,FALSE,"ET-CAPA";#N/A,#N/A,FALSE,"ET-PAG1";#N/A,#N/A,FALSE,"ET-PAG2";#N/A,#N/A,FALSE,"ET-PAG3";#N/A,#N/A,FALSE,"ET-PAG4";#N/A,#N/A,FALSE,"ET-PAG5"}</definedName>
    <definedName name="wrn.GERAL." localSheetId="12" hidden="1">{#N/A,#N/A,FALSE,"ET-CAPA";#N/A,#N/A,FALSE,"ET-PAG1";#N/A,#N/A,FALSE,"ET-PAG2";#N/A,#N/A,FALSE,"ET-PAG3";#N/A,#N/A,FALSE,"ET-PAG4";#N/A,#N/A,FALSE,"ET-PAG5"}</definedName>
    <definedName name="wrn.GERAL." localSheetId="6" hidden="1">{#N/A,#N/A,FALSE,"ET-CAPA";#N/A,#N/A,FALSE,"ET-PAG1";#N/A,#N/A,FALSE,"ET-PAG2";#N/A,#N/A,FALSE,"ET-PAG3";#N/A,#N/A,FALSE,"ET-PAG4";#N/A,#N/A,FALSE,"ET-PAG5"}</definedName>
    <definedName name="wrn.GERAL." localSheetId="13" hidden="1">{#N/A,#N/A,FALSE,"ET-CAPA";#N/A,#N/A,FALSE,"ET-PAG1";#N/A,#N/A,FALSE,"ET-PAG2";#N/A,#N/A,FALSE,"ET-PAG3";#N/A,#N/A,FALSE,"ET-PAG4";#N/A,#N/A,FALSE,"ET-PAG5"}</definedName>
    <definedName name="wrn.GERAL." localSheetId="18" hidden="1">{#N/A,#N/A,FALSE,"ET-CAPA";#N/A,#N/A,FALSE,"ET-PAG1";#N/A,#N/A,FALSE,"ET-PAG2";#N/A,#N/A,FALSE,"ET-PAG3";#N/A,#N/A,FALSE,"ET-PAG4";#N/A,#N/A,FALSE,"ET-PAG5"}</definedName>
    <definedName name="wrn.GERAL." localSheetId="27" hidden="1">{#N/A,#N/A,FALSE,"ET-CAPA";#N/A,#N/A,FALSE,"ET-PAG1";#N/A,#N/A,FALSE,"ET-PAG2";#N/A,#N/A,FALSE,"ET-PAG3";#N/A,#N/A,FALSE,"ET-PAG4";#N/A,#N/A,FALSE,"ET-PAG5"}</definedName>
    <definedName name="wrn.GERAL." localSheetId="4" hidden="1">{#N/A,#N/A,FALSE,"ET-CAPA";#N/A,#N/A,FALSE,"ET-PAG1";#N/A,#N/A,FALSE,"ET-PAG2";#N/A,#N/A,FALSE,"ET-PAG3";#N/A,#N/A,FALSE,"ET-PAG4";#N/A,#N/A,FALSE,"ET-PAG5"}</definedName>
    <definedName name="wrn.GERAL." localSheetId="5" hidden="1">{#N/A,#N/A,FALSE,"ET-CAPA";#N/A,#N/A,FALSE,"ET-PAG1";#N/A,#N/A,FALSE,"ET-PAG2";#N/A,#N/A,FALSE,"ET-PAG3";#N/A,#N/A,FALSE,"ET-PAG4";#N/A,#N/A,FALSE,"ET-PAG5"}</definedName>
    <definedName name="wrn.GERAL." localSheetId="19" hidden="1">{#N/A,#N/A,FALSE,"ET-CAPA";#N/A,#N/A,FALSE,"ET-PAG1";#N/A,#N/A,FALSE,"ET-PAG2";#N/A,#N/A,FALSE,"ET-PAG3";#N/A,#N/A,FALSE,"ET-PAG4";#N/A,#N/A,FALSE,"ET-PAG5"}</definedName>
    <definedName name="wrn.GERAL." localSheetId="24" hidden="1">{#N/A,#N/A,FALSE,"ET-CAPA";#N/A,#N/A,FALSE,"ET-PAG1";#N/A,#N/A,FALSE,"ET-PAG2";#N/A,#N/A,FALSE,"ET-PAG3";#N/A,#N/A,FALSE,"ET-PAG4";#N/A,#N/A,FALSE,"ET-PAG5"}</definedName>
    <definedName name="wrn.GERAL." localSheetId="23" hidden="1">{#N/A,#N/A,FALSE,"ET-CAPA";#N/A,#N/A,FALSE,"ET-PAG1";#N/A,#N/A,FALSE,"ET-PAG2";#N/A,#N/A,FALSE,"ET-PAG3";#N/A,#N/A,FALSE,"ET-PAG4";#N/A,#N/A,FALSE,"ET-PAG5"}</definedName>
    <definedName name="wrn.GERAL." localSheetId="26" hidden="1">{#N/A,#N/A,FALSE,"ET-CAPA";#N/A,#N/A,FALSE,"ET-PAG1";#N/A,#N/A,FALSE,"ET-PAG2";#N/A,#N/A,FALSE,"ET-PAG3";#N/A,#N/A,FALSE,"ET-PAG4";#N/A,#N/A,FALSE,"ET-PAG5"}</definedName>
    <definedName name="wrn.GERAL." localSheetId="22" hidden="1">{#N/A,#N/A,FALSE,"ET-CAPA";#N/A,#N/A,FALSE,"ET-PAG1";#N/A,#N/A,FALSE,"ET-PAG2";#N/A,#N/A,FALSE,"ET-PAG3";#N/A,#N/A,FALSE,"ET-PAG4";#N/A,#N/A,FALSE,"ET-PAG5"}</definedName>
    <definedName name="wrn.GERAL." localSheetId="11" hidden="1">{#N/A,#N/A,FALSE,"ET-CAPA";#N/A,#N/A,FALSE,"ET-PAG1";#N/A,#N/A,FALSE,"ET-PAG2";#N/A,#N/A,FALSE,"ET-PAG3";#N/A,#N/A,FALSE,"ET-PAG4";#N/A,#N/A,FALSE,"ET-PAG5"}</definedName>
    <definedName name="wrn.GERAL." localSheetId="21" hidden="1">{#N/A,#N/A,FALSE,"ET-CAPA";#N/A,#N/A,FALSE,"ET-PAG1";#N/A,#N/A,FALSE,"ET-PAG2";#N/A,#N/A,FALSE,"ET-PAG3";#N/A,#N/A,FALSE,"ET-PAG4";#N/A,#N/A,FALSE,"ET-PAG5"}</definedName>
    <definedName name="wrn.GERAL." localSheetId="7" hidden="1">{#N/A,#N/A,FALSE,"ET-CAPA";#N/A,#N/A,FALSE,"ET-PAG1";#N/A,#N/A,FALSE,"ET-PAG2";#N/A,#N/A,FALSE,"ET-PAG3";#N/A,#N/A,FALSE,"ET-PAG4";#N/A,#N/A,FALSE,"ET-PAG5"}</definedName>
    <definedName name="wrn.GERAL." localSheetId="20" hidden="1">{#N/A,#N/A,FALSE,"ET-CAPA";#N/A,#N/A,FALSE,"ET-PAG1";#N/A,#N/A,FALSE,"ET-PAG2";#N/A,#N/A,FALSE,"ET-PAG3";#N/A,#N/A,FALSE,"ET-PAG4";#N/A,#N/A,FALSE,"ET-PAG5"}</definedName>
    <definedName name="wrn.GERAL." localSheetId="10" hidden="1">{#N/A,#N/A,FALSE,"ET-CAPA";#N/A,#N/A,FALSE,"ET-PAG1";#N/A,#N/A,FALSE,"ET-PAG2";#N/A,#N/A,FALSE,"ET-PAG3";#N/A,#N/A,FALSE,"ET-PAG4";#N/A,#N/A,FALSE,"ET-PAG5"}</definedName>
    <definedName name="wrn.GERAL." hidden="1">{#N/A,#N/A,FALSE,"ET-CAPA";#N/A,#N/A,FALSE,"ET-PAG1";#N/A,#N/A,FALSE,"ET-PAG2";#N/A,#N/A,FALSE,"ET-PAG3";#N/A,#N/A,FALSE,"ET-PAG4";#N/A,#N/A,FALSE,"ET-PAG5"}</definedName>
    <definedName name="xxxx" localSheetId="9">#REF!</definedName>
    <definedName name="xxxx" localSheetId="12">#REF!</definedName>
    <definedName name="xxxx" localSheetId="13">#REF!</definedName>
    <definedName name="xxxx" localSheetId="18">#REF!</definedName>
    <definedName name="xxxx" localSheetId="27">#REF!</definedName>
    <definedName name="xxxx" localSheetId="19">#REF!</definedName>
    <definedName name="xxxx" localSheetId="24">#REF!</definedName>
    <definedName name="xxxx" localSheetId="23">#REF!</definedName>
    <definedName name="xxxx" localSheetId="26">#REF!</definedName>
    <definedName name="xxxx" localSheetId="22">#REF!</definedName>
    <definedName name="xxxx" localSheetId="11">#REF!</definedName>
    <definedName name="xxxx" localSheetId="21">#REF!</definedName>
    <definedName name="xxxx" localSheetId="7">#REF!</definedName>
    <definedName name="xxxx" localSheetId="20">#REF!</definedName>
    <definedName name="xxxx" localSheetId="10">#REF!</definedName>
    <definedName name="x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6" i="37" l="1"/>
  <c r="H12" i="18"/>
  <c r="H13" i="18"/>
  <c r="H14" i="18" s="1"/>
  <c r="H15" i="18"/>
  <c r="H16" i="18"/>
  <c r="H17" i="18"/>
  <c r="H18" i="18"/>
  <c r="G19" i="18"/>
  <c r="G18" i="18"/>
  <c r="G17" i="18"/>
  <c r="G16" i="18"/>
  <c r="G15" i="18"/>
  <c r="G14" i="18"/>
  <c r="G13" i="18"/>
  <c r="G12" i="18"/>
  <c r="E26" i="18"/>
  <c r="D32" i="35" l="1"/>
  <c r="E32" i="35" s="1"/>
  <c r="D33" i="35"/>
  <c r="D4" i="3" l="1"/>
  <c r="D5" i="3"/>
  <c r="D6" i="3"/>
  <c r="D7" i="3"/>
  <c r="D8" i="3"/>
  <c r="D9" i="3"/>
  <c r="D10" i="3"/>
  <c r="D11" i="3"/>
  <c r="D12" i="3"/>
  <c r="D13" i="3"/>
  <c r="D14" i="3"/>
  <c r="D15" i="3"/>
  <c r="D16" i="3"/>
  <c r="D17" i="3"/>
  <c r="D18" i="3"/>
  <c r="D19" i="3"/>
  <c r="D20" i="3"/>
  <c r="D21" i="3"/>
  <c r="D22" i="3"/>
  <c r="D23" i="3"/>
  <c r="D24" i="3"/>
  <c r="D3" i="3"/>
  <c r="B25" i="3"/>
  <c r="C4" i="3" s="1"/>
  <c r="C15" i="3" l="1"/>
  <c r="C18" i="3"/>
  <c r="D25" i="3"/>
  <c r="D26" i="3" s="1"/>
  <c r="C16" i="3"/>
  <c r="C17" i="3"/>
  <c r="C19" i="3"/>
  <c r="C3" i="3"/>
  <c r="C9" i="3"/>
  <c r="C24" i="3"/>
  <c r="C8" i="3"/>
  <c r="C12" i="3"/>
  <c r="C10" i="3"/>
  <c r="C23" i="3"/>
  <c r="C7" i="3"/>
  <c r="C22" i="3"/>
  <c r="C6" i="3"/>
  <c r="C21" i="3"/>
  <c r="C5" i="3"/>
  <c r="C14" i="3"/>
  <c r="C13" i="3"/>
  <c r="C11" i="3"/>
  <c r="C20" i="3"/>
  <c r="C25" i="3" l="1"/>
  <c r="F31" i="18" l="1"/>
  <c r="F30" i="18"/>
  <c r="F29" i="18"/>
  <c r="F27" i="18"/>
  <c r="F26" i="18"/>
  <c r="F32" i="18"/>
  <c r="F33" i="18"/>
  <c r="G47" i="18" s="1"/>
  <c r="H20" i="18"/>
  <c r="C27" i="36"/>
  <c r="D20" i="36"/>
  <c r="D19" i="36"/>
  <c r="D17" i="36"/>
  <c r="D14" i="36"/>
  <c r="D13" i="36"/>
  <c r="D11" i="36"/>
  <c r="D15" i="36" s="1"/>
  <c r="G46" i="18" l="1"/>
  <c r="C40" i="18"/>
  <c r="C14" i="35"/>
  <c r="G40" i="18"/>
  <c r="G43" i="18"/>
  <c r="G44" i="18"/>
  <c r="D26" i="36"/>
  <c r="G41" i="18"/>
  <c r="D21" i="36"/>
  <c r="D27" i="36" s="1"/>
  <c r="G45" i="18"/>
  <c r="F28" i="18"/>
  <c r="G42" i="18" s="1"/>
  <c r="F34" i="18" l="1"/>
  <c r="D31" i="36"/>
  <c r="G48" i="18"/>
  <c r="B112" i="4" s="1"/>
  <c r="D30" i="36"/>
  <c r="F41" i="18" l="1"/>
  <c r="F42" i="18"/>
  <c r="F43" i="18"/>
  <c r="F44" i="18"/>
  <c r="F45" i="18"/>
  <c r="F46" i="18"/>
  <c r="F47" i="18"/>
  <c r="F40" i="18"/>
  <c r="E41" i="18"/>
  <c r="E42" i="18"/>
  <c r="E43" i="18"/>
  <c r="E44" i="18"/>
  <c r="E45" i="18"/>
  <c r="E46" i="18"/>
  <c r="E47" i="18"/>
  <c r="E40" i="18"/>
  <c r="D41" i="18"/>
  <c r="D42" i="18"/>
  <c r="D43" i="18"/>
  <c r="D44" i="18"/>
  <c r="D45" i="18"/>
  <c r="D46" i="18"/>
  <c r="D47" i="18"/>
  <c r="D40" i="18"/>
  <c r="C41" i="18"/>
  <c r="C42" i="18"/>
  <c r="C43" i="18"/>
  <c r="C44" i="18"/>
  <c r="C45" i="18"/>
  <c r="C46" i="18"/>
  <c r="C47" i="18"/>
  <c r="D34" i="18"/>
  <c r="C34" i="18"/>
  <c r="E27" i="18"/>
  <c r="C25" i="35" s="1"/>
  <c r="E25" i="35" s="1"/>
  <c r="E28" i="18"/>
  <c r="C26" i="35" s="1"/>
  <c r="E26" i="35" s="1"/>
  <c r="E29" i="18"/>
  <c r="C27" i="35" s="1"/>
  <c r="E27" i="35" s="1"/>
  <c r="E30" i="18"/>
  <c r="C28" i="35" s="1"/>
  <c r="E28" i="35" s="1"/>
  <c r="E31" i="18"/>
  <c r="C29" i="35" s="1"/>
  <c r="E29" i="35" s="1"/>
  <c r="E32" i="18"/>
  <c r="C30" i="35" s="1"/>
  <c r="E30" i="35" s="1"/>
  <c r="E33" i="18"/>
  <c r="C31" i="35" s="1"/>
  <c r="E31" i="35" s="1"/>
  <c r="C24" i="35"/>
  <c r="C12" i="35"/>
  <c r="C13" i="35"/>
  <c r="C15" i="35"/>
  <c r="C16" i="35"/>
  <c r="C17" i="35"/>
  <c r="E17" i="35" s="1"/>
  <c r="G17" i="35" s="1"/>
  <c r="C18" i="35"/>
  <c r="E18" i="35" s="1"/>
  <c r="G18" i="35" s="1"/>
  <c r="F19" i="35"/>
  <c r="B212" i="4" s="1"/>
  <c r="B2" i="35"/>
  <c r="B1" i="35"/>
  <c r="D99" i="4"/>
  <c r="D97" i="4"/>
  <c r="D96" i="4"/>
  <c r="E24" i="35" l="1"/>
  <c r="E33" i="35" s="1"/>
  <c r="C33" i="35"/>
  <c r="G20" i="18"/>
  <c r="C11" i="35"/>
  <c r="C19" i="35" s="1"/>
  <c r="B209" i="4" s="1"/>
  <c r="H41" i="18"/>
  <c r="F48" i="18"/>
  <c r="B111" i="4" s="1"/>
  <c r="H47" i="18"/>
  <c r="H43" i="18"/>
  <c r="H42" i="18"/>
  <c r="H46" i="18"/>
  <c r="H45" i="18"/>
  <c r="H44" i="18"/>
  <c r="H40" i="18"/>
  <c r="D48" i="18"/>
  <c r="C48" i="18"/>
  <c r="B107" i="4" s="1"/>
  <c r="B312" i="4"/>
  <c r="E48" i="18"/>
  <c r="B109" i="4" s="1"/>
  <c r="B117" i="4" s="1"/>
  <c r="E34" i="18"/>
  <c r="B311" i="4"/>
  <c r="E232" i="4"/>
  <c r="B230" i="4"/>
  <c r="B121" i="4"/>
  <c r="B122" i="4"/>
  <c r="H48" i="18" l="1"/>
  <c r="I40" i="19"/>
  <c r="I38" i="19"/>
  <c r="L42" i="19"/>
  <c r="K42" i="19"/>
  <c r="G18" i="29"/>
  <c r="G19" i="29" s="1"/>
  <c r="F18" i="29"/>
  <c r="F19" i="29" s="1"/>
  <c r="E18" i="29"/>
  <c r="H17" i="29"/>
  <c r="E17" i="29"/>
  <c r="H16" i="29"/>
  <c r="E16" i="29"/>
  <c r="D16" i="29"/>
  <c r="C16" i="29"/>
  <c r="I15" i="29"/>
  <c r="I19" i="29" s="1"/>
  <c r="E15" i="29"/>
  <c r="D15" i="29"/>
  <c r="C15" i="29"/>
  <c r="H14" i="29"/>
  <c r="E14" i="29"/>
  <c r="H13" i="29"/>
  <c r="E13" i="29"/>
  <c r="H12" i="29"/>
  <c r="E12" i="29"/>
  <c r="H11" i="29"/>
  <c r="H19" i="29" s="1"/>
  <c r="E11" i="29"/>
  <c r="D11" i="29"/>
  <c r="C11" i="29"/>
  <c r="E190" i="4"/>
  <c r="E19" i="29" l="1"/>
  <c r="C26" i="29"/>
  <c r="C25" i="29"/>
  <c r="C24" i="29"/>
  <c r="D19" i="29"/>
  <c r="C19" i="29"/>
  <c r="F20" i="18" l="1"/>
  <c r="B106" i="4" s="1"/>
  <c r="B236" i="4"/>
  <c r="B247" i="4" s="1"/>
  <c r="B258" i="4"/>
  <c r="B114" i="4" l="1"/>
  <c r="E114" i="4" s="1"/>
  <c r="B116" i="4"/>
  <c r="E20" i="18"/>
  <c r="D20" i="18"/>
  <c r="C20" i="18"/>
  <c r="E53" i="4"/>
  <c r="E49" i="4"/>
  <c r="E48" i="4"/>
  <c r="E82" i="4"/>
  <c r="E83" i="4"/>
  <c r="E84" i="4"/>
  <c r="E85" i="4"/>
  <c r="E86" i="4"/>
  <c r="E87" i="4"/>
  <c r="E81" i="4"/>
  <c r="E91" i="4"/>
  <c r="E51" i="4"/>
  <c r="E56" i="4"/>
  <c r="E73" i="4"/>
  <c r="E74" i="4"/>
  <c r="E72" i="4"/>
  <c r="B75" i="4"/>
  <c r="E75" i="4" s="1"/>
  <c r="E245" i="4" l="1"/>
  <c r="E279" i="4"/>
  <c r="E99" i="4" l="1"/>
  <c r="E98" i="4"/>
  <c r="E97" i="4"/>
  <c r="E96" i="4"/>
  <c r="E95" i="4"/>
  <c r="E94" i="4"/>
  <c r="B102" i="4"/>
  <c r="D102" i="4"/>
  <c r="E102" i="4" l="1"/>
  <c r="D68" i="33"/>
  <c r="D59" i="33"/>
  <c r="D61" i="33" s="1"/>
  <c r="D54" i="33"/>
  <c r="D44" i="33"/>
  <c r="D47" i="33" s="1"/>
  <c r="D37" i="33"/>
  <c r="D39" i="33" s="1"/>
  <c r="D29" i="33"/>
  <c r="D28" i="33"/>
  <c r="D32" i="33" s="1"/>
  <c r="D21" i="33"/>
  <c r="D23" i="33" s="1"/>
  <c r="D16" i="33"/>
  <c r="D15" i="33"/>
  <c r="C24" i="30" l="1"/>
  <c r="C23" i="30"/>
  <c r="K149" i="32" l="1"/>
  <c r="E145" i="32" s="1"/>
  <c r="F145" i="32" s="1"/>
  <c r="F149" i="32"/>
  <c r="F148" i="32"/>
  <c r="F147" i="32"/>
  <c r="E146" i="32"/>
  <c r="F146" i="32" s="1"/>
  <c r="E144" i="32"/>
  <c r="F144" i="32" s="1"/>
  <c r="E142" i="32"/>
  <c r="F142" i="32" s="1"/>
  <c r="F141" i="32"/>
  <c r="F135" i="32"/>
  <c r="F134" i="32"/>
  <c r="F133" i="32"/>
  <c r="F132" i="32"/>
  <c r="F131" i="32"/>
  <c r="F130" i="32"/>
  <c r="F129" i="32"/>
  <c r="F128" i="32"/>
  <c r="F127" i="32"/>
  <c r="F126" i="32"/>
  <c r="F125" i="32"/>
  <c r="F124" i="32"/>
  <c r="F123" i="32"/>
  <c r="F122" i="32"/>
  <c r="F121" i="32"/>
  <c r="F120" i="32"/>
  <c r="F119" i="32"/>
  <c r="F118" i="32"/>
  <c r="F117" i="32"/>
  <c r="F116" i="32"/>
  <c r="F115" i="32"/>
  <c r="F114" i="32"/>
  <c r="F113" i="32"/>
  <c r="F112" i="32"/>
  <c r="F111" i="32"/>
  <c r="F110" i="32"/>
  <c r="F109" i="32"/>
  <c r="F108" i="32"/>
  <c r="F107" i="32"/>
  <c r="F106" i="32"/>
  <c r="F105" i="32"/>
  <c r="F104" i="32"/>
  <c r="F103" i="32"/>
  <c r="F102" i="32"/>
  <c r="F101" i="32"/>
  <c r="F100" i="32"/>
  <c r="F99" i="32"/>
  <c r="F98" i="32"/>
  <c r="F97" i="32"/>
  <c r="F96" i="32"/>
  <c r="F95" i="32"/>
  <c r="F94" i="32"/>
  <c r="F93" i="32"/>
  <c r="F92" i="32"/>
  <c r="F91" i="32"/>
  <c r="F90" i="32"/>
  <c r="F89" i="32"/>
  <c r="F88" i="32"/>
  <c r="F87" i="32"/>
  <c r="F86" i="32"/>
  <c r="F85" i="32"/>
  <c r="F84" i="32"/>
  <c r="F83" i="32"/>
  <c r="F82" i="32"/>
  <c r="F81" i="32"/>
  <c r="F80" i="32"/>
  <c r="F79" i="32"/>
  <c r="F78" i="32"/>
  <c r="F77" i="32"/>
  <c r="F76" i="32"/>
  <c r="F75" i="32"/>
  <c r="F74" i="32"/>
  <c r="F73" i="32"/>
  <c r="F72" i="32"/>
  <c r="F71" i="32"/>
  <c r="F70" i="32"/>
  <c r="F69" i="32"/>
  <c r="F68" i="32"/>
  <c r="F67" i="32"/>
  <c r="F66" i="32"/>
  <c r="F65" i="32"/>
  <c r="F64" i="32"/>
  <c r="F63" i="32"/>
  <c r="F62" i="32"/>
  <c r="F61" i="32"/>
  <c r="F60" i="32"/>
  <c r="F59" i="32"/>
  <c r="F58" i="32"/>
  <c r="F57" i="32"/>
  <c r="F56" i="32"/>
  <c r="F55" i="32"/>
  <c r="F54" i="32"/>
  <c r="F53" i="32"/>
  <c r="F52" i="32"/>
  <c r="F51" i="32"/>
  <c r="F50" i="32"/>
  <c r="F49" i="32"/>
  <c r="F48" i="32"/>
  <c r="F47" i="32"/>
  <c r="F46" i="32"/>
  <c r="F45" i="32"/>
  <c r="F44" i="32"/>
  <c r="F43" i="32"/>
  <c r="F42" i="32"/>
  <c r="F41" i="32"/>
  <c r="F40" i="32"/>
  <c r="F39" i="32"/>
  <c r="F38" i="32"/>
  <c r="F37" i="32"/>
  <c r="F36" i="32"/>
  <c r="F35" i="32"/>
  <c r="F34" i="32"/>
  <c r="F33" i="32"/>
  <c r="F32" i="32"/>
  <c r="F31" i="32"/>
  <c r="F30" i="32"/>
  <c r="F29" i="32"/>
  <c r="F28" i="32"/>
  <c r="F27" i="32"/>
  <c r="F26" i="32"/>
  <c r="F25" i="32"/>
  <c r="F24" i="32"/>
  <c r="F23" i="32"/>
  <c r="F22" i="32"/>
  <c r="F21" i="32"/>
  <c r="F20" i="32"/>
  <c r="F19" i="32"/>
  <c r="F18" i="32"/>
  <c r="F17" i="32"/>
  <c r="F16" i="32"/>
  <c r="F15" i="32"/>
  <c r="F14" i="32"/>
  <c r="F13" i="32"/>
  <c r="F12" i="32"/>
  <c r="F11" i="32"/>
  <c r="B3" i="32"/>
  <c r="B2" i="32"/>
  <c r="B1" i="32"/>
  <c r="F136" i="32" l="1"/>
  <c r="F137" i="32" s="1"/>
  <c r="E143" i="32"/>
  <c r="F143" i="32" s="1"/>
  <c r="F150" i="32" s="1"/>
  <c r="F16" i="31" l="1"/>
  <c r="F15" i="31"/>
  <c r="F14" i="31"/>
  <c r="F13" i="31"/>
  <c r="F12" i="31"/>
  <c r="F11" i="31"/>
  <c r="Q19" i="30" l="1"/>
  <c r="P18" i="30"/>
  <c r="T18" i="30" s="1"/>
  <c r="S17" i="30"/>
  <c r="P17" i="30"/>
  <c r="D17" i="30"/>
  <c r="R16" i="30"/>
  <c r="R19" i="30" s="1"/>
  <c r="L16" i="30"/>
  <c r="L19" i="30" s="1"/>
  <c r="K16" i="30"/>
  <c r="K19" i="30" s="1"/>
  <c r="H16" i="30"/>
  <c r="F16" i="30"/>
  <c r="P16" i="30" s="1"/>
  <c r="E16" i="30"/>
  <c r="D16" i="30"/>
  <c r="C16" i="30"/>
  <c r="P15" i="30"/>
  <c r="O15" i="30"/>
  <c r="J15" i="30"/>
  <c r="J19" i="30" s="1"/>
  <c r="H15" i="30"/>
  <c r="G15" i="30"/>
  <c r="F15" i="30"/>
  <c r="C15" i="30"/>
  <c r="N14" i="30"/>
  <c r="N19" i="30" s="1"/>
  <c r="M14" i="30"/>
  <c r="I14" i="30"/>
  <c r="P14" i="30" s="1"/>
  <c r="T14" i="30" s="1"/>
  <c r="M13" i="30"/>
  <c r="I13" i="30"/>
  <c r="P13" i="30" s="1"/>
  <c r="T13" i="30" s="1"/>
  <c r="P12" i="30"/>
  <c r="T12" i="30" s="1"/>
  <c r="O12" i="30"/>
  <c r="O11" i="30"/>
  <c r="I11" i="30" s="1"/>
  <c r="G11" i="30"/>
  <c r="F11" i="30"/>
  <c r="D11" i="30"/>
  <c r="C11" i="30"/>
  <c r="B3" i="30"/>
  <c r="B2" i="30"/>
  <c r="B1" i="30"/>
  <c r="U16" i="30" l="1"/>
  <c r="C19" i="30"/>
  <c r="T11" i="30"/>
  <c r="H19" i="30"/>
  <c r="D19" i="30"/>
  <c r="T15" i="30"/>
  <c r="I19" i="30"/>
  <c r="O16" i="30"/>
  <c r="F19" i="30"/>
  <c r="T16" i="30"/>
  <c r="G19" i="30"/>
  <c r="T17" i="30"/>
  <c r="E19" i="30"/>
  <c r="U19" i="30"/>
  <c r="P19" i="30"/>
  <c r="O19" i="30"/>
  <c r="T19" i="30" l="1"/>
  <c r="B3" i="29"/>
  <c r="B2" i="29"/>
  <c r="B1" i="29"/>
  <c r="F218" i="4" l="1"/>
  <c r="B213" i="4"/>
  <c r="N46" i="28"/>
  <c r="O46" i="28" s="1"/>
  <c r="M46" i="28"/>
  <c r="L46" i="28"/>
  <c r="I46" i="28"/>
  <c r="H45" i="28"/>
  <c r="J45" i="28" s="1"/>
  <c r="F44" i="28"/>
  <c r="H44" i="28" s="1"/>
  <c r="E44" i="28"/>
  <c r="H43" i="28"/>
  <c r="H42" i="28"/>
  <c r="G41" i="28"/>
  <c r="G40" i="28"/>
  <c r="G39" i="28"/>
  <c r="G38" i="28"/>
  <c r="C38" i="28"/>
  <c r="E38" i="28" s="1"/>
  <c r="G36" i="28"/>
  <c r="D36" i="28"/>
  <c r="G34" i="28"/>
  <c r="C34" i="28"/>
  <c r="E34" i="28" s="1"/>
  <c r="C32" i="28"/>
  <c r="E32" i="28" s="1"/>
  <c r="M26" i="28"/>
  <c r="G26" i="28"/>
  <c r="E25" i="28"/>
  <c r="H23" i="28"/>
  <c r="C22" i="28"/>
  <c r="E22" i="28" s="1"/>
  <c r="H21" i="28"/>
  <c r="C21" i="28"/>
  <c r="C23" i="28" s="1"/>
  <c r="E23" i="28" s="1"/>
  <c r="F20" i="28"/>
  <c r="F41" i="28" s="1"/>
  <c r="E20" i="28"/>
  <c r="F19" i="28"/>
  <c r="F40" i="28" s="1"/>
  <c r="C19" i="28"/>
  <c r="E19" i="28" s="1"/>
  <c r="F18" i="28"/>
  <c r="H18" i="28" s="1"/>
  <c r="C18" i="28"/>
  <c r="E18" i="28" s="1"/>
  <c r="F17" i="28"/>
  <c r="F38" i="28" s="1"/>
  <c r="C17" i="28"/>
  <c r="C39" i="28" s="1"/>
  <c r="E39" i="28" s="1"/>
  <c r="D16" i="28"/>
  <c r="D15" i="28"/>
  <c r="C13" i="28"/>
  <c r="C15" i="28" s="1"/>
  <c r="F12" i="28"/>
  <c r="F33" i="28" s="1"/>
  <c r="H33" i="28" s="1"/>
  <c r="C12" i="28"/>
  <c r="E12" i="28" s="1"/>
  <c r="F11" i="28"/>
  <c r="F32" i="28" s="1"/>
  <c r="H32" i="28" s="1"/>
  <c r="C11" i="28"/>
  <c r="E11" i="28" s="1"/>
  <c r="B3" i="28"/>
  <c r="B2" i="28"/>
  <c r="B1" i="28"/>
  <c r="C25" i="27"/>
  <c r="C27" i="27" s="1"/>
  <c r="F15" i="27"/>
  <c r="E15" i="27"/>
  <c r="D14" i="27"/>
  <c r="D13" i="27"/>
  <c r="D11" i="27"/>
  <c r="C11" i="27"/>
  <c r="C15" i="27" s="1"/>
  <c r="B3" i="27"/>
  <c r="B2" i="27"/>
  <c r="B1" i="27"/>
  <c r="H40" i="28" l="1"/>
  <c r="H12" i="28"/>
  <c r="J44" i="28"/>
  <c r="K44" i="28" s="1"/>
  <c r="H38" i="28"/>
  <c r="E15" i="28"/>
  <c r="F39" i="28"/>
  <c r="H39" i="28" s="1"/>
  <c r="C14" i="28"/>
  <c r="E14" i="28" s="1"/>
  <c r="H19" i="28"/>
  <c r="E21" i="28"/>
  <c r="I21" i="28" s="1"/>
  <c r="L21" i="28" s="1"/>
  <c r="D15" i="27"/>
  <c r="H17" i="28"/>
  <c r="H41" i="28"/>
  <c r="C36" i="28"/>
  <c r="E36" i="28" s="1"/>
  <c r="J32" i="28"/>
  <c r="H11" i="28"/>
  <c r="I11" i="28" s="1"/>
  <c r="C24" i="28"/>
  <c r="E24" i="28" s="1"/>
  <c r="I23" i="28" s="1"/>
  <c r="E13" i="28"/>
  <c r="E17" i="28"/>
  <c r="H20" i="28"/>
  <c r="C42" i="28"/>
  <c r="F13" i="28"/>
  <c r="J38" i="28" l="1"/>
  <c r="K38" i="28" s="1"/>
  <c r="J21" i="28"/>
  <c r="D15" i="35" s="1"/>
  <c r="E15" i="35" s="1"/>
  <c r="G15" i="35" s="1"/>
  <c r="C16" i="28"/>
  <c r="E16" i="28" s="1"/>
  <c r="I17" i="28"/>
  <c r="K17" i="28" s="1"/>
  <c r="E26" i="28"/>
  <c r="J23" i="28"/>
  <c r="D16" i="35" s="1"/>
  <c r="E16" i="35" s="1"/>
  <c r="G16" i="35" s="1"/>
  <c r="L23" i="28"/>
  <c r="L26" i="28" s="1"/>
  <c r="J11" i="28"/>
  <c r="D11" i="35" s="1"/>
  <c r="F34" i="28"/>
  <c r="H34" i="28" s="1"/>
  <c r="F15" i="28"/>
  <c r="F26" i="28" s="1"/>
  <c r="H13" i="28"/>
  <c r="I13" i="28" s="1"/>
  <c r="K32" i="28"/>
  <c r="C43" i="28"/>
  <c r="E43" i="28" s="1"/>
  <c r="J43" i="28" s="1"/>
  <c r="K43" i="28" s="1"/>
  <c r="E42" i="28"/>
  <c r="E11" i="35" l="1"/>
  <c r="G11" i="35" s="1"/>
  <c r="J17" i="28"/>
  <c r="D14" i="35" s="1"/>
  <c r="E14" i="35" s="1"/>
  <c r="G14" i="35" s="1"/>
  <c r="E46" i="28"/>
  <c r="J42" i="28"/>
  <c r="K42" i="28" s="1"/>
  <c r="K11" i="28"/>
  <c r="F36" i="28"/>
  <c r="H36" i="28" s="1"/>
  <c r="J36" i="28" s="1"/>
  <c r="K36" i="28" s="1"/>
  <c r="H15" i="28"/>
  <c r="K13" i="28"/>
  <c r="J13" i="28"/>
  <c r="D12" i="35" s="1"/>
  <c r="E12" i="35" s="1"/>
  <c r="G12" i="35" s="1"/>
  <c r="J34" i="28"/>
  <c r="H46" i="28" l="1"/>
  <c r="K34" i="28"/>
  <c r="K46" i="28" s="1"/>
  <c r="J46" i="28"/>
  <c r="I15" i="28"/>
  <c r="H26" i="28"/>
  <c r="J15" i="28" l="1"/>
  <c r="K15" i="28"/>
  <c r="K26" i="28" s="1"/>
  <c r="I26" i="28"/>
  <c r="B208" i="4" s="1"/>
  <c r="B210" i="4" s="1"/>
  <c r="B218" i="4" s="1"/>
  <c r="J26" i="28" l="1"/>
  <c r="D13" i="35"/>
  <c r="G26" i="26"/>
  <c r="G25" i="26"/>
  <c r="G24" i="26"/>
  <c r="G23" i="26"/>
  <c r="G22" i="26"/>
  <c r="G21" i="26"/>
  <c r="G20" i="26"/>
  <c r="G19" i="26"/>
  <c r="G18" i="26"/>
  <c r="G17" i="26"/>
  <c r="G15" i="26"/>
  <c r="G14" i="26"/>
  <c r="F13" i="26"/>
  <c r="G13" i="26" s="1"/>
  <c r="F12" i="26"/>
  <c r="G12" i="26" s="1"/>
  <c r="G16" i="26" l="1"/>
  <c r="E13" i="35"/>
  <c r="D19" i="35"/>
  <c r="G11" i="26"/>
  <c r="G13" i="35" l="1"/>
  <c r="G19" i="35" s="1"/>
  <c r="B260" i="4" s="1"/>
  <c r="E19" i="35"/>
  <c r="F34" i="25"/>
  <c r="G34" i="25" s="1"/>
  <c r="F33" i="25"/>
  <c r="G33" i="25" s="1"/>
  <c r="F32" i="25"/>
  <c r="G32" i="25" s="1"/>
  <c r="F31" i="25"/>
  <c r="G31" i="25" s="1"/>
  <c r="F30" i="25"/>
  <c r="G30" i="25" s="1"/>
  <c r="F29" i="25"/>
  <c r="G29" i="25" s="1"/>
  <c r="G28" i="25"/>
  <c r="G27" i="25"/>
  <c r="G26" i="25"/>
  <c r="F25" i="25"/>
  <c r="G25" i="25" s="1"/>
  <c r="F24" i="25"/>
  <c r="G24" i="25" s="1"/>
  <c r="G23" i="25"/>
  <c r="G22" i="25"/>
  <c r="F21" i="25"/>
  <c r="G21" i="25" s="1"/>
  <c r="G20" i="25"/>
  <c r="F19" i="25"/>
  <c r="G19" i="25" s="1"/>
  <c r="F18" i="25"/>
  <c r="G18" i="25" s="1"/>
  <c r="F17" i="25"/>
  <c r="G17" i="25" s="1"/>
  <c r="F16" i="25"/>
  <c r="G16" i="25" s="1"/>
  <c r="G15" i="25"/>
  <c r="F14" i="25"/>
  <c r="G14" i="25" s="1"/>
  <c r="F13" i="25"/>
  <c r="G13" i="25" s="1"/>
  <c r="F12" i="25"/>
  <c r="G12" i="25" s="1"/>
  <c r="G17" i="24"/>
  <c r="G16" i="24" s="1"/>
  <c r="G15" i="24"/>
  <c r="G14" i="24"/>
  <c r="G13" i="24"/>
  <c r="G12" i="24"/>
  <c r="G196" i="23"/>
  <c r="G195" i="23"/>
  <c r="G194" i="23"/>
  <c r="G193" i="23"/>
  <c r="G192" i="23"/>
  <c r="G190" i="23"/>
  <c r="G189" i="23"/>
  <c r="F188" i="23"/>
  <c r="G188" i="23" s="1"/>
  <c r="G187" i="23" s="1"/>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7" i="23"/>
  <c r="G156" i="23"/>
  <c r="G155" i="23"/>
  <c r="G154" i="23"/>
  <c r="G153"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8" i="23"/>
  <c r="G117" i="23"/>
  <c r="G116" i="23"/>
  <c r="G115" i="23"/>
  <c r="G114" i="23"/>
  <c r="G113" i="23"/>
  <c r="G112"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48" i="23"/>
  <c r="D47" i="23"/>
  <c r="G47" i="23" s="1"/>
  <c r="G46" i="23"/>
  <c r="G45" i="23"/>
  <c r="G44" i="23"/>
  <c r="G43" i="23"/>
  <c r="G42" i="23"/>
  <c r="G41" i="23"/>
  <c r="G40" i="23"/>
  <c r="G39" i="23"/>
  <c r="G38" i="23"/>
  <c r="G36" i="23"/>
  <c r="G35" i="23"/>
  <c r="G34" i="23"/>
  <c r="G33" i="23"/>
  <c r="G32" i="23"/>
  <c r="G31" i="23"/>
  <c r="G30" i="23"/>
  <c r="G29" i="23"/>
  <c r="G27" i="23"/>
  <c r="G26" i="23"/>
  <c r="G25" i="23"/>
  <c r="G24" i="23"/>
  <c r="G23" i="23"/>
  <c r="G22" i="23"/>
  <c r="G21" i="23"/>
  <c r="G20" i="23"/>
  <c r="G19" i="23"/>
  <c r="G18" i="23"/>
  <c r="G17" i="23"/>
  <c r="G16" i="23"/>
  <c r="G15" i="23"/>
  <c r="G14" i="23"/>
  <c r="G13" i="23"/>
  <c r="G12" i="23"/>
  <c r="G191" i="23" l="1"/>
  <c r="G158" i="23"/>
  <c r="G37" i="23"/>
  <c r="G11" i="23"/>
  <c r="G28" i="23"/>
  <c r="G11" i="24"/>
  <c r="G111" i="23"/>
  <c r="G11" i="25"/>
  <c r="F30" i="22" l="1"/>
  <c r="F29" i="22"/>
  <c r="C28" i="22"/>
  <c r="F28" i="22" s="1"/>
  <c r="F27" i="22"/>
  <c r="F26" i="22"/>
  <c r="C25" i="22"/>
  <c r="F25" i="22" s="1"/>
  <c r="C24" i="22"/>
  <c r="F24" i="22" s="1"/>
  <c r="F22" i="22"/>
  <c r="F21" i="22"/>
  <c r="F20" i="22"/>
  <c r="F19" i="22"/>
  <c r="F18" i="22"/>
  <c r="F17" i="22"/>
  <c r="F16" i="22"/>
  <c r="C15" i="22"/>
  <c r="F15" i="22" s="1"/>
  <c r="F14" i="22"/>
  <c r="C13" i="22"/>
  <c r="F13" i="22" s="1"/>
  <c r="C12" i="22"/>
  <c r="F12" i="22" s="1"/>
  <c r="D12" i="21"/>
  <c r="G12" i="21" s="1"/>
  <c r="D13" i="21"/>
  <c r="G13" i="21" s="1"/>
  <c r="D14" i="21"/>
  <c r="G14" i="21" s="1"/>
  <c r="D15" i="21"/>
  <c r="G15" i="21" s="1"/>
  <c r="D16" i="21"/>
  <c r="G16" i="21" s="1"/>
  <c r="D17" i="21"/>
  <c r="G17" i="21" s="1"/>
  <c r="D18" i="21"/>
  <c r="G18" i="21" s="1"/>
  <c r="D19" i="21"/>
  <c r="G19" i="21" s="1"/>
  <c r="D20" i="21"/>
  <c r="G20" i="21" s="1"/>
  <c r="D21" i="21"/>
  <c r="G21" i="21" s="1"/>
  <c r="D22" i="21"/>
  <c r="G22" i="21" s="1"/>
  <c r="D23" i="21"/>
  <c r="G23" i="21" s="1"/>
  <c r="D24" i="21"/>
  <c r="G24" i="21" s="1"/>
  <c r="D25" i="21"/>
  <c r="G25" i="21" s="1"/>
  <c r="D26" i="21"/>
  <c r="G26" i="21" s="1"/>
  <c r="D27" i="21"/>
  <c r="G27" i="21" s="1"/>
  <c r="D28" i="21"/>
  <c r="G28" i="21" s="1"/>
  <c r="D29" i="21"/>
  <c r="G29" i="21" s="1"/>
  <c r="D30" i="21"/>
  <c r="G30" i="21" s="1"/>
  <c r="D31" i="21"/>
  <c r="G31" i="21" s="1"/>
  <c r="D32" i="21"/>
  <c r="G32" i="21" s="1"/>
  <c r="D33" i="21"/>
  <c r="G33" i="21" s="1"/>
  <c r="D34" i="21"/>
  <c r="G34" i="21" s="1"/>
  <c r="D35" i="21"/>
  <c r="G35" i="21" s="1"/>
  <c r="D36" i="21"/>
  <c r="G36" i="21" s="1"/>
  <c r="D37" i="21"/>
  <c r="G37" i="21" s="1"/>
  <c r="D38" i="21"/>
  <c r="G38" i="21" s="1"/>
  <c r="D39" i="21"/>
  <c r="G39" i="21" s="1"/>
  <c r="D40" i="21"/>
  <c r="G40" i="21" s="1"/>
  <c r="D41" i="21"/>
  <c r="G41" i="21" s="1"/>
  <c r="D42" i="21"/>
  <c r="G42" i="21" s="1"/>
  <c r="D43" i="21"/>
  <c r="G43" i="21" s="1"/>
  <c r="D44" i="21"/>
  <c r="G44" i="21"/>
  <c r="D45" i="21"/>
  <c r="G45" i="21" s="1"/>
  <c r="D46" i="21"/>
  <c r="G46" i="21" s="1"/>
  <c r="D47" i="21"/>
  <c r="G47" i="21" s="1"/>
  <c r="D48" i="21"/>
  <c r="G48" i="21" s="1"/>
  <c r="D49" i="21"/>
  <c r="G49" i="21" s="1"/>
  <c r="D50" i="21"/>
  <c r="G50" i="21" s="1"/>
  <c r="D51" i="21"/>
  <c r="G51" i="21" s="1"/>
  <c r="D52" i="21"/>
  <c r="G52" i="21" s="1"/>
  <c r="D53" i="21"/>
  <c r="G53" i="21" s="1"/>
  <c r="D54" i="21"/>
  <c r="G54" i="21" s="1"/>
  <c r="D55" i="21"/>
  <c r="G55" i="21" s="1"/>
  <c r="D56" i="21"/>
  <c r="G56" i="21" s="1"/>
  <c r="D57" i="21"/>
  <c r="G57" i="21" s="1"/>
  <c r="D58" i="21"/>
  <c r="G58" i="21" s="1"/>
  <c r="D59" i="21"/>
  <c r="G59" i="21" s="1"/>
  <c r="D60" i="21"/>
  <c r="G60" i="21" s="1"/>
  <c r="D61" i="21"/>
  <c r="G61" i="21" s="1"/>
  <c r="D62" i="21"/>
  <c r="G62" i="21" s="1"/>
  <c r="D63" i="21"/>
  <c r="G63" i="21" s="1"/>
  <c r="D64" i="21"/>
  <c r="G64" i="21" s="1"/>
  <c r="D65" i="21"/>
  <c r="G65" i="21" s="1"/>
  <c r="D66" i="21"/>
  <c r="G66" i="21" s="1"/>
  <c r="D67" i="21"/>
  <c r="G67" i="21" s="1"/>
  <c r="D68" i="21"/>
  <c r="G68" i="21" s="1"/>
  <c r="D149" i="20"/>
  <c r="G149" i="20" s="1"/>
  <c r="D148" i="20"/>
  <c r="G148" i="20" s="1"/>
  <c r="D146" i="20"/>
  <c r="G146" i="20" s="1"/>
  <c r="D145" i="20"/>
  <c r="G145" i="20" s="1"/>
  <c r="D144" i="20"/>
  <c r="G144" i="20" s="1"/>
  <c r="D143" i="20"/>
  <c r="G143" i="20" s="1"/>
  <c r="D142" i="20"/>
  <c r="G142" i="20" s="1"/>
  <c r="D141" i="20"/>
  <c r="G141" i="20" s="1"/>
  <c r="D140" i="20"/>
  <c r="G140" i="20" s="1"/>
  <c r="D139" i="20"/>
  <c r="G139" i="20" s="1"/>
  <c r="D138" i="20"/>
  <c r="G138" i="20" s="1"/>
  <c r="D137" i="20"/>
  <c r="G137" i="20" s="1"/>
  <c r="D136" i="20"/>
  <c r="G136" i="20" s="1"/>
  <c r="D135" i="20"/>
  <c r="G135" i="20" s="1"/>
  <c r="D134" i="20"/>
  <c r="G134" i="20" s="1"/>
  <c r="D133" i="20"/>
  <c r="G133" i="20" s="1"/>
  <c r="F132" i="20"/>
  <c r="D132" i="20"/>
  <c r="F131" i="20"/>
  <c r="D131" i="20"/>
  <c r="D129" i="20"/>
  <c r="G129" i="20" s="1"/>
  <c r="D128" i="20"/>
  <c r="G128" i="20" s="1"/>
  <c r="D127" i="20"/>
  <c r="G127" i="20" s="1"/>
  <c r="D126" i="20"/>
  <c r="G126" i="20" s="1"/>
  <c r="D125" i="20"/>
  <c r="G125" i="20" s="1"/>
  <c r="D124" i="20"/>
  <c r="G124" i="20" s="1"/>
  <c r="D123" i="20"/>
  <c r="G123" i="20" s="1"/>
  <c r="D122" i="20"/>
  <c r="G122" i="20" s="1"/>
  <c r="D121" i="20"/>
  <c r="G121" i="20" s="1"/>
  <c r="D120" i="20"/>
  <c r="G120" i="20" s="1"/>
  <c r="D119" i="20"/>
  <c r="G119" i="20" s="1"/>
  <c r="D118" i="20"/>
  <c r="G118" i="20" s="1"/>
  <c r="D117" i="20"/>
  <c r="G117" i="20" s="1"/>
  <c r="D116" i="20"/>
  <c r="G116" i="20" s="1"/>
  <c r="D115" i="20"/>
  <c r="G115" i="20" s="1"/>
  <c r="D114" i="20"/>
  <c r="G114" i="20" s="1"/>
  <c r="D113" i="20"/>
  <c r="G113" i="20" s="1"/>
  <c r="D112" i="20"/>
  <c r="G112" i="20" s="1"/>
  <c r="D111" i="20"/>
  <c r="G111" i="20" s="1"/>
  <c r="D110" i="20"/>
  <c r="G110" i="20" s="1"/>
  <c r="D109" i="20"/>
  <c r="G109" i="20" s="1"/>
  <c r="D108" i="20"/>
  <c r="G108" i="20" s="1"/>
  <c r="D107" i="20"/>
  <c r="G107" i="20" s="1"/>
  <c r="D106" i="20"/>
  <c r="G106" i="20" s="1"/>
  <c r="D105" i="20"/>
  <c r="G105" i="20" s="1"/>
  <c r="D104" i="20"/>
  <c r="G104" i="20" s="1"/>
  <c r="D103" i="20"/>
  <c r="G103" i="20" s="1"/>
  <c r="D102" i="20"/>
  <c r="G102" i="20" s="1"/>
  <c r="D101" i="20"/>
  <c r="G101" i="20" s="1"/>
  <c r="D100" i="20"/>
  <c r="G100" i="20" s="1"/>
  <c r="D99" i="20"/>
  <c r="G99" i="20" s="1"/>
  <c r="D98" i="20"/>
  <c r="G98" i="20" s="1"/>
  <c r="D97" i="20"/>
  <c r="G97" i="20" s="1"/>
  <c r="D96" i="20"/>
  <c r="G96" i="20" s="1"/>
  <c r="D95" i="20"/>
  <c r="G95" i="20" s="1"/>
  <c r="D94" i="20"/>
  <c r="G94" i="20" s="1"/>
  <c r="D93" i="20"/>
  <c r="G93" i="20" s="1"/>
  <c r="D92" i="20"/>
  <c r="G92" i="20" s="1"/>
  <c r="D91" i="20"/>
  <c r="G91" i="20" s="1"/>
  <c r="D90" i="20"/>
  <c r="G90" i="20" s="1"/>
  <c r="D89" i="20"/>
  <c r="G89" i="20" s="1"/>
  <c r="D88" i="20"/>
  <c r="G88" i="20" s="1"/>
  <c r="D87" i="20"/>
  <c r="G87" i="20" s="1"/>
  <c r="D86" i="20"/>
  <c r="G86" i="20" s="1"/>
  <c r="D85" i="20"/>
  <c r="G85" i="20" s="1"/>
  <c r="D84" i="20"/>
  <c r="G84" i="20" s="1"/>
  <c r="D83" i="20"/>
  <c r="G83" i="20" s="1"/>
  <c r="D82" i="20"/>
  <c r="G82" i="20" s="1"/>
  <c r="D81" i="20"/>
  <c r="G81" i="20" s="1"/>
  <c r="D80" i="20"/>
  <c r="G80" i="20" s="1"/>
  <c r="D79" i="20"/>
  <c r="G79" i="20" s="1"/>
  <c r="D78" i="20"/>
  <c r="G78" i="20" s="1"/>
  <c r="D77" i="20"/>
  <c r="G77" i="20" s="1"/>
  <c r="D76" i="20"/>
  <c r="G76" i="20" s="1"/>
  <c r="D75" i="20"/>
  <c r="G75" i="20" s="1"/>
  <c r="D74" i="20"/>
  <c r="G74" i="20" s="1"/>
  <c r="D73" i="20"/>
  <c r="G73" i="20" s="1"/>
  <c r="D72" i="20"/>
  <c r="G72" i="20" s="1"/>
  <c r="D71" i="20"/>
  <c r="G71" i="20" s="1"/>
  <c r="D70" i="20"/>
  <c r="G70" i="20" s="1"/>
  <c r="D69" i="20"/>
  <c r="G69" i="20" s="1"/>
  <c r="D68" i="20"/>
  <c r="G68" i="20" s="1"/>
  <c r="D67" i="20"/>
  <c r="G67" i="20" s="1"/>
  <c r="D66" i="20"/>
  <c r="G66" i="20" s="1"/>
  <c r="D65" i="20"/>
  <c r="G65" i="20" s="1"/>
  <c r="D64" i="20"/>
  <c r="G64" i="20" s="1"/>
  <c r="D63" i="20"/>
  <c r="G63" i="20" s="1"/>
  <c r="D62" i="20"/>
  <c r="G62" i="20" s="1"/>
  <c r="D61" i="20"/>
  <c r="G61" i="20" s="1"/>
  <c r="D60" i="20"/>
  <c r="G60" i="20" s="1"/>
  <c r="D59" i="20"/>
  <c r="G59" i="20" s="1"/>
  <c r="D58" i="20"/>
  <c r="G58" i="20" s="1"/>
  <c r="D57" i="20"/>
  <c r="G57" i="20" s="1"/>
  <c r="D56" i="20"/>
  <c r="G56" i="20" s="1"/>
  <c r="D55" i="20"/>
  <c r="G55" i="20" s="1"/>
  <c r="D54" i="20"/>
  <c r="G54" i="20" s="1"/>
  <c r="D53" i="20"/>
  <c r="G53" i="20" s="1"/>
  <c r="D52" i="20"/>
  <c r="G52" i="20" s="1"/>
  <c r="D51" i="20"/>
  <c r="G51" i="20" s="1"/>
  <c r="D50" i="20"/>
  <c r="G50" i="20" s="1"/>
  <c r="D49" i="20"/>
  <c r="G49" i="20" s="1"/>
  <c r="D48" i="20"/>
  <c r="G48" i="20" s="1"/>
  <c r="D47" i="20"/>
  <c r="G47" i="20" s="1"/>
  <c r="D46" i="20"/>
  <c r="G46" i="20" s="1"/>
  <c r="D45" i="20"/>
  <c r="G45" i="20" s="1"/>
  <c r="D44" i="20"/>
  <c r="G44" i="20" s="1"/>
  <c r="D43" i="20"/>
  <c r="G43" i="20" s="1"/>
  <c r="D42" i="20"/>
  <c r="G42" i="20" s="1"/>
  <c r="D41" i="20"/>
  <c r="G41" i="20" s="1"/>
  <c r="D40" i="20"/>
  <c r="G40" i="20" s="1"/>
  <c r="D39" i="20"/>
  <c r="G39" i="20" s="1"/>
  <c r="D38" i="20"/>
  <c r="G38" i="20" s="1"/>
  <c r="D37" i="20"/>
  <c r="G37" i="20" s="1"/>
  <c r="D36" i="20"/>
  <c r="G36" i="20" s="1"/>
  <c r="D35" i="20"/>
  <c r="G35" i="20" s="1"/>
  <c r="D34" i="20"/>
  <c r="G34" i="20" s="1"/>
  <c r="D33" i="20"/>
  <c r="G33" i="20" s="1"/>
  <c r="D32" i="20"/>
  <c r="G32" i="20" s="1"/>
  <c r="D31" i="20"/>
  <c r="G31" i="20" s="1"/>
  <c r="D30" i="20"/>
  <c r="G30" i="20" s="1"/>
  <c r="D29" i="20"/>
  <c r="G29" i="20" s="1"/>
  <c r="D28" i="20"/>
  <c r="G28" i="20" s="1"/>
  <c r="F27" i="20"/>
  <c r="D27" i="20"/>
  <c r="F26" i="20"/>
  <c r="D26" i="20"/>
  <c r="F25" i="20"/>
  <c r="D25" i="20"/>
  <c r="D24" i="20"/>
  <c r="G24" i="20" s="1"/>
  <c r="F23" i="20"/>
  <c r="D23" i="20"/>
  <c r="D22" i="20"/>
  <c r="G22" i="20" s="1"/>
  <c r="D21" i="20"/>
  <c r="G21" i="20" s="1"/>
  <c r="F20" i="20"/>
  <c r="D20" i="20"/>
  <c r="F19" i="20"/>
  <c r="D19" i="20"/>
  <c r="F18" i="20"/>
  <c r="D18" i="20"/>
  <c r="F17" i="20"/>
  <c r="D17" i="20"/>
  <c r="F16" i="20"/>
  <c r="D16" i="20"/>
  <c r="F15" i="20"/>
  <c r="D15" i="20"/>
  <c r="F14" i="20"/>
  <c r="D14" i="20"/>
  <c r="F13" i="20"/>
  <c r="D13" i="20"/>
  <c r="F12" i="20"/>
  <c r="D12" i="20"/>
  <c r="G14" i="20" l="1"/>
  <c r="G26" i="20"/>
  <c r="G13" i="20"/>
  <c r="G17" i="20"/>
  <c r="G27" i="20"/>
  <c r="G131" i="20"/>
  <c r="G19" i="20"/>
  <c r="G16" i="20"/>
  <c r="G18" i="20"/>
  <c r="G23" i="20"/>
  <c r="G25" i="20"/>
  <c r="G12" i="20"/>
  <c r="G15" i="20"/>
  <c r="G20" i="20"/>
  <c r="G132" i="20"/>
  <c r="G147" i="20"/>
  <c r="F23" i="22"/>
  <c r="F11" i="22"/>
  <c r="F31" i="22" s="1"/>
  <c r="G11" i="21"/>
  <c r="G130" i="20" l="1"/>
  <c r="G11" i="20"/>
  <c r="H105" i="19"/>
  <c r="F105" i="19"/>
  <c r="D105" i="19" s="1"/>
  <c r="I106" i="19" s="1"/>
  <c r="H100" i="19"/>
  <c r="D100" i="19"/>
  <c r="I101" i="19" s="1"/>
  <c r="D94" i="19"/>
  <c r="I93" i="19"/>
  <c r="H93" i="19"/>
  <c r="G93" i="19"/>
  <c r="F92" i="19"/>
  <c r="E92" i="19"/>
  <c r="E93" i="19" s="1"/>
  <c r="I84" i="19"/>
  <c r="H84" i="19"/>
  <c r="G84" i="19"/>
  <c r="F84" i="19"/>
  <c r="E84" i="19"/>
  <c r="D83" i="19"/>
  <c r="D76" i="19"/>
  <c r="I75" i="19"/>
  <c r="H75" i="19"/>
  <c r="G75" i="19"/>
  <c r="F75" i="19"/>
  <c r="E74" i="19"/>
  <c r="E75" i="19" s="1"/>
  <c r="G68" i="19"/>
  <c r="D68" i="19"/>
  <c r="I67" i="19"/>
  <c r="H67" i="19"/>
  <c r="E67" i="19"/>
  <c r="G66" i="19"/>
  <c r="G67" i="19" s="1"/>
  <c r="F66" i="19"/>
  <c r="F67" i="19" s="1"/>
  <c r="I64" i="19"/>
  <c r="I72" i="19" s="1"/>
  <c r="I81" i="19" s="1"/>
  <c r="I90" i="19" s="1"/>
  <c r="I99" i="19" s="1"/>
  <c r="H64" i="19"/>
  <c r="H72" i="19" s="1"/>
  <c r="H81" i="19" s="1"/>
  <c r="H90" i="19" s="1"/>
  <c r="H99" i="19" s="1"/>
  <c r="G64" i="19"/>
  <c r="G72" i="19" s="1"/>
  <c r="G81" i="19" s="1"/>
  <c r="G90" i="19" s="1"/>
  <c r="G99" i="19" s="1"/>
  <c r="I59" i="19"/>
  <c r="E59" i="19"/>
  <c r="I58" i="19"/>
  <c r="H58" i="19"/>
  <c r="G58" i="19"/>
  <c r="F58" i="19"/>
  <c r="E57" i="19"/>
  <c r="D57" i="19" s="1"/>
  <c r="I55" i="19"/>
  <c r="H55" i="19"/>
  <c r="G55" i="19"/>
  <c r="H49" i="19"/>
  <c r="D49" i="19" s="1"/>
  <c r="I48" i="19"/>
  <c r="G48" i="19"/>
  <c r="F48" i="19"/>
  <c r="E48" i="19"/>
  <c r="H47" i="19"/>
  <c r="D47" i="19" s="1"/>
  <c r="I45" i="19"/>
  <c r="H45" i="19"/>
  <c r="G45" i="19"/>
  <c r="G40" i="19"/>
  <c r="D40" i="19" s="1"/>
  <c r="H39" i="19"/>
  <c r="E39" i="19"/>
  <c r="I39" i="19"/>
  <c r="G38" i="19"/>
  <c r="I36" i="19"/>
  <c r="H36" i="19"/>
  <c r="G36" i="19"/>
  <c r="H32" i="19"/>
  <c r="D32" i="19" s="1"/>
  <c r="I31" i="19"/>
  <c r="G31" i="19"/>
  <c r="F31" i="19"/>
  <c r="E31" i="19"/>
  <c r="H30" i="19"/>
  <c r="D30" i="19" s="1"/>
  <c r="I28" i="19"/>
  <c r="H28" i="19"/>
  <c r="G28" i="19"/>
  <c r="H22" i="19"/>
  <c r="G22" i="19"/>
  <c r="I21" i="19"/>
  <c r="F21" i="19"/>
  <c r="E21" i="19"/>
  <c r="H20" i="19"/>
  <c r="G20" i="19"/>
  <c r="G21" i="19" s="1"/>
  <c r="H18" i="19"/>
  <c r="G18" i="19"/>
  <c r="I17" i="19"/>
  <c r="F17" i="19"/>
  <c r="E17" i="19"/>
  <c r="H16" i="19"/>
  <c r="G16" i="19"/>
  <c r="G17" i="19" s="1"/>
  <c r="I14" i="19"/>
  <c r="H14" i="19"/>
  <c r="G14" i="19"/>
  <c r="I10" i="19"/>
  <c r="F10" i="19"/>
  <c r="E10" i="19"/>
  <c r="I9" i="19"/>
  <c r="F9" i="19"/>
  <c r="E9" i="19"/>
  <c r="H8" i="19"/>
  <c r="H10" i="19" s="1"/>
  <c r="G8" i="19"/>
  <c r="G10" i="19" s="1"/>
  <c r="D22" i="19" l="1"/>
  <c r="D84" i="19"/>
  <c r="D75" i="19"/>
  <c r="I77" i="19" s="1"/>
  <c r="D18" i="19"/>
  <c r="D59" i="19"/>
  <c r="D67" i="19"/>
  <c r="I69" i="19" s="1"/>
  <c r="D16" i="19"/>
  <c r="H48" i="19"/>
  <c r="D48" i="19" s="1"/>
  <c r="I50" i="19" s="1"/>
  <c r="E58" i="19"/>
  <c r="D58" i="19" s="1"/>
  <c r="I60" i="19" s="1"/>
  <c r="H31" i="19"/>
  <c r="D31" i="19" s="1"/>
  <c r="I33" i="19" s="1"/>
  <c r="D20" i="19"/>
  <c r="D10" i="19"/>
  <c r="H9" i="19"/>
  <c r="D38" i="19"/>
  <c r="D74" i="19"/>
  <c r="F93" i="19"/>
  <c r="D93" i="19" s="1"/>
  <c r="I95" i="19" s="1"/>
  <c r="G9" i="19"/>
  <c r="H17" i="19"/>
  <c r="D17" i="19" s="1"/>
  <c r="H21" i="19"/>
  <c r="D21" i="19" s="1"/>
  <c r="I24" i="19" s="1"/>
  <c r="G39" i="19"/>
  <c r="D39" i="19" s="1"/>
  <c r="I41" i="19" s="1"/>
  <c r="K36" i="19" s="1"/>
  <c r="D66" i="19"/>
  <c r="D8" i="19"/>
  <c r="D92" i="19"/>
  <c r="D9" i="19" l="1"/>
  <c r="I11" i="19" s="1"/>
  <c r="K24" i="19" s="1"/>
  <c r="I23" i="19"/>
  <c r="B2" i="18" l="1"/>
  <c r="B1" i="18"/>
  <c r="B34" i="17" l="1"/>
  <c r="N39" i="17" s="1"/>
  <c r="K32" i="17"/>
  <c r="H30" i="17"/>
  <c r="C30" i="17"/>
  <c r="D30" i="17" s="1"/>
  <c r="H29" i="17"/>
  <c r="C29" i="17"/>
  <c r="D29" i="17" s="1"/>
  <c r="H28" i="17"/>
  <c r="C28" i="17"/>
  <c r="D28" i="17" s="1"/>
  <c r="K29" i="17" s="1"/>
  <c r="H27" i="17"/>
  <c r="C27" i="17"/>
  <c r="D27" i="17" s="1"/>
  <c r="H26" i="17"/>
  <c r="C26" i="17"/>
  <c r="D26" i="17" s="1"/>
  <c r="H25" i="17"/>
  <c r="C25" i="17"/>
  <c r="D25" i="17" s="1"/>
  <c r="N24" i="17"/>
  <c r="H24" i="17"/>
  <c r="C24" i="17"/>
  <c r="D24" i="17" s="1"/>
  <c r="N23" i="17"/>
  <c r="H23" i="17"/>
  <c r="C23" i="17"/>
  <c r="D23" i="17" s="1"/>
  <c r="N22" i="17"/>
  <c r="H22" i="17"/>
  <c r="C22" i="17"/>
  <c r="D22" i="17" s="1"/>
  <c r="N21" i="17"/>
  <c r="H21" i="17"/>
  <c r="C21" i="17"/>
  <c r="D21" i="17" s="1"/>
  <c r="N20" i="17"/>
  <c r="H20" i="17"/>
  <c r="C20" i="17"/>
  <c r="D20" i="17" s="1"/>
  <c r="N19" i="17"/>
  <c r="H19" i="17"/>
  <c r="C19" i="17"/>
  <c r="D19" i="17" s="1"/>
  <c r="N18" i="17"/>
  <c r="H18" i="17"/>
  <c r="C18" i="17"/>
  <c r="D18" i="17" s="1"/>
  <c r="N17" i="17"/>
  <c r="H17" i="17"/>
  <c r="C17" i="17"/>
  <c r="D17" i="17" s="1"/>
  <c r="N16" i="17"/>
  <c r="H16" i="17"/>
  <c r="C16" i="17"/>
  <c r="D16" i="17" s="1"/>
  <c r="N15" i="17"/>
  <c r="H15" i="17"/>
  <c r="C15" i="17"/>
  <c r="D15" i="17" s="1"/>
  <c r="N14" i="17"/>
  <c r="H14" i="17"/>
  <c r="C14" i="17"/>
  <c r="D14" i="17" s="1"/>
  <c r="H13" i="17"/>
  <c r="C13" i="17"/>
  <c r="D13" i="17" s="1"/>
  <c r="K14" i="17" s="1"/>
  <c r="N12" i="17"/>
  <c r="H12" i="17"/>
  <c r="C12" i="17"/>
  <c r="D12" i="17" s="1"/>
  <c r="J13" i="17" s="1"/>
  <c r="N11" i="17"/>
  <c r="H11" i="17"/>
  <c r="C11" i="17"/>
  <c r="D11" i="17" s="1"/>
  <c r="J12" i="17" s="1"/>
  <c r="C10" i="17"/>
  <c r="D10" i="17" s="1"/>
  <c r="P90" i="16"/>
  <c r="O90" i="16"/>
  <c r="N90" i="16"/>
  <c r="M90" i="16"/>
  <c r="L90" i="16"/>
  <c r="K90" i="16"/>
  <c r="J90" i="16"/>
  <c r="I90" i="16"/>
  <c r="H90" i="16"/>
  <c r="G90" i="16"/>
  <c r="F90" i="16"/>
  <c r="E90" i="16"/>
  <c r="D90" i="16"/>
  <c r="D105" i="16" s="1"/>
  <c r="N84" i="16"/>
  <c r="N99" i="16" s="1"/>
  <c r="M84" i="16"/>
  <c r="M99" i="16" s="1"/>
  <c r="L84" i="16"/>
  <c r="L99" i="16" s="1"/>
  <c r="K84" i="16"/>
  <c r="K99" i="16" s="1"/>
  <c r="J84" i="16"/>
  <c r="J99" i="16" s="1"/>
  <c r="I84" i="16"/>
  <c r="I99" i="16" s="1"/>
  <c r="H84" i="16"/>
  <c r="H99" i="16" s="1"/>
  <c r="G84" i="16"/>
  <c r="G99" i="16" s="1"/>
  <c r="E84" i="16"/>
  <c r="E99" i="16" s="1"/>
  <c r="O83" i="16"/>
  <c r="P83" i="16" s="1"/>
  <c r="F83" i="16"/>
  <c r="O82" i="16"/>
  <c r="P82" i="16" s="1"/>
  <c r="F82" i="16"/>
  <c r="O81" i="16"/>
  <c r="F81" i="16"/>
  <c r="N77" i="16"/>
  <c r="N98" i="16" s="1"/>
  <c r="M77" i="16"/>
  <c r="M98" i="16" s="1"/>
  <c r="L77" i="16"/>
  <c r="L98" i="16" s="1"/>
  <c r="K77" i="16"/>
  <c r="K98" i="16" s="1"/>
  <c r="H77" i="16"/>
  <c r="H98" i="16" s="1"/>
  <c r="G77" i="16"/>
  <c r="G98" i="16" s="1"/>
  <c r="O76" i="16"/>
  <c r="F76" i="16"/>
  <c r="E76" i="16"/>
  <c r="O75" i="16"/>
  <c r="F75" i="16"/>
  <c r="E75" i="16"/>
  <c r="O74" i="16"/>
  <c r="F74" i="16"/>
  <c r="E74" i="16"/>
  <c r="J73" i="16"/>
  <c r="J77" i="16" s="1"/>
  <c r="J98" i="16" s="1"/>
  <c r="I73" i="16"/>
  <c r="I77" i="16" s="1"/>
  <c r="I98" i="16" s="1"/>
  <c r="F73" i="16"/>
  <c r="E73" i="16"/>
  <c r="O72" i="16"/>
  <c r="F72" i="16"/>
  <c r="E72" i="16"/>
  <c r="E66" i="16"/>
  <c r="D66" i="16"/>
  <c r="G64" i="16"/>
  <c r="G67" i="16" s="1"/>
  <c r="G104" i="16" s="1"/>
  <c r="G106" i="16" s="1"/>
  <c r="G109" i="16" s="1"/>
  <c r="G110" i="16" s="1"/>
  <c r="F64" i="16"/>
  <c r="F67" i="16" s="1"/>
  <c r="F104" i="16" s="1"/>
  <c r="F106" i="16" s="1"/>
  <c r="F109" i="16" s="1"/>
  <c r="F110" i="16" s="1"/>
  <c r="E64" i="16"/>
  <c r="E67" i="16" s="1"/>
  <c r="E104" i="16" s="1"/>
  <c r="D64" i="16"/>
  <c r="D67" i="16" s="1"/>
  <c r="D104" i="16" s="1"/>
  <c r="N53" i="16"/>
  <c r="N97" i="16" s="1"/>
  <c r="M53" i="16"/>
  <c r="M97" i="16" s="1"/>
  <c r="H53" i="16"/>
  <c r="H97" i="16" s="1"/>
  <c r="G53" i="16"/>
  <c r="G97" i="16" s="1"/>
  <c r="J52" i="16"/>
  <c r="I52" i="16"/>
  <c r="F52" i="16"/>
  <c r="E52" i="16"/>
  <c r="O51" i="16"/>
  <c r="P51" i="16" s="1"/>
  <c r="F51" i="16"/>
  <c r="L50" i="16"/>
  <c r="L53" i="16" s="1"/>
  <c r="L97" i="16" s="1"/>
  <c r="K50" i="16"/>
  <c r="K53" i="16" s="1"/>
  <c r="K97" i="16" s="1"/>
  <c r="J50" i="16"/>
  <c r="I50" i="16"/>
  <c r="I53" i="16" s="1"/>
  <c r="I97" i="16" s="1"/>
  <c r="E50" i="16"/>
  <c r="O49" i="16"/>
  <c r="P49" i="16" s="1"/>
  <c r="F49" i="16"/>
  <c r="F50" i="16" s="1"/>
  <c r="O48" i="16"/>
  <c r="P48" i="16" s="1"/>
  <c r="F48" i="16"/>
  <c r="O47" i="16"/>
  <c r="P47" i="16" s="1"/>
  <c r="F47" i="16"/>
  <c r="O46" i="16"/>
  <c r="P46" i="16" s="1"/>
  <c r="F46" i="16"/>
  <c r="O45" i="16"/>
  <c r="F45" i="16"/>
  <c r="N40" i="16"/>
  <c r="N96" i="16" s="1"/>
  <c r="J40" i="16"/>
  <c r="J96" i="16" s="1"/>
  <c r="I40" i="16"/>
  <c r="I96" i="16" s="1"/>
  <c r="O39" i="16"/>
  <c r="F39" i="16"/>
  <c r="E39" i="16"/>
  <c r="O38" i="16"/>
  <c r="L37" i="16"/>
  <c r="K37" i="16"/>
  <c r="H37" i="16"/>
  <c r="G37" i="16"/>
  <c r="O36" i="16"/>
  <c r="O35" i="16"/>
  <c r="O34" i="16"/>
  <c r="O33" i="16"/>
  <c r="M32" i="16"/>
  <c r="M40" i="16" s="1"/>
  <c r="M96" i="16" s="1"/>
  <c r="L32" i="16"/>
  <c r="K32" i="16"/>
  <c r="K40" i="16" s="1"/>
  <c r="K96" i="16" s="1"/>
  <c r="H32" i="16"/>
  <c r="G32" i="16"/>
  <c r="F32" i="16"/>
  <c r="F34" i="16" s="1"/>
  <c r="E32" i="16"/>
  <c r="E38" i="16" s="1"/>
  <c r="O31" i="16"/>
  <c r="F31" i="16"/>
  <c r="E31" i="16"/>
  <c r="O30" i="16"/>
  <c r="F30" i="16"/>
  <c r="E30" i="16"/>
  <c r="O29" i="16"/>
  <c r="F29" i="16"/>
  <c r="E29" i="16"/>
  <c r="O28" i="16"/>
  <c r="F28" i="16"/>
  <c r="E28" i="16"/>
  <c r="O27" i="16"/>
  <c r="F27" i="16"/>
  <c r="E27" i="16"/>
  <c r="O26" i="16"/>
  <c r="N21" i="16"/>
  <c r="N95" i="16" s="1"/>
  <c r="O20" i="16"/>
  <c r="F20" i="16"/>
  <c r="E20" i="16"/>
  <c r="O19" i="16"/>
  <c r="F19" i="16"/>
  <c r="E19" i="16"/>
  <c r="L18" i="16"/>
  <c r="K18" i="16"/>
  <c r="J18" i="16"/>
  <c r="I18" i="16"/>
  <c r="H18" i="16"/>
  <c r="G18" i="16"/>
  <c r="F18" i="16"/>
  <c r="M17" i="16"/>
  <c r="L17" i="16"/>
  <c r="K17" i="16"/>
  <c r="J17" i="16"/>
  <c r="I17" i="16"/>
  <c r="H17" i="16"/>
  <c r="G17" i="16"/>
  <c r="F17" i="16"/>
  <c r="M16" i="16"/>
  <c r="L16" i="16"/>
  <c r="K16" i="16"/>
  <c r="J16" i="16"/>
  <c r="J21" i="16" s="1"/>
  <c r="J95" i="16" s="1"/>
  <c r="I16" i="16"/>
  <c r="I21" i="16" s="1"/>
  <c r="I95" i="16" s="1"/>
  <c r="H16" i="16"/>
  <c r="G16" i="16"/>
  <c r="F16" i="16"/>
  <c r="O15" i="16"/>
  <c r="F15" i="16"/>
  <c r="E15" i="16"/>
  <c r="E18" i="16" s="1"/>
  <c r="O14" i="16"/>
  <c r="F14" i="16"/>
  <c r="E14" i="16"/>
  <c r="O13" i="16"/>
  <c r="F13" i="16"/>
  <c r="E13" i="16"/>
  <c r="G12" i="16"/>
  <c r="F12" i="16"/>
  <c r="E12" i="16"/>
  <c r="O11" i="16"/>
  <c r="F11" i="16"/>
  <c r="E11" i="16"/>
  <c r="B3" i="16"/>
  <c r="B2" i="16"/>
  <c r="B1" i="16"/>
  <c r="K21" i="16" l="1"/>
  <c r="K95" i="16" s="1"/>
  <c r="H21" i="16"/>
  <c r="H95" i="16" s="1"/>
  <c r="L21" i="16"/>
  <c r="L95" i="16" s="1"/>
  <c r="M21" i="16"/>
  <c r="M95" i="16" s="1"/>
  <c r="O52" i="16"/>
  <c r="P52" i="16" s="1"/>
  <c r="O84" i="16"/>
  <c r="E105" i="16"/>
  <c r="E106" i="16" s="1"/>
  <c r="F117" i="16"/>
  <c r="O37" i="16"/>
  <c r="G21" i="16"/>
  <c r="G95" i="16" s="1"/>
  <c r="P13" i="16"/>
  <c r="I100" i="16"/>
  <c r="M100" i="16"/>
  <c r="P19" i="16"/>
  <c r="L40" i="16"/>
  <c r="L96" i="16" s="1"/>
  <c r="L100" i="16" s="1"/>
  <c r="E53" i="16"/>
  <c r="E97" i="16" s="1"/>
  <c r="F84" i="16"/>
  <c r="F99" i="16" s="1"/>
  <c r="L31" i="17"/>
  <c r="I30" i="17"/>
  <c r="J31" i="17"/>
  <c r="I26" i="17"/>
  <c r="J27" i="17"/>
  <c r="G40" i="16"/>
  <c r="G96" i="16" s="1"/>
  <c r="N34" i="17"/>
  <c r="O16" i="16"/>
  <c r="O17" i="16"/>
  <c r="H40" i="16"/>
  <c r="H96" i="16" s="1"/>
  <c r="H100" i="16" s="1"/>
  <c r="F33" i="16"/>
  <c r="J53" i="16"/>
  <c r="J97" i="16" s="1"/>
  <c r="J100" i="16" s="1"/>
  <c r="P14" i="16"/>
  <c r="O18" i="16"/>
  <c r="P18" i="16" s="1"/>
  <c r="P20" i="16"/>
  <c r="F37" i="16"/>
  <c r="P76" i="16"/>
  <c r="E77" i="16"/>
  <c r="E98" i="16" s="1"/>
  <c r="P30" i="16"/>
  <c r="P39" i="16"/>
  <c r="P29" i="16"/>
  <c r="E35" i="16"/>
  <c r="P35" i="16" s="1"/>
  <c r="F36" i="16"/>
  <c r="F38" i="16"/>
  <c r="F77" i="16"/>
  <c r="F98" i="16" s="1"/>
  <c r="F116" i="16" s="1"/>
  <c r="P75" i="16"/>
  <c r="F21" i="16"/>
  <c r="F95" i="16" s="1"/>
  <c r="F113" i="16" s="1"/>
  <c r="P15" i="16"/>
  <c r="P28" i="16"/>
  <c r="E34" i="16"/>
  <c r="P34" i="16" s="1"/>
  <c r="F35" i="16"/>
  <c r="P38" i="16"/>
  <c r="P74" i="16"/>
  <c r="E36" i="16"/>
  <c r="P36" i="16" s="1"/>
  <c r="E17" i="16"/>
  <c r="P27" i="16"/>
  <c r="P31" i="16"/>
  <c r="E33" i="16"/>
  <c r="P33" i="16" s="1"/>
  <c r="E37" i="16"/>
  <c r="P37" i="16" s="1"/>
  <c r="P72" i="16"/>
  <c r="K24" i="17"/>
  <c r="J24" i="17"/>
  <c r="L24" i="17"/>
  <c r="I23" i="17"/>
  <c r="K15" i="17"/>
  <c r="L15" i="17"/>
  <c r="J15" i="17"/>
  <c r="I14" i="17"/>
  <c r="K19" i="17"/>
  <c r="L19" i="17"/>
  <c r="J19" i="17"/>
  <c r="I18" i="17"/>
  <c r="K23" i="17"/>
  <c r="J23" i="17"/>
  <c r="I22" i="17"/>
  <c r="L23" i="17"/>
  <c r="L27" i="17"/>
  <c r="K18" i="17"/>
  <c r="L18" i="17"/>
  <c r="J18" i="17"/>
  <c r="I17" i="17"/>
  <c r="K22" i="17"/>
  <c r="L22" i="17"/>
  <c r="J22" i="17"/>
  <c r="I21" i="17"/>
  <c r="L26" i="17"/>
  <c r="K26" i="17"/>
  <c r="J26" i="17"/>
  <c r="I25" i="17"/>
  <c r="L30" i="17"/>
  <c r="K30" i="17"/>
  <c r="J30" i="17"/>
  <c r="I29" i="17"/>
  <c r="K16" i="17"/>
  <c r="L16" i="17"/>
  <c r="J16" i="17"/>
  <c r="I15" i="17"/>
  <c r="K20" i="17"/>
  <c r="J20" i="17"/>
  <c r="L20" i="17"/>
  <c r="I19" i="17"/>
  <c r="J28" i="17"/>
  <c r="I27" i="17"/>
  <c r="K28" i="17"/>
  <c r="L28" i="17"/>
  <c r="J11" i="17"/>
  <c r="I10" i="17"/>
  <c r="K11" i="17"/>
  <c r="L11" i="17"/>
  <c r="K17" i="17"/>
  <c r="L17" i="17"/>
  <c r="J17" i="17"/>
  <c r="I16" i="17"/>
  <c r="K21" i="17"/>
  <c r="J21" i="17"/>
  <c r="L21" i="17"/>
  <c r="I20" i="17"/>
  <c r="K25" i="17"/>
  <c r="L25" i="17"/>
  <c r="J25" i="17"/>
  <c r="I24" i="17"/>
  <c r="L32" i="17"/>
  <c r="L12" i="17"/>
  <c r="L13" i="17"/>
  <c r="K27" i="17"/>
  <c r="K31" i="17"/>
  <c r="K12" i="17"/>
  <c r="K13" i="17"/>
  <c r="L14" i="17"/>
  <c r="L29" i="17"/>
  <c r="I11" i="17"/>
  <c r="I12" i="17"/>
  <c r="I13" i="17"/>
  <c r="J14" i="17"/>
  <c r="I28" i="17"/>
  <c r="J29" i="17"/>
  <c r="N100" i="16"/>
  <c r="K100" i="16"/>
  <c r="O99" i="16"/>
  <c r="P84" i="16"/>
  <c r="P99" i="16" s="1"/>
  <c r="F53" i="16"/>
  <c r="F97" i="16" s="1"/>
  <c r="F115" i="16" s="1"/>
  <c r="D106" i="16"/>
  <c r="E16" i="16"/>
  <c r="O32" i="16"/>
  <c r="P32" i="16" s="1"/>
  <c r="P45" i="16"/>
  <c r="O73" i="16"/>
  <c r="P73" i="16" s="1"/>
  <c r="P81" i="16"/>
  <c r="O50" i="16"/>
  <c r="P50" i="16" s="1"/>
  <c r="P11" i="16"/>
  <c r="O12" i="16"/>
  <c r="P12" i="16" s="1"/>
  <c r="P17" i="16" l="1"/>
  <c r="G100" i="16"/>
  <c r="E21" i="16"/>
  <c r="E95" i="16" s="1"/>
  <c r="O77" i="16"/>
  <c r="P77" i="16" s="1"/>
  <c r="P98" i="16" s="1"/>
  <c r="F40" i="16"/>
  <c r="F96" i="16" s="1"/>
  <c r="F114" i="16" s="1"/>
  <c r="E40" i="16"/>
  <c r="E96" i="16" s="1"/>
  <c r="P16" i="16"/>
  <c r="K34" i="17"/>
  <c r="I34" i="17"/>
  <c r="J34" i="17"/>
  <c r="L34" i="17"/>
  <c r="O98" i="16"/>
  <c r="O53" i="16"/>
  <c r="O40" i="16"/>
  <c r="O21" i="16"/>
  <c r="F100" i="16" l="1"/>
  <c r="E100" i="16"/>
  <c r="N36" i="17"/>
  <c r="N40" i="17" s="1"/>
  <c r="N44" i="17" s="1"/>
  <c r="O96" i="16"/>
  <c r="P40" i="16"/>
  <c r="P96" i="16" s="1"/>
  <c r="P53" i="16"/>
  <c r="P97" i="16" s="1"/>
  <c r="O97" i="16"/>
  <c r="O95" i="16"/>
  <c r="P21" i="16"/>
  <c r="P95" i="16" s="1"/>
  <c r="N41" i="17" l="1"/>
  <c r="O100" i="16"/>
  <c r="P100" i="16" s="1"/>
  <c r="D12" i="15" l="1"/>
  <c r="F12" i="15" s="1"/>
  <c r="D18" i="15"/>
  <c r="F11" i="15"/>
  <c r="G11" i="15" s="1"/>
  <c r="F10" i="15"/>
  <c r="G10" i="15" s="1"/>
  <c r="F18" i="14"/>
  <c r="E18" i="14"/>
  <c r="D18" i="14"/>
  <c r="H17" i="14"/>
  <c r="G17" i="14"/>
  <c r="F17" i="14"/>
  <c r="E17" i="14"/>
  <c r="D17" i="14"/>
  <c r="C17" i="14"/>
  <c r="H16" i="14"/>
  <c r="G16" i="14"/>
  <c r="F16" i="14"/>
  <c r="E16" i="14"/>
  <c r="D16" i="14"/>
  <c r="C16" i="14"/>
  <c r="H15" i="14"/>
  <c r="G15" i="14"/>
  <c r="F15" i="14"/>
  <c r="E15" i="14"/>
  <c r="D15" i="14"/>
  <c r="H14" i="14"/>
  <c r="G14" i="14"/>
  <c r="F14" i="14"/>
  <c r="E14" i="14"/>
  <c r="D14" i="14"/>
  <c r="H13" i="14"/>
  <c r="G13" i="14"/>
  <c r="F13" i="14"/>
  <c r="E13" i="14"/>
  <c r="D13" i="14"/>
  <c r="H12" i="14"/>
  <c r="G12" i="14"/>
  <c r="F12" i="14"/>
  <c r="E12" i="14"/>
  <c r="D12" i="14"/>
  <c r="B3" i="14"/>
  <c r="B2" i="14"/>
  <c r="B1" i="14"/>
  <c r="F13" i="15" l="1"/>
  <c r="G12" i="15"/>
  <c r="H19" i="14"/>
  <c r="B39" i="4" s="1"/>
  <c r="D19" i="14"/>
  <c r="B36" i="4" s="1"/>
  <c r="E19" i="14"/>
  <c r="B37" i="4" s="1"/>
  <c r="F19" i="14"/>
  <c r="B41" i="4" s="1"/>
  <c r="G19" i="14"/>
  <c r="G13" i="15"/>
  <c r="N15" i="12" l="1"/>
  <c r="M15" i="12"/>
  <c r="B64" i="4" s="1"/>
  <c r="E64" i="4" s="1"/>
  <c r="G15" i="12"/>
  <c r="B58" i="4" s="1"/>
  <c r="E58" i="4" s="1"/>
  <c r="L14" i="12"/>
  <c r="L15" i="12" s="1"/>
  <c r="B63" i="4" s="1"/>
  <c r="E63" i="4" s="1"/>
  <c r="K14" i="12"/>
  <c r="K15" i="12" s="1"/>
  <c r="B62" i="4" s="1"/>
  <c r="E62" i="4" s="1"/>
  <c r="J14" i="12"/>
  <c r="J15" i="12" s="1"/>
  <c r="B61" i="4" s="1"/>
  <c r="E61" i="4" s="1"/>
  <c r="I14" i="12"/>
  <c r="I15" i="12" s="1"/>
  <c r="B60" i="4" s="1"/>
  <c r="E60" i="4" s="1"/>
  <c r="H14" i="12"/>
  <c r="H15" i="12" s="1"/>
  <c r="B59" i="4" s="1"/>
  <c r="E59" i="4" s="1"/>
  <c r="F14" i="12"/>
  <c r="E14" i="12"/>
  <c r="O13" i="12"/>
  <c r="F13" i="12"/>
  <c r="E13" i="12"/>
  <c r="O12" i="12"/>
  <c r="F12" i="12"/>
  <c r="E12" i="12"/>
  <c r="O11" i="12"/>
  <c r="F11" i="12"/>
  <c r="E11" i="12"/>
  <c r="B3" i="12"/>
  <c r="B2" i="12"/>
  <c r="B1" i="12"/>
  <c r="E57" i="4" l="1"/>
  <c r="E15" i="12"/>
  <c r="P13" i="12"/>
  <c r="P12" i="12"/>
  <c r="F15" i="12"/>
  <c r="P11" i="12"/>
  <c r="O14" i="12"/>
  <c r="P14" i="12" s="1"/>
  <c r="O15" i="12" l="1"/>
  <c r="P15" i="12" s="1"/>
  <c r="E299" i="4" l="1"/>
  <c r="B252" i="4"/>
  <c r="E238" i="4"/>
  <c r="E234" i="4"/>
  <c r="B219" i="4"/>
  <c r="B267" i="4" l="1"/>
  <c r="B216" i="4" l="1"/>
  <c r="B220" i="4" s="1"/>
  <c r="E216" i="4" l="1"/>
  <c r="B102" i="8" l="1"/>
  <c r="E102" i="8" s="1"/>
  <c r="E93" i="8"/>
  <c r="E94" i="8"/>
  <c r="E95" i="8"/>
  <c r="E92" i="8"/>
  <c r="D75" i="8"/>
  <c r="D71" i="8"/>
  <c r="E71" i="8" s="1"/>
  <c r="D42" i="8"/>
  <c r="D37" i="8"/>
  <c r="E37" i="8" s="1"/>
  <c r="D33" i="8"/>
  <c r="D31" i="8"/>
  <c r="D34" i="8"/>
  <c r="E34" i="8" s="1"/>
  <c r="D24" i="8"/>
  <c r="E231" i="4"/>
  <c r="B103" i="8" l="1"/>
  <c r="E103" i="8" s="1"/>
  <c r="E204" i="4"/>
  <c r="E201" i="4" l="1"/>
  <c r="E298" i="4"/>
  <c r="B256" i="4"/>
  <c r="B269" i="4" s="1"/>
  <c r="E93" i="4" l="1"/>
  <c r="E215" i="4" l="1"/>
  <c r="E214" i="4" s="1"/>
  <c r="E111" i="4"/>
  <c r="E45" i="8"/>
  <c r="E46" i="8"/>
  <c r="E47" i="8"/>
  <c r="E48" i="8"/>
  <c r="E49" i="8"/>
  <c r="E50" i="8"/>
  <c r="E51" i="8"/>
  <c r="E52" i="8"/>
  <c r="E53" i="8"/>
  <c r="D351" i="4"/>
  <c r="E319" i="4"/>
  <c r="E320" i="4"/>
  <c r="E318" i="4"/>
  <c r="E293" i="4"/>
  <c r="E291" i="4"/>
  <c r="E287" i="4"/>
  <c r="E288" i="4"/>
  <c r="E289" i="4"/>
  <c r="E286" i="4"/>
  <c r="E278" i="4"/>
  <c r="E277" i="4" s="1"/>
  <c r="E272" i="4"/>
  <c r="E274" i="4"/>
  <c r="E269" i="4"/>
  <c r="E267" i="4"/>
  <c r="E265" i="4"/>
  <c r="E263" i="4"/>
  <c r="E256" i="4"/>
  <c r="E200" i="4"/>
  <c r="E199" i="4" s="1"/>
  <c r="E150" i="4"/>
  <c r="E154" i="4"/>
  <c r="E132" i="4"/>
  <c r="E113" i="4"/>
  <c r="E101" i="4"/>
  <c r="E100" i="4" s="1"/>
  <c r="E68" i="4"/>
  <c r="E176" i="4" l="1"/>
  <c r="D340" i="4" l="1"/>
  <c r="E340" i="4" s="1"/>
  <c r="E257" i="4"/>
  <c r="E203" i="4" l="1"/>
  <c r="E202" i="4" s="1"/>
  <c r="E166" i="4" l="1"/>
  <c r="E186" i="4"/>
  <c r="E185" i="4" s="1"/>
  <c r="E182" i="4" s="1"/>
  <c r="E181" i="4" s="1"/>
  <c r="E208" i="4" l="1"/>
  <c r="B313" i="4"/>
  <c r="B324" i="4" l="1"/>
  <c r="B316" i="4"/>
  <c r="B315" i="4" s="1"/>
  <c r="E92" i="4"/>
  <c r="E90" i="4" s="1"/>
  <c r="E252" i="4"/>
  <c r="E242" i="4"/>
  <c r="E241" i="4"/>
  <c r="B249" i="4"/>
  <c r="B243" i="4" l="1"/>
  <c r="E243" i="4" l="1"/>
  <c r="E240" i="4" s="1"/>
  <c r="B251" i="4"/>
  <c r="E351" i="4" l="1"/>
  <c r="E350" i="4" s="1"/>
  <c r="E130" i="4"/>
  <c r="E212" i="4" l="1"/>
  <c r="E219" i="4" l="1"/>
  <c r="E220" i="4"/>
  <c r="B221" i="4" l="1"/>
  <c r="E221" i="4" s="1"/>
  <c r="E213" i="4"/>
  <c r="E211" i="4" s="1"/>
  <c r="E248" i="4" l="1"/>
  <c r="E249" i="4"/>
  <c r="E250" i="4"/>
  <c r="E251" i="4"/>
  <c r="E247" i="4"/>
  <c r="E236" i="4"/>
  <c r="E246" i="4" l="1"/>
  <c r="E239" i="4" l="1"/>
  <c r="E237" i="4" l="1"/>
  <c r="E174" i="4" l="1"/>
  <c r="E281" i="4"/>
  <c r="E283" i="4"/>
  <c r="E122" i="4"/>
  <c r="E121" i="4"/>
  <c r="E128" i="4"/>
  <c r="E172" i="4" l="1"/>
  <c r="D170" i="4"/>
  <c r="E170" i="4" s="1"/>
  <c r="E87" i="8"/>
  <c r="E89" i="8" l="1"/>
  <c r="E90" i="8"/>
  <c r="E91" i="8"/>
  <c r="E297" i="4" l="1"/>
  <c r="E295" i="4" l="1"/>
  <c r="E82" i="8" l="1"/>
  <c r="E311" i="4"/>
  <c r="D55" i="8" l="1"/>
  <c r="D69" i="8"/>
  <c r="E69" i="8" s="1"/>
  <c r="E226" i="4"/>
  <c r="E80" i="8" l="1"/>
  <c r="E79" i="8" s="1"/>
  <c r="E78" i="8"/>
  <c r="E68" i="8"/>
  <c r="E56" i="8"/>
  <c r="E44" i="8"/>
  <c r="E43" i="8" l="1"/>
  <c r="E19" i="8"/>
  <c r="E18" i="8"/>
  <c r="E17" i="8"/>
  <c r="E59" i="8"/>
  <c r="D32" i="8"/>
  <c r="B266" i="4" l="1"/>
  <c r="E266" i="4" s="1"/>
  <c r="E225" i="4"/>
  <c r="B271" i="4" l="1"/>
  <c r="E271" i="4" s="1"/>
  <c r="E101" i="8" l="1"/>
  <c r="E100" i="8"/>
  <c r="E98" i="8"/>
  <c r="E97" i="8"/>
  <c r="E88" i="8"/>
  <c r="E86" i="8"/>
  <c r="E74" i="8"/>
  <c r="E75" i="8"/>
  <c r="E76" i="8"/>
  <c r="E77" i="8"/>
  <c r="E73" i="8"/>
  <c r="E64" i="8"/>
  <c r="E65" i="8"/>
  <c r="E66" i="8"/>
  <c r="E67" i="8"/>
  <c r="E63" i="8"/>
  <c r="E61" i="8"/>
  <c r="E60" i="8" s="1"/>
  <c r="E55" i="8"/>
  <c r="E42" i="8"/>
  <c r="E41" i="8"/>
  <c r="E36" i="8"/>
  <c r="E35" i="8" s="1"/>
  <c r="E70" i="8"/>
  <c r="E33" i="8"/>
  <c r="E28" i="8"/>
  <c r="E29" i="8"/>
  <c r="E30" i="8"/>
  <c r="E31" i="8"/>
  <c r="E32" i="8"/>
  <c r="E27" i="8"/>
  <c r="E24" i="8"/>
  <c r="E23" i="8"/>
  <c r="E21" i="8"/>
  <c r="E20" i="8" s="1"/>
  <c r="E13" i="8"/>
  <c r="E14" i="8"/>
  <c r="E15" i="8"/>
  <c r="E16" i="8"/>
  <c r="E12" i="8"/>
  <c r="E9" i="8"/>
  <c r="E10" i="8"/>
  <c r="E8" i="8"/>
  <c r="E349" i="4"/>
  <c r="E348" i="4" s="1"/>
  <c r="E335" i="4"/>
  <c r="E334" i="4"/>
  <c r="E89" i="4"/>
  <c r="E66" i="4"/>
  <c r="E85" i="8" l="1"/>
  <c r="E26" i="8"/>
  <c r="E99" i="8"/>
  <c r="E331" i="4"/>
  <c r="E62" i="8"/>
  <c r="E11" i="8"/>
  <c r="E72" i="8"/>
  <c r="E40" i="8"/>
  <c r="E54" i="8"/>
  <c r="E96" i="8"/>
  <c r="E58" i="8"/>
  <c r="E22" i="8"/>
  <c r="E7" i="8"/>
  <c r="B273" i="4"/>
  <c r="E264" i="4"/>
  <c r="E258" i="4"/>
  <c r="E255" i="4" s="1"/>
  <c r="E273" i="4" l="1"/>
  <c r="E84" i="8"/>
  <c r="E83" i="8" s="1"/>
  <c r="E39" i="8"/>
  <c r="E6" i="8"/>
  <c r="E57" i="8"/>
  <c r="E40" i="4"/>
  <c r="E38" i="4"/>
  <c r="E35" i="4"/>
  <c r="E347" i="4"/>
  <c r="E345" i="4"/>
  <c r="E344" i="4"/>
  <c r="E342" i="4"/>
  <c r="E337" i="4"/>
  <c r="E38" i="8" l="1"/>
  <c r="E25" i="8" l="1"/>
  <c r="E5" i="8" s="1"/>
  <c r="E4" i="8" s="1"/>
  <c r="E3" i="4" s="1"/>
  <c r="E34" i="4" l="1"/>
  <c r="E33" i="4" s="1"/>
  <c r="E4" i="3" s="1"/>
  <c r="H4" i="3" s="1"/>
  <c r="E44" i="4"/>
  <c r="E47" i="4"/>
  <c r="E50" i="4"/>
  <c r="E52" i="4"/>
  <c r="E55" i="4"/>
  <c r="E65" i="4"/>
  <c r="E67" i="4"/>
  <c r="E71" i="4"/>
  <c r="E80" i="4"/>
  <c r="E88" i="4"/>
  <c r="E120" i="4"/>
  <c r="E123" i="4"/>
  <c r="E125" i="4"/>
  <c r="E127" i="4"/>
  <c r="E129" i="4"/>
  <c r="E131" i="4"/>
  <c r="E133" i="4"/>
  <c r="E135" i="4"/>
  <c r="E139" i="4"/>
  <c r="E141" i="4"/>
  <c r="E143" i="4"/>
  <c r="E145" i="4"/>
  <c r="E147" i="4"/>
  <c r="E149" i="4"/>
  <c r="E153" i="4"/>
  <c r="E155" i="4"/>
  <c r="E157" i="4"/>
  <c r="E159" i="4"/>
  <c r="E161" i="4"/>
  <c r="E163" i="4"/>
  <c r="E165" i="4"/>
  <c r="E169" i="4"/>
  <c r="E171" i="4"/>
  <c r="E173" i="4"/>
  <c r="E175" i="4"/>
  <c r="E179" i="4"/>
  <c r="E178" i="4" s="1"/>
  <c r="E177" i="4" s="1"/>
  <c r="E189" i="4"/>
  <c r="E188" i="4" s="1"/>
  <c r="E192" i="4"/>
  <c r="E191" i="4" s="1"/>
  <c r="E195" i="4"/>
  <c r="E194" i="4" s="1"/>
  <c r="E224" i="4"/>
  <c r="E230" i="4"/>
  <c r="E229" i="4" s="1"/>
  <c r="E233" i="4"/>
  <c r="E244" i="4"/>
  <c r="E280" i="4"/>
  <c r="E282" i="4"/>
  <c r="E285" i="4"/>
  <c r="E290" i="4"/>
  <c r="E292" i="4"/>
  <c r="E294" i="4"/>
  <c r="E302" i="4"/>
  <c r="E304" i="4"/>
  <c r="E306" i="4"/>
  <c r="E317" i="4"/>
  <c r="E321" i="4"/>
  <c r="E336" i="4"/>
  <c r="E339" i="4"/>
  <c r="E341" i="4"/>
  <c r="E343" i="4"/>
  <c r="E346" i="4"/>
  <c r="A24" i="3"/>
  <c r="A23" i="3"/>
  <c r="A22" i="3"/>
  <c r="A21" i="3"/>
  <c r="A20" i="3"/>
  <c r="A19" i="3"/>
  <c r="A18" i="3"/>
  <c r="A17" i="3"/>
  <c r="A16" i="3"/>
  <c r="A15" i="3"/>
  <c r="A14" i="3"/>
  <c r="A13" i="3"/>
  <c r="E13" i="3" s="1"/>
  <c r="H13" i="3" s="1"/>
  <c r="A12" i="3"/>
  <c r="A11" i="3"/>
  <c r="A10" i="3"/>
  <c r="A9" i="3"/>
  <c r="A8" i="3"/>
  <c r="A7" i="3"/>
  <c r="A6" i="3"/>
  <c r="A5" i="3"/>
  <c r="A3" i="3"/>
  <c r="E3" i="3" s="1"/>
  <c r="H3" i="3" s="1"/>
  <c r="E276" i="4" l="1"/>
  <c r="E12" i="3"/>
  <c r="H12" i="3" s="1"/>
  <c r="E228" i="4"/>
  <c r="E227" i="4" s="1"/>
  <c r="E338" i="4"/>
  <c r="E168" i="4"/>
  <c r="E167" i="4" s="1"/>
  <c r="E11" i="3" s="1"/>
  <c r="H11" i="3" s="1"/>
  <c r="E223" i="4"/>
  <c r="E222" i="4" s="1"/>
  <c r="E330" i="4"/>
  <c r="E152" i="4"/>
  <c r="E151" i="4" s="1"/>
  <c r="E10" i="3" s="1"/>
  <c r="H10" i="3" s="1"/>
  <c r="E198" i="4"/>
  <c r="E197" i="4" s="1"/>
  <c r="E119" i="4"/>
  <c r="E118" i="4" s="1"/>
  <c r="E8" i="3" s="1"/>
  <c r="H8" i="3" s="1"/>
  <c r="E70" i="4"/>
  <c r="E69" i="4" s="1"/>
  <c r="E6" i="3" s="1"/>
  <c r="H6" i="3" s="1"/>
  <c r="E138" i="4"/>
  <c r="E137" i="4" s="1"/>
  <c r="E9" i="3" s="1"/>
  <c r="H9" i="3" s="1"/>
  <c r="E301" i="4"/>
  <c r="E300" i="4" s="1"/>
  <c r="E54" i="4"/>
  <c r="E43" i="4"/>
  <c r="E187" i="4"/>
  <c r="E14" i="3" s="1"/>
  <c r="H14" i="3" s="1"/>
  <c r="E284" i="4"/>
  <c r="G13" i="3"/>
  <c r="I13" i="3" s="1"/>
  <c r="G3" i="3"/>
  <c r="I3" i="3" s="1"/>
  <c r="E15" i="3" l="1"/>
  <c r="E42" i="4"/>
  <c r="E329" i="4"/>
  <c r="E17" i="3"/>
  <c r="E18" i="3"/>
  <c r="G11" i="3"/>
  <c r="I11" i="3" s="1"/>
  <c r="G14" i="3"/>
  <c r="I14" i="3" s="1"/>
  <c r="E275" i="4"/>
  <c r="G6" i="3"/>
  <c r="I6" i="3" s="1"/>
  <c r="E21" i="3"/>
  <c r="G8" i="3"/>
  <c r="I8" i="3" s="1"/>
  <c r="G4" i="3"/>
  <c r="I4" i="3" s="1"/>
  <c r="G10" i="3"/>
  <c r="I10" i="3" s="1"/>
  <c r="G12" i="3"/>
  <c r="I12" i="3" s="1"/>
  <c r="G21" i="3" l="1"/>
  <c r="I21" i="3" s="1"/>
  <c r="H21" i="3"/>
  <c r="G18" i="3"/>
  <c r="I18" i="3" s="1"/>
  <c r="H18" i="3"/>
  <c r="G17" i="3"/>
  <c r="I17" i="3" s="1"/>
  <c r="H17" i="3"/>
  <c r="G15" i="3"/>
  <c r="I15" i="3" s="1"/>
  <c r="H15" i="3"/>
  <c r="E23" i="3"/>
  <c r="E5" i="3"/>
  <c r="G9" i="3"/>
  <c r="I9" i="3" s="1"/>
  <c r="E20" i="3"/>
  <c r="G20" i="3" l="1"/>
  <c r="I20" i="3" s="1"/>
  <c r="H20" i="3"/>
  <c r="G5" i="3"/>
  <c r="I5" i="3" s="1"/>
  <c r="H5" i="3"/>
  <c r="G23" i="3"/>
  <c r="I23" i="3" s="1"/>
  <c r="H23" i="3"/>
  <c r="E312" i="4"/>
  <c r="E313" i="4" l="1"/>
  <c r="E310" i="4" s="1"/>
  <c r="E324" i="4"/>
  <c r="E316" i="4"/>
  <c r="E315" i="4"/>
  <c r="B327" i="4"/>
  <c r="E327" i="4" s="1"/>
  <c r="E314" i="4" l="1"/>
  <c r="E323" i="4"/>
  <c r="E309" i="4" l="1"/>
  <c r="E308" i="4" s="1"/>
  <c r="E22" i="3" s="1"/>
  <c r="H22" i="3" s="1"/>
  <c r="G22" i="3" l="1"/>
  <c r="I22" i="3" s="1"/>
  <c r="E112" i="4" l="1"/>
  <c r="E110" i="4" s="1"/>
  <c r="E107" i="4"/>
  <c r="E109" i="4" l="1"/>
  <c r="E108" i="4" s="1"/>
  <c r="E117" i="4"/>
  <c r="B262" i="4" l="1"/>
  <c r="B270" i="4" s="1"/>
  <c r="B261" i="4"/>
  <c r="E261" i="4" s="1"/>
  <c r="E260" i="4"/>
  <c r="E116" i="4"/>
  <c r="E115" i="4" s="1"/>
  <c r="E106" i="4"/>
  <c r="E105" i="4" s="1"/>
  <c r="E104" i="4" l="1"/>
  <c r="E103" i="4" s="1"/>
  <c r="E7" i="3" s="1"/>
  <c r="H7" i="3" s="1"/>
  <c r="E209" i="4"/>
  <c r="E270" i="4"/>
  <c r="E268" i="4" s="1"/>
  <c r="E262" i="4"/>
  <c r="E259" i="4" s="1"/>
  <c r="E254" i="4" l="1"/>
  <c r="E253" i="4" s="1"/>
  <c r="E19" i="3" s="1"/>
  <c r="E210" i="4"/>
  <c r="E207" i="4" s="1"/>
  <c r="E218" i="4"/>
  <c r="E217" i="4" s="1"/>
  <c r="G7" i="3"/>
  <c r="I7" i="3" s="1"/>
  <c r="G19" i="3" l="1"/>
  <c r="I19" i="3" s="1"/>
  <c r="H19" i="3"/>
  <c r="E206" i="4"/>
  <c r="E205" i="4" s="1"/>
  <c r="E16" i="3" l="1"/>
  <c r="H16" i="3" s="1"/>
  <c r="G16" i="3" l="1"/>
  <c r="I16" i="3" s="1"/>
  <c r="E29" i="3"/>
  <c r="E30" i="3" s="1"/>
  <c r="E24" i="3" l="1"/>
  <c r="H24" i="3" s="1"/>
  <c r="H25" i="3" s="1"/>
  <c r="H26" i="3" s="1"/>
  <c r="D355" i="4"/>
  <c r="E355" i="4" s="1"/>
  <c r="E354" i="4" s="1"/>
  <c r="E353" i="4" s="1"/>
  <c r="E352" i="4" s="1"/>
  <c r="E32" i="4" s="1"/>
  <c r="E2" i="4" s="1"/>
  <c r="E3" i="8" s="1"/>
  <c r="G24" i="3" l="1"/>
  <c r="E25" i="3"/>
  <c r="G25" i="3" l="1"/>
  <c r="G26" i="3" s="1"/>
  <c r="I24" i="3"/>
  <c r="I25" i="3" s="1"/>
  <c r="I26" i="3" s="1"/>
  <c r="F15" i="3"/>
  <c r="F6" i="3"/>
  <c r="F20" i="3"/>
  <c r="F12" i="3"/>
  <c r="F9" i="3"/>
  <c r="F22" i="3"/>
  <c r="F23" i="3"/>
  <c r="F10" i="3"/>
  <c r="F4" i="3"/>
  <c r="F14" i="3"/>
  <c r="F5" i="3"/>
  <c r="F18" i="3"/>
  <c r="F17" i="3"/>
  <c r="F21" i="3"/>
  <c r="F3" i="3"/>
  <c r="F13" i="3"/>
  <c r="F8" i="3"/>
  <c r="F11" i="3"/>
  <c r="F19" i="3"/>
  <c r="F7" i="3"/>
  <c r="F16" i="3"/>
  <c r="F24" i="3"/>
  <c r="F25" i="3" l="1"/>
</calcChain>
</file>

<file path=xl/sharedStrings.xml><?xml version="1.0" encoding="utf-8"?>
<sst xmlns="http://schemas.openxmlformats.org/spreadsheetml/2006/main" count="3222" uniqueCount="1446">
  <si>
    <t>Etapa</t>
  </si>
  <si>
    <t>Quant.</t>
  </si>
  <si>
    <t>Unidade</t>
  </si>
  <si>
    <t>Valor Unitário</t>
  </si>
  <si>
    <t>Valor Total</t>
  </si>
  <si>
    <t>1. West Village SPE</t>
  </si>
  <si>
    <t>1.1. GERENCIAMENTO TÉCNICO E ADMINISTRATIVO</t>
  </si>
  <si>
    <t>1.1.1. SERVIÇOS TÉCNICOS</t>
  </si>
  <si>
    <t>1.1.1.1. ESTUDOS, PROJETOS E CONSULTORIAS</t>
  </si>
  <si>
    <t>1.1.1.1.1. ESTUDOS</t>
  </si>
  <si>
    <t>1.1.1.1.2. PROJETOS</t>
  </si>
  <si>
    <t>1.1.1.1.3. CONSULTORIAS</t>
  </si>
  <si>
    <t>1.1.1.1.4. ENSAIOS</t>
  </si>
  <si>
    <t>1.1.1.2. TAXAS E DOCUMENTOS</t>
  </si>
  <si>
    <t>1.1.1.2.1. LICENCIAMENTOS, TAXAS, IMPOSTOS, APROVAÇÕES E SEGUROS</t>
  </si>
  <si>
    <t>1.1.1.2.2. DOCUMENTOS</t>
  </si>
  <si>
    <t>1.1.2. SERVIÇOS INICIAIS</t>
  </si>
  <si>
    <t>1.1.2.1. SEGURANÇA, MEIO AMBIENTE E SAÚDE</t>
  </si>
  <si>
    <t>1.1.2.1.1. SEGURANÇA DO TRABALHO</t>
  </si>
  <si>
    <t>1.1.2.1.2. EQUIPAMENTOS DE PROTEÇÃO</t>
  </si>
  <si>
    <t>1.1.2.1.3. MEIO AMBIENTE</t>
  </si>
  <si>
    <t>1.1.2.1.4. SAÚDE OCUPACIONAL</t>
  </si>
  <si>
    <t>1.1.2.2. ADMINISTRAÇÃO E CANTEIRO DE OBRA</t>
  </si>
  <si>
    <t>1.1.2.2.1. EQUIPE DE GESTÃO E APOIO</t>
  </si>
  <si>
    <t>1.1.2.2.2. OPERAÇÃO INICIAL DE CANTEIRO</t>
  </si>
  <si>
    <t>1.1.2.2.3. DESPESAS DE CONSUMO E MANUTENÇÃO</t>
  </si>
  <si>
    <t>1.1.2.2.4. INSTALAÇÕES PROVISÓRIAS</t>
  </si>
  <si>
    <t>1.1.2.3. SERVIÇOS PRELIMINARES</t>
  </si>
  <si>
    <t>1.1.2.3.1. DEMOLIÇÃO</t>
  </si>
  <si>
    <t>1.1.2.3.2. LIMPEZA DO TERRENO</t>
  </si>
  <si>
    <t>1.1.3. EQUIPAMENTOS</t>
  </si>
  <si>
    <t>1.1.3.1. EQUIPAMENTOS</t>
  </si>
  <si>
    <t>1.1.3.1.1. EQUIPAMENTOS DE CARGA E TRANSPORTE</t>
  </si>
  <si>
    <t>1.1.3.1.2. EQUIPAMENTOS DE OBRA</t>
  </si>
  <si>
    <t>1.1.3.1.3. BALANCINS E ANDAIMES</t>
  </si>
  <si>
    <t>1.2. GERENCIAMENTO EXECUTIVO</t>
  </si>
  <si>
    <t>1.2.1. MOVIMENTAÇÃO DE TERRA</t>
  </si>
  <si>
    <t>1.2.1.1. MOVIMENTAÇÃO DE TERRA</t>
  </si>
  <si>
    <t>1.2.1.1.1. ESCAVAÇÃO E REATERRO DE VALAS</t>
  </si>
  <si>
    <t>m3</t>
  </si>
  <si>
    <t>1.2.1.1.2. LASTRO DE ESTRUTURA DE CONCRETO</t>
  </si>
  <si>
    <t>m2</t>
  </si>
  <si>
    <t>1.2.1.1.3. MOVIMENTAÇÃO DE BOTA-FORA</t>
  </si>
  <si>
    <t>1.2.2. INFRAESTRUTURA</t>
  </si>
  <si>
    <t>1.2.2.1. FUNDAÇÃO PROFUNDA</t>
  </si>
  <si>
    <t>1.2.2.1.1. PERFURAÇÃO</t>
  </si>
  <si>
    <t>m</t>
  </si>
  <si>
    <t>1.2.2.1.2. ARMADURA</t>
  </si>
  <si>
    <t>kg</t>
  </si>
  <si>
    <t>Armação aço CA-50, diâmetro 16,0mm para (+)</t>
  </si>
  <si>
    <t>1.2.2.1.3. CONCRETO</t>
  </si>
  <si>
    <t>1.2.2.1.4. MÃO DE OBRA</t>
  </si>
  <si>
    <t>Arrasamento mecanizado de estacas (MÃO D (+)</t>
  </si>
  <si>
    <t>un</t>
  </si>
  <si>
    <t>1.2.2.2. FUNDAÇÃO RASA</t>
  </si>
  <si>
    <t>1.2.2.2.1. FORMA</t>
  </si>
  <si>
    <t>1.2.2.2.2. ARMADURA</t>
  </si>
  <si>
    <t>1.2.2.2.3. CONCRETO</t>
  </si>
  <si>
    <t>Concreto usinado bombeável para blocos d (+)</t>
  </si>
  <si>
    <t>1.2.2.2.4. MÃO DE OBRA</t>
  </si>
  <si>
    <t>1.2.3. SUPRAESTRUTURA</t>
  </si>
  <si>
    <t>1.2.3.1. SUPRAESTRUTURA</t>
  </si>
  <si>
    <t>1.2.3.1.1. FORMA</t>
  </si>
  <si>
    <t>1.2.3.1.2. ARMADURA</t>
  </si>
  <si>
    <t>1.2.3.1.3. CONCRETO</t>
  </si>
  <si>
    <t>1.2.3.1.4. COMPLEMENTARES</t>
  </si>
  <si>
    <t>Tela soldada nervurada Q-92 (COMPOSIÇÃO)</t>
  </si>
  <si>
    <t>mes</t>
  </si>
  <si>
    <t>1.2.3.1.5. MÃO DE OBRA</t>
  </si>
  <si>
    <t>1.2.4. PAREDES E PAINÉIS</t>
  </si>
  <si>
    <t>1.2.4.1. PAREDES E PAINÉIS</t>
  </si>
  <si>
    <t>1.2.4.1.1. ALVENARIA DE VEDAÇÃO COM BLOCOS CERÂMICOS</t>
  </si>
  <si>
    <t>1.2.4.1.2. ALVENARIA DE VEDAÇÃO COM BLOCO DE SICAL</t>
  </si>
  <si>
    <t>1.2.4.1.3. SERVIÇOS COMPLEMENTARES PARA ALVENARIA DE VEDAÇÃO</t>
  </si>
  <si>
    <t>Encunhamento de alvenaria de vedação com (+)</t>
  </si>
  <si>
    <t>Verga/contraverga de concreto, moldada i (+)</t>
  </si>
  <si>
    <t>Tela soldada para ligação alvenaria/estr (+)</t>
  </si>
  <si>
    <t>1.2.4.1.5. MÃO DE OBRA</t>
  </si>
  <si>
    <t>1.2.5. IMPERMEABILIZAÇÃO E TRATAMENTOS</t>
  </si>
  <si>
    <t>1.2.5.1. IMPERMEABILIZAÇÃO E TRATAMENTOS</t>
  </si>
  <si>
    <t>1.2.5.1.1. REGULARIZAÇÃO E PROTEÇÃO MECÂNICA</t>
  </si>
  <si>
    <t>1.2.5.1.2. IMPERMEABILIZAÇÃO DE RESERVATÓRIOS INFERIORES E SUPERIORES</t>
  </si>
  <si>
    <t>1.2.5.1.3. IMPERMEABILIZAÇÃO DE BALDRAMES E POÇO DE ELEVADOR</t>
  </si>
  <si>
    <t>1.2.5.1.4. IMPERMEABILIZAÇÃO DE LAJES E TERRAÇOS</t>
  </si>
  <si>
    <t>1.2.5.1.5. IMPERMEABILIZAÇÃO DE PISCINAS E ESPELHOS D'ÁGUA</t>
  </si>
  <si>
    <t>1.2.5.1.6. IMPERMEABILIZAÇÃO DE BANHEIRO, COZINHA E SACADA</t>
  </si>
  <si>
    <t>1.2.5.1.7. IMPERMEABILIZAÇÃO DE ESQUADRIAS</t>
  </si>
  <si>
    <t>1.2.5.1.8. IMPERMEABILIZAÇÃO DE RALOS</t>
  </si>
  <si>
    <t>1.2.6. SISTEMAS E INSTALAÇÕES HIDROSSANITÁRIAS E DRENAGEM</t>
  </si>
  <si>
    <t>1.2.6.1. SISTEMAS E INSTALAÇÕES HIDROSSANITÁRIAS E DRENAGEM</t>
  </si>
  <si>
    <t>1.2.6.1.1. INSTALAÇÕES DE ÁGUA FRIA</t>
  </si>
  <si>
    <t>Instalações de água fria (COMPOSIÇÃO)</t>
  </si>
  <si>
    <t>1.2.6.1.2. INSTALAÇÕES DE ÁGUA QUENTE</t>
  </si>
  <si>
    <t>Instalações de água quente (COMPOSIÇÃO)</t>
  </si>
  <si>
    <t>1.2.6.1.3. INSTALAÇÕES DE ESGOTO E PLUVIAIS</t>
  </si>
  <si>
    <t>Instalações de esgoto e pluviais (COMPOS (+)</t>
  </si>
  <si>
    <t>1.2.6.1.4. HIDRÔMETROS</t>
  </si>
  <si>
    <t>Hidrômetros (COMPOSIÇÃO)</t>
  </si>
  <si>
    <t>1.2.6.1.5. SISTEMA DE BOMBAS</t>
  </si>
  <si>
    <t>Sistema de bombas de recalque (COMPOSIÇÃ (+)</t>
  </si>
  <si>
    <t>1.2.6.1.6. MÃO DE OBRA</t>
  </si>
  <si>
    <t>Mão de obra para instalações hidrossanit (+)</t>
  </si>
  <si>
    <t>1.2.7. SISTEMAS E INSTALAÇÕES ELÉTRICAS</t>
  </si>
  <si>
    <t>1.2.7.1. SISTEMAS E INSTALAÇÕES ELÉTRICAS</t>
  </si>
  <si>
    <t>1.2.7.1.1. ENTRADA DE ENERGIA</t>
  </si>
  <si>
    <t>Entrada de energia (COMPOSIÇÃO)</t>
  </si>
  <si>
    <t>1.2.7.1.2. QUADROS ELÉTRICOS E DISJUNTORES</t>
  </si>
  <si>
    <t>Quadros elétricos e disjuntores (COMPOSI (+)</t>
  </si>
  <si>
    <t>1.2.7.1.3. ELETRODUTOS E ELETROCALHAS</t>
  </si>
  <si>
    <t>Eletrodutos (COMPOSIÇÃO)</t>
  </si>
  <si>
    <t>1.2.7.1.4. FIOS E CABOS ELÉTRICOS</t>
  </si>
  <si>
    <t>Fios e cabos elétricos (COMPOSIÇÃO)</t>
  </si>
  <si>
    <t>1.2.7.1.5. PONTOS DE TOMADAS E INTERRUPTORES</t>
  </si>
  <si>
    <t>Pontos de tomadas e interruptores com ac (+)</t>
  </si>
  <si>
    <t>1.2.7.1.6. LUMINÁRIAS, LÂMPADAS E ACESSÓRIOS</t>
  </si>
  <si>
    <t>Luminárias, lâmpadas e acessórios (COMPO (+)</t>
  </si>
  <si>
    <t>1.2.7.1.7. MÃO DE OBRA</t>
  </si>
  <si>
    <t>Mão de obra para instalações elétricas e (+)</t>
  </si>
  <si>
    <t>1.2.8. INSTALAÇÕES PREVENTIVAS</t>
  </si>
  <si>
    <t>1.2.8.1. INSTALAÇÕES PREVENTIVAS</t>
  </si>
  <si>
    <t>1.2.8.1.1. HIDRANTES</t>
  </si>
  <si>
    <t>Hidrantes (COMPOSIÇÃO)</t>
  </si>
  <si>
    <t>1.2.8.1.3. INSTALAÇÕES DE PROTEÇÃO E ATERRAMENTO - SPDA</t>
  </si>
  <si>
    <t>Instalação de SPDA (COMPOSIÇÃO)</t>
  </si>
  <si>
    <t>1.2.8.1.6. MÃO DE OBRA</t>
  </si>
  <si>
    <t>Mão de obra para instalações preventivas (+)</t>
  </si>
  <si>
    <t>1.2.9. INSTALAÇÃO DE GÁS</t>
  </si>
  <si>
    <t>1.2.9.1. INSTALAÇÃO DE GÁS</t>
  </si>
  <si>
    <t>1.2.9.1.1. REDE DE GÁS</t>
  </si>
  <si>
    <t>Rede de gás com material e mão de obra ( (+)</t>
  </si>
  <si>
    <t>1.2.10. INSTALAÇÕES DE COMUNICAÇÕES</t>
  </si>
  <si>
    <t>1.2.10.1. INSTALAÇÕES DE COMUNICAÇÕES</t>
  </si>
  <si>
    <t>1.2.10.1.1. TELEFONIA/LÓGICA/ INTERNET</t>
  </si>
  <si>
    <t>Infraestrutura para telefonia/ lógica/ i (+)</t>
  </si>
  <si>
    <t>1.2.11. EQUIPAMENTOS E SISTEMA ESPECIAIS</t>
  </si>
  <si>
    <t>1.2.11.1. PISCINA</t>
  </si>
  <si>
    <t>1.2.11.1.1. EQUIPAMENTOS DE PISCINA</t>
  </si>
  <si>
    <t>Equipamentos e acessórios de piscinas (C (+)</t>
  </si>
  <si>
    <t>1.2.11.2. ELEVADORES</t>
  </si>
  <si>
    <t>1.2.11.2.1. ELEVADORES</t>
  </si>
  <si>
    <t>Elevadores - porta inox (COMPOSIÇÃO)</t>
  </si>
  <si>
    <t>1.2.11.3. UNIDADE DE TRATAMENTO DE ESGOTO</t>
  </si>
  <si>
    <t>1.2.11.3.1. UNIDADE DE TRATAMENTO DE ESGOTO</t>
  </si>
  <si>
    <t>Unidade de tratamento de esgoto - reator (+)</t>
  </si>
  <si>
    <t>1.2.12. CLIMATIZAÇÃO E EXAUSTÃO</t>
  </si>
  <si>
    <t>1.2.12.1. CLIMATIZAÇÃO E EXAUSTÃO</t>
  </si>
  <si>
    <t>1.2.12.1.1. CLIMATIZAÇÃO</t>
  </si>
  <si>
    <t>Infraestrutura para instalação de ar con (+)</t>
  </si>
  <si>
    <t>1.2.12.1.2. EXAUSTÃO DE CHURRASQUEIRAS</t>
  </si>
  <si>
    <t>Exaustão de churrasqueiras (COMPOSIÇÃO)</t>
  </si>
  <si>
    <t>1.2.13. REVESTIMENTOS INTERNOS DE PAREDE</t>
  </si>
  <si>
    <t>1.2.13.1. REVESTIMENTOS INTERNOS DE PAREDE</t>
  </si>
  <si>
    <t>1.2.13.1.1. REBOCO INTERNO</t>
  </si>
  <si>
    <t>1.2.13.1.2. ACABAMENTOS CERÂMICOS</t>
  </si>
  <si>
    <t>Peitoril em granito (COMPOSIÇÃO)</t>
  </si>
  <si>
    <t>1.2.13.1.4. MÃO DE OBRA</t>
  </si>
  <si>
    <t>1.2.14. REVESTIMENTOS E ACABAMENTOS INTERNOS EM TETO</t>
  </si>
  <si>
    <t>1.2.14.1. REVESTIMENTOS E ACABAMENTOS INTERNOS EM TETO</t>
  </si>
  <si>
    <t>1.2.14.1.2. ACABAMENTO DE GESSO EM TETO</t>
  </si>
  <si>
    <t>1.2.15. PISOS E PAVIMENTAÇÕES</t>
  </si>
  <si>
    <t>1.2.15.1. PISOS E PAVIMENTAÇÕES</t>
  </si>
  <si>
    <t>1.2.15.1.1. CONTRAPISO</t>
  </si>
  <si>
    <t>1.2.15.1.3. ACABAMENTOS CERÂMICOS EM PISO</t>
  </si>
  <si>
    <t>1.2.15.1.4. ACABAMENTOS ESPECIAIS</t>
  </si>
  <si>
    <t>Revestimento interno em piso laminado (C (+)</t>
  </si>
  <si>
    <t>1.2.15.1.5. RODAPÉS</t>
  </si>
  <si>
    <t>Rodapé em poliestireno, altura 10cm (COM (+)</t>
  </si>
  <si>
    <t>1.2.15.1.6. SOLEIRAS</t>
  </si>
  <si>
    <t>Soleira de granito, acabamento polido, e (+)</t>
  </si>
  <si>
    <t>1.2.15.1.7. MÃO DE OBRA</t>
  </si>
  <si>
    <t>1.2.16. SISTEMAS DE PINTURA INTERNA</t>
  </si>
  <si>
    <t>1.2.16.1. PINTURA INTERNA</t>
  </si>
  <si>
    <t>1.2.16.1.1. SISTEMA DE PINTURA EM PISO</t>
  </si>
  <si>
    <t>Pintura epóxi em piso, aplicação manual, (+)</t>
  </si>
  <si>
    <t>1.2.16.1.2. SISTEMA DE PINTURA EM PAREDE</t>
  </si>
  <si>
    <t>Fundo selador latex PVA em paredes inter (+)</t>
  </si>
  <si>
    <t>Massa latex PVA em paredes internas 2 de (+)</t>
  </si>
  <si>
    <t>Pintura com tinta acrílica em paredes in (+)</t>
  </si>
  <si>
    <t>1.2.16.1.3. SISTEMA DE PINTURA EM TETO</t>
  </si>
  <si>
    <t>Fundo selador latex PVA em teto, 1 demao (+)</t>
  </si>
  <si>
    <t>Massa latex PVA em teto, 2 demaos (COMPO (+)</t>
  </si>
  <si>
    <t>Pintura com tinta acrílica em teto, apli (+)</t>
  </si>
  <si>
    <t>1.2.16.1.5. MÃO DE OBRA</t>
  </si>
  <si>
    <t>Mão de obra para pintura em tetos (COMPO (+)</t>
  </si>
  <si>
    <t>1.2.17. ESQUADRIAS, VIDROS E FERRAGENS</t>
  </si>
  <si>
    <t>1.2.17.1. ESQUADRIAS DE ALUMÍNIO</t>
  </si>
  <si>
    <t>1.2.17.1.1. ESQUADRIAS DE ALUMÍNIO</t>
  </si>
  <si>
    <t>1.2.17.1.2. GUARDA CORPO</t>
  </si>
  <si>
    <t>1.2.17.1.3. PELE DE VIDRO</t>
  </si>
  <si>
    <t>Parede de vidro fixo (COMPOSIÇÃO)</t>
  </si>
  <si>
    <t>1.2.17.2. ESQUADRIAS DE MADEIRA</t>
  </si>
  <si>
    <t>1.2.17.2.1. ESQUADRIAS DE MADEIRA</t>
  </si>
  <si>
    <t>1.2.17.2.2. CORRIMÃO DE MADEIRA</t>
  </si>
  <si>
    <t>Corrimão em madeira - fornecimento e ins (+)</t>
  </si>
  <si>
    <t>1.2.17.2.3. MÃO DE OBRA</t>
  </si>
  <si>
    <t>1.2.17.3. ESQUADRIAS METÁLICAS</t>
  </si>
  <si>
    <t>1.2.17.3.1. ESQUADRIAS DE FERRO</t>
  </si>
  <si>
    <t>Escada de marinheiro (COMPOSIÇÃO)</t>
  </si>
  <si>
    <t>Alçapão de alumínio 80x80cm (COMPOSIÇÃO)</t>
  </si>
  <si>
    <t>1.2.18. LOUÇAS E METAIS</t>
  </si>
  <si>
    <t>1.2.18.1. LOUÇAS E METAIS</t>
  </si>
  <si>
    <t>1.2.18.1.1. LOUÇAS, METAIS E ACESSÓRIOS</t>
  </si>
  <si>
    <t>Louças, metais e acessórios (COMPOSIÇÃO)</t>
  </si>
  <si>
    <t>1.2.18.1.2. BANCADAS DE GRANITO</t>
  </si>
  <si>
    <t>Bancadas e divisórias em granito (COMPOS (+)</t>
  </si>
  <si>
    <t>1.2.18.1.3. MÃO DE OBRA</t>
  </si>
  <si>
    <t>Mão de obra para instalação de louças e (+)</t>
  </si>
  <si>
    <t>Massa única para paredes externas em arg (+)</t>
  </si>
  <si>
    <t>Fundo selador latex acrílico em paredes (+)</t>
  </si>
  <si>
    <t>Textura acrilica em paredes externas, 2 (+)</t>
  </si>
  <si>
    <t>Piso intertravado, com bloco retangular (+)</t>
  </si>
  <si>
    <t>Piso podotátil direcional (COMPOSIÇÃO)</t>
  </si>
  <si>
    <t>Reforço de rede elétrica (COMPOSIÇÃO)</t>
  </si>
  <si>
    <t>Mobiliário para área comum (COMPOSIÇÃO)</t>
  </si>
  <si>
    <t>Paisagismo (COMPOSIÇÃO)</t>
  </si>
  <si>
    <t>Limpeza final da obra (COMPOSIÇÃO)</t>
  </si>
  <si>
    <t>Desmobilização de pessoal, máquinas e eq (+)</t>
  </si>
  <si>
    <t>Ligações definitivas (COMPOSIÇÃO)</t>
  </si>
  <si>
    <t>Imprevistos e contingências (COMPOSIÇÃO)</t>
  </si>
  <si>
    <t>vb</t>
  </si>
  <si>
    <t>ETAPA</t>
  </si>
  <si>
    <t>VALOR ORÇADO</t>
  </si>
  <si>
    <t>%</t>
  </si>
  <si>
    <t>VALOR/M²</t>
  </si>
  <si>
    <t>ÁREA CONSTRUÍDA</t>
  </si>
  <si>
    <t>M2</t>
  </si>
  <si>
    <t>TOTAL</t>
  </si>
  <si>
    <t>CUB</t>
  </si>
  <si>
    <t>ALVENARIA</t>
  </si>
  <si>
    <t>IMPERMEABILIZAÇÃO</t>
  </si>
  <si>
    <t>SERVIÇOS COMPLEMENTARES</t>
  </si>
  <si>
    <t>Garagens</t>
  </si>
  <si>
    <t>Demarcação de faixas</t>
  </si>
  <si>
    <t>Mão de obra para pintura de piso da cobertura</t>
  </si>
  <si>
    <t>Mão de obra para execução de piso intert (+)</t>
  </si>
  <si>
    <t>Mão de obra para execução de passeio em (+)</t>
  </si>
  <si>
    <t>Comunicação Visual (COMPOSIÇÃO)</t>
  </si>
  <si>
    <t>Levantamento topográfico (COMPOSIÇÃO)</t>
  </si>
  <si>
    <t>Sondagem do terreno (COMPOSIÇÃO)</t>
  </si>
  <si>
    <t>Estudo ambiental (COMPOSIÇÃO)</t>
  </si>
  <si>
    <t>Projeto Arquitetônico (COMPOSIÇÃO)</t>
  </si>
  <si>
    <t>Projeto Estrutural (COMPOSIÇÃO)</t>
  </si>
  <si>
    <t>Projeto Elétrico (COMPOSIÇÃO)</t>
  </si>
  <si>
    <t>Projeto Hidrossanitário (COMPOSIÇÃO)</t>
  </si>
  <si>
    <t>Projeto Preventivo (COMPOSIÇÃO)</t>
  </si>
  <si>
    <t>Laudo preventivo de danos a vizinhança ( (+)</t>
  </si>
  <si>
    <t>Controle tecnológico de concreto (COMPOS (+)</t>
  </si>
  <si>
    <t>Despesas cartoriais e jurídicas (COMPOSI (+)</t>
  </si>
  <si>
    <t>Taxas de ART (COMPOSIÇÃO)</t>
  </si>
  <si>
    <t>IPTU (COMPOSIÇÃO)</t>
  </si>
  <si>
    <t>Taxa de aprovação ambiental (COMPOSIÇÃO)</t>
  </si>
  <si>
    <t>Despesas de seguros (COMPOSIÇÃO)</t>
  </si>
  <si>
    <t>Incorporação (COMPOSIÇÃO)</t>
  </si>
  <si>
    <t>Laudo técnico de vistoria de entrega (CO (+)</t>
  </si>
  <si>
    <t>Plotagens e cópias (COMPOSIÇÃO)</t>
  </si>
  <si>
    <t>Serviço de segurança do trabalho terceir (+)</t>
  </si>
  <si>
    <t>Uniforme e EPI's (COMPOSIÇÃO)</t>
  </si>
  <si>
    <t>Bandeja de proteção primária (COMPOSIÇÃO (+)</t>
  </si>
  <si>
    <t>Bandeja de proteção secundária (COMPOSIÇ (+)</t>
  </si>
  <si>
    <t>Guarda-corpo de laje, após deforma (COMP (+)</t>
  </si>
  <si>
    <t>Guarda-corpo de vaos, fixado em forma de (+)</t>
  </si>
  <si>
    <t>Fechamento removível de vãos de porta de (+)</t>
  </si>
  <si>
    <t>Varal de segurança com cabo de aço (COMP (+)</t>
  </si>
  <si>
    <t>Tela fachadeira (COMPOSIÇÃO)</t>
  </si>
  <si>
    <t>Plano de gerenciamento de riscos (PGR) ( (+)</t>
  </si>
  <si>
    <t>Engenheiro Civil (COMPOSIÇÃO)</t>
  </si>
  <si>
    <t>Sinalização geral da obra (COMPOSIÇÃO)</t>
  </si>
  <si>
    <t>Despesas de consumo - Água (COMPOSIÇÃO)</t>
  </si>
  <si>
    <t>Despesas de consumo - Luz (COMPOSIÇÃO)</t>
  </si>
  <si>
    <t>Despesas de consumo - Internet (COMPOSIÇ (+)</t>
  </si>
  <si>
    <t>Segurança patrimonial (COMPOSIÇÃO)</t>
  </si>
  <si>
    <t>Despesas de consumo - Coleta de Lixo (CO (+)</t>
  </si>
  <si>
    <t>Instalações provisórias rede de água (CO (+)</t>
  </si>
  <si>
    <t>Instalações provisórias rede elétrica (C (+)</t>
  </si>
  <si>
    <t>Instalações provisórias de canteiro (COM (+)</t>
  </si>
  <si>
    <t>Locação de banheiro químico (COMPOSIÇÃO)</t>
  </si>
  <si>
    <t>Tapume em telha metálica (COMPOSIÇÃO)</t>
  </si>
  <si>
    <t>Limpeza mecanizada de camada vegetal (CO (+)</t>
  </si>
  <si>
    <t>Manutenção de Elevador Cremalheira (COMP (+)</t>
  </si>
  <si>
    <t>Andaime modular torre - locação (COMPOSI (+)</t>
  </si>
  <si>
    <t>Balancim - Locação (COMPOSIÇÃO)</t>
  </si>
  <si>
    <t>Mão de obra para pintura de fossos e dutos</t>
  </si>
  <si>
    <t>Pintura de fossos e dutos com selador e tinta acrilica</t>
  </si>
  <si>
    <t>Adicionado teto de garagens, área técnicas, casas de lixo e de gás</t>
  </si>
  <si>
    <t>Projeto Interiores/ Ambientação</t>
  </si>
  <si>
    <t>Projeto Telefonia</t>
  </si>
  <si>
    <t>Projeto de segurança do trabalho e PCMSO</t>
  </si>
  <si>
    <t>Consumo de Caçamba para retirada de entulho</t>
  </si>
  <si>
    <t>mês</t>
  </si>
  <si>
    <t>Material de Higiene e Limpeza</t>
  </si>
  <si>
    <t>Esgotamento de sistema sanitário temporário</t>
  </si>
  <si>
    <t>Remoção de concreto do solo</t>
  </si>
  <si>
    <t>Formulário de custos indiretos</t>
  </si>
  <si>
    <t>Projeto Arquitetônico Executivo</t>
  </si>
  <si>
    <t>Material de expediente/ escritório</t>
  </si>
  <si>
    <t>Rede de proteção tipo SLQA</t>
  </si>
  <si>
    <t>Brise</t>
  </si>
  <si>
    <t>1.2.19. REVESTIMENTO E ACABAMENTOS EM FACHADA</t>
  </si>
  <si>
    <t>1.2.20. SERVIÇOS COMPLEMENTARES E FINAIS</t>
  </si>
  <si>
    <t>1.2.21. IMPREVISTOS E CONTINGÊNCIAS</t>
  </si>
  <si>
    <t>1.2.21.1. IMPREVISTOS E CONTINGÊNCIAS</t>
  </si>
  <si>
    <t>1.2.21.1.1. IMPREVISTOS E CONTINGÊNCIAS</t>
  </si>
  <si>
    <t>1.2.19.1. REVESTIMENTO E ACABAMENTOS EM FACHADA</t>
  </si>
  <si>
    <t>1.2.19.1.1. REVESTIMENTO ARGAMASSADO EM FACHADA</t>
  </si>
  <si>
    <t>1.2.19.1.2. PINTURA E TEXTURA EM FACHADA</t>
  </si>
  <si>
    <t>1.2.19.1.3. ACABAMENTOS ESPECIAIS EM FACHADA</t>
  </si>
  <si>
    <t>1.2.19.1.4. TRATAMENTOS DE FACHADA</t>
  </si>
  <si>
    <t>1.2.19.1.5. MÃO DE OBRA</t>
  </si>
  <si>
    <t>1.2.20.1. SERVIÇOS COMPLEMENTARES EXTERNOS</t>
  </si>
  <si>
    <t>1.2.20.1.1. CALÇADAS E PASSEIOS</t>
  </si>
  <si>
    <t>1.2.20.1.2. REFORÇO DE REDE ELÉTRICA</t>
  </si>
  <si>
    <t>1.2.20.2. SERVIÇOS COMPLEMENTARES E FINAIS</t>
  </si>
  <si>
    <t>1.2.20.2.1. MOBILIÁRIO E DECORAÇÃO</t>
  </si>
  <si>
    <t>1.2.20.2.2. PAISAGISMO</t>
  </si>
  <si>
    <t>1.2.20.2.3. SERVIÇOS FINAIS</t>
  </si>
  <si>
    <t>1.2.20.2.4. LIGAÇÕES DEFINITIVAS</t>
  </si>
  <si>
    <t>1.2.20.2.5. COMUNICAÇÃO VISUAL</t>
  </si>
  <si>
    <t>DEZ/23</t>
  </si>
  <si>
    <t>Montagem de Elevador Cremalheira</t>
  </si>
  <si>
    <t>Desmontagem de Elevador Cremalheira</t>
  </si>
  <si>
    <t>Manutenção de Mini grua</t>
  </si>
  <si>
    <t>Aquisição - Mini Grua</t>
  </si>
  <si>
    <t xml:space="preserve">Aquisição - Elevador Cremalheira </t>
  </si>
  <si>
    <t>1.2.8.1.2. ALARME, EXTINTORES, ILUMINAÇÃO E SINALIZAÇÃO</t>
  </si>
  <si>
    <t>Alarme, extintores, iluminação e sinalização</t>
  </si>
  <si>
    <t>MÃO DE OBRA</t>
  </si>
  <si>
    <t>Considerando 3 caçambas por mês a R$300/ cada (preço unitário segundo formulário de indiretos)</t>
  </si>
  <si>
    <t>Grama sintética</t>
  </si>
  <si>
    <t>Revestimento interno de piso em porcelanato 60x60</t>
  </si>
  <si>
    <t>Revestimento de piso em porcelanato antiderrapante</t>
  </si>
  <si>
    <t>Mão de obra para colocação e rejuntamento de porcelanato</t>
  </si>
  <si>
    <t>Mão de obra para colocação e rejuntamento de pastilha em piscina</t>
  </si>
  <si>
    <t>Revestimento piscina em pastilha 14x14 cm (parede e piso)</t>
  </si>
  <si>
    <t>1.2.20.2.6. QUADRA POLIESPORTIVA</t>
  </si>
  <si>
    <t>Quadra Poliesportiva</t>
  </si>
  <si>
    <t>Mão de obra para execução de contrapiso</t>
  </si>
  <si>
    <t>Mão de obra para colocação de rodapé de poliestireno</t>
  </si>
  <si>
    <t>Mão de obra para instalação de piso laminado</t>
  </si>
  <si>
    <t>Rodapé porcelanato, altura 10cm</t>
  </si>
  <si>
    <t>Rodapé em cerâmica, altura 10cm</t>
  </si>
  <si>
    <t>Mão de obra para colocação de rodapé porcelanato/ cerâmico</t>
  </si>
  <si>
    <t>Área externa da área de lazer</t>
  </si>
  <si>
    <t>Chapisco externo argamassa cimento e areia em estrutura</t>
  </si>
  <si>
    <t>Chapisco externo argamassa cimento e areia em alvenaria</t>
  </si>
  <si>
    <t>1.2.10.1.2. MÃO DE OBRA</t>
  </si>
  <si>
    <t>Mão de obra para instalações de telecom</t>
  </si>
  <si>
    <t>Pintura com tinta para demarcação de garagem</t>
  </si>
  <si>
    <t>Cotação</t>
  </si>
  <si>
    <t>Concreto usinado bombeável para supraest fck 35MPa, com bombeamento</t>
  </si>
  <si>
    <t>Garagens e rampas</t>
  </si>
  <si>
    <t>Acabamento polido para piso de concreto armado -  material e mão de obra</t>
  </si>
  <si>
    <t>Mão de obra para assentamento de blocos sical</t>
  </si>
  <si>
    <t>Mão de obra para assentamento de blocos cerâmicos</t>
  </si>
  <si>
    <t>Alvenaria de vedação de blocos cerâmicos 09x19x19 cm (espessura 09cm)</t>
  </si>
  <si>
    <t>Alvenaria de vedação de blocos cerâmicos 14x19x19cm (espessura 14cm)</t>
  </si>
  <si>
    <t>Alvenaria de vedação com blocos sical de 12,5x30x60cm (espessura 12,5cm)</t>
  </si>
  <si>
    <t>Assentamento de tijolos refratários de 5x11,4x22,9 cm com argamassa refratária</t>
  </si>
  <si>
    <t>Chapisco interno argamassa cimento e areia (1:3) aplicado em estruturas de concreto, com colher de pedreiro</t>
  </si>
  <si>
    <t>Chapisco interno argamassa cimento e areia (1:3) aplicado em alvenarias, com colher de pedreiro</t>
  </si>
  <si>
    <t>Massa única para paredes internas em argamassa estabilizada, aplicação manual, espessura 2cm, com execução de taliscas</t>
  </si>
  <si>
    <t>Revestimento interno de parede em porcelanato 60x60</t>
  </si>
  <si>
    <t>Mão de obra para reboco interno, incluso chapisco</t>
  </si>
  <si>
    <t>Mão de obra para colocação e rejuntamentamento de porcelanato</t>
  </si>
  <si>
    <t>Forro de gesso em placa 60x60cm - material e mão de obra</t>
  </si>
  <si>
    <t>Gesso negativo - material e mão de obra</t>
  </si>
  <si>
    <t>Contrapiso comum em argamassa estabilizada, espessura 5cm</t>
  </si>
  <si>
    <t>Mão de obra para pintura epóxi em piso, 2 demãos</t>
  </si>
  <si>
    <t>Mão de obra para execução de pinturas internas em paredes</t>
  </si>
  <si>
    <t>Mão de obra para pintura de faixa de demarcação de garagem</t>
  </si>
  <si>
    <t>Revestimento em pastilha de porcelana em parede externa</t>
  </si>
  <si>
    <t>Revestimento de parede com porcelanato amadeirado, 20x120cm</t>
  </si>
  <si>
    <t>Revestimento externo de parede em porcelanato, placa 90x90cm</t>
  </si>
  <si>
    <t>1,5% do custo total do orçamento</t>
  </si>
  <si>
    <t>Garagem e rampa do térreo</t>
  </si>
  <si>
    <t>Equipamentos de ar condicionado</t>
  </si>
  <si>
    <t>Exaustão de banheiros enclausurados</t>
  </si>
  <si>
    <t>Contrapiso acústico com argamassa estabilizada, espessura 5cm</t>
  </si>
  <si>
    <t>Revestimento de piso em cerâmica</t>
  </si>
  <si>
    <t>Consultoria de Orçamento e Planejamento</t>
  </si>
  <si>
    <t>Taxas de alvarás (+)</t>
  </si>
  <si>
    <t>Taxa de aprovação de projetos</t>
  </si>
  <si>
    <t>Certidão INSS</t>
  </si>
  <si>
    <t>Manutenção provisória de canteiro</t>
  </si>
  <si>
    <t>Mobilização/ desmobilização de Elevador Cremalheira</t>
  </si>
  <si>
    <t>Montagem de Mini Grua</t>
  </si>
  <si>
    <t>Desmontagem de Mini Grua</t>
  </si>
  <si>
    <t>Mobilização/ desmobilização de Mini Grua</t>
  </si>
  <si>
    <t>Equipamentos para apoio ao canteiro de obra</t>
  </si>
  <si>
    <t>Manutenção para equipamentos próprios</t>
  </si>
  <si>
    <t>Montagem de Balancim</t>
  </si>
  <si>
    <t>Desmontagem de Balancim</t>
  </si>
  <si>
    <t>Piso de concreto polido sobre o solo (térreo) - espessura 10cm</t>
  </si>
  <si>
    <t>8 máquinas (área de lazer)</t>
  </si>
  <si>
    <t>1.2.13.1.3. PEITORIS E CHAPINS</t>
  </si>
  <si>
    <t>FORRO</t>
  </si>
  <si>
    <t>Chapim em granito platibanda da cobertura em granito</t>
  </si>
  <si>
    <t>M²</t>
  </si>
  <si>
    <t>Obra</t>
  </si>
  <si>
    <t>Empresa</t>
  </si>
  <si>
    <t>Revisão</t>
  </si>
  <si>
    <t>RESUMO DE QUANTITATIVO</t>
  </si>
  <si>
    <t>Quantitativo de Infraestrutura</t>
  </si>
  <si>
    <t>BLOCOS/ BALDRAME/ LAJE DE PISO/ RESERV. INFERIOR</t>
  </si>
  <si>
    <t>ELEMENTO</t>
  </si>
  <si>
    <t>FCK DE CONCRETO (MPa)</t>
  </si>
  <si>
    <t>VOLUME DE CONCRETO  
(m³)</t>
  </si>
  <si>
    <t>ÁREA DE FORMA (m²)</t>
  </si>
  <si>
    <t>Ø5,00
(kg)</t>
  </si>
  <si>
    <t>Ø6,30
(kg)</t>
  </si>
  <si>
    <t>Ø8,00
(kg)</t>
  </si>
  <si>
    <t>Ø10,00
(kg)</t>
  </si>
  <si>
    <t>Ø12,50
(kg)</t>
  </si>
  <si>
    <t>Ø16,00
(kg)</t>
  </si>
  <si>
    <t>Ø20,00
(kg)</t>
  </si>
  <si>
    <t>Ø25,00
(kg)</t>
  </si>
  <si>
    <t>KG DE AÇO
(kg)</t>
  </si>
  <si>
    <t>TAXA DE AÇO
(kg/m³)</t>
  </si>
  <si>
    <t>BLOCOS</t>
  </si>
  <si>
    <t>BALDRAME</t>
  </si>
  <si>
    <t>L1 - TÉRREO</t>
  </si>
  <si>
    <t>LAJE DE PISO</t>
  </si>
  <si>
    <t>RES. INFERIOR</t>
  </si>
  <si>
    <t>TRATAMENTO DE ESGOTO</t>
  </si>
  <si>
    <t>RESER. INFERIOR 02</t>
  </si>
  <si>
    <t>RESER. INFERIOR 01</t>
  </si>
  <si>
    <t>BALDRAMES</t>
  </si>
  <si>
    <t>Volume de lastro (m³)</t>
  </si>
  <si>
    <t>Apiloamento de Vala (m²)</t>
  </si>
  <si>
    <t>Volume de bota-fora (m³)</t>
  </si>
  <si>
    <t>Volume de reaterro (m³)</t>
  </si>
  <si>
    <t>Volume de escavação (m³)</t>
  </si>
  <si>
    <t>LOCAL</t>
  </si>
  <si>
    <t>RESUMO</t>
  </si>
  <si>
    <t>Quantitativo escavação</t>
  </si>
  <si>
    <t>QUANTIFICAÇÃO</t>
  </si>
  <si>
    <t>WEST VILLAGE</t>
  </si>
  <si>
    <t>KIRCHNER</t>
  </si>
  <si>
    <t>R00</t>
  </si>
  <si>
    <t>Quantitativo estacas</t>
  </si>
  <si>
    <t>TIPO</t>
  </si>
  <si>
    <t>Quantidade</t>
  </si>
  <si>
    <t>Profundidade(m)</t>
  </si>
  <si>
    <t>Profundidade total (m)</t>
  </si>
  <si>
    <t>Concreto 40 Mpa + 20% (m³)</t>
  </si>
  <si>
    <t>1139 - LOCAÇÃO DAS ESTACAS - R1. dwg</t>
  </si>
  <si>
    <t>Diâmetro 50cm</t>
  </si>
  <si>
    <t>Diâmetro 60cm</t>
  </si>
  <si>
    <t>Aço</t>
  </si>
  <si>
    <t>Diâmetro</t>
  </si>
  <si>
    <t>Peso (kg)</t>
  </si>
  <si>
    <t>CA50</t>
  </si>
  <si>
    <t>QUANT. ESCAVAÇÕES</t>
  </si>
  <si>
    <t>QUANT. ESTACAS</t>
  </si>
  <si>
    <t>QUANT. FUNDAÇÃO RASA</t>
  </si>
  <si>
    <t>Área de laje do térreo</t>
  </si>
  <si>
    <t>Quantitativo de Supraestrutura</t>
  </si>
  <si>
    <t>VIGAS</t>
  </si>
  <si>
    <t>PAVIMENTO</t>
  </si>
  <si>
    <t>L2 - MEZ G1</t>
  </si>
  <si>
    <t>L3 - G2</t>
  </si>
  <si>
    <t>L4 - MEZ G3</t>
  </si>
  <si>
    <t>L5 - LAZER</t>
  </si>
  <si>
    <t>L6 TIPO</t>
  </si>
  <si>
    <t>L7 A L11 TIPO</t>
  </si>
  <si>
    <t>L12 A L16 TIPO</t>
  </si>
  <si>
    <t>L17 A L20 TIPO</t>
  </si>
  <si>
    <t>L21 - TELHADO</t>
  </si>
  <si>
    <t>L22 - MÁQUINAS</t>
  </si>
  <si>
    <t>PILARES</t>
  </si>
  <si>
    <t>VOLUME DE CONCRETO
(m³)</t>
  </si>
  <si>
    <t>ÁREA DE FORMA 
(m²)</t>
  </si>
  <si>
    <t>L7 TIPO</t>
  </si>
  <si>
    <t>L8 TIPO</t>
  </si>
  <si>
    <t>L9 TIPO</t>
  </si>
  <si>
    <t>L10 TIPO</t>
  </si>
  <si>
    <t>L11 TIPO</t>
  </si>
  <si>
    <t>L12 A L20 TIPO</t>
  </si>
  <si>
    <t>L22 - MÁQUINAS
L23/ L24 - RESERVATÓRIO SUPERIOR</t>
  </si>
  <si>
    <t>LAJES</t>
  </si>
  <si>
    <t>LAJE</t>
  </si>
  <si>
    <t>L6 - TIPO 01</t>
  </si>
  <si>
    <t>L7 AO L20 - TIPO 02 AO TIPO 15</t>
  </si>
  <si>
    <t>Tela Q-92 (und)</t>
  </si>
  <si>
    <t>Tela Q-92 (kg)</t>
  </si>
  <si>
    <t>CUBETAS 54x54x18 (und)</t>
  </si>
  <si>
    <t>CUBETAS 27x54x18 (und)</t>
  </si>
  <si>
    <t>ESCADAS</t>
  </si>
  <si>
    <t>ESCADA</t>
  </si>
  <si>
    <t>L1 - L2</t>
  </si>
  <si>
    <t>L2 - L4</t>
  </si>
  <si>
    <t>L4 - L5</t>
  </si>
  <si>
    <t>L5 - L6</t>
  </si>
  <si>
    <t>L6 - L21</t>
  </si>
  <si>
    <t>RAMPAS</t>
  </si>
  <si>
    <t>RAMPA</t>
  </si>
  <si>
    <t>L2 - L3</t>
  </si>
  <si>
    <t>L3 - L4</t>
  </si>
  <si>
    <t>RESUMO QUANTITATIVOS SUPRAESTRUTURA</t>
  </si>
  <si>
    <t>PILAR</t>
  </si>
  <si>
    <t>MÉDIA DE CUBETAS/PAV</t>
  </si>
  <si>
    <t>CONSIDERANDO 3 JOGOS</t>
  </si>
  <si>
    <t>QUANT. SUPRAESTRUTURA</t>
  </si>
  <si>
    <t>PLANILHA DE ESCORAMENTO</t>
  </si>
  <si>
    <t>CLIENTE</t>
  </si>
  <si>
    <t>OBRA</t>
  </si>
  <si>
    <t xml:space="preserve">REVISÃO </t>
  </si>
  <si>
    <t>DATA</t>
  </si>
  <si>
    <t>ÁREA</t>
  </si>
  <si>
    <t>R$</t>
  </si>
  <si>
    <t>INÍCIO</t>
  </si>
  <si>
    <t>FIM</t>
  </si>
  <si>
    <t>ESCORAMENTO (PARA 1 MÊS)</t>
  </si>
  <si>
    <t>ESCOR. / m2</t>
  </si>
  <si>
    <t>DIA  / m2</t>
  </si>
  <si>
    <t>DIAS CORRIDOS</t>
  </si>
  <si>
    <t>DIFERENÇA ENTRE PAVIMENTOS</t>
  </si>
  <si>
    <t>TRAV/MÊS / M2</t>
  </si>
  <si>
    <t>TRAV.</t>
  </si>
  <si>
    <t>Garagem 01</t>
  </si>
  <si>
    <t>Garagem 02</t>
  </si>
  <si>
    <t>Garagem 03</t>
  </si>
  <si>
    <t>Lazer</t>
  </si>
  <si>
    <t>Tipo 1</t>
  </si>
  <si>
    <t>Tipo 2</t>
  </si>
  <si>
    <t>Tipo 3</t>
  </si>
  <si>
    <t>Tipo 4</t>
  </si>
  <si>
    <t>Tipo 5</t>
  </si>
  <si>
    <t>Tipo 6</t>
  </si>
  <si>
    <t>Tipo 7</t>
  </si>
  <si>
    <t>Tipo 8</t>
  </si>
  <si>
    <t>Tipo 9</t>
  </si>
  <si>
    <t>Tipo 10</t>
  </si>
  <si>
    <t>Tipo 11</t>
  </si>
  <si>
    <t>Tipo 12</t>
  </si>
  <si>
    <t>Tipo 13</t>
  </si>
  <si>
    <t>Tipo 14</t>
  </si>
  <si>
    <t>Tipo 15</t>
  </si>
  <si>
    <t>Casa de máquinas</t>
  </si>
  <si>
    <t>Reservatórios</t>
  </si>
  <si>
    <t>PREÇO DO CIMBRAMENTO POR M2</t>
  </si>
  <si>
    <t>FRETE DE IDA</t>
  </si>
  <si>
    <t>FRETE DE VOLTA</t>
  </si>
  <si>
    <t>FRETE / M2</t>
  </si>
  <si>
    <t>TOTAL / M2</t>
  </si>
  <si>
    <t>TOTAL/M²/MÊS</t>
  </si>
  <si>
    <t>Quantitativo de Revestimento em alvenaria</t>
  </si>
  <si>
    <t>ÁREA DE PAREDE AZULEJO BANHEIRO (m²)</t>
  </si>
  <si>
    <t>ÁREA DE REBOCO E CHAPISCO EM ALVENARIA</t>
  </si>
  <si>
    <t>TÉRREO</t>
  </si>
  <si>
    <t>G1</t>
  </si>
  <si>
    <t>G2</t>
  </si>
  <si>
    <t>G3</t>
  </si>
  <si>
    <t>LAZER</t>
  </si>
  <si>
    <t>PAV. TIPO (15X)</t>
  </si>
  <si>
    <t>CASA DE MÁQUINAS</t>
  </si>
  <si>
    <t>RESERVATÓRIO</t>
  </si>
  <si>
    <t>Soma dos blocos cerâmicos</t>
  </si>
  <si>
    <t>Igual a área de alvenaria com bloco sical</t>
  </si>
  <si>
    <t>IMPERMEABILIZAÇÃO - KIRCHNER</t>
  </si>
  <si>
    <t>COZINHAS</t>
  </si>
  <si>
    <t>GARAGEM (X3)</t>
  </si>
  <si>
    <t>tipo (x15)</t>
  </si>
  <si>
    <t>TELHADO</t>
  </si>
  <si>
    <t>Altura parede</t>
  </si>
  <si>
    <t>Paredes - perimetro</t>
  </si>
  <si>
    <t>Área parede</t>
  </si>
  <si>
    <t>Piso</t>
  </si>
  <si>
    <t>IMPERMEABILIZANTE EM COZINHA</t>
  </si>
  <si>
    <t>* CONSIDERADO 1 METRO A FRENTE DA PAREDE</t>
  </si>
  <si>
    <t>BANHEIROS</t>
  </si>
  <si>
    <t>BOX BANHEIRO</t>
  </si>
  <si>
    <t xml:space="preserve"> </t>
  </si>
  <si>
    <t>BANHEIRO</t>
  </si>
  <si>
    <t>IMPERMEABILIZANTE EM BOX BANHEIRO</t>
  </si>
  <si>
    <t xml:space="preserve"> IMPERMEABILIZANTE EM BANHEIRO</t>
  </si>
  <si>
    <t>*ÁREA PISO DE BANHEIRO, JÁ FOI DESCONTADA DA ÁREA DO BOX</t>
  </si>
  <si>
    <t>*ÁREA DE DUCHA FOI CONSIDERADA EM BOX DE BANHEIRO</t>
  </si>
  <si>
    <t>SACADAS</t>
  </si>
  <si>
    <t>IMPERMEABILIZANTE EM SACADA</t>
  </si>
  <si>
    <t>TERRAÇOS</t>
  </si>
  <si>
    <t>MANTA IMPERMEABILIZANTE À BASE DE ASFALTO EM TERRAÇOS</t>
  </si>
  <si>
    <t>*CONSIDERADA IMPER DA COBERTURA</t>
  </si>
  <si>
    <t>*CONSIDERADO ÁREA ESPORTIVA, TERRAÇO PISCINA E PLAYGROUND</t>
  </si>
  <si>
    <t>LAJE SPLIT</t>
  </si>
  <si>
    <t>MANTA IMPERMEABILIZANTE À BASE DE ASFALTO EM LAJE</t>
  </si>
  <si>
    <t>CAIXA D' ÁGUA</t>
  </si>
  <si>
    <t xml:space="preserve"> IMPERMEABILIZANTE CAIXA DA ÁGUA</t>
  </si>
  <si>
    <t>*CONSIDERADA ÁREA DE PISO x2 (CONSIDERANDO TAMPA)</t>
  </si>
  <si>
    <t>PISCINAS</t>
  </si>
  <si>
    <t>MANTA IMPERMEABILIZANTE À BASE DE ASFALTO PISCINAS</t>
  </si>
  <si>
    <t>POÇO ELEVADOR</t>
  </si>
  <si>
    <t>PINTURA ASFALTICA EM POÇOS</t>
  </si>
  <si>
    <t>*CONSIDERADO ÁREA DE PAREDES x2 (DENTRO E FORA)</t>
  </si>
  <si>
    <t>PINTURA ASFALTICA EM BALDRAMES</t>
  </si>
  <si>
    <t>GARAGEM</t>
  </si>
  <si>
    <t>MANTA IMPERMEABILIZANTE À BASE DE ASFALTO EM GARAGENS</t>
  </si>
  <si>
    <t>*CONSIDERADA RAMPA GARAGENS, E ÁREA COBERTA GARAGENS,</t>
  </si>
  <si>
    <t>ESQUADRIAS</t>
  </si>
  <si>
    <t>PEITORIL</t>
  </si>
  <si>
    <t xml:space="preserve"> IMPERMEABILIZANTE EM ESQUADRIAS</t>
  </si>
  <si>
    <t>RALOS</t>
  </si>
  <si>
    <t>TIPO 15X</t>
  </si>
  <si>
    <t>UN</t>
  </si>
  <si>
    <t>TRATAMENTO DE RALOS - IMPERMEABILIZAÇÃO</t>
  </si>
  <si>
    <t>Instalações hidráulicas</t>
  </si>
  <si>
    <t>Geral</t>
  </si>
  <si>
    <t>Descrição quantitativo</t>
  </si>
  <si>
    <t>Preço unitário</t>
  </si>
  <si>
    <t>Preço total</t>
  </si>
  <si>
    <t>AGUA FRIA</t>
  </si>
  <si>
    <t>Tubo de PPR PN20</t>
  </si>
  <si>
    <t>Tubo de cobre DN79</t>
  </si>
  <si>
    <t>Tubo de PVC Rígido Soldável Marrom</t>
  </si>
  <si>
    <t>Adaptador Soldável Curto com Bolsa e Rosca, DN25x3/4'', PVC Marrom Soldável, conforme NBR 5648</t>
  </si>
  <si>
    <t>pç</t>
  </si>
  <si>
    <t>Adaptador Soldável Curto com Bolsa e Rosca, DN32x1'', PVC Marrom Soldável, conforme NBR 5649</t>
  </si>
  <si>
    <t>Adaptador Soldável Curto com Bolsa e Rosca, DN40x1.1/4'', PVC Marrom Soldável, conforme NBR 5648</t>
  </si>
  <si>
    <t>Adaptador Soldável Curto com Bolsa e Rosca, DN50x1.1/2'', PVC Marrom Soldável, conforme NBR 5648</t>
  </si>
  <si>
    <t>Adaptador Soldável Curto com Bolsa e Rosca, DN60x2'', PVC Marrom Soldável, conforme NBR 5648</t>
  </si>
  <si>
    <t>Adaptador Soldável Curto com Bolsa e Rosca, DN75x2.1/2'', PVC Marrom Soldável, conforme NBR 5649</t>
  </si>
  <si>
    <t>Adaptador Soldável Curto com Bolsa e Rosca, DN85x3'', PVC Marrom Soldável, conforme NBR 5650</t>
  </si>
  <si>
    <t>Bucha de Redução, 40x32mm, PPR PN20</t>
  </si>
  <si>
    <t>Bucha de Redução, 50x32mm, PPR PN20</t>
  </si>
  <si>
    <t>Bucha de Redução, 63x40mm, PPR PN20</t>
  </si>
  <si>
    <t>Bucha de Redução, 63x50mm, PPR PN20</t>
  </si>
  <si>
    <t>Bucha de Redução, 75x50mm, PPR PN20</t>
  </si>
  <si>
    <t>Bucha de Redução, 90x63mm, PPR PN20</t>
  </si>
  <si>
    <t>Bucha de Redução, 90x75mm, PPR PN20</t>
  </si>
  <si>
    <t>Bucha de Redução, 110x90mm, PPR PN20</t>
  </si>
  <si>
    <t>Bucha de Redução Curta, DN32x25mm, PVC Marrom Soldável, conforme NBR 5648</t>
  </si>
  <si>
    <t>Bucha de Redução Longa, DN50 x 32mm, PVC Marrom Soldável, conforme NBR 5648</t>
  </si>
  <si>
    <t>Bucha de Redução Longa, DN85 x 60mm, PVC Marrom Soldável, conforme NBR 5648</t>
  </si>
  <si>
    <t>Conector Bolsa x rosca 3", cobre</t>
  </si>
  <si>
    <t>pc</t>
  </si>
  <si>
    <t>Conector Fêmea 32x1", PPR PN 20</t>
  </si>
  <si>
    <t>Conector Fêmea 50x1.1/2", PPR PN 20</t>
  </si>
  <si>
    <t>Conector Macho 25x3/4", PPR PN 20</t>
  </si>
  <si>
    <t>Conector Macho 32x1", PPR PN 20</t>
  </si>
  <si>
    <t>Conector Macho 50x1.1/2", PPR PN 20</t>
  </si>
  <si>
    <t>Conector Macho 75x2.1/2", PPR PN 20</t>
  </si>
  <si>
    <t>Conector Macho 90x3", PPR PN 20</t>
  </si>
  <si>
    <t>Conector Macho 100x4", PPR PN 20</t>
  </si>
  <si>
    <t>Curva 90°, DN32mm, PVC Marrom Soldável</t>
  </si>
  <si>
    <t>Curva 90°, DN40mm, PVC Marrom Soldável</t>
  </si>
  <si>
    <t>Curva de Transposição Soldável, DN25mm, PVC Marrom Soldável</t>
  </si>
  <si>
    <t>Curva de Transposição Soldável, DN32mm, PVC Marrom Soldável</t>
  </si>
  <si>
    <t>Joelho 45º, DN 40mm, PPR PN20</t>
  </si>
  <si>
    <t>Joelho 45º, DN 50mm, PPR PN20</t>
  </si>
  <si>
    <t>Joelho 45°, DN25mm, PVC Marrom Soldável</t>
  </si>
  <si>
    <t>Joelho 45°, DN32mm, PVC Marrom Soldável</t>
  </si>
  <si>
    <t>Joelho 45°, DN40mm, PVC Marrom Soldável</t>
  </si>
  <si>
    <t>Joelho 45°, DN85mm, PVC Marrom Soldável</t>
  </si>
  <si>
    <t>Joelho 90° 3", cobre</t>
  </si>
  <si>
    <t>Joelho 90º, DN 40mm, PPR PN20</t>
  </si>
  <si>
    <t>Joelho 90º, DN 50mm, PPR PN20</t>
  </si>
  <si>
    <t>Joelho 90º, DN 63mm, PPR PN20</t>
  </si>
  <si>
    <t>Joelho 90º, DN 75mm, PPR PN20</t>
  </si>
  <si>
    <t>Joelho 90º, DN 90mm, PPR PN20</t>
  </si>
  <si>
    <t>Joelho 90º, DN 110mm, PPR PN20</t>
  </si>
  <si>
    <t>Joelho 90°  de Latão, 3/4x1/2', Linha PVC branco</t>
  </si>
  <si>
    <t>Joelho 90°, DN25mm, PVC Marrom Soldável</t>
  </si>
  <si>
    <t>Joelho 90°, DN32mm, PVC Marrom Soldável</t>
  </si>
  <si>
    <t>Joelho 90°, DN50mm, PVC Marrom Soldável</t>
  </si>
  <si>
    <t>Joelho 90°, DN75mm, PVC Marrom Soldável</t>
  </si>
  <si>
    <t>Joelho 90°, DN85mm, PVC Marrom Soldável</t>
  </si>
  <si>
    <t>Joelho 90°, DN110mm, PVC Marrom Soldável</t>
  </si>
  <si>
    <t>Joelho 90°, de Latão 25 x 1/2" PVC Soldável</t>
  </si>
  <si>
    <t>Joelho 90°, de Latão 25 x 3/4" PVC Soldável</t>
  </si>
  <si>
    <t>Luva de Redução soldável 25x20mm</t>
  </si>
  <si>
    <t>Luva Soldável com Bucha de Latão, DN20x1/2''</t>
  </si>
  <si>
    <t>Luva Soldável com Bucha de Latão, DN25x3/4''</t>
  </si>
  <si>
    <t>Tê de redução 40x25x40mm, PPR PN20</t>
  </si>
  <si>
    <t>Tê de redução 40x32x40mm, PPR PN20</t>
  </si>
  <si>
    <t>Tê de redução 50x32x50mm, PPR PN20</t>
  </si>
  <si>
    <t>Tê de redução 50x40x50mm, PPR PN20</t>
  </si>
  <si>
    <t>Tê de redução 75x50x75mm, PPR PN20</t>
  </si>
  <si>
    <t>Tê de redução 75x63x75mm, PPR PN20</t>
  </si>
  <si>
    <t>Tê de redução 90x63x90mm, PPR PN20</t>
  </si>
  <si>
    <t>Tê de Redução, DN32x25mm, PVC Marrom Soldável,</t>
  </si>
  <si>
    <t>Tê de Redução, DN50x32mm, PVC Marrom Soldável</t>
  </si>
  <si>
    <t>Tê 50x50x50mm, PPR PN20</t>
  </si>
  <si>
    <t>Tê 75x75x75mm, PPR PN20</t>
  </si>
  <si>
    <t>Tê 90x90x90mm, PPR PN20</t>
  </si>
  <si>
    <t>Tê 110x110x110mm, PPR PN20</t>
  </si>
  <si>
    <t>Tê, DN25mm, PVC Marrom Soldável</t>
  </si>
  <si>
    <t>Tê, DN32mm, PVC Marrom Soldável</t>
  </si>
  <si>
    <t>Tê, DN50mm, PVC Marrom Soldável</t>
  </si>
  <si>
    <t>Tê, DN75mm, PVC Marrom Soldável</t>
  </si>
  <si>
    <t>Registro de Esfera Azul 1"</t>
  </si>
  <si>
    <t>Registro de Esfera Azul 1.1/4"</t>
  </si>
  <si>
    <t xml:space="preserve">Registro de Gaveta 3/4" </t>
  </si>
  <si>
    <t xml:space="preserve">Registro de Gaveta 1" </t>
  </si>
  <si>
    <t xml:space="preserve">Registro de Gaveta 1 1/2" </t>
  </si>
  <si>
    <t xml:space="preserve">Registro de Gaveta  2.1/2" </t>
  </si>
  <si>
    <t xml:space="preserve">Registro de Gaveta  3" </t>
  </si>
  <si>
    <t xml:space="preserve">Registro de Gaveta  4" </t>
  </si>
  <si>
    <t xml:space="preserve">Registro de Pressão 3/4" </t>
  </si>
  <si>
    <t>União dupla com parafusos 110mm, PPR</t>
  </si>
  <si>
    <t>União dupla com parafusos 50mm, PPR</t>
  </si>
  <si>
    <t>União dupla com parafusos 90mm, PPR</t>
  </si>
  <si>
    <t>União de PVC Soldável 32mm</t>
  </si>
  <si>
    <t>União de PVC Soldável 40mm</t>
  </si>
  <si>
    <t>União de PVC Soldável 60mm</t>
  </si>
  <si>
    <t>Torneira bóia 3"</t>
  </si>
  <si>
    <t>Válvula controladora de Bomba 2"</t>
  </si>
  <si>
    <t>Válvula de alívio de pressão 2"</t>
  </si>
  <si>
    <t>Válvula de pé com crivo soldável 1.1/4"</t>
  </si>
  <si>
    <t>Válvula de pé com crivo soldável 4"</t>
  </si>
  <si>
    <t>Válvula de retenção soldável 32mm</t>
  </si>
  <si>
    <t>Válvula de retenção vertical 3"</t>
  </si>
  <si>
    <t>Válvula ventosa de tríplice ação 1/2"</t>
  </si>
  <si>
    <t>Cap 40mm, PPR PN20</t>
  </si>
  <si>
    <t>Cap 50mm, PPR PN20</t>
  </si>
  <si>
    <t>Filtro Y, 2.1/2"</t>
  </si>
  <si>
    <t>Manômetro 1/2"</t>
  </si>
  <si>
    <t>Torneira de garagem 3/4"</t>
  </si>
  <si>
    <t>Vaso de Expansão 18L</t>
  </si>
  <si>
    <t>AGUA QUENTE</t>
  </si>
  <si>
    <t>Tubo CPVC rígido, cor branca</t>
  </si>
  <si>
    <t xml:space="preserve">Bucha de Redução, DN28x22mm, CPVC </t>
  </si>
  <si>
    <t>Conector Aquatherm® 22 x 3/4'', CPVC, Água Quente - TIGRE</t>
  </si>
  <si>
    <t>Conector Aquatherm® 28 x 1'', CPVC, Água Quente - TIGRE</t>
  </si>
  <si>
    <t>Curva de Transposição Aquatherm® 22mm, CPVC, Água Quente - TIGRE</t>
  </si>
  <si>
    <t>Joelho 45º Aquatherm® 28mm, CPVC, Água Quente - TIGRE</t>
  </si>
  <si>
    <t>Joelho 90º Aquatherm® 22mm, CPVC, Água Quente - TIGRE</t>
  </si>
  <si>
    <t>Joelho 90º Aquatherm® 28mm, CPVC, Água Quente - TIGRE</t>
  </si>
  <si>
    <t>Joelho 90º de Transição Aquatherm 22x1/2, CPVC, Água Quente</t>
  </si>
  <si>
    <t>Joelho 90º de Transição Aquatherm 28x1, CPVC, Água Quente</t>
  </si>
  <si>
    <t>Luva de Transição Soldável, CPVC, Água Quente 25 x 22</t>
  </si>
  <si>
    <t>Luva de transição, CPVC, Água Quente 28 x1"</t>
  </si>
  <si>
    <t>Tê 22mm, CPVC, Água Quente</t>
  </si>
  <si>
    <t>Tê de redução 28x22mm, CPVC, Água Quente</t>
  </si>
  <si>
    <t>Misturador monocomando 3/4"</t>
  </si>
  <si>
    <t>HIDRÔMETRO</t>
  </si>
  <si>
    <t>Hidrômetro multijato classe B DN20 3/4", QN = 1,50m³/h, QP 0,90m3/h</t>
  </si>
  <si>
    <t>Hidrômetro multijato classe B DN20 3/4", QN = 2,50m³/h, QP 2,22m3/h</t>
  </si>
  <si>
    <t>Caixa Sifonada Montada com Grelha e Porta Grelha Quadrados Brancos 150x170x75mm</t>
  </si>
  <si>
    <t>Caixa Sifonada Montada com Grelha e Porta Grelha Quadrados Brancos 150x150x50mm</t>
  </si>
  <si>
    <t>Terminal de Ventilação, DN75mm, de PVC Rígido Branco Série Normal, conforme NBR 5688</t>
  </si>
  <si>
    <t>Terminal de Ventilação, DN100mm, de PVC Rígido Branco Série Normal, conforme NBR 5688</t>
  </si>
  <si>
    <t>Tê 90°, DN50x50mm, de PVC Rígido Branco Série Refroçada, conforme NBR 5688</t>
  </si>
  <si>
    <t>Tê 90°, DN50x50mm, de PVC Rígido Branco Série Normal, conforme NBR 5688</t>
  </si>
  <si>
    <t>Tê 90° de Redução, DN100x50mm, de PVC Rígido Série R (Reforçada), conforme NBR 5688</t>
  </si>
  <si>
    <t>Tê 90° de Redução, DN100x50mm, de PVC Rígido Branco Série Normal, conforme NBR 5688</t>
  </si>
  <si>
    <t>Tê 90° de Redução, DN75x50mm, de PVC Rígido Branco Série Normal, conforme NBR 5688</t>
  </si>
  <si>
    <t>Redução Excêntrica, DN100x75mm, de PVC Rígido Série R (Reforçada) para Esgoto e Água Pluvial, conforme NBR 5688</t>
  </si>
  <si>
    <t>Redução Excêntrica, DN100x75mm, de PVC Rígido Série N (normal) para Esgoto e Água Pluvial, conforme NBR 5688</t>
  </si>
  <si>
    <t>Luva Simples, DN75mm, de PVC Rígido Série R (Reforçada), conforme NBR 5688</t>
  </si>
  <si>
    <t>Luva Simples, DN75mm, de PVC Rígido Branco Série Normal, conforme NBR 5688</t>
  </si>
  <si>
    <t>Luva Simples, DN50mm, de PVC Rígido Série R (Reforçada), conforme NBR 5688</t>
  </si>
  <si>
    <t>Luva Simples, DN50mm, de PVC Rígido Branco Série Normal, conforme NBR 5688</t>
  </si>
  <si>
    <t>Luva Simples, DN150mm, de PVC Rígido Branco Série Normal, conforme NBR 5688</t>
  </si>
  <si>
    <t>Luva Simples, DN100mm, de PVC Rígido Série R (Reforçada), conforme NBR 5688</t>
  </si>
  <si>
    <t>Luva Simples, DN100mm, de PVC Rígido Branco Série Normal, conforme NBR 5688</t>
  </si>
  <si>
    <t>Junção 45°, DN75x75mm, de PVC Rígido Série R (Reforçada), conforme NBR 5688</t>
  </si>
  <si>
    <t>Junção 45°, DN75x75mm, de PVC Rígido Série N (Normal), conforme NBR 5688</t>
  </si>
  <si>
    <t>Junção 45°, DN50x50mm, de PVC Rígido Branco Série R, conforme NBR 5689</t>
  </si>
  <si>
    <t>Junção 45°, DN50x50mm, de PVC Rígido Branco Série Normal, conforme NBR 5688</t>
  </si>
  <si>
    <t>Junção 45°, DN100x100mm, de PVC Rígido Série R (Reforçada), conforme NBR 5688</t>
  </si>
  <si>
    <t>Junção 45°, DN100x100mm, de PVC Rígido Branco Série Normal, conforme NBR 5688</t>
  </si>
  <si>
    <t>Junção 45° de Redução, DN75x50mm, de PVC Rígido Série R (Reforçada), conforme NBR 5688</t>
  </si>
  <si>
    <t>Junção 45° de Redução, DN75x50mm, de PVC Rígido Branco Série Normal, conforme NBR 5688</t>
  </si>
  <si>
    <t>Junção 45° de Redução, DN150x100mm, de PVC Rígido Branco Série Normal, conforme NBR 5688</t>
  </si>
  <si>
    <t>Junção 45° de Redução, DN100x75mm, de PVC Rígido Branco Série R, conforme NBR 5689</t>
  </si>
  <si>
    <t>Junção 45° de Redução, DN100x75mm, de PVC Rígido Branco Série Normal, conforme NBR 5688</t>
  </si>
  <si>
    <t>Junção 45° de Redução, DN100x50mm, de PVC Rígido Série R (Reforçada), conforme NBR 5688</t>
  </si>
  <si>
    <t>Junção 45° de Redução, DN100x50mm, de PVC Rígido Branco Série Normal, conforme NBR 5688</t>
  </si>
  <si>
    <t>Joelho 90°, DN75mm, de PVC Rígido Série R (Reforçada), conforme NBR 5688</t>
  </si>
  <si>
    <t>Joelho 90°, DN75mm, de PVC Rígido Branco Série Normal, conforme NBR 5688</t>
  </si>
  <si>
    <t>Joelho 90°, DN50mm, de PVC Rígido Série R (Reforçada), conforme NBR 5688</t>
  </si>
  <si>
    <t>Joelho 90°, DN50mm, de PVC Rígido Branco Série Normal, conforme NBR 5688</t>
  </si>
  <si>
    <t>Joelho 90°, DN40mm, de PVC Rígido Branco Série Normal, conforme NBR 5688</t>
  </si>
  <si>
    <t>Joelho 90°, DN100mm, de PVC Rígido Série R (Reforçada), conforme NBR 5688</t>
  </si>
  <si>
    <t>Joelho 90°, DN100mm, de PVC Rígido Branco Série Normal, conforme NBR 5688</t>
  </si>
  <si>
    <t>Joelho 45°, DN75mm, de PVC Rígido Série R (Reforçada), conforme NBR 5688</t>
  </si>
  <si>
    <t>Joelho 45°, DN75mm, de PVC Rígido Branco Série Normal, conforme NBR 5688</t>
  </si>
  <si>
    <t>Joelho 45°, DN50mm, de PVC Rígido Série R (Reforçada), conforme NBR 5688</t>
  </si>
  <si>
    <t>Joelho 45°, DN50mm, de PVC Rígido Branco Série Normal, conforme NBR 5688</t>
  </si>
  <si>
    <t>Joelho 45°, DN40mm, de PVC Rígido Branco Série Normal, conforme NBR 5688</t>
  </si>
  <si>
    <t>Joelho 45°, DN150mm, de PVC Rígido Branco Série Normal, conforme NBR 5688</t>
  </si>
  <si>
    <t>Joelho 45°, DN100mm, de PVC Rígido Série R (Reforçada), conforme NBR 5688</t>
  </si>
  <si>
    <t>Joelho 45°, DN100mm, de PVC Rígido Branco Série Normal, conforme NBR 5688</t>
  </si>
  <si>
    <t>Cap, DN75mm, de PVC Rígido Branco Série Reforçada para Esgoto e Água Pluvial, conforme NBR 5690</t>
  </si>
  <si>
    <t>Cap, DN100mm, de PVC Rígido Branco Série Reforçada para Esgoto e Água Pluvial, conforme NBR 5689</t>
  </si>
  <si>
    <t>Cap, DN150mm, de PVC Rígido Branco Série Normal para Esgoto e Água Pluvial, conforme NBR 5688</t>
  </si>
  <si>
    <t>Tubo Série Reforçada (Série R) de PVC Rígido para Esgoto e Água Pluviais, conforme NBR-5689</t>
  </si>
  <si>
    <t>Tubo Série Reforçada (Série R) de PVC Rígido para Esgoto e Água Pluviais, conforme NBR-5688</t>
  </si>
  <si>
    <t>Tubo de PVC Rígido Branco, conforme NBR5688, Linha Série Normal</t>
  </si>
  <si>
    <t>ESGOTO E PLUVIAL</t>
  </si>
  <si>
    <t>unidade</t>
  </si>
  <si>
    <t>Instalações sanitárias</t>
  </si>
  <si>
    <t>LOUÇAS E METAIS</t>
  </si>
  <si>
    <t>LOUÇAS</t>
  </si>
  <si>
    <t>Bacia Sanitária de louça com caixa acoplada</t>
  </si>
  <si>
    <t>Acabamento de registro de gaveta 3/4''</t>
  </si>
  <si>
    <t>Contabilizado para as sacadas, cozinhas e área de serviço</t>
  </si>
  <si>
    <t xml:space="preserve">Torneira de cozinha </t>
  </si>
  <si>
    <t>Torneira para lavatório</t>
  </si>
  <si>
    <t>Torneira para tanque</t>
  </si>
  <si>
    <t>Lavatório embutido</t>
  </si>
  <si>
    <t>Lavatório PCD</t>
  </si>
  <si>
    <t>Pia inox</t>
  </si>
  <si>
    <t>Ducha</t>
  </si>
  <si>
    <t>Tanque</t>
  </si>
  <si>
    <t>Barra de apoio</t>
  </si>
  <si>
    <t>ACESSORIOS</t>
  </si>
  <si>
    <t>Sifão de copo p/ pia e lavatório</t>
  </si>
  <si>
    <t>Sifão para pia e tanque</t>
  </si>
  <si>
    <t xml:space="preserve">Válvula p/ lavatório e tanque </t>
  </si>
  <si>
    <t>Válvula p/ pia</t>
  </si>
  <si>
    <t xml:space="preserve">Engate flexível cobre cromado com canopla </t>
  </si>
  <si>
    <t>Mão de obra louças e metais</t>
  </si>
  <si>
    <t>HIDRÁULICAS</t>
  </si>
  <si>
    <t>Contrato disponibilizado pela Kirchner</t>
  </si>
  <si>
    <t>Intslações elétricas</t>
  </si>
  <si>
    <t>ENTRADA DE ENERGIA</t>
  </si>
  <si>
    <r>
      <rPr>
        <sz val="7"/>
        <rFont val="Calibri"/>
        <family val="1"/>
      </rPr>
      <t>TERMINAL</t>
    </r>
    <r>
      <rPr>
        <sz val="7"/>
        <rFont val="Times New Roman"/>
        <family val="1"/>
      </rPr>
      <t xml:space="preserve"> </t>
    </r>
    <r>
      <rPr>
        <sz val="7"/>
        <rFont val="Calibri"/>
        <family val="1"/>
      </rPr>
      <t>SAPATA</t>
    </r>
    <r>
      <rPr>
        <sz val="7"/>
        <rFont val="Times New Roman"/>
        <family val="1"/>
      </rPr>
      <t xml:space="preserve"> </t>
    </r>
    <r>
      <rPr>
        <sz val="7"/>
        <rFont val="Calibri"/>
        <family val="1"/>
      </rPr>
      <t>16.00mm²</t>
    </r>
  </si>
  <si>
    <r>
      <rPr>
        <sz val="7"/>
        <rFont val="Calibri"/>
        <family val="1"/>
      </rPr>
      <t>PARAFUSO</t>
    </r>
    <r>
      <rPr>
        <sz val="7"/>
        <rFont val="Times New Roman"/>
        <family val="1"/>
      </rPr>
      <t xml:space="preserve"> </t>
    </r>
    <r>
      <rPr>
        <sz val="7"/>
        <rFont val="Calibri"/>
        <family val="1"/>
      </rPr>
      <t>COM</t>
    </r>
    <r>
      <rPr>
        <sz val="7"/>
        <rFont val="Times New Roman"/>
        <family val="1"/>
      </rPr>
      <t xml:space="preserve"> </t>
    </r>
    <r>
      <rPr>
        <sz val="7"/>
        <rFont val="Calibri"/>
        <family val="1"/>
      </rPr>
      <t>PORCA</t>
    </r>
    <r>
      <rPr>
        <sz val="7"/>
        <rFont val="Times New Roman"/>
        <family val="1"/>
      </rPr>
      <t xml:space="preserve"> </t>
    </r>
    <r>
      <rPr>
        <sz val="7"/>
        <rFont val="Calibri"/>
        <family val="1"/>
      </rPr>
      <t>E</t>
    </r>
    <r>
      <rPr>
        <sz val="7"/>
        <rFont val="Times New Roman"/>
        <family val="1"/>
      </rPr>
      <t xml:space="preserve"> </t>
    </r>
    <r>
      <rPr>
        <sz val="7"/>
        <rFont val="Calibri"/>
        <family val="1"/>
      </rPr>
      <t>02</t>
    </r>
    <r>
      <rPr>
        <sz val="7"/>
        <rFont val="Times New Roman"/>
        <family val="1"/>
      </rPr>
      <t xml:space="preserve"> </t>
    </r>
    <r>
      <rPr>
        <sz val="7"/>
        <rFont val="Calibri"/>
        <family val="1"/>
      </rPr>
      <t>ARRUELAS</t>
    </r>
    <r>
      <rPr>
        <sz val="7"/>
        <rFont val="Times New Roman"/>
        <family val="1"/>
      </rPr>
      <t xml:space="preserve"> </t>
    </r>
    <r>
      <rPr>
        <sz val="7"/>
        <rFont val="Calibri"/>
        <family val="1"/>
      </rPr>
      <t>¼</t>
    </r>
    <r>
      <rPr>
        <sz val="7"/>
        <rFont val="Times New Roman"/>
        <family val="1"/>
      </rPr>
      <t xml:space="preserve"> </t>
    </r>
    <r>
      <rPr>
        <sz val="7"/>
        <rFont val="Calibri"/>
        <family val="1"/>
      </rPr>
      <t>X</t>
    </r>
    <r>
      <rPr>
        <sz val="7"/>
        <rFont val="Times New Roman"/>
        <family val="1"/>
      </rPr>
      <t xml:space="preserve"> </t>
    </r>
    <r>
      <rPr>
        <sz val="7"/>
        <rFont val="Calibri"/>
        <family val="1"/>
      </rPr>
      <t>1”</t>
    </r>
    <r>
      <rPr>
        <sz val="7"/>
        <rFont val="Times New Roman"/>
        <family val="1"/>
      </rPr>
      <t xml:space="preserve"> </t>
    </r>
    <r>
      <rPr>
        <sz val="7"/>
        <rFont val="Calibri"/>
        <family val="1"/>
      </rPr>
      <t>DE</t>
    </r>
    <r>
      <rPr>
        <sz val="7"/>
        <rFont val="Times New Roman"/>
        <family val="1"/>
      </rPr>
      <t xml:space="preserve"> </t>
    </r>
    <r>
      <rPr>
        <sz val="7"/>
        <rFont val="Calibri"/>
        <family val="1"/>
      </rPr>
      <t>LATÃO</t>
    </r>
  </si>
  <si>
    <r>
      <rPr>
        <sz val="7"/>
        <rFont val="Calibri"/>
        <family val="1"/>
      </rPr>
      <t>HASTE</t>
    </r>
    <r>
      <rPr>
        <sz val="7"/>
        <rFont val="Times New Roman"/>
        <family val="1"/>
      </rPr>
      <t xml:space="preserve"> </t>
    </r>
    <r>
      <rPr>
        <sz val="7"/>
        <rFont val="Calibri"/>
        <family val="1"/>
      </rPr>
      <t>TERRA</t>
    </r>
    <r>
      <rPr>
        <sz val="7"/>
        <rFont val="Times New Roman"/>
        <family val="1"/>
      </rPr>
      <t xml:space="preserve"> </t>
    </r>
    <r>
      <rPr>
        <sz val="7"/>
        <rFont val="Calibri"/>
        <family val="1"/>
      </rPr>
      <t>240cm</t>
    </r>
  </si>
  <si>
    <r>
      <rPr>
        <sz val="7"/>
        <rFont val="Calibri"/>
        <family val="1"/>
      </rPr>
      <t>CONECTOR</t>
    </r>
    <r>
      <rPr>
        <sz val="7"/>
        <rFont val="Times New Roman"/>
        <family val="1"/>
      </rPr>
      <t xml:space="preserve"> </t>
    </r>
    <r>
      <rPr>
        <sz val="7"/>
        <rFont val="Calibri"/>
        <family val="1"/>
      </rPr>
      <t>DUPLO</t>
    </r>
    <r>
      <rPr>
        <sz val="7"/>
        <rFont val="Times New Roman"/>
        <family val="1"/>
      </rPr>
      <t xml:space="preserve"> </t>
    </r>
    <r>
      <rPr>
        <sz val="7"/>
        <rFont val="Calibri"/>
        <family val="1"/>
      </rPr>
      <t>TIPO</t>
    </r>
    <r>
      <rPr>
        <sz val="7"/>
        <rFont val="Times New Roman"/>
        <family val="1"/>
      </rPr>
      <t xml:space="preserve"> </t>
    </r>
    <r>
      <rPr>
        <sz val="7"/>
        <rFont val="Calibri"/>
        <family val="1"/>
      </rPr>
      <t>U</t>
    </r>
    <r>
      <rPr>
        <sz val="7"/>
        <rFont val="Times New Roman"/>
        <family val="1"/>
      </rPr>
      <t xml:space="preserve"> </t>
    </r>
    <r>
      <rPr>
        <sz val="7"/>
        <rFont val="Calibri"/>
        <family val="1"/>
      </rPr>
      <t>PARA</t>
    </r>
    <r>
      <rPr>
        <sz val="7"/>
        <rFont val="Times New Roman"/>
        <family val="1"/>
      </rPr>
      <t xml:space="preserve"> </t>
    </r>
    <r>
      <rPr>
        <sz val="7"/>
        <rFont val="Calibri"/>
        <family val="1"/>
      </rPr>
      <t>HASTE</t>
    </r>
    <r>
      <rPr>
        <sz val="7"/>
        <rFont val="Times New Roman"/>
        <family val="1"/>
      </rPr>
      <t xml:space="preserve"> </t>
    </r>
    <r>
      <rPr>
        <sz val="7"/>
        <rFont val="Calibri"/>
        <family val="1"/>
      </rPr>
      <t>TERRA</t>
    </r>
  </si>
  <si>
    <r>
      <rPr>
        <sz val="7"/>
        <rFont val="Calibri"/>
        <family val="1"/>
      </rPr>
      <t>TAMPA</t>
    </r>
    <r>
      <rPr>
        <sz val="7"/>
        <rFont val="Times New Roman"/>
        <family val="1"/>
      </rPr>
      <t xml:space="preserve"> </t>
    </r>
    <r>
      <rPr>
        <sz val="7"/>
        <rFont val="Calibri"/>
        <family val="1"/>
      </rPr>
      <t>DE</t>
    </r>
    <r>
      <rPr>
        <sz val="7"/>
        <rFont val="Times New Roman"/>
        <family val="1"/>
      </rPr>
      <t xml:space="preserve"> </t>
    </r>
    <r>
      <rPr>
        <sz val="7"/>
        <rFont val="Calibri"/>
        <family val="1"/>
      </rPr>
      <t>FERRO</t>
    </r>
    <r>
      <rPr>
        <sz val="7"/>
        <rFont val="Times New Roman"/>
        <family val="1"/>
      </rPr>
      <t xml:space="preserve"> </t>
    </r>
    <r>
      <rPr>
        <sz val="7"/>
        <rFont val="Calibri"/>
        <family val="1"/>
      </rPr>
      <t>FUNDIDO</t>
    </r>
    <r>
      <rPr>
        <sz val="7"/>
        <rFont val="Times New Roman"/>
        <family val="1"/>
      </rPr>
      <t xml:space="preserve"> </t>
    </r>
    <r>
      <rPr>
        <sz val="7"/>
        <rFont val="Calibri"/>
        <family val="1"/>
      </rPr>
      <t>(900x700mm)</t>
    </r>
    <r>
      <rPr>
        <sz val="7"/>
        <rFont val="Times New Roman"/>
        <family val="1"/>
      </rPr>
      <t xml:space="preserve"> </t>
    </r>
    <r>
      <rPr>
        <sz val="7"/>
        <rFont val="Calibri"/>
        <family val="1"/>
      </rPr>
      <t>-</t>
    </r>
    <r>
      <rPr>
        <sz val="7"/>
        <rFont val="Times New Roman"/>
        <family val="1"/>
      </rPr>
      <t xml:space="preserve"> </t>
    </r>
    <r>
      <rPr>
        <sz val="7"/>
        <rFont val="Calibri"/>
        <family val="1"/>
      </rPr>
      <t>400kN</t>
    </r>
    <r>
      <rPr>
        <sz val="7"/>
        <rFont val="Times New Roman"/>
        <family val="1"/>
      </rPr>
      <t xml:space="preserve"> </t>
    </r>
    <r>
      <rPr>
        <sz val="7"/>
        <rFont val="Calibri"/>
        <family val="1"/>
      </rPr>
      <t>(CELESC)</t>
    </r>
  </si>
  <si>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C/</t>
    </r>
    <r>
      <rPr>
        <sz val="7"/>
        <rFont val="Times New Roman"/>
        <family val="1"/>
      </rPr>
      <t xml:space="preserve"> </t>
    </r>
    <r>
      <rPr>
        <sz val="7"/>
        <rFont val="Calibri"/>
        <family val="1"/>
      </rPr>
      <t>ARUELA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4"</t>
    </r>
  </si>
  <si>
    <r>
      <rPr>
        <sz val="7"/>
        <rFont val="Calibri"/>
        <family val="1"/>
      </rPr>
      <t>BUCHA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P/</t>
    </r>
    <r>
      <rPr>
        <sz val="7"/>
        <rFont val="Times New Roman"/>
        <family val="1"/>
      </rPr>
      <t xml:space="preserve"> </t>
    </r>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4"</t>
    </r>
  </si>
  <si>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C/</t>
    </r>
    <r>
      <rPr>
        <sz val="7"/>
        <rFont val="Times New Roman"/>
        <family val="1"/>
      </rPr>
      <t xml:space="preserve"> </t>
    </r>
    <r>
      <rPr>
        <sz val="7"/>
        <rFont val="Calibri"/>
        <family val="1"/>
      </rPr>
      <t>ARUELA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3"</t>
    </r>
  </si>
  <si>
    <r>
      <rPr>
        <sz val="7"/>
        <rFont val="Calibri"/>
        <family val="1"/>
      </rPr>
      <t>BUCHA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P/</t>
    </r>
    <r>
      <rPr>
        <sz val="7"/>
        <rFont val="Times New Roman"/>
        <family val="1"/>
      </rPr>
      <t xml:space="preserve"> </t>
    </r>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3"</t>
    </r>
  </si>
  <si>
    <r>
      <rPr>
        <sz val="7"/>
        <rFont val="Calibri"/>
        <family val="1"/>
      </rPr>
      <t>FAIXA</t>
    </r>
    <r>
      <rPr>
        <sz val="7"/>
        <rFont val="Times New Roman"/>
        <family val="1"/>
      </rPr>
      <t xml:space="preserve"> </t>
    </r>
    <r>
      <rPr>
        <sz val="7"/>
        <rFont val="Calibri"/>
        <family val="1"/>
      </rPr>
      <t>(PERIGO</t>
    </r>
    <r>
      <rPr>
        <sz val="7"/>
        <rFont val="Times New Roman"/>
        <family val="1"/>
      </rPr>
      <t xml:space="preserve"> </t>
    </r>
    <r>
      <rPr>
        <sz val="7"/>
        <rFont val="Calibri"/>
        <family val="1"/>
      </rPr>
      <t>-</t>
    </r>
    <r>
      <rPr>
        <sz val="7"/>
        <rFont val="Times New Roman"/>
        <family val="1"/>
      </rPr>
      <t xml:space="preserve"> </t>
    </r>
    <r>
      <rPr>
        <sz val="7"/>
        <rFont val="Calibri"/>
        <family val="1"/>
      </rPr>
      <t>CABOS</t>
    </r>
    <r>
      <rPr>
        <sz val="7"/>
        <rFont val="Times New Roman"/>
        <family val="1"/>
      </rPr>
      <t xml:space="preserve"> </t>
    </r>
    <r>
      <rPr>
        <sz val="7"/>
        <rFont val="Calibri"/>
        <family val="1"/>
      </rPr>
      <t>ELÉTRICOS)</t>
    </r>
    <r>
      <rPr>
        <sz val="7"/>
        <rFont val="Times New Roman"/>
        <family val="1"/>
      </rPr>
      <t xml:space="preserve"> </t>
    </r>
    <r>
      <rPr>
        <sz val="7"/>
        <rFont val="Calibri"/>
        <family val="1"/>
      </rPr>
      <t>NÃO</t>
    </r>
    <r>
      <rPr>
        <sz val="7"/>
        <rFont val="Times New Roman"/>
        <family val="1"/>
      </rPr>
      <t xml:space="preserve"> </t>
    </r>
    <r>
      <rPr>
        <sz val="7"/>
        <rFont val="Calibri"/>
        <family val="1"/>
      </rPr>
      <t>ADESIVA</t>
    </r>
    <r>
      <rPr>
        <sz val="7"/>
        <rFont val="Times New Roman"/>
        <family val="1"/>
      </rPr>
      <t xml:space="preserve"> </t>
    </r>
    <r>
      <rPr>
        <sz val="7"/>
        <rFont val="Calibri"/>
        <family val="1"/>
      </rPr>
      <t>(ROLO</t>
    </r>
    <r>
      <rPr>
        <sz val="7"/>
        <rFont val="Times New Roman"/>
        <family val="1"/>
      </rPr>
      <t xml:space="preserve"> </t>
    </r>
    <r>
      <rPr>
        <sz val="7"/>
        <rFont val="Calibri"/>
        <family val="1"/>
      </rPr>
      <t>C/</t>
    </r>
    <r>
      <rPr>
        <sz val="7"/>
        <rFont val="Times New Roman"/>
        <family val="1"/>
      </rPr>
      <t xml:space="preserve"> </t>
    </r>
    <r>
      <rPr>
        <sz val="7"/>
        <rFont val="Calibri"/>
        <family val="1"/>
      </rPr>
      <t>100M)</t>
    </r>
  </si>
  <si>
    <r>
      <rPr>
        <sz val="7"/>
        <rFont val="Calibri"/>
        <family val="1"/>
      </rPr>
      <t>CINTA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8"/>
        <color rgb="FF121212"/>
        <rFont val="Poppins"/>
      </rPr>
      <t xml:space="preserve"> COM PRESILHA TIPO FIVELA</t>
    </r>
  </si>
  <si>
    <r>
      <rPr>
        <sz val="7"/>
        <rFont val="Calibri"/>
        <family val="1"/>
      </rPr>
      <t>TAMPA</t>
    </r>
    <r>
      <rPr>
        <sz val="7"/>
        <rFont val="Times New Roman"/>
        <family val="1"/>
      </rPr>
      <t xml:space="preserve"> </t>
    </r>
    <r>
      <rPr>
        <sz val="7"/>
        <rFont val="Calibri"/>
        <family val="1"/>
      </rPr>
      <t>DE</t>
    </r>
    <r>
      <rPr>
        <sz val="7"/>
        <rFont val="Times New Roman"/>
        <family val="1"/>
      </rPr>
      <t xml:space="preserve"> </t>
    </r>
    <r>
      <rPr>
        <sz val="7"/>
        <rFont val="Calibri"/>
        <family val="1"/>
      </rPr>
      <t>FERRO</t>
    </r>
    <r>
      <rPr>
        <sz val="7"/>
        <rFont val="Times New Roman"/>
        <family val="1"/>
      </rPr>
      <t xml:space="preserve"> </t>
    </r>
    <r>
      <rPr>
        <sz val="7"/>
        <rFont val="Calibri"/>
        <family val="1"/>
      </rPr>
      <t>FUNDIDO</t>
    </r>
    <r>
      <rPr>
        <sz val="7"/>
        <rFont val="Times New Roman"/>
        <family val="1"/>
      </rPr>
      <t xml:space="preserve"> </t>
    </r>
    <r>
      <rPr>
        <sz val="7"/>
        <rFont val="Calibri"/>
        <family val="1"/>
      </rPr>
      <t>(300X300)</t>
    </r>
    <r>
      <rPr>
        <sz val="7"/>
        <rFont val="Times New Roman"/>
        <family val="1"/>
      </rPr>
      <t xml:space="preserve"> </t>
    </r>
    <r>
      <rPr>
        <sz val="7"/>
        <rFont val="Calibri"/>
        <family val="1"/>
      </rPr>
      <t>-</t>
    </r>
    <r>
      <rPr>
        <sz val="7"/>
        <rFont val="Times New Roman"/>
        <family val="1"/>
      </rPr>
      <t xml:space="preserve"> </t>
    </r>
    <r>
      <rPr>
        <sz val="7"/>
        <rFont val="Calibri"/>
        <family val="1"/>
      </rPr>
      <t>(ATERRAMENTO</t>
    </r>
    <r>
      <rPr>
        <sz val="7"/>
        <rFont val="Times New Roman"/>
        <family val="1"/>
      </rPr>
      <t xml:space="preserve"> </t>
    </r>
    <r>
      <rPr>
        <sz val="7"/>
        <rFont val="Calibri"/>
        <family val="1"/>
      </rPr>
      <t>-</t>
    </r>
    <r>
      <rPr>
        <sz val="7"/>
        <rFont val="Times New Roman"/>
        <family val="1"/>
      </rPr>
      <t xml:space="preserve"> </t>
    </r>
    <r>
      <rPr>
        <sz val="7"/>
        <rFont val="Calibri"/>
        <family val="1"/>
      </rPr>
      <t>CELESC)</t>
    </r>
  </si>
  <si>
    <r>
      <rPr>
        <sz val="7"/>
        <rFont val="Calibri"/>
        <family val="1"/>
      </rPr>
      <t>CABO</t>
    </r>
    <r>
      <rPr>
        <sz val="7"/>
        <rFont val="Times New Roman"/>
        <family val="1"/>
      </rPr>
      <t xml:space="preserve"> </t>
    </r>
    <r>
      <rPr>
        <sz val="7"/>
        <rFont val="Calibri"/>
        <family val="1"/>
      </rPr>
      <t>16mm²</t>
    </r>
    <r>
      <rPr>
        <sz val="7"/>
        <rFont val="Times New Roman"/>
        <family val="1"/>
      </rPr>
      <t xml:space="preserve"> </t>
    </r>
    <r>
      <rPr>
        <sz val="7"/>
        <rFont val="Calibri"/>
        <family val="1"/>
      </rPr>
      <t>COBRE</t>
    </r>
    <r>
      <rPr>
        <sz val="7"/>
        <rFont val="Times New Roman"/>
        <family val="1"/>
      </rPr>
      <t xml:space="preserve"> </t>
    </r>
    <r>
      <rPr>
        <sz val="7"/>
        <rFont val="Calibri"/>
        <family val="1"/>
      </rPr>
      <t>NU</t>
    </r>
    <r>
      <rPr>
        <sz val="7"/>
        <rFont val="Times New Roman"/>
        <family val="1"/>
      </rPr>
      <t xml:space="preserve"> </t>
    </r>
    <r>
      <rPr>
        <sz val="7"/>
        <rFont val="Calibri"/>
        <family val="1"/>
      </rPr>
      <t>-</t>
    </r>
    <r>
      <rPr>
        <sz val="7"/>
        <rFont val="Times New Roman"/>
        <family val="1"/>
      </rPr>
      <t xml:space="preserve"> </t>
    </r>
    <r>
      <rPr>
        <sz val="7"/>
        <rFont val="Calibri"/>
        <family val="1"/>
      </rPr>
      <t>MOLE</t>
    </r>
  </si>
  <si>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C/</t>
    </r>
    <r>
      <rPr>
        <sz val="7"/>
        <rFont val="Times New Roman"/>
        <family val="1"/>
      </rPr>
      <t xml:space="preserve"> </t>
    </r>
    <r>
      <rPr>
        <sz val="7"/>
        <rFont val="Calibri"/>
        <family val="1"/>
      </rPr>
      <t>ARUELA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2"</t>
    </r>
  </si>
  <si>
    <r>
      <rPr>
        <sz val="7"/>
        <rFont val="Calibri"/>
        <family val="1"/>
      </rPr>
      <t>BUCHA</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P/</t>
    </r>
    <r>
      <rPr>
        <sz val="7"/>
        <rFont val="Times New Roman"/>
        <family val="1"/>
      </rPr>
      <t xml:space="preserve"> </t>
    </r>
    <r>
      <rPr>
        <sz val="7"/>
        <rFont val="Calibri"/>
        <family val="1"/>
      </rPr>
      <t>BOX</t>
    </r>
    <r>
      <rPr>
        <sz val="7"/>
        <rFont val="Times New Roman"/>
        <family val="1"/>
      </rPr>
      <t xml:space="preserve"> </t>
    </r>
    <r>
      <rPr>
        <sz val="7"/>
        <rFont val="Calibri"/>
        <family val="1"/>
      </rPr>
      <t>RETO</t>
    </r>
    <r>
      <rPr>
        <sz val="7"/>
        <rFont val="Times New Roman"/>
        <family val="1"/>
      </rPr>
      <t xml:space="preserve"> </t>
    </r>
    <r>
      <rPr>
        <sz val="7"/>
        <rFont val="Calibri"/>
        <family val="1"/>
      </rPr>
      <t>2"</t>
    </r>
  </si>
  <si>
    <t>VERBA EXTRA</t>
  </si>
  <si>
    <t>QUADROS E DISJUNTORES</t>
  </si>
  <si>
    <t>CD - Condomínio</t>
  </si>
  <si>
    <t>CD - Lazer</t>
  </si>
  <si>
    <t>CD 01 - Emergência</t>
  </si>
  <si>
    <t>CD 02 - Emergência Bomba de incêndio</t>
  </si>
  <si>
    <t>CD - Sala Comerciais 01</t>
  </si>
  <si>
    <t>CD - Sala Comerciais 02</t>
  </si>
  <si>
    <t>CD - Garagem 01/02/03</t>
  </si>
  <si>
    <t>CD - Apartamentos</t>
  </si>
  <si>
    <t>ELETRODUTOS, CAIXAS E ELTROCALHAS</t>
  </si>
  <si>
    <t>ELETRODUTO EM PVC CLASSE LEVE  3/4"  (LINHA BRANCA)</t>
  </si>
  <si>
    <t>ADAPTADOR P/ ELETRODUTO 3/4" (LINHA BRANCA)</t>
  </si>
  <si>
    <t>COTOVELO 90°  P/ ELETRODUTO 3/4" (LINHA BRANCA)</t>
  </si>
  <si>
    <t>LUVA P/ ELETRODUTO 3/4" (LINHA BRANCA)</t>
  </si>
  <si>
    <t>ELETRODUTO CORRUGADO 1 1/4" (AMARELO)</t>
  </si>
  <si>
    <t>ELETRODUTO CORRUGADO 1"</t>
  </si>
  <si>
    <t>ELETRODUTO CORRUGADO ¾"</t>
  </si>
  <si>
    <t>ELETRODUTO CORRUGADO TIPO PEAD, CINZA REFORÇADO COM GUIA DE ARAME, 4”</t>
  </si>
  <si>
    <r>
      <rPr>
        <sz val="7"/>
        <rFont val="Calibri"/>
        <family val="1"/>
      </rPr>
      <t>ELETRODUTO</t>
    </r>
    <r>
      <rPr>
        <sz val="7"/>
        <rFont val="Times New Roman"/>
        <family val="1"/>
      </rPr>
      <t xml:space="preserve"> </t>
    </r>
    <r>
      <rPr>
        <sz val="7"/>
        <rFont val="Calibri"/>
        <family val="1"/>
      </rPr>
      <t>GALVANIZADO</t>
    </r>
    <r>
      <rPr>
        <sz val="7"/>
        <rFont val="Times New Roman"/>
        <family val="1"/>
      </rPr>
      <t xml:space="preserve">  </t>
    </r>
    <r>
      <rPr>
        <sz val="7"/>
        <rFont val="Calibri"/>
        <family val="1"/>
      </rPr>
      <t>4"</t>
    </r>
    <r>
      <rPr>
        <sz val="7"/>
        <rFont val="Times New Roman"/>
        <family val="1"/>
      </rPr>
      <t xml:space="preserve"> </t>
    </r>
    <r>
      <rPr>
        <sz val="7"/>
        <rFont val="Calibri"/>
        <family val="1"/>
      </rPr>
      <t>(BARRA</t>
    </r>
    <r>
      <rPr>
        <sz val="7"/>
        <rFont val="Times New Roman"/>
        <family val="1"/>
      </rPr>
      <t xml:space="preserve"> </t>
    </r>
    <r>
      <rPr>
        <sz val="7"/>
        <rFont val="Calibri"/>
        <family val="1"/>
      </rPr>
      <t>6m)</t>
    </r>
  </si>
  <si>
    <r>
      <rPr>
        <sz val="7"/>
        <rFont val="Calibri"/>
        <family val="1"/>
      </rPr>
      <t>CURVA</t>
    </r>
    <r>
      <rPr>
        <sz val="7"/>
        <rFont val="Times New Roman"/>
        <family val="1"/>
      </rPr>
      <t xml:space="preserve"> </t>
    </r>
    <r>
      <rPr>
        <sz val="7"/>
        <rFont val="Calibri"/>
        <family val="1"/>
      </rPr>
      <t>LONGA</t>
    </r>
    <r>
      <rPr>
        <sz val="7"/>
        <rFont val="Times New Roman"/>
        <family val="1"/>
      </rPr>
      <t xml:space="preserve"> </t>
    </r>
    <r>
      <rPr>
        <sz val="7"/>
        <rFont val="Calibri"/>
        <family val="1"/>
      </rPr>
      <t>90°</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GALVANIZADO</t>
    </r>
    <r>
      <rPr>
        <sz val="7"/>
        <rFont val="Times New Roman"/>
        <family val="1"/>
      </rPr>
      <t xml:space="preserve">  </t>
    </r>
    <r>
      <rPr>
        <sz val="7"/>
        <rFont val="Calibri"/>
        <family val="1"/>
      </rPr>
      <t>4"</t>
    </r>
    <r>
      <rPr>
        <sz val="7"/>
        <rFont val="Times New Roman"/>
        <family val="1"/>
      </rPr>
      <t xml:space="preserve"> </t>
    </r>
    <r>
      <rPr>
        <sz val="7"/>
        <rFont val="Calibri"/>
        <family val="1"/>
      </rPr>
      <t>(BARRA</t>
    </r>
    <r>
      <rPr>
        <sz val="7"/>
        <rFont val="Times New Roman"/>
        <family val="1"/>
      </rPr>
      <t xml:space="preserve"> </t>
    </r>
    <r>
      <rPr>
        <sz val="7"/>
        <rFont val="Calibri"/>
        <family val="1"/>
      </rPr>
      <t>6m)</t>
    </r>
  </si>
  <si>
    <r>
      <rPr>
        <sz val="7"/>
        <rFont val="Calibri"/>
        <family val="1"/>
      </rPr>
      <t>LUVA</t>
    </r>
    <r>
      <rPr>
        <sz val="7"/>
        <rFont val="Times New Roman"/>
        <family val="1"/>
      </rPr>
      <t xml:space="preserve"> </t>
    </r>
    <r>
      <rPr>
        <sz val="7"/>
        <rFont val="Calibri"/>
        <family val="1"/>
      </rPr>
      <t>ELETRODUTO</t>
    </r>
    <r>
      <rPr>
        <sz val="7"/>
        <rFont val="Times New Roman"/>
        <family val="1"/>
      </rPr>
      <t xml:space="preserve"> </t>
    </r>
    <r>
      <rPr>
        <sz val="7"/>
        <rFont val="Calibri"/>
        <family val="1"/>
      </rPr>
      <t>P/</t>
    </r>
    <r>
      <rPr>
        <sz val="7"/>
        <rFont val="Times New Roman"/>
        <family val="1"/>
      </rPr>
      <t xml:space="preserve"> </t>
    </r>
    <r>
      <rPr>
        <sz val="7"/>
        <rFont val="Calibri"/>
        <family val="1"/>
      </rPr>
      <t>GALVANIZADO</t>
    </r>
    <r>
      <rPr>
        <sz val="7"/>
        <rFont val="Times New Roman"/>
        <family val="1"/>
      </rPr>
      <t xml:space="preserve">  </t>
    </r>
    <r>
      <rPr>
        <sz val="7"/>
        <rFont val="Calibri"/>
        <family val="1"/>
      </rPr>
      <t>4"</t>
    </r>
    <r>
      <rPr>
        <sz val="7"/>
        <rFont val="Times New Roman"/>
        <family val="1"/>
      </rPr>
      <t xml:space="preserve"> </t>
    </r>
    <r>
      <rPr>
        <sz val="7"/>
        <rFont val="Calibri"/>
        <family val="1"/>
      </rPr>
      <t>(BARRA</t>
    </r>
    <r>
      <rPr>
        <sz val="7"/>
        <rFont val="Times New Roman"/>
        <family val="1"/>
      </rPr>
      <t xml:space="preserve"> </t>
    </r>
    <r>
      <rPr>
        <sz val="7"/>
        <rFont val="Calibri"/>
        <family val="1"/>
      </rPr>
      <t>6m)</t>
    </r>
  </si>
  <si>
    <r>
      <rPr>
        <sz val="7"/>
        <rFont val="Calibri"/>
        <family val="1"/>
      </rPr>
      <t>CABEÇOTE</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4"</t>
    </r>
  </si>
  <si>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4"</t>
    </r>
    <r>
      <rPr>
        <sz val="7"/>
        <rFont val="Times New Roman"/>
        <family val="1"/>
      </rPr>
      <t xml:space="preserve"> </t>
    </r>
    <r>
      <rPr>
        <sz val="7"/>
        <rFont val="Calibri"/>
        <family val="1"/>
      </rPr>
      <t>(BARRA</t>
    </r>
    <r>
      <rPr>
        <sz val="7"/>
        <rFont val="Times New Roman"/>
        <family val="1"/>
      </rPr>
      <t xml:space="preserve"> </t>
    </r>
    <r>
      <rPr>
        <sz val="7"/>
        <rFont val="Calibri"/>
        <family val="1"/>
      </rPr>
      <t>3m)</t>
    </r>
  </si>
  <si>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3"</t>
    </r>
    <r>
      <rPr>
        <sz val="7"/>
        <rFont val="Times New Roman"/>
        <family val="1"/>
      </rPr>
      <t xml:space="preserve"> </t>
    </r>
    <r>
      <rPr>
        <sz val="7"/>
        <rFont val="Calibri"/>
        <family val="1"/>
      </rPr>
      <t>(BARRA</t>
    </r>
    <r>
      <rPr>
        <sz val="7"/>
        <rFont val="Times New Roman"/>
        <family val="1"/>
      </rPr>
      <t xml:space="preserve"> </t>
    </r>
    <r>
      <rPr>
        <sz val="7"/>
        <rFont val="Calibri"/>
        <family val="1"/>
      </rPr>
      <t>3m)</t>
    </r>
  </si>
  <si>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2"</t>
    </r>
    <r>
      <rPr>
        <sz val="7"/>
        <rFont val="Times New Roman"/>
        <family val="1"/>
      </rPr>
      <t xml:space="preserve"> </t>
    </r>
    <r>
      <rPr>
        <sz val="7"/>
        <rFont val="Calibri"/>
        <family val="1"/>
      </rPr>
      <t>(BARRA</t>
    </r>
    <r>
      <rPr>
        <sz val="7"/>
        <rFont val="Times New Roman"/>
        <family val="1"/>
      </rPr>
      <t xml:space="preserve"> </t>
    </r>
    <r>
      <rPr>
        <sz val="7"/>
        <rFont val="Calibri"/>
        <family val="1"/>
      </rPr>
      <t>3m)</t>
    </r>
  </si>
  <si>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1"</t>
    </r>
    <r>
      <rPr>
        <sz val="7"/>
        <rFont val="Times New Roman"/>
        <family val="1"/>
      </rPr>
      <t xml:space="preserve"> </t>
    </r>
    <r>
      <rPr>
        <sz val="7"/>
        <rFont val="Calibri"/>
        <family val="1"/>
      </rPr>
      <t>(BARRA</t>
    </r>
    <r>
      <rPr>
        <sz val="7"/>
        <rFont val="Times New Roman"/>
        <family val="1"/>
      </rPr>
      <t xml:space="preserve"> </t>
    </r>
    <r>
      <rPr>
        <sz val="7"/>
        <rFont val="Calibri"/>
        <family val="1"/>
      </rPr>
      <t>3m)</t>
    </r>
  </si>
  <si>
    <r>
      <rPr>
        <sz val="7"/>
        <rFont val="Calibri"/>
        <family val="1"/>
      </rPr>
      <t>CURVA</t>
    </r>
    <r>
      <rPr>
        <sz val="7"/>
        <rFont val="Times New Roman"/>
        <family val="1"/>
      </rPr>
      <t xml:space="preserve">  </t>
    </r>
    <r>
      <rPr>
        <sz val="7"/>
        <rFont val="Calibri"/>
        <family val="1"/>
      </rPr>
      <t>90°</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4"</t>
    </r>
  </si>
  <si>
    <r>
      <rPr>
        <sz val="7"/>
        <rFont val="Calibri"/>
        <family val="1"/>
      </rPr>
      <t>CURVA</t>
    </r>
    <r>
      <rPr>
        <sz val="7"/>
        <rFont val="Times New Roman"/>
        <family val="1"/>
      </rPr>
      <t xml:space="preserve">  </t>
    </r>
    <r>
      <rPr>
        <sz val="7"/>
        <rFont val="Calibri"/>
        <family val="1"/>
      </rPr>
      <t>90°</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3"</t>
    </r>
  </si>
  <si>
    <r>
      <rPr>
        <sz val="7"/>
        <rFont val="Calibri"/>
        <family val="1"/>
      </rPr>
      <t>CURVA</t>
    </r>
    <r>
      <rPr>
        <sz val="7"/>
        <rFont val="Times New Roman"/>
        <family val="1"/>
      </rPr>
      <t xml:space="preserve">  </t>
    </r>
    <r>
      <rPr>
        <sz val="7"/>
        <rFont val="Calibri"/>
        <family val="1"/>
      </rPr>
      <t>90°</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2"</t>
    </r>
  </si>
  <si>
    <r>
      <rPr>
        <sz val="7"/>
        <rFont val="Calibri"/>
        <family val="1"/>
      </rPr>
      <t>CURVA</t>
    </r>
    <r>
      <rPr>
        <sz val="7"/>
        <rFont val="Times New Roman"/>
        <family val="1"/>
      </rPr>
      <t xml:space="preserve"> </t>
    </r>
    <r>
      <rPr>
        <sz val="7"/>
        <rFont val="Calibri"/>
        <family val="1"/>
      </rPr>
      <t>90°</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1"</t>
    </r>
  </si>
  <si>
    <r>
      <rPr>
        <sz val="7"/>
        <rFont val="Calibri"/>
        <family val="1"/>
      </rPr>
      <t>LUVA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4"</t>
    </r>
  </si>
  <si>
    <r>
      <rPr>
        <sz val="7"/>
        <rFont val="Calibri"/>
        <family val="1"/>
      </rPr>
      <t>LUVA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3"</t>
    </r>
  </si>
  <si>
    <r>
      <rPr>
        <sz val="7"/>
        <rFont val="Calibri"/>
        <family val="1"/>
      </rPr>
      <t>LUVA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2"</t>
    </r>
  </si>
  <si>
    <r>
      <rPr>
        <sz val="7"/>
        <rFont val="Calibri"/>
        <family val="1"/>
      </rPr>
      <t>LUVA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PVC</t>
    </r>
    <r>
      <rPr>
        <sz val="7"/>
        <rFont val="Times New Roman"/>
        <family val="1"/>
      </rPr>
      <t xml:space="preserve"> </t>
    </r>
    <r>
      <rPr>
        <sz val="7"/>
        <rFont val="Calibri"/>
        <family val="1"/>
      </rPr>
      <t>1"</t>
    </r>
  </si>
  <si>
    <t>ELETRODUTO RÍGIDO EM ALUMÍNIO 1 1/4" - BARRA DE 3 METROS</t>
  </si>
  <si>
    <r>
      <rPr>
        <sz val="7"/>
        <rFont val="Calibri"/>
        <family val="1"/>
      </rPr>
      <t>CURVA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EM</t>
    </r>
    <r>
      <rPr>
        <sz val="7"/>
        <rFont val="Times New Roman"/>
        <family val="1"/>
      </rPr>
      <t xml:space="preserve"> </t>
    </r>
    <r>
      <rPr>
        <sz val="7"/>
        <rFont val="Calibri"/>
        <family val="1"/>
      </rPr>
      <t>ALUMÍNIO</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</si>
  <si>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LUVA</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RÍGIDO</t>
    </r>
    <r>
      <rPr>
        <sz val="7"/>
        <rFont val="Times New Roman"/>
        <family val="1"/>
      </rPr>
      <t xml:space="preserve"> </t>
    </r>
    <r>
      <rPr>
        <sz val="7"/>
        <rFont val="Calibri"/>
        <family val="1"/>
      </rPr>
      <t>EM</t>
    </r>
    <r>
      <rPr>
        <sz val="7"/>
        <rFont val="Times New Roman"/>
        <family val="1"/>
      </rPr>
      <t xml:space="preserve"> </t>
    </r>
    <r>
      <rPr>
        <sz val="7"/>
        <rFont val="Calibri"/>
        <family val="1"/>
      </rPr>
      <t>ALUMÍNIO</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</si>
  <si>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ELETRODUTO</t>
    </r>
    <r>
      <rPr>
        <sz val="7"/>
        <rFont val="Times New Roman"/>
        <family val="1"/>
      </rPr>
      <t xml:space="preserve"> </t>
    </r>
    <r>
      <rPr>
        <sz val="7"/>
        <rFont val="Calibri"/>
        <family val="1"/>
      </rPr>
      <t>PLANO</t>
    </r>
    <r>
      <rPr>
        <sz val="7"/>
        <rFont val="Times New Roman"/>
        <family val="1"/>
      </rPr>
      <t xml:space="preserve"> </t>
    </r>
    <r>
      <rPr>
        <sz val="7"/>
        <rFont val="Calibri"/>
        <family val="1"/>
      </rPr>
      <t>FLEXÍVEL</t>
    </r>
    <r>
      <rPr>
        <sz val="7"/>
        <rFont val="Times New Roman"/>
        <family val="1"/>
      </rPr>
      <t xml:space="preserve">  </t>
    </r>
    <r>
      <rPr>
        <sz val="7"/>
        <rFont val="Calibri"/>
        <family val="1"/>
      </rPr>
      <t>ø</t>
    </r>
    <r>
      <rPr>
        <sz val="7"/>
        <rFont val="Times New Roman"/>
        <family val="1"/>
      </rPr>
      <t xml:space="preserve"> </t>
    </r>
    <r>
      <rPr>
        <sz val="7"/>
        <rFont val="Calibri"/>
        <family val="1"/>
      </rPr>
      <t>¾</t>
    </r>
    <r>
      <rPr>
        <sz val="7"/>
        <rFont val="Times New Roman"/>
        <family val="1"/>
      </rPr>
      <t xml:space="preserve"> </t>
    </r>
    <r>
      <rPr>
        <sz val="7"/>
        <rFont val="Calibri"/>
        <family val="1"/>
      </rPr>
      <t>“</t>
    </r>
  </si>
  <si>
    <r>
      <rPr>
        <sz val="7"/>
        <rFont val="Calibri"/>
        <family val="1"/>
      </rPr>
      <t>ELETRODUTO</t>
    </r>
    <r>
      <rPr>
        <sz val="7"/>
        <rFont val="Times New Roman"/>
        <family val="1"/>
      </rPr>
      <t xml:space="preserve"> </t>
    </r>
    <r>
      <rPr>
        <sz val="7"/>
        <rFont val="Calibri"/>
        <family val="1"/>
      </rPr>
      <t>PLANO</t>
    </r>
    <r>
      <rPr>
        <sz val="7"/>
        <rFont val="Times New Roman"/>
        <family val="1"/>
      </rPr>
      <t xml:space="preserve"> </t>
    </r>
    <r>
      <rPr>
        <sz val="7"/>
        <rFont val="Calibri"/>
        <family val="1"/>
      </rPr>
      <t>FLEXÍVEL</t>
    </r>
    <r>
      <rPr>
        <sz val="7"/>
        <rFont val="Times New Roman"/>
        <family val="1"/>
      </rPr>
      <t xml:space="preserve">  </t>
    </r>
    <r>
      <rPr>
        <sz val="7"/>
        <rFont val="Calibri"/>
        <family val="1"/>
      </rPr>
      <t>ø1"</t>
    </r>
  </si>
  <si>
    <r>
      <rPr>
        <sz val="7"/>
        <rFont val="Calibri"/>
        <family val="1"/>
      </rPr>
      <t>ELETRODUTO</t>
    </r>
    <r>
      <rPr>
        <sz val="7"/>
        <rFont val="Times New Roman"/>
        <family val="1"/>
      </rPr>
      <t xml:space="preserve"> </t>
    </r>
    <r>
      <rPr>
        <sz val="7"/>
        <rFont val="Calibri"/>
        <family val="1"/>
      </rPr>
      <t>FLEXÍVEL</t>
    </r>
    <r>
      <rPr>
        <sz val="7"/>
        <rFont val="Times New Roman"/>
        <family val="1"/>
      </rPr>
      <t xml:space="preserve"> </t>
    </r>
    <r>
      <rPr>
        <sz val="7"/>
        <rFont val="Calibri"/>
        <family val="1"/>
      </rPr>
      <t>PEAD</t>
    </r>
    <r>
      <rPr>
        <sz val="7"/>
        <rFont val="Times New Roman"/>
        <family val="1"/>
      </rPr>
      <t xml:space="preserve"> </t>
    </r>
    <r>
      <rPr>
        <sz val="7"/>
        <rFont val="Calibri"/>
        <family val="1"/>
      </rPr>
      <t>-</t>
    </r>
    <r>
      <rPr>
        <sz val="7"/>
        <rFont val="Times New Roman"/>
        <family val="1"/>
      </rPr>
      <t xml:space="preserve"> </t>
    </r>
    <r>
      <rPr>
        <sz val="7"/>
        <rFont val="Calibri"/>
        <family val="1"/>
      </rPr>
      <t>ø1</t>
    </r>
    <r>
      <rPr>
        <sz val="7"/>
        <rFont val="Times New Roman"/>
        <family val="1"/>
      </rPr>
      <t xml:space="preserve"> </t>
    </r>
    <r>
      <rPr>
        <sz val="7"/>
        <rFont val="Calibri"/>
        <family val="1"/>
      </rPr>
      <t>1/4”</t>
    </r>
    <r>
      <rPr>
        <sz val="7"/>
        <rFont val="Times New Roman"/>
        <family val="1"/>
      </rPr>
      <t xml:space="preserve"> </t>
    </r>
    <r>
      <rPr>
        <sz val="7"/>
        <rFont val="Calibri"/>
        <family val="1"/>
      </rPr>
      <t>REFORÇADO,</t>
    </r>
    <r>
      <rPr>
        <sz val="7"/>
        <rFont val="Times New Roman"/>
        <family val="1"/>
      </rPr>
      <t xml:space="preserve"> </t>
    </r>
    <r>
      <rPr>
        <sz val="7"/>
        <rFont val="Calibri"/>
        <family val="1"/>
      </rPr>
      <t>NORMATIZADO</t>
    </r>
  </si>
  <si>
    <r>
      <rPr>
        <sz val="7"/>
        <rFont val="Calibri"/>
        <family val="1"/>
      </rPr>
      <t>ABRAÇADEIRA</t>
    </r>
    <r>
      <rPr>
        <sz val="7"/>
        <rFont val="Times New Roman"/>
        <family val="1"/>
      </rPr>
      <t xml:space="preserve"> </t>
    </r>
    <r>
      <rPr>
        <sz val="7"/>
        <rFont val="Calibri"/>
        <family val="1"/>
      </rPr>
      <t>PLASTICA</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</si>
  <si>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DERIVAÇÃO</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</si>
  <si>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r>
      <rPr>
        <sz val="7"/>
        <rFont val="Calibri"/>
        <family val="1"/>
      </rPr>
      <t>PARAFUSO</t>
    </r>
    <r>
      <rPr>
        <sz val="7"/>
        <rFont val="Times New Roman"/>
        <family val="1"/>
      </rPr>
      <t xml:space="preserve"> </t>
    </r>
    <r>
      <rPr>
        <sz val="7"/>
        <rFont val="Calibri"/>
        <family val="1"/>
      </rPr>
      <t>PHILIPS</t>
    </r>
    <r>
      <rPr>
        <sz val="7"/>
        <rFont val="Times New Roman"/>
        <family val="1"/>
      </rPr>
      <t xml:space="preserve"> </t>
    </r>
    <r>
      <rPr>
        <sz val="7"/>
        <rFont val="Calibri"/>
        <family val="1"/>
      </rPr>
      <t>(30X3mm²)</t>
    </r>
    <r>
      <rPr>
        <sz val="7"/>
        <rFont val="Times New Roman"/>
        <family val="1"/>
      </rPr>
      <t xml:space="preserve"> </t>
    </r>
    <r>
      <rPr>
        <sz val="7"/>
        <rFont val="Calibri"/>
        <family val="1"/>
      </rPr>
      <t>CABEÇA</t>
    </r>
    <r>
      <rPr>
        <sz val="7"/>
        <rFont val="Times New Roman"/>
        <family val="1"/>
      </rPr>
      <t xml:space="preserve"> </t>
    </r>
    <r>
      <rPr>
        <sz val="7"/>
        <rFont val="Calibri"/>
        <family val="1"/>
      </rPr>
      <t>DE</t>
    </r>
    <r>
      <rPr>
        <sz val="7"/>
        <rFont val="Times New Roman"/>
        <family val="1"/>
      </rPr>
      <t xml:space="preserve"> </t>
    </r>
    <r>
      <rPr>
        <sz val="7"/>
        <rFont val="Calibri"/>
        <family val="1"/>
      </rPr>
      <t>TROMBETA</t>
    </r>
  </si>
  <si>
    <t>BUCHA PLÁSTICA (6mm²)</t>
  </si>
  <si>
    <r>
      <rPr>
        <sz val="7"/>
        <rFont val="Calibri"/>
        <family val="1"/>
      </rPr>
      <t>ARAME</t>
    </r>
    <r>
      <rPr>
        <sz val="7"/>
        <rFont val="Times New Roman"/>
        <family val="1"/>
      </rPr>
      <t xml:space="preserve"> </t>
    </r>
    <r>
      <rPr>
        <sz val="7"/>
        <rFont val="Calibri"/>
        <family val="1"/>
      </rPr>
      <t>GALVANIZADO</t>
    </r>
    <r>
      <rPr>
        <sz val="7"/>
        <rFont val="Times New Roman"/>
        <family val="1"/>
      </rPr>
      <t xml:space="preserve"> </t>
    </r>
    <r>
      <rPr>
        <sz val="7"/>
        <rFont val="Calibri"/>
        <family val="1"/>
      </rPr>
      <t>Nº</t>
    </r>
    <r>
      <rPr>
        <sz val="7"/>
        <rFont val="Times New Roman"/>
        <family val="1"/>
      </rPr>
      <t xml:space="preserve"> </t>
    </r>
    <r>
      <rPr>
        <sz val="7"/>
        <rFont val="Calibri"/>
        <family val="1"/>
      </rPr>
      <t>18</t>
    </r>
    <r>
      <rPr>
        <sz val="7"/>
        <rFont val="Times New Roman"/>
        <family val="1"/>
      </rPr>
      <t xml:space="preserve"> </t>
    </r>
    <r>
      <rPr>
        <sz val="7"/>
        <rFont val="Calibri"/>
        <family val="1"/>
      </rPr>
      <t>ROLO</t>
    </r>
    <r>
      <rPr>
        <sz val="7"/>
        <rFont val="Times New Roman"/>
        <family val="1"/>
      </rPr>
      <t xml:space="preserve"> </t>
    </r>
    <r>
      <rPr>
        <sz val="7"/>
        <rFont val="Calibri"/>
        <family val="1"/>
      </rPr>
      <t>COM</t>
    </r>
    <r>
      <rPr>
        <sz val="7"/>
        <rFont val="Times New Roman"/>
        <family val="1"/>
      </rPr>
      <t xml:space="preserve"> </t>
    </r>
    <r>
      <rPr>
        <sz val="7"/>
        <rFont val="Calibri"/>
        <family val="1"/>
      </rPr>
      <t>1</t>
    </r>
    <r>
      <rPr>
        <sz val="7"/>
        <rFont val="Times New Roman"/>
        <family val="1"/>
      </rPr>
      <t xml:space="preserve"> </t>
    </r>
    <r>
      <rPr>
        <sz val="7"/>
        <rFont val="Calibri"/>
        <family val="1"/>
      </rPr>
      <t>kg</t>
    </r>
  </si>
  <si>
    <r>
      <rPr>
        <sz val="7"/>
        <rFont val="Calibri"/>
        <family val="1"/>
      </rPr>
      <t>PARAFUSO</t>
    </r>
    <r>
      <rPr>
        <sz val="7"/>
        <rFont val="Times New Roman"/>
        <family val="1"/>
      </rPr>
      <t xml:space="preserve"> </t>
    </r>
    <r>
      <rPr>
        <sz val="7"/>
        <rFont val="Calibri"/>
        <family val="1"/>
      </rPr>
      <t>PHILIPS</t>
    </r>
    <r>
      <rPr>
        <sz val="7"/>
        <rFont val="Times New Roman"/>
        <family val="1"/>
      </rPr>
      <t xml:space="preserve"> </t>
    </r>
    <r>
      <rPr>
        <sz val="7"/>
        <rFont val="Calibri"/>
        <family val="1"/>
      </rPr>
      <t>+</t>
    </r>
    <r>
      <rPr>
        <sz val="7"/>
        <rFont val="Times New Roman"/>
        <family val="1"/>
      </rPr>
      <t xml:space="preserve"> </t>
    </r>
    <r>
      <rPr>
        <sz val="7"/>
        <rFont val="Calibri"/>
        <family val="1"/>
      </rPr>
      <t>BUCHA</t>
    </r>
    <r>
      <rPr>
        <sz val="7"/>
        <rFont val="Times New Roman"/>
        <family val="1"/>
      </rPr>
      <t xml:space="preserve"> </t>
    </r>
    <r>
      <rPr>
        <sz val="7"/>
        <rFont val="Calibri"/>
        <family val="1"/>
      </rPr>
      <t>PLASTICA</t>
    </r>
    <r>
      <rPr>
        <sz val="7"/>
        <rFont val="Times New Roman"/>
        <family val="1"/>
      </rPr>
      <t xml:space="preserve"> </t>
    </r>
    <r>
      <rPr>
        <sz val="7"/>
        <rFont val="Calibri"/>
        <family val="1"/>
      </rPr>
      <t>(8mm²)</t>
    </r>
  </si>
  <si>
    <r>
      <rPr>
        <sz val="7"/>
        <rFont val="Calibri"/>
        <family val="1"/>
      </rPr>
      <t>ABRAÇADEIRA</t>
    </r>
    <r>
      <rPr>
        <sz val="7"/>
        <rFont val="Times New Roman"/>
        <family val="1"/>
      </rPr>
      <t xml:space="preserve"> </t>
    </r>
    <r>
      <rPr>
        <sz val="7"/>
        <rFont val="Calibri"/>
        <family val="1"/>
      </rPr>
      <t>DE</t>
    </r>
    <r>
      <rPr>
        <sz val="7"/>
        <rFont val="Times New Roman"/>
        <family val="1"/>
      </rPr>
      <t xml:space="preserve"> </t>
    </r>
    <r>
      <rPr>
        <sz val="7"/>
        <rFont val="Calibri"/>
        <family val="1"/>
      </rPr>
      <t>NYLON</t>
    </r>
    <r>
      <rPr>
        <sz val="7"/>
        <rFont val="Times New Roman"/>
        <family val="1"/>
      </rPr>
      <t xml:space="preserve"> </t>
    </r>
    <r>
      <rPr>
        <sz val="7"/>
        <rFont val="Calibri"/>
        <family val="1"/>
      </rPr>
      <t>(8,0x380mm)</t>
    </r>
    <r>
      <rPr>
        <sz val="7"/>
        <rFont val="Times New Roman"/>
        <family val="1"/>
      </rPr>
      <t xml:space="preserve"> </t>
    </r>
    <r>
      <rPr>
        <sz val="7"/>
        <rFont val="Calibri"/>
        <family val="1"/>
      </rPr>
      <t>PACOTE</t>
    </r>
    <r>
      <rPr>
        <sz val="7"/>
        <rFont val="Times New Roman"/>
        <family val="1"/>
      </rPr>
      <t xml:space="preserve"> </t>
    </r>
    <r>
      <rPr>
        <sz val="7"/>
        <rFont val="Calibri"/>
        <family val="1"/>
      </rPr>
      <t>C/</t>
    </r>
    <r>
      <rPr>
        <sz val="7"/>
        <rFont val="Times New Roman"/>
        <family val="1"/>
      </rPr>
      <t xml:space="preserve"> </t>
    </r>
    <r>
      <rPr>
        <sz val="7"/>
        <rFont val="Calibri"/>
        <family val="1"/>
      </rPr>
      <t>100</t>
    </r>
    <r>
      <rPr>
        <sz val="7"/>
        <rFont val="Times New Roman"/>
        <family val="1"/>
      </rPr>
      <t xml:space="preserve"> </t>
    </r>
    <r>
      <rPr>
        <sz val="7"/>
        <rFont val="Calibri"/>
        <family val="1"/>
      </rPr>
      <t>UNI</t>
    </r>
  </si>
  <si>
    <r>
      <rPr>
        <sz val="7"/>
        <rFont val="Calibri"/>
        <family val="1"/>
      </rPr>
      <t>ABRAÇADEIRA</t>
    </r>
    <r>
      <rPr>
        <sz val="7"/>
        <rFont val="Times New Roman"/>
        <family val="1"/>
      </rPr>
      <t xml:space="preserve"> </t>
    </r>
    <r>
      <rPr>
        <sz val="7"/>
        <rFont val="Calibri"/>
        <family val="1"/>
      </rPr>
      <t>DE</t>
    </r>
    <r>
      <rPr>
        <sz val="7"/>
        <rFont val="Times New Roman"/>
        <family val="1"/>
      </rPr>
      <t xml:space="preserve"> </t>
    </r>
    <r>
      <rPr>
        <sz val="7"/>
        <rFont val="Calibri"/>
        <family val="1"/>
      </rPr>
      <t>NYLON</t>
    </r>
    <r>
      <rPr>
        <sz val="7"/>
        <rFont val="Times New Roman"/>
        <family val="1"/>
      </rPr>
      <t xml:space="preserve"> </t>
    </r>
    <r>
      <rPr>
        <sz val="7"/>
        <rFont val="Calibri"/>
        <family val="1"/>
      </rPr>
      <t>(5,0x390mm)</t>
    </r>
    <r>
      <rPr>
        <sz val="7"/>
        <rFont val="Times New Roman"/>
        <family val="1"/>
      </rPr>
      <t xml:space="preserve"> </t>
    </r>
    <r>
      <rPr>
        <sz val="7"/>
        <rFont val="Calibri"/>
        <family val="1"/>
      </rPr>
      <t>PACOTE</t>
    </r>
    <r>
      <rPr>
        <sz val="7"/>
        <rFont val="Times New Roman"/>
        <family val="1"/>
      </rPr>
      <t xml:space="preserve"> </t>
    </r>
    <r>
      <rPr>
        <sz val="7"/>
        <rFont val="Calibri"/>
        <family val="1"/>
      </rPr>
      <t>C/</t>
    </r>
    <r>
      <rPr>
        <sz val="7"/>
        <rFont val="Times New Roman"/>
        <family val="1"/>
      </rPr>
      <t xml:space="preserve"> </t>
    </r>
    <r>
      <rPr>
        <sz val="7"/>
        <rFont val="Calibri"/>
        <family val="1"/>
      </rPr>
      <t>100</t>
    </r>
    <r>
      <rPr>
        <sz val="7"/>
        <rFont val="Times New Roman"/>
        <family val="1"/>
      </rPr>
      <t xml:space="preserve"> </t>
    </r>
    <r>
      <rPr>
        <sz val="7"/>
        <rFont val="Calibri"/>
        <family val="1"/>
      </rPr>
      <t>UNI</t>
    </r>
  </si>
  <si>
    <r>
      <rPr>
        <sz val="7"/>
        <rFont val="Calibri"/>
        <family val="1"/>
      </rPr>
      <t>CAIXA</t>
    </r>
    <r>
      <rPr>
        <sz val="7"/>
        <rFont val="Times New Roman"/>
        <family val="1"/>
      </rPr>
      <t xml:space="preserve"> </t>
    </r>
    <r>
      <rPr>
        <sz val="7"/>
        <rFont val="Calibri"/>
        <family val="1"/>
      </rPr>
      <t>4X2"</t>
    </r>
    <r>
      <rPr>
        <sz val="7"/>
        <rFont val="Times New Roman"/>
        <family val="1"/>
      </rPr>
      <t xml:space="preserve"> </t>
    </r>
    <r>
      <rPr>
        <sz val="7"/>
        <rFont val="Calibri"/>
        <family val="1"/>
      </rPr>
      <t>DE</t>
    </r>
    <r>
      <rPr>
        <sz val="7"/>
        <rFont val="Times New Roman"/>
        <family val="1"/>
      </rPr>
      <t xml:space="preserve"> </t>
    </r>
    <r>
      <rPr>
        <sz val="7"/>
        <rFont val="Calibri"/>
        <family val="1"/>
      </rPr>
      <t>EMBUTIR</t>
    </r>
    <r>
      <rPr>
        <sz val="7"/>
        <rFont val="Times New Roman"/>
        <family val="1"/>
      </rPr>
      <t xml:space="preserve"> </t>
    </r>
    <r>
      <rPr>
        <sz val="7"/>
        <rFont val="Calibri"/>
        <family val="1"/>
      </rPr>
      <t>PVC</t>
    </r>
    <r>
      <rPr>
        <sz val="7"/>
        <rFont val="Times New Roman"/>
        <family val="1"/>
      </rPr>
      <t xml:space="preserve"> </t>
    </r>
    <r>
      <rPr>
        <sz val="7"/>
        <rFont val="Calibri"/>
        <family val="1"/>
      </rPr>
      <t>(AMARELA)</t>
    </r>
  </si>
  <si>
    <t>CAIXA 4X4" DE EMBUTIR PVC (AMARELA)</t>
  </si>
  <si>
    <r>
      <rPr>
        <sz val="7"/>
        <rFont val="Calibri"/>
        <family val="1"/>
      </rPr>
      <t>CAIXA</t>
    </r>
    <r>
      <rPr>
        <sz val="7"/>
        <rFont val="Times New Roman"/>
        <family val="1"/>
      </rPr>
      <t xml:space="preserve"> </t>
    </r>
    <r>
      <rPr>
        <sz val="7"/>
        <rFont val="Calibri"/>
        <family val="1"/>
      </rPr>
      <t>4X2"</t>
    </r>
    <r>
      <rPr>
        <sz val="7"/>
        <rFont val="Times New Roman"/>
        <family val="1"/>
      </rPr>
      <t xml:space="preserve"> </t>
    </r>
    <r>
      <rPr>
        <sz val="7"/>
        <rFont val="Calibri"/>
        <family val="1"/>
      </rPr>
      <t>DE</t>
    </r>
    <r>
      <rPr>
        <sz val="7"/>
        <rFont val="Times New Roman"/>
        <family val="1"/>
      </rPr>
      <t xml:space="preserve"> </t>
    </r>
    <r>
      <rPr>
        <sz val="7"/>
        <rFont val="Calibri"/>
        <family val="1"/>
      </rPr>
      <t>EMBUTIR</t>
    </r>
    <r>
      <rPr>
        <sz val="7"/>
        <rFont val="Times New Roman"/>
        <family val="1"/>
      </rPr>
      <t xml:space="preserve"> </t>
    </r>
    <r>
      <rPr>
        <sz val="7"/>
        <rFont val="Calibri"/>
        <family val="1"/>
      </rPr>
      <t>GAVANIZADA</t>
    </r>
  </si>
  <si>
    <r>
      <rPr>
        <sz val="7"/>
        <rFont val="Calibri"/>
        <family val="1"/>
      </rPr>
      <t>CAIXA</t>
    </r>
    <r>
      <rPr>
        <sz val="7"/>
        <rFont val="Times New Roman"/>
        <family val="1"/>
      </rPr>
      <t xml:space="preserve"> </t>
    </r>
    <r>
      <rPr>
        <sz val="7"/>
        <rFont val="Calibri"/>
        <family val="1"/>
      </rPr>
      <t>OCTAGNOAL</t>
    </r>
    <r>
      <rPr>
        <sz val="7"/>
        <rFont val="Times New Roman"/>
        <family val="1"/>
      </rPr>
      <t xml:space="preserve"> </t>
    </r>
    <r>
      <rPr>
        <sz val="7"/>
        <rFont val="Calibri"/>
        <family val="1"/>
      </rPr>
      <t>GALVANIZADA</t>
    </r>
    <r>
      <rPr>
        <sz val="7"/>
        <rFont val="Times New Roman"/>
        <family val="1"/>
      </rPr>
      <t xml:space="preserve"> </t>
    </r>
    <r>
      <rPr>
        <sz val="7"/>
        <rFont val="Calibri"/>
        <family val="1"/>
      </rPr>
      <t>ESTENDIDA</t>
    </r>
    <r>
      <rPr>
        <sz val="7"/>
        <rFont val="Times New Roman"/>
        <family val="1"/>
      </rPr>
      <t xml:space="preserve"> </t>
    </r>
    <r>
      <rPr>
        <sz val="7"/>
        <rFont val="Calibri"/>
        <family val="1"/>
      </rPr>
      <t>(ESPECIAL),</t>
    </r>
    <r>
      <rPr>
        <sz val="7"/>
        <rFont val="Times New Roman"/>
        <family val="1"/>
      </rPr>
      <t xml:space="preserve">  </t>
    </r>
    <r>
      <rPr>
        <sz val="7"/>
        <rFont val="Calibri"/>
        <family val="1"/>
      </rPr>
      <t>COM</t>
    </r>
    <r>
      <rPr>
        <sz val="7"/>
        <rFont val="Times New Roman"/>
        <family val="1"/>
      </rPr>
      <t xml:space="preserve"> </t>
    </r>
    <r>
      <rPr>
        <sz val="7"/>
        <rFont val="Calibri"/>
        <family val="1"/>
      </rPr>
      <t>FURAÇÃO</t>
    </r>
    <r>
      <rPr>
        <sz val="7"/>
        <rFont val="Times New Roman"/>
        <family val="1"/>
      </rPr>
      <t xml:space="preserve"> </t>
    </r>
    <r>
      <rPr>
        <sz val="7"/>
        <rFont val="Calibri"/>
        <family val="1"/>
      </rPr>
      <t>DE</t>
    </r>
    <r>
      <rPr>
        <sz val="7"/>
        <rFont val="Times New Roman"/>
        <family val="1"/>
      </rPr>
      <t xml:space="preserve"> </t>
    </r>
    <r>
      <rPr>
        <sz val="7"/>
        <rFont val="Calibri"/>
        <family val="1"/>
      </rPr>
      <t>¾”</t>
    </r>
    <r>
      <rPr>
        <sz val="7"/>
        <rFont val="Times New Roman"/>
        <family val="1"/>
      </rPr>
      <t xml:space="preserve">  </t>
    </r>
    <r>
      <rPr>
        <sz val="7"/>
        <rFont val="Calibri"/>
        <family val="1"/>
      </rPr>
      <t>-</t>
    </r>
    <r>
      <rPr>
        <sz val="7"/>
        <rFont val="Times New Roman"/>
        <family val="1"/>
      </rPr>
      <t xml:space="preserve"> </t>
    </r>
    <r>
      <rPr>
        <sz val="7"/>
        <rFont val="Calibri"/>
        <family val="1"/>
      </rPr>
      <t>FUNDO</t>
    </r>
    <r>
      <rPr>
        <sz val="7"/>
        <rFont val="Times New Roman"/>
        <family val="1"/>
      </rPr>
      <t xml:space="preserve"> </t>
    </r>
    <r>
      <rPr>
        <sz val="7"/>
        <rFont val="Calibri"/>
        <family val="1"/>
      </rPr>
      <t>MÓVEL</t>
    </r>
  </si>
  <si>
    <r>
      <rPr>
        <sz val="7"/>
        <rFont val="Calibri"/>
        <family val="1"/>
      </rPr>
      <t>CAIXA</t>
    </r>
    <r>
      <rPr>
        <sz val="7"/>
        <rFont val="Times New Roman"/>
        <family val="1"/>
      </rPr>
      <t xml:space="preserve"> </t>
    </r>
    <r>
      <rPr>
        <sz val="7"/>
        <rFont val="Calibri"/>
        <family val="1"/>
      </rPr>
      <t>OCTOGONAL</t>
    </r>
    <r>
      <rPr>
        <sz val="7"/>
        <rFont val="Times New Roman"/>
        <family val="1"/>
      </rPr>
      <t xml:space="preserve">  </t>
    </r>
    <r>
      <rPr>
        <sz val="7"/>
        <rFont val="Calibri"/>
        <family val="1"/>
      </rPr>
      <t>DE</t>
    </r>
    <r>
      <rPr>
        <sz val="7"/>
        <rFont val="Times New Roman"/>
        <family val="1"/>
      </rPr>
      <t xml:space="preserve"> </t>
    </r>
    <r>
      <rPr>
        <sz val="7"/>
        <rFont val="Calibri"/>
        <family val="1"/>
      </rPr>
      <t>PVC,</t>
    </r>
    <r>
      <rPr>
        <sz val="7"/>
        <rFont val="Times New Roman"/>
        <family val="1"/>
      </rPr>
      <t xml:space="preserve"> </t>
    </r>
    <r>
      <rPr>
        <sz val="7"/>
        <rFont val="Calibri"/>
        <family val="1"/>
      </rPr>
      <t>COM</t>
    </r>
    <r>
      <rPr>
        <sz val="7"/>
        <rFont val="Times New Roman"/>
        <family val="1"/>
      </rPr>
      <t xml:space="preserve"> </t>
    </r>
    <r>
      <rPr>
        <sz val="7"/>
        <rFont val="Calibri"/>
        <family val="1"/>
      </rPr>
      <t>FURAÇÃO</t>
    </r>
    <r>
      <rPr>
        <sz val="7"/>
        <rFont val="Times New Roman"/>
        <family val="1"/>
      </rPr>
      <t xml:space="preserve"> </t>
    </r>
    <r>
      <rPr>
        <sz val="7"/>
        <rFont val="Calibri"/>
        <family val="1"/>
      </rPr>
      <t>DE</t>
    </r>
    <r>
      <rPr>
        <sz val="7"/>
        <rFont val="Times New Roman"/>
        <family val="1"/>
      </rPr>
      <t xml:space="preserve"> </t>
    </r>
    <r>
      <rPr>
        <sz val="7"/>
        <rFont val="Calibri"/>
        <family val="1"/>
      </rPr>
      <t>¾”</t>
    </r>
    <r>
      <rPr>
        <sz val="7"/>
        <rFont val="Times New Roman"/>
        <family val="1"/>
      </rPr>
      <t xml:space="preserve">  </t>
    </r>
    <r>
      <rPr>
        <sz val="7"/>
        <rFont val="Calibri"/>
        <family val="1"/>
      </rPr>
      <t>-</t>
    </r>
    <r>
      <rPr>
        <sz val="7"/>
        <rFont val="Times New Roman"/>
        <family val="1"/>
      </rPr>
      <t xml:space="preserve"> </t>
    </r>
    <r>
      <rPr>
        <sz val="7"/>
        <rFont val="Calibri"/>
        <family val="1"/>
      </rPr>
      <t>FUNDO</t>
    </r>
    <r>
      <rPr>
        <sz val="7"/>
        <rFont val="Times New Roman"/>
        <family val="1"/>
      </rPr>
      <t xml:space="preserve"> </t>
    </r>
    <r>
      <rPr>
        <sz val="7"/>
        <rFont val="Calibri"/>
        <family val="1"/>
      </rPr>
      <t>MÓVEL</t>
    </r>
  </si>
  <si>
    <t>CAIXA OCTAGONAL FUNDO FIXO</t>
  </si>
  <si>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PASSAGEM</t>
    </r>
    <r>
      <rPr>
        <sz val="7"/>
        <rFont val="Times New Roman"/>
        <family val="1"/>
      </rPr>
      <t xml:space="preserve"> </t>
    </r>
    <r>
      <rPr>
        <sz val="7"/>
        <rFont val="Calibri"/>
        <family val="1"/>
      </rPr>
      <t>ELÉTRICA,</t>
    </r>
    <r>
      <rPr>
        <sz val="7"/>
        <rFont val="Times New Roman"/>
        <family val="1"/>
      </rPr>
      <t xml:space="preserve"> </t>
    </r>
    <r>
      <rPr>
        <sz val="7"/>
        <rFont val="Calibri"/>
        <family val="1"/>
      </rPr>
      <t>ALÚMINIO</t>
    </r>
    <r>
      <rPr>
        <sz val="7"/>
        <rFont val="Times New Roman"/>
        <family val="1"/>
      </rPr>
      <t xml:space="preserve"> </t>
    </r>
    <r>
      <rPr>
        <sz val="7"/>
        <rFont val="Calibri"/>
        <family val="1"/>
      </rPr>
      <t>DE</t>
    </r>
    <r>
      <rPr>
        <sz val="7"/>
        <rFont val="Times New Roman"/>
        <family val="1"/>
      </rPr>
      <t xml:space="preserve"> </t>
    </r>
    <r>
      <rPr>
        <sz val="7"/>
        <rFont val="Calibri"/>
        <family val="1"/>
      </rPr>
      <t>EMBUTIR</t>
    </r>
    <r>
      <rPr>
        <sz val="7"/>
        <rFont val="Times New Roman"/>
        <family val="1"/>
      </rPr>
      <t xml:space="preserve"> </t>
    </r>
    <r>
      <rPr>
        <sz val="7"/>
        <rFont val="Calibri"/>
        <family val="1"/>
      </rPr>
      <t>-</t>
    </r>
    <r>
      <rPr>
        <sz val="7"/>
        <rFont val="Times New Roman"/>
        <family val="1"/>
      </rPr>
      <t xml:space="preserve"> </t>
    </r>
    <r>
      <rPr>
        <sz val="7"/>
        <rFont val="Calibri"/>
        <family val="1"/>
      </rPr>
      <t>(30x20x12cm)</t>
    </r>
    <r>
      <rPr>
        <sz val="7"/>
        <rFont val="Times New Roman"/>
        <family val="1"/>
      </rPr>
      <t xml:space="preserve"> </t>
    </r>
    <r>
      <rPr>
        <sz val="7"/>
        <rFont val="Calibri"/>
        <family val="1"/>
      </rPr>
      <t>-</t>
    </r>
    <r>
      <rPr>
        <sz val="7"/>
        <rFont val="Times New Roman"/>
        <family val="1"/>
      </rPr>
      <t xml:space="preserve"> </t>
    </r>
    <r>
      <rPr>
        <sz val="7"/>
        <rFont val="Calibri"/>
        <family val="1"/>
      </rPr>
      <t>DIMENSÕES</t>
    </r>
    <r>
      <rPr>
        <sz val="7"/>
        <rFont val="Times New Roman"/>
        <family val="1"/>
      </rPr>
      <t xml:space="preserve"> </t>
    </r>
    <r>
      <rPr>
        <sz val="7"/>
        <rFont val="Calibri"/>
        <family val="1"/>
      </rPr>
      <t>(LxAxP)</t>
    </r>
  </si>
  <si>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PASSAGEM</t>
    </r>
    <r>
      <rPr>
        <sz val="7"/>
        <rFont val="Times New Roman"/>
        <family val="1"/>
      </rPr>
      <t xml:space="preserve"> </t>
    </r>
    <r>
      <rPr>
        <sz val="7"/>
        <rFont val="Calibri"/>
        <family val="1"/>
      </rPr>
      <t>ELÉTRICA,</t>
    </r>
    <r>
      <rPr>
        <sz val="7"/>
        <rFont val="Times New Roman"/>
        <family val="1"/>
      </rPr>
      <t xml:space="preserve"> </t>
    </r>
    <r>
      <rPr>
        <sz val="7"/>
        <rFont val="Calibri"/>
        <family val="1"/>
      </rPr>
      <t>ALÚMINIO</t>
    </r>
    <r>
      <rPr>
        <sz val="7"/>
        <rFont val="Times New Roman"/>
        <family val="1"/>
      </rPr>
      <t xml:space="preserve"> </t>
    </r>
    <r>
      <rPr>
        <sz val="7"/>
        <rFont val="Calibri"/>
        <family val="1"/>
      </rPr>
      <t>DE</t>
    </r>
    <r>
      <rPr>
        <sz val="7"/>
        <rFont val="Times New Roman"/>
        <family val="1"/>
      </rPr>
      <t xml:space="preserve"> </t>
    </r>
    <r>
      <rPr>
        <sz val="7"/>
        <rFont val="Calibri"/>
        <family val="1"/>
      </rPr>
      <t>EMBUTIR</t>
    </r>
    <r>
      <rPr>
        <sz val="7"/>
        <rFont val="Times New Roman"/>
        <family val="1"/>
      </rPr>
      <t xml:space="preserve"> </t>
    </r>
    <r>
      <rPr>
        <sz val="7"/>
        <rFont val="Calibri"/>
        <family val="1"/>
      </rPr>
      <t>-</t>
    </r>
    <r>
      <rPr>
        <sz val="7"/>
        <rFont val="Times New Roman"/>
        <family val="1"/>
      </rPr>
      <t xml:space="preserve"> </t>
    </r>
    <r>
      <rPr>
        <sz val="7"/>
        <rFont val="Calibri"/>
        <family val="1"/>
      </rPr>
      <t>(15x15x10cm)</t>
    </r>
    <r>
      <rPr>
        <sz val="7"/>
        <rFont val="Times New Roman"/>
        <family val="1"/>
      </rPr>
      <t xml:space="preserve"> </t>
    </r>
    <r>
      <rPr>
        <sz val="7"/>
        <rFont val="Calibri"/>
        <family val="1"/>
      </rPr>
      <t>-</t>
    </r>
    <r>
      <rPr>
        <sz val="7"/>
        <rFont val="Times New Roman"/>
        <family val="1"/>
      </rPr>
      <t xml:space="preserve"> </t>
    </r>
    <r>
      <rPr>
        <sz val="7"/>
        <rFont val="Calibri"/>
        <family val="1"/>
      </rPr>
      <t>DIMENSÕES</t>
    </r>
    <r>
      <rPr>
        <sz val="7"/>
        <rFont val="Times New Roman"/>
        <family val="1"/>
      </rPr>
      <t xml:space="preserve"> </t>
    </r>
    <r>
      <rPr>
        <sz val="7"/>
        <rFont val="Calibri"/>
        <family val="1"/>
      </rPr>
      <t>(LxAxP)</t>
    </r>
  </si>
  <si>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PASSAGEM</t>
    </r>
    <r>
      <rPr>
        <sz val="7"/>
        <rFont val="Times New Roman"/>
        <family val="1"/>
      </rPr>
      <t xml:space="preserve"> </t>
    </r>
    <r>
      <rPr>
        <sz val="7"/>
        <rFont val="Calibri"/>
        <family val="1"/>
      </rPr>
      <t>ELÉTRICA,</t>
    </r>
    <r>
      <rPr>
        <sz val="7"/>
        <rFont val="Times New Roman"/>
        <family val="1"/>
      </rPr>
      <t xml:space="preserve"> </t>
    </r>
    <r>
      <rPr>
        <sz val="7"/>
        <rFont val="Calibri"/>
        <family val="1"/>
      </rPr>
      <t>ALÚMINIO</t>
    </r>
    <r>
      <rPr>
        <sz val="7"/>
        <rFont val="Times New Roman"/>
        <family val="1"/>
      </rPr>
      <t xml:space="preserve"> </t>
    </r>
    <r>
      <rPr>
        <sz val="7"/>
        <rFont val="Calibri"/>
        <family val="1"/>
      </rPr>
      <t>DE</t>
    </r>
    <r>
      <rPr>
        <sz val="7"/>
        <rFont val="Times New Roman"/>
        <family val="1"/>
      </rPr>
      <t xml:space="preserve"> </t>
    </r>
    <r>
      <rPr>
        <sz val="7"/>
        <rFont val="Calibri"/>
        <family val="1"/>
      </rPr>
      <t>EMBUTIR</t>
    </r>
    <r>
      <rPr>
        <sz val="7"/>
        <rFont val="Times New Roman"/>
        <family val="1"/>
      </rPr>
      <t xml:space="preserve"> </t>
    </r>
    <r>
      <rPr>
        <sz val="7"/>
        <rFont val="Calibri"/>
        <family val="1"/>
      </rPr>
      <t>-</t>
    </r>
    <r>
      <rPr>
        <sz val="7"/>
        <rFont val="Times New Roman"/>
        <family val="1"/>
      </rPr>
      <t xml:space="preserve"> </t>
    </r>
    <r>
      <rPr>
        <sz val="7"/>
        <rFont val="Calibri"/>
        <family val="1"/>
      </rPr>
      <t>(40x30x12cm)</t>
    </r>
    <r>
      <rPr>
        <sz val="7"/>
        <rFont val="Times New Roman"/>
        <family val="1"/>
      </rPr>
      <t xml:space="preserve"> </t>
    </r>
    <r>
      <rPr>
        <sz val="7"/>
        <rFont val="Calibri"/>
        <family val="1"/>
      </rPr>
      <t>-</t>
    </r>
    <r>
      <rPr>
        <sz val="7"/>
        <rFont val="Times New Roman"/>
        <family val="1"/>
      </rPr>
      <t xml:space="preserve"> </t>
    </r>
    <r>
      <rPr>
        <sz val="7"/>
        <rFont val="Calibri"/>
        <family val="1"/>
      </rPr>
      <t>DIMENSÕES</t>
    </r>
    <r>
      <rPr>
        <sz val="7"/>
        <rFont val="Times New Roman"/>
        <family val="1"/>
      </rPr>
      <t xml:space="preserve"> </t>
    </r>
    <r>
      <rPr>
        <sz val="7"/>
        <rFont val="Calibri"/>
        <family val="1"/>
      </rPr>
      <t>(LxAxP)</t>
    </r>
  </si>
  <si>
    <r>
      <rPr>
        <sz val="7"/>
        <rFont val="Calibri"/>
        <family val="1"/>
      </rPr>
      <t>TAMPA</t>
    </r>
    <r>
      <rPr>
        <sz val="7"/>
        <rFont val="Times New Roman"/>
        <family val="1"/>
      </rPr>
      <t xml:space="preserve"> </t>
    </r>
    <r>
      <rPr>
        <sz val="7"/>
        <rFont val="Calibri"/>
        <family val="1"/>
      </rPr>
      <t>CEGA</t>
    </r>
    <r>
      <rPr>
        <sz val="7"/>
        <rFont val="Times New Roman"/>
        <family val="1"/>
      </rPr>
      <t xml:space="preserve"> </t>
    </r>
    <r>
      <rPr>
        <sz val="7"/>
        <rFont val="Calibri"/>
        <family val="1"/>
      </rPr>
      <t>P/</t>
    </r>
    <r>
      <rPr>
        <sz val="7"/>
        <rFont val="Times New Roman"/>
        <family val="1"/>
      </rPr>
      <t xml:space="preserve"> </t>
    </r>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DERIVAÇÃO</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</si>
  <si>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t>FITA ISOLANTE ANTI-CHAMA 20m</t>
  </si>
  <si>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15mm</t>
    </r>
    <r>
      <rPr>
        <sz val="7"/>
        <rFont val="Times New Roman"/>
        <family val="1"/>
      </rPr>
      <t xml:space="preserve"> </t>
    </r>
    <r>
      <rPr>
        <sz val="7"/>
        <rFont val="Calibri"/>
        <family val="1"/>
      </rPr>
      <t>PRETA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</si>
  <si>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15mm</t>
    </r>
    <r>
      <rPr>
        <sz val="7"/>
        <rFont val="Times New Roman"/>
        <family val="1"/>
      </rPr>
      <t xml:space="preserve"> </t>
    </r>
    <r>
      <rPr>
        <sz val="7"/>
        <rFont val="Calibri"/>
        <family val="1"/>
      </rPr>
      <t>BRANCA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</si>
  <si>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15mm</t>
    </r>
    <r>
      <rPr>
        <sz val="7"/>
        <rFont val="Times New Roman"/>
        <family val="1"/>
      </rPr>
      <t xml:space="preserve"> </t>
    </r>
    <r>
      <rPr>
        <sz val="7"/>
        <rFont val="Calibri"/>
        <family val="1"/>
      </rPr>
      <t>VERMELHA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</si>
  <si>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15mm</t>
    </r>
    <r>
      <rPr>
        <sz val="7"/>
        <rFont val="Times New Roman"/>
        <family val="1"/>
      </rPr>
      <t xml:space="preserve"> </t>
    </r>
    <r>
      <rPr>
        <sz val="7"/>
        <rFont val="Calibri"/>
        <family val="1"/>
      </rPr>
      <t>AZUL</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</si>
  <si>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15mm</t>
    </r>
    <r>
      <rPr>
        <sz val="7"/>
        <rFont val="Times New Roman"/>
        <family val="1"/>
      </rPr>
      <t xml:space="preserve"> </t>
    </r>
    <r>
      <rPr>
        <sz val="7"/>
        <rFont val="Calibri"/>
        <family val="1"/>
      </rPr>
      <t>VERDE</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</si>
  <si>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30mm</t>
    </r>
    <r>
      <rPr>
        <sz val="7"/>
        <rFont val="Times New Roman"/>
        <family val="1"/>
      </rPr>
      <t xml:space="preserve"> </t>
    </r>
    <r>
      <rPr>
        <sz val="7"/>
        <rFont val="Calibri"/>
        <family val="1"/>
      </rPr>
      <t>PRETA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</si>
  <si>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30mm</t>
    </r>
    <r>
      <rPr>
        <sz val="7"/>
        <rFont val="Times New Roman"/>
        <family val="1"/>
      </rPr>
      <t xml:space="preserve"> </t>
    </r>
    <r>
      <rPr>
        <sz val="7"/>
        <rFont val="Calibri"/>
        <family val="1"/>
      </rPr>
      <t>BRANCA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</si>
  <si>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30mm</t>
    </r>
    <r>
      <rPr>
        <sz val="7"/>
        <rFont val="Times New Roman"/>
        <family val="1"/>
      </rPr>
      <t xml:space="preserve"> </t>
    </r>
    <r>
      <rPr>
        <sz val="7"/>
        <rFont val="Calibri"/>
        <family val="1"/>
      </rPr>
      <t>VERMELHA</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</si>
  <si>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30mm</t>
    </r>
    <r>
      <rPr>
        <sz val="7"/>
        <rFont val="Times New Roman"/>
        <family val="1"/>
      </rPr>
      <t xml:space="preserve"> </t>
    </r>
    <r>
      <rPr>
        <sz val="7"/>
        <rFont val="Calibri"/>
        <family val="1"/>
      </rPr>
      <t>AZUL</t>
    </r>
  </si>
  <si>
    <r>
      <rPr>
        <sz val="7"/>
        <rFont val="Calibri"/>
        <family val="1"/>
      </rPr>
      <t>FITA</t>
    </r>
    <r>
      <rPr>
        <sz val="7"/>
        <rFont val="Times New Roman"/>
        <family val="1"/>
      </rPr>
      <t xml:space="preserve"> </t>
    </r>
    <r>
      <rPr>
        <sz val="7"/>
        <rFont val="Calibri"/>
        <family val="1"/>
      </rPr>
      <t>TERMO-CONTRÁTIL</t>
    </r>
    <r>
      <rPr>
        <sz val="7"/>
        <rFont val="Times New Roman"/>
        <family val="1"/>
      </rPr>
      <t xml:space="preserve"> </t>
    </r>
    <r>
      <rPr>
        <sz val="7"/>
        <rFont val="Calibri"/>
        <family val="1"/>
      </rPr>
      <t>30mm</t>
    </r>
    <r>
      <rPr>
        <sz val="7"/>
        <rFont val="Times New Roman"/>
        <family val="1"/>
      </rPr>
      <t xml:space="preserve"> </t>
    </r>
    <r>
      <rPr>
        <sz val="7"/>
        <rFont val="Calibri"/>
        <family val="1"/>
      </rPr>
      <t>VERDE</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</si>
  <si>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OLHAL</t>
    </r>
    <r>
      <rPr>
        <sz val="7"/>
        <rFont val="Times New Roman"/>
        <family val="1"/>
      </rPr>
      <t xml:space="preserve"> </t>
    </r>
    <r>
      <rPr>
        <sz val="7"/>
        <rFont val="Calibri"/>
        <family val="1"/>
      </rPr>
      <t>-</t>
    </r>
    <r>
      <rPr>
        <sz val="7"/>
        <rFont val="Times New Roman"/>
        <family val="1"/>
      </rPr>
      <t xml:space="preserve"> </t>
    </r>
    <r>
      <rPr>
        <sz val="7"/>
        <rFont val="Calibri"/>
        <family val="1"/>
      </rPr>
      <t>10mm²</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</si>
  <si>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TUBO</t>
    </r>
    <r>
      <rPr>
        <sz val="7"/>
        <rFont val="Times New Roman"/>
        <family val="1"/>
      </rPr>
      <t xml:space="preserve"> </t>
    </r>
    <r>
      <rPr>
        <sz val="7"/>
        <rFont val="Calibri"/>
        <family val="1"/>
      </rPr>
      <t>(</t>
    </r>
    <r>
      <rPr>
        <sz val="7"/>
        <rFont val="Times New Roman"/>
        <family val="1"/>
      </rPr>
      <t xml:space="preserve"> </t>
    </r>
    <r>
      <rPr>
        <sz val="7"/>
        <rFont val="Calibri"/>
        <family val="1"/>
      </rPr>
      <t>ILHÓS)</t>
    </r>
    <r>
      <rPr>
        <sz val="7"/>
        <rFont val="Times New Roman"/>
        <family val="1"/>
      </rPr>
      <t xml:space="preserve"> </t>
    </r>
    <r>
      <rPr>
        <sz val="7"/>
        <rFont val="Calibri"/>
        <family val="1"/>
      </rPr>
      <t>-</t>
    </r>
    <r>
      <rPr>
        <sz val="7"/>
        <rFont val="Times New Roman"/>
        <family val="1"/>
      </rPr>
      <t xml:space="preserve"> </t>
    </r>
    <r>
      <rPr>
        <sz val="7"/>
        <rFont val="Calibri"/>
        <family val="1"/>
      </rPr>
      <t>1,5mm²</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</si>
  <si>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TUBO</t>
    </r>
    <r>
      <rPr>
        <sz val="7"/>
        <rFont val="Times New Roman"/>
        <family val="1"/>
      </rPr>
      <t xml:space="preserve"> </t>
    </r>
    <r>
      <rPr>
        <sz val="7"/>
        <rFont val="Calibri"/>
        <family val="1"/>
      </rPr>
      <t>(</t>
    </r>
    <r>
      <rPr>
        <sz val="7"/>
        <rFont val="Times New Roman"/>
        <family val="1"/>
      </rPr>
      <t xml:space="preserve"> </t>
    </r>
    <r>
      <rPr>
        <sz val="7"/>
        <rFont val="Calibri"/>
        <family val="1"/>
      </rPr>
      <t>ILHÓS)</t>
    </r>
    <r>
      <rPr>
        <sz val="7"/>
        <rFont val="Times New Roman"/>
        <family val="1"/>
      </rPr>
      <t xml:space="preserve"> </t>
    </r>
    <r>
      <rPr>
        <sz val="7"/>
        <rFont val="Calibri"/>
        <family val="1"/>
      </rPr>
      <t>-</t>
    </r>
    <r>
      <rPr>
        <sz val="7"/>
        <rFont val="Times New Roman"/>
        <family val="1"/>
      </rPr>
      <t xml:space="preserve"> </t>
    </r>
    <r>
      <rPr>
        <sz val="7"/>
        <rFont val="Calibri"/>
        <family val="1"/>
      </rPr>
      <t>2,5mm²</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</si>
  <si>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TUBO</t>
    </r>
    <r>
      <rPr>
        <sz val="7"/>
        <rFont val="Times New Roman"/>
        <family val="1"/>
      </rPr>
      <t xml:space="preserve"> </t>
    </r>
    <r>
      <rPr>
        <sz val="7"/>
        <rFont val="Calibri"/>
        <family val="1"/>
      </rPr>
      <t>(</t>
    </r>
    <r>
      <rPr>
        <sz val="7"/>
        <rFont val="Times New Roman"/>
        <family val="1"/>
      </rPr>
      <t xml:space="preserve"> </t>
    </r>
    <r>
      <rPr>
        <sz val="7"/>
        <rFont val="Calibri"/>
        <family val="1"/>
      </rPr>
      <t>ILHÓS)</t>
    </r>
    <r>
      <rPr>
        <sz val="7"/>
        <rFont val="Times New Roman"/>
        <family val="1"/>
      </rPr>
      <t xml:space="preserve"> </t>
    </r>
    <r>
      <rPr>
        <sz val="7"/>
        <rFont val="Calibri"/>
        <family val="1"/>
      </rPr>
      <t>-</t>
    </r>
    <r>
      <rPr>
        <sz val="7"/>
        <rFont val="Times New Roman"/>
        <family val="1"/>
      </rPr>
      <t xml:space="preserve"> </t>
    </r>
    <r>
      <rPr>
        <sz val="7"/>
        <rFont val="Calibri"/>
        <family val="1"/>
      </rPr>
      <t>4mm²</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</si>
  <si>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TUBO</t>
    </r>
    <r>
      <rPr>
        <sz val="7"/>
        <rFont val="Times New Roman"/>
        <family val="1"/>
      </rPr>
      <t xml:space="preserve"> </t>
    </r>
    <r>
      <rPr>
        <sz val="7"/>
        <rFont val="Calibri"/>
        <family val="1"/>
      </rPr>
      <t>(</t>
    </r>
    <r>
      <rPr>
        <sz val="7"/>
        <rFont val="Times New Roman"/>
        <family val="1"/>
      </rPr>
      <t xml:space="preserve"> </t>
    </r>
    <r>
      <rPr>
        <sz val="7"/>
        <rFont val="Calibri"/>
        <family val="1"/>
      </rPr>
      <t>ILHÓS)</t>
    </r>
    <r>
      <rPr>
        <sz val="7"/>
        <rFont val="Times New Roman"/>
        <family val="1"/>
      </rPr>
      <t xml:space="preserve"> </t>
    </r>
    <r>
      <rPr>
        <sz val="7"/>
        <rFont val="Calibri"/>
        <family val="1"/>
      </rPr>
      <t>-</t>
    </r>
    <r>
      <rPr>
        <sz val="7"/>
        <rFont val="Times New Roman"/>
        <family val="1"/>
      </rPr>
      <t xml:space="preserve"> </t>
    </r>
    <r>
      <rPr>
        <sz val="7"/>
        <rFont val="Calibri"/>
        <family val="1"/>
      </rPr>
      <t>6mm²</t>
    </r>
  </si>
  <si>
    <r>
      <rPr>
        <sz val="7"/>
        <rFont val="Calibri"/>
        <family val="1"/>
      </rPr>
      <t>TERMINAL</t>
    </r>
    <r>
      <rPr>
        <sz val="7"/>
        <rFont val="Times New Roman"/>
        <family val="1"/>
      </rPr>
      <t xml:space="preserve"> </t>
    </r>
    <r>
      <rPr>
        <sz val="7"/>
        <rFont val="Calibri"/>
        <family val="1"/>
      </rPr>
      <t>PRÉ</t>
    </r>
    <r>
      <rPr>
        <sz val="7"/>
        <rFont val="Times New Roman"/>
        <family val="1"/>
      </rPr>
      <t xml:space="preserve"> </t>
    </r>
    <r>
      <rPr>
        <sz val="7"/>
        <rFont val="Calibri"/>
        <family val="1"/>
      </rPr>
      <t>ISOLADO</t>
    </r>
    <r>
      <rPr>
        <sz val="7"/>
        <rFont val="Times New Roman"/>
        <family val="1"/>
      </rPr>
      <t xml:space="preserve"> </t>
    </r>
    <r>
      <rPr>
        <sz val="7"/>
        <rFont val="Calibri"/>
        <family val="1"/>
      </rPr>
      <t>TIPO</t>
    </r>
    <r>
      <rPr>
        <sz val="7"/>
        <rFont val="Times New Roman"/>
        <family val="1"/>
      </rPr>
      <t xml:space="preserve"> </t>
    </r>
    <r>
      <rPr>
        <sz val="7"/>
        <rFont val="Calibri"/>
        <family val="1"/>
      </rPr>
      <t>TUBO</t>
    </r>
    <r>
      <rPr>
        <sz val="7"/>
        <rFont val="Times New Roman"/>
        <family val="1"/>
      </rPr>
      <t xml:space="preserve"> </t>
    </r>
    <r>
      <rPr>
        <sz val="7"/>
        <rFont val="Calibri"/>
        <family val="1"/>
      </rPr>
      <t>(</t>
    </r>
    <r>
      <rPr>
        <sz val="7"/>
        <rFont val="Times New Roman"/>
        <family val="1"/>
      </rPr>
      <t xml:space="preserve"> </t>
    </r>
    <r>
      <rPr>
        <sz val="7"/>
        <rFont val="Calibri"/>
        <family val="1"/>
      </rPr>
      <t>ILHÓS)</t>
    </r>
    <r>
      <rPr>
        <sz val="7"/>
        <rFont val="Times New Roman"/>
        <family val="1"/>
      </rPr>
      <t xml:space="preserve"> </t>
    </r>
    <r>
      <rPr>
        <sz val="7"/>
        <rFont val="Calibri"/>
        <family val="1"/>
      </rPr>
      <t>-</t>
    </r>
    <r>
      <rPr>
        <sz val="7"/>
        <rFont val="Times New Roman"/>
        <family val="1"/>
      </rPr>
      <t xml:space="preserve"> </t>
    </r>
    <r>
      <rPr>
        <sz val="7"/>
        <rFont val="Calibri"/>
        <family val="1"/>
      </rPr>
      <t>10mm²</t>
    </r>
    <r>
      <rPr>
        <sz val="7"/>
        <rFont val="Times New Roman"/>
        <family val="1"/>
      </rPr>
      <t xml:space="preserve"> </t>
    </r>
    <r>
      <rPr>
        <sz val="7"/>
        <rFont val="Calibri"/>
        <family val="1"/>
      </rPr>
      <t>(CURTO)</t>
    </r>
  </si>
  <si>
    <r>
      <rPr>
        <sz val="7"/>
        <rFont val="Calibri"/>
        <family val="1"/>
      </rPr>
      <t>TERMINAL</t>
    </r>
    <r>
      <rPr>
        <sz val="7"/>
        <rFont val="Times New Roman"/>
        <family val="1"/>
      </rPr>
      <t xml:space="preserve"> </t>
    </r>
    <r>
      <rPr>
        <sz val="7"/>
        <rFont val="Calibri"/>
        <family val="1"/>
      </rPr>
      <t>TIPO</t>
    </r>
    <r>
      <rPr>
        <sz val="7"/>
        <rFont val="Times New Roman"/>
        <family val="1"/>
      </rPr>
      <t xml:space="preserve"> </t>
    </r>
    <r>
      <rPr>
        <sz val="7"/>
        <rFont val="Calibri"/>
        <family val="1"/>
      </rPr>
      <t>OLHAL</t>
    </r>
    <r>
      <rPr>
        <sz val="7"/>
        <rFont val="Times New Roman"/>
        <family val="1"/>
      </rPr>
      <t xml:space="preserve"> </t>
    </r>
    <r>
      <rPr>
        <sz val="7"/>
        <rFont val="Calibri"/>
        <family val="1"/>
      </rPr>
      <t>MACIÇO</t>
    </r>
    <r>
      <rPr>
        <sz val="7"/>
        <rFont val="Times New Roman"/>
        <family val="1"/>
      </rPr>
      <t xml:space="preserve"> </t>
    </r>
    <r>
      <rPr>
        <sz val="7"/>
        <rFont val="Calibri"/>
        <family val="1"/>
      </rPr>
      <t>A</t>
    </r>
    <r>
      <rPr>
        <sz val="7"/>
        <rFont val="Times New Roman"/>
        <family val="1"/>
      </rPr>
      <t xml:space="preserve"> </t>
    </r>
    <r>
      <rPr>
        <sz val="7"/>
        <rFont val="Calibri"/>
        <family val="1"/>
      </rPr>
      <t>COMPRESÃO</t>
    </r>
    <r>
      <rPr>
        <sz val="7"/>
        <rFont val="Times New Roman"/>
        <family val="1"/>
      </rPr>
      <t xml:space="preserve"> </t>
    </r>
    <r>
      <rPr>
        <sz val="7"/>
        <rFont val="Calibri"/>
        <family val="1"/>
      </rPr>
      <t>-</t>
    </r>
    <r>
      <rPr>
        <sz val="7"/>
        <rFont val="Times New Roman"/>
        <family val="1"/>
      </rPr>
      <t xml:space="preserve"> </t>
    </r>
    <r>
      <rPr>
        <sz val="7"/>
        <rFont val="Calibri"/>
        <family val="1"/>
      </rPr>
      <t>C/</t>
    </r>
    <r>
      <rPr>
        <sz val="7"/>
        <rFont val="Times New Roman"/>
        <family val="1"/>
      </rPr>
      <t xml:space="preserve"> </t>
    </r>
    <r>
      <rPr>
        <sz val="7"/>
        <rFont val="Calibri"/>
        <family val="1"/>
      </rPr>
      <t>BARRIL</t>
    </r>
    <r>
      <rPr>
        <sz val="7"/>
        <rFont val="Times New Roman"/>
        <family val="1"/>
      </rPr>
      <t xml:space="preserve"> </t>
    </r>
    <r>
      <rPr>
        <sz val="7"/>
        <rFont val="Calibri"/>
        <family val="1"/>
      </rPr>
      <t>FORMATO</t>
    </r>
    <r>
      <rPr>
        <sz val="7"/>
        <rFont val="Times New Roman"/>
        <family val="1"/>
      </rPr>
      <t xml:space="preserve"> </t>
    </r>
    <r>
      <rPr>
        <sz val="7"/>
        <rFont val="Calibri"/>
        <family val="1"/>
      </rPr>
      <t>"BOCA</t>
    </r>
    <r>
      <rPr>
        <sz val="7"/>
        <rFont val="Times New Roman"/>
        <family val="1"/>
      </rPr>
      <t xml:space="preserve"> </t>
    </r>
    <r>
      <rPr>
        <sz val="7"/>
        <rFont val="Calibri"/>
        <family val="1"/>
      </rPr>
      <t>DE</t>
    </r>
    <r>
      <rPr>
        <sz val="7"/>
        <rFont val="Times New Roman"/>
        <family val="1"/>
      </rPr>
      <t xml:space="preserve"> </t>
    </r>
    <r>
      <rPr>
        <sz val="7"/>
        <rFont val="Calibri"/>
        <family val="1"/>
      </rPr>
      <t>SINO"-</t>
    </r>
    <r>
      <rPr>
        <sz val="7"/>
        <rFont val="Times New Roman"/>
        <family val="1"/>
      </rPr>
      <t xml:space="preserve"> </t>
    </r>
    <r>
      <rPr>
        <sz val="7"/>
        <rFont val="Calibri"/>
        <family val="1"/>
      </rPr>
      <t>120mm²</t>
    </r>
  </si>
  <si>
    <r>
      <rPr>
        <sz val="7"/>
        <rFont val="Calibri"/>
        <family val="1"/>
      </rPr>
      <t>TERMINAL</t>
    </r>
    <r>
      <rPr>
        <sz val="7"/>
        <rFont val="Times New Roman"/>
        <family val="1"/>
      </rPr>
      <t xml:space="preserve"> </t>
    </r>
    <r>
      <rPr>
        <sz val="7"/>
        <rFont val="Calibri"/>
        <family val="1"/>
      </rPr>
      <t>TIPO</t>
    </r>
    <r>
      <rPr>
        <sz val="7"/>
        <rFont val="Times New Roman"/>
        <family val="1"/>
      </rPr>
      <t xml:space="preserve"> </t>
    </r>
    <r>
      <rPr>
        <sz val="7"/>
        <rFont val="Calibri"/>
        <family val="1"/>
      </rPr>
      <t>PINO</t>
    </r>
    <r>
      <rPr>
        <sz val="7"/>
        <rFont val="Times New Roman"/>
        <family val="1"/>
      </rPr>
      <t xml:space="preserve"> </t>
    </r>
    <r>
      <rPr>
        <sz val="7"/>
        <rFont val="Calibri"/>
        <family val="1"/>
      </rPr>
      <t>MACIÇO</t>
    </r>
    <r>
      <rPr>
        <sz val="7"/>
        <rFont val="Times New Roman"/>
        <family val="1"/>
      </rPr>
      <t xml:space="preserve"> </t>
    </r>
    <r>
      <rPr>
        <sz val="7"/>
        <rFont val="Calibri"/>
        <family val="1"/>
      </rPr>
      <t>A</t>
    </r>
    <r>
      <rPr>
        <sz val="7"/>
        <rFont val="Times New Roman"/>
        <family val="1"/>
      </rPr>
      <t xml:space="preserve"> </t>
    </r>
    <r>
      <rPr>
        <sz val="7"/>
        <rFont val="Calibri"/>
        <family val="1"/>
      </rPr>
      <t>COMPRESÃO</t>
    </r>
    <r>
      <rPr>
        <sz val="7"/>
        <rFont val="Times New Roman"/>
        <family val="1"/>
      </rPr>
      <t xml:space="preserve"> </t>
    </r>
    <r>
      <rPr>
        <sz val="7"/>
        <rFont val="Calibri"/>
        <family val="1"/>
      </rPr>
      <t>LONGO</t>
    </r>
    <r>
      <rPr>
        <sz val="7"/>
        <rFont val="Times New Roman"/>
        <family val="1"/>
      </rPr>
      <t xml:space="preserve"> </t>
    </r>
    <r>
      <rPr>
        <sz val="7"/>
        <rFont val="Calibri"/>
        <family val="1"/>
      </rPr>
      <t>-</t>
    </r>
    <r>
      <rPr>
        <sz val="7"/>
        <rFont val="Times New Roman"/>
        <family val="1"/>
      </rPr>
      <t xml:space="preserve"> </t>
    </r>
    <r>
      <rPr>
        <sz val="7"/>
        <rFont val="Calibri"/>
        <family val="1"/>
      </rPr>
      <t>120mm²</t>
    </r>
  </si>
  <si>
    <r>
      <rPr>
        <sz val="7"/>
        <rFont val="Calibri"/>
        <family val="1"/>
      </rPr>
      <t>ABRAÇADEIRA</t>
    </r>
    <r>
      <rPr>
        <sz val="7"/>
        <rFont val="Times New Roman"/>
        <family val="1"/>
      </rPr>
      <t xml:space="preserve"> </t>
    </r>
    <r>
      <rPr>
        <sz val="7"/>
        <rFont val="Calibri"/>
        <family val="1"/>
      </rPr>
      <t>GALVANIZADA</t>
    </r>
    <r>
      <rPr>
        <sz val="7"/>
        <rFont val="Times New Roman"/>
        <family val="1"/>
      </rPr>
      <t xml:space="preserve"> </t>
    </r>
    <r>
      <rPr>
        <sz val="7"/>
        <rFont val="Calibri"/>
        <family val="1"/>
      </rPr>
      <t>TIPO</t>
    </r>
    <r>
      <rPr>
        <sz val="7"/>
        <rFont val="Times New Roman"/>
        <family val="1"/>
      </rPr>
      <t xml:space="preserve"> </t>
    </r>
    <r>
      <rPr>
        <sz val="7"/>
        <rFont val="Calibri"/>
        <family val="1"/>
      </rPr>
      <t>"D"</t>
    </r>
    <r>
      <rPr>
        <sz val="7"/>
        <rFont val="Times New Roman"/>
        <family val="1"/>
      </rPr>
      <t xml:space="preserve"> </t>
    </r>
    <r>
      <rPr>
        <sz val="7"/>
        <rFont val="Calibri"/>
        <family val="1"/>
      </rPr>
      <t>COM</t>
    </r>
    <r>
      <rPr>
        <sz val="7"/>
        <rFont val="Times New Roman"/>
        <family val="1"/>
      </rPr>
      <t xml:space="preserve"> </t>
    </r>
    <r>
      <rPr>
        <sz val="7"/>
        <rFont val="Calibri"/>
        <family val="1"/>
      </rPr>
      <t>CUNHA</t>
    </r>
    <r>
      <rPr>
        <sz val="7"/>
        <rFont val="Times New Roman"/>
        <family val="1"/>
      </rPr>
      <t xml:space="preserve"> </t>
    </r>
    <r>
      <rPr>
        <sz val="7"/>
        <rFont val="Calibri"/>
        <family val="1"/>
      </rPr>
      <t>-</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</si>
  <si>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CONDULETE</t>
    </r>
    <r>
      <rPr>
        <sz val="7"/>
        <rFont val="Times New Roman"/>
        <family val="1"/>
      </rPr>
      <t xml:space="preserve"> </t>
    </r>
    <r>
      <rPr>
        <sz val="7"/>
        <rFont val="Calibri"/>
        <family val="1"/>
      </rPr>
      <t>EM</t>
    </r>
    <r>
      <rPr>
        <sz val="7"/>
        <rFont val="Times New Roman"/>
        <family val="1"/>
      </rPr>
      <t xml:space="preserve"> </t>
    </r>
    <r>
      <rPr>
        <sz val="7"/>
        <rFont val="Calibri"/>
        <family val="1"/>
      </rPr>
      <t>ALUMÍNIO</t>
    </r>
    <r>
      <rPr>
        <sz val="7"/>
        <rFont val="Times New Roman"/>
        <family val="1"/>
      </rPr>
      <t xml:space="preserve"> </t>
    </r>
    <r>
      <rPr>
        <sz val="7"/>
        <rFont val="Calibri"/>
        <family val="1"/>
      </rPr>
      <t>TIPO</t>
    </r>
    <r>
      <rPr>
        <sz val="7"/>
        <rFont val="Times New Roman"/>
        <family val="1"/>
      </rPr>
      <t xml:space="preserve"> </t>
    </r>
    <r>
      <rPr>
        <sz val="7"/>
        <rFont val="Calibri"/>
        <family val="1"/>
      </rPr>
      <t>"LR"</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</si>
  <si>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CONDULETE</t>
    </r>
    <r>
      <rPr>
        <sz val="7"/>
        <rFont val="Times New Roman"/>
        <family val="1"/>
      </rPr>
      <t xml:space="preserve"> </t>
    </r>
    <r>
      <rPr>
        <sz val="7"/>
        <rFont val="Calibri"/>
        <family val="1"/>
      </rPr>
      <t>EM</t>
    </r>
    <r>
      <rPr>
        <sz val="7"/>
        <rFont val="Times New Roman"/>
        <family val="1"/>
      </rPr>
      <t xml:space="preserve"> </t>
    </r>
    <r>
      <rPr>
        <sz val="7"/>
        <rFont val="Calibri"/>
        <family val="1"/>
      </rPr>
      <t>ALUMÍNIO</t>
    </r>
    <r>
      <rPr>
        <sz val="7"/>
        <rFont val="Times New Roman"/>
        <family val="1"/>
      </rPr>
      <t xml:space="preserve"> </t>
    </r>
    <r>
      <rPr>
        <sz val="7"/>
        <rFont val="Calibri"/>
        <family val="1"/>
      </rPr>
      <t>TIPO</t>
    </r>
    <r>
      <rPr>
        <sz val="7"/>
        <rFont val="Times New Roman"/>
        <family val="1"/>
      </rPr>
      <t xml:space="preserve"> </t>
    </r>
    <r>
      <rPr>
        <sz val="7"/>
        <rFont val="Calibri"/>
        <family val="1"/>
      </rPr>
      <t>"T"</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</si>
  <si>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CONDULETE</t>
    </r>
    <r>
      <rPr>
        <sz val="7"/>
        <rFont val="Times New Roman"/>
        <family val="1"/>
      </rPr>
      <t xml:space="preserve"> </t>
    </r>
    <r>
      <rPr>
        <sz val="7"/>
        <rFont val="Calibri"/>
        <family val="1"/>
      </rPr>
      <t>EM</t>
    </r>
    <r>
      <rPr>
        <sz val="7"/>
        <rFont val="Times New Roman"/>
        <family val="1"/>
      </rPr>
      <t xml:space="preserve"> </t>
    </r>
    <r>
      <rPr>
        <sz val="7"/>
        <rFont val="Calibri"/>
        <family val="1"/>
      </rPr>
      <t>ALUMÍNIO</t>
    </r>
    <r>
      <rPr>
        <sz val="7"/>
        <rFont val="Times New Roman"/>
        <family val="1"/>
      </rPr>
      <t xml:space="preserve"> </t>
    </r>
    <r>
      <rPr>
        <sz val="7"/>
        <rFont val="Calibri"/>
        <family val="1"/>
      </rPr>
      <t>TIPO</t>
    </r>
    <r>
      <rPr>
        <sz val="7"/>
        <rFont val="Times New Roman"/>
        <family val="1"/>
      </rPr>
      <t xml:space="preserve"> </t>
    </r>
    <r>
      <rPr>
        <sz val="7"/>
        <rFont val="Calibri"/>
        <family val="1"/>
      </rPr>
      <t>"C"</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</si>
  <si>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TAMPA</t>
    </r>
    <r>
      <rPr>
        <sz val="7"/>
        <rFont val="Times New Roman"/>
        <family val="1"/>
      </rPr>
      <t xml:space="preserve"> </t>
    </r>
    <r>
      <rPr>
        <sz val="7"/>
        <rFont val="Calibri"/>
        <family val="1"/>
      </rPr>
      <t>CEGA</t>
    </r>
    <r>
      <rPr>
        <sz val="7"/>
        <rFont val="Times New Roman"/>
        <family val="1"/>
      </rPr>
      <t xml:space="preserve"> </t>
    </r>
    <r>
      <rPr>
        <sz val="7"/>
        <rFont val="Calibri"/>
        <family val="1"/>
      </rPr>
      <t>P/</t>
    </r>
    <r>
      <rPr>
        <sz val="7"/>
        <rFont val="Times New Roman"/>
        <family val="1"/>
      </rPr>
      <t xml:space="preserve"> </t>
    </r>
    <r>
      <rPr>
        <sz val="7"/>
        <rFont val="Calibri"/>
        <family val="1"/>
      </rPr>
      <t>CONDULETE</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(1</t>
    </r>
    <r>
      <rPr>
        <sz val="7"/>
        <rFont val="Times New Roman"/>
        <family val="1"/>
      </rPr>
      <t xml:space="preserve"> </t>
    </r>
    <r>
      <rPr>
        <sz val="7"/>
        <rFont val="Calibri"/>
        <family val="1"/>
      </rPr>
      <t>1/4")</t>
    </r>
  </si>
  <si>
    <r>
      <rPr>
        <sz val="7"/>
        <rFont val="Calibri"/>
        <family val="1"/>
      </rPr>
      <t>CHAVE</t>
    </r>
    <r>
      <rPr>
        <sz val="7"/>
        <rFont val="Times New Roman"/>
        <family val="1"/>
      </rPr>
      <t xml:space="preserve"> </t>
    </r>
    <r>
      <rPr>
        <sz val="7"/>
        <rFont val="Calibri"/>
        <family val="1"/>
      </rPr>
      <t>BOIA</t>
    </r>
    <r>
      <rPr>
        <sz val="7"/>
        <rFont val="Times New Roman"/>
        <family val="1"/>
      </rPr>
      <t xml:space="preserve"> </t>
    </r>
    <r>
      <rPr>
        <sz val="7"/>
        <rFont val="Calibri"/>
        <family val="1"/>
      </rPr>
      <t>ELETRICA</t>
    </r>
    <r>
      <rPr>
        <sz val="7"/>
        <rFont val="Times New Roman"/>
        <family val="1"/>
      </rPr>
      <t xml:space="preserve"> </t>
    </r>
    <r>
      <rPr>
        <sz val="7"/>
        <rFont val="Calibri"/>
        <family val="1"/>
      </rPr>
      <t>DE</t>
    </r>
    <r>
      <rPr>
        <sz val="7"/>
        <rFont val="Times New Roman"/>
        <family val="1"/>
      </rPr>
      <t xml:space="preserve"> </t>
    </r>
    <r>
      <rPr>
        <sz val="7"/>
        <rFont val="Calibri"/>
        <family val="1"/>
      </rPr>
      <t>NIVEL</t>
    </r>
    <r>
      <rPr>
        <sz val="7"/>
        <rFont val="Times New Roman"/>
        <family val="1"/>
      </rPr>
      <t xml:space="preserve"> </t>
    </r>
    <r>
      <rPr>
        <sz val="7"/>
        <rFont val="Calibri"/>
        <family val="1"/>
      </rPr>
      <t>SUPERIOR/INFERIOR</t>
    </r>
  </si>
  <si>
    <t>ENFIAÇÃO</t>
  </si>
  <si>
    <t>CABO 1.5mm² FLEXÍVEL (750V) AMARELO</t>
  </si>
  <si>
    <t>CABO 1.5mm² FLEXÍVEL (750V) AZUL</t>
  </si>
  <si>
    <t>CABO 1.5mm² FLEXÍVEL (750V) BRANCO</t>
  </si>
  <si>
    <t>CABO 1.5mm² FLEXÍVEL (750V) CINZA</t>
  </si>
  <si>
    <t>CABO 1.5mm² FLEXÍVEL (750V) PRETO</t>
  </si>
  <si>
    <t>CABO 1.5mm² FLEXÍVEL (750V) RETORNOS - Dividir m total em 1/5 BRANCO, 1/5 AMARELO, 1/5 VERMELHO, 2/5 CINZA</t>
  </si>
  <si>
    <t>CABO 1.5mm² FLEXÍVEL (750V) VERDE</t>
  </si>
  <si>
    <t>CABO 1.5mm² FLEXÍVEL (750V) VERMELHO</t>
  </si>
  <si>
    <t>CABO 1.5mm² FLEXIVEL (750V), ISOLAÇÃO EM SILICONE 300°C, BRANCO</t>
  </si>
  <si>
    <r>
      <rPr>
        <sz val="7"/>
        <rFont val="Calibri"/>
        <family val="1"/>
      </rPr>
      <t>CABO</t>
    </r>
    <r>
      <rPr>
        <sz val="7"/>
        <rFont val="Times New Roman"/>
        <family val="1"/>
      </rPr>
      <t xml:space="preserve"> </t>
    </r>
    <r>
      <rPr>
        <sz val="7"/>
        <rFont val="Calibri"/>
        <family val="1"/>
      </rPr>
      <t>1.5mm²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t>
    </r>
    <r>
      <rPr>
        <sz val="7"/>
        <rFont val="Times New Roman"/>
        <family val="1"/>
      </rPr>
      <t xml:space="preserve"> </t>
    </r>
    <r>
      <rPr>
        <sz val="7"/>
        <rFont val="Calibri"/>
        <family val="1"/>
      </rPr>
      <t>EPR)</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</si>
  <si>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1.5mm²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t>
    </r>
    <r>
      <rPr>
        <sz val="7"/>
        <rFont val="Times New Roman"/>
        <family val="1"/>
      </rPr>
      <t xml:space="preserve"> </t>
    </r>
    <r>
      <rPr>
        <sz val="7"/>
        <rFont val="Calibri"/>
        <family val="1"/>
      </rPr>
      <t>EPR)</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</si>
  <si>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1.5mm²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t>
    </r>
    <r>
      <rPr>
        <sz val="7"/>
        <rFont val="Times New Roman"/>
        <family val="1"/>
      </rPr>
      <t xml:space="preserve"> </t>
    </r>
    <r>
      <rPr>
        <sz val="7"/>
        <rFont val="Calibri"/>
        <family val="1"/>
      </rPr>
      <t>EPR)</t>
    </r>
    <r>
      <rPr>
        <sz val="7"/>
        <rFont val="Times New Roman"/>
        <family val="1"/>
      </rPr>
      <t xml:space="preserve"> </t>
    </r>
    <r>
      <rPr>
        <sz val="7"/>
        <rFont val="Calibri"/>
        <family val="1"/>
      </rPr>
      <t>VERDE</t>
    </r>
  </si>
  <si>
    <t>CABO 2.5mm² FLEXÍVEL (750V) AZUL</t>
  </si>
  <si>
    <t>CABO 2.5mm² FLEXÍVEL (750V) VERDE</t>
  </si>
  <si>
    <t>CABO 2.5mm² FLEXÍVEL (750V) VERMELHO</t>
  </si>
  <si>
    <r>
      <rPr>
        <sz val="7"/>
        <rFont val="Calibri"/>
        <family val="1"/>
      </rPr>
      <t>CABO</t>
    </r>
    <r>
      <rPr>
        <sz val="7"/>
        <rFont val="Times New Roman"/>
        <family val="1"/>
      </rPr>
      <t xml:space="preserve"> </t>
    </r>
    <r>
      <rPr>
        <sz val="7"/>
        <rFont val="Calibri"/>
        <family val="1"/>
      </rPr>
      <t>4mm²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</si>
  <si>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4mm²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VERDE</t>
    </r>
  </si>
  <si>
    <r>
      <rPr>
        <sz val="7"/>
        <rFont val="Calibri"/>
        <family val="1"/>
      </rPr>
      <t>CABO</t>
    </r>
    <r>
      <rPr>
        <sz val="7"/>
        <rFont val="Times New Roman"/>
        <family val="1"/>
      </rPr>
      <t xml:space="preserve"> </t>
    </r>
    <r>
      <rPr>
        <sz val="7"/>
        <rFont val="Calibri"/>
        <family val="1"/>
      </rPr>
      <t>4mm²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</si>
  <si>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6mm²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</si>
  <si>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6mm²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VERDE</t>
    </r>
  </si>
  <si>
    <r>
      <rPr>
        <sz val="7"/>
        <rFont val="Calibri"/>
        <family val="1"/>
      </rPr>
      <t>CABO</t>
    </r>
    <r>
      <rPr>
        <sz val="7"/>
        <rFont val="Times New Roman"/>
        <family val="1"/>
      </rPr>
      <t xml:space="preserve"> </t>
    </r>
    <r>
      <rPr>
        <sz val="7"/>
        <rFont val="Calibri"/>
        <family val="1"/>
      </rPr>
      <t>6mm²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</si>
  <si>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10mm²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</si>
  <si>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10mm²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BRANCO</t>
    </r>
  </si>
  <si>
    <r>
      <rPr>
        <sz val="7"/>
        <rFont val="Calibri"/>
        <family val="1"/>
      </rPr>
      <t>CABO</t>
    </r>
    <r>
      <rPr>
        <sz val="7"/>
        <rFont val="Times New Roman"/>
        <family val="1"/>
      </rPr>
      <t xml:space="preserve"> </t>
    </r>
    <r>
      <rPr>
        <sz val="7"/>
        <rFont val="Calibri"/>
        <family val="1"/>
      </rPr>
      <t>10mm²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</si>
  <si>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10mm²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</si>
  <si>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10mm²</t>
    </r>
    <r>
      <rPr>
        <sz val="7"/>
        <rFont val="Times New Roman"/>
        <family val="1"/>
      </rPr>
      <t xml:space="preserve"> </t>
    </r>
    <r>
      <rPr>
        <sz val="7"/>
        <rFont val="Calibri"/>
        <family val="1"/>
      </rPr>
      <t>FLEXÍVEL</t>
    </r>
    <r>
      <rPr>
        <sz val="7"/>
        <rFont val="Times New Roman"/>
        <family val="1"/>
      </rPr>
      <t xml:space="preserve"> </t>
    </r>
    <r>
      <rPr>
        <sz val="7"/>
        <rFont val="Calibri"/>
        <family val="1"/>
      </rPr>
      <t>(750V)</t>
    </r>
    <r>
      <rPr>
        <sz val="7"/>
        <rFont val="Times New Roman"/>
        <family val="1"/>
      </rPr>
      <t xml:space="preserve"> </t>
    </r>
    <r>
      <rPr>
        <sz val="7"/>
        <rFont val="Calibri"/>
        <family val="1"/>
      </rPr>
      <t>VERDE</t>
    </r>
  </si>
  <si>
    <r>
      <rPr>
        <sz val="7"/>
        <rFont val="Calibri"/>
        <family val="1"/>
      </rPr>
      <t>CABO</t>
    </r>
    <r>
      <rPr>
        <sz val="7"/>
        <rFont val="Times New Roman"/>
        <family val="1"/>
      </rPr>
      <t xml:space="preserve"> </t>
    </r>
    <r>
      <rPr>
        <sz val="7"/>
        <rFont val="Calibri"/>
        <family val="1"/>
      </rPr>
      <t>16mm²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VERDE</t>
    </r>
  </si>
  <si>
    <r>
      <rPr>
        <sz val="7"/>
        <rFont val="Calibri"/>
        <family val="1"/>
      </rPr>
      <t>CABO</t>
    </r>
    <r>
      <rPr>
        <sz val="7"/>
        <rFont val="Times New Roman"/>
        <family val="1"/>
      </rPr>
      <t xml:space="preserve"> </t>
    </r>
    <r>
      <rPr>
        <sz val="7"/>
        <rFont val="Calibri"/>
        <family val="1"/>
      </rPr>
      <t>25mm²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</si>
  <si>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25mm²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BRANCO</t>
    </r>
  </si>
  <si>
    <r>
      <rPr>
        <sz val="7"/>
        <rFont val="Calibri"/>
        <family val="1"/>
      </rPr>
      <t>CABO</t>
    </r>
    <r>
      <rPr>
        <sz val="7"/>
        <rFont val="Times New Roman"/>
        <family val="1"/>
      </rPr>
      <t xml:space="preserve"> </t>
    </r>
    <r>
      <rPr>
        <sz val="7"/>
        <rFont val="Calibri"/>
        <family val="1"/>
      </rPr>
      <t>25mm²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</si>
  <si>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25mm²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</si>
  <si>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25mm²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VERDE</t>
    </r>
  </si>
  <si>
    <t>CABO 35mm² FLEXÍVEL (1kV) EPR 90°C VERDE</t>
  </si>
  <si>
    <r>
      <rPr>
        <sz val="7"/>
        <rFont val="Calibri"/>
        <family val="1"/>
      </rPr>
      <t>CABO</t>
    </r>
    <r>
      <rPr>
        <sz val="7"/>
        <rFont val="Times New Roman"/>
        <family val="1"/>
      </rPr>
      <t xml:space="preserve"> </t>
    </r>
    <r>
      <rPr>
        <sz val="7"/>
        <rFont val="Calibri"/>
        <family val="1"/>
      </rPr>
      <t>50mm²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</si>
  <si>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50mm²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BRANCO</t>
    </r>
  </si>
  <si>
    <r>
      <rPr>
        <sz val="7"/>
        <rFont val="Calibri"/>
        <family val="1"/>
      </rPr>
      <t>CABO</t>
    </r>
    <r>
      <rPr>
        <sz val="7"/>
        <rFont val="Times New Roman"/>
        <family val="1"/>
      </rPr>
      <t xml:space="preserve"> </t>
    </r>
    <r>
      <rPr>
        <sz val="7"/>
        <rFont val="Calibri"/>
        <family val="1"/>
      </rPr>
      <t>50mm²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</si>
  <si>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50mm²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</si>
  <si>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70mm²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</si>
  <si>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70mm²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BRANCO</t>
    </r>
  </si>
  <si>
    <r>
      <rPr>
        <sz val="7"/>
        <rFont val="Calibri"/>
        <family val="1"/>
      </rPr>
      <t>CABO</t>
    </r>
    <r>
      <rPr>
        <sz val="7"/>
        <rFont val="Times New Roman"/>
        <family val="1"/>
      </rPr>
      <t xml:space="preserve"> </t>
    </r>
    <r>
      <rPr>
        <sz val="7"/>
        <rFont val="Calibri"/>
        <family val="1"/>
      </rPr>
      <t>70mm²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</si>
  <si>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70mm²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</si>
  <si>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120mm²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PRETO</t>
    </r>
  </si>
  <si>
    <r>
      <rPr>
        <sz val="7"/>
        <rFont val="Calibri"/>
        <family val="1"/>
      </rPr>
      <t>CABO</t>
    </r>
    <r>
      <rPr>
        <sz val="7"/>
        <rFont val="Times New Roman"/>
        <family val="1"/>
      </rPr>
      <t xml:space="preserve"> </t>
    </r>
    <r>
      <rPr>
        <sz val="7"/>
        <rFont val="Calibri"/>
        <family val="1"/>
      </rPr>
      <t>120mm²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BRANCO</t>
    </r>
  </si>
  <si>
    <r>
      <rPr>
        <sz val="7"/>
        <rFont val="Calibri"/>
        <family val="1"/>
      </rPr>
      <t>CABO</t>
    </r>
    <r>
      <rPr>
        <sz val="7"/>
        <rFont val="Times New Roman"/>
        <family val="1"/>
      </rPr>
      <t xml:space="preserve"> </t>
    </r>
    <r>
      <rPr>
        <sz val="7"/>
        <rFont val="Calibri"/>
        <family val="1"/>
      </rPr>
      <t>120mm²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VERMELHO</t>
    </r>
  </si>
  <si>
    <r>
      <rPr>
        <sz val="7"/>
        <rFont val="Calibri"/>
        <family val="1"/>
      </rPr>
      <t>CABO</t>
    </r>
    <r>
      <rPr>
        <sz val="7"/>
        <rFont val="Times New Roman"/>
        <family val="1"/>
      </rPr>
      <t xml:space="preserve"> </t>
    </r>
    <r>
      <rPr>
        <sz val="7"/>
        <rFont val="Calibri"/>
        <family val="1"/>
      </rPr>
      <t>120mm²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AZUL</t>
    </r>
  </si>
  <si>
    <r>
      <rPr>
        <sz val="7"/>
        <rFont val="Calibri"/>
        <family val="1"/>
      </rPr>
      <t>CABO</t>
    </r>
    <r>
      <rPr>
        <sz val="7"/>
        <rFont val="Times New Roman"/>
        <family val="1"/>
      </rPr>
      <t xml:space="preserve"> </t>
    </r>
    <r>
      <rPr>
        <sz val="7"/>
        <rFont val="Calibri"/>
        <family val="1"/>
      </rPr>
      <t>120mm²</t>
    </r>
    <r>
      <rPr>
        <sz val="7"/>
        <rFont val="Times New Roman"/>
        <family val="1"/>
      </rPr>
      <t xml:space="preserve"> </t>
    </r>
    <r>
      <rPr>
        <sz val="7"/>
        <rFont val="Calibri"/>
        <family val="1"/>
      </rPr>
      <t>FLEXÍVEL</t>
    </r>
    <r>
      <rPr>
        <sz val="7"/>
        <rFont val="Times New Roman"/>
        <family val="1"/>
      </rPr>
      <t xml:space="preserve"> </t>
    </r>
    <r>
      <rPr>
        <sz val="7"/>
        <rFont val="Calibri"/>
        <family val="1"/>
      </rPr>
      <t>(1kV)</t>
    </r>
    <r>
      <rPr>
        <sz val="7"/>
        <rFont val="Times New Roman"/>
        <family val="1"/>
      </rPr>
      <t xml:space="preserve"> </t>
    </r>
    <r>
      <rPr>
        <sz val="7"/>
        <rFont val="Calibri"/>
        <family val="1"/>
      </rPr>
      <t>EPR</t>
    </r>
    <r>
      <rPr>
        <sz val="7"/>
        <rFont val="Times New Roman"/>
        <family val="1"/>
      </rPr>
      <t xml:space="preserve"> </t>
    </r>
    <r>
      <rPr>
        <sz val="7"/>
        <rFont val="Calibri"/>
        <family val="1"/>
      </rPr>
      <t>90°C</t>
    </r>
    <r>
      <rPr>
        <sz val="7"/>
        <rFont val="Times New Roman"/>
        <family val="1"/>
      </rPr>
      <t xml:space="preserve"> </t>
    </r>
    <r>
      <rPr>
        <sz val="7"/>
        <rFont val="Calibri"/>
        <family val="1"/>
      </rPr>
      <t>VERDE</t>
    </r>
  </si>
  <si>
    <t>ACABAMENTOS DE TOMADAS E INTERRUPTORES</t>
  </si>
  <si>
    <t>MÓDULO TOMADA (2P+T - 10A)</t>
  </si>
  <si>
    <t>MÓDULO TOMADA (2P+T - 20A)</t>
  </si>
  <si>
    <r>
      <rPr>
        <sz val="7"/>
        <rFont val="Calibri"/>
        <family val="1"/>
      </rPr>
      <t>TAMPA</t>
    </r>
    <r>
      <rPr>
        <sz val="7"/>
        <rFont val="Times New Roman"/>
        <family val="1"/>
      </rPr>
      <t xml:space="preserve"> </t>
    </r>
    <r>
      <rPr>
        <sz val="7"/>
        <rFont val="Calibri"/>
        <family val="1"/>
      </rPr>
      <t>P/</t>
    </r>
    <r>
      <rPr>
        <sz val="7"/>
        <rFont val="Times New Roman"/>
        <family val="1"/>
      </rPr>
      <t xml:space="preserve"> </t>
    </r>
    <r>
      <rPr>
        <sz val="7"/>
        <rFont val="Calibri"/>
        <family val="1"/>
      </rPr>
      <t>01</t>
    </r>
    <r>
      <rPr>
        <sz val="7"/>
        <rFont val="Times New Roman"/>
        <family val="1"/>
      </rPr>
      <t xml:space="preserve"> </t>
    </r>
    <r>
      <rPr>
        <sz val="7"/>
        <rFont val="Calibri"/>
        <family val="1"/>
      </rPr>
      <t>TOMADA</t>
    </r>
    <r>
      <rPr>
        <sz val="7"/>
        <rFont val="Times New Roman"/>
        <family val="1"/>
      </rPr>
      <t xml:space="preserve"> </t>
    </r>
    <r>
      <rPr>
        <sz val="7"/>
        <rFont val="Calibri"/>
        <family val="1"/>
      </rPr>
      <t>+</t>
    </r>
    <r>
      <rPr>
        <sz val="7"/>
        <rFont val="Times New Roman"/>
        <family val="1"/>
      </rPr>
      <t xml:space="preserve"> </t>
    </r>
    <r>
      <rPr>
        <sz val="7"/>
        <rFont val="Calibri"/>
        <family val="1"/>
      </rPr>
      <t>01</t>
    </r>
    <r>
      <rPr>
        <sz val="7"/>
        <rFont val="Times New Roman"/>
        <family val="1"/>
      </rPr>
      <t xml:space="preserve"> </t>
    </r>
    <r>
      <rPr>
        <sz val="7"/>
        <rFont val="Calibri"/>
        <family val="1"/>
      </rPr>
      <t>INTERRUPTOR</t>
    </r>
    <r>
      <rPr>
        <sz val="7"/>
        <rFont val="Times New Roman"/>
        <family val="1"/>
      </rPr>
      <t xml:space="preserve"> </t>
    </r>
    <r>
      <rPr>
        <sz val="7"/>
        <rFont val="Calibri"/>
        <family val="1"/>
      </rPr>
      <t>PARALELO</t>
    </r>
    <r>
      <rPr>
        <sz val="7"/>
        <rFont val="Times New Roman"/>
        <family val="1"/>
      </rPr>
      <t xml:space="preserve"> </t>
    </r>
    <r>
      <rPr>
        <sz val="7"/>
        <rFont val="Calibri"/>
        <family val="1"/>
      </rPr>
      <t>-</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</si>
  <si>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r>
      <rPr>
        <sz val="7"/>
        <rFont val="Calibri"/>
        <family val="1"/>
      </rPr>
      <t>TOMADA</t>
    </r>
    <r>
      <rPr>
        <sz val="7"/>
        <rFont val="Times New Roman"/>
        <family val="1"/>
      </rPr>
      <t xml:space="preserve"> </t>
    </r>
    <r>
      <rPr>
        <sz val="7"/>
        <rFont val="Calibri"/>
        <family val="1"/>
      </rPr>
      <t>(2P+T</t>
    </r>
    <r>
      <rPr>
        <sz val="7"/>
        <rFont val="Times New Roman"/>
        <family val="1"/>
      </rPr>
      <t xml:space="preserve"> </t>
    </r>
    <r>
      <rPr>
        <sz val="7"/>
        <rFont val="Calibri"/>
        <family val="1"/>
      </rPr>
      <t>-</t>
    </r>
    <r>
      <rPr>
        <sz val="7"/>
        <rFont val="Times New Roman"/>
        <family val="1"/>
      </rPr>
      <t xml:space="preserve"> </t>
    </r>
    <r>
      <rPr>
        <sz val="7"/>
        <rFont val="Calibri"/>
        <family val="1"/>
      </rPr>
      <t>10A)</t>
    </r>
    <r>
      <rPr>
        <sz val="7"/>
        <rFont val="Times New Roman"/>
        <family val="1"/>
      </rPr>
      <t xml:space="preserve"> </t>
    </r>
    <r>
      <rPr>
        <sz val="7"/>
        <rFont val="Calibri"/>
        <family val="1"/>
      </rPr>
      <t>P/</t>
    </r>
    <r>
      <rPr>
        <sz val="7"/>
        <rFont val="Times New Roman"/>
        <family val="1"/>
      </rPr>
      <t xml:space="preserve"> </t>
    </r>
    <r>
      <rPr>
        <sz val="7"/>
        <rFont val="Calibri"/>
        <family val="1"/>
      </rPr>
      <t>FIXAR</t>
    </r>
    <r>
      <rPr>
        <sz val="7"/>
        <rFont val="Times New Roman"/>
        <family val="1"/>
      </rPr>
      <t xml:space="preserve"> </t>
    </r>
    <r>
      <rPr>
        <sz val="7"/>
        <rFont val="Calibri"/>
        <family val="1"/>
      </rPr>
      <t>CAIXA</t>
    </r>
    <r>
      <rPr>
        <sz val="7"/>
        <rFont val="Times New Roman"/>
        <family val="1"/>
      </rPr>
      <t xml:space="preserve"> </t>
    </r>
    <r>
      <rPr>
        <sz val="7"/>
        <rFont val="Calibri"/>
        <family val="1"/>
      </rPr>
      <t>DE</t>
    </r>
    <r>
      <rPr>
        <sz val="7"/>
        <rFont val="Times New Roman"/>
        <family val="1"/>
      </rPr>
      <t xml:space="preserve"> </t>
    </r>
    <r>
      <rPr>
        <sz val="7"/>
        <rFont val="Calibri"/>
        <family val="1"/>
      </rPr>
      <t>DERIVAÇÃO</t>
    </r>
    <r>
      <rPr>
        <sz val="7"/>
        <rFont val="Times New Roman"/>
        <family val="1"/>
      </rPr>
      <t xml:space="preserve"> </t>
    </r>
    <r>
      <rPr>
        <sz val="7"/>
        <rFont val="Calibri"/>
        <family val="1"/>
      </rPr>
      <t>-</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</si>
  <si>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r>
      <rPr>
        <sz val="7"/>
        <rFont val="Calibri"/>
        <family val="1"/>
      </rPr>
      <t>TAMPA</t>
    </r>
    <r>
      <rPr>
        <sz val="7"/>
        <rFont val="Times New Roman"/>
        <family val="1"/>
      </rPr>
      <t xml:space="preserve"> </t>
    </r>
    <r>
      <rPr>
        <sz val="7"/>
        <rFont val="Calibri"/>
        <family val="1"/>
      </rPr>
      <t>P/</t>
    </r>
    <r>
      <rPr>
        <sz val="7"/>
        <rFont val="Times New Roman"/>
        <family val="1"/>
      </rPr>
      <t xml:space="preserve"> </t>
    </r>
    <r>
      <rPr>
        <sz val="7"/>
        <rFont val="Calibri"/>
        <family val="1"/>
      </rPr>
      <t>01</t>
    </r>
    <r>
      <rPr>
        <sz val="7"/>
        <rFont val="Times New Roman"/>
        <family val="1"/>
      </rPr>
      <t xml:space="preserve"> </t>
    </r>
    <r>
      <rPr>
        <sz val="7"/>
        <rFont val="Calibri"/>
        <family val="1"/>
      </rPr>
      <t>TOMADA</t>
    </r>
    <r>
      <rPr>
        <sz val="7"/>
        <rFont val="Times New Roman"/>
        <family val="1"/>
      </rPr>
      <t xml:space="preserve">  </t>
    </r>
    <r>
      <rPr>
        <sz val="7"/>
        <rFont val="Calibri"/>
        <family val="1"/>
      </rPr>
      <t>-</t>
    </r>
    <r>
      <rPr>
        <sz val="7"/>
        <rFont val="Times New Roman"/>
        <family val="1"/>
      </rPr>
      <t xml:space="preserve">   </t>
    </r>
    <r>
      <rPr>
        <sz val="7"/>
        <rFont val="Calibri"/>
        <family val="1"/>
      </rPr>
      <t>3/4"</t>
    </r>
    <r>
      <rPr>
        <sz val="7"/>
        <rFont val="Times New Roman"/>
        <family val="1"/>
      </rPr>
      <t xml:space="preserve"> </t>
    </r>
    <r>
      <rPr>
        <sz val="7"/>
        <rFont val="Calibri"/>
        <family val="1"/>
      </rPr>
      <t>(LINHA</t>
    </r>
    <r>
      <rPr>
        <sz val="7"/>
        <rFont val="Times New Roman"/>
        <family val="1"/>
      </rPr>
      <t xml:space="preserve"> </t>
    </r>
    <r>
      <rPr>
        <sz val="7"/>
        <rFont val="Calibri"/>
        <family val="1"/>
      </rPr>
      <t>BRANCA)</t>
    </r>
  </si>
  <si>
    <r>
      <rPr>
        <sz val="7"/>
        <rFont val="Calibri"/>
        <family val="1"/>
      </rPr>
      <t>TOMADA</t>
    </r>
    <r>
      <rPr>
        <sz val="7"/>
        <rFont val="Times New Roman"/>
        <family val="1"/>
      </rPr>
      <t xml:space="preserve"> </t>
    </r>
    <r>
      <rPr>
        <sz val="7"/>
        <rFont val="Calibri"/>
        <family val="1"/>
      </rPr>
      <t>(2P+T</t>
    </r>
    <r>
      <rPr>
        <sz val="7"/>
        <rFont val="Times New Roman"/>
        <family val="1"/>
      </rPr>
      <t xml:space="preserve"> </t>
    </r>
    <r>
      <rPr>
        <sz val="7"/>
        <rFont val="Calibri"/>
        <family val="1"/>
      </rPr>
      <t>-</t>
    </r>
    <r>
      <rPr>
        <sz val="7"/>
        <rFont val="Times New Roman"/>
        <family val="1"/>
      </rPr>
      <t xml:space="preserve"> </t>
    </r>
    <r>
      <rPr>
        <sz val="7"/>
        <rFont val="Calibri"/>
        <family val="1"/>
      </rPr>
      <t>20A)</t>
    </r>
    <r>
      <rPr>
        <sz val="7"/>
        <rFont val="Times New Roman"/>
        <family val="1"/>
      </rPr>
      <t xml:space="preserve">  </t>
    </r>
    <r>
      <rPr>
        <sz val="7"/>
        <rFont val="Calibri"/>
        <family val="1"/>
      </rPr>
      <t>SOBREPOR</t>
    </r>
    <r>
      <rPr>
        <sz val="7"/>
        <rFont val="Times New Roman"/>
        <family val="1"/>
      </rPr>
      <t xml:space="preserve"> </t>
    </r>
    <r>
      <rPr>
        <sz val="7"/>
        <rFont val="Calibri"/>
        <family val="1"/>
      </rPr>
      <t>P/</t>
    </r>
    <r>
      <rPr>
        <sz val="7"/>
        <rFont val="Times New Roman"/>
        <family val="1"/>
      </rPr>
      <t xml:space="preserve"> </t>
    </r>
    <r>
      <rPr>
        <sz val="7"/>
        <rFont val="Calibri"/>
        <family val="1"/>
      </rPr>
      <t>MADEIRA</t>
    </r>
  </si>
  <si>
    <r>
      <rPr>
        <sz val="7"/>
        <rFont val="Calibri"/>
        <family val="1"/>
      </rPr>
      <t>MÓDULO</t>
    </r>
    <r>
      <rPr>
        <sz val="7"/>
        <rFont val="Times New Roman"/>
        <family val="1"/>
      </rPr>
      <t xml:space="preserve"> </t>
    </r>
    <r>
      <rPr>
        <sz val="7"/>
        <rFont val="Calibri"/>
        <family val="1"/>
      </rPr>
      <t>TOMADA</t>
    </r>
    <r>
      <rPr>
        <sz val="7"/>
        <rFont val="Times New Roman"/>
        <family val="1"/>
      </rPr>
      <t xml:space="preserve"> </t>
    </r>
    <r>
      <rPr>
        <sz val="7"/>
        <rFont val="Calibri"/>
        <family val="1"/>
      </rPr>
      <t>P/</t>
    </r>
    <r>
      <rPr>
        <sz val="7"/>
        <rFont val="Times New Roman"/>
        <family val="1"/>
      </rPr>
      <t xml:space="preserve"> </t>
    </r>
    <r>
      <rPr>
        <sz val="7"/>
        <rFont val="Calibri"/>
        <family val="1"/>
      </rPr>
      <t>FIXAR</t>
    </r>
    <r>
      <rPr>
        <sz val="7"/>
        <rFont val="Times New Roman"/>
        <family val="1"/>
      </rPr>
      <t xml:space="preserve"> </t>
    </r>
    <r>
      <rPr>
        <sz val="7"/>
        <rFont val="Calibri"/>
        <family val="1"/>
      </rPr>
      <t>CAIXA</t>
    </r>
    <r>
      <rPr>
        <sz val="7"/>
        <rFont val="Times New Roman"/>
        <family val="1"/>
      </rPr>
      <t xml:space="preserve"> </t>
    </r>
    <r>
      <rPr>
        <sz val="7"/>
        <rFont val="Calibri"/>
        <family val="1"/>
      </rPr>
      <t>PISO</t>
    </r>
    <r>
      <rPr>
        <sz val="7"/>
        <rFont val="Times New Roman"/>
        <family val="1"/>
      </rPr>
      <t xml:space="preserve"> </t>
    </r>
    <r>
      <rPr>
        <sz val="7"/>
        <rFont val="Calibri"/>
        <family val="1"/>
      </rPr>
      <t>INOX</t>
    </r>
    <r>
      <rPr>
        <sz val="7"/>
        <rFont val="Times New Roman"/>
        <family val="1"/>
      </rPr>
      <t xml:space="preserve"> </t>
    </r>
    <r>
      <rPr>
        <sz val="7"/>
        <rFont val="Calibri"/>
        <family val="1"/>
      </rPr>
      <t>OU</t>
    </r>
    <r>
      <rPr>
        <sz val="7"/>
        <rFont val="Times New Roman"/>
        <family val="1"/>
      </rPr>
      <t xml:space="preserve"> </t>
    </r>
    <r>
      <rPr>
        <sz val="7"/>
        <rFont val="Calibri"/>
        <family val="1"/>
      </rPr>
      <t>LATÃO</t>
    </r>
    <r>
      <rPr>
        <sz val="7"/>
        <rFont val="Times New Roman"/>
        <family val="1"/>
      </rPr>
      <t xml:space="preserve"> </t>
    </r>
    <r>
      <rPr>
        <sz val="7"/>
        <rFont val="Calibri"/>
        <family val="1"/>
      </rPr>
      <t>(2P</t>
    </r>
    <r>
      <rPr>
        <sz val="7"/>
        <rFont val="Times New Roman"/>
        <family val="1"/>
      </rPr>
      <t xml:space="preserve"> </t>
    </r>
    <r>
      <rPr>
        <sz val="7"/>
        <rFont val="Calibri"/>
        <family val="1"/>
      </rPr>
      <t>+</t>
    </r>
    <r>
      <rPr>
        <sz val="7"/>
        <rFont val="Times New Roman"/>
        <family val="1"/>
      </rPr>
      <t xml:space="preserve"> </t>
    </r>
    <r>
      <rPr>
        <sz val="7"/>
        <rFont val="Calibri"/>
        <family val="1"/>
      </rPr>
      <t>T</t>
    </r>
    <r>
      <rPr>
        <sz val="7"/>
        <rFont val="Times New Roman"/>
        <family val="1"/>
      </rPr>
      <t xml:space="preserve"> </t>
    </r>
    <r>
      <rPr>
        <sz val="7"/>
        <rFont val="Calibri"/>
        <family val="1"/>
      </rPr>
      <t>-</t>
    </r>
    <r>
      <rPr>
        <sz val="7"/>
        <rFont val="Times New Roman"/>
        <family val="1"/>
      </rPr>
      <t xml:space="preserve"> </t>
    </r>
    <r>
      <rPr>
        <sz val="7"/>
        <rFont val="Calibri"/>
        <family val="1"/>
      </rPr>
      <t>10A)</t>
    </r>
  </si>
  <si>
    <r>
      <rPr>
        <sz val="7"/>
        <rFont val="Calibri"/>
        <family val="1"/>
      </rPr>
      <t>TOMADA</t>
    </r>
    <r>
      <rPr>
        <sz val="7"/>
        <rFont val="Times New Roman"/>
        <family val="1"/>
      </rPr>
      <t xml:space="preserve"> </t>
    </r>
    <r>
      <rPr>
        <sz val="7"/>
        <rFont val="Calibri"/>
        <family val="1"/>
      </rPr>
      <t>(2P+T</t>
    </r>
    <r>
      <rPr>
        <sz val="7"/>
        <rFont val="Times New Roman"/>
        <family val="1"/>
      </rPr>
      <t xml:space="preserve"> </t>
    </r>
    <r>
      <rPr>
        <sz val="7"/>
        <rFont val="Calibri"/>
        <family val="1"/>
      </rPr>
      <t>-</t>
    </r>
    <r>
      <rPr>
        <sz val="7"/>
        <rFont val="Times New Roman"/>
        <family val="1"/>
      </rPr>
      <t xml:space="preserve"> </t>
    </r>
    <r>
      <rPr>
        <sz val="7"/>
        <rFont val="Calibri"/>
        <family val="1"/>
      </rPr>
      <t>20A)</t>
    </r>
    <r>
      <rPr>
        <sz val="7"/>
        <rFont val="Times New Roman"/>
        <family val="1"/>
      </rPr>
      <t xml:space="preserve"> </t>
    </r>
    <r>
      <rPr>
        <sz val="7"/>
        <rFont val="Calibri"/>
        <family val="1"/>
      </rPr>
      <t>SOBREPOR</t>
    </r>
    <r>
      <rPr>
        <sz val="7"/>
        <rFont val="Times New Roman"/>
        <family val="1"/>
      </rPr>
      <t xml:space="preserve"> </t>
    </r>
    <r>
      <rPr>
        <sz val="7"/>
        <rFont val="Calibri"/>
        <family val="1"/>
      </rPr>
      <t>TIPO</t>
    </r>
    <r>
      <rPr>
        <sz val="7"/>
        <rFont val="Times New Roman"/>
        <family val="1"/>
      </rPr>
      <t xml:space="preserve"> </t>
    </r>
    <r>
      <rPr>
        <sz val="7"/>
        <rFont val="Calibri"/>
        <family val="1"/>
      </rPr>
      <t>RÉGUA</t>
    </r>
    <r>
      <rPr>
        <sz val="7"/>
        <rFont val="Times New Roman"/>
        <family val="1"/>
      </rPr>
      <t xml:space="preserve"> </t>
    </r>
    <r>
      <rPr>
        <sz val="7"/>
        <rFont val="Calibri"/>
        <family val="1"/>
      </rPr>
      <t>3</t>
    </r>
    <r>
      <rPr>
        <sz val="7"/>
        <rFont val="Times New Roman"/>
        <family val="1"/>
      </rPr>
      <t xml:space="preserve"> </t>
    </r>
    <r>
      <rPr>
        <sz val="7"/>
        <rFont val="Calibri"/>
        <family val="1"/>
      </rPr>
      <t>MÓDULOS</t>
    </r>
  </si>
  <si>
    <r>
      <rPr>
        <sz val="7"/>
        <rFont val="Calibri"/>
        <family val="1"/>
      </rPr>
      <t>TOMADA</t>
    </r>
    <r>
      <rPr>
        <sz val="7"/>
        <rFont val="Times New Roman"/>
        <family val="1"/>
      </rPr>
      <t xml:space="preserve"> </t>
    </r>
    <r>
      <rPr>
        <sz val="7"/>
        <rFont val="Calibri"/>
        <family val="1"/>
      </rPr>
      <t>P/</t>
    </r>
    <r>
      <rPr>
        <sz val="7"/>
        <rFont val="Times New Roman"/>
        <family val="1"/>
      </rPr>
      <t xml:space="preserve"> </t>
    </r>
    <r>
      <rPr>
        <sz val="7"/>
        <rFont val="Calibri"/>
        <family val="1"/>
      </rPr>
      <t>FIXAR</t>
    </r>
    <r>
      <rPr>
        <sz val="7"/>
        <rFont val="Times New Roman"/>
        <family val="1"/>
      </rPr>
      <t xml:space="preserve"> </t>
    </r>
    <r>
      <rPr>
        <sz val="7"/>
        <rFont val="Calibri"/>
        <family val="1"/>
      </rPr>
      <t>PLACA</t>
    </r>
    <r>
      <rPr>
        <sz val="7"/>
        <rFont val="Times New Roman"/>
        <family val="1"/>
      </rPr>
      <t xml:space="preserve"> </t>
    </r>
    <r>
      <rPr>
        <sz val="7"/>
        <rFont val="Calibri"/>
        <family val="1"/>
      </rPr>
      <t>PISO</t>
    </r>
    <r>
      <rPr>
        <sz val="7"/>
        <rFont val="Times New Roman"/>
        <family val="1"/>
      </rPr>
      <t xml:space="preserve"> </t>
    </r>
    <r>
      <rPr>
        <sz val="7"/>
        <rFont val="Calibri"/>
        <family val="1"/>
      </rPr>
      <t>-</t>
    </r>
    <r>
      <rPr>
        <sz val="7"/>
        <rFont val="Times New Roman"/>
        <family val="1"/>
      </rPr>
      <t xml:space="preserve"> </t>
    </r>
    <r>
      <rPr>
        <sz val="7"/>
        <rFont val="Calibri"/>
        <family val="1"/>
      </rPr>
      <t>(2P+T</t>
    </r>
    <r>
      <rPr>
        <sz val="7"/>
        <rFont val="Times New Roman"/>
        <family val="1"/>
      </rPr>
      <t xml:space="preserve"> </t>
    </r>
    <r>
      <rPr>
        <sz val="7"/>
        <rFont val="Calibri"/>
        <family val="1"/>
      </rPr>
      <t>20A)</t>
    </r>
  </si>
  <si>
    <t>MÓDULO INTERRUPTOR SIMPLES</t>
  </si>
  <si>
    <t>MÓDULO INTERRUPTOR PARALELO</t>
  </si>
  <si>
    <t>PLACA 4X2" | 01 MÓDULO</t>
  </si>
  <si>
    <t>PLACA 4X2" | 02 MÓDULOS</t>
  </si>
  <si>
    <t>PLACA 4X2" | 03 MÓDULOS</t>
  </si>
  <si>
    <t>PLACA 4X4" | 04 MÓDULOS</t>
  </si>
  <si>
    <t>PLACA 4X2" | CEGA</t>
  </si>
  <si>
    <t>PLACA 4X4" | CEGA</t>
  </si>
  <si>
    <t>PLACA CEGA REDONDA P/ CAIXA NO TETO (OCTAGONAL)</t>
  </si>
  <si>
    <t>SUPORTE PARA MÓDULOS 4X2" | 03 MÓDULOS</t>
  </si>
  <si>
    <t>SUPORTE PARA MÓDULOS 4X4" | 06 MÓDULOS</t>
  </si>
  <si>
    <t>INT. PARALELO + TOM. (2P+T - 10A) P/ FIXAR CAIXA DE DERI. -  3/4" (LINHA BRANCA)</t>
  </si>
  <si>
    <r>
      <rPr>
        <sz val="7"/>
        <rFont val="Calibri"/>
        <family val="1"/>
      </rPr>
      <t>MÓDULO</t>
    </r>
    <r>
      <rPr>
        <sz val="7"/>
        <rFont val="Times New Roman"/>
        <family val="1"/>
      </rPr>
      <t xml:space="preserve"> </t>
    </r>
    <r>
      <rPr>
        <sz val="7"/>
        <rFont val="Calibri"/>
        <family val="1"/>
      </rPr>
      <t>CIGARRA</t>
    </r>
    <r>
      <rPr>
        <sz val="7"/>
        <rFont val="Times New Roman"/>
        <family val="1"/>
      </rPr>
      <t xml:space="preserve"> </t>
    </r>
    <r>
      <rPr>
        <sz val="7"/>
        <rFont val="Calibri"/>
        <family val="1"/>
      </rPr>
      <t>ELETROMECÂNICA</t>
    </r>
  </si>
  <si>
    <r>
      <rPr>
        <sz val="7"/>
        <rFont val="Calibri"/>
        <family val="1"/>
      </rPr>
      <t>MÓDULO</t>
    </r>
    <r>
      <rPr>
        <sz val="7"/>
        <rFont val="Times New Roman"/>
        <family val="1"/>
      </rPr>
      <t xml:space="preserve"> </t>
    </r>
    <r>
      <rPr>
        <sz val="7"/>
        <rFont val="Calibri"/>
        <family val="1"/>
      </rPr>
      <t>PULSADOR</t>
    </r>
    <r>
      <rPr>
        <sz val="7"/>
        <rFont val="Times New Roman"/>
        <family val="1"/>
      </rPr>
      <t xml:space="preserve"> </t>
    </r>
    <r>
      <rPr>
        <sz val="7"/>
        <rFont val="Calibri"/>
        <family val="1"/>
      </rPr>
      <t>|</t>
    </r>
    <r>
      <rPr>
        <sz val="7"/>
        <rFont val="Times New Roman"/>
        <family val="1"/>
      </rPr>
      <t xml:space="preserve"> </t>
    </r>
    <r>
      <rPr>
        <sz val="7"/>
        <rFont val="Calibri"/>
        <family val="1"/>
      </rPr>
      <t>COM</t>
    </r>
    <r>
      <rPr>
        <sz val="7"/>
        <rFont val="Times New Roman"/>
        <family val="1"/>
      </rPr>
      <t xml:space="preserve"> </t>
    </r>
    <r>
      <rPr>
        <sz val="7"/>
        <rFont val="Calibri"/>
        <family val="1"/>
      </rPr>
      <t>LED</t>
    </r>
    <r>
      <rPr>
        <sz val="7"/>
        <rFont val="Times New Roman"/>
        <family val="1"/>
      </rPr>
      <t xml:space="preserve"> </t>
    </r>
    <r>
      <rPr>
        <sz val="7"/>
        <rFont val="Calibri"/>
        <family val="1"/>
      </rPr>
      <t>DE</t>
    </r>
    <r>
      <rPr>
        <sz val="7"/>
        <rFont val="Times New Roman"/>
        <family val="1"/>
      </rPr>
      <t xml:space="preserve"> </t>
    </r>
    <r>
      <rPr>
        <sz val="7"/>
        <rFont val="Calibri"/>
        <family val="1"/>
      </rPr>
      <t>SINALIZAÇÃO</t>
    </r>
    <r>
      <rPr>
        <sz val="7"/>
        <rFont val="Times New Roman"/>
        <family val="1"/>
      </rPr>
      <t xml:space="preserve"> </t>
    </r>
    <r>
      <rPr>
        <sz val="7"/>
        <rFont val="Calibri"/>
        <family val="1"/>
      </rPr>
      <t>220V</t>
    </r>
  </si>
  <si>
    <r>
      <rPr>
        <sz val="7"/>
        <rFont val="Calibri"/>
        <family val="1"/>
      </rPr>
      <t>MÓDULO</t>
    </r>
    <r>
      <rPr>
        <sz val="7"/>
        <rFont val="Times New Roman"/>
        <family val="1"/>
      </rPr>
      <t xml:space="preserve"> </t>
    </r>
    <r>
      <rPr>
        <sz val="7"/>
        <rFont val="Calibri"/>
        <family val="1"/>
      </rPr>
      <t>PULSADOR</t>
    </r>
    <r>
      <rPr>
        <sz val="7"/>
        <rFont val="Times New Roman"/>
        <family val="1"/>
      </rPr>
      <t xml:space="preserve"> </t>
    </r>
    <r>
      <rPr>
        <sz val="7"/>
        <rFont val="Calibri"/>
        <family val="1"/>
      </rPr>
      <t>|</t>
    </r>
    <r>
      <rPr>
        <sz val="7"/>
        <rFont val="Times New Roman"/>
        <family val="1"/>
      </rPr>
      <t xml:space="preserve"> </t>
    </r>
    <r>
      <rPr>
        <sz val="7"/>
        <rFont val="Calibri"/>
        <family val="1"/>
      </rPr>
      <t>SIMBOLO</t>
    </r>
    <r>
      <rPr>
        <sz val="7"/>
        <rFont val="Times New Roman"/>
        <family val="1"/>
      </rPr>
      <t xml:space="preserve"> </t>
    </r>
    <r>
      <rPr>
        <sz val="7"/>
        <rFont val="Calibri"/>
        <family val="1"/>
      </rPr>
      <t>CAMPAINHA</t>
    </r>
  </si>
  <si>
    <r>
      <rPr>
        <sz val="7"/>
        <rFont val="Calibri"/>
        <family val="1"/>
      </rPr>
      <t>MÓDULO</t>
    </r>
    <r>
      <rPr>
        <sz val="7"/>
        <rFont val="Times New Roman"/>
        <family val="1"/>
      </rPr>
      <t xml:space="preserve"> </t>
    </r>
    <r>
      <rPr>
        <sz val="7"/>
        <rFont val="Calibri"/>
        <family val="1"/>
      </rPr>
      <t>SIMPLES</t>
    </r>
    <r>
      <rPr>
        <sz val="7"/>
        <rFont val="Times New Roman"/>
        <family val="1"/>
      </rPr>
      <t xml:space="preserve"> </t>
    </r>
    <r>
      <rPr>
        <sz val="7"/>
        <rFont val="Calibri"/>
        <family val="1"/>
      </rPr>
      <t>VARIADOR</t>
    </r>
    <r>
      <rPr>
        <sz val="7"/>
        <rFont val="Times New Roman"/>
        <family val="1"/>
      </rPr>
      <t xml:space="preserve"> </t>
    </r>
    <r>
      <rPr>
        <sz val="7"/>
        <rFont val="Calibri"/>
        <family val="1"/>
      </rPr>
      <t>DE</t>
    </r>
    <r>
      <rPr>
        <sz val="7"/>
        <rFont val="Times New Roman"/>
        <family val="1"/>
      </rPr>
      <t xml:space="preserve"> </t>
    </r>
    <r>
      <rPr>
        <sz val="7"/>
        <rFont val="Calibri"/>
        <family val="1"/>
      </rPr>
      <t>LUMINOSIDADE</t>
    </r>
    <r>
      <rPr>
        <sz val="7"/>
        <rFont val="Times New Roman"/>
        <family val="1"/>
      </rPr>
      <t xml:space="preserve"> </t>
    </r>
    <r>
      <rPr>
        <sz val="7"/>
        <rFont val="Calibri"/>
        <family val="1"/>
      </rPr>
      <t>(DIMMER)</t>
    </r>
  </si>
  <si>
    <r>
      <rPr>
        <sz val="7"/>
        <rFont val="Calibri"/>
        <family val="1"/>
      </rPr>
      <t>SENSOR</t>
    </r>
    <r>
      <rPr>
        <sz val="7"/>
        <rFont val="Times New Roman"/>
        <family val="1"/>
      </rPr>
      <t xml:space="preserve"> </t>
    </r>
    <r>
      <rPr>
        <sz val="7"/>
        <rFont val="Calibri"/>
        <family val="1"/>
      </rPr>
      <t>DE</t>
    </r>
    <r>
      <rPr>
        <sz val="7"/>
        <rFont val="Times New Roman"/>
        <family val="1"/>
      </rPr>
      <t xml:space="preserve"> </t>
    </r>
    <r>
      <rPr>
        <sz val="7"/>
        <rFont val="Calibri"/>
        <family val="1"/>
      </rPr>
      <t>PRESENÇA</t>
    </r>
    <r>
      <rPr>
        <sz val="7"/>
        <rFont val="Times New Roman"/>
        <family val="1"/>
      </rPr>
      <t xml:space="preserve"> </t>
    </r>
    <r>
      <rPr>
        <sz val="7"/>
        <rFont val="Calibri"/>
        <family val="1"/>
      </rPr>
      <t>C/</t>
    </r>
    <r>
      <rPr>
        <sz val="7"/>
        <rFont val="Times New Roman"/>
        <family val="1"/>
      </rPr>
      <t xml:space="preserve"> </t>
    </r>
    <r>
      <rPr>
        <sz val="7"/>
        <rFont val="Calibri"/>
        <family val="1"/>
      </rPr>
      <t>FOTOCÉLULA</t>
    </r>
    <r>
      <rPr>
        <sz val="7"/>
        <rFont val="Times New Roman"/>
        <family val="1"/>
      </rPr>
      <t xml:space="preserve"> </t>
    </r>
    <r>
      <rPr>
        <sz val="7"/>
        <rFont val="Calibri"/>
        <family val="1"/>
      </rPr>
      <t>(TETO)</t>
    </r>
    <r>
      <rPr>
        <sz val="7"/>
        <rFont val="Times New Roman"/>
        <family val="1"/>
      </rPr>
      <t xml:space="preserve"> </t>
    </r>
    <r>
      <rPr>
        <sz val="7"/>
        <rFont val="Calibri"/>
        <family val="1"/>
      </rPr>
      <t>EMBUTIR</t>
    </r>
  </si>
  <si>
    <r>
      <rPr>
        <sz val="7"/>
        <rFont val="Calibri"/>
        <family val="1"/>
      </rPr>
      <t>SENSOR</t>
    </r>
    <r>
      <rPr>
        <sz val="7"/>
        <rFont val="Times New Roman"/>
        <family val="1"/>
      </rPr>
      <t xml:space="preserve"> </t>
    </r>
    <r>
      <rPr>
        <sz val="7"/>
        <rFont val="Calibri"/>
        <family val="1"/>
      </rPr>
      <t>DE</t>
    </r>
    <r>
      <rPr>
        <sz val="7"/>
        <rFont val="Times New Roman"/>
        <family val="1"/>
      </rPr>
      <t xml:space="preserve"> </t>
    </r>
    <r>
      <rPr>
        <sz val="7"/>
        <rFont val="Calibri"/>
        <family val="1"/>
      </rPr>
      <t>PRESENÇA</t>
    </r>
    <r>
      <rPr>
        <sz val="7"/>
        <rFont val="Times New Roman"/>
        <family val="1"/>
      </rPr>
      <t xml:space="preserve"> </t>
    </r>
    <r>
      <rPr>
        <sz val="7"/>
        <rFont val="Calibri"/>
        <family val="1"/>
      </rPr>
      <t>C/</t>
    </r>
    <r>
      <rPr>
        <sz val="7"/>
        <rFont val="Times New Roman"/>
        <family val="1"/>
      </rPr>
      <t xml:space="preserve"> </t>
    </r>
    <r>
      <rPr>
        <sz val="7"/>
        <rFont val="Calibri"/>
        <family val="1"/>
      </rPr>
      <t>FOTOCÉLULA</t>
    </r>
    <r>
      <rPr>
        <sz val="7"/>
        <rFont val="Times New Roman"/>
        <family val="1"/>
      </rPr>
      <t xml:space="preserve"> </t>
    </r>
    <r>
      <rPr>
        <sz val="7"/>
        <rFont val="Calibri"/>
        <family val="1"/>
      </rPr>
      <t>(TETO),360°-</t>
    </r>
    <r>
      <rPr>
        <sz val="7"/>
        <rFont val="Times New Roman"/>
        <family val="1"/>
      </rPr>
      <t xml:space="preserve"> </t>
    </r>
    <r>
      <rPr>
        <sz val="7"/>
        <rFont val="Calibri"/>
        <family val="1"/>
      </rPr>
      <t>SOBREPOR</t>
    </r>
  </si>
  <si>
    <r>
      <rPr>
        <sz val="7"/>
        <rFont val="Calibri"/>
        <family val="1"/>
      </rPr>
      <t>SENSOR</t>
    </r>
    <r>
      <rPr>
        <sz val="7"/>
        <rFont val="Times New Roman"/>
        <family val="1"/>
      </rPr>
      <t xml:space="preserve"> </t>
    </r>
    <r>
      <rPr>
        <sz val="7"/>
        <rFont val="Calibri"/>
        <family val="1"/>
      </rPr>
      <t>DE</t>
    </r>
    <r>
      <rPr>
        <sz val="7"/>
        <rFont val="Times New Roman"/>
        <family val="1"/>
      </rPr>
      <t xml:space="preserve"> </t>
    </r>
    <r>
      <rPr>
        <sz val="7"/>
        <rFont val="Calibri"/>
        <family val="1"/>
      </rPr>
      <t>PRESENÇA</t>
    </r>
    <r>
      <rPr>
        <sz val="7"/>
        <rFont val="Times New Roman"/>
        <family val="1"/>
      </rPr>
      <t xml:space="preserve"> </t>
    </r>
    <r>
      <rPr>
        <sz val="7"/>
        <rFont val="Calibri"/>
        <family val="1"/>
      </rPr>
      <t>C/</t>
    </r>
    <r>
      <rPr>
        <sz val="7"/>
        <rFont val="Times New Roman"/>
        <family val="1"/>
      </rPr>
      <t xml:space="preserve"> </t>
    </r>
    <r>
      <rPr>
        <sz val="7"/>
        <rFont val="Calibri"/>
        <family val="1"/>
      </rPr>
      <t>FOTOCÉLULA</t>
    </r>
    <r>
      <rPr>
        <sz val="7"/>
        <rFont val="Times New Roman"/>
        <family val="1"/>
      </rPr>
      <t xml:space="preserve"> </t>
    </r>
    <r>
      <rPr>
        <sz val="7"/>
        <rFont val="Calibri"/>
        <family val="1"/>
      </rPr>
      <t>(FRONTAL)</t>
    </r>
    <r>
      <rPr>
        <sz val="7"/>
        <rFont val="Times New Roman"/>
        <family val="1"/>
      </rPr>
      <t xml:space="preserve"> </t>
    </r>
    <r>
      <rPr>
        <sz val="7"/>
        <rFont val="Calibri"/>
        <family val="1"/>
      </rPr>
      <t>SOBREPOR</t>
    </r>
    <r>
      <rPr>
        <sz val="7"/>
        <rFont val="Times New Roman"/>
        <family val="1"/>
      </rPr>
      <t xml:space="preserve"> </t>
    </r>
    <r>
      <rPr>
        <sz val="7"/>
        <rFont val="Calibri"/>
        <family val="1"/>
      </rPr>
      <t>-</t>
    </r>
    <r>
      <rPr>
        <sz val="7"/>
        <rFont val="Times New Roman"/>
        <family val="1"/>
      </rPr>
      <t xml:space="preserve"> </t>
    </r>
    <r>
      <rPr>
        <sz val="7"/>
        <rFont val="Calibri"/>
        <family val="1"/>
      </rPr>
      <t>4x2</t>
    </r>
  </si>
  <si>
    <t>LUMINÁRIAS</t>
  </si>
  <si>
    <t>LUMINÁRIA TIPO TARTARUGA (BRANCA) COM LÂMPADA 13W FRIA</t>
  </si>
  <si>
    <t>LUMINÁRIA DE EMERGÊNCIA LED 220V - 30 LED'S</t>
  </si>
  <si>
    <t>LUMINÁRIA TIPO PLAFON (SOBREPOR) **C/ LÂMPADA</t>
  </si>
  <si>
    <t>EXAUSTÃO CHURRASQUEIRA</t>
  </si>
  <si>
    <t>BOCAL DE PORCELANA BASE GRANDE (CHURRASQUEIRA)</t>
  </si>
  <si>
    <r>
      <rPr>
        <sz val="7"/>
        <rFont val="Calibri"/>
        <family val="1"/>
      </rPr>
      <t>EXAUSTOR</t>
    </r>
    <r>
      <rPr>
        <sz val="7"/>
        <rFont val="Times New Roman"/>
        <family val="1"/>
      </rPr>
      <t xml:space="preserve"> </t>
    </r>
    <r>
      <rPr>
        <sz val="7"/>
        <rFont val="Calibri"/>
        <family val="1"/>
      </rPr>
      <t>COMPACTO</t>
    </r>
    <r>
      <rPr>
        <sz val="7"/>
        <rFont val="Times New Roman"/>
        <family val="1"/>
      </rPr>
      <t xml:space="preserve"> </t>
    </r>
    <r>
      <rPr>
        <sz val="7"/>
        <rFont val="Calibri"/>
        <family val="1"/>
      </rPr>
      <t>AXIAL</t>
    </r>
    <r>
      <rPr>
        <sz val="7"/>
        <rFont val="Times New Roman"/>
        <family val="1"/>
      </rPr>
      <t xml:space="preserve"> </t>
    </r>
    <r>
      <rPr>
        <sz val="7"/>
        <rFont val="Calibri"/>
        <family val="1"/>
      </rPr>
      <t>(RENOVADOR</t>
    </r>
    <r>
      <rPr>
        <sz val="7"/>
        <rFont val="Times New Roman"/>
        <family val="1"/>
      </rPr>
      <t xml:space="preserve"> </t>
    </r>
    <r>
      <rPr>
        <sz val="7"/>
        <rFont val="Calibri"/>
        <family val="1"/>
      </rPr>
      <t>DE</t>
    </r>
    <r>
      <rPr>
        <sz val="7"/>
        <rFont val="Times New Roman"/>
        <family val="1"/>
      </rPr>
      <t xml:space="preserve"> </t>
    </r>
    <r>
      <rPr>
        <sz val="7"/>
        <rFont val="Calibri"/>
        <family val="1"/>
      </rPr>
      <t>AR)</t>
    </r>
    <r>
      <rPr>
        <sz val="7"/>
        <rFont val="Times New Roman"/>
        <family val="1"/>
      </rPr>
      <t xml:space="preserve"> </t>
    </r>
    <r>
      <rPr>
        <sz val="7"/>
        <rFont val="Calibri"/>
        <family val="1"/>
      </rPr>
      <t>96mm</t>
    </r>
    <r>
      <rPr>
        <sz val="7"/>
        <rFont val="Times New Roman"/>
        <family val="1"/>
      </rPr>
      <t xml:space="preserve"> </t>
    </r>
    <r>
      <rPr>
        <sz val="7"/>
        <rFont val="Calibri"/>
        <family val="1"/>
      </rPr>
      <t>(220V)</t>
    </r>
  </si>
  <si>
    <r>
      <rPr>
        <sz val="7"/>
        <rFont val="Calibri"/>
        <family val="1"/>
      </rPr>
      <t>VENTILADOR</t>
    </r>
    <r>
      <rPr>
        <sz val="7"/>
        <rFont val="Times New Roman"/>
        <family val="1"/>
      </rPr>
      <t xml:space="preserve"> </t>
    </r>
    <r>
      <rPr>
        <sz val="7"/>
        <rFont val="Calibri"/>
        <family val="1"/>
      </rPr>
      <t>AXIAL</t>
    </r>
    <r>
      <rPr>
        <sz val="7"/>
        <rFont val="Times New Roman"/>
        <family val="1"/>
      </rPr>
      <t xml:space="preserve"> </t>
    </r>
    <r>
      <rPr>
        <sz val="7"/>
        <rFont val="Calibri"/>
        <family val="1"/>
      </rPr>
      <t>TIPO</t>
    </r>
    <r>
      <rPr>
        <sz val="7"/>
        <rFont val="Times New Roman"/>
        <family val="1"/>
      </rPr>
      <t xml:space="preserve"> </t>
    </r>
    <r>
      <rPr>
        <sz val="7"/>
        <rFont val="Calibri"/>
        <family val="1"/>
      </rPr>
      <t>EXAUSTOR</t>
    </r>
    <r>
      <rPr>
        <sz val="7"/>
        <rFont val="Times New Roman"/>
        <family val="1"/>
      </rPr>
      <t xml:space="preserve"> </t>
    </r>
    <r>
      <rPr>
        <sz val="7"/>
        <rFont val="Calibri"/>
        <family val="1"/>
      </rPr>
      <t>30cm</t>
    </r>
    <r>
      <rPr>
        <sz val="7"/>
        <rFont val="Times New Roman"/>
        <family val="1"/>
      </rPr>
      <t xml:space="preserve"> </t>
    </r>
    <r>
      <rPr>
        <sz val="7"/>
        <rFont val="Calibri"/>
        <family val="1"/>
      </rPr>
      <t>(220V)</t>
    </r>
  </si>
  <si>
    <r>
      <rPr>
        <sz val="7"/>
        <rFont val="Calibri"/>
        <family val="1"/>
      </rPr>
      <t>COMANDO</t>
    </r>
    <r>
      <rPr>
        <sz val="7"/>
        <rFont val="Times New Roman"/>
        <family val="1"/>
      </rPr>
      <t xml:space="preserve"> </t>
    </r>
    <r>
      <rPr>
        <sz val="7"/>
        <rFont val="Calibri"/>
        <family val="1"/>
      </rPr>
      <t>EXAUSTOR</t>
    </r>
    <r>
      <rPr>
        <sz val="7"/>
        <rFont val="Times New Roman"/>
        <family val="1"/>
      </rPr>
      <t xml:space="preserve"> </t>
    </r>
    <r>
      <rPr>
        <sz val="7"/>
        <rFont val="Calibri"/>
        <family val="1"/>
      </rPr>
      <t>(HALL</t>
    </r>
    <r>
      <rPr>
        <sz val="7"/>
        <rFont val="Times New Roman"/>
        <family val="1"/>
      </rPr>
      <t xml:space="preserve"> </t>
    </r>
    <r>
      <rPr>
        <sz val="7"/>
        <rFont val="Calibri"/>
        <family val="1"/>
      </rPr>
      <t>APTOS)</t>
    </r>
  </si>
  <si>
    <t>LÂMPADA INCANDSECENTE 40W (E27)</t>
  </si>
  <si>
    <t>entrada de energia</t>
  </si>
  <si>
    <t>R$ 5,00 /m²</t>
  </si>
  <si>
    <t>EXAUSTÃO DE BANHEIROS ENCLAUSURADOS</t>
  </si>
  <si>
    <t>Intslações Telecomunicações</t>
  </si>
  <si>
    <t>INSTALAÇÕES DE TELECOM</t>
  </si>
  <si>
    <t>ELETRODUTO CORRUGADO TIPO PEAD, CINZA REFORÇADO COM GUIA DE ARAME, 3”</t>
  </si>
  <si>
    <t>ELETRODUTO PLANO FLEXÍVEL  ø1"</t>
  </si>
  <si>
    <t>ELETRODUTO RÍGIDO PVC  2" (BARRA 3m)</t>
  </si>
  <si>
    <r>
      <rPr>
        <sz val="7"/>
        <rFont val="Calibri"/>
        <family val="1"/>
      </rPr>
      <t>CABEÇOTE</t>
    </r>
    <r>
      <rPr>
        <sz val="7"/>
        <rFont val="Times New Roman"/>
        <family val="1"/>
      </rPr>
      <t xml:space="preserve">  </t>
    </r>
    <r>
      <rPr>
        <sz val="7"/>
        <rFont val="Calibri"/>
        <family val="1"/>
      </rPr>
      <t>EM</t>
    </r>
    <r>
      <rPr>
        <sz val="7"/>
        <rFont val="Times New Roman"/>
        <family val="1"/>
      </rPr>
      <t xml:space="preserve"> </t>
    </r>
    <r>
      <rPr>
        <sz val="7"/>
        <rFont val="Calibri"/>
        <family val="1"/>
      </rPr>
      <t>ALUMINIO</t>
    </r>
    <r>
      <rPr>
        <sz val="7"/>
        <rFont val="Times New Roman"/>
        <family val="1"/>
      </rPr>
      <t xml:space="preserve"> </t>
    </r>
    <r>
      <rPr>
        <sz val="7"/>
        <rFont val="Calibri"/>
        <family val="1"/>
      </rPr>
      <t>P/</t>
    </r>
    <r>
      <rPr>
        <sz val="7"/>
        <rFont val="Times New Roman"/>
        <family val="1"/>
      </rPr>
      <t xml:space="preserve"> </t>
    </r>
    <r>
      <rPr>
        <sz val="7"/>
        <rFont val="Calibri"/>
        <family val="1"/>
      </rPr>
      <t>ELETRODUTO</t>
    </r>
    <r>
      <rPr>
        <sz val="7"/>
        <rFont val="Times New Roman"/>
        <family val="1"/>
      </rPr>
      <t xml:space="preserve">  </t>
    </r>
    <r>
      <rPr>
        <sz val="7"/>
        <rFont val="Calibri"/>
        <family val="1"/>
      </rPr>
      <t>2"</t>
    </r>
  </si>
  <si>
    <t>CAIXA 4X2" DE EMBUTIR PVC (AMARELA)</t>
  </si>
  <si>
    <t>TAMPA DE FERRO FUNDIDO (700x460mm) - 125kN (TELESC)</t>
  </si>
  <si>
    <r>
      <rPr>
        <sz val="7"/>
        <rFont val="Calibri"/>
        <family val="1"/>
      </rPr>
      <t>MÓDULO</t>
    </r>
    <r>
      <rPr>
        <sz val="7"/>
        <rFont val="Times New Roman"/>
        <family val="1"/>
      </rPr>
      <t xml:space="preserve"> </t>
    </r>
    <r>
      <rPr>
        <sz val="7"/>
        <rFont val="Calibri"/>
        <family val="1"/>
      </rPr>
      <t>TOMADA</t>
    </r>
    <r>
      <rPr>
        <sz val="7"/>
        <rFont val="Times New Roman"/>
        <family val="1"/>
      </rPr>
      <t xml:space="preserve"> </t>
    </r>
    <r>
      <rPr>
        <sz val="7"/>
        <rFont val="Calibri"/>
        <family val="1"/>
      </rPr>
      <t>DE</t>
    </r>
    <r>
      <rPr>
        <sz val="7"/>
        <rFont val="Times New Roman"/>
        <family val="1"/>
      </rPr>
      <t xml:space="preserve"> </t>
    </r>
    <r>
      <rPr>
        <sz val="7"/>
        <rFont val="Calibri"/>
        <family val="1"/>
      </rPr>
      <t>COMUNICAÇÃO</t>
    </r>
    <r>
      <rPr>
        <sz val="7"/>
        <rFont val="Times New Roman"/>
        <family val="1"/>
      </rPr>
      <t xml:space="preserve"> </t>
    </r>
    <r>
      <rPr>
        <sz val="7"/>
        <rFont val="Calibri"/>
        <family val="1"/>
      </rPr>
      <t>-</t>
    </r>
    <r>
      <rPr>
        <sz val="7"/>
        <rFont val="Times New Roman"/>
        <family val="1"/>
      </rPr>
      <t xml:space="preserve"> </t>
    </r>
    <r>
      <rPr>
        <sz val="7"/>
        <rFont val="Calibri"/>
        <family val="1"/>
      </rPr>
      <t>INFORMÁTICA</t>
    </r>
    <r>
      <rPr>
        <sz val="7"/>
        <rFont val="Times New Roman"/>
        <family val="1"/>
      </rPr>
      <t xml:space="preserve"> </t>
    </r>
    <r>
      <rPr>
        <sz val="7"/>
        <rFont val="Calibri"/>
        <family val="1"/>
      </rPr>
      <t>(RJ45)</t>
    </r>
  </si>
  <si>
    <r>
      <rPr>
        <sz val="7"/>
        <rFont val="Calibri"/>
        <family val="1"/>
      </rPr>
      <t>MÓDULO</t>
    </r>
    <r>
      <rPr>
        <sz val="7"/>
        <rFont val="Times New Roman"/>
        <family val="1"/>
      </rPr>
      <t xml:space="preserve"> </t>
    </r>
    <r>
      <rPr>
        <sz val="7"/>
        <rFont val="Calibri"/>
        <family val="1"/>
      </rPr>
      <t>TOMADA</t>
    </r>
    <r>
      <rPr>
        <sz val="7"/>
        <rFont val="Times New Roman"/>
        <family val="1"/>
      </rPr>
      <t xml:space="preserve"> </t>
    </r>
    <r>
      <rPr>
        <sz val="7"/>
        <rFont val="Calibri"/>
        <family val="1"/>
      </rPr>
      <t>DE</t>
    </r>
    <r>
      <rPr>
        <sz val="7"/>
        <rFont val="Times New Roman"/>
        <family val="1"/>
      </rPr>
      <t xml:space="preserve"> </t>
    </r>
    <r>
      <rPr>
        <sz val="7"/>
        <rFont val="Calibri"/>
        <family val="1"/>
      </rPr>
      <t>COMUNICAÇÃO</t>
    </r>
    <r>
      <rPr>
        <sz val="7"/>
        <rFont val="Times New Roman"/>
        <family val="1"/>
      </rPr>
      <t xml:space="preserve"> </t>
    </r>
    <r>
      <rPr>
        <sz val="7"/>
        <rFont val="Calibri"/>
        <family val="1"/>
      </rPr>
      <t>-</t>
    </r>
    <r>
      <rPr>
        <sz val="7"/>
        <rFont val="Times New Roman"/>
        <family val="1"/>
      </rPr>
      <t xml:space="preserve"> </t>
    </r>
    <r>
      <rPr>
        <sz val="7"/>
        <rFont val="Calibri"/>
        <family val="1"/>
      </rPr>
      <t>P/</t>
    </r>
    <r>
      <rPr>
        <sz val="7"/>
        <rFont val="Times New Roman"/>
        <family val="1"/>
      </rPr>
      <t xml:space="preserve"> </t>
    </r>
    <r>
      <rPr>
        <sz val="7"/>
        <rFont val="Calibri"/>
        <family val="1"/>
      </rPr>
      <t>CABO</t>
    </r>
    <r>
      <rPr>
        <sz val="7"/>
        <rFont val="Times New Roman"/>
        <family val="1"/>
      </rPr>
      <t xml:space="preserve"> </t>
    </r>
    <r>
      <rPr>
        <sz val="7"/>
        <rFont val="Calibri"/>
        <family val="1"/>
      </rPr>
      <t>COAXIAL</t>
    </r>
    <r>
      <rPr>
        <sz val="7"/>
        <rFont val="Times New Roman"/>
        <family val="1"/>
      </rPr>
      <t xml:space="preserve"> </t>
    </r>
    <r>
      <rPr>
        <sz val="7"/>
        <rFont val="Calibri"/>
        <family val="1"/>
      </rPr>
      <t>TERMINAL</t>
    </r>
  </si>
  <si>
    <r>
      <rPr>
        <sz val="7"/>
        <rFont val="Calibri"/>
        <family val="1"/>
      </rPr>
      <t>MÓDULO</t>
    </r>
    <r>
      <rPr>
        <sz val="7"/>
        <rFont val="Times New Roman"/>
        <family val="1"/>
      </rPr>
      <t xml:space="preserve"> </t>
    </r>
    <r>
      <rPr>
        <sz val="7"/>
        <rFont val="Calibri"/>
        <family val="1"/>
      </rPr>
      <t>TOMADA</t>
    </r>
    <r>
      <rPr>
        <sz val="7"/>
        <rFont val="Times New Roman"/>
        <family val="1"/>
      </rPr>
      <t xml:space="preserve"> </t>
    </r>
    <r>
      <rPr>
        <sz val="7"/>
        <rFont val="Calibri"/>
        <family val="1"/>
      </rPr>
      <t>DE</t>
    </r>
    <r>
      <rPr>
        <sz val="7"/>
        <rFont val="Times New Roman"/>
        <family val="1"/>
      </rPr>
      <t xml:space="preserve"> </t>
    </r>
    <r>
      <rPr>
        <sz val="7"/>
        <rFont val="Calibri"/>
        <family val="1"/>
      </rPr>
      <t>COMUNICAÇÃO</t>
    </r>
    <r>
      <rPr>
        <sz val="7"/>
        <rFont val="Times New Roman"/>
        <family val="1"/>
      </rPr>
      <t xml:space="preserve"> </t>
    </r>
    <r>
      <rPr>
        <sz val="7"/>
        <rFont val="Calibri"/>
        <family val="1"/>
      </rPr>
      <t>-</t>
    </r>
    <r>
      <rPr>
        <sz val="7"/>
        <rFont val="Times New Roman"/>
        <family val="1"/>
      </rPr>
      <t xml:space="preserve"> </t>
    </r>
    <r>
      <rPr>
        <sz val="7"/>
        <rFont val="Calibri"/>
        <family val="1"/>
      </rPr>
      <t>TELEFÔNICA</t>
    </r>
    <r>
      <rPr>
        <sz val="7"/>
        <rFont val="Times New Roman"/>
        <family val="1"/>
      </rPr>
      <t xml:space="preserve"> </t>
    </r>
    <r>
      <rPr>
        <sz val="7"/>
        <rFont val="Calibri"/>
        <family val="1"/>
      </rPr>
      <t>(RJ11)</t>
    </r>
  </si>
  <si>
    <r>
      <rPr>
        <sz val="7"/>
        <rFont val="Calibri"/>
        <family val="1"/>
      </rPr>
      <t>PLACA</t>
    </r>
    <r>
      <rPr>
        <sz val="7"/>
        <rFont val="Times New Roman"/>
        <family val="1"/>
      </rPr>
      <t xml:space="preserve"> </t>
    </r>
    <r>
      <rPr>
        <sz val="7"/>
        <rFont val="Calibri"/>
        <family val="1"/>
      </rPr>
      <t>4X2"</t>
    </r>
    <r>
      <rPr>
        <sz val="7"/>
        <rFont val="Times New Roman"/>
        <family val="1"/>
      </rPr>
      <t xml:space="preserve"> </t>
    </r>
    <r>
      <rPr>
        <sz val="7"/>
        <rFont val="Calibri"/>
        <family val="1"/>
      </rPr>
      <t>|</t>
    </r>
    <r>
      <rPr>
        <sz val="7"/>
        <rFont val="Times New Roman"/>
        <family val="1"/>
      </rPr>
      <t xml:space="preserve"> </t>
    </r>
    <r>
      <rPr>
        <sz val="7"/>
        <rFont val="Calibri"/>
        <family val="1"/>
      </rPr>
      <t>01</t>
    </r>
    <r>
      <rPr>
        <sz val="7"/>
        <rFont val="Times New Roman"/>
        <family val="1"/>
      </rPr>
      <t xml:space="preserve"> </t>
    </r>
    <r>
      <rPr>
        <sz val="7"/>
        <rFont val="Calibri"/>
        <family val="1"/>
      </rPr>
      <t>MÓDULO</t>
    </r>
  </si>
  <si>
    <r>
      <rPr>
        <sz val="7"/>
        <rFont val="Calibri"/>
        <family val="1"/>
      </rPr>
      <t>PLACA</t>
    </r>
    <r>
      <rPr>
        <sz val="7"/>
        <rFont val="Times New Roman"/>
        <family val="1"/>
      </rPr>
      <t xml:space="preserve"> </t>
    </r>
    <r>
      <rPr>
        <sz val="7"/>
        <rFont val="Calibri"/>
        <family val="1"/>
      </rPr>
      <t>4X2"</t>
    </r>
    <r>
      <rPr>
        <sz val="7"/>
        <rFont val="Times New Roman"/>
        <family val="1"/>
      </rPr>
      <t xml:space="preserve"> </t>
    </r>
    <r>
      <rPr>
        <sz val="7"/>
        <rFont val="Calibri"/>
        <family val="1"/>
      </rPr>
      <t>|</t>
    </r>
    <r>
      <rPr>
        <sz val="7"/>
        <rFont val="Times New Roman"/>
        <family val="1"/>
      </rPr>
      <t xml:space="preserve"> </t>
    </r>
    <r>
      <rPr>
        <sz val="7"/>
        <rFont val="Calibri"/>
        <family val="1"/>
      </rPr>
      <t>CEGA</t>
    </r>
  </si>
  <si>
    <r>
      <rPr>
        <sz val="7"/>
        <rFont val="Calibri"/>
        <family val="1"/>
      </rPr>
      <t>PLACA</t>
    </r>
    <r>
      <rPr>
        <sz val="7"/>
        <rFont val="Times New Roman"/>
        <family val="1"/>
      </rPr>
      <t xml:space="preserve"> </t>
    </r>
    <r>
      <rPr>
        <sz val="7"/>
        <rFont val="Calibri"/>
        <family val="1"/>
      </rPr>
      <t>4X4"</t>
    </r>
    <r>
      <rPr>
        <sz val="7"/>
        <rFont val="Times New Roman"/>
        <family val="1"/>
      </rPr>
      <t xml:space="preserve"> </t>
    </r>
    <r>
      <rPr>
        <sz val="7"/>
        <rFont val="Calibri"/>
        <family val="1"/>
      </rPr>
      <t>|</t>
    </r>
    <r>
      <rPr>
        <sz val="7"/>
        <rFont val="Times New Roman"/>
        <family val="1"/>
      </rPr>
      <t xml:space="preserve"> </t>
    </r>
    <r>
      <rPr>
        <sz val="7"/>
        <rFont val="Calibri"/>
        <family val="1"/>
      </rPr>
      <t>01</t>
    </r>
    <r>
      <rPr>
        <sz val="7"/>
        <rFont val="Times New Roman"/>
        <family val="1"/>
      </rPr>
      <t xml:space="preserve"> </t>
    </r>
    <r>
      <rPr>
        <sz val="7"/>
        <rFont val="Calibri"/>
        <family val="1"/>
      </rPr>
      <t>MÓDULOS</t>
    </r>
  </si>
  <si>
    <r>
      <rPr>
        <sz val="7"/>
        <rFont val="Calibri"/>
        <family val="1"/>
      </rPr>
      <t>PLACA</t>
    </r>
    <r>
      <rPr>
        <sz val="7"/>
        <rFont val="Times New Roman"/>
        <family val="1"/>
      </rPr>
      <t xml:space="preserve"> </t>
    </r>
    <r>
      <rPr>
        <sz val="7"/>
        <rFont val="Calibri"/>
        <family val="1"/>
      </rPr>
      <t>4X4"</t>
    </r>
    <r>
      <rPr>
        <sz val="7"/>
        <rFont val="Times New Roman"/>
        <family val="1"/>
      </rPr>
      <t xml:space="preserve"> </t>
    </r>
    <r>
      <rPr>
        <sz val="7"/>
        <rFont val="Calibri"/>
        <family val="1"/>
      </rPr>
      <t>|</t>
    </r>
    <r>
      <rPr>
        <sz val="7"/>
        <rFont val="Times New Roman"/>
        <family val="1"/>
      </rPr>
      <t xml:space="preserve"> </t>
    </r>
    <r>
      <rPr>
        <sz val="7"/>
        <rFont val="Calibri"/>
        <family val="1"/>
      </rPr>
      <t>02</t>
    </r>
    <r>
      <rPr>
        <sz val="7"/>
        <rFont val="Times New Roman"/>
        <family val="1"/>
      </rPr>
      <t xml:space="preserve"> </t>
    </r>
    <r>
      <rPr>
        <sz val="7"/>
        <rFont val="Calibri"/>
        <family val="1"/>
      </rPr>
      <t>MÓDULOS</t>
    </r>
  </si>
  <si>
    <r>
      <rPr>
        <sz val="7"/>
        <rFont val="Calibri"/>
        <family val="1"/>
      </rPr>
      <t>SUPORTE</t>
    </r>
    <r>
      <rPr>
        <sz val="7"/>
        <rFont val="Times New Roman"/>
        <family val="1"/>
      </rPr>
      <t xml:space="preserve"> </t>
    </r>
    <r>
      <rPr>
        <sz val="7"/>
        <rFont val="Calibri"/>
        <family val="1"/>
      </rPr>
      <t>PARA</t>
    </r>
    <r>
      <rPr>
        <sz val="7"/>
        <rFont val="Times New Roman"/>
        <family val="1"/>
      </rPr>
      <t xml:space="preserve"> </t>
    </r>
    <r>
      <rPr>
        <sz val="7"/>
        <rFont val="Calibri"/>
        <family val="1"/>
      </rPr>
      <t>MÓDULOS</t>
    </r>
    <r>
      <rPr>
        <sz val="7"/>
        <rFont val="Times New Roman"/>
        <family val="1"/>
      </rPr>
      <t xml:space="preserve"> </t>
    </r>
    <r>
      <rPr>
        <sz val="7"/>
        <rFont val="Calibri"/>
        <family val="1"/>
      </rPr>
      <t>4X2"</t>
    </r>
    <r>
      <rPr>
        <sz val="7"/>
        <rFont val="Times New Roman"/>
        <family val="1"/>
      </rPr>
      <t xml:space="preserve"> </t>
    </r>
    <r>
      <rPr>
        <sz val="7"/>
        <rFont val="Calibri"/>
        <family val="1"/>
      </rPr>
      <t>|</t>
    </r>
    <r>
      <rPr>
        <sz val="7"/>
        <rFont val="Times New Roman"/>
        <family val="1"/>
      </rPr>
      <t xml:space="preserve"> </t>
    </r>
    <r>
      <rPr>
        <sz val="7"/>
        <rFont val="Calibri"/>
        <family val="1"/>
      </rPr>
      <t>03</t>
    </r>
    <r>
      <rPr>
        <sz val="7"/>
        <rFont val="Times New Roman"/>
        <family val="1"/>
      </rPr>
      <t xml:space="preserve"> </t>
    </r>
    <r>
      <rPr>
        <sz val="7"/>
        <rFont val="Calibri"/>
        <family val="1"/>
      </rPr>
      <t>MÓDULOS</t>
    </r>
  </si>
  <si>
    <r>
      <rPr>
        <sz val="7"/>
        <rFont val="Calibri"/>
        <family val="1"/>
      </rPr>
      <t>SUPORTE</t>
    </r>
    <r>
      <rPr>
        <sz val="7"/>
        <rFont val="Times New Roman"/>
        <family val="1"/>
      </rPr>
      <t xml:space="preserve"> </t>
    </r>
    <r>
      <rPr>
        <sz val="7"/>
        <rFont val="Calibri"/>
        <family val="1"/>
      </rPr>
      <t>PARA</t>
    </r>
    <r>
      <rPr>
        <sz val="7"/>
        <rFont val="Times New Roman"/>
        <family val="1"/>
      </rPr>
      <t xml:space="preserve"> </t>
    </r>
    <r>
      <rPr>
        <sz val="7"/>
        <rFont val="Calibri"/>
        <family val="1"/>
      </rPr>
      <t>MÓDULOS</t>
    </r>
    <r>
      <rPr>
        <sz val="7"/>
        <rFont val="Times New Roman"/>
        <family val="1"/>
      </rPr>
      <t xml:space="preserve"> </t>
    </r>
    <r>
      <rPr>
        <sz val="7"/>
        <rFont val="Calibri"/>
        <family val="1"/>
      </rPr>
      <t>4X4"</t>
    </r>
    <r>
      <rPr>
        <sz val="7"/>
        <rFont val="Times New Roman"/>
        <family val="1"/>
      </rPr>
      <t xml:space="preserve"> </t>
    </r>
    <r>
      <rPr>
        <sz val="7"/>
        <rFont val="Calibri"/>
        <family val="1"/>
      </rPr>
      <t>|</t>
    </r>
    <r>
      <rPr>
        <sz val="7"/>
        <rFont val="Times New Roman"/>
        <family val="1"/>
      </rPr>
      <t xml:space="preserve"> </t>
    </r>
    <r>
      <rPr>
        <sz val="7"/>
        <rFont val="Calibri"/>
        <family val="1"/>
      </rPr>
      <t>06</t>
    </r>
    <r>
      <rPr>
        <sz val="7"/>
        <rFont val="Times New Roman"/>
        <family val="1"/>
      </rPr>
      <t xml:space="preserve"> </t>
    </r>
    <r>
      <rPr>
        <sz val="7"/>
        <rFont val="Calibri"/>
        <family val="1"/>
      </rPr>
      <t>MÓDULOS</t>
    </r>
  </si>
  <si>
    <t>ELÉTRICA</t>
  </si>
  <si>
    <t>Contrato disponibilizado pela Kirchner: Considerado 70% do valor do custo da mão de obra para elétrica e 30% para telecom</t>
  </si>
  <si>
    <t>TELECOM</t>
  </si>
  <si>
    <t>EXAUSTÃO</t>
  </si>
  <si>
    <t>Valor de contrato disponibilizado pela Kirchner</t>
  </si>
  <si>
    <t>Intslações SPDA</t>
  </si>
  <si>
    <t>BARRAS DE AÇO DE ALUMINIO</t>
  </si>
  <si>
    <t>Barra redonda de aço, Ø8mm (50mm²), Re-bar, em barras de 3m</t>
  </si>
  <si>
    <t>Termotécnica Ref.TEL-762</t>
  </si>
  <si>
    <t>Barra redonda de aço, Ø10mm (80mm²), Re-bar, em barras de 3m</t>
  </si>
  <si>
    <t>Termotécnica Ref.TEL-768</t>
  </si>
  <si>
    <t>Cabo de cobre nú #16mm², conforme NBR6524</t>
  </si>
  <si>
    <t>Termotécnica Ref.TEL-5716</t>
  </si>
  <si>
    <t>Barras Chatas em Alumínio,  7/8″ x 1/8″ (70mm²), com Furos Ø7 mm</t>
  </si>
  <si>
    <t>Termotécnica Ref. TEL-771</t>
  </si>
  <si>
    <t>Caixa de Equipotencialização com 5 Terminais para uso Interno e Externo, 180x150x90mm, em Polipropileno</t>
  </si>
  <si>
    <t>180x150x90mm</t>
  </si>
  <si>
    <t>Clip de aço galvanizado para conexão de barras de 8 a 10 mm de diâmetro</t>
  </si>
  <si>
    <t>8 a 10 mm</t>
  </si>
  <si>
    <t>Curva 90° de Barra Chata em Alumínio, 7/8″ x 1/8″ x 300 mm (70mm²)</t>
  </si>
  <si>
    <t>7/8″ x 1/8″ x 300 mm (70mm²)</t>
  </si>
  <si>
    <t>Curva 90° Horizontal de Barra Chata em Cobre, 7/8″ x 1/8″ x 300mm (70mm²)</t>
  </si>
  <si>
    <t>7/8″ x 1/8″ x 300mm (70mm²)</t>
  </si>
  <si>
    <t>Minicaptor em Barra Chata de Alumínio, 7/8″ x 1/8″ x 300 mm</t>
  </si>
  <si>
    <t>7/8″ x 1/8″ x 300 mm</t>
  </si>
  <si>
    <t>Parafuso Autoatarrachante em Aço Inox, Ø4,2 x 32mm, fornecido com bucha de nylon</t>
  </si>
  <si>
    <t>Ø4,2 x 32mm</t>
  </si>
  <si>
    <t>Parafuso sextavado em Aço Inox, M6x60mm, fornecido com bucha de nylon</t>
  </si>
  <si>
    <t>M6x60mm</t>
  </si>
  <si>
    <t>Parafusos Cabeça Chata para Emenda de Barras, Ø1/4″ x7/8″</t>
  </si>
  <si>
    <t>Ø1/4″ x 7/8″</t>
  </si>
  <si>
    <t>Parafusos Cabeça Chata para Emenda de Barras, Ø1/4″ x 5/8″</t>
  </si>
  <si>
    <t>Ø1/4″ x 5/8″</t>
  </si>
  <si>
    <t>Terminal Estanhado 1 Furo 1 Compressão, 50mm²</t>
  </si>
  <si>
    <t>50mm²</t>
  </si>
  <si>
    <t>SPDA</t>
  </si>
  <si>
    <t>Quantitativo de Acabamento Fachada</t>
  </si>
  <si>
    <t xml:space="preserve">ACABAMENTO CERÂMICO DE FACHADA </t>
  </si>
  <si>
    <t>FACHADA</t>
  </si>
  <si>
    <t>REVESTIMENTO CERÂMICO - AMADEIRADO (m2)</t>
  </si>
  <si>
    <t>PASTILHA (m2)</t>
  </si>
  <si>
    <t>REVESTIMENTO CERÃMICO MARMORIZADO (m2)</t>
  </si>
  <si>
    <t>BRISE (m2)</t>
  </si>
  <si>
    <t>FRENTE</t>
  </si>
  <si>
    <t>POSTERIOR</t>
  </si>
  <si>
    <t>DIREITA</t>
  </si>
  <si>
    <t>ESQUERDA</t>
  </si>
  <si>
    <t>JUNTA DE DILATAÇÃO</t>
  </si>
  <si>
    <t>JUNTA DE DILATAÇÃO (m)</t>
  </si>
  <si>
    <t>Quantitativo de Acabamento Argamassado - Estrutura</t>
  </si>
  <si>
    <t>REVESTIMENTO ARGAMASSADO EM ESTRUTURA INTERNO</t>
  </si>
  <si>
    <t>PERÍMETRO DE PILARES (m)</t>
  </si>
  <si>
    <t>ALTURA DE PILARES (m)</t>
  </si>
  <si>
    <t>ÁREA TOTAL PILARES INTERNO
(m2)</t>
  </si>
  <si>
    <t>PERÍMETRO DE VIGAS (m)</t>
  </si>
  <si>
    <t>ALTURA DE VIGAS DE BORDA (m)</t>
  </si>
  <si>
    <t>ÁREA TOTAL DE VIGAS m2)</t>
  </si>
  <si>
    <t>ÁREA TOTAL DE REV. ARGAMASSADO EM ESTRUTURA - INTERNO (m2)</t>
  </si>
  <si>
    <t>ÁREA DE REBOCO E CHAPISCO EM ESTRUTURA</t>
  </si>
  <si>
    <t>ÁREA DE TEXTURA EM ESTRUTURA</t>
  </si>
  <si>
    <t>ÁREA DE EMASSAMENTO E PINTURA EM ESTRUTURA</t>
  </si>
  <si>
    <t>REVESTIMENTO ARGAMASSADO EM ESTRUTURA EXTERNO</t>
  </si>
  <si>
    <t>ÁREA TOTAL PILARES EXTERNOS
(m2)</t>
  </si>
  <si>
    <t>ÁREA DE BLOCOS DE FACHADA
m2</t>
  </si>
  <si>
    <t>ÁREA TOTAL DE VER. ARGAMASSADO EM ESTRUTURA - EXTERNO (m2)</t>
  </si>
  <si>
    <t>ARGAMASSADO EM ESTRUTURA</t>
  </si>
  <si>
    <t>Soma: chapisco em alvenaria + chapisco em estrutura</t>
  </si>
  <si>
    <t>Valor estimado por índices históricos</t>
  </si>
  <si>
    <t>Visus</t>
  </si>
  <si>
    <t>Mão de obra para colocação de peitoril e chapim</t>
  </si>
  <si>
    <t>Igual a área de revestimento em porcelanato</t>
  </si>
  <si>
    <t>Soma: assentamento de peitoril e chapim</t>
  </si>
  <si>
    <t>Igual a área do revestimento da piscina</t>
  </si>
  <si>
    <t>Quantitativo de Forro</t>
  </si>
  <si>
    <t>Quantitativo de forro</t>
  </si>
  <si>
    <t>Quantitativo de Revestimento em piso</t>
  </si>
  <si>
    <t>REVESTIMENTO PISO</t>
  </si>
  <si>
    <t>PORCELANATO RETIFICADO 60X60 POLIDO</t>
  </si>
  <si>
    <t>CERÂMICO</t>
  </si>
  <si>
    <t>LAMINADO</t>
  </si>
  <si>
    <t>RODAPÉ POLIESTIRENO RECICLADO BRANCO 10CM - M</t>
  </si>
  <si>
    <t>RODAPÉ EM PORCELANATO 10CM - M</t>
  </si>
  <si>
    <t>RODAPÉ EM CERÂMICA 10CM - M</t>
  </si>
  <si>
    <t>CONCRETO POLIDO</t>
  </si>
  <si>
    <t>PASTILHA PISCINA</t>
  </si>
  <si>
    <t>ANTECAMARA</t>
  </si>
  <si>
    <t>DEMARCAÇÃO VAGAS - AMARELO</t>
  </si>
  <si>
    <t>PINTURA VAGA PNE - EPÓXI</t>
  </si>
  <si>
    <t>PINTURA VAGA - EPÓXI</t>
  </si>
  <si>
    <t>ANTIDERRAPANTE</t>
  </si>
  <si>
    <t>GRAMA SINTÉTICA</t>
  </si>
  <si>
    <t>PINTURA EPÓXI - CIRCULAÇÃO</t>
  </si>
  <si>
    <t>PINTURA COBERTURA</t>
  </si>
  <si>
    <t>CONTRAPISO (M2)</t>
  </si>
  <si>
    <t>CONTRAPISO ACÚSTICO</t>
  </si>
  <si>
    <t>PISOS</t>
  </si>
  <si>
    <t xml:space="preserve">ÁREA </t>
  </si>
  <si>
    <t>PAISAGISMO</t>
  </si>
  <si>
    <t>REFORÇO DE REDE ELÉTRICA</t>
  </si>
  <si>
    <t>LIMPEZA FINAL DA OBRA</t>
  </si>
  <si>
    <t>DESMOBILIZAÇÃO E MOBILIZAÇÃO</t>
  </si>
  <si>
    <t>LIGAÇÕES DEFINITIVAS</t>
  </si>
  <si>
    <t>COMUNICAÇÃO VISUAL</t>
  </si>
  <si>
    <t xml:space="preserve">Utilizados índices de obras similares </t>
  </si>
  <si>
    <t>Imprevistos 1,5% do valor total do orçamento</t>
  </si>
  <si>
    <t>Quantitativo de Mobiliário</t>
  </si>
  <si>
    <t>MOBILIÁRIO</t>
  </si>
  <si>
    <t>AMBIENTE</t>
  </si>
  <si>
    <t>ITEM</t>
  </si>
  <si>
    <t>QUANTIDADE</t>
  </si>
  <si>
    <t>PREÇO</t>
  </si>
  <si>
    <t>HALL DE SERVIÇO</t>
  </si>
  <si>
    <t>Poltrona Bruges Em Madeira Maciça</t>
  </si>
  <si>
    <t>Tapete Indiano Artesanal em Algodão e Lã Estilo Kilim Auren</t>
  </si>
  <si>
    <t>Conjunto Com 2 Mesas De Centro Veneza Cinamomo E Preto</t>
  </si>
  <si>
    <t>Vaso de Chão (M) C/ Estrelicia 170cm</t>
  </si>
  <si>
    <t xml:space="preserve">Planta natural para interior </t>
  </si>
  <si>
    <t>Conjunto Enfeite Sala Cerâmico Centro de Mesa</t>
  </si>
  <si>
    <t>Aparador Brest</t>
  </si>
  <si>
    <t>FRENTE DO HALL</t>
  </si>
  <si>
    <t>TERRAÇO PISCINA</t>
  </si>
  <si>
    <t>Jogo de Mesa Giratória + 6 Cadeiras Margarida + Guarda Sol</t>
  </si>
  <si>
    <t>Espreguiçadeira Lagos em Alumínio e Tela Sintética</t>
  </si>
  <si>
    <t>ESPAÇO GOURMET</t>
  </si>
  <si>
    <t xml:space="preserve">
Mesa de Jantar Roma Retangular Base Madeira Maciça Design Contemporâneo</t>
  </si>
  <si>
    <t>Cadeira Hillux Madeira Maciça Design Clássico Avi Móveis</t>
  </si>
  <si>
    <t>Banqueta Giratória Zattini Estofada Estrutura Madeira de Manejo</t>
  </si>
  <si>
    <t>Electrolux Cooktop de Indução IE60P 4 zonas e Painel Touch Preto 220V</t>
  </si>
  <si>
    <t>Geladeira Brastemp Frost Free Evox - Duplex 429L Painel Externo BRW50NKANA</t>
  </si>
  <si>
    <t>FORNO DE EMBUTIR ELÉTRICO ELECTROLUX 80L</t>
  </si>
  <si>
    <t>Smart TV QLED 55" 4K UHD Samsung QN55LS03B - The Frame, Wifi, USB</t>
  </si>
  <si>
    <t>Armário Aéreo Madesa Reims 2 Portas de Correr de Vidro Reflex Preto</t>
  </si>
  <si>
    <t>Kit com 2 Balcões de Cozinha Madesa Agata 3 Gavetas 4 Portas (Sem Tampo e Pia) Rustic/Cinza</t>
  </si>
  <si>
    <t>Kit Cuba de Inox 60x42 com Torneira Monocomando Gourmet Cromada 8024</t>
  </si>
  <si>
    <t>Kit Churrasco Cozinha Gril Chef 25 Peças Em Aço Inox Cutel</t>
  </si>
  <si>
    <t>Jogo Kit Conjunto 6 Espetos Para Churrasco Alumínio 3 Retos e 3 Duplos (60cm)</t>
  </si>
  <si>
    <t>Faqueiro Turim, Brinox 5111/118, Aço Inox</t>
  </si>
  <si>
    <t>Aparelho de Jantar, Menu, 16 Peças, Branco, Duralex</t>
  </si>
  <si>
    <t>Conjunto 6 Copos 300ml Oca Nadir</t>
  </si>
  <si>
    <t>1 Lâmpadas de cúpula de sombra redonda de luz Pingente de madeira Luminárias de teto Lâmpada de casa de fazenda com cabo ajustável Luz de suspensão para quarto Cozinha Ilha de luz 11 polegadas Present</t>
  </si>
  <si>
    <t>Jogo de Taças de Vidro Diamond Transparente</t>
  </si>
  <si>
    <t>vasos decorativos de mesa</t>
  </si>
  <si>
    <t>Coifa de Parede Brastemp 60 cm Inox piramidal 4 bocas com duplo filtro - BAI60BR • 220V</t>
  </si>
  <si>
    <t>Brinox, Conjunto Panelas, 8Pcs Ceramic Life Smart Plus, Vanilla</t>
  </si>
  <si>
    <t>SALA DE JOGOS</t>
  </si>
  <si>
    <t>Mesa de Bilhar Versátil 2P Vintage</t>
  </si>
  <si>
    <t>Mesa De Carteado 4 Lugares Redonda Madeira Maciça Jequitibá</t>
  </si>
  <si>
    <t>Mesa de Xadrez Luxo Madeira</t>
  </si>
  <si>
    <t>Taqueira de Parede Bilharts</t>
  </si>
  <si>
    <t>5 Tacos De Bilhar</t>
  </si>
  <si>
    <t>Jogo de Bolas Numeradas 54mm para Sinuca + Bolão Branco</t>
  </si>
  <si>
    <t>My Arcade Dgunl-3200 Fliperama Portátil Retrô Data East Hits De 25cm Com 34 Jogos, My Arcade, Preto - Windows</t>
  </si>
  <si>
    <t>Jogo De Poker Profissional Chips 200 Fichas Com Toalha</t>
  </si>
  <si>
    <t>Uno</t>
  </si>
  <si>
    <t>SALÃO DE FESTAS</t>
  </si>
  <si>
    <t>Mesa de Jantar Diamante Redonda Base Madeira</t>
  </si>
  <si>
    <t>Noir Conrad Chair, Teak with Woven Rope AE-237T</t>
  </si>
  <si>
    <t>Conjunto Panelas</t>
  </si>
  <si>
    <t>TERRAÇO EXTERNO</t>
  </si>
  <si>
    <t>Sofá para Área Havana</t>
  </si>
  <si>
    <t>Sofá para sala e área externa, sofá Londres Slin de aluminio e corda nautica preta</t>
  </si>
  <si>
    <t>Lareira a Gás Externa - Fire Pit Retangular</t>
  </si>
  <si>
    <t>BANCO DE JARDIM RENDADÃO ESTILO PRAÇA 150cm</t>
  </si>
  <si>
    <t>Conjunto Argentina - Mesa + 4 Cadeiras - Alumínio e Fibra Sintética - Original Móveis</t>
  </si>
  <si>
    <t>PLAYGROUND</t>
  </si>
  <si>
    <t>Playground De Madeira Médio Com 12 Brinquedos - Cercado de Madeira</t>
  </si>
  <si>
    <t>Combo de Brinquedos de Ferro</t>
  </si>
  <si>
    <t>RECREAÇÃO INFANTIL</t>
  </si>
  <si>
    <t>Piscina de Bolinhas 1.50 Mts C/ 1500 Bolinhas11395</t>
  </si>
  <si>
    <t>Brinquedos</t>
  </si>
  <si>
    <t>Tapete Térmico Infantil 180cm x 120 cm</t>
  </si>
  <si>
    <t>Kit 10 Tatames 50x50 20mm Econômico (Colorido)</t>
  </si>
  <si>
    <t xml:space="preserve">Cadeira Plástica Infantil </t>
  </si>
  <si>
    <t>Mesa Plástica Infantil Tramontina Dona Chica 64cm x 50cm Rosa</t>
  </si>
  <si>
    <t>ESPAÇO FITNESS</t>
  </si>
  <si>
    <t>Dream Fitness CONCEPT 2.5 - Esteira Eletrônica BIVOLT, Preto</t>
  </si>
  <si>
    <t>Leg Press 45º Profissional</t>
  </si>
  <si>
    <t>Dream Fitness Vertical MAX V - Bicicleta Ergométrica, PRETO</t>
  </si>
  <si>
    <t>Estação de musculação x2000/torre de peso 72 kg/ completa carenada/ linha condominios</t>
  </si>
  <si>
    <t>Estação musculação, banco de supino gallant elite x gbs1h01a-pt- preto</t>
  </si>
  <si>
    <t>Suporte de Anilha 500 kg</t>
  </si>
  <si>
    <t>Barra Guiada Smith Stander Móvel</t>
  </si>
  <si>
    <t>Cross Over Profissional</t>
  </si>
  <si>
    <t>Cadeira Flexora/ Extensora Profissional 120kg</t>
  </si>
  <si>
    <t>Academia Particular Polimet Polimet Unissex Preto</t>
  </si>
  <si>
    <t>Bola Pilates 65cm C/Bomba Cinza Yoga Abdominal Ginástica Fitness</t>
  </si>
  <si>
    <t>Elíptico Transport L100 Podiumfit Magnético 8carga</t>
  </si>
  <si>
    <t>Kit 10 Colchonete Altadensidade Academia Exercício Ginástica- Azul, , COLOR Azul</t>
  </si>
  <si>
    <t>Rack Grande Retrô para TV 65 Pol. 160 x 59 Cm 3 Portas MDP Champanhe 0673 - Menu Móveis
Código eef6fbh3k6Menu Móveis</t>
  </si>
  <si>
    <t>Halter Dumbbell Sextavado 4kg (2un.</t>
  </si>
  <si>
    <t>Kit Halter Emborrachado 1kg E 2kg 02 Pares</t>
  </si>
  <si>
    <t>Suporte Torre para 5 Pares de Halteres</t>
  </si>
  <si>
    <t>ESPAÇO FUNCIONAL</t>
  </si>
  <si>
    <t>Tapete (Yoga, Pilates, Fitness, Ginástica) - Preto Macio 1,70m x 60cm</t>
  </si>
  <si>
    <t>Tapete de Yoga Atrio PVC, Multilaser, Preto - ES311, padrão</t>
  </si>
  <si>
    <t>Kit Anilhas 50kg + 2 Barras 40cm + Barra 160 + Barra 120 + W</t>
  </si>
  <si>
    <t>Jump Profissional P/ 150 Kg Resistente 6 pés</t>
  </si>
  <si>
    <t>SALA DE MASSAGENS</t>
  </si>
  <si>
    <t>Escrivaninha De Madeira Linz 80 x 176 x 50 cm</t>
  </si>
  <si>
    <t xml:space="preserve">Cama de Massagem Oasis Estrutura de Madeira com Regulagem </t>
  </si>
  <si>
    <t>SOMA TOTAL</t>
  </si>
  <si>
    <t>mais 20%</t>
  </si>
  <si>
    <t>MINI QUADRA POLIESPORTIVA</t>
  </si>
  <si>
    <t>Refletor LED de alta eficiência 150W IP66 (instalado)</t>
  </si>
  <si>
    <t>Tabela de basquete com estrutura</t>
  </si>
  <si>
    <t>Trave de futsal</t>
  </si>
  <si>
    <t>mastro de volei</t>
  </si>
  <si>
    <t>rede de proteção teto, fechamento</t>
  </si>
  <si>
    <t>Rede de Vôlei 5 metros 4 Lonas</t>
  </si>
  <si>
    <t>Raquete de tênis, Moniss 2 raquetes de tênis infantil raquete de tênis de corda com 1 bola</t>
  </si>
  <si>
    <t>MIKASA , Bola De Vôlei Praia Vxl30 Unissex, Azul/Branco/Amarelo (Blue/White/Red), 5</t>
  </si>
  <si>
    <t>total</t>
  </si>
  <si>
    <t>MOBILIÁRIO E QUADRA</t>
  </si>
  <si>
    <t>CALÇADA EM BLOCO INTERTRAVADO</t>
  </si>
  <si>
    <t>PISO PODOTÁTIL DE ALERTA</t>
  </si>
  <si>
    <t>Soma de acabamentos cerâmicos em piso</t>
  </si>
  <si>
    <t>Total de piso laminado</t>
  </si>
  <si>
    <t>Total de rodapé de poliestireno</t>
  </si>
  <si>
    <t>Total de soleira</t>
  </si>
  <si>
    <t>Total de rodapé de porcelanato/ cerâmica</t>
  </si>
  <si>
    <t>Soma de contrapiso comum e contrapiso acústico</t>
  </si>
  <si>
    <t>Soma total de portas de madeira</t>
  </si>
  <si>
    <t>Mão de obra para instalação de portas de madeira</t>
  </si>
  <si>
    <t>Soma total de reboco externo</t>
  </si>
  <si>
    <t>Total de revestimento de pastilha</t>
  </si>
  <si>
    <t>Mão de obra para colocação e rejuntamentamento de pastilha</t>
  </si>
  <si>
    <t>Mão de obra para colocação e rejuntamento de porcelanato em fachada</t>
  </si>
  <si>
    <t>Total de revestimento de porcelanato</t>
  </si>
  <si>
    <t>Total de textura em fachada</t>
  </si>
  <si>
    <t>Total de junta de dilatação</t>
  </si>
  <si>
    <t xml:space="preserve">Mão de obra para aplicação de textura </t>
  </si>
  <si>
    <t>Mão de obra para execução de reboco externo</t>
  </si>
  <si>
    <t>Mão de obra para execução de tratamento de junta de dilatação</t>
  </si>
  <si>
    <t>Juntas de dilatação com tarugo de polietileno</t>
  </si>
  <si>
    <t>Total de piso direcional</t>
  </si>
  <si>
    <t>Total de calçada em bloco intertrado</t>
  </si>
  <si>
    <t>LEVANTAMENTO QUANTITATIVO</t>
  </si>
  <si>
    <t>Equipamentos de proteção coletiva</t>
  </si>
  <si>
    <t>Bandejas de proteção</t>
  </si>
  <si>
    <t>Descrição</t>
  </si>
  <si>
    <t>Perímetro de projeção do embasamento</t>
  </si>
  <si>
    <t>Perímetro de projeção da torre</t>
  </si>
  <si>
    <t>Número de montagens de bandeja primária</t>
  </si>
  <si>
    <t>Número de montagens de bandeja secundária</t>
  </si>
  <si>
    <t>Bandeja de proteção primária</t>
  </si>
  <si>
    <t>Bandeja de proteção secundária</t>
  </si>
  <si>
    <t>Guarda - corpo de desforma</t>
  </si>
  <si>
    <t xml:space="preserve">Perímetro de projeção do embasamento </t>
  </si>
  <si>
    <t>Repetições de pavimentos</t>
  </si>
  <si>
    <t xml:space="preserve">Proteção de periferia pós desforma </t>
  </si>
  <si>
    <t>Tela fachadeira</t>
  </si>
  <si>
    <t>Perímetro de projeção embasamento</t>
  </si>
  <si>
    <t>Perímetro de projeção torre</t>
  </si>
  <si>
    <t>Altura do embasamento</t>
  </si>
  <si>
    <t>Altura da torre</t>
  </si>
  <si>
    <t xml:space="preserve">Fechamento removível de vãos em madeira </t>
  </si>
  <si>
    <t xml:space="preserve">Largura das portas de elevadores </t>
  </si>
  <si>
    <t>Quantidade de portas de elevadores</t>
  </si>
  <si>
    <t>Sinalização com placa indicativa fixada na estrutura por pregos</t>
  </si>
  <si>
    <t>Dimensão padrão da placa - 30x20cm</t>
  </si>
  <si>
    <t>Quantidade de placas por pavimento</t>
  </si>
  <si>
    <t>Quantidade de pavimentos</t>
  </si>
  <si>
    <t>Área total de placas</t>
  </si>
  <si>
    <t>Tapume</t>
  </si>
  <si>
    <t>Perímetro de embasamento</t>
  </si>
  <si>
    <t>Altura do tapume</t>
  </si>
  <si>
    <t>Cobertura para proteção de pedestres</t>
  </si>
  <si>
    <t>Guarda - corpo de vãos: aplicado em metragens de esquadrias periféricas (guarda - corpo  de sacadas)</t>
  </si>
  <si>
    <t>Perímetro de sacadas</t>
  </si>
  <si>
    <t>Rede de proteção tipo SQLA Leve</t>
  </si>
  <si>
    <t>Perímetro da torre</t>
  </si>
  <si>
    <t>Altura entre platibanda da cobertura e última bandeja secundária</t>
  </si>
  <si>
    <t>Área de rede de proteção</t>
  </si>
  <si>
    <t>EPC's</t>
  </si>
  <si>
    <t>Perímetro da cobertura x espessura de 65cm (proj. arquitetônico)</t>
  </si>
  <si>
    <t>Mão de obra alterada de R$220/m2 para R$188/m2</t>
  </si>
  <si>
    <t>Mão de obra para execução de supraestrutura</t>
  </si>
  <si>
    <t>Mão de obra para execução de supraestrutura (Lajes G1 e Lazer)</t>
  </si>
  <si>
    <t>Áreas de lajes (Exceto G1 e Lazer)</t>
  </si>
  <si>
    <t>Áreas de lajes - G1 e Lazer</t>
  </si>
  <si>
    <t>Adicionado as lajes G1 e Lazer separadas, valor  R$188*1,3</t>
  </si>
  <si>
    <t>Cubetas 540x540x180 - Compra</t>
  </si>
  <si>
    <t>Cubetas 270x540x180 - Compra</t>
  </si>
  <si>
    <t>Escoras metálicas - Compra</t>
  </si>
  <si>
    <t>Esquadrias de Alumínio - Fornecimento e mão de obra</t>
  </si>
  <si>
    <t>Guarda-corpo de alumínio e vidro - fornecimento e mão de obra</t>
  </si>
  <si>
    <t>Contramarco de alumínio - fixação com argamassa</t>
  </si>
  <si>
    <t>Porta de madeira de abrir 60x210cm, fixação e ferragens</t>
  </si>
  <si>
    <t>Porta de madeira de abrir 70x210cm, fixação e ferragens</t>
  </si>
  <si>
    <t>Porta de madeira de abrir 80x210cm, fixação e ferragens</t>
  </si>
  <si>
    <t>Porta de madeira de abrir 90x210cm, fixação e ferragens</t>
  </si>
  <si>
    <t>Porta corta fogo em aço galvanizado, 90 x 210cm - fornecimento e instalação, incluindo pintura, dobradiças e maçaneta</t>
  </si>
  <si>
    <t>Considerado 14 utilizações das formas, como são 20 pavimentos, para o cálculo da fabricação das formas: soma das fromas dividido por 20, multiplicado por 2 fabricações para atender todos os pavimentos</t>
  </si>
  <si>
    <t>FABRICAÇÃO DAS FORMAS</t>
  </si>
  <si>
    <t>CONSIDERANDO 14 UTILIZAÇÕES - 2 FABRIÇAÇÃO VISTO QUE SÃO 20 PAVIMENTOS</t>
  </si>
  <si>
    <t>Escavação mecanizada para blocos e baldrames</t>
  </si>
  <si>
    <t>Fabricação, montagem e desmontagem de fôrma para bloco, vigas de transição e baldrames, em tábua de madeira</t>
  </si>
  <si>
    <t xml:space="preserve">Fabricação de forma para pilares e estruturas similares, em chapa de madeira compensada plastificada 1,10x2,20m </t>
  </si>
  <si>
    <t xml:space="preserve">Fabricação de forma para vigas e estruturas similares, em chapa de madeira compensada plastificada 1,10x2,20m </t>
  </si>
  <si>
    <t xml:space="preserve">Fabricação de forma para lajes e estruturas similares, em chapa de madeira compensada plastificada 1,10x2,20m </t>
  </si>
  <si>
    <t xml:space="preserve">Fabricação de forma para escadas, rampas e estruturas similares, em chapa de madeira compensada plastificada 1,10x2,20m </t>
  </si>
  <si>
    <t>Valor do madeirite plastificado 1,10x2,20m alterado para R$118, conforme passado pela Kircnher</t>
  </si>
  <si>
    <t>Concreto usinado bombeável para estacas fck 40MPa, com bombeamento</t>
  </si>
  <si>
    <t>Alterado valor de concreto para R$500 + R$40 bombeamento, considerando o desperdício na composição</t>
  </si>
  <si>
    <t>Alterado o valor da tela soldada nervurada Q-92 de 277,25 para R$139. Considerado desperdício na composição</t>
  </si>
  <si>
    <t>Item adicionado conforme custos passado pela Kirchner</t>
  </si>
  <si>
    <t>Armação aço CA-50, diâmetro 6,3mm para infraestrutura, corte e dobra em obra</t>
  </si>
  <si>
    <t>Reaterro mecanizado para blocos e baldrames com retroescavadeira</t>
  </si>
  <si>
    <t>Lastro de concreto magro, aplicado em blocos e baldrames, espessura 10cm</t>
  </si>
  <si>
    <t>Movimentação de terra para bota-fora de escavação de blocos e baldrames</t>
  </si>
  <si>
    <t>Perfuração de estacas em hélice contínuadiâmetro 50cm</t>
  </si>
  <si>
    <t>Perfuração de estacas em hélice contínua diâmetro 60cm</t>
  </si>
  <si>
    <t>Armação aço CA-60, diâmetro 5,0mm para infraestrutura, corte e dobra em obra</t>
  </si>
  <si>
    <t>Armação aço CA-50, diâmetro 6,3mm parainfraestrutura, corte e dobra em obra</t>
  </si>
  <si>
    <t>Armação aço CA-50, diâmetro 8,0mm para infraestrutura, corte e dobra em obra (+)</t>
  </si>
  <si>
    <t>Armação aço CA-50, diâmetro 10,0mm para infraestrutura, corte e dobra em obra</t>
  </si>
  <si>
    <t>Armação aço CA-50, diâmetro 12,5mm para infraestrutura, corte e dobra em obra</t>
  </si>
  <si>
    <t>Armação aço CA-50, diâmetro 16,0mm para infraestrutura, corte e dobra em obra</t>
  </si>
  <si>
    <t>Armação aço CA-50, diâmetro 20,0mm para infraestrutura, corte e dobra em obra</t>
  </si>
  <si>
    <t>Valores de aço e arame recozido atualizados de acordo com preços disponibilizados pela Kirchner</t>
  </si>
  <si>
    <t>Mão de obra para execução de infraestrutura</t>
  </si>
  <si>
    <t>Montagem e desmontagem de forma para pilar, em chapa de madeira compensada</t>
  </si>
  <si>
    <t>Montagem e desmontagem de forma para vigas, em chapa de madeira compensada</t>
  </si>
  <si>
    <t>Montagem e desmontagem de forma para lajes, em chapa de madeira compensada</t>
  </si>
  <si>
    <t>Montagem e desmontagem de forma para escadas e rampas, em chapa de madeira compensada</t>
  </si>
  <si>
    <t>Armação aço CA-60, diâmetro 5,0mm para supraestrutura, corte e dobra em obra</t>
  </si>
  <si>
    <t>Armação aço CA-50, diâmetro 6,3mm para supraestrutura, corte e dobra em obra</t>
  </si>
  <si>
    <t>Armação aço CA-50, diâmetro 8,0mm para supraestrutura, corte e dobra em obra (+)</t>
  </si>
  <si>
    <t>Armação aço CA-50, diâmetro 10,0mm para supraestrutura, corte e dobra em obra</t>
  </si>
  <si>
    <t>Armação aço CA-50, diâmetro 12,5 mm para supraestrutura, corte e dobra em obra</t>
  </si>
  <si>
    <t>Armação aço CA-50, diâmetro 16,0 mm para supraestrutura, corte e dobra em obra</t>
  </si>
  <si>
    <t>Armação aço CA-50, diâmetro 20,0 mm para supraestrutura, corte e dobra em obra</t>
  </si>
  <si>
    <r>
      <t xml:space="preserve">Área técnicas, escadas, antecâmara, lixeira, gás
</t>
    </r>
    <r>
      <rPr>
        <sz val="11"/>
        <color rgb="FFFF0000"/>
        <rFont val="Calibri"/>
        <family val="2"/>
        <scheme val="minor"/>
      </rPr>
      <t>Retirou a área de escadas de piso cerâmico</t>
    </r>
  </si>
  <si>
    <t xml:space="preserve">Pintura em piso da cobertura e escada com tinta acrílica para piso </t>
  </si>
  <si>
    <t>Mão de obra para colocação de soleiras e chapins</t>
  </si>
  <si>
    <t>Valor unitário do chapisco</t>
  </si>
  <si>
    <t>Alterados preços de aço e arame recozido de acordo com valores passados pela Kirchner</t>
  </si>
  <si>
    <t>Alteração de valor mediante cotação</t>
  </si>
  <si>
    <t>Material, tubulação, equipamentos, sistema de aquecimento</t>
  </si>
  <si>
    <r>
      <t xml:space="preserve">Pintura de piso da cobertura
</t>
    </r>
    <r>
      <rPr>
        <sz val="11"/>
        <color theme="1"/>
        <rFont val="Calibri"/>
        <family val="2"/>
        <scheme val="minor"/>
      </rPr>
      <t>Adicionou área de piso da escada</t>
    </r>
  </si>
  <si>
    <t>ÁREA DE FORRO COMPOSTO INTERNA SECO</t>
  </si>
  <si>
    <t>ÁREA DE FORRO COMPOSTO INTERNA MOLHADO</t>
  </si>
  <si>
    <t>ÁREA DE TINTA ESCADAS</t>
  </si>
  <si>
    <t>ÁREA DE TINTA DUTOS</t>
  </si>
  <si>
    <t>ÁREA DE TINTA ELEVOR</t>
  </si>
  <si>
    <t>ÁREA DE TINTA</t>
  </si>
  <si>
    <t>ÁREA ABERTA</t>
  </si>
  <si>
    <t>ÁREA TOTAL</t>
  </si>
  <si>
    <t>FORRO TETO</t>
  </si>
  <si>
    <t>TINTA TETO</t>
  </si>
  <si>
    <t>ABERTO</t>
  </si>
  <si>
    <t>Diminuiu área de garagens</t>
  </si>
  <si>
    <t>a</t>
  </si>
  <si>
    <t>p</t>
  </si>
  <si>
    <t>Regularização de superfície para impermeabilização</t>
  </si>
  <si>
    <t>Impermeabilização com argamassa polimérica nos reservatórios</t>
  </si>
  <si>
    <t>Impermeabilização com tinta asfáltica em baldrames</t>
  </si>
  <si>
    <t>Impermeabilização de terraços com manta asfáltica 4mm</t>
  </si>
  <si>
    <t>Impermeabilização de piscinas com manta asfáltica 4mm</t>
  </si>
  <si>
    <t>Impermeabilização de banheiro, cozinha e sacada com argamassa polimérica</t>
  </si>
  <si>
    <t>Impermeabilização de peitoris de esquadrias</t>
  </si>
  <si>
    <t>Impermeabilização de ralos com manta poliéster</t>
  </si>
  <si>
    <t>Proteção mecânica de superfície com argamassa de cimento e areia, traço 1:3, espessura 4cm, com camada separadora de polietileno</t>
  </si>
  <si>
    <t>Regularização de superfície para piso polido</t>
  </si>
  <si>
    <t>Adicionou regularização dos pisos das garagens para polimento do piso</t>
  </si>
  <si>
    <t>R$6 por cubeta/mês * 6 meses de locação</t>
  </si>
  <si>
    <t>R$3 por cubeta/mês * 6 meses de locação</t>
  </si>
  <si>
    <t>R$9 por escora/mês * 6 meses de locação</t>
  </si>
  <si>
    <t>Cubetas 270x540x180 - Locação (6 meses)</t>
  </si>
  <si>
    <t>Cubetas 540x540x180 - Locação (6 meses)</t>
  </si>
  <si>
    <t>Escoras metálicas - Locação (6 meses)</t>
  </si>
  <si>
    <t xml:space="preserve">20CM </t>
  </si>
  <si>
    <t>15 CM</t>
  </si>
  <si>
    <t>CHURRASQUEIRA</t>
  </si>
  <si>
    <t>ÁREA DE PAREDE (m2)</t>
  </si>
  <si>
    <t>Quantitativo de  alvenaria</t>
  </si>
  <si>
    <t>ÁREA DE PAREDE INTERNA (m2)</t>
  </si>
  <si>
    <t>ALVENARIA INTERNA</t>
  </si>
  <si>
    <t>ALVENARIA EXTERNA</t>
  </si>
  <si>
    <t>ÁREA DE PAREDE EXTERNA (m2)</t>
  </si>
  <si>
    <t>ÁREA DE REBOCO E CHAPISCO</t>
  </si>
  <si>
    <t>AREA DE PINTURA (m²)</t>
  </si>
  <si>
    <t>REVESTIMENTOS INTERNOS</t>
  </si>
  <si>
    <t>REVESTIMENTOS  EXTERNOS</t>
  </si>
  <si>
    <t>West Village</t>
  </si>
  <si>
    <t>Kirchner</t>
  </si>
  <si>
    <t>R03</t>
  </si>
  <si>
    <t>Churrasqueira</t>
  </si>
  <si>
    <t>Churrasqueira - área unitária</t>
  </si>
  <si>
    <t>LAZER = 2</t>
  </si>
  <si>
    <t>Perímetro</t>
  </si>
  <si>
    <t>Altura</t>
  </si>
  <si>
    <t>Área piso</t>
  </si>
  <si>
    <t>m²</t>
  </si>
  <si>
    <t>Área boca</t>
  </si>
  <si>
    <t>Área de refratário</t>
  </si>
  <si>
    <t>Apartamentos =6*15 = 90</t>
  </si>
  <si>
    <t>Churrasqueira - total</t>
  </si>
  <si>
    <t>Área (m²)</t>
  </si>
  <si>
    <t>APARTAMENTOS</t>
  </si>
  <si>
    <t>Tamanho</t>
  </si>
  <si>
    <t>5 cm</t>
  </si>
  <si>
    <t>ENCUNHAMENTO (m)</t>
  </si>
  <si>
    <t>Foi refeita a contagem da alvenaria em todos os pavimentos</t>
  </si>
  <si>
    <t>DETALHES DA FACHADA EXTERNA</t>
  </si>
  <si>
    <t>R02</t>
  </si>
  <si>
    <t>DIFERENÇA</t>
  </si>
  <si>
    <t>CHURRASQUEIRAS</t>
  </si>
  <si>
    <t>REVESTIMENTOS</t>
  </si>
  <si>
    <t>aumento na quantidade de alvenaria</t>
  </si>
  <si>
    <t>aumento da área de chapisco e reboco das novas alvenarias porém havia duplicação do reboco externo que foi corrigido]</t>
  </si>
  <si>
    <t>Verga/contraverga de concreto, moldada in loco</t>
  </si>
  <si>
    <t>Elemento</t>
  </si>
  <si>
    <t>Verga e contraverga - Total</t>
  </si>
  <si>
    <t>Verga e contraverga - Cobertura</t>
  </si>
  <si>
    <t>Verga e contraverga - Tipo 1</t>
  </si>
  <si>
    <t>Verga e contraverga - Lazer</t>
  </si>
  <si>
    <t>Verga e contraverga - Nivel 1</t>
  </si>
  <si>
    <t xml:space="preserve">Quantidade </t>
  </si>
  <si>
    <t>Verga e contraverga - Garagem 3</t>
  </si>
  <si>
    <t>Verga e contraverga - Garagem 2</t>
  </si>
  <si>
    <t>Verga e contraverga - Garagem 1</t>
  </si>
  <si>
    <t>Verga e contraverga</t>
  </si>
  <si>
    <t>West village</t>
  </si>
  <si>
    <t>VERGAS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</si>
</sst>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43" formatCode="_-* #,##0.00_-;\-* #,##0.00_-;_-* &quot;-&quot;??_-;_-@_-"/>
    <numFmt numFmtId="164" formatCode="_-&quot;R$&quot;* #,##0.00_-;\-&quot;R$&quot;* #,##0.00_-;_-&quot;R$&quot;* &quot;-&quot;??_-;_-@_-"/>
    <numFmt numFmtId="165" formatCode="_-* #,##0_-;\-* #,##0_-;_-* &quot;-&quot;??_-;_-@"/>
    <numFmt numFmtId="166" formatCode="_-* #,##0_-;\-* #,##0_-;_-* &quot;-&quot;??_-;_-@_-"/>
    <numFmt numFmtId="167" formatCode="_-* #.##0.00_-;\-* #.##0.00_-;_-* &quot;-&quot;??_-;_-@_-"/>
    <numFmt numFmtId="168" formatCode="_-* #,##0.000_-;\-* #,##0.000_-;_-* &quot;-&quot;??_-;_-@_-"/>
  </numFmts>
  <fonts count="5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FF0000"/>
      <name val="Calibri"/>
      <family val="2"/>
      <scheme val="minor"/>
    </font>
    <font>
      <b/>
      <sz val="11"/>
      <color theme="0"/>
      <name val="Poppins"/>
    </font>
    <font>
      <sz val="11"/>
      <color theme="1"/>
      <name val="Poppins"/>
    </font>
    <font>
      <sz val="11"/>
      <name val="Calibri"/>
      <family val="2"/>
      <scheme val="minor"/>
    </font>
    <font>
      <b/>
      <sz val="11"/>
      <name val="Calibri"/>
      <family val="2"/>
      <scheme val="minor"/>
    </font>
    <font>
      <sz val="10"/>
      <color rgb="FF19212D"/>
      <name val="Arial"/>
      <family val="2"/>
    </font>
    <font>
      <sz val="10"/>
      <name val="Calibri"/>
      <family val="2"/>
      <scheme val="minor"/>
    </font>
    <font>
      <sz val="10"/>
      <color theme="0"/>
      <name val="Calibri"/>
      <family val="2"/>
      <scheme val="minor"/>
    </font>
    <font>
      <b/>
      <sz val="10"/>
      <color theme="0"/>
      <name val="Calibri"/>
      <family val="2"/>
      <scheme val="minor"/>
    </font>
    <font>
      <b/>
      <sz val="10"/>
      <name val="Calibri"/>
      <family val="2"/>
      <scheme val="minor"/>
    </font>
    <font>
      <b/>
      <sz val="10"/>
      <color rgb="FF121212"/>
      <name val="Poppins"/>
    </font>
    <font>
      <sz val="10"/>
      <color rgb="FF121212"/>
      <name val="Poppins"/>
    </font>
    <font>
      <b/>
      <sz val="14"/>
      <color theme="0"/>
      <name val="Poppins"/>
    </font>
    <font>
      <b/>
      <sz val="14"/>
      <color rgb="FF002060"/>
      <name val="Poppins"/>
    </font>
    <font>
      <sz val="11"/>
      <color rgb="FF121212"/>
      <name val="Poppins"/>
    </font>
    <font>
      <sz val="8"/>
      <color rgb="FF121212"/>
      <name val="Poppins"/>
    </font>
    <font>
      <b/>
      <sz val="8"/>
      <color theme="0"/>
      <name val="Poppins"/>
    </font>
    <font>
      <u/>
      <sz val="11"/>
      <color theme="10"/>
      <name val="Calibri"/>
      <family val="2"/>
      <scheme val="minor"/>
    </font>
    <font>
      <b/>
      <sz val="8"/>
      <color rgb="FF121212"/>
      <name val="Poppins"/>
    </font>
    <font>
      <b/>
      <sz val="11"/>
      <color rgb="FFFF0000"/>
      <name val="Poppins"/>
    </font>
    <font>
      <b/>
      <sz val="11"/>
      <color theme="1"/>
      <name val="Poppins"/>
    </font>
    <font>
      <b/>
      <sz val="18"/>
      <color theme="0"/>
      <name val="Poppins"/>
    </font>
    <font>
      <sz val="14"/>
      <color theme="1"/>
      <name val="Poppins"/>
    </font>
    <font>
      <sz val="14"/>
      <color theme="1"/>
      <name val="Arial Narrow"/>
      <family val="2"/>
    </font>
    <font>
      <sz val="11"/>
      <color theme="1"/>
      <name val="Arial Narrow"/>
      <family val="2"/>
    </font>
    <font>
      <sz val="11"/>
      <name val="Poppins"/>
    </font>
    <font>
      <b/>
      <sz val="18"/>
      <color theme="1"/>
      <name val="Calibri"/>
      <family val="2"/>
      <scheme val="minor"/>
    </font>
    <font>
      <sz val="8"/>
      <name val="Poppins"/>
    </font>
    <font>
      <b/>
      <sz val="8"/>
      <name val="Poppins"/>
    </font>
    <font>
      <sz val="7"/>
      <name val="Calibri"/>
      <family val="1"/>
    </font>
    <font>
      <sz val="7"/>
      <name val="Times New Roman"/>
      <family val="1"/>
    </font>
    <font>
      <sz val="8"/>
      <color rgb="FF121212"/>
      <name val="Poppins"/>
      <family val="1"/>
    </font>
    <font>
      <sz val="8"/>
      <color rgb="FFFF0000"/>
      <name val="Poppins"/>
    </font>
    <font>
      <b/>
      <sz val="8"/>
      <color rgb="FF002060"/>
      <name val="Poppins"/>
    </font>
    <font>
      <sz val="8"/>
      <color theme="1"/>
      <name val="Calibri"/>
      <family val="2"/>
      <scheme val="minor"/>
    </font>
    <font>
      <sz val="8"/>
      <color theme="1"/>
      <name val="Poppins"/>
    </font>
    <font>
      <u/>
      <sz val="11"/>
      <name val="Calibri"/>
      <family val="2"/>
      <scheme val="minor"/>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CCCC"/>
        <bgColor indexed="64"/>
      </patternFill>
    </fill>
    <fill>
      <patternFill patternType="solid">
        <fgColor rgb="FFAAAAAA"/>
        <bgColor indexed="64"/>
      </patternFill>
    </fill>
    <fill>
      <patternFill patternType="solid">
        <fgColor rgb="FFFFFFFF"/>
        <bgColor indexed="64"/>
      </patternFill>
    </fill>
    <fill>
      <patternFill patternType="solid">
        <fgColor rgb="FF255AE5"/>
        <bgColor rgb="FF255AE5"/>
      </patternFill>
    </fill>
    <fill>
      <patternFill patternType="solid">
        <fgColor rgb="FF121212"/>
        <bgColor indexed="64"/>
      </patternFill>
    </fill>
    <fill>
      <patternFill patternType="solid">
        <fgColor theme="2" tint="-0.749992370372631"/>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theme="0"/>
        <bgColor indexed="64"/>
      </patternFill>
    </fill>
    <fill>
      <patternFill patternType="solid">
        <fgColor rgb="FFFC3400"/>
        <bgColor indexed="64"/>
      </patternFill>
    </fill>
    <fill>
      <patternFill patternType="solid">
        <fgColor rgb="FF255AE5"/>
        <bgColor indexed="64"/>
      </patternFill>
    </fill>
    <fill>
      <patternFill patternType="solid">
        <fgColor rgb="FF4B4B4B"/>
        <bgColor indexed="64"/>
      </patternFill>
    </fill>
    <fill>
      <patternFill patternType="solid">
        <fgColor theme="0" tint="-0.249977111117893"/>
        <bgColor indexed="64"/>
      </patternFill>
    </fill>
    <fill>
      <patternFill patternType="solid">
        <fgColor theme="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7030A0"/>
        <bgColor indexed="64"/>
      </patternFill>
    </fill>
    <fill>
      <patternFill patternType="solid">
        <fgColor rgb="FFCC99FF"/>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EDADA"/>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3F3F3F"/>
        <bgColor indexed="64"/>
      </patternFill>
    </fill>
  </fills>
  <borders count="1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rgb="FF000000"/>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auto="1"/>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medium">
        <color indexed="64"/>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medium">
        <color indexed="64"/>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medium">
        <color indexed="64"/>
      </left>
      <right style="hair">
        <color auto="1"/>
      </right>
      <top/>
      <bottom/>
      <diagonal/>
    </border>
    <border>
      <left style="hair">
        <color auto="1"/>
      </left>
      <right style="hair">
        <color auto="1"/>
      </right>
      <top/>
      <bottom/>
      <diagonal/>
    </border>
    <border>
      <left style="medium">
        <color indexed="64"/>
      </left>
      <right style="hair">
        <color auto="1"/>
      </right>
      <top style="thin">
        <color auto="1"/>
      </top>
      <bottom style="medium">
        <color indexed="64"/>
      </bottom>
      <diagonal/>
    </border>
    <border>
      <left style="hair">
        <color auto="1"/>
      </left>
      <right style="hair">
        <color auto="1"/>
      </right>
      <top style="thin">
        <color auto="1"/>
      </top>
      <bottom style="medium">
        <color indexed="64"/>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top style="hair">
        <color auto="1"/>
      </top>
      <bottom/>
      <diagonal/>
    </border>
    <border>
      <left style="hair">
        <color auto="1"/>
      </left>
      <right/>
      <top/>
      <bottom/>
      <diagonal/>
    </border>
    <border>
      <left style="hair">
        <color auto="1"/>
      </left>
      <right style="hair">
        <color auto="1"/>
      </right>
      <top style="hair">
        <color auto="1"/>
      </top>
      <bottom style="thin">
        <color auto="1"/>
      </bottom>
      <diagonal/>
    </border>
    <border>
      <left style="hair">
        <color auto="1"/>
      </left>
      <right/>
      <top/>
      <bottom style="thin">
        <color auto="1"/>
      </bottom>
      <diagonal/>
    </border>
    <border>
      <left style="hair">
        <color auto="1"/>
      </left>
      <right/>
      <top style="thin">
        <color auto="1"/>
      </top>
      <bottom/>
      <diagonal/>
    </border>
    <border>
      <left style="hair">
        <color auto="1"/>
      </left>
      <right style="hair">
        <color auto="1"/>
      </right>
      <top style="medium">
        <color indexed="64"/>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diagonal/>
    </border>
    <border>
      <left style="thin">
        <color auto="1"/>
      </left>
      <right style="hair">
        <color auto="1"/>
      </right>
      <top style="hair">
        <color auto="1"/>
      </top>
      <bottom style="thin">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thin">
        <color indexed="64"/>
      </right>
      <top style="hair">
        <color indexed="64"/>
      </top>
      <bottom/>
      <diagonal/>
    </border>
    <border>
      <left/>
      <right style="thin">
        <color auto="1"/>
      </right>
      <top style="hair">
        <color auto="1"/>
      </top>
      <bottom style="medium">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thin">
        <color auto="1"/>
      </right>
      <top style="hair">
        <color auto="1"/>
      </top>
      <bottom style="hair">
        <color auto="1"/>
      </bottom>
      <diagonal/>
    </border>
    <border>
      <left style="medium">
        <color indexed="64"/>
      </left>
      <right style="thin">
        <color indexed="64"/>
      </right>
      <top style="hair">
        <color indexed="64"/>
      </top>
      <bottom style="thin">
        <color indexed="64"/>
      </bottom>
      <diagonal/>
    </border>
    <border>
      <left/>
      <right style="thin">
        <color auto="1"/>
      </right>
      <top style="hair">
        <color auto="1"/>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s>
  <cellStyleXfs count="5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37"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cellStyleXfs>
  <cellXfs count="932">
    <xf numFmtId="0" fontId="0" fillId="0" borderId="0" xfId="0"/>
    <xf numFmtId="0" fontId="19" fillId="0" borderId="0" xfId="0" applyFont="1" applyAlignment="1">
      <alignment horizontal="left" wrapText="1"/>
    </xf>
    <xf numFmtId="0" fontId="0" fillId="0" borderId="0" xfId="0" applyAlignment="1">
      <alignment horizontal="center" wrapText="1"/>
    </xf>
    <xf numFmtId="0" fontId="19" fillId="0" borderId="0" xfId="0" applyFont="1" applyAlignment="1">
      <alignment horizontal="center" wrapText="1"/>
    </xf>
    <xf numFmtId="0" fontId="19" fillId="0" borderId="0" xfId="0" applyFont="1" applyAlignment="1">
      <alignment horizontal="right" wrapText="1"/>
    </xf>
    <xf numFmtId="0" fontId="18" fillId="0" borderId="0" xfId="0" applyFont="1"/>
    <xf numFmtId="4" fontId="19" fillId="0" borderId="0" xfId="0" applyNumberFormat="1" applyFont="1" applyAlignment="1">
      <alignment horizontal="right" wrapText="1"/>
    </xf>
    <xf numFmtId="0" fontId="18" fillId="0" borderId="0" xfId="0" applyFont="1" applyAlignment="1">
      <alignment horizontal="center" wrapText="1"/>
    </xf>
    <xf numFmtId="0" fontId="0" fillId="33" borderId="0" xfId="0" applyFill="1" applyAlignment="1">
      <alignment horizontal="center" wrapText="1"/>
    </xf>
    <xf numFmtId="0" fontId="0" fillId="34" borderId="0" xfId="0" applyFill="1" applyAlignment="1">
      <alignment horizontal="center" wrapText="1"/>
    </xf>
    <xf numFmtId="0" fontId="0" fillId="35" borderId="0" xfId="0" applyFill="1" applyAlignment="1">
      <alignment horizontal="center" wrapText="1"/>
    </xf>
    <xf numFmtId="0" fontId="18" fillId="33" borderId="0" xfId="0" applyFont="1" applyFill="1" applyAlignment="1">
      <alignment wrapText="1"/>
    </xf>
    <xf numFmtId="0" fontId="19" fillId="33" borderId="0" xfId="0" applyFont="1" applyFill="1" applyAlignment="1">
      <alignment wrapText="1"/>
    </xf>
    <xf numFmtId="0" fontId="18" fillId="34" borderId="0" xfId="0" applyFont="1" applyFill="1" applyAlignment="1">
      <alignment wrapText="1"/>
    </xf>
    <xf numFmtId="0" fontId="19" fillId="34" borderId="0" xfId="0" applyFont="1" applyFill="1" applyAlignment="1">
      <alignment wrapText="1"/>
    </xf>
    <xf numFmtId="0" fontId="18" fillId="35" borderId="0" xfId="0" applyFont="1" applyFill="1" applyAlignment="1">
      <alignment wrapText="1"/>
    </xf>
    <xf numFmtId="4" fontId="19" fillId="34" borderId="0" xfId="0" applyNumberFormat="1" applyFont="1" applyFill="1" applyAlignment="1">
      <alignment wrapText="1"/>
    </xf>
    <xf numFmtId="4" fontId="18" fillId="35" borderId="0" xfId="0" applyNumberFormat="1" applyFont="1" applyFill="1" applyAlignment="1">
      <alignment wrapText="1"/>
    </xf>
    <xf numFmtId="4" fontId="19" fillId="33" borderId="0" xfId="0" applyNumberFormat="1" applyFont="1" applyFill="1" applyAlignment="1">
      <alignment wrapText="1"/>
    </xf>
    <xf numFmtId="0" fontId="19" fillId="0" borderId="10" xfId="0" applyFont="1" applyBorder="1" applyAlignment="1">
      <alignment wrapText="1"/>
    </xf>
    <xf numFmtId="0" fontId="20" fillId="35" borderId="0" xfId="0" applyFont="1" applyFill="1" applyAlignment="1">
      <alignment wrapText="1"/>
    </xf>
    <xf numFmtId="0" fontId="14" fillId="35" borderId="0" xfId="0" applyFont="1" applyFill="1" applyAlignment="1">
      <alignment horizontal="center" wrapText="1"/>
    </xf>
    <xf numFmtId="4" fontId="20" fillId="35" borderId="0" xfId="0" applyNumberFormat="1" applyFont="1" applyFill="1" applyAlignment="1">
      <alignment wrapText="1"/>
    </xf>
    <xf numFmtId="164" fontId="0" fillId="0" borderId="0" xfId="0" applyNumberFormat="1"/>
    <xf numFmtId="0" fontId="16" fillId="0" borderId="0" xfId="0" applyFont="1"/>
    <xf numFmtId="0" fontId="21" fillId="36" borderId="11" xfId="0" applyFont="1" applyFill="1" applyBorder="1" applyAlignment="1">
      <alignment horizontal="center" vertical="center"/>
    </xf>
    <xf numFmtId="44" fontId="21" fillId="36" borderId="11" xfId="0" applyNumberFormat="1" applyFont="1" applyFill="1" applyBorder="1" applyAlignment="1">
      <alignment horizontal="left" vertical="center"/>
    </xf>
    <xf numFmtId="9" fontId="21" fillId="36" borderId="11" xfId="0" applyNumberFormat="1" applyFont="1" applyFill="1" applyBorder="1" applyAlignment="1">
      <alignment horizontal="center" vertical="center"/>
    </xf>
    <xf numFmtId="164" fontId="21" fillId="36" borderId="11" xfId="43" applyFont="1" applyFill="1" applyBorder="1" applyAlignment="1">
      <alignment horizontal="right" vertical="center"/>
    </xf>
    <xf numFmtId="164" fontId="21" fillId="36" borderId="11" xfId="43" applyFont="1" applyFill="1" applyBorder="1" applyAlignment="1">
      <alignment horizontal="center" vertical="center"/>
    </xf>
    <xf numFmtId="165" fontId="21" fillId="36" borderId="11" xfId="0" applyNumberFormat="1" applyFont="1" applyFill="1" applyBorder="1" applyAlignment="1">
      <alignment horizontal="right" vertical="center"/>
    </xf>
    <xf numFmtId="44" fontId="0" fillId="0" borderId="0" xfId="0" applyNumberFormat="1"/>
    <xf numFmtId="0" fontId="25" fillId="0" borderId="0" xfId="0" applyFont="1"/>
    <xf numFmtId="10" fontId="0" fillId="0" borderId="0" xfId="44" applyNumberFormat="1" applyFont="1"/>
    <xf numFmtId="17" fontId="21" fillId="36" borderId="11" xfId="0" quotePrefix="1" applyNumberFormat="1" applyFont="1" applyFill="1" applyBorder="1" applyAlignment="1">
      <alignment horizontal="center" vertical="center"/>
    </xf>
    <xf numFmtId="0" fontId="26" fillId="35" borderId="0" xfId="0" applyFont="1" applyFill="1" applyAlignment="1">
      <alignment wrapText="1"/>
    </xf>
    <xf numFmtId="4" fontId="28" fillId="38" borderId="0" xfId="0" applyNumberFormat="1" applyFont="1" applyFill="1" applyAlignment="1">
      <alignment wrapText="1"/>
    </xf>
    <xf numFmtId="0" fontId="28" fillId="38" borderId="0" xfId="0" applyFont="1" applyFill="1" applyAlignment="1">
      <alignment wrapText="1"/>
    </xf>
    <xf numFmtId="0" fontId="13" fillId="38" borderId="0" xfId="0" applyFont="1" applyFill="1" applyAlignment="1">
      <alignment horizontal="center" wrapText="1"/>
    </xf>
    <xf numFmtId="0" fontId="18" fillId="39" borderId="0" xfId="0" applyFont="1" applyFill="1" applyAlignment="1">
      <alignment wrapText="1"/>
    </xf>
    <xf numFmtId="4" fontId="19" fillId="39" borderId="0" xfId="0" applyNumberFormat="1" applyFont="1" applyFill="1" applyAlignment="1">
      <alignment wrapText="1"/>
    </xf>
    <xf numFmtId="0" fontId="0" fillId="39" borderId="0" xfId="0" applyFill="1" applyAlignment="1">
      <alignment horizontal="center" wrapText="1"/>
    </xf>
    <xf numFmtId="0" fontId="27" fillId="40" borderId="0" xfId="0" applyFont="1" applyFill="1" applyAlignment="1">
      <alignment wrapText="1"/>
    </xf>
    <xf numFmtId="4" fontId="28" fillId="40" borderId="0" xfId="0" applyNumberFormat="1" applyFont="1" applyFill="1" applyAlignment="1">
      <alignment wrapText="1"/>
    </xf>
    <xf numFmtId="0" fontId="17" fillId="40" borderId="0" xfId="0" applyFont="1" applyFill="1" applyAlignment="1">
      <alignment horizontal="center" wrapText="1"/>
    </xf>
    <xf numFmtId="0" fontId="28" fillId="40" borderId="0" xfId="0" applyFont="1" applyFill="1" applyAlignment="1">
      <alignment wrapText="1"/>
    </xf>
    <xf numFmtId="0" fontId="0" fillId="0" borderId="25" xfId="0" applyBorder="1"/>
    <xf numFmtId="4" fontId="26" fillId="35" borderId="0" xfId="0" applyNumberFormat="1" applyFont="1" applyFill="1" applyAlignment="1">
      <alignment wrapText="1"/>
    </xf>
    <xf numFmtId="0" fontId="23" fillId="35" borderId="0" xfId="0" applyFont="1" applyFill="1" applyAlignment="1">
      <alignment horizontal="center" wrapText="1"/>
    </xf>
    <xf numFmtId="0" fontId="23" fillId="0" borderId="0" xfId="0" applyFont="1"/>
    <xf numFmtId="2" fontId="26" fillId="35" borderId="0" xfId="0" applyNumberFormat="1" applyFont="1" applyFill="1" applyAlignment="1">
      <alignment wrapText="1"/>
    </xf>
    <xf numFmtId="44" fontId="0" fillId="33" borderId="0" xfId="0" applyNumberFormat="1" applyFill="1" applyAlignment="1">
      <alignment horizontal="center" wrapText="1"/>
    </xf>
    <xf numFmtId="164" fontId="18" fillId="35" borderId="0" xfId="43" applyFont="1" applyFill="1" applyAlignment="1">
      <alignment wrapText="1"/>
    </xf>
    <xf numFmtId="44" fontId="18" fillId="35" borderId="0" xfId="0" applyNumberFormat="1" applyFont="1" applyFill="1" applyAlignment="1">
      <alignment wrapText="1"/>
    </xf>
    <xf numFmtId="0" fontId="0" fillId="0" borderId="0" xfId="0" applyAlignment="1">
      <alignment wrapText="1"/>
    </xf>
    <xf numFmtId="0" fontId="18" fillId="0" borderId="0" xfId="0" applyFont="1" applyAlignment="1">
      <alignment wrapText="1"/>
    </xf>
    <xf numFmtId="0" fontId="14" fillId="0" borderId="0" xfId="0" applyFont="1"/>
    <xf numFmtId="43" fontId="0" fillId="0" borderId="0" xfId="0" applyNumberFormat="1"/>
    <xf numFmtId="2" fontId="18" fillId="35" borderId="0" xfId="0" applyNumberFormat="1" applyFont="1" applyFill="1" applyAlignment="1">
      <alignment wrapText="1"/>
    </xf>
    <xf numFmtId="0" fontId="26" fillId="33" borderId="0" xfId="0" applyFont="1" applyFill="1" applyAlignment="1">
      <alignment wrapText="1"/>
    </xf>
    <xf numFmtId="4" fontId="29" fillId="33" borderId="0" xfId="0" applyNumberFormat="1" applyFont="1" applyFill="1" applyAlignment="1">
      <alignment wrapText="1"/>
    </xf>
    <xf numFmtId="0" fontId="0" fillId="35" borderId="0" xfId="0" applyFill="1" applyAlignment="1">
      <alignment horizontal="left" wrapText="1"/>
    </xf>
    <xf numFmtId="0" fontId="0" fillId="0" borderId="0" xfId="0" applyAlignment="1">
      <alignment horizontal="center" vertical="center" wrapText="1"/>
    </xf>
    <xf numFmtId="2" fontId="0" fillId="0" borderId="11" xfId="0" applyNumberFormat="1" applyBorder="1"/>
    <xf numFmtId="0" fontId="0" fillId="0" borderId="11" xfId="0" applyBorder="1"/>
    <xf numFmtId="0" fontId="30" fillId="35" borderId="14" xfId="47" applyFont="1" applyFill="1" applyBorder="1" applyAlignment="1">
      <alignment vertical="center" wrapText="1"/>
    </xf>
    <xf numFmtId="0" fontId="31" fillId="42" borderId="32" xfId="47" applyFont="1" applyFill="1" applyBorder="1" applyAlignment="1">
      <alignment horizontal="left" vertical="center" wrapText="1"/>
    </xf>
    <xf numFmtId="0" fontId="31" fillId="42" borderId="33" xfId="47" applyFont="1" applyFill="1" applyBorder="1" applyAlignment="1">
      <alignment horizontal="left" vertical="center" wrapText="1"/>
    </xf>
    <xf numFmtId="0" fontId="31" fillId="42" borderId="33" xfId="47" applyFont="1" applyFill="1" applyBorder="1" applyAlignment="1">
      <alignment horizontal="center" vertical="center" wrapText="1"/>
    </xf>
    <xf numFmtId="0" fontId="31" fillId="42" borderId="33" xfId="47" applyFont="1" applyFill="1" applyBorder="1" applyAlignment="1">
      <alignment vertical="center" wrapText="1"/>
    </xf>
    <xf numFmtId="43" fontId="31" fillId="42" borderId="33" xfId="48" applyFont="1" applyFill="1" applyBorder="1" applyAlignment="1">
      <alignment horizontal="left" vertical="center" wrapText="1"/>
    </xf>
    <xf numFmtId="0" fontId="22" fillId="42" borderId="34" xfId="47" applyFont="1" applyFill="1" applyBorder="1"/>
    <xf numFmtId="0" fontId="1" fillId="0" borderId="0" xfId="47"/>
    <xf numFmtId="0" fontId="30" fillId="35" borderId="22" xfId="47" applyFont="1" applyFill="1" applyBorder="1" applyAlignment="1">
      <alignment vertical="center" wrapText="1"/>
    </xf>
    <xf numFmtId="0" fontId="31" fillId="42" borderId="35" xfId="47" applyFont="1" applyFill="1" applyBorder="1" applyAlignment="1">
      <alignment horizontal="left" vertical="center" wrapText="1"/>
    </xf>
    <xf numFmtId="0" fontId="31" fillId="42" borderId="36" xfId="47" applyFont="1" applyFill="1" applyBorder="1" applyAlignment="1">
      <alignment horizontal="left" vertical="center" wrapText="1"/>
    </xf>
    <xf numFmtId="0" fontId="31" fillId="42" borderId="36" xfId="47" applyFont="1" applyFill="1" applyBorder="1" applyAlignment="1">
      <alignment horizontal="center" vertical="center" wrapText="1"/>
    </xf>
    <xf numFmtId="0" fontId="31" fillId="42" borderId="36" xfId="47" applyFont="1" applyFill="1" applyBorder="1" applyAlignment="1">
      <alignment vertical="center" wrapText="1"/>
    </xf>
    <xf numFmtId="43" fontId="31" fillId="42" borderId="36" xfId="48" applyFont="1" applyFill="1" applyBorder="1" applyAlignment="1">
      <alignment horizontal="left" vertical="center" wrapText="1"/>
    </xf>
    <xf numFmtId="0" fontId="22" fillId="42" borderId="37" xfId="47" applyFont="1" applyFill="1" applyBorder="1"/>
    <xf numFmtId="0" fontId="33" fillId="42" borderId="39" xfId="47" applyFont="1" applyFill="1" applyBorder="1" applyAlignment="1">
      <alignment vertical="center" wrapText="1"/>
    </xf>
    <xf numFmtId="0" fontId="33" fillId="42" borderId="0" xfId="47" applyFont="1" applyFill="1" applyAlignment="1">
      <alignment horizontal="center" vertical="center" wrapText="1"/>
    </xf>
    <xf numFmtId="0" fontId="33" fillId="42" borderId="0" xfId="47" applyFont="1" applyFill="1" applyAlignment="1">
      <alignment vertical="center" wrapText="1"/>
    </xf>
    <xf numFmtId="43" fontId="33" fillId="42" borderId="0" xfId="48" applyFont="1" applyFill="1" applyBorder="1" applyAlignment="1">
      <alignment horizontal="center" vertical="center" wrapText="1"/>
    </xf>
    <xf numFmtId="0" fontId="22" fillId="42" borderId="28" xfId="47" applyFont="1" applyFill="1" applyBorder="1"/>
    <xf numFmtId="0" fontId="31" fillId="42" borderId="39" xfId="47" applyFont="1" applyFill="1" applyBorder="1" applyAlignment="1">
      <alignment horizontal="left" vertical="center" wrapText="1"/>
    </xf>
    <xf numFmtId="0" fontId="31" fillId="42" borderId="0" xfId="47" applyFont="1" applyFill="1" applyAlignment="1">
      <alignment horizontal="left" vertical="center" wrapText="1"/>
    </xf>
    <xf numFmtId="0" fontId="31" fillId="42" borderId="0" xfId="47" applyFont="1" applyFill="1" applyAlignment="1">
      <alignment horizontal="center" vertical="center" wrapText="1"/>
    </xf>
    <xf numFmtId="0" fontId="31" fillId="42" borderId="0" xfId="47" applyFont="1" applyFill="1" applyAlignment="1">
      <alignment vertical="center" wrapText="1"/>
    </xf>
    <xf numFmtId="43" fontId="31" fillId="42" borderId="0" xfId="48" applyFont="1" applyFill="1" applyBorder="1" applyAlignment="1">
      <alignment horizontal="left" vertical="center" wrapText="1"/>
    </xf>
    <xf numFmtId="0" fontId="34" fillId="42" borderId="28" xfId="47" applyFont="1" applyFill="1" applyBorder="1"/>
    <xf numFmtId="0" fontId="35" fillId="42" borderId="40" xfId="47" applyFont="1" applyFill="1" applyBorder="1"/>
    <xf numFmtId="0" fontId="34" fillId="42" borderId="12" xfId="47" applyFont="1" applyFill="1" applyBorder="1" applyAlignment="1">
      <alignment horizontal="center"/>
    </xf>
    <xf numFmtId="0" fontId="34" fillId="42" borderId="12" xfId="47" applyFont="1" applyFill="1" applyBorder="1"/>
    <xf numFmtId="43" fontId="34" fillId="42" borderId="12" xfId="48" applyFont="1" applyFill="1" applyBorder="1" applyAlignment="1">
      <alignment horizontal="center"/>
    </xf>
    <xf numFmtId="0" fontId="34" fillId="42" borderId="21" xfId="47" applyFont="1" applyFill="1" applyBorder="1"/>
    <xf numFmtId="0" fontId="34" fillId="42" borderId="39" xfId="47" applyFont="1" applyFill="1" applyBorder="1"/>
    <xf numFmtId="0" fontId="34" fillId="42" borderId="0" xfId="47" applyFont="1" applyFill="1" applyAlignment="1">
      <alignment horizontal="center"/>
    </xf>
    <xf numFmtId="0" fontId="34" fillId="42" borderId="0" xfId="47" applyFont="1" applyFill="1"/>
    <xf numFmtId="43" fontId="34" fillId="42" borderId="0" xfId="48" applyFont="1" applyFill="1" applyBorder="1" applyAlignment="1">
      <alignment horizontal="center"/>
    </xf>
    <xf numFmtId="0" fontId="36" fillId="44" borderId="14" xfId="47" applyFont="1" applyFill="1" applyBorder="1" applyAlignment="1">
      <alignment horizontal="center" vertical="center"/>
    </xf>
    <xf numFmtId="0" fontId="36" fillId="44" borderId="27" xfId="47" applyFont="1" applyFill="1" applyBorder="1" applyAlignment="1">
      <alignment horizontal="center" vertical="center"/>
    </xf>
    <xf numFmtId="0" fontId="36" fillId="44" borderId="27" xfId="47" applyFont="1" applyFill="1" applyBorder="1" applyAlignment="1">
      <alignment horizontal="center" vertical="center" wrapText="1"/>
    </xf>
    <xf numFmtId="43" fontId="36" fillId="44" borderId="27" xfId="48" applyFont="1" applyFill="1" applyBorder="1" applyAlignment="1">
      <alignment horizontal="center" vertical="center" wrapText="1"/>
    </xf>
    <xf numFmtId="43" fontId="36" fillId="44" borderId="15" xfId="48" applyFont="1" applyFill="1" applyBorder="1" applyAlignment="1">
      <alignment horizontal="center" vertical="center" wrapText="1"/>
    </xf>
    <xf numFmtId="0" fontId="35" fillId="42" borderId="41" xfId="47" applyFont="1" applyFill="1" applyBorder="1" applyAlignment="1">
      <alignment vertical="center" wrapText="1"/>
    </xf>
    <xf numFmtId="0" fontId="35" fillId="42" borderId="26" xfId="47" applyFont="1" applyFill="1" applyBorder="1" applyAlignment="1">
      <alignment vertical="center" wrapText="1"/>
    </xf>
    <xf numFmtId="43" fontId="35" fillId="42" borderId="26" xfId="48" applyFont="1" applyFill="1" applyBorder="1" applyAlignment="1">
      <alignment horizontal="center" vertical="center" wrapText="1"/>
    </xf>
    <xf numFmtId="43" fontId="35" fillId="42" borderId="26" xfId="48" applyFont="1" applyFill="1" applyBorder="1" applyAlignment="1">
      <alignment vertical="center" wrapText="1"/>
    </xf>
    <xf numFmtId="43" fontId="35" fillId="42" borderId="42" xfId="48" applyFont="1" applyFill="1" applyBorder="1" applyAlignment="1">
      <alignment vertical="center" wrapText="1"/>
    </xf>
    <xf numFmtId="2" fontId="35" fillId="42" borderId="43" xfId="48" applyNumberFormat="1" applyFont="1" applyFill="1" applyBorder="1" applyAlignment="1">
      <alignment vertical="center" wrapText="1"/>
    </xf>
    <xf numFmtId="43" fontId="35" fillId="42" borderId="44" xfId="48" applyFont="1" applyFill="1" applyBorder="1" applyAlignment="1">
      <alignment horizontal="left" vertical="center" wrapText="1"/>
    </xf>
    <xf numFmtId="43" fontId="35" fillId="42" borderId="45" xfId="48" applyFont="1" applyFill="1" applyBorder="1" applyAlignment="1">
      <alignment vertical="center" wrapText="1"/>
    </xf>
    <xf numFmtId="0" fontId="35" fillId="42" borderId="45" xfId="48" applyNumberFormat="1" applyFont="1" applyFill="1" applyBorder="1" applyAlignment="1">
      <alignment vertical="center" wrapText="1"/>
    </xf>
    <xf numFmtId="43" fontId="35" fillId="42" borderId="44" xfId="48" applyFont="1" applyFill="1" applyBorder="1" applyAlignment="1">
      <alignment vertical="center" wrapText="1"/>
    </xf>
    <xf numFmtId="43" fontId="36" fillId="44" borderId="24" xfId="0" applyNumberFormat="1" applyFont="1" applyFill="1" applyBorder="1" applyAlignment="1">
      <alignment vertical="center"/>
    </xf>
    <xf numFmtId="0" fontId="36" fillId="44" borderId="18" xfId="0" applyFont="1" applyFill="1" applyBorder="1" applyAlignment="1">
      <alignment vertical="center"/>
    </xf>
    <xf numFmtId="0" fontId="22" fillId="0" borderId="0" xfId="47" applyFont="1"/>
    <xf numFmtId="0" fontId="22" fillId="0" borderId="0" xfId="47" applyFont="1" applyAlignment="1">
      <alignment horizontal="center"/>
    </xf>
    <xf numFmtId="43" fontId="22" fillId="0" borderId="0" xfId="48" applyFont="1" applyAlignment="1">
      <alignment horizontal="center"/>
    </xf>
    <xf numFmtId="0" fontId="22" fillId="0" borderId="0" xfId="0" applyFont="1"/>
    <xf numFmtId="43" fontId="22" fillId="0" borderId="0" xfId="42" applyFont="1" applyAlignment="1">
      <alignment horizontal="left"/>
    </xf>
    <xf numFmtId="0" fontId="22" fillId="0" borderId="0" xfId="0" applyFont="1" applyAlignment="1">
      <alignment horizontal="left"/>
    </xf>
    <xf numFmtId="0" fontId="22" fillId="0" borderId="0" xfId="0" applyFont="1" applyAlignment="1">
      <alignment horizontal="center"/>
    </xf>
    <xf numFmtId="2" fontId="34" fillId="42" borderId="0" xfId="0" applyNumberFormat="1" applyFont="1" applyFill="1"/>
    <xf numFmtId="43" fontId="35" fillId="42" borderId="0" xfId="42" applyFont="1" applyFill="1" applyBorder="1" applyAlignment="1">
      <alignment horizontal="center" vertical="center"/>
    </xf>
    <xf numFmtId="43" fontId="35" fillId="42" borderId="0" xfId="42" applyFont="1" applyFill="1" applyBorder="1" applyAlignment="1">
      <alignment vertical="center"/>
    </xf>
    <xf numFmtId="0" fontId="22" fillId="42" borderId="0" xfId="0" applyFont="1" applyFill="1"/>
    <xf numFmtId="0" fontId="0" fillId="42" borderId="0" xfId="0" applyFill="1"/>
    <xf numFmtId="43" fontId="35" fillId="42" borderId="49" xfId="42" applyFont="1" applyFill="1" applyBorder="1" applyAlignment="1">
      <alignment horizontal="center" vertical="center"/>
    </xf>
    <xf numFmtId="43" fontId="35" fillId="42" borderId="50" xfId="42" applyFont="1" applyFill="1" applyBorder="1" applyAlignment="1">
      <alignment horizontal="center" vertical="center"/>
    </xf>
    <xf numFmtId="0" fontId="36" fillId="43" borderId="51" xfId="0" applyFont="1" applyFill="1" applyBorder="1" applyAlignment="1">
      <alignment horizontal="center" vertical="center" wrapText="1"/>
    </xf>
    <xf numFmtId="0" fontId="36" fillId="43" borderId="51" xfId="0" applyFont="1" applyFill="1" applyBorder="1" applyAlignment="1">
      <alignment horizontal="center" vertical="center"/>
    </xf>
    <xf numFmtId="0" fontId="34" fillId="42" borderId="39" xfId="0" applyFont="1" applyFill="1" applyBorder="1"/>
    <xf numFmtId="0" fontId="34" fillId="42" borderId="0" xfId="0" applyFont="1" applyFill="1"/>
    <xf numFmtId="0" fontId="34" fillId="42" borderId="12" xfId="0" applyFont="1" applyFill="1" applyBorder="1"/>
    <xf numFmtId="43" fontId="31" fillId="42" borderId="12" xfId="42" applyFont="1" applyFill="1" applyBorder="1" applyAlignment="1">
      <alignment horizontal="left" vertical="center" wrapText="1"/>
    </xf>
    <xf numFmtId="0" fontId="31" fillId="42" borderId="12" xfId="0" applyFont="1" applyFill="1" applyBorder="1" applyAlignment="1">
      <alignment horizontal="left" vertical="center" wrapText="1"/>
    </xf>
    <xf numFmtId="0" fontId="31" fillId="42" borderId="40" xfId="0" applyFont="1" applyFill="1" applyBorder="1" applyAlignment="1">
      <alignment horizontal="left" vertical="center"/>
    </xf>
    <xf numFmtId="0" fontId="34" fillId="42" borderId="28" xfId="0" applyFont="1" applyFill="1" applyBorder="1"/>
    <xf numFmtId="43" fontId="31" fillId="42" borderId="0" xfId="42" applyFont="1" applyFill="1" applyBorder="1" applyAlignment="1">
      <alignment horizontal="left" vertical="center" wrapText="1"/>
    </xf>
    <xf numFmtId="0" fontId="31" fillId="42" borderId="0" xfId="0" applyFont="1" applyFill="1" applyAlignment="1">
      <alignment horizontal="left" vertical="center" wrapText="1"/>
    </xf>
    <xf numFmtId="0" fontId="31" fillId="42" borderId="39" xfId="0" applyFont="1" applyFill="1" applyBorder="1" applyAlignment="1">
      <alignment horizontal="left" vertical="center" wrapText="1"/>
    </xf>
    <xf numFmtId="0" fontId="22" fillId="42" borderId="28" xfId="0" applyFont="1" applyFill="1" applyBorder="1"/>
    <xf numFmtId="43" fontId="33" fillId="42" borderId="0" xfId="42" applyFont="1" applyFill="1" applyBorder="1" applyAlignment="1">
      <alignment horizontal="left" vertical="center" wrapText="1"/>
    </xf>
    <xf numFmtId="0" fontId="33" fillId="42" borderId="0" xfId="0" applyFont="1" applyFill="1" applyAlignment="1">
      <alignment horizontal="left" vertical="center" wrapText="1"/>
    </xf>
    <xf numFmtId="0" fontId="33" fillId="42" borderId="0" xfId="0" applyFont="1" applyFill="1" applyAlignment="1">
      <alignment horizontal="center" vertical="center" wrapText="1"/>
    </xf>
    <xf numFmtId="0" fontId="33" fillId="42" borderId="39" xfId="0" applyFont="1" applyFill="1" applyBorder="1" applyAlignment="1">
      <alignment vertical="center" wrapText="1"/>
    </xf>
    <xf numFmtId="0" fontId="22" fillId="42" borderId="37" xfId="0" applyFont="1" applyFill="1" applyBorder="1"/>
    <xf numFmtId="43" fontId="31" fillId="42" borderId="36" xfId="42" applyFont="1" applyFill="1" applyBorder="1" applyAlignment="1">
      <alignment horizontal="left" vertical="center" wrapText="1"/>
    </xf>
    <xf numFmtId="0" fontId="31" fillId="42" borderId="36" xfId="0" applyFont="1" applyFill="1" applyBorder="1" applyAlignment="1">
      <alignment horizontal="left" vertical="center" wrapText="1"/>
    </xf>
    <xf numFmtId="0" fontId="31" fillId="42" borderId="35" xfId="0" applyFont="1" applyFill="1" applyBorder="1" applyAlignment="1">
      <alignment horizontal="left" vertical="center" wrapText="1"/>
    </xf>
    <xf numFmtId="0" fontId="30" fillId="35" borderId="22" xfId="0" applyFont="1" applyFill="1" applyBorder="1" applyAlignment="1">
      <alignment vertical="center" wrapText="1"/>
    </xf>
    <xf numFmtId="0" fontId="22" fillId="42" borderId="34" xfId="0" applyFont="1" applyFill="1" applyBorder="1"/>
    <xf numFmtId="43" fontId="31" fillId="42" borderId="52" xfId="42" applyFont="1" applyFill="1" applyBorder="1" applyAlignment="1">
      <alignment horizontal="left" vertical="center" wrapText="1"/>
    </xf>
    <xf numFmtId="43" fontId="31" fillId="42" borderId="33" xfId="42" applyFont="1" applyFill="1" applyBorder="1" applyAlignment="1">
      <alignment horizontal="left" vertical="center" wrapText="1"/>
    </xf>
    <xf numFmtId="0" fontId="31" fillId="42" borderId="33" xfId="0" applyFont="1" applyFill="1" applyBorder="1" applyAlignment="1">
      <alignment horizontal="left" vertical="center" wrapText="1"/>
    </xf>
    <xf numFmtId="0" fontId="31" fillId="42" borderId="32" xfId="0" applyFont="1" applyFill="1" applyBorder="1" applyAlignment="1">
      <alignment horizontal="left" vertical="center" wrapText="1"/>
    </xf>
    <xf numFmtId="0" fontId="30" fillId="35" borderId="14" xfId="0" applyFont="1" applyFill="1" applyBorder="1" applyAlignment="1">
      <alignment vertical="center" wrapText="1"/>
    </xf>
    <xf numFmtId="0" fontId="34" fillId="42" borderId="0" xfId="0" applyFont="1" applyFill="1" applyAlignment="1">
      <alignment horizontal="center"/>
    </xf>
    <xf numFmtId="0" fontId="34" fillId="42" borderId="0" xfId="0" applyFont="1" applyFill="1" applyAlignment="1">
      <alignment horizontal="left"/>
    </xf>
    <xf numFmtId="0" fontId="36" fillId="45" borderId="14" xfId="0" applyFont="1" applyFill="1" applyBorder="1" applyAlignment="1">
      <alignment horizontal="center" vertical="center"/>
    </xf>
    <xf numFmtId="0" fontId="36" fillId="45" borderId="53" xfId="0" applyFont="1" applyFill="1" applyBorder="1" applyAlignment="1">
      <alignment horizontal="center" vertical="center"/>
    </xf>
    <xf numFmtId="0" fontId="36" fillId="45" borderId="27" xfId="0" applyFont="1" applyFill="1" applyBorder="1" applyAlignment="1">
      <alignment horizontal="center" vertical="center" wrapText="1"/>
    </xf>
    <xf numFmtId="0" fontId="36" fillId="45" borderId="15" xfId="0" applyFont="1" applyFill="1" applyBorder="1" applyAlignment="1">
      <alignment horizontal="center" vertical="center" wrapText="1"/>
    </xf>
    <xf numFmtId="43" fontId="35" fillId="42" borderId="50" xfId="42" applyFont="1" applyFill="1" applyBorder="1" applyAlignment="1">
      <alignment horizontal="left" vertical="center"/>
    </xf>
    <xf numFmtId="43" fontId="35" fillId="42" borderId="49" xfId="42" applyFont="1" applyFill="1" applyBorder="1" applyAlignment="1">
      <alignment horizontal="left" vertical="center"/>
    </xf>
    <xf numFmtId="0" fontId="36" fillId="44" borderId="20" xfId="0" applyFont="1" applyFill="1" applyBorder="1" applyAlignment="1">
      <alignment vertical="center"/>
    </xf>
    <xf numFmtId="0" fontId="36" fillId="44" borderId="20" xfId="0" applyFont="1" applyFill="1" applyBorder="1" applyAlignment="1">
      <alignment horizontal="right" vertical="center"/>
    </xf>
    <xf numFmtId="43" fontId="36" fillId="44" borderId="20" xfId="0" applyNumberFormat="1" applyFont="1" applyFill="1" applyBorder="1" applyAlignment="1">
      <alignment vertical="center"/>
    </xf>
    <xf numFmtId="43" fontId="36" fillId="44" borderId="19" xfId="0" applyNumberFormat="1" applyFont="1" applyFill="1" applyBorder="1" applyAlignment="1">
      <alignment vertical="center"/>
    </xf>
    <xf numFmtId="0" fontId="36" fillId="45" borderId="54" xfId="0" applyFont="1" applyFill="1" applyBorder="1" applyAlignment="1">
      <alignment horizontal="center" vertical="center"/>
    </xf>
    <xf numFmtId="0" fontId="36" fillId="45" borderId="54" xfId="0" applyFont="1" applyFill="1" applyBorder="1" applyAlignment="1">
      <alignment horizontal="center" vertical="center" wrapText="1"/>
    </xf>
    <xf numFmtId="43" fontId="35" fillId="42" borderId="55" xfId="42" applyFont="1" applyFill="1" applyBorder="1" applyAlignment="1">
      <alignment horizontal="left" vertical="center"/>
    </xf>
    <xf numFmtId="0" fontId="36" fillId="42" borderId="0" xfId="0" applyFont="1" applyFill="1" applyAlignment="1">
      <alignment vertical="center"/>
    </xf>
    <xf numFmtId="0" fontId="36" fillId="42" borderId="0" xfId="0" applyFont="1" applyFill="1" applyAlignment="1">
      <alignment horizontal="right" vertical="center"/>
    </xf>
    <xf numFmtId="43" fontId="36" fillId="42" borderId="0" xfId="0" applyNumberFormat="1" applyFont="1" applyFill="1" applyAlignment="1">
      <alignment vertical="center"/>
    </xf>
    <xf numFmtId="0" fontId="22" fillId="42" borderId="0" xfId="0" applyFont="1" applyFill="1" applyAlignment="1">
      <alignment horizontal="left"/>
    </xf>
    <xf numFmtId="0" fontId="37" fillId="35" borderId="0" xfId="49" applyFill="1" applyAlignment="1">
      <alignment horizontal="center" wrapText="1"/>
    </xf>
    <xf numFmtId="0" fontId="35" fillId="42" borderId="56" xfId="47" applyFont="1" applyFill="1" applyBorder="1" applyAlignment="1">
      <alignment vertical="center" wrapText="1"/>
    </xf>
    <xf numFmtId="0" fontId="35" fillId="42" borderId="42" xfId="47" applyFont="1" applyFill="1" applyBorder="1" applyAlignment="1">
      <alignment vertical="center" wrapText="1"/>
    </xf>
    <xf numFmtId="43" fontId="35" fillId="42" borderId="42" xfId="48" applyFont="1" applyFill="1" applyBorder="1" applyAlignment="1">
      <alignment horizontal="center" vertical="center" wrapText="1"/>
    </xf>
    <xf numFmtId="2" fontId="35" fillId="42" borderId="49" xfId="48" applyNumberFormat="1" applyFont="1" applyFill="1" applyBorder="1" applyAlignment="1">
      <alignment vertical="center" wrapText="1"/>
    </xf>
    <xf numFmtId="43" fontId="34" fillId="42" borderId="28" xfId="47" applyNumberFormat="1" applyFont="1" applyFill="1" applyBorder="1"/>
    <xf numFmtId="0" fontId="35" fillId="42" borderId="44" xfId="47" applyFont="1" applyFill="1" applyBorder="1" applyAlignment="1">
      <alignment vertical="center" wrapText="1"/>
    </xf>
    <xf numFmtId="0" fontId="35" fillId="42" borderId="45" xfId="47" applyFont="1" applyFill="1" applyBorder="1" applyAlignment="1">
      <alignment vertical="center" wrapText="1"/>
    </xf>
    <xf numFmtId="43" fontId="35" fillId="42" borderId="45" xfId="48" applyFont="1" applyFill="1" applyBorder="1" applyAlignment="1">
      <alignment horizontal="center" vertical="center" wrapText="1"/>
    </xf>
    <xf numFmtId="0" fontId="35" fillId="42" borderId="57" xfId="47" applyFont="1" applyFill="1" applyBorder="1" applyAlignment="1">
      <alignment vertical="center" wrapText="1"/>
    </xf>
    <xf numFmtId="0" fontId="38" fillId="42" borderId="58" xfId="47" applyFont="1" applyFill="1" applyBorder="1" applyAlignment="1">
      <alignment vertical="center" wrapText="1"/>
    </xf>
    <xf numFmtId="0" fontId="35" fillId="42" borderId="58" xfId="47" applyFont="1" applyFill="1" applyBorder="1" applyAlignment="1">
      <alignment vertical="center" wrapText="1"/>
    </xf>
    <xf numFmtId="43" fontId="38" fillId="42" borderId="58" xfId="48" applyFont="1" applyFill="1" applyBorder="1" applyAlignment="1">
      <alignment horizontal="center" vertical="center" wrapText="1"/>
    </xf>
    <xf numFmtId="2" fontId="38" fillId="42" borderId="59" xfId="48" applyNumberFormat="1" applyFont="1" applyFill="1" applyBorder="1" applyAlignment="1">
      <alignment vertical="center" wrapText="1"/>
    </xf>
    <xf numFmtId="0" fontId="35" fillId="42" borderId="60" xfId="47" applyFont="1" applyFill="1" applyBorder="1" applyAlignment="1">
      <alignment vertical="center" wrapText="1"/>
    </xf>
    <xf numFmtId="0" fontId="35" fillId="42" borderId="61" xfId="47" applyFont="1" applyFill="1" applyBorder="1" applyAlignment="1">
      <alignment vertical="center" wrapText="1"/>
    </xf>
    <xf numFmtId="43" fontId="35" fillId="42" borderId="61" xfId="48" applyFont="1" applyFill="1" applyBorder="1" applyAlignment="1">
      <alignment horizontal="center" vertical="center" wrapText="1"/>
    </xf>
    <xf numFmtId="43" fontId="35" fillId="42" borderId="61" xfId="48" applyFont="1" applyFill="1" applyBorder="1" applyAlignment="1">
      <alignment vertical="center" wrapText="1"/>
    </xf>
    <xf numFmtId="14" fontId="35" fillId="42" borderId="62" xfId="48" applyNumberFormat="1" applyFont="1" applyFill="1" applyBorder="1" applyAlignment="1">
      <alignment vertical="center" wrapText="1"/>
    </xf>
    <xf numFmtId="43" fontId="38" fillId="42" borderId="58" xfId="48" applyFont="1" applyFill="1" applyBorder="1" applyAlignment="1">
      <alignment vertical="center" wrapText="1"/>
    </xf>
    <xf numFmtId="2" fontId="35" fillId="42" borderId="61" xfId="47" applyNumberFormat="1" applyFont="1" applyFill="1" applyBorder="1" applyAlignment="1">
      <alignment vertical="center" wrapText="1"/>
    </xf>
    <xf numFmtId="14" fontId="35" fillId="42" borderId="61" xfId="48" applyNumberFormat="1" applyFont="1" applyFill="1" applyBorder="1" applyAlignment="1">
      <alignment vertical="center" wrapText="1"/>
    </xf>
    <xf numFmtId="2" fontId="35" fillId="42" borderId="42" xfId="47" applyNumberFormat="1" applyFont="1" applyFill="1" applyBorder="1" applyAlignment="1">
      <alignment vertical="center" wrapText="1"/>
    </xf>
    <xf numFmtId="14" fontId="35" fillId="42" borderId="42" xfId="48" applyNumberFormat="1" applyFont="1" applyFill="1" applyBorder="1" applyAlignment="1">
      <alignment vertical="center" wrapText="1"/>
    </xf>
    <xf numFmtId="14" fontId="35" fillId="42" borderId="49" xfId="48" applyNumberFormat="1" applyFont="1" applyFill="1" applyBorder="1" applyAlignment="1">
      <alignment vertical="center" wrapText="1"/>
    </xf>
    <xf numFmtId="2" fontId="38" fillId="42" borderId="58" xfId="47" applyNumberFormat="1" applyFont="1" applyFill="1" applyBorder="1" applyAlignment="1">
      <alignment vertical="center" wrapText="1"/>
    </xf>
    <xf numFmtId="43" fontId="35" fillId="42" borderId="58" xfId="48" applyFont="1" applyFill="1" applyBorder="1" applyAlignment="1">
      <alignment vertical="center" wrapText="1"/>
    </xf>
    <xf numFmtId="14" fontId="35" fillId="42" borderId="58" xfId="48" applyNumberFormat="1" applyFont="1" applyFill="1" applyBorder="1" applyAlignment="1">
      <alignment vertical="center" wrapText="1"/>
    </xf>
    <xf numFmtId="14" fontId="35" fillId="42" borderId="59" xfId="48" applyNumberFormat="1" applyFont="1" applyFill="1" applyBorder="1" applyAlignment="1">
      <alignment vertical="center" wrapText="1"/>
    </xf>
    <xf numFmtId="2" fontId="35" fillId="42" borderId="62" xfId="48" applyNumberFormat="1" applyFont="1" applyFill="1" applyBorder="1" applyAlignment="1">
      <alignment vertical="center" wrapText="1"/>
    </xf>
    <xf numFmtId="43" fontId="38" fillId="42" borderId="59" xfId="48" applyFont="1" applyFill="1" applyBorder="1" applyAlignment="1">
      <alignment horizontal="center" vertical="center" wrapText="1"/>
    </xf>
    <xf numFmtId="0" fontId="0" fillId="0" borderId="0" xfId="47" applyFont="1"/>
    <xf numFmtId="43" fontId="1" fillId="0" borderId="0" xfId="47" applyNumberFormat="1"/>
    <xf numFmtId="0" fontId="0" fillId="0" borderId="0" xfId="0" applyAlignment="1">
      <alignment horizontal="center"/>
    </xf>
    <xf numFmtId="0" fontId="42" fillId="42" borderId="0" xfId="0" applyFont="1" applyFill="1"/>
    <xf numFmtId="0" fontId="43" fillId="42" borderId="0" xfId="0" applyFont="1" applyFill="1"/>
    <xf numFmtId="0" fontId="22" fillId="42" borderId="0" xfId="0" applyFont="1" applyFill="1" applyAlignment="1">
      <alignment horizontal="center"/>
    </xf>
    <xf numFmtId="43" fontId="22" fillId="42" borderId="0" xfId="42" applyFont="1" applyFill="1" applyBorder="1"/>
    <xf numFmtId="43" fontId="40" fillId="42" borderId="0" xfId="42" applyFont="1" applyFill="1" applyBorder="1"/>
    <xf numFmtId="0" fontId="44" fillId="42" borderId="0" xfId="0" applyFont="1" applyFill="1"/>
    <xf numFmtId="0" fontId="40" fillId="42" borderId="14" xfId="0" applyFont="1" applyFill="1" applyBorder="1" applyAlignment="1">
      <alignment horizontal="left"/>
    </xf>
    <xf numFmtId="0" fontId="40" fillId="42" borderId="22" xfId="0" applyFont="1" applyFill="1" applyBorder="1" applyAlignment="1">
      <alignment horizontal="left"/>
    </xf>
    <xf numFmtId="0" fontId="40" fillId="42" borderId="16" xfId="0" applyFont="1" applyFill="1" applyBorder="1" applyAlignment="1">
      <alignment horizontal="left"/>
    </xf>
    <xf numFmtId="43" fontId="21" fillId="37" borderId="30" xfId="42" applyFont="1" applyFill="1" applyBorder="1" applyAlignment="1">
      <alignment horizontal="center" vertical="center"/>
    </xf>
    <xf numFmtId="43" fontId="21" fillId="37" borderId="13" xfId="42" applyFont="1" applyFill="1" applyBorder="1" applyAlignment="1">
      <alignment horizontal="center" vertical="center"/>
    </xf>
    <xf numFmtId="4" fontId="44" fillId="42" borderId="0" xfId="0" applyNumberFormat="1" applyFont="1" applyFill="1"/>
    <xf numFmtId="43" fontId="21" fillId="37" borderId="11" xfId="42" applyFont="1" applyFill="1" applyBorder="1" applyAlignment="1">
      <alignment horizontal="center" vertical="center"/>
    </xf>
    <xf numFmtId="9" fontId="21" fillId="37" borderId="11" xfId="42" applyNumberFormat="1" applyFont="1" applyFill="1" applyBorder="1" applyAlignment="1">
      <alignment horizontal="center" vertical="center"/>
    </xf>
    <xf numFmtId="0" fontId="22" fillId="42" borderId="11" xfId="0" applyFont="1" applyFill="1" applyBorder="1" applyAlignment="1">
      <alignment horizontal="center"/>
    </xf>
    <xf numFmtId="43" fontId="22" fillId="42" borderId="11" xfId="42" applyFont="1" applyFill="1" applyBorder="1"/>
    <xf numFmtId="43" fontId="22" fillId="46" borderId="11" xfId="42" applyFont="1" applyFill="1" applyBorder="1"/>
    <xf numFmtId="14" fontId="22" fillId="42" borderId="11" xfId="42" applyNumberFormat="1" applyFont="1" applyFill="1" applyBorder="1"/>
    <xf numFmtId="166" fontId="22" fillId="42" borderId="11" xfId="42" applyNumberFormat="1" applyFont="1" applyFill="1" applyBorder="1"/>
    <xf numFmtId="43" fontId="22" fillId="47" borderId="11" xfId="42" applyFont="1" applyFill="1" applyBorder="1"/>
    <xf numFmtId="43" fontId="45" fillId="46" borderId="11" xfId="42" applyFont="1" applyFill="1" applyBorder="1"/>
    <xf numFmtId="0" fontId="40" fillId="42" borderId="0" xfId="0" applyFont="1" applyFill="1"/>
    <xf numFmtId="43" fontId="40" fillId="43" borderId="11" xfId="42" applyFont="1" applyFill="1" applyBorder="1"/>
    <xf numFmtId="43" fontId="40" fillId="42" borderId="0" xfId="42" applyFont="1" applyFill="1" applyBorder="1" applyAlignment="1">
      <alignment horizontal="center"/>
    </xf>
    <xf numFmtId="43" fontId="40" fillId="42" borderId="11" xfId="42" applyFont="1" applyFill="1" applyBorder="1"/>
    <xf numFmtId="4" fontId="0" fillId="0" borderId="0" xfId="0" applyNumberFormat="1"/>
    <xf numFmtId="0" fontId="21" fillId="0" borderId="0" xfId="0" applyFont="1" applyAlignment="1">
      <alignment horizontal="center" vertical="center"/>
    </xf>
    <xf numFmtId="10"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43" applyFont="1" applyFill="1" applyBorder="1" applyAlignment="1">
      <alignment horizontal="center" vertical="center"/>
    </xf>
    <xf numFmtId="44" fontId="21" fillId="0" borderId="0" xfId="0" applyNumberFormat="1" applyFont="1" applyAlignment="1">
      <alignment horizontal="center" vertical="center"/>
    </xf>
    <xf numFmtId="164" fontId="0" fillId="0" borderId="0" xfId="43" applyFont="1" applyFill="1" applyBorder="1"/>
    <xf numFmtId="44" fontId="14" fillId="0" borderId="0" xfId="0" applyNumberFormat="1" applyFont="1"/>
    <xf numFmtId="10" fontId="0" fillId="0" borderId="0" xfId="0" applyNumberFormat="1" applyAlignment="1">
      <alignment horizontal="center" vertical="center" wrapText="1"/>
    </xf>
    <xf numFmtId="0" fontId="35" fillId="42" borderId="39" xfId="47" applyFont="1" applyFill="1" applyBorder="1"/>
    <xf numFmtId="0" fontId="35" fillId="42" borderId="79" xfId="47" applyFont="1" applyFill="1" applyBorder="1" applyAlignment="1">
      <alignment horizontal="left" vertical="center" wrapText="1"/>
    </xf>
    <xf numFmtId="2" fontId="35" fillId="42" borderId="80" xfId="48" applyNumberFormat="1" applyFont="1" applyFill="1" applyBorder="1" applyAlignment="1">
      <alignment horizontal="right" vertical="center" wrapText="1"/>
    </xf>
    <xf numFmtId="2" fontId="35" fillId="42" borderId="26" xfId="48" applyNumberFormat="1" applyFont="1" applyFill="1" applyBorder="1" applyAlignment="1">
      <alignment horizontal="right" vertical="center" wrapText="1"/>
    </xf>
    <xf numFmtId="43" fontId="35" fillId="42" borderId="58" xfId="48" applyFont="1" applyFill="1" applyBorder="1" applyAlignment="1">
      <alignment horizontal="center" vertical="center" wrapText="1"/>
    </xf>
    <xf numFmtId="2" fontId="36" fillId="44" borderId="27" xfId="47" applyNumberFormat="1" applyFont="1" applyFill="1" applyBorder="1" applyAlignment="1">
      <alignment horizontal="center" vertical="center" wrapText="1"/>
    </xf>
    <xf numFmtId="0" fontId="0" fillId="42" borderId="0" xfId="0" applyFill="1" applyAlignment="1">
      <alignment horizontal="center"/>
    </xf>
    <xf numFmtId="0" fontId="16" fillId="48" borderId="81" xfId="0" applyFont="1" applyFill="1" applyBorder="1"/>
    <xf numFmtId="0" fontId="16" fillId="48" borderId="82" xfId="0" applyFont="1" applyFill="1" applyBorder="1"/>
    <xf numFmtId="0" fontId="16" fillId="48" borderId="82" xfId="0" applyFont="1" applyFill="1" applyBorder="1" applyAlignment="1">
      <alignment horizontal="center"/>
    </xf>
    <xf numFmtId="0" fontId="16" fillId="42" borderId="82" xfId="0" applyFont="1" applyFill="1" applyBorder="1" applyAlignment="1">
      <alignment horizontal="center" vertical="center"/>
    </xf>
    <xf numFmtId="0" fontId="0" fillId="42" borderId="83" xfId="0" applyFill="1" applyBorder="1"/>
    <xf numFmtId="0" fontId="0" fillId="42" borderId="84" xfId="0" applyFill="1" applyBorder="1" applyAlignment="1">
      <alignment horizontal="center"/>
    </xf>
    <xf numFmtId="43" fontId="0" fillId="42" borderId="84" xfId="50" applyFont="1" applyFill="1" applyBorder="1"/>
    <xf numFmtId="0" fontId="0" fillId="42" borderId="85" xfId="0" applyFill="1" applyBorder="1" applyAlignment="1">
      <alignment wrapText="1"/>
    </xf>
    <xf numFmtId="0" fontId="0" fillId="42" borderId="86" xfId="0" applyFill="1" applyBorder="1" applyAlignment="1">
      <alignment horizontal="center"/>
    </xf>
    <xf numFmtId="43" fontId="0" fillId="42" borderId="86" xfId="50" applyFont="1" applyFill="1" applyBorder="1"/>
    <xf numFmtId="0" fontId="0" fillId="42" borderId="87" xfId="0" applyFill="1" applyBorder="1" applyAlignment="1">
      <alignment wrapText="1"/>
    </xf>
    <xf numFmtId="0" fontId="0" fillId="42" borderId="88" xfId="0" applyFill="1" applyBorder="1" applyAlignment="1">
      <alignment horizontal="center"/>
    </xf>
    <xf numFmtId="43" fontId="16" fillId="49" borderId="86" xfId="50" applyFont="1" applyFill="1" applyBorder="1"/>
    <xf numFmtId="0" fontId="0" fillId="42" borderId="89" xfId="0" applyFill="1" applyBorder="1"/>
    <xf numFmtId="0" fontId="0" fillId="42" borderId="90" xfId="0" applyFill="1" applyBorder="1" applyAlignment="1">
      <alignment horizontal="center"/>
    </xf>
    <xf numFmtId="43" fontId="16" fillId="49" borderId="90" xfId="50" applyFont="1" applyFill="1" applyBorder="1"/>
    <xf numFmtId="43" fontId="0" fillId="42" borderId="90" xfId="50" applyFont="1" applyFill="1" applyBorder="1"/>
    <xf numFmtId="0" fontId="16" fillId="48" borderId="91" xfId="0" applyFont="1" applyFill="1" applyBorder="1"/>
    <xf numFmtId="0" fontId="16" fillId="48" borderId="92" xfId="0" applyFont="1" applyFill="1" applyBorder="1"/>
    <xf numFmtId="0" fontId="16" fillId="48" borderId="92" xfId="0" applyFont="1" applyFill="1" applyBorder="1" applyAlignment="1">
      <alignment horizontal="center"/>
    </xf>
    <xf numFmtId="43" fontId="16" fillId="48" borderId="93" xfId="50" applyFont="1" applyFill="1" applyBorder="1"/>
    <xf numFmtId="0" fontId="16" fillId="50" borderId="81" xfId="0" applyFont="1" applyFill="1" applyBorder="1"/>
    <xf numFmtId="0" fontId="16" fillId="50" borderId="82" xfId="0" applyFont="1" applyFill="1" applyBorder="1"/>
    <xf numFmtId="0" fontId="16" fillId="50" borderId="82" xfId="0" applyFont="1" applyFill="1" applyBorder="1" applyAlignment="1">
      <alignment horizontal="center"/>
    </xf>
    <xf numFmtId="43" fontId="16" fillId="51" borderId="96" xfId="50" applyFont="1" applyFill="1" applyBorder="1"/>
    <xf numFmtId="0" fontId="0" fillId="42" borderId="67" xfId="0" applyFill="1" applyBorder="1"/>
    <xf numFmtId="0" fontId="0" fillId="42" borderId="68" xfId="0" applyFill="1" applyBorder="1" applyAlignment="1">
      <alignment horizontal="center"/>
    </xf>
    <xf numFmtId="43" fontId="16" fillId="51" borderId="68" xfId="50" applyFont="1" applyFill="1" applyBorder="1"/>
    <xf numFmtId="43" fontId="0" fillId="42" borderId="99" xfId="50" applyFont="1" applyFill="1" applyBorder="1"/>
    <xf numFmtId="0" fontId="16" fillId="50" borderId="91" xfId="0" applyFont="1" applyFill="1" applyBorder="1"/>
    <xf numFmtId="0" fontId="16" fillId="50" borderId="92" xfId="0" applyFont="1" applyFill="1" applyBorder="1"/>
    <xf numFmtId="0" fontId="16" fillId="50" borderId="92" xfId="0" applyFont="1" applyFill="1" applyBorder="1" applyAlignment="1">
      <alignment horizontal="center"/>
    </xf>
    <xf numFmtId="43" fontId="16" fillId="50" borderId="93" xfId="50" applyFont="1" applyFill="1" applyBorder="1"/>
    <xf numFmtId="0" fontId="16" fillId="50" borderId="100" xfId="0" applyFont="1" applyFill="1" applyBorder="1"/>
    <xf numFmtId="0" fontId="16" fillId="50" borderId="101" xfId="0" applyFont="1" applyFill="1" applyBorder="1"/>
    <xf numFmtId="0" fontId="16" fillId="50" borderId="101" xfId="0" applyFont="1" applyFill="1" applyBorder="1" applyAlignment="1">
      <alignment horizontal="center"/>
    </xf>
    <xf numFmtId="43" fontId="16" fillId="50" borderId="102" xfId="50" applyFont="1" applyFill="1" applyBorder="1"/>
    <xf numFmtId="43" fontId="0" fillId="42" borderId="0" xfId="0" applyNumberFormat="1" applyFill="1"/>
    <xf numFmtId="0" fontId="16" fillId="52" borderId="81" xfId="0" applyFont="1" applyFill="1" applyBorder="1"/>
    <xf numFmtId="0" fontId="16" fillId="52" borderId="82" xfId="0" applyFont="1" applyFill="1" applyBorder="1"/>
    <xf numFmtId="0" fontId="16" fillId="52" borderId="82" xfId="0" applyFont="1" applyFill="1" applyBorder="1" applyAlignment="1">
      <alignment horizontal="center"/>
    </xf>
    <xf numFmtId="0" fontId="0" fillId="42" borderId="0" xfId="0" applyFill="1" applyAlignment="1">
      <alignment horizontal="left" vertical="center"/>
    </xf>
    <xf numFmtId="43" fontId="16" fillId="53" borderId="96" xfId="50" applyFont="1" applyFill="1" applyBorder="1"/>
    <xf numFmtId="43" fontId="16" fillId="53" borderId="68" xfId="50" applyFont="1" applyFill="1" applyBorder="1"/>
    <xf numFmtId="0" fontId="16" fillId="52" borderId="91" xfId="0" applyFont="1" applyFill="1" applyBorder="1"/>
    <xf numFmtId="0" fontId="16" fillId="52" borderId="92" xfId="0" applyFont="1" applyFill="1" applyBorder="1"/>
    <xf numFmtId="0" fontId="16" fillId="52" borderId="92" xfId="0" applyFont="1" applyFill="1" applyBorder="1" applyAlignment="1">
      <alignment horizontal="center"/>
    </xf>
    <xf numFmtId="43" fontId="16" fillId="52" borderId="93" xfId="50" applyFont="1" applyFill="1" applyBorder="1"/>
    <xf numFmtId="0" fontId="13" fillId="54" borderId="100" xfId="0" applyFont="1" applyFill="1" applyBorder="1"/>
    <xf numFmtId="0" fontId="13" fillId="54" borderId="101" xfId="0" applyFont="1" applyFill="1" applyBorder="1"/>
    <xf numFmtId="0" fontId="13" fillId="54" borderId="101" xfId="0" applyFont="1" applyFill="1" applyBorder="1" applyAlignment="1">
      <alignment horizontal="center"/>
    </xf>
    <xf numFmtId="0" fontId="16" fillId="42" borderId="101" xfId="0" applyFont="1" applyFill="1" applyBorder="1" applyAlignment="1">
      <alignment horizontal="center" vertical="center"/>
    </xf>
    <xf numFmtId="0" fontId="16" fillId="42" borderId="83" xfId="0" applyFont="1" applyFill="1" applyBorder="1"/>
    <xf numFmtId="0" fontId="16" fillId="42" borderId="86" xfId="0" applyFont="1" applyFill="1" applyBorder="1" applyAlignment="1">
      <alignment horizontal="center"/>
    </xf>
    <xf numFmtId="43" fontId="16" fillId="42" borderId="86" xfId="50" applyFont="1" applyFill="1" applyBorder="1"/>
    <xf numFmtId="0" fontId="16" fillId="42" borderId="103" xfId="0" applyFont="1" applyFill="1" applyBorder="1" applyAlignment="1">
      <alignment wrapText="1"/>
    </xf>
    <xf numFmtId="0" fontId="16" fillId="42" borderId="88" xfId="0" applyFont="1" applyFill="1" applyBorder="1" applyAlignment="1">
      <alignment horizontal="center"/>
    </xf>
    <xf numFmtId="43" fontId="16" fillId="55" borderId="96" xfId="50" applyFont="1" applyFill="1" applyBorder="1"/>
    <xf numFmtId="0" fontId="16" fillId="42" borderId="104" xfId="0" applyFont="1" applyFill="1" applyBorder="1"/>
    <xf numFmtId="0" fontId="16" fillId="42" borderId="96" xfId="0" applyFont="1" applyFill="1" applyBorder="1" applyAlignment="1">
      <alignment horizontal="center"/>
    </xf>
    <xf numFmtId="43" fontId="13" fillId="54" borderId="102" xfId="50" applyFont="1" applyFill="1" applyBorder="1"/>
    <xf numFmtId="0" fontId="13" fillId="56" borderId="81" xfId="0" applyFont="1" applyFill="1" applyBorder="1"/>
    <xf numFmtId="0" fontId="13" fillId="56" borderId="82" xfId="0" applyFont="1" applyFill="1" applyBorder="1"/>
    <xf numFmtId="0" fontId="13" fillId="56" borderId="82" xfId="0" applyFont="1" applyFill="1" applyBorder="1" applyAlignment="1">
      <alignment horizontal="center"/>
    </xf>
    <xf numFmtId="43" fontId="16" fillId="57" borderId="96" xfId="50" applyFont="1" applyFill="1" applyBorder="1"/>
    <xf numFmtId="43" fontId="16" fillId="57" borderId="68" xfId="50" applyFont="1" applyFill="1" applyBorder="1"/>
    <xf numFmtId="0" fontId="13" fillId="56" borderId="91" xfId="0" applyFont="1" applyFill="1" applyBorder="1"/>
    <xf numFmtId="0" fontId="13" fillId="56" borderId="92" xfId="0" applyFont="1" applyFill="1" applyBorder="1"/>
    <xf numFmtId="0" fontId="13" fillId="56" borderId="92" xfId="0" applyFont="1" applyFill="1" applyBorder="1" applyAlignment="1">
      <alignment horizontal="center"/>
    </xf>
    <xf numFmtId="43" fontId="13" fillId="56" borderId="93" xfId="50" applyFont="1" applyFill="1" applyBorder="1"/>
    <xf numFmtId="0" fontId="13" fillId="58" borderId="81" xfId="0" applyFont="1" applyFill="1" applyBorder="1"/>
    <xf numFmtId="0" fontId="13" fillId="58" borderId="82" xfId="0" applyFont="1" applyFill="1" applyBorder="1"/>
    <xf numFmtId="0" fontId="13" fillId="58" borderId="82" xfId="0" applyFont="1" applyFill="1" applyBorder="1" applyAlignment="1">
      <alignment horizontal="center"/>
    </xf>
    <xf numFmtId="43" fontId="16" fillId="59" borderId="96" xfId="50" applyFont="1" applyFill="1" applyBorder="1"/>
    <xf numFmtId="43" fontId="16" fillId="59" borderId="68" xfId="50" applyFont="1" applyFill="1" applyBorder="1"/>
    <xf numFmtId="0" fontId="13" fillId="58" borderId="91" xfId="0" applyFont="1" applyFill="1" applyBorder="1"/>
    <xf numFmtId="0" fontId="13" fillId="58" borderId="92" xfId="0" applyFont="1" applyFill="1" applyBorder="1"/>
    <xf numFmtId="0" fontId="13" fillId="58" borderId="92" xfId="0" applyFont="1" applyFill="1" applyBorder="1" applyAlignment="1">
      <alignment horizontal="center"/>
    </xf>
    <xf numFmtId="43" fontId="13" fillId="58" borderId="93" xfId="50" applyFont="1" applyFill="1" applyBorder="1"/>
    <xf numFmtId="0" fontId="24" fillId="60" borderId="100" xfId="0" applyFont="1" applyFill="1" applyBorder="1"/>
    <xf numFmtId="0" fontId="24" fillId="60" borderId="101" xfId="0" applyFont="1" applyFill="1" applyBorder="1"/>
    <xf numFmtId="0" fontId="24" fillId="60" borderId="101" xfId="0" applyFont="1" applyFill="1" applyBorder="1" applyAlignment="1">
      <alignment horizontal="center"/>
    </xf>
    <xf numFmtId="43" fontId="16" fillId="61" borderId="96" xfId="50" applyFont="1" applyFill="1" applyBorder="1"/>
    <xf numFmtId="0" fontId="0" fillId="42" borderId="104" xfId="0" applyFill="1" applyBorder="1"/>
    <xf numFmtId="0" fontId="0" fillId="42" borderId="96" xfId="0" applyFill="1" applyBorder="1" applyAlignment="1">
      <alignment horizontal="center"/>
    </xf>
    <xf numFmtId="43" fontId="0" fillId="42" borderId="96" xfId="50" applyFont="1" applyFill="1" applyBorder="1"/>
    <xf numFmtId="43" fontId="24" fillId="60" borderId="102" xfId="50" applyFont="1" applyFill="1" applyBorder="1"/>
    <xf numFmtId="0" fontId="16" fillId="62" borderId="81" xfId="0" applyFont="1" applyFill="1" applyBorder="1"/>
    <xf numFmtId="0" fontId="16" fillId="62" borderId="82" xfId="0" applyFont="1" applyFill="1" applyBorder="1"/>
    <xf numFmtId="0" fontId="16" fillId="62" borderId="82" xfId="0" applyFont="1" applyFill="1" applyBorder="1" applyAlignment="1">
      <alignment horizontal="center"/>
    </xf>
    <xf numFmtId="43" fontId="16" fillId="63" borderId="96" xfId="50" applyFont="1" applyFill="1" applyBorder="1"/>
    <xf numFmtId="43" fontId="16" fillId="42" borderId="68" xfId="50" applyFont="1" applyFill="1" applyBorder="1"/>
    <xf numFmtId="43" fontId="0" fillId="42" borderId="68" xfId="50" applyFont="1" applyFill="1" applyBorder="1"/>
    <xf numFmtId="0" fontId="16" fillId="62" borderId="91" xfId="0" applyFont="1" applyFill="1" applyBorder="1"/>
    <xf numFmtId="0" fontId="16" fillId="62" borderId="92" xfId="0" applyFont="1" applyFill="1" applyBorder="1"/>
    <xf numFmtId="0" fontId="16" fillId="62" borderId="92" xfId="0" applyFont="1" applyFill="1" applyBorder="1" applyAlignment="1">
      <alignment horizontal="center"/>
    </xf>
    <xf numFmtId="43" fontId="16" fillId="62" borderId="93" xfId="50" applyFont="1" applyFill="1" applyBorder="1"/>
    <xf numFmtId="0" fontId="0" fillId="42" borderId="0" xfId="0" applyFill="1" applyAlignment="1">
      <alignment wrapText="1"/>
    </xf>
    <xf numFmtId="0" fontId="30" fillId="35" borderId="14" xfId="46" applyFont="1" applyFill="1" applyBorder="1" applyAlignment="1">
      <alignment vertical="center" wrapText="1"/>
    </xf>
    <xf numFmtId="0" fontId="31" fillId="42" borderId="32" xfId="46" applyFont="1" applyFill="1" applyBorder="1" applyAlignment="1">
      <alignment horizontal="left" vertical="center" wrapText="1"/>
    </xf>
    <xf numFmtId="0" fontId="31" fillId="42" borderId="33" xfId="46" applyFont="1" applyFill="1" applyBorder="1" applyAlignment="1">
      <alignment horizontal="left" vertical="center" wrapText="1"/>
    </xf>
    <xf numFmtId="44" fontId="31" fillId="42" borderId="33" xfId="51" applyFont="1" applyFill="1" applyBorder="1" applyAlignment="1">
      <alignment horizontal="left" vertical="center" wrapText="1"/>
    </xf>
    <xf numFmtId="0" fontId="22" fillId="42" borderId="34" xfId="46" applyFont="1" applyFill="1" applyBorder="1"/>
    <xf numFmtId="0" fontId="30" fillId="35" borderId="22" xfId="46" applyFont="1" applyFill="1" applyBorder="1" applyAlignment="1">
      <alignment vertical="center" wrapText="1"/>
    </xf>
    <xf numFmtId="0" fontId="31" fillId="42" borderId="35" xfId="46" applyFont="1" applyFill="1" applyBorder="1" applyAlignment="1">
      <alignment horizontal="left" vertical="center" wrapText="1"/>
    </xf>
    <xf numFmtId="0" fontId="31" fillId="42" borderId="36" xfId="46" applyFont="1" applyFill="1" applyBorder="1" applyAlignment="1">
      <alignment horizontal="left" vertical="center" wrapText="1"/>
    </xf>
    <xf numFmtId="44" fontId="31" fillId="42" borderId="36" xfId="51" applyFont="1" applyFill="1" applyBorder="1" applyAlignment="1">
      <alignment horizontal="left" vertical="center" wrapText="1"/>
    </xf>
    <xf numFmtId="0" fontId="22" fillId="42" borderId="37" xfId="46" applyFont="1" applyFill="1" applyBorder="1"/>
    <xf numFmtId="44" fontId="31" fillId="42" borderId="0" xfId="51" applyFont="1" applyFill="1" applyBorder="1" applyAlignment="1">
      <alignment horizontal="left" vertical="center" wrapText="1"/>
    </xf>
    <xf numFmtId="0" fontId="33" fillId="42" borderId="39" xfId="46" applyFont="1" applyFill="1" applyBorder="1" applyAlignment="1">
      <alignment vertical="center" wrapText="1"/>
    </xf>
    <xf numFmtId="0" fontId="33" fillId="42" borderId="0" xfId="46" applyFont="1" applyFill="1" applyAlignment="1">
      <alignment horizontal="center" vertical="center" wrapText="1"/>
    </xf>
    <xf numFmtId="0" fontId="33" fillId="42" borderId="0" xfId="46" applyFont="1" applyFill="1" applyAlignment="1">
      <alignment horizontal="left" vertical="center" wrapText="1"/>
    </xf>
    <xf numFmtId="44" fontId="33" fillId="42" borderId="0" xfId="51" applyFont="1" applyFill="1" applyBorder="1" applyAlignment="1">
      <alignment horizontal="left" vertical="center" wrapText="1"/>
    </xf>
    <xf numFmtId="0" fontId="22" fillId="42" borderId="28" xfId="46" applyFont="1" applyFill="1" applyBorder="1"/>
    <xf numFmtId="0" fontId="31" fillId="42" borderId="39" xfId="46" applyFont="1" applyFill="1" applyBorder="1" applyAlignment="1">
      <alignment horizontal="left" vertical="center" wrapText="1"/>
    </xf>
    <xf numFmtId="0" fontId="31" fillId="42" borderId="0" xfId="46" applyFont="1" applyFill="1" applyAlignment="1">
      <alignment horizontal="left" vertical="center" wrapText="1"/>
    </xf>
    <xf numFmtId="0" fontId="34" fillId="42" borderId="28" xfId="46" applyFont="1" applyFill="1" applyBorder="1"/>
    <xf numFmtId="0" fontId="31" fillId="42" borderId="40" xfId="46" applyFont="1" applyFill="1" applyBorder="1" applyAlignment="1">
      <alignment horizontal="left" vertical="center" wrapText="1"/>
    </xf>
    <xf numFmtId="0" fontId="31" fillId="42" borderId="12" xfId="46" applyFont="1" applyFill="1" applyBorder="1" applyAlignment="1">
      <alignment horizontal="left" vertical="center" wrapText="1"/>
    </xf>
    <xf numFmtId="44" fontId="31" fillId="42" borderId="12" xfId="51" applyFont="1" applyFill="1" applyBorder="1" applyAlignment="1">
      <alignment horizontal="left" vertical="center" wrapText="1"/>
    </xf>
    <xf numFmtId="2" fontId="34" fillId="42" borderId="21" xfId="46" applyNumberFormat="1" applyFont="1" applyFill="1" applyBorder="1"/>
    <xf numFmtId="0" fontId="34" fillId="42" borderId="39" xfId="46" applyFont="1" applyFill="1" applyBorder="1"/>
    <xf numFmtId="0" fontId="34" fillId="42" borderId="0" xfId="46" applyFont="1" applyFill="1" applyAlignment="1">
      <alignment horizontal="left"/>
    </xf>
    <xf numFmtId="44" fontId="34" fillId="42" borderId="0" xfId="51" applyFont="1" applyFill="1" applyBorder="1" applyAlignment="1">
      <alignment horizontal="left"/>
    </xf>
    <xf numFmtId="0" fontId="36" fillId="45" borderId="14" xfId="46" applyFont="1" applyFill="1" applyBorder="1" applyAlignment="1">
      <alignment horizontal="left" vertical="center" wrapText="1"/>
    </xf>
    <xf numFmtId="0" fontId="36" fillId="45" borderId="53" xfId="46" applyFont="1" applyFill="1" applyBorder="1" applyAlignment="1">
      <alignment horizontal="left" vertical="center" wrapText="1"/>
    </xf>
    <xf numFmtId="0" fontId="36" fillId="45" borderId="27" xfId="46" applyFont="1" applyFill="1" applyBorder="1" applyAlignment="1">
      <alignment horizontal="center" vertical="center" wrapText="1"/>
    </xf>
    <xf numFmtId="43" fontId="36" fillId="45" borderId="15" xfId="52" applyFont="1" applyFill="1" applyBorder="1" applyAlignment="1">
      <alignment horizontal="center" vertical="center" wrapText="1"/>
    </xf>
    <xf numFmtId="44" fontId="36" fillId="45" borderId="15" xfId="51" applyFont="1" applyFill="1" applyBorder="1" applyAlignment="1">
      <alignment horizontal="center" vertical="center" wrapText="1"/>
    </xf>
    <xf numFmtId="44" fontId="36" fillId="42" borderId="0" xfId="51" applyFont="1" applyFill="1" applyBorder="1" applyAlignment="1">
      <alignment horizontal="center" vertical="center" wrapText="1"/>
    </xf>
    <xf numFmtId="0" fontId="47" fillId="46" borderId="105" xfId="46" applyFont="1" applyFill="1" applyBorder="1" applyAlignment="1">
      <alignment vertical="center" wrapText="1"/>
    </xf>
    <xf numFmtId="0" fontId="47" fillId="46" borderId="106" xfId="46" applyFont="1" applyFill="1" applyBorder="1" applyAlignment="1">
      <alignment vertical="center" wrapText="1"/>
    </xf>
    <xf numFmtId="44" fontId="48" fillId="46" borderId="107" xfId="46" applyNumberFormat="1" applyFont="1" applyFill="1" applyBorder="1" applyAlignment="1">
      <alignment vertical="center" wrapText="1"/>
    </xf>
    <xf numFmtId="0" fontId="47" fillId="42" borderId="0" xfId="46" applyFont="1" applyFill="1" applyAlignment="1">
      <alignment vertical="center" wrapText="1"/>
    </xf>
    <xf numFmtId="2" fontId="34" fillId="42" borderId="28" xfId="46" applyNumberFormat="1" applyFont="1" applyFill="1" applyBorder="1"/>
    <xf numFmtId="43" fontId="35" fillId="42" borderId="44" xfId="52" applyFont="1" applyFill="1" applyBorder="1" applyAlignment="1">
      <alignment horizontal="left" vertical="center"/>
    </xf>
    <xf numFmtId="166" fontId="35" fillId="42" borderId="108" xfId="52" applyNumberFormat="1" applyFont="1" applyFill="1" applyBorder="1" applyAlignment="1">
      <alignment horizontal="center" vertical="center"/>
    </xf>
    <xf numFmtId="43" fontId="35" fillId="42" borderId="45" xfId="52" applyFont="1" applyFill="1" applyBorder="1" applyAlignment="1">
      <alignment horizontal="left" vertical="center"/>
    </xf>
    <xf numFmtId="43" fontId="35" fillId="42" borderId="49" xfId="52" applyFont="1" applyFill="1" applyBorder="1" applyAlignment="1">
      <alignment horizontal="center" vertical="center" wrapText="1"/>
    </xf>
    <xf numFmtId="44" fontId="35" fillId="42" borderId="43" xfId="51" applyFont="1" applyFill="1" applyBorder="1" applyAlignment="1">
      <alignment horizontal="left" vertical="center"/>
    </xf>
    <xf numFmtId="44" fontId="35" fillId="42" borderId="49" xfId="51" applyFont="1" applyFill="1" applyBorder="1" applyAlignment="1">
      <alignment horizontal="left" vertical="center"/>
    </xf>
    <xf numFmtId="43" fontId="35" fillId="42" borderId="56" xfId="52" applyFont="1" applyFill="1" applyBorder="1" applyAlignment="1">
      <alignment horizontal="left" vertical="center"/>
    </xf>
    <xf numFmtId="44" fontId="35" fillId="42" borderId="0" xfId="51" applyFont="1" applyFill="1" applyBorder="1" applyAlignment="1">
      <alignment horizontal="left" vertical="center"/>
    </xf>
    <xf numFmtId="166" fontId="35" fillId="42" borderId="108" xfId="52" applyNumberFormat="1" applyFont="1" applyFill="1" applyBorder="1" applyAlignment="1">
      <alignment horizontal="left" vertical="center"/>
    </xf>
    <xf numFmtId="43" fontId="35" fillId="42" borderId="108" xfId="52" applyFont="1" applyFill="1" applyBorder="1" applyAlignment="1">
      <alignment horizontal="left" vertical="center"/>
    </xf>
    <xf numFmtId="43" fontId="47" fillId="42" borderId="44" xfId="52" applyFont="1" applyFill="1" applyBorder="1" applyAlignment="1">
      <alignment horizontal="left" vertical="center"/>
    </xf>
    <xf numFmtId="166" fontId="47" fillId="42" borderId="108" xfId="52" applyNumberFormat="1" applyFont="1" applyFill="1" applyBorder="1" applyAlignment="1">
      <alignment horizontal="left" vertical="center"/>
    </xf>
    <xf numFmtId="43" fontId="47" fillId="42" borderId="49" xfId="52" applyFont="1" applyFill="1" applyBorder="1" applyAlignment="1">
      <alignment horizontal="center" vertical="center" wrapText="1"/>
    </xf>
    <xf numFmtId="44" fontId="47" fillId="42" borderId="43" xfId="51" applyFont="1" applyFill="1" applyBorder="1" applyAlignment="1">
      <alignment horizontal="left" vertical="center"/>
    </xf>
    <xf numFmtId="44" fontId="47" fillId="42" borderId="49" xfId="51" applyFont="1" applyFill="1" applyBorder="1" applyAlignment="1">
      <alignment horizontal="left" vertical="center"/>
    </xf>
    <xf numFmtId="43" fontId="47" fillId="42" borderId="57" xfId="52" applyFont="1" applyFill="1" applyBorder="1" applyAlignment="1">
      <alignment horizontal="left" vertical="center"/>
    </xf>
    <xf numFmtId="166" fontId="35" fillId="42" borderId="109" xfId="52" applyNumberFormat="1" applyFont="1" applyFill="1" applyBorder="1" applyAlignment="1">
      <alignment horizontal="left" vertical="center"/>
    </xf>
    <xf numFmtId="43" fontId="35" fillId="42" borderId="109" xfId="52" applyFont="1" applyFill="1" applyBorder="1" applyAlignment="1">
      <alignment horizontal="left" vertical="center"/>
    </xf>
    <xf numFmtId="43" fontId="35" fillId="42" borderId="59" xfId="52" applyFont="1" applyFill="1" applyBorder="1" applyAlignment="1">
      <alignment horizontal="center" vertical="center" wrapText="1"/>
    </xf>
    <xf numFmtId="44" fontId="35" fillId="42" borderId="59" xfId="51" applyFont="1" applyFill="1" applyBorder="1" applyAlignment="1">
      <alignment horizontal="left" vertical="center"/>
    </xf>
    <xf numFmtId="0" fontId="1" fillId="0" borderId="48" xfId="46" applyBorder="1"/>
    <xf numFmtId="44" fontId="0" fillId="42" borderId="47" xfId="51" applyFont="1" applyFill="1" applyBorder="1"/>
    <xf numFmtId="44" fontId="0" fillId="0" borderId="47" xfId="51" applyFont="1" applyBorder="1"/>
    <xf numFmtId="0" fontId="1" fillId="0" borderId="47" xfId="46" applyBorder="1"/>
    <xf numFmtId="0" fontId="1" fillId="0" borderId="46" xfId="46" applyBorder="1"/>
    <xf numFmtId="43" fontId="35" fillId="42" borderId="58" xfId="52" applyFont="1" applyFill="1" applyBorder="1" applyAlignment="1">
      <alignment horizontal="left" vertical="center"/>
    </xf>
    <xf numFmtId="43" fontId="35" fillId="42" borderId="57" xfId="52" applyFont="1" applyFill="1" applyBorder="1" applyAlignment="1">
      <alignment horizontal="left" vertical="center"/>
    </xf>
    <xf numFmtId="43" fontId="35" fillId="42" borderId="108" xfId="52" applyFont="1" applyFill="1" applyBorder="1" applyAlignment="1">
      <alignment horizontal="left" vertical="center" wrapText="1"/>
    </xf>
    <xf numFmtId="166" fontId="35" fillId="42" borderId="108" xfId="52" applyNumberFormat="1" applyFont="1" applyFill="1" applyBorder="1" applyAlignment="1">
      <alignment horizontal="left" vertical="center" wrapText="1"/>
    </xf>
    <xf numFmtId="43" fontId="35" fillId="42" borderId="45" xfId="52" applyFont="1" applyFill="1" applyBorder="1" applyAlignment="1">
      <alignment horizontal="right" vertical="center"/>
    </xf>
    <xf numFmtId="44" fontId="48" fillId="42" borderId="0" xfId="46" applyNumberFormat="1" applyFont="1" applyFill="1" applyAlignment="1">
      <alignment vertical="center" wrapText="1"/>
    </xf>
    <xf numFmtId="0" fontId="34" fillId="42" borderId="0" xfId="46" applyFont="1" applyFill="1" applyAlignment="1">
      <alignment horizontal="center"/>
    </xf>
    <xf numFmtId="43" fontId="38" fillId="42" borderId="47" xfId="52" applyFont="1" applyFill="1" applyBorder="1" applyAlignment="1">
      <alignment horizontal="left" vertical="center"/>
    </xf>
    <xf numFmtId="43" fontId="38" fillId="42" borderId="47" xfId="52" applyFont="1" applyFill="1" applyBorder="1" applyAlignment="1">
      <alignment horizontal="center" vertical="center" wrapText="1"/>
    </xf>
    <xf numFmtId="44" fontId="38" fillId="42" borderId="47" xfId="51" applyFont="1" applyFill="1" applyBorder="1" applyAlignment="1">
      <alignment horizontal="left" vertical="center"/>
    </xf>
    <xf numFmtId="0" fontId="37" fillId="35" borderId="0" xfId="49" quotePrefix="1" applyFill="1" applyAlignment="1">
      <alignment horizontal="center" wrapText="1"/>
    </xf>
    <xf numFmtId="0" fontId="45" fillId="42" borderId="28" xfId="46" applyFont="1" applyFill="1" applyBorder="1"/>
    <xf numFmtId="43" fontId="35" fillId="64" borderId="105" xfId="52" applyFont="1" applyFill="1" applyBorder="1" applyAlignment="1">
      <alignment vertical="center"/>
    </xf>
    <xf numFmtId="43" fontId="35" fillId="64" borderId="106" xfId="52" applyFont="1" applyFill="1" applyBorder="1" applyAlignment="1">
      <alignment vertical="center"/>
    </xf>
    <xf numFmtId="43" fontId="38" fillId="64" borderId="107" xfId="52" applyFont="1" applyFill="1" applyBorder="1" applyAlignment="1">
      <alignment vertical="center"/>
    </xf>
    <xf numFmtId="43" fontId="51" fillId="42" borderId="44" xfId="52" applyFont="1" applyFill="1" applyBorder="1" applyAlignment="1">
      <alignment horizontal="left" vertical="center"/>
    </xf>
    <xf numFmtId="43" fontId="35" fillId="64" borderId="55" xfId="52" applyFont="1" applyFill="1" applyBorder="1" applyAlignment="1">
      <alignment vertical="center"/>
    </xf>
    <xf numFmtId="43" fontId="35" fillId="64" borderId="110" xfId="52" applyFont="1" applyFill="1" applyBorder="1" applyAlignment="1">
      <alignment vertical="center"/>
    </xf>
    <xf numFmtId="43" fontId="38" fillId="64" borderId="111" xfId="52" applyFont="1" applyFill="1" applyBorder="1" applyAlignment="1">
      <alignment vertical="center"/>
    </xf>
    <xf numFmtId="43" fontId="35" fillId="42" borderId="112" xfId="52" applyFont="1" applyFill="1" applyBorder="1" applyAlignment="1">
      <alignment horizontal="left" vertical="center"/>
    </xf>
    <xf numFmtId="43" fontId="35" fillId="42" borderId="42" xfId="52" applyFont="1" applyFill="1" applyBorder="1" applyAlignment="1">
      <alignment horizontal="left" vertical="center"/>
    </xf>
    <xf numFmtId="43" fontId="35" fillId="42" borderId="43" xfId="52" applyFont="1" applyFill="1" applyBorder="1" applyAlignment="1">
      <alignment horizontal="center" vertical="center" wrapText="1"/>
    </xf>
    <xf numFmtId="43" fontId="35" fillId="42" borderId="113" xfId="52" applyFont="1" applyFill="1" applyBorder="1" applyAlignment="1">
      <alignment horizontal="left" vertical="center"/>
    </xf>
    <xf numFmtId="43" fontId="35" fillId="42" borderId="114" xfId="52" applyFont="1" applyFill="1" applyBorder="1" applyAlignment="1">
      <alignment horizontal="left" vertical="center"/>
    </xf>
    <xf numFmtId="43" fontId="35" fillId="42" borderId="115" xfId="52" applyFont="1" applyFill="1" applyBorder="1" applyAlignment="1">
      <alignment horizontal="left" vertical="center"/>
    </xf>
    <xf numFmtId="43" fontId="35" fillId="42" borderId="116" xfId="52" applyFont="1" applyFill="1" applyBorder="1" applyAlignment="1">
      <alignment horizontal="center" vertical="center" wrapText="1"/>
    </xf>
    <xf numFmtId="44" fontId="35" fillId="42" borderId="116" xfId="51" applyFont="1" applyFill="1" applyBorder="1" applyAlignment="1">
      <alignment horizontal="left" vertical="center"/>
    </xf>
    <xf numFmtId="0" fontId="1" fillId="42" borderId="46" xfId="46" applyFill="1" applyBorder="1"/>
    <xf numFmtId="0" fontId="1" fillId="42" borderId="47" xfId="46" applyFill="1" applyBorder="1"/>
    <xf numFmtId="43" fontId="1" fillId="42" borderId="47" xfId="46" applyNumberFormat="1" applyFill="1" applyBorder="1"/>
    <xf numFmtId="0" fontId="1" fillId="42" borderId="48" xfId="46" applyFill="1" applyBorder="1"/>
    <xf numFmtId="0" fontId="1" fillId="0" borderId="0" xfId="46"/>
    <xf numFmtId="44" fontId="0" fillId="0" borderId="0" xfId="51" applyFont="1"/>
    <xf numFmtId="0" fontId="34" fillId="42" borderId="0" xfId="46" applyFont="1" applyFill="1" applyAlignment="1">
      <alignment horizontal="center" wrapText="1"/>
    </xf>
    <xf numFmtId="43" fontId="35" fillId="64" borderId="105" xfId="52" applyFont="1" applyFill="1" applyBorder="1" applyAlignment="1">
      <alignment vertical="center" wrapText="1"/>
    </xf>
    <xf numFmtId="43" fontId="35" fillId="42" borderId="44" xfId="52" applyFont="1" applyFill="1" applyBorder="1" applyAlignment="1">
      <alignment horizontal="left" vertical="center" wrapText="1"/>
    </xf>
    <xf numFmtId="43" fontId="35" fillId="42" borderId="57" xfId="52" applyFont="1" applyFill="1" applyBorder="1" applyAlignment="1">
      <alignment horizontal="left" vertical="center" wrapText="1"/>
    </xf>
    <xf numFmtId="0" fontId="1" fillId="42" borderId="47" xfId="46" applyFill="1" applyBorder="1" applyAlignment="1">
      <alignment wrapText="1"/>
    </xf>
    <xf numFmtId="0" fontId="1" fillId="0" borderId="0" xfId="46" applyAlignment="1">
      <alignment wrapText="1"/>
    </xf>
    <xf numFmtId="0" fontId="35" fillId="42" borderId="79" xfId="47" applyFont="1" applyFill="1" applyBorder="1" applyAlignment="1">
      <alignment vertical="center" wrapText="1"/>
    </xf>
    <xf numFmtId="2" fontId="35" fillId="42" borderId="26" xfId="47" applyNumberFormat="1" applyFont="1" applyFill="1" applyBorder="1" applyAlignment="1">
      <alignment vertical="center" wrapText="1"/>
    </xf>
    <xf numFmtId="2" fontId="35" fillId="42" borderId="45" xfId="48" applyNumberFormat="1" applyFont="1" applyFill="1" applyBorder="1" applyAlignment="1">
      <alignment vertical="center" wrapText="1"/>
    </xf>
    <xf numFmtId="43" fontId="38" fillId="42" borderId="45" xfId="48" applyFont="1" applyFill="1" applyBorder="1" applyAlignment="1">
      <alignment vertical="center" wrapText="1"/>
    </xf>
    <xf numFmtId="0" fontId="0" fillId="0" borderId="0" xfId="0" applyAlignment="1">
      <alignment vertical="center" wrapText="1"/>
    </xf>
    <xf numFmtId="43" fontId="34" fillId="42" borderId="39" xfId="47" applyNumberFormat="1" applyFont="1" applyFill="1" applyBorder="1"/>
    <xf numFmtId="43" fontId="47" fillId="42" borderId="26" xfId="48" applyFont="1" applyFill="1" applyBorder="1" applyAlignment="1">
      <alignment vertical="center" wrapText="1"/>
    </xf>
    <xf numFmtId="43" fontId="47" fillId="42" borderId="45" xfId="48" applyFont="1" applyFill="1" applyBorder="1" applyAlignment="1">
      <alignment vertical="center" wrapText="1"/>
    </xf>
    <xf numFmtId="0" fontId="45" fillId="0" borderId="0" xfId="47" applyFont="1"/>
    <xf numFmtId="43" fontId="52" fillId="42" borderId="45" xfId="48" applyFont="1" applyFill="1" applyBorder="1" applyAlignment="1">
      <alignment vertical="center" wrapText="1"/>
    </xf>
    <xf numFmtId="0" fontId="22" fillId="0" borderId="0" xfId="47" applyFont="1" applyAlignment="1">
      <alignment horizontal="center" wrapText="1"/>
    </xf>
    <xf numFmtId="43" fontId="36" fillId="44" borderId="27" xfId="47" applyNumberFormat="1" applyFont="1" applyFill="1" applyBorder="1" applyAlignment="1">
      <alignment horizontal="center" vertical="center" wrapText="1"/>
    </xf>
    <xf numFmtId="0" fontId="37" fillId="0" borderId="0" xfId="49" applyAlignment="1">
      <alignment horizontal="center"/>
    </xf>
    <xf numFmtId="44" fontId="31" fillId="42" borderId="33" xfId="45" applyFont="1" applyFill="1" applyBorder="1" applyAlignment="1">
      <alignment horizontal="left" vertical="center" wrapText="1"/>
    </xf>
    <xf numFmtId="44" fontId="31" fillId="42" borderId="36" xfId="45" applyFont="1" applyFill="1" applyBorder="1" applyAlignment="1">
      <alignment horizontal="left" vertical="center" wrapText="1"/>
    </xf>
    <xf numFmtId="44" fontId="31" fillId="42" borderId="0" xfId="45" applyFont="1" applyFill="1" applyBorder="1" applyAlignment="1">
      <alignment horizontal="left" vertical="center" wrapText="1"/>
    </xf>
    <xf numFmtId="44" fontId="33" fillId="42" borderId="0" xfId="45" applyFont="1" applyFill="1" applyBorder="1" applyAlignment="1">
      <alignment horizontal="left" vertical="center" wrapText="1"/>
    </xf>
    <xf numFmtId="0" fontId="31" fillId="42" borderId="40" xfId="0" applyFont="1" applyFill="1" applyBorder="1" applyAlignment="1">
      <alignment horizontal="left" vertical="center" wrapText="1"/>
    </xf>
    <xf numFmtId="44" fontId="31" fillId="42" borderId="12" xfId="45" applyFont="1" applyFill="1" applyBorder="1" applyAlignment="1">
      <alignment horizontal="left" vertical="center" wrapText="1"/>
    </xf>
    <xf numFmtId="2" fontId="34" fillId="42" borderId="21" xfId="0" applyNumberFormat="1" applyFont="1" applyFill="1" applyBorder="1"/>
    <xf numFmtId="44" fontId="34" fillId="42" borderId="0" xfId="45" applyFont="1" applyFill="1" applyBorder="1" applyAlignment="1">
      <alignment horizontal="left"/>
    </xf>
    <xf numFmtId="0" fontId="36" fillId="45" borderId="14" xfId="0" applyFont="1" applyFill="1" applyBorder="1" applyAlignment="1">
      <alignment horizontal="left" vertical="center" wrapText="1"/>
    </xf>
    <xf numFmtId="43" fontId="36" fillId="45" borderId="15" xfId="42" applyFont="1" applyFill="1" applyBorder="1" applyAlignment="1">
      <alignment horizontal="center" vertical="center" wrapText="1"/>
    </xf>
    <xf numFmtId="44" fontId="36" fillId="45" borderId="15" xfId="45" applyFont="1" applyFill="1" applyBorder="1" applyAlignment="1">
      <alignment horizontal="center" vertical="center" wrapText="1"/>
    </xf>
    <xf numFmtId="44" fontId="36" fillId="42" borderId="0" xfId="45" applyFont="1" applyFill="1" applyBorder="1" applyAlignment="1">
      <alignment horizontal="center" vertical="center" wrapText="1"/>
    </xf>
    <xf numFmtId="0" fontId="47" fillId="46" borderId="105" xfId="0" applyFont="1" applyFill="1" applyBorder="1" applyAlignment="1">
      <alignment vertical="center" wrapText="1"/>
    </xf>
    <xf numFmtId="0" fontId="47" fillId="46" borderId="106" xfId="0" applyFont="1" applyFill="1" applyBorder="1" applyAlignment="1">
      <alignment horizontal="center" vertical="center" wrapText="1"/>
    </xf>
    <xf numFmtId="164" fontId="47" fillId="46" borderId="106" xfId="0" applyNumberFormat="1" applyFont="1" applyFill="1" applyBorder="1" applyAlignment="1">
      <alignment vertical="center" wrapText="1"/>
    </xf>
    <xf numFmtId="44" fontId="48" fillId="46" borderId="107" xfId="0" applyNumberFormat="1" applyFont="1" applyFill="1" applyBorder="1" applyAlignment="1">
      <alignment vertical="center" wrapText="1"/>
    </xf>
    <xf numFmtId="44" fontId="48" fillId="42" borderId="0" xfId="0" applyNumberFormat="1" applyFont="1" applyFill="1" applyAlignment="1">
      <alignment vertical="center" wrapText="1"/>
    </xf>
    <xf numFmtId="0" fontId="47" fillId="65" borderId="105" xfId="0" applyFont="1" applyFill="1" applyBorder="1" applyAlignment="1">
      <alignment vertical="center" wrapText="1"/>
    </xf>
    <xf numFmtId="0" fontId="47" fillId="65" borderId="106" xfId="0" applyFont="1" applyFill="1" applyBorder="1" applyAlignment="1">
      <alignment horizontal="center" vertical="center" wrapText="1"/>
    </xf>
    <xf numFmtId="164" fontId="47" fillId="65" borderId="106" xfId="0" applyNumberFormat="1" applyFont="1" applyFill="1" applyBorder="1" applyAlignment="1">
      <alignment vertical="center" wrapText="1"/>
    </xf>
    <xf numFmtId="44" fontId="48" fillId="65" borderId="107" xfId="0" applyNumberFormat="1" applyFont="1" applyFill="1" applyBorder="1" applyAlignment="1">
      <alignment vertical="center" wrapText="1"/>
    </xf>
    <xf numFmtId="0" fontId="47" fillId="65" borderId="119" xfId="0" applyFont="1" applyFill="1" applyBorder="1" applyAlignment="1">
      <alignment vertical="center" wrapText="1"/>
    </xf>
    <xf numFmtId="0" fontId="47" fillId="65" borderId="77" xfId="0" applyFont="1" applyFill="1" applyBorder="1" applyAlignment="1">
      <alignment horizontal="center" vertical="center" wrapText="1"/>
    </xf>
    <xf numFmtId="164" fontId="47" fillId="65" borderId="77" xfId="0" applyNumberFormat="1" applyFont="1" applyFill="1" applyBorder="1" applyAlignment="1">
      <alignment vertical="center" wrapText="1"/>
    </xf>
    <xf numFmtId="44" fontId="48" fillId="65" borderId="78" xfId="0" applyNumberFormat="1" applyFont="1" applyFill="1" applyBorder="1" applyAlignment="1">
      <alignment vertical="center" wrapText="1"/>
    </xf>
    <xf numFmtId="0" fontId="0" fillId="0" borderId="46" xfId="0" applyBorder="1"/>
    <xf numFmtId="0" fontId="0" fillId="0" borderId="47" xfId="0" applyBorder="1"/>
    <xf numFmtId="44" fontId="0" fillId="0" borderId="47" xfId="45" applyFont="1" applyBorder="1"/>
    <xf numFmtId="44" fontId="0" fillId="42" borderId="47" xfId="45" applyFont="1" applyFill="1" applyBorder="1"/>
    <xf numFmtId="0" fontId="0" fillId="0" borderId="48" xfId="0" applyBorder="1"/>
    <xf numFmtId="44" fontId="0" fillId="0" borderId="0" xfId="45" applyFont="1"/>
    <xf numFmtId="44" fontId="0" fillId="42" borderId="0" xfId="45" applyFont="1" applyFill="1"/>
    <xf numFmtId="44" fontId="31" fillId="42" borderId="76" xfId="45" applyFont="1" applyFill="1" applyBorder="1" applyAlignment="1">
      <alignment horizontal="center" vertical="center" wrapText="1"/>
    </xf>
    <xf numFmtId="44" fontId="31" fillId="42" borderId="31" xfId="45" applyFont="1" applyFill="1" applyBorder="1" applyAlignment="1">
      <alignment horizontal="center" vertical="center" wrapText="1"/>
    </xf>
    <xf numFmtId="44" fontId="33" fillId="42" borderId="0" xfId="45" applyFont="1" applyFill="1" applyBorder="1" applyAlignment="1">
      <alignment horizontal="center" vertical="center" wrapText="1"/>
    </xf>
    <xf numFmtId="44" fontId="33" fillId="42" borderId="28" xfId="45" applyFont="1" applyFill="1" applyBorder="1" applyAlignment="1">
      <alignment horizontal="center" vertical="center" wrapText="1"/>
    </xf>
    <xf numFmtId="44" fontId="31" fillId="42" borderId="0" xfId="45" applyFont="1" applyFill="1" applyAlignment="1">
      <alignment horizontal="left" vertical="center" wrapText="1"/>
    </xf>
    <xf numFmtId="44" fontId="31" fillId="42" borderId="0" xfId="45" applyFont="1" applyFill="1" applyAlignment="1">
      <alignment horizontal="center" vertical="center" wrapText="1"/>
    </xf>
    <xf numFmtId="44" fontId="34" fillId="42" borderId="12" xfId="45" applyFont="1" applyFill="1" applyBorder="1" applyAlignment="1">
      <alignment horizontal="center"/>
    </xf>
    <xf numFmtId="44" fontId="34" fillId="42" borderId="0" xfId="45" applyFont="1" applyFill="1" applyAlignment="1">
      <alignment horizontal="center"/>
    </xf>
    <xf numFmtId="0" fontId="36" fillId="44" borderId="121" xfId="47" applyFont="1" applyFill="1" applyBorder="1" applyAlignment="1">
      <alignment horizontal="center" vertical="center"/>
    </xf>
    <xf numFmtId="0" fontId="36" fillId="44" borderId="122" xfId="47" applyFont="1" applyFill="1" applyBorder="1" applyAlignment="1">
      <alignment horizontal="center" vertical="center" wrapText="1"/>
    </xf>
    <xf numFmtId="44" fontId="36" fillId="44" borderId="122" xfId="45" applyFont="1" applyFill="1" applyBorder="1" applyAlignment="1">
      <alignment horizontal="center" vertical="center" wrapText="1"/>
    </xf>
    <xf numFmtId="0" fontId="36" fillId="43" borderId="123" xfId="47" applyFont="1" applyFill="1" applyBorder="1" applyAlignment="1">
      <alignment horizontal="center" vertical="center" wrapText="1"/>
    </xf>
    <xf numFmtId="43" fontId="35" fillId="42" borderId="121" xfId="48" applyFont="1" applyFill="1" applyBorder="1" applyAlignment="1">
      <alignment horizontal="center" vertical="center" wrapText="1"/>
    </xf>
    <xf numFmtId="43" fontId="35" fillId="42" borderId="122" xfId="48" applyFont="1" applyFill="1" applyBorder="1" applyAlignment="1">
      <alignment horizontal="center" vertical="center" wrapText="1"/>
    </xf>
    <xf numFmtId="44" fontId="35" fillId="42" borderId="122" xfId="45" applyFont="1" applyFill="1" applyBorder="1" applyAlignment="1">
      <alignment horizontal="right" vertical="center" wrapText="1"/>
    </xf>
    <xf numFmtId="44" fontId="35" fillId="42" borderId="124" xfId="45" applyFont="1" applyFill="1" applyBorder="1" applyAlignment="1">
      <alignment horizontal="right" vertical="center" wrapText="1"/>
    </xf>
    <xf numFmtId="43" fontId="35" fillId="42" borderId="44" xfId="48" applyFont="1" applyFill="1" applyBorder="1" applyAlignment="1">
      <alignment horizontal="center" vertical="center" wrapText="1"/>
    </xf>
    <xf numFmtId="44" fontId="35" fillId="42" borderId="45" xfId="45" applyFont="1" applyFill="1" applyBorder="1" applyAlignment="1">
      <alignment horizontal="center" vertical="center" wrapText="1"/>
    </xf>
    <xf numFmtId="44" fontId="35" fillId="42" borderId="43" xfId="45" applyFont="1" applyFill="1" applyBorder="1" applyAlignment="1">
      <alignment horizontal="center" vertical="center" wrapText="1"/>
    </xf>
    <xf numFmtId="44" fontId="35" fillId="42" borderId="45" xfId="45" applyFont="1" applyFill="1" applyBorder="1" applyAlignment="1">
      <alignment vertical="center" wrapText="1"/>
    </xf>
    <xf numFmtId="44" fontId="35" fillId="42" borderId="43" xfId="45" applyFont="1" applyFill="1" applyBorder="1" applyAlignment="1">
      <alignment vertical="center" wrapText="1"/>
    </xf>
    <xf numFmtId="44" fontId="35" fillId="42" borderId="58" xfId="45" applyFont="1" applyFill="1" applyBorder="1" applyAlignment="1">
      <alignment horizontal="center" vertical="center" wrapText="1"/>
    </xf>
    <xf numFmtId="44" fontId="35" fillId="42" borderId="59" xfId="45" applyFont="1" applyFill="1" applyBorder="1" applyAlignment="1">
      <alignment horizontal="center" vertical="center" wrapText="1"/>
    </xf>
    <xf numFmtId="44" fontId="35" fillId="42" borderId="122" xfId="45" applyFont="1" applyFill="1" applyBorder="1" applyAlignment="1">
      <alignment horizontal="center" vertical="center" wrapText="1"/>
    </xf>
    <xf numFmtId="44" fontId="35" fillId="42" borderId="124" xfId="45" applyFont="1" applyFill="1" applyBorder="1" applyAlignment="1">
      <alignment horizontal="center" vertical="center" wrapText="1"/>
    </xf>
    <xf numFmtId="44" fontId="35" fillId="42" borderId="122" xfId="45" applyFont="1" applyFill="1" applyBorder="1" applyAlignment="1">
      <alignment vertical="center" wrapText="1"/>
    </xf>
    <xf numFmtId="44" fontId="35" fillId="42" borderId="124" xfId="45" applyFont="1" applyFill="1" applyBorder="1" applyAlignment="1">
      <alignment vertical="center" wrapText="1"/>
    </xf>
    <xf numFmtId="44" fontId="0" fillId="0" borderId="0" xfId="45" applyFont="1" applyAlignment="1">
      <alignment horizontal="center" vertical="center" wrapText="1"/>
    </xf>
    <xf numFmtId="43" fontId="35" fillId="42" borderId="57" xfId="48" applyFont="1" applyFill="1" applyBorder="1" applyAlignment="1">
      <alignment horizontal="center" vertical="center" wrapText="1"/>
    </xf>
    <xf numFmtId="44" fontId="35" fillId="42" borderId="58" xfId="45" applyFont="1" applyFill="1" applyBorder="1" applyAlignment="1">
      <alignment vertical="center" wrapText="1"/>
    </xf>
    <xf numFmtId="44" fontId="35" fillId="42" borderId="59" xfId="45" applyFont="1" applyFill="1" applyBorder="1" applyAlignment="1">
      <alignment vertical="center" wrapText="1"/>
    </xf>
    <xf numFmtId="44" fontId="35" fillId="42" borderId="126" xfId="45" applyFont="1" applyFill="1" applyBorder="1" applyAlignment="1">
      <alignment vertical="center" wrapText="1"/>
    </xf>
    <xf numFmtId="43" fontId="35" fillId="42" borderId="41" xfId="48" applyFont="1" applyFill="1" applyBorder="1" applyAlignment="1">
      <alignment horizontal="center" vertical="center" wrapText="1"/>
    </xf>
    <xf numFmtId="44" fontId="35" fillId="42" borderId="26" xfId="45" applyFont="1" applyFill="1" applyBorder="1" applyAlignment="1">
      <alignment horizontal="center" vertical="center" wrapText="1"/>
    </xf>
    <xf numFmtId="44" fontId="36" fillId="44" borderId="73" xfId="45" applyFont="1" applyFill="1" applyBorder="1" applyAlignment="1">
      <alignment horizontal="center" vertical="center" wrapText="1"/>
    </xf>
    <xf numFmtId="44" fontId="36" fillId="44" borderId="75" xfId="45" applyFont="1" applyFill="1" applyBorder="1" applyAlignment="1">
      <alignment horizontal="center" vertical="center" wrapText="1"/>
    </xf>
    <xf numFmtId="17" fontId="1" fillId="0" borderId="0" xfId="47" applyNumberFormat="1"/>
    <xf numFmtId="0" fontId="1" fillId="41" borderId="0" xfId="47" applyFill="1"/>
    <xf numFmtId="44" fontId="22" fillId="0" borderId="0" xfId="45" applyFont="1" applyAlignment="1">
      <alignment horizontal="center"/>
    </xf>
    <xf numFmtId="0" fontId="36" fillId="44" borderId="14" xfId="47" applyFont="1" applyFill="1" applyBorder="1" applyAlignment="1">
      <alignment horizontal="center" vertical="center" wrapText="1"/>
    </xf>
    <xf numFmtId="0" fontId="30" fillId="35" borderId="14" xfId="53" applyFont="1" applyFill="1" applyBorder="1" applyAlignment="1">
      <alignment vertical="center" wrapText="1"/>
    </xf>
    <xf numFmtId="0" fontId="31" fillId="42" borderId="32" xfId="53" applyFont="1" applyFill="1" applyBorder="1" applyAlignment="1">
      <alignment horizontal="left" vertical="center" wrapText="1"/>
    </xf>
    <xf numFmtId="0" fontId="31" fillId="42" borderId="33" xfId="53" applyFont="1" applyFill="1" applyBorder="1" applyAlignment="1">
      <alignment horizontal="center" vertical="center" wrapText="1"/>
    </xf>
    <xf numFmtId="167" fontId="31" fillId="42" borderId="33" xfId="54" applyFont="1" applyFill="1" applyBorder="1" applyAlignment="1">
      <alignment horizontal="left" vertical="center" wrapText="1"/>
    </xf>
    <xf numFmtId="0" fontId="35" fillId="42" borderId="33" xfId="53" applyFont="1" applyFill="1" applyBorder="1" applyAlignment="1">
      <alignment horizontal="center" vertical="center" wrapText="1"/>
    </xf>
    <xf numFmtId="0" fontId="22" fillId="42" borderId="34" xfId="53" applyFont="1" applyFill="1" applyBorder="1"/>
    <xf numFmtId="0" fontId="1" fillId="0" borderId="0" xfId="53"/>
    <xf numFmtId="0" fontId="30" fillId="35" borderId="22" xfId="53" applyFont="1" applyFill="1" applyBorder="1" applyAlignment="1">
      <alignment vertical="center" wrapText="1"/>
    </xf>
    <xf numFmtId="0" fontId="31" fillId="42" borderId="35" xfId="53" applyFont="1" applyFill="1" applyBorder="1" applyAlignment="1">
      <alignment horizontal="left" vertical="center" wrapText="1"/>
    </xf>
    <xf numFmtId="0" fontId="31" fillId="42" borderId="36" xfId="53" applyFont="1" applyFill="1" applyBorder="1" applyAlignment="1">
      <alignment horizontal="center" vertical="center" wrapText="1"/>
    </xf>
    <xf numFmtId="167" fontId="31" fillId="42" borderId="36" xfId="54" applyFont="1" applyFill="1" applyBorder="1" applyAlignment="1">
      <alignment horizontal="left" vertical="center" wrapText="1"/>
    </xf>
    <xf numFmtId="0" fontId="35" fillId="42" borderId="36" xfId="53" applyFont="1" applyFill="1" applyBorder="1" applyAlignment="1">
      <alignment horizontal="center" vertical="center" wrapText="1"/>
    </xf>
    <xf numFmtId="0" fontId="22" fillId="42" borderId="37" xfId="53" applyFont="1" applyFill="1" applyBorder="1"/>
    <xf numFmtId="0" fontId="33" fillId="42" borderId="39" xfId="53" applyFont="1" applyFill="1" applyBorder="1" applyAlignment="1">
      <alignment vertical="center" wrapText="1"/>
    </xf>
    <xf numFmtId="0" fontId="33" fillId="42" borderId="0" xfId="53" applyFont="1" applyFill="1" applyAlignment="1">
      <alignment horizontal="center" vertical="center" wrapText="1"/>
    </xf>
    <xf numFmtId="167" fontId="33" fillId="42" borderId="0" xfId="54" applyFont="1" applyFill="1" applyBorder="1" applyAlignment="1">
      <alignment horizontal="center" vertical="center" wrapText="1"/>
    </xf>
    <xf numFmtId="0" fontId="53" fillId="42" borderId="0" xfId="53" applyFont="1" applyFill="1" applyAlignment="1">
      <alignment horizontal="center" vertical="center" wrapText="1"/>
    </xf>
    <xf numFmtId="0" fontId="22" fillId="42" borderId="28" xfId="53" applyFont="1" applyFill="1" applyBorder="1"/>
    <xf numFmtId="0" fontId="31" fillId="42" borderId="39" xfId="53" applyFont="1" applyFill="1" applyBorder="1" applyAlignment="1">
      <alignment horizontal="left" vertical="center" wrapText="1"/>
    </xf>
    <xf numFmtId="0" fontId="31" fillId="42" borderId="0" xfId="53" applyFont="1" applyFill="1" applyAlignment="1">
      <alignment horizontal="left" vertical="center" wrapText="1"/>
    </xf>
    <xf numFmtId="0" fontId="31" fillId="42" borderId="0" xfId="53" applyFont="1" applyFill="1" applyAlignment="1">
      <alignment horizontal="center" vertical="center" wrapText="1"/>
    </xf>
    <xf numFmtId="167" fontId="31" fillId="42" borderId="0" xfId="54" applyFont="1" applyFill="1" applyBorder="1" applyAlignment="1">
      <alignment horizontal="left" vertical="center" wrapText="1"/>
    </xf>
    <xf numFmtId="0" fontId="35" fillId="42" borderId="0" xfId="53" applyFont="1" applyFill="1" applyAlignment="1">
      <alignment horizontal="center" vertical="center" wrapText="1"/>
    </xf>
    <xf numFmtId="0" fontId="34" fillId="42" borderId="28" xfId="53" applyFont="1" applyFill="1" applyBorder="1"/>
    <xf numFmtId="0" fontId="35" fillId="42" borderId="40" xfId="53" applyFont="1" applyFill="1" applyBorder="1"/>
    <xf numFmtId="0" fontId="34" fillId="42" borderId="12" xfId="53" applyFont="1" applyFill="1" applyBorder="1" applyAlignment="1">
      <alignment horizontal="center"/>
    </xf>
    <xf numFmtId="167" fontId="34" fillId="42" borderId="12" xfId="54" applyFont="1" applyFill="1" applyBorder="1" applyAlignment="1">
      <alignment horizontal="center"/>
    </xf>
    <xf numFmtId="0" fontId="35" fillId="42" borderId="12" xfId="53" applyFont="1" applyFill="1" applyBorder="1" applyAlignment="1">
      <alignment horizontal="center"/>
    </xf>
    <xf numFmtId="0" fontId="34" fillId="42" borderId="21" xfId="53" applyFont="1" applyFill="1" applyBorder="1"/>
    <xf numFmtId="0" fontId="35" fillId="42" borderId="39" xfId="53" applyFont="1" applyFill="1" applyBorder="1"/>
    <xf numFmtId="0" fontId="34" fillId="42" borderId="0" xfId="53" applyFont="1" applyFill="1" applyAlignment="1">
      <alignment horizontal="center"/>
    </xf>
    <xf numFmtId="167" fontId="34" fillId="42" borderId="0" xfId="54" applyFont="1" applyFill="1" applyBorder="1" applyAlignment="1">
      <alignment horizontal="center"/>
    </xf>
    <xf numFmtId="0" fontId="35" fillId="42" borderId="0" xfId="53" applyFont="1" applyFill="1" applyAlignment="1">
      <alignment horizontal="center"/>
    </xf>
    <xf numFmtId="0" fontId="36" fillId="44" borderId="14" xfId="53" applyFont="1" applyFill="1" applyBorder="1" applyAlignment="1">
      <alignment horizontal="center" vertical="center"/>
    </xf>
    <xf numFmtId="0" fontId="36" fillId="44" borderId="27" xfId="53" applyFont="1" applyFill="1" applyBorder="1" applyAlignment="1">
      <alignment horizontal="center" vertical="center" wrapText="1"/>
    </xf>
    <xf numFmtId="167" fontId="36" fillId="44" borderId="15" xfId="54" applyFont="1" applyFill="1" applyBorder="1" applyAlignment="1">
      <alignment horizontal="center" vertical="center" wrapText="1"/>
    </xf>
    <xf numFmtId="0" fontId="35" fillId="42" borderId="60" xfId="53" applyFont="1" applyFill="1" applyBorder="1" applyAlignment="1">
      <alignment vertical="center" wrapText="1"/>
    </xf>
    <xf numFmtId="167" fontId="35" fillId="42" borderId="61" xfId="54" applyFont="1" applyFill="1" applyBorder="1" applyAlignment="1">
      <alignment horizontal="center" vertical="center" wrapText="1"/>
    </xf>
    <xf numFmtId="2" fontId="35" fillId="42" borderId="62" xfId="54" applyNumberFormat="1" applyFont="1" applyFill="1" applyBorder="1" applyAlignment="1">
      <alignment vertical="center" wrapText="1"/>
    </xf>
    <xf numFmtId="0" fontId="35" fillId="42" borderId="56" xfId="53" applyFont="1" applyFill="1" applyBorder="1" applyAlignment="1">
      <alignment vertical="center" wrapText="1"/>
    </xf>
    <xf numFmtId="167" fontId="35" fillId="42" borderId="42" xfId="54" applyFont="1" applyFill="1" applyBorder="1" applyAlignment="1">
      <alignment horizontal="center" vertical="center" wrapText="1"/>
    </xf>
    <xf numFmtId="2" fontId="35" fillId="42" borderId="49" xfId="54" applyNumberFormat="1" applyFont="1" applyFill="1" applyBorder="1" applyAlignment="1">
      <alignment vertical="center" wrapText="1"/>
    </xf>
    <xf numFmtId="2" fontId="47" fillId="42" borderId="49" xfId="54" applyNumberFormat="1" applyFont="1" applyFill="1" applyBorder="1" applyAlignment="1">
      <alignment vertical="center" wrapText="1"/>
    </xf>
    <xf numFmtId="0" fontId="36" fillId="66" borderId="22" xfId="53" applyFont="1" applyFill="1" applyBorder="1" applyAlignment="1">
      <alignment vertical="center" wrapText="1"/>
    </xf>
    <xf numFmtId="167" fontId="36" fillId="66" borderId="11" xfId="54" applyFont="1" applyFill="1" applyBorder="1" applyAlignment="1">
      <alignment horizontal="center" vertical="center" wrapText="1"/>
    </xf>
    <xf numFmtId="2" fontId="36" fillId="66" borderId="38" xfId="54" applyNumberFormat="1" applyFont="1" applyFill="1" applyBorder="1" applyAlignment="1">
      <alignment vertical="center" wrapText="1"/>
    </xf>
    <xf numFmtId="0" fontId="36" fillId="66" borderId="16" xfId="53" applyFont="1" applyFill="1" applyBorder="1" applyAlignment="1">
      <alignment vertical="center" wrapText="1"/>
    </xf>
    <xf numFmtId="167" fontId="36" fillId="66" borderId="29" xfId="54" applyFont="1" applyFill="1" applyBorder="1" applyAlignment="1">
      <alignment horizontal="center" vertical="center" wrapText="1"/>
    </xf>
    <xf numFmtId="2" fontId="36" fillId="66" borderId="17" xfId="54" applyNumberFormat="1" applyFont="1" applyFill="1" applyBorder="1" applyAlignment="1">
      <alignment vertical="center" wrapText="1"/>
    </xf>
    <xf numFmtId="0" fontId="34" fillId="42" borderId="39" xfId="53" applyFont="1" applyFill="1" applyBorder="1"/>
    <xf numFmtId="0" fontId="35" fillId="42" borderId="113" xfId="53" applyFont="1" applyFill="1" applyBorder="1" applyAlignment="1">
      <alignment vertical="center" wrapText="1"/>
    </xf>
    <xf numFmtId="167" fontId="35" fillId="42" borderId="115" xfId="54" applyFont="1" applyFill="1" applyBorder="1" applyAlignment="1">
      <alignment horizontal="center" vertical="center" wrapText="1"/>
    </xf>
    <xf numFmtId="2" fontId="35" fillId="42" borderId="116" xfId="54" applyNumberFormat="1" applyFont="1" applyFill="1" applyBorder="1" applyAlignment="1">
      <alignment vertical="center" wrapText="1"/>
    </xf>
    <xf numFmtId="167" fontId="35" fillId="42" borderId="0" xfId="54" applyFont="1" applyFill="1" applyBorder="1" applyAlignment="1">
      <alignment horizontal="center"/>
    </xf>
    <xf numFmtId="0" fontId="35" fillId="42" borderId="28" xfId="53" applyFont="1" applyFill="1" applyBorder="1"/>
    <xf numFmtId="0" fontId="54" fillId="0" borderId="0" xfId="53" applyFont="1"/>
    <xf numFmtId="167" fontId="35" fillId="42" borderId="62" xfId="54" applyFont="1" applyFill="1" applyBorder="1" applyAlignment="1">
      <alignment vertical="center" wrapText="1"/>
    </xf>
    <xf numFmtId="167" fontId="36" fillId="66" borderId="38" xfId="54" applyFont="1" applyFill="1" applyBorder="1" applyAlignment="1">
      <alignment vertical="center" wrapText="1"/>
    </xf>
    <xf numFmtId="0" fontId="34" fillId="42" borderId="46" xfId="53" applyFont="1" applyFill="1" applyBorder="1"/>
    <xf numFmtId="0" fontId="34" fillId="42" borderId="47" xfId="53" applyFont="1" applyFill="1" applyBorder="1" applyAlignment="1">
      <alignment horizontal="center"/>
    </xf>
    <xf numFmtId="167" fontId="34" fillId="42" borderId="47" xfId="54" applyFont="1" applyFill="1" applyBorder="1" applyAlignment="1">
      <alignment horizontal="center"/>
    </xf>
    <xf numFmtId="0" fontId="35" fillId="42" borderId="47" xfId="53" applyFont="1" applyFill="1" applyBorder="1" applyAlignment="1">
      <alignment horizontal="center"/>
    </xf>
    <xf numFmtId="0" fontId="34" fillId="42" borderId="48" xfId="53" applyFont="1" applyFill="1" applyBorder="1"/>
    <xf numFmtId="0" fontId="22" fillId="0" borderId="0" xfId="53" applyFont="1"/>
    <xf numFmtId="0" fontId="22" fillId="0" borderId="0" xfId="53" applyFont="1" applyAlignment="1">
      <alignment horizontal="center"/>
    </xf>
    <xf numFmtId="167" fontId="22" fillId="0" borderId="0" xfId="54" applyFont="1" applyAlignment="1">
      <alignment horizontal="center"/>
    </xf>
    <xf numFmtId="0" fontId="55" fillId="0" borderId="0" xfId="53" applyFont="1" applyAlignment="1">
      <alignment horizontal="center"/>
    </xf>
    <xf numFmtId="2" fontId="20" fillId="35" borderId="0" xfId="0" applyNumberFormat="1" applyFont="1" applyFill="1" applyAlignment="1">
      <alignment wrapText="1"/>
    </xf>
    <xf numFmtId="2" fontId="18" fillId="33" borderId="0" xfId="0" applyNumberFormat="1" applyFont="1" applyFill="1" applyAlignment="1">
      <alignment wrapText="1"/>
    </xf>
    <xf numFmtId="43" fontId="22" fillId="0" borderId="72" xfId="47" applyNumberFormat="1" applyFont="1" applyBorder="1"/>
    <xf numFmtId="43" fontId="22" fillId="0" borderId="0" xfId="47" applyNumberFormat="1" applyFont="1"/>
    <xf numFmtId="0" fontId="36" fillId="44" borderId="24" xfId="47" applyFont="1" applyFill="1" applyBorder="1" applyAlignment="1">
      <alignment horizontal="center" vertical="center" wrapText="1"/>
    </xf>
    <xf numFmtId="0" fontId="36" fillId="0" borderId="0" xfId="47" applyFont="1" applyAlignment="1">
      <alignment horizontal="center" vertical="center" wrapText="1"/>
    </xf>
    <xf numFmtId="43" fontId="22" fillId="0" borderId="69" xfId="47" applyNumberFormat="1" applyFont="1" applyBorder="1"/>
    <xf numFmtId="0" fontId="56" fillId="35" borderId="0" xfId="49" applyFont="1" applyFill="1" applyAlignment="1">
      <alignment horizontal="center" wrapText="1"/>
    </xf>
    <xf numFmtId="0" fontId="14" fillId="0" borderId="0" xfId="0" applyFont="1" applyAlignment="1">
      <alignment horizontal="center" wrapText="1"/>
    </xf>
    <xf numFmtId="2" fontId="18" fillId="34" borderId="0" xfId="0" applyNumberFormat="1" applyFont="1" applyFill="1" applyAlignment="1">
      <alignment wrapText="1"/>
    </xf>
    <xf numFmtId="2" fontId="19" fillId="0" borderId="0" xfId="0" applyNumberFormat="1" applyFont="1" applyAlignment="1">
      <alignment horizontal="center" wrapText="1"/>
    </xf>
    <xf numFmtId="2" fontId="19" fillId="0" borderId="10" xfId="0" applyNumberFormat="1" applyFont="1" applyBorder="1" applyAlignment="1">
      <alignment wrapText="1"/>
    </xf>
    <xf numFmtId="2" fontId="28" fillId="38" borderId="0" xfId="0" applyNumberFormat="1" applyFont="1" applyFill="1" applyAlignment="1">
      <alignment wrapText="1"/>
    </xf>
    <xf numFmtId="2" fontId="27" fillId="40" borderId="0" xfId="0" applyNumberFormat="1" applyFont="1" applyFill="1" applyAlignment="1">
      <alignment wrapText="1"/>
    </xf>
    <xf numFmtId="2" fontId="18" fillId="39" borderId="0" xfId="0" applyNumberFormat="1" applyFont="1" applyFill="1" applyAlignment="1">
      <alignment wrapText="1"/>
    </xf>
    <xf numFmtId="2" fontId="26" fillId="33" borderId="0" xfId="0" applyNumberFormat="1" applyFont="1" applyFill="1" applyAlignment="1">
      <alignment wrapText="1"/>
    </xf>
    <xf numFmtId="2" fontId="0" fillId="0" borderId="0" xfId="0" applyNumberFormat="1"/>
    <xf numFmtId="0" fontId="23" fillId="33" borderId="0" xfId="0" applyFont="1" applyFill="1" applyAlignment="1">
      <alignment horizontal="center" wrapText="1"/>
    </xf>
    <xf numFmtId="0" fontId="36" fillId="44" borderId="15" xfId="47" applyFont="1" applyFill="1" applyBorder="1" applyAlignment="1">
      <alignment horizontal="center" vertical="center" wrapText="1"/>
    </xf>
    <xf numFmtId="43" fontId="35" fillId="42" borderId="126" xfId="48" applyFont="1" applyFill="1" applyBorder="1" applyAlignment="1">
      <alignment vertical="center" wrapText="1"/>
    </xf>
    <xf numFmtId="43" fontId="35" fillId="42" borderId="43" xfId="48" applyFont="1" applyFill="1" applyBorder="1" applyAlignment="1">
      <alignment vertical="center" wrapText="1"/>
    </xf>
    <xf numFmtId="43" fontId="35" fillId="42" borderId="57" xfId="48" applyFont="1" applyFill="1" applyBorder="1" applyAlignment="1">
      <alignment horizontal="left" vertical="center" wrapText="1"/>
    </xf>
    <xf numFmtId="43" fontId="35" fillId="42" borderId="59" xfId="48" applyFont="1" applyFill="1" applyBorder="1" applyAlignment="1">
      <alignment vertical="center" wrapText="1"/>
    </xf>
    <xf numFmtId="43" fontId="35" fillId="42" borderId="126" xfId="48" applyFont="1" applyFill="1" applyBorder="1" applyAlignment="1">
      <alignment horizontal="center" vertical="center" wrapText="1"/>
    </xf>
    <xf numFmtId="43" fontId="35" fillId="42" borderId="43" xfId="48" applyFont="1" applyFill="1" applyBorder="1" applyAlignment="1">
      <alignment horizontal="center" vertical="center" wrapText="1"/>
    </xf>
    <xf numFmtId="0" fontId="36" fillId="43" borderId="26" xfId="47" applyFont="1" applyFill="1" applyBorder="1" applyAlignment="1">
      <alignment horizontal="center" vertical="center" wrapText="1"/>
    </xf>
    <xf numFmtId="0" fontId="36" fillId="43" borderId="73" xfId="47" applyFont="1" applyFill="1" applyBorder="1" applyAlignment="1">
      <alignment horizontal="center" vertical="center"/>
    </xf>
    <xf numFmtId="43" fontId="36" fillId="43" borderId="74" xfId="47" applyNumberFormat="1" applyFont="1" applyFill="1" applyBorder="1" applyAlignment="1">
      <alignment horizontal="center" vertical="center" wrapText="1"/>
    </xf>
    <xf numFmtId="43" fontId="36" fillId="43" borderId="75" xfId="47" applyNumberFormat="1" applyFont="1" applyFill="1" applyBorder="1" applyAlignment="1">
      <alignment horizontal="center" vertical="center" wrapText="1"/>
    </xf>
    <xf numFmtId="43" fontId="31" fillId="42" borderId="52" xfId="48" applyFont="1" applyFill="1" applyBorder="1" applyAlignment="1">
      <alignment horizontal="left" vertical="center" wrapText="1"/>
    </xf>
    <xf numFmtId="0" fontId="1" fillId="42" borderId="63" xfId="47" applyFill="1" applyBorder="1"/>
    <xf numFmtId="0" fontId="1" fillId="42" borderId="28" xfId="47" applyFill="1" applyBorder="1"/>
    <xf numFmtId="0" fontId="1" fillId="42" borderId="0" xfId="47" applyFill="1"/>
    <xf numFmtId="0" fontId="22" fillId="42" borderId="46" xfId="47" applyFont="1" applyFill="1" applyBorder="1"/>
    <xf numFmtId="0" fontId="22" fillId="42" borderId="47" xfId="47" applyFont="1" applyFill="1" applyBorder="1" applyAlignment="1">
      <alignment horizontal="center"/>
    </xf>
    <xf numFmtId="0" fontId="22" fillId="42" borderId="47" xfId="47" applyFont="1" applyFill="1" applyBorder="1"/>
    <xf numFmtId="43" fontId="22" fillId="42" borderId="47" xfId="48" applyFont="1" applyFill="1" applyBorder="1" applyAlignment="1">
      <alignment horizontal="center"/>
    </xf>
    <xf numFmtId="0" fontId="1" fillId="42" borderId="48" xfId="47" applyFill="1" applyBorder="1"/>
    <xf numFmtId="0" fontId="34" fillId="42" borderId="46" xfId="47" applyFont="1" applyFill="1" applyBorder="1"/>
    <xf numFmtId="0" fontId="34" fillId="42" borderId="47" xfId="47" applyFont="1" applyFill="1" applyBorder="1" applyAlignment="1">
      <alignment horizontal="center"/>
    </xf>
    <xf numFmtId="0" fontId="31" fillId="42" borderId="52" xfId="47" applyFont="1" applyFill="1" applyBorder="1" applyAlignment="1">
      <alignment vertical="center" wrapText="1"/>
    </xf>
    <xf numFmtId="0" fontId="34" fillId="42" borderId="47" xfId="47" applyFont="1" applyFill="1" applyBorder="1"/>
    <xf numFmtId="43" fontId="35" fillId="42" borderId="80" xfId="42" applyFont="1" applyFill="1" applyBorder="1" applyAlignment="1">
      <alignment horizontal="right" vertical="center" wrapText="1"/>
    </xf>
    <xf numFmtId="43" fontId="35" fillId="42" borderId="26" xfId="42" applyFont="1" applyFill="1" applyBorder="1" applyAlignment="1">
      <alignment horizontal="right" vertical="center" wrapText="1"/>
    </xf>
    <xf numFmtId="43" fontId="35" fillId="42" borderId="45" xfId="42" applyFont="1" applyFill="1" applyBorder="1" applyAlignment="1">
      <alignment horizontal="center" vertical="center" wrapText="1"/>
    </xf>
    <xf numFmtId="43" fontId="35" fillId="42" borderId="45" xfId="42" applyFont="1" applyFill="1" applyBorder="1" applyAlignment="1">
      <alignment vertical="center" wrapText="1"/>
    </xf>
    <xf numFmtId="43" fontId="35" fillId="42" borderId="58" xfId="42" applyFont="1" applyFill="1" applyBorder="1" applyAlignment="1">
      <alignment vertical="center" wrapText="1"/>
    </xf>
    <xf numFmtId="43" fontId="36" fillId="44" borderId="27" xfId="42" applyFont="1" applyFill="1" applyBorder="1" applyAlignment="1">
      <alignment horizontal="right" vertical="center" wrapText="1"/>
    </xf>
    <xf numFmtId="0" fontId="31" fillId="42" borderId="33" xfId="0" applyFont="1" applyFill="1" applyBorder="1" applyAlignment="1">
      <alignment horizontal="center" vertical="center" wrapText="1"/>
    </xf>
    <xf numFmtId="0" fontId="35" fillId="42" borderId="33" xfId="0" applyFont="1" applyFill="1" applyBorder="1" applyAlignment="1">
      <alignment horizontal="center" vertical="center" wrapText="1"/>
    </xf>
    <xf numFmtId="0" fontId="31" fillId="42" borderId="36" xfId="0" applyFont="1" applyFill="1" applyBorder="1" applyAlignment="1">
      <alignment horizontal="center" vertical="center" wrapText="1"/>
    </xf>
    <xf numFmtId="0" fontId="35" fillId="42" borderId="36" xfId="0" applyFont="1" applyFill="1" applyBorder="1" applyAlignment="1">
      <alignment horizontal="center" vertical="center" wrapText="1"/>
    </xf>
    <xf numFmtId="43" fontId="33" fillId="42" borderId="0" xfId="42" applyFont="1" applyFill="1" applyBorder="1" applyAlignment="1">
      <alignment horizontal="center" vertical="center" wrapText="1"/>
    </xf>
    <xf numFmtId="0" fontId="53" fillId="42" borderId="0" xfId="0" applyFont="1" applyFill="1" applyAlignment="1">
      <alignment horizontal="center" vertical="center" wrapText="1"/>
    </xf>
    <xf numFmtId="0" fontId="31" fillId="42" borderId="0" xfId="0" applyFont="1" applyFill="1" applyAlignment="1">
      <alignment horizontal="center" vertical="center" wrapText="1"/>
    </xf>
    <xf numFmtId="0" fontId="35" fillId="42" borderId="0" xfId="0" applyFont="1" applyFill="1" applyAlignment="1">
      <alignment horizontal="center" vertical="center" wrapText="1"/>
    </xf>
    <xf numFmtId="0" fontId="35" fillId="42" borderId="40" xfId="0" applyFont="1" applyFill="1" applyBorder="1"/>
    <xf numFmtId="0" fontId="34" fillId="42" borderId="12" xfId="0" applyFont="1" applyFill="1" applyBorder="1" applyAlignment="1">
      <alignment horizontal="center"/>
    </xf>
    <xf numFmtId="43" fontId="34" fillId="42" borderId="12" xfId="42" applyFont="1" applyFill="1" applyBorder="1" applyAlignment="1">
      <alignment horizontal="center"/>
    </xf>
    <xf numFmtId="0" fontId="35" fillId="42" borderId="12" xfId="0" applyFont="1" applyFill="1" applyBorder="1" applyAlignment="1">
      <alignment horizontal="center"/>
    </xf>
    <xf numFmtId="0" fontId="34" fillId="42" borderId="21" xfId="0" applyFont="1" applyFill="1" applyBorder="1"/>
    <xf numFmtId="0" fontId="35" fillId="42" borderId="39" xfId="0" applyFont="1" applyFill="1" applyBorder="1"/>
    <xf numFmtId="43" fontId="34" fillId="42" borderId="0" xfId="42" applyFont="1" applyFill="1" applyBorder="1" applyAlignment="1">
      <alignment horizontal="center"/>
    </xf>
    <xf numFmtId="0" fontId="35" fillId="42" borderId="0" xfId="0" applyFont="1" applyFill="1" applyAlignment="1">
      <alignment horizontal="center"/>
    </xf>
    <xf numFmtId="0" fontId="36" fillId="44" borderId="14" xfId="0" applyFont="1" applyFill="1" applyBorder="1" applyAlignment="1">
      <alignment horizontal="center" vertical="center"/>
    </xf>
    <xf numFmtId="0" fontId="36" fillId="44" borderId="27" xfId="0" applyFont="1" applyFill="1" applyBorder="1" applyAlignment="1">
      <alignment horizontal="center" vertical="center" wrapText="1"/>
    </xf>
    <xf numFmtId="43" fontId="36" fillId="44" borderId="15" xfId="42" applyFont="1" applyFill="1" applyBorder="1" applyAlignment="1">
      <alignment horizontal="center" vertical="center" wrapText="1"/>
    </xf>
    <xf numFmtId="0" fontId="35" fillId="42" borderId="60" xfId="0" applyFont="1" applyFill="1" applyBorder="1" applyAlignment="1">
      <alignment vertical="center" wrapText="1"/>
    </xf>
    <xf numFmtId="43" fontId="35" fillId="42" borderId="61" xfId="42" applyFont="1" applyFill="1" applyBorder="1" applyAlignment="1">
      <alignment horizontal="center" vertical="center" wrapText="1"/>
    </xf>
    <xf numFmtId="43" fontId="35" fillId="42" borderId="62" xfId="42" applyFont="1" applyFill="1" applyBorder="1" applyAlignment="1">
      <alignment vertical="center" wrapText="1"/>
    </xf>
    <xf numFmtId="0" fontId="35" fillId="42" borderId="56" xfId="0" applyFont="1" applyFill="1" applyBorder="1" applyAlignment="1">
      <alignment vertical="center" wrapText="1"/>
    </xf>
    <xf numFmtId="43" fontId="35" fillId="42" borderId="42" xfId="42" applyFont="1" applyFill="1" applyBorder="1" applyAlignment="1">
      <alignment horizontal="center" vertical="center" wrapText="1"/>
    </xf>
    <xf numFmtId="43" fontId="35" fillId="42" borderId="49" xfId="42" applyFont="1" applyFill="1" applyBorder="1" applyAlignment="1">
      <alignment vertical="center" wrapText="1"/>
    </xf>
    <xf numFmtId="0" fontId="35" fillId="42" borderId="57" xfId="0" applyFont="1" applyFill="1" applyBorder="1" applyAlignment="1">
      <alignment vertical="center" wrapText="1"/>
    </xf>
    <xf numFmtId="43" fontId="35" fillId="42" borderId="58" xfId="42" applyFont="1" applyFill="1" applyBorder="1" applyAlignment="1">
      <alignment horizontal="center" vertical="center" wrapText="1"/>
    </xf>
    <xf numFmtId="43" fontId="35" fillId="42" borderId="59" xfId="42" applyFont="1" applyFill="1" applyBorder="1" applyAlignment="1">
      <alignment vertical="center" wrapText="1"/>
    </xf>
    <xf numFmtId="0" fontId="35" fillId="42" borderId="0" xfId="0" applyFont="1" applyFill="1"/>
    <xf numFmtId="43" fontId="22" fillId="42" borderId="0" xfId="42" applyFont="1" applyFill="1" applyAlignment="1">
      <alignment horizontal="center"/>
    </xf>
    <xf numFmtId="0" fontId="55" fillId="42" borderId="0" xfId="0" applyFont="1" applyFill="1" applyAlignment="1">
      <alignment horizontal="center"/>
    </xf>
    <xf numFmtId="0" fontId="36" fillId="44" borderId="121" xfId="0" applyFont="1" applyFill="1" applyBorder="1" applyAlignment="1">
      <alignment horizontal="center" vertical="center"/>
    </xf>
    <xf numFmtId="0" fontId="36" fillId="44" borderId="122" xfId="0" applyFont="1" applyFill="1" applyBorder="1" applyAlignment="1">
      <alignment horizontal="center" vertical="center" wrapText="1"/>
    </xf>
    <xf numFmtId="43" fontId="36" fillId="44" borderId="124" xfId="42" applyFont="1" applyFill="1" applyBorder="1" applyAlignment="1">
      <alignment horizontal="center" vertical="center" wrapText="1"/>
    </xf>
    <xf numFmtId="0" fontId="35" fillId="42" borderId="129" xfId="0" applyFont="1" applyFill="1" applyBorder="1" applyAlignment="1">
      <alignment vertical="center" wrapText="1"/>
    </xf>
    <xf numFmtId="43" fontId="35" fillId="42" borderId="130" xfId="42" applyFont="1" applyFill="1" applyBorder="1" applyAlignment="1">
      <alignment horizontal="center" vertical="center" wrapText="1"/>
    </xf>
    <xf numFmtId="43" fontId="35" fillId="42" borderId="131" xfId="42" applyFont="1" applyFill="1" applyBorder="1" applyAlignment="1">
      <alignment vertical="center" wrapText="1"/>
    </xf>
    <xf numFmtId="43" fontId="34" fillId="42" borderId="28" xfId="0" applyNumberFormat="1" applyFont="1" applyFill="1" applyBorder="1"/>
    <xf numFmtId="43" fontId="55" fillId="42" borderId="0" xfId="0" applyNumberFormat="1" applyFont="1" applyFill="1" applyAlignment="1">
      <alignment horizontal="center"/>
    </xf>
    <xf numFmtId="0" fontId="35" fillId="42" borderId="44" xfId="0" applyFont="1" applyFill="1" applyBorder="1" applyAlignment="1">
      <alignment horizontal="center" vertical="center" wrapText="1"/>
    </xf>
    <xf numFmtId="168" fontId="35" fillId="42" borderId="45" xfId="42" applyNumberFormat="1" applyFont="1" applyFill="1" applyBorder="1" applyAlignment="1">
      <alignment horizontal="center" vertical="center" wrapText="1"/>
    </xf>
    <xf numFmtId="0" fontId="35" fillId="42" borderId="57" xfId="0" applyFont="1" applyFill="1" applyBorder="1" applyAlignment="1">
      <alignment horizontal="center" vertical="center" wrapText="1"/>
    </xf>
    <xf numFmtId="168" fontId="35" fillId="42" borderId="58" xfId="42" applyNumberFormat="1" applyFont="1" applyFill="1" applyBorder="1" applyAlignment="1">
      <alignment horizontal="center" vertical="center" wrapText="1"/>
    </xf>
    <xf numFmtId="43" fontId="22" fillId="0" borderId="0" xfId="42" applyFont="1" applyAlignment="1">
      <alignment horizontal="center"/>
    </xf>
    <xf numFmtId="0" fontId="55" fillId="0" borderId="0" xfId="0" applyFont="1" applyAlignment="1">
      <alignment horizontal="center"/>
    </xf>
    <xf numFmtId="43" fontId="35" fillId="42" borderId="132" xfId="42" applyFont="1" applyFill="1" applyBorder="1" applyAlignment="1">
      <alignment horizontal="right" vertical="center" wrapText="1"/>
    </xf>
    <xf numFmtId="43" fontId="35" fillId="42" borderId="43" xfId="42" applyFont="1" applyFill="1" applyBorder="1" applyAlignment="1">
      <alignment horizontal="center" vertical="center" wrapText="1"/>
    </xf>
    <xf numFmtId="43" fontId="35" fillId="42" borderId="43" xfId="42" applyFont="1" applyFill="1" applyBorder="1" applyAlignment="1">
      <alignment vertical="center" wrapText="1"/>
    </xf>
    <xf numFmtId="0" fontId="36" fillId="44" borderId="73" xfId="47" applyFont="1" applyFill="1" applyBorder="1" applyAlignment="1">
      <alignment horizontal="center" vertical="center"/>
    </xf>
    <xf numFmtId="43" fontId="36" fillId="44" borderId="74" xfId="42" applyFont="1" applyFill="1" applyBorder="1" applyAlignment="1">
      <alignment horizontal="right" vertical="center" wrapText="1"/>
    </xf>
    <xf numFmtId="43" fontId="36" fillId="44" borderId="75" xfId="42" applyFont="1" applyFill="1" applyBorder="1" applyAlignment="1">
      <alignment horizontal="right" vertical="center" wrapText="1"/>
    </xf>
    <xf numFmtId="164" fontId="21" fillId="36" borderId="11" xfId="43" applyFont="1" applyFill="1" applyBorder="1" applyAlignment="1">
      <alignment horizontal="left" vertical="center"/>
    </xf>
    <xf numFmtId="0" fontId="21" fillId="36" borderId="35" xfId="0" applyFont="1" applyFill="1" applyBorder="1" applyAlignment="1">
      <alignment horizontal="left" vertical="center"/>
    </xf>
    <xf numFmtId="164" fontId="0" fillId="0" borderId="135" xfId="43" applyFont="1" applyBorder="1"/>
    <xf numFmtId="10" fontId="0" fillId="0" borderId="0" xfId="0" applyNumberFormat="1"/>
    <xf numFmtId="164" fontId="0" fillId="0" borderId="136" xfId="0" applyNumberFormat="1" applyBorder="1"/>
    <xf numFmtId="164" fontId="23" fillId="0" borderId="135" xfId="43" applyFont="1" applyBorder="1"/>
    <xf numFmtId="10" fontId="23" fillId="0" borderId="0" xfId="0" applyNumberFormat="1" applyFont="1"/>
    <xf numFmtId="164" fontId="0" fillId="0" borderId="135" xfId="0" applyNumberFormat="1" applyBorder="1"/>
    <xf numFmtId="164" fontId="23" fillId="0" borderId="135" xfId="0" applyNumberFormat="1" applyFont="1" applyBorder="1"/>
    <xf numFmtId="164" fontId="23" fillId="0" borderId="136" xfId="0" applyNumberFormat="1" applyFont="1" applyBorder="1"/>
    <xf numFmtId="43" fontId="34" fillId="42" borderId="39" xfId="42" applyFont="1" applyFill="1" applyBorder="1"/>
    <xf numFmtId="43" fontId="1" fillId="42" borderId="28" xfId="42" applyFill="1" applyBorder="1"/>
    <xf numFmtId="43" fontId="1" fillId="0" borderId="0" xfId="42"/>
    <xf numFmtId="43" fontId="36" fillId="44" borderId="26" xfId="42" applyFont="1" applyFill="1" applyBorder="1" applyAlignment="1">
      <alignment horizontal="center" vertical="center" wrapText="1"/>
    </xf>
    <xf numFmtId="43" fontId="35" fillId="42" borderId="79" xfId="42" applyFont="1" applyFill="1" applyBorder="1" applyAlignment="1">
      <alignment horizontal="left" vertical="center" wrapText="1"/>
    </xf>
    <xf numFmtId="43" fontId="35" fillId="42" borderId="26" xfId="42" applyFont="1" applyFill="1" applyBorder="1" applyAlignment="1">
      <alignment vertical="center" wrapText="1"/>
    </xf>
    <xf numFmtId="43" fontId="35" fillId="42" borderId="44" xfId="42" applyFont="1" applyFill="1" applyBorder="1" applyAlignment="1">
      <alignment horizontal="left" vertical="center" wrapText="1"/>
    </xf>
    <xf numFmtId="43" fontId="35" fillId="42" borderId="44" xfId="42" applyFont="1" applyFill="1" applyBorder="1" applyAlignment="1">
      <alignment vertical="center" wrapText="1"/>
    </xf>
    <xf numFmtId="43" fontId="35" fillId="42" borderId="57" xfId="42" applyFont="1" applyFill="1" applyBorder="1" applyAlignment="1">
      <alignment vertical="center" wrapText="1"/>
    </xf>
    <xf numFmtId="43" fontId="36" fillId="44" borderId="14" xfId="42" applyFont="1" applyFill="1" applyBorder="1" applyAlignment="1">
      <alignment horizontal="center" vertical="center"/>
    </xf>
    <xf numFmtId="43" fontId="34" fillId="42" borderId="0" xfId="42" applyFont="1" applyFill="1" applyAlignment="1">
      <alignment horizontal="center"/>
    </xf>
    <xf numFmtId="43" fontId="34" fillId="42" borderId="0" xfId="42" applyFont="1" applyFill="1"/>
    <xf numFmtId="43" fontId="35" fillId="42" borderId="40" xfId="42" applyFont="1" applyFill="1" applyBorder="1"/>
    <xf numFmtId="43" fontId="34" fillId="42" borderId="12" xfId="42" applyFont="1" applyFill="1" applyBorder="1"/>
    <xf numFmtId="43" fontId="1" fillId="42" borderId="0" xfId="42" applyFill="1"/>
    <xf numFmtId="43" fontId="35" fillId="42" borderId="26" xfId="42" applyFont="1" applyFill="1" applyBorder="1" applyAlignment="1">
      <alignment horizontal="center" vertical="center" wrapText="1"/>
    </xf>
    <xf numFmtId="43" fontId="36" fillId="44" borderId="27" xfId="42" applyFont="1" applyFill="1" applyBorder="1" applyAlignment="1">
      <alignment horizontal="center" vertical="center" wrapText="1"/>
    </xf>
    <xf numFmtId="0" fontId="22" fillId="42" borderId="0" xfId="47" applyFont="1" applyFill="1" applyAlignment="1">
      <alignment horizontal="center"/>
    </xf>
    <xf numFmtId="0" fontId="22" fillId="42" borderId="0" xfId="47" applyFont="1" applyFill="1"/>
    <xf numFmtId="43" fontId="36" fillId="44" borderId="74" xfId="47" applyNumberFormat="1" applyFont="1" applyFill="1" applyBorder="1" applyAlignment="1">
      <alignment horizontal="center" vertical="center" wrapText="1"/>
    </xf>
    <xf numFmtId="43" fontId="36" fillId="44" borderId="75" xfId="47" applyNumberFormat="1" applyFont="1" applyFill="1" applyBorder="1" applyAlignment="1">
      <alignment horizontal="center" vertical="center" wrapText="1"/>
    </xf>
    <xf numFmtId="2" fontId="35" fillId="42" borderId="132" xfId="48" applyNumberFormat="1" applyFont="1" applyFill="1" applyBorder="1" applyAlignment="1">
      <alignment horizontal="right" vertical="center" wrapText="1"/>
    </xf>
    <xf numFmtId="0" fontId="35" fillId="42" borderId="43" xfId="48" applyNumberFormat="1" applyFont="1" applyFill="1" applyBorder="1" applyAlignment="1">
      <alignment vertical="center" wrapText="1"/>
    </xf>
    <xf numFmtId="43" fontId="1" fillId="42" borderId="0" xfId="47" applyNumberFormat="1" applyFill="1"/>
    <xf numFmtId="10" fontId="21" fillId="36" borderId="11" xfId="44" applyNumberFormat="1" applyFont="1" applyFill="1" applyBorder="1" applyAlignment="1">
      <alignment horizontal="center" vertical="center"/>
    </xf>
    <xf numFmtId="0" fontId="21" fillId="36" borderId="134" xfId="0" applyFont="1" applyFill="1" applyBorder="1" applyAlignment="1">
      <alignment horizontal="center" vertical="center"/>
    </xf>
    <xf numFmtId="0" fontId="21" fillId="36" borderId="133" xfId="0" applyFont="1" applyFill="1" applyBorder="1" applyAlignment="1">
      <alignment horizontal="center" vertical="center"/>
    </xf>
    <xf numFmtId="0" fontId="21" fillId="36" borderId="35" xfId="0" applyFont="1" applyFill="1" applyBorder="1" applyAlignment="1">
      <alignment horizontal="center" vertical="center"/>
    </xf>
    <xf numFmtId="0" fontId="21" fillId="36" borderId="36" xfId="0" applyFont="1" applyFill="1" applyBorder="1" applyAlignment="1">
      <alignment horizontal="center" vertical="center"/>
    </xf>
    <xf numFmtId="0" fontId="21" fillId="36" borderId="23" xfId="0" applyFont="1" applyFill="1" applyBorder="1" applyAlignment="1">
      <alignment horizontal="center" vertical="center"/>
    </xf>
    <xf numFmtId="0" fontId="32" fillId="43" borderId="22" xfId="0" applyFont="1" applyFill="1" applyBorder="1" applyAlignment="1">
      <alignment horizontal="center" vertical="center" wrapText="1"/>
    </xf>
    <xf numFmtId="0" fontId="32" fillId="43" borderId="11" xfId="0" applyFont="1" applyFill="1" applyBorder="1" applyAlignment="1">
      <alignment horizontal="center" vertical="center" wrapText="1"/>
    </xf>
    <xf numFmtId="0" fontId="32" fillId="43" borderId="35" xfId="0" applyFont="1" applyFill="1" applyBorder="1" applyAlignment="1">
      <alignment horizontal="center" vertical="center" wrapText="1"/>
    </xf>
    <xf numFmtId="0" fontId="32" fillId="43" borderId="38" xfId="0" applyFont="1" applyFill="1" applyBorder="1" applyAlignment="1">
      <alignment horizontal="center" vertical="center" wrapText="1"/>
    </xf>
    <xf numFmtId="0" fontId="32" fillId="37" borderId="22" xfId="0" applyFont="1" applyFill="1" applyBorder="1" applyAlignment="1">
      <alignment horizontal="center" vertical="top" wrapText="1"/>
    </xf>
    <xf numFmtId="0" fontId="32" fillId="37" borderId="11" xfId="0" applyFont="1" applyFill="1" applyBorder="1" applyAlignment="1">
      <alignment horizontal="center" vertical="top" wrapText="1"/>
    </xf>
    <xf numFmtId="0" fontId="32" fillId="37" borderId="35" xfId="0" applyFont="1" applyFill="1" applyBorder="1" applyAlignment="1">
      <alignment horizontal="center" vertical="top" wrapText="1"/>
    </xf>
    <xf numFmtId="0" fontId="32" fillId="37" borderId="38" xfId="0" applyFont="1" applyFill="1" applyBorder="1" applyAlignment="1">
      <alignment horizontal="center" vertical="top" wrapText="1"/>
    </xf>
    <xf numFmtId="0" fontId="32" fillId="37" borderId="22" xfId="0" applyFont="1" applyFill="1" applyBorder="1" applyAlignment="1">
      <alignment horizontal="center" vertical="center" wrapText="1"/>
    </xf>
    <xf numFmtId="0" fontId="32" fillId="37" borderId="11" xfId="0" applyFont="1" applyFill="1" applyBorder="1" applyAlignment="1">
      <alignment horizontal="center" vertical="center" wrapText="1"/>
    </xf>
    <xf numFmtId="0" fontId="32" fillId="37" borderId="38" xfId="0" applyFont="1" applyFill="1" applyBorder="1" applyAlignment="1">
      <alignment horizontal="center" vertical="center" wrapText="1"/>
    </xf>
    <xf numFmtId="0" fontId="32" fillId="43" borderId="22" xfId="47" applyFont="1" applyFill="1" applyBorder="1" applyAlignment="1">
      <alignment horizontal="center" vertical="center" wrapText="1"/>
    </xf>
    <xf numFmtId="0" fontId="32" fillId="43" borderId="23" xfId="47" applyFont="1" applyFill="1" applyBorder="1" applyAlignment="1">
      <alignment horizontal="center" vertical="center" wrapText="1"/>
    </xf>
    <xf numFmtId="0" fontId="32" fillId="43" borderId="11" xfId="47" applyFont="1" applyFill="1" applyBorder="1" applyAlignment="1">
      <alignment horizontal="center" vertical="center" wrapText="1"/>
    </xf>
    <xf numFmtId="0" fontId="32" fillId="43" borderId="38" xfId="47" applyFont="1" applyFill="1" applyBorder="1" applyAlignment="1">
      <alignment horizontal="center" vertical="center" wrapText="1"/>
    </xf>
    <xf numFmtId="0" fontId="32" fillId="37" borderId="22" xfId="47" applyFont="1" applyFill="1" applyBorder="1" applyAlignment="1">
      <alignment horizontal="center" vertical="center" wrapText="1"/>
    </xf>
    <xf numFmtId="0" fontId="32" fillId="37" borderId="23" xfId="47" applyFont="1" applyFill="1" applyBorder="1" applyAlignment="1">
      <alignment horizontal="center" vertical="center" wrapText="1"/>
    </xf>
    <xf numFmtId="0" fontId="32" fillId="37" borderId="11" xfId="47" applyFont="1" applyFill="1" applyBorder="1" applyAlignment="1">
      <alignment horizontal="center" vertical="center" wrapText="1"/>
    </xf>
    <xf numFmtId="0" fontId="32" fillId="37" borderId="38" xfId="47" applyFont="1" applyFill="1" applyBorder="1" applyAlignment="1">
      <alignment horizontal="center" vertical="center" wrapText="1"/>
    </xf>
    <xf numFmtId="0" fontId="36" fillId="44" borderId="46" xfId="0" applyFont="1" applyFill="1" applyBorder="1" applyAlignment="1">
      <alignment horizontal="center" vertical="center"/>
    </xf>
    <xf numFmtId="0" fontId="36" fillId="44" borderId="47" xfId="0" applyFont="1" applyFill="1" applyBorder="1" applyAlignment="1">
      <alignment horizontal="center" vertical="center"/>
    </xf>
    <xf numFmtId="0" fontId="36" fillId="44" borderId="48" xfId="0" applyFont="1" applyFill="1" applyBorder="1" applyAlignment="1">
      <alignment horizontal="center" vertical="center"/>
    </xf>
    <xf numFmtId="0" fontId="36" fillId="44" borderId="18" xfId="47" applyFont="1" applyFill="1" applyBorder="1" applyAlignment="1">
      <alignment horizontal="center" vertical="center" wrapText="1"/>
    </xf>
    <xf numFmtId="0" fontId="36" fillId="44" borderId="20" xfId="47" applyFont="1" applyFill="1" applyBorder="1" applyAlignment="1">
      <alignment horizontal="center" vertical="center" wrapText="1"/>
    </xf>
    <xf numFmtId="0" fontId="36" fillId="44" borderId="39" xfId="47" applyFont="1" applyFill="1" applyBorder="1" applyAlignment="1">
      <alignment horizontal="center" vertical="center" wrapText="1"/>
    </xf>
    <xf numFmtId="0" fontId="36" fillId="44" borderId="0" xfId="47" applyFont="1" applyFill="1" applyAlignment="1">
      <alignment horizontal="center" vertical="center" wrapText="1"/>
    </xf>
    <xf numFmtId="0" fontId="35" fillId="42" borderId="70" xfId="47" applyFont="1" applyFill="1" applyBorder="1" applyAlignment="1">
      <alignment horizontal="center" vertical="center" wrapText="1"/>
    </xf>
    <xf numFmtId="0" fontId="35" fillId="42" borderId="71" xfId="47" applyFont="1" applyFill="1" applyBorder="1" applyAlignment="1">
      <alignment horizontal="center" vertical="center" wrapText="1"/>
    </xf>
    <xf numFmtId="0" fontId="35" fillId="42" borderId="66" xfId="47" applyFont="1" applyFill="1" applyBorder="1" applyAlignment="1">
      <alignment horizontal="center" vertical="center" wrapText="1"/>
    </xf>
    <xf numFmtId="0" fontId="35" fillId="42" borderId="64" xfId="47" applyFont="1" applyFill="1" applyBorder="1" applyAlignment="1">
      <alignment horizontal="center" vertical="center" wrapText="1"/>
    </xf>
    <xf numFmtId="0" fontId="35" fillId="42" borderId="67" xfId="47" applyFont="1" applyFill="1" applyBorder="1" applyAlignment="1">
      <alignment horizontal="center" vertical="center" wrapText="1"/>
    </xf>
    <xf numFmtId="0" fontId="35" fillId="42" borderId="68" xfId="47" applyFont="1" applyFill="1" applyBorder="1" applyAlignment="1">
      <alignment horizontal="center" vertical="center" wrapText="1"/>
    </xf>
    <xf numFmtId="0" fontId="39" fillId="0" borderId="0" xfId="47" applyFont="1" applyAlignment="1">
      <alignment horizontal="center"/>
    </xf>
    <xf numFmtId="0" fontId="36" fillId="44" borderId="32" xfId="47" applyFont="1" applyFill="1" applyBorder="1" applyAlignment="1">
      <alignment horizontal="center" vertical="center" wrapText="1"/>
    </xf>
    <xf numFmtId="0" fontId="36" fillId="44" borderId="33" xfId="47" applyFont="1" applyFill="1" applyBorder="1" applyAlignment="1">
      <alignment horizontal="center" vertical="center" wrapText="1"/>
    </xf>
    <xf numFmtId="0" fontId="36" fillId="44" borderId="53" xfId="47" applyFont="1" applyFill="1" applyBorder="1" applyAlignment="1">
      <alignment horizontal="center" vertical="center" wrapText="1"/>
    </xf>
    <xf numFmtId="43" fontId="21" fillId="37" borderId="35" xfId="42" applyFont="1" applyFill="1" applyBorder="1" applyAlignment="1">
      <alignment horizontal="center"/>
    </xf>
    <xf numFmtId="43" fontId="21" fillId="37" borderId="36" xfId="42" applyFont="1" applyFill="1" applyBorder="1" applyAlignment="1">
      <alignment horizontal="center"/>
    </xf>
    <xf numFmtId="43" fontId="21" fillId="37" borderId="23" xfId="42" applyFont="1" applyFill="1" applyBorder="1" applyAlignment="1">
      <alignment horizontal="center"/>
    </xf>
    <xf numFmtId="0" fontId="41" fillId="43" borderId="73" xfId="0" applyFont="1" applyFill="1" applyBorder="1" applyAlignment="1">
      <alignment horizontal="center"/>
    </xf>
    <xf numFmtId="0" fontId="41" fillId="43" borderId="74" xfId="0" applyFont="1" applyFill="1" applyBorder="1" applyAlignment="1">
      <alignment horizontal="center"/>
    </xf>
    <xf numFmtId="0" fontId="41" fillId="43" borderId="75" xfId="0" applyFont="1" applyFill="1" applyBorder="1" applyAlignment="1">
      <alignment horizontal="center"/>
    </xf>
    <xf numFmtId="0" fontId="22" fillId="42" borderId="33" xfId="0" applyFont="1" applyFill="1" applyBorder="1" applyAlignment="1">
      <alignment horizontal="left"/>
    </xf>
    <xf numFmtId="0" fontId="22" fillId="42" borderId="76" xfId="0" applyFont="1" applyFill="1" applyBorder="1" applyAlignment="1">
      <alignment horizontal="left"/>
    </xf>
    <xf numFmtId="0" fontId="22" fillId="42" borderId="36" xfId="0" applyFont="1" applyFill="1" applyBorder="1" applyAlignment="1">
      <alignment horizontal="left"/>
    </xf>
    <xf numFmtId="0" fontId="22" fillId="42" borderId="31" xfId="0" applyFont="1" applyFill="1" applyBorder="1" applyAlignment="1">
      <alignment horizontal="left"/>
    </xf>
    <xf numFmtId="14" fontId="22" fillId="42" borderId="77" xfId="0" applyNumberFormat="1" applyFont="1" applyFill="1" applyBorder="1" applyAlignment="1">
      <alignment horizontal="left"/>
    </xf>
    <xf numFmtId="0" fontId="22" fillId="42" borderId="77" xfId="0" applyFont="1" applyFill="1" applyBorder="1" applyAlignment="1">
      <alignment horizontal="left"/>
    </xf>
    <xf numFmtId="0" fontId="22" fillId="42" borderId="78" xfId="0" applyFont="1" applyFill="1" applyBorder="1" applyAlignment="1">
      <alignment horizontal="left"/>
    </xf>
    <xf numFmtId="0" fontId="21" fillId="37" borderId="26" xfId="0" applyFont="1" applyFill="1" applyBorder="1" applyAlignment="1">
      <alignment horizontal="center" vertical="center"/>
    </xf>
    <xf numFmtId="0" fontId="21" fillId="37" borderId="30" xfId="0" applyFont="1" applyFill="1" applyBorder="1" applyAlignment="1">
      <alignment horizontal="center" vertical="center"/>
    </xf>
    <xf numFmtId="43" fontId="21" fillId="37" borderId="26" xfId="42" applyFont="1" applyFill="1" applyBorder="1" applyAlignment="1">
      <alignment horizontal="center" vertical="center"/>
    </xf>
    <xf numFmtId="43" fontId="21" fillId="37" borderId="30" xfId="42" applyFont="1" applyFill="1" applyBorder="1" applyAlignment="1">
      <alignment horizontal="center" vertical="center"/>
    </xf>
    <xf numFmtId="43" fontId="36" fillId="44" borderId="32" xfId="42" applyFont="1" applyFill="1" applyBorder="1" applyAlignment="1">
      <alignment horizontal="center" vertical="center" wrapText="1"/>
    </xf>
    <xf numFmtId="43" fontId="36" fillId="44" borderId="53" xfId="42" applyFont="1" applyFill="1" applyBorder="1" applyAlignment="1">
      <alignment horizontal="center" vertical="center" wrapText="1"/>
    </xf>
    <xf numFmtId="43" fontId="36" fillId="44" borderId="121" xfId="42" applyFont="1" applyFill="1" applyBorder="1" applyAlignment="1">
      <alignment horizontal="center" vertical="center"/>
    </xf>
    <xf numFmtId="43" fontId="36" fillId="44" borderId="127" xfId="42" applyFont="1" applyFill="1" applyBorder="1" applyAlignment="1">
      <alignment horizontal="center" vertical="center"/>
    </xf>
    <xf numFmtId="43" fontId="36" fillId="44" borderId="122" xfId="42" applyFont="1" applyFill="1" applyBorder="1" applyAlignment="1">
      <alignment horizontal="center" vertical="center" wrapText="1"/>
    </xf>
    <xf numFmtId="43" fontId="36" fillId="44" borderId="118" xfId="42" applyFont="1" applyFill="1" applyBorder="1" applyAlignment="1">
      <alignment horizontal="center" vertical="center" wrapText="1"/>
    </xf>
    <xf numFmtId="0" fontId="36" fillId="43" borderId="121" xfId="47" applyFont="1" applyFill="1" applyBorder="1" applyAlignment="1">
      <alignment horizontal="center" vertical="center"/>
    </xf>
    <xf numFmtId="0" fontId="36" fillId="43" borderId="127" xfId="47" applyFont="1" applyFill="1" applyBorder="1" applyAlignment="1">
      <alignment horizontal="center" vertical="center"/>
    </xf>
    <xf numFmtId="0" fontId="36" fillId="43" borderId="124" xfId="47" applyFont="1" applyFill="1" applyBorder="1" applyAlignment="1">
      <alignment horizontal="center" vertical="center" wrapText="1"/>
    </xf>
    <xf numFmtId="0" fontId="36" fillId="43" borderId="128" xfId="47" applyFont="1" applyFill="1" applyBorder="1" applyAlignment="1">
      <alignment horizontal="center" vertical="center" wrapText="1"/>
    </xf>
    <xf numFmtId="0" fontId="36" fillId="43" borderId="27" xfId="47" applyFont="1" applyFill="1" applyBorder="1" applyAlignment="1">
      <alignment horizontal="center" vertical="center" wrapText="1"/>
    </xf>
    <xf numFmtId="0" fontId="36" fillId="43" borderId="122" xfId="47" applyFont="1" applyFill="1" applyBorder="1" applyAlignment="1">
      <alignment horizontal="center" vertical="center" wrapText="1"/>
    </xf>
    <xf numFmtId="0" fontId="36" fillId="43" borderId="26" xfId="47" applyFont="1" applyFill="1" applyBorder="1" applyAlignment="1">
      <alignment horizontal="center" vertical="center" wrapText="1"/>
    </xf>
    <xf numFmtId="0" fontId="32" fillId="43" borderId="120" xfId="47" applyFont="1" applyFill="1" applyBorder="1" applyAlignment="1">
      <alignment horizontal="center" vertical="center" wrapText="1"/>
    </xf>
    <xf numFmtId="0" fontId="32" fillId="43" borderId="36" xfId="47" applyFont="1" applyFill="1" applyBorder="1" applyAlignment="1">
      <alignment horizontal="center" vertical="center" wrapText="1"/>
    </xf>
    <xf numFmtId="0" fontId="32" fillId="43" borderId="12" xfId="47" applyFont="1" applyFill="1" applyBorder="1" applyAlignment="1">
      <alignment horizontal="center" vertical="center" wrapText="1"/>
    </xf>
    <xf numFmtId="0" fontId="32" fillId="43" borderId="13" xfId="47" applyFont="1" applyFill="1" applyBorder="1" applyAlignment="1">
      <alignment horizontal="center" vertical="center" wrapText="1"/>
    </xf>
    <xf numFmtId="0" fontId="32" fillId="37" borderId="120" xfId="47" applyFont="1" applyFill="1" applyBorder="1" applyAlignment="1">
      <alignment horizontal="center" vertical="center" wrapText="1"/>
    </xf>
    <xf numFmtId="0" fontId="32" fillId="37" borderId="36" xfId="47" applyFont="1" applyFill="1" applyBorder="1" applyAlignment="1">
      <alignment horizontal="center" vertical="center" wrapText="1"/>
    </xf>
    <xf numFmtId="43" fontId="36" fillId="44" borderId="33" xfId="42" applyFont="1" applyFill="1" applyBorder="1" applyAlignment="1">
      <alignment horizontal="center" vertical="center" wrapText="1"/>
    </xf>
    <xf numFmtId="0" fontId="32" fillId="37" borderId="54" xfId="47" applyFont="1" applyFill="1" applyBorder="1" applyAlignment="1">
      <alignment horizontal="center" vertical="center" wrapText="1"/>
    </xf>
    <xf numFmtId="0" fontId="32" fillId="37" borderId="33" xfId="47" applyFont="1" applyFill="1" applyBorder="1" applyAlignment="1">
      <alignment horizontal="center" vertical="center" wrapText="1"/>
    </xf>
    <xf numFmtId="43" fontId="35" fillId="42" borderId="45" xfId="48" applyFont="1" applyFill="1" applyBorder="1" applyAlignment="1">
      <alignment horizontal="center" vertical="center" wrapText="1"/>
    </xf>
    <xf numFmtId="43" fontId="35" fillId="42" borderId="118" xfId="48" applyFont="1" applyFill="1" applyBorder="1" applyAlignment="1">
      <alignment horizontal="center" vertical="center" wrapText="1"/>
    </xf>
    <xf numFmtId="43" fontId="38" fillId="42" borderId="45" xfId="48" applyFont="1" applyFill="1" applyBorder="1" applyAlignment="1">
      <alignment horizontal="center" vertical="center" wrapText="1"/>
    </xf>
    <xf numFmtId="43" fontId="38" fillId="42" borderId="118" xfId="48" applyFont="1" applyFill="1" applyBorder="1" applyAlignment="1">
      <alignment horizontal="center" vertical="center" wrapText="1"/>
    </xf>
    <xf numFmtId="43" fontId="35" fillId="42" borderId="44" xfId="48" applyFont="1" applyFill="1" applyBorder="1" applyAlignment="1">
      <alignment horizontal="left" vertical="center" wrapText="1"/>
    </xf>
    <xf numFmtId="43" fontId="35" fillId="42" borderId="41" xfId="48" applyFont="1" applyFill="1" applyBorder="1" applyAlignment="1">
      <alignment horizontal="left" vertical="center" wrapText="1"/>
    </xf>
    <xf numFmtId="43" fontId="35" fillId="42" borderId="117" xfId="48" applyFont="1" applyFill="1" applyBorder="1" applyAlignment="1">
      <alignment horizontal="left" vertical="center" wrapText="1"/>
    </xf>
    <xf numFmtId="43" fontId="38" fillId="42" borderId="45" xfId="48" applyFont="1" applyFill="1" applyBorder="1" applyAlignment="1">
      <alignment horizontal="left" vertical="center" wrapText="1"/>
    </xf>
    <xf numFmtId="43" fontId="38" fillId="42" borderId="26" xfId="48" applyFont="1" applyFill="1" applyBorder="1" applyAlignment="1">
      <alignment horizontal="left" vertical="center" wrapText="1"/>
    </xf>
    <xf numFmtId="43" fontId="38" fillId="42" borderId="118" xfId="48" applyFont="1" applyFill="1" applyBorder="1" applyAlignment="1">
      <alignment horizontal="left" vertical="center" wrapText="1"/>
    </xf>
    <xf numFmtId="43" fontId="35" fillId="42" borderId="26" xfId="48" applyFont="1" applyFill="1" applyBorder="1" applyAlignment="1">
      <alignment horizontal="center" vertical="center" wrapText="1"/>
    </xf>
    <xf numFmtId="43" fontId="35" fillId="42" borderId="80" xfId="48" applyFont="1" applyFill="1" applyBorder="1" applyAlignment="1">
      <alignment horizontal="center" vertical="center" wrapText="1"/>
    </xf>
    <xf numFmtId="0" fontId="35" fillId="42" borderId="79" xfId="47" applyFont="1" applyFill="1" applyBorder="1" applyAlignment="1">
      <alignment horizontal="left" vertical="center" wrapText="1"/>
    </xf>
    <xf numFmtId="0" fontId="35" fillId="42" borderId="117" xfId="47" applyFont="1" applyFill="1" applyBorder="1" applyAlignment="1">
      <alignment horizontal="left" vertical="center" wrapText="1"/>
    </xf>
    <xf numFmtId="2" fontId="35" fillId="42" borderId="80" xfId="48" applyNumberFormat="1" applyFont="1" applyFill="1" applyBorder="1" applyAlignment="1">
      <alignment horizontal="right" vertical="center" wrapText="1"/>
    </xf>
    <xf numFmtId="2" fontId="35" fillId="42" borderId="118" xfId="48" applyNumberFormat="1" applyFont="1" applyFill="1" applyBorder="1" applyAlignment="1">
      <alignment horizontal="right" vertical="center" wrapText="1"/>
    </xf>
    <xf numFmtId="43" fontId="35" fillId="42" borderId="80" xfId="48" applyFont="1" applyFill="1" applyBorder="1" applyAlignment="1">
      <alignment horizontal="right" vertical="center" wrapText="1"/>
    </xf>
    <xf numFmtId="43" fontId="35" fillId="42" borderId="118" xfId="48" applyFont="1" applyFill="1" applyBorder="1" applyAlignment="1">
      <alignment horizontal="right" vertical="center" wrapText="1"/>
    </xf>
    <xf numFmtId="43" fontId="38" fillId="42" borderId="80" xfId="48" applyFont="1" applyFill="1" applyBorder="1" applyAlignment="1">
      <alignment horizontal="center" vertical="center" wrapText="1"/>
    </xf>
    <xf numFmtId="43" fontId="38" fillId="42" borderId="26" xfId="48" applyFont="1" applyFill="1" applyBorder="1" applyAlignment="1">
      <alignment horizontal="center" vertical="center" wrapText="1"/>
    </xf>
    <xf numFmtId="0" fontId="46" fillId="42" borderId="65" xfId="0" applyFont="1" applyFill="1" applyBorder="1" applyAlignment="1">
      <alignment horizontal="center" vertical="center"/>
    </xf>
    <xf numFmtId="0" fontId="46" fillId="42" borderId="52" xfId="0" applyFont="1" applyFill="1" applyBorder="1" applyAlignment="1">
      <alignment horizontal="center" vertical="center"/>
    </xf>
    <xf numFmtId="0" fontId="46" fillId="42" borderId="63" xfId="0" applyFont="1" applyFill="1" applyBorder="1" applyAlignment="1">
      <alignment horizontal="center" vertical="center"/>
    </xf>
    <xf numFmtId="0" fontId="46" fillId="42" borderId="39" xfId="0" applyFont="1" applyFill="1" applyBorder="1" applyAlignment="1">
      <alignment horizontal="center" vertical="center"/>
    </xf>
    <xf numFmtId="0" fontId="46" fillId="42" borderId="0" xfId="0" applyFont="1" applyFill="1" applyAlignment="1">
      <alignment horizontal="center" vertical="center"/>
    </xf>
    <xf numFmtId="0" fontId="46" fillId="42" borderId="28" xfId="0" applyFont="1" applyFill="1" applyBorder="1" applyAlignment="1">
      <alignment horizontal="center" vertical="center"/>
    </xf>
    <xf numFmtId="0" fontId="46" fillId="42" borderId="46" xfId="0" applyFont="1" applyFill="1" applyBorder="1" applyAlignment="1">
      <alignment horizontal="center" vertical="center"/>
    </xf>
    <xf numFmtId="0" fontId="46" fillId="42" borderId="47" xfId="0" applyFont="1" applyFill="1" applyBorder="1" applyAlignment="1">
      <alignment horizontal="center" vertical="center"/>
    </xf>
    <xf numFmtId="0" fontId="46" fillId="42" borderId="48" xfId="0" applyFont="1" applyFill="1" applyBorder="1" applyAlignment="1">
      <alignment horizontal="center" vertical="center"/>
    </xf>
    <xf numFmtId="43" fontId="16" fillId="51" borderId="94" xfId="50" applyFont="1" applyFill="1" applyBorder="1" applyAlignment="1">
      <alignment horizontal="center" vertical="center" textRotation="90" wrapText="1"/>
    </xf>
    <xf numFmtId="43" fontId="16" fillId="51" borderId="95" xfId="50" applyFont="1" applyFill="1" applyBorder="1" applyAlignment="1">
      <alignment horizontal="center" vertical="center" textRotation="90" wrapText="1"/>
    </xf>
    <xf numFmtId="43" fontId="16" fillId="51" borderId="97" xfId="50" applyFont="1" applyFill="1" applyBorder="1" applyAlignment="1">
      <alignment horizontal="center" vertical="center" textRotation="90" wrapText="1"/>
    </xf>
    <xf numFmtId="43" fontId="16" fillId="51" borderId="98" xfId="50" applyFont="1" applyFill="1" applyBorder="1" applyAlignment="1">
      <alignment horizontal="center" vertical="center" textRotation="90" wrapText="1"/>
    </xf>
    <xf numFmtId="0" fontId="32" fillId="43" borderId="22" xfId="46" applyFont="1" applyFill="1" applyBorder="1" applyAlignment="1">
      <alignment horizontal="center" vertical="center" wrapText="1"/>
    </xf>
    <xf numFmtId="0" fontId="32" fillId="43" borderId="11" xfId="46" applyFont="1" applyFill="1" applyBorder="1" applyAlignment="1">
      <alignment horizontal="center" vertical="center" wrapText="1"/>
    </xf>
    <xf numFmtId="0" fontId="32" fillId="43" borderId="35" xfId="46" applyFont="1" applyFill="1" applyBorder="1" applyAlignment="1">
      <alignment horizontal="center" vertical="center" wrapText="1"/>
    </xf>
    <xf numFmtId="0" fontId="32" fillId="43" borderId="38" xfId="46" applyFont="1" applyFill="1" applyBorder="1" applyAlignment="1">
      <alignment horizontal="center" vertical="center" wrapText="1"/>
    </xf>
    <xf numFmtId="0" fontId="32" fillId="37" borderId="22" xfId="46" applyFont="1" applyFill="1" applyBorder="1" applyAlignment="1">
      <alignment horizontal="center" vertical="center" wrapText="1"/>
    </xf>
    <xf numFmtId="0" fontId="32" fillId="37" borderId="11" xfId="46" applyFont="1" applyFill="1" applyBorder="1" applyAlignment="1">
      <alignment horizontal="center" vertical="center" wrapText="1"/>
    </xf>
    <xf numFmtId="0" fontId="32" fillId="37" borderId="35" xfId="46" applyFont="1" applyFill="1" applyBorder="1" applyAlignment="1">
      <alignment horizontal="center" vertical="center" wrapText="1"/>
    </xf>
    <xf numFmtId="0" fontId="32" fillId="37" borderId="38" xfId="46" applyFont="1" applyFill="1" applyBorder="1" applyAlignment="1">
      <alignment horizontal="center" vertical="center" wrapText="1"/>
    </xf>
    <xf numFmtId="0" fontId="22" fillId="0" borderId="0" xfId="47" applyFont="1" applyAlignment="1">
      <alignment horizontal="center" vertical="center" wrapText="1"/>
    </xf>
    <xf numFmtId="0" fontId="32" fillId="37" borderId="35" xfId="0" applyFont="1" applyFill="1" applyBorder="1" applyAlignment="1">
      <alignment horizontal="center" vertical="center" wrapText="1"/>
    </xf>
    <xf numFmtId="0" fontId="36" fillId="43" borderId="34" xfId="47" applyFont="1" applyFill="1" applyBorder="1" applyAlignment="1">
      <alignment horizontal="center" vertical="center" wrapText="1"/>
    </xf>
    <xf numFmtId="0" fontId="36" fillId="43" borderId="37" xfId="47" applyFont="1" applyFill="1" applyBorder="1" applyAlignment="1">
      <alignment horizontal="center" vertical="center" wrapText="1"/>
    </xf>
    <xf numFmtId="0" fontId="36" fillId="43" borderId="125" xfId="47" applyFont="1" applyFill="1" applyBorder="1" applyAlignment="1">
      <alignment horizontal="center" vertical="center" wrapText="1"/>
    </xf>
    <xf numFmtId="0" fontId="32" fillId="43" borderId="31" xfId="47" applyFont="1" applyFill="1" applyBorder="1" applyAlignment="1">
      <alignment horizontal="center" vertical="center" wrapText="1"/>
    </xf>
    <xf numFmtId="0" fontId="32" fillId="37" borderId="119" xfId="47" applyFont="1" applyFill="1" applyBorder="1" applyAlignment="1">
      <alignment horizontal="center" vertical="center" wrapText="1"/>
    </xf>
    <xf numFmtId="0" fontId="32" fillId="37" borderId="77" xfId="47" applyFont="1" applyFill="1" applyBorder="1" applyAlignment="1">
      <alignment horizontal="center" vertical="center" wrapText="1"/>
    </xf>
    <xf numFmtId="0" fontId="32" fillId="37" borderId="78" xfId="47" applyFont="1" applyFill="1" applyBorder="1" applyAlignment="1">
      <alignment horizontal="center" vertical="center" wrapText="1"/>
    </xf>
    <xf numFmtId="43" fontId="35" fillId="42" borderId="34" xfId="48" applyFont="1" applyFill="1" applyBorder="1" applyAlignment="1">
      <alignment horizontal="center" vertical="center" wrapText="1"/>
    </xf>
    <xf numFmtId="43" fontId="35" fillId="42" borderId="37" xfId="48" applyFont="1" applyFill="1" applyBorder="1" applyAlignment="1">
      <alignment horizontal="center" vertical="center" wrapText="1"/>
    </xf>
    <xf numFmtId="43" fontId="35" fillId="42" borderId="125" xfId="48" applyFont="1" applyFill="1" applyBorder="1" applyAlignment="1">
      <alignment horizontal="center" vertical="center" wrapText="1"/>
    </xf>
    <xf numFmtId="0" fontId="36" fillId="43" borderId="123" xfId="47" applyFont="1" applyFill="1" applyBorder="1" applyAlignment="1">
      <alignment horizontal="center" vertical="center" wrapText="1"/>
    </xf>
    <xf numFmtId="0" fontId="32" fillId="43" borderId="22" xfId="53" applyFont="1" applyFill="1" applyBorder="1" applyAlignment="1">
      <alignment horizontal="center" vertical="center" wrapText="1"/>
    </xf>
    <xf numFmtId="0" fontId="32" fillId="43" borderId="11" xfId="53" applyFont="1" applyFill="1" applyBorder="1" applyAlignment="1">
      <alignment horizontal="center" vertical="center" wrapText="1"/>
    </xf>
    <xf numFmtId="0" fontId="32" fillId="43" borderId="38" xfId="53" applyFont="1" applyFill="1" applyBorder="1" applyAlignment="1">
      <alignment horizontal="center" vertical="center" wrapText="1"/>
    </xf>
    <xf numFmtId="0" fontId="32" fillId="37" borderId="22" xfId="53" applyFont="1" applyFill="1" applyBorder="1" applyAlignment="1">
      <alignment horizontal="center" vertical="center" wrapText="1"/>
    </xf>
    <xf numFmtId="0" fontId="32" fillId="37" borderId="11" xfId="53" applyFont="1" applyFill="1" applyBorder="1" applyAlignment="1">
      <alignment horizontal="center" vertical="center" wrapText="1"/>
    </xf>
    <xf numFmtId="0" fontId="32" fillId="37" borderId="38" xfId="53" applyFont="1" applyFill="1" applyBorder="1" applyAlignment="1">
      <alignment horizontal="center" vertical="center" wrapText="1"/>
    </xf>
    <xf numFmtId="0" fontId="1" fillId="0" borderId="0" xfId="55"/>
    <xf numFmtId="0" fontId="22" fillId="0" borderId="0" xfId="55" applyFont="1"/>
    <xf numFmtId="0" fontId="55" fillId="0" borderId="0" xfId="55" applyFont="1" applyAlignment="1">
      <alignment horizontal="center"/>
    </xf>
    <xf numFmtId="43" fontId="22" fillId="0" borderId="0" xfId="50" applyFont="1" applyAlignment="1">
      <alignment horizontal="center"/>
    </xf>
    <xf numFmtId="0" fontId="22" fillId="0" borderId="0" xfId="55" applyFont="1" applyAlignment="1">
      <alignment horizontal="center"/>
    </xf>
    <xf numFmtId="0" fontId="34" fillId="42" borderId="0" xfId="55" applyFont="1" applyFill="1"/>
    <xf numFmtId="0" fontId="35" fillId="42" borderId="0" xfId="55" applyFont="1" applyFill="1" applyAlignment="1">
      <alignment horizontal="center"/>
    </xf>
    <xf numFmtId="43" fontId="35" fillId="42" borderId="0" xfId="50" applyFont="1" applyFill="1" applyBorder="1" applyAlignment="1">
      <alignment vertical="center" wrapText="1"/>
    </xf>
    <xf numFmtId="43" fontId="35" fillId="42" borderId="0" xfId="50" applyFont="1" applyFill="1" applyBorder="1" applyAlignment="1">
      <alignment horizontal="center" vertical="center" wrapText="1"/>
    </xf>
    <xf numFmtId="0" fontId="35" fillId="42" borderId="0" xfId="55" applyFont="1" applyFill="1" applyAlignment="1">
      <alignment vertical="center" wrapText="1"/>
    </xf>
    <xf numFmtId="0" fontId="35" fillId="42" borderId="0" xfId="55" applyFont="1" applyFill="1"/>
    <xf numFmtId="0" fontId="34" fillId="42" borderId="28" xfId="55" applyFont="1" applyFill="1" applyBorder="1"/>
    <xf numFmtId="43" fontId="35" fillId="42" borderId="17" xfId="50" applyFont="1" applyFill="1" applyBorder="1" applyAlignment="1">
      <alignment vertical="center" wrapText="1"/>
    </xf>
    <xf numFmtId="43" fontId="35" fillId="42" borderId="29" xfId="50" applyFont="1" applyFill="1" applyBorder="1" applyAlignment="1">
      <alignment horizontal="center" vertical="center" wrapText="1"/>
    </xf>
    <xf numFmtId="0" fontId="35" fillId="42" borderId="57" xfId="55" applyFont="1" applyFill="1" applyBorder="1" applyAlignment="1">
      <alignment vertical="center" wrapText="1"/>
    </xf>
    <xf numFmtId="0" fontId="35" fillId="42" borderId="39" xfId="55" applyFont="1" applyFill="1" applyBorder="1"/>
    <xf numFmtId="43" fontId="36" fillId="44" borderId="15" xfId="50" applyFont="1" applyFill="1" applyBorder="1" applyAlignment="1">
      <alignment horizontal="center" vertical="center" wrapText="1"/>
    </xf>
    <xf numFmtId="0" fontId="36" fillId="44" borderId="27" xfId="55" applyFont="1" applyFill="1" applyBorder="1" applyAlignment="1">
      <alignment horizontal="center" vertical="center" wrapText="1"/>
    </xf>
    <xf numFmtId="0" fontId="36" fillId="44" borderId="14" xfId="55" applyFont="1" applyFill="1" applyBorder="1" applyAlignment="1">
      <alignment horizontal="center" vertical="center"/>
    </xf>
    <xf numFmtId="43" fontId="34" fillId="42" borderId="0" xfId="50" applyFont="1" applyFill="1" applyBorder="1" applyAlignment="1">
      <alignment horizontal="center"/>
    </xf>
    <xf numFmtId="0" fontId="34" fillId="42" borderId="0" xfId="55" applyFont="1" applyFill="1" applyAlignment="1">
      <alignment horizontal="center"/>
    </xf>
    <xf numFmtId="0" fontId="34" fillId="42" borderId="21" xfId="55" applyFont="1" applyFill="1" applyBorder="1"/>
    <xf numFmtId="0" fontId="35" fillId="42" borderId="12" xfId="55" applyFont="1" applyFill="1" applyBorder="1" applyAlignment="1">
      <alignment horizontal="center"/>
    </xf>
    <xf numFmtId="43" fontId="34" fillId="42" borderId="12" xfId="50" applyFont="1" applyFill="1" applyBorder="1" applyAlignment="1">
      <alignment horizontal="center"/>
    </xf>
    <xf numFmtId="0" fontId="34" fillId="42" borderId="12" xfId="55" applyFont="1" applyFill="1" applyBorder="1" applyAlignment="1">
      <alignment horizontal="center"/>
    </xf>
    <xf numFmtId="0" fontId="35" fillId="42" borderId="40" xfId="55" applyFont="1" applyFill="1" applyBorder="1"/>
    <xf numFmtId="0" fontId="35" fillId="42" borderId="0" xfId="55" applyFont="1" applyFill="1" applyAlignment="1">
      <alignment horizontal="center" vertical="center" wrapText="1"/>
    </xf>
    <xf numFmtId="43" fontId="31" fillId="42" borderId="0" xfId="50" applyFont="1" applyFill="1" applyBorder="1" applyAlignment="1">
      <alignment horizontal="left" vertical="center" wrapText="1"/>
    </xf>
    <xf numFmtId="0" fontId="31" fillId="42" borderId="0" xfId="55" applyFont="1" applyFill="1" applyAlignment="1">
      <alignment horizontal="center" vertical="center" wrapText="1"/>
    </xf>
    <xf numFmtId="0" fontId="31" fillId="42" borderId="0" xfId="55" applyFont="1" applyFill="1" applyAlignment="1">
      <alignment horizontal="left" vertical="center" wrapText="1"/>
    </xf>
    <xf numFmtId="0" fontId="31" fillId="42" borderId="39" xfId="55" applyFont="1" applyFill="1" applyBorder="1" applyAlignment="1">
      <alignment horizontal="left" vertical="center" wrapText="1"/>
    </xf>
    <xf numFmtId="0" fontId="32" fillId="37" borderId="38" xfId="55" applyFont="1" applyFill="1" applyBorder="1" applyAlignment="1">
      <alignment horizontal="center" vertical="center" wrapText="1"/>
    </xf>
    <xf numFmtId="0" fontId="32" fillId="37" borderId="11" xfId="55" applyFont="1" applyFill="1" applyBorder="1" applyAlignment="1">
      <alignment horizontal="center" vertical="center" wrapText="1"/>
    </xf>
    <xf numFmtId="0" fontId="32" fillId="37" borderId="22" xfId="55" applyFont="1" applyFill="1" applyBorder="1" applyAlignment="1">
      <alignment horizontal="center" vertical="center" wrapText="1"/>
    </xf>
    <xf numFmtId="0" fontId="22" fillId="42" borderId="28" xfId="55" applyFont="1" applyFill="1" applyBorder="1"/>
    <xf numFmtId="0" fontId="53" fillId="42" borderId="0" xfId="55" applyFont="1" applyFill="1" applyAlignment="1">
      <alignment horizontal="center" vertical="center" wrapText="1"/>
    </xf>
    <xf numFmtId="43" fontId="33" fillId="42" borderId="0" xfId="50" applyFont="1" applyFill="1" applyBorder="1" applyAlignment="1">
      <alignment horizontal="center" vertical="center" wrapText="1"/>
    </xf>
    <xf numFmtId="0" fontId="33" fillId="42" borderId="0" xfId="55" applyFont="1" applyFill="1" applyAlignment="1">
      <alignment horizontal="center" vertical="center" wrapText="1"/>
    </xf>
    <xf numFmtId="0" fontId="33" fillId="42" borderId="39" xfId="55" applyFont="1" applyFill="1" applyBorder="1" applyAlignment="1">
      <alignment vertical="center" wrapText="1"/>
    </xf>
    <xf numFmtId="0" fontId="32" fillId="43" borderId="38" xfId="55" applyFont="1" applyFill="1" applyBorder="1" applyAlignment="1">
      <alignment horizontal="center" vertical="center" wrapText="1"/>
    </xf>
    <xf numFmtId="0" fontId="32" fillId="43" borderId="11" xfId="55" applyFont="1" applyFill="1" applyBorder="1" applyAlignment="1">
      <alignment horizontal="center" vertical="center" wrapText="1"/>
    </xf>
    <xf numFmtId="0" fontId="32" fillId="43" borderId="22" xfId="55" applyFont="1" applyFill="1" applyBorder="1" applyAlignment="1">
      <alignment horizontal="center" vertical="center" wrapText="1"/>
    </xf>
    <xf numFmtId="0" fontId="22" fillId="42" borderId="37" xfId="55" applyFont="1" applyFill="1" applyBorder="1"/>
    <xf numFmtId="0" fontId="35" fillId="42" borderId="36" xfId="55" applyFont="1" applyFill="1" applyBorder="1" applyAlignment="1">
      <alignment horizontal="center" vertical="center" wrapText="1"/>
    </xf>
    <xf numFmtId="43" fontId="31" fillId="42" borderId="36" xfId="50" applyFont="1" applyFill="1" applyBorder="1" applyAlignment="1">
      <alignment horizontal="left" vertical="center" wrapText="1"/>
    </xf>
    <xf numFmtId="0" fontId="31" fillId="42" borderId="36" xfId="55" applyFont="1" applyFill="1" applyBorder="1" applyAlignment="1">
      <alignment horizontal="center" vertical="center" wrapText="1"/>
    </xf>
    <xf numFmtId="0" fontId="31" fillId="42" borderId="35" xfId="55" applyFont="1" applyFill="1" applyBorder="1" applyAlignment="1">
      <alignment horizontal="left" vertical="center" wrapText="1"/>
    </xf>
    <xf numFmtId="0" fontId="30" fillId="35" borderId="22" xfId="55" applyFont="1" applyFill="1" applyBorder="1" applyAlignment="1">
      <alignment vertical="center" wrapText="1"/>
    </xf>
    <xf numFmtId="0" fontId="22" fillId="42" borderId="34" xfId="55" applyFont="1" applyFill="1" applyBorder="1"/>
    <xf numFmtId="0" fontId="35" fillId="42" borderId="33" xfId="55" applyFont="1" applyFill="1" applyBorder="1" applyAlignment="1">
      <alignment horizontal="center" vertical="center" wrapText="1"/>
    </xf>
    <xf numFmtId="43" fontId="31" fillId="42" borderId="33" xfId="50" applyFont="1" applyFill="1" applyBorder="1" applyAlignment="1">
      <alignment horizontal="left" vertical="center" wrapText="1"/>
    </xf>
    <xf numFmtId="0" fontId="31" fillId="42" borderId="33" xfId="55" applyFont="1" applyFill="1" applyBorder="1" applyAlignment="1">
      <alignment horizontal="center" vertical="center" wrapText="1"/>
    </xf>
    <xf numFmtId="0" fontId="31" fillId="42" borderId="32" xfId="55" applyFont="1" applyFill="1" applyBorder="1" applyAlignment="1">
      <alignment horizontal="left" vertical="center" wrapText="1"/>
    </xf>
    <xf numFmtId="0" fontId="30" fillId="35" borderId="14" xfId="55" applyFont="1" applyFill="1" applyBorder="1" applyAlignment="1">
      <alignment vertical="center" wrapText="1"/>
    </xf>
  </cellXfs>
  <cellStyles count="56">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9" builtinId="8"/>
    <cellStyle name="Moeda" xfId="43" builtinId="4"/>
    <cellStyle name="Moeda 2" xfId="45" xr:uid="{F79388AE-8855-4C75-9D9F-522211AE561A}"/>
    <cellStyle name="Moeda 20" xfId="51" xr:uid="{28600F73-12E7-47EE-8171-8028B3C66E8A}"/>
    <cellStyle name="Neutro" xfId="8" builtinId="28" customBuiltin="1"/>
    <cellStyle name="Normal" xfId="0" builtinId="0"/>
    <cellStyle name="Normal 2" xfId="55" xr:uid="{AB3D066A-1411-4F56-9834-F5D6E6934ABF}"/>
    <cellStyle name="Normal 3 2" xfId="47" xr:uid="{9E902601-047A-43C6-A44F-7EC75676C77F}"/>
    <cellStyle name="Normal 6" xfId="53" xr:uid="{17B455B7-9F97-49E8-BB06-3556A9B8EEC4}"/>
    <cellStyle name="Normal 9" xfId="46" xr:uid="{99E674FE-AD30-49BB-B64F-7470A81D4A34}"/>
    <cellStyle name="Nota" xfId="15" builtinId="10" customBuiltin="1"/>
    <cellStyle name="Porcentagem" xfId="44" builtinId="5"/>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 name="Vírgula" xfId="42" builtinId="3"/>
    <cellStyle name="Vírgula 2" xfId="50" xr:uid="{D2BE64B1-02F9-4E49-817B-7830EC2CC80A}"/>
    <cellStyle name="Vírgula 3" xfId="48" xr:uid="{F2659A44-F4D0-48FC-8C2E-43D9DCEC133F}"/>
    <cellStyle name="Vírgula 38" xfId="52" xr:uid="{BB45D586-6930-4838-A0D6-3B2E4A1D6CE6}"/>
    <cellStyle name="Vírgula 5" xfId="54" xr:uid="{FDFCBFB3-E3F7-4196-A94F-357221AF17EE}"/>
  </cellStyles>
  <dxfs count="0"/>
  <tableStyles count="0" defaultTableStyle="TableStyleMedium2" defaultPivotStyle="PivotStyleLight16"/>
  <colors>
    <mruColors>
      <color rgb="FFFC3400"/>
      <color rgb="FFFA58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drawings/_rels/drawing2.xml.rels><?xml version="1.0" encoding="UTF-8" standalone="yes"?>
<Relationships xmlns="http://schemas.openxmlformats.org/package/2006/relationships"><Relationship Id="rId1" Type="http://schemas.openxmlformats.org/officeDocument/2006/relationships/image" Target="file:///C:\Users\bibliotecas\galeria\plus.png" TargetMode="Externa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354</xdr:row>
          <xdr:rowOff>114300</xdr:rowOff>
        </xdr:from>
        <xdr:to>
          <xdr:col>0</xdr:col>
          <xdr:colOff>257175</xdr:colOff>
          <xdr:row>354</xdr:row>
          <xdr:rowOff>352425</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5</xdr:col>
      <xdr:colOff>0</xdr:colOff>
      <xdr:row>105</xdr:row>
      <xdr:rowOff>0</xdr:rowOff>
    </xdr:from>
    <xdr:to>
      <xdr:col>5</xdr:col>
      <xdr:colOff>304800</xdr:colOff>
      <xdr:row>106</xdr:row>
      <xdr:rowOff>114300</xdr:rowOff>
    </xdr:to>
    <xdr:pic>
      <xdr:nvPicPr>
        <xdr:cNvPr id="2" name="Picture 95">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 name="Picture 96">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 name="Picture 97">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 name="Picture 98">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 name="Picture 99">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 name="Picture 100">
          <a:extLst>
            <a:ext uri="{FF2B5EF4-FFF2-40B4-BE49-F238E27FC236}">
              <a16:creationId xmlns:a16="http://schemas.microsoft.com/office/drawing/2014/main" id="{00000000-0008-0000-0200-00000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 name="Picture 101">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 name="Picture 102">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 name="Picture 103">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 name="Picture 104">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 name="Picture 105">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 name="Picture 106">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 name="Picture 107">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 name="Picture 108">
          <a:extLst>
            <a:ext uri="{FF2B5EF4-FFF2-40B4-BE49-F238E27FC236}">
              <a16:creationId xmlns:a16="http://schemas.microsoft.com/office/drawing/2014/main" id="{00000000-0008-0000-0200-00000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 name="Picture 109">
          <a:extLst>
            <a:ext uri="{FF2B5EF4-FFF2-40B4-BE49-F238E27FC236}">
              <a16:creationId xmlns:a16="http://schemas.microsoft.com/office/drawing/2014/main" id="{00000000-0008-0000-0200-00001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 name="Picture 110">
          <a:extLst>
            <a:ext uri="{FF2B5EF4-FFF2-40B4-BE49-F238E27FC236}">
              <a16:creationId xmlns:a16="http://schemas.microsoft.com/office/drawing/2014/main" id="{00000000-0008-0000-0200-00001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 name="Picture 111">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 name="Picture 112">
          <a:extLst>
            <a:ext uri="{FF2B5EF4-FFF2-40B4-BE49-F238E27FC236}">
              <a16:creationId xmlns:a16="http://schemas.microsoft.com/office/drawing/2014/main" id="{00000000-0008-0000-0200-00001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 name="Picture 113">
          <a:extLst>
            <a:ext uri="{FF2B5EF4-FFF2-40B4-BE49-F238E27FC236}">
              <a16:creationId xmlns:a16="http://schemas.microsoft.com/office/drawing/2014/main" id="{00000000-0008-0000-0200-00001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 name="Picture 114">
          <a:extLst>
            <a:ext uri="{FF2B5EF4-FFF2-40B4-BE49-F238E27FC236}">
              <a16:creationId xmlns:a16="http://schemas.microsoft.com/office/drawing/2014/main" id="{00000000-0008-0000-0200-00001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 name="Picture 115">
          <a:extLst>
            <a:ext uri="{FF2B5EF4-FFF2-40B4-BE49-F238E27FC236}">
              <a16:creationId xmlns:a16="http://schemas.microsoft.com/office/drawing/2014/main" id="{00000000-0008-0000-0200-00001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 name="Picture 116">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4" name="Picture 117">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5" name="Picture 118">
          <a:extLst>
            <a:ext uri="{FF2B5EF4-FFF2-40B4-BE49-F238E27FC236}">
              <a16:creationId xmlns:a16="http://schemas.microsoft.com/office/drawing/2014/main" id="{00000000-0008-0000-0200-00001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6" name="Picture 119">
          <a:extLst>
            <a:ext uri="{FF2B5EF4-FFF2-40B4-BE49-F238E27FC236}">
              <a16:creationId xmlns:a16="http://schemas.microsoft.com/office/drawing/2014/main" id="{00000000-0008-0000-0200-00001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7" name="Picture 120">
          <a:extLst>
            <a:ext uri="{FF2B5EF4-FFF2-40B4-BE49-F238E27FC236}">
              <a16:creationId xmlns:a16="http://schemas.microsoft.com/office/drawing/2014/main" id="{00000000-0008-0000-0200-00001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8" name="Picture 121">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9" name="Picture 122">
          <a:extLst>
            <a:ext uri="{FF2B5EF4-FFF2-40B4-BE49-F238E27FC236}">
              <a16:creationId xmlns:a16="http://schemas.microsoft.com/office/drawing/2014/main" id="{00000000-0008-0000-0200-00001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0" name="Picture 123">
          <a:extLst>
            <a:ext uri="{FF2B5EF4-FFF2-40B4-BE49-F238E27FC236}">
              <a16:creationId xmlns:a16="http://schemas.microsoft.com/office/drawing/2014/main" id="{00000000-0008-0000-0200-00001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1" name="Picture 124">
          <a:extLst>
            <a:ext uri="{FF2B5EF4-FFF2-40B4-BE49-F238E27FC236}">
              <a16:creationId xmlns:a16="http://schemas.microsoft.com/office/drawing/2014/main" id="{00000000-0008-0000-0200-00001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2" name="Picture 125">
          <a:extLst>
            <a:ext uri="{FF2B5EF4-FFF2-40B4-BE49-F238E27FC236}">
              <a16:creationId xmlns:a16="http://schemas.microsoft.com/office/drawing/2014/main" id="{00000000-0008-0000-0200-00002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3" name="Picture 126">
          <a:extLst>
            <a:ext uri="{FF2B5EF4-FFF2-40B4-BE49-F238E27FC236}">
              <a16:creationId xmlns:a16="http://schemas.microsoft.com/office/drawing/2014/main" id="{00000000-0008-0000-0200-00002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4" name="Picture 127">
          <a:extLst>
            <a:ext uri="{FF2B5EF4-FFF2-40B4-BE49-F238E27FC236}">
              <a16:creationId xmlns:a16="http://schemas.microsoft.com/office/drawing/2014/main" id="{00000000-0008-0000-0200-00002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5" name="Picture 128">
          <a:extLst>
            <a:ext uri="{FF2B5EF4-FFF2-40B4-BE49-F238E27FC236}">
              <a16:creationId xmlns:a16="http://schemas.microsoft.com/office/drawing/2014/main" id="{00000000-0008-0000-0200-00002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6" name="Picture 129">
          <a:extLst>
            <a:ext uri="{FF2B5EF4-FFF2-40B4-BE49-F238E27FC236}">
              <a16:creationId xmlns:a16="http://schemas.microsoft.com/office/drawing/2014/main" id="{00000000-0008-0000-0200-00002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7" name="Picture 130">
          <a:extLst>
            <a:ext uri="{FF2B5EF4-FFF2-40B4-BE49-F238E27FC236}">
              <a16:creationId xmlns:a16="http://schemas.microsoft.com/office/drawing/2014/main" id="{00000000-0008-0000-0200-00002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8" name="Picture 131">
          <a:extLst>
            <a:ext uri="{FF2B5EF4-FFF2-40B4-BE49-F238E27FC236}">
              <a16:creationId xmlns:a16="http://schemas.microsoft.com/office/drawing/2014/main" id="{00000000-0008-0000-0200-00002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39" name="Picture 132">
          <a:extLst>
            <a:ext uri="{FF2B5EF4-FFF2-40B4-BE49-F238E27FC236}">
              <a16:creationId xmlns:a16="http://schemas.microsoft.com/office/drawing/2014/main" id="{00000000-0008-0000-0200-00002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0" name="Picture 133">
          <a:extLst>
            <a:ext uri="{FF2B5EF4-FFF2-40B4-BE49-F238E27FC236}">
              <a16:creationId xmlns:a16="http://schemas.microsoft.com/office/drawing/2014/main" id="{00000000-0008-0000-0200-00002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1" name="Picture 134">
          <a:extLst>
            <a:ext uri="{FF2B5EF4-FFF2-40B4-BE49-F238E27FC236}">
              <a16:creationId xmlns:a16="http://schemas.microsoft.com/office/drawing/2014/main" id="{00000000-0008-0000-0200-00002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2" name="Picture 135">
          <a:extLst>
            <a:ext uri="{FF2B5EF4-FFF2-40B4-BE49-F238E27FC236}">
              <a16:creationId xmlns:a16="http://schemas.microsoft.com/office/drawing/2014/main" id="{00000000-0008-0000-0200-00002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3" name="Picture 136">
          <a:extLst>
            <a:ext uri="{FF2B5EF4-FFF2-40B4-BE49-F238E27FC236}">
              <a16:creationId xmlns:a16="http://schemas.microsoft.com/office/drawing/2014/main" id="{00000000-0008-0000-0200-00002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4" name="Picture 137">
          <a:extLst>
            <a:ext uri="{FF2B5EF4-FFF2-40B4-BE49-F238E27FC236}">
              <a16:creationId xmlns:a16="http://schemas.microsoft.com/office/drawing/2014/main" id="{00000000-0008-0000-0200-00002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5" name="Picture 138">
          <a:extLst>
            <a:ext uri="{FF2B5EF4-FFF2-40B4-BE49-F238E27FC236}">
              <a16:creationId xmlns:a16="http://schemas.microsoft.com/office/drawing/2014/main" id="{00000000-0008-0000-0200-00002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6" name="Picture 139">
          <a:extLst>
            <a:ext uri="{FF2B5EF4-FFF2-40B4-BE49-F238E27FC236}">
              <a16:creationId xmlns:a16="http://schemas.microsoft.com/office/drawing/2014/main" id="{00000000-0008-0000-0200-00002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7" name="Picture 140">
          <a:extLst>
            <a:ext uri="{FF2B5EF4-FFF2-40B4-BE49-F238E27FC236}">
              <a16:creationId xmlns:a16="http://schemas.microsoft.com/office/drawing/2014/main" id="{00000000-0008-0000-0200-00002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8" name="Picture 141">
          <a:extLst>
            <a:ext uri="{FF2B5EF4-FFF2-40B4-BE49-F238E27FC236}">
              <a16:creationId xmlns:a16="http://schemas.microsoft.com/office/drawing/2014/main" id="{00000000-0008-0000-0200-00003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49" name="Picture 142">
          <a:extLst>
            <a:ext uri="{FF2B5EF4-FFF2-40B4-BE49-F238E27FC236}">
              <a16:creationId xmlns:a16="http://schemas.microsoft.com/office/drawing/2014/main" id="{00000000-0008-0000-0200-00003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0" name="Picture 143">
          <a:extLst>
            <a:ext uri="{FF2B5EF4-FFF2-40B4-BE49-F238E27FC236}">
              <a16:creationId xmlns:a16="http://schemas.microsoft.com/office/drawing/2014/main" id="{00000000-0008-0000-0200-00003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1" name="Picture 144">
          <a:extLst>
            <a:ext uri="{FF2B5EF4-FFF2-40B4-BE49-F238E27FC236}">
              <a16:creationId xmlns:a16="http://schemas.microsoft.com/office/drawing/2014/main" id="{00000000-0008-0000-0200-00003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2" name="Picture 145">
          <a:extLst>
            <a:ext uri="{FF2B5EF4-FFF2-40B4-BE49-F238E27FC236}">
              <a16:creationId xmlns:a16="http://schemas.microsoft.com/office/drawing/2014/main" id="{00000000-0008-0000-0200-00003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3" name="Picture 146">
          <a:extLst>
            <a:ext uri="{FF2B5EF4-FFF2-40B4-BE49-F238E27FC236}">
              <a16:creationId xmlns:a16="http://schemas.microsoft.com/office/drawing/2014/main" id="{00000000-0008-0000-0200-00003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4" name="Picture 147">
          <a:extLst>
            <a:ext uri="{FF2B5EF4-FFF2-40B4-BE49-F238E27FC236}">
              <a16:creationId xmlns:a16="http://schemas.microsoft.com/office/drawing/2014/main" id="{00000000-0008-0000-0200-00003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5" name="Picture 148">
          <a:extLst>
            <a:ext uri="{FF2B5EF4-FFF2-40B4-BE49-F238E27FC236}">
              <a16:creationId xmlns:a16="http://schemas.microsoft.com/office/drawing/2014/main" id="{00000000-0008-0000-0200-00003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6" name="Picture 149">
          <a:extLst>
            <a:ext uri="{FF2B5EF4-FFF2-40B4-BE49-F238E27FC236}">
              <a16:creationId xmlns:a16="http://schemas.microsoft.com/office/drawing/2014/main" id="{00000000-0008-0000-0200-00003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7" name="Picture 150">
          <a:extLst>
            <a:ext uri="{FF2B5EF4-FFF2-40B4-BE49-F238E27FC236}">
              <a16:creationId xmlns:a16="http://schemas.microsoft.com/office/drawing/2014/main" id="{00000000-0008-0000-0200-00003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8" name="Picture 151">
          <a:extLst>
            <a:ext uri="{FF2B5EF4-FFF2-40B4-BE49-F238E27FC236}">
              <a16:creationId xmlns:a16="http://schemas.microsoft.com/office/drawing/2014/main" id="{00000000-0008-0000-0200-00003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59" name="Picture 152">
          <a:extLst>
            <a:ext uri="{FF2B5EF4-FFF2-40B4-BE49-F238E27FC236}">
              <a16:creationId xmlns:a16="http://schemas.microsoft.com/office/drawing/2014/main" id="{00000000-0008-0000-0200-00003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0" name="Picture 153">
          <a:extLst>
            <a:ext uri="{FF2B5EF4-FFF2-40B4-BE49-F238E27FC236}">
              <a16:creationId xmlns:a16="http://schemas.microsoft.com/office/drawing/2014/main" id="{00000000-0008-0000-0200-00003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1" name="Picture 154">
          <a:extLst>
            <a:ext uri="{FF2B5EF4-FFF2-40B4-BE49-F238E27FC236}">
              <a16:creationId xmlns:a16="http://schemas.microsoft.com/office/drawing/2014/main" id="{00000000-0008-0000-0200-00003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2" name="Picture 155">
          <a:extLst>
            <a:ext uri="{FF2B5EF4-FFF2-40B4-BE49-F238E27FC236}">
              <a16:creationId xmlns:a16="http://schemas.microsoft.com/office/drawing/2014/main" id="{00000000-0008-0000-0200-00003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3" name="Picture 156">
          <a:extLst>
            <a:ext uri="{FF2B5EF4-FFF2-40B4-BE49-F238E27FC236}">
              <a16:creationId xmlns:a16="http://schemas.microsoft.com/office/drawing/2014/main" id="{00000000-0008-0000-0200-00003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4" name="Picture 157">
          <a:extLst>
            <a:ext uri="{FF2B5EF4-FFF2-40B4-BE49-F238E27FC236}">
              <a16:creationId xmlns:a16="http://schemas.microsoft.com/office/drawing/2014/main" id="{00000000-0008-0000-0200-00004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5" name="Picture 158">
          <a:extLst>
            <a:ext uri="{FF2B5EF4-FFF2-40B4-BE49-F238E27FC236}">
              <a16:creationId xmlns:a16="http://schemas.microsoft.com/office/drawing/2014/main" id="{00000000-0008-0000-0200-00004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6" name="Picture 159">
          <a:extLst>
            <a:ext uri="{FF2B5EF4-FFF2-40B4-BE49-F238E27FC236}">
              <a16:creationId xmlns:a16="http://schemas.microsoft.com/office/drawing/2014/main" id="{00000000-0008-0000-0200-00004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7" name="Picture 160">
          <a:extLst>
            <a:ext uri="{FF2B5EF4-FFF2-40B4-BE49-F238E27FC236}">
              <a16:creationId xmlns:a16="http://schemas.microsoft.com/office/drawing/2014/main" id="{00000000-0008-0000-0200-00004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8" name="Picture 161">
          <a:extLst>
            <a:ext uri="{FF2B5EF4-FFF2-40B4-BE49-F238E27FC236}">
              <a16:creationId xmlns:a16="http://schemas.microsoft.com/office/drawing/2014/main" id="{00000000-0008-0000-0200-00004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69" name="Picture 162">
          <a:extLst>
            <a:ext uri="{FF2B5EF4-FFF2-40B4-BE49-F238E27FC236}">
              <a16:creationId xmlns:a16="http://schemas.microsoft.com/office/drawing/2014/main" id="{00000000-0008-0000-0200-00004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0" name="Picture 163">
          <a:extLst>
            <a:ext uri="{FF2B5EF4-FFF2-40B4-BE49-F238E27FC236}">
              <a16:creationId xmlns:a16="http://schemas.microsoft.com/office/drawing/2014/main" id="{00000000-0008-0000-0200-00004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1" name="Picture 164">
          <a:extLst>
            <a:ext uri="{FF2B5EF4-FFF2-40B4-BE49-F238E27FC236}">
              <a16:creationId xmlns:a16="http://schemas.microsoft.com/office/drawing/2014/main" id="{00000000-0008-0000-0200-00004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2" name="Picture 165">
          <a:extLst>
            <a:ext uri="{FF2B5EF4-FFF2-40B4-BE49-F238E27FC236}">
              <a16:creationId xmlns:a16="http://schemas.microsoft.com/office/drawing/2014/main" id="{00000000-0008-0000-0200-00004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3" name="Picture 166">
          <a:extLst>
            <a:ext uri="{FF2B5EF4-FFF2-40B4-BE49-F238E27FC236}">
              <a16:creationId xmlns:a16="http://schemas.microsoft.com/office/drawing/2014/main" id="{00000000-0008-0000-0200-00004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4" name="Picture 167">
          <a:extLst>
            <a:ext uri="{FF2B5EF4-FFF2-40B4-BE49-F238E27FC236}">
              <a16:creationId xmlns:a16="http://schemas.microsoft.com/office/drawing/2014/main" id="{00000000-0008-0000-0200-00004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5" name="Picture 168">
          <a:extLst>
            <a:ext uri="{FF2B5EF4-FFF2-40B4-BE49-F238E27FC236}">
              <a16:creationId xmlns:a16="http://schemas.microsoft.com/office/drawing/2014/main" id="{00000000-0008-0000-0200-00004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6" name="Picture 169">
          <a:extLst>
            <a:ext uri="{FF2B5EF4-FFF2-40B4-BE49-F238E27FC236}">
              <a16:creationId xmlns:a16="http://schemas.microsoft.com/office/drawing/2014/main" id="{00000000-0008-0000-0200-00004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7" name="Picture 170">
          <a:extLst>
            <a:ext uri="{FF2B5EF4-FFF2-40B4-BE49-F238E27FC236}">
              <a16:creationId xmlns:a16="http://schemas.microsoft.com/office/drawing/2014/main" id="{00000000-0008-0000-0200-00004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8" name="Picture 171">
          <a:extLst>
            <a:ext uri="{FF2B5EF4-FFF2-40B4-BE49-F238E27FC236}">
              <a16:creationId xmlns:a16="http://schemas.microsoft.com/office/drawing/2014/main" id="{00000000-0008-0000-0200-00004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79" name="Picture 172">
          <a:extLst>
            <a:ext uri="{FF2B5EF4-FFF2-40B4-BE49-F238E27FC236}">
              <a16:creationId xmlns:a16="http://schemas.microsoft.com/office/drawing/2014/main" id="{00000000-0008-0000-0200-00004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0" name="Picture 173">
          <a:extLst>
            <a:ext uri="{FF2B5EF4-FFF2-40B4-BE49-F238E27FC236}">
              <a16:creationId xmlns:a16="http://schemas.microsoft.com/office/drawing/2014/main" id="{00000000-0008-0000-0200-00005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1" name="Picture 174">
          <a:extLst>
            <a:ext uri="{FF2B5EF4-FFF2-40B4-BE49-F238E27FC236}">
              <a16:creationId xmlns:a16="http://schemas.microsoft.com/office/drawing/2014/main" id="{00000000-0008-0000-0200-00005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2" name="Picture 175">
          <a:extLst>
            <a:ext uri="{FF2B5EF4-FFF2-40B4-BE49-F238E27FC236}">
              <a16:creationId xmlns:a16="http://schemas.microsoft.com/office/drawing/2014/main" id="{00000000-0008-0000-0200-00005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3" name="Picture 176">
          <a:extLst>
            <a:ext uri="{FF2B5EF4-FFF2-40B4-BE49-F238E27FC236}">
              <a16:creationId xmlns:a16="http://schemas.microsoft.com/office/drawing/2014/main" id="{00000000-0008-0000-0200-00005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4" name="Picture 177">
          <a:extLst>
            <a:ext uri="{FF2B5EF4-FFF2-40B4-BE49-F238E27FC236}">
              <a16:creationId xmlns:a16="http://schemas.microsoft.com/office/drawing/2014/main" id="{00000000-0008-0000-0200-00005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5" name="Picture 178">
          <a:extLst>
            <a:ext uri="{FF2B5EF4-FFF2-40B4-BE49-F238E27FC236}">
              <a16:creationId xmlns:a16="http://schemas.microsoft.com/office/drawing/2014/main" id="{00000000-0008-0000-0200-00005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6" name="Picture 179">
          <a:extLst>
            <a:ext uri="{FF2B5EF4-FFF2-40B4-BE49-F238E27FC236}">
              <a16:creationId xmlns:a16="http://schemas.microsoft.com/office/drawing/2014/main" id="{00000000-0008-0000-0200-00005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7" name="Picture 180">
          <a:extLst>
            <a:ext uri="{FF2B5EF4-FFF2-40B4-BE49-F238E27FC236}">
              <a16:creationId xmlns:a16="http://schemas.microsoft.com/office/drawing/2014/main" id="{00000000-0008-0000-0200-00005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8" name="Picture 181">
          <a:extLst>
            <a:ext uri="{FF2B5EF4-FFF2-40B4-BE49-F238E27FC236}">
              <a16:creationId xmlns:a16="http://schemas.microsoft.com/office/drawing/2014/main" id="{00000000-0008-0000-0200-00005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89" name="Picture 182">
          <a:extLst>
            <a:ext uri="{FF2B5EF4-FFF2-40B4-BE49-F238E27FC236}">
              <a16:creationId xmlns:a16="http://schemas.microsoft.com/office/drawing/2014/main" id="{00000000-0008-0000-0200-00005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0" name="Picture 183">
          <a:extLst>
            <a:ext uri="{FF2B5EF4-FFF2-40B4-BE49-F238E27FC236}">
              <a16:creationId xmlns:a16="http://schemas.microsoft.com/office/drawing/2014/main" id="{00000000-0008-0000-0200-00005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1" name="Picture 184">
          <a:extLst>
            <a:ext uri="{FF2B5EF4-FFF2-40B4-BE49-F238E27FC236}">
              <a16:creationId xmlns:a16="http://schemas.microsoft.com/office/drawing/2014/main" id="{00000000-0008-0000-0200-00005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2" name="Picture 185">
          <a:extLst>
            <a:ext uri="{FF2B5EF4-FFF2-40B4-BE49-F238E27FC236}">
              <a16:creationId xmlns:a16="http://schemas.microsoft.com/office/drawing/2014/main" id="{00000000-0008-0000-0200-00005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3" name="Picture 186">
          <a:extLst>
            <a:ext uri="{FF2B5EF4-FFF2-40B4-BE49-F238E27FC236}">
              <a16:creationId xmlns:a16="http://schemas.microsoft.com/office/drawing/2014/main" id="{00000000-0008-0000-0200-00005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4" name="Picture 187">
          <a:extLst>
            <a:ext uri="{FF2B5EF4-FFF2-40B4-BE49-F238E27FC236}">
              <a16:creationId xmlns:a16="http://schemas.microsoft.com/office/drawing/2014/main" id="{00000000-0008-0000-0200-00005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5" name="Picture 188">
          <a:extLst>
            <a:ext uri="{FF2B5EF4-FFF2-40B4-BE49-F238E27FC236}">
              <a16:creationId xmlns:a16="http://schemas.microsoft.com/office/drawing/2014/main" id="{00000000-0008-0000-0200-00005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6" name="Picture 189">
          <a:extLst>
            <a:ext uri="{FF2B5EF4-FFF2-40B4-BE49-F238E27FC236}">
              <a16:creationId xmlns:a16="http://schemas.microsoft.com/office/drawing/2014/main" id="{00000000-0008-0000-0200-00006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7" name="Picture 190">
          <a:extLst>
            <a:ext uri="{FF2B5EF4-FFF2-40B4-BE49-F238E27FC236}">
              <a16:creationId xmlns:a16="http://schemas.microsoft.com/office/drawing/2014/main" id="{00000000-0008-0000-0200-00006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8" name="Picture 191">
          <a:extLst>
            <a:ext uri="{FF2B5EF4-FFF2-40B4-BE49-F238E27FC236}">
              <a16:creationId xmlns:a16="http://schemas.microsoft.com/office/drawing/2014/main" id="{00000000-0008-0000-0200-00006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99" name="Picture 192">
          <a:extLst>
            <a:ext uri="{FF2B5EF4-FFF2-40B4-BE49-F238E27FC236}">
              <a16:creationId xmlns:a16="http://schemas.microsoft.com/office/drawing/2014/main" id="{00000000-0008-0000-0200-00006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0" name="Picture 193">
          <a:extLst>
            <a:ext uri="{FF2B5EF4-FFF2-40B4-BE49-F238E27FC236}">
              <a16:creationId xmlns:a16="http://schemas.microsoft.com/office/drawing/2014/main" id="{00000000-0008-0000-0200-00006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1" name="Picture 194">
          <a:extLst>
            <a:ext uri="{FF2B5EF4-FFF2-40B4-BE49-F238E27FC236}">
              <a16:creationId xmlns:a16="http://schemas.microsoft.com/office/drawing/2014/main" id="{00000000-0008-0000-0200-00006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2" name="Picture 195">
          <a:extLst>
            <a:ext uri="{FF2B5EF4-FFF2-40B4-BE49-F238E27FC236}">
              <a16:creationId xmlns:a16="http://schemas.microsoft.com/office/drawing/2014/main" id="{00000000-0008-0000-0200-00006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3" name="Picture 196">
          <a:extLst>
            <a:ext uri="{FF2B5EF4-FFF2-40B4-BE49-F238E27FC236}">
              <a16:creationId xmlns:a16="http://schemas.microsoft.com/office/drawing/2014/main" id="{00000000-0008-0000-0200-00006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4" name="Picture 197">
          <a:extLst>
            <a:ext uri="{FF2B5EF4-FFF2-40B4-BE49-F238E27FC236}">
              <a16:creationId xmlns:a16="http://schemas.microsoft.com/office/drawing/2014/main" id="{00000000-0008-0000-0200-00006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5" name="Picture 198">
          <a:extLst>
            <a:ext uri="{FF2B5EF4-FFF2-40B4-BE49-F238E27FC236}">
              <a16:creationId xmlns:a16="http://schemas.microsoft.com/office/drawing/2014/main" id="{00000000-0008-0000-0200-00006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6" name="Picture 199">
          <a:extLst>
            <a:ext uri="{FF2B5EF4-FFF2-40B4-BE49-F238E27FC236}">
              <a16:creationId xmlns:a16="http://schemas.microsoft.com/office/drawing/2014/main" id="{00000000-0008-0000-0200-00006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7" name="Picture 200">
          <a:extLst>
            <a:ext uri="{FF2B5EF4-FFF2-40B4-BE49-F238E27FC236}">
              <a16:creationId xmlns:a16="http://schemas.microsoft.com/office/drawing/2014/main" id="{00000000-0008-0000-0200-00006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8" name="Picture 201">
          <a:extLst>
            <a:ext uri="{FF2B5EF4-FFF2-40B4-BE49-F238E27FC236}">
              <a16:creationId xmlns:a16="http://schemas.microsoft.com/office/drawing/2014/main" id="{00000000-0008-0000-0200-00006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09" name="Picture 202">
          <a:extLst>
            <a:ext uri="{FF2B5EF4-FFF2-40B4-BE49-F238E27FC236}">
              <a16:creationId xmlns:a16="http://schemas.microsoft.com/office/drawing/2014/main" id="{00000000-0008-0000-0200-00006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0" name="Picture 203">
          <a:extLst>
            <a:ext uri="{FF2B5EF4-FFF2-40B4-BE49-F238E27FC236}">
              <a16:creationId xmlns:a16="http://schemas.microsoft.com/office/drawing/2014/main" id="{00000000-0008-0000-0200-00006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1" name="Picture 204">
          <a:extLst>
            <a:ext uri="{FF2B5EF4-FFF2-40B4-BE49-F238E27FC236}">
              <a16:creationId xmlns:a16="http://schemas.microsoft.com/office/drawing/2014/main" id="{00000000-0008-0000-0200-00006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2" name="Picture 205">
          <a:extLst>
            <a:ext uri="{FF2B5EF4-FFF2-40B4-BE49-F238E27FC236}">
              <a16:creationId xmlns:a16="http://schemas.microsoft.com/office/drawing/2014/main" id="{00000000-0008-0000-0200-00007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3" name="Picture 206">
          <a:extLst>
            <a:ext uri="{FF2B5EF4-FFF2-40B4-BE49-F238E27FC236}">
              <a16:creationId xmlns:a16="http://schemas.microsoft.com/office/drawing/2014/main" id="{00000000-0008-0000-0200-00007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4" name="Picture 207">
          <a:extLst>
            <a:ext uri="{FF2B5EF4-FFF2-40B4-BE49-F238E27FC236}">
              <a16:creationId xmlns:a16="http://schemas.microsoft.com/office/drawing/2014/main" id="{00000000-0008-0000-0200-00007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5" name="Picture 208">
          <a:extLst>
            <a:ext uri="{FF2B5EF4-FFF2-40B4-BE49-F238E27FC236}">
              <a16:creationId xmlns:a16="http://schemas.microsoft.com/office/drawing/2014/main" id="{00000000-0008-0000-0200-00007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6" name="Picture 209">
          <a:extLst>
            <a:ext uri="{FF2B5EF4-FFF2-40B4-BE49-F238E27FC236}">
              <a16:creationId xmlns:a16="http://schemas.microsoft.com/office/drawing/2014/main" id="{00000000-0008-0000-0200-00007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7" name="Picture 210">
          <a:extLst>
            <a:ext uri="{FF2B5EF4-FFF2-40B4-BE49-F238E27FC236}">
              <a16:creationId xmlns:a16="http://schemas.microsoft.com/office/drawing/2014/main" id="{00000000-0008-0000-0200-00007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8" name="Picture 211">
          <a:extLst>
            <a:ext uri="{FF2B5EF4-FFF2-40B4-BE49-F238E27FC236}">
              <a16:creationId xmlns:a16="http://schemas.microsoft.com/office/drawing/2014/main" id="{00000000-0008-0000-0200-00007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19" name="Picture 212">
          <a:extLst>
            <a:ext uri="{FF2B5EF4-FFF2-40B4-BE49-F238E27FC236}">
              <a16:creationId xmlns:a16="http://schemas.microsoft.com/office/drawing/2014/main" id="{00000000-0008-0000-0200-00007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0" name="Picture 213">
          <a:extLst>
            <a:ext uri="{FF2B5EF4-FFF2-40B4-BE49-F238E27FC236}">
              <a16:creationId xmlns:a16="http://schemas.microsoft.com/office/drawing/2014/main" id="{00000000-0008-0000-0200-00007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1" name="Picture 214">
          <a:extLst>
            <a:ext uri="{FF2B5EF4-FFF2-40B4-BE49-F238E27FC236}">
              <a16:creationId xmlns:a16="http://schemas.microsoft.com/office/drawing/2014/main" id="{00000000-0008-0000-0200-00007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2" name="Picture 215">
          <a:extLst>
            <a:ext uri="{FF2B5EF4-FFF2-40B4-BE49-F238E27FC236}">
              <a16:creationId xmlns:a16="http://schemas.microsoft.com/office/drawing/2014/main" id="{00000000-0008-0000-0200-00007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3" name="Picture 216">
          <a:extLst>
            <a:ext uri="{FF2B5EF4-FFF2-40B4-BE49-F238E27FC236}">
              <a16:creationId xmlns:a16="http://schemas.microsoft.com/office/drawing/2014/main" id="{00000000-0008-0000-0200-00007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4" name="Picture 217">
          <a:extLst>
            <a:ext uri="{FF2B5EF4-FFF2-40B4-BE49-F238E27FC236}">
              <a16:creationId xmlns:a16="http://schemas.microsoft.com/office/drawing/2014/main" id="{00000000-0008-0000-0200-00007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5" name="Picture 218">
          <a:extLst>
            <a:ext uri="{FF2B5EF4-FFF2-40B4-BE49-F238E27FC236}">
              <a16:creationId xmlns:a16="http://schemas.microsoft.com/office/drawing/2014/main" id="{00000000-0008-0000-0200-00007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6" name="Picture 219">
          <a:extLst>
            <a:ext uri="{FF2B5EF4-FFF2-40B4-BE49-F238E27FC236}">
              <a16:creationId xmlns:a16="http://schemas.microsoft.com/office/drawing/2014/main" id="{00000000-0008-0000-0200-00007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7" name="Picture 220">
          <a:extLst>
            <a:ext uri="{FF2B5EF4-FFF2-40B4-BE49-F238E27FC236}">
              <a16:creationId xmlns:a16="http://schemas.microsoft.com/office/drawing/2014/main" id="{00000000-0008-0000-0200-00007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8" name="Picture 221">
          <a:extLst>
            <a:ext uri="{FF2B5EF4-FFF2-40B4-BE49-F238E27FC236}">
              <a16:creationId xmlns:a16="http://schemas.microsoft.com/office/drawing/2014/main" id="{00000000-0008-0000-0200-00008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29" name="Picture 222">
          <a:extLst>
            <a:ext uri="{FF2B5EF4-FFF2-40B4-BE49-F238E27FC236}">
              <a16:creationId xmlns:a16="http://schemas.microsoft.com/office/drawing/2014/main" id="{00000000-0008-0000-0200-00008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0" name="Picture 223">
          <a:extLst>
            <a:ext uri="{FF2B5EF4-FFF2-40B4-BE49-F238E27FC236}">
              <a16:creationId xmlns:a16="http://schemas.microsoft.com/office/drawing/2014/main" id="{00000000-0008-0000-0200-00008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1" name="Picture 224">
          <a:extLst>
            <a:ext uri="{FF2B5EF4-FFF2-40B4-BE49-F238E27FC236}">
              <a16:creationId xmlns:a16="http://schemas.microsoft.com/office/drawing/2014/main" id="{00000000-0008-0000-0200-00008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2" name="Picture 225">
          <a:extLst>
            <a:ext uri="{FF2B5EF4-FFF2-40B4-BE49-F238E27FC236}">
              <a16:creationId xmlns:a16="http://schemas.microsoft.com/office/drawing/2014/main" id="{00000000-0008-0000-0200-00008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3" name="Picture 226">
          <a:extLst>
            <a:ext uri="{FF2B5EF4-FFF2-40B4-BE49-F238E27FC236}">
              <a16:creationId xmlns:a16="http://schemas.microsoft.com/office/drawing/2014/main" id="{00000000-0008-0000-0200-00008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4" name="Picture 227">
          <a:extLst>
            <a:ext uri="{FF2B5EF4-FFF2-40B4-BE49-F238E27FC236}">
              <a16:creationId xmlns:a16="http://schemas.microsoft.com/office/drawing/2014/main" id="{00000000-0008-0000-0200-00008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5" name="Picture 228">
          <a:extLst>
            <a:ext uri="{FF2B5EF4-FFF2-40B4-BE49-F238E27FC236}">
              <a16:creationId xmlns:a16="http://schemas.microsoft.com/office/drawing/2014/main" id="{00000000-0008-0000-0200-00008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6" name="Picture 229">
          <a:extLst>
            <a:ext uri="{FF2B5EF4-FFF2-40B4-BE49-F238E27FC236}">
              <a16:creationId xmlns:a16="http://schemas.microsoft.com/office/drawing/2014/main" id="{00000000-0008-0000-0200-00008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7" name="Picture 230">
          <a:extLst>
            <a:ext uri="{FF2B5EF4-FFF2-40B4-BE49-F238E27FC236}">
              <a16:creationId xmlns:a16="http://schemas.microsoft.com/office/drawing/2014/main" id="{00000000-0008-0000-0200-00008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8" name="Picture 231">
          <a:extLst>
            <a:ext uri="{FF2B5EF4-FFF2-40B4-BE49-F238E27FC236}">
              <a16:creationId xmlns:a16="http://schemas.microsoft.com/office/drawing/2014/main" id="{00000000-0008-0000-0200-00008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39" name="Picture 232">
          <a:extLst>
            <a:ext uri="{FF2B5EF4-FFF2-40B4-BE49-F238E27FC236}">
              <a16:creationId xmlns:a16="http://schemas.microsoft.com/office/drawing/2014/main" id="{00000000-0008-0000-0200-00008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0" name="Picture 233">
          <a:extLst>
            <a:ext uri="{FF2B5EF4-FFF2-40B4-BE49-F238E27FC236}">
              <a16:creationId xmlns:a16="http://schemas.microsoft.com/office/drawing/2014/main" id="{00000000-0008-0000-0200-00008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1" name="Picture 234">
          <a:extLst>
            <a:ext uri="{FF2B5EF4-FFF2-40B4-BE49-F238E27FC236}">
              <a16:creationId xmlns:a16="http://schemas.microsoft.com/office/drawing/2014/main" id="{00000000-0008-0000-0200-00008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2" name="Picture 235">
          <a:extLst>
            <a:ext uri="{FF2B5EF4-FFF2-40B4-BE49-F238E27FC236}">
              <a16:creationId xmlns:a16="http://schemas.microsoft.com/office/drawing/2014/main" id="{00000000-0008-0000-0200-00008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3" name="Picture 236">
          <a:extLst>
            <a:ext uri="{FF2B5EF4-FFF2-40B4-BE49-F238E27FC236}">
              <a16:creationId xmlns:a16="http://schemas.microsoft.com/office/drawing/2014/main" id="{00000000-0008-0000-0200-00008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4" name="Picture 237">
          <a:extLst>
            <a:ext uri="{FF2B5EF4-FFF2-40B4-BE49-F238E27FC236}">
              <a16:creationId xmlns:a16="http://schemas.microsoft.com/office/drawing/2014/main" id="{00000000-0008-0000-0200-00009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5" name="Picture 238">
          <a:extLst>
            <a:ext uri="{FF2B5EF4-FFF2-40B4-BE49-F238E27FC236}">
              <a16:creationId xmlns:a16="http://schemas.microsoft.com/office/drawing/2014/main" id="{00000000-0008-0000-0200-00009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6" name="Picture 239">
          <a:extLst>
            <a:ext uri="{FF2B5EF4-FFF2-40B4-BE49-F238E27FC236}">
              <a16:creationId xmlns:a16="http://schemas.microsoft.com/office/drawing/2014/main" id="{00000000-0008-0000-0200-00009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7" name="Picture 240">
          <a:extLst>
            <a:ext uri="{FF2B5EF4-FFF2-40B4-BE49-F238E27FC236}">
              <a16:creationId xmlns:a16="http://schemas.microsoft.com/office/drawing/2014/main" id="{00000000-0008-0000-0200-00009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8" name="Picture 241">
          <a:extLst>
            <a:ext uri="{FF2B5EF4-FFF2-40B4-BE49-F238E27FC236}">
              <a16:creationId xmlns:a16="http://schemas.microsoft.com/office/drawing/2014/main" id="{00000000-0008-0000-0200-00009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49" name="Picture 242">
          <a:extLst>
            <a:ext uri="{FF2B5EF4-FFF2-40B4-BE49-F238E27FC236}">
              <a16:creationId xmlns:a16="http://schemas.microsoft.com/office/drawing/2014/main" id="{00000000-0008-0000-0200-00009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0" name="Picture 243">
          <a:extLst>
            <a:ext uri="{FF2B5EF4-FFF2-40B4-BE49-F238E27FC236}">
              <a16:creationId xmlns:a16="http://schemas.microsoft.com/office/drawing/2014/main" id="{00000000-0008-0000-0200-00009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1" name="Picture 244">
          <a:extLst>
            <a:ext uri="{FF2B5EF4-FFF2-40B4-BE49-F238E27FC236}">
              <a16:creationId xmlns:a16="http://schemas.microsoft.com/office/drawing/2014/main" id="{00000000-0008-0000-0200-00009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2" name="Picture 245">
          <a:extLst>
            <a:ext uri="{FF2B5EF4-FFF2-40B4-BE49-F238E27FC236}">
              <a16:creationId xmlns:a16="http://schemas.microsoft.com/office/drawing/2014/main" id="{00000000-0008-0000-0200-00009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3" name="Picture 246">
          <a:extLst>
            <a:ext uri="{FF2B5EF4-FFF2-40B4-BE49-F238E27FC236}">
              <a16:creationId xmlns:a16="http://schemas.microsoft.com/office/drawing/2014/main" id="{00000000-0008-0000-0200-00009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4" name="Picture 247">
          <a:extLst>
            <a:ext uri="{FF2B5EF4-FFF2-40B4-BE49-F238E27FC236}">
              <a16:creationId xmlns:a16="http://schemas.microsoft.com/office/drawing/2014/main" id="{00000000-0008-0000-0200-00009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5" name="Picture 248">
          <a:extLst>
            <a:ext uri="{FF2B5EF4-FFF2-40B4-BE49-F238E27FC236}">
              <a16:creationId xmlns:a16="http://schemas.microsoft.com/office/drawing/2014/main" id="{00000000-0008-0000-0200-00009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6" name="Picture 249">
          <a:extLst>
            <a:ext uri="{FF2B5EF4-FFF2-40B4-BE49-F238E27FC236}">
              <a16:creationId xmlns:a16="http://schemas.microsoft.com/office/drawing/2014/main" id="{00000000-0008-0000-0200-00009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7" name="Picture 250">
          <a:extLst>
            <a:ext uri="{FF2B5EF4-FFF2-40B4-BE49-F238E27FC236}">
              <a16:creationId xmlns:a16="http://schemas.microsoft.com/office/drawing/2014/main" id="{00000000-0008-0000-0200-00009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8" name="Picture 251">
          <a:extLst>
            <a:ext uri="{FF2B5EF4-FFF2-40B4-BE49-F238E27FC236}">
              <a16:creationId xmlns:a16="http://schemas.microsoft.com/office/drawing/2014/main" id="{00000000-0008-0000-0200-00009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59" name="Picture 252">
          <a:extLst>
            <a:ext uri="{FF2B5EF4-FFF2-40B4-BE49-F238E27FC236}">
              <a16:creationId xmlns:a16="http://schemas.microsoft.com/office/drawing/2014/main" id="{00000000-0008-0000-0200-00009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0" name="Picture 253">
          <a:extLst>
            <a:ext uri="{FF2B5EF4-FFF2-40B4-BE49-F238E27FC236}">
              <a16:creationId xmlns:a16="http://schemas.microsoft.com/office/drawing/2014/main" id="{00000000-0008-0000-0200-0000A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1" name="Picture 254">
          <a:extLst>
            <a:ext uri="{FF2B5EF4-FFF2-40B4-BE49-F238E27FC236}">
              <a16:creationId xmlns:a16="http://schemas.microsoft.com/office/drawing/2014/main" id="{00000000-0008-0000-0200-0000A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2" name="Picture 255">
          <a:extLst>
            <a:ext uri="{FF2B5EF4-FFF2-40B4-BE49-F238E27FC236}">
              <a16:creationId xmlns:a16="http://schemas.microsoft.com/office/drawing/2014/main" id="{00000000-0008-0000-0200-0000A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3" name="Picture 256">
          <a:extLst>
            <a:ext uri="{FF2B5EF4-FFF2-40B4-BE49-F238E27FC236}">
              <a16:creationId xmlns:a16="http://schemas.microsoft.com/office/drawing/2014/main" id="{00000000-0008-0000-0200-0000A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4" name="Picture 257">
          <a:extLst>
            <a:ext uri="{FF2B5EF4-FFF2-40B4-BE49-F238E27FC236}">
              <a16:creationId xmlns:a16="http://schemas.microsoft.com/office/drawing/2014/main" id="{00000000-0008-0000-0200-0000A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5" name="Picture 258">
          <a:extLst>
            <a:ext uri="{FF2B5EF4-FFF2-40B4-BE49-F238E27FC236}">
              <a16:creationId xmlns:a16="http://schemas.microsoft.com/office/drawing/2014/main" id="{00000000-0008-0000-0200-0000A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6" name="Picture 259">
          <a:extLst>
            <a:ext uri="{FF2B5EF4-FFF2-40B4-BE49-F238E27FC236}">
              <a16:creationId xmlns:a16="http://schemas.microsoft.com/office/drawing/2014/main" id="{00000000-0008-0000-0200-0000A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7" name="Picture 260">
          <a:extLst>
            <a:ext uri="{FF2B5EF4-FFF2-40B4-BE49-F238E27FC236}">
              <a16:creationId xmlns:a16="http://schemas.microsoft.com/office/drawing/2014/main" id="{00000000-0008-0000-0200-0000A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8" name="Picture 261">
          <a:extLst>
            <a:ext uri="{FF2B5EF4-FFF2-40B4-BE49-F238E27FC236}">
              <a16:creationId xmlns:a16="http://schemas.microsoft.com/office/drawing/2014/main" id="{00000000-0008-0000-0200-0000A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69" name="Picture 262">
          <a:extLst>
            <a:ext uri="{FF2B5EF4-FFF2-40B4-BE49-F238E27FC236}">
              <a16:creationId xmlns:a16="http://schemas.microsoft.com/office/drawing/2014/main" id="{00000000-0008-0000-0200-0000A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0" name="Picture 263">
          <a:extLst>
            <a:ext uri="{FF2B5EF4-FFF2-40B4-BE49-F238E27FC236}">
              <a16:creationId xmlns:a16="http://schemas.microsoft.com/office/drawing/2014/main" id="{00000000-0008-0000-0200-0000A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1" name="Picture 264">
          <a:extLst>
            <a:ext uri="{FF2B5EF4-FFF2-40B4-BE49-F238E27FC236}">
              <a16:creationId xmlns:a16="http://schemas.microsoft.com/office/drawing/2014/main" id="{00000000-0008-0000-0200-0000A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2" name="Picture 265">
          <a:extLst>
            <a:ext uri="{FF2B5EF4-FFF2-40B4-BE49-F238E27FC236}">
              <a16:creationId xmlns:a16="http://schemas.microsoft.com/office/drawing/2014/main" id="{00000000-0008-0000-0200-0000A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3" name="Picture 266">
          <a:extLst>
            <a:ext uri="{FF2B5EF4-FFF2-40B4-BE49-F238E27FC236}">
              <a16:creationId xmlns:a16="http://schemas.microsoft.com/office/drawing/2014/main" id="{00000000-0008-0000-0200-0000A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4" name="Picture 267">
          <a:extLst>
            <a:ext uri="{FF2B5EF4-FFF2-40B4-BE49-F238E27FC236}">
              <a16:creationId xmlns:a16="http://schemas.microsoft.com/office/drawing/2014/main" id="{00000000-0008-0000-0200-0000A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5" name="Picture 268">
          <a:extLst>
            <a:ext uri="{FF2B5EF4-FFF2-40B4-BE49-F238E27FC236}">
              <a16:creationId xmlns:a16="http://schemas.microsoft.com/office/drawing/2014/main" id="{00000000-0008-0000-0200-0000A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6" name="Picture 269">
          <a:extLst>
            <a:ext uri="{FF2B5EF4-FFF2-40B4-BE49-F238E27FC236}">
              <a16:creationId xmlns:a16="http://schemas.microsoft.com/office/drawing/2014/main" id="{00000000-0008-0000-0200-0000B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7" name="Picture 270">
          <a:extLst>
            <a:ext uri="{FF2B5EF4-FFF2-40B4-BE49-F238E27FC236}">
              <a16:creationId xmlns:a16="http://schemas.microsoft.com/office/drawing/2014/main" id="{00000000-0008-0000-0200-0000B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8" name="Picture 271">
          <a:extLst>
            <a:ext uri="{FF2B5EF4-FFF2-40B4-BE49-F238E27FC236}">
              <a16:creationId xmlns:a16="http://schemas.microsoft.com/office/drawing/2014/main" id="{00000000-0008-0000-0200-0000B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79" name="Picture 272">
          <a:extLst>
            <a:ext uri="{FF2B5EF4-FFF2-40B4-BE49-F238E27FC236}">
              <a16:creationId xmlns:a16="http://schemas.microsoft.com/office/drawing/2014/main" id="{00000000-0008-0000-0200-0000B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0" name="Picture 273">
          <a:extLst>
            <a:ext uri="{FF2B5EF4-FFF2-40B4-BE49-F238E27FC236}">
              <a16:creationId xmlns:a16="http://schemas.microsoft.com/office/drawing/2014/main" id="{00000000-0008-0000-0200-0000B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1" name="Picture 274">
          <a:extLst>
            <a:ext uri="{FF2B5EF4-FFF2-40B4-BE49-F238E27FC236}">
              <a16:creationId xmlns:a16="http://schemas.microsoft.com/office/drawing/2014/main" id="{00000000-0008-0000-0200-0000B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2" name="Picture 275">
          <a:extLst>
            <a:ext uri="{FF2B5EF4-FFF2-40B4-BE49-F238E27FC236}">
              <a16:creationId xmlns:a16="http://schemas.microsoft.com/office/drawing/2014/main" id="{00000000-0008-0000-0200-0000B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3" name="Picture 276">
          <a:extLst>
            <a:ext uri="{FF2B5EF4-FFF2-40B4-BE49-F238E27FC236}">
              <a16:creationId xmlns:a16="http://schemas.microsoft.com/office/drawing/2014/main" id="{00000000-0008-0000-0200-0000B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4" name="Picture 277">
          <a:extLst>
            <a:ext uri="{FF2B5EF4-FFF2-40B4-BE49-F238E27FC236}">
              <a16:creationId xmlns:a16="http://schemas.microsoft.com/office/drawing/2014/main" id="{00000000-0008-0000-0200-0000B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5" name="Picture 278">
          <a:extLst>
            <a:ext uri="{FF2B5EF4-FFF2-40B4-BE49-F238E27FC236}">
              <a16:creationId xmlns:a16="http://schemas.microsoft.com/office/drawing/2014/main" id="{00000000-0008-0000-0200-0000B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6" name="Picture 279">
          <a:extLst>
            <a:ext uri="{FF2B5EF4-FFF2-40B4-BE49-F238E27FC236}">
              <a16:creationId xmlns:a16="http://schemas.microsoft.com/office/drawing/2014/main" id="{00000000-0008-0000-0200-0000B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7" name="Picture 280">
          <a:extLst>
            <a:ext uri="{FF2B5EF4-FFF2-40B4-BE49-F238E27FC236}">
              <a16:creationId xmlns:a16="http://schemas.microsoft.com/office/drawing/2014/main" id="{00000000-0008-0000-0200-0000B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8" name="Picture 281">
          <a:extLst>
            <a:ext uri="{FF2B5EF4-FFF2-40B4-BE49-F238E27FC236}">
              <a16:creationId xmlns:a16="http://schemas.microsoft.com/office/drawing/2014/main" id="{00000000-0008-0000-0200-0000B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89" name="Picture 282">
          <a:extLst>
            <a:ext uri="{FF2B5EF4-FFF2-40B4-BE49-F238E27FC236}">
              <a16:creationId xmlns:a16="http://schemas.microsoft.com/office/drawing/2014/main" id="{00000000-0008-0000-0200-0000B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0" name="Picture 283">
          <a:extLst>
            <a:ext uri="{FF2B5EF4-FFF2-40B4-BE49-F238E27FC236}">
              <a16:creationId xmlns:a16="http://schemas.microsoft.com/office/drawing/2014/main" id="{00000000-0008-0000-0200-0000B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1" name="Picture 284">
          <a:extLst>
            <a:ext uri="{FF2B5EF4-FFF2-40B4-BE49-F238E27FC236}">
              <a16:creationId xmlns:a16="http://schemas.microsoft.com/office/drawing/2014/main" id="{00000000-0008-0000-0200-0000B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00-0200-0000C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3" name="Picture 286">
          <a:extLst>
            <a:ext uri="{FF2B5EF4-FFF2-40B4-BE49-F238E27FC236}">
              <a16:creationId xmlns:a16="http://schemas.microsoft.com/office/drawing/2014/main" id="{00000000-0008-0000-0200-0000C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4" name="Picture 287">
          <a:extLst>
            <a:ext uri="{FF2B5EF4-FFF2-40B4-BE49-F238E27FC236}">
              <a16:creationId xmlns:a16="http://schemas.microsoft.com/office/drawing/2014/main" id="{00000000-0008-0000-0200-0000C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5" name="Picture 288">
          <a:extLst>
            <a:ext uri="{FF2B5EF4-FFF2-40B4-BE49-F238E27FC236}">
              <a16:creationId xmlns:a16="http://schemas.microsoft.com/office/drawing/2014/main" id="{00000000-0008-0000-0200-0000C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6" name="Picture 289">
          <a:extLst>
            <a:ext uri="{FF2B5EF4-FFF2-40B4-BE49-F238E27FC236}">
              <a16:creationId xmlns:a16="http://schemas.microsoft.com/office/drawing/2014/main" id="{00000000-0008-0000-0200-0000C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7" name="Picture 290">
          <a:extLst>
            <a:ext uri="{FF2B5EF4-FFF2-40B4-BE49-F238E27FC236}">
              <a16:creationId xmlns:a16="http://schemas.microsoft.com/office/drawing/2014/main" id="{00000000-0008-0000-0200-0000C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8" name="Picture 291">
          <a:extLst>
            <a:ext uri="{FF2B5EF4-FFF2-40B4-BE49-F238E27FC236}">
              <a16:creationId xmlns:a16="http://schemas.microsoft.com/office/drawing/2014/main" id="{00000000-0008-0000-0200-0000C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199" name="Picture 292">
          <a:extLst>
            <a:ext uri="{FF2B5EF4-FFF2-40B4-BE49-F238E27FC236}">
              <a16:creationId xmlns:a16="http://schemas.microsoft.com/office/drawing/2014/main" id="{00000000-0008-0000-0200-0000C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0" name="Picture 293">
          <a:extLst>
            <a:ext uri="{FF2B5EF4-FFF2-40B4-BE49-F238E27FC236}">
              <a16:creationId xmlns:a16="http://schemas.microsoft.com/office/drawing/2014/main" id="{00000000-0008-0000-0200-0000C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1" name="Picture 294">
          <a:extLst>
            <a:ext uri="{FF2B5EF4-FFF2-40B4-BE49-F238E27FC236}">
              <a16:creationId xmlns:a16="http://schemas.microsoft.com/office/drawing/2014/main" id="{00000000-0008-0000-0200-0000C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2" name="Picture 295">
          <a:extLst>
            <a:ext uri="{FF2B5EF4-FFF2-40B4-BE49-F238E27FC236}">
              <a16:creationId xmlns:a16="http://schemas.microsoft.com/office/drawing/2014/main" id="{00000000-0008-0000-0200-0000C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3" name="Picture 296">
          <a:extLst>
            <a:ext uri="{FF2B5EF4-FFF2-40B4-BE49-F238E27FC236}">
              <a16:creationId xmlns:a16="http://schemas.microsoft.com/office/drawing/2014/main" id="{00000000-0008-0000-0200-0000C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4" name="Picture 297">
          <a:extLst>
            <a:ext uri="{FF2B5EF4-FFF2-40B4-BE49-F238E27FC236}">
              <a16:creationId xmlns:a16="http://schemas.microsoft.com/office/drawing/2014/main" id="{00000000-0008-0000-0200-0000C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5" name="Picture 298">
          <a:extLst>
            <a:ext uri="{FF2B5EF4-FFF2-40B4-BE49-F238E27FC236}">
              <a16:creationId xmlns:a16="http://schemas.microsoft.com/office/drawing/2014/main" id="{00000000-0008-0000-0200-0000C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6" name="Picture 299">
          <a:extLst>
            <a:ext uri="{FF2B5EF4-FFF2-40B4-BE49-F238E27FC236}">
              <a16:creationId xmlns:a16="http://schemas.microsoft.com/office/drawing/2014/main" id="{00000000-0008-0000-0200-0000C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7" name="Picture 300">
          <a:extLst>
            <a:ext uri="{FF2B5EF4-FFF2-40B4-BE49-F238E27FC236}">
              <a16:creationId xmlns:a16="http://schemas.microsoft.com/office/drawing/2014/main" id="{00000000-0008-0000-0200-0000C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8" name="Picture 301">
          <a:extLst>
            <a:ext uri="{FF2B5EF4-FFF2-40B4-BE49-F238E27FC236}">
              <a16:creationId xmlns:a16="http://schemas.microsoft.com/office/drawing/2014/main" id="{00000000-0008-0000-0200-0000D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09" name="Picture 302">
          <a:extLst>
            <a:ext uri="{FF2B5EF4-FFF2-40B4-BE49-F238E27FC236}">
              <a16:creationId xmlns:a16="http://schemas.microsoft.com/office/drawing/2014/main" id="{00000000-0008-0000-0200-0000D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0" name="Picture 303">
          <a:extLst>
            <a:ext uri="{FF2B5EF4-FFF2-40B4-BE49-F238E27FC236}">
              <a16:creationId xmlns:a16="http://schemas.microsoft.com/office/drawing/2014/main" id="{00000000-0008-0000-0200-0000D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1" name="Picture 304">
          <a:extLst>
            <a:ext uri="{FF2B5EF4-FFF2-40B4-BE49-F238E27FC236}">
              <a16:creationId xmlns:a16="http://schemas.microsoft.com/office/drawing/2014/main" id="{00000000-0008-0000-0200-0000D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2" name="Picture 305">
          <a:extLst>
            <a:ext uri="{FF2B5EF4-FFF2-40B4-BE49-F238E27FC236}">
              <a16:creationId xmlns:a16="http://schemas.microsoft.com/office/drawing/2014/main" id="{00000000-0008-0000-0200-0000D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3" name="Picture 306">
          <a:extLst>
            <a:ext uri="{FF2B5EF4-FFF2-40B4-BE49-F238E27FC236}">
              <a16:creationId xmlns:a16="http://schemas.microsoft.com/office/drawing/2014/main" id="{00000000-0008-0000-0200-0000D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4" name="Picture 307">
          <a:extLst>
            <a:ext uri="{FF2B5EF4-FFF2-40B4-BE49-F238E27FC236}">
              <a16:creationId xmlns:a16="http://schemas.microsoft.com/office/drawing/2014/main" id="{00000000-0008-0000-0200-0000D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5" name="Picture 308">
          <a:extLst>
            <a:ext uri="{FF2B5EF4-FFF2-40B4-BE49-F238E27FC236}">
              <a16:creationId xmlns:a16="http://schemas.microsoft.com/office/drawing/2014/main" id="{00000000-0008-0000-0200-0000D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6" name="Picture 309">
          <a:extLst>
            <a:ext uri="{FF2B5EF4-FFF2-40B4-BE49-F238E27FC236}">
              <a16:creationId xmlns:a16="http://schemas.microsoft.com/office/drawing/2014/main" id="{00000000-0008-0000-0200-0000D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7" name="Picture 310">
          <a:extLst>
            <a:ext uri="{FF2B5EF4-FFF2-40B4-BE49-F238E27FC236}">
              <a16:creationId xmlns:a16="http://schemas.microsoft.com/office/drawing/2014/main" id="{00000000-0008-0000-0200-0000D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8" name="Picture 311">
          <a:extLst>
            <a:ext uri="{FF2B5EF4-FFF2-40B4-BE49-F238E27FC236}">
              <a16:creationId xmlns:a16="http://schemas.microsoft.com/office/drawing/2014/main" id="{00000000-0008-0000-0200-0000D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19" name="Picture 312">
          <a:extLst>
            <a:ext uri="{FF2B5EF4-FFF2-40B4-BE49-F238E27FC236}">
              <a16:creationId xmlns:a16="http://schemas.microsoft.com/office/drawing/2014/main" id="{00000000-0008-0000-0200-0000D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0" name="Picture 313">
          <a:extLst>
            <a:ext uri="{FF2B5EF4-FFF2-40B4-BE49-F238E27FC236}">
              <a16:creationId xmlns:a16="http://schemas.microsoft.com/office/drawing/2014/main" id="{00000000-0008-0000-0200-0000D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1" name="Picture 314">
          <a:extLst>
            <a:ext uri="{FF2B5EF4-FFF2-40B4-BE49-F238E27FC236}">
              <a16:creationId xmlns:a16="http://schemas.microsoft.com/office/drawing/2014/main" id="{00000000-0008-0000-0200-0000D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2" name="Picture 315">
          <a:extLst>
            <a:ext uri="{FF2B5EF4-FFF2-40B4-BE49-F238E27FC236}">
              <a16:creationId xmlns:a16="http://schemas.microsoft.com/office/drawing/2014/main" id="{00000000-0008-0000-0200-0000D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3" name="Picture 316">
          <a:extLst>
            <a:ext uri="{FF2B5EF4-FFF2-40B4-BE49-F238E27FC236}">
              <a16:creationId xmlns:a16="http://schemas.microsoft.com/office/drawing/2014/main" id="{00000000-0008-0000-0200-0000D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4" name="Picture 317">
          <a:extLst>
            <a:ext uri="{FF2B5EF4-FFF2-40B4-BE49-F238E27FC236}">
              <a16:creationId xmlns:a16="http://schemas.microsoft.com/office/drawing/2014/main" id="{00000000-0008-0000-0200-0000E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5" name="Picture 318">
          <a:extLst>
            <a:ext uri="{FF2B5EF4-FFF2-40B4-BE49-F238E27FC236}">
              <a16:creationId xmlns:a16="http://schemas.microsoft.com/office/drawing/2014/main" id="{00000000-0008-0000-0200-0000E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6" name="Picture 319">
          <a:extLst>
            <a:ext uri="{FF2B5EF4-FFF2-40B4-BE49-F238E27FC236}">
              <a16:creationId xmlns:a16="http://schemas.microsoft.com/office/drawing/2014/main" id="{00000000-0008-0000-0200-0000E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7" name="Picture 320">
          <a:extLst>
            <a:ext uri="{FF2B5EF4-FFF2-40B4-BE49-F238E27FC236}">
              <a16:creationId xmlns:a16="http://schemas.microsoft.com/office/drawing/2014/main" id="{00000000-0008-0000-0200-0000E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8" name="Picture 321">
          <a:extLst>
            <a:ext uri="{FF2B5EF4-FFF2-40B4-BE49-F238E27FC236}">
              <a16:creationId xmlns:a16="http://schemas.microsoft.com/office/drawing/2014/main" id="{00000000-0008-0000-0200-0000E4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29" name="Picture 322">
          <a:extLst>
            <a:ext uri="{FF2B5EF4-FFF2-40B4-BE49-F238E27FC236}">
              <a16:creationId xmlns:a16="http://schemas.microsoft.com/office/drawing/2014/main" id="{00000000-0008-0000-0200-0000E5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0" name="Picture 323">
          <a:extLst>
            <a:ext uri="{FF2B5EF4-FFF2-40B4-BE49-F238E27FC236}">
              <a16:creationId xmlns:a16="http://schemas.microsoft.com/office/drawing/2014/main" id="{00000000-0008-0000-0200-0000E6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1" name="Picture 324">
          <a:extLst>
            <a:ext uri="{FF2B5EF4-FFF2-40B4-BE49-F238E27FC236}">
              <a16:creationId xmlns:a16="http://schemas.microsoft.com/office/drawing/2014/main" id="{00000000-0008-0000-0200-0000E7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2" name="Picture 325">
          <a:extLst>
            <a:ext uri="{FF2B5EF4-FFF2-40B4-BE49-F238E27FC236}">
              <a16:creationId xmlns:a16="http://schemas.microsoft.com/office/drawing/2014/main" id="{00000000-0008-0000-0200-0000E8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3" name="Picture 326">
          <a:extLst>
            <a:ext uri="{FF2B5EF4-FFF2-40B4-BE49-F238E27FC236}">
              <a16:creationId xmlns:a16="http://schemas.microsoft.com/office/drawing/2014/main" id="{00000000-0008-0000-0200-0000E9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4" name="Picture 327">
          <a:extLst>
            <a:ext uri="{FF2B5EF4-FFF2-40B4-BE49-F238E27FC236}">
              <a16:creationId xmlns:a16="http://schemas.microsoft.com/office/drawing/2014/main" id="{00000000-0008-0000-0200-0000EA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5" name="Picture 328">
          <a:extLst>
            <a:ext uri="{FF2B5EF4-FFF2-40B4-BE49-F238E27FC236}">
              <a16:creationId xmlns:a16="http://schemas.microsoft.com/office/drawing/2014/main" id="{00000000-0008-0000-0200-0000EB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6" name="Picture 329">
          <a:extLst>
            <a:ext uri="{FF2B5EF4-FFF2-40B4-BE49-F238E27FC236}">
              <a16:creationId xmlns:a16="http://schemas.microsoft.com/office/drawing/2014/main" id="{00000000-0008-0000-0200-0000EC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7" name="Picture 330">
          <a:extLst>
            <a:ext uri="{FF2B5EF4-FFF2-40B4-BE49-F238E27FC236}">
              <a16:creationId xmlns:a16="http://schemas.microsoft.com/office/drawing/2014/main" id="{00000000-0008-0000-0200-0000ED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8" name="Picture 331">
          <a:extLst>
            <a:ext uri="{FF2B5EF4-FFF2-40B4-BE49-F238E27FC236}">
              <a16:creationId xmlns:a16="http://schemas.microsoft.com/office/drawing/2014/main" id="{00000000-0008-0000-0200-0000EE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39" name="Picture 332">
          <a:extLst>
            <a:ext uri="{FF2B5EF4-FFF2-40B4-BE49-F238E27FC236}">
              <a16:creationId xmlns:a16="http://schemas.microsoft.com/office/drawing/2014/main" id="{00000000-0008-0000-0200-0000EF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40" name="Picture 333">
          <a:extLst>
            <a:ext uri="{FF2B5EF4-FFF2-40B4-BE49-F238E27FC236}">
              <a16:creationId xmlns:a16="http://schemas.microsoft.com/office/drawing/2014/main" id="{00000000-0008-0000-0200-0000F0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41" name="Picture 334">
          <a:extLst>
            <a:ext uri="{FF2B5EF4-FFF2-40B4-BE49-F238E27FC236}">
              <a16:creationId xmlns:a16="http://schemas.microsoft.com/office/drawing/2014/main" id="{00000000-0008-0000-0200-0000F1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42" name="Picture 335">
          <a:extLst>
            <a:ext uri="{FF2B5EF4-FFF2-40B4-BE49-F238E27FC236}">
              <a16:creationId xmlns:a16="http://schemas.microsoft.com/office/drawing/2014/main" id="{00000000-0008-0000-0200-0000F2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105</xdr:row>
      <xdr:rowOff>0</xdr:rowOff>
    </xdr:from>
    <xdr:to>
      <xdr:col>5</xdr:col>
      <xdr:colOff>304800</xdr:colOff>
      <xdr:row>106</xdr:row>
      <xdr:rowOff>114300</xdr:rowOff>
    </xdr:to>
    <xdr:pic>
      <xdr:nvPicPr>
        <xdr:cNvPr id="243" name="Picture 336">
          <a:extLst>
            <a:ext uri="{FF2B5EF4-FFF2-40B4-BE49-F238E27FC236}">
              <a16:creationId xmlns:a16="http://schemas.microsoft.com/office/drawing/2014/main" id="{00000000-0008-0000-0200-0000F3000000}"/>
            </a:ext>
          </a:extLst>
        </xdr:cNvPr>
        <xdr:cNvPicPr>
          <a:picLocks noChangeAspect="1" noChangeArrowheads="1"/>
        </xdr:cNvPicPr>
      </xdr:nvPicPr>
      <xdr:blipFill>
        <a:blip xmlns:r="http://schemas.openxmlformats.org/officeDocument/2006/relationships" r:link="rId1">
          <a:extLst>
            <a:ext uri="{28A0092B-C50C-407E-A947-70E740481C1C}">
              <a14:useLocalDpi xmlns:a14="http://schemas.microsoft.com/office/drawing/2010/main" val="0"/>
            </a:ext>
          </a:extLst>
        </a:blip>
        <a:srcRect/>
        <a:stretch>
          <a:fillRect/>
        </a:stretch>
      </xdr:blipFill>
      <xdr:spPr bwMode="auto">
        <a:xfrm>
          <a:off x="5867400" y="21526500"/>
          <a:ext cx="30480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104</xdr:row>
          <xdr:rowOff>314325</xdr:rowOff>
        </xdr:from>
        <xdr:to>
          <xdr:col>0</xdr:col>
          <xdr:colOff>257175</xdr:colOff>
          <xdr:row>106</xdr:row>
          <xdr:rowOff>9525</xdr:rowOff>
        </xdr:to>
        <xdr:sp macro="" textlink="">
          <xdr:nvSpPr>
            <xdr:cNvPr id="8193" name="Control 1" hidden="1">
              <a:extLst>
                <a:ext uri="{63B3BB69-23CF-44E3-9099-C40C66FF867C}">
                  <a14:compatExt spid="_x0000_s8193"/>
                </a:ext>
                <a:ext uri="{FF2B5EF4-FFF2-40B4-BE49-F238E27FC236}">
                  <a16:creationId xmlns:a16="http://schemas.microsoft.com/office/drawing/2014/main" id="{00000000-0008-0000-02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561143</xdr:colOff>
      <xdr:row>32</xdr:row>
      <xdr:rowOff>27809</xdr:rowOff>
    </xdr:to>
    <xdr:pic>
      <xdr:nvPicPr>
        <xdr:cNvPr id="2" name="Imagem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6657143" cy="61238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99040</xdr:colOff>
      <xdr:row>0</xdr:row>
      <xdr:rowOff>202500</xdr:rowOff>
    </xdr:from>
    <xdr:to>
      <xdr:col>12</xdr:col>
      <xdr:colOff>1526912</xdr:colOff>
      <xdr:row>1</xdr:row>
      <xdr:rowOff>194709</xdr:rowOff>
    </xdr:to>
    <xdr:pic>
      <xdr:nvPicPr>
        <xdr:cNvPr id="2" name="Imagem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72315" y="202500"/>
          <a:ext cx="1427872" cy="2208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99040</xdr:colOff>
      <xdr:row>0</xdr:row>
      <xdr:rowOff>202500</xdr:rowOff>
    </xdr:from>
    <xdr:to>
      <xdr:col>7</xdr:col>
      <xdr:colOff>1526912</xdr:colOff>
      <xdr:row>1</xdr:row>
      <xdr:rowOff>194709</xdr:rowOff>
    </xdr:to>
    <xdr:pic>
      <xdr:nvPicPr>
        <xdr:cNvPr id="2" name="Imagem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2015" y="202500"/>
          <a:ext cx="1427872" cy="2208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93785</xdr:colOff>
      <xdr:row>1</xdr:row>
      <xdr:rowOff>92141</xdr:rowOff>
    </xdr:from>
    <xdr:to>
      <xdr:col>16</xdr:col>
      <xdr:colOff>1525467</xdr:colOff>
      <xdr:row>2</xdr:row>
      <xdr:rowOff>93876</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23835" y="320741"/>
          <a:ext cx="1431682" cy="23033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93785</xdr:colOff>
      <xdr:row>1</xdr:row>
      <xdr:rowOff>92141</xdr:rowOff>
    </xdr:from>
    <xdr:to>
      <xdr:col>16</xdr:col>
      <xdr:colOff>1525467</xdr:colOff>
      <xdr:row>2</xdr:row>
      <xdr:rowOff>93876</xdr:rowOff>
    </xdr:to>
    <xdr:pic>
      <xdr:nvPicPr>
        <xdr:cNvPr id="2" name="Imagem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23835" y="320741"/>
          <a:ext cx="1431682" cy="23033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615640</xdr:colOff>
      <xdr:row>0</xdr:row>
      <xdr:rowOff>219916</xdr:rowOff>
    </xdr:from>
    <xdr:to>
      <xdr:col>7</xdr:col>
      <xdr:colOff>2015866</xdr:colOff>
      <xdr:row>1</xdr:row>
      <xdr:rowOff>225461</xdr:rowOff>
    </xdr:to>
    <xdr:pic>
      <xdr:nvPicPr>
        <xdr:cNvPr id="2" name="Imagem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4055" y="219916"/>
          <a:ext cx="1394511" cy="2340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5</xdr:col>
      <xdr:colOff>478098</xdr:colOff>
      <xdr:row>0</xdr:row>
      <xdr:rowOff>191533</xdr:rowOff>
    </xdr:from>
    <xdr:ext cx="1431682" cy="250793"/>
    <xdr:pic>
      <xdr:nvPicPr>
        <xdr:cNvPr id="2" name="Imagem 1">
          <a:extLst>
            <a:ext uri="{FF2B5EF4-FFF2-40B4-BE49-F238E27FC236}">
              <a16:creationId xmlns:a16="http://schemas.microsoft.com/office/drawing/2014/main" id="{C4C0E4B8-74A4-4E44-BF74-B8E31A112C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0848" y="162958"/>
          <a:ext cx="1431682" cy="250793"/>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6</xdr:col>
      <xdr:colOff>348476</xdr:colOff>
      <xdr:row>0</xdr:row>
      <xdr:rowOff>185067</xdr:rowOff>
    </xdr:from>
    <xdr:to>
      <xdr:col>7</xdr:col>
      <xdr:colOff>422775</xdr:colOff>
      <xdr:row>1</xdr:row>
      <xdr:rowOff>186802</xdr:rowOff>
    </xdr:to>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96708" y="185067"/>
          <a:ext cx="1394511" cy="2340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93785</xdr:colOff>
      <xdr:row>1</xdr:row>
      <xdr:rowOff>92141</xdr:rowOff>
    </xdr:from>
    <xdr:to>
      <xdr:col>15</xdr:col>
      <xdr:colOff>1525467</xdr:colOff>
      <xdr:row>2</xdr:row>
      <xdr:rowOff>93876</xdr:rowOff>
    </xdr:to>
    <xdr:pic>
      <xdr:nvPicPr>
        <xdr:cNvPr id="2" name="Imagem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924335" y="320741"/>
          <a:ext cx="1431682" cy="23033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93785</xdr:colOff>
      <xdr:row>1</xdr:row>
      <xdr:rowOff>92141</xdr:rowOff>
    </xdr:from>
    <xdr:to>
      <xdr:col>5</xdr:col>
      <xdr:colOff>1525467</xdr:colOff>
      <xdr:row>2</xdr:row>
      <xdr:rowOff>111021</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3485" y="320741"/>
          <a:ext cx="1431682" cy="2474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211666</xdr:colOff>
      <xdr:row>0</xdr:row>
      <xdr:rowOff>149924</xdr:rowOff>
    </xdr:from>
    <xdr:to>
      <xdr:col>8</xdr:col>
      <xdr:colOff>1751966</xdr:colOff>
      <xdr:row>1</xdr:row>
      <xdr:rowOff>187671</xdr:rowOff>
    </xdr:to>
    <xdr:pic>
      <xdr:nvPicPr>
        <xdr:cNvPr id="2" name="Imagem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08191" y="149924"/>
          <a:ext cx="1540300" cy="22824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8</xdr:col>
      <xdr:colOff>197465</xdr:colOff>
      <xdr:row>0</xdr:row>
      <xdr:rowOff>139339</xdr:rowOff>
    </xdr:from>
    <xdr:ext cx="1518094" cy="240155"/>
    <xdr:pic>
      <xdr:nvPicPr>
        <xdr:cNvPr id="2" name="Imagem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74265" y="139339"/>
          <a:ext cx="1518094" cy="24015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7</xdr:col>
      <xdr:colOff>197465</xdr:colOff>
      <xdr:row>0</xdr:row>
      <xdr:rowOff>139339</xdr:rowOff>
    </xdr:from>
    <xdr:to>
      <xdr:col>7</xdr:col>
      <xdr:colOff>1715559</xdr:colOff>
      <xdr:row>2</xdr:row>
      <xdr:rowOff>2938</xdr:rowOff>
    </xdr:to>
    <xdr:pic>
      <xdr:nvPicPr>
        <xdr:cNvPr id="2" name="Imagem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6515" y="139339"/>
          <a:ext cx="1518094" cy="24459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260965</xdr:colOff>
      <xdr:row>0</xdr:row>
      <xdr:rowOff>139340</xdr:rowOff>
    </xdr:from>
    <xdr:to>
      <xdr:col>7</xdr:col>
      <xdr:colOff>1604010</xdr:colOff>
      <xdr:row>2</xdr:row>
      <xdr:rowOff>3114</xdr:rowOff>
    </xdr:to>
    <xdr:pic>
      <xdr:nvPicPr>
        <xdr:cNvPr id="2" name="Imagem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3990" y="139340"/>
          <a:ext cx="1343045" cy="24477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260965</xdr:colOff>
      <xdr:row>0</xdr:row>
      <xdr:rowOff>139340</xdr:rowOff>
    </xdr:from>
    <xdr:to>
      <xdr:col>7</xdr:col>
      <xdr:colOff>1604010</xdr:colOff>
      <xdr:row>2</xdr:row>
      <xdr:rowOff>3114</xdr:rowOff>
    </xdr:to>
    <xdr:pic>
      <xdr:nvPicPr>
        <xdr:cNvPr id="2" name="Imagem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3990" y="139340"/>
          <a:ext cx="1343045" cy="2447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260965</xdr:colOff>
      <xdr:row>0</xdr:row>
      <xdr:rowOff>139340</xdr:rowOff>
    </xdr:from>
    <xdr:to>
      <xdr:col>7</xdr:col>
      <xdr:colOff>1604010</xdr:colOff>
      <xdr:row>2</xdr:row>
      <xdr:rowOff>3114</xdr:rowOff>
    </xdr:to>
    <xdr:pic>
      <xdr:nvPicPr>
        <xdr:cNvPr id="2" name="Imagem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3990" y="139340"/>
          <a:ext cx="1343045" cy="2447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260965</xdr:colOff>
      <xdr:row>0</xdr:row>
      <xdr:rowOff>139340</xdr:rowOff>
    </xdr:from>
    <xdr:to>
      <xdr:col>7</xdr:col>
      <xdr:colOff>1604010</xdr:colOff>
      <xdr:row>2</xdr:row>
      <xdr:rowOff>3114</xdr:rowOff>
    </xdr:to>
    <xdr:pic>
      <xdr:nvPicPr>
        <xdr:cNvPr id="2" name="Imagem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23990" y="139340"/>
          <a:ext cx="1343045" cy="2447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21</xdr:col>
      <xdr:colOff>0</xdr:colOff>
      <xdr:row>1</xdr:row>
      <xdr:rowOff>92141</xdr:rowOff>
    </xdr:from>
    <xdr:ext cx="1431682" cy="234052"/>
    <xdr:pic>
      <xdr:nvPicPr>
        <xdr:cNvPr id="2" name="Imagem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41475" y="320741"/>
          <a:ext cx="1431682" cy="234052"/>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18</xdr:col>
      <xdr:colOff>0</xdr:colOff>
      <xdr:row>1</xdr:row>
      <xdr:rowOff>92141</xdr:rowOff>
    </xdr:from>
    <xdr:ext cx="1431682" cy="234052"/>
    <xdr:pic>
      <xdr:nvPicPr>
        <xdr:cNvPr id="2" name="Imagem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40900" y="320741"/>
          <a:ext cx="1431682" cy="234052"/>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17</xdr:col>
      <xdr:colOff>93785</xdr:colOff>
      <xdr:row>1</xdr:row>
      <xdr:rowOff>92141</xdr:rowOff>
    </xdr:from>
    <xdr:to>
      <xdr:col>17</xdr:col>
      <xdr:colOff>1525467</xdr:colOff>
      <xdr:row>2</xdr:row>
      <xdr:rowOff>111021</xdr:rowOff>
    </xdr:to>
    <xdr:pic>
      <xdr:nvPicPr>
        <xdr:cNvPr id="2" name="Imagem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10460" y="320741"/>
          <a:ext cx="1431682" cy="230335"/>
        </a:xfrm>
        <a:prstGeom prst="rect">
          <a:avLst/>
        </a:prstGeom>
      </xdr:spPr>
    </xdr:pic>
    <xdr:clientData/>
  </xdr:twoCellAnchor>
  <xdr:twoCellAnchor editAs="oneCell">
    <xdr:from>
      <xdr:col>7</xdr:col>
      <xdr:colOff>23233</xdr:colOff>
      <xdr:row>9</xdr:row>
      <xdr:rowOff>11615</xdr:rowOff>
    </xdr:from>
    <xdr:to>
      <xdr:col>12</xdr:col>
      <xdr:colOff>834077</xdr:colOff>
      <xdr:row>28</xdr:row>
      <xdr:rowOff>48881</xdr:rowOff>
    </xdr:to>
    <xdr:pic>
      <xdr:nvPicPr>
        <xdr:cNvPr id="3" name="Imagem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7490833" y="1973765"/>
          <a:ext cx="6973519" cy="448310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7</xdr:col>
      <xdr:colOff>197465</xdr:colOff>
      <xdr:row>0</xdr:row>
      <xdr:rowOff>139339</xdr:rowOff>
    </xdr:from>
    <xdr:to>
      <xdr:col>7</xdr:col>
      <xdr:colOff>1717464</xdr:colOff>
      <xdr:row>2</xdr:row>
      <xdr:rowOff>106654</xdr:rowOff>
    </xdr:to>
    <xdr:pic>
      <xdr:nvPicPr>
        <xdr:cNvPr id="2" name="Imagem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0990" y="139339"/>
          <a:ext cx="1519999" cy="348315"/>
        </a:xfrm>
        <a:prstGeom prst="rect">
          <a:avLst/>
        </a:prstGeom>
      </xdr:spPr>
    </xdr:pic>
    <xdr:clientData/>
  </xdr:twoCellAnchor>
  <xdr:twoCellAnchor editAs="oneCell">
    <xdr:from>
      <xdr:col>1</xdr:col>
      <xdr:colOff>0</xdr:colOff>
      <xdr:row>53</xdr:row>
      <xdr:rowOff>0</xdr:rowOff>
    </xdr:from>
    <xdr:to>
      <xdr:col>8</xdr:col>
      <xdr:colOff>532117</xdr:colOff>
      <xdr:row>85</xdr:row>
      <xdr:rowOff>189281</xdr:rowOff>
    </xdr:to>
    <xdr:pic>
      <xdr:nvPicPr>
        <xdr:cNvPr id="3" name="Imagem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1028700" y="10239375"/>
          <a:ext cx="10533367" cy="628528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oneCellAnchor>
    <xdr:from>
      <xdr:col>5</xdr:col>
      <xdr:colOff>167268</xdr:colOff>
      <xdr:row>0</xdr:row>
      <xdr:rowOff>0</xdr:rowOff>
    </xdr:from>
    <xdr:ext cx="1431682" cy="234052"/>
    <xdr:pic>
      <xdr:nvPicPr>
        <xdr:cNvPr id="2" name="Imagem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68118" y="0"/>
          <a:ext cx="1431682" cy="234052"/>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5</xdr:col>
      <xdr:colOff>93785</xdr:colOff>
      <xdr:row>1</xdr:row>
      <xdr:rowOff>92141</xdr:rowOff>
    </xdr:from>
    <xdr:ext cx="1431682" cy="230335"/>
    <xdr:pic>
      <xdr:nvPicPr>
        <xdr:cNvPr id="2" name="Imagem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37710" y="320741"/>
          <a:ext cx="1431682" cy="23033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lessandra\trabalho\TRABALHO\EXCEL\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nia\meus%20documen\2004\24001_Pedagio%20km%2026\Planilhas\24001-1.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Drives%20compartilhados/03%20CTN%20Projetos/2.%20Projetos%20em%20Andamento/SAK%20Engenharia%20-%2006.2022/02.%20Escopo/02.4%20Escopo%20-%20Extra&#231;&#227;o%20de%20quantitativos/2023.03.14%20-%20Extra&#231;&#227;o%20-%20EXE.AUSTIN%20-%20SAK.R03.rvt/CTN_Levantamento%20do%20material%20de%20parede.xlsx?C27907C0" TargetMode="External"/><Relationship Id="rId1" Type="http://schemas.openxmlformats.org/officeDocument/2006/relationships/externalLinkPath" Target="file:///\\C27907C0\CTN_Levantamento%20do%20material%20de%20pared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shortcut-targets-by-id\16oaQUYgx8kiowDwLhg-oO1zGZ777DJUb\2.%20Projetos%20em%20Andamento\AS%20Ramos%20-%2001.2022\02.%20Paessaggio\02.%20Escopo\02.4%20Escopo%20-%20Extra&#231;&#227;o%20de%20quantitativos\CTN_ORC_ED%20PAESAGGIO_MOD_ARQ_R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05_CTN-KIR-WVR%20-%20Levantamento_Piso_R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05_CTN-KIR-WVR%20-%20Levantamento_Mobili&#225;rio_R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CTN-KIR-WVR%20-%20Levantamento_Infraestrutura_R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05_CTN-KIR-WVR%20-%20Levantamento_Supraestrutura_R00.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shortcut-targets-by-id/16oaQUYgx8kiowDwLhg-oO1zGZ777DJUb/2.%20Projetos%20em%20Andamento/Kirchner%20Empreendimentos/02.%20Escopo/QUANTITATIVO%20PAREDE%20-%2025062024(C&#243;pia%20de%20Larissa%20Oliveira%20I%20Cartesian%20Engenharia%20Jun%2026%20120822).xls?6F6A386F" TargetMode="External"/><Relationship Id="rId1" Type="http://schemas.openxmlformats.org/officeDocument/2006/relationships/externalLinkPath" Target="file:///\\6F6A386F\QUANTITATIVO%20PAREDE%20-%2025062024(C&#243;pia%20de%20Larissa%20Oliveira%20I%20Cartesian%20Engenharia%20Jun%2026%2012082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CTN-KIR-WVR%20-%20Fachada.xlsx"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file:///J:\.shortcut-targets-by-id\16oaQUYgx8kiowDwLhg-oO1zGZ777DJUb\2.%20Projetos%20em%20Andamento\Kirchner%20Empreendimentos\Arquivos%20recebidos\Pasta%20Compartilhada%20-%20CTN%20&amp;%20Kirchner%20-%20West%20Village\01.%20PROJETOS\QUANTITATIVOS\0787.034.22_QUANTITATIVO_HID_REV01.xlsx?E4264498" TargetMode="External"/><Relationship Id="rId1" Type="http://schemas.openxmlformats.org/officeDocument/2006/relationships/externalLinkPath" Target="file:///\\E4264498\0787.034.22_QUANTITATIVO_HID_REV01.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J:\.shortcut-targets-by-id\16oaQUYgx8kiowDwLhg-oO1zGZ777DJUb\2.%20Projetos%20em%20Andamento\Kirchner%20Empreendimentos\Arquivos%20recebidos\Pasta%20Compartilhada%20-%20CTN%20&amp;%20Kirchner%20-%20West%20Village\01.%20PROJETOS\QUANTITATIVOS\0787.034.22_QUANTITATIVO_SAN_REV01.xlsx?E4264498" TargetMode="External"/><Relationship Id="rId1" Type="http://schemas.openxmlformats.org/officeDocument/2006/relationships/externalLinkPath" Target="file:///\\E4264498\0787.034.22_QUANTITATIVO_SAN_REV0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Kirchner%20Empreendimentos/02.%20Escopo/02.4%20Escopo%20-%20Extra&#231;&#227;o%20de%20quantitativos/CTN-KIR-WVR%20-%20Instal.%20El&#233;tricas.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patri\Downloads\AltoQi%20Visus_Quantitativo-verga%20e%20contraverg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hortcut-targets-by-id/16oaQUYgx8kiowDwLhg-oO1zGZ777DJUb/2.%20Projetos%20em%20Andamento/AS%20Ramos%20-%2001.2022/02.%20Paessaggio/02.%20Escopo/02.4%20Escopo%20-%20Extra&#231;&#227;o%20de%20quantitativos/CTN_ORC_ED%20PAESAGGIO_MOD_ARQ_R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
      <sheetName val="Encargos Sociais"/>
      <sheetName val="BDI"/>
      <sheetName val="M_O_"/>
      <sheetName val="Esquadrias"/>
      <sheetName val="Plan"/>
      <sheetName val="EstConFund"/>
      <sheetName val="EstConElev"/>
      <sheetName val="Par"/>
      <sheetName val="Pisocon"/>
      <sheetName val="AcabPar"/>
      <sheetName val="AcabPiso"/>
      <sheetName val="AcabForro"/>
      <sheetName val="Resumo Estrutura"/>
      <sheetName val="Estrutura - Vigas mold in-loco"/>
      <sheetName val="Estrutura - Lajes"/>
      <sheetName val="Estrutura - Cimbramento"/>
      <sheetName val="Estrutura - Escadas"/>
      <sheetName val="Estrutura - Pilar"/>
      <sheetName val="M_O_1"/>
      <sheetName val="Encargos_Sociais"/>
      <sheetName val="Resumo_Estrutura"/>
      <sheetName val="Estrutura_-_Vigas_mold_in-loco"/>
      <sheetName val="Estrutura_-_Lajes"/>
      <sheetName val="Estrutura_-_Cimbramento"/>
      <sheetName val="Estrutura_-_Escadas"/>
      <sheetName val="Estrutura_-_Pilar"/>
      <sheetName val="P   CARGOS SAL CARAJAS "/>
      <sheetName val=""/>
      <sheetName val="Orc_Pad_Edif_Analítico"/>
      <sheetName val="Orc_Compl_Analítico"/>
      <sheetName val="Orc_Pad_Edif_Anal�tico"/>
      <sheetName val="Orc_Compl_Anal�tico"/>
      <sheetName val="M_O_2"/>
      <sheetName val="Encargos_Sociais1"/>
      <sheetName val="Resumo_Estrutura1"/>
      <sheetName val="Estrutura_-_Vigas_mold_in-loco1"/>
      <sheetName val="Estrutura_-_Lajes1"/>
      <sheetName val="Estrutura_-_Cimbramento1"/>
      <sheetName val="Estrutura_-_Escadas1"/>
      <sheetName val="Estrutura_-_Pilar1"/>
      <sheetName val="P___CARGOS_SAL_CARAJAS_"/>
      <sheetName val="M_O_3"/>
      <sheetName val="Encargos_Sociais2"/>
      <sheetName val="Resumo_Estrutura2"/>
      <sheetName val="Estrutura_-_Vigas_mold_in-loco2"/>
      <sheetName val="Estrutura_-_Lajes2"/>
      <sheetName val="Estrutura_-_Cimbramento2"/>
      <sheetName val="Estrutura_-_Escadas2"/>
      <sheetName val="Estrutura_-_Pilar2"/>
      <sheetName val="P___CARGOS_SAL_CARAJAS_1"/>
      <sheetName val="PQP"/>
      <sheetName val="Preco"/>
      <sheetName val="Orc_Compl_Aberto"/>
      <sheetName val="2"/>
      <sheetName val="EVCO-set-04"/>
      <sheetName val="M_O_4"/>
      <sheetName val="Encargos_Sociais3"/>
      <sheetName val="Resumo_Estrutura3"/>
      <sheetName val="Estrutura_-_Vigas_mold_in-loco3"/>
      <sheetName val="Estrutura_-_Lajes3"/>
      <sheetName val="Estrutura_-_Cimbramento3"/>
      <sheetName val="Estrutura_-_Escadas3"/>
      <sheetName val="Estrutura_-_Pilar3"/>
      <sheetName val="P___CARGOS_SAL_CARAJAS_2"/>
      <sheetName val="Bomb"/>
      <sheetName val="9-Cron Financeiro"/>
      <sheetName val="8-Cron Fisico"/>
      <sheetName val="MP+Insumos"/>
      <sheetName val="CONSIDERAÇÕES"/>
      <sheetName val="MDO"/>
      <sheetName val="curva"/>
      <sheetName val="Planilha1"/>
      <sheetName val="CPU"/>
      <sheetName val="Insumos"/>
      <sheetName val="Resumo"/>
      <sheetName val="Planilha Orçamentária Modelo"/>
      <sheetName val="Fechamento"/>
      <sheetName val="Planilha2"/>
      <sheetName val="Fec. reengenharia"/>
      <sheetName val="Cpu's"/>
      <sheetName val="Curva de serviços"/>
      <sheetName val="0.Resumo"/>
      <sheetName val="Serviços indiretos"/>
      <sheetName val="PQU - Fundação e estrutura"/>
      <sheetName val="Pavilhao de Apoio"/>
      <sheetName val="SUBESTAÇÃO"/>
      <sheetName val="RESERVATORIO CASA DE BOMBA"/>
      <sheetName val="Baldrame"/>
      <sheetName val="Paredes"/>
      <sheetName val="Sapata isolada"/>
      <sheetName val="Acabamentos"/>
      <sheetName val="Resumo concreto"/>
      <sheetName val="Estrutura"/>
      <sheetName val="PLANILHA PADRÃO"/>
      <sheetName val="Alv e fec"/>
      <sheetName val="MDO-MOI"/>
      <sheetName val="EQUIPAMENTOS"/>
      <sheetName val="CANTEIRO"/>
      <sheetName val="EPI"/>
      <sheetName val="Controle Contrato"/>
      <sheetName val="RESUMO DO CONTRATO"/>
      <sheetName val="AVANÇO FISICO"/>
      <sheetName val="NF-em aberto"/>
      <sheetName val="RETENÇÃO"/>
      <sheetName val="REENGENHARIAS"/>
      <sheetName val="NF-BN x DAGNSE"/>
      <sheetName val="NF GLOBO"/>
      <sheetName val="EXTRACONTRATUAIS"/>
      <sheetName val="DIFAL"/>
      <sheetName val="NF-BN x  MS"/>
      <sheetName val="RESUMO DAGNESE"/>
      <sheetName val="NF-DAGNESE"/>
      <sheetName val="RESUMO REAL"/>
      <sheetName val="RESUMO - DIAGRAMA"/>
      <sheetName val="Sinaleiro"/>
      <sheetName val="Hora Extra Sinaleiro"/>
      <sheetName val="Ajudante ADM"/>
      <sheetName val="Bases de Concreto"/>
      <sheetName val="Carpinteiro"/>
      <sheetName val="MO Gabarito"/>
      <sheetName val="MO Fundação"/>
      <sheetName val="Materiais"/>
      <sheetName val="Cronograma"/>
      <sheetName val="Memória de Cálculo - Fundação"/>
      <sheetName val="Memória de Cálculo - Estrutura"/>
      <sheetName val="DATAS"/>
      <sheetName val="VALIDAÇÃO"/>
      <sheetName val="MO"/>
      <sheetName val="Planilha1 (2)"/>
      <sheetName val="RESUMO GERAL"/>
      <sheetName val="Jefferson Reunião"/>
      <sheetName val="17.01"/>
      <sheetName val="Planilha6"/>
      <sheetName val="Resultado"/>
      <sheetName val="Adicionais "/>
      <sheetName val="0 - (BDados total)"/>
      <sheetName val="1 - REORÇAMENTO A+B+C"/>
      <sheetName val="Planilha8"/>
      <sheetName val="Planilha7"/>
      <sheetName val="YMM05 -17.01 - BDados (A)"/>
      <sheetName val="ADIANTAMENTOS (BDados A)"/>
      <sheetName val="2 - PLEITOS (BDados B)"/>
      <sheetName val="3- Adicionais (BDados B)"/>
      <sheetName val="4 - A Contratar (BDados C)"/>
      <sheetName val="5- Conti+Expect (BDados BC)"/>
      <sheetName val="6- Reajuste Fornec (BD A)."/>
      <sheetName val="7- Adicional Cliente"/>
      <sheetName val="FERRO"/>
      <sheetName val="Orc_Pad_Edif_Anal tico"/>
      <sheetName val="Orc_Compl_Anal tico"/>
      <sheetName val="Sapatas TORRE 1"/>
      <sheetName val="Sapatas TORRE 2"/>
      <sheetName val="Sapatas TORRE 3"/>
      <sheetName val="Blocos"/>
      <sheetName val="Armação Sapata-Torre 1 "/>
      <sheetName val="Armação Sapata-Torre 2"/>
      <sheetName val="Armação Sapata-Torre 3"/>
      <sheetName val="Baldrames Torre 1"/>
      <sheetName val="Baldrames Torre 2"/>
      <sheetName val="Baldrames Torre 3"/>
      <sheetName val="Armação Baldrame  Torre 1"/>
      <sheetName val="Armação Baldrame  Torre 2"/>
      <sheetName val="Armação Baldrame  Torre 3"/>
      <sheetName val="Lajes Fundo Ele Torre 1 e 2"/>
      <sheetName val="Lajes Fundo Ele Torre 3"/>
      <sheetName val="Piso Armado Térreo Torre 1 e 2"/>
      <sheetName val="Piso Armado Térreo Torre3"/>
      <sheetName val="Armação Piso Armado Torre 1"/>
      <sheetName val="Armação Piso Armado Torre 2"/>
      <sheetName val="Armação Piso Armado Torre 3"/>
      <sheetName val="Pilar retangular"/>
      <sheetName val="Vigas TORRE 1 e 2"/>
      <sheetName val="Vigas TORRE 3"/>
      <sheetName val="Armação Vigas Torre 1 e 2"/>
      <sheetName val="Armação Vigas Torre 3"/>
      <sheetName val="Lajes Torres  1 e 2"/>
      <sheetName val="Lajes Torre 3"/>
      <sheetName val="Armação Lajes Torre 1 e 2"/>
      <sheetName val="Armação Lajes Torre 3"/>
      <sheetName val="Escada - Torre 1 e 2"/>
      <sheetName val="Escada - Torre 3"/>
      <sheetName val="Armação Escada Torres 1 e 2"/>
      <sheetName val="Armação Escada Torre 3 "/>
      <sheetName val="Telhado Torres 1 e 2"/>
      <sheetName val="Telhado Torres 3"/>
      <sheetName val="Fachada Torres 1 e 2"/>
      <sheetName val="Fachada Torre 3"/>
      <sheetName val="Alvenaria Estrutural ok"/>
      <sheetName val="Alvenaria Vedação"/>
      <sheetName val="Louças e Metais ok"/>
      <sheetName val="Impermeabilização Torres 1 e 2"/>
      <sheetName val="Impermeabilização Torre 3"/>
      <sheetName val="Bases Rev Interno1"/>
      <sheetName val="Revest. Interno 1"/>
      <sheetName val="Armação Vigas Cobertura"/>
      <sheetName val="Armação Alv vert ok"/>
      <sheetName val="Armação Cintas Horizontais"/>
      <sheetName val="Resumo Esquadria e Peitoril ok"/>
      <sheetName val="Armação Estrutura"/>
      <sheetName val="Armação Pilares"/>
      <sheetName val="Alvenaria Estrutural Embasament"/>
      <sheetName val="Esquadria"/>
      <sheetName val="Diversos"/>
      <sheetName val="Esquadrias ok"/>
      <sheetName val="Armação Lajes Fundo Ele ok"/>
      <sheetName val="Graute vert ok"/>
      <sheetName val="Armação Alv Embasamento hor 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o Diferença"/>
      <sheetName val="Resumo"/>
      <sheetName val="Geral"/>
      <sheetName val="BDI"/>
    </sheetNames>
    <sheetDataSet>
      <sheetData sheetId="0" refreshError="1"/>
      <sheetData sheetId="1" refreshError="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N_Levantamento do material de"/>
      <sheetName val="CTN_Levantamento do materia (2)"/>
      <sheetName val="Planilha1"/>
      <sheetName val="ParamValues"/>
    </sheetNames>
    <sheetDataSet>
      <sheetData sheetId="0" refreshError="1"/>
      <sheetData sheetId="1"/>
      <sheetData sheetId="2" refreshError="1"/>
      <sheetData sheetId="3">
        <row r="1">
          <cell r="A1" t="str">
            <v>01.EXE-TÉRREO</v>
          </cell>
        </row>
        <row r="2">
          <cell r="A2" t="str">
            <v>02. EXE-OUTORGA 01</v>
          </cell>
        </row>
        <row r="3">
          <cell r="A3" t="str">
            <v>03. EXE-LAZER</v>
          </cell>
        </row>
        <row r="4">
          <cell r="A4" t="str">
            <v>04 . EXE-OUTORGA 02</v>
          </cell>
        </row>
        <row r="5">
          <cell r="A5" t="str">
            <v>05. EXE-TIPO 01</v>
          </cell>
        </row>
        <row r="6">
          <cell r="A6" t="str">
            <v>06. TIPO 02</v>
          </cell>
        </row>
        <row r="7">
          <cell r="A7" t="str">
            <v>07. EXE-COBERTURA</v>
          </cell>
        </row>
        <row r="8">
          <cell r="A8" t="str">
            <v>08. TELHADO</v>
          </cell>
        </row>
        <row r="9">
          <cell r="A9" t="str">
            <v>09. RESERVATÓRIO</v>
          </cell>
        </row>
        <row r="10">
          <cell r="A10" t="str">
            <v>10. TETO RESERVATÓRIO</v>
          </cell>
        </row>
        <row r="11">
          <cell r="A11" t="str">
            <v>Terreno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CTN_ORC_Tabela de parede ger"/>
      <sheetName val="02-CTN_ORC_Levantamento do mate"/>
      <sheetName val="09-CTN_ORC_Tabela de piso e tet"/>
      <sheetName val="03-CTN_ORC_FACHADA_Tabela de pa"/>
      <sheetName val="08-CTN_ORC_Tabela de telhado"/>
      <sheetName val="10-CTN_ORC_RODAPÉ_Tabela de mol"/>
      <sheetName val="11-CTN_ORC_FAIXA GARAGEM_Tabela"/>
      <sheetName val="12-CTN_ORC_Tabela de forro"/>
      <sheetName val="07-CTN_ORC_Tabela de guarda-cor"/>
      <sheetName val="04-CTN_ORC_Tabela de janela"/>
      <sheetName val="05-CTN_ORC_Tabela de porta"/>
      <sheetName val="06-CTN_ORC_Tabela de escada"/>
      <sheetName val="Instructions"/>
      <sheetName val="Param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10º Tipo (x24) 3</v>
          </cell>
        </row>
        <row r="2">
          <cell r="A2" t="str">
            <v>11º Tipo (24x) 4</v>
          </cell>
        </row>
        <row r="3">
          <cell r="A3" t="str">
            <v>12º Tipo (24x) 5</v>
          </cell>
        </row>
        <row r="4">
          <cell r="A4" t="str">
            <v>13º Tipo (24x) 6</v>
          </cell>
        </row>
        <row r="5">
          <cell r="A5" t="str">
            <v>14º Tipo (24x) 7</v>
          </cell>
        </row>
        <row r="6">
          <cell r="A6" t="str">
            <v>15º Tipo (24x) 8</v>
          </cell>
        </row>
        <row r="7">
          <cell r="A7" t="str">
            <v>16º Tipo (24x) 9</v>
          </cell>
        </row>
        <row r="8">
          <cell r="A8" t="str">
            <v>17º Tipo (24x) 10</v>
          </cell>
        </row>
        <row r="9">
          <cell r="A9" t="str">
            <v>18º Tipo (24x) 11</v>
          </cell>
        </row>
        <row r="10">
          <cell r="A10" t="str">
            <v>19º Tipo (24x) 12</v>
          </cell>
        </row>
        <row r="11">
          <cell r="A11" t="str">
            <v>20º Tipo (24x) 13</v>
          </cell>
        </row>
        <row r="12">
          <cell r="A12" t="str">
            <v>21º Tipo (24x) 14</v>
          </cell>
        </row>
        <row r="13">
          <cell r="A13" t="str">
            <v>22º Tipo (24x) 15</v>
          </cell>
        </row>
        <row r="14">
          <cell r="A14" t="str">
            <v>23º Tipo (24x) 16</v>
          </cell>
        </row>
        <row r="15">
          <cell r="A15" t="str">
            <v>24º Tipo (24x) 17</v>
          </cell>
        </row>
        <row r="16">
          <cell r="A16" t="str">
            <v>25º Tipo (24x) 18</v>
          </cell>
        </row>
        <row r="17">
          <cell r="A17" t="str">
            <v>26º Tipo (24x) 19</v>
          </cell>
        </row>
        <row r="18">
          <cell r="A18" t="str">
            <v>27º Tipo (24x) 20</v>
          </cell>
        </row>
        <row r="19">
          <cell r="A19" t="str">
            <v>28º Tipo (24x) 21</v>
          </cell>
        </row>
        <row r="20">
          <cell r="A20" t="str">
            <v>29º Tipo (24x) 22</v>
          </cell>
        </row>
        <row r="21">
          <cell r="A21" t="str">
            <v>2º Mezanino - G1</v>
          </cell>
        </row>
        <row r="22">
          <cell r="A22" t="str">
            <v>30º Tipo (24x) 23</v>
          </cell>
        </row>
        <row r="23">
          <cell r="A23" t="str">
            <v>31º Tipo (24x) 24</v>
          </cell>
        </row>
        <row r="24">
          <cell r="A24" t="str">
            <v>32º Duplex Inf.</v>
          </cell>
        </row>
        <row r="25">
          <cell r="A25" t="str">
            <v>33º Duplex Sup.</v>
          </cell>
        </row>
        <row r="26">
          <cell r="A26" t="str">
            <v>3º G2</v>
          </cell>
        </row>
        <row r="27">
          <cell r="A27" t="str">
            <v>4º G3</v>
          </cell>
        </row>
        <row r="28">
          <cell r="A28" t="str">
            <v>5º Tipo Dif 01/Lazer</v>
          </cell>
        </row>
        <row r="29">
          <cell r="A29" t="str">
            <v>6º Tipo Dif. 02</v>
          </cell>
        </row>
        <row r="30">
          <cell r="A30" t="str">
            <v>7º Tipo Dif. 03</v>
          </cell>
        </row>
        <row r="31">
          <cell r="A31" t="str">
            <v>8º Tipo (x24) 1</v>
          </cell>
        </row>
        <row r="32">
          <cell r="A32" t="str">
            <v>9º Tipo (x24) 2</v>
          </cell>
        </row>
        <row r="33">
          <cell r="A33" t="str">
            <v>Barrilete</v>
          </cell>
        </row>
        <row r="34">
          <cell r="A34" t="str">
            <v>Cobertura Casa Máq.</v>
          </cell>
        </row>
        <row r="35">
          <cell r="A35" t="str">
            <v>PAVIMENTO TÉRREO</v>
          </cell>
        </row>
        <row r="36">
          <cell r="A36" t="str">
            <v>PC Maq</v>
          </cell>
        </row>
        <row r="37">
          <cell r="A37" t="str">
            <v>Reservatório</v>
          </cell>
        </row>
        <row r="38">
          <cell r="A38" t="str">
            <v>Tampa Reserv.</v>
          </cell>
        </row>
        <row r="39">
          <cell r="A39" t="str">
            <v>Terreno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SOS"/>
      <sheetName val="Planilha1"/>
      <sheetName val="PINTURA TETO GARAGEM"/>
    </sheetNames>
    <sheetDataSet>
      <sheetData sheetId="0">
        <row r="19">
          <cell r="C19">
            <v>4358.1949999999997</v>
          </cell>
          <cell r="H19">
            <v>74.22</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SOS"/>
      <sheetName val="MOBILIÁRIO E QUADRA"/>
    </sheetNames>
    <sheetDataSet>
      <sheetData sheetId="0">
        <row r="137">
          <cell r="F137">
            <v>585748.83599999989</v>
          </cell>
        </row>
        <row r="150">
          <cell r="F150">
            <v>29919.509151769504</v>
          </cell>
        </row>
      </sheetData>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N_ORC_Tabela de piso"/>
      <sheetName val="RESUMO INFRA"/>
      <sheetName val="ESCAVAÇÕES"/>
      <sheetName val="ESTACAS"/>
      <sheetName val="BLOCOS_FUNDAÇÃO"/>
      <sheetName val="VIGAS - TÉRREO (BALDRAME)"/>
      <sheetName val="VIGAS - RESER. INFERIOR"/>
      <sheetName val="ESCAVAÇÃO - RESER. INFERIOR"/>
      <sheetName val="ESCAVAÇÃO - TRATAMENTO DE ESGOT"/>
      <sheetName val="LAJES_RESER. INFERIOR"/>
    </sheetNames>
    <sheetDataSet>
      <sheetData sheetId="0"/>
      <sheetData sheetId="1">
        <row r="1">
          <cell r="B1" t="str">
            <v>WEST VILLAGE</v>
          </cell>
        </row>
        <row r="2">
          <cell r="B2" t="str">
            <v>KIRCHNER</v>
          </cell>
        </row>
        <row r="3">
          <cell r="B3">
            <v>0</v>
          </cell>
        </row>
      </sheetData>
      <sheetData sheetId="2">
        <row r="19">
          <cell r="D19">
            <v>1010.6474403186603</v>
          </cell>
        </row>
      </sheetData>
      <sheetData sheetId="3"/>
      <sheetData sheetId="4">
        <row r="30">
          <cell r="K30">
            <v>418.34300000000007</v>
          </cell>
          <cell r="L30">
            <v>307.77393000000001</v>
          </cell>
          <cell r="AD30">
            <v>399.72613000000001</v>
          </cell>
          <cell r="AE30">
            <v>91.952200000000005</v>
          </cell>
          <cell r="AF30">
            <v>307.77393000000001</v>
          </cell>
          <cell r="AG30">
            <v>213.20740000000001</v>
          </cell>
          <cell r="AH30">
            <v>21.320740000000001</v>
          </cell>
        </row>
        <row r="66">
          <cell r="AD66">
            <v>8.0991550260228049</v>
          </cell>
          <cell r="AE66">
            <v>4.2103800000000007</v>
          </cell>
          <cell r="AF66">
            <v>6.6833499999999999</v>
          </cell>
          <cell r="AG66">
            <v>2.4729699999999992</v>
          </cell>
          <cell r="AH66">
            <v>4.2103800000000007</v>
          </cell>
          <cell r="AI66">
            <v>4.6782000000000004</v>
          </cell>
          <cell r="AJ66">
            <v>0.46782000000000007</v>
          </cell>
        </row>
      </sheetData>
      <sheetData sheetId="5">
        <row r="71">
          <cell r="I71">
            <v>804.4343600000002</v>
          </cell>
          <cell r="J71">
            <v>80.785956999999968</v>
          </cell>
          <cell r="K71">
            <v>181.31760949999997</v>
          </cell>
          <cell r="L71">
            <v>83.134890000000027</v>
          </cell>
          <cell r="M71">
            <v>98.182719500000033</v>
          </cell>
          <cell r="N71">
            <v>108.56386000000006</v>
          </cell>
          <cell r="O71">
            <v>10.856385999999997</v>
          </cell>
        </row>
      </sheetData>
      <sheetData sheetId="6">
        <row r="32">
          <cell r="I32">
            <v>290.03164000000004</v>
          </cell>
          <cell r="J32">
            <v>24.982326</v>
          </cell>
        </row>
      </sheetData>
      <sheetData sheetId="7">
        <row r="16">
          <cell r="AD16">
            <v>125.13539999999999</v>
          </cell>
          <cell r="AE16">
            <v>80.416637999999992</v>
          </cell>
          <cell r="AF16">
            <v>44.718761999999998</v>
          </cell>
          <cell r="AG16">
            <v>17.6754</v>
          </cell>
          <cell r="AH16">
            <v>1.7675400000000001</v>
          </cell>
        </row>
        <row r="17">
          <cell r="AD17">
            <v>111.230064</v>
          </cell>
          <cell r="AE17">
            <v>72.910937000000004</v>
          </cell>
          <cell r="AF17">
            <v>38.319126999999995</v>
          </cell>
          <cell r="AG17">
            <v>15.145899999999999</v>
          </cell>
          <cell r="AH17">
            <v>1.5145900000000001</v>
          </cell>
        </row>
        <row r="18">
          <cell r="C18" t="str">
            <v>RESER. RETARDADO</v>
          </cell>
          <cell r="AD18">
            <v>31.233897000000006</v>
          </cell>
          <cell r="AE18">
            <v>18.840897000000005</v>
          </cell>
          <cell r="AF18">
            <v>12.393000000000001</v>
          </cell>
          <cell r="AG18">
            <v>8.1000000000000014</v>
          </cell>
          <cell r="AH18">
            <v>0.81000000000000016</v>
          </cell>
        </row>
        <row r="19">
          <cell r="C19" t="str">
            <v>RESER. PLUVIAL</v>
          </cell>
          <cell r="AD19">
            <v>26.065167000000006</v>
          </cell>
          <cell r="AE19">
            <v>16.885167000000006</v>
          </cell>
          <cell r="AF19">
            <v>9.18</v>
          </cell>
          <cell r="AG19">
            <v>6</v>
          </cell>
          <cell r="AH19">
            <v>0.60000000000000009</v>
          </cell>
        </row>
      </sheetData>
      <sheetData sheetId="8">
        <row r="22">
          <cell r="J22">
            <v>129.25582281866039</v>
          </cell>
          <cell r="K22">
            <v>64.685392737413849</v>
          </cell>
          <cell r="L22">
            <v>43.033536168872985</v>
          </cell>
        </row>
      </sheetData>
      <sheetData sheetId="9">
        <row r="7">
          <cell r="G7">
            <v>780</v>
          </cell>
          <cell r="J7">
            <v>128.69999999999999</v>
          </cell>
        </row>
        <row r="17">
          <cell r="I17">
            <v>101.91879999999998</v>
          </cell>
          <cell r="J17">
            <v>15.28782</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RQUIVOS_BASE"/>
      <sheetName val="RESUMO"/>
      <sheetName val="VIGAS - MEZ G1"/>
      <sheetName val="VIGAS - G2"/>
      <sheetName val="VIGAS - G3"/>
      <sheetName val="VIGAS - LAZER"/>
      <sheetName val="VIGAS - PAV TIPO"/>
      <sheetName val="VIGAS - TELHADO"/>
      <sheetName val="VIGAS - CASA DE MAQ"/>
      <sheetName val="VIGAS - RESER. SUP"/>
      <sheetName val="PILARES - MEZ G1"/>
      <sheetName val="PILARES - MEZ G2"/>
      <sheetName val="PILARES - MEZ G3"/>
      <sheetName val="PILARES - LAZER "/>
      <sheetName val="PILARES - L6 TIPO 01"/>
      <sheetName val="PILARES - L7 A L21 TIPO"/>
      <sheetName val="PILARES - L22 L23 L24"/>
      <sheetName val="LAJES_FORMAS"/>
      <sheetName val="ESCADAS"/>
      <sheetName val="AUXILIAR"/>
    </sheetNames>
    <sheetDataSet>
      <sheetData sheetId="0">
        <row r="1">
          <cell r="B1" t="str">
            <v>WEST VILLAGE</v>
          </cell>
        </row>
        <row r="2">
          <cell r="B2" t="str">
            <v>KIRCHNER</v>
          </cell>
        </row>
        <row r="3">
          <cell r="B3">
            <v>0</v>
          </cell>
        </row>
      </sheetData>
      <sheetData sheetId="1"/>
      <sheetData sheetId="2">
        <row r="51">
          <cell r="I51">
            <v>631.07026000000008</v>
          </cell>
          <cell r="J51">
            <v>91.341087000000016</v>
          </cell>
        </row>
      </sheetData>
      <sheetData sheetId="3">
        <row r="35">
          <cell r="I35">
            <v>279.89301999999992</v>
          </cell>
          <cell r="J35">
            <v>18.492730399999996</v>
          </cell>
        </row>
      </sheetData>
      <sheetData sheetId="4">
        <row r="35">
          <cell r="I35">
            <v>290.32428999999996</v>
          </cell>
          <cell r="J35">
            <v>19.156573299999998</v>
          </cell>
        </row>
      </sheetData>
      <sheetData sheetId="5">
        <row r="65">
          <cell r="I65">
            <v>976.36124000000007</v>
          </cell>
          <cell r="J65">
            <v>222.09437900000006</v>
          </cell>
        </row>
      </sheetData>
      <sheetData sheetId="6">
        <row r="23">
          <cell r="I23">
            <v>183.41024000000004</v>
          </cell>
          <cell r="J23">
            <v>11.799367999999998</v>
          </cell>
        </row>
      </sheetData>
      <sheetData sheetId="7">
        <row r="23">
          <cell r="I23">
            <v>183.61044000000004</v>
          </cell>
          <cell r="J23">
            <v>11.812107999999998</v>
          </cell>
        </row>
      </sheetData>
      <sheetData sheetId="8">
        <row r="10">
          <cell r="I10">
            <v>12.084000000000001</v>
          </cell>
          <cell r="J10">
            <v>0.7420000000000001</v>
          </cell>
        </row>
      </sheetData>
      <sheetData sheetId="9"/>
      <sheetData sheetId="10">
        <row r="53">
          <cell r="I53">
            <v>497.13839999999999</v>
          </cell>
          <cell r="J53">
            <v>57.483360000000005</v>
          </cell>
        </row>
      </sheetData>
      <sheetData sheetId="11">
        <row r="53">
          <cell r="I53">
            <v>361.55519999999984</v>
          </cell>
          <cell r="J53">
            <v>40.769280000000002</v>
          </cell>
        </row>
      </sheetData>
      <sheetData sheetId="12">
        <row r="51">
          <cell r="I51">
            <v>361.55519999999984</v>
          </cell>
          <cell r="J51">
            <v>40.769280000000002</v>
          </cell>
        </row>
      </sheetData>
      <sheetData sheetId="13">
        <row r="51">
          <cell r="I51">
            <v>491.75279999999981</v>
          </cell>
          <cell r="J51">
            <v>55.701360000000008</v>
          </cell>
        </row>
      </sheetData>
      <sheetData sheetId="14">
        <row r="36">
          <cell r="I36">
            <v>281.12399999999997</v>
          </cell>
          <cell r="J36">
            <v>33.215040000000002</v>
          </cell>
        </row>
      </sheetData>
      <sheetData sheetId="15">
        <row r="35">
          <cell r="I35">
            <v>246.63600000000002</v>
          </cell>
          <cell r="J35">
            <v>29.718720000000008</v>
          </cell>
        </row>
      </sheetData>
      <sheetData sheetId="16">
        <row r="35">
          <cell r="I35">
            <v>168.44800000000001</v>
          </cell>
          <cell r="J35">
            <v>19.950560000000003</v>
          </cell>
        </row>
      </sheetData>
      <sheetData sheetId="17">
        <row r="13">
          <cell r="G13">
            <v>91.829999999999984</v>
          </cell>
        </row>
        <row r="18">
          <cell r="G18">
            <v>140.32</v>
          </cell>
        </row>
        <row r="23">
          <cell r="G23">
            <v>140.41999999999999</v>
          </cell>
        </row>
        <row r="28">
          <cell r="G28">
            <v>46.169999999999995</v>
          </cell>
        </row>
        <row r="33">
          <cell r="G33">
            <v>81.759999999999991</v>
          </cell>
        </row>
        <row r="38">
          <cell r="G38">
            <v>79.16</v>
          </cell>
        </row>
        <row r="42">
          <cell r="G42">
            <v>77.216200000000001</v>
          </cell>
        </row>
      </sheetData>
      <sheetData sheetId="18">
        <row r="7">
          <cell r="AC7">
            <v>24.206099999999999</v>
          </cell>
          <cell r="AD7">
            <v>4.7115900000000002</v>
          </cell>
        </row>
        <row r="8">
          <cell r="AC8">
            <v>38.495099999999994</v>
          </cell>
          <cell r="AD8">
            <v>7.8390899999999988</v>
          </cell>
        </row>
        <row r="9">
          <cell r="AC9">
            <v>24.206099999999999</v>
          </cell>
          <cell r="AD9">
            <v>4.7115900000000002</v>
          </cell>
        </row>
        <row r="10">
          <cell r="AC10">
            <v>22.085700000000003</v>
          </cell>
          <cell r="AD10">
            <v>4.4232300000000002</v>
          </cell>
        </row>
        <row r="11">
          <cell r="AC11">
            <v>292.13774999999998</v>
          </cell>
          <cell r="AD11">
            <v>58.081724999999992</v>
          </cell>
        </row>
      </sheetData>
      <sheetData sheetId="1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érreo fino"/>
      <sheetName val="KIRCHNER LEVANT TÉRREO"/>
      <sheetName val="TÉRREO"/>
      <sheetName val="GARAGEM 1 e 2"/>
      <sheetName val="Garagem fino"/>
      <sheetName val="KIRCHNER LEVANT GARAGEM"/>
      <sheetName val="GARAGEM 3"/>
      <sheetName val="Garagem fino 3"/>
      <sheetName val="KIRCHNER LEVANT GARAGEM 3"/>
      <sheetName val="KIRCHNER LEVANT LAZER"/>
      <sheetName val="LAZER"/>
      <sheetName val="Lazer fino "/>
      <sheetName val="TIPO"/>
      <sheetName val="Tipo finos"/>
      <sheetName val="KIRCHNER LEVANT TIPO"/>
      <sheetName val="MAQUINAS"/>
      <sheetName val="Maquinas finos"/>
      <sheetName val="KIRCHNER LEVANT CASA MAQUINAS"/>
      <sheetName val="KIRCHNER OFICIAL"/>
      <sheetName val="RESERVATORIO"/>
      <sheetName val="KIRCHNER LEVANT RESERVATORIO"/>
    </sheetNames>
    <sheetDataSet>
      <sheetData sheetId="0"/>
      <sheetData sheetId="1">
        <row r="12">
          <cell r="C12">
            <v>190.93627500000019</v>
          </cell>
          <cell r="D12">
            <v>2</v>
          </cell>
          <cell r="E12">
            <v>14.48432</v>
          </cell>
          <cell r="F12">
            <v>0</v>
          </cell>
        </row>
        <row r="19">
          <cell r="C19">
            <v>106.48120000000002</v>
          </cell>
        </row>
      </sheetData>
      <sheetData sheetId="2"/>
      <sheetData sheetId="3"/>
      <sheetData sheetId="4"/>
      <sheetData sheetId="5">
        <row r="12">
          <cell r="C12">
            <v>35.378587000000003</v>
          </cell>
          <cell r="D12">
            <v>6.76</v>
          </cell>
          <cell r="E12">
            <v>14.484319999999999</v>
          </cell>
          <cell r="F12">
            <v>0</v>
          </cell>
        </row>
        <row r="19">
          <cell r="C19">
            <v>97.98</v>
          </cell>
          <cell r="D19">
            <v>6.76</v>
          </cell>
        </row>
      </sheetData>
      <sheetData sheetId="6"/>
      <sheetData sheetId="7"/>
      <sheetData sheetId="8">
        <row r="12">
          <cell r="K12">
            <v>20.888399999999997</v>
          </cell>
        </row>
        <row r="19">
          <cell r="C19">
            <v>97.98</v>
          </cell>
          <cell r="D19">
            <v>6.76</v>
          </cell>
        </row>
      </sheetData>
      <sheetData sheetId="9">
        <row r="12">
          <cell r="C12">
            <v>83.258847999999972</v>
          </cell>
          <cell r="D12">
            <v>16.009999999999998</v>
          </cell>
          <cell r="E12">
            <v>14.784319999999997</v>
          </cell>
          <cell r="F12">
            <v>8.3999999999999986</v>
          </cell>
        </row>
        <row r="19">
          <cell r="C19">
            <v>134.47000000000003</v>
          </cell>
          <cell r="D19">
            <v>7.52</v>
          </cell>
        </row>
      </sheetData>
      <sheetData sheetId="10"/>
      <sheetData sheetId="11"/>
      <sheetData sheetId="12"/>
      <sheetData sheetId="13">
        <row r="4">
          <cell r="J4">
            <v>0.91279999999999983</v>
          </cell>
        </row>
      </sheetData>
      <sheetData sheetId="14">
        <row r="12">
          <cell r="C12">
            <v>155.844787</v>
          </cell>
          <cell r="D12">
            <v>42.424996999999983</v>
          </cell>
          <cell r="E12">
            <v>14.48432</v>
          </cell>
          <cell r="F12">
            <v>44.099999999999973</v>
          </cell>
        </row>
        <row r="19">
          <cell r="C19">
            <v>88.104868000000025</v>
          </cell>
          <cell r="D19">
            <v>2</v>
          </cell>
        </row>
      </sheetData>
      <sheetData sheetId="15"/>
      <sheetData sheetId="16"/>
      <sheetData sheetId="17">
        <row r="12">
          <cell r="C12">
            <v>12.130000000000003</v>
          </cell>
          <cell r="D12">
            <v>2.15</v>
          </cell>
          <cell r="E12">
            <v>15.976940000000003</v>
          </cell>
        </row>
        <row r="19">
          <cell r="C19">
            <v>129.53002200000003</v>
          </cell>
          <cell r="D19">
            <v>5.5</v>
          </cell>
        </row>
      </sheetData>
      <sheetData sheetId="18"/>
      <sheetData sheetId="19"/>
      <sheetData sheetId="20">
        <row r="19">
          <cell r="C19">
            <v>14.849999999999998</v>
          </cell>
          <cell r="D19">
            <v>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 FACHADA"/>
      <sheetName val="REV. ARG. ESTRU"/>
    </sheetNames>
    <sheetDataSet>
      <sheetData sheetId="0">
        <row r="16">
          <cell r="D16">
            <v>576.54</v>
          </cell>
        </row>
      </sheetData>
      <sheetData sheetId="1">
        <row r="42">
          <cell r="J42">
            <v>117.033</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de Materiais"/>
    </sheetNames>
    <sheetDataSet>
      <sheetData sheetId="0">
        <row r="10">
          <cell r="B10">
            <v>1006</v>
          </cell>
        </row>
        <row r="11">
          <cell r="B11">
            <v>553</v>
          </cell>
        </row>
        <row r="12">
          <cell r="B12">
            <v>3</v>
          </cell>
        </row>
        <row r="13">
          <cell r="B13">
            <v>1</v>
          </cell>
        </row>
        <row r="14">
          <cell r="B14">
            <v>1</v>
          </cell>
        </row>
        <row r="15">
          <cell r="B15">
            <v>3</v>
          </cell>
        </row>
        <row r="16">
          <cell r="B16">
            <v>2</v>
          </cell>
        </row>
        <row r="17">
          <cell r="B17">
            <v>1080</v>
          </cell>
        </row>
        <row r="18">
          <cell r="B18">
            <v>360</v>
          </cell>
        </row>
        <row r="19">
          <cell r="B19">
            <v>2</v>
          </cell>
        </row>
        <row r="20">
          <cell r="B20">
            <v>3</v>
          </cell>
        </row>
        <row r="21">
          <cell r="B21">
            <v>3</v>
          </cell>
        </row>
        <row r="22">
          <cell r="B22">
            <v>2</v>
          </cell>
        </row>
        <row r="23">
          <cell r="B23">
            <v>96</v>
          </cell>
        </row>
        <row r="24">
          <cell r="B24">
            <v>31</v>
          </cell>
        </row>
        <row r="25">
          <cell r="B25">
            <v>9</v>
          </cell>
        </row>
        <row r="26">
          <cell r="B26">
            <v>16</v>
          </cell>
        </row>
        <row r="27">
          <cell r="B27">
            <v>4</v>
          </cell>
        </row>
        <row r="30">
          <cell r="B30">
            <v>90</v>
          </cell>
        </row>
        <row r="31">
          <cell r="B31">
            <v>2</v>
          </cell>
        </row>
        <row r="32">
          <cell r="B32">
            <v>2</v>
          </cell>
        </row>
        <row r="33">
          <cell r="B33">
            <v>12</v>
          </cell>
        </row>
        <row r="34">
          <cell r="B34">
            <v>4</v>
          </cell>
        </row>
        <row r="35">
          <cell r="B35">
            <v>4</v>
          </cell>
        </row>
        <row r="36">
          <cell r="B36">
            <v>2</v>
          </cell>
        </row>
        <row r="37">
          <cell r="B37">
            <v>3</v>
          </cell>
        </row>
        <row r="38">
          <cell r="B38">
            <v>2</v>
          </cell>
        </row>
        <row r="39">
          <cell r="B39">
            <v>133</v>
          </cell>
        </row>
        <row r="40">
          <cell r="B40">
            <v>1</v>
          </cell>
        </row>
        <row r="41">
          <cell r="B41">
            <v>1</v>
          </cell>
        </row>
        <row r="46">
          <cell r="B46">
            <v>23</v>
          </cell>
        </row>
        <row r="47">
          <cell r="B47">
            <v>6</v>
          </cell>
        </row>
        <row r="48">
          <cell r="B48">
            <v>195</v>
          </cell>
        </row>
        <row r="49">
          <cell r="B49">
            <v>346</v>
          </cell>
        </row>
        <row r="50">
          <cell r="B50">
            <v>105</v>
          </cell>
        </row>
        <row r="53">
          <cell r="B53">
            <v>2</v>
          </cell>
        </row>
        <row r="54">
          <cell r="B54">
            <v>91</v>
          </cell>
        </row>
        <row r="57">
          <cell r="B57">
            <v>60</v>
          </cell>
        </row>
        <row r="58">
          <cell r="B58">
            <v>2130</v>
          </cell>
        </row>
        <row r="59">
          <cell r="B59">
            <v>570</v>
          </cell>
        </row>
        <row r="60">
          <cell r="B60">
            <v>6</v>
          </cell>
        </row>
        <row r="61">
          <cell r="B61">
            <v>2</v>
          </cell>
        </row>
        <row r="62">
          <cell r="B62">
            <v>1</v>
          </cell>
        </row>
        <row r="63">
          <cell r="B63">
            <v>106</v>
          </cell>
        </row>
        <row r="64">
          <cell r="B64">
            <v>4</v>
          </cell>
        </row>
        <row r="65">
          <cell r="B65">
            <v>2</v>
          </cell>
        </row>
        <row r="66">
          <cell r="B66">
            <v>4</v>
          </cell>
        </row>
        <row r="67">
          <cell r="B67">
            <v>22</v>
          </cell>
        </row>
        <row r="68">
          <cell r="B68">
            <v>14</v>
          </cell>
        </row>
        <row r="69">
          <cell r="B69">
            <v>1</v>
          </cell>
        </row>
        <row r="70">
          <cell r="B70">
            <v>13</v>
          </cell>
        </row>
        <row r="71">
          <cell r="B71">
            <v>20</v>
          </cell>
        </row>
        <row r="72">
          <cell r="B72">
            <v>6</v>
          </cell>
        </row>
        <row r="73">
          <cell r="B73">
            <v>630</v>
          </cell>
        </row>
        <row r="74">
          <cell r="B74">
            <v>540</v>
          </cell>
        </row>
        <row r="75">
          <cell r="B75">
            <v>180</v>
          </cell>
        </row>
        <row r="76">
          <cell r="B76">
            <v>2652</v>
          </cell>
        </row>
        <row r="77">
          <cell r="B77">
            <v>510</v>
          </cell>
        </row>
        <row r="78">
          <cell r="B78">
            <v>6</v>
          </cell>
        </row>
        <row r="79">
          <cell r="B79">
            <v>5</v>
          </cell>
        </row>
        <row r="80">
          <cell r="B80">
            <v>1</v>
          </cell>
        </row>
        <row r="81">
          <cell r="B81">
            <v>3</v>
          </cell>
        </row>
        <row r="82">
          <cell r="B82">
            <v>82</v>
          </cell>
        </row>
        <row r="83">
          <cell r="B83">
            <v>42</v>
          </cell>
        </row>
        <row r="89">
          <cell r="B89">
            <v>1</v>
          </cell>
        </row>
        <row r="90">
          <cell r="B90">
            <v>90</v>
          </cell>
        </row>
        <row r="91">
          <cell r="B91">
            <v>180</v>
          </cell>
        </row>
        <row r="92">
          <cell r="B92">
            <v>1</v>
          </cell>
        </row>
        <row r="93">
          <cell r="B93">
            <v>1</v>
          </cell>
        </row>
        <row r="96">
          <cell r="B96">
            <v>4</v>
          </cell>
        </row>
        <row r="97">
          <cell r="B97">
            <v>1</v>
          </cell>
        </row>
        <row r="98">
          <cell r="B98">
            <v>840</v>
          </cell>
        </row>
        <row r="99">
          <cell r="B99">
            <v>363</v>
          </cell>
        </row>
        <row r="100">
          <cell r="B100">
            <v>12</v>
          </cell>
        </row>
        <row r="101">
          <cell r="B101">
            <v>5</v>
          </cell>
        </row>
        <row r="102">
          <cell r="B102">
            <v>6</v>
          </cell>
        </row>
        <row r="103">
          <cell r="B103">
            <v>2</v>
          </cell>
        </row>
        <row r="104">
          <cell r="B104">
            <v>360</v>
          </cell>
        </row>
        <row r="107">
          <cell r="B107">
            <v>180</v>
          </cell>
        </row>
        <row r="108">
          <cell r="B108">
            <v>8</v>
          </cell>
        </row>
        <row r="109">
          <cell r="B109">
            <v>4</v>
          </cell>
        </row>
        <row r="110">
          <cell r="B110">
            <v>3</v>
          </cell>
        </row>
        <row r="111">
          <cell r="B111">
            <v>2</v>
          </cell>
        </row>
        <row r="112">
          <cell r="B112">
            <v>460</v>
          </cell>
        </row>
        <row r="113">
          <cell r="B113">
            <v>131</v>
          </cell>
        </row>
        <row r="114">
          <cell r="B114">
            <v>1</v>
          </cell>
        </row>
        <row r="115">
          <cell r="B115">
            <v>1</v>
          </cell>
        </row>
        <row r="116">
          <cell r="B116">
            <v>270</v>
          </cell>
        </row>
        <row r="117">
          <cell r="B117">
            <v>2</v>
          </cell>
        </row>
        <row r="118">
          <cell r="B118">
            <v>90</v>
          </cell>
        </row>
        <row r="119">
          <cell r="B119">
            <v>3</v>
          </cell>
        </row>
        <row r="120">
          <cell r="B120">
            <v>7</v>
          </cell>
        </row>
        <row r="121">
          <cell r="B121">
            <v>1</v>
          </cell>
        </row>
        <row r="122">
          <cell r="B122">
            <v>10</v>
          </cell>
        </row>
        <row r="123">
          <cell r="B123">
            <v>4</v>
          </cell>
        </row>
        <row r="124">
          <cell r="B124">
            <v>343</v>
          </cell>
        </row>
        <row r="125">
          <cell r="B125">
            <v>1</v>
          </cell>
        </row>
        <row r="128">
          <cell r="B128">
            <v>2467.7800000000002</v>
          </cell>
        </row>
        <row r="129">
          <cell r="B129">
            <v>1154.05</v>
          </cell>
        </row>
        <row r="130">
          <cell r="B130">
            <v>10.51</v>
          </cell>
        </row>
        <row r="131">
          <cell r="B131">
            <v>14.75</v>
          </cell>
        </row>
        <row r="132">
          <cell r="B132">
            <v>0.08</v>
          </cell>
        </row>
        <row r="133">
          <cell r="B133">
            <v>4.58</v>
          </cell>
        </row>
        <row r="134">
          <cell r="B134">
            <v>32.04</v>
          </cell>
        </row>
        <row r="135">
          <cell r="B135">
            <v>44.91</v>
          </cell>
        </row>
        <row r="136">
          <cell r="B136">
            <v>1.57</v>
          </cell>
        </row>
        <row r="137">
          <cell r="B137">
            <v>68.98</v>
          </cell>
        </row>
        <row r="138">
          <cell r="B138">
            <v>100.71</v>
          </cell>
        </row>
        <row r="139">
          <cell r="B139">
            <v>14.46</v>
          </cell>
        </row>
        <row r="140">
          <cell r="B140">
            <v>2913.09</v>
          </cell>
        </row>
        <row r="141">
          <cell r="B141">
            <v>2089.9899999999998</v>
          </cell>
        </row>
        <row r="142">
          <cell r="B142">
            <v>22.96</v>
          </cell>
        </row>
        <row r="143">
          <cell r="B143">
            <v>36.85</v>
          </cell>
        </row>
        <row r="144">
          <cell r="B144">
            <v>6.37</v>
          </cell>
        </row>
        <row r="145">
          <cell r="B145">
            <v>23.18</v>
          </cell>
        </row>
        <row r="148">
          <cell r="B148">
            <v>2</v>
          </cell>
        </row>
        <row r="149">
          <cell r="B149">
            <v>2</v>
          </cell>
        </row>
        <row r="150">
          <cell r="B150">
            <v>2</v>
          </cell>
        </row>
        <row r="151">
          <cell r="B151">
            <v>1</v>
          </cell>
        </row>
        <row r="152">
          <cell r="B152">
            <v>1</v>
          </cell>
        </row>
        <row r="153">
          <cell r="B153">
            <v>1</v>
          </cell>
        </row>
        <row r="156">
          <cell r="B156">
            <v>1</v>
          </cell>
        </row>
        <row r="157">
          <cell r="B157">
            <v>1</v>
          </cell>
        </row>
        <row r="158">
          <cell r="B158">
            <v>1</v>
          </cell>
        </row>
        <row r="159">
          <cell r="B159">
            <v>4</v>
          </cell>
        </row>
        <row r="160">
          <cell r="B160">
            <v>1</v>
          </cell>
        </row>
        <row r="161">
          <cell r="B161">
            <v>6</v>
          </cell>
        </row>
        <row r="162">
          <cell r="B162">
            <v>1</v>
          </cell>
        </row>
        <row r="165">
          <cell r="B165">
            <v>16</v>
          </cell>
        </row>
        <row r="166">
          <cell r="B166">
            <v>2</v>
          </cell>
        </row>
        <row r="167">
          <cell r="B167">
            <v>2</v>
          </cell>
        </row>
        <row r="168">
          <cell r="B168">
            <v>1</v>
          </cell>
        </row>
        <row r="169">
          <cell r="B169">
            <v>180</v>
          </cell>
        </row>
        <row r="170">
          <cell r="B170">
            <v>2</v>
          </cell>
        </row>
        <row r="171">
          <cell r="B171">
            <v>13</v>
          </cell>
        </row>
        <row r="172">
          <cell r="B172">
            <v>1</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de Materiais"/>
    </sheetNames>
    <sheetDataSet>
      <sheetData sheetId="0">
        <row r="10">
          <cell r="B10">
            <v>266</v>
          </cell>
        </row>
        <row r="11">
          <cell r="B11">
            <v>132</v>
          </cell>
        </row>
        <row r="14">
          <cell r="B14">
            <v>26</v>
          </cell>
        </row>
        <row r="15">
          <cell r="B15">
            <v>553</v>
          </cell>
        </row>
        <row r="16">
          <cell r="B16">
            <v>305</v>
          </cell>
        </row>
        <row r="17">
          <cell r="B17">
            <v>1597</v>
          </cell>
        </row>
        <row r="18">
          <cell r="B18">
            <v>976</v>
          </cell>
        </row>
        <row r="19">
          <cell r="B19">
            <v>134</v>
          </cell>
        </row>
        <row r="20">
          <cell r="B20">
            <v>42</v>
          </cell>
        </row>
        <row r="21">
          <cell r="B21">
            <v>531</v>
          </cell>
        </row>
        <row r="22">
          <cell r="B22">
            <v>322</v>
          </cell>
        </row>
        <row r="23">
          <cell r="B23">
            <v>24</v>
          </cell>
        </row>
        <row r="24">
          <cell r="B24">
            <v>658</v>
          </cell>
        </row>
        <row r="25">
          <cell r="B25">
            <v>562</v>
          </cell>
        </row>
        <row r="26">
          <cell r="B26">
            <v>58</v>
          </cell>
        </row>
        <row r="27">
          <cell r="B27">
            <v>9</v>
          </cell>
        </row>
        <row r="28">
          <cell r="B28">
            <v>402</v>
          </cell>
        </row>
        <row r="31">
          <cell r="B31">
            <v>230</v>
          </cell>
        </row>
        <row r="32">
          <cell r="B32">
            <v>86</v>
          </cell>
        </row>
        <row r="33">
          <cell r="B33">
            <v>79</v>
          </cell>
        </row>
        <row r="34">
          <cell r="B34">
            <v>20</v>
          </cell>
        </row>
        <row r="35">
          <cell r="B35">
            <v>1</v>
          </cell>
        </row>
        <row r="36">
          <cell r="B36">
            <v>90</v>
          </cell>
        </row>
        <row r="37">
          <cell r="B37">
            <v>17</v>
          </cell>
        </row>
        <row r="38">
          <cell r="B38">
            <v>689</v>
          </cell>
        </row>
        <row r="39">
          <cell r="B39">
            <v>30</v>
          </cell>
        </row>
        <row r="40">
          <cell r="B40">
            <v>14</v>
          </cell>
        </row>
        <row r="41">
          <cell r="B41">
            <v>4</v>
          </cell>
        </row>
        <row r="42">
          <cell r="B42">
            <v>184</v>
          </cell>
        </row>
        <row r="43">
          <cell r="B43">
            <v>6</v>
          </cell>
        </row>
        <row r="46">
          <cell r="B46">
            <v>37</v>
          </cell>
        </row>
        <row r="47">
          <cell r="B47">
            <v>1808</v>
          </cell>
        </row>
        <row r="48">
          <cell r="B48">
            <v>451</v>
          </cell>
        </row>
        <row r="49">
          <cell r="B49">
            <v>2522</v>
          </cell>
        </row>
        <row r="50">
          <cell r="B50">
            <v>375</v>
          </cell>
        </row>
        <row r="51">
          <cell r="B51">
            <v>55</v>
          </cell>
        </row>
        <row r="52">
          <cell r="B52">
            <v>1076</v>
          </cell>
        </row>
        <row r="55">
          <cell r="B55">
            <v>10</v>
          </cell>
        </row>
        <row r="56">
          <cell r="B56">
            <v>9</v>
          </cell>
        </row>
        <row r="59">
          <cell r="B59">
            <v>450</v>
          </cell>
        </row>
        <row r="60">
          <cell r="B60">
            <v>84</v>
          </cell>
        </row>
        <row r="61">
          <cell r="B61">
            <v>1</v>
          </cell>
        </row>
        <row r="62">
          <cell r="B62">
            <v>22</v>
          </cell>
        </row>
        <row r="63">
          <cell r="B63">
            <v>2</v>
          </cell>
        </row>
        <row r="66">
          <cell r="B66">
            <v>24</v>
          </cell>
        </row>
        <row r="67">
          <cell r="B67">
            <v>7</v>
          </cell>
        </row>
        <row r="70">
          <cell r="B70">
            <v>87.25</v>
          </cell>
        </row>
        <row r="71">
          <cell r="B71">
            <v>2488.38</v>
          </cell>
        </row>
        <row r="72">
          <cell r="B72">
            <v>650</v>
          </cell>
        </row>
        <row r="73">
          <cell r="B73">
            <v>1112.1199999999999</v>
          </cell>
        </row>
        <row r="74">
          <cell r="B74">
            <v>749.4</v>
          </cell>
        </row>
        <row r="75">
          <cell r="B75">
            <v>1058.07</v>
          </cell>
        </row>
        <row r="76">
          <cell r="B76">
            <v>136.69</v>
          </cell>
        </row>
        <row r="77">
          <cell r="B77">
            <v>705.08</v>
          </cell>
        </row>
        <row r="80">
          <cell r="B80">
            <v>6</v>
          </cell>
        </row>
        <row r="81">
          <cell r="B81">
            <v>2</v>
          </cell>
        </row>
        <row r="82">
          <cell r="B82">
            <v>2</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ÉTRICA"/>
      <sheetName val="EXAUSTÃO"/>
      <sheetName val="TELECOM"/>
    </sheetNames>
    <sheetDataSet>
      <sheetData sheetId="0">
        <row r="11">
          <cell r="G11">
            <v>50999.995200000005</v>
          </cell>
        </row>
        <row r="19">
          <cell r="F19">
            <v>38.302199999999999</v>
          </cell>
        </row>
        <row r="20">
          <cell r="F20">
            <v>8.0277999999999992</v>
          </cell>
        </row>
        <row r="42">
          <cell r="F42">
            <v>2.1145999999999998</v>
          </cell>
        </row>
        <row r="43">
          <cell r="F43">
            <v>1.1779999999999999</v>
          </cell>
        </row>
        <row r="44">
          <cell r="F44">
            <v>1.18</v>
          </cell>
        </row>
        <row r="52">
          <cell r="F52">
            <v>23.427399999999999</v>
          </cell>
        </row>
        <row r="56">
          <cell r="F56">
            <v>5.6497999999999999</v>
          </cell>
        </row>
        <row r="60">
          <cell r="F60">
            <v>2.5501999999999998</v>
          </cell>
        </row>
        <row r="66">
          <cell r="F66">
            <v>2.4239999999999999</v>
          </cell>
        </row>
        <row r="76">
          <cell r="F76">
            <v>1.1561999999999999</v>
          </cell>
        </row>
        <row r="170">
          <cell r="F170">
            <v>5.3710000000000004</v>
          </cell>
        </row>
        <row r="173">
          <cell r="F173">
            <v>13.038</v>
          </cell>
        </row>
        <row r="174">
          <cell r="F174">
            <v>5.3710000000000004</v>
          </cell>
        </row>
        <row r="177">
          <cell r="F177">
            <v>1.6974</v>
          </cell>
        </row>
        <row r="178">
          <cell r="F178">
            <v>3.5259999999999998</v>
          </cell>
        </row>
      </sheetData>
      <sheetData sheetId="1"/>
      <sheetData sheetId="2">
        <row r="11">
          <cell r="G11">
            <v>39250.331800000007</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CTN_ORC_Tabela de parede ger"/>
      <sheetName val="02-CTN_ORC_Levantamento do mate"/>
      <sheetName val="09-CTN_ORC_Tabela de piso e tet"/>
      <sheetName val="03-CTN_ORC_FACHADA_Tabela de pa"/>
      <sheetName val="08-CTN_ORC_Tabela de telhado"/>
      <sheetName val="10-CTN_ORC_RODAPÉ_Tabela de mol"/>
      <sheetName val="11-CTN_ORC_FAIXA GARAGEM_Tabela"/>
      <sheetName val="12-CTN_ORC_Tabela de forro"/>
      <sheetName val="07-CTN_ORC_Tabela de guarda-cor"/>
      <sheetName val="04-CTN_ORC_Tabela de janela"/>
      <sheetName val="05-CTN_ORC_Tabela de porta"/>
      <sheetName val="06-CTN_ORC_Tabela de escada"/>
      <sheetName val="Instructions"/>
      <sheetName val="Param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10º Tipo (x24) 3</v>
          </cell>
        </row>
        <row r="2">
          <cell r="A2" t="str">
            <v>11º Tipo (24x) 4</v>
          </cell>
        </row>
        <row r="3">
          <cell r="A3" t="str">
            <v>12º Tipo (24x) 5</v>
          </cell>
        </row>
        <row r="4">
          <cell r="A4" t="str">
            <v>13º Tipo (24x) 6</v>
          </cell>
        </row>
        <row r="5">
          <cell r="A5" t="str">
            <v>14º Tipo (24x) 7</v>
          </cell>
        </row>
        <row r="6">
          <cell r="A6" t="str">
            <v>15º Tipo (24x) 8</v>
          </cell>
        </row>
        <row r="7">
          <cell r="A7" t="str">
            <v>16º Tipo (24x) 9</v>
          </cell>
        </row>
        <row r="8">
          <cell r="A8" t="str">
            <v>17º Tipo (24x) 10</v>
          </cell>
        </row>
        <row r="9">
          <cell r="A9" t="str">
            <v>18º Tipo (24x) 11</v>
          </cell>
        </row>
        <row r="10">
          <cell r="A10" t="str">
            <v>19º Tipo (24x) 12</v>
          </cell>
        </row>
        <row r="11">
          <cell r="A11" t="str">
            <v>20º Tipo (24x) 13</v>
          </cell>
        </row>
        <row r="12">
          <cell r="A12" t="str">
            <v>21º Tipo (24x) 14</v>
          </cell>
        </row>
        <row r="13">
          <cell r="A13" t="str">
            <v>22º Tipo (24x) 15</v>
          </cell>
        </row>
        <row r="14">
          <cell r="A14" t="str">
            <v>23º Tipo (24x) 16</v>
          </cell>
        </row>
        <row r="15">
          <cell r="A15" t="str">
            <v>24º Tipo (24x) 17</v>
          </cell>
        </row>
        <row r="16">
          <cell r="A16" t="str">
            <v>25º Tipo (24x) 18</v>
          </cell>
        </row>
        <row r="17">
          <cell r="A17" t="str">
            <v>26º Tipo (24x) 19</v>
          </cell>
        </row>
        <row r="18">
          <cell r="A18" t="str">
            <v>27º Tipo (24x) 20</v>
          </cell>
        </row>
        <row r="19">
          <cell r="A19" t="str">
            <v>28º Tipo (24x) 21</v>
          </cell>
        </row>
        <row r="20">
          <cell r="A20" t="str">
            <v>29º Tipo (24x) 22</v>
          </cell>
        </row>
        <row r="21">
          <cell r="A21" t="str">
            <v>2º Mezanino - G1</v>
          </cell>
        </row>
        <row r="22">
          <cell r="A22" t="str">
            <v>30º Tipo (24x) 23</v>
          </cell>
        </row>
        <row r="23">
          <cell r="A23" t="str">
            <v>31º Tipo (24x) 24</v>
          </cell>
        </row>
        <row r="24">
          <cell r="A24" t="str">
            <v>32º Duplex Inf.</v>
          </cell>
        </row>
        <row r="25">
          <cell r="A25" t="str">
            <v>33º Duplex Sup.</v>
          </cell>
        </row>
        <row r="26">
          <cell r="A26" t="str">
            <v>3º G2</v>
          </cell>
        </row>
        <row r="27">
          <cell r="A27" t="str">
            <v>4º G3</v>
          </cell>
        </row>
        <row r="28">
          <cell r="A28" t="str">
            <v>5º Tipo Dif 01/Lazer</v>
          </cell>
        </row>
        <row r="29">
          <cell r="A29" t="str">
            <v>6º Tipo Dif. 02</v>
          </cell>
        </row>
        <row r="30">
          <cell r="A30" t="str">
            <v>7º Tipo Dif. 03</v>
          </cell>
        </row>
        <row r="31">
          <cell r="A31" t="str">
            <v>8º Tipo (x24) 1</v>
          </cell>
        </row>
        <row r="32">
          <cell r="A32" t="str">
            <v>9º Tipo (x24) 2</v>
          </cell>
        </row>
        <row r="33">
          <cell r="A33" t="str">
            <v>Barrilete</v>
          </cell>
        </row>
        <row r="34">
          <cell r="A34" t="str">
            <v>Cobertura Casa Máq.</v>
          </cell>
        </row>
        <row r="35">
          <cell r="A35" t="str">
            <v>PAVIMENTO TÉRREO</v>
          </cell>
        </row>
        <row r="36">
          <cell r="A36" t="str">
            <v>PC Maq</v>
          </cell>
        </row>
        <row r="37">
          <cell r="A37" t="str">
            <v>Reservatório</v>
          </cell>
        </row>
        <row r="38">
          <cell r="A38" t="str">
            <v>Tampa Reserv.</v>
          </cell>
        </row>
        <row r="39">
          <cell r="A39" t="str">
            <v>Terreno</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2.emf"/><Relationship Id="rId4" Type="http://schemas.openxmlformats.org/officeDocument/2006/relationships/control" Target="../activeX/activeX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4"/>
  <sheetViews>
    <sheetView tabSelected="1" zoomScale="85" zoomScaleNormal="85" workbookViewId="0">
      <selection activeCell="K19" sqref="K19"/>
    </sheetView>
  </sheetViews>
  <sheetFormatPr defaultRowHeight="15" x14ac:dyDescent="0.25"/>
  <cols>
    <col min="1" max="1" width="60" bestFit="1" customWidth="1"/>
    <col min="2" max="2" width="21.85546875" bestFit="1" customWidth="1"/>
    <col min="3" max="3" width="12" customWidth="1"/>
    <col min="4" max="4" width="14.85546875" bestFit="1" customWidth="1"/>
    <col min="5" max="5" width="22.85546875" bestFit="1" customWidth="1"/>
    <col min="6" max="6" width="8.85546875" bestFit="1" customWidth="1"/>
    <col min="7" max="7" width="15.7109375" bestFit="1" customWidth="1"/>
    <col min="8" max="8" width="19.5703125" bestFit="1" customWidth="1"/>
    <col min="9" max="9" width="15.5703125" customWidth="1"/>
    <col min="11" max="11" width="26.42578125" customWidth="1"/>
    <col min="12" max="12" width="16.42578125" customWidth="1"/>
    <col min="17" max="17" width="58.7109375" bestFit="1" customWidth="1"/>
    <col min="18" max="18" width="15.140625" bestFit="1" customWidth="1"/>
    <col min="19" max="19" width="12.42578125" bestFit="1" customWidth="1"/>
  </cols>
  <sheetData>
    <row r="1" spans="1:19" ht="21.75" customHeight="1" x14ac:dyDescent="0.25">
      <c r="A1" s="738" t="s">
        <v>220</v>
      </c>
      <c r="B1" s="740" t="s">
        <v>1426</v>
      </c>
      <c r="C1" s="741"/>
      <c r="D1" s="742"/>
      <c r="E1" s="740" t="s">
        <v>1407</v>
      </c>
      <c r="F1" s="741"/>
      <c r="G1" s="742"/>
      <c r="H1" s="740" t="s">
        <v>1427</v>
      </c>
      <c r="I1" s="742"/>
    </row>
    <row r="2" spans="1:19" ht="21.75" x14ac:dyDescent="0.25">
      <c r="A2" s="739"/>
      <c r="B2" s="25" t="s">
        <v>221</v>
      </c>
      <c r="C2" s="25" t="s">
        <v>222</v>
      </c>
      <c r="D2" s="25" t="s">
        <v>223</v>
      </c>
      <c r="E2" s="25" t="s">
        <v>221</v>
      </c>
      <c r="F2" s="25" t="s">
        <v>222</v>
      </c>
      <c r="G2" s="25" t="s">
        <v>223</v>
      </c>
      <c r="H2" s="25" t="s">
        <v>221</v>
      </c>
      <c r="I2" s="25" t="s">
        <v>223</v>
      </c>
      <c r="K2" s="25" t="s">
        <v>224</v>
      </c>
      <c r="L2" s="63">
        <v>10722.5</v>
      </c>
      <c r="M2" s="64" t="s">
        <v>396</v>
      </c>
    </row>
    <row r="3" spans="1:19" x14ac:dyDescent="0.25">
      <c r="A3" t="str">
        <f>'CUSTOS DIRETOS'!A3</f>
        <v>1.1. GERENCIAMENTO TÉCNICO E ADMINISTRATIVO</v>
      </c>
      <c r="B3" s="705">
        <v>2786052.3478000001</v>
      </c>
      <c r="C3" s="706">
        <f>B3/$B$25</f>
        <v>9.5597832146422965E-2</v>
      </c>
      <c r="D3" s="707">
        <f>B3/$L$2</f>
        <v>259.83234766145955</v>
      </c>
      <c r="E3" s="710">
        <f>SUMIF('CUSTOS DIRETOS'!$A$3:$A$352,A3,'CUSTOS DIRETOS'!$E$3:$E$352)</f>
        <v>2786052.3478000001</v>
      </c>
      <c r="F3" s="706">
        <f t="shared" ref="F3:F24" si="0">E3/$E$25</f>
        <v>9.2272313272249509E-2</v>
      </c>
      <c r="G3" s="707">
        <f>E3/$L$2</f>
        <v>259.83234766145955</v>
      </c>
      <c r="H3" s="710">
        <f>E3-B3</f>
        <v>0</v>
      </c>
      <c r="I3" s="707">
        <f>G3-D3</f>
        <v>0</v>
      </c>
    </row>
    <row r="4" spans="1:19" x14ac:dyDescent="0.25">
      <c r="A4" t="s">
        <v>36</v>
      </c>
      <c r="B4" s="705">
        <v>110350.10999999999</v>
      </c>
      <c r="C4" s="706">
        <f t="shared" ref="C4:C24" si="1">B4/$B$25</f>
        <v>3.786444034854365E-3</v>
      </c>
      <c r="D4" s="707">
        <f t="shared" ref="D4:D24" si="2">B4/$L$2</f>
        <v>10.291453485660991</v>
      </c>
      <c r="E4" s="710">
        <f>SUMIF('CUSTOS DIRETOS'!$A$3:$A$352,A4,'CUSTOS DIRETOS'!$E$3:$E$352)</f>
        <v>110350.10999999999</v>
      </c>
      <c r="F4" s="706">
        <f t="shared" si="0"/>
        <v>3.6547267059025613E-3</v>
      </c>
      <c r="G4" s="707">
        <f t="shared" ref="G4:G24" si="3">E4/$L$2</f>
        <v>10.291453485660991</v>
      </c>
      <c r="H4" s="710">
        <f t="shared" ref="H4:H24" si="4">E4-B4</f>
        <v>0</v>
      </c>
      <c r="I4" s="707">
        <f t="shared" ref="I4:I24" si="5">G4-D4</f>
        <v>0</v>
      </c>
      <c r="S4" s="33"/>
    </row>
    <row r="5" spans="1:19" x14ac:dyDescent="0.25">
      <c r="A5" t="str">
        <f>'CUSTOS DIRETOS'!A42</f>
        <v>1.2.2. INFRAESTRUTURA</v>
      </c>
      <c r="B5" s="705">
        <v>2370948.8593000001</v>
      </c>
      <c r="C5" s="706">
        <f t="shared" si="1"/>
        <v>8.1354383473122474E-2</v>
      </c>
      <c r="D5" s="707">
        <f t="shared" si="2"/>
        <v>221.11903560736769</v>
      </c>
      <c r="E5" s="710">
        <f>SUMIF('CUSTOS DIRETOS'!$A$3:$A$352,A5,'CUSTOS DIRETOS'!$E$3:$E$352)</f>
        <v>2370948.8593000001</v>
      </c>
      <c r="F5" s="706">
        <f t="shared" si="0"/>
        <v>7.852434505423625E-2</v>
      </c>
      <c r="G5" s="707">
        <f t="shared" si="3"/>
        <v>221.11903560736769</v>
      </c>
      <c r="H5" s="710">
        <f t="shared" si="4"/>
        <v>0</v>
      </c>
      <c r="I5" s="707">
        <f t="shared" si="5"/>
        <v>0</v>
      </c>
      <c r="S5" s="33"/>
    </row>
    <row r="6" spans="1:19" x14ac:dyDescent="0.25">
      <c r="A6" s="49" t="str">
        <f>'CUSTOS DIRETOS'!A69</f>
        <v>1.2.3. SUPRAESTRUTURA</v>
      </c>
      <c r="B6" s="708">
        <v>5880203.6288000001</v>
      </c>
      <c r="C6" s="709">
        <f t="shared" si="1"/>
        <v>0.20176746497125153</v>
      </c>
      <c r="D6" s="707">
        <f t="shared" si="2"/>
        <v>548.39856645371879</v>
      </c>
      <c r="E6" s="711">
        <f>SUMIF('CUSTOS DIRETOS'!$A$3:$A$352,A6,'CUSTOS DIRETOS'!$E$3:$E$352)</f>
        <v>5880203.6288000001</v>
      </c>
      <c r="F6" s="709">
        <f t="shared" si="0"/>
        <v>0.19474867073825766</v>
      </c>
      <c r="G6" s="712">
        <f t="shared" si="3"/>
        <v>548.39856645371879</v>
      </c>
      <c r="H6" s="710">
        <f t="shared" si="4"/>
        <v>0</v>
      </c>
      <c r="I6" s="707">
        <f t="shared" si="5"/>
        <v>0</v>
      </c>
      <c r="S6" s="33"/>
    </row>
    <row r="7" spans="1:19" x14ac:dyDescent="0.25">
      <c r="A7" t="str">
        <f>'CUSTOS DIRETOS'!A103</f>
        <v>1.2.4. PAREDES E PAINÉIS</v>
      </c>
      <c r="B7" s="705">
        <v>1469000.417997</v>
      </c>
      <c r="C7" s="706">
        <f t="shared" si="1"/>
        <v>5.0405820800027389E-2</v>
      </c>
      <c r="D7" s="707">
        <f t="shared" si="2"/>
        <v>137.00167106523665</v>
      </c>
      <c r="E7" s="710">
        <f>SUMIF('CUSTOS DIRETOS'!$A$3:$A$352,A7,'CUSTOS DIRETOS'!$E$3:$E$352)</f>
        <v>1669970.0821979882</v>
      </c>
      <c r="F7" s="706">
        <f t="shared" si="0"/>
        <v>5.530836586811997E-2</v>
      </c>
      <c r="G7" s="707">
        <f t="shared" si="3"/>
        <v>155.74447024462469</v>
      </c>
      <c r="H7" s="710">
        <f t="shared" si="4"/>
        <v>200969.66420098813</v>
      </c>
      <c r="I7" s="707">
        <f t="shared" si="5"/>
        <v>18.742799179388044</v>
      </c>
      <c r="J7" t="s">
        <v>1430</v>
      </c>
      <c r="S7" s="33"/>
    </row>
    <row r="8" spans="1:19" x14ac:dyDescent="0.25">
      <c r="A8" t="str">
        <f>'CUSTOS DIRETOS'!A118</f>
        <v>1.2.5. IMPERMEABILIZAÇÃO E TRATAMENTOS</v>
      </c>
      <c r="B8" s="705">
        <v>717784.17149999994</v>
      </c>
      <c r="C8" s="706">
        <f t="shared" si="1"/>
        <v>2.462933289771127E-2</v>
      </c>
      <c r="D8" s="707">
        <f t="shared" si="2"/>
        <v>66.941867241781296</v>
      </c>
      <c r="E8" s="710">
        <f>SUMIF('CUSTOS DIRETOS'!$A$3:$A$352,A8,'CUSTOS DIRETOS'!$E$3:$E$352)</f>
        <v>717784.17149999994</v>
      </c>
      <c r="F8" s="706">
        <f t="shared" si="0"/>
        <v>2.3772563350006576E-2</v>
      </c>
      <c r="G8" s="707">
        <f t="shared" si="3"/>
        <v>66.941867241781296</v>
      </c>
      <c r="H8" s="710">
        <f t="shared" si="4"/>
        <v>0</v>
      </c>
      <c r="I8" s="707">
        <f t="shared" si="5"/>
        <v>0</v>
      </c>
      <c r="S8" s="33"/>
    </row>
    <row r="9" spans="1:19" x14ac:dyDescent="0.25">
      <c r="A9" t="str">
        <f>'CUSTOS DIRETOS'!A137</f>
        <v>1.2.6. SISTEMAS E INSTALAÇÕES HIDROSSANITÁRIAS E DRENAGEM</v>
      </c>
      <c r="B9" s="705">
        <v>933172.44500000007</v>
      </c>
      <c r="C9" s="706">
        <f t="shared" si="1"/>
        <v>3.201995211296766E-2</v>
      </c>
      <c r="D9" s="707">
        <f t="shared" si="2"/>
        <v>87.029372347866641</v>
      </c>
      <c r="E9" s="710">
        <f>SUMIF('CUSTOS DIRETOS'!$A$3:$A$352,A9,'CUSTOS DIRETOS'!$E$3:$E$352)</f>
        <v>933172.44500000007</v>
      </c>
      <c r="F9" s="706">
        <f t="shared" si="0"/>
        <v>3.090608841218092E-2</v>
      </c>
      <c r="G9" s="707">
        <f t="shared" si="3"/>
        <v>87.029372347866641</v>
      </c>
      <c r="H9" s="710">
        <f t="shared" si="4"/>
        <v>0</v>
      </c>
      <c r="I9" s="707">
        <f t="shared" si="5"/>
        <v>0</v>
      </c>
      <c r="S9" s="33"/>
    </row>
    <row r="10" spans="1:19" x14ac:dyDescent="0.25">
      <c r="A10" t="str">
        <f>'CUSTOS DIRETOS'!A151</f>
        <v>1.2.7. SISTEMAS E INSTALAÇÕES ELÉTRICAS</v>
      </c>
      <c r="B10" s="705">
        <v>1092655.48</v>
      </c>
      <c r="C10" s="706">
        <f t="shared" si="1"/>
        <v>3.7492294519660498E-2</v>
      </c>
      <c r="D10" s="707">
        <f t="shared" si="2"/>
        <v>101.90305245978084</v>
      </c>
      <c r="E10" s="710">
        <f>SUMIF('CUSTOS DIRETOS'!$A$3:$A$352,A10,'CUSTOS DIRETOS'!$E$3:$E$352)</f>
        <v>1092655.48</v>
      </c>
      <c r="F10" s="706">
        <f t="shared" si="0"/>
        <v>3.6188066900040089E-2</v>
      </c>
      <c r="G10" s="707">
        <f t="shared" si="3"/>
        <v>101.90305245978084</v>
      </c>
      <c r="H10" s="710">
        <f t="shared" si="4"/>
        <v>0</v>
      </c>
      <c r="I10" s="707">
        <f t="shared" si="5"/>
        <v>0</v>
      </c>
      <c r="S10" s="33"/>
    </row>
    <row r="11" spans="1:19" x14ac:dyDescent="0.25">
      <c r="A11" t="str">
        <f>'CUSTOS DIRETOS'!A167</f>
        <v>1.2.8. INSTALAÇÕES PREVENTIVAS</v>
      </c>
      <c r="B11" s="705">
        <v>255923.68</v>
      </c>
      <c r="C11" s="706">
        <f t="shared" si="1"/>
        <v>8.7815108794542882E-3</v>
      </c>
      <c r="D11" s="707">
        <f t="shared" si="2"/>
        <v>23.867911401259033</v>
      </c>
      <c r="E11" s="710">
        <f>SUMIF('CUSTOS DIRETOS'!$A$3:$A$352,A11,'CUSTOS DIRETOS'!$E$3:$E$352)</f>
        <v>255923.68</v>
      </c>
      <c r="F11" s="706">
        <f t="shared" si="0"/>
        <v>8.4760324024041427E-3</v>
      </c>
      <c r="G11" s="707">
        <f t="shared" si="3"/>
        <v>23.867911401259033</v>
      </c>
      <c r="H11" s="710">
        <f t="shared" si="4"/>
        <v>0</v>
      </c>
      <c r="I11" s="707">
        <f t="shared" si="5"/>
        <v>0</v>
      </c>
      <c r="S11" s="33"/>
    </row>
    <row r="12" spans="1:19" x14ac:dyDescent="0.25">
      <c r="A12" t="str">
        <f>'CUSTOS DIRETOS'!A177</f>
        <v>1.2.9. INSTALAÇÃO DE GÁS</v>
      </c>
      <c r="B12" s="705">
        <v>149949.79999999999</v>
      </c>
      <c r="C12" s="706">
        <f t="shared" si="1"/>
        <v>5.1452284527637084E-3</v>
      </c>
      <c r="D12" s="707">
        <f t="shared" si="2"/>
        <v>13.984593145255303</v>
      </c>
      <c r="E12" s="710">
        <f>SUMIF('CUSTOS DIRETOS'!$A$3:$A$352,A12,'CUSTOS DIRETOS'!$E$3:$E$352)</f>
        <v>149949.79999999999</v>
      </c>
      <c r="F12" s="706">
        <f t="shared" si="0"/>
        <v>4.9662437002078921E-3</v>
      </c>
      <c r="G12" s="707">
        <f t="shared" si="3"/>
        <v>13.984593145255303</v>
      </c>
      <c r="H12" s="710">
        <f t="shared" si="4"/>
        <v>0</v>
      </c>
      <c r="I12" s="707">
        <f t="shared" si="5"/>
        <v>0</v>
      </c>
      <c r="S12" s="33"/>
    </row>
    <row r="13" spans="1:19" x14ac:dyDescent="0.25">
      <c r="A13" t="str">
        <f>'CUSTOS DIRETOS'!A181</f>
        <v>1.2.10. INSTALAÇÕES DE COMUNICAÇÕES</v>
      </c>
      <c r="B13" s="705">
        <v>151300.45499999999</v>
      </c>
      <c r="C13" s="706">
        <f t="shared" si="1"/>
        <v>5.1915734864741072E-3</v>
      </c>
      <c r="D13" s="707">
        <f t="shared" si="2"/>
        <v>14.110557705758916</v>
      </c>
      <c r="E13" s="710">
        <f>SUMIF('CUSTOS DIRETOS'!$A$3:$A$352,A13,'CUSTOS DIRETOS'!$E$3:$E$352)</f>
        <v>151300.45499999999</v>
      </c>
      <c r="F13" s="706">
        <f t="shared" si="0"/>
        <v>5.0109765500343292E-3</v>
      </c>
      <c r="G13" s="707">
        <f t="shared" si="3"/>
        <v>14.110557705758916</v>
      </c>
      <c r="H13" s="710">
        <f t="shared" si="4"/>
        <v>0</v>
      </c>
      <c r="I13" s="707">
        <f t="shared" si="5"/>
        <v>0</v>
      </c>
      <c r="S13" s="33"/>
    </row>
    <row r="14" spans="1:19" x14ac:dyDescent="0.25">
      <c r="A14" t="str">
        <f>'CUSTOS DIRETOS'!A187</f>
        <v>1.2.11. EQUIPAMENTOS E SISTEMA ESPECIAIS</v>
      </c>
      <c r="B14" s="705">
        <v>1034051.99</v>
      </c>
      <c r="C14" s="706">
        <f t="shared" si="1"/>
        <v>3.548143259000635E-2</v>
      </c>
      <c r="D14" s="707">
        <f t="shared" si="2"/>
        <v>96.437583585917466</v>
      </c>
      <c r="E14" s="710">
        <f>SUMIF('CUSTOS DIRETOS'!$A$3:$A$352,A14,'CUSTOS DIRETOS'!$E$3:$E$352)</f>
        <v>1034051.99</v>
      </c>
      <c r="F14" s="706">
        <f t="shared" si="0"/>
        <v>3.4247155921681358E-2</v>
      </c>
      <c r="G14" s="707">
        <f t="shared" si="3"/>
        <v>96.437583585917466</v>
      </c>
      <c r="H14" s="710">
        <f t="shared" si="4"/>
        <v>0</v>
      </c>
      <c r="I14" s="707">
        <f t="shared" si="5"/>
        <v>0</v>
      </c>
      <c r="S14" s="33"/>
    </row>
    <row r="15" spans="1:19" x14ac:dyDescent="0.25">
      <c r="A15" t="str">
        <f>'CUSTOS DIRETOS'!A197</f>
        <v>1.2.12. CLIMATIZAÇÃO E EXAUSTÃO</v>
      </c>
      <c r="B15" s="705">
        <v>269762.89</v>
      </c>
      <c r="C15" s="706">
        <f t="shared" si="1"/>
        <v>9.256375781279913E-3</v>
      </c>
      <c r="D15" s="707">
        <f t="shared" si="2"/>
        <v>25.158581487526231</v>
      </c>
      <c r="E15" s="710">
        <f>SUMIF('CUSTOS DIRETOS'!$A$3:$A$352,A15,'CUSTOS DIRETOS'!$E$3:$E$352)</f>
        <v>269762.89</v>
      </c>
      <c r="F15" s="706">
        <f t="shared" si="0"/>
        <v>8.934378392051039E-3</v>
      </c>
      <c r="G15" s="707">
        <f t="shared" si="3"/>
        <v>25.158581487526231</v>
      </c>
      <c r="H15" s="710">
        <f t="shared" si="4"/>
        <v>0</v>
      </c>
      <c r="I15" s="707">
        <f t="shared" si="5"/>
        <v>0</v>
      </c>
      <c r="S15" s="33"/>
    </row>
    <row r="16" spans="1:19" x14ac:dyDescent="0.25">
      <c r="A16" t="str">
        <f>'CUSTOS DIRETOS'!A205</f>
        <v>1.2.13. REVESTIMENTOS INTERNOS DE PAREDE</v>
      </c>
      <c r="B16" s="705">
        <v>2033021.16613</v>
      </c>
      <c r="C16" s="706">
        <f t="shared" si="1"/>
        <v>6.9759068361831308E-2</v>
      </c>
      <c r="D16" s="707">
        <f t="shared" si="2"/>
        <v>189.60327965772908</v>
      </c>
      <c r="E16" s="710">
        <f>SUMIF('CUSTOS DIRETOS'!$A$3:$A$352,A16,'CUSTOS DIRETOS'!$E$3:$E$352)</f>
        <v>2179759.1564740553</v>
      </c>
      <c r="F16" s="706">
        <f t="shared" si="0"/>
        <v>7.2192261535592231E-2</v>
      </c>
      <c r="G16" s="707">
        <f t="shared" si="3"/>
        <v>203.28833354852463</v>
      </c>
      <c r="H16" s="710">
        <f t="shared" si="4"/>
        <v>146737.99034405523</v>
      </c>
      <c r="I16" s="707">
        <f t="shared" si="5"/>
        <v>13.685053890795558</v>
      </c>
      <c r="J16" t="s">
        <v>1431</v>
      </c>
      <c r="S16" s="33"/>
    </row>
    <row r="17" spans="1:19" x14ac:dyDescent="0.25">
      <c r="A17" t="str">
        <f>'CUSTOS DIRETOS'!A222</f>
        <v>1.2.14. REVESTIMENTOS E ACABAMENTOS INTERNOS EM TETO</v>
      </c>
      <c r="B17" s="705">
        <v>568584.15999999992</v>
      </c>
      <c r="C17" s="706">
        <f t="shared" si="1"/>
        <v>1.9509831942575134E-2</v>
      </c>
      <c r="D17" s="707">
        <f t="shared" si="2"/>
        <v>53.02720074609465</v>
      </c>
      <c r="E17" s="710">
        <f>SUMIF('CUSTOS DIRETOS'!$A$3:$A$352,A17,'CUSTOS DIRETOS'!$E$3:$E$352)</f>
        <v>568584.15999999992</v>
      </c>
      <c r="F17" s="706">
        <f t="shared" si="0"/>
        <v>1.8831152176515046E-2</v>
      </c>
      <c r="G17" s="707">
        <f t="shared" si="3"/>
        <v>53.02720074609465</v>
      </c>
      <c r="H17" s="710">
        <f t="shared" si="4"/>
        <v>0</v>
      </c>
      <c r="I17" s="707">
        <f t="shared" si="5"/>
        <v>0</v>
      </c>
      <c r="S17" s="33"/>
    </row>
    <row r="18" spans="1:19" x14ac:dyDescent="0.25">
      <c r="A18" t="str">
        <f>'CUSTOS DIRETOS'!A227</f>
        <v>1.2.15. PISOS E PAVIMENTAÇÕES</v>
      </c>
      <c r="B18" s="705">
        <v>2316031.8964</v>
      </c>
      <c r="C18" s="706">
        <f t="shared" si="1"/>
        <v>7.9470017371584156E-2</v>
      </c>
      <c r="D18" s="707">
        <f t="shared" si="2"/>
        <v>215.99737900676149</v>
      </c>
      <c r="E18" s="710">
        <f>SUMIF('CUSTOS DIRETOS'!$A$3:$A$352,A18,'CUSTOS DIRETOS'!$E$3:$E$352)</f>
        <v>2316031.8964</v>
      </c>
      <c r="F18" s="706">
        <f t="shared" si="0"/>
        <v>7.670552955040312E-2</v>
      </c>
      <c r="G18" s="707">
        <f t="shared" si="3"/>
        <v>215.99737900676149</v>
      </c>
      <c r="H18" s="710">
        <f t="shared" si="4"/>
        <v>0</v>
      </c>
      <c r="I18" s="707">
        <f t="shared" si="5"/>
        <v>0</v>
      </c>
      <c r="S18" s="33"/>
    </row>
    <row r="19" spans="1:19" x14ac:dyDescent="0.25">
      <c r="A19" t="str">
        <f>'CUSTOS DIRETOS'!A253</f>
        <v>1.2.16. SISTEMAS DE PINTURA INTERNA</v>
      </c>
      <c r="B19" s="705">
        <v>1570798.2000859999</v>
      </c>
      <c r="C19" s="706">
        <f t="shared" si="1"/>
        <v>5.3898808752212465E-2</v>
      </c>
      <c r="D19" s="707">
        <f t="shared" si="2"/>
        <v>146.49551877696433</v>
      </c>
      <c r="E19" s="710">
        <f>SUMIF('CUSTOS DIRETOS'!$A$3:$A$352,A19,'CUSTOS DIRETOS'!$E$3:$E$352)</f>
        <v>2128847.0649182112</v>
      </c>
      <c r="F19" s="706">
        <f t="shared" si="0"/>
        <v>7.050608486877695E-2</v>
      </c>
      <c r="G19" s="707">
        <f t="shared" si="3"/>
        <v>198.54017858878166</v>
      </c>
      <c r="H19" s="710">
        <f t="shared" si="4"/>
        <v>558048.86483221129</v>
      </c>
      <c r="I19" s="707">
        <f t="shared" si="5"/>
        <v>52.044659811817326</v>
      </c>
      <c r="J19" t="s">
        <v>1430</v>
      </c>
      <c r="S19" s="33"/>
    </row>
    <row r="20" spans="1:19" x14ac:dyDescent="0.25">
      <c r="A20" t="str">
        <f>'CUSTOS DIRETOS'!A275</f>
        <v>1.2.17. ESQUADRIAS, VIDROS E FERRAGENS</v>
      </c>
      <c r="B20" s="705">
        <v>2263600.1832000003</v>
      </c>
      <c r="C20" s="706">
        <f t="shared" si="1"/>
        <v>7.7670927659001784E-2</v>
      </c>
      <c r="D20" s="707">
        <f t="shared" si="2"/>
        <v>211.1075013476335</v>
      </c>
      <c r="E20" s="710">
        <f>SUMIF('CUSTOS DIRETOS'!$A$3:$A$352,A20,'CUSTOS DIRETOS'!$E$3:$E$352)</f>
        <v>2263600.1832000003</v>
      </c>
      <c r="F20" s="706">
        <f t="shared" si="0"/>
        <v>7.4969023964062867E-2</v>
      </c>
      <c r="G20" s="707">
        <f t="shared" si="3"/>
        <v>211.1075013476335</v>
      </c>
      <c r="H20" s="710">
        <f t="shared" si="4"/>
        <v>0</v>
      </c>
      <c r="I20" s="707">
        <f t="shared" si="5"/>
        <v>0</v>
      </c>
      <c r="S20" s="33"/>
    </row>
    <row r="21" spans="1:19" x14ac:dyDescent="0.25">
      <c r="A21" t="str">
        <f>'CUSTOS DIRETOS'!A300</f>
        <v>1.2.18. LOUÇAS E METAIS</v>
      </c>
      <c r="B21" s="705">
        <v>351077.93000000005</v>
      </c>
      <c r="C21" s="706">
        <f t="shared" si="1"/>
        <v>1.2046539272299036E-2</v>
      </c>
      <c r="D21" s="707">
        <f t="shared" si="2"/>
        <v>32.742171135462819</v>
      </c>
      <c r="E21" s="710">
        <f>SUMIF('CUSTOS DIRETOS'!$A$3:$A$352,A21,'CUSTOS DIRETOS'!$E$3:$E$352)</f>
        <v>351077.93000000005</v>
      </c>
      <c r="F21" s="706">
        <f t="shared" si="0"/>
        <v>1.1627481718178536E-2</v>
      </c>
      <c r="G21" s="707">
        <f t="shared" si="3"/>
        <v>32.742171135462819</v>
      </c>
      <c r="H21" s="710">
        <f t="shared" si="4"/>
        <v>0</v>
      </c>
      <c r="I21" s="707">
        <f t="shared" si="5"/>
        <v>0</v>
      </c>
      <c r="S21" s="33"/>
    </row>
    <row r="22" spans="1:19" x14ac:dyDescent="0.25">
      <c r="A22" t="str">
        <f>'CUSTOS DIRETOS'!A308</f>
        <v>1.2.19. REVESTIMENTO E ACABAMENTOS EM FACHADA</v>
      </c>
      <c r="B22" s="705">
        <v>1072274.261676</v>
      </c>
      <c r="C22" s="706">
        <f t="shared" si="1"/>
        <v>3.6792953644096585E-2</v>
      </c>
      <c r="D22" s="707">
        <f t="shared" si="2"/>
        <v>100.00226268836558</v>
      </c>
      <c r="E22" s="710">
        <f>SUMIF('CUSTOS DIRETOS'!$A$3:$A$352,A22,'CUSTOS DIRETOS'!$E$3:$E$352)</f>
        <v>1201333.8840381417</v>
      </c>
      <c r="F22" s="706">
        <f t="shared" si="0"/>
        <v>3.9787427748824607E-2</v>
      </c>
      <c r="G22" s="707">
        <f t="shared" si="3"/>
        <v>112.03859958387892</v>
      </c>
      <c r="H22" s="710">
        <f t="shared" si="4"/>
        <v>129059.62236214173</v>
      </c>
      <c r="I22" s="707">
        <f t="shared" si="5"/>
        <v>12.036336895513344</v>
      </c>
      <c r="J22" t="s">
        <v>1430</v>
      </c>
      <c r="S22" s="33"/>
    </row>
    <row r="23" spans="1:19" x14ac:dyDescent="0.25">
      <c r="A23" t="str">
        <f>'CUSTOS DIRETOS'!A329</f>
        <v>1.2.20. SERVIÇOS COMPLEMENTARES E FINAIS</v>
      </c>
      <c r="B23" s="705">
        <v>1316232.1351517695</v>
      </c>
      <c r="C23" s="706">
        <f t="shared" si="1"/>
        <v>4.5163881727250131E-2</v>
      </c>
      <c r="D23" s="707">
        <f t="shared" si="2"/>
        <v>122.75422104469756</v>
      </c>
      <c r="E23" s="710">
        <f>SUMIF('CUSTOS DIRETOS'!$A$3:$A$352,A23,'CUSTOS DIRETOS'!$E$3:$E$352)</f>
        <v>1316232.1351517695</v>
      </c>
      <c r="F23" s="706">
        <f t="shared" si="0"/>
        <v>4.3592786047121496E-2</v>
      </c>
      <c r="G23" s="707">
        <f t="shared" si="3"/>
        <v>122.75422104469756</v>
      </c>
      <c r="H23" s="710">
        <f t="shared" si="4"/>
        <v>0</v>
      </c>
      <c r="I23" s="707">
        <f t="shared" si="5"/>
        <v>0</v>
      </c>
      <c r="S23" s="33"/>
    </row>
    <row r="24" spans="1:19" x14ac:dyDescent="0.25">
      <c r="A24" t="str">
        <f>'CUSTOS DIRETOS'!A352</f>
        <v>1.2.21. IMPREVISTOS E CONTINGÊNCIAS</v>
      </c>
      <c r="B24" s="705">
        <v>430691.64312061161</v>
      </c>
      <c r="C24" s="706">
        <f t="shared" si="1"/>
        <v>1.4778325123152709E-2</v>
      </c>
      <c r="D24" s="707">
        <f t="shared" si="2"/>
        <v>40.167091920784479</v>
      </c>
      <c r="E24" s="710">
        <f>E30</f>
        <v>446213.88524670259</v>
      </c>
      <c r="F24" s="706">
        <f t="shared" si="0"/>
        <v>1.477832512315271E-2</v>
      </c>
      <c r="G24" s="707">
        <f t="shared" si="3"/>
        <v>41.614724667447199</v>
      </c>
      <c r="H24" s="710">
        <f t="shared" si="4"/>
        <v>15522.242126090976</v>
      </c>
      <c r="I24" s="707">
        <f t="shared" si="5"/>
        <v>1.4476327466627197</v>
      </c>
      <c r="S24" s="33"/>
    </row>
    <row r="25" spans="1:19" ht="21.75" x14ac:dyDescent="0.25">
      <c r="A25" s="704" t="s">
        <v>226</v>
      </c>
      <c r="B25" s="703">
        <f t="shared" ref="B25:I25" si="6">SUM(B3:B24)</f>
        <v>29143467.851161387</v>
      </c>
      <c r="C25" s="27">
        <f t="shared" si="6"/>
        <v>0.99999999999999989</v>
      </c>
      <c r="D25" s="28">
        <f t="shared" si="6"/>
        <v>2717.9732199730829</v>
      </c>
      <c r="E25" s="26">
        <f t="shared" si="6"/>
        <v>30193806.235026874</v>
      </c>
      <c r="F25" s="27">
        <f t="shared" si="6"/>
        <v>0.99999999999999989</v>
      </c>
      <c r="G25" s="28">
        <f t="shared" si="6"/>
        <v>2815.9297024972598</v>
      </c>
      <c r="H25" s="26">
        <f t="shared" si="6"/>
        <v>1050338.3838654873</v>
      </c>
      <c r="I25" s="28">
        <f t="shared" si="6"/>
        <v>97.956482524176991</v>
      </c>
      <c r="S25" s="33"/>
    </row>
    <row r="26" spans="1:19" ht="21.75" x14ac:dyDescent="0.25">
      <c r="A26" s="704" t="s">
        <v>227</v>
      </c>
      <c r="B26" s="29">
        <v>2752.67</v>
      </c>
      <c r="C26" s="34" t="s">
        <v>317</v>
      </c>
      <c r="D26" s="30" t="str">
        <f>ROUNDDOWN(D25/B26,2)&amp;" CUB"</f>
        <v>0,98 CUB</v>
      </c>
      <c r="E26" s="26"/>
      <c r="F26" s="26"/>
      <c r="G26" s="30" t="str">
        <f>ROUNDDOWN(G25/B26,2)&amp;" CUB"</f>
        <v>1,02 CUB</v>
      </c>
      <c r="H26" s="737">
        <f>H25/B25</f>
        <v>3.6040267727563198E-2</v>
      </c>
      <c r="I26" s="30" t="str">
        <f>ROUNDDOWN(I25/B26,2)&amp;" CUB"</f>
        <v>0,03 CUB</v>
      </c>
      <c r="K26" s="23"/>
      <c r="L26" s="23"/>
      <c r="S26" s="33"/>
    </row>
    <row r="29" spans="1:19" hidden="1" x14ac:dyDescent="0.25">
      <c r="E29" s="23">
        <f>SUM(E3:E23)</f>
        <v>29747592.349780172</v>
      </c>
    </row>
    <row r="30" spans="1:19" hidden="1" x14ac:dyDescent="0.25">
      <c r="E30" s="31">
        <f>E29*1.5%</f>
        <v>446213.88524670259</v>
      </c>
      <c r="F30" s="31"/>
    </row>
    <row r="34" spans="5:5" x14ac:dyDescent="0.25">
      <c r="E34" s="23"/>
    </row>
  </sheetData>
  <mergeCells count="4">
    <mergeCell ref="A1:A2"/>
    <mergeCell ref="B1:D1"/>
    <mergeCell ref="E1:G1"/>
    <mergeCell ref="H1:I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B792-F037-4C11-9ABC-915A4F71F2CB}">
  <sheetPr codeName="Planilha1"/>
  <dimension ref="A1:O358"/>
  <sheetViews>
    <sheetView showGridLines="0" workbookViewId="0">
      <selection activeCell="F113" sqref="F113"/>
    </sheetView>
  </sheetViews>
  <sheetFormatPr defaultRowHeight="15" outlineLevelRow="2" x14ac:dyDescent="0.25"/>
  <cols>
    <col min="1" max="1" width="36.5703125" bestFit="1" customWidth="1"/>
    <col min="2" max="2" width="11.42578125" style="620" customWidth="1"/>
    <col min="3" max="3" width="8.5703125" customWidth="1"/>
    <col min="4" max="4" width="14.28515625" customWidth="1"/>
    <col min="5" max="5" width="17.140625" customWidth="1"/>
    <col min="6" max="6" width="36" customWidth="1"/>
    <col min="7" max="7" width="51.5703125" customWidth="1"/>
    <col min="8" max="8" width="19.28515625" customWidth="1"/>
    <col min="9" max="9" width="16.140625" bestFit="1" customWidth="1"/>
    <col min="10" max="10" width="18.5703125" bestFit="1" customWidth="1"/>
    <col min="11" max="11" width="19.28515625" bestFit="1" customWidth="1"/>
    <col min="12" max="12" width="23.7109375" style="54" customWidth="1"/>
    <col min="13" max="13" width="19.28515625" bestFit="1" customWidth="1"/>
    <col min="14" max="14" width="19.28515625" customWidth="1"/>
    <col min="15" max="15" width="23" bestFit="1" customWidth="1"/>
  </cols>
  <sheetData>
    <row r="1" spans="1:12" x14ac:dyDescent="0.25">
      <c r="A1" s="1" t="s">
        <v>0</v>
      </c>
      <c r="B1" s="614" t="s">
        <v>1</v>
      </c>
      <c r="C1" s="3" t="s">
        <v>2</v>
      </c>
      <c r="D1" s="4" t="s">
        <v>3</v>
      </c>
      <c r="E1" s="4" t="s">
        <v>4</v>
      </c>
      <c r="F1" s="2"/>
    </row>
    <row r="2" spans="1:12" s="5" customFormat="1" ht="22.5" customHeight="1" x14ac:dyDescent="0.2">
      <c r="A2" s="19" t="s">
        <v>5</v>
      </c>
      <c r="B2" s="615"/>
      <c r="C2" s="19"/>
      <c r="D2" s="19"/>
      <c r="E2" s="6">
        <f>SUM(E3,E32)</f>
        <v>30193806.235026874</v>
      </c>
      <c r="F2" s="7"/>
      <c r="L2" s="55"/>
    </row>
    <row r="3" spans="1:12" ht="26.25" x14ac:dyDescent="0.25">
      <c r="A3" s="37" t="s">
        <v>6</v>
      </c>
      <c r="B3" s="616"/>
      <c r="C3" s="37"/>
      <c r="D3" s="37"/>
      <c r="E3" s="36">
        <f>'CUSTOS INDIRETOS'!E4</f>
        <v>2786052.3478000001</v>
      </c>
      <c r="F3" s="38"/>
    </row>
    <row r="4" spans="1:12" hidden="1" outlineLevel="1" x14ac:dyDescent="0.25">
      <c r="A4" s="13" t="s">
        <v>7</v>
      </c>
      <c r="B4" s="613"/>
      <c r="C4" s="13"/>
      <c r="D4" s="13"/>
      <c r="E4" s="14">
        <v>0</v>
      </c>
      <c r="F4" s="9"/>
    </row>
    <row r="5" spans="1:12" ht="26.25" hidden="1" outlineLevel="1" x14ac:dyDescent="0.25">
      <c r="A5" s="11" t="s">
        <v>8</v>
      </c>
      <c r="B5" s="605"/>
      <c r="C5" s="11"/>
      <c r="D5" s="11"/>
      <c r="E5" s="12">
        <v>0</v>
      </c>
      <c r="F5" s="8"/>
    </row>
    <row r="6" spans="1:12" hidden="1" outlineLevel="1" x14ac:dyDescent="0.25">
      <c r="A6" s="13" t="s">
        <v>9</v>
      </c>
      <c r="B6" s="613"/>
      <c r="C6" s="13"/>
      <c r="D6" s="13"/>
      <c r="E6" s="14">
        <v>0</v>
      </c>
      <c r="F6" s="9"/>
    </row>
    <row r="7" spans="1:12" hidden="1" outlineLevel="1" x14ac:dyDescent="0.25">
      <c r="A7" s="11" t="s">
        <v>10</v>
      </c>
      <c r="B7" s="605"/>
      <c r="C7" s="11"/>
      <c r="D7" s="11"/>
      <c r="E7" s="12">
        <v>0</v>
      </c>
      <c r="F7" s="8"/>
    </row>
    <row r="8" spans="1:12" hidden="1" outlineLevel="1" x14ac:dyDescent="0.25">
      <c r="A8" s="13" t="s">
        <v>11</v>
      </c>
      <c r="B8" s="613"/>
      <c r="C8" s="13"/>
      <c r="D8" s="13"/>
      <c r="E8" s="14">
        <v>0</v>
      </c>
      <c r="F8" s="9"/>
    </row>
    <row r="9" spans="1:12" hidden="1" outlineLevel="1" x14ac:dyDescent="0.25">
      <c r="A9" s="11" t="s">
        <v>12</v>
      </c>
      <c r="B9" s="605"/>
      <c r="C9" s="11"/>
      <c r="D9" s="11"/>
      <c r="E9" s="12">
        <v>0</v>
      </c>
      <c r="F9" s="8"/>
    </row>
    <row r="10" spans="1:12" hidden="1" outlineLevel="1" x14ac:dyDescent="0.25">
      <c r="A10" s="13" t="s">
        <v>13</v>
      </c>
      <c r="B10" s="613"/>
      <c r="C10" s="13"/>
      <c r="D10" s="13"/>
      <c r="E10" s="14">
        <v>0</v>
      </c>
      <c r="F10" s="9"/>
    </row>
    <row r="11" spans="1:12" ht="26.25" hidden="1" outlineLevel="1" x14ac:dyDescent="0.25">
      <c r="A11" s="11" t="s">
        <v>14</v>
      </c>
      <c r="B11" s="605"/>
      <c r="C11" s="11"/>
      <c r="D11" s="11"/>
      <c r="E11" s="12">
        <v>0</v>
      </c>
      <c r="F11" s="8"/>
    </row>
    <row r="12" spans="1:12" hidden="1" outlineLevel="1" x14ac:dyDescent="0.25">
      <c r="A12" s="13" t="s">
        <v>15</v>
      </c>
      <c r="B12" s="613"/>
      <c r="C12" s="13"/>
      <c r="D12" s="13"/>
      <c r="E12" s="14">
        <v>0</v>
      </c>
      <c r="F12" s="9"/>
    </row>
    <row r="13" spans="1:12" hidden="1" outlineLevel="1" x14ac:dyDescent="0.25">
      <c r="A13" s="11" t="s">
        <v>16</v>
      </c>
      <c r="B13" s="605"/>
      <c r="C13" s="11"/>
      <c r="D13" s="11"/>
      <c r="E13" s="12">
        <v>0</v>
      </c>
      <c r="F13" s="8"/>
    </row>
    <row r="14" spans="1:12" ht="26.25" hidden="1" outlineLevel="1" x14ac:dyDescent="0.25">
      <c r="A14" s="13" t="s">
        <v>17</v>
      </c>
      <c r="B14" s="613"/>
      <c r="C14" s="13"/>
      <c r="D14" s="13"/>
      <c r="E14" s="14">
        <v>0</v>
      </c>
      <c r="F14" s="9"/>
    </row>
    <row r="15" spans="1:12" hidden="1" outlineLevel="1" x14ac:dyDescent="0.25">
      <c r="A15" s="11" t="s">
        <v>18</v>
      </c>
      <c r="B15" s="605"/>
      <c r="C15" s="11"/>
      <c r="D15" s="11"/>
      <c r="E15" s="12">
        <v>0</v>
      </c>
      <c r="F15" s="8"/>
    </row>
    <row r="16" spans="1:12" hidden="1" outlineLevel="1" x14ac:dyDescent="0.25">
      <c r="A16" s="13" t="s">
        <v>19</v>
      </c>
      <c r="B16" s="613"/>
      <c r="C16" s="13"/>
      <c r="D16" s="13"/>
      <c r="E16" s="14">
        <v>0</v>
      </c>
      <c r="F16" s="9"/>
    </row>
    <row r="17" spans="1:7" hidden="1" outlineLevel="1" x14ac:dyDescent="0.25">
      <c r="A17" s="11" t="s">
        <v>20</v>
      </c>
      <c r="B17" s="605"/>
      <c r="C17" s="11"/>
      <c r="D17" s="11"/>
      <c r="E17" s="12">
        <v>0</v>
      </c>
      <c r="F17" s="8"/>
    </row>
    <row r="18" spans="1:7" hidden="1" outlineLevel="1" x14ac:dyDescent="0.25">
      <c r="A18" s="13" t="s">
        <v>21</v>
      </c>
      <c r="B18" s="613"/>
      <c r="C18" s="13"/>
      <c r="D18" s="13"/>
      <c r="E18" s="14">
        <v>0</v>
      </c>
      <c r="F18" s="9"/>
    </row>
    <row r="19" spans="1:7" ht="26.25" hidden="1" outlineLevel="1" x14ac:dyDescent="0.25">
      <c r="A19" s="11" t="s">
        <v>22</v>
      </c>
      <c r="B19" s="605"/>
      <c r="C19" s="11"/>
      <c r="D19" s="11"/>
      <c r="E19" s="12">
        <v>0</v>
      </c>
      <c r="F19" s="8"/>
    </row>
    <row r="20" spans="1:7" hidden="1" outlineLevel="1" x14ac:dyDescent="0.25">
      <c r="A20" s="13" t="s">
        <v>23</v>
      </c>
      <c r="B20" s="613"/>
      <c r="C20" s="13"/>
      <c r="D20" s="13"/>
      <c r="E20" s="14">
        <v>0</v>
      </c>
      <c r="F20" s="9"/>
    </row>
    <row r="21" spans="1:7" hidden="1" outlineLevel="1" x14ac:dyDescent="0.25">
      <c r="A21" s="11" t="s">
        <v>24</v>
      </c>
      <c r="B21" s="605"/>
      <c r="C21" s="11"/>
      <c r="D21" s="11"/>
      <c r="E21" s="12">
        <v>0</v>
      </c>
      <c r="F21" s="8"/>
    </row>
    <row r="22" spans="1:7" ht="26.25" hidden="1" outlineLevel="1" x14ac:dyDescent="0.25">
      <c r="A22" s="13" t="s">
        <v>25</v>
      </c>
      <c r="B22" s="613"/>
      <c r="C22" s="13"/>
      <c r="D22" s="13"/>
      <c r="E22" s="14">
        <v>0</v>
      </c>
      <c r="F22" s="9"/>
    </row>
    <row r="23" spans="1:7" hidden="1" outlineLevel="1" x14ac:dyDescent="0.25">
      <c r="A23" s="11" t="s">
        <v>26</v>
      </c>
      <c r="B23" s="605"/>
      <c r="C23" s="11"/>
      <c r="D23" s="11"/>
      <c r="E23" s="12">
        <v>0</v>
      </c>
      <c r="F23" s="8"/>
    </row>
    <row r="24" spans="1:7" hidden="1" outlineLevel="1" x14ac:dyDescent="0.25">
      <c r="A24" s="13" t="s">
        <v>27</v>
      </c>
      <c r="B24" s="613"/>
      <c r="C24" s="13"/>
      <c r="D24" s="13"/>
      <c r="E24" s="14">
        <v>0</v>
      </c>
      <c r="F24" s="9"/>
    </row>
    <row r="25" spans="1:7" hidden="1" outlineLevel="1" x14ac:dyDescent="0.25">
      <c r="A25" s="11" t="s">
        <v>28</v>
      </c>
      <c r="B25" s="605"/>
      <c r="C25" s="11"/>
      <c r="D25" s="11"/>
      <c r="E25" s="12">
        <v>0</v>
      </c>
      <c r="F25" s="8"/>
    </row>
    <row r="26" spans="1:7" hidden="1" outlineLevel="1" x14ac:dyDescent="0.25">
      <c r="A26" s="13" t="s">
        <v>29</v>
      </c>
      <c r="B26" s="613"/>
      <c r="C26" s="13"/>
      <c r="D26" s="13"/>
      <c r="E26" s="14">
        <v>0</v>
      </c>
      <c r="F26" s="9"/>
    </row>
    <row r="27" spans="1:7" hidden="1" outlineLevel="1" x14ac:dyDescent="0.25">
      <c r="A27" s="11" t="s">
        <v>30</v>
      </c>
      <c r="B27" s="605"/>
      <c r="C27" s="11"/>
      <c r="D27" s="11"/>
      <c r="E27" s="12">
        <v>0</v>
      </c>
      <c r="F27" s="8"/>
    </row>
    <row r="28" spans="1:7" hidden="1" outlineLevel="1" x14ac:dyDescent="0.25">
      <c r="A28" s="13" t="s">
        <v>31</v>
      </c>
      <c r="B28" s="613"/>
      <c r="C28" s="13"/>
      <c r="D28" s="13"/>
      <c r="E28" s="14">
        <v>0</v>
      </c>
      <c r="F28" s="9"/>
    </row>
    <row r="29" spans="1:7" ht="26.25" hidden="1" outlineLevel="1" x14ac:dyDescent="0.25">
      <c r="A29" s="11" t="s">
        <v>32</v>
      </c>
      <c r="B29" s="605"/>
      <c r="C29" s="11"/>
      <c r="D29" s="11"/>
      <c r="E29" s="12">
        <v>0</v>
      </c>
      <c r="F29" s="8"/>
    </row>
    <row r="30" spans="1:7" hidden="1" outlineLevel="1" x14ac:dyDescent="0.25">
      <c r="A30" s="13" t="s">
        <v>33</v>
      </c>
      <c r="B30" s="613"/>
      <c r="C30" s="13"/>
      <c r="D30" s="13"/>
      <c r="E30" s="14">
        <v>0</v>
      </c>
      <c r="F30" s="9"/>
    </row>
    <row r="31" spans="1:7" hidden="1" outlineLevel="1" x14ac:dyDescent="0.25">
      <c r="A31" s="11" t="s">
        <v>34</v>
      </c>
      <c r="B31" s="605"/>
      <c r="C31" s="11"/>
      <c r="D31" s="11"/>
      <c r="E31" s="12">
        <v>0</v>
      </c>
      <c r="F31" s="8"/>
    </row>
    <row r="32" spans="1:7" collapsed="1" x14ac:dyDescent="0.25">
      <c r="A32" s="37" t="s">
        <v>35</v>
      </c>
      <c r="B32" s="616"/>
      <c r="C32" s="37"/>
      <c r="D32" s="37"/>
      <c r="E32" s="36">
        <f>SUM(E33,E42,E69,E103,E118,E137,E151,E167,E177,E181,E187,E197,E205,E222,E227,E253,E275,E300,E308,E329,E352)</f>
        <v>27407753.887226872</v>
      </c>
      <c r="F32" s="38"/>
      <c r="G32" s="17"/>
    </row>
    <row r="33" spans="1:7" x14ac:dyDescent="0.25">
      <c r="A33" s="45" t="s">
        <v>36</v>
      </c>
      <c r="B33" s="617"/>
      <c r="C33" s="42"/>
      <c r="D33" s="42"/>
      <c r="E33" s="43">
        <f>E34</f>
        <v>110350.10999999999</v>
      </c>
      <c r="F33" s="44"/>
    </row>
    <row r="34" spans="1:7" outlineLevel="1" x14ac:dyDescent="0.25">
      <c r="A34" s="39" t="s">
        <v>37</v>
      </c>
      <c r="B34" s="618"/>
      <c r="C34" s="39"/>
      <c r="D34" s="39"/>
      <c r="E34" s="40">
        <f>SUM(E35,E38,E40)</f>
        <v>110350.10999999999</v>
      </c>
      <c r="F34" s="41"/>
    </row>
    <row r="35" spans="1:7" outlineLevel="1" x14ac:dyDescent="0.25">
      <c r="A35" s="11" t="s">
        <v>38</v>
      </c>
      <c r="B35" s="605"/>
      <c r="C35" s="11"/>
      <c r="D35" s="11"/>
      <c r="E35" s="18">
        <f>SUM(E36:E37)</f>
        <v>75830.01999999999</v>
      </c>
      <c r="F35" s="8"/>
    </row>
    <row r="36" spans="1:7" ht="26.25" outlineLevel="1" x14ac:dyDescent="0.25">
      <c r="A36" s="15" t="s">
        <v>1316</v>
      </c>
      <c r="B36" s="58">
        <f>ESCAVAÇÕES!D19</f>
        <v>1010.6474403186603</v>
      </c>
      <c r="C36" s="15" t="s">
        <v>39</v>
      </c>
      <c r="D36" s="15">
        <v>69.209999999999994</v>
      </c>
      <c r="E36" s="17">
        <v>69947.09</v>
      </c>
      <c r="F36" s="178" t="s">
        <v>451</v>
      </c>
    </row>
    <row r="37" spans="1:7" ht="26.25" outlineLevel="1" x14ac:dyDescent="0.25">
      <c r="A37" s="15" t="s">
        <v>1328</v>
      </c>
      <c r="B37" s="58">
        <f>ESCAVAÇÕES!E19</f>
        <v>431.29909173741385</v>
      </c>
      <c r="C37" s="15" t="s">
        <v>39</v>
      </c>
      <c r="D37" s="15">
        <v>13.64</v>
      </c>
      <c r="E37" s="17">
        <v>5882.93</v>
      </c>
      <c r="F37" s="178" t="s">
        <v>451</v>
      </c>
    </row>
    <row r="38" spans="1:7" ht="26.25" outlineLevel="1" x14ac:dyDescent="0.25">
      <c r="A38" s="11" t="s">
        <v>40</v>
      </c>
      <c r="B38" s="605"/>
      <c r="C38" s="11"/>
      <c r="D38" s="11"/>
      <c r="E38" s="18">
        <f>SUM(E39)</f>
        <v>1051.49</v>
      </c>
      <c r="F38" s="8"/>
    </row>
    <row r="39" spans="1:7" ht="26.25" outlineLevel="1" x14ac:dyDescent="0.25">
      <c r="A39" s="15" t="s">
        <v>1329</v>
      </c>
      <c r="B39" s="58">
        <f>ESCAVAÇÕES!H19</f>
        <v>37.337075999999996</v>
      </c>
      <c r="C39" s="15" t="s">
        <v>41</v>
      </c>
      <c r="D39" s="15">
        <v>28.16</v>
      </c>
      <c r="E39" s="17">
        <v>1051.49</v>
      </c>
      <c r="F39" s="178" t="s">
        <v>451</v>
      </c>
    </row>
    <row r="40" spans="1:7" outlineLevel="1" x14ac:dyDescent="0.25">
      <c r="A40" s="11" t="s">
        <v>42</v>
      </c>
      <c r="B40" s="605"/>
      <c r="C40" s="11"/>
      <c r="D40" s="11"/>
      <c r="E40" s="18">
        <f>SUM(E41)</f>
        <v>33468.6</v>
      </c>
      <c r="F40" s="8"/>
    </row>
    <row r="41" spans="1:7" ht="26.25" outlineLevel="1" x14ac:dyDescent="0.25">
      <c r="A41" s="15" t="s">
        <v>1330</v>
      </c>
      <c r="B41" s="58">
        <f>ESCAVAÇÕES!F19</f>
        <v>557.8114546688729</v>
      </c>
      <c r="C41" s="15" t="s">
        <v>39</v>
      </c>
      <c r="D41" s="15">
        <v>60</v>
      </c>
      <c r="E41" s="17">
        <v>33468.6</v>
      </c>
      <c r="F41" s="178" t="s">
        <v>451</v>
      </c>
    </row>
    <row r="42" spans="1:7" x14ac:dyDescent="0.25">
      <c r="A42" s="45" t="s">
        <v>43</v>
      </c>
      <c r="B42" s="617"/>
      <c r="C42" s="42"/>
      <c r="D42" s="42"/>
      <c r="E42" s="43">
        <f>SUM(E43,E54)</f>
        <v>2370948.8593000001</v>
      </c>
      <c r="F42" s="44"/>
    </row>
    <row r="43" spans="1:7" outlineLevel="1" x14ac:dyDescent="0.25">
      <c r="A43" s="39" t="s">
        <v>44</v>
      </c>
      <c r="B43" s="618"/>
      <c r="C43" s="39"/>
      <c r="D43" s="39"/>
      <c r="E43" s="40">
        <f>SUM(E44,E47,E50,E52)</f>
        <v>1279618.06</v>
      </c>
      <c r="F43" s="41"/>
    </row>
    <row r="44" spans="1:7" outlineLevel="1" x14ac:dyDescent="0.25">
      <c r="A44" s="11" t="s">
        <v>45</v>
      </c>
      <c r="B44" s="605"/>
      <c r="C44" s="11"/>
      <c r="D44" s="11"/>
      <c r="E44" s="18">
        <f>SUM(E45:E46)</f>
        <v>468060</v>
      </c>
      <c r="F44" s="8"/>
    </row>
    <row r="45" spans="1:7" ht="26.25" outlineLevel="1" x14ac:dyDescent="0.25">
      <c r="A45" s="15" t="s">
        <v>1331</v>
      </c>
      <c r="B45" s="58">
        <v>1827</v>
      </c>
      <c r="C45" s="15" t="s">
        <v>46</v>
      </c>
      <c r="D45" s="15">
        <v>100</v>
      </c>
      <c r="E45" s="17">
        <v>182700</v>
      </c>
      <c r="F45" s="178" t="s">
        <v>452</v>
      </c>
    </row>
    <row r="46" spans="1:7" ht="26.25" outlineLevel="1" x14ac:dyDescent="0.25">
      <c r="A46" s="15" t="s">
        <v>1332</v>
      </c>
      <c r="B46" s="58">
        <v>2378</v>
      </c>
      <c r="C46" s="15" t="s">
        <v>46</v>
      </c>
      <c r="D46" s="15">
        <v>120</v>
      </c>
      <c r="E46" s="17">
        <v>285360</v>
      </c>
      <c r="F46" s="178" t="s">
        <v>452</v>
      </c>
    </row>
    <row r="47" spans="1:7" outlineLevel="1" x14ac:dyDescent="0.25">
      <c r="A47" s="11" t="s">
        <v>47</v>
      </c>
      <c r="B47" s="605"/>
      <c r="C47" s="11"/>
      <c r="D47" s="11"/>
      <c r="E47" s="18">
        <f>SUM(E48:E49)</f>
        <v>65595.16</v>
      </c>
      <c r="F47" s="8"/>
    </row>
    <row r="48" spans="1:7" ht="26.25" outlineLevel="1" x14ac:dyDescent="0.25">
      <c r="A48" s="35" t="s">
        <v>1327</v>
      </c>
      <c r="B48" s="50">
        <v>1453</v>
      </c>
      <c r="C48" s="35" t="s">
        <v>48</v>
      </c>
      <c r="D48" s="35">
        <v>6.12</v>
      </c>
      <c r="E48" s="47">
        <f>B48*D48</f>
        <v>8892.36</v>
      </c>
      <c r="F48" s="178" t="s">
        <v>452</v>
      </c>
      <c r="G48" t="s">
        <v>1357</v>
      </c>
    </row>
    <row r="49" spans="1:7" ht="26.25" outlineLevel="1" x14ac:dyDescent="0.25">
      <c r="A49" s="35" t="s">
        <v>49</v>
      </c>
      <c r="B49" s="50">
        <v>9205</v>
      </c>
      <c r="C49" s="35" t="s">
        <v>48</v>
      </c>
      <c r="D49" s="35">
        <v>6.16</v>
      </c>
      <c r="E49" s="47">
        <f>B49*D49</f>
        <v>56702.8</v>
      </c>
      <c r="F49" s="178" t="s">
        <v>452</v>
      </c>
      <c r="G49" t="s">
        <v>1357</v>
      </c>
    </row>
    <row r="50" spans="1:7" outlineLevel="1" x14ac:dyDescent="0.25">
      <c r="A50" s="11" t="s">
        <v>50</v>
      </c>
      <c r="B50" s="605"/>
      <c r="C50" s="11"/>
      <c r="D50" s="11"/>
      <c r="E50" s="18">
        <f>SUM(E51)</f>
        <v>730012.9</v>
      </c>
      <c r="F50" s="8"/>
    </row>
    <row r="51" spans="1:7" ht="26.25" outlineLevel="1" x14ac:dyDescent="0.25">
      <c r="A51" s="35" t="s">
        <v>1323</v>
      </c>
      <c r="B51" s="50">
        <v>1237.31</v>
      </c>
      <c r="C51" s="35" t="s">
        <v>39</v>
      </c>
      <c r="D51" s="35">
        <v>590</v>
      </c>
      <c r="E51" s="47">
        <f>B51*D51</f>
        <v>730012.9</v>
      </c>
      <c r="F51" s="178" t="s">
        <v>452</v>
      </c>
      <c r="G51" t="s">
        <v>1324</v>
      </c>
    </row>
    <row r="52" spans="1:7" outlineLevel="1" x14ac:dyDescent="0.25">
      <c r="A52" s="11" t="s">
        <v>51</v>
      </c>
      <c r="B52" s="605"/>
      <c r="C52" s="11"/>
      <c r="D52" s="11"/>
      <c r="E52" s="18">
        <f>SUM(E53)</f>
        <v>15950</v>
      </c>
      <c r="F52" s="8"/>
    </row>
    <row r="53" spans="1:7" ht="26.25" outlineLevel="1" x14ac:dyDescent="0.25">
      <c r="A53" s="15" t="s">
        <v>52</v>
      </c>
      <c r="B53" s="58">
        <v>145</v>
      </c>
      <c r="C53" s="15" t="s">
        <v>53</v>
      </c>
      <c r="D53" s="15">
        <v>110</v>
      </c>
      <c r="E53" s="17">
        <f>B53*D53</f>
        <v>15950</v>
      </c>
      <c r="F53" s="178" t="s">
        <v>452</v>
      </c>
    </row>
    <row r="54" spans="1:7" outlineLevel="1" x14ac:dyDescent="0.25">
      <c r="A54" s="39" t="s">
        <v>54</v>
      </c>
      <c r="B54" s="618"/>
      <c r="C54" s="39"/>
      <c r="D54" s="39"/>
      <c r="E54" s="40">
        <f>SUM(E55,E57,E65,E67)</f>
        <v>1091330.7993000001</v>
      </c>
      <c r="F54" s="41"/>
    </row>
    <row r="55" spans="1:7" outlineLevel="1" x14ac:dyDescent="0.25">
      <c r="A55" s="11" t="s">
        <v>55</v>
      </c>
      <c r="B55" s="605"/>
      <c r="C55" s="11"/>
      <c r="D55" s="11"/>
      <c r="E55" s="18">
        <f>SUM(E56)</f>
        <v>196335.23929999999</v>
      </c>
      <c r="F55" s="8"/>
    </row>
    <row r="56" spans="1:7" ht="39" outlineLevel="1" x14ac:dyDescent="0.25">
      <c r="A56" s="15" t="s">
        <v>1317</v>
      </c>
      <c r="B56" s="58">
        <v>2402.83</v>
      </c>
      <c r="C56" s="15" t="s">
        <v>41</v>
      </c>
      <c r="D56" s="15">
        <v>81.709999999999994</v>
      </c>
      <c r="E56" s="17">
        <f>B56*D56</f>
        <v>196335.23929999999</v>
      </c>
      <c r="F56" s="178" t="s">
        <v>453</v>
      </c>
    </row>
    <row r="57" spans="1:7" outlineLevel="1" x14ac:dyDescent="0.25">
      <c r="A57" s="11" t="s">
        <v>56</v>
      </c>
      <c r="B57" s="605"/>
      <c r="C57" s="11"/>
      <c r="D57" s="11"/>
      <c r="E57" s="18">
        <f>SUM(E58:E64)</f>
        <v>288038.98</v>
      </c>
      <c r="F57" s="8"/>
    </row>
    <row r="58" spans="1:7" ht="26.25" outlineLevel="1" x14ac:dyDescent="0.25">
      <c r="A58" s="35" t="s">
        <v>1333</v>
      </c>
      <c r="B58" s="50">
        <f>BALDRAMES!G15</f>
        <v>499</v>
      </c>
      <c r="C58" s="35" t="s">
        <v>48</v>
      </c>
      <c r="D58" s="35">
        <v>7.97</v>
      </c>
      <c r="E58" s="47">
        <f>B58*D58</f>
        <v>3977.0299999999997</v>
      </c>
      <c r="F58" s="178" t="s">
        <v>453</v>
      </c>
      <c r="G58" t="s">
        <v>1357</v>
      </c>
    </row>
    <row r="59" spans="1:7" ht="26.25" outlineLevel="1" x14ac:dyDescent="0.25">
      <c r="A59" s="35" t="s">
        <v>1334</v>
      </c>
      <c r="B59" s="50">
        <f>BALDRAMES!H15</f>
        <v>3871</v>
      </c>
      <c r="C59" s="35" t="s">
        <v>48</v>
      </c>
      <c r="D59" s="35">
        <v>6.12</v>
      </c>
      <c r="E59" s="47">
        <f t="shared" ref="E59:E64" si="0">B59*D59</f>
        <v>23690.52</v>
      </c>
      <c r="F59" s="178" t="s">
        <v>453</v>
      </c>
      <c r="G59" t="s">
        <v>1357</v>
      </c>
    </row>
    <row r="60" spans="1:7" ht="26.25" outlineLevel="1" x14ac:dyDescent="0.25">
      <c r="A60" s="35" t="s">
        <v>1335</v>
      </c>
      <c r="B60" s="50">
        <f>BALDRAMES!I15</f>
        <v>5528</v>
      </c>
      <c r="C60" s="35" t="s">
        <v>48</v>
      </c>
      <c r="D60" s="50">
        <v>6.6</v>
      </c>
      <c r="E60" s="47">
        <f t="shared" si="0"/>
        <v>36484.799999999996</v>
      </c>
      <c r="F60" s="178" t="s">
        <v>453</v>
      </c>
      <c r="G60" t="s">
        <v>1357</v>
      </c>
    </row>
    <row r="61" spans="1:7" ht="26.25" outlineLevel="1" x14ac:dyDescent="0.25">
      <c r="A61" s="35" t="s">
        <v>1336</v>
      </c>
      <c r="B61" s="50">
        <f>BALDRAMES!J15</f>
        <v>6589</v>
      </c>
      <c r="C61" s="35" t="s">
        <v>48</v>
      </c>
      <c r="D61" s="35">
        <v>6.35</v>
      </c>
      <c r="E61" s="47">
        <f t="shared" si="0"/>
        <v>41840.149999999994</v>
      </c>
      <c r="F61" s="178" t="s">
        <v>453</v>
      </c>
      <c r="G61" t="s">
        <v>1357</v>
      </c>
    </row>
    <row r="62" spans="1:7" ht="26.25" outlineLevel="1" x14ac:dyDescent="0.25">
      <c r="A62" s="35" t="s">
        <v>1337</v>
      </c>
      <c r="B62" s="50">
        <f>BALDRAMES!K15</f>
        <v>7914</v>
      </c>
      <c r="C62" s="35" t="s">
        <v>48</v>
      </c>
      <c r="D62" s="35">
        <v>6.16</v>
      </c>
      <c r="E62" s="47">
        <f t="shared" si="0"/>
        <v>48750.239999999998</v>
      </c>
      <c r="F62" s="178" t="s">
        <v>453</v>
      </c>
      <c r="G62" t="s">
        <v>1357</v>
      </c>
    </row>
    <row r="63" spans="1:7" ht="26.25" outlineLevel="1" x14ac:dyDescent="0.25">
      <c r="A63" s="35" t="s">
        <v>1338</v>
      </c>
      <c r="B63" s="50">
        <f>BALDRAMES!L15</f>
        <v>4237</v>
      </c>
      <c r="C63" s="35" t="s">
        <v>48</v>
      </c>
      <c r="D63" s="35">
        <v>6.16</v>
      </c>
      <c r="E63" s="47">
        <f t="shared" si="0"/>
        <v>26099.920000000002</v>
      </c>
      <c r="F63" s="178" t="s">
        <v>453</v>
      </c>
      <c r="G63" t="s">
        <v>1357</v>
      </c>
    </row>
    <row r="64" spans="1:7" ht="26.25" outlineLevel="1" x14ac:dyDescent="0.25">
      <c r="A64" s="35" t="s">
        <v>1339</v>
      </c>
      <c r="B64" s="50">
        <f>BALDRAMES!M15</f>
        <v>17402</v>
      </c>
      <c r="C64" s="35" t="s">
        <v>48</v>
      </c>
      <c r="D64" s="35">
        <v>6.16</v>
      </c>
      <c r="E64" s="47">
        <f t="shared" si="0"/>
        <v>107196.32</v>
      </c>
      <c r="F64" s="178" t="s">
        <v>453</v>
      </c>
      <c r="G64" t="s">
        <v>1357</v>
      </c>
    </row>
    <row r="65" spans="1:7" outlineLevel="1" x14ac:dyDescent="0.25">
      <c r="A65" s="11" t="s">
        <v>57</v>
      </c>
      <c r="B65" s="605"/>
      <c r="C65" s="11"/>
      <c r="D65" s="11"/>
      <c r="E65" s="18">
        <f>SUM(E66)</f>
        <v>318506.58</v>
      </c>
      <c r="F65" s="8"/>
    </row>
    <row r="66" spans="1:7" ht="26.25" outlineLevel="1" x14ac:dyDescent="0.25">
      <c r="A66" s="15" t="s">
        <v>58</v>
      </c>
      <c r="B66" s="58">
        <v>561.74</v>
      </c>
      <c r="C66" s="15" t="s">
        <v>39</v>
      </c>
      <c r="D66" s="58">
        <v>567</v>
      </c>
      <c r="E66" s="17">
        <f>D66*B66</f>
        <v>318506.58</v>
      </c>
      <c r="F66" s="178" t="s">
        <v>453</v>
      </c>
    </row>
    <row r="67" spans="1:7" outlineLevel="1" x14ac:dyDescent="0.25">
      <c r="A67" s="11" t="s">
        <v>59</v>
      </c>
      <c r="B67" s="605"/>
      <c r="C67" s="11"/>
      <c r="D67" s="605"/>
      <c r="E67" s="18">
        <f>SUM(E68)</f>
        <v>288450</v>
      </c>
      <c r="F67" s="8"/>
    </row>
    <row r="68" spans="1:7" ht="26.25" outlineLevel="1" x14ac:dyDescent="0.25">
      <c r="A68" s="15" t="s">
        <v>1341</v>
      </c>
      <c r="B68" s="58">
        <v>1153.8</v>
      </c>
      <c r="C68" s="15" t="s">
        <v>41</v>
      </c>
      <c r="D68" s="50">
        <v>250</v>
      </c>
      <c r="E68" s="17">
        <f>B68*D68</f>
        <v>288450</v>
      </c>
      <c r="F68" s="178" t="s">
        <v>454</v>
      </c>
    </row>
    <row r="69" spans="1:7" x14ac:dyDescent="0.25">
      <c r="A69" s="45" t="s">
        <v>60</v>
      </c>
      <c r="B69" s="617"/>
      <c r="C69" s="42"/>
      <c r="D69" s="42"/>
      <c r="E69" s="43">
        <f>E70</f>
        <v>5880203.6288000001</v>
      </c>
      <c r="F69" s="44"/>
    </row>
    <row r="70" spans="1:7" outlineLevel="1" x14ac:dyDescent="0.25">
      <c r="A70" s="39" t="s">
        <v>61</v>
      </c>
      <c r="B70" s="618"/>
      <c r="C70" s="39"/>
      <c r="D70" s="39"/>
      <c r="E70" s="40">
        <f>SUM(E71,E80,E88,E90,E100)</f>
        <v>5880203.6288000001</v>
      </c>
      <c r="F70" s="41"/>
    </row>
    <row r="71" spans="1:7" outlineLevel="1" x14ac:dyDescent="0.25">
      <c r="A71" s="11" t="s">
        <v>62</v>
      </c>
      <c r="B71" s="605"/>
      <c r="C71" s="11"/>
      <c r="D71" s="11"/>
      <c r="E71" s="18">
        <f>SUM(E72:E79)</f>
        <v>192047.97279999999</v>
      </c>
      <c r="F71" s="8"/>
    </row>
    <row r="72" spans="1:7" ht="39" outlineLevel="1" x14ac:dyDescent="0.25">
      <c r="A72" s="15" t="s">
        <v>1318</v>
      </c>
      <c r="B72" s="58">
        <v>586.11</v>
      </c>
      <c r="C72" s="15" t="s">
        <v>41</v>
      </c>
      <c r="D72" s="15">
        <v>119.01</v>
      </c>
      <c r="E72" s="17">
        <f>B72*D72</f>
        <v>69752.951100000006</v>
      </c>
      <c r="F72" s="178" t="s">
        <v>501</v>
      </c>
      <c r="G72" s="54" t="s">
        <v>1322</v>
      </c>
    </row>
    <row r="73" spans="1:7" ht="39" outlineLevel="1" x14ac:dyDescent="0.25">
      <c r="A73" s="15" t="s">
        <v>1319</v>
      </c>
      <c r="B73" s="58">
        <v>512.45000000000005</v>
      </c>
      <c r="C73" s="15" t="s">
        <v>41</v>
      </c>
      <c r="D73" s="15">
        <v>76.25</v>
      </c>
      <c r="E73" s="17">
        <f t="shared" ref="E73:E75" si="1">B73*D73</f>
        <v>39074.3125</v>
      </c>
      <c r="F73" s="178" t="s">
        <v>501</v>
      </c>
      <c r="G73" t="s">
        <v>1313</v>
      </c>
    </row>
    <row r="74" spans="1:7" ht="39" outlineLevel="1" x14ac:dyDescent="0.25">
      <c r="A74" s="15" t="s">
        <v>1320</v>
      </c>
      <c r="B74" s="58">
        <v>180.15</v>
      </c>
      <c r="C74" s="15" t="s">
        <v>41</v>
      </c>
      <c r="D74" s="15">
        <v>51.2</v>
      </c>
      <c r="E74" s="17">
        <f t="shared" si="1"/>
        <v>9223.68</v>
      </c>
      <c r="F74" s="178" t="s">
        <v>501</v>
      </c>
    </row>
    <row r="75" spans="1:7" ht="51.75" outlineLevel="1" x14ac:dyDescent="0.25">
      <c r="A75" s="15" t="s">
        <v>1321</v>
      </c>
      <c r="B75" s="58">
        <f>40.11+116.33</f>
        <v>156.44</v>
      </c>
      <c r="C75" s="15" t="s">
        <v>41</v>
      </c>
      <c r="D75" s="15">
        <v>121.43</v>
      </c>
      <c r="E75" s="17">
        <f t="shared" si="1"/>
        <v>18996.5092</v>
      </c>
      <c r="F75" s="178" t="s">
        <v>501</v>
      </c>
    </row>
    <row r="76" spans="1:7" ht="26.25" outlineLevel="1" x14ac:dyDescent="0.25">
      <c r="A76" s="15" t="s">
        <v>1342</v>
      </c>
      <c r="B76" s="58">
        <v>5861.11</v>
      </c>
      <c r="C76" s="15" t="s">
        <v>41</v>
      </c>
      <c r="D76" s="15">
        <v>2.81</v>
      </c>
      <c r="E76" s="17">
        <v>16469.72</v>
      </c>
      <c r="F76" s="178" t="s">
        <v>501</v>
      </c>
    </row>
    <row r="77" spans="1:7" ht="26.25" outlineLevel="1" x14ac:dyDescent="0.25">
      <c r="A77" s="15" t="s">
        <v>1343</v>
      </c>
      <c r="B77" s="58">
        <v>5124.5</v>
      </c>
      <c r="C77" s="15" t="s">
        <v>41</v>
      </c>
      <c r="D77" s="15">
        <v>4.57</v>
      </c>
      <c r="E77" s="17">
        <v>23418.97</v>
      </c>
      <c r="F77" s="178" t="s">
        <v>501</v>
      </c>
    </row>
    <row r="78" spans="1:7" ht="26.25" outlineLevel="1" x14ac:dyDescent="0.25">
      <c r="A78" s="15" t="s">
        <v>1344</v>
      </c>
      <c r="B78" s="58">
        <v>1801.52</v>
      </c>
      <c r="C78" s="15" t="s">
        <v>41</v>
      </c>
      <c r="D78" s="15">
        <v>6.59</v>
      </c>
      <c r="E78" s="17">
        <v>11872.02</v>
      </c>
      <c r="F78" s="178" t="s">
        <v>501</v>
      </c>
    </row>
    <row r="79" spans="1:7" ht="39" outlineLevel="1" x14ac:dyDescent="0.25">
      <c r="A79" s="15" t="s">
        <v>1345</v>
      </c>
      <c r="B79" s="58">
        <v>590.13</v>
      </c>
      <c r="C79" s="15" t="s">
        <v>41</v>
      </c>
      <c r="D79" s="15">
        <v>5.49</v>
      </c>
      <c r="E79" s="17">
        <v>3239.81</v>
      </c>
      <c r="F79" s="178" t="s">
        <v>501</v>
      </c>
    </row>
    <row r="80" spans="1:7" outlineLevel="1" x14ac:dyDescent="0.25">
      <c r="A80" s="11" t="s">
        <v>63</v>
      </c>
      <c r="B80" s="605"/>
      <c r="C80" s="11"/>
      <c r="D80" s="11"/>
      <c r="E80" s="18">
        <f>SUM(E81:E87)</f>
        <v>1362790.92</v>
      </c>
      <c r="F80" s="8"/>
    </row>
    <row r="81" spans="1:7" ht="26.25" outlineLevel="1" x14ac:dyDescent="0.25">
      <c r="A81" s="15" t="s">
        <v>1346</v>
      </c>
      <c r="B81" s="58">
        <v>10724</v>
      </c>
      <c r="C81" s="15" t="s">
        <v>48</v>
      </c>
      <c r="D81" s="15">
        <v>7.98</v>
      </c>
      <c r="E81" s="17">
        <f>B81*D81</f>
        <v>85577.52</v>
      </c>
      <c r="F81" s="178" t="s">
        <v>501</v>
      </c>
      <c r="G81" t="s">
        <v>1340</v>
      </c>
    </row>
    <row r="82" spans="1:7" ht="26.25" outlineLevel="1" x14ac:dyDescent="0.25">
      <c r="A82" s="15" t="s">
        <v>1347</v>
      </c>
      <c r="B82" s="58">
        <v>9113</v>
      </c>
      <c r="C82" s="15" t="s">
        <v>48</v>
      </c>
      <c r="D82" s="15">
        <v>6.87</v>
      </c>
      <c r="E82" s="17">
        <f t="shared" ref="E82:E87" si="2">B82*D82</f>
        <v>62606.31</v>
      </c>
      <c r="F82" s="178" t="s">
        <v>501</v>
      </c>
    </row>
    <row r="83" spans="1:7" ht="26.25" outlineLevel="1" x14ac:dyDescent="0.25">
      <c r="A83" s="15" t="s">
        <v>1348</v>
      </c>
      <c r="B83" s="58">
        <v>23404</v>
      </c>
      <c r="C83" s="15" t="s">
        <v>48</v>
      </c>
      <c r="D83" s="15">
        <v>6.69</v>
      </c>
      <c r="E83" s="17">
        <f t="shared" si="2"/>
        <v>156572.76</v>
      </c>
      <c r="F83" s="178" t="s">
        <v>501</v>
      </c>
    </row>
    <row r="84" spans="1:7" ht="26.25" outlineLevel="1" x14ac:dyDescent="0.25">
      <c r="A84" s="15" t="s">
        <v>1349</v>
      </c>
      <c r="B84" s="58">
        <v>18027</v>
      </c>
      <c r="C84" s="15" t="s">
        <v>48</v>
      </c>
      <c r="D84" s="15">
        <v>6.41</v>
      </c>
      <c r="E84" s="17">
        <f t="shared" si="2"/>
        <v>115553.07</v>
      </c>
      <c r="F84" s="178" t="s">
        <v>501</v>
      </c>
    </row>
    <row r="85" spans="1:7" ht="26.25" outlineLevel="1" x14ac:dyDescent="0.25">
      <c r="A85" s="15" t="s">
        <v>1350</v>
      </c>
      <c r="B85" s="58">
        <v>71118</v>
      </c>
      <c r="C85" s="15" t="s">
        <v>48</v>
      </c>
      <c r="D85" s="15">
        <v>6.2</v>
      </c>
      <c r="E85" s="17">
        <f t="shared" si="2"/>
        <v>440931.60000000003</v>
      </c>
      <c r="F85" s="178" t="s">
        <v>501</v>
      </c>
    </row>
    <row r="86" spans="1:7" ht="26.25" outlineLevel="1" x14ac:dyDescent="0.25">
      <c r="A86" s="15" t="s">
        <v>1351</v>
      </c>
      <c r="B86" s="58">
        <v>48396</v>
      </c>
      <c r="C86" s="15" t="s">
        <v>48</v>
      </c>
      <c r="D86" s="15">
        <v>6.18</v>
      </c>
      <c r="E86" s="17">
        <f t="shared" si="2"/>
        <v>299087.27999999997</v>
      </c>
      <c r="F86" s="178" t="s">
        <v>501</v>
      </c>
    </row>
    <row r="87" spans="1:7" ht="26.25" outlineLevel="1" x14ac:dyDescent="0.25">
      <c r="A87" s="15" t="s">
        <v>1352</v>
      </c>
      <c r="B87" s="58">
        <v>32814</v>
      </c>
      <c r="C87" s="15" t="s">
        <v>48</v>
      </c>
      <c r="D87" s="15">
        <v>6.17</v>
      </c>
      <c r="E87" s="17">
        <f t="shared" si="2"/>
        <v>202462.38</v>
      </c>
      <c r="F87" s="178" t="s">
        <v>501</v>
      </c>
    </row>
    <row r="88" spans="1:7" outlineLevel="1" x14ac:dyDescent="0.25">
      <c r="A88" s="11" t="s">
        <v>64</v>
      </c>
      <c r="B88" s="605"/>
      <c r="C88" s="11"/>
      <c r="D88" s="11"/>
      <c r="E88" s="18">
        <f>SUM(E89)</f>
        <v>1471121.1900000002</v>
      </c>
      <c r="F88" s="8"/>
    </row>
    <row r="89" spans="1:7" ht="26.25" outlineLevel="1" x14ac:dyDescent="0.25">
      <c r="A89" s="15" t="s">
        <v>348</v>
      </c>
      <c r="B89" s="58">
        <v>2594.5700000000002</v>
      </c>
      <c r="C89" s="15" t="s">
        <v>39</v>
      </c>
      <c r="D89" s="15">
        <v>567</v>
      </c>
      <c r="E89" s="17">
        <f>D89*B89</f>
        <v>1471121.1900000002</v>
      </c>
      <c r="F89" s="178" t="s">
        <v>501</v>
      </c>
    </row>
    <row r="90" spans="1:7" outlineLevel="1" x14ac:dyDescent="0.25">
      <c r="A90" s="11" t="s">
        <v>65</v>
      </c>
      <c r="B90" s="605"/>
      <c r="C90" s="11"/>
      <c r="D90" s="11"/>
      <c r="E90" s="18">
        <f>SUM(E91:E99)</f>
        <v>889802.40599999996</v>
      </c>
      <c r="F90" s="8"/>
    </row>
    <row r="91" spans="1:7" ht="26.25" outlineLevel="1" x14ac:dyDescent="0.25">
      <c r="A91" s="15" t="s">
        <v>66</v>
      </c>
      <c r="B91" s="58">
        <v>860</v>
      </c>
      <c r="C91" s="15" t="s">
        <v>53</v>
      </c>
      <c r="D91" s="15">
        <v>211.28</v>
      </c>
      <c r="E91" s="17">
        <f>B91*D91</f>
        <v>181700.8</v>
      </c>
      <c r="F91" s="178" t="s">
        <v>501</v>
      </c>
      <c r="G91" t="s">
        <v>1325</v>
      </c>
    </row>
    <row r="92" spans="1:7" ht="26.25" outlineLevel="1" x14ac:dyDescent="0.25">
      <c r="A92" s="35" t="s">
        <v>350</v>
      </c>
      <c r="B92" s="50">
        <v>2625.09</v>
      </c>
      <c r="C92" s="35" t="s">
        <v>41</v>
      </c>
      <c r="D92" s="47">
        <v>49.4</v>
      </c>
      <c r="E92" s="47">
        <f t="shared" ref="E92:E99" si="3">B92*D92</f>
        <v>129679.446</v>
      </c>
      <c r="F92" s="211" t="s">
        <v>349</v>
      </c>
    </row>
    <row r="93" spans="1:7" ht="26.25" outlineLevel="1" x14ac:dyDescent="0.25">
      <c r="A93" s="35" t="s">
        <v>391</v>
      </c>
      <c r="B93" s="50">
        <v>337.78</v>
      </c>
      <c r="C93" s="35" t="s">
        <v>41</v>
      </c>
      <c r="D93" s="47">
        <v>572</v>
      </c>
      <c r="E93" s="47">
        <f t="shared" si="3"/>
        <v>193210.15999999997</v>
      </c>
      <c r="F93" s="211" t="s">
        <v>373</v>
      </c>
    </row>
    <row r="94" spans="1:7" ht="30" outlineLevel="1" x14ac:dyDescent="0.25">
      <c r="A94" s="35" t="s">
        <v>1302</v>
      </c>
      <c r="B94" s="50">
        <v>671</v>
      </c>
      <c r="C94" s="35" t="s">
        <v>53</v>
      </c>
      <c r="D94" s="47">
        <v>116.72</v>
      </c>
      <c r="E94" s="47">
        <f t="shared" si="3"/>
        <v>78319.12</v>
      </c>
      <c r="F94" s="2" t="s">
        <v>1326</v>
      </c>
    </row>
    <row r="95" spans="1:7" ht="30" outlineLevel="1" x14ac:dyDescent="0.25">
      <c r="A95" s="35" t="s">
        <v>1303</v>
      </c>
      <c r="B95" s="50">
        <v>123</v>
      </c>
      <c r="C95" s="35" t="s">
        <v>53</v>
      </c>
      <c r="D95" s="47">
        <v>107.56</v>
      </c>
      <c r="E95" s="47">
        <f t="shared" si="3"/>
        <v>13229.880000000001</v>
      </c>
      <c r="F95" s="2" t="s">
        <v>1326</v>
      </c>
    </row>
    <row r="96" spans="1:7" ht="30" outlineLevel="1" x14ac:dyDescent="0.25">
      <c r="A96" s="20" t="s">
        <v>1390</v>
      </c>
      <c r="B96" s="604">
        <v>492</v>
      </c>
      <c r="C96" s="20" t="s">
        <v>53</v>
      </c>
      <c r="D96" s="22">
        <f>6*6</f>
        <v>36</v>
      </c>
      <c r="E96" s="22">
        <f t="shared" si="3"/>
        <v>17712</v>
      </c>
      <c r="F96" s="612" t="s">
        <v>1326</v>
      </c>
      <c r="G96" s="54" t="s">
        <v>1386</v>
      </c>
    </row>
    <row r="97" spans="1:15" ht="30" outlineLevel="1" x14ac:dyDescent="0.25">
      <c r="A97" s="20" t="s">
        <v>1389</v>
      </c>
      <c r="B97" s="604">
        <v>88</v>
      </c>
      <c r="C97" s="20" t="s">
        <v>53</v>
      </c>
      <c r="D97" s="22">
        <f>3*6</f>
        <v>18</v>
      </c>
      <c r="E97" s="22">
        <f t="shared" si="3"/>
        <v>1584</v>
      </c>
      <c r="F97" s="612" t="s">
        <v>1326</v>
      </c>
      <c r="G97" s="54" t="s">
        <v>1387</v>
      </c>
    </row>
    <row r="98" spans="1:15" ht="30" outlineLevel="1" x14ac:dyDescent="0.25">
      <c r="A98" s="35" t="s">
        <v>1304</v>
      </c>
      <c r="B98" s="50">
        <v>1105</v>
      </c>
      <c r="C98" s="35" t="s">
        <v>53</v>
      </c>
      <c r="D98" s="47">
        <v>125</v>
      </c>
      <c r="E98" s="47">
        <f t="shared" si="3"/>
        <v>138125</v>
      </c>
      <c r="F98" s="2" t="s">
        <v>1326</v>
      </c>
    </row>
    <row r="99" spans="1:15" ht="30" outlineLevel="1" x14ac:dyDescent="0.25">
      <c r="A99" s="20" t="s">
        <v>1391</v>
      </c>
      <c r="B99" s="604">
        <v>2523</v>
      </c>
      <c r="C99" s="20" t="s">
        <v>53</v>
      </c>
      <c r="D99" s="22">
        <f>9*6</f>
        <v>54</v>
      </c>
      <c r="E99" s="22">
        <f t="shared" si="3"/>
        <v>136242</v>
      </c>
      <c r="F99" s="612" t="s">
        <v>1326</v>
      </c>
      <c r="G99" s="54" t="s">
        <v>1388</v>
      </c>
    </row>
    <row r="100" spans="1:15" outlineLevel="1" x14ac:dyDescent="0.25">
      <c r="A100" s="11" t="s">
        <v>68</v>
      </c>
      <c r="B100" s="605"/>
      <c r="C100" s="11"/>
      <c r="D100" s="11"/>
      <c r="E100" s="18">
        <f>SUM(E101:E102)</f>
        <v>1964441.1400000001</v>
      </c>
      <c r="F100" s="8"/>
    </row>
    <row r="101" spans="1:15" ht="26.25" outlineLevel="1" x14ac:dyDescent="0.25">
      <c r="A101" s="35" t="s">
        <v>1297</v>
      </c>
      <c r="B101" s="50">
        <v>8300.4500000000007</v>
      </c>
      <c r="C101" s="35" t="s">
        <v>41</v>
      </c>
      <c r="D101" s="50">
        <v>188</v>
      </c>
      <c r="E101" s="47">
        <f>B101*D101</f>
        <v>1560484.6</v>
      </c>
      <c r="F101" s="48" t="s">
        <v>1299</v>
      </c>
      <c r="G101" t="s">
        <v>1296</v>
      </c>
    </row>
    <row r="102" spans="1:15" ht="26.25" outlineLevel="1" x14ac:dyDescent="0.25">
      <c r="A102" s="35" t="s">
        <v>1298</v>
      </c>
      <c r="B102" s="50">
        <f>825.55+827.3</f>
        <v>1652.85</v>
      </c>
      <c r="C102" s="35" t="s">
        <v>41</v>
      </c>
      <c r="D102" s="50">
        <f>188*1.3</f>
        <v>244.4</v>
      </c>
      <c r="E102" s="47">
        <f>B102*D102</f>
        <v>403956.54</v>
      </c>
      <c r="F102" s="48" t="s">
        <v>1300</v>
      </c>
      <c r="G102" s="49" t="s">
        <v>1301</v>
      </c>
      <c r="I102" s="56"/>
    </row>
    <row r="103" spans="1:15" x14ac:dyDescent="0.25">
      <c r="A103" s="45" t="s">
        <v>69</v>
      </c>
      <c r="B103" s="617"/>
      <c r="C103" s="42"/>
      <c r="D103" s="42"/>
      <c r="E103" s="43">
        <f>SUM(E104)</f>
        <v>1669970.0821979882</v>
      </c>
      <c r="F103" s="44"/>
    </row>
    <row r="104" spans="1:15" outlineLevel="1" x14ac:dyDescent="0.25">
      <c r="A104" s="13" t="s">
        <v>70</v>
      </c>
      <c r="B104" s="613"/>
      <c r="C104" s="13"/>
      <c r="D104" s="13"/>
      <c r="E104" s="16">
        <f>SUM(E105,E108,E110,E115)</f>
        <v>1669970.0821979882</v>
      </c>
      <c r="F104" s="9"/>
    </row>
    <row r="105" spans="1:15" ht="26.25" outlineLevel="1" x14ac:dyDescent="0.25">
      <c r="A105" s="11" t="s">
        <v>71</v>
      </c>
      <c r="B105" s="605"/>
      <c r="C105" s="11"/>
      <c r="D105" s="11"/>
      <c r="E105" s="18">
        <f>SUM(E106:E107)</f>
        <v>471832.7946782487</v>
      </c>
      <c r="F105" s="8"/>
    </row>
    <row r="106" spans="1:15" ht="26.25" outlineLevel="1" x14ac:dyDescent="0.25">
      <c r="A106" s="15" t="s">
        <v>353</v>
      </c>
      <c r="B106" s="17">
        <f>ALVENARIA!D48+ALVENARIA!F20</f>
        <v>11728.940665149992</v>
      </c>
      <c r="C106" s="15" t="s">
        <v>41</v>
      </c>
      <c r="D106" s="15">
        <v>31.77</v>
      </c>
      <c r="E106" s="17">
        <f>B106*D106</f>
        <v>372628.44493181526</v>
      </c>
      <c r="F106" s="178" t="s">
        <v>228</v>
      </c>
      <c r="G106" t="s">
        <v>1424</v>
      </c>
      <c r="H106" s="237"/>
    </row>
    <row r="107" spans="1:15" ht="26.25" outlineLevel="1" x14ac:dyDescent="0.25">
      <c r="A107" s="15" t="s">
        <v>354</v>
      </c>
      <c r="B107" s="17">
        <f>ALVENARIA!C48</f>
        <v>2101.3418713499991</v>
      </c>
      <c r="C107" s="15" t="s">
        <v>41</v>
      </c>
      <c r="D107" s="15">
        <v>47.21</v>
      </c>
      <c r="E107" s="17">
        <f>B107*D107</f>
        <v>99204.349746433465</v>
      </c>
      <c r="F107" s="178" t="s">
        <v>228</v>
      </c>
      <c r="G107" t="s">
        <v>1424</v>
      </c>
      <c r="H107" s="237"/>
      <c r="I107" s="238"/>
      <c r="J107" s="238"/>
      <c r="K107" s="238"/>
    </row>
    <row r="108" spans="1:15" ht="26.25" outlineLevel="1" x14ac:dyDescent="0.25">
      <c r="A108" s="11" t="s">
        <v>72</v>
      </c>
      <c r="B108" s="605"/>
      <c r="C108" s="11"/>
      <c r="D108" s="11"/>
      <c r="E108" s="18">
        <f>SUM(E109)</f>
        <v>124697.14086911999</v>
      </c>
      <c r="F108" s="8"/>
      <c r="I108" s="239"/>
      <c r="J108" s="240"/>
      <c r="K108" s="241"/>
    </row>
    <row r="109" spans="1:15" ht="27.6" customHeight="1" outlineLevel="1" x14ac:dyDescent="0.25">
      <c r="A109" s="15" t="s">
        <v>355</v>
      </c>
      <c r="B109" s="17">
        <f>ALVENARIA!E48</f>
        <v>851.46562559999995</v>
      </c>
      <c r="C109" s="15" t="s">
        <v>41</v>
      </c>
      <c r="D109" s="15">
        <v>146.44999999999999</v>
      </c>
      <c r="E109" s="17">
        <f>B109*D109</f>
        <v>124697.14086911999</v>
      </c>
      <c r="F109" s="178" t="s">
        <v>228</v>
      </c>
      <c r="G109" t="s">
        <v>1424</v>
      </c>
      <c r="I109" s="239"/>
      <c r="J109" s="240"/>
      <c r="K109" s="241"/>
    </row>
    <row r="110" spans="1:15" ht="26.25" outlineLevel="1" x14ac:dyDescent="0.25">
      <c r="A110" s="11" t="s">
        <v>73</v>
      </c>
      <c r="B110" s="605"/>
      <c r="C110" s="11"/>
      <c r="D110" s="11"/>
      <c r="E110" s="18">
        <f>SUM(E111:E114)</f>
        <v>541491.35031261994</v>
      </c>
      <c r="F110" s="8"/>
      <c r="I110" s="238"/>
      <c r="J110" s="242"/>
      <c r="K110" s="242"/>
    </row>
    <row r="111" spans="1:15" ht="26.25" outlineLevel="1" x14ac:dyDescent="0.25">
      <c r="A111" s="15" t="s">
        <v>356</v>
      </c>
      <c r="B111" s="17">
        <f>ALVENARIA!F48</f>
        <v>694.61199999999985</v>
      </c>
      <c r="C111" s="15" t="s">
        <v>41</v>
      </c>
      <c r="D111" s="15">
        <v>479.44</v>
      </c>
      <c r="E111" s="17">
        <f>B111*D111</f>
        <v>333024.77727999992</v>
      </c>
      <c r="F111" s="178" t="s">
        <v>1428</v>
      </c>
    </row>
    <row r="112" spans="1:15" ht="26.25" outlineLevel="1" x14ac:dyDescent="0.25">
      <c r="A112" s="15" t="s">
        <v>74</v>
      </c>
      <c r="B112" s="17">
        <f>ALVENARIA!G48</f>
        <v>6599.7529140000006</v>
      </c>
      <c r="C112" s="15" t="s">
        <v>46</v>
      </c>
      <c r="D112" s="15">
        <v>1.83</v>
      </c>
      <c r="E112" s="17">
        <f t="shared" ref="E112:E113" si="4">B112*D112</f>
        <v>12077.547832620001</v>
      </c>
      <c r="F112" s="178" t="s">
        <v>228</v>
      </c>
      <c r="G112" t="s">
        <v>1424</v>
      </c>
      <c r="O112" s="31"/>
    </row>
    <row r="113" spans="1:15" ht="26.25" outlineLevel="1" x14ac:dyDescent="0.25">
      <c r="A113" s="15" t="s">
        <v>75</v>
      </c>
      <c r="B113" s="17">
        <v>3498.42</v>
      </c>
      <c r="C113" s="15" t="s">
        <v>46</v>
      </c>
      <c r="D113" s="15">
        <v>42.56</v>
      </c>
      <c r="E113" s="17">
        <f t="shared" si="4"/>
        <v>148892.75520000001</v>
      </c>
      <c r="F113" s="178" t="s">
        <v>1445</v>
      </c>
      <c r="O113" s="31"/>
    </row>
    <row r="114" spans="1:15" outlineLevel="1" x14ac:dyDescent="0.25">
      <c r="A114" s="35" t="s">
        <v>76</v>
      </c>
      <c r="B114" s="47">
        <f>ROUNDUP((B106+B107+B109)/2,0)</f>
        <v>7341</v>
      </c>
      <c r="C114" s="35" t="s">
        <v>53</v>
      </c>
      <c r="D114" s="35">
        <v>6.47</v>
      </c>
      <c r="E114" s="47">
        <f>B114*D114</f>
        <v>47496.27</v>
      </c>
      <c r="F114" s="611"/>
      <c r="G114" s="243"/>
    </row>
    <row r="115" spans="1:15" outlineLevel="1" x14ac:dyDescent="0.25">
      <c r="A115" s="11" t="s">
        <v>77</v>
      </c>
      <c r="B115" s="605"/>
      <c r="C115" s="11"/>
      <c r="D115" s="11"/>
      <c r="E115" s="18">
        <f>SUM(E116:E117)</f>
        <v>531948.79633799964</v>
      </c>
      <c r="F115" s="51"/>
      <c r="G115" s="243"/>
      <c r="H115" s="244"/>
      <c r="L115" s="245"/>
      <c r="M115" s="241"/>
      <c r="O115" s="241"/>
    </row>
    <row r="116" spans="1:15" ht="26.25" outlineLevel="1" x14ac:dyDescent="0.25">
      <c r="A116" s="15" t="s">
        <v>352</v>
      </c>
      <c r="B116" s="17">
        <f>B106+B107</f>
        <v>13830.282536499992</v>
      </c>
      <c r="C116" s="15" t="s">
        <v>41</v>
      </c>
      <c r="D116" s="15">
        <v>36</v>
      </c>
      <c r="E116" s="17">
        <f>D116*B116</f>
        <v>497890.17131399969</v>
      </c>
      <c r="F116" s="178" t="s">
        <v>556</v>
      </c>
      <c r="G116" t="s">
        <v>1424</v>
      </c>
      <c r="L116" s="245"/>
      <c r="M116" s="241"/>
      <c r="O116" s="241"/>
    </row>
    <row r="117" spans="1:15" ht="30" outlineLevel="1" x14ac:dyDescent="0.25">
      <c r="A117" s="15" t="s">
        <v>351</v>
      </c>
      <c r="B117" s="17">
        <f>B109</f>
        <v>851.46562559999995</v>
      </c>
      <c r="C117" s="15" t="s">
        <v>41</v>
      </c>
      <c r="D117" s="15">
        <v>40</v>
      </c>
      <c r="E117" s="17">
        <f>D117*B117</f>
        <v>34058.625024000001</v>
      </c>
      <c r="F117" s="178" t="s">
        <v>557</v>
      </c>
      <c r="G117" t="s">
        <v>1424</v>
      </c>
      <c r="L117" s="245"/>
      <c r="M117" s="241"/>
      <c r="O117" s="241"/>
    </row>
    <row r="118" spans="1:15" x14ac:dyDescent="0.25">
      <c r="A118" s="45" t="s">
        <v>78</v>
      </c>
      <c r="B118" s="617"/>
      <c r="C118" s="42"/>
      <c r="D118" s="42"/>
      <c r="E118" s="43">
        <f>SUM(E119)</f>
        <v>717784.17149999994</v>
      </c>
      <c r="F118" s="44"/>
      <c r="L118" s="245"/>
      <c r="M118" s="241"/>
      <c r="O118" s="241"/>
    </row>
    <row r="119" spans="1:15" ht="26.25" outlineLevel="1" x14ac:dyDescent="0.25">
      <c r="A119" s="13" t="s">
        <v>79</v>
      </c>
      <c r="B119" s="613"/>
      <c r="C119" s="13"/>
      <c r="D119" s="13"/>
      <c r="E119" s="16">
        <f>SUM(E120,E123,E125,E127,E129,E131,E133,E135)</f>
        <v>717784.17149999994</v>
      </c>
      <c r="F119" s="9"/>
      <c r="L119" s="245"/>
      <c r="M119" s="241"/>
      <c r="O119" s="241"/>
    </row>
    <row r="120" spans="1:15" ht="26.25" outlineLevel="1" x14ac:dyDescent="0.25">
      <c r="A120" s="11" t="s">
        <v>80</v>
      </c>
      <c r="B120" s="605"/>
      <c r="C120" s="11"/>
      <c r="D120" s="11"/>
      <c r="E120" s="18">
        <f>SUM(E121:E122)</f>
        <v>210067.09080000001</v>
      </c>
      <c r="F120" s="8"/>
      <c r="L120" s="245"/>
      <c r="M120" s="241"/>
      <c r="O120" s="241"/>
    </row>
    <row r="121" spans="1:15" ht="26.25" outlineLevel="1" x14ac:dyDescent="0.25">
      <c r="A121" s="35" t="s">
        <v>1375</v>
      </c>
      <c r="B121" s="47">
        <f>SUM(B124,B126,B128,B130,B132)</f>
        <v>4842.18</v>
      </c>
      <c r="C121" s="35" t="s">
        <v>41</v>
      </c>
      <c r="D121" s="35">
        <v>26.05</v>
      </c>
      <c r="E121" s="47">
        <f>D121*B121</f>
        <v>126138.789</v>
      </c>
      <c r="F121" s="178" t="s">
        <v>229</v>
      </c>
      <c r="G121" t="s">
        <v>1372</v>
      </c>
      <c r="L121" s="238"/>
      <c r="M121" s="242"/>
      <c r="O121" s="242"/>
    </row>
    <row r="122" spans="1:15" ht="51.75" outlineLevel="1" x14ac:dyDescent="0.25">
      <c r="A122" s="35" t="s">
        <v>1383</v>
      </c>
      <c r="B122" s="47">
        <f>SUM(B128,B130)</f>
        <v>997.01</v>
      </c>
      <c r="C122" s="35" t="s">
        <v>41</v>
      </c>
      <c r="D122" s="35">
        <v>84.18</v>
      </c>
      <c r="E122" s="47">
        <f>D122*B122</f>
        <v>83928.301800000001</v>
      </c>
      <c r="F122" s="178" t="s">
        <v>229</v>
      </c>
      <c r="G122" t="s">
        <v>1372</v>
      </c>
    </row>
    <row r="123" spans="1:15" ht="26.25" outlineLevel="1" x14ac:dyDescent="0.25">
      <c r="A123" s="11" t="s">
        <v>81</v>
      </c>
      <c r="B123" s="605"/>
      <c r="C123" s="11"/>
      <c r="D123" s="11"/>
      <c r="E123" s="18">
        <f>SUM(E124)</f>
        <v>11628.41</v>
      </c>
      <c r="F123" s="8"/>
      <c r="L123" s="238"/>
      <c r="M123" s="238"/>
    </row>
    <row r="124" spans="1:15" ht="26.25" outlineLevel="1" x14ac:dyDescent="0.25">
      <c r="A124" s="15" t="s">
        <v>1376</v>
      </c>
      <c r="B124" s="58">
        <v>155.46</v>
      </c>
      <c r="C124" s="15" t="s">
        <v>41</v>
      </c>
      <c r="D124" s="15">
        <v>74.8</v>
      </c>
      <c r="E124" s="17">
        <v>11628.41</v>
      </c>
      <c r="F124" s="178" t="s">
        <v>229</v>
      </c>
      <c r="L124" s="245"/>
      <c r="M124" s="241"/>
    </row>
    <row r="125" spans="1:15" ht="26.25" outlineLevel="1" x14ac:dyDescent="0.25">
      <c r="A125" s="11" t="s">
        <v>82</v>
      </c>
      <c r="B125" s="605"/>
      <c r="C125" s="11"/>
      <c r="D125" s="11"/>
      <c r="E125" s="18">
        <f>SUM(E126)</f>
        <v>48738.82</v>
      </c>
      <c r="F125" s="8"/>
      <c r="L125" s="245"/>
      <c r="M125" s="241"/>
    </row>
    <row r="126" spans="1:15" ht="26.25" outlineLevel="1" x14ac:dyDescent="0.25">
      <c r="A126" s="15" t="s">
        <v>1377</v>
      </c>
      <c r="B126" s="58">
        <v>823.43</v>
      </c>
      <c r="C126" s="15" t="s">
        <v>41</v>
      </c>
      <c r="D126" s="15">
        <v>59.19</v>
      </c>
      <c r="E126" s="17">
        <v>48738.82</v>
      </c>
      <c r="F126" s="178" t="s">
        <v>229</v>
      </c>
      <c r="L126" s="245"/>
      <c r="M126" s="241"/>
    </row>
    <row r="127" spans="1:15" ht="26.25" outlineLevel="1" x14ac:dyDescent="0.25">
      <c r="A127" s="11" t="s">
        <v>83</v>
      </c>
      <c r="B127" s="605"/>
      <c r="C127" s="11"/>
      <c r="D127" s="11"/>
      <c r="E127" s="18">
        <f>SUM(E128)</f>
        <v>181925.02289999998</v>
      </c>
      <c r="F127" s="8"/>
      <c r="G127" s="243"/>
      <c r="L127" s="238"/>
      <c r="M127" s="242"/>
    </row>
    <row r="128" spans="1:15" ht="26.25" outlineLevel="1" x14ac:dyDescent="0.25">
      <c r="A128" s="35" t="s">
        <v>1378</v>
      </c>
      <c r="B128" s="50">
        <v>888.87</v>
      </c>
      <c r="C128" s="35" t="s">
        <v>41</v>
      </c>
      <c r="D128" s="35">
        <v>204.67</v>
      </c>
      <c r="E128" s="47">
        <f>D128*B128</f>
        <v>181925.02289999998</v>
      </c>
      <c r="F128" s="178" t="s">
        <v>229</v>
      </c>
      <c r="G128" t="s">
        <v>1372</v>
      </c>
    </row>
    <row r="129" spans="1:7" ht="26.25" outlineLevel="1" x14ac:dyDescent="0.25">
      <c r="A129" s="11" t="s">
        <v>84</v>
      </c>
      <c r="B129" s="605"/>
      <c r="C129" s="11"/>
      <c r="D129" s="11"/>
      <c r="E129" s="18">
        <f>SUM(E130)</f>
        <v>22133.013799999997</v>
      </c>
      <c r="F129" s="8"/>
    </row>
    <row r="130" spans="1:7" ht="26.25" outlineLevel="1" x14ac:dyDescent="0.25">
      <c r="A130" s="15" t="s">
        <v>1379</v>
      </c>
      <c r="B130" s="50">
        <v>108.14</v>
      </c>
      <c r="C130" s="15" t="s">
        <v>41</v>
      </c>
      <c r="D130" s="15">
        <v>204.67</v>
      </c>
      <c r="E130" s="17">
        <f>B130*D130</f>
        <v>22133.013799999997</v>
      </c>
      <c r="F130" s="178" t="s">
        <v>229</v>
      </c>
    </row>
    <row r="131" spans="1:7" ht="26.25" outlineLevel="1" x14ac:dyDescent="0.25">
      <c r="A131" s="11" t="s">
        <v>85</v>
      </c>
      <c r="B131" s="605"/>
      <c r="C131" s="11"/>
      <c r="D131" s="11"/>
      <c r="E131" s="18">
        <f>SUM(E132)</f>
        <v>214397.74400000001</v>
      </c>
      <c r="F131" s="8"/>
    </row>
    <row r="132" spans="1:7" ht="26.25" outlineLevel="1" x14ac:dyDescent="0.25">
      <c r="A132" s="15" t="s">
        <v>1380</v>
      </c>
      <c r="B132" s="58">
        <v>2866.28</v>
      </c>
      <c r="C132" s="15" t="s">
        <v>41</v>
      </c>
      <c r="D132" s="58">
        <v>74.8</v>
      </c>
      <c r="E132" s="17">
        <f>B132*D132</f>
        <v>214397.74400000001</v>
      </c>
      <c r="F132" s="178" t="s">
        <v>229</v>
      </c>
    </row>
    <row r="133" spans="1:7" ht="26.25" outlineLevel="1" x14ac:dyDescent="0.25">
      <c r="A133" s="11" t="s">
        <v>86</v>
      </c>
      <c r="B133" s="605"/>
      <c r="C133" s="11"/>
      <c r="D133" s="11"/>
      <c r="E133" s="18">
        <f>SUM(E134)</f>
        <v>5295.47</v>
      </c>
      <c r="F133" s="8"/>
    </row>
    <row r="134" spans="1:7" ht="26.25" outlineLevel="1" x14ac:dyDescent="0.25">
      <c r="A134" s="15" t="s">
        <v>1381</v>
      </c>
      <c r="B134" s="58">
        <v>72.77</v>
      </c>
      <c r="C134" s="15" t="s">
        <v>41</v>
      </c>
      <c r="D134" s="15">
        <v>72.77</v>
      </c>
      <c r="E134" s="17">
        <v>5295.47</v>
      </c>
      <c r="F134" s="178" t="s">
        <v>229</v>
      </c>
      <c r="G134" s="55"/>
    </row>
    <row r="135" spans="1:7" outlineLevel="1" x14ac:dyDescent="0.25">
      <c r="A135" s="11" t="s">
        <v>87</v>
      </c>
      <c r="B135" s="605"/>
      <c r="C135" s="11"/>
      <c r="D135" s="11"/>
      <c r="E135" s="18">
        <f>SUM(E136)</f>
        <v>23598.6</v>
      </c>
      <c r="F135" s="8"/>
    </row>
    <row r="136" spans="1:7" ht="26.25" outlineLevel="1" x14ac:dyDescent="0.25">
      <c r="A136" s="15" t="s">
        <v>1382</v>
      </c>
      <c r="B136" s="58">
        <v>370</v>
      </c>
      <c r="C136" s="15" t="s">
        <v>53</v>
      </c>
      <c r="D136" s="15">
        <v>63.78</v>
      </c>
      <c r="E136" s="17">
        <v>23598.6</v>
      </c>
      <c r="F136" s="178" t="s">
        <v>229</v>
      </c>
      <c r="G136" s="55"/>
    </row>
    <row r="137" spans="1:7" ht="26.25" x14ac:dyDescent="0.25">
      <c r="A137" s="45" t="s">
        <v>88</v>
      </c>
      <c r="B137" s="617"/>
      <c r="C137" s="42"/>
      <c r="D137" s="42"/>
      <c r="E137" s="43">
        <f>SUM(E138)</f>
        <v>933172.44500000007</v>
      </c>
      <c r="F137" s="44"/>
    </row>
    <row r="138" spans="1:7" ht="26.25" outlineLevel="1" x14ac:dyDescent="0.25">
      <c r="A138" s="13" t="s">
        <v>89</v>
      </c>
      <c r="B138" s="613"/>
      <c r="C138" s="13"/>
      <c r="D138" s="13"/>
      <c r="E138" s="16">
        <f>SUM(E139,E141,E143,E145,E147,E149)</f>
        <v>933172.44500000007</v>
      </c>
      <c r="F138" s="9"/>
    </row>
    <row r="139" spans="1:7" outlineLevel="1" x14ac:dyDescent="0.25">
      <c r="A139" s="11" t="s">
        <v>90</v>
      </c>
      <c r="B139" s="605"/>
      <c r="C139" s="11"/>
      <c r="D139" s="11"/>
      <c r="E139" s="18">
        <f>SUM(E140)</f>
        <v>203301.49</v>
      </c>
      <c r="F139" s="8"/>
    </row>
    <row r="140" spans="1:7" outlineLevel="1" x14ac:dyDescent="0.25">
      <c r="A140" s="15" t="s">
        <v>91</v>
      </c>
      <c r="B140" s="58">
        <v>1</v>
      </c>
      <c r="C140" s="15" t="s">
        <v>53</v>
      </c>
      <c r="D140" s="17">
        <v>203301.49</v>
      </c>
      <c r="E140" s="17">
        <v>203301.49</v>
      </c>
      <c r="F140" s="178" t="s">
        <v>812</v>
      </c>
    </row>
    <row r="141" spans="1:7" outlineLevel="1" x14ac:dyDescent="0.25">
      <c r="A141" s="11" t="s">
        <v>92</v>
      </c>
      <c r="B141" s="605"/>
      <c r="C141" s="11"/>
      <c r="D141" s="11"/>
      <c r="E141" s="18">
        <f>SUM(E142)</f>
        <v>138143.53</v>
      </c>
      <c r="F141" s="8"/>
    </row>
    <row r="142" spans="1:7" outlineLevel="1" x14ac:dyDescent="0.25">
      <c r="A142" s="15" t="s">
        <v>93</v>
      </c>
      <c r="B142" s="58">
        <v>1</v>
      </c>
      <c r="C142" s="15" t="s">
        <v>53</v>
      </c>
      <c r="D142" s="17">
        <v>138143.53</v>
      </c>
      <c r="E142" s="17">
        <v>138143.53</v>
      </c>
      <c r="F142" s="178" t="s">
        <v>812</v>
      </c>
    </row>
    <row r="143" spans="1:7" ht="26.25" outlineLevel="1" x14ac:dyDescent="0.25">
      <c r="A143" s="11" t="s">
        <v>94</v>
      </c>
      <c r="B143" s="605"/>
      <c r="C143" s="11"/>
      <c r="D143" s="11"/>
      <c r="E143" s="18">
        <f>SUM(E144)</f>
        <v>244387.86</v>
      </c>
      <c r="F143" s="8"/>
    </row>
    <row r="144" spans="1:7" ht="26.25" outlineLevel="1" x14ac:dyDescent="0.25">
      <c r="A144" s="15" t="s">
        <v>95</v>
      </c>
      <c r="B144" s="58">
        <v>1</v>
      </c>
      <c r="C144" s="15" t="s">
        <v>53</v>
      </c>
      <c r="D144" s="17">
        <v>244387.86</v>
      </c>
      <c r="E144" s="17">
        <v>244387.86</v>
      </c>
      <c r="F144" s="423" t="s">
        <v>788</v>
      </c>
    </row>
    <row r="145" spans="1:6" outlineLevel="1" x14ac:dyDescent="0.25">
      <c r="A145" s="11" t="s">
        <v>96</v>
      </c>
      <c r="B145" s="605"/>
      <c r="C145" s="11"/>
      <c r="D145" s="11"/>
      <c r="E145" s="18">
        <f>SUM(E146)</f>
        <v>14830.9</v>
      </c>
      <c r="F145" s="8"/>
    </row>
    <row r="146" spans="1:6" outlineLevel="1" x14ac:dyDescent="0.25">
      <c r="A146" s="15" t="s">
        <v>97</v>
      </c>
      <c r="B146" s="58">
        <v>1</v>
      </c>
      <c r="C146" s="15" t="s">
        <v>53</v>
      </c>
      <c r="D146" s="17">
        <v>14830.9</v>
      </c>
      <c r="E146" s="17">
        <v>14830.9</v>
      </c>
      <c r="F146" s="178" t="s">
        <v>812</v>
      </c>
    </row>
    <row r="147" spans="1:6" outlineLevel="1" x14ac:dyDescent="0.25">
      <c r="A147" s="11" t="s">
        <v>98</v>
      </c>
      <c r="B147" s="605"/>
      <c r="C147" s="11"/>
      <c r="D147" s="11"/>
      <c r="E147" s="18">
        <f>SUM(E148)</f>
        <v>9225.2900000000009</v>
      </c>
      <c r="F147" s="8"/>
    </row>
    <row r="148" spans="1:6" ht="26.25" outlineLevel="1" x14ac:dyDescent="0.25">
      <c r="A148" s="15" t="s">
        <v>99</v>
      </c>
      <c r="B148" s="58">
        <v>1</v>
      </c>
      <c r="C148" s="15" t="s">
        <v>53</v>
      </c>
      <c r="D148" s="17">
        <v>9225.2900000000009</v>
      </c>
      <c r="E148" s="17">
        <v>9225.2900000000009</v>
      </c>
      <c r="F148" s="178" t="s">
        <v>812</v>
      </c>
    </row>
    <row r="149" spans="1:6" outlineLevel="1" x14ac:dyDescent="0.25">
      <c r="A149" s="11" t="s">
        <v>100</v>
      </c>
      <c r="B149" s="605"/>
      <c r="C149" s="11"/>
      <c r="D149" s="11"/>
      <c r="E149" s="18">
        <f>SUM(E150)</f>
        <v>323283.375</v>
      </c>
      <c r="F149" s="8"/>
    </row>
    <row r="150" spans="1:6" ht="26.25" outlineLevel="1" x14ac:dyDescent="0.25">
      <c r="A150" s="15" t="s">
        <v>101</v>
      </c>
      <c r="B150" s="17">
        <v>10722.5</v>
      </c>
      <c r="C150" s="15" t="s">
        <v>41</v>
      </c>
      <c r="D150" s="15">
        <v>30.15</v>
      </c>
      <c r="E150" s="17">
        <f>B150*D150</f>
        <v>323283.375</v>
      </c>
      <c r="F150" s="10" t="s">
        <v>813</v>
      </c>
    </row>
    <row r="151" spans="1:6" x14ac:dyDescent="0.25">
      <c r="A151" s="45" t="s">
        <v>102</v>
      </c>
      <c r="B151" s="617"/>
      <c r="C151" s="42"/>
      <c r="D151" s="42"/>
      <c r="E151" s="43">
        <f>SUM(E152)</f>
        <v>1092655.48</v>
      </c>
      <c r="F151" s="44"/>
    </row>
    <row r="152" spans="1:6" outlineLevel="1" x14ac:dyDescent="0.25">
      <c r="A152" s="13" t="s">
        <v>103</v>
      </c>
      <c r="B152" s="613"/>
      <c r="C152" s="13"/>
      <c r="D152" s="13"/>
      <c r="E152" s="16">
        <f>SUM(E153,E155,E157,E159,E161,E163,E165)</f>
        <v>1092655.48</v>
      </c>
      <c r="F152" s="9"/>
    </row>
    <row r="153" spans="1:6" outlineLevel="1" x14ac:dyDescent="0.25">
      <c r="A153" s="11" t="s">
        <v>104</v>
      </c>
      <c r="B153" s="605"/>
      <c r="C153" s="11"/>
      <c r="D153" s="11"/>
      <c r="E153" s="18">
        <f>SUM(E154)</f>
        <v>51000</v>
      </c>
      <c r="F153" s="8"/>
    </row>
    <row r="154" spans="1:6" outlineLevel="1" x14ac:dyDescent="0.25">
      <c r="A154" s="15" t="s">
        <v>105</v>
      </c>
      <c r="B154" s="58">
        <v>1</v>
      </c>
      <c r="C154" s="15" t="s">
        <v>219</v>
      </c>
      <c r="D154" s="47">
        <v>51000</v>
      </c>
      <c r="E154" s="17">
        <f>B154*D154</f>
        <v>51000</v>
      </c>
      <c r="F154" s="178" t="s">
        <v>1021</v>
      </c>
    </row>
    <row r="155" spans="1:6" ht="26.25" outlineLevel="1" x14ac:dyDescent="0.25">
      <c r="A155" s="11" t="s">
        <v>106</v>
      </c>
      <c r="B155" s="605"/>
      <c r="C155" s="11"/>
      <c r="D155" s="11"/>
      <c r="E155" s="18">
        <f>SUM(E156)</f>
        <v>147786.96</v>
      </c>
      <c r="F155" s="8"/>
    </row>
    <row r="156" spans="1:6" ht="26.25" outlineLevel="1" x14ac:dyDescent="0.25">
      <c r="A156" s="15" t="s">
        <v>107</v>
      </c>
      <c r="B156" s="58">
        <v>1</v>
      </c>
      <c r="C156" s="15" t="s">
        <v>219</v>
      </c>
      <c r="D156" s="17">
        <v>147786.96</v>
      </c>
      <c r="E156" s="17">
        <v>147786.96</v>
      </c>
      <c r="F156" s="178" t="s">
        <v>1021</v>
      </c>
    </row>
    <row r="157" spans="1:6" outlineLevel="1" x14ac:dyDescent="0.25">
      <c r="A157" s="11" t="s">
        <v>108</v>
      </c>
      <c r="B157" s="605"/>
      <c r="C157" s="11"/>
      <c r="D157" s="11"/>
      <c r="E157" s="18">
        <f>SUM(E158)</f>
        <v>77801.77</v>
      </c>
      <c r="F157" s="8"/>
    </row>
    <row r="158" spans="1:6" outlineLevel="1" x14ac:dyDescent="0.25">
      <c r="A158" s="15" t="s">
        <v>109</v>
      </c>
      <c r="B158" s="58">
        <v>1</v>
      </c>
      <c r="C158" s="15" t="s">
        <v>219</v>
      </c>
      <c r="D158" s="17">
        <v>77801.77</v>
      </c>
      <c r="E158" s="17">
        <v>77801.77</v>
      </c>
      <c r="F158" s="178" t="s">
        <v>1021</v>
      </c>
    </row>
    <row r="159" spans="1:6" outlineLevel="1" x14ac:dyDescent="0.25">
      <c r="A159" s="11" t="s">
        <v>110</v>
      </c>
      <c r="B159" s="605"/>
      <c r="C159" s="11"/>
      <c r="D159" s="11"/>
      <c r="E159" s="18">
        <f>SUM(E160)</f>
        <v>426693.36</v>
      </c>
      <c r="F159" s="8"/>
    </row>
    <row r="160" spans="1:6" outlineLevel="1" x14ac:dyDescent="0.25">
      <c r="A160" s="15" t="s">
        <v>111</v>
      </c>
      <c r="B160" s="58">
        <v>1</v>
      </c>
      <c r="C160" s="15" t="s">
        <v>219</v>
      </c>
      <c r="D160" s="17">
        <v>426693.36</v>
      </c>
      <c r="E160" s="17">
        <v>426693.36</v>
      </c>
      <c r="F160" s="178" t="s">
        <v>1021</v>
      </c>
    </row>
    <row r="161" spans="1:7" ht="26.25" outlineLevel="1" x14ac:dyDescent="0.25">
      <c r="A161" s="11" t="s">
        <v>112</v>
      </c>
      <c r="B161" s="605"/>
      <c r="C161" s="11"/>
      <c r="D161" s="11"/>
      <c r="E161" s="18">
        <f>SUM(E162)</f>
        <v>123444.24</v>
      </c>
      <c r="F161" s="8"/>
    </row>
    <row r="162" spans="1:7" ht="26.25" outlineLevel="1" x14ac:dyDescent="0.25">
      <c r="A162" s="15" t="s">
        <v>113</v>
      </c>
      <c r="B162" s="58">
        <v>1</v>
      </c>
      <c r="C162" s="15" t="s">
        <v>219</v>
      </c>
      <c r="D162" s="17">
        <v>123444.24</v>
      </c>
      <c r="E162" s="17">
        <v>123444.24</v>
      </c>
      <c r="F162" s="178" t="s">
        <v>1021</v>
      </c>
    </row>
    <row r="163" spans="1:7" ht="26.25" outlineLevel="1" x14ac:dyDescent="0.25">
      <c r="A163" s="11" t="s">
        <v>114</v>
      </c>
      <c r="B163" s="605"/>
      <c r="C163" s="11"/>
      <c r="D163" s="11"/>
      <c r="E163" s="18">
        <f>SUM(E164)</f>
        <v>4300.1499999999996</v>
      </c>
      <c r="F163" s="8"/>
    </row>
    <row r="164" spans="1:7" ht="26.25" outlineLevel="1" x14ac:dyDescent="0.25">
      <c r="A164" s="15" t="s">
        <v>115</v>
      </c>
      <c r="B164" s="58">
        <v>1</v>
      </c>
      <c r="C164" s="15" t="s">
        <v>219</v>
      </c>
      <c r="D164" s="17">
        <v>4300.1499999999996</v>
      </c>
      <c r="E164" s="17">
        <v>4300.1499999999996</v>
      </c>
      <c r="F164" s="178" t="s">
        <v>1021</v>
      </c>
    </row>
    <row r="165" spans="1:7" outlineLevel="1" x14ac:dyDescent="0.25">
      <c r="A165" s="11" t="s">
        <v>116</v>
      </c>
      <c r="B165" s="605"/>
      <c r="C165" s="11"/>
      <c r="D165" s="11"/>
      <c r="E165" s="18">
        <f>SUM(E166)</f>
        <v>261628.99999999997</v>
      </c>
      <c r="F165" s="8"/>
    </row>
    <row r="166" spans="1:7" ht="60" outlineLevel="1" x14ac:dyDescent="0.25">
      <c r="A166" s="15" t="s">
        <v>117</v>
      </c>
      <c r="B166" s="17">
        <v>10722.5</v>
      </c>
      <c r="C166" s="15" t="s">
        <v>41</v>
      </c>
      <c r="D166" s="15">
        <v>24.4</v>
      </c>
      <c r="E166" s="17">
        <f>B166*D166</f>
        <v>261628.99999999997</v>
      </c>
      <c r="F166" s="10" t="s">
        <v>1022</v>
      </c>
    </row>
    <row r="167" spans="1:7" x14ac:dyDescent="0.25">
      <c r="A167" s="45" t="s">
        <v>118</v>
      </c>
      <c r="B167" s="617"/>
      <c r="C167" s="42"/>
      <c r="D167" s="42"/>
      <c r="E167" s="43">
        <f>SUM(E168)</f>
        <v>255923.68</v>
      </c>
      <c r="F167" s="44"/>
    </row>
    <row r="168" spans="1:7" outlineLevel="1" x14ac:dyDescent="0.25">
      <c r="A168" s="13" t="s">
        <v>119</v>
      </c>
      <c r="B168" s="613"/>
      <c r="C168" s="13"/>
      <c r="D168" s="13"/>
      <c r="E168" s="16">
        <f>SUM(E169,E171,E173,E175)</f>
        <v>255923.68</v>
      </c>
      <c r="F168" s="9"/>
    </row>
    <row r="169" spans="1:7" outlineLevel="1" x14ac:dyDescent="0.25">
      <c r="A169" s="11" t="s">
        <v>120</v>
      </c>
      <c r="B169" s="605"/>
      <c r="C169" s="11"/>
      <c r="D169" s="11"/>
      <c r="E169" s="18">
        <f>SUM(E170)</f>
        <v>124153.75</v>
      </c>
      <c r="F169" s="8"/>
    </row>
    <row r="170" spans="1:7" outlineLevel="1" x14ac:dyDescent="0.25">
      <c r="A170" s="15" t="s">
        <v>121</v>
      </c>
      <c r="B170" s="58">
        <v>1</v>
      </c>
      <c r="C170" s="15" t="s">
        <v>219</v>
      </c>
      <c r="D170" s="17">
        <f>124153.75</f>
        <v>124153.75</v>
      </c>
      <c r="E170" s="17">
        <f>D170*B170</f>
        <v>124153.75</v>
      </c>
      <c r="F170" s="48" t="s">
        <v>347</v>
      </c>
      <c r="G170" s="456"/>
    </row>
    <row r="171" spans="1:7" ht="26.25" outlineLevel="1" x14ac:dyDescent="0.25">
      <c r="A171" s="11" t="s">
        <v>323</v>
      </c>
      <c r="B171" s="605"/>
      <c r="C171" s="11"/>
      <c r="D171" s="11"/>
      <c r="E171" s="18">
        <f>SUM(E172)</f>
        <v>61640.4</v>
      </c>
      <c r="F171" s="8"/>
      <c r="G171" s="456"/>
    </row>
    <row r="172" spans="1:7" ht="26.25" outlineLevel="1" x14ac:dyDescent="0.25">
      <c r="A172" s="15" t="s">
        <v>324</v>
      </c>
      <c r="B172" s="58">
        <v>1</v>
      </c>
      <c r="C172" s="15" t="s">
        <v>219</v>
      </c>
      <c r="D172" s="17">
        <v>61640.4</v>
      </c>
      <c r="E172" s="17">
        <f>D172*B172</f>
        <v>61640.4</v>
      </c>
      <c r="F172" s="48" t="s">
        <v>347</v>
      </c>
      <c r="G172" s="456"/>
    </row>
    <row r="173" spans="1:7" ht="26.25" outlineLevel="1" x14ac:dyDescent="0.25">
      <c r="A173" s="11" t="s">
        <v>122</v>
      </c>
      <c r="B173" s="605"/>
      <c r="C173" s="11"/>
      <c r="D173" s="11"/>
      <c r="E173" s="18">
        <f>SUM(E174)</f>
        <v>25095.03</v>
      </c>
      <c r="F173" s="8"/>
      <c r="G173" s="456"/>
    </row>
    <row r="174" spans="1:7" outlineLevel="1" x14ac:dyDescent="0.25">
      <c r="A174" s="15" t="s">
        <v>123</v>
      </c>
      <c r="B174" s="58">
        <v>1</v>
      </c>
      <c r="C174" s="15" t="s">
        <v>219</v>
      </c>
      <c r="D174" s="17">
        <v>25095.03</v>
      </c>
      <c r="E174" s="17">
        <f>D174*B174</f>
        <v>25095.03</v>
      </c>
      <c r="F174" s="178" t="s">
        <v>1056</v>
      </c>
    </row>
    <row r="175" spans="1:7" outlineLevel="1" x14ac:dyDescent="0.25">
      <c r="A175" s="11" t="s">
        <v>124</v>
      </c>
      <c r="B175" s="605"/>
      <c r="C175" s="11"/>
      <c r="D175" s="11"/>
      <c r="E175" s="18">
        <f>SUM(E176)</f>
        <v>45034.5</v>
      </c>
      <c r="F175" s="8"/>
    </row>
    <row r="176" spans="1:7" ht="26.25" outlineLevel="1" x14ac:dyDescent="0.25">
      <c r="A176" s="15" t="s">
        <v>125</v>
      </c>
      <c r="B176" s="17">
        <v>10722.5</v>
      </c>
      <c r="C176" s="15" t="s">
        <v>41</v>
      </c>
      <c r="D176" s="58">
        <v>4.2</v>
      </c>
      <c r="E176" s="17">
        <f>B176*D176</f>
        <v>45034.5</v>
      </c>
      <c r="F176" s="10" t="s">
        <v>813</v>
      </c>
    </row>
    <row r="177" spans="1:7" x14ac:dyDescent="0.25">
      <c r="A177" s="45" t="s">
        <v>126</v>
      </c>
      <c r="B177" s="617"/>
      <c r="C177" s="42"/>
      <c r="D177" s="42"/>
      <c r="E177" s="43">
        <f>SUM(E178)</f>
        <v>149949.79999999999</v>
      </c>
      <c r="F177" s="44"/>
    </row>
    <row r="178" spans="1:7" outlineLevel="1" x14ac:dyDescent="0.25">
      <c r="A178" s="13" t="s">
        <v>127</v>
      </c>
      <c r="B178" s="613"/>
      <c r="C178" s="13"/>
      <c r="D178" s="13"/>
      <c r="E178" s="16">
        <f>SUM(E179)</f>
        <v>149949.79999999999</v>
      </c>
      <c r="F178" s="9"/>
    </row>
    <row r="179" spans="1:7" outlineLevel="1" x14ac:dyDescent="0.25">
      <c r="A179" s="11" t="s">
        <v>128</v>
      </c>
      <c r="B179" s="605"/>
      <c r="C179" s="11"/>
      <c r="D179" s="11"/>
      <c r="E179" s="18">
        <f>SUM(E180)</f>
        <v>149949.79999999999</v>
      </c>
      <c r="F179" s="8"/>
    </row>
    <row r="180" spans="1:7" ht="26.25" outlineLevel="1" x14ac:dyDescent="0.25">
      <c r="A180" s="15" t="s">
        <v>129</v>
      </c>
      <c r="B180" s="58">
        <v>91</v>
      </c>
      <c r="C180" s="15" t="s">
        <v>53</v>
      </c>
      <c r="D180" s="17">
        <v>1647.8</v>
      </c>
      <c r="E180" s="17">
        <v>149949.79999999999</v>
      </c>
      <c r="F180" s="10" t="s">
        <v>813</v>
      </c>
    </row>
    <row r="181" spans="1:7" x14ac:dyDescent="0.25">
      <c r="A181" s="45" t="s">
        <v>130</v>
      </c>
      <c r="B181" s="617"/>
      <c r="C181" s="42"/>
      <c r="D181" s="42"/>
      <c r="E181" s="43">
        <f>SUM(E182)</f>
        <v>151300.45499999999</v>
      </c>
      <c r="F181" s="44"/>
    </row>
    <row r="182" spans="1:7" outlineLevel="1" x14ac:dyDescent="0.25">
      <c r="A182" s="13" t="s">
        <v>131</v>
      </c>
      <c r="B182" s="613"/>
      <c r="C182" s="13"/>
      <c r="D182" s="13"/>
      <c r="E182" s="16">
        <f>SUM(E183,E185)</f>
        <v>151300.45499999999</v>
      </c>
      <c r="F182" s="9"/>
    </row>
    <row r="183" spans="1:7" outlineLevel="1" x14ac:dyDescent="0.25">
      <c r="A183" s="11" t="s">
        <v>132</v>
      </c>
      <c r="B183" s="605"/>
      <c r="C183" s="11"/>
      <c r="D183" s="11"/>
      <c r="E183" s="18">
        <v>39250.33</v>
      </c>
      <c r="F183" s="8"/>
    </row>
    <row r="184" spans="1:7" outlineLevel="1" x14ac:dyDescent="0.25">
      <c r="A184" s="15" t="s">
        <v>133</v>
      </c>
      <c r="B184" s="58">
        <v>1</v>
      </c>
      <c r="C184" s="15" t="s">
        <v>53</v>
      </c>
      <c r="D184" s="17">
        <v>39250.33</v>
      </c>
      <c r="E184" s="17">
        <v>39250.33</v>
      </c>
      <c r="F184" s="178" t="s">
        <v>1023</v>
      </c>
    </row>
    <row r="185" spans="1:7" outlineLevel="1" x14ac:dyDescent="0.25">
      <c r="A185" s="11" t="s">
        <v>344</v>
      </c>
      <c r="B185" s="605"/>
      <c r="C185" s="11"/>
      <c r="D185" s="11"/>
      <c r="E185" s="18">
        <f>SUM(E186)</f>
        <v>112050.12499999999</v>
      </c>
      <c r="F185" s="8"/>
    </row>
    <row r="186" spans="1:7" ht="60" outlineLevel="1" x14ac:dyDescent="0.25">
      <c r="A186" s="15" t="s">
        <v>345</v>
      </c>
      <c r="B186" s="17">
        <v>10722.5</v>
      </c>
      <c r="C186" s="15" t="s">
        <v>41</v>
      </c>
      <c r="D186" s="15">
        <v>10.45</v>
      </c>
      <c r="E186" s="17">
        <f>B186*D186</f>
        <v>112050.12499999999</v>
      </c>
      <c r="F186" s="10" t="s">
        <v>1022</v>
      </c>
    </row>
    <row r="187" spans="1:7" x14ac:dyDescent="0.25">
      <c r="A187" s="45" t="s">
        <v>134</v>
      </c>
      <c r="B187" s="617"/>
      <c r="C187" s="42"/>
      <c r="D187" s="42"/>
      <c r="E187" s="43">
        <f>SUM(E188,E191,E194)</f>
        <v>1034051.99</v>
      </c>
      <c r="F187" s="44"/>
    </row>
    <row r="188" spans="1:7" outlineLevel="1" x14ac:dyDescent="0.25">
      <c r="A188" s="13" t="s">
        <v>135</v>
      </c>
      <c r="B188" s="613"/>
      <c r="C188" s="13"/>
      <c r="D188" s="13"/>
      <c r="E188" s="16">
        <f>SUM(E189)</f>
        <v>131732</v>
      </c>
      <c r="F188" s="9"/>
    </row>
    <row r="189" spans="1:7" outlineLevel="1" x14ac:dyDescent="0.25">
      <c r="A189" s="11" t="s">
        <v>136</v>
      </c>
      <c r="B189" s="605"/>
      <c r="C189" s="11"/>
      <c r="D189" s="11"/>
      <c r="E189" s="18">
        <f>SUM(E190)</f>
        <v>131732</v>
      </c>
      <c r="F189" s="8"/>
    </row>
    <row r="190" spans="1:7" ht="30" outlineLevel="1" x14ac:dyDescent="0.25">
      <c r="A190" s="15" t="s">
        <v>137</v>
      </c>
      <c r="B190" s="58">
        <v>1</v>
      </c>
      <c r="C190" s="15" t="s">
        <v>219</v>
      </c>
      <c r="D190" s="17">
        <v>131732</v>
      </c>
      <c r="E190" s="17">
        <f>D190*B190</f>
        <v>131732</v>
      </c>
      <c r="F190" s="48" t="s">
        <v>1359</v>
      </c>
      <c r="G190" t="s">
        <v>1358</v>
      </c>
    </row>
    <row r="191" spans="1:7" outlineLevel="1" x14ac:dyDescent="0.25">
      <c r="A191" s="13" t="s">
        <v>138</v>
      </c>
      <c r="B191" s="613"/>
      <c r="C191" s="13"/>
      <c r="D191" s="13"/>
      <c r="E191" s="16">
        <f>SUM(E192)</f>
        <v>635000</v>
      </c>
      <c r="F191" s="9"/>
    </row>
    <row r="192" spans="1:7" outlineLevel="1" x14ac:dyDescent="0.25">
      <c r="A192" s="11" t="s">
        <v>139</v>
      </c>
      <c r="B192" s="605"/>
      <c r="C192" s="11"/>
      <c r="D192" s="11"/>
      <c r="E192" s="18">
        <f>SUM(E193)</f>
        <v>635000</v>
      </c>
      <c r="F192" s="8"/>
    </row>
    <row r="193" spans="1:7" outlineLevel="1" x14ac:dyDescent="0.25">
      <c r="A193" s="15" t="s">
        <v>140</v>
      </c>
      <c r="B193" s="58">
        <v>2</v>
      </c>
      <c r="C193" s="15" t="s">
        <v>53</v>
      </c>
      <c r="D193" s="17">
        <v>317500</v>
      </c>
      <c r="E193" s="17">
        <v>635000</v>
      </c>
      <c r="F193" s="10" t="s">
        <v>347</v>
      </c>
    </row>
    <row r="194" spans="1:7" ht="26.25" outlineLevel="1" x14ac:dyDescent="0.25">
      <c r="A194" s="13" t="s">
        <v>141</v>
      </c>
      <c r="B194" s="613"/>
      <c r="C194" s="13"/>
      <c r="D194" s="13"/>
      <c r="E194" s="16">
        <f>SUM(E195)</f>
        <v>267319.99</v>
      </c>
      <c r="F194" s="9"/>
    </row>
    <row r="195" spans="1:7" ht="26.25" outlineLevel="1" x14ac:dyDescent="0.25">
      <c r="A195" s="11" t="s">
        <v>142</v>
      </c>
      <c r="B195" s="605"/>
      <c r="C195" s="11"/>
      <c r="D195" s="11"/>
      <c r="E195" s="18">
        <f>SUM(E196)</f>
        <v>267319.99</v>
      </c>
      <c r="F195" s="8"/>
    </row>
    <row r="196" spans="1:7" outlineLevel="1" x14ac:dyDescent="0.25">
      <c r="A196" s="15" t="s">
        <v>143</v>
      </c>
      <c r="B196" s="58">
        <v>1</v>
      </c>
      <c r="C196" s="15" t="s">
        <v>219</v>
      </c>
      <c r="D196" s="17">
        <v>267319.99</v>
      </c>
      <c r="E196" s="17">
        <v>267319.99</v>
      </c>
      <c r="F196" s="10" t="s">
        <v>1088</v>
      </c>
    </row>
    <row r="197" spans="1:7" x14ac:dyDescent="0.25">
      <c r="A197" s="45" t="s">
        <v>144</v>
      </c>
      <c r="B197" s="617"/>
      <c r="C197" s="42"/>
      <c r="D197" s="42"/>
      <c r="E197" s="43">
        <f>E198</f>
        <v>269762.89</v>
      </c>
      <c r="F197" s="44"/>
    </row>
    <row r="198" spans="1:7" outlineLevel="1" x14ac:dyDescent="0.25">
      <c r="A198" s="13" t="s">
        <v>145</v>
      </c>
      <c r="B198" s="613"/>
      <c r="C198" s="13"/>
      <c r="D198" s="13"/>
      <c r="E198" s="16">
        <f>SUM(E199,E202)</f>
        <v>269762.89</v>
      </c>
      <c r="F198" s="9"/>
    </row>
    <row r="199" spans="1:7" outlineLevel="1" x14ac:dyDescent="0.25">
      <c r="A199" s="11" t="s">
        <v>146</v>
      </c>
      <c r="B199" s="605"/>
      <c r="C199" s="11"/>
      <c r="D199" s="11"/>
      <c r="E199" s="18">
        <f>SUM(E200:E201)</f>
        <v>233952.15000000002</v>
      </c>
      <c r="F199" s="8"/>
    </row>
    <row r="200" spans="1:7" ht="30" outlineLevel="1" x14ac:dyDescent="0.25">
      <c r="A200" s="15" t="s">
        <v>147</v>
      </c>
      <c r="B200" s="58">
        <v>277</v>
      </c>
      <c r="C200" s="15" t="s">
        <v>53</v>
      </c>
      <c r="D200" s="15">
        <v>757.95</v>
      </c>
      <c r="E200" s="17">
        <f>B200*D200</f>
        <v>209952.15000000002</v>
      </c>
      <c r="F200" s="10" t="s">
        <v>1025</v>
      </c>
    </row>
    <row r="201" spans="1:7" outlineLevel="1" x14ac:dyDescent="0.25">
      <c r="A201" s="35" t="s">
        <v>374</v>
      </c>
      <c r="B201" s="50">
        <v>8</v>
      </c>
      <c r="C201" s="35" t="s">
        <v>53</v>
      </c>
      <c r="D201" s="17">
        <v>3000</v>
      </c>
      <c r="E201" s="47">
        <f>D201*B201</f>
        <v>24000</v>
      </c>
      <c r="F201" s="48" t="s">
        <v>392</v>
      </c>
    </row>
    <row r="202" spans="1:7" outlineLevel="1" x14ac:dyDescent="0.25">
      <c r="A202" s="11" t="s">
        <v>148</v>
      </c>
      <c r="B202" s="605"/>
      <c r="C202" s="11"/>
      <c r="D202" s="11"/>
      <c r="E202" s="18">
        <f>SUM(E203:E204)</f>
        <v>35810.74</v>
      </c>
      <c r="F202" s="8"/>
    </row>
    <row r="203" spans="1:7" outlineLevel="1" x14ac:dyDescent="0.25">
      <c r="A203" s="15" t="s">
        <v>149</v>
      </c>
      <c r="B203" s="58">
        <v>1</v>
      </c>
      <c r="C203" s="15" t="s">
        <v>219</v>
      </c>
      <c r="D203" s="17">
        <v>34550.74</v>
      </c>
      <c r="E203" s="17">
        <f>B203*D203</f>
        <v>34550.74</v>
      </c>
      <c r="F203" s="178" t="s">
        <v>1024</v>
      </c>
    </row>
    <row r="204" spans="1:7" outlineLevel="1" x14ac:dyDescent="0.25">
      <c r="A204" s="35" t="s">
        <v>375</v>
      </c>
      <c r="B204" s="50">
        <v>6</v>
      </c>
      <c r="C204" s="35" t="s">
        <v>53</v>
      </c>
      <c r="D204" s="47">
        <v>210</v>
      </c>
      <c r="E204" s="47">
        <f>B204*D204</f>
        <v>1260</v>
      </c>
      <c r="F204" s="178" t="s">
        <v>1024</v>
      </c>
    </row>
    <row r="205" spans="1:7" ht="26.25" x14ac:dyDescent="0.25">
      <c r="A205" s="45" t="s">
        <v>150</v>
      </c>
      <c r="B205" s="617"/>
      <c r="C205" s="42"/>
      <c r="D205" s="42"/>
      <c r="E205" s="43">
        <f>SUM(E206)</f>
        <v>2179759.1564740553</v>
      </c>
      <c r="F205" s="44"/>
    </row>
    <row r="206" spans="1:7" ht="26.25" outlineLevel="1" x14ac:dyDescent="0.25">
      <c r="A206" s="13" t="s">
        <v>151</v>
      </c>
      <c r="B206" s="613"/>
      <c r="C206" s="13"/>
      <c r="D206" s="13"/>
      <c r="E206" s="16">
        <f>SUM(E207,E211,E214,E217)</f>
        <v>2179759.1564740553</v>
      </c>
      <c r="F206" s="9"/>
    </row>
    <row r="207" spans="1:7" outlineLevel="1" x14ac:dyDescent="0.25">
      <c r="A207" s="11" t="s">
        <v>152</v>
      </c>
      <c r="B207" s="605"/>
      <c r="C207" s="11"/>
      <c r="D207" s="11"/>
      <c r="E207" s="18">
        <f>SUM(E208:E210)</f>
        <v>570012.17130405572</v>
      </c>
      <c r="F207" s="8"/>
    </row>
    <row r="208" spans="1:7" ht="39" outlineLevel="1" x14ac:dyDescent="0.25">
      <c r="A208" s="15" t="s">
        <v>357</v>
      </c>
      <c r="B208" s="58">
        <f>'ARGAMASSADO EM ESTRUTURA'!I26</f>
        <v>3998.6372999999999</v>
      </c>
      <c r="C208" s="15" t="s">
        <v>41</v>
      </c>
      <c r="D208" s="17">
        <v>2.19</v>
      </c>
      <c r="E208" s="17">
        <f>B208*D208</f>
        <v>8757.0156869999992</v>
      </c>
      <c r="F208" s="178" t="s">
        <v>1086</v>
      </c>
      <c r="G208" t="s">
        <v>1356</v>
      </c>
    </row>
    <row r="209" spans="1:7" ht="39" outlineLevel="1" x14ac:dyDescent="0.25">
      <c r="A209" s="15" t="s">
        <v>358</v>
      </c>
      <c r="B209" s="58">
        <f>REVESTIMENTOS!C19</f>
        <v>24702.881899599986</v>
      </c>
      <c r="C209" s="15" t="s">
        <v>41</v>
      </c>
      <c r="D209" s="17">
        <v>2.19</v>
      </c>
      <c r="E209" s="17">
        <f>B209*D209</f>
        <v>54099.311360123967</v>
      </c>
      <c r="F209" s="178" t="s">
        <v>1429</v>
      </c>
      <c r="G209" t="s">
        <v>1424</v>
      </c>
    </row>
    <row r="210" spans="1:7" ht="39" outlineLevel="1" x14ac:dyDescent="0.25">
      <c r="A210" s="35" t="s">
        <v>359</v>
      </c>
      <c r="B210" s="50">
        <f>B209+B208</f>
        <v>28701.519199599985</v>
      </c>
      <c r="C210" s="35" t="s">
        <v>41</v>
      </c>
      <c r="D210" s="35">
        <v>17.670000000000002</v>
      </c>
      <c r="E210" s="47">
        <f>B210*D210</f>
        <v>507155.8442569318</v>
      </c>
      <c r="F210" s="10" t="s">
        <v>1087</v>
      </c>
      <c r="G210" t="s">
        <v>1424</v>
      </c>
    </row>
    <row r="211" spans="1:7" outlineLevel="1" x14ac:dyDescent="0.25">
      <c r="A211" s="11" t="s">
        <v>153</v>
      </c>
      <c r="B211" s="605"/>
      <c r="C211" s="11"/>
      <c r="D211" s="11"/>
      <c r="E211" s="18">
        <f>SUM(E212:E213)</f>
        <v>354898.32918399997</v>
      </c>
      <c r="F211" s="8"/>
    </row>
    <row r="212" spans="1:7" ht="26.25" outlineLevel="1" x14ac:dyDescent="0.25">
      <c r="A212" s="15" t="s">
        <v>360</v>
      </c>
      <c r="B212" s="17">
        <f>REVESTIMENTOS!F19</f>
        <v>3571.6771999999996</v>
      </c>
      <c r="C212" s="15" t="s">
        <v>41</v>
      </c>
      <c r="D212" s="15">
        <v>91.22</v>
      </c>
      <c r="E212" s="17">
        <f>B212*D212</f>
        <v>325808.39418399998</v>
      </c>
      <c r="F212" s="178" t="s">
        <v>1429</v>
      </c>
    </row>
    <row r="213" spans="1:7" ht="26.25" outlineLevel="1" x14ac:dyDescent="0.25">
      <c r="A213" s="35" t="s">
        <v>332</v>
      </c>
      <c r="B213" s="17">
        <f>56.6+43.4+8.5</f>
        <v>108.5</v>
      </c>
      <c r="C213" s="35" t="s">
        <v>41</v>
      </c>
      <c r="D213" s="35">
        <v>268.11</v>
      </c>
      <c r="E213" s="47">
        <f>B213*D213</f>
        <v>29089.935000000001</v>
      </c>
      <c r="F213" s="178" t="s">
        <v>1429</v>
      </c>
    </row>
    <row r="214" spans="1:7" outlineLevel="1" x14ac:dyDescent="0.25">
      <c r="A214" s="59" t="s">
        <v>393</v>
      </c>
      <c r="B214" s="605"/>
      <c r="C214" s="11"/>
      <c r="D214" s="11"/>
      <c r="E214" s="18">
        <f>SUM(E215:E216)</f>
        <v>69689.378399999987</v>
      </c>
      <c r="F214" s="8"/>
    </row>
    <row r="215" spans="1:7" outlineLevel="1" x14ac:dyDescent="0.25">
      <c r="A215" s="15" t="s">
        <v>154</v>
      </c>
      <c r="B215" s="58">
        <v>72.77</v>
      </c>
      <c r="C215" s="15" t="s">
        <v>41</v>
      </c>
      <c r="D215" s="15">
        <v>528.27</v>
      </c>
      <c r="E215" s="17">
        <f>B215*D215</f>
        <v>38442.207899999994</v>
      </c>
      <c r="F215" s="10" t="s">
        <v>1089</v>
      </c>
    </row>
    <row r="216" spans="1:7" ht="30" outlineLevel="1" x14ac:dyDescent="0.25">
      <c r="A216" s="35" t="s">
        <v>395</v>
      </c>
      <c r="B216" s="50">
        <f>0.65*91</f>
        <v>59.15</v>
      </c>
      <c r="C216" s="35" t="s">
        <v>41</v>
      </c>
      <c r="D216" s="35">
        <v>528.27</v>
      </c>
      <c r="E216" s="47">
        <f>B216*D216</f>
        <v>31247.170499999997</v>
      </c>
      <c r="F216" s="10" t="s">
        <v>1295</v>
      </c>
    </row>
    <row r="217" spans="1:7" outlineLevel="1" x14ac:dyDescent="0.25">
      <c r="A217" s="11" t="s">
        <v>155</v>
      </c>
      <c r="B217" s="605"/>
      <c r="C217" s="11"/>
      <c r="D217" s="11"/>
      <c r="E217" s="18">
        <f>SUM(E218:E221)</f>
        <v>1185159.2775859996</v>
      </c>
      <c r="F217" s="8"/>
    </row>
    <row r="218" spans="1:7" ht="30" outlineLevel="1" x14ac:dyDescent="0.25">
      <c r="A218" s="15" t="s">
        <v>361</v>
      </c>
      <c r="B218" s="17">
        <f>B210</f>
        <v>28701.519199599985</v>
      </c>
      <c r="C218" s="15" t="s">
        <v>41</v>
      </c>
      <c r="D218" s="15">
        <v>35</v>
      </c>
      <c r="E218" s="17">
        <f>B218*D218</f>
        <v>1004553.1719859994</v>
      </c>
      <c r="F218" s="10" t="str">
        <f>F210</f>
        <v>Soma: chapisco em alvenaria + chapisco em estrutura</v>
      </c>
      <c r="G218" t="s">
        <v>1424</v>
      </c>
    </row>
    <row r="219" spans="1:7" ht="30" outlineLevel="1" x14ac:dyDescent="0.25">
      <c r="A219" s="15" t="s">
        <v>362</v>
      </c>
      <c r="B219" s="17">
        <f>B212</f>
        <v>3571.6771999999996</v>
      </c>
      <c r="C219" s="15" t="s">
        <v>41</v>
      </c>
      <c r="D219" s="15">
        <v>48</v>
      </c>
      <c r="E219" s="17">
        <f t="shared" ref="E219:E221" si="5">B219*D219</f>
        <v>171440.50559999997</v>
      </c>
      <c r="F219" s="10" t="s">
        <v>1091</v>
      </c>
    </row>
    <row r="220" spans="1:7" ht="30" outlineLevel="1" x14ac:dyDescent="0.25">
      <c r="A220" s="15" t="s">
        <v>1090</v>
      </c>
      <c r="B220" s="17">
        <f>SUM(B215:B216)</f>
        <v>131.91999999999999</v>
      </c>
      <c r="C220" s="15" t="s">
        <v>41</v>
      </c>
      <c r="D220" s="15">
        <v>30</v>
      </c>
      <c r="E220" s="17">
        <f t="shared" si="5"/>
        <v>3957.5999999999995</v>
      </c>
      <c r="F220" s="10" t="s">
        <v>1092</v>
      </c>
    </row>
    <row r="221" spans="1:7" ht="30" outlineLevel="1" x14ac:dyDescent="0.25">
      <c r="A221" s="35" t="s">
        <v>331</v>
      </c>
      <c r="B221" s="17">
        <f>B213</f>
        <v>108.5</v>
      </c>
      <c r="C221" s="35" t="s">
        <v>41</v>
      </c>
      <c r="D221" s="35">
        <v>48</v>
      </c>
      <c r="E221" s="47">
        <f t="shared" si="5"/>
        <v>5208</v>
      </c>
      <c r="F221" s="10" t="s">
        <v>1093</v>
      </c>
    </row>
    <row r="222" spans="1:7" ht="26.25" x14ac:dyDescent="0.25">
      <c r="A222" s="45" t="s">
        <v>156</v>
      </c>
      <c r="B222" s="617"/>
      <c r="C222" s="42"/>
      <c r="D222" s="42"/>
      <c r="E222" s="43">
        <f>SUM(E223)</f>
        <v>568584.15999999992</v>
      </c>
      <c r="F222" s="44"/>
    </row>
    <row r="223" spans="1:7" ht="26.25" outlineLevel="1" x14ac:dyDescent="0.25">
      <c r="A223" s="13" t="s">
        <v>157</v>
      </c>
      <c r="B223" s="613"/>
      <c r="C223" s="13"/>
      <c r="D223" s="13"/>
      <c r="E223" s="16">
        <f>SUM(E224)</f>
        <v>568584.15999999992</v>
      </c>
      <c r="F223" s="9"/>
    </row>
    <row r="224" spans="1:7" outlineLevel="1" x14ac:dyDescent="0.25">
      <c r="A224" s="11" t="s">
        <v>158</v>
      </c>
      <c r="B224" s="605"/>
      <c r="C224" s="11"/>
      <c r="D224" s="11"/>
      <c r="E224" s="18">
        <f>SUM(E225:E226)</f>
        <v>568584.15999999992</v>
      </c>
      <c r="F224" s="8"/>
    </row>
    <row r="225" spans="1:7" ht="26.25" outlineLevel="1" x14ac:dyDescent="0.25">
      <c r="A225" s="35" t="s">
        <v>363</v>
      </c>
      <c r="B225" s="17">
        <v>6122.3</v>
      </c>
      <c r="C225" s="35" t="s">
        <v>41</v>
      </c>
      <c r="D225" s="50">
        <v>61.61</v>
      </c>
      <c r="E225" s="47">
        <f>D225*B225</f>
        <v>377194.90299999999</v>
      </c>
      <c r="F225" s="178" t="s">
        <v>394</v>
      </c>
    </row>
    <row r="226" spans="1:7" outlineLevel="1" x14ac:dyDescent="0.25">
      <c r="A226" s="35" t="s">
        <v>364</v>
      </c>
      <c r="B226" s="17">
        <v>8472.2999999999993</v>
      </c>
      <c r="C226" s="35" t="s">
        <v>46</v>
      </c>
      <c r="D226" s="50">
        <v>22.59</v>
      </c>
      <c r="E226" s="47">
        <f>D226*B226</f>
        <v>191389.25699999998</v>
      </c>
      <c r="F226" s="21"/>
    </row>
    <row r="227" spans="1:7" x14ac:dyDescent="0.25">
      <c r="A227" s="45" t="s">
        <v>159</v>
      </c>
      <c r="B227" s="617"/>
      <c r="C227" s="42"/>
      <c r="D227" s="42"/>
      <c r="E227" s="43">
        <f>E228</f>
        <v>2316031.8964</v>
      </c>
      <c r="F227" s="44"/>
    </row>
    <row r="228" spans="1:7" outlineLevel="1" x14ac:dyDescent="0.25">
      <c r="A228" s="13" t="s">
        <v>160</v>
      </c>
      <c r="B228" s="613"/>
      <c r="C228" s="13"/>
      <c r="D228" s="13"/>
      <c r="E228" s="16">
        <f>SUM(E229,E233,E237,E240,E244,E246)</f>
        <v>2316031.8964</v>
      </c>
      <c r="F228" s="9"/>
    </row>
    <row r="229" spans="1:7" outlineLevel="1" x14ac:dyDescent="0.25">
      <c r="A229" s="11" t="s">
        <v>161</v>
      </c>
      <c r="B229" s="605"/>
      <c r="C229" s="11"/>
      <c r="D229" s="11"/>
      <c r="E229" s="18">
        <f>SUM(E230:E232)</f>
        <v>251639.5355</v>
      </c>
      <c r="F229" s="8"/>
    </row>
    <row r="230" spans="1:7" ht="26.25" outlineLevel="1" x14ac:dyDescent="0.25">
      <c r="A230" s="15" t="s">
        <v>365</v>
      </c>
      <c r="B230" s="17">
        <f>2612.26</f>
        <v>2612.2600000000002</v>
      </c>
      <c r="C230" s="15" t="s">
        <v>41</v>
      </c>
      <c r="D230" s="15">
        <v>25.85</v>
      </c>
      <c r="E230" s="17">
        <f>B230*D230</f>
        <v>67526.921000000002</v>
      </c>
      <c r="F230" s="178" t="s">
        <v>1116</v>
      </c>
    </row>
    <row r="231" spans="1:7" ht="26.25" outlineLevel="1" x14ac:dyDescent="0.25">
      <c r="A231" s="35" t="s">
        <v>376</v>
      </c>
      <c r="B231" s="17">
        <v>4464</v>
      </c>
      <c r="C231" s="35" t="s">
        <v>41</v>
      </c>
      <c r="D231" s="35">
        <v>36.51</v>
      </c>
      <c r="E231" s="47">
        <f>B231*D231</f>
        <v>162980.63999999998</v>
      </c>
      <c r="F231" s="178" t="s">
        <v>1116</v>
      </c>
    </row>
    <row r="232" spans="1:7" ht="26.25" outlineLevel="1" x14ac:dyDescent="0.25">
      <c r="A232" s="35" t="s">
        <v>1384</v>
      </c>
      <c r="B232" s="17">
        <v>2625.09</v>
      </c>
      <c r="C232" s="35" t="s">
        <v>41</v>
      </c>
      <c r="D232" s="50">
        <v>8.0500000000000007</v>
      </c>
      <c r="E232" s="47">
        <f>B232*D232</f>
        <v>21131.974500000004</v>
      </c>
      <c r="F232" s="178" t="s">
        <v>1116</v>
      </c>
      <c r="G232" t="s">
        <v>1385</v>
      </c>
    </row>
    <row r="233" spans="1:7" ht="26.25" outlineLevel="1" x14ac:dyDescent="0.25">
      <c r="A233" s="11" t="s">
        <v>162</v>
      </c>
      <c r="B233" s="605"/>
      <c r="C233" s="11"/>
      <c r="D233" s="11"/>
      <c r="E233" s="18">
        <f>SUM(E234:E236)</f>
        <v>418649.04309999995</v>
      </c>
      <c r="F233" s="8"/>
    </row>
    <row r="234" spans="1:7" ht="26.25" outlineLevel="1" x14ac:dyDescent="0.25">
      <c r="A234" s="15" t="s">
        <v>328</v>
      </c>
      <c r="B234" s="17">
        <v>4358.2</v>
      </c>
      <c r="C234" s="15" t="s">
        <v>41</v>
      </c>
      <c r="D234" s="15">
        <v>87.94</v>
      </c>
      <c r="E234" s="17">
        <f>B234*D234</f>
        <v>383260.10799999995</v>
      </c>
      <c r="F234" s="178" t="s">
        <v>1116</v>
      </c>
    </row>
    <row r="235" spans="1:7" ht="26.25" outlineLevel="1" x14ac:dyDescent="0.25">
      <c r="A235" s="15" t="s">
        <v>329</v>
      </c>
      <c r="B235" s="17">
        <v>189.1</v>
      </c>
      <c r="C235" s="15" t="s">
        <v>41</v>
      </c>
      <c r="D235" s="15">
        <v>95.52</v>
      </c>
      <c r="E235" s="17">
        <v>18062.830000000002</v>
      </c>
      <c r="F235" s="464" t="s">
        <v>1116</v>
      </c>
      <c r="G235" s="10" t="s">
        <v>341</v>
      </c>
    </row>
    <row r="236" spans="1:7" ht="30" outlineLevel="1" x14ac:dyDescent="0.25">
      <c r="A236" s="15" t="s">
        <v>377</v>
      </c>
      <c r="B236" s="17">
        <f>243.31</f>
        <v>243.31</v>
      </c>
      <c r="C236" s="15" t="s">
        <v>41</v>
      </c>
      <c r="D236" s="15">
        <v>71.209999999999994</v>
      </c>
      <c r="E236" s="17">
        <f>D236*B236</f>
        <v>17326.105099999997</v>
      </c>
      <c r="F236" s="178" t="s">
        <v>1116</v>
      </c>
      <c r="G236" s="10" t="s">
        <v>1353</v>
      </c>
    </row>
    <row r="237" spans="1:7" outlineLevel="1" x14ac:dyDescent="0.25">
      <c r="A237" s="11" t="s">
        <v>163</v>
      </c>
      <c r="B237" s="605"/>
      <c r="C237" s="11"/>
      <c r="D237" s="11"/>
      <c r="E237" s="18">
        <f>SUM(E238:E239)</f>
        <v>274213.41499999998</v>
      </c>
      <c r="F237" s="8"/>
    </row>
    <row r="238" spans="1:7" ht="26.25" outlineLevel="1" x14ac:dyDescent="0.25">
      <c r="A238" s="15" t="s">
        <v>164</v>
      </c>
      <c r="B238" s="17">
        <v>1773</v>
      </c>
      <c r="C238" s="15" t="s">
        <v>41</v>
      </c>
      <c r="D238" s="15">
        <v>153.32</v>
      </c>
      <c r="E238" s="17">
        <f>B238*D238</f>
        <v>271836.36</v>
      </c>
      <c r="F238" s="178" t="s">
        <v>1116</v>
      </c>
    </row>
    <row r="239" spans="1:7" outlineLevel="1" x14ac:dyDescent="0.25">
      <c r="A239" s="35" t="s">
        <v>327</v>
      </c>
      <c r="B239" s="17">
        <v>49.75</v>
      </c>
      <c r="C239" s="35" t="s">
        <v>41</v>
      </c>
      <c r="D239" s="35">
        <v>47.78</v>
      </c>
      <c r="E239" s="47">
        <f>B239*D239</f>
        <v>2377.0549999999998</v>
      </c>
      <c r="F239" s="178" t="s">
        <v>1116</v>
      </c>
    </row>
    <row r="240" spans="1:7" outlineLevel="1" x14ac:dyDescent="0.25">
      <c r="A240" s="11" t="s">
        <v>165</v>
      </c>
      <c r="B240" s="605"/>
      <c r="C240" s="11"/>
      <c r="D240" s="11"/>
      <c r="E240" s="18">
        <f>SUM(E241:E243)</f>
        <v>377091.087</v>
      </c>
      <c r="F240" s="8"/>
    </row>
    <row r="241" spans="1:7" ht="26.25" outlineLevel="1" x14ac:dyDescent="0.25">
      <c r="A241" s="15" t="s">
        <v>166</v>
      </c>
      <c r="B241" s="17">
        <v>9057.69</v>
      </c>
      <c r="C241" s="15" t="s">
        <v>46</v>
      </c>
      <c r="D241" s="15">
        <v>41.17</v>
      </c>
      <c r="E241" s="17">
        <f>B241*D241</f>
        <v>372905.09730000002</v>
      </c>
      <c r="F241" s="178" t="s">
        <v>1116</v>
      </c>
    </row>
    <row r="242" spans="1:7" outlineLevel="1" x14ac:dyDescent="0.25">
      <c r="A242" s="35" t="s">
        <v>338</v>
      </c>
      <c r="B242" s="17">
        <v>295.41000000000003</v>
      </c>
      <c r="C242" s="35" t="s">
        <v>46</v>
      </c>
      <c r="D242" s="35">
        <v>12.13</v>
      </c>
      <c r="E242" s="47">
        <f>B242*D242</f>
        <v>3583.3233000000005</v>
      </c>
      <c r="F242" s="178" t="s">
        <v>1116</v>
      </c>
    </row>
    <row r="243" spans="1:7" outlineLevel="1" x14ac:dyDescent="0.25">
      <c r="A243" s="35" t="s">
        <v>339</v>
      </c>
      <c r="B243" s="17">
        <f>[5]PISOS!$H$19</f>
        <v>74.22</v>
      </c>
      <c r="C243" s="35" t="s">
        <v>46</v>
      </c>
      <c r="D243" s="35">
        <v>8.1199999999999992</v>
      </c>
      <c r="E243" s="47">
        <f>B243*D243</f>
        <v>602.66639999999995</v>
      </c>
      <c r="F243" s="178" t="s">
        <v>1116</v>
      </c>
    </row>
    <row r="244" spans="1:7" outlineLevel="1" x14ac:dyDescent="0.25">
      <c r="A244" s="11" t="s">
        <v>167</v>
      </c>
      <c r="B244" s="605"/>
      <c r="C244" s="11"/>
      <c r="D244" s="11"/>
      <c r="E244" s="18">
        <f>SUM(E245)</f>
        <v>62011.630799999999</v>
      </c>
      <c r="F244" s="8"/>
    </row>
    <row r="245" spans="1:7" outlineLevel="1" x14ac:dyDescent="0.25">
      <c r="A245" s="15" t="s">
        <v>168</v>
      </c>
      <c r="B245" s="58">
        <v>114.93</v>
      </c>
      <c r="C245" s="15" t="s">
        <v>41</v>
      </c>
      <c r="D245" s="15">
        <v>539.55999999999995</v>
      </c>
      <c r="E245" s="17">
        <f>B245*D245</f>
        <v>62011.630799999999</v>
      </c>
      <c r="F245" s="10" t="s">
        <v>1089</v>
      </c>
    </row>
    <row r="246" spans="1:7" outlineLevel="1" x14ac:dyDescent="0.25">
      <c r="A246" s="11" t="s">
        <v>169</v>
      </c>
      <c r="B246" s="605"/>
      <c r="C246" s="11"/>
      <c r="D246" s="11"/>
      <c r="E246" s="18">
        <f>SUM(E247:E252)</f>
        <v>932427.18500000006</v>
      </c>
      <c r="F246" s="8"/>
    </row>
    <row r="247" spans="1:7" ht="30" outlineLevel="1" x14ac:dyDescent="0.25">
      <c r="A247" s="15" t="s">
        <v>330</v>
      </c>
      <c r="B247" s="17">
        <f>SUM(B234:B236)</f>
        <v>4790.6100000000006</v>
      </c>
      <c r="C247" s="15" t="s">
        <v>41</v>
      </c>
      <c r="D247" s="58">
        <v>48</v>
      </c>
      <c r="E247" s="17">
        <f>B247*D247</f>
        <v>229949.28000000003</v>
      </c>
      <c r="F247" s="10" t="s">
        <v>1236</v>
      </c>
    </row>
    <row r="248" spans="1:7" ht="26.25" outlineLevel="1" x14ac:dyDescent="0.25">
      <c r="A248" s="15" t="s">
        <v>337</v>
      </c>
      <c r="B248" s="17">
        <v>1893</v>
      </c>
      <c r="C248" s="15" t="s">
        <v>41</v>
      </c>
      <c r="D248" s="58">
        <v>42</v>
      </c>
      <c r="E248" s="17">
        <f t="shared" ref="E248:E251" si="6">B248*D248</f>
        <v>79506</v>
      </c>
      <c r="F248" s="10" t="s">
        <v>1237</v>
      </c>
    </row>
    <row r="249" spans="1:7" ht="26.25" outlineLevel="1" x14ac:dyDescent="0.25">
      <c r="A249" s="15" t="s">
        <v>336</v>
      </c>
      <c r="B249" s="17">
        <f>B241</f>
        <v>9057.69</v>
      </c>
      <c r="C249" s="35" t="s">
        <v>46</v>
      </c>
      <c r="D249" s="50">
        <v>42.5</v>
      </c>
      <c r="E249" s="17">
        <f t="shared" si="6"/>
        <v>384951.82500000001</v>
      </c>
      <c r="F249" s="10" t="s">
        <v>1238</v>
      </c>
    </row>
    <row r="250" spans="1:7" ht="26.25" outlineLevel="1" x14ac:dyDescent="0.25">
      <c r="A250" s="15" t="s">
        <v>1355</v>
      </c>
      <c r="B250" s="17">
        <v>114.93</v>
      </c>
      <c r="C250" s="15" t="s">
        <v>41</v>
      </c>
      <c r="D250" s="58">
        <v>30</v>
      </c>
      <c r="E250" s="17">
        <f t="shared" si="6"/>
        <v>3447.9</v>
      </c>
      <c r="F250" s="10" t="s">
        <v>1239</v>
      </c>
    </row>
    <row r="251" spans="1:7" ht="30" outlineLevel="1" x14ac:dyDescent="0.25">
      <c r="A251" s="35" t="s">
        <v>340</v>
      </c>
      <c r="B251" s="17">
        <f>B242+B243</f>
        <v>369.63</v>
      </c>
      <c r="C251" s="35" t="s">
        <v>46</v>
      </c>
      <c r="D251" s="50">
        <v>22</v>
      </c>
      <c r="E251" s="17">
        <f t="shared" si="6"/>
        <v>8131.86</v>
      </c>
      <c r="F251" s="10" t="s">
        <v>1240</v>
      </c>
    </row>
    <row r="252" spans="1:7" ht="30" outlineLevel="1" x14ac:dyDescent="0.25">
      <c r="A252" s="35" t="s">
        <v>335</v>
      </c>
      <c r="B252" s="17">
        <f>SUM(B230:B231)</f>
        <v>7076.26</v>
      </c>
      <c r="C252" s="35" t="s">
        <v>41</v>
      </c>
      <c r="D252" s="50">
        <v>32</v>
      </c>
      <c r="E252" s="17">
        <f>B252*D252</f>
        <v>226440.32000000001</v>
      </c>
      <c r="F252" s="10" t="s">
        <v>1241</v>
      </c>
    </row>
    <row r="253" spans="1:7" x14ac:dyDescent="0.25">
      <c r="A253" s="45" t="s">
        <v>170</v>
      </c>
      <c r="B253" s="617"/>
      <c r="C253" s="42"/>
      <c r="D253" s="42"/>
      <c r="E253" s="43">
        <f>SUM(E254)</f>
        <v>2128847.0649182112</v>
      </c>
      <c r="F253" s="44"/>
    </row>
    <row r="254" spans="1:7" outlineLevel="1" x14ac:dyDescent="0.25">
      <c r="A254" s="13" t="s">
        <v>171</v>
      </c>
      <c r="B254" s="613"/>
      <c r="C254" s="13"/>
      <c r="D254" s="13"/>
      <c r="E254" s="16">
        <f>SUM(E255,E259,E264,E268)</f>
        <v>2128847.0649182112</v>
      </c>
      <c r="F254" s="9"/>
    </row>
    <row r="255" spans="1:7" outlineLevel="1" x14ac:dyDescent="0.25">
      <c r="A255" s="11" t="s">
        <v>172</v>
      </c>
      <c r="B255" s="605"/>
      <c r="C255" s="11"/>
      <c r="D255" s="11"/>
      <c r="E255" s="18">
        <f>SUM(E256:E258)</f>
        <v>182205.54750000002</v>
      </c>
      <c r="F255" s="8"/>
    </row>
    <row r="256" spans="1:7" ht="26.25" outlineLevel="1" x14ac:dyDescent="0.25">
      <c r="A256" s="15" t="s">
        <v>173</v>
      </c>
      <c r="B256" s="17">
        <f>B92</f>
        <v>2625.09</v>
      </c>
      <c r="C256" s="15" t="s">
        <v>41</v>
      </c>
      <c r="D256" s="15">
        <v>62.69</v>
      </c>
      <c r="E256" s="17">
        <f>B256*D256</f>
        <v>164566.8921</v>
      </c>
      <c r="F256" s="464" t="s">
        <v>1116</v>
      </c>
      <c r="G256" t="s">
        <v>231</v>
      </c>
    </row>
    <row r="257" spans="1:7" ht="26.25" outlineLevel="1" x14ac:dyDescent="0.25">
      <c r="A257" s="15" t="s">
        <v>346</v>
      </c>
      <c r="B257" s="17">
        <v>151.06</v>
      </c>
      <c r="C257" s="15" t="s">
        <v>41</v>
      </c>
      <c r="D257" s="35">
        <v>4.8899999999999997</v>
      </c>
      <c r="E257" s="15">
        <f>B257*D257</f>
        <v>738.68340000000001</v>
      </c>
      <c r="F257" s="464" t="s">
        <v>1116</v>
      </c>
      <c r="G257" t="s">
        <v>232</v>
      </c>
    </row>
    <row r="258" spans="1:7" ht="30" outlineLevel="1" x14ac:dyDescent="0.25">
      <c r="A258" s="15" t="s">
        <v>1354</v>
      </c>
      <c r="B258" s="17">
        <f>414.61+346.65</f>
        <v>761.26</v>
      </c>
      <c r="C258" s="15" t="s">
        <v>41</v>
      </c>
      <c r="D258" s="15">
        <v>22.2</v>
      </c>
      <c r="E258" s="17">
        <f>B258*D258</f>
        <v>16899.971999999998</v>
      </c>
      <c r="F258" s="178" t="s">
        <v>1116</v>
      </c>
      <c r="G258" s="54" t="s">
        <v>1360</v>
      </c>
    </row>
    <row r="259" spans="1:7" outlineLevel="1" x14ac:dyDescent="0.25">
      <c r="A259" s="11" t="s">
        <v>174</v>
      </c>
      <c r="B259" s="605"/>
      <c r="C259" s="11"/>
      <c r="D259" s="11"/>
      <c r="E259" s="18">
        <f>SUM(E260:E263)</f>
        <v>522009.17773181171</v>
      </c>
      <c r="F259" s="8"/>
    </row>
    <row r="260" spans="1:7" ht="26.25" outlineLevel="1" x14ac:dyDescent="0.25">
      <c r="A260" s="15" t="s">
        <v>175</v>
      </c>
      <c r="B260" s="17">
        <f>REVESTIMENTOS!G19</f>
        <v>25129.841999599987</v>
      </c>
      <c r="C260" s="15" t="s">
        <v>41</v>
      </c>
      <c r="D260" s="15">
        <v>1.18</v>
      </c>
      <c r="E260" s="17">
        <f>B260*D260</f>
        <v>29653.213559527983</v>
      </c>
      <c r="F260" s="178" t="s">
        <v>1429</v>
      </c>
      <c r="G260" t="s">
        <v>1424</v>
      </c>
    </row>
    <row r="261" spans="1:7" ht="26.25" outlineLevel="1" x14ac:dyDescent="0.25">
      <c r="A261" s="15" t="s">
        <v>176</v>
      </c>
      <c r="B261" s="17">
        <f>B260</f>
        <v>25129.841999599987</v>
      </c>
      <c r="C261" s="15" t="s">
        <v>41</v>
      </c>
      <c r="D261" s="15">
        <v>3.92</v>
      </c>
      <c r="E261" s="17">
        <f t="shared" ref="E261:E263" si="7">B261*D261</f>
        <v>98508.980638431953</v>
      </c>
      <c r="F261" s="178" t="s">
        <v>1429</v>
      </c>
      <c r="G261" t="s">
        <v>1424</v>
      </c>
    </row>
    <row r="262" spans="1:7" outlineLevel="1" x14ac:dyDescent="0.25">
      <c r="A262" s="15" t="s">
        <v>177</v>
      </c>
      <c r="B262" s="17">
        <f>B260</f>
        <v>25129.841999599987</v>
      </c>
      <c r="C262" s="15" t="s">
        <v>41</v>
      </c>
      <c r="D262" s="15">
        <v>15.37</v>
      </c>
      <c r="E262" s="17">
        <f t="shared" si="7"/>
        <v>386245.67153385177</v>
      </c>
      <c r="F262" s="178" t="s">
        <v>1429</v>
      </c>
      <c r="G262" t="s">
        <v>1424</v>
      </c>
    </row>
    <row r="263" spans="1:7" ht="26.25" outlineLevel="1" x14ac:dyDescent="0.25">
      <c r="A263" s="15" t="s">
        <v>282</v>
      </c>
      <c r="B263" s="17">
        <v>1708.16</v>
      </c>
      <c r="C263" s="15" t="s">
        <v>41</v>
      </c>
      <c r="D263" s="15">
        <v>4.45</v>
      </c>
      <c r="E263" s="17">
        <f t="shared" si="7"/>
        <v>7601.3120000000008</v>
      </c>
      <c r="F263" s="178"/>
    </row>
    <row r="264" spans="1:7" outlineLevel="1" x14ac:dyDescent="0.25">
      <c r="A264" s="11" t="s">
        <v>178</v>
      </c>
      <c r="B264" s="605"/>
      <c r="C264" s="11"/>
      <c r="D264" s="11"/>
      <c r="E264" s="18">
        <f>SUM(E265:E267)</f>
        <v>164471.55169999998</v>
      </c>
      <c r="F264" s="8"/>
    </row>
    <row r="265" spans="1:7" ht="26.25" outlineLevel="1" x14ac:dyDescent="0.25">
      <c r="A265" s="35" t="s">
        <v>179</v>
      </c>
      <c r="B265" s="17">
        <v>9358.57</v>
      </c>
      <c r="C265" s="35" t="s">
        <v>41</v>
      </c>
      <c r="D265" s="35">
        <v>1.18</v>
      </c>
      <c r="E265" s="47">
        <f>B265*D265</f>
        <v>11043.112599999999</v>
      </c>
      <c r="F265" s="178" t="s">
        <v>1116</v>
      </c>
      <c r="G265" t="s">
        <v>283</v>
      </c>
    </row>
    <row r="266" spans="1:7" ht="26.25" outlineLevel="1" x14ac:dyDescent="0.25">
      <c r="A266" s="35" t="s">
        <v>180</v>
      </c>
      <c r="B266" s="17">
        <f>B225</f>
        <v>6122.3</v>
      </c>
      <c r="C266" s="35" t="s">
        <v>41</v>
      </c>
      <c r="D266" s="35">
        <v>3.92</v>
      </c>
      <c r="E266" s="47">
        <f t="shared" ref="E266:E267" si="8">B266*D266</f>
        <v>23999.416000000001</v>
      </c>
      <c r="F266" s="178" t="s">
        <v>394</v>
      </c>
      <c r="G266" s="49"/>
    </row>
    <row r="267" spans="1:7" outlineLevel="1" x14ac:dyDescent="0.25">
      <c r="A267" s="35" t="s">
        <v>181</v>
      </c>
      <c r="B267" s="17">
        <f>B265</f>
        <v>9358.57</v>
      </c>
      <c r="C267" s="35" t="s">
        <v>41</v>
      </c>
      <c r="D267" s="35">
        <v>13.83</v>
      </c>
      <c r="E267" s="47">
        <f t="shared" si="8"/>
        <v>129429.02309999999</v>
      </c>
      <c r="G267" t="s">
        <v>283</v>
      </c>
    </row>
    <row r="268" spans="1:7" outlineLevel="1" x14ac:dyDescent="0.25">
      <c r="A268" s="11" t="s">
        <v>182</v>
      </c>
      <c r="B268" s="605"/>
      <c r="C268" s="11"/>
      <c r="D268" s="11"/>
      <c r="E268" s="18">
        <f>SUM(E269:E274)</f>
        <v>1260160.7879863994</v>
      </c>
      <c r="F268" s="8"/>
    </row>
    <row r="269" spans="1:7" ht="26.25" outlineLevel="1" x14ac:dyDescent="0.25">
      <c r="A269" s="15" t="s">
        <v>366</v>
      </c>
      <c r="B269" s="17">
        <f>B256</f>
        <v>2625.09</v>
      </c>
      <c r="C269" s="15" t="s">
        <v>41</v>
      </c>
      <c r="D269" s="58">
        <v>40</v>
      </c>
      <c r="E269" s="17">
        <f>B269*D269</f>
        <v>105003.6</v>
      </c>
      <c r="F269" s="10"/>
    </row>
    <row r="270" spans="1:7" ht="26.25" outlineLevel="1" x14ac:dyDescent="0.25">
      <c r="A270" s="15" t="s">
        <v>367</v>
      </c>
      <c r="B270" s="17">
        <f>B262</f>
        <v>25129.841999599987</v>
      </c>
      <c r="C270" s="15" t="s">
        <v>41</v>
      </c>
      <c r="D270" s="15">
        <v>34</v>
      </c>
      <c r="E270" s="17">
        <f t="shared" ref="E270:E274" si="9">B270*D270</f>
        <v>854414.62798639957</v>
      </c>
      <c r="F270" s="178"/>
      <c r="G270" t="s">
        <v>1424</v>
      </c>
    </row>
    <row r="271" spans="1:7" ht="26.25" outlineLevel="1" x14ac:dyDescent="0.25">
      <c r="A271" s="35" t="s">
        <v>183</v>
      </c>
      <c r="B271" s="17">
        <f>B267</f>
        <v>9358.57</v>
      </c>
      <c r="C271" s="35" t="s">
        <v>41</v>
      </c>
      <c r="D271" s="58">
        <v>28</v>
      </c>
      <c r="E271" s="17">
        <f t="shared" si="9"/>
        <v>262039.96</v>
      </c>
      <c r="F271" s="10"/>
    </row>
    <row r="272" spans="1:7" ht="26.25" outlineLevel="1" x14ac:dyDescent="0.25">
      <c r="A272" s="15" t="s">
        <v>368</v>
      </c>
      <c r="B272" s="17">
        <v>151.06</v>
      </c>
      <c r="C272" s="15" t="s">
        <v>41</v>
      </c>
      <c r="D272" s="58">
        <v>55</v>
      </c>
      <c r="E272" s="17">
        <f t="shared" si="9"/>
        <v>8308.2999999999993</v>
      </c>
      <c r="F272" s="10"/>
    </row>
    <row r="273" spans="1:6" ht="26.25" outlineLevel="1" x14ac:dyDescent="0.25">
      <c r="A273" s="35" t="s">
        <v>233</v>
      </c>
      <c r="B273" s="17">
        <f>B258</f>
        <v>761.26</v>
      </c>
      <c r="C273" s="15" t="s">
        <v>41</v>
      </c>
      <c r="D273" s="58">
        <v>13</v>
      </c>
      <c r="E273" s="17">
        <f t="shared" si="9"/>
        <v>9896.3799999999992</v>
      </c>
      <c r="F273" s="21"/>
    </row>
    <row r="274" spans="1:6" outlineLevel="1" x14ac:dyDescent="0.25">
      <c r="A274" s="35" t="s">
        <v>281</v>
      </c>
      <c r="B274" s="17">
        <v>1708.16</v>
      </c>
      <c r="C274" s="15" t="s">
        <v>41</v>
      </c>
      <c r="D274" s="58">
        <v>12</v>
      </c>
      <c r="E274" s="17">
        <f t="shared" si="9"/>
        <v>20497.920000000002</v>
      </c>
      <c r="F274" s="21"/>
    </row>
    <row r="275" spans="1:6" x14ac:dyDescent="0.25">
      <c r="A275" s="45" t="s">
        <v>184</v>
      </c>
      <c r="B275" s="617"/>
      <c r="C275" s="42"/>
      <c r="D275" s="42"/>
      <c r="E275" s="43">
        <f>SUM(E276,E284,E294)</f>
        <v>2263600.1832000003</v>
      </c>
      <c r="F275" s="44"/>
    </row>
    <row r="276" spans="1:6" outlineLevel="1" x14ac:dyDescent="0.25">
      <c r="A276" s="13" t="s">
        <v>185</v>
      </c>
      <c r="B276" s="613"/>
      <c r="C276" s="13"/>
      <c r="D276" s="13"/>
      <c r="E276" s="16">
        <f>SUM(E277,E280,E282)</f>
        <v>1229586.2912000001</v>
      </c>
      <c r="F276" s="9"/>
    </row>
    <row r="277" spans="1:6" outlineLevel="2" x14ac:dyDescent="0.25">
      <c r="A277" s="11" t="s">
        <v>186</v>
      </c>
      <c r="B277" s="605"/>
      <c r="C277" s="11"/>
      <c r="D277" s="11"/>
      <c r="E277" s="18">
        <f>SUM(E278:E279)</f>
        <v>555954.41</v>
      </c>
      <c r="F277" s="8"/>
    </row>
    <row r="278" spans="1:6" ht="26.25" outlineLevel="2" x14ac:dyDescent="0.25">
      <c r="A278" s="15" t="s">
        <v>1305</v>
      </c>
      <c r="B278" s="58">
        <v>1</v>
      </c>
      <c r="C278" s="15" t="s">
        <v>219</v>
      </c>
      <c r="D278" s="17">
        <v>500240.43</v>
      </c>
      <c r="E278" s="17">
        <f>B278*D278</f>
        <v>500240.43</v>
      </c>
      <c r="F278" s="10" t="s">
        <v>1089</v>
      </c>
    </row>
    <row r="279" spans="1:6" ht="26.25" outlineLevel="2" x14ac:dyDescent="0.25">
      <c r="A279" s="35" t="s">
        <v>1307</v>
      </c>
      <c r="B279" s="50">
        <v>2863</v>
      </c>
      <c r="C279" s="35" t="s">
        <v>46</v>
      </c>
      <c r="D279" s="47">
        <v>19.46</v>
      </c>
      <c r="E279" s="47">
        <f>B279*D279</f>
        <v>55713.98</v>
      </c>
      <c r="F279" s="48" t="s">
        <v>1089</v>
      </c>
    </row>
    <row r="280" spans="1:6" outlineLevel="2" x14ac:dyDescent="0.25">
      <c r="A280" s="59" t="s">
        <v>187</v>
      </c>
      <c r="B280" s="619"/>
      <c r="C280" s="59"/>
      <c r="D280" s="59"/>
      <c r="E280" s="60">
        <f>SUM(E281)</f>
        <v>262239.45299999998</v>
      </c>
      <c r="F280" s="621"/>
    </row>
    <row r="281" spans="1:6" ht="26.25" outlineLevel="2" x14ac:dyDescent="0.25">
      <c r="A281" s="35" t="s">
        <v>1306</v>
      </c>
      <c r="B281" s="50">
        <v>205.38</v>
      </c>
      <c r="C281" s="35" t="s">
        <v>41</v>
      </c>
      <c r="D281" s="47">
        <v>1276.8499999999999</v>
      </c>
      <c r="E281" s="47">
        <f>D281*B281</f>
        <v>262239.45299999998</v>
      </c>
      <c r="F281" s="48" t="s">
        <v>1089</v>
      </c>
    </row>
    <row r="282" spans="1:6" outlineLevel="2" x14ac:dyDescent="0.25">
      <c r="A282" s="59" t="s">
        <v>188</v>
      </c>
      <c r="B282" s="619"/>
      <c r="C282" s="59"/>
      <c r="D282" s="59"/>
      <c r="E282" s="60">
        <f>SUM(E283)</f>
        <v>411392.42820000002</v>
      </c>
      <c r="F282" s="621"/>
    </row>
    <row r="283" spans="1:6" outlineLevel="2" x14ac:dyDescent="0.25">
      <c r="A283" s="35" t="s">
        <v>189</v>
      </c>
      <c r="B283" s="50">
        <v>203.58</v>
      </c>
      <c r="C283" s="35" t="s">
        <v>41</v>
      </c>
      <c r="D283" s="47">
        <v>2020.79</v>
      </c>
      <c r="E283" s="47">
        <f>D283*B283</f>
        <v>411392.42820000002</v>
      </c>
      <c r="F283" s="48" t="s">
        <v>1089</v>
      </c>
    </row>
    <row r="284" spans="1:6" outlineLevel="1" x14ac:dyDescent="0.25">
      <c r="A284" s="13" t="s">
        <v>190</v>
      </c>
      <c r="B284" s="613"/>
      <c r="C284" s="13"/>
      <c r="D284" s="13"/>
      <c r="E284" s="16">
        <f>SUM(E285,E290,E292)</f>
        <v>742551.56</v>
      </c>
      <c r="F284" s="9"/>
    </row>
    <row r="285" spans="1:6" outlineLevel="2" x14ac:dyDescent="0.25">
      <c r="A285" s="11" t="s">
        <v>191</v>
      </c>
      <c r="B285" s="605"/>
      <c r="C285" s="11"/>
      <c r="D285" s="11"/>
      <c r="E285" s="18">
        <f>SUM(E286:E289)</f>
        <v>666248.06000000006</v>
      </c>
      <c r="F285" s="8"/>
    </row>
    <row r="286" spans="1:6" ht="26.25" outlineLevel="2" x14ac:dyDescent="0.25">
      <c r="A286" s="15" t="s">
        <v>1308</v>
      </c>
      <c r="B286" s="58">
        <v>187</v>
      </c>
      <c r="C286" s="15" t="s">
        <v>53</v>
      </c>
      <c r="D286" s="17">
        <v>1327.78</v>
      </c>
      <c r="E286" s="17">
        <f>B286*D286</f>
        <v>248294.86</v>
      </c>
      <c r="F286" s="48" t="s">
        <v>1089</v>
      </c>
    </row>
    <row r="287" spans="1:6" ht="26.25" outlineLevel="2" x14ac:dyDescent="0.25">
      <c r="A287" s="15" t="s">
        <v>1309</v>
      </c>
      <c r="B287" s="58">
        <v>3</v>
      </c>
      <c r="C287" s="15" t="s">
        <v>53</v>
      </c>
      <c r="D287" s="17">
        <v>1375.5</v>
      </c>
      <c r="E287" s="17">
        <f t="shared" ref="E287:E289" si="10">B287*D287</f>
        <v>4126.5</v>
      </c>
      <c r="F287" s="10" t="s">
        <v>1089</v>
      </c>
    </row>
    <row r="288" spans="1:6" ht="26.25" outlineLevel="2" x14ac:dyDescent="0.25">
      <c r="A288" s="35" t="s">
        <v>1310</v>
      </c>
      <c r="B288" s="50">
        <v>185</v>
      </c>
      <c r="C288" s="35" t="s">
        <v>53</v>
      </c>
      <c r="D288" s="47">
        <v>1465.65</v>
      </c>
      <c r="E288" s="47">
        <f t="shared" si="10"/>
        <v>271145.25</v>
      </c>
      <c r="F288" s="48" t="s">
        <v>1089</v>
      </c>
    </row>
    <row r="289" spans="1:6" ht="26.25" outlineLevel="2" x14ac:dyDescent="0.25">
      <c r="A289" s="35" t="s">
        <v>1311</v>
      </c>
      <c r="B289" s="50">
        <v>95</v>
      </c>
      <c r="C289" s="35" t="s">
        <v>53</v>
      </c>
      <c r="D289" s="47">
        <v>1501.91</v>
      </c>
      <c r="E289" s="47">
        <f t="shared" si="10"/>
        <v>142681.45000000001</v>
      </c>
      <c r="F289" s="48" t="s">
        <v>1089</v>
      </c>
    </row>
    <row r="290" spans="1:6" outlineLevel="2" x14ac:dyDescent="0.25">
      <c r="A290" s="11" t="s">
        <v>192</v>
      </c>
      <c r="B290" s="605"/>
      <c r="C290" s="11"/>
      <c r="D290" s="11"/>
      <c r="E290" s="18">
        <f>SUM(E291)</f>
        <v>14943.5</v>
      </c>
      <c r="F290" s="8"/>
    </row>
    <row r="291" spans="1:6" ht="26.25" outlineLevel="2" x14ac:dyDescent="0.25">
      <c r="A291" s="15" t="s">
        <v>193</v>
      </c>
      <c r="B291" s="58">
        <v>247</v>
      </c>
      <c r="C291" s="15" t="s">
        <v>46</v>
      </c>
      <c r="D291" s="15">
        <v>60.5</v>
      </c>
      <c r="E291" s="17">
        <f>B291*D291</f>
        <v>14943.5</v>
      </c>
      <c r="F291" s="10" t="s">
        <v>347</v>
      </c>
    </row>
    <row r="292" spans="1:6" outlineLevel="2" x14ac:dyDescent="0.25">
      <c r="A292" s="11" t="s">
        <v>194</v>
      </c>
      <c r="B292" s="605"/>
      <c r="C292" s="11"/>
      <c r="D292" s="11"/>
      <c r="E292" s="18">
        <f>SUM(E293)</f>
        <v>61360</v>
      </c>
      <c r="F292" s="8"/>
    </row>
    <row r="293" spans="1:6" ht="26.25" outlineLevel="2" x14ac:dyDescent="0.25">
      <c r="A293" s="15" t="s">
        <v>1243</v>
      </c>
      <c r="B293" s="58">
        <v>472</v>
      </c>
      <c r="C293" s="15" t="s">
        <v>53</v>
      </c>
      <c r="D293" s="15">
        <v>130</v>
      </c>
      <c r="E293" s="17">
        <f>B293*D293</f>
        <v>61360</v>
      </c>
      <c r="F293" s="10" t="s">
        <v>1242</v>
      </c>
    </row>
    <row r="294" spans="1:6" outlineLevel="1" x14ac:dyDescent="0.25">
      <c r="A294" s="13" t="s">
        <v>195</v>
      </c>
      <c r="B294" s="613"/>
      <c r="C294" s="13"/>
      <c r="D294" s="13"/>
      <c r="E294" s="16">
        <f>SUM(E295)</f>
        <v>291462.33200000005</v>
      </c>
      <c r="F294" s="9"/>
    </row>
    <row r="295" spans="1:6" outlineLevel="2" x14ac:dyDescent="0.25">
      <c r="A295" s="11" t="s">
        <v>196</v>
      </c>
      <c r="B295" s="605"/>
      <c r="C295" s="11"/>
      <c r="D295" s="11"/>
      <c r="E295" s="18">
        <f>SUM(E296:E299)</f>
        <v>291462.33200000005</v>
      </c>
      <c r="F295" s="8"/>
    </row>
    <row r="296" spans="1:6" ht="39" outlineLevel="2" x14ac:dyDescent="0.25">
      <c r="A296" s="15" t="s">
        <v>1312</v>
      </c>
      <c r="B296" s="58">
        <v>42</v>
      </c>
      <c r="C296" s="15" t="s">
        <v>53</v>
      </c>
      <c r="D296" s="17">
        <v>1060</v>
      </c>
      <c r="E296" s="17">
        <v>44520</v>
      </c>
      <c r="F296" s="10" t="s">
        <v>1089</v>
      </c>
    </row>
    <row r="297" spans="1:6" outlineLevel="2" x14ac:dyDescent="0.25">
      <c r="A297" s="15" t="s">
        <v>197</v>
      </c>
      <c r="B297" s="58">
        <v>1</v>
      </c>
      <c r="C297" s="15" t="s">
        <v>219</v>
      </c>
      <c r="D297" s="47">
        <v>14986</v>
      </c>
      <c r="E297" s="47">
        <f>B297*D297</f>
        <v>14986</v>
      </c>
      <c r="F297" s="10" t="s">
        <v>347</v>
      </c>
    </row>
    <row r="298" spans="1:6" ht="26.25" outlineLevel="2" x14ac:dyDescent="0.25">
      <c r="A298" s="15" t="s">
        <v>198</v>
      </c>
      <c r="B298" s="58">
        <v>2</v>
      </c>
      <c r="C298" s="15" t="s">
        <v>53</v>
      </c>
      <c r="D298" s="47">
        <v>998</v>
      </c>
      <c r="E298" s="47">
        <f>B298*D298</f>
        <v>1996</v>
      </c>
      <c r="F298" s="10" t="s">
        <v>347</v>
      </c>
    </row>
    <row r="299" spans="1:6" outlineLevel="2" x14ac:dyDescent="0.25">
      <c r="A299" s="15" t="s">
        <v>296</v>
      </c>
      <c r="B299" s="58">
        <v>176.4</v>
      </c>
      <c r="C299" s="15" t="s">
        <v>41</v>
      </c>
      <c r="D299" s="47">
        <v>1303.6300000000001</v>
      </c>
      <c r="E299" s="47">
        <f>B299*D299</f>
        <v>229960.33200000002</v>
      </c>
      <c r="F299" s="10"/>
    </row>
    <row r="300" spans="1:6" x14ac:dyDescent="0.25">
      <c r="A300" s="45" t="s">
        <v>199</v>
      </c>
      <c r="B300" s="617"/>
      <c r="C300" s="42"/>
      <c r="D300" s="42"/>
      <c r="E300" s="43">
        <f>SUM(E301)</f>
        <v>351077.93000000005</v>
      </c>
      <c r="F300" s="44"/>
    </row>
    <row r="301" spans="1:6" outlineLevel="1" x14ac:dyDescent="0.25">
      <c r="A301" s="13" t="s">
        <v>200</v>
      </c>
      <c r="B301" s="613"/>
      <c r="C301" s="13"/>
      <c r="D301" s="13"/>
      <c r="E301" s="16">
        <f>SUM(E302,E304,E306)</f>
        <v>351077.93000000005</v>
      </c>
      <c r="F301" s="9"/>
    </row>
    <row r="302" spans="1:6" outlineLevel="1" x14ac:dyDescent="0.25">
      <c r="A302" s="11" t="s">
        <v>201</v>
      </c>
      <c r="B302" s="605"/>
      <c r="C302" s="11"/>
      <c r="D302" s="11"/>
      <c r="E302" s="18">
        <f>SUM(E303)</f>
        <v>267341.28000000003</v>
      </c>
      <c r="F302" s="8"/>
    </row>
    <row r="303" spans="1:6" outlineLevel="1" x14ac:dyDescent="0.25">
      <c r="A303" s="15" t="s">
        <v>202</v>
      </c>
      <c r="B303" s="58">
        <v>1</v>
      </c>
      <c r="C303" s="15" t="s">
        <v>219</v>
      </c>
      <c r="D303" s="17">
        <v>267341.28000000003</v>
      </c>
      <c r="E303" s="17">
        <v>267341.28000000003</v>
      </c>
      <c r="F303" s="10"/>
    </row>
    <row r="304" spans="1:6" outlineLevel="1" x14ac:dyDescent="0.25">
      <c r="A304" s="11" t="s">
        <v>203</v>
      </c>
      <c r="B304" s="605"/>
      <c r="C304" s="11"/>
      <c r="D304" s="11"/>
      <c r="E304" s="18">
        <f>SUM(E305)</f>
        <v>8679.15</v>
      </c>
      <c r="F304" s="8"/>
    </row>
    <row r="305" spans="1:7" ht="26.25" outlineLevel="1" x14ac:dyDescent="0.25">
      <c r="A305" s="15" t="s">
        <v>204</v>
      </c>
      <c r="B305" s="58">
        <v>1</v>
      </c>
      <c r="C305" s="15" t="s">
        <v>219</v>
      </c>
      <c r="D305" s="17">
        <v>8679.15</v>
      </c>
      <c r="E305" s="17">
        <v>8679.15</v>
      </c>
      <c r="F305" s="10"/>
    </row>
    <row r="306" spans="1:7" outlineLevel="1" x14ac:dyDescent="0.25">
      <c r="A306" s="11" t="s">
        <v>205</v>
      </c>
      <c r="B306" s="605"/>
      <c r="C306" s="11"/>
      <c r="D306" s="11"/>
      <c r="E306" s="18">
        <f>SUM(E307)</f>
        <v>75057.5</v>
      </c>
      <c r="F306" s="8"/>
    </row>
    <row r="307" spans="1:7" outlineLevel="1" x14ac:dyDescent="0.25">
      <c r="A307" s="15" t="s">
        <v>206</v>
      </c>
      <c r="B307" s="58">
        <v>10722.5</v>
      </c>
      <c r="C307" s="15" t="s">
        <v>41</v>
      </c>
      <c r="D307" s="15">
        <v>7</v>
      </c>
      <c r="E307" s="17">
        <v>75057.5</v>
      </c>
      <c r="F307" s="10"/>
    </row>
    <row r="308" spans="1:7" ht="26.25" x14ac:dyDescent="0.25">
      <c r="A308" s="45" t="s">
        <v>297</v>
      </c>
      <c r="B308" s="617"/>
      <c r="C308" s="42"/>
      <c r="D308" s="42"/>
      <c r="E308" s="43">
        <f>SUM(E309)</f>
        <v>1201333.8840381417</v>
      </c>
      <c r="F308" s="44"/>
    </row>
    <row r="309" spans="1:7" ht="26.25" outlineLevel="1" x14ac:dyDescent="0.25">
      <c r="A309" s="13" t="s">
        <v>302</v>
      </c>
      <c r="B309" s="613"/>
      <c r="C309" s="13"/>
      <c r="D309" s="13"/>
      <c r="E309" s="16">
        <f>SUM(E310,E314,E317,E321,E323)</f>
        <v>1201333.8840381417</v>
      </c>
      <c r="F309" s="9"/>
    </row>
    <row r="310" spans="1:7" ht="26.25" outlineLevel="1" x14ac:dyDescent="0.25">
      <c r="A310" s="11" t="s">
        <v>303</v>
      </c>
      <c r="B310" s="605"/>
      <c r="C310" s="11"/>
      <c r="D310" s="11"/>
      <c r="E310" s="18">
        <f>SUM(E311:E313)</f>
        <v>155235.75801255598</v>
      </c>
      <c r="F310" s="8"/>
    </row>
    <row r="311" spans="1:7" ht="26.25" outlineLevel="1" x14ac:dyDescent="0.25">
      <c r="A311" s="15" t="s">
        <v>342</v>
      </c>
      <c r="B311" s="17">
        <f>REVESTIMENTOS!D33</f>
        <v>3850.5009999999993</v>
      </c>
      <c r="C311" s="15" t="s">
        <v>41</v>
      </c>
      <c r="D311" s="15">
        <v>2.19</v>
      </c>
      <c r="E311" s="17">
        <f>D311*B311</f>
        <v>8432.5971899999986</v>
      </c>
      <c r="F311" s="178" t="s">
        <v>1429</v>
      </c>
      <c r="G311" s="56"/>
    </row>
    <row r="312" spans="1:7" ht="26.25" outlineLevel="1" x14ac:dyDescent="0.25">
      <c r="A312" s="15" t="s">
        <v>343</v>
      </c>
      <c r="B312" s="17">
        <f>REVESTIMENTOS!C33</f>
        <v>3966.002424599998</v>
      </c>
      <c r="C312" s="15" t="s">
        <v>41</v>
      </c>
      <c r="D312" s="15">
        <v>2.19</v>
      </c>
      <c r="E312" s="17">
        <f t="shared" ref="E312:E313" si="11">D312*B312</f>
        <v>8685.5453098739963</v>
      </c>
      <c r="F312" s="178" t="s">
        <v>1429</v>
      </c>
      <c r="G312" t="s">
        <v>1424</v>
      </c>
    </row>
    <row r="313" spans="1:7" ht="26.25" outlineLevel="1" x14ac:dyDescent="0.25">
      <c r="A313" s="15" t="s">
        <v>207</v>
      </c>
      <c r="B313" s="17">
        <f>B311+B312</f>
        <v>7816.5034245999977</v>
      </c>
      <c r="C313" s="15" t="s">
        <v>41</v>
      </c>
      <c r="D313" s="15">
        <v>17.670000000000002</v>
      </c>
      <c r="E313" s="17">
        <f t="shared" si="11"/>
        <v>138117.61551268198</v>
      </c>
      <c r="F313" s="178" t="s">
        <v>1429</v>
      </c>
      <c r="G313" t="s">
        <v>1424</v>
      </c>
    </row>
    <row r="314" spans="1:7" outlineLevel="1" x14ac:dyDescent="0.25">
      <c r="A314" s="11" t="s">
        <v>304</v>
      </c>
      <c r="B314" s="605"/>
      <c r="C314" s="11"/>
      <c r="D314" s="11"/>
      <c r="E314" s="18">
        <f>SUM(E315:E316)</f>
        <v>142973.24210838595</v>
      </c>
      <c r="F314" s="8"/>
    </row>
    <row r="315" spans="1:7" outlineLevel="1" x14ac:dyDescent="0.25">
      <c r="A315" s="15" t="s">
        <v>208</v>
      </c>
      <c r="B315" s="58">
        <f>B316</f>
        <v>6837.5534245999979</v>
      </c>
      <c r="C315" s="15" t="s">
        <v>41</v>
      </c>
      <c r="D315" s="15">
        <v>1.18</v>
      </c>
      <c r="E315" s="17">
        <f>B315*D315</f>
        <v>8068.3130410279973</v>
      </c>
      <c r="F315" s="56"/>
      <c r="G315" s="56"/>
    </row>
    <row r="316" spans="1:7" outlineLevel="1" x14ac:dyDescent="0.25">
      <c r="A316" s="15" t="s">
        <v>209</v>
      </c>
      <c r="B316" s="58">
        <f>B313-B318-B319-B320</f>
        <v>6837.5534245999979</v>
      </c>
      <c r="C316" s="15" t="s">
        <v>41</v>
      </c>
      <c r="D316" s="15">
        <v>19.73</v>
      </c>
      <c r="E316" s="17">
        <f t="shared" ref="E316" si="12">B316*D316</f>
        <v>134904.92906735797</v>
      </c>
      <c r="F316" s="56"/>
      <c r="G316" s="56"/>
    </row>
    <row r="317" spans="1:7" ht="26.25" outlineLevel="1" x14ac:dyDescent="0.25">
      <c r="A317" s="11" t="s">
        <v>305</v>
      </c>
      <c r="B317" s="605"/>
      <c r="C317" s="11"/>
      <c r="D317" s="11"/>
      <c r="E317" s="18">
        <f>SUM(E318:E320)</f>
        <v>176494.07310000001</v>
      </c>
      <c r="F317" s="8"/>
    </row>
    <row r="318" spans="1:7" ht="26.25" outlineLevel="1" x14ac:dyDescent="0.25">
      <c r="A318" s="15" t="s">
        <v>369</v>
      </c>
      <c r="B318" s="58">
        <v>576.54</v>
      </c>
      <c r="C318" s="15" t="s">
        <v>41</v>
      </c>
      <c r="D318" s="15">
        <v>192.71</v>
      </c>
      <c r="E318" s="17">
        <f>B318*D318</f>
        <v>111105.02339999999</v>
      </c>
      <c r="F318" s="178" t="s">
        <v>1059</v>
      </c>
    </row>
    <row r="319" spans="1:7" ht="26.25" outlineLevel="1" x14ac:dyDescent="0.25">
      <c r="A319" s="15" t="s">
        <v>370</v>
      </c>
      <c r="B319" s="58">
        <v>288.41000000000003</v>
      </c>
      <c r="C319" s="15" t="s">
        <v>41</v>
      </c>
      <c r="D319" s="15">
        <v>136.16999999999999</v>
      </c>
      <c r="E319" s="17">
        <f t="shared" ref="E319:E320" si="13">B319*D319</f>
        <v>39272.789700000001</v>
      </c>
      <c r="F319" s="178" t="s">
        <v>1059</v>
      </c>
    </row>
    <row r="320" spans="1:7" ht="26.25" outlineLevel="1" x14ac:dyDescent="0.25">
      <c r="A320" s="15" t="s">
        <v>371</v>
      </c>
      <c r="B320" s="58">
        <v>114</v>
      </c>
      <c r="C320" s="15" t="s">
        <v>41</v>
      </c>
      <c r="D320" s="15">
        <v>229.09</v>
      </c>
      <c r="E320" s="17">
        <f t="shared" si="13"/>
        <v>26116.260000000002</v>
      </c>
      <c r="F320" s="178" t="s">
        <v>1059</v>
      </c>
    </row>
    <row r="321" spans="1:7" outlineLevel="1" x14ac:dyDescent="0.25">
      <c r="A321" s="11" t="s">
        <v>306</v>
      </c>
      <c r="B321" s="605"/>
      <c r="C321" s="11"/>
      <c r="D321" s="11"/>
      <c r="E321" s="18">
        <f>SUM(E322)</f>
        <v>52677.599999999999</v>
      </c>
      <c r="F321" s="8"/>
    </row>
    <row r="322" spans="1:7" ht="26.25" outlineLevel="1" x14ac:dyDescent="0.25">
      <c r="A322" s="15" t="s">
        <v>1254</v>
      </c>
      <c r="B322" s="58">
        <v>2050.5100000000002</v>
      </c>
      <c r="C322" s="15" t="s">
        <v>46</v>
      </c>
      <c r="D322" s="15">
        <v>25.69</v>
      </c>
      <c r="E322" s="17">
        <v>52677.599999999999</v>
      </c>
      <c r="F322" s="178" t="s">
        <v>1059</v>
      </c>
    </row>
    <row r="323" spans="1:7" outlineLevel="1" x14ac:dyDescent="0.25">
      <c r="A323" s="11" t="s">
        <v>307</v>
      </c>
      <c r="B323" s="605"/>
      <c r="C323" s="11"/>
      <c r="D323" s="11"/>
      <c r="E323" s="18">
        <f>SUM(E324:E328)</f>
        <v>673953.21081719978</v>
      </c>
      <c r="F323" s="8"/>
    </row>
    <row r="324" spans="1:7" ht="26.25" outlineLevel="1" x14ac:dyDescent="0.25">
      <c r="A324" s="15" t="s">
        <v>1252</v>
      </c>
      <c r="B324" s="58">
        <f>B313</f>
        <v>7816.5034245999977</v>
      </c>
      <c r="C324" s="15" t="s">
        <v>41</v>
      </c>
      <c r="D324" s="58">
        <v>52</v>
      </c>
      <c r="E324" s="17">
        <f>D324*B324</f>
        <v>406458.17807919986</v>
      </c>
      <c r="F324" s="10" t="s">
        <v>1244</v>
      </c>
      <c r="G324" t="s">
        <v>1424</v>
      </c>
    </row>
    <row r="325" spans="1:7" ht="26.25" outlineLevel="1" x14ac:dyDescent="0.25">
      <c r="A325" s="15" t="s">
        <v>1246</v>
      </c>
      <c r="B325" s="58">
        <v>576.54</v>
      </c>
      <c r="C325" s="15" t="s">
        <v>41</v>
      </c>
      <c r="D325" s="58">
        <v>48</v>
      </c>
      <c r="E325" s="17">
        <v>27673.919999999998</v>
      </c>
      <c r="F325" s="10" t="s">
        <v>1245</v>
      </c>
    </row>
    <row r="326" spans="1:7" ht="26.25" outlineLevel="1" x14ac:dyDescent="0.25">
      <c r="A326" s="15" t="s">
        <v>1247</v>
      </c>
      <c r="B326" s="58">
        <v>402.41</v>
      </c>
      <c r="C326" s="15" t="s">
        <v>41</v>
      </c>
      <c r="D326" s="58">
        <v>48</v>
      </c>
      <c r="E326" s="17">
        <v>19315.68</v>
      </c>
      <c r="F326" s="10" t="s">
        <v>1248</v>
      </c>
    </row>
    <row r="327" spans="1:7" outlineLevel="1" x14ac:dyDescent="0.25">
      <c r="A327" s="15" t="s">
        <v>1251</v>
      </c>
      <c r="B327" s="58">
        <f>B315</f>
        <v>6837.5534245999979</v>
      </c>
      <c r="C327" s="15" t="s">
        <v>41</v>
      </c>
      <c r="D327" s="58">
        <v>30</v>
      </c>
      <c r="E327" s="17">
        <f>B327*D327</f>
        <v>205126.60273799993</v>
      </c>
      <c r="F327" s="10" t="s">
        <v>1249</v>
      </c>
      <c r="G327" s="56"/>
    </row>
    <row r="328" spans="1:7" ht="26.25" outlineLevel="1" x14ac:dyDescent="0.25">
      <c r="A328" s="15" t="s">
        <v>1253</v>
      </c>
      <c r="B328" s="58">
        <v>2050.5100000000002</v>
      </c>
      <c r="C328" s="15" t="s">
        <v>46</v>
      </c>
      <c r="D328" s="58">
        <v>7.5</v>
      </c>
      <c r="E328" s="17">
        <v>15378.83</v>
      </c>
      <c r="F328" s="10" t="s">
        <v>1250</v>
      </c>
    </row>
    <row r="329" spans="1:7" ht="26.25" x14ac:dyDescent="0.25">
      <c r="A329" s="45" t="s">
        <v>298</v>
      </c>
      <c r="B329" s="617"/>
      <c r="C329" s="42"/>
      <c r="D329" s="42"/>
      <c r="E329" s="43">
        <f>SUM(E330,E338)</f>
        <v>1316232.1351517695</v>
      </c>
      <c r="F329" s="44"/>
    </row>
    <row r="330" spans="1:7" ht="26.25" outlineLevel="1" x14ac:dyDescent="0.25">
      <c r="A330" s="13" t="s">
        <v>308</v>
      </c>
      <c r="B330" s="613"/>
      <c r="C330" s="13"/>
      <c r="D330" s="13"/>
      <c r="E330" s="16">
        <f>SUM(E331,E336)</f>
        <v>57213.79</v>
      </c>
      <c r="F330" s="9"/>
    </row>
    <row r="331" spans="1:7" outlineLevel="1" x14ac:dyDescent="0.25">
      <c r="A331" s="11" t="s">
        <v>309</v>
      </c>
      <c r="B331" s="605"/>
      <c r="C331" s="11"/>
      <c r="D331" s="11"/>
      <c r="E331" s="18">
        <f>SUM(E332:E335)</f>
        <v>40057.79</v>
      </c>
      <c r="F331" s="8"/>
    </row>
    <row r="332" spans="1:7" outlineLevel="1" x14ac:dyDescent="0.25">
      <c r="A332" s="15" t="s">
        <v>210</v>
      </c>
      <c r="B332" s="58">
        <v>225.25</v>
      </c>
      <c r="C332" s="15" t="s">
        <v>41</v>
      </c>
      <c r="D332" s="15">
        <v>93.57</v>
      </c>
      <c r="E332" s="17">
        <v>21076.639999999999</v>
      </c>
      <c r="F332" s="178" t="s">
        <v>1116</v>
      </c>
    </row>
    <row r="333" spans="1:7" outlineLevel="1" x14ac:dyDescent="0.25">
      <c r="A333" s="15" t="s">
        <v>211</v>
      </c>
      <c r="B333" s="58">
        <v>11.75</v>
      </c>
      <c r="C333" s="15" t="s">
        <v>41</v>
      </c>
      <c r="D333" s="15">
        <v>51.8</v>
      </c>
      <c r="E333" s="15">
        <v>608.65</v>
      </c>
      <c r="F333" s="178" t="s">
        <v>1116</v>
      </c>
    </row>
    <row r="334" spans="1:7" ht="26.25" outlineLevel="1" x14ac:dyDescent="0.25">
      <c r="A334" s="15" t="s">
        <v>234</v>
      </c>
      <c r="B334" s="58">
        <v>225.25</v>
      </c>
      <c r="C334" s="15" t="s">
        <v>41</v>
      </c>
      <c r="D334" s="15">
        <v>80</v>
      </c>
      <c r="E334" s="17">
        <f>D334*B334</f>
        <v>18020</v>
      </c>
      <c r="F334" s="10" t="s">
        <v>1256</v>
      </c>
    </row>
    <row r="335" spans="1:7" ht="26.25" outlineLevel="1" x14ac:dyDescent="0.25">
      <c r="A335" s="15" t="s">
        <v>235</v>
      </c>
      <c r="B335" s="58">
        <v>11.75</v>
      </c>
      <c r="C335" s="15" t="s">
        <v>41</v>
      </c>
      <c r="D335" s="15">
        <v>30</v>
      </c>
      <c r="E335" s="15">
        <f>D335*B335</f>
        <v>352.5</v>
      </c>
      <c r="F335" s="10" t="s">
        <v>1255</v>
      </c>
    </row>
    <row r="336" spans="1:7" outlineLevel="1" x14ac:dyDescent="0.25">
      <c r="A336" s="11" t="s">
        <v>310</v>
      </c>
      <c r="B336" s="605"/>
      <c r="C336" s="11"/>
      <c r="D336" s="11"/>
      <c r="E336" s="18">
        <f>SUM(E337)</f>
        <v>17156</v>
      </c>
      <c r="F336" s="8"/>
    </row>
    <row r="337" spans="1:6" outlineLevel="1" x14ac:dyDescent="0.25">
      <c r="A337" s="35" t="s">
        <v>212</v>
      </c>
      <c r="B337" s="50">
        <v>1</v>
      </c>
      <c r="C337" s="35" t="s">
        <v>219</v>
      </c>
      <c r="D337" s="17">
        <v>17156</v>
      </c>
      <c r="E337" s="17">
        <f>D337*B337</f>
        <v>17156</v>
      </c>
      <c r="F337" s="178" t="s">
        <v>230</v>
      </c>
    </row>
    <row r="338" spans="1:6" ht="26.25" outlineLevel="1" x14ac:dyDescent="0.25">
      <c r="A338" s="13" t="s">
        <v>311</v>
      </c>
      <c r="B338" s="613"/>
      <c r="C338" s="13"/>
      <c r="D338" s="13"/>
      <c r="E338" s="16">
        <f>SUM(E339,E341,E343,E346,E348,E350)</f>
        <v>1259018.3451517695</v>
      </c>
      <c r="F338" s="9"/>
    </row>
    <row r="339" spans="1:6" outlineLevel="1" x14ac:dyDescent="0.25">
      <c r="A339" s="11" t="s">
        <v>312</v>
      </c>
      <c r="B339" s="605"/>
      <c r="C339" s="11"/>
      <c r="D339" s="11"/>
      <c r="E339" s="18">
        <f>SUM(E340)</f>
        <v>585748.83599999989</v>
      </c>
      <c r="F339" s="8"/>
    </row>
    <row r="340" spans="1:6" ht="26.25" outlineLevel="1" x14ac:dyDescent="0.25">
      <c r="A340" s="15" t="s">
        <v>213</v>
      </c>
      <c r="B340" s="58">
        <v>1</v>
      </c>
      <c r="C340" s="15" t="s">
        <v>219</v>
      </c>
      <c r="D340" s="47">
        <f>[6]PISOS!$F$137</f>
        <v>585748.83599999989</v>
      </c>
      <c r="E340" s="17">
        <f>B340*D340</f>
        <v>585748.83599999989</v>
      </c>
      <c r="F340" s="178" t="s">
        <v>1233</v>
      </c>
    </row>
    <row r="341" spans="1:6" outlineLevel="1" x14ac:dyDescent="0.25">
      <c r="A341" s="11" t="s">
        <v>313</v>
      </c>
      <c r="B341" s="605"/>
      <c r="C341" s="11"/>
      <c r="D341" s="11"/>
      <c r="E341" s="18">
        <f>SUM(E342)</f>
        <v>53612.5</v>
      </c>
      <c r="F341" s="8"/>
    </row>
    <row r="342" spans="1:6" outlineLevel="1" x14ac:dyDescent="0.25">
      <c r="A342" s="15" t="s">
        <v>214</v>
      </c>
      <c r="B342" s="58">
        <v>1</v>
      </c>
      <c r="C342" s="15" t="s">
        <v>219</v>
      </c>
      <c r="D342" s="17">
        <v>53612.5</v>
      </c>
      <c r="E342" s="17">
        <f>D342*B342</f>
        <v>53612.5</v>
      </c>
      <c r="F342" s="178" t="s">
        <v>230</v>
      </c>
    </row>
    <row r="343" spans="1:6" outlineLevel="1" x14ac:dyDescent="0.25">
      <c r="A343" s="11" t="s">
        <v>314</v>
      </c>
      <c r="B343" s="605"/>
      <c r="C343" s="11"/>
      <c r="D343" s="11"/>
      <c r="E343" s="18">
        <f>SUM(E344:E345)</f>
        <v>321675</v>
      </c>
      <c r="F343" s="8"/>
    </row>
    <row r="344" spans="1:6" outlineLevel="1" x14ac:dyDescent="0.25">
      <c r="A344" s="15" t="s">
        <v>215</v>
      </c>
      <c r="B344" s="58">
        <v>1</v>
      </c>
      <c r="C344" s="15" t="s">
        <v>219</v>
      </c>
      <c r="D344" s="17">
        <v>160837.5</v>
      </c>
      <c r="E344" s="17">
        <f>D344*B344</f>
        <v>160837.5</v>
      </c>
      <c r="F344" s="178" t="s">
        <v>230</v>
      </c>
    </row>
    <row r="345" spans="1:6" ht="26.25" outlineLevel="1" x14ac:dyDescent="0.25">
      <c r="A345" s="15" t="s">
        <v>216</v>
      </c>
      <c r="B345" s="58">
        <v>1</v>
      </c>
      <c r="C345" s="15" t="s">
        <v>219</v>
      </c>
      <c r="D345" s="17">
        <v>160837.5</v>
      </c>
      <c r="E345" s="17">
        <f>D345*B345</f>
        <v>160837.5</v>
      </c>
      <c r="F345" s="178" t="s">
        <v>230</v>
      </c>
    </row>
    <row r="346" spans="1:6" outlineLevel="1" x14ac:dyDescent="0.25">
      <c r="A346" s="11" t="s">
        <v>315</v>
      </c>
      <c r="B346" s="605"/>
      <c r="C346" s="11"/>
      <c r="D346" s="11"/>
      <c r="E346" s="18">
        <f>SUM(E347)</f>
        <v>160837.5</v>
      </c>
      <c r="F346" s="8"/>
    </row>
    <row r="347" spans="1:6" outlineLevel="1" x14ac:dyDescent="0.25">
      <c r="A347" s="15" t="s">
        <v>217</v>
      </c>
      <c r="B347" s="58">
        <v>1</v>
      </c>
      <c r="C347" s="15" t="s">
        <v>219</v>
      </c>
      <c r="D347" s="17">
        <v>160837.5</v>
      </c>
      <c r="E347" s="17">
        <f>D347*B347</f>
        <v>160837.5</v>
      </c>
      <c r="F347" s="178" t="s">
        <v>230</v>
      </c>
    </row>
    <row r="348" spans="1:6" outlineLevel="1" x14ac:dyDescent="0.25">
      <c r="A348" s="11" t="s">
        <v>316</v>
      </c>
      <c r="B348" s="605"/>
      <c r="C348" s="11"/>
      <c r="D348" s="11"/>
      <c r="E348" s="18">
        <f>SUM(E349)</f>
        <v>107225</v>
      </c>
      <c r="F348" s="8"/>
    </row>
    <row r="349" spans="1:6" outlineLevel="1" x14ac:dyDescent="0.25">
      <c r="A349" s="15" t="s">
        <v>236</v>
      </c>
      <c r="B349" s="58">
        <v>1</v>
      </c>
      <c r="C349" s="15" t="s">
        <v>219</v>
      </c>
      <c r="D349" s="17">
        <v>107225</v>
      </c>
      <c r="E349" s="17">
        <f>D349*B349</f>
        <v>107225</v>
      </c>
      <c r="F349" s="178" t="s">
        <v>230</v>
      </c>
    </row>
    <row r="350" spans="1:6" outlineLevel="1" x14ac:dyDescent="0.25">
      <c r="A350" s="59" t="s">
        <v>333</v>
      </c>
      <c r="B350" s="619"/>
      <c r="C350" s="59"/>
      <c r="D350" s="59"/>
      <c r="E350" s="60">
        <f>SUM(E351)</f>
        <v>29919.509151769504</v>
      </c>
      <c r="F350" s="8"/>
    </row>
    <row r="351" spans="1:6" outlineLevel="1" x14ac:dyDescent="0.25">
      <c r="A351" s="35" t="s">
        <v>334</v>
      </c>
      <c r="B351" s="50">
        <v>1</v>
      </c>
      <c r="C351" s="35" t="s">
        <v>219</v>
      </c>
      <c r="D351" s="47">
        <f>[6]PISOS!$F$150</f>
        <v>29919.509151769504</v>
      </c>
      <c r="E351" s="47">
        <f>B351*D351</f>
        <v>29919.509151769504</v>
      </c>
      <c r="F351" s="178" t="s">
        <v>1233</v>
      </c>
    </row>
    <row r="352" spans="1:6" x14ac:dyDescent="0.25">
      <c r="A352" s="45" t="s">
        <v>299</v>
      </c>
      <c r="B352" s="617"/>
      <c r="C352" s="42"/>
      <c r="D352" s="42"/>
      <c r="E352" s="43">
        <f>SUM(E353)</f>
        <v>446213.88524670259</v>
      </c>
      <c r="F352" s="44"/>
    </row>
    <row r="353" spans="1:6" outlineLevel="1" x14ac:dyDescent="0.25">
      <c r="A353" s="13" t="s">
        <v>300</v>
      </c>
      <c r="B353" s="613"/>
      <c r="C353" s="13"/>
      <c r="D353" s="13"/>
      <c r="E353" s="16">
        <f>SUM(E354)</f>
        <v>446213.88524670259</v>
      </c>
      <c r="F353" s="9"/>
    </row>
    <row r="354" spans="1:6" outlineLevel="1" x14ac:dyDescent="0.25">
      <c r="A354" s="11" t="s">
        <v>301</v>
      </c>
      <c r="B354" s="605"/>
      <c r="C354" s="11"/>
      <c r="D354" s="11"/>
      <c r="E354" s="18">
        <f>SUM(E355)</f>
        <v>446213.88524670259</v>
      </c>
      <c r="F354" s="8"/>
    </row>
    <row r="355" spans="1:6" ht="37.5" customHeight="1" x14ac:dyDescent="0.25">
      <c r="A355" s="15" t="s">
        <v>218</v>
      </c>
      <c r="B355" s="58">
        <v>1</v>
      </c>
      <c r="C355" s="15" t="s">
        <v>219</v>
      </c>
      <c r="D355" s="52">
        <f>Resumo!E30</f>
        <v>446213.88524670259</v>
      </c>
      <c r="E355" s="53">
        <f>D355*B355</f>
        <v>446213.88524670259</v>
      </c>
      <c r="F355" s="10" t="s">
        <v>372</v>
      </c>
    </row>
    <row r="356" spans="1:6" x14ac:dyDescent="0.25">
      <c r="A356" s="24"/>
    </row>
    <row r="358" spans="1:6" x14ac:dyDescent="0.25">
      <c r="A358" s="5"/>
    </row>
  </sheetData>
  <hyperlinks>
    <hyperlink ref="F36" location="ESCAVAÇÕES!A1" display="QUANT. ESCAVAÇÕES" xr:uid="{7E9BC9FB-3F41-4A01-83FD-69AB6C837FBB}"/>
    <hyperlink ref="F37" location="ESCAVAÇÕES!A1" display="QUANT. ESCAVAÇÕES" xr:uid="{5BE9CB08-8743-4576-9E5F-90E7097CB4E0}"/>
    <hyperlink ref="F39" location="ESCAVAÇÕES!A1" display="QUANT. ESCAVAÇÕES" xr:uid="{6FF019EB-CC0F-48C3-93A2-2DD67984B1EC}"/>
    <hyperlink ref="F41" location="ESCAVAÇÕES!A1" display="QUANT. ESCAVAÇÕES" xr:uid="{0171930C-6A1E-4EC3-B3D5-BA0FBBD0D6C7}"/>
    <hyperlink ref="F45" location="ESTACAS!A1" display="QUANT. ESTACAS" xr:uid="{C614900E-9F33-41CC-8C0C-4DE37F707D28}"/>
    <hyperlink ref="F46" location="ESTACAS!A1" display="QUANT. ESTACAS" xr:uid="{B85E4A42-33A8-4489-9C97-F918B89D3964}"/>
    <hyperlink ref="F48" location="ESTACAS!A1" display="QUANT. ESTACAS" xr:uid="{B013B910-A20C-4DCF-90FD-21261DFCE60C}"/>
    <hyperlink ref="F49" location="ESTACAS!A1" display="QUANT. ESTACAS" xr:uid="{01600281-D1C4-4D5D-98F4-E10F6E647091}"/>
    <hyperlink ref="F51" location="ESTACAS!A1" display="QUANT. ESTACAS" xr:uid="{D9635B31-F410-42E7-B17E-561F4B7C15AA}"/>
    <hyperlink ref="F53" location="ESTACAS!A1" display="QUANT. ESTACAS" xr:uid="{4E97D7D4-EBA5-441D-8646-50841833E4E3}"/>
    <hyperlink ref="F56" location="BALDRAMES!A1" display="QUANT. FUNDAÇÃO RASA" xr:uid="{B7EF9118-3002-4FD7-949B-DD056E4024DD}"/>
    <hyperlink ref="F58" location="BALDRAMES!A1" display="QUANT. FUNDAÇÃO RASA" xr:uid="{002E9E53-05B3-4BB4-959F-3A0526ADAA3A}"/>
    <hyperlink ref="F59" location="BALDRAMES!A1" display="QUANT. FUNDAÇÃO RASA" xr:uid="{8DC97DB9-74FE-4525-931C-B882BF227A24}"/>
    <hyperlink ref="F60" location="BALDRAMES!A1" display="QUANT. FUNDAÇÃO RASA" xr:uid="{F3302B01-17CA-4102-A5C9-DA7EACEBB139}"/>
    <hyperlink ref="F61" location="BALDRAMES!A1" display="QUANT. FUNDAÇÃO RASA" xr:uid="{E85B0038-C62A-4BCA-8C6C-E3ACD97BCE7B}"/>
    <hyperlink ref="F62" location="BALDRAMES!A1" display="QUANT. FUNDAÇÃO RASA" xr:uid="{A5AB87C3-6DE5-4B70-9295-5CAA5CB598A1}"/>
    <hyperlink ref="F63" location="BALDRAMES!A1" display="QUANT. FUNDAÇÃO RASA" xr:uid="{4DFDC7AF-F392-4E3B-9209-4F5944B4445F}"/>
    <hyperlink ref="F64" location="BALDRAMES!A1" display="QUANT. FUNDAÇÃO RASA" xr:uid="{8DD2AE4C-25AD-4B41-B57D-E681FDCA6CB9}"/>
    <hyperlink ref="F66" location="BALDRAMES!A1" display="QUANT. FUNDAÇÃO RASA" xr:uid="{8D4C2BEF-6C2C-43B0-A13E-BA9F1329AD0B}"/>
    <hyperlink ref="F72" location="SUPRAESTRUTURA!A1" display="QUANT. SUPRAESTRUTURA" xr:uid="{A17B2CA5-7DD2-41FD-91C1-44A39F322C3F}"/>
    <hyperlink ref="F73" location="SUPRAESTRUTURA!A1" display="QUANT. SUPRAESTRUTURA" xr:uid="{75B51CF2-D551-4290-A88B-289CC6B444E3}"/>
    <hyperlink ref="F74" location="SUPRAESTRUTURA!A1" display="QUANT. SUPRAESTRUTURA" xr:uid="{70AAA340-868D-423D-B4A3-4A4633E5C478}"/>
    <hyperlink ref="F75" location="SUPRAESTRUTURA!A1" display="QUANT. SUPRAESTRUTURA" xr:uid="{1B9BC092-AECF-4EC3-8AE9-80CE85E8C3D7}"/>
    <hyperlink ref="F76" location="SUPRAESTRUTURA!A1" display="QUANT. SUPRAESTRUTURA" xr:uid="{D6948DC8-89C6-48A6-A06B-E97B3E29F6F6}"/>
    <hyperlink ref="F77" location="SUPRAESTRUTURA!A1" display="QUANT. SUPRAESTRUTURA" xr:uid="{6454FBB3-6A56-4F68-8D44-063E61526956}"/>
    <hyperlink ref="F78" location="SUPRAESTRUTURA!A1" display="QUANT. SUPRAESTRUTURA" xr:uid="{935DC24D-9200-4188-99DB-87339D5C013F}"/>
    <hyperlink ref="F79" location="SUPRAESTRUTURA!A1" display="QUANT. SUPRAESTRUTURA" xr:uid="{BCC4CA2E-CB0C-4EC5-B157-1985B6930497}"/>
    <hyperlink ref="F81" location="SUPRAESTRUTURA!A1" display="QUANT. SUPRAESTRUTURA" xr:uid="{88BED31F-2368-4608-B54D-3EF9F4683337}"/>
    <hyperlink ref="F82" location="SUPRAESTRUTURA!A1" display="QUANT. SUPRAESTRUTURA" xr:uid="{AED91464-9AF7-4D14-BA95-298B94C2B487}"/>
    <hyperlink ref="F83" location="SUPRAESTRUTURA!A1" display="QUANT. SUPRAESTRUTURA" xr:uid="{B1CC4254-EC7A-4DC8-80C0-A3CF7E5A5F3D}"/>
    <hyperlink ref="F84" location="SUPRAESTRUTURA!A1" display="QUANT. SUPRAESTRUTURA" xr:uid="{56771171-639C-40E4-A0CD-DFECEC27B3B7}"/>
    <hyperlink ref="F85" location="SUPRAESTRUTURA!A1" display="QUANT. SUPRAESTRUTURA" xr:uid="{287B281C-76B9-4E29-9000-9FD2718FDB17}"/>
    <hyperlink ref="F86" location="SUPRAESTRUTURA!A1" display="QUANT. SUPRAESTRUTURA" xr:uid="{22E0A31F-2E9F-4BC7-8951-335DFD6EADB3}"/>
    <hyperlink ref="F87" location="SUPRAESTRUTURA!A1" display="QUANT. SUPRAESTRUTURA" xr:uid="{9B95ECB9-985B-44C3-9664-EF6DA8D3FD20}"/>
    <hyperlink ref="F89" location="SUPRAESTRUTURA!A1" display="QUANT. SUPRAESTRUTURA" xr:uid="{320E8E9E-F5E4-4CB9-B87E-3A8E4AFB0C6A}"/>
    <hyperlink ref="F91" location="SUPRAESTRUTURA!A1" display="QUANT. SUPRAESTRUTURA" xr:uid="{24FE736E-2BA6-4EF6-8DC7-A5EB7777B0EF}"/>
    <hyperlink ref="F106" location="ALVENARIA!A1" display="ALVENARIA" xr:uid="{E01318FA-4A07-4D30-B2DA-C3E97C1063EA}"/>
    <hyperlink ref="F107" location="ALVENARIA!A1" display="ALVENARIA" xr:uid="{D129AA8F-067B-4B4C-92EC-3CCD02CE169C}"/>
    <hyperlink ref="F109" location="ALVENARIA!A1" display="ALVENARIA" xr:uid="{EA43BC4B-8B64-4394-B387-3DA4A481452E}"/>
    <hyperlink ref="F113" location="'Verga e contra'!Area_de_impressao" display="VERGAS" xr:uid="{7A0358F2-B997-4891-AC6D-EAA1C86572D6}"/>
    <hyperlink ref="F112" location="ALVENARIA!A1" display="ALVENARIA" xr:uid="{EFDCE19A-14CC-425C-BBF2-7FABA2125FDD}"/>
    <hyperlink ref="F121" location="IMPER!A1" display="IMPERMEABILIZAÇÃO" xr:uid="{EA4F3230-AAF1-4F61-9DD8-39E7A9CC5FC3}"/>
    <hyperlink ref="F122" location="IMPER!A1" display="IMPERMEABILIZAÇÃO" xr:uid="{ECC6C4A1-D3E1-4ADC-82DE-C43F7A0626B1}"/>
    <hyperlink ref="F124" location="IMPER!A1" display="IMPERMEABILIZAÇÃO" xr:uid="{2B325FD1-6CAA-4A82-AFC5-9755D3485DCF}"/>
    <hyperlink ref="F126" location="IMPER!A1" display="IMPERMEABILIZAÇÃO" xr:uid="{DAF9FDE1-9986-4883-9115-992334D66207}"/>
    <hyperlink ref="F128" location="IMPER!A1" display="IMPERMEABILIZAÇÃO" xr:uid="{CBB087CF-5403-493A-98C3-CB1C46809C78}"/>
    <hyperlink ref="F130" location="IMPER!A1" display="IMPERMEABILIZAÇÃO" xr:uid="{27250724-3E28-4869-9C1E-7D2BA43D7809}"/>
    <hyperlink ref="F132" location="IMPER!A1" display="IMPERMEABILIZAÇÃO" xr:uid="{929B71E1-D483-4CF2-BE73-557862849014}"/>
    <hyperlink ref="F134" location="IMPER!A1" display="IMPERMEABILIZAÇÃO" xr:uid="{5CE98D0B-9AC5-47E3-9391-3A0B2AC74BA2}"/>
    <hyperlink ref="F136" location="IMPER!A1" display="IMPERMEABILIZAÇÃO" xr:uid="{FCB7C64B-3126-48DE-8A4E-4924BCE972C9}"/>
    <hyperlink ref="F140" location="HIDRÁULICAS!A1" display="HIDRÁULICAS" xr:uid="{293946F5-FAB2-461E-BB9D-7CAC1B8BF193}"/>
    <hyperlink ref="F142" location="HIDRÁULICAS!A1" display="HIDRÁULICAS" xr:uid="{37D143F5-50E9-44EF-A24B-CEED95ED47C2}"/>
    <hyperlink ref="F146" location="HIDRÁULICAS!A1" display="HIDRÁULICAS" xr:uid="{6DB8605D-34BA-4549-A1A4-71107E25ED53}"/>
    <hyperlink ref="F148" location="HIDRÁULICAS!A1" display="HIDRÁULICAS" xr:uid="{D65E0C55-E677-4044-BDA7-82EC2F1F56C1}"/>
    <hyperlink ref="F144" location="'ESGOTO E PLUVIAL'!A1" display="ESGOTO E PLUVIAL" xr:uid="{5FBF2DAB-57FA-497D-9B06-79D42627223D}"/>
    <hyperlink ref="F154" location="ELÉTRICA!A1" display="ELÉTRICA" xr:uid="{140446AD-B35E-4F1B-AD55-9BB68E27429B}"/>
    <hyperlink ref="F156" location="ELÉTRICA!A1" display="ELÉTRICA" xr:uid="{25ABB055-F3F6-44D4-A23F-2E66FEE587DC}"/>
    <hyperlink ref="F158" location="ELÉTRICA!A1" display="ELÉTRICA" xr:uid="{43A0B9A6-6FF8-4DBB-AE09-EB34E81D0B20}"/>
    <hyperlink ref="F160" location="ELÉTRICA!A1" display="ELÉTRICA" xr:uid="{7B7A3418-531A-4803-9FED-AAE1D68C9787}"/>
    <hyperlink ref="F162" location="ELÉTRICA!A1" display="ELÉTRICA" xr:uid="{936799B1-98ED-4D47-83C0-75125A3C83FC}"/>
    <hyperlink ref="F164" location="ELÉTRICA!A1" display="ELÉTRICA" xr:uid="{75696D64-E726-4B3F-827F-93F576B445EA}"/>
    <hyperlink ref="F184" location="TELECOM!A1" display="TELECOM" xr:uid="{D569158C-8C07-4174-AE51-812EEE3E04C3}"/>
    <hyperlink ref="F203" location="EXAUSTÃO!A1" display="EXAUSTÃO" xr:uid="{1D7A7643-ED92-4BA2-8988-F3F53B89145A}"/>
    <hyperlink ref="F204" location="EXAUSTÃO!A1" display="EXAUSTÃO" xr:uid="{A8D53A54-6FE0-4167-B119-DFBE6EB5E57B}"/>
    <hyperlink ref="F174" location="SPDA!A1" display="SPDA" xr:uid="{3BE8E21C-6419-4AE4-8C00-7BE87DB83708}"/>
    <hyperlink ref="F208" location="'ARGAMASSADO EM ESTRUTURA'!Area_de_impressao" display="ARGAMASSADO EM ESTRUTURA" xr:uid="{A44C2B08-ACF6-4303-80EB-67B05A98F7ED}"/>
    <hyperlink ref="F225" location="FORRO!A1" display="FORRO" xr:uid="{678DADEE-92E7-4A1A-B55D-99F3EA932366}"/>
    <hyperlink ref="F230" location="PISOS!A1" display="PISOS" xr:uid="{F40ABB60-D8A4-4F8C-AB50-6944F53964B0}"/>
    <hyperlink ref="F234" location="PISOS!A1" display="PISOS" xr:uid="{4F35AEE8-2084-49CA-BBC9-E12AD2CACF78}"/>
    <hyperlink ref="F238" location="PISOS!A1" display="PISOS" xr:uid="{D40D9AAE-314C-4875-AB96-3D27D8997843}"/>
    <hyperlink ref="F239" location="PISOS!A1" display="PISOS" xr:uid="{68618F7E-642A-488C-A1A2-5513ABA2CDEA}"/>
    <hyperlink ref="F241" location="PISOS!A1" display="PISOS" xr:uid="{32EE6A75-974A-4D67-88D4-125D77648F5D}"/>
    <hyperlink ref="F242" location="PISOS!A1" display="PISOS" xr:uid="{0CD7D181-8244-465A-A6D0-3252947EC7CF}"/>
    <hyperlink ref="F243" location="PISOS!A1" display="PISOS" xr:uid="{98389671-B383-4E36-8FD0-EC56FFE97E70}"/>
    <hyperlink ref="F235" location="PISOS!A1" display="PISOS" xr:uid="{D5D52CCF-E97D-4DC3-8A83-230B9C2798EE}"/>
    <hyperlink ref="F236" location="PISOS!A1" display="PISOS" xr:uid="{8E22CCF3-B7E1-4797-B943-FC379CF4EF57}"/>
    <hyperlink ref="F256" location="PISOS!A1" display="PISOS" xr:uid="{75C0ECA4-E5F5-419D-BA27-23FC62561A58}"/>
    <hyperlink ref="F257" location="PISOS!A1" display="PISOS" xr:uid="{9F5A4456-F50F-4EF5-95F2-A5A0E9A80F92}"/>
    <hyperlink ref="F258" location="PISOS!A1" display="PISOS" xr:uid="{48117088-74A3-423B-AFF5-B806B30BE6B1}"/>
    <hyperlink ref="F266" location="FORRO!A1" display="FORRO" xr:uid="{ABCAD8BF-421E-4197-85D1-7D28E66ECD6E}"/>
    <hyperlink ref="F265" location="PISOS!A1" display="PISOS" xr:uid="{9E543B1B-BB7F-4074-83C6-B1A4D8EEA784}"/>
    <hyperlink ref="F318" location="FACHADA!A1" display="FACHADA" xr:uid="{8C352355-EF60-420C-BBDE-E4A8E7E0D866}"/>
    <hyperlink ref="F319" location="FACHADA!A1" display="FACHADA" xr:uid="{BAA9691D-D1A4-4407-BE30-0963B3637F48}"/>
    <hyperlink ref="F320" location="FACHADA!A1" display="FACHADA" xr:uid="{CE73D0C9-43CE-473D-94EF-1EE8744E8588}"/>
    <hyperlink ref="F322" location="FACHADA!A1" display="FACHADA" xr:uid="{527013D0-6415-4091-A714-13252069DA33}"/>
    <hyperlink ref="F332" location="PISOS!A1" display="PISOS" xr:uid="{E12A1CEC-5075-4DAC-BE51-160AC11D26E9}"/>
    <hyperlink ref="F333" location="PISOS!A1" display="PISOS" xr:uid="{43B5D2BD-C6A7-4027-B3F4-EDBFDBA9EE24}"/>
    <hyperlink ref="F337" location="'SERVIÇOS COMPLEMENTARES'!A1" display="SERVIÇOS COMPLEMENTARES" xr:uid="{DF578177-0AF9-4F66-B123-011A77306BD6}"/>
    <hyperlink ref="F342" location="'SERVIÇOS COMPLEMENTARES'!A1" display="SERVIÇOS COMPLEMENTARES" xr:uid="{4978E38C-6066-4DDC-A8D9-55FB22A3782E}"/>
    <hyperlink ref="F345" location="'SERVIÇOS COMPLEMENTARES'!A1" display="SERVIÇOS COMPLEMENTARES" xr:uid="{7D94247D-4A23-4081-A67A-BE5995E1E451}"/>
    <hyperlink ref="F344" location="'SERVIÇOS COMPLEMENTARES'!A1" display="SERVIÇOS COMPLEMENTARES" xr:uid="{50AC4573-1B37-458C-A1D5-B38C536ED6F1}"/>
    <hyperlink ref="F347" location="'SERVIÇOS COMPLEMENTARES'!A1" display="SERVIÇOS COMPLEMENTARES" xr:uid="{2B1C616E-8102-412E-AEFB-FA15309A4318}"/>
    <hyperlink ref="F349" location="'SERVIÇOS COMPLEMENTARES'!A1" display="SERVIÇOS COMPLEMENTARES" xr:uid="{BFE8F54F-092A-4B88-B565-6F81E5E4026A}"/>
    <hyperlink ref="F340" location="'MOBILIÁRIO E QUADRA'!A1" display="MOBILIÁRIO E QUADRA" xr:uid="{1154C377-A12F-41F2-8173-52BAF8C6AD3D}"/>
    <hyperlink ref="F351" location="'MOBILIÁRIO E QUADRA'!A1" display="MOBILIÁRIO E QUADRA" xr:uid="{67EBA894-863B-4035-AD41-4A0A4BD772B9}"/>
    <hyperlink ref="F231:F232" location="PISOS!A1" display="PISOS" xr:uid="{0F21B580-5B61-4C0A-B7A8-D2F44094BCB5}"/>
    <hyperlink ref="F111" location="CHURRASQUEIRA!Area_de_impressao" display="CHURRASQUEIRAS" xr:uid="{0EE930DC-BAC8-4ADA-A8B3-9704172DF77D}"/>
    <hyperlink ref="F209" location="REVESTIMENTOS!A1" display="REVESTIMENTOS" xr:uid="{9E8FCC6D-8535-4AF7-884D-3D2402EE36C2}"/>
    <hyperlink ref="F212" location="REVESTIMENTOS!A1" display="REVESTIMENTOS" xr:uid="{FFAA5225-B5A0-42D8-9BBA-4A20A1AC23D4}"/>
    <hyperlink ref="F213" location="REVESTIMENTOS!A1" display="REVESTIMENTOS" xr:uid="{32560B8D-F8ED-4285-87D4-4335CB51B4EB}"/>
    <hyperlink ref="F260" location="REVESTIMENTOS!A1" display="REVESTIMENTOS" xr:uid="{D06E411E-BA6E-404A-AD26-5E01369A4330}"/>
    <hyperlink ref="F261" location="REVESTIMENTOS!A1" display="REVESTIMENTOS" xr:uid="{700E5785-F871-4E23-B038-DF096E736031}"/>
    <hyperlink ref="F262" location="REVESTIMENTOS!A1" display="REVESTIMENTOS" xr:uid="{27EE02C5-1782-41AB-A633-2730DC093636}"/>
    <hyperlink ref="F311" location="REVESTIMENTOS!A1" display="REVESTIMENTOS" xr:uid="{987C7993-37C9-4E62-A1B9-FACFD0D1AE62}"/>
    <hyperlink ref="F312" location="REVESTIMENTOS!A1" display="REVESTIMENTOS" xr:uid="{CC52F598-95A0-48F4-8F5E-B2D36389CA47}"/>
    <hyperlink ref="F313" location="REVESTIMENTOS!A1" display="REVESTIMENTOS" xr:uid="{482D1928-09AB-4067-9187-FAD93549EDC2}"/>
  </hyperlinks>
  <pageMargins left="0.78740157499999996" right="0.78740157499999996" top="0.984251969" bottom="0.984251969" header="0.4921259845" footer="0.4921259845"/>
  <pageSetup paperSize="9" orientation="portrait" r:id="rId1"/>
  <drawing r:id="rId2"/>
  <legacyDrawing r:id="rId3"/>
  <controls>
    <mc:AlternateContent xmlns:mc="http://schemas.openxmlformats.org/markup-compatibility/2006">
      <mc:Choice Requires="x14">
        <control shapeId="4097" r:id="rId4" name="Control 1">
          <controlPr defaultSize="0" r:id="rId5">
            <anchor moveWithCells="1">
              <from>
                <xdr:col>0</xdr:col>
                <xdr:colOff>0</xdr:colOff>
                <xdr:row>354</xdr:row>
                <xdr:rowOff>114300</xdr:rowOff>
              </from>
              <to>
                <xdr:col>0</xdr:col>
                <xdr:colOff>257175</xdr:colOff>
                <xdr:row>354</xdr:row>
                <xdr:rowOff>352425</xdr:rowOff>
              </to>
            </anchor>
          </controlPr>
        </control>
      </mc:Choice>
      <mc:Fallback>
        <control shapeId="4097" r:id="rId4" name="Control 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D9C1-F25D-4F78-B839-4FF167A2265D}">
  <sheetPr codeName="Planilha2"/>
  <dimension ref="A1:H105"/>
  <sheetViews>
    <sheetView showGridLines="0" topLeftCell="A25" workbookViewId="0">
      <selection activeCell="H75" sqref="H75"/>
    </sheetView>
  </sheetViews>
  <sheetFormatPr defaultRowHeight="15" x14ac:dyDescent="0.25"/>
  <cols>
    <col min="1" max="1" width="36.5703125" bestFit="1" customWidth="1"/>
    <col min="2" max="2" width="11.42578125" customWidth="1"/>
    <col min="3" max="3" width="8.5703125" customWidth="1"/>
    <col min="4" max="4" width="14.28515625" customWidth="1"/>
    <col min="5" max="5" width="17.140625" customWidth="1"/>
    <col min="6" max="6" width="41" customWidth="1"/>
  </cols>
  <sheetData>
    <row r="1" spans="1:6" x14ac:dyDescent="0.25">
      <c r="A1" s="1" t="s">
        <v>0</v>
      </c>
      <c r="B1" s="3" t="s">
        <v>1</v>
      </c>
      <c r="C1" s="3" t="s">
        <v>2</v>
      </c>
      <c r="D1" s="4" t="s">
        <v>3</v>
      </c>
      <c r="E1" s="4" t="s">
        <v>4</v>
      </c>
      <c r="F1" s="2"/>
    </row>
    <row r="2" spans="1:6" ht="0.75" customHeight="1" x14ac:dyDescent="0.25">
      <c r="A2" s="46"/>
      <c r="B2" s="46"/>
      <c r="C2" s="46"/>
      <c r="D2" s="46"/>
      <c r="E2" s="46"/>
      <c r="F2" s="46"/>
    </row>
    <row r="3" spans="1:6" s="5" customFormat="1" ht="22.5" customHeight="1" x14ac:dyDescent="0.2">
      <c r="A3" s="19" t="s">
        <v>5</v>
      </c>
      <c r="B3" s="19"/>
      <c r="C3" s="19"/>
      <c r="D3" s="19"/>
      <c r="E3" s="6">
        <f>'CUSTOS DIRETOS'!E2</f>
        <v>30193806.235026874</v>
      </c>
      <c r="F3" s="7"/>
    </row>
    <row r="4" spans="1:6" ht="26.25" x14ac:dyDescent="0.25">
      <c r="A4" s="37" t="s">
        <v>6</v>
      </c>
      <c r="B4" s="37"/>
      <c r="C4" s="37"/>
      <c r="D4" s="37"/>
      <c r="E4" s="36">
        <f>SUM(E5,E38,E83)</f>
        <v>2786052.3478000001</v>
      </c>
      <c r="F4" s="38"/>
    </row>
    <row r="5" spans="1:6" ht="15" customHeight="1" x14ac:dyDescent="0.25">
      <c r="A5" s="45" t="s">
        <v>7</v>
      </c>
      <c r="B5" s="42"/>
      <c r="C5" s="42"/>
      <c r="D5" s="42"/>
      <c r="E5" s="43">
        <f>SUM(E6,E25)</f>
        <v>800277.37150000001</v>
      </c>
      <c r="F5" s="44"/>
    </row>
    <row r="6" spans="1:6" ht="15" customHeight="1" x14ac:dyDescent="0.25">
      <c r="A6" s="39" t="s">
        <v>8</v>
      </c>
      <c r="B6" s="39"/>
      <c r="C6" s="39"/>
      <c r="D6" s="39"/>
      <c r="E6" s="40">
        <f>SUM(E7,E11,E20,E22)</f>
        <v>540822.79150000005</v>
      </c>
      <c r="F6" s="41"/>
    </row>
    <row r="7" spans="1:6" ht="15" customHeight="1" x14ac:dyDescent="0.25">
      <c r="A7" s="11" t="s">
        <v>9</v>
      </c>
      <c r="B7" s="11"/>
      <c r="C7" s="11"/>
      <c r="D7" s="11"/>
      <c r="E7" s="18">
        <f>SUM(E8:E10)</f>
        <v>19900</v>
      </c>
      <c r="F7" s="8"/>
    </row>
    <row r="8" spans="1:6" ht="15" customHeight="1" x14ac:dyDescent="0.25">
      <c r="A8" s="15" t="s">
        <v>237</v>
      </c>
      <c r="B8" s="15">
        <v>1</v>
      </c>
      <c r="C8" s="15" t="s">
        <v>219</v>
      </c>
      <c r="D8" s="17">
        <v>7400</v>
      </c>
      <c r="E8" s="17">
        <f>B8*D8</f>
        <v>7400</v>
      </c>
      <c r="F8" s="10" t="s">
        <v>292</v>
      </c>
    </row>
    <row r="9" spans="1:6" ht="15" customHeight="1" x14ac:dyDescent="0.25">
      <c r="A9" s="15" t="s">
        <v>238</v>
      </c>
      <c r="B9" s="15">
        <v>1</v>
      </c>
      <c r="C9" s="15" t="s">
        <v>219</v>
      </c>
      <c r="D9" s="17">
        <v>9500</v>
      </c>
      <c r="E9" s="17">
        <f t="shared" ref="E9:E10" si="0">B9*D9</f>
        <v>9500</v>
      </c>
      <c r="F9" s="10" t="s">
        <v>292</v>
      </c>
    </row>
    <row r="10" spans="1:6" ht="15" customHeight="1" x14ac:dyDescent="0.25">
      <c r="A10" s="15" t="s">
        <v>239</v>
      </c>
      <c r="B10" s="15">
        <v>1</v>
      </c>
      <c r="C10" s="15" t="s">
        <v>219</v>
      </c>
      <c r="D10" s="17">
        <v>3000</v>
      </c>
      <c r="E10" s="17">
        <f t="shared" si="0"/>
        <v>3000</v>
      </c>
      <c r="F10" s="10" t="s">
        <v>292</v>
      </c>
    </row>
    <row r="11" spans="1:6" ht="15" customHeight="1" x14ac:dyDescent="0.25">
      <c r="A11" s="11" t="s">
        <v>10</v>
      </c>
      <c r="B11" s="11"/>
      <c r="C11" s="11"/>
      <c r="D11" s="11"/>
      <c r="E11" s="18">
        <f>SUM(E12:E19)</f>
        <v>466031.66000000003</v>
      </c>
      <c r="F11" s="8"/>
    </row>
    <row r="12" spans="1:6" ht="15" customHeight="1" x14ac:dyDescent="0.25">
      <c r="A12" s="15" t="s">
        <v>240</v>
      </c>
      <c r="B12" s="15">
        <v>1</v>
      </c>
      <c r="C12" s="15" t="s">
        <v>219</v>
      </c>
      <c r="D12" s="17">
        <v>160000</v>
      </c>
      <c r="E12" s="17">
        <f>B12*D12</f>
        <v>160000</v>
      </c>
      <c r="F12" s="10" t="s">
        <v>292</v>
      </c>
    </row>
    <row r="13" spans="1:6" ht="15" customHeight="1" x14ac:dyDescent="0.25">
      <c r="A13" s="15" t="s">
        <v>241</v>
      </c>
      <c r="B13" s="15">
        <v>1</v>
      </c>
      <c r="C13" s="15" t="s">
        <v>219</v>
      </c>
      <c r="D13" s="17">
        <v>117000</v>
      </c>
      <c r="E13" s="17">
        <f t="shared" ref="E13:E19" si="1">B13*D13</f>
        <v>117000</v>
      </c>
      <c r="F13" s="10" t="s">
        <v>292</v>
      </c>
    </row>
    <row r="14" spans="1:6" ht="15" customHeight="1" x14ac:dyDescent="0.25">
      <c r="A14" s="15" t="s">
        <v>242</v>
      </c>
      <c r="B14" s="15">
        <v>1</v>
      </c>
      <c r="C14" s="15" t="s">
        <v>219</v>
      </c>
      <c r="D14" s="17">
        <v>16000</v>
      </c>
      <c r="E14" s="17">
        <f t="shared" si="1"/>
        <v>16000</v>
      </c>
      <c r="F14" s="10" t="s">
        <v>292</v>
      </c>
    </row>
    <row r="15" spans="1:6" ht="15" customHeight="1" x14ac:dyDescent="0.25">
      <c r="A15" s="15" t="s">
        <v>243</v>
      </c>
      <c r="B15" s="15">
        <v>1</v>
      </c>
      <c r="C15" s="15" t="s">
        <v>219</v>
      </c>
      <c r="D15" s="17">
        <v>21500</v>
      </c>
      <c r="E15" s="17">
        <f t="shared" si="1"/>
        <v>21500</v>
      </c>
      <c r="F15" s="10" t="s">
        <v>292</v>
      </c>
    </row>
    <row r="16" spans="1:6" ht="15" customHeight="1" x14ac:dyDescent="0.25">
      <c r="A16" s="35" t="s">
        <v>244</v>
      </c>
      <c r="B16" s="35">
        <v>1</v>
      </c>
      <c r="C16" s="35" t="s">
        <v>219</v>
      </c>
      <c r="D16" s="47">
        <v>23479.71</v>
      </c>
      <c r="E16" s="47">
        <f t="shared" si="1"/>
        <v>23479.71</v>
      </c>
      <c r="F16" s="10" t="s">
        <v>1088</v>
      </c>
    </row>
    <row r="17" spans="1:8" ht="15" customHeight="1" x14ac:dyDescent="0.25">
      <c r="A17" s="35" t="s">
        <v>293</v>
      </c>
      <c r="B17" s="35">
        <v>1</v>
      </c>
      <c r="C17" s="35" t="s">
        <v>219</v>
      </c>
      <c r="D17" s="47">
        <v>89165.06</v>
      </c>
      <c r="E17" s="47">
        <f t="shared" si="1"/>
        <v>89165.06</v>
      </c>
      <c r="F17" s="10" t="s">
        <v>1088</v>
      </c>
      <c r="H17" s="10"/>
    </row>
    <row r="18" spans="1:8" ht="15" customHeight="1" x14ac:dyDescent="0.25">
      <c r="A18" s="35" t="s">
        <v>284</v>
      </c>
      <c r="B18" s="35">
        <v>1</v>
      </c>
      <c r="C18" s="35" t="s">
        <v>219</v>
      </c>
      <c r="D18" s="47">
        <v>33450</v>
      </c>
      <c r="E18" s="47">
        <f t="shared" si="1"/>
        <v>33450</v>
      </c>
      <c r="F18" s="10" t="s">
        <v>292</v>
      </c>
      <c r="H18" s="10"/>
    </row>
    <row r="19" spans="1:8" ht="15" customHeight="1" x14ac:dyDescent="0.25">
      <c r="A19" s="35" t="s">
        <v>285</v>
      </c>
      <c r="B19" s="35">
        <v>1</v>
      </c>
      <c r="C19" s="35" t="s">
        <v>219</v>
      </c>
      <c r="D19" s="47">
        <v>5436.89</v>
      </c>
      <c r="E19" s="47">
        <f t="shared" si="1"/>
        <v>5436.89</v>
      </c>
      <c r="F19" s="10" t="s">
        <v>1088</v>
      </c>
      <c r="H19" s="10"/>
    </row>
    <row r="20" spans="1:8" ht="15" customHeight="1" x14ac:dyDescent="0.25">
      <c r="A20" s="11" t="s">
        <v>11</v>
      </c>
      <c r="B20" s="11"/>
      <c r="C20" s="11"/>
      <c r="D20" s="11"/>
      <c r="E20" s="18">
        <f>SUM(E21)</f>
        <v>24972.29</v>
      </c>
      <c r="F20" s="8"/>
    </row>
    <row r="21" spans="1:8" ht="15" customHeight="1" x14ac:dyDescent="0.25">
      <c r="A21" s="35" t="s">
        <v>378</v>
      </c>
      <c r="B21" s="35">
        <v>1</v>
      </c>
      <c r="C21" s="35" t="s">
        <v>219</v>
      </c>
      <c r="D21" s="47">
        <v>24972.29</v>
      </c>
      <c r="E21" s="47">
        <f>D21*B21</f>
        <v>24972.29</v>
      </c>
      <c r="F21" s="10" t="s">
        <v>1088</v>
      </c>
    </row>
    <row r="22" spans="1:8" ht="15" customHeight="1" x14ac:dyDescent="0.25">
      <c r="A22" s="11" t="s">
        <v>12</v>
      </c>
      <c r="B22" s="11"/>
      <c r="C22" s="11"/>
      <c r="D22" s="11"/>
      <c r="E22" s="18">
        <f>SUM(E23:E24)</f>
        <v>29918.841500000002</v>
      </c>
      <c r="F22" s="8"/>
    </row>
    <row r="23" spans="1:8" ht="15" customHeight="1" x14ac:dyDescent="0.25">
      <c r="A23" s="15" t="s">
        <v>245</v>
      </c>
      <c r="B23" s="15">
        <v>1</v>
      </c>
      <c r="C23" s="15" t="s">
        <v>219</v>
      </c>
      <c r="D23" s="17">
        <v>11102.4</v>
      </c>
      <c r="E23" s="17">
        <f>B23*D23</f>
        <v>11102.4</v>
      </c>
      <c r="F23" s="10" t="s">
        <v>1088</v>
      </c>
    </row>
    <row r="24" spans="1:8" ht="23.25" customHeight="1" x14ac:dyDescent="0.25">
      <c r="A24" s="15" t="s">
        <v>246</v>
      </c>
      <c r="B24" s="15">
        <v>1</v>
      </c>
      <c r="C24" s="15" t="s">
        <v>219</v>
      </c>
      <c r="D24" s="47">
        <f>SUM('CUSTOS DIRETOS'!B51,'CUSTOS DIRETOS'!B66,'CUSTOS DIRETOS'!B89,'CUSTOS DIRETOS'!B93*0.1)*4.25</f>
        <v>18816.441500000001</v>
      </c>
      <c r="E24" s="17">
        <f>B24*D24</f>
        <v>18816.441500000001</v>
      </c>
      <c r="F24" s="10" t="s">
        <v>1088</v>
      </c>
    </row>
    <row r="25" spans="1:8" ht="15" customHeight="1" x14ac:dyDescent="0.25">
      <c r="A25" s="13" t="s">
        <v>13</v>
      </c>
      <c r="B25" s="13"/>
      <c r="C25" s="13"/>
      <c r="D25" s="13"/>
      <c r="E25" s="16">
        <f>SUM(E26,E35)</f>
        <v>259454.58</v>
      </c>
      <c r="F25" s="9"/>
    </row>
    <row r="26" spans="1:8" ht="27.75" customHeight="1" x14ac:dyDescent="0.25">
      <c r="A26" s="11" t="s">
        <v>14</v>
      </c>
      <c r="B26" s="11"/>
      <c r="C26" s="11"/>
      <c r="D26" s="11"/>
      <c r="E26" s="18">
        <f>SUM(E27:E34)</f>
        <v>241395.49</v>
      </c>
      <c r="F26" s="8"/>
    </row>
    <row r="27" spans="1:8" ht="15" customHeight="1" x14ac:dyDescent="0.25">
      <c r="A27" s="15" t="s">
        <v>247</v>
      </c>
      <c r="B27" s="15">
        <v>1</v>
      </c>
      <c r="C27" s="15" t="s">
        <v>219</v>
      </c>
      <c r="D27" s="47">
        <v>50000</v>
      </c>
      <c r="E27" s="17">
        <f>B27*D27</f>
        <v>50000</v>
      </c>
      <c r="F27" s="10" t="s">
        <v>1088</v>
      </c>
    </row>
    <row r="28" spans="1:8" ht="15" customHeight="1" x14ac:dyDescent="0.25">
      <c r="A28" s="15" t="s">
        <v>248</v>
      </c>
      <c r="B28" s="15">
        <v>1</v>
      </c>
      <c r="C28" s="15" t="s">
        <v>219</v>
      </c>
      <c r="D28" s="17">
        <v>2594.62</v>
      </c>
      <c r="E28" s="17">
        <f t="shared" ref="E28:E32" si="2">B28*D28</f>
        <v>2594.62</v>
      </c>
      <c r="F28" s="10" t="s">
        <v>1088</v>
      </c>
    </row>
    <row r="29" spans="1:8" x14ac:dyDescent="0.25">
      <c r="A29" s="15" t="s">
        <v>249</v>
      </c>
      <c r="B29" s="15">
        <v>1</v>
      </c>
      <c r="C29" s="15" t="s">
        <v>219</v>
      </c>
      <c r="D29" s="17">
        <v>26706.76</v>
      </c>
      <c r="E29" s="17">
        <f t="shared" si="2"/>
        <v>26706.76</v>
      </c>
      <c r="F29" s="10" t="s">
        <v>1088</v>
      </c>
    </row>
    <row r="30" spans="1:8" ht="15" customHeight="1" x14ac:dyDescent="0.25">
      <c r="A30" s="15" t="s">
        <v>379</v>
      </c>
      <c r="B30" s="15">
        <v>1</v>
      </c>
      <c r="C30" s="15" t="s">
        <v>219</v>
      </c>
      <c r="D30" s="17">
        <v>23117.71</v>
      </c>
      <c r="E30" s="17">
        <f t="shared" si="2"/>
        <v>23117.71</v>
      </c>
      <c r="F30" s="10" t="s">
        <v>292</v>
      </c>
    </row>
    <row r="31" spans="1:8" ht="15" customHeight="1" x14ac:dyDescent="0.25">
      <c r="A31" s="15" t="s">
        <v>250</v>
      </c>
      <c r="B31" s="15">
        <v>1</v>
      </c>
      <c r="C31" s="15" t="s">
        <v>219</v>
      </c>
      <c r="D31" s="17">
        <f>0.1*Resumo!L2</f>
        <v>1072.25</v>
      </c>
      <c r="E31" s="17">
        <f t="shared" si="2"/>
        <v>1072.25</v>
      </c>
      <c r="F31" s="10" t="s">
        <v>1088</v>
      </c>
    </row>
    <row r="32" spans="1:8" ht="15" customHeight="1" x14ac:dyDescent="0.25">
      <c r="A32" s="15" t="s">
        <v>251</v>
      </c>
      <c r="B32" s="15">
        <v>1</v>
      </c>
      <c r="C32" s="15" t="s">
        <v>219</v>
      </c>
      <c r="D32" s="17">
        <f>2850.95*7</f>
        <v>19956.649999999998</v>
      </c>
      <c r="E32" s="17">
        <f t="shared" si="2"/>
        <v>19956.649999999998</v>
      </c>
      <c r="F32" s="10" t="s">
        <v>292</v>
      </c>
    </row>
    <row r="33" spans="1:6" ht="15" customHeight="1" x14ac:dyDescent="0.25">
      <c r="A33" s="15" t="s">
        <v>252</v>
      </c>
      <c r="B33" s="15">
        <v>1</v>
      </c>
      <c r="C33" s="15" t="s">
        <v>219</v>
      </c>
      <c r="D33" s="17">
        <f>4*Resumo!L2</f>
        <v>42890</v>
      </c>
      <c r="E33" s="17">
        <f>B33*D33</f>
        <v>42890</v>
      </c>
      <c r="F33" s="10" t="s">
        <v>1088</v>
      </c>
    </row>
    <row r="34" spans="1:6" ht="15" customHeight="1" x14ac:dyDescent="0.25">
      <c r="A34" s="15" t="s">
        <v>380</v>
      </c>
      <c r="B34" s="15">
        <v>1</v>
      </c>
      <c r="C34" s="15" t="s">
        <v>219</v>
      </c>
      <c r="D34" s="17">
        <f>7*Resumo!L2</f>
        <v>75057.5</v>
      </c>
      <c r="E34" s="17">
        <f>B34*D34</f>
        <v>75057.5</v>
      </c>
      <c r="F34" s="10" t="s">
        <v>1088</v>
      </c>
    </row>
    <row r="35" spans="1:6" ht="15" customHeight="1" x14ac:dyDescent="0.25">
      <c r="A35" s="11" t="s">
        <v>15</v>
      </c>
      <c r="B35" s="11"/>
      <c r="C35" s="11"/>
      <c r="D35" s="11"/>
      <c r="E35" s="18">
        <f>SUM(E36:E37)</f>
        <v>18059.090000000004</v>
      </c>
      <c r="F35" s="8"/>
    </row>
    <row r="36" spans="1:6" ht="15" customHeight="1" x14ac:dyDescent="0.25">
      <c r="A36" s="15" t="s">
        <v>253</v>
      </c>
      <c r="B36" s="15">
        <v>1</v>
      </c>
      <c r="C36" s="15" t="s">
        <v>219</v>
      </c>
      <c r="D36" s="17">
        <v>6264.34</v>
      </c>
      <c r="E36" s="17">
        <f t="shared" ref="E36:E37" si="3">B36*D36</f>
        <v>6264.34</v>
      </c>
      <c r="F36" s="10" t="s">
        <v>1088</v>
      </c>
    </row>
    <row r="37" spans="1:6" ht="15" customHeight="1" x14ac:dyDescent="0.25">
      <c r="A37" s="35" t="s">
        <v>381</v>
      </c>
      <c r="B37" s="49">
        <v>1</v>
      </c>
      <c r="C37" s="49" t="s">
        <v>219</v>
      </c>
      <c r="D37" s="47">
        <f>1.1*Resumo!L2</f>
        <v>11794.750000000002</v>
      </c>
      <c r="E37" s="47">
        <f t="shared" si="3"/>
        <v>11794.750000000002</v>
      </c>
      <c r="F37" s="10" t="s">
        <v>1088</v>
      </c>
    </row>
    <row r="38" spans="1:6" ht="15" customHeight="1" x14ac:dyDescent="0.25">
      <c r="A38" s="45" t="s">
        <v>16</v>
      </c>
      <c r="B38" s="42"/>
      <c r="C38" s="42"/>
      <c r="D38" s="42"/>
      <c r="E38" s="43">
        <f>SUM(E39,E57,E79)</f>
        <v>1288278.5263</v>
      </c>
      <c r="F38" s="44"/>
    </row>
    <row r="39" spans="1:6" ht="15" customHeight="1" x14ac:dyDescent="0.25">
      <c r="A39" s="13" t="s">
        <v>17</v>
      </c>
      <c r="B39" s="13"/>
      <c r="C39" s="13"/>
      <c r="D39" s="13"/>
      <c r="E39" s="16">
        <f>SUM(E40,E44,E54)</f>
        <v>641275.51230000006</v>
      </c>
      <c r="F39" s="9"/>
    </row>
    <row r="40" spans="1:6" ht="15" customHeight="1" x14ac:dyDescent="0.25">
      <c r="A40" s="11" t="s">
        <v>18</v>
      </c>
      <c r="B40" s="11"/>
      <c r="C40" s="11"/>
      <c r="D40" s="11"/>
      <c r="E40" s="18">
        <f>SUM(E41:E43)</f>
        <v>156497.79999999999</v>
      </c>
      <c r="F40" s="8"/>
    </row>
    <row r="41" spans="1:6" ht="15" customHeight="1" x14ac:dyDescent="0.25">
      <c r="A41" s="15" t="s">
        <v>255</v>
      </c>
      <c r="B41" s="15">
        <v>35</v>
      </c>
      <c r="C41" s="15" t="s">
        <v>67</v>
      </c>
      <c r="D41" s="17">
        <v>3337.8</v>
      </c>
      <c r="E41" s="17">
        <f>B41*D41</f>
        <v>116823</v>
      </c>
      <c r="F41" s="10" t="s">
        <v>1088</v>
      </c>
    </row>
    <row r="42" spans="1:6" ht="15" customHeight="1" x14ac:dyDescent="0.25">
      <c r="A42" s="35" t="s">
        <v>256</v>
      </c>
      <c r="B42" s="35">
        <v>1</v>
      </c>
      <c r="C42" s="35" t="s">
        <v>219</v>
      </c>
      <c r="D42" s="47">
        <f>37000</f>
        <v>37000</v>
      </c>
      <c r="E42" s="47">
        <f>B42*D42</f>
        <v>37000</v>
      </c>
      <c r="F42" s="10" t="s">
        <v>1088</v>
      </c>
    </row>
    <row r="43" spans="1:6" ht="15" customHeight="1" x14ac:dyDescent="0.25">
      <c r="A43" s="35" t="s">
        <v>286</v>
      </c>
      <c r="B43" s="35">
        <v>1</v>
      </c>
      <c r="C43" s="35" t="s">
        <v>219</v>
      </c>
      <c r="D43" s="47">
        <v>2674.8</v>
      </c>
      <c r="E43" s="47">
        <f>B43*D43</f>
        <v>2674.8</v>
      </c>
      <c r="F43" s="10" t="s">
        <v>292</v>
      </c>
    </row>
    <row r="44" spans="1:6" ht="15" customHeight="1" x14ac:dyDescent="0.25">
      <c r="A44" s="11" t="s">
        <v>19</v>
      </c>
      <c r="B44" s="11"/>
      <c r="C44" s="11"/>
      <c r="D44" s="11"/>
      <c r="E44" s="18">
        <f>SUM(E45:E53)</f>
        <v>446128.68229999999</v>
      </c>
      <c r="F44" s="8"/>
    </row>
    <row r="45" spans="1:6" ht="30.75" customHeight="1" x14ac:dyDescent="0.25">
      <c r="A45" s="15" t="s">
        <v>257</v>
      </c>
      <c r="B45" s="15">
        <v>212.44</v>
      </c>
      <c r="C45" s="15" t="s">
        <v>46</v>
      </c>
      <c r="D45" s="15">
        <v>313.56</v>
      </c>
      <c r="E45" s="17">
        <f t="shared" ref="E45:E52" si="4">B45*D45</f>
        <v>66612.686400000006</v>
      </c>
      <c r="F45" s="178" t="s">
        <v>1294</v>
      </c>
    </row>
    <row r="46" spans="1:6" ht="24.75" customHeight="1" x14ac:dyDescent="0.25">
      <c r="A46" s="15" t="s">
        <v>258</v>
      </c>
      <c r="B46" s="15">
        <v>188.88</v>
      </c>
      <c r="C46" s="15" t="s">
        <v>46</v>
      </c>
      <c r="D46" s="15">
        <v>310.48</v>
      </c>
      <c r="E46" s="17">
        <f t="shared" si="4"/>
        <v>58643.462400000004</v>
      </c>
      <c r="F46" s="178" t="s">
        <v>1294</v>
      </c>
    </row>
    <row r="47" spans="1:6" ht="29.25" customHeight="1" x14ac:dyDescent="0.25">
      <c r="A47" s="15" t="s">
        <v>258</v>
      </c>
      <c r="B47" s="15">
        <v>188.88</v>
      </c>
      <c r="C47" s="15" t="s">
        <v>46</v>
      </c>
      <c r="D47" s="15">
        <v>310.48</v>
      </c>
      <c r="E47" s="17">
        <f t="shared" si="4"/>
        <v>58643.462400000004</v>
      </c>
      <c r="F47" s="178" t="s">
        <v>1294</v>
      </c>
    </row>
    <row r="48" spans="1:6" ht="36.75" customHeight="1" x14ac:dyDescent="0.25">
      <c r="A48" s="15" t="s">
        <v>259</v>
      </c>
      <c r="B48" s="15">
        <v>472</v>
      </c>
      <c r="C48" s="15" t="s">
        <v>46</v>
      </c>
      <c r="D48" s="15">
        <v>146.99</v>
      </c>
      <c r="E48" s="17">
        <f t="shared" si="4"/>
        <v>69379.28</v>
      </c>
      <c r="F48" s="178" t="s">
        <v>1294</v>
      </c>
    </row>
    <row r="49" spans="1:6" ht="15" customHeight="1" x14ac:dyDescent="0.25">
      <c r="A49" s="15" t="s">
        <v>260</v>
      </c>
      <c r="B49" s="15">
        <v>441.75</v>
      </c>
      <c r="C49" s="15" t="s">
        <v>46</v>
      </c>
      <c r="D49" s="15">
        <v>17.829999999999998</v>
      </c>
      <c r="E49" s="17">
        <f t="shared" si="4"/>
        <v>7876.4024999999992</v>
      </c>
      <c r="F49" s="178" t="s">
        <v>1294</v>
      </c>
    </row>
    <row r="50" spans="1:6" ht="15" customHeight="1" x14ac:dyDescent="0.25">
      <c r="A50" s="15" t="s">
        <v>261</v>
      </c>
      <c r="B50" s="15">
        <v>105.6</v>
      </c>
      <c r="C50" s="15" t="s">
        <v>41</v>
      </c>
      <c r="D50" s="15">
        <v>66.89</v>
      </c>
      <c r="E50" s="17">
        <f t="shared" si="4"/>
        <v>7063.5839999999998</v>
      </c>
      <c r="F50" s="178" t="s">
        <v>1294</v>
      </c>
    </row>
    <row r="51" spans="1:6" ht="32.25" customHeight="1" x14ac:dyDescent="0.25">
      <c r="A51" s="15" t="s">
        <v>262</v>
      </c>
      <c r="B51" s="15">
        <v>472</v>
      </c>
      <c r="C51" s="15" t="s">
        <v>46</v>
      </c>
      <c r="D51" s="15">
        <v>95.67</v>
      </c>
      <c r="E51" s="17">
        <f t="shared" si="4"/>
        <v>45156.24</v>
      </c>
      <c r="F51" s="178" t="s">
        <v>1294</v>
      </c>
    </row>
    <row r="52" spans="1:6" ht="15" customHeight="1" x14ac:dyDescent="0.25">
      <c r="A52" s="15" t="s">
        <v>263</v>
      </c>
      <c r="B52" s="17">
        <v>6331.02</v>
      </c>
      <c r="C52" s="15" t="s">
        <v>41</v>
      </c>
      <c r="D52" s="15">
        <v>12.43</v>
      </c>
      <c r="E52" s="17">
        <f t="shared" si="4"/>
        <v>78694.578600000008</v>
      </c>
      <c r="F52" s="178" t="s">
        <v>1294</v>
      </c>
    </row>
    <row r="53" spans="1:6" ht="15" customHeight="1" x14ac:dyDescent="0.25">
      <c r="A53" s="15" t="s">
        <v>295</v>
      </c>
      <c r="B53" s="47">
        <v>1018.06</v>
      </c>
      <c r="C53" s="15" t="s">
        <v>41</v>
      </c>
      <c r="D53" s="15">
        <v>53.1</v>
      </c>
      <c r="E53" s="17">
        <f>B53*D53</f>
        <v>54058.985999999997</v>
      </c>
      <c r="F53" s="178" t="s">
        <v>1294</v>
      </c>
    </row>
    <row r="54" spans="1:6" ht="15" customHeight="1" x14ac:dyDescent="0.25">
      <c r="A54" s="11" t="s">
        <v>20</v>
      </c>
      <c r="B54" s="11"/>
      <c r="C54" s="11"/>
      <c r="D54" s="11"/>
      <c r="E54" s="18">
        <f>SUM(E55:E56)</f>
        <v>38649.03</v>
      </c>
      <c r="F54" s="8"/>
    </row>
    <row r="55" spans="1:6" ht="15" customHeight="1" x14ac:dyDescent="0.25">
      <c r="A55" s="15" t="s">
        <v>264</v>
      </c>
      <c r="B55" s="15">
        <v>1</v>
      </c>
      <c r="C55" s="15" t="s">
        <v>219</v>
      </c>
      <c r="D55" s="17">
        <f>7149.03</f>
        <v>7149.03</v>
      </c>
      <c r="E55" s="17">
        <f t="shared" ref="E55" si="5">B55*D55</f>
        <v>7149.03</v>
      </c>
      <c r="F55" s="10" t="s">
        <v>1088</v>
      </c>
    </row>
    <row r="56" spans="1:6" ht="27" customHeight="1" x14ac:dyDescent="0.25">
      <c r="A56" s="35" t="s">
        <v>287</v>
      </c>
      <c r="B56" s="35">
        <v>35</v>
      </c>
      <c r="C56" s="35" t="s">
        <v>67</v>
      </c>
      <c r="D56" s="47">
        <v>900</v>
      </c>
      <c r="E56" s="47">
        <f>B56*D56</f>
        <v>31500</v>
      </c>
      <c r="F56" s="10" t="s">
        <v>326</v>
      </c>
    </row>
    <row r="57" spans="1:6" ht="15" customHeight="1" x14ac:dyDescent="0.25">
      <c r="A57" s="13" t="s">
        <v>22</v>
      </c>
      <c r="B57" s="13"/>
      <c r="C57" s="13"/>
      <c r="D57" s="13"/>
      <c r="E57" s="16">
        <f>SUM(E58,E60,E62,E72)</f>
        <v>624280.01399999997</v>
      </c>
      <c r="F57" s="9"/>
    </row>
    <row r="58" spans="1:6" ht="15" customHeight="1" x14ac:dyDescent="0.25">
      <c r="A58" s="11" t="s">
        <v>23</v>
      </c>
      <c r="B58" s="11"/>
      <c r="C58" s="11"/>
      <c r="D58" s="11"/>
      <c r="E58" s="18">
        <f>SUM(E59:E59)</f>
        <v>175000</v>
      </c>
      <c r="F58" s="8"/>
    </row>
    <row r="59" spans="1:6" ht="15" customHeight="1" x14ac:dyDescent="0.25">
      <c r="A59" s="15" t="s">
        <v>265</v>
      </c>
      <c r="B59" s="15">
        <v>35</v>
      </c>
      <c r="C59" s="15" t="s">
        <v>67</v>
      </c>
      <c r="D59" s="17">
        <v>5000</v>
      </c>
      <c r="E59" s="17">
        <f>D59*B59</f>
        <v>175000</v>
      </c>
      <c r="F59" s="10" t="s">
        <v>292</v>
      </c>
    </row>
    <row r="60" spans="1:6" ht="15" customHeight="1" x14ac:dyDescent="0.25">
      <c r="A60" s="11" t="s">
        <v>24</v>
      </c>
      <c r="B60" s="11"/>
      <c r="C60" s="11"/>
      <c r="D60" s="11"/>
      <c r="E60" s="18">
        <f>SUM(E61)</f>
        <v>4206.38</v>
      </c>
      <c r="F60" s="8"/>
    </row>
    <row r="61" spans="1:6" ht="15" customHeight="1" x14ac:dyDescent="0.25">
      <c r="A61" s="35" t="s">
        <v>266</v>
      </c>
      <c r="B61" s="35">
        <v>1</v>
      </c>
      <c r="C61" s="35" t="s">
        <v>219</v>
      </c>
      <c r="D61" s="47">
        <v>4206.38</v>
      </c>
      <c r="E61" s="47">
        <f>B61*D61</f>
        <v>4206.38</v>
      </c>
      <c r="F61" s="10" t="s">
        <v>292</v>
      </c>
    </row>
    <row r="62" spans="1:6" ht="26.25" customHeight="1" x14ac:dyDescent="0.25">
      <c r="A62" s="11" t="s">
        <v>25</v>
      </c>
      <c r="B62" s="11"/>
      <c r="C62" s="11"/>
      <c r="D62" s="11"/>
      <c r="E62" s="18">
        <f>SUM(E63:E71)</f>
        <v>206718.72</v>
      </c>
      <c r="F62" s="8"/>
    </row>
    <row r="63" spans="1:6" ht="15" customHeight="1" x14ac:dyDescent="0.25">
      <c r="A63" s="15" t="s">
        <v>267</v>
      </c>
      <c r="B63" s="15">
        <v>35</v>
      </c>
      <c r="C63" s="15" t="s">
        <v>67</v>
      </c>
      <c r="D63" s="17">
        <v>1136.52</v>
      </c>
      <c r="E63" s="17">
        <f>B63*D63</f>
        <v>39778.199999999997</v>
      </c>
      <c r="F63" s="10" t="s">
        <v>1088</v>
      </c>
    </row>
    <row r="64" spans="1:6" ht="15" customHeight="1" x14ac:dyDescent="0.25">
      <c r="A64" s="15" t="s">
        <v>268</v>
      </c>
      <c r="B64" s="15">
        <v>35</v>
      </c>
      <c r="C64" s="15" t="s">
        <v>67</v>
      </c>
      <c r="D64" s="17">
        <v>2132</v>
      </c>
      <c r="E64" s="17">
        <f t="shared" ref="E64:E67" si="6">B64*D64</f>
        <v>74620</v>
      </c>
      <c r="F64" s="10" t="s">
        <v>1088</v>
      </c>
    </row>
    <row r="65" spans="1:6" ht="27" customHeight="1" x14ac:dyDescent="0.25">
      <c r="A65" s="35" t="s">
        <v>269</v>
      </c>
      <c r="B65" s="35">
        <v>35</v>
      </c>
      <c r="C65" s="35" t="s">
        <v>67</v>
      </c>
      <c r="D65" s="47">
        <v>366.98</v>
      </c>
      <c r="E65" s="47">
        <f t="shared" si="6"/>
        <v>12844.300000000001</v>
      </c>
      <c r="F65" s="10" t="s">
        <v>1088</v>
      </c>
    </row>
    <row r="66" spans="1:6" ht="15" customHeight="1" x14ac:dyDescent="0.25">
      <c r="A66" s="35" t="s">
        <v>270</v>
      </c>
      <c r="B66" s="35">
        <v>35</v>
      </c>
      <c r="C66" s="35" t="s">
        <v>67</v>
      </c>
      <c r="D66" s="47">
        <v>530.51</v>
      </c>
      <c r="E66" s="47">
        <f t="shared" si="6"/>
        <v>18567.849999999999</v>
      </c>
      <c r="F66" s="10" t="s">
        <v>1088</v>
      </c>
    </row>
    <row r="67" spans="1:6" ht="15" customHeight="1" x14ac:dyDescent="0.25">
      <c r="A67" s="15" t="s">
        <v>271</v>
      </c>
      <c r="B67" s="15">
        <v>35</v>
      </c>
      <c r="C67" s="15" t="s">
        <v>67</v>
      </c>
      <c r="D67" s="17">
        <v>70</v>
      </c>
      <c r="E67" s="17">
        <f t="shared" si="6"/>
        <v>2450</v>
      </c>
      <c r="F67" s="10" t="s">
        <v>1088</v>
      </c>
    </row>
    <row r="68" spans="1:6" ht="15" customHeight="1" x14ac:dyDescent="0.25">
      <c r="A68" s="35" t="s">
        <v>289</v>
      </c>
      <c r="B68" s="35">
        <v>35</v>
      </c>
      <c r="C68" s="35" t="s">
        <v>288</v>
      </c>
      <c r="D68" s="47">
        <v>217.5</v>
      </c>
      <c r="E68" s="47">
        <f>B68*D68</f>
        <v>7612.5</v>
      </c>
      <c r="F68" s="10" t="s">
        <v>292</v>
      </c>
    </row>
    <row r="69" spans="1:6" ht="15" customHeight="1" x14ac:dyDescent="0.25">
      <c r="A69" s="35" t="s">
        <v>294</v>
      </c>
      <c r="B69" s="35">
        <v>35</v>
      </c>
      <c r="C69" s="35" t="s">
        <v>67</v>
      </c>
      <c r="D69" s="47">
        <f>387.59</f>
        <v>387.59</v>
      </c>
      <c r="E69" s="47">
        <f>B69*D69</f>
        <v>13565.65</v>
      </c>
      <c r="F69" s="10" t="s">
        <v>1088</v>
      </c>
    </row>
    <row r="70" spans="1:6" ht="15" customHeight="1" x14ac:dyDescent="0.25">
      <c r="A70" s="35" t="s">
        <v>254</v>
      </c>
      <c r="B70" s="35">
        <v>1</v>
      </c>
      <c r="C70" s="35" t="s">
        <v>219</v>
      </c>
      <c r="D70" s="47">
        <v>7530.22</v>
      </c>
      <c r="E70" s="47">
        <f>B70*D70</f>
        <v>7530.22</v>
      </c>
      <c r="F70" s="10" t="s">
        <v>1088</v>
      </c>
    </row>
    <row r="71" spans="1:6" ht="15" customHeight="1" x14ac:dyDescent="0.25">
      <c r="A71" s="35" t="s">
        <v>382</v>
      </c>
      <c r="B71" s="35">
        <v>35</v>
      </c>
      <c r="C71" s="35" t="s">
        <v>288</v>
      </c>
      <c r="D71" s="47">
        <f>850</f>
        <v>850</v>
      </c>
      <c r="E71" s="47">
        <f>B71*D71</f>
        <v>29750</v>
      </c>
      <c r="F71" s="10" t="s">
        <v>1088</v>
      </c>
    </row>
    <row r="72" spans="1:6" ht="15" customHeight="1" x14ac:dyDescent="0.25">
      <c r="A72" s="11" t="s">
        <v>26</v>
      </c>
      <c r="B72" s="11"/>
      <c r="C72" s="11"/>
      <c r="D72" s="11"/>
      <c r="E72" s="18">
        <f>SUM(E73:E78)</f>
        <v>238354.91399999999</v>
      </c>
      <c r="F72" s="8"/>
    </row>
    <row r="73" spans="1:6" ht="15" customHeight="1" x14ac:dyDescent="0.25">
      <c r="A73" s="35" t="s">
        <v>272</v>
      </c>
      <c r="B73" s="35">
        <v>1</v>
      </c>
      <c r="C73" s="35" t="s">
        <v>219</v>
      </c>
      <c r="D73" s="47">
        <v>12916.98</v>
      </c>
      <c r="E73" s="47">
        <f>B73*D73</f>
        <v>12916.98</v>
      </c>
      <c r="F73" s="10" t="s">
        <v>1088</v>
      </c>
    </row>
    <row r="74" spans="1:6" ht="15" customHeight="1" x14ac:dyDescent="0.25">
      <c r="A74" s="35" t="s">
        <v>273</v>
      </c>
      <c r="B74" s="35">
        <v>1</v>
      </c>
      <c r="C74" s="35" t="s">
        <v>219</v>
      </c>
      <c r="D74" s="47">
        <v>10960.93</v>
      </c>
      <c r="E74" s="47">
        <f t="shared" ref="E74:E78" si="7">B74*D74</f>
        <v>10960.93</v>
      </c>
      <c r="F74" s="10" t="s">
        <v>1088</v>
      </c>
    </row>
    <row r="75" spans="1:6" ht="15" customHeight="1" x14ac:dyDescent="0.25">
      <c r="A75" s="35" t="s">
        <v>274</v>
      </c>
      <c r="B75" s="35">
        <v>1</v>
      </c>
      <c r="C75" s="35" t="s">
        <v>219</v>
      </c>
      <c r="D75" s="47">
        <f>12*Resumo!L2</f>
        <v>128670</v>
      </c>
      <c r="E75" s="47">
        <f t="shared" si="7"/>
        <v>128670</v>
      </c>
      <c r="F75" s="10" t="s">
        <v>1088</v>
      </c>
    </row>
    <row r="76" spans="1:6" ht="15" customHeight="1" x14ac:dyDescent="0.25">
      <c r="A76" s="35" t="s">
        <v>275</v>
      </c>
      <c r="B76" s="35">
        <v>35</v>
      </c>
      <c r="C76" s="35" t="s">
        <v>67</v>
      </c>
      <c r="D76" s="47">
        <v>1226.28</v>
      </c>
      <c r="E76" s="47">
        <f t="shared" si="7"/>
        <v>42919.799999999996</v>
      </c>
      <c r="F76" s="10" t="s">
        <v>1088</v>
      </c>
    </row>
    <row r="77" spans="1:6" ht="15" customHeight="1" x14ac:dyDescent="0.25">
      <c r="A77" s="15" t="s">
        <v>276</v>
      </c>
      <c r="B77" s="15">
        <v>259.60000000000002</v>
      </c>
      <c r="C77" s="15" t="s">
        <v>41</v>
      </c>
      <c r="D77" s="17">
        <v>100.49</v>
      </c>
      <c r="E77" s="17">
        <f t="shared" si="7"/>
        <v>26087.204000000002</v>
      </c>
      <c r="F77" s="10" t="s">
        <v>1088</v>
      </c>
    </row>
    <row r="78" spans="1:6" ht="15" customHeight="1" x14ac:dyDescent="0.25">
      <c r="A78" s="35" t="s">
        <v>290</v>
      </c>
      <c r="B78" s="35">
        <v>35</v>
      </c>
      <c r="C78" s="35" t="s">
        <v>67</v>
      </c>
      <c r="D78" s="47">
        <v>480</v>
      </c>
      <c r="E78" s="47">
        <f t="shared" si="7"/>
        <v>16800</v>
      </c>
      <c r="F78" s="10" t="s">
        <v>292</v>
      </c>
    </row>
    <row r="79" spans="1:6" ht="15" customHeight="1" x14ac:dyDescent="0.25">
      <c r="A79" s="13" t="s">
        <v>27</v>
      </c>
      <c r="B79" s="13"/>
      <c r="C79" s="13"/>
      <c r="D79" s="13"/>
      <c r="E79" s="16">
        <f>SUM(E80)</f>
        <v>22723</v>
      </c>
      <c r="F79" s="9"/>
    </row>
    <row r="80" spans="1:6" ht="15" customHeight="1" x14ac:dyDescent="0.25">
      <c r="A80" s="11" t="s">
        <v>29</v>
      </c>
      <c r="B80" s="11"/>
      <c r="C80" s="11"/>
      <c r="D80" s="11"/>
      <c r="E80" s="18">
        <f>SUM(E81:E82)</f>
        <v>22723</v>
      </c>
      <c r="F80" s="8"/>
    </row>
    <row r="81" spans="1:6" ht="31.5" customHeight="1" x14ac:dyDescent="0.25">
      <c r="A81" s="15" t="s">
        <v>277</v>
      </c>
      <c r="B81" s="15">
        <v>769.2</v>
      </c>
      <c r="C81" s="15" t="s">
        <v>41</v>
      </c>
      <c r="D81" s="17">
        <v>2.5</v>
      </c>
      <c r="E81" s="17">
        <v>1923</v>
      </c>
      <c r="F81" s="10" t="s">
        <v>1088</v>
      </c>
    </row>
    <row r="82" spans="1:6" x14ac:dyDescent="0.25">
      <c r="A82" s="15" t="s">
        <v>291</v>
      </c>
      <c r="B82" s="15">
        <v>1</v>
      </c>
      <c r="C82" s="15" t="s">
        <v>219</v>
      </c>
      <c r="D82" s="17">
        <v>20800</v>
      </c>
      <c r="E82" s="17">
        <f>B82*D82</f>
        <v>20800</v>
      </c>
      <c r="F82" s="10" t="s">
        <v>292</v>
      </c>
    </row>
    <row r="83" spans="1:6" x14ac:dyDescent="0.25">
      <c r="A83" s="45" t="s">
        <v>30</v>
      </c>
      <c r="B83" s="42"/>
      <c r="C83" s="42"/>
      <c r="D83" s="42"/>
      <c r="E83" s="43">
        <f>SUM(E84)</f>
        <v>697496.45000000019</v>
      </c>
      <c r="F83" s="44"/>
    </row>
    <row r="84" spans="1:6" ht="15" customHeight="1" x14ac:dyDescent="0.25">
      <c r="A84" s="13" t="s">
        <v>31</v>
      </c>
      <c r="B84" s="13"/>
      <c r="C84" s="13"/>
      <c r="D84" s="13"/>
      <c r="E84" s="16">
        <f>SUM(E85,E96,E99)</f>
        <v>697496.45000000019</v>
      </c>
      <c r="F84" s="9"/>
    </row>
    <row r="85" spans="1:6" ht="28.5" customHeight="1" x14ac:dyDescent="0.25">
      <c r="A85" s="11" t="s">
        <v>32</v>
      </c>
      <c r="B85" s="11"/>
      <c r="C85" s="11"/>
      <c r="D85" s="11"/>
      <c r="E85" s="18">
        <f>SUM(E86:E95)</f>
        <v>516190.91000000009</v>
      </c>
      <c r="F85" s="8"/>
    </row>
    <row r="86" spans="1:6" ht="27.75" customHeight="1" x14ac:dyDescent="0.25">
      <c r="A86" s="15" t="s">
        <v>322</v>
      </c>
      <c r="B86" s="15">
        <v>1</v>
      </c>
      <c r="C86" s="15" t="s">
        <v>219</v>
      </c>
      <c r="D86" s="17">
        <v>287500</v>
      </c>
      <c r="E86" s="17">
        <f>B86*D86</f>
        <v>287500</v>
      </c>
      <c r="F86" s="10" t="s">
        <v>292</v>
      </c>
    </row>
    <row r="87" spans="1:6" ht="27.75" customHeight="1" x14ac:dyDescent="0.25">
      <c r="A87" s="15" t="s">
        <v>321</v>
      </c>
      <c r="B87" s="15">
        <v>1</v>
      </c>
      <c r="C87" s="15" t="s">
        <v>219</v>
      </c>
      <c r="D87" s="17">
        <v>85000</v>
      </c>
      <c r="E87" s="17">
        <f>B87*D87</f>
        <v>85000</v>
      </c>
      <c r="F87" s="10" t="s">
        <v>292</v>
      </c>
    </row>
    <row r="88" spans="1:6" ht="29.25" customHeight="1" x14ac:dyDescent="0.25">
      <c r="A88" s="35" t="s">
        <v>278</v>
      </c>
      <c r="B88" s="35">
        <v>18</v>
      </c>
      <c r="C88" s="35" t="s">
        <v>67</v>
      </c>
      <c r="D88" s="47">
        <v>2652.63</v>
      </c>
      <c r="E88" s="47">
        <f t="shared" ref="E88:E95" si="8">B88*D88</f>
        <v>47747.340000000004</v>
      </c>
      <c r="F88" s="10" t="s">
        <v>1088</v>
      </c>
    </row>
    <row r="89" spans="1:6" ht="29.25" customHeight="1" x14ac:dyDescent="0.25">
      <c r="A89" s="35" t="s">
        <v>318</v>
      </c>
      <c r="B89" s="35">
        <v>1</v>
      </c>
      <c r="C89" s="35" t="s">
        <v>219</v>
      </c>
      <c r="D89" s="47">
        <v>8035.34</v>
      </c>
      <c r="E89" s="47">
        <f t="shared" si="8"/>
        <v>8035.34</v>
      </c>
      <c r="F89" s="10" t="s">
        <v>1088</v>
      </c>
    </row>
    <row r="90" spans="1:6" ht="29.25" customHeight="1" x14ac:dyDescent="0.25">
      <c r="A90" s="35" t="s">
        <v>319</v>
      </c>
      <c r="B90" s="35">
        <v>1</v>
      </c>
      <c r="C90" s="35" t="s">
        <v>219</v>
      </c>
      <c r="D90" s="47">
        <v>5739.53</v>
      </c>
      <c r="E90" s="47">
        <f t="shared" si="8"/>
        <v>5739.53</v>
      </c>
      <c r="F90" s="10" t="s">
        <v>1088</v>
      </c>
    </row>
    <row r="91" spans="1:6" ht="29.25" customHeight="1" x14ac:dyDescent="0.25">
      <c r="A91" s="35" t="s">
        <v>320</v>
      </c>
      <c r="B91" s="35">
        <v>15</v>
      </c>
      <c r="C91" s="35" t="s">
        <v>288</v>
      </c>
      <c r="D91" s="47">
        <v>1286.18</v>
      </c>
      <c r="E91" s="47">
        <f t="shared" si="8"/>
        <v>19292.7</v>
      </c>
      <c r="F91" s="10" t="s">
        <v>1088</v>
      </c>
    </row>
    <row r="92" spans="1:6" ht="29.25" customHeight="1" x14ac:dyDescent="0.25">
      <c r="A92" s="35" t="s">
        <v>383</v>
      </c>
      <c r="B92" s="35">
        <v>1</v>
      </c>
      <c r="C92" s="35" t="s">
        <v>219</v>
      </c>
      <c r="D92" s="47">
        <v>20120</v>
      </c>
      <c r="E92" s="47">
        <f t="shared" si="8"/>
        <v>20120</v>
      </c>
      <c r="F92" s="10" t="s">
        <v>1088</v>
      </c>
    </row>
    <row r="93" spans="1:6" ht="29.25" customHeight="1" x14ac:dyDescent="0.25">
      <c r="A93" s="35" t="s">
        <v>384</v>
      </c>
      <c r="B93" s="35">
        <v>1</v>
      </c>
      <c r="C93" s="35" t="s">
        <v>219</v>
      </c>
      <c r="D93" s="47">
        <v>18000</v>
      </c>
      <c r="E93" s="47">
        <f t="shared" si="8"/>
        <v>18000</v>
      </c>
      <c r="F93" s="10" t="s">
        <v>1088</v>
      </c>
    </row>
    <row r="94" spans="1:6" ht="29.25" customHeight="1" x14ac:dyDescent="0.25">
      <c r="A94" s="35" t="s">
        <v>385</v>
      </c>
      <c r="B94" s="35">
        <v>1</v>
      </c>
      <c r="C94" s="35" t="s">
        <v>219</v>
      </c>
      <c r="D94" s="47">
        <v>15000</v>
      </c>
      <c r="E94" s="47">
        <f t="shared" si="8"/>
        <v>15000</v>
      </c>
      <c r="F94" s="10" t="s">
        <v>1088</v>
      </c>
    </row>
    <row r="95" spans="1:6" ht="29.25" customHeight="1" x14ac:dyDescent="0.25">
      <c r="A95" s="35" t="s">
        <v>386</v>
      </c>
      <c r="B95" s="35">
        <v>1</v>
      </c>
      <c r="C95" s="35" t="s">
        <v>219</v>
      </c>
      <c r="D95" s="47">
        <v>9756</v>
      </c>
      <c r="E95" s="47">
        <f t="shared" si="8"/>
        <v>9756</v>
      </c>
      <c r="F95" s="10" t="s">
        <v>1088</v>
      </c>
    </row>
    <row r="96" spans="1:6" ht="15" customHeight="1" x14ac:dyDescent="0.25">
      <c r="A96" s="11" t="s">
        <v>33</v>
      </c>
      <c r="B96" s="11"/>
      <c r="C96" s="11"/>
      <c r="D96" s="11"/>
      <c r="E96" s="18">
        <f>SUM(E97:E98)</f>
        <v>69700</v>
      </c>
      <c r="F96" s="8"/>
    </row>
    <row r="97" spans="1:6" ht="26.25" x14ac:dyDescent="0.25">
      <c r="A97" s="35" t="s">
        <v>387</v>
      </c>
      <c r="B97" s="35">
        <v>1</v>
      </c>
      <c r="C97" s="35" t="s">
        <v>219</v>
      </c>
      <c r="D97" s="47">
        <v>59200</v>
      </c>
      <c r="E97" s="47">
        <f>B97*D97</f>
        <v>59200</v>
      </c>
      <c r="F97" s="10" t="s">
        <v>1088</v>
      </c>
    </row>
    <row r="98" spans="1:6" x14ac:dyDescent="0.25">
      <c r="A98" s="35" t="s">
        <v>388</v>
      </c>
      <c r="B98" s="35">
        <v>35</v>
      </c>
      <c r="C98" s="35" t="s">
        <v>67</v>
      </c>
      <c r="D98" s="47">
        <v>300</v>
      </c>
      <c r="E98" s="47">
        <f>B98*D98</f>
        <v>10500</v>
      </c>
      <c r="F98" s="10" t="s">
        <v>1088</v>
      </c>
    </row>
    <row r="99" spans="1:6" ht="15" customHeight="1" x14ac:dyDescent="0.25">
      <c r="A99" s="11" t="s">
        <v>34</v>
      </c>
      <c r="B99" s="11"/>
      <c r="C99" s="11"/>
      <c r="D99" s="11"/>
      <c r="E99" s="18">
        <f>SUM(E100:E103)</f>
        <v>111605.54000000001</v>
      </c>
      <c r="F99" s="8"/>
    </row>
    <row r="100" spans="1:6" ht="24.75" customHeight="1" x14ac:dyDescent="0.25">
      <c r="A100" s="35" t="s">
        <v>279</v>
      </c>
      <c r="B100" s="35">
        <v>5</v>
      </c>
      <c r="C100" s="35" t="s">
        <v>67</v>
      </c>
      <c r="D100" s="47">
        <v>1912.78</v>
      </c>
      <c r="E100" s="47">
        <f>B100*D100</f>
        <v>9563.9</v>
      </c>
      <c r="F100" s="10" t="s">
        <v>1088</v>
      </c>
    </row>
    <row r="101" spans="1:6" ht="15" customHeight="1" x14ac:dyDescent="0.25">
      <c r="A101" s="35" t="s">
        <v>280</v>
      </c>
      <c r="B101" s="35">
        <v>9</v>
      </c>
      <c r="C101" s="35" t="s">
        <v>67</v>
      </c>
      <c r="D101" s="47">
        <v>5737.96</v>
      </c>
      <c r="E101" s="47">
        <f>B101*D101</f>
        <v>51641.64</v>
      </c>
      <c r="F101" s="10" t="s">
        <v>1088</v>
      </c>
    </row>
    <row r="102" spans="1:6" ht="27.75" customHeight="1" x14ac:dyDescent="0.25">
      <c r="A102" s="35" t="s">
        <v>389</v>
      </c>
      <c r="B102" s="35">
        <f>(28)*2</f>
        <v>56</v>
      </c>
      <c r="C102" s="35" t="s">
        <v>53</v>
      </c>
      <c r="D102" s="47">
        <v>450</v>
      </c>
      <c r="E102" s="47">
        <f t="shared" ref="E102" si="9">B102*D102</f>
        <v>25200</v>
      </c>
      <c r="F102" s="10" t="s">
        <v>1088</v>
      </c>
    </row>
    <row r="103" spans="1:6" ht="27.75" customHeight="1" x14ac:dyDescent="0.25">
      <c r="A103" s="35" t="s">
        <v>390</v>
      </c>
      <c r="B103" s="49">
        <f>B102</f>
        <v>56</v>
      </c>
      <c r="C103" s="35" t="s">
        <v>53</v>
      </c>
      <c r="D103" s="47">
        <v>450</v>
      </c>
      <c r="E103" s="47">
        <f>B103*D103</f>
        <v>25200</v>
      </c>
      <c r="F103" s="10" t="s">
        <v>1088</v>
      </c>
    </row>
    <row r="104" spans="1:6" ht="27.75" customHeight="1" x14ac:dyDescent="0.25">
      <c r="A104" s="20"/>
      <c r="B104" s="56"/>
      <c r="C104" s="20"/>
      <c r="D104" s="22"/>
      <c r="E104" s="22"/>
      <c r="F104" s="61"/>
    </row>
    <row r="105" spans="1:6" ht="27.75" customHeight="1" x14ac:dyDescent="0.25">
      <c r="A105" s="20"/>
      <c r="B105" s="56"/>
      <c r="C105" s="20"/>
      <c r="D105" s="22"/>
      <c r="E105" s="22"/>
      <c r="F105" s="61"/>
    </row>
  </sheetData>
  <hyperlinks>
    <hyperlink ref="F45" location="'EPC''s'!A1" display="EPC's" xr:uid="{C89E4930-3325-4772-A688-5BC64A233DE5}"/>
    <hyperlink ref="F46" location="'EPC''s'!A1" display="EPC's" xr:uid="{7364F806-DBC1-476E-88A8-FB353EE6DFC4}"/>
    <hyperlink ref="F47" location="'EPC''s'!A1" display="EPC's" xr:uid="{88DD4833-A934-440C-9ABD-5B4B23D1D783}"/>
    <hyperlink ref="F48" location="'EPC''s'!A1" display="EPC's" xr:uid="{A838B5E0-3FF6-458E-B6C2-1EED619C915D}"/>
    <hyperlink ref="F49" location="'EPC''s'!A1" display="EPC's" xr:uid="{475812E1-F203-4702-876B-E0CC175C87AE}"/>
    <hyperlink ref="F50" location="'EPC''s'!A1" display="EPC's" xr:uid="{FF4108C2-38CD-4B15-9B07-80C4A5C98028}"/>
    <hyperlink ref="F51" location="'EPC''s'!A1" display="EPC's" xr:uid="{36F8F650-6F3D-4DC9-8960-825EB89EDCE1}"/>
    <hyperlink ref="F53" location="'EPC''s'!A1" display="EPC's" xr:uid="{95091BEE-2EC2-4024-86AF-C211E256DBEB}"/>
    <hyperlink ref="F52" location="'EPC''s'!A1" display="EPC's" xr:uid="{42C24E81-919D-4190-A910-7B4E918640D4}"/>
  </hyperlinks>
  <pageMargins left="0.78740157499999996" right="0.78740157499999996" top="0.984251969" bottom="0.984251969" header="0.4921259845" footer="0.4921259845"/>
  <pageSetup paperSize="9" orientation="portrait" r:id="rId1"/>
  <drawing r:id="rId2"/>
  <legacyDrawing r:id="rId3"/>
  <controls>
    <mc:AlternateContent xmlns:mc="http://schemas.openxmlformats.org/markup-compatibility/2006">
      <mc:Choice Requires="x14">
        <control shapeId="8193" r:id="rId4" name="Control 1">
          <controlPr defaultSize="0" r:id="rId5">
            <anchor moveWithCells="1">
              <from>
                <xdr:col>0</xdr:col>
                <xdr:colOff>0</xdr:colOff>
                <xdr:row>104</xdr:row>
                <xdr:rowOff>314325</xdr:rowOff>
              </from>
              <to>
                <xdr:col>0</xdr:col>
                <xdr:colOff>257175</xdr:colOff>
                <xdr:row>106</xdr:row>
                <xdr:rowOff>9525</xdr:rowOff>
              </to>
            </anchor>
          </controlPr>
        </control>
      </mc:Choice>
      <mc:Fallback>
        <control shapeId="8193" r:id="rId4" name="Control 1"/>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27A3-7E48-4CCD-8559-EFCC0F1EAF9C}">
  <dimension ref="A1"/>
  <sheetViews>
    <sheetView workbookViewId="0">
      <selection activeCell="L2" sqref="L2:L27"/>
    </sheetView>
  </sheetViews>
  <sheetFormatPr defaultRowHeight="15" x14ac:dyDescent="0.25"/>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AF46-CFBB-4906-96B1-579683E2D345}">
  <sheetPr>
    <pageSetUpPr fitToPage="1"/>
  </sheetPr>
  <dimension ref="A1:M20"/>
  <sheetViews>
    <sheetView view="pageBreakPreview" zoomScaleNormal="115" zoomScaleSheetLayoutView="100" workbookViewId="0"/>
  </sheetViews>
  <sheetFormatPr defaultRowHeight="21.75" x14ac:dyDescent="0.6"/>
  <cols>
    <col min="1" max="1" width="9.140625" style="120" bestFit="1" customWidth="1"/>
    <col min="2" max="2" width="28" style="123" customWidth="1"/>
    <col min="3" max="3" width="34.42578125" style="123" customWidth="1"/>
    <col min="4" max="4" width="19.28515625" style="122" bestFit="1" customWidth="1"/>
    <col min="5" max="5" width="19.28515625" style="122" customWidth="1"/>
    <col min="6" max="6" width="14.85546875" style="122" bestFit="1" customWidth="1"/>
    <col min="7" max="8" width="14.85546875" style="122" customWidth="1"/>
    <col min="9" max="9" width="16.7109375" style="121" bestFit="1" customWidth="1"/>
    <col min="10" max="12" width="16.7109375" style="121" customWidth="1"/>
    <col min="13" max="13" width="24" style="120" customWidth="1"/>
    <col min="14" max="15" width="9.28515625" bestFit="1" customWidth="1"/>
    <col min="20" max="20" width="16.42578125" bestFit="1" customWidth="1"/>
  </cols>
  <sheetData>
    <row r="1" spans="1:13" ht="18" customHeight="1" x14ac:dyDescent="0.6">
      <c r="A1" s="158" t="s">
        <v>397</v>
      </c>
      <c r="B1" s="157" t="str">
        <f>'[7]RESUMO INFRA'!B1</f>
        <v>WEST VILLAGE</v>
      </c>
      <c r="C1" s="156"/>
      <c r="D1" s="156"/>
      <c r="E1" s="156"/>
      <c r="F1" s="156"/>
      <c r="G1" s="156"/>
      <c r="H1" s="156"/>
      <c r="I1" s="155"/>
      <c r="J1" s="154"/>
      <c r="K1" s="154"/>
      <c r="L1" s="154"/>
      <c r="M1" s="153"/>
    </row>
    <row r="2" spans="1:13" ht="18" customHeight="1" x14ac:dyDescent="0.6">
      <c r="A2" s="152" t="s">
        <v>398</v>
      </c>
      <c r="B2" s="151" t="str">
        <f>'[7]RESUMO INFRA'!B2</f>
        <v>KIRCHNER</v>
      </c>
      <c r="C2" s="150"/>
      <c r="D2" s="150"/>
      <c r="E2" s="150"/>
      <c r="F2" s="150"/>
      <c r="G2" s="150"/>
      <c r="H2" s="150"/>
      <c r="I2" s="149"/>
      <c r="J2" s="140"/>
      <c r="K2" s="140"/>
      <c r="L2" s="140"/>
      <c r="M2" s="148"/>
    </row>
    <row r="3" spans="1:13" ht="18" customHeight="1" x14ac:dyDescent="0.6">
      <c r="A3" s="152" t="s">
        <v>399</v>
      </c>
      <c r="B3" s="151">
        <f>'[7]RESUMO INFRA'!B3</f>
        <v>0</v>
      </c>
      <c r="C3" s="150"/>
      <c r="D3" s="150"/>
      <c r="E3" s="150"/>
      <c r="F3" s="150"/>
      <c r="G3" s="150"/>
      <c r="H3" s="150"/>
      <c r="I3" s="149"/>
      <c r="J3" s="140"/>
      <c r="K3" s="140"/>
      <c r="L3" s="140"/>
      <c r="M3" s="148"/>
    </row>
    <row r="4" spans="1:13" ht="25.15" customHeight="1" x14ac:dyDescent="0.25">
      <c r="A4" s="743" t="s">
        <v>434</v>
      </c>
      <c r="B4" s="744"/>
      <c r="C4" s="744"/>
      <c r="D4" s="744"/>
      <c r="E4" s="744"/>
      <c r="F4" s="744"/>
      <c r="G4" s="744"/>
      <c r="H4" s="744"/>
      <c r="I4" s="744"/>
      <c r="J4" s="745"/>
      <c r="K4" s="745"/>
      <c r="L4" s="745"/>
      <c r="M4" s="746"/>
    </row>
    <row r="5" spans="1:13" ht="14.45" customHeight="1" x14ac:dyDescent="0.6">
      <c r="A5" s="147"/>
      <c r="B5" s="146"/>
      <c r="C5" s="146"/>
      <c r="D5" s="145"/>
      <c r="E5" s="145"/>
      <c r="F5" s="145"/>
      <c r="G5" s="145"/>
      <c r="H5" s="145"/>
      <c r="I5" s="144"/>
      <c r="J5" s="144"/>
      <c r="K5" s="144"/>
      <c r="L5" s="144"/>
      <c r="M5" s="143"/>
    </row>
    <row r="6" spans="1:13" ht="24" customHeight="1" x14ac:dyDescent="0.25">
      <c r="A6" s="747" t="s">
        <v>433</v>
      </c>
      <c r="B6" s="748"/>
      <c r="C6" s="748"/>
      <c r="D6" s="748"/>
      <c r="E6" s="748"/>
      <c r="F6" s="748"/>
      <c r="G6" s="748"/>
      <c r="H6" s="748"/>
      <c r="I6" s="748"/>
      <c r="J6" s="749"/>
      <c r="K6" s="749"/>
      <c r="L6" s="749"/>
      <c r="M6" s="750"/>
    </row>
    <row r="7" spans="1:13" ht="9.6" customHeight="1" x14ac:dyDescent="0.6">
      <c r="A7" s="142"/>
      <c r="B7" s="141"/>
      <c r="C7" s="141"/>
      <c r="D7" s="141"/>
      <c r="E7" s="141"/>
      <c r="F7" s="141"/>
      <c r="G7" s="141"/>
      <c r="H7" s="141"/>
      <c r="I7" s="140"/>
      <c r="J7" s="140"/>
      <c r="K7" s="140"/>
      <c r="L7" s="140"/>
      <c r="M7" s="139"/>
    </row>
    <row r="8" spans="1:13" x14ac:dyDescent="0.6">
      <c r="B8" s="134"/>
      <c r="C8" s="134"/>
      <c r="D8" s="134"/>
      <c r="E8" s="134"/>
      <c r="F8" s="134"/>
      <c r="G8" s="134"/>
      <c r="H8" s="124"/>
      <c r="I8" s="134"/>
      <c r="J8" s="134"/>
      <c r="K8" s="134"/>
      <c r="L8" s="134"/>
      <c r="M8" s="134"/>
    </row>
    <row r="9" spans="1:13" x14ac:dyDescent="0.6">
      <c r="A9" s="138" t="s">
        <v>432</v>
      </c>
      <c r="B9" s="137"/>
      <c r="C9" s="137"/>
      <c r="D9" s="137"/>
      <c r="E9" s="137"/>
      <c r="F9" s="137"/>
      <c r="G9" s="136"/>
      <c r="H9" s="135"/>
      <c r="I9" s="135"/>
      <c r="J9" s="135"/>
      <c r="K9" s="135"/>
      <c r="L9" s="135"/>
      <c r="M9" s="135"/>
    </row>
    <row r="10" spans="1:13" ht="22.5" thickBot="1" x14ac:dyDescent="0.65">
      <c r="B10" s="134"/>
      <c r="C10" s="134"/>
      <c r="D10" s="134"/>
      <c r="E10" s="134"/>
      <c r="F10" s="134"/>
      <c r="G10" s="134"/>
      <c r="H10" s="124"/>
      <c r="I10" s="134"/>
      <c r="J10" s="134"/>
      <c r="K10" s="134"/>
      <c r="L10" s="134"/>
      <c r="M10" s="134"/>
    </row>
    <row r="11" spans="1:13" ht="31.5" x14ac:dyDescent="0.6">
      <c r="A11" s="133"/>
      <c r="B11" s="132" t="s">
        <v>431</v>
      </c>
      <c r="C11" s="132"/>
      <c r="D11" s="131" t="s">
        <v>430</v>
      </c>
      <c r="E11" s="131" t="s">
        <v>429</v>
      </c>
      <c r="F11" s="131" t="s">
        <v>428</v>
      </c>
      <c r="G11" s="131" t="s">
        <v>427</v>
      </c>
      <c r="H11" s="131" t="s">
        <v>426</v>
      </c>
      <c r="I11"/>
      <c r="J11" s="127"/>
      <c r="K11" s="128"/>
      <c r="L11" s="128"/>
      <c r="M11" s="128"/>
    </row>
    <row r="12" spans="1:13" x14ac:dyDescent="0.6">
      <c r="A12" s="127"/>
      <c r="B12" s="130"/>
      <c r="C12" s="129" t="s">
        <v>417</v>
      </c>
      <c r="D12" s="129">
        <f>SUM([7]BLOCOS_FUNDAÇÃO!AD30,[7]BLOCOS_FUNDAÇÃO!AF66)</f>
        <v>406.40948000000003</v>
      </c>
      <c r="E12" s="129">
        <f>SUM([7]BLOCOS_FUNDAÇÃO!AE30,[7]BLOCOS_FUNDAÇÃO!AG66)</f>
        <v>94.425170000000008</v>
      </c>
      <c r="F12" s="129">
        <f>SUM([7]BLOCOS_FUNDAÇÃO!AF30,[7]BLOCOS_FUNDAÇÃO!AH66)</f>
        <v>311.98430999999999</v>
      </c>
      <c r="G12" s="129">
        <f>SUM([7]BLOCOS_FUNDAÇÃO!AG30,[7]BLOCOS_FUNDAÇÃO!AI66)</f>
        <v>217.88560000000001</v>
      </c>
      <c r="H12" s="129">
        <f>SUM([7]BLOCOS_FUNDAÇÃO!AH30,[7]BLOCOS_FUNDAÇÃO!AJ66)</f>
        <v>21.78856</v>
      </c>
      <c r="I12"/>
      <c r="J12" s="124"/>
      <c r="K12" s="128"/>
      <c r="L12" s="128"/>
      <c r="M12" s="128"/>
    </row>
    <row r="13" spans="1:13" x14ac:dyDescent="0.6">
      <c r="A13" s="127"/>
      <c r="B13" s="130"/>
      <c r="C13" s="129" t="s">
        <v>425</v>
      </c>
      <c r="D13" s="129">
        <f>'[7]VIGAS - TÉRREO (BALDRAME)'!K71</f>
        <v>181.31760949999997</v>
      </c>
      <c r="E13" s="129">
        <f>'[7]VIGAS - TÉRREO (BALDRAME)'!L71</f>
        <v>83.134890000000027</v>
      </c>
      <c r="F13" s="129">
        <f>'[7]VIGAS - TÉRREO (BALDRAME)'!M71</f>
        <v>98.182719500000033</v>
      </c>
      <c r="G13" s="129">
        <f>'[7]VIGAS - TÉRREO (BALDRAME)'!N71</f>
        <v>108.56386000000006</v>
      </c>
      <c r="H13" s="129">
        <f>'[7]VIGAS - TÉRREO (BALDRAME)'!O71</f>
        <v>10.856385999999997</v>
      </c>
      <c r="I13"/>
      <c r="J13" s="124"/>
      <c r="K13" s="128"/>
      <c r="L13" s="128"/>
      <c r="M13" s="128"/>
    </row>
    <row r="14" spans="1:13" x14ac:dyDescent="0.6">
      <c r="A14" s="127"/>
      <c r="B14" s="130"/>
      <c r="C14" s="129" t="s">
        <v>424</v>
      </c>
      <c r="D14" s="129">
        <f>'[7]ESCAVAÇÃO - RESER. INFERIOR'!AD16</f>
        <v>125.13539999999999</v>
      </c>
      <c r="E14" s="129">
        <f>'[7]ESCAVAÇÃO - RESER. INFERIOR'!AE16</f>
        <v>80.416637999999992</v>
      </c>
      <c r="F14" s="129">
        <f>'[7]ESCAVAÇÃO - RESER. INFERIOR'!AF16</f>
        <v>44.718761999999998</v>
      </c>
      <c r="G14" s="129">
        <f>'[7]ESCAVAÇÃO - RESER. INFERIOR'!AG16</f>
        <v>17.6754</v>
      </c>
      <c r="H14" s="129">
        <f>'[7]ESCAVAÇÃO - RESER. INFERIOR'!AH16</f>
        <v>1.7675400000000001</v>
      </c>
      <c r="I14"/>
      <c r="J14" s="124"/>
      <c r="K14" s="128"/>
      <c r="L14" s="128"/>
      <c r="M14" s="128"/>
    </row>
    <row r="15" spans="1:13" x14ac:dyDescent="0.6">
      <c r="A15" s="127"/>
      <c r="B15" s="130"/>
      <c r="C15" s="129" t="s">
        <v>423</v>
      </c>
      <c r="D15" s="129">
        <f>'[7]ESCAVAÇÃO - RESER. INFERIOR'!AD17</f>
        <v>111.230064</v>
      </c>
      <c r="E15" s="129">
        <f>'[7]ESCAVAÇÃO - RESER. INFERIOR'!AE17</f>
        <v>72.910937000000004</v>
      </c>
      <c r="F15" s="129">
        <f>'[7]ESCAVAÇÃO - RESER. INFERIOR'!AF17</f>
        <v>38.319126999999995</v>
      </c>
      <c r="G15" s="129">
        <f>'[7]ESCAVAÇÃO - RESER. INFERIOR'!AG17</f>
        <v>15.145899999999999</v>
      </c>
      <c r="H15" s="129">
        <f>'[7]ESCAVAÇÃO - RESER. INFERIOR'!AH17</f>
        <v>1.5145900000000001</v>
      </c>
      <c r="I15"/>
      <c r="J15" s="124"/>
      <c r="K15" s="128"/>
      <c r="L15" s="128"/>
      <c r="M15" s="128"/>
    </row>
    <row r="16" spans="1:13" x14ac:dyDescent="0.6">
      <c r="A16" s="127"/>
      <c r="B16" s="130"/>
      <c r="C16" s="129" t="str">
        <f>'[7]ESCAVAÇÃO - RESER. INFERIOR'!C18</f>
        <v>RESER. RETARDADO</v>
      </c>
      <c r="D16" s="129">
        <f>'[7]ESCAVAÇÃO - RESER. INFERIOR'!AD18</f>
        <v>31.233897000000006</v>
      </c>
      <c r="E16" s="129">
        <f>'[7]ESCAVAÇÃO - RESER. INFERIOR'!AE18</f>
        <v>18.840897000000005</v>
      </c>
      <c r="F16" s="129">
        <f>'[7]ESCAVAÇÃO - RESER. INFERIOR'!AF18</f>
        <v>12.393000000000001</v>
      </c>
      <c r="G16" s="129">
        <f>'[7]ESCAVAÇÃO - RESER. INFERIOR'!AG18</f>
        <v>8.1000000000000014</v>
      </c>
      <c r="H16" s="129">
        <f>'[7]ESCAVAÇÃO - RESER. INFERIOR'!AH18</f>
        <v>0.81000000000000016</v>
      </c>
      <c r="I16"/>
      <c r="J16" s="124"/>
      <c r="K16" s="128"/>
      <c r="L16" s="128"/>
      <c r="M16" s="128"/>
    </row>
    <row r="17" spans="1:13" x14ac:dyDescent="0.6">
      <c r="A17" s="127"/>
      <c r="B17" s="130"/>
      <c r="C17" s="129" t="str">
        <f>'[7]ESCAVAÇÃO - RESER. INFERIOR'!C19</f>
        <v>RESER. PLUVIAL</v>
      </c>
      <c r="D17" s="129">
        <f>'[7]ESCAVAÇÃO - RESER. INFERIOR'!AD19</f>
        <v>26.065167000000006</v>
      </c>
      <c r="E17" s="129">
        <f>'[7]ESCAVAÇÃO - RESER. INFERIOR'!AE19</f>
        <v>16.885167000000006</v>
      </c>
      <c r="F17" s="129">
        <f>'[7]ESCAVAÇÃO - RESER. INFERIOR'!AF19</f>
        <v>9.18</v>
      </c>
      <c r="G17" s="129">
        <f>'[7]ESCAVAÇÃO - RESER. INFERIOR'!AG19</f>
        <v>6</v>
      </c>
      <c r="H17" s="129">
        <f>'[7]ESCAVAÇÃO - RESER. INFERIOR'!AH19</f>
        <v>0.60000000000000009</v>
      </c>
      <c r="I17"/>
      <c r="J17" s="124"/>
      <c r="K17" s="128"/>
      <c r="L17" s="128"/>
      <c r="M17" s="128"/>
    </row>
    <row r="18" spans="1:13" ht="22.5" thickBot="1" x14ac:dyDescent="0.65">
      <c r="A18" s="127"/>
      <c r="B18" s="130"/>
      <c r="C18" s="129" t="s">
        <v>422</v>
      </c>
      <c r="D18" s="129">
        <f>'[7]ESCAVAÇÃO - TRATAMENTO DE ESGOT'!J22</f>
        <v>129.25582281866039</v>
      </c>
      <c r="E18" s="129">
        <f>'[7]ESCAVAÇÃO - TRATAMENTO DE ESGOT'!K22</f>
        <v>64.685392737413849</v>
      </c>
      <c r="F18" s="129">
        <f>'[7]ESCAVAÇÃO - TRATAMENTO DE ESGOT'!L22</f>
        <v>43.033536168872985</v>
      </c>
      <c r="G18" s="129"/>
      <c r="H18" s="129"/>
      <c r="I18"/>
      <c r="J18" s="124"/>
      <c r="K18" s="128"/>
      <c r="L18" s="128"/>
      <c r="M18" s="128"/>
    </row>
    <row r="19" spans="1:13" ht="22.5" thickBot="1" x14ac:dyDescent="0.65">
      <c r="A19" s="127"/>
      <c r="B19" s="116" t="s">
        <v>226</v>
      </c>
      <c r="C19" s="116"/>
      <c r="D19" s="115">
        <f>SUM(D12:D18)</f>
        <v>1010.6474403186603</v>
      </c>
      <c r="E19" s="115">
        <f>SUM(E12:E18)</f>
        <v>431.29909173741385</v>
      </c>
      <c r="F19" s="115">
        <f>SUM(F12:F18)</f>
        <v>557.8114546688729</v>
      </c>
      <c r="G19" s="115">
        <f>SUM(G12:G17)</f>
        <v>373.37076000000008</v>
      </c>
      <c r="H19" s="115">
        <f>SUM(H12:H17)</f>
        <v>37.337075999999996</v>
      </c>
      <c r="I19"/>
      <c r="J19" s="124"/>
      <c r="K19" s="128"/>
      <c r="L19" s="128"/>
      <c r="M19" s="128"/>
    </row>
    <row r="20" spans="1:13" x14ac:dyDescent="0.6">
      <c r="A20" s="127"/>
      <c r="B20" s="126"/>
      <c r="C20" s="125"/>
      <c r="D20" s="125"/>
      <c r="E20" s="125"/>
      <c r="F20" s="125"/>
      <c r="G20" s="125"/>
      <c r="H20" s="125"/>
      <c r="I20" s="125"/>
      <c r="J20" s="125"/>
      <c r="K20" s="125"/>
      <c r="L20" s="125"/>
      <c r="M20" s="124"/>
    </row>
  </sheetData>
  <mergeCells count="2">
    <mergeCell ref="A4:M4"/>
    <mergeCell ref="A6:M6"/>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C5AF-2DDB-46B9-A57A-A7FF0E234318}">
  <sheetPr>
    <pageSetUpPr fitToPage="1"/>
  </sheetPr>
  <dimension ref="A1:H19"/>
  <sheetViews>
    <sheetView view="pageBreakPreview" zoomScaleNormal="115" zoomScaleSheetLayoutView="100" workbookViewId="0"/>
  </sheetViews>
  <sheetFormatPr defaultRowHeight="21.75" x14ac:dyDescent="0.6"/>
  <cols>
    <col min="1" max="1" width="9.140625" style="120" bestFit="1" customWidth="1"/>
    <col min="2" max="2" width="33.42578125" style="123" customWidth="1"/>
    <col min="3" max="3" width="25" style="123" customWidth="1"/>
    <col min="4" max="4" width="12.42578125" style="122" customWidth="1"/>
    <col min="5" max="7" width="16.140625" style="122" customWidth="1"/>
    <col min="8" max="8" width="24" style="120" customWidth="1"/>
    <col min="9" max="10" width="9.28515625" bestFit="1" customWidth="1"/>
    <col min="15" max="15" width="16.42578125" bestFit="1" customWidth="1"/>
  </cols>
  <sheetData>
    <row r="1" spans="1:8" ht="18" customHeight="1" x14ac:dyDescent="0.6">
      <c r="A1" s="158" t="s">
        <v>397</v>
      </c>
      <c r="B1" s="157" t="s">
        <v>435</v>
      </c>
      <c r="C1" s="156"/>
      <c r="D1" s="156"/>
      <c r="E1" s="156"/>
      <c r="F1" s="156"/>
      <c r="G1" s="156"/>
      <c r="H1" s="153"/>
    </row>
    <row r="2" spans="1:8" ht="18" customHeight="1" x14ac:dyDescent="0.6">
      <c r="A2" s="152" t="s">
        <v>398</v>
      </c>
      <c r="B2" s="151" t="s">
        <v>436</v>
      </c>
      <c r="C2" s="150"/>
      <c r="D2" s="150"/>
      <c r="E2" s="150"/>
      <c r="F2" s="150"/>
      <c r="G2" s="150"/>
      <c r="H2" s="148"/>
    </row>
    <row r="3" spans="1:8" ht="18" customHeight="1" x14ac:dyDescent="0.6">
      <c r="A3" s="152" t="s">
        <v>399</v>
      </c>
      <c r="B3" s="151" t="s">
        <v>437</v>
      </c>
      <c r="C3" s="150"/>
      <c r="D3" s="150"/>
      <c r="E3" s="150"/>
      <c r="F3" s="150"/>
      <c r="G3" s="150"/>
      <c r="H3" s="148"/>
    </row>
    <row r="4" spans="1:8" ht="25.15" customHeight="1" x14ac:dyDescent="0.25">
      <c r="A4" s="743" t="s">
        <v>434</v>
      </c>
      <c r="B4" s="744"/>
      <c r="C4" s="744"/>
      <c r="D4" s="744"/>
      <c r="E4" s="744"/>
      <c r="F4" s="744"/>
      <c r="G4" s="744"/>
      <c r="H4" s="746"/>
    </row>
    <row r="5" spans="1:8" ht="14.45" customHeight="1" x14ac:dyDescent="0.6">
      <c r="A5" s="147"/>
      <c r="B5" s="146"/>
      <c r="C5" s="146"/>
      <c r="D5" s="145"/>
      <c r="E5" s="145"/>
      <c r="F5" s="145"/>
      <c r="G5" s="145"/>
      <c r="H5" s="143"/>
    </row>
    <row r="6" spans="1:8" ht="25.5" customHeight="1" x14ac:dyDescent="0.25">
      <c r="A6" s="751" t="s">
        <v>438</v>
      </c>
      <c r="B6" s="752"/>
      <c r="C6" s="752"/>
      <c r="D6" s="752"/>
      <c r="E6" s="752"/>
      <c r="F6" s="752"/>
      <c r="G6" s="752"/>
      <c r="H6" s="753"/>
    </row>
    <row r="7" spans="1:8" ht="9.6" customHeight="1" x14ac:dyDescent="0.6">
      <c r="A7" s="142"/>
      <c r="B7" s="141"/>
      <c r="C7" s="141"/>
      <c r="D7" s="141"/>
      <c r="E7" s="141"/>
      <c r="F7" s="141"/>
      <c r="G7" s="141"/>
      <c r="H7" s="139"/>
    </row>
    <row r="8" spans="1:8" ht="22.5" thickBot="1" x14ac:dyDescent="0.65">
      <c r="A8" s="133"/>
      <c r="B8" s="159"/>
      <c r="C8" s="159"/>
      <c r="D8" s="160"/>
      <c r="E8" s="160"/>
      <c r="F8" s="160"/>
      <c r="G8" s="160"/>
      <c r="H8" s="139"/>
    </row>
    <row r="9" spans="1:8" ht="31.5" x14ac:dyDescent="0.6">
      <c r="A9" s="134"/>
      <c r="B9" s="161" t="s">
        <v>431</v>
      </c>
      <c r="C9" s="162" t="s">
        <v>439</v>
      </c>
      <c r="D9" s="163" t="s">
        <v>440</v>
      </c>
      <c r="E9" s="163" t="s">
        <v>441</v>
      </c>
      <c r="F9" s="163" t="s">
        <v>442</v>
      </c>
      <c r="G9" s="164" t="s">
        <v>443</v>
      </c>
      <c r="H9" s="134"/>
    </row>
    <row r="10" spans="1:8" ht="20.25" customHeight="1" x14ac:dyDescent="0.6">
      <c r="A10" s="134"/>
      <c r="B10" s="165" t="s">
        <v>444</v>
      </c>
      <c r="C10" s="166" t="s">
        <v>445</v>
      </c>
      <c r="D10" s="129">
        <v>63</v>
      </c>
      <c r="E10" s="129">
        <v>29</v>
      </c>
      <c r="F10" s="129">
        <f>E10*D10</f>
        <v>1827</v>
      </c>
      <c r="G10" s="129">
        <f>PI()*(0.25^2)*F10*1.2</f>
        <v>430.47673335814136</v>
      </c>
      <c r="H10" s="134"/>
    </row>
    <row r="11" spans="1:8" ht="20.25" customHeight="1" x14ac:dyDescent="0.6">
      <c r="A11" s="134"/>
      <c r="B11" s="165" t="s">
        <v>444</v>
      </c>
      <c r="C11" s="166" t="s">
        <v>446</v>
      </c>
      <c r="D11" s="129">
        <v>82</v>
      </c>
      <c r="E11" s="129">
        <v>29</v>
      </c>
      <c r="F11" s="129">
        <f t="shared" ref="F11:F12" si="0">E11*D11</f>
        <v>2378</v>
      </c>
      <c r="G11" s="129">
        <f>PI()*(0.3^2)*F11*1.2</f>
        <v>806.83639166554508</v>
      </c>
      <c r="H11" s="134"/>
    </row>
    <row r="12" spans="1:8" ht="20.25" customHeight="1" thickBot="1" x14ac:dyDescent="0.65">
      <c r="A12" s="134"/>
      <c r="B12" s="165"/>
      <c r="C12" s="166"/>
      <c r="D12" s="129">
        <f>SUM(D10:D11)</f>
        <v>145</v>
      </c>
      <c r="E12" s="129"/>
      <c r="F12" s="129">
        <f t="shared" si="0"/>
        <v>0</v>
      </c>
      <c r="G12" s="129">
        <f>PI()*(0.35^2)*F12</f>
        <v>0</v>
      </c>
      <c r="H12" s="134"/>
    </row>
    <row r="13" spans="1:8" ht="20.25" customHeight="1" thickBot="1" x14ac:dyDescent="0.65">
      <c r="A13" s="134"/>
      <c r="B13" s="116"/>
      <c r="C13" s="167"/>
      <c r="D13" s="167"/>
      <c r="E13" s="168" t="s">
        <v>226</v>
      </c>
      <c r="F13" s="169">
        <f>SUM(F10:F12)</f>
        <v>4205</v>
      </c>
      <c r="G13" s="170">
        <f>SUM(G10:G12)</f>
        <v>1237.3131250236866</v>
      </c>
      <c r="H13" s="134"/>
    </row>
    <row r="14" spans="1:8" ht="22.5" thickBot="1" x14ac:dyDescent="0.65">
      <c r="A14" s="133"/>
      <c r="B14" s="159"/>
      <c r="C14" s="159"/>
      <c r="D14" s="160"/>
      <c r="E14" s="160"/>
      <c r="F14" s="160"/>
      <c r="G14" s="160"/>
      <c r="H14" s="139"/>
    </row>
    <row r="15" spans="1:8" x14ac:dyDescent="0.6">
      <c r="A15" s="134"/>
      <c r="B15" s="171" t="s">
        <v>447</v>
      </c>
      <c r="C15" s="172" t="s">
        <v>448</v>
      </c>
      <c r="D15" s="163" t="s">
        <v>449</v>
      </c>
      <c r="E15" s="134"/>
      <c r="F15" s="128"/>
      <c r="G15" s="128"/>
      <c r="H15" s="128"/>
    </row>
    <row r="16" spans="1:8" x14ac:dyDescent="0.6">
      <c r="A16" s="134"/>
      <c r="B16" s="173" t="s">
        <v>450</v>
      </c>
      <c r="C16" s="173">
        <v>6.3</v>
      </c>
      <c r="D16" s="129">
        <v>1453</v>
      </c>
      <c r="E16" s="134"/>
      <c r="F16" s="128"/>
      <c r="G16" s="128"/>
      <c r="H16" s="128"/>
    </row>
    <row r="17" spans="1:8" ht="22.5" thickBot="1" x14ac:dyDescent="0.65">
      <c r="A17" s="134"/>
      <c r="B17" s="173" t="s">
        <v>450</v>
      </c>
      <c r="C17" s="173">
        <v>16</v>
      </c>
      <c r="D17" s="129">
        <v>9205</v>
      </c>
      <c r="E17" s="134"/>
      <c r="F17" s="128"/>
      <c r="G17" s="128"/>
      <c r="H17" s="128"/>
    </row>
    <row r="18" spans="1:8" ht="22.5" thickBot="1" x14ac:dyDescent="0.65">
      <c r="A18" s="134"/>
      <c r="B18" s="116"/>
      <c r="C18" s="168" t="s">
        <v>226</v>
      </c>
      <c r="D18" s="169">
        <f>SUM(D16:D17)</f>
        <v>10658</v>
      </c>
      <c r="E18" s="134"/>
      <c r="F18" s="128"/>
      <c r="G18" s="128"/>
      <c r="H18" s="128"/>
    </row>
    <row r="19" spans="1:8" x14ac:dyDescent="0.6">
      <c r="A19" s="134"/>
      <c r="B19" s="174"/>
      <c r="C19" s="175"/>
      <c r="D19" s="176"/>
      <c r="E19" s="177"/>
      <c r="F19" s="177"/>
      <c r="G19" s="176"/>
      <c r="H19" s="134"/>
    </row>
  </sheetData>
  <mergeCells count="2">
    <mergeCell ref="A4:H4"/>
    <mergeCell ref="A6:H6"/>
  </mergeCells>
  <pageMargins left="0.51181102362204722" right="0.51181102362204722" top="0.78740157480314965" bottom="0.78740157480314965" header="0.31496062992125984" footer="0.31496062992125984"/>
  <pageSetup paperSize="9" scale="60"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327C-3C3D-4D89-8A38-8C997CD6290D}">
  <sheetPr>
    <pageSetUpPr fitToPage="1"/>
  </sheetPr>
  <dimension ref="A1:Q17"/>
  <sheetViews>
    <sheetView zoomScale="87" zoomScaleNormal="87" zoomScaleSheetLayoutView="86" workbookViewId="0"/>
  </sheetViews>
  <sheetFormatPr defaultColWidth="8.85546875" defaultRowHeight="21.75" x14ac:dyDescent="0.6"/>
  <cols>
    <col min="1" max="1" width="9.140625" style="117" bestFit="1" customWidth="1"/>
    <col min="2" max="2" width="11.85546875" style="118" customWidth="1"/>
    <col min="3" max="3" width="12.7109375" style="118" bestFit="1" customWidth="1"/>
    <col min="4" max="4" width="11.85546875" style="118" customWidth="1"/>
    <col min="5" max="5" width="13.42578125" style="118" customWidth="1"/>
    <col min="6" max="6" width="15.28515625" style="117" bestFit="1" customWidth="1"/>
    <col min="7" max="7" width="10.5703125" style="117" customWidth="1"/>
    <col min="8" max="8" width="9.42578125" style="117" bestFit="1" customWidth="1"/>
    <col min="9" max="9" width="10.42578125" style="117" bestFit="1" customWidth="1"/>
    <col min="10" max="10" width="10.140625" style="117" bestFit="1" customWidth="1"/>
    <col min="11" max="11" width="10.42578125" style="117" bestFit="1" customWidth="1"/>
    <col min="12" max="13" width="10.140625" style="117" bestFit="1" customWidth="1"/>
    <col min="14" max="14" width="8" style="117" customWidth="1"/>
    <col min="15" max="15" width="12.5703125" style="119" customWidth="1"/>
    <col min="16" max="16" width="11.28515625" style="119" customWidth="1"/>
    <col min="17" max="17" width="24" style="117" customWidth="1"/>
    <col min="18" max="19" width="9.28515625" style="72" bestFit="1" customWidth="1"/>
    <col min="20" max="16384" width="8.85546875" style="72"/>
  </cols>
  <sheetData>
    <row r="1" spans="1:17" ht="18" customHeight="1" x14ac:dyDescent="0.6">
      <c r="A1" s="65" t="s">
        <v>397</v>
      </c>
      <c r="B1" s="66" t="str">
        <f>[8]ARQUIVOS_BASE!B1</f>
        <v>WEST VILLAGE</v>
      </c>
      <c r="C1" s="67"/>
      <c r="D1" s="67"/>
      <c r="E1" s="68"/>
      <c r="F1" s="69"/>
      <c r="G1" s="69"/>
      <c r="H1" s="69"/>
      <c r="I1" s="69"/>
      <c r="J1" s="69"/>
      <c r="K1" s="69"/>
      <c r="L1" s="69"/>
      <c r="M1" s="69"/>
      <c r="N1" s="69"/>
      <c r="O1" s="70"/>
      <c r="P1" s="70"/>
      <c r="Q1" s="71"/>
    </row>
    <row r="2" spans="1:17" ht="18" customHeight="1" x14ac:dyDescent="0.6">
      <c r="A2" s="73" t="s">
        <v>398</v>
      </c>
      <c r="B2" s="74" t="str">
        <f>[8]ARQUIVOS_BASE!B2</f>
        <v>KIRCHNER</v>
      </c>
      <c r="C2" s="75"/>
      <c r="D2" s="75"/>
      <c r="E2" s="76"/>
      <c r="F2" s="77"/>
      <c r="G2" s="77"/>
      <c r="H2" s="77"/>
      <c r="I2" s="77"/>
      <c r="J2" s="77"/>
      <c r="K2" s="77"/>
      <c r="L2" s="77"/>
      <c r="M2" s="77"/>
      <c r="N2" s="77"/>
      <c r="O2" s="78"/>
      <c r="P2" s="78"/>
      <c r="Q2" s="79"/>
    </row>
    <row r="3" spans="1:17" ht="18" customHeight="1" x14ac:dyDescent="0.6">
      <c r="A3" s="73" t="s">
        <v>399</v>
      </c>
      <c r="B3" s="74">
        <f>[8]ARQUIVOS_BASE!B3</f>
        <v>0</v>
      </c>
      <c r="C3" s="75"/>
      <c r="D3" s="75"/>
      <c r="E3" s="76"/>
      <c r="F3" s="77"/>
      <c r="G3" s="77"/>
      <c r="H3" s="77"/>
      <c r="I3" s="77"/>
      <c r="J3" s="77"/>
      <c r="K3" s="77"/>
      <c r="L3" s="77"/>
      <c r="M3" s="77"/>
      <c r="N3" s="77"/>
      <c r="O3" s="78"/>
      <c r="P3" s="78"/>
      <c r="Q3" s="79"/>
    </row>
    <row r="4" spans="1:17" ht="25.15" customHeight="1" x14ac:dyDescent="0.25">
      <c r="A4" s="754" t="s">
        <v>400</v>
      </c>
      <c r="B4" s="755"/>
      <c r="C4" s="755"/>
      <c r="D4" s="756"/>
      <c r="E4" s="756"/>
      <c r="F4" s="756"/>
      <c r="G4" s="756"/>
      <c r="H4" s="756"/>
      <c r="I4" s="756"/>
      <c r="J4" s="756"/>
      <c r="K4" s="756"/>
      <c r="L4" s="756"/>
      <c r="M4" s="756"/>
      <c r="N4" s="756"/>
      <c r="O4" s="756"/>
      <c r="P4" s="756"/>
      <c r="Q4" s="757"/>
    </row>
    <row r="5" spans="1:17" ht="14.45" customHeight="1" x14ac:dyDescent="0.6">
      <c r="A5" s="80"/>
      <c r="B5" s="81"/>
      <c r="C5" s="81"/>
      <c r="D5" s="81"/>
      <c r="E5" s="81"/>
      <c r="F5" s="82"/>
      <c r="G5" s="82"/>
      <c r="H5" s="82"/>
      <c r="I5" s="82"/>
      <c r="J5" s="82"/>
      <c r="K5" s="82"/>
      <c r="L5" s="82"/>
      <c r="M5" s="82"/>
      <c r="N5" s="82"/>
      <c r="O5" s="83"/>
      <c r="P5" s="83"/>
      <c r="Q5" s="84"/>
    </row>
    <row r="6" spans="1:17" ht="16.899999999999999" customHeight="1" x14ac:dyDescent="0.25">
      <c r="A6" s="758" t="s">
        <v>401</v>
      </c>
      <c r="B6" s="759"/>
      <c r="C6" s="759"/>
      <c r="D6" s="760"/>
      <c r="E6" s="760"/>
      <c r="F6" s="760"/>
      <c r="G6" s="760"/>
      <c r="H6" s="760"/>
      <c r="I6" s="760"/>
      <c r="J6" s="760"/>
      <c r="K6" s="760"/>
      <c r="L6" s="760"/>
      <c r="M6" s="760"/>
      <c r="N6" s="760"/>
      <c r="O6" s="760"/>
      <c r="P6" s="760"/>
      <c r="Q6" s="761"/>
    </row>
    <row r="7" spans="1:17" ht="14.45" customHeight="1" x14ac:dyDescent="0.6">
      <c r="A7" s="85"/>
      <c r="B7" s="86"/>
      <c r="C7" s="86"/>
      <c r="D7" s="86"/>
      <c r="E7" s="87"/>
      <c r="F7" s="88"/>
      <c r="G7" s="88"/>
      <c r="H7" s="88"/>
      <c r="I7" s="88"/>
      <c r="J7" s="88"/>
      <c r="K7" s="88"/>
      <c r="L7" s="88"/>
      <c r="M7" s="88"/>
      <c r="N7" s="88"/>
      <c r="O7" s="89"/>
      <c r="P7" s="89"/>
      <c r="Q7" s="90"/>
    </row>
    <row r="8" spans="1:17" x14ac:dyDescent="0.6">
      <c r="A8" s="91" t="s">
        <v>402</v>
      </c>
      <c r="B8" s="92"/>
      <c r="C8" s="92"/>
      <c r="D8" s="92"/>
      <c r="E8" s="92"/>
      <c r="F8" s="93"/>
      <c r="G8" s="93"/>
      <c r="H8" s="93"/>
      <c r="I8" s="93"/>
      <c r="J8" s="93"/>
      <c r="K8" s="93"/>
      <c r="L8" s="93"/>
      <c r="M8" s="93"/>
      <c r="N8" s="93"/>
      <c r="O8" s="94"/>
      <c r="P8" s="94"/>
      <c r="Q8" s="95"/>
    </row>
    <row r="9" spans="1:17" ht="22.5" thickBot="1" x14ac:dyDescent="0.65">
      <c r="A9" s="96"/>
      <c r="B9" s="97"/>
      <c r="C9" s="97"/>
      <c r="D9" s="97"/>
      <c r="E9" s="97"/>
      <c r="F9" s="98"/>
      <c r="G9" s="98"/>
      <c r="H9" s="98"/>
      <c r="I9" s="98"/>
      <c r="J9" s="98"/>
      <c r="K9" s="98"/>
      <c r="L9" s="98"/>
      <c r="M9" s="98"/>
      <c r="N9" s="98"/>
      <c r="O9" s="99"/>
      <c r="P9" s="99"/>
      <c r="Q9" s="90"/>
    </row>
    <row r="10" spans="1:17" ht="36.75" customHeight="1" x14ac:dyDescent="0.6">
      <c r="A10" s="96"/>
      <c r="B10" s="100" t="s">
        <v>403</v>
      </c>
      <c r="C10" s="101"/>
      <c r="D10" s="102" t="s">
        <v>404</v>
      </c>
      <c r="E10" s="102" t="s">
        <v>405</v>
      </c>
      <c r="F10" s="102" t="s">
        <v>406</v>
      </c>
      <c r="G10" s="102" t="s">
        <v>407</v>
      </c>
      <c r="H10" s="102" t="s">
        <v>408</v>
      </c>
      <c r="I10" s="102" t="s">
        <v>409</v>
      </c>
      <c r="J10" s="102" t="s">
        <v>410</v>
      </c>
      <c r="K10" s="102" t="s">
        <v>411</v>
      </c>
      <c r="L10" s="102" t="s">
        <v>412</v>
      </c>
      <c r="M10" s="102" t="s">
        <v>413</v>
      </c>
      <c r="N10" s="102" t="s">
        <v>414</v>
      </c>
      <c r="O10" s="103" t="s">
        <v>415</v>
      </c>
      <c r="P10" s="104" t="s">
        <v>416</v>
      </c>
      <c r="Q10" s="90"/>
    </row>
    <row r="11" spans="1:17" x14ac:dyDescent="0.6">
      <c r="A11" s="96"/>
      <c r="B11" s="105" t="s">
        <v>417</v>
      </c>
      <c r="C11" s="106"/>
      <c r="D11" s="106">
        <v>35</v>
      </c>
      <c r="E11" s="107">
        <f>SUM([7]BLOCOS_FUNDAÇÃO!AE66,[7]BLOCOS_FUNDAÇÃO!L30)</f>
        <v>311.98430999999999</v>
      </c>
      <c r="F11" s="108">
        <f>SUM([7]BLOCOS_FUNDAÇÃO!K30,[7]BLOCOS_FUNDAÇÃO!AD66)</f>
        <v>426.44215502602287</v>
      </c>
      <c r="G11" s="108">
        <v>216</v>
      </c>
      <c r="H11" s="108">
        <v>527</v>
      </c>
      <c r="I11" s="108">
        <v>18</v>
      </c>
      <c r="J11" s="108">
        <v>3519</v>
      </c>
      <c r="K11" s="108">
        <v>6091</v>
      </c>
      <c r="L11" s="108">
        <v>966</v>
      </c>
      <c r="M11" s="108">
        <v>16892</v>
      </c>
      <c r="N11" s="108">
        <v>0</v>
      </c>
      <c r="O11" s="109">
        <f t="shared" ref="O11:O14" si="0">SUM(G11:N11)</f>
        <v>28229</v>
      </c>
      <c r="P11" s="110">
        <f t="shared" ref="P11:P15" si="1">O11/E11</f>
        <v>90.48211430888945</v>
      </c>
      <c r="Q11" s="90"/>
    </row>
    <row r="12" spans="1:17" x14ac:dyDescent="0.6">
      <c r="A12" s="96"/>
      <c r="B12" s="111" t="s">
        <v>418</v>
      </c>
      <c r="C12" s="112" t="s">
        <v>419</v>
      </c>
      <c r="D12" s="113">
        <v>35</v>
      </c>
      <c r="E12" s="112">
        <f>'[7]VIGAS - TÉRREO (BALDRAME)'!J71</f>
        <v>80.785956999999968</v>
      </c>
      <c r="F12" s="112">
        <f>'[7]VIGAS - TÉRREO (BALDRAME)'!I71</f>
        <v>804.4343600000002</v>
      </c>
      <c r="G12" s="112">
        <v>275</v>
      </c>
      <c r="H12" s="112">
        <v>642</v>
      </c>
      <c r="I12" s="112">
        <v>1436</v>
      </c>
      <c r="J12" s="112">
        <v>602</v>
      </c>
      <c r="K12" s="112">
        <v>1797</v>
      </c>
      <c r="L12" s="112">
        <v>2234</v>
      </c>
      <c r="M12" s="112">
        <v>510</v>
      </c>
      <c r="N12" s="112">
        <v>0</v>
      </c>
      <c r="O12" s="109">
        <f t="shared" si="0"/>
        <v>7496</v>
      </c>
      <c r="P12" s="110">
        <f t="shared" si="1"/>
        <v>92.788403806369502</v>
      </c>
      <c r="Q12" s="90"/>
    </row>
    <row r="13" spans="1:17" x14ac:dyDescent="0.6">
      <c r="A13" s="96"/>
      <c r="B13" s="114" t="s">
        <v>420</v>
      </c>
      <c r="C13" s="112" t="s">
        <v>419</v>
      </c>
      <c r="D13" s="113">
        <v>35</v>
      </c>
      <c r="E13" s="112">
        <f>'[7]LAJES_RESER. INFERIOR'!J7</f>
        <v>128.69999999999999</v>
      </c>
      <c r="F13" s="112">
        <f>'[7]LAJES_RESER. INFERIOR'!G7</f>
        <v>780</v>
      </c>
      <c r="G13" s="112">
        <v>0</v>
      </c>
      <c r="H13" s="112">
        <v>2545</v>
      </c>
      <c r="I13" s="112">
        <v>1839</v>
      </c>
      <c r="J13" s="112">
        <v>702</v>
      </c>
      <c r="K13" s="112">
        <v>0</v>
      </c>
      <c r="L13" s="112">
        <v>0</v>
      </c>
      <c r="M13" s="112">
        <v>0</v>
      </c>
      <c r="N13" s="112">
        <v>0</v>
      </c>
      <c r="O13" s="109">
        <f t="shared" si="0"/>
        <v>5086</v>
      </c>
      <c r="P13" s="110">
        <f t="shared" si="1"/>
        <v>39.518259518259519</v>
      </c>
      <c r="Q13" s="90"/>
    </row>
    <row r="14" spans="1:17" ht="24.75" customHeight="1" thickBot="1" x14ac:dyDescent="0.65">
      <c r="A14" s="96"/>
      <c r="B14" s="114" t="s">
        <v>421</v>
      </c>
      <c r="C14" s="112"/>
      <c r="D14" s="113">
        <v>35</v>
      </c>
      <c r="E14" s="112">
        <f>SUM('[7]VIGAS - RESER. INFERIOR'!J32,'[7]LAJES_RESER. INFERIOR'!J17)</f>
        <v>40.270145999999997</v>
      </c>
      <c r="F14" s="112">
        <f>SUM('[7]VIGAS - RESER. INFERIOR'!I32,'[7]LAJES_RESER. INFERIOR'!I17)</f>
        <v>391.95044000000001</v>
      </c>
      <c r="G14" s="112">
        <v>8</v>
      </c>
      <c r="H14" s="112">
        <f>17+140</f>
        <v>157</v>
      </c>
      <c r="I14" s="112">
        <f>1132+1103</f>
        <v>2235</v>
      </c>
      <c r="J14" s="112">
        <f>1693+73</f>
        <v>1766</v>
      </c>
      <c r="K14" s="112">
        <f>26</f>
        <v>26</v>
      </c>
      <c r="L14" s="112">
        <f>1037</f>
        <v>1037</v>
      </c>
      <c r="M14" s="112">
        <v>0</v>
      </c>
      <c r="N14" s="112">
        <v>0</v>
      </c>
      <c r="O14" s="109">
        <f t="shared" si="0"/>
        <v>5229</v>
      </c>
      <c r="P14" s="110">
        <f t="shared" si="1"/>
        <v>129.84805170559849</v>
      </c>
      <c r="Q14" s="90"/>
    </row>
    <row r="15" spans="1:17" ht="22.5" thickBot="1" x14ac:dyDescent="0.65">
      <c r="A15" s="96"/>
      <c r="B15" s="762" t="s">
        <v>226</v>
      </c>
      <c r="C15" s="763"/>
      <c r="D15" s="764"/>
      <c r="E15" s="115">
        <f t="shared" ref="E15:O15" si="2">SUM(E11:E14)</f>
        <v>561.74041299999988</v>
      </c>
      <c r="F15" s="115">
        <f t="shared" si="2"/>
        <v>2402.8269550260229</v>
      </c>
      <c r="G15" s="115">
        <f t="shared" si="2"/>
        <v>499</v>
      </c>
      <c r="H15" s="115">
        <f t="shared" si="2"/>
        <v>3871</v>
      </c>
      <c r="I15" s="115">
        <f t="shared" si="2"/>
        <v>5528</v>
      </c>
      <c r="J15" s="116">
        <f t="shared" si="2"/>
        <v>6589</v>
      </c>
      <c r="K15" s="116">
        <f t="shared" si="2"/>
        <v>7914</v>
      </c>
      <c r="L15" s="115">
        <f t="shared" si="2"/>
        <v>4237</v>
      </c>
      <c r="M15" s="115">
        <f t="shared" si="2"/>
        <v>17402</v>
      </c>
      <c r="N15" s="115">
        <f t="shared" si="2"/>
        <v>0</v>
      </c>
      <c r="O15" s="115">
        <f t="shared" si="2"/>
        <v>46040</v>
      </c>
      <c r="P15" s="115">
        <f t="shared" si="1"/>
        <v>81.959565191546957</v>
      </c>
      <c r="Q15" s="90"/>
    </row>
    <row r="16" spans="1:17" x14ac:dyDescent="0.6">
      <c r="A16" s="96"/>
      <c r="B16" s="97"/>
      <c r="C16" s="97"/>
      <c r="D16" s="97"/>
      <c r="E16" s="97"/>
      <c r="F16" s="98"/>
      <c r="G16" s="98"/>
      <c r="H16" s="98"/>
      <c r="I16" s="98"/>
      <c r="J16" s="98"/>
      <c r="K16" s="98"/>
      <c r="L16" s="98"/>
      <c r="M16" s="98"/>
      <c r="N16" s="98"/>
      <c r="O16" s="99"/>
      <c r="P16" s="99"/>
      <c r="Q16" s="90"/>
    </row>
    <row r="17" spans="1:17" x14ac:dyDescent="0.6">
      <c r="A17" s="96"/>
      <c r="B17" s="97"/>
      <c r="C17" s="97"/>
      <c r="D17" s="97"/>
      <c r="E17" s="97"/>
      <c r="F17" s="98"/>
      <c r="G17" s="98"/>
      <c r="H17" s="98"/>
      <c r="I17" s="98"/>
      <c r="J17" s="98"/>
      <c r="K17" s="98"/>
      <c r="L17" s="98"/>
      <c r="M17" s="98"/>
      <c r="N17" s="98"/>
      <c r="O17" s="99"/>
      <c r="P17" s="99"/>
      <c r="Q17" s="90"/>
    </row>
  </sheetData>
  <mergeCells count="3">
    <mergeCell ref="A4:Q4"/>
    <mergeCell ref="A6:Q6"/>
    <mergeCell ref="B15:D15"/>
  </mergeCells>
  <pageMargins left="0.51181102362204722" right="0.51181102362204722" top="0.78740157480314965" bottom="0.78740157480314965" header="0.31496062992125984" footer="0.31496062992125984"/>
  <pageSetup paperSize="9" scale="4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21783-36B2-4E71-8B31-737AD07CF834}">
  <sheetPr>
    <pageSetUpPr fitToPage="1"/>
  </sheetPr>
  <dimension ref="A1:S119"/>
  <sheetViews>
    <sheetView topLeftCell="A7" zoomScale="84" zoomScaleNormal="84" zoomScaleSheetLayoutView="86" workbookViewId="0"/>
  </sheetViews>
  <sheetFormatPr defaultColWidth="8.85546875" defaultRowHeight="21.75" x14ac:dyDescent="0.6"/>
  <cols>
    <col min="1" max="1" width="9.140625" style="117" bestFit="1" customWidth="1"/>
    <col min="2" max="2" width="11.85546875" style="118" customWidth="1"/>
    <col min="3" max="3" width="12.7109375" style="118" bestFit="1" customWidth="1"/>
    <col min="4" max="4" width="11.85546875" style="118" customWidth="1"/>
    <col min="5" max="5" width="13.42578125" style="118" customWidth="1"/>
    <col min="6" max="6" width="18.28515625" style="117" customWidth="1"/>
    <col min="7" max="7" width="14.85546875" style="117" customWidth="1"/>
    <col min="8" max="8" width="9.42578125" style="117" bestFit="1" customWidth="1"/>
    <col min="9" max="9" width="10.42578125" style="117" bestFit="1" customWidth="1"/>
    <col min="10" max="10" width="10.140625" style="117" bestFit="1" customWidth="1"/>
    <col min="11" max="11" width="10.42578125" style="117" bestFit="1" customWidth="1"/>
    <col min="12" max="13" width="10.140625" style="117" bestFit="1" customWidth="1"/>
    <col min="14" max="14" width="8" style="117" customWidth="1"/>
    <col min="15" max="15" width="12.5703125" style="119" customWidth="1"/>
    <col min="16" max="16" width="11.28515625" style="119" customWidth="1"/>
    <col min="17" max="17" width="24" style="117" customWidth="1"/>
    <col min="18" max="19" width="9.28515625" style="72" bestFit="1" customWidth="1"/>
    <col min="20" max="16384" width="8.85546875" style="72"/>
  </cols>
  <sheetData>
    <row r="1" spans="1:17" ht="18" customHeight="1" x14ac:dyDescent="0.6">
      <c r="A1" s="65" t="s">
        <v>397</v>
      </c>
      <c r="B1" s="66" t="str">
        <f>[8]ARQUIVOS_BASE!B1</f>
        <v>WEST VILLAGE</v>
      </c>
      <c r="C1" s="67"/>
      <c r="D1" s="67"/>
      <c r="E1" s="68"/>
      <c r="F1" s="69"/>
      <c r="G1" s="69"/>
      <c r="H1" s="69"/>
      <c r="I1" s="69"/>
      <c r="J1" s="69"/>
      <c r="K1" s="69"/>
      <c r="L1" s="69"/>
      <c r="M1" s="69"/>
      <c r="N1" s="69"/>
      <c r="O1" s="70"/>
      <c r="P1" s="70"/>
      <c r="Q1" s="71"/>
    </row>
    <row r="2" spans="1:17" ht="18" customHeight="1" x14ac:dyDescent="0.6">
      <c r="A2" s="73" t="s">
        <v>398</v>
      </c>
      <c r="B2" s="74" t="str">
        <f>[8]ARQUIVOS_BASE!B2</f>
        <v>KIRCHNER</v>
      </c>
      <c r="C2" s="75"/>
      <c r="D2" s="75"/>
      <c r="E2" s="76"/>
      <c r="F2" s="77"/>
      <c r="G2" s="77"/>
      <c r="H2" s="77"/>
      <c r="I2" s="77"/>
      <c r="J2" s="77"/>
      <c r="K2" s="77"/>
      <c r="L2" s="77"/>
      <c r="M2" s="77"/>
      <c r="N2" s="77"/>
      <c r="O2" s="78"/>
      <c r="P2" s="78"/>
      <c r="Q2" s="79"/>
    </row>
    <row r="3" spans="1:17" ht="18" customHeight="1" x14ac:dyDescent="0.6">
      <c r="A3" s="73" t="s">
        <v>399</v>
      </c>
      <c r="B3" s="74">
        <f>[8]ARQUIVOS_BASE!B3</f>
        <v>0</v>
      </c>
      <c r="C3" s="75"/>
      <c r="D3" s="75"/>
      <c r="E3" s="76"/>
      <c r="F3" s="77"/>
      <c r="G3" s="77"/>
      <c r="H3" s="77"/>
      <c r="I3" s="77"/>
      <c r="J3" s="77"/>
      <c r="K3" s="77"/>
      <c r="L3" s="77"/>
      <c r="M3" s="77"/>
      <c r="N3" s="77"/>
      <c r="O3" s="78"/>
      <c r="P3" s="78"/>
      <c r="Q3" s="79"/>
    </row>
    <row r="4" spans="1:17" ht="25.15" customHeight="1" x14ac:dyDescent="0.25">
      <c r="A4" s="754" t="s">
        <v>400</v>
      </c>
      <c r="B4" s="755"/>
      <c r="C4" s="755"/>
      <c r="D4" s="756"/>
      <c r="E4" s="756"/>
      <c r="F4" s="756"/>
      <c r="G4" s="756"/>
      <c r="H4" s="756"/>
      <c r="I4" s="756"/>
      <c r="J4" s="756"/>
      <c r="K4" s="756"/>
      <c r="L4" s="756"/>
      <c r="M4" s="756"/>
      <c r="N4" s="756"/>
      <c r="O4" s="756"/>
      <c r="P4" s="756"/>
      <c r="Q4" s="757"/>
    </row>
    <row r="5" spans="1:17" ht="14.45" customHeight="1" x14ac:dyDescent="0.6">
      <c r="A5" s="80"/>
      <c r="B5" s="81"/>
      <c r="C5" s="81"/>
      <c r="D5" s="81"/>
      <c r="E5" s="81"/>
      <c r="F5" s="82"/>
      <c r="G5" s="82"/>
      <c r="H5" s="82"/>
      <c r="I5" s="82"/>
      <c r="J5" s="82"/>
      <c r="K5" s="82"/>
      <c r="L5" s="82"/>
      <c r="M5" s="82"/>
      <c r="N5" s="82"/>
      <c r="O5" s="83"/>
      <c r="P5" s="83"/>
      <c r="Q5" s="84"/>
    </row>
    <row r="6" spans="1:17" ht="16.899999999999999" customHeight="1" x14ac:dyDescent="0.25">
      <c r="A6" s="758" t="s">
        <v>455</v>
      </c>
      <c r="B6" s="759"/>
      <c r="C6" s="759"/>
      <c r="D6" s="760"/>
      <c r="E6" s="760"/>
      <c r="F6" s="760"/>
      <c r="G6" s="760"/>
      <c r="H6" s="760"/>
      <c r="I6" s="760"/>
      <c r="J6" s="760"/>
      <c r="K6" s="760"/>
      <c r="L6" s="760"/>
      <c r="M6" s="760"/>
      <c r="N6" s="760"/>
      <c r="O6" s="760"/>
      <c r="P6" s="760"/>
      <c r="Q6" s="761"/>
    </row>
    <row r="7" spans="1:17" ht="14.45" customHeight="1" x14ac:dyDescent="0.6">
      <c r="A7" s="85"/>
      <c r="B7" s="86"/>
      <c r="C7" s="86"/>
      <c r="D7" s="86"/>
      <c r="E7" s="87"/>
      <c r="F7" s="88"/>
      <c r="G7" s="88"/>
      <c r="H7" s="88"/>
      <c r="I7" s="88"/>
      <c r="J7" s="88"/>
      <c r="K7" s="88"/>
      <c r="L7" s="88"/>
      <c r="M7" s="88"/>
      <c r="N7" s="88"/>
      <c r="O7" s="89"/>
      <c r="P7" s="89"/>
      <c r="Q7" s="90"/>
    </row>
    <row r="8" spans="1:17" x14ac:dyDescent="0.6">
      <c r="A8" s="91" t="s">
        <v>456</v>
      </c>
      <c r="B8" s="92"/>
      <c r="C8" s="92"/>
      <c r="D8" s="92"/>
      <c r="E8" s="92"/>
      <c r="F8" s="93"/>
      <c r="G8" s="93"/>
      <c r="H8" s="93"/>
      <c r="I8" s="93"/>
      <c r="J8" s="93"/>
      <c r="K8" s="93"/>
      <c r="L8" s="93"/>
      <c r="M8" s="93"/>
      <c r="N8" s="93"/>
      <c r="O8" s="94"/>
      <c r="P8" s="94"/>
      <c r="Q8" s="95"/>
    </row>
    <row r="9" spans="1:17" ht="22.5" thickBot="1" x14ac:dyDescent="0.65">
      <c r="A9" s="96"/>
      <c r="B9" s="97"/>
      <c r="C9" s="97"/>
      <c r="D9" s="97"/>
      <c r="E9" s="97"/>
      <c r="F9" s="98"/>
      <c r="G9" s="98"/>
      <c r="H9" s="98"/>
      <c r="I9" s="98"/>
      <c r="J9" s="98"/>
      <c r="K9" s="98"/>
      <c r="L9" s="98"/>
      <c r="M9" s="98"/>
      <c r="N9" s="98"/>
      <c r="O9" s="99"/>
      <c r="P9" s="99"/>
      <c r="Q9" s="90"/>
    </row>
    <row r="10" spans="1:17" ht="36.75" customHeight="1" x14ac:dyDescent="0.6">
      <c r="A10" s="96"/>
      <c r="B10" s="100" t="s">
        <v>403</v>
      </c>
      <c r="C10" s="101" t="s">
        <v>457</v>
      </c>
      <c r="D10" s="102" t="s">
        <v>404</v>
      </c>
      <c r="E10" s="102" t="s">
        <v>405</v>
      </c>
      <c r="F10" s="102" t="s">
        <v>406</v>
      </c>
      <c r="G10" s="102" t="s">
        <v>407</v>
      </c>
      <c r="H10" s="102" t="s">
        <v>408</v>
      </c>
      <c r="I10" s="102" t="s">
        <v>409</v>
      </c>
      <c r="J10" s="102" t="s">
        <v>410</v>
      </c>
      <c r="K10" s="102" t="s">
        <v>411</v>
      </c>
      <c r="L10" s="102" t="s">
        <v>412</v>
      </c>
      <c r="M10" s="102" t="s">
        <v>413</v>
      </c>
      <c r="N10" s="102" t="s">
        <v>414</v>
      </c>
      <c r="O10" s="103" t="s">
        <v>415</v>
      </c>
      <c r="P10" s="104" t="s">
        <v>416</v>
      </c>
      <c r="Q10" s="90"/>
    </row>
    <row r="11" spans="1:17" x14ac:dyDescent="0.6">
      <c r="A11" s="96"/>
      <c r="B11" s="179" t="s">
        <v>456</v>
      </c>
      <c r="C11" s="180" t="s">
        <v>458</v>
      </c>
      <c r="D11" s="180">
        <v>35</v>
      </c>
      <c r="E11" s="181">
        <f>'[8]VIGAS - MEZ G1'!J51</f>
        <v>91.341087000000016</v>
      </c>
      <c r="F11" s="109">
        <f>'[8]VIGAS - MEZ G1'!I51</f>
        <v>631.07026000000008</v>
      </c>
      <c r="G11" s="109">
        <v>248</v>
      </c>
      <c r="H11" s="109">
        <v>514</v>
      </c>
      <c r="I11" s="109">
        <v>375</v>
      </c>
      <c r="J11" s="109">
        <v>675</v>
      </c>
      <c r="K11" s="109">
        <v>2217</v>
      </c>
      <c r="L11" s="109">
        <v>1899</v>
      </c>
      <c r="M11" s="109">
        <v>5501</v>
      </c>
      <c r="N11" s="109">
        <v>0</v>
      </c>
      <c r="O11" s="109">
        <f t="shared" ref="O11:O20" si="0">SUM(G11:N11)</f>
        <v>11429</v>
      </c>
      <c r="P11" s="182">
        <f t="shared" ref="P11:P20" si="1">O11/E11</f>
        <v>125.12441416424132</v>
      </c>
      <c r="Q11" s="90"/>
    </row>
    <row r="12" spans="1:17" x14ac:dyDescent="0.6">
      <c r="A12" s="96"/>
      <c r="B12" s="179" t="s">
        <v>456</v>
      </c>
      <c r="C12" s="180" t="s">
        <v>459</v>
      </c>
      <c r="D12" s="180">
        <v>35</v>
      </c>
      <c r="E12" s="181">
        <f>'[8]VIGAS - G2'!J35</f>
        <v>18.492730399999996</v>
      </c>
      <c r="F12" s="109">
        <f>'[8]VIGAS - G2'!I35</f>
        <v>279.89301999999992</v>
      </c>
      <c r="G12" s="109">
        <f>156</f>
        <v>156</v>
      </c>
      <c r="H12" s="109">
        <v>310</v>
      </c>
      <c r="I12" s="109">
        <v>29</v>
      </c>
      <c r="J12" s="109">
        <v>208</v>
      </c>
      <c r="K12" s="109">
        <v>246</v>
      </c>
      <c r="L12" s="109">
        <v>502</v>
      </c>
      <c r="M12" s="109">
        <v>615</v>
      </c>
      <c r="N12" s="109">
        <v>0</v>
      </c>
      <c r="O12" s="109">
        <f t="shared" si="0"/>
        <v>2066</v>
      </c>
      <c r="P12" s="182">
        <f t="shared" si="1"/>
        <v>111.71957603405068</v>
      </c>
      <c r="Q12" s="90"/>
    </row>
    <row r="13" spans="1:17" x14ac:dyDescent="0.6">
      <c r="A13" s="96"/>
      <c r="B13" s="179" t="s">
        <v>456</v>
      </c>
      <c r="C13" s="180" t="s">
        <v>460</v>
      </c>
      <c r="D13" s="180">
        <v>35</v>
      </c>
      <c r="E13" s="181">
        <f>'[8]VIGAS - G3'!J35</f>
        <v>19.156573299999998</v>
      </c>
      <c r="F13" s="109">
        <f>'[8]VIGAS - G3'!I35</f>
        <v>290.32428999999996</v>
      </c>
      <c r="G13" s="109">
        <v>174</v>
      </c>
      <c r="H13" s="109">
        <v>309</v>
      </c>
      <c r="I13" s="109">
        <v>38</v>
      </c>
      <c r="J13" s="109">
        <v>188</v>
      </c>
      <c r="K13" s="109">
        <v>193</v>
      </c>
      <c r="L13" s="109">
        <v>475</v>
      </c>
      <c r="M13" s="109">
        <v>832</v>
      </c>
      <c r="N13" s="109">
        <v>0</v>
      </c>
      <c r="O13" s="109">
        <f t="shared" si="0"/>
        <v>2209</v>
      </c>
      <c r="P13" s="182">
        <f t="shared" si="1"/>
        <v>115.3128988888634</v>
      </c>
      <c r="Q13" s="183"/>
    </row>
    <row r="14" spans="1:17" x14ac:dyDescent="0.6">
      <c r="A14" s="96"/>
      <c r="B14" s="179" t="s">
        <v>456</v>
      </c>
      <c r="C14" s="180" t="s">
        <v>461</v>
      </c>
      <c r="D14" s="180">
        <v>35</v>
      </c>
      <c r="E14" s="181">
        <f>'[8]VIGAS - LAZER'!J65</f>
        <v>222.09437900000006</v>
      </c>
      <c r="F14" s="109">
        <f>'[8]VIGAS - LAZER'!I65</f>
        <v>976.36124000000007</v>
      </c>
      <c r="G14" s="109">
        <v>211</v>
      </c>
      <c r="H14" s="109">
        <v>362</v>
      </c>
      <c r="I14" s="109">
        <v>2196</v>
      </c>
      <c r="J14" s="109">
        <v>1938</v>
      </c>
      <c r="K14" s="109">
        <v>5683</v>
      </c>
      <c r="L14" s="109">
        <v>10626</v>
      </c>
      <c r="M14" s="109">
        <v>2099</v>
      </c>
      <c r="N14" s="109">
        <v>0</v>
      </c>
      <c r="O14" s="109">
        <f t="shared" si="0"/>
        <v>23115</v>
      </c>
      <c r="P14" s="182">
        <f t="shared" si="1"/>
        <v>104.07737514149331</v>
      </c>
      <c r="Q14" s="183"/>
    </row>
    <row r="15" spans="1:17" x14ac:dyDescent="0.6">
      <c r="A15" s="96"/>
      <c r="B15" s="179" t="s">
        <v>456</v>
      </c>
      <c r="C15" s="180" t="s">
        <v>462</v>
      </c>
      <c r="D15" s="180">
        <v>35</v>
      </c>
      <c r="E15" s="181">
        <f>'[8]VIGAS - PAV TIPO'!J23</f>
        <v>11.799367999999998</v>
      </c>
      <c r="F15" s="109">
        <f>'[8]VIGAS - PAV TIPO'!I23</f>
        <v>183.41024000000004</v>
      </c>
      <c r="G15" s="109">
        <v>109</v>
      </c>
      <c r="H15" s="109">
        <v>207</v>
      </c>
      <c r="I15" s="109">
        <v>49</v>
      </c>
      <c r="J15" s="109">
        <v>32</v>
      </c>
      <c r="K15" s="109">
        <v>161</v>
      </c>
      <c r="L15" s="109">
        <v>513</v>
      </c>
      <c r="M15" s="109">
        <v>565</v>
      </c>
      <c r="N15" s="109">
        <v>0</v>
      </c>
      <c r="O15" s="109">
        <f t="shared" si="0"/>
        <v>1636</v>
      </c>
      <c r="P15" s="182">
        <f t="shared" si="1"/>
        <v>138.6514938766212</v>
      </c>
      <c r="Q15" s="183"/>
    </row>
    <row r="16" spans="1:17" x14ac:dyDescent="0.6">
      <c r="A16" s="96"/>
      <c r="B16" s="179" t="s">
        <v>456</v>
      </c>
      <c r="C16" s="180" t="s">
        <v>463</v>
      </c>
      <c r="D16" s="180">
        <v>35</v>
      </c>
      <c r="E16" s="181">
        <f>5*E15</f>
        <v>58.996839999999992</v>
      </c>
      <c r="F16" s="109">
        <f>'[8]VIGAS - PAV TIPO'!I23*5</f>
        <v>917.05120000000022</v>
      </c>
      <c r="G16" s="109">
        <f>106*5</f>
        <v>530</v>
      </c>
      <c r="H16" s="109">
        <f>5*207</f>
        <v>1035</v>
      </c>
      <c r="I16" s="109">
        <f>5*49</f>
        <v>245</v>
      </c>
      <c r="J16" s="109">
        <f>5*32</f>
        <v>160</v>
      </c>
      <c r="K16" s="109">
        <f>5*161</f>
        <v>805</v>
      </c>
      <c r="L16" s="109">
        <f>5*535</f>
        <v>2675</v>
      </c>
      <c r="M16" s="109">
        <f>5*565</f>
        <v>2825</v>
      </c>
      <c r="N16" s="109">
        <v>0</v>
      </c>
      <c r="O16" s="109">
        <f t="shared" si="0"/>
        <v>8275</v>
      </c>
      <c r="P16" s="182">
        <f t="shared" si="1"/>
        <v>140.26174961235213</v>
      </c>
      <c r="Q16" s="90"/>
    </row>
    <row r="17" spans="1:17" x14ac:dyDescent="0.6">
      <c r="A17" s="96"/>
      <c r="B17" s="179" t="s">
        <v>456</v>
      </c>
      <c r="C17" s="180" t="s">
        <v>464</v>
      </c>
      <c r="D17" s="180">
        <v>35</v>
      </c>
      <c r="E17" s="181">
        <f>5*E15</f>
        <v>58.996839999999992</v>
      </c>
      <c r="F17" s="109">
        <f>'[8]VIGAS - PAV TIPO'!I23*5</f>
        <v>917.05120000000022</v>
      </c>
      <c r="G17" s="109">
        <f>5*106</f>
        <v>530</v>
      </c>
      <c r="H17" s="109">
        <f>5*207</f>
        <v>1035</v>
      </c>
      <c r="I17" s="109">
        <f>5*44</f>
        <v>220</v>
      </c>
      <c r="J17" s="109">
        <f>5*55</f>
        <v>275</v>
      </c>
      <c r="K17" s="109">
        <f>5*151</f>
        <v>755</v>
      </c>
      <c r="L17" s="109">
        <f>5*477</f>
        <v>2385</v>
      </c>
      <c r="M17" s="109">
        <f>5*504</f>
        <v>2520</v>
      </c>
      <c r="N17" s="109">
        <v>0</v>
      </c>
      <c r="O17" s="109">
        <f t="shared" si="0"/>
        <v>7720</v>
      </c>
      <c r="P17" s="182">
        <f t="shared" si="1"/>
        <v>130.85446610360827</v>
      </c>
      <c r="Q17" s="90"/>
    </row>
    <row r="18" spans="1:17" x14ac:dyDescent="0.6">
      <c r="A18" s="96"/>
      <c r="B18" s="179" t="s">
        <v>456</v>
      </c>
      <c r="C18" s="180" t="s">
        <v>465</v>
      </c>
      <c r="D18" s="180">
        <v>35</v>
      </c>
      <c r="E18" s="181">
        <f>4*E15</f>
        <v>47.197471999999991</v>
      </c>
      <c r="F18" s="109">
        <f>4*'[8]VIGAS - PAV TIPO'!I23</f>
        <v>733.64096000000018</v>
      </c>
      <c r="G18" s="109">
        <f>4*105</f>
        <v>420</v>
      </c>
      <c r="H18" s="109">
        <f>4*207</f>
        <v>828</v>
      </c>
      <c r="I18" s="109">
        <f>4*25</f>
        <v>100</v>
      </c>
      <c r="J18" s="109">
        <f>4*86</f>
        <v>344</v>
      </c>
      <c r="K18" s="109">
        <f>4*141</f>
        <v>564</v>
      </c>
      <c r="L18" s="109">
        <f>4*619</f>
        <v>2476</v>
      </c>
      <c r="M18" s="109">
        <v>0</v>
      </c>
      <c r="N18" s="109">
        <v>0</v>
      </c>
      <c r="O18" s="109">
        <f t="shared" si="0"/>
        <v>4732</v>
      </c>
      <c r="P18" s="182">
        <f t="shared" si="1"/>
        <v>100.2596071247206</v>
      </c>
      <c r="Q18" s="90"/>
    </row>
    <row r="19" spans="1:17" x14ac:dyDescent="0.6">
      <c r="A19" s="96"/>
      <c r="B19" s="179" t="s">
        <v>456</v>
      </c>
      <c r="C19" s="180" t="s">
        <v>466</v>
      </c>
      <c r="D19" s="180">
        <v>35</v>
      </c>
      <c r="E19" s="181">
        <f>'[8]VIGAS - TELHADO'!J23</f>
        <v>11.812107999999998</v>
      </c>
      <c r="F19" s="109">
        <f>'[8]VIGAS - TELHADO'!I23</f>
        <v>183.61044000000004</v>
      </c>
      <c r="G19" s="109">
        <v>109</v>
      </c>
      <c r="H19" s="109">
        <v>207</v>
      </c>
      <c r="I19" s="109">
        <v>24</v>
      </c>
      <c r="J19" s="109">
        <v>142</v>
      </c>
      <c r="K19" s="109">
        <v>291</v>
      </c>
      <c r="L19" s="109">
        <v>140</v>
      </c>
      <c r="M19" s="109">
        <v>0</v>
      </c>
      <c r="N19" s="109">
        <v>0</v>
      </c>
      <c r="O19" s="109">
        <f t="shared" si="0"/>
        <v>913</v>
      </c>
      <c r="P19" s="182">
        <f t="shared" si="1"/>
        <v>77.293570292449076</v>
      </c>
      <c r="Q19" s="90"/>
    </row>
    <row r="20" spans="1:17" ht="31.5" x14ac:dyDescent="0.6">
      <c r="A20" s="96"/>
      <c r="B20" s="184" t="s">
        <v>456</v>
      </c>
      <c r="C20" s="185" t="s">
        <v>467</v>
      </c>
      <c r="D20" s="185">
        <v>35</v>
      </c>
      <c r="E20" s="186">
        <f>'[8]VIGAS - CASA DE MAQ'!J10</f>
        <v>0.7420000000000001</v>
      </c>
      <c r="F20" s="112">
        <f>'[8]VIGAS - CASA DE MAQ'!I10</f>
        <v>12.084000000000001</v>
      </c>
      <c r="G20" s="112">
        <v>6</v>
      </c>
      <c r="H20" s="112">
        <v>0</v>
      </c>
      <c r="I20" s="112">
        <v>5</v>
      </c>
      <c r="J20" s="112">
        <v>29</v>
      </c>
      <c r="K20" s="112">
        <v>0</v>
      </c>
      <c r="L20" s="112">
        <v>0</v>
      </c>
      <c r="M20" s="112">
        <v>0</v>
      </c>
      <c r="N20" s="112">
        <v>0</v>
      </c>
      <c r="O20" s="109">
        <f t="shared" si="0"/>
        <v>40</v>
      </c>
      <c r="P20" s="182">
        <f t="shared" si="1"/>
        <v>53.908355795148239</v>
      </c>
      <c r="Q20" s="90"/>
    </row>
    <row r="21" spans="1:17" ht="22.5" thickBot="1" x14ac:dyDescent="0.65">
      <c r="A21" s="96"/>
      <c r="B21" s="187" t="s">
        <v>456</v>
      </c>
      <c r="C21" s="188" t="s">
        <v>226</v>
      </c>
      <c r="D21" s="189"/>
      <c r="E21" s="190">
        <f t="shared" ref="E21:O21" si="2">SUM(E11:E20)</f>
        <v>540.62939769999991</v>
      </c>
      <c r="F21" s="190">
        <f t="shared" si="2"/>
        <v>5124.4968500000004</v>
      </c>
      <c r="G21" s="190">
        <f t="shared" si="2"/>
        <v>2493</v>
      </c>
      <c r="H21" s="190">
        <f t="shared" si="2"/>
        <v>4807</v>
      </c>
      <c r="I21" s="190">
        <f t="shared" si="2"/>
        <v>3281</v>
      </c>
      <c r="J21" s="190">
        <f t="shared" si="2"/>
        <v>3991</v>
      </c>
      <c r="K21" s="190">
        <f t="shared" si="2"/>
        <v>10915</v>
      </c>
      <c r="L21" s="190">
        <f t="shared" si="2"/>
        <v>21691</v>
      </c>
      <c r="M21" s="190">
        <f t="shared" si="2"/>
        <v>14957</v>
      </c>
      <c r="N21" s="190">
        <f t="shared" si="2"/>
        <v>0</v>
      </c>
      <c r="O21" s="190">
        <f t="shared" si="2"/>
        <v>62135</v>
      </c>
      <c r="P21" s="191">
        <f>O21/E21</f>
        <v>114.93085700544769</v>
      </c>
      <c r="Q21" s="90"/>
    </row>
    <row r="22" spans="1:17" x14ac:dyDescent="0.6">
      <c r="A22" s="96"/>
      <c r="B22" s="97"/>
      <c r="C22" s="97"/>
      <c r="D22" s="97"/>
      <c r="E22" s="97"/>
      <c r="F22" s="98"/>
      <c r="G22" s="98"/>
      <c r="H22" s="98"/>
      <c r="I22" s="98"/>
      <c r="J22" s="98"/>
      <c r="K22" s="98"/>
      <c r="L22" s="98"/>
      <c r="M22" s="98"/>
      <c r="N22" s="98"/>
      <c r="O22" s="99"/>
      <c r="P22" s="99"/>
      <c r="Q22" s="90"/>
    </row>
    <row r="23" spans="1:17" x14ac:dyDescent="0.6">
      <c r="A23" s="91" t="s">
        <v>468</v>
      </c>
      <c r="B23" s="92"/>
      <c r="C23" s="92"/>
      <c r="D23" s="92"/>
      <c r="E23" s="92"/>
      <c r="F23" s="93"/>
      <c r="G23" s="93"/>
      <c r="H23" s="93"/>
      <c r="I23" s="93"/>
      <c r="J23" s="93"/>
      <c r="K23" s="93"/>
      <c r="L23" s="93"/>
      <c r="M23" s="93"/>
      <c r="N23" s="93"/>
      <c r="O23" s="94"/>
      <c r="P23" s="94"/>
      <c r="Q23" s="95"/>
    </row>
    <row r="24" spans="1:17" ht="22.5" thickBot="1" x14ac:dyDescent="0.65">
      <c r="A24" s="96"/>
      <c r="B24" s="97"/>
      <c r="C24" s="97"/>
      <c r="D24" s="97"/>
      <c r="E24" s="97"/>
      <c r="F24" s="98"/>
      <c r="G24" s="98"/>
      <c r="H24" s="98"/>
      <c r="I24" s="98"/>
      <c r="J24" s="98"/>
      <c r="K24" s="98"/>
      <c r="L24" s="98"/>
      <c r="M24" s="98"/>
      <c r="N24" s="98"/>
      <c r="O24" s="99"/>
      <c r="P24" s="99"/>
      <c r="Q24" s="90"/>
    </row>
    <row r="25" spans="1:17" ht="47.25" x14ac:dyDescent="0.6">
      <c r="A25" s="96"/>
      <c r="B25" s="100" t="s">
        <v>403</v>
      </c>
      <c r="C25" s="101" t="s">
        <v>457</v>
      </c>
      <c r="D25" s="102" t="s">
        <v>404</v>
      </c>
      <c r="E25" s="102" t="s">
        <v>469</v>
      </c>
      <c r="F25" s="102" t="s">
        <v>470</v>
      </c>
      <c r="G25" s="102" t="s">
        <v>407</v>
      </c>
      <c r="H25" s="102" t="s">
        <v>408</v>
      </c>
      <c r="I25" s="102" t="s">
        <v>409</v>
      </c>
      <c r="J25" s="102" t="s">
        <v>410</v>
      </c>
      <c r="K25" s="102" t="s">
        <v>411</v>
      </c>
      <c r="L25" s="102" t="s">
        <v>412</v>
      </c>
      <c r="M25" s="102" t="s">
        <v>413</v>
      </c>
      <c r="N25" s="102" t="s">
        <v>414</v>
      </c>
      <c r="O25" s="103" t="s">
        <v>415</v>
      </c>
      <c r="P25" s="104" t="s">
        <v>416</v>
      </c>
      <c r="Q25" s="90"/>
    </row>
    <row r="26" spans="1:17" x14ac:dyDescent="0.6">
      <c r="A26" s="96"/>
      <c r="B26" s="192" t="s">
        <v>468</v>
      </c>
      <c r="C26" s="193" t="s">
        <v>419</v>
      </c>
      <c r="D26" s="193">
        <v>35</v>
      </c>
      <c r="E26" s="194">
        <v>0</v>
      </c>
      <c r="F26" s="195"/>
      <c r="G26" s="195"/>
      <c r="H26" s="195"/>
      <c r="I26" s="195"/>
      <c r="J26" s="195"/>
      <c r="K26" s="195"/>
      <c r="L26" s="195"/>
      <c r="M26" s="195"/>
      <c r="N26" s="195"/>
      <c r="O26" s="195">
        <f>SUM(G26:N26)</f>
        <v>0</v>
      </c>
      <c r="P26" s="196"/>
      <c r="Q26" s="90"/>
    </row>
    <row r="27" spans="1:17" x14ac:dyDescent="0.6">
      <c r="A27" s="96"/>
      <c r="B27" s="179" t="s">
        <v>468</v>
      </c>
      <c r="C27" s="180" t="s">
        <v>458</v>
      </c>
      <c r="D27" s="180">
        <v>35</v>
      </c>
      <c r="E27" s="181">
        <f>'[8]PILARES - MEZ G1'!J53</f>
        <v>57.483360000000005</v>
      </c>
      <c r="F27" s="109">
        <f>'[8]PILARES - MEZ G1'!I53</f>
        <v>497.13839999999999</v>
      </c>
      <c r="G27" s="109">
        <v>425</v>
      </c>
      <c r="H27" s="109">
        <v>1093</v>
      </c>
      <c r="I27" s="109">
        <v>0</v>
      </c>
      <c r="J27" s="109">
        <v>0</v>
      </c>
      <c r="K27" s="109">
        <v>740</v>
      </c>
      <c r="L27" s="109">
        <v>1926</v>
      </c>
      <c r="M27" s="109">
        <v>6793</v>
      </c>
      <c r="N27" s="109">
        <v>0</v>
      </c>
      <c r="O27" s="109">
        <f>SUM(G27:N27)</f>
        <v>10977</v>
      </c>
      <c r="P27" s="182">
        <f>O27/E27</f>
        <v>190.95960987666689</v>
      </c>
      <c r="Q27" s="90"/>
    </row>
    <row r="28" spans="1:17" x14ac:dyDescent="0.6">
      <c r="A28" s="96"/>
      <c r="B28" s="179" t="s">
        <v>468</v>
      </c>
      <c r="C28" s="180" t="s">
        <v>459</v>
      </c>
      <c r="D28" s="180">
        <v>35</v>
      </c>
      <c r="E28" s="181">
        <f>'[8]PILARES - MEZ G2'!J53</f>
        <v>40.769280000000002</v>
      </c>
      <c r="F28" s="109">
        <f>'[8]PILARES - MEZ G2'!I53</f>
        <v>361.55519999999984</v>
      </c>
      <c r="G28" s="109">
        <v>277</v>
      </c>
      <c r="H28" s="109">
        <v>766</v>
      </c>
      <c r="I28" s="109">
        <v>0</v>
      </c>
      <c r="J28" s="109">
        <v>0</v>
      </c>
      <c r="K28" s="109">
        <v>836</v>
      </c>
      <c r="L28" s="109">
        <v>2665</v>
      </c>
      <c r="M28" s="109">
        <v>2989</v>
      </c>
      <c r="N28" s="109">
        <v>0</v>
      </c>
      <c r="O28" s="109">
        <f t="shared" ref="O28:O39" si="3">SUM(G28:N28)</f>
        <v>7533</v>
      </c>
      <c r="P28" s="182">
        <f t="shared" ref="P28:P39" si="4">O28/E28</f>
        <v>184.77147499293585</v>
      </c>
      <c r="Q28" s="90"/>
    </row>
    <row r="29" spans="1:17" x14ac:dyDescent="0.6">
      <c r="A29" s="96"/>
      <c r="B29" s="179" t="s">
        <v>468</v>
      </c>
      <c r="C29" s="180" t="s">
        <v>460</v>
      </c>
      <c r="D29" s="180">
        <v>35</v>
      </c>
      <c r="E29" s="181">
        <f>'[8]PILARES - MEZ G3'!J51</f>
        <v>40.769280000000002</v>
      </c>
      <c r="F29" s="109">
        <f>'[8]PILARES - MEZ G3'!I51</f>
        <v>361.55519999999984</v>
      </c>
      <c r="G29" s="109">
        <v>277</v>
      </c>
      <c r="H29" s="109">
        <v>667</v>
      </c>
      <c r="I29" s="109">
        <v>0</v>
      </c>
      <c r="J29" s="109">
        <v>0</v>
      </c>
      <c r="K29" s="109">
        <v>1401</v>
      </c>
      <c r="L29" s="109">
        <v>1402</v>
      </c>
      <c r="M29" s="109">
        <v>2693</v>
      </c>
      <c r="N29" s="109">
        <v>0</v>
      </c>
      <c r="O29" s="109">
        <f t="shared" si="3"/>
        <v>6440</v>
      </c>
      <c r="P29" s="182">
        <f t="shared" si="4"/>
        <v>157.9620734042887</v>
      </c>
      <c r="Q29" s="183"/>
    </row>
    <row r="30" spans="1:17" x14ac:dyDescent="0.6">
      <c r="A30" s="96"/>
      <c r="B30" s="179" t="s">
        <v>468</v>
      </c>
      <c r="C30" s="180" t="s">
        <v>461</v>
      </c>
      <c r="D30" s="180">
        <v>35</v>
      </c>
      <c r="E30" s="181">
        <f>'[8]PILARES - LAZER '!J51</f>
        <v>55.701360000000008</v>
      </c>
      <c r="F30" s="109">
        <f>'[8]PILARES - LAZER '!I51</f>
        <v>491.75279999999981</v>
      </c>
      <c r="G30" s="109">
        <v>369</v>
      </c>
      <c r="H30" s="109">
        <v>913</v>
      </c>
      <c r="I30" s="109">
        <v>0</v>
      </c>
      <c r="J30" s="109">
        <v>0</v>
      </c>
      <c r="K30" s="109">
        <v>1454</v>
      </c>
      <c r="L30" s="109">
        <v>1475</v>
      </c>
      <c r="M30" s="109">
        <v>2629</v>
      </c>
      <c r="N30" s="109">
        <v>0</v>
      </c>
      <c r="O30" s="109">
        <f t="shared" si="3"/>
        <v>6840</v>
      </c>
      <c r="P30" s="182">
        <f t="shared" si="4"/>
        <v>122.79771984023368</v>
      </c>
      <c r="Q30" s="183"/>
    </row>
    <row r="31" spans="1:17" x14ac:dyDescent="0.6">
      <c r="A31" s="96"/>
      <c r="B31" s="179" t="s">
        <v>468</v>
      </c>
      <c r="C31" s="180" t="s">
        <v>462</v>
      </c>
      <c r="D31" s="180">
        <v>35</v>
      </c>
      <c r="E31" s="181">
        <f>'[8]PILARES - L6 TIPO 01'!J36</f>
        <v>33.215040000000002</v>
      </c>
      <c r="F31" s="109">
        <f>'[8]PILARES - L6 TIPO 01'!I36</f>
        <v>281.12399999999997</v>
      </c>
      <c r="G31" s="109">
        <v>531</v>
      </c>
      <c r="H31" s="109">
        <v>87</v>
      </c>
      <c r="I31" s="109">
        <v>0</v>
      </c>
      <c r="J31" s="109">
        <v>0</v>
      </c>
      <c r="K31" s="109">
        <v>670</v>
      </c>
      <c r="L31" s="109">
        <v>1389</v>
      </c>
      <c r="M31" s="109">
        <v>2240</v>
      </c>
      <c r="N31" s="109">
        <v>0</v>
      </c>
      <c r="O31" s="109">
        <f t="shared" si="3"/>
        <v>4917</v>
      </c>
      <c r="P31" s="182">
        <f t="shared" si="4"/>
        <v>148.03534784242319</v>
      </c>
      <c r="Q31" s="183"/>
    </row>
    <row r="32" spans="1:17" x14ac:dyDescent="0.6">
      <c r="A32" s="96"/>
      <c r="B32" s="179" t="s">
        <v>468</v>
      </c>
      <c r="C32" s="180" t="s">
        <v>471</v>
      </c>
      <c r="D32" s="180">
        <v>35</v>
      </c>
      <c r="E32" s="181">
        <f>'[8]PILARES - L7 A L21 TIPO'!J35</f>
        <v>29.718720000000008</v>
      </c>
      <c r="F32" s="109">
        <f>'[8]PILARES - L7 A L21 TIPO'!I35</f>
        <v>246.63600000000002</v>
      </c>
      <c r="G32" s="109">
        <f>416</f>
        <v>416</v>
      </c>
      <c r="H32" s="109">
        <f>29</f>
        <v>29</v>
      </c>
      <c r="I32" s="109">
        <v>0</v>
      </c>
      <c r="J32" s="109">
        <v>0</v>
      </c>
      <c r="K32" s="109">
        <f>709</f>
        <v>709</v>
      </c>
      <c r="L32" s="109">
        <f>1187</f>
        <v>1187</v>
      </c>
      <c r="M32" s="109">
        <f>513</f>
        <v>513</v>
      </c>
      <c r="N32" s="109">
        <v>0</v>
      </c>
      <c r="O32" s="109">
        <f t="shared" si="3"/>
        <v>2854</v>
      </c>
      <c r="P32" s="182">
        <f t="shared" si="4"/>
        <v>96.033745733328999</v>
      </c>
      <c r="Q32" s="90"/>
    </row>
    <row r="33" spans="1:17" x14ac:dyDescent="0.6">
      <c r="A33" s="96"/>
      <c r="B33" s="179" t="s">
        <v>468</v>
      </c>
      <c r="C33" s="180" t="s">
        <v>472</v>
      </c>
      <c r="D33" s="180">
        <v>35</v>
      </c>
      <c r="E33" s="181">
        <f>E32</f>
        <v>29.718720000000008</v>
      </c>
      <c r="F33" s="109">
        <f>F32</f>
        <v>246.63600000000002</v>
      </c>
      <c r="G33" s="109">
        <v>415</v>
      </c>
      <c r="H33" s="109">
        <v>29</v>
      </c>
      <c r="I33" s="109">
        <v>0</v>
      </c>
      <c r="J33" s="109">
        <v>0</v>
      </c>
      <c r="K33" s="109">
        <v>894</v>
      </c>
      <c r="L33" s="109">
        <v>1212</v>
      </c>
      <c r="M33" s="109">
        <v>0</v>
      </c>
      <c r="N33" s="109">
        <v>0</v>
      </c>
      <c r="O33" s="109">
        <f t="shared" si="3"/>
        <v>2550</v>
      </c>
      <c r="P33" s="182">
        <f t="shared" si="4"/>
        <v>85.804503020318478</v>
      </c>
      <c r="Q33" s="90"/>
    </row>
    <row r="34" spans="1:17" x14ac:dyDescent="0.6">
      <c r="A34" s="96"/>
      <c r="B34" s="179" t="s">
        <v>468</v>
      </c>
      <c r="C34" s="180" t="s">
        <v>473</v>
      </c>
      <c r="D34" s="180">
        <v>35</v>
      </c>
      <c r="E34" s="181">
        <f>E32</f>
        <v>29.718720000000008</v>
      </c>
      <c r="F34" s="109">
        <f>F32</f>
        <v>246.63600000000002</v>
      </c>
      <c r="G34" s="109">
        <v>414</v>
      </c>
      <c r="H34" s="109">
        <v>29</v>
      </c>
      <c r="I34" s="109">
        <v>0</v>
      </c>
      <c r="J34" s="109">
        <v>0</v>
      </c>
      <c r="K34" s="109">
        <v>1187</v>
      </c>
      <c r="L34" s="109">
        <v>732</v>
      </c>
      <c r="M34" s="109">
        <v>0</v>
      </c>
      <c r="N34" s="109">
        <v>0</v>
      </c>
      <c r="O34" s="109">
        <f t="shared" si="3"/>
        <v>2362</v>
      </c>
      <c r="P34" s="182">
        <f t="shared" si="4"/>
        <v>79.478523974114609</v>
      </c>
      <c r="Q34" s="90"/>
    </row>
    <row r="35" spans="1:17" x14ac:dyDescent="0.6">
      <c r="A35" s="96"/>
      <c r="B35" s="179" t="s">
        <v>468</v>
      </c>
      <c r="C35" s="180" t="s">
        <v>474</v>
      </c>
      <c r="D35" s="180">
        <v>35</v>
      </c>
      <c r="E35" s="181">
        <f>E32</f>
        <v>29.718720000000008</v>
      </c>
      <c r="F35" s="109">
        <f>F32</f>
        <v>246.63600000000002</v>
      </c>
      <c r="G35" s="109">
        <v>413</v>
      </c>
      <c r="H35" s="109">
        <v>29</v>
      </c>
      <c r="I35" s="109">
        <v>0</v>
      </c>
      <c r="J35" s="109">
        <v>0</v>
      </c>
      <c r="K35" s="109">
        <v>1279</v>
      </c>
      <c r="L35" s="109">
        <v>581</v>
      </c>
      <c r="M35" s="109">
        <v>0</v>
      </c>
      <c r="N35" s="109">
        <v>0</v>
      </c>
      <c r="O35" s="109">
        <f t="shared" si="3"/>
        <v>2302</v>
      </c>
      <c r="P35" s="182">
        <f t="shared" si="4"/>
        <v>77.459594491283582</v>
      </c>
      <c r="Q35" s="90"/>
    </row>
    <row r="36" spans="1:17" x14ac:dyDescent="0.6">
      <c r="A36" s="96"/>
      <c r="B36" s="179" t="s">
        <v>468</v>
      </c>
      <c r="C36" s="180" t="s">
        <v>475</v>
      </c>
      <c r="D36" s="180">
        <v>35</v>
      </c>
      <c r="E36" s="181">
        <f>E32</f>
        <v>29.718720000000008</v>
      </c>
      <c r="F36" s="109">
        <f>F32</f>
        <v>246.63600000000002</v>
      </c>
      <c r="G36" s="109">
        <v>413</v>
      </c>
      <c r="H36" s="109">
        <v>29</v>
      </c>
      <c r="I36" s="109">
        <v>0</v>
      </c>
      <c r="J36" s="109">
        <v>0</v>
      </c>
      <c r="K36" s="109">
        <v>1372</v>
      </c>
      <c r="L36" s="109">
        <v>429</v>
      </c>
      <c r="M36" s="109">
        <v>0</v>
      </c>
      <c r="N36" s="109">
        <v>0</v>
      </c>
      <c r="O36" s="109">
        <f t="shared" si="3"/>
        <v>2243</v>
      </c>
      <c r="P36" s="182">
        <f t="shared" si="4"/>
        <v>75.47431383316642</v>
      </c>
      <c r="Q36" s="90"/>
    </row>
    <row r="37" spans="1:17" x14ac:dyDescent="0.6">
      <c r="A37" s="96"/>
      <c r="B37" s="179" t="s">
        <v>468</v>
      </c>
      <c r="C37" s="180" t="s">
        <v>476</v>
      </c>
      <c r="D37" s="180">
        <v>35</v>
      </c>
      <c r="E37" s="181">
        <f>E32*9</f>
        <v>267.46848000000006</v>
      </c>
      <c r="F37" s="109">
        <f>F32*9</f>
        <v>2219.7240000000002</v>
      </c>
      <c r="G37" s="109">
        <f>401*9</f>
        <v>3609</v>
      </c>
      <c r="H37" s="109">
        <f>9*29</f>
        <v>261</v>
      </c>
      <c r="I37" s="109">
        <v>0</v>
      </c>
      <c r="J37" s="109">
        <v>0</v>
      </c>
      <c r="K37" s="109">
        <f>9*1479</f>
        <v>13311</v>
      </c>
      <c r="L37" s="109">
        <f>9*126</f>
        <v>1134</v>
      </c>
      <c r="M37" s="109">
        <v>0</v>
      </c>
      <c r="N37" s="109">
        <v>0</v>
      </c>
      <c r="O37" s="109">
        <f t="shared" si="3"/>
        <v>18315</v>
      </c>
      <c r="P37" s="182">
        <f t="shared" si="4"/>
        <v>68.475358292685542</v>
      </c>
      <c r="Q37" s="90"/>
    </row>
    <row r="38" spans="1:17" x14ac:dyDescent="0.6">
      <c r="A38" s="96"/>
      <c r="B38" s="179" t="s">
        <v>468</v>
      </c>
      <c r="C38" s="180" t="s">
        <v>466</v>
      </c>
      <c r="D38" s="180">
        <v>35</v>
      </c>
      <c r="E38" s="181">
        <f>E32</f>
        <v>29.718720000000008</v>
      </c>
      <c r="F38" s="109">
        <f>F32</f>
        <v>246.63600000000002</v>
      </c>
      <c r="G38" s="109">
        <v>401</v>
      </c>
      <c r="H38" s="109">
        <v>29</v>
      </c>
      <c r="I38" s="109">
        <v>0</v>
      </c>
      <c r="J38" s="109">
        <v>0</v>
      </c>
      <c r="K38" s="109">
        <v>1330</v>
      </c>
      <c r="L38" s="109">
        <v>126</v>
      </c>
      <c r="M38" s="109">
        <v>0</v>
      </c>
      <c r="N38" s="109">
        <v>0</v>
      </c>
      <c r="O38" s="109">
        <f t="shared" si="3"/>
        <v>1886</v>
      </c>
      <c r="P38" s="182">
        <f t="shared" si="4"/>
        <v>63.461683410321825</v>
      </c>
      <c r="Q38" s="90"/>
    </row>
    <row r="39" spans="1:17" ht="78.75" x14ac:dyDescent="0.6">
      <c r="A39" s="96"/>
      <c r="B39" s="184" t="s">
        <v>468</v>
      </c>
      <c r="C39" s="185" t="s">
        <v>477</v>
      </c>
      <c r="D39" s="185">
        <v>35</v>
      </c>
      <c r="E39" s="186">
        <f>'[8]PILARES - L22 L23 L24'!J35</f>
        <v>19.950560000000003</v>
      </c>
      <c r="F39" s="112">
        <f>'[8]PILARES - L22 L23 L24'!I35</f>
        <v>168.44800000000001</v>
      </c>
      <c r="G39" s="112">
        <v>271</v>
      </c>
      <c r="H39" s="112">
        <v>67</v>
      </c>
      <c r="I39" s="112">
        <v>0</v>
      </c>
      <c r="J39" s="112">
        <v>0</v>
      </c>
      <c r="K39" s="112">
        <v>941</v>
      </c>
      <c r="L39" s="112">
        <v>223</v>
      </c>
      <c r="M39" s="112">
        <v>0</v>
      </c>
      <c r="N39" s="112">
        <v>0</v>
      </c>
      <c r="O39" s="109">
        <f t="shared" si="3"/>
        <v>1502</v>
      </c>
      <c r="P39" s="182">
        <f t="shared" si="4"/>
        <v>75.286107257139633</v>
      </c>
      <c r="Q39" s="90"/>
    </row>
    <row r="40" spans="1:17" ht="22.5" thickBot="1" x14ac:dyDescent="0.65">
      <c r="A40" s="96"/>
      <c r="B40" s="187"/>
      <c r="C40" s="188" t="s">
        <v>226</v>
      </c>
      <c r="D40" s="188">
        <v>35</v>
      </c>
      <c r="E40" s="190">
        <f>SUM(E26:E39)</f>
        <v>693.66968000000008</v>
      </c>
      <c r="F40" s="197">
        <f>SUM(F26:F39)</f>
        <v>5861.1136000000006</v>
      </c>
      <c r="G40" s="197">
        <f t="shared" ref="G40:O40" si="5">SUM(G26:G39)</f>
        <v>8231</v>
      </c>
      <c r="H40" s="197">
        <f t="shared" si="5"/>
        <v>4028</v>
      </c>
      <c r="I40" s="197">
        <f t="shared" si="5"/>
        <v>0</v>
      </c>
      <c r="J40" s="197">
        <f t="shared" si="5"/>
        <v>0</v>
      </c>
      <c r="K40" s="197">
        <f t="shared" si="5"/>
        <v>26124</v>
      </c>
      <c r="L40" s="197">
        <f t="shared" si="5"/>
        <v>14481</v>
      </c>
      <c r="M40" s="197">
        <f t="shared" si="5"/>
        <v>17857</v>
      </c>
      <c r="N40" s="197">
        <f t="shared" si="5"/>
        <v>0</v>
      </c>
      <c r="O40" s="197">
        <f t="shared" si="5"/>
        <v>70721</v>
      </c>
      <c r="P40" s="197">
        <f>O40/E40</f>
        <v>101.95198383184341</v>
      </c>
      <c r="Q40" s="90"/>
    </row>
    <row r="41" spans="1:17" x14ac:dyDescent="0.6">
      <c r="A41" s="96"/>
      <c r="B41" s="97"/>
      <c r="C41" s="97"/>
      <c r="D41" s="97"/>
      <c r="E41" s="97"/>
      <c r="F41" s="98"/>
      <c r="G41" s="98"/>
      <c r="H41" s="98"/>
      <c r="I41" s="98"/>
      <c r="J41" s="98"/>
      <c r="K41" s="98"/>
      <c r="L41" s="98"/>
      <c r="M41" s="98"/>
      <c r="N41" s="98"/>
      <c r="O41" s="99"/>
      <c r="P41" s="99"/>
      <c r="Q41" s="90"/>
    </row>
    <row r="42" spans="1:17" x14ac:dyDescent="0.6">
      <c r="A42" s="91" t="s">
        <v>478</v>
      </c>
      <c r="B42" s="92"/>
      <c r="C42" s="92"/>
      <c r="D42" s="92"/>
      <c r="E42" s="92"/>
      <c r="F42" s="93"/>
      <c r="G42" s="93"/>
      <c r="H42" s="93"/>
      <c r="I42" s="93"/>
      <c r="J42" s="93"/>
      <c r="K42" s="93"/>
      <c r="L42" s="93"/>
      <c r="M42" s="93"/>
      <c r="N42" s="93"/>
      <c r="O42" s="94"/>
      <c r="P42" s="94"/>
      <c r="Q42" s="95"/>
    </row>
    <row r="43" spans="1:17" ht="22.5" thickBot="1" x14ac:dyDescent="0.65">
      <c r="A43" s="96"/>
      <c r="B43" s="97"/>
      <c r="C43" s="97"/>
      <c r="D43" s="97"/>
      <c r="E43" s="97"/>
      <c r="F43" s="98"/>
      <c r="G43" s="98"/>
      <c r="H43" s="98"/>
      <c r="I43" s="98"/>
      <c r="J43" s="98"/>
      <c r="K43" s="98"/>
      <c r="L43" s="98"/>
      <c r="M43" s="98"/>
      <c r="N43" s="98"/>
      <c r="O43" s="99"/>
      <c r="P43" s="99"/>
      <c r="Q43" s="90"/>
    </row>
    <row r="44" spans="1:17" ht="47.25" x14ac:dyDescent="0.6">
      <c r="A44" s="96"/>
      <c r="B44" s="100" t="s">
        <v>403</v>
      </c>
      <c r="C44" s="101" t="s">
        <v>457</v>
      </c>
      <c r="D44" s="102" t="s">
        <v>404</v>
      </c>
      <c r="E44" s="102" t="s">
        <v>469</v>
      </c>
      <c r="F44" s="102" t="s">
        <v>470</v>
      </c>
      <c r="G44" s="102" t="s">
        <v>407</v>
      </c>
      <c r="H44" s="102" t="s">
        <v>408</v>
      </c>
      <c r="I44" s="102" t="s">
        <v>409</v>
      </c>
      <c r="J44" s="102" t="s">
        <v>410</v>
      </c>
      <c r="K44" s="102" t="s">
        <v>411</v>
      </c>
      <c r="L44" s="102" t="s">
        <v>412</v>
      </c>
      <c r="M44" s="102" t="s">
        <v>413</v>
      </c>
      <c r="N44" s="102" t="s">
        <v>414</v>
      </c>
      <c r="O44" s="103" t="s">
        <v>415</v>
      </c>
      <c r="P44" s="104" t="s">
        <v>416</v>
      </c>
      <c r="Q44" s="90"/>
    </row>
    <row r="45" spans="1:17" x14ac:dyDescent="0.6">
      <c r="A45" s="96"/>
      <c r="B45" s="179" t="s">
        <v>479</v>
      </c>
      <c r="C45" s="180" t="s">
        <v>458</v>
      </c>
      <c r="D45" s="180">
        <v>35</v>
      </c>
      <c r="E45" s="181">
        <v>87</v>
      </c>
      <c r="F45" s="109">
        <f>[8]LAJES_FORMAS!G13</f>
        <v>91.829999999999984</v>
      </c>
      <c r="G45" s="109">
        <v>0</v>
      </c>
      <c r="H45" s="109">
        <v>92</v>
      </c>
      <c r="I45" s="109">
        <v>1045</v>
      </c>
      <c r="J45" s="109">
        <v>1371</v>
      </c>
      <c r="K45" s="109">
        <v>1374</v>
      </c>
      <c r="L45" s="109">
        <v>0</v>
      </c>
      <c r="M45" s="109">
        <v>0</v>
      </c>
      <c r="N45" s="109">
        <v>0</v>
      </c>
      <c r="O45" s="109">
        <f>SUM(G45:N45)</f>
        <v>3882</v>
      </c>
      <c r="P45" s="182">
        <f t="shared" ref="P45:P52" si="6">O45/E45</f>
        <v>44.620689655172413</v>
      </c>
      <c r="Q45" s="90"/>
    </row>
    <row r="46" spans="1:17" x14ac:dyDescent="0.6">
      <c r="A46" s="96"/>
      <c r="B46" s="179" t="s">
        <v>479</v>
      </c>
      <c r="C46" s="180" t="s">
        <v>459</v>
      </c>
      <c r="D46" s="180">
        <v>35</v>
      </c>
      <c r="E46" s="181">
        <v>98</v>
      </c>
      <c r="F46" s="109">
        <f>[8]LAJES_FORMAS!G18</f>
        <v>140.32</v>
      </c>
      <c r="G46" s="109">
        <v>0</v>
      </c>
      <c r="H46" s="109">
        <v>62</v>
      </c>
      <c r="I46" s="109">
        <v>1157</v>
      </c>
      <c r="J46" s="109">
        <v>715</v>
      </c>
      <c r="K46" s="109">
        <v>2756</v>
      </c>
      <c r="L46" s="109">
        <v>77</v>
      </c>
      <c r="M46" s="109">
        <v>0</v>
      </c>
      <c r="N46" s="109">
        <v>0</v>
      </c>
      <c r="O46" s="109">
        <f t="shared" ref="O46:O52" si="7">SUM(G46:N46)</f>
        <v>4767</v>
      </c>
      <c r="P46" s="182">
        <f t="shared" si="6"/>
        <v>48.642857142857146</v>
      </c>
      <c r="Q46" s="90"/>
    </row>
    <row r="47" spans="1:17" x14ac:dyDescent="0.6">
      <c r="A47" s="96"/>
      <c r="B47" s="179" t="s">
        <v>479</v>
      </c>
      <c r="C47" s="180" t="s">
        <v>460</v>
      </c>
      <c r="D47" s="180">
        <v>35</v>
      </c>
      <c r="E47" s="181">
        <v>98</v>
      </c>
      <c r="F47" s="109">
        <f>[8]LAJES_FORMAS!G23</f>
        <v>140.41999999999999</v>
      </c>
      <c r="G47" s="109">
        <v>0</v>
      </c>
      <c r="H47" s="109">
        <v>62</v>
      </c>
      <c r="I47" s="109">
        <v>1157</v>
      </c>
      <c r="J47" s="109">
        <v>715</v>
      </c>
      <c r="K47" s="109">
        <v>2756</v>
      </c>
      <c r="L47" s="109">
        <v>77</v>
      </c>
      <c r="M47" s="109">
        <v>0</v>
      </c>
      <c r="N47" s="109">
        <v>0</v>
      </c>
      <c r="O47" s="109">
        <f t="shared" si="7"/>
        <v>4767</v>
      </c>
      <c r="P47" s="182">
        <f t="shared" si="6"/>
        <v>48.642857142857146</v>
      </c>
      <c r="Q47" s="183"/>
    </row>
    <row r="48" spans="1:17" x14ac:dyDescent="0.6">
      <c r="A48" s="96"/>
      <c r="B48" s="179" t="s">
        <v>479</v>
      </c>
      <c r="C48" s="180" t="s">
        <v>461</v>
      </c>
      <c r="D48" s="180">
        <v>35</v>
      </c>
      <c r="E48" s="181">
        <v>77</v>
      </c>
      <c r="F48" s="109">
        <f>[8]LAJES_FORMAS!G28</f>
        <v>46.169999999999995</v>
      </c>
      <c r="G48" s="109">
        <v>0</v>
      </c>
      <c r="H48" s="109">
        <v>62</v>
      </c>
      <c r="I48" s="109">
        <v>1045</v>
      </c>
      <c r="J48" s="109">
        <v>2305</v>
      </c>
      <c r="K48" s="109">
        <v>317</v>
      </c>
      <c r="L48" s="109">
        <v>0</v>
      </c>
      <c r="M48" s="109">
        <v>0</v>
      </c>
      <c r="N48" s="109">
        <v>0</v>
      </c>
      <c r="O48" s="109">
        <f t="shared" si="7"/>
        <v>3729</v>
      </c>
      <c r="P48" s="182">
        <f t="shared" si="6"/>
        <v>48.428571428571431</v>
      </c>
      <c r="Q48" s="183"/>
    </row>
    <row r="49" spans="1:17" x14ac:dyDescent="0.6">
      <c r="A49" s="96"/>
      <c r="B49" s="179" t="s">
        <v>479</v>
      </c>
      <c r="C49" s="180" t="s">
        <v>480</v>
      </c>
      <c r="D49" s="180">
        <v>35</v>
      </c>
      <c r="E49" s="181">
        <v>56</v>
      </c>
      <c r="F49" s="109">
        <f>[8]LAJES_FORMAS!G33</f>
        <v>81.759999999999991</v>
      </c>
      <c r="G49" s="109">
        <v>0</v>
      </c>
      <c r="H49" s="109">
        <v>0</v>
      </c>
      <c r="I49" s="109">
        <v>904</v>
      </c>
      <c r="J49" s="109">
        <v>202</v>
      </c>
      <c r="K49" s="109">
        <v>1745</v>
      </c>
      <c r="L49" s="109">
        <v>856</v>
      </c>
      <c r="M49" s="109">
        <v>0</v>
      </c>
      <c r="N49" s="109">
        <v>0</v>
      </c>
      <c r="O49" s="109">
        <f t="shared" si="7"/>
        <v>3707</v>
      </c>
      <c r="P49" s="182">
        <f t="shared" si="6"/>
        <v>66.196428571428569</v>
      </c>
      <c r="Q49" s="183"/>
    </row>
    <row r="50" spans="1:17" ht="47.25" x14ac:dyDescent="0.6">
      <c r="A50" s="96"/>
      <c r="B50" s="179" t="s">
        <v>479</v>
      </c>
      <c r="C50" s="180" t="s">
        <v>481</v>
      </c>
      <c r="D50" s="180">
        <v>35</v>
      </c>
      <c r="E50" s="181">
        <f>14*55</f>
        <v>770</v>
      </c>
      <c r="F50" s="109">
        <f>14*F49</f>
        <v>1144.6399999999999</v>
      </c>
      <c r="G50" s="109">
        <v>0</v>
      </c>
      <c r="H50" s="109">
        <v>0</v>
      </c>
      <c r="I50" s="109">
        <f>14*878</f>
        <v>12292</v>
      </c>
      <c r="J50" s="109">
        <f>14*391</f>
        <v>5474</v>
      </c>
      <c r="K50" s="109">
        <f>14*1691</f>
        <v>23674</v>
      </c>
      <c r="L50" s="109">
        <f>14*801</f>
        <v>11214</v>
      </c>
      <c r="M50" s="109">
        <v>0</v>
      </c>
      <c r="N50" s="109">
        <v>0</v>
      </c>
      <c r="O50" s="109">
        <f t="shared" si="7"/>
        <v>52654</v>
      </c>
      <c r="P50" s="182">
        <f t="shared" si="6"/>
        <v>68.381818181818176</v>
      </c>
      <c r="Q50" s="90"/>
    </row>
    <row r="51" spans="1:17" x14ac:dyDescent="0.6">
      <c r="A51" s="96"/>
      <c r="B51" s="179" t="s">
        <v>479</v>
      </c>
      <c r="C51" s="185" t="s">
        <v>466</v>
      </c>
      <c r="D51" s="180">
        <v>35</v>
      </c>
      <c r="E51" s="181">
        <v>55</v>
      </c>
      <c r="F51" s="109">
        <f>[8]LAJES_FORMAS!G38</f>
        <v>79.16</v>
      </c>
      <c r="G51" s="109">
        <v>0</v>
      </c>
      <c r="H51" s="109">
        <v>0</v>
      </c>
      <c r="I51" s="109">
        <v>724</v>
      </c>
      <c r="J51" s="109">
        <v>739</v>
      </c>
      <c r="K51" s="109">
        <v>1047</v>
      </c>
      <c r="L51" s="109">
        <v>0</v>
      </c>
      <c r="M51" s="109">
        <v>0</v>
      </c>
      <c r="N51" s="109">
        <v>0</v>
      </c>
      <c r="O51" s="109">
        <f t="shared" si="7"/>
        <v>2510</v>
      </c>
      <c r="P51" s="182">
        <f t="shared" si="6"/>
        <v>45.636363636363633</v>
      </c>
      <c r="Q51" s="90"/>
    </row>
    <row r="52" spans="1:17" ht="78.75" x14ac:dyDescent="0.6">
      <c r="A52" s="96"/>
      <c r="B52" s="179" t="s">
        <v>479</v>
      </c>
      <c r="C52" s="185" t="s">
        <v>477</v>
      </c>
      <c r="D52" s="180">
        <v>35</v>
      </c>
      <c r="E52" s="181">
        <f>1+10</f>
        <v>11</v>
      </c>
      <c r="F52" s="109">
        <f>[8]LAJES_FORMAS!G42</f>
        <v>77.216200000000001</v>
      </c>
      <c r="G52" s="109">
        <v>0</v>
      </c>
      <c r="H52" s="109">
        <v>0</v>
      </c>
      <c r="I52" s="109">
        <f>34+261</f>
        <v>295</v>
      </c>
      <c r="J52" s="109">
        <f>377</f>
        <v>377</v>
      </c>
      <c r="K52" s="109">
        <v>213</v>
      </c>
      <c r="L52" s="109">
        <v>0</v>
      </c>
      <c r="M52" s="109">
        <v>0</v>
      </c>
      <c r="N52" s="109">
        <v>0</v>
      </c>
      <c r="O52" s="109">
        <f t="shared" si="7"/>
        <v>885</v>
      </c>
      <c r="P52" s="182">
        <f t="shared" si="6"/>
        <v>80.454545454545453</v>
      </c>
      <c r="Q52" s="90"/>
    </row>
    <row r="53" spans="1:17" ht="22.5" thickBot="1" x14ac:dyDescent="0.65">
      <c r="A53" s="96"/>
      <c r="B53" s="187"/>
      <c r="C53" s="188" t="s">
        <v>226</v>
      </c>
      <c r="D53" s="188"/>
      <c r="E53" s="190">
        <f t="shared" ref="E53:O53" si="8">SUM(E45:E52)</f>
        <v>1252</v>
      </c>
      <c r="F53" s="190">
        <f t="shared" si="8"/>
        <v>1801.5162</v>
      </c>
      <c r="G53" s="190">
        <f t="shared" si="8"/>
        <v>0</v>
      </c>
      <c r="H53" s="190">
        <f t="shared" si="8"/>
        <v>278</v>
      </c>
      <c r="I53" s="190">
        <f t="shared" si="8"/>
        <v>18619</v>
      </c>
      <c r="J53" s="190">
        <f t="shared" si="8"/>
        <v>11898</v>
      </c>
      <c r="K53" s="190">
        <f t="shared" si="8"/>
        <v>33882</v>
      </c>
      <c r="L53" s="190">
        <f t="shared" si="8"/>
        <v>12224</v>
      </c>
      <c r="M53" s="190">
        <f t="shared" si="8"/>
        <v>0</v>
      </c>
      <c r="N53" s="190">
        <f t="shared" si="8"/>
        <v>0</v>
      </c>
      <c r="O53" s="190">
        <f t="shared" si="8"/>
        <v>76901</v>
      </c>
      <c r="P53" s="190">
        <f>O53/E53</f>
        <v>61.422523961661341</v>
      </c>
      <c r="Q53" s="90"/>
    </row>
    <row r="54" spans="1:17" x14ac:dyDescent="0.6">
      <c r="A54" s="96"/>
      <c r="B54" s="97"/>
      <c r="C54" s="97"/>
      <c r="D54" s="97"/>
      <c r="E54" s="97"/>
      <c r="F54" s="98"/>
      <c r="G54" s="98"/>
      <c r="H54" s="98"/>
      <c r="I54" s="98"/>
      <c r="J54" s="98"/>
      <c r="K54" s="98"/>
      <c r="L54" s="98"/>
      <c r="M54" s="98"/>
      <c r="N54" s="98"/>
      <c r="O54" s="99"/>
      <c r="P54" s="99"/>
      <c r="Q54" s="90"/>
    </row>
    <row r="55" spans="1:17" x14ac:dyDescent="0.6">
      <c r="A55" s="91" t="s">
        <v>478</v>
      </c>
      <c r="B55" s="92"/>
      <c r="C55" s="92"/>
      <c r="D55" s="92"/>
      <c r="E55" s="92"/>
      <c r="F55" s="93"/>
      <c r="G55" s="93"/>
      <c r="H55" s="93"/>
      <c r="I55" s="93"/>
      <c r="J55" s="93"/>
      <c r="K55" s="93"/>
      <c r="L55" s="93"/>
      <c r="M55" s="93"/>
      <c r="N55" s="93"/>
      <c r="O55" s="94"/>
      <c r="P55" s="94"/>
      <c r="Q55" s="95"/>
    </row>
    <row r="56" spans="1:17" ht="22.5" thickBot="1" x14ac:dyDescent="0.65">
      <c r="A56" s="96"/>
      <c r="B56" s="97"/>
      <c r="C56" s="97"/>
      <c r="D56" s="97"/>
      <c r="E56" s="97"/>
      <c r="F56" s="98"/>
      <c r="G56" s="98"/>
      <c r="H56" s="98"/>
      <c r="I56" s="98"/>
      <c r="J56" s="98"/>
      <c r="K56" s="98"/>
      <c r="L56" s="98"/>
      <c r="M56" s="98"/>
      <c r="N56" s="98"/>
      <c r="O56" s="99"/>
      <c r="P56" s="99"/>
      <c r="Q56" s="90"/>
    </row>
    <row r="57" spans="1:17" ht="31.5" x14ac:dyDescent="0.6">
      <c r="A57" s="96"/>
      <c r="B57" s="100" t="s">
        <v>403</v>
      </c>
      <c r="C57" s="101" t="s">
        <v>457</v>
      </c>
      <c r="D57" s="102" t="s">
        <v>482</v>
      </c>
      <c r="E57" s="102" t="s">
        <v>483</v>
      </c>
      <c r="F57" s="102" t="s">
        <v>484</v>
      </c>
      <c r="G57" s="102" t="s">
        <v>485</v>
      </c>
      <c r="H57" s="102"/>
      <c r="I57" s="102"/>
      <c r="J57" s="102"/>
      <c r="K57" s="102"/>
      <c r="L57" s="102"/>
      <c r="M57" s="102"/>
      <c r="N57" s="102"/>
      <c r="O57" s="103"/>
      <c r="P57" s="104"/>
      <c r="Q57" s="90"/>
    </row>
    <row r="58" spans="1:17" x14ac:dyDescent="0.6">
      <c r="A58" s="96"/>
      <c r="B58" s="192" t="s">
        <v>479</v>
      </c>
      <c r="C58" s="193" t="s">
        <v>419</v>
      </c>
      <c r="D58" s="198">
        <v>64</v>
      </c>
      <c r="E58" s="194">
        <v>1384</v>
      </c>
      <c r="F58" s="194">
        <v>0</v>
      </c>
      <c r="G58" s="195">
        <v>0</v>
      </c>
      <c r="H58" s="195"/>
      <c r="I58" s="195"/>
      <c r="J58" s="195"/>
      <c r="K58" s="195"/>
      <c r="L58" s="195"/>
      <c r="M58" s="195"/>
      <c r="N58" s="195"/>
      <c r="O58" s="199"/>
      <c r="P58" s="196"/>
      <c r="Q58" s="90"/>
    </row>
    <row r="59" spans="1:17" x14ac:dyDescent="0.6">
      <c r="A59" s="96"/>
      <c r="B59" s="179" t="s">
        <v>479</v>
      </c>
      <c r="C59" s="180" t="s">
        <v>458</v>
      </c>
      <c r="D59" s="200">
        <v>56</v>
      </c>
      <c r="E59" s="181">
        <v>1221</v>
      </c>
      <c r="F59" s="181">
        <v>1220</v>
      </c>
      <c r="G59" s="109">
        <v>211</v>
      </c>
      <c r="H59" s="109"/>
      <c r="I59" s="109"/>
      <c r="J59" s="109"/>
      <c r="K59" s="109"/>
      <c r="L59" s="109"/>
      <c r="M59" s="109"/>
      <c r="N59" s="109"/>
      <c r="O59" s="201"/>
      <c r="P59" s="202"/>
      <c r="Q59" s="90"/>
    </row>
    <row r="60" spans="1:17" x14ac:dyDescent="0.6">
      <c r="A60" s="96"/>
      <c r="B60" s="179" t="s">
        <v>479</v>
      </c>
      <c r="C60" s="180" t="s">
        <v>459</v>
      </c>
      <c r="D60" s="200">
        <v>60</v>
      </c>
      <c r="E60" s="181">
        <v>1299</v>
      </c>
      <c r="F60" s="181">
        <v>1233</v>
      </c>
      <c r="G60" s="109">
        <v>191</v>
      </c>
      <c r="H60" s="109"/>
      <c r="I60" s="109"/>
      <c r="J60" s="109"/>
      <c r="K60" s="109"/>
      <c r="L60" s="109"/>
      <c r="M60" s="109"/>
      <c r="N60" s="109"/>
      <c r="O60" s="201"/>
      <c r="P60" s="202"/>
      <c r="Q60" s="90"/>
    </row>
    <row r="61" spans="1:17" x14ac:dyDescent="0.6">
      <c r="A61" s="96"/>
      <c r="B61" s="179" t="s">
        <v>479</v>
      </c>
      <c r="C61" s="180" t="s">
        <v>460</v>
      </c>
      <c r="D61" s="200">
        <v>60</v>
      </c>
      <c r="E61" s="181">
        <v>1299</v>
      </c>
      <c r="F61" s="181">
        <v>1233</v>
      </c>
      <c r="G61" s="109">
        <v>191</v>
      </c>
      <c r="H61" s="109"/>
      <c r="I61" s="109"/>
      <c r="J61" s="109"/>
      <c r="K61" s="109"/>
      <c r="L61" s="109"/>
      <c r="M61" s="109"/>
      <c r="N61" s="109"/>
      <c r="O61" s="201"/>
      <c r="P61" s="202"/>
      <c r="Q61" s="90"/>
    </row>
    <row r="62" spans="1:17" x14ac:dyDescent="0.6">
      <c r="A62" s="96"/>
      <c r="B62" s="179" t="s">
        <v>479</v>
      </c>
      <c r="C62" s="180" t="s">
        <v>461</v>
      </c>
      <c r="D62" s="200">
        <v>52</v>
      </c>
      <c r="E62" s="181">
        <v>1144</v>
      </c>
      <c r="F62" s="181">
        <v>1103</v>
      </c>
      <c r="G62" s="109">
        <v>158</v>
      </c>
      <c r="H62" s="109"/>
      <c r="I62" s="109"/>
      <c r="J62" s="109"/>
      <c r="K62" s="109"/>
      <c r="L62" s="109"/>
      <c r="M62" s="109"/>
      <c r="N62" s="109"/>
      <c r="O62" s="201"/>
      <c r="P62" s="202"/>
      <c r="Q62" s="90"/>
    </row>
    <row r="63" spans="1:17" x14ac:dyDescent="0.6">
      <c r="A63" s="96"/>
      <c r="B63" s="179" t="s">
        <v>479</v>
      </c>
      <c r="C63" s="180" t="s">
        <v>480</v>
      </c>
      <c r="D63" s="200">
        <v>35</v>
      </c>
      <c r="E63" s="181">
        <v>758</v>
      </c>
      <c r="F63" s="109">
        <v>732</v>
      </c>
      <c r="G63" s="109">
        <v>98</v>
      </c>
      <c r="H63" s="109"/>
      <c r="I63" s="109"/>
      <c r="J63" s="109"/>
      <c r="K63" s="109"/>
      <c r="L63" s="109"/>
      <c r="M63" s="109"/>
      <c r="N63" s="109"/>
      <c r="O63" s="201"/>
      <c r="P63" s="202"/>
      <c r="Q63" s="90"/>
    </row>
    <row r="64" spans="1:17" ht="47.25" x14ac:dyDescent="0.6">
      <c r="A64" s="96"/>
      <c r="B64" s="179" t="s">
        <v>479</v>
      </c>
      <c r="C64" s="180" t="s">
        <v>481</v>
      </c>
      <c r="D64" s="200">
        <f>14*34</f>
        <v>476</v>
      </c>
      <c r="E64" s="181">
        <f>14*745</f>
        <v>10430</v>
      </c>
      <c r="F64" s="109">
        <f>14*671</f>
        <v>9394</v>
      </c>
      <c r="G64" s="109">
        <f>14*123</f>
        <v>1722</v>
      </c>
      <c r="H64" s="109"/>
      <c r="I64" s="109"/>
      <c r="J64" s="109"/>
      <c r="K64" s="109"/>
      <c r="L64" s="109"/>
      <c r="M64" s="109"/>
      <c r="N64" s="109"/>
      <c r="O64" s="201"/>
      <c r="P64" s="202"/>
      <c r="Q64" s="90"/>
    </row>
    <row r="65" spans="1:17" x14ac:dyDescent="0.6">
      <c r="A65" s="96"/>
      <c r="B65" s="179" t="s">
        <v>479</v>
      </c>
      <c r="C65" s="185" t="s">
        <v>466</v>
      </c>
      <c r="D65" s="180">
        <v>34</v>
      </c>
      <c r="E65" s="181">
        <v>745</v>
      </c>
      <c r="F65" s="109">
        <v>671</v>
      </c>
      <c r="G65" s="109">
        <v>123</v>
      </c>
      <c r="H65" s="109"/>
      <c r="I65" s="109"/>
      <c r="J65" s="109"/>
      <c r="K65" s="109"/>
      <c r="L65" s="109"/>
      <c r="M65" s="109"/>
      <c r="N65" s="109"/>
      <c r="O65" s="201"/>
      <c r="P65" s="202"/>
      <c r="Q65" s="90"/>
    </row>
    <row r="66" spans="1:17" ht="78.75" x14ac:dyDescent="0.6">
      <c r="A66" s="96"/>
      <c r="B66" s="179" t="s">
        <v>479</v>
      </c>
      <c r="C66" s="185" t="s">
        <v>477</v>
      </c>
      <c r="D66" s="180">
        <f>1+6</f>
        <v>7</v>
      </c>
      <c r="E66" s="181">
        <f>13+121</f>
        <v>134</v>
      </c>
      <c r="F66" s="109">
        <v>0</v>
      </c>
      <c r="G66" s="109">
        <v>0</v>
      </c>
      <c r="H66" s="109"/>
      <c r="I66" s="109"/>
      <c r="J66" s="109"/>
      <c r="K66" s="109"/>
      <c r="L66" s="109"/>
      <c r="M66" s="109"/>
      <c r="N66" s="109"/>
      <c r="O66" s="201"/>
      <c r="P66" s="202"/>
      <c r="Q66" s="90"/>
    </row>
    <row r="67" spans="1:17" ht="22.5" thickBot="1" x14ac:dyDescent="0.65">
      <c r="A67" s="96"/>
      <c r="B67" s="187"/>
      <c r="C67" s="188" t="s">
        <v>226</v>
      </c>
      <c r="D67" s="203">
        <f>SUM(D58:D66)</f>
        <v>844</v>
      </c>
      <c r="E67" s="203">
        <f t="shared" ref="E67:G67" si="9">SUM(E58:E66)</f>
        <v>18414</v>
      </c>
      <c r="F67" s="203">
        <f t="shared" si="9"/>
        <v>15586</v>
      </c>
      <c r="G67" s="203">
        <f t="shared" si="9"/>
        <v>2694</v>
      </c>
      <c r="H67" s="204"/>
      <c r="I67" s="204"/>
      <c r="J67" s="204"/>
      <c r="K67" s="204"/>
      <c r="L67" s="204"/>
      <c r="M67" s="204"/>
      <c r="N67" s="204"/>
      <c r="O67" s="205"/>
      <c r="P67" s="206"/>
      <c r="Q67" s="90"/>
    </row>
    <row r="68" spans="1:17" x14ac:dyDescent="0.6">
      <c r="A68" s="96"/>
      <c r="B68" s="97"/>
      <c r="C68" s="97"/>
      <c r="D68" s="97"/>
      <c r="E68" s="97"/>
      <c r="F68" s="98"/>
      <c r="G68" s="98"/>
      <c r="H68" s="98"/>
      <c r="I68" s="98"/>
      <c r="J68" s="98"/>
      <c r="K68" s="98"/>
      <c r="L68" s="98"/>
      <c r="M68" s="98"/>
      <c r="N68" s="98"/>
      <c r="O68" s="99"/>
      <c r="P68" s="99"/>
      <c r="Q68" s="90"/>
    </row>
    <row r="69" spans="1:17" x14ac:dyDescent="0.6">
      <c r="A69" s="91" t="s">
        <v>486</v>
      </c>
      <c r="B69" s="92"/>
      <c r="C69" s="92"/>
      <c r="D69" s="92"/>
      <c r="E69" s="92"/>
      <c r="F69" s="93"/>
      <c r="G69" s="93"/>
      <c r="H69" s="93"/>
      <c r="I69" s="93"/>
      <c r="J69" s="93"/>
      <c r="K69" s="93"/>
      <c r="L69" s="93"/>
      <c r="M69" s="93"/>
      <c r="N69" s="93"/>
      <c r="O69" s="94"/>
      <c r="P69" s="94"/>
      <c r="Q69" s="95"/>
    </row>
    <row r="70" spans="1:17" ht="22.5" thickBot="1" x14ac:dyDescent="0.65">
      <c r="A70" s="96"/>
      <c r="B70" s="97"/>
      <c r="C70" s="97"/>
      <c r="D70" s="97"/>
      <c r="E70" s="97"/>
      <c r="F70" s="98"/>
      <c r="G70" s="98"/>
      <c r="H70" s="98"/>
      <c r="I70" s="98"/>
      <c r="J70" s="98"/>
      <c r="K70" s="98"/>
      <c r="L70" s="98"/>
      <c r="M70" s="98"/>
      <c r="N70" s="98"/>
      <c r="O70" s="99"/>
      <c r="P70" s="99"/>
      <c r="Q70" s="90"/>
    </row>
    <row r="71" spans="1:17" ht="47.25" x14ac:dyDescent="0.6">
      <c r="A71" s="96"/>
      <c r="B71" s="100" t="s">
        <v>403</v>
      </c>
      <c r="C71" s="101" t="s">
        <v>457</v>
      </c>
      <c r="D71" s="102" t="s">
        <v>404</v>
      </c>
      <c r="E71" s="102" t="s">
        <v>469</v>
      </c>
      <c r="F71" s="102" t="s">
        <v>470</v>
      </c>
      <c r="G71" s="102" t="s">
        <v>407</v>
      </c>
      <c r="H71" s="102" t="s">
        <v>408</v>
      </c>
      <c r="I71" s="102" t="s">
        <v>409</v>
      </c>
      <c r="J71" s="102" t="s">
        <v>410</v>
      </c>
      <c r="K71" s="102" t="s">
        <v>411</v>
      </c>
      <c r="L71" s="102" t="s">
        <v>412</v>
      </c>
      <c r="M71" s="102" t="s">
        <v>413</v>
      </c>
      <c r="N71" s="102" t="s">
        <v>414</v>
      </c>
      <c r="O71" s="103" t="s">
        <v>415</v>
      </c>
      <c r="P71" s="104" t="s">
        <v>416</v>
      </c>
      <c r="Q71" s="90"/>
    </row>
    <row r="72" spans="1:17" x14ac:dyDescent="0.6">
      <c r="A72" s="96"/>
      <c r="B72" s="192" t="s">
        <v>487</v>
      </c>
      <c r="C72" s="193" t="s">
        <v>488</v>
      </c>
      <c r="D72" s="193">
        <v>35</v>
      </c>
      <c r="E72" s="194">
        <f>[8]ESCADAS!AD7</f>
        <v>4.7115900000000002</v>
      </c>
      <c r="F72" s="195">
        <f>[8]ESCADAS!AC7</f>
        <v>24.206099999999999</v>
      </c>
      <c r="G72" s="195">
        <v>0</v>
      </c>
      <c r="H72" s="195">
        <v>0</v>
      </c>
      <c r="I72" s="195">
        <v>96</v>
      </c>
      <c r="J72" s="195">
        <v>124</v>
      </c>
      <c r="K72" s="195">
        <v>0</v>
      </c>
      <c r="L72" s="195">
        <v>0</v>
      </c>
      <c r="M72" s="195">
        <v>0</v>
      </c>
      <c r="N72" s="195">
        <v>0</v>
      </c>
      <c r="O72" s="195">
        <f>SUM(H72:N72)</f>
        <v>220</v>
      </c>
      <c r="P72" s="207">
        <f>O72/E72</f>
        <v>46.693366782763356</v>
      </c>
      <c r="Q72" s="90"/>
    </row>
    <row r="73" spans="1:17" x14ac:dyDescent="0.6">
      <c r="A73" s="96"/>
      <c r="B73" s="179" t="s">
        <v>487</v>
      </c>
      <c r="C73" s="180" t="s">
        <v>489</v>
      </c>
      <c r="D73" s="180">
        <v>35</v>
      </c>
      <c r="E73" s="181">
        <f>[8]ESCADAS!AD8</f>
        <v>7.8390899999999988</v>
      </c>
      <c r="F73" s="109">
        <f>[8]ESCADAS!AC8</f>
        <v>38.495099999999994</v>
      </c>
      <c r="G73" s="109">
        <v>0</v>
      </c>
      <c r="H73" s="109">
        <v>0</v>
      </c>
      <c r="I73" s="109">
        <f>2*96</f>
        <v>192</v>
      </c>
      <c r="J73" s="109">
        <f>2*124</f>
        <v>248</v>
      </c>
      <c r="K73" s="109">
        <v>0</v>
      </c>
      <c r="L73" s="109">
        <v>0</v>
      </c>
      <c r="M73" s="109">
        <v>0</v>
      </c>
      <c r="N73" s="109">
        <v>0</v>
      </c>
      <c r="O73" s="109">
        <f>SUM(G73:N73)</f>
        <v>440</v>
      </c>
      <c r="P73" s="182">
        <f>O73/E73</f>
        <v>56.128963948621596</v>
      </c>
      <c r="Q73" s="90"/>
    </row>
    <row r="74" spans="1:17" x14ac:dyDescent="0.6">
      <c r="A74" s="96"/>
      <c r="B74" s="179" t="s">
        <v>487</v>
      </c>
      <c r="C74" s="180" t="s">
        <v>490</v>
      </c>
      <c r="D74" s="180">
        <v>35</v>
      </c>
      <c r="E74" s="181">
        <f>[8]ESCADAS!AD9</f>
        <v>4.7115900000000002</v>
      </c>
      <c r="F74" s="109">
        <f>[8]ESCADAS!AC9</f>
        <v>24.206099999999999</v>
      </c>
      <c r="G74" s="109">
        <v>0</v>
      </c>
      <c r="H74" s="109">
        <v>0</v>
      </c>
      <c r="I74" s="109">
        <v>54</v>
      </c>
      <c r="J74" s="109">
        <v>0</v>
      </c>
      <c r="K74" s="109">
        <v>76</v>
      </c>
      <c r="L74" s="109">
        <v>0</v>
      </c>
      <c r="M74" s="109">
        <v>0</v>
      </c>
      <c r="N74" s="109">
        <v>0</v>
      </c>
      <c r="O74" s="109">
        <f t="shared" ref="O74:O76" si="10">SUM(G74:N74)</f>
        <v>130</v>
      </c>
      <c r="P74" s="182">
        <f t="shared" ref="P74:P76" si="11">O74/E74</f>
        <v>27.591534917087436</v>
      </c>
      <c r="Q74" s="183"/>
    </row>
    <row r="75" spans="1:17" x14ac:dyDescent="0.6">
      <c r="A75" s="96"/>
      <c r="B75" s="179" t="s">
        <v>487</v>
      </c>
      <c r="C75" s="180" t="s">
        <v>491</v>
      </c>
      <c r="D75" s="180">
        <v>35</v>
      </c>
      <c r="E75" s="181">
        <f>[8]ESCADAS!AD10</f>
        <v>4.4232300000000002</v>
      </c>
      <c r="F75" s="109">
        <f>[8]ESCADAS!AC10</f>
        <v>22.085700000000003</v>
      </c>
      <c r="G75" s="109">
        <v>0</v>
      </c>
      <c r="H75" s="109">
        <v>0</v>
      </c>
      <c r="I75" s="109">
        <v>25</v>
      </c>
      <c r="J75" s="109">
        <v>0</v>
      </c>
      <c r="K75" s="109">
        <v>121</v>
      </c>
      <c r="L75" s="109">
        <v>0</v>
      </c>
      <c r="M75" s="109">
        <v>0</v>
      </c>
      <c r="N75" s="109">
        <v>0</v>
      </c>
      <c r="O75" s="109">
        <f t="shared" si="10"/>
        <v>146</v>
      </c>
      <c r="P75" s="182">
        <f t="shared" si="11"/>
        <v>33.007553303807398</v>
      </c>
      <c r="Q75" s="90"/>
    </row>
    <row r="76" spans="1:17" x14ac:dyDescent="0.6">
      <c r="A76" s="96"/>
      <c r="B76" s="179" t="s">
        <v>487</v>
      </c>
      <c r="C76" s="180" t="s">
        <v>492</v>
      </c>
      <c r="D76" s="180">
        <v>35</v>
      </c>
      <c r="E76" s="181">
        <f>[8]ESCADAS!AD11</f>
        <v>58.081724999999992</v>
      </c>
      <c r="F76" s="109">
        <f>[8]ESCADAS!AC11</f>
        <v>292.13774999999998</v>
      </c>
      <c r="G76" s="109">
        <v>0</v>
      </c>
      <c r="H76" s="109">
        <v>0</v>
      </c>
      <c r="I76" s="109">
        <v>719</v>
      </c>
      <c r="J76" s="109">
        <v>911</v>
      </c>
      <c r="K76" s="109">
        <v>0</v>
      </c>
      <c r="L76" s="109">
        <v>0</v>
      </c>
      <c r="M76" s="109">
        <v>0</v>
      </c>
      <c r="N76" s="109">
        <v>0</v>
      </c>
      <c r="O76" s="109">
        <f t="shared" si="10"/>
        <v>1630</v>
      </c>
      <c r="P76" s="182">
        <f t="shared" si="11"/>
        <v>28.063904782442329</v>
      </c>
      <c r="Q76" s="90"/>
    </row>
    <row r="77" spans="1:17" ht="22.5" thickBot="1" x14ac:dyDescent="0.65">
      <c r="A77" s="96"/>
      <c r="B77" s="187"/>
      <c r="C77" s="188" t="s">
        <v>226</v>
      </c>
      <c r="D77" s="189"/>
      <c r="E77" s="190">
        <f>SUM(E72:E76)</f>
        <v>79.767224999999996</v>
      </c>
      <c r="F77" s="190">
        <f t="shared" ref="F77:O77" si="12">SUM(F72:F76)</f>
        <v>401.13074999999998</v>
      </c>
      <c r="G77" s="190">
        <f t="shared" si="12"/>
        <v>0</v>
      </c>
      <c r="H77" s="190">
        <f t="shared" si="12"/>
        <v>0</v>
      </c>
      <c r="I77" s="190">
        <f t="shared" si="12"/>
        <v>1086</v>
      </c>
      <c r="J77" s="190">
        <f t="shared" si="12"/>
        <v>1283</v>
      </c>
      <c r="K77" s="190">
        <f t="shared" si="12"/>
        <v>197</v>
      </c>
      <c r="L77" s="190">
        <f t="shared" si="12"/>
        <v>0</v>
      </c>
      <c r="M77" s="190">
        <f t="shared" si="12"/>
        <v>0</v>
      </c>
      <c r="N77" s="190">
        <f t="shared" si="12"/>
        <v>0</v>
      </c>
      <c r="O77" s="190">
        <f t="shared" si="12"/>
        <v>2566</v>
      </c>
      <c r="P77" s="208">
        <f>O77/E77</f>
        <v>32.168600574985533</v>
      </c>
      <c r="Q77" s="90"/>
    </row>
    <row r="78" spans="1:17" x14ac:dyDescent="0.6">
      <c r="A78" s="91" t="s">
        <v>493</v>
      </c>
      <c r="B78" s="92"/>
      <c r="C78" s="92"/>
      <c r="D78" s="92"/>
      <c r="E78" s="92"/>
      <c r="F78" s="93"/>
      <c r="G78" s="93"/>
      <c r="H78" s="93"/>
      <c r="I78" s="93"/>
      <c r="J78" s="93"/>
      <c r="K78" s="93"/>
      <c r="L78" s="93"/>
      <c r="M78" s="93"/>
      <c r="N78" s="93"/>
      <c r="O78" s="94"/>
      <c r="P78" s="94"/>
      <c r="Q78" s="95"/>
    </row>
    <row r="79" spans="1:17" ht="22.5" thickBot="1" x14ac:dyDescent="0.65">
      <c r="A79" s="96"/>
      <c r="B79" s="97"/>
      <c r="C79" s="97"/>
      <c r="D79" s="97"/>
      <c r="E79" s="97"/>
      <c r="F79" s="98"/>
      <c r="G79" s="98"/>
      <c r="H79" s="98"/>
      <c r="I79" s="98"/>
      <c r="J79" s="98"/>
      <c r="K79" s="98"/>
      <c r="L79" s="98"/>
      <c r="M79" s="98"/>
      <c r="N79" s="98"/>
      <c r="O79" s="99"/>
      <c r="P79" s="99"/>
      <c r="Q79" s="90"/>
    </row>
    <row r="80" spans="1:17" ht="47.25" x14ac:dyDescent="0.6">
      <c r="A80" s="96"/>
      <c r="B80" s="100" t="s">
        <v>403</v>
      </c>
      <c r="C80" s="101" t="s">
        <v>457</v>
      </c>
      <c r="D80" s="102" t="s">
        <v>404</v>
      </c>
      <c r="E80" s="102" t="s">
        <v>469</v>
      </c>
      <c r="F80" s="102" t="s">
        <v>470</v>
      </c>
      <c r="G80" s="102" t="s">
        <v>407</v>
      </c>
      <c r="H80" s="102" t="s">
        <v>408</v>
      </c>
      <c r="I80" s="102" t="s">
        <v>409</v>
      </c>
      <c r="J80" s="102" t="s">
        <v>410</v>
      </c>
      <c r="K80" s="102" t="s">
        <v>411</v>
      </c>
      <c r="L80" s="102" t="s">
        <v>412</v>
      </c>
      <c r="M80" s="102" t="s">
        <v>413</v>
      </c>
      <c r="N80" s="102" t="s">
        <v>414</v>
      </c>
      <c r="O80" s="103" t="s">
        <v>415</v>
      </c>
      <c r="P80" s="104" t="s">
        <v>416</v>
      </c>
      <c r="Q80" s="90"/>
    </row>
    <row r="81" spans="1:19" x14ac:dyDescent="0.6">
      <c r="A81" s="96"/>
      <c r="B81" s="192" t="s">
        <v>494</v>
      </c>
      <c r="C81" s="193" t="s">
        <v>488</v>
      </c>
      <c r="D81" s="193">
        <v>35</v>
      </c>
      <c r="E81" s="194">
        <v>11.5</v>
      </c>
      <c r="F81" s="195">
        <f>19.19*4</f>
        <v>76.760000000000005</v>
      </c>
      <c r="G81" s="195">
        <v>0</v>
      </c>
      <c r="H81" s="195">
        <v>0</v>
      </c>
      <c r="I81" s="195">
        <v>160</v>
      </c>
      <c r="J81" s="195">
        <v>347</v>
      </c>
      <c r="K81" s="195">
        <v>0</v>
      </c>
      <c r="L81" s="195">
        <v>0</v>
      </c>
      <c r="M81" s="195">
        <v>0</v>
      </c>
      <c r="N81" s="195">
        <v>0</v>
      </c>
      <c r="O81" s="195">
        <f>SUM(H81:N81)</f>
        <v>507</v>
      </c>
      <c r="P81" s="207">
        <f>O81/E81</f>
        <v>44.086956521739133</v>
      </c>
      <c r="Q81" s="90"/>
    </row>
    <row r="82" spans="1:19" x14ac:dyDescent="0.6">
      <c r="A82" s="96"/>
      <c r="B82" s="179" t="s">
        <v>494</v>
      </c>
      <c r="C82" s="180" t="s">
        <v>495</v>
      </c>
      <c r="D82" s="180">
        <v>35</v>
      </c>
      <c r="E82" s="181">
        <v>8.5</v>
      </c>
      <c r="F82" s="109">
        <f>14.03*4</f>
        <v>56.12</v>
      </c>
      <c r="G82" s="109">
        <v>0</v>
      </c>
      <c r="H82" s="109">
        <v>0</v>
      </c>
      <c r="I82" s="109">
        <v>129</v>
      </c>
      <c r="J82" s="109">
        <v>254</v>
      </c>
      <c r="K82" s="109">
        <v>0</v>
      </c>
      <c r="L82" s="109">
        <v>0</v>
      </c>
      <c r="M82" s="109">
        <v>0</v>
      </c>
      <c r="N82" s="109">
        <v>0</v>
      </c>
      <c r="O82" s="109">
        <f>SUM(G82:N82)</f>
        <v>383</v>
      </c>
      <c r="P82" s="182">
        <f>O82/E82</f>
        <v>45.058823529411768</v>
      </c>
      <c r="Q82" s="183"/>
    </row>
    <row r="83" spans="1:19" x14ac:dyDescent="0.6">
      <c r="A83" s="96"/>
      <c r="B83" s="179" t="s">
        <v>494</v>
      </c>
      <c r="C83" s="180" t="s">
        <v>496</v>
      </c>
      <c r="D83" s="180">
        <v>35</v>
      </c>
      <c r="E83" s="181">
        <v>8.5</v>
      </c>
      <c r="F83" s="109">
        <f>14.03*4</f>
        <v>56.12</v>
      </c>
      <c r="G83" s="109">
        <v>0</v>
      </c>
      <c r="H83" s="109">
        <v>0</v>
      </c>
      <c r="I83" s="109">
        <v>129</v>
      </c>
      <c r="J83" s="109">
        <v>254</v>
      </c>
      <c r="K83" s="109">
        <v>0</v>
      </c>
      <c r="L83" s="109">
        <v>0</v>
      </c>
      <c r="M83" s="109">
        <v>0</v>
      </c>
      <c r="N83" s="109">
        <v>0</v>
      </c>
      <c r="O83" s="109">
        <f t="shared" ref="O83" si="13">SUM(G83:N83)</f>
        <v>383</v>
      </c>
      <c r="P83" s="182">
        <f t="shared" ref="P83" si="14">O83/E83</f>
        <v>45.058823529411768</v>
      </c>
      <c r="Q83" s="90"/>
    </row>
    <row r="84" spans="1:19" ht="22.5" thickBot="1" x14ac:dyDescent="0.65">
      <c r="A84" s="96"/>
      <c r="B84" s="187"/>
      <c r="C84" s="188" t="s">
        <v>226</v>
      </c>
      <c r="D84" s="188"/>
      <c r="E84" s="190">
        <f t="shared" ref="E84:O84" si="15">SUM(E81:E83)</f>
        <v>28.5</v>
      </c>
      <c r="F84" s="190">
        <f t="shared" si="15"/>
        <v>189</v>
      </c>
      <c r="G84" s="190">
        <f t="shared" si="15"/>
        <v>0</v>
      </c>
      <c r="H84" s="190">
        <f t="shared" si="15"/>
        <v>0</v>
      </c>
      <c r="I84" s="190">
        <f t="shared" si="15"/>
        <v>418</v>
      </c>
      <c r="J84" s="190">
        <f t="shared" si="15"/>
        <v>855</v>
      </c>
      <c r="K84" s="190">
        <f t="shared" si="15"/>
        <v>0</v>
      </c>
      <c r="L84" s="190">
        <f t="shared" si="15"/>
        <v>0</v>
      </c>
      <c r="M84" s="190">
        <f t="shared" si="15"/>
        <v>0</v>
      </c>
      <c r="N84" s="190">
        <f t="shared" si="15"/>
        <v>0</v>
      </c>
      <c r="O84" s="190">
        <f t="shared" si="15"/>
        <v>1273</v>
      </c>
      <c r="P84" s="208">
        <f>O84/E84</f>
        <v>44.666666666666664</v>
      </c>
      <c r="Q84" s="90"/>
    </row>
    <row r="85" spans="1:19" ht="22.5" thickBot="1" x14ac:dyDescent="0.65">
      <c r="A85" s="96"/>
      <c r="B85" s="97"/>
      <c r="C85" s="97"/>
      <c r="D85" s="97"/>
      <c r="E85" s="97"/>
      <c r="F85" s="98"/>
      <c r="G85" s="98"/>
      <c r="H85" s="98"/>
      <c r="I85" s="98"/>
      <c r="J85" s="98"/>
      <c r="K85" s="98"/>
      <c r="L85" s="98"/>
      <c r="M85" s="98"/>
      <c r="N85" s="98"/>
      <c r="O85" s="99"/>
      <c r="P85" s="99"/>
      <c r="Q85" s="90"/>
    </row>
    <row r="86" spans="1:19" ht="31.5" x14ac:dyDescent="0.6">
      <c r="B86" s="100" t="s">
        <v>403</v>
      </c>
      <c r="C86" s="101" t="s">
        <v>457</v>
      </c>
      <c r="D86" s="102" t="s">
        <v>482</v>
      </c>
      <c r="E86" s="102" t="s">
        <v>483</v>
      </c>
      <c r="F86" s="102"/>
      <c r="G86" s="102"/>
      <c r="H86" s="102"/>
      <c r="I86" s="102"/>
      <c r="J86" s="102"/>
      <c r="K86" s="102"/>
      <c r="L86" s="102"/>
      <c r="M86" s="102"/>
      <c r="N86" s="102"/>
      <c r="O86" s="103"/>
      <c r="P86" s="104"/>
    </row>
    <row r="87" spans="1:19" x14ac:dyDescent="0.6">
      <c r="B87" s="192" t="s">
        <v>494</v>
      </c>
      <c r="C87" s="193" t="s">
        <v>488</v>
      </c>
      <c r="D87" s="193">
        <v>6</v>
      </c>
      <c r="E87" s="194">
        <v>131</v>
      </c>
      <c r="F87" s="195"/>
      <c r="G87" s="195"/>
      <c r="H87" s="195"/>
      <c r="I87" s="195"/>
      <c r="J87" s="195"/>
      <c r="K87" s="195"/>
      <c r="L87" s="195"/>
      <c r="M87" s="195"/>
      <c r="N87" s="195"/>
      <c r="O87" s="195"/>
      <c r="P87" s="207"/>
    </row>
    <row r="88" spans="1:19" x14ac:dyDescent="0.6">
      <c r="B88" s="179" t="s">
        <v>494</v>
      </c>
      <c r="C88" s="180" t="s">
        <v>495</v>
      </c>
      <c r="D88" s="180">
        <v>5</v>
      </c>
      <c r="E88" s="181">
        <v>109</v>
      </c>
      <c r="F88" s="109"/>
      <c r="G88" s="109"/>
      <c r="H88" s="109"/>
      <c r="I88" s="109"/>
      <c r="J88" s="109"/>
      <c r="K88" s="109"/>
      <c r="L88" s="109"/>
      <c r="M88" s="109"/>
      <c r="N88" s="109"/>
      <c r="O88" s="109"/>
      <c r="P88" s="182"/>
    </row>
    <row r="89" spans="1:19" x14ac:dyDescent="0.6">
      <c r="B89" s="179" t="s">
        <v>494</v>
      </c>
      <c r="C89" s="180" t="s">
        <v>496</v>
      </c>
      <c r="D89" s="180">
        <v>5</v>
      </c>
      <c r="E89" s="181">
        <v>109</v>
      </c>
      <c r="F89" s="109"/>
      <c r="G89" s="109"/>
      <c r="H89" s="109"/>
      <c r="I89" s="109"/>
      <c r="J89" s="109"/>
      <c r="K89" s="109"/>
      <c r="L89" s="109"/>
      <c r="M89" s="109"/>
      <c r="N89" s="109"/>
      <c r="O89" s="109"/>
      <c r="P89" s="182"/>
    </row>
    <row r="90" spans="1:19" ht="22.5" thickBot="1" x14ac:dyDescent="0.65">
      <c r="B90" s="187"/>
      <c r="C90" s="188" t="s">
        <v>226</v>
      </c>
      <c r="D90" s="188">
        <f t="shared" ref="D90:P90" si="16">SUM(D87:D89)</f>
        <v>16</v>
      </c>
      <c r="E90" s="190">
        <f t="shared" si="16"/>
        <v>349</v>
      </c>
      <c r="F90" s="190">
        <f t="shared" si="16"/>
        <v>0</v>
      </c>
      <c r="G90" s="190">
        <f t="shared" si="16"/>
        <v>0</v>
      </c>
      <c r="H90" s="190">
        <f t="shared" si="16"/>
        <v>0</v>
      </c>
      <c r="I90" s="190">
        <f t="shared" si="16"/>
        <v>0</v>
      </c>
      <c r="J90" s="190">
        <f t="shared" si="16"/>
        <v>0</v>
      </c>
      <c r="K90" s="190">
        <f t="shared" si="16"/>
        <v>0</v>
      </c>
      <c r="L90" s="190">
        <f t="shared" si="16"/>
        <v>0</v>
      </c>
      <c r="M90" s="190">
        <f t="shared" si="16"/>
        <v>0</v>
      </c>
      <c r="N90" s="190">
        <f t="shared" si="16"/>
        <v>0</v>
      </c>
      <c r="O90" s="190">
        <f t="shared" si="16"/>
        <v>0</v>
      </c>
      <c r="P90" s="208">
        <f t="shared" si="16"/>
        <v>0</v>
      </c>
    </row>
    <row r="92" spans="1:19" x14ac:dyDescent="0.6">
      <c r="A92" s="775" t="s">
        <v>497</v>
      </c>
      <c r="B92" s="775"/>
      <c r="C92" s="775"/>
      <c r="D92" s="775"/>
      <c r="E92" s="775"/>
      <c r="F92" s="775"/>
      <c r="G92" s="775"/>
      <c r="H92" s="775"/>
      <c r="I92" s="775"/>
      <c r="J92" s="775"/>
      <c r="K92" s="775"/>
      <c r="L92" s="775"/>
      <c r="M92" s="775"/>
      <c r="N92" s="775"/>
      <c r="O92" s="775"/>
      <c r="P92" s="775"/>
    </row>
    <row r="93" spans="1:19" ht="22.5" thickBot="1" x14ac:dyDescent="0.65"/>
    <row r="94" spans="1:19" ht="47.25" x14ac:dyDescent="0.6">
      <c r="B94" s="100" t="s">
        <v>403</v>
      </c>
      <c r="C94" s="101" t="s">
        <v>457</v>
      </c>
      <c r="D94" s="102" t="s">
        <v>404</v>
      </c>
      <c r="E94" s="102" t="s">
        <v>405</v>
      </c>
      <c r="F94" s="102" t="s">
        <v>406</v>
      </c>
      <c r="G94" s="102" t="s">
        <v>407</v>
      </c>
      <c r="H94" s="102" t="s">
        <v>408</v>
      </c>
      <c r="I94" s="102" t="s">
        <v>409</v>
      </c>
      <c r="J94" s="102" t="s">
        <v>410</v>
      </c>
      <c r="K94" s="102" t="s">
        <v>411</v>
      </c>
      <c r="L94" s="102" t="s">
        <v>412</v>
      </c>
      <c r="M94" s="102" t="s">
        <v>413</v>
      </c>
      <c r="N94" s="102" t="s">
        <v>414</v>
      </c>
      <c r="O94" s="103" t="s">
        <v>415</v>
      </c>
      <c r="P94" s="104" t="s">
        <v>416</v>
      </c>
      <c r="S94" s="209"/>
    </row>
    <row r="95" spans="1:19" x14ac:dyDescent="0.6">
      <c r="B95" s="179" t="s">
        <v>456</v>
      </c>
      <c r="C95" s="180" t="s">
        <v>226</v>
      </c>
      <c r="D95" s="180">
        <v>35</v>
      </c>
      <c r="E95" s="181">
        <f>E21</f>
        <v>540.62939769999991</v>
      </c>
      <c r="F95" s="109">
        <f t="shared" ref="F95:P95" si="17">F21</f>
        <v>5124.4968500000004</v>
      </c>
      <c r="G95" s="109">
        <f t="shared" si="17"/>
        <v>2493</v>
      </c>
      <c r="H95" s="109">
        <f t="shared" si="17"/>
        <v>4807</v>
      </c>
      <c r="I95" s="109">
        <f t="shared" si="17"/>
        <v>3281</v>
      </c>
      <c r="J95" s="109">
        <f t="shared" si="17"/>
        <v>3991</v>
      </c>
      <c r="K95" s="109">
        <f t="shared" si="17"/>
        <v>10915</v>
      </c>
      <c r="L95" s="109">
        <f t="shared" si="17"/>
        <v>21691</v>
      </c>
      <c r="M95" s="109">
        <f t="shared" si="17"/>
        <v>14957</v>
      </c>
      <c r="N95" s="109">
        <f t="shared" si="17"/>
        <v>0</v>
      </c>
      <c r="O95" s="109">
        <f t="shared" si="17"/>
        <v>62135</v>
      </c>
      <c r="P95" s="182">
        <f t="shared" si="17"/>
        <v>114.93085700544769</v>
      </c>
      <c r="S95" s="210"/>
    </row>
    <row r="96" spans="1:19" x14ac:dyDescent="0.6">
      <c r="B96" s="179" t="s">
        <v>498</v>
      </c>
      <c r="C96" s="180" t="s">
        <v>226</v>
      </c>
      <c r="D96" s="180">
        <v>35</v>
      </c>
      <c r="E96" s="181">
        <f>E40</f>
        <v>693.66968000000008</v>
      </c>
      <c r="F96" s="109">
        <f t="shared" ref="F96:P96" si="18">F40</f>
        <v>5861.1136000000006</v>
      </c>
      <c r="G96" s="109">
        <f t="shared" si="18"/>
        <v>8231</v>
      </c>
      <c r="H96" s="109">
        <f t="shared" si="18"/>
        <v>4028</v>
      </c>
      <c r="I96" s="109">
        <f t="shared" si="18"/>
        <v>0</v>
      </c>
      <c r="J96" s="109">
        <f t="shared" si="18"/>
        <v>0</v>
      </c>
      <c r="K96" s="109">
        <f t="shared" si="18"/>
        <v>26124</v>
      </c>
      <c r="L96" s="109">
        <f t="shared" si="18"/>
        <v>14481</v>
      </c>
      <c r="M96" s="109">
        <f t="shared" si="18"/>
        <v>17857</v>
      </c>
      <c r="N96" s="109">
        <f t="shared" si="18"/>
        <v>0</v>
      </c>
      <c r="O96" s="109">
        <f t="shared" si="18"/>
        <v>70721</v>
      </c>
      <c r="P96" s="182">
        <f t="shared" si="18"/>
        <v>101.95198383184341</v>
      </c>
      <c r="S96" s="210"/>
    </row>
    <row r="97" spans="2:19" x14ac:dyDescent="0.6">
      <c r="B97" s="179" t="s">
        <v>479</v>
      </c>
      <c r="C97" s="180" t="s">
        <v>226</v>
      </c>
      <c r="D97" s="180">
        <v>35</v>
      </c>
      <c r="E97" s="181">
        <f>E53</f>
        <v>1252</v>
      </c>
      <c r="F97" s="109">
        <f t="shared" ref="F97:P97" si="19">F53</f>
        <v>1801.5162</v>
      </c>
      <c r="G97" s="109">
        <f t="shared" si="19"/>
        <v>0</v>
      </c>
      <c r="H97" s="109">
        <f t="shared" si="19"/>
        <v>278</v>
      </c>
      <c r="I97" s="109">
        <f t="shared" si="19"/>
        <v>18619</v>
      </c>
      <c r="J97" s="109">
        <f t="shared" si="19"/>
        <v>11898</v>
      </c>
      <c r="K97" s="109">
        <f t="shared" si="19"/>
        <v>33882</v>
      </c>
      <c r="L97" s="109">
        <f t="shared" si="19"/>
        <v>12224</v>
      </c>
      <c r="M97" s="109">
        <f t="shared" si="19"/>
        <v>0</v>
      </c>
      <c r="N97" s="109">
        <f t="shared" si="19"/>
        <v>0</v>
      </c>
      <c r="O97" s="109">
        <f t="shared" si="19"/>
        <v>76901</v>
      </c>
      <c r="P97" s="182">
        <f t="shared" si="19"/>
        <v>61.422523961661341</v>
      </c>
      <c r="S97" s="210"/>
    </row>
    <row r="98" spans="2:19" x14ac:dyDescent="0.6">
      <c r="B98" s="179" t="s">
        <v>487</v>
      </c>
      <c r="C98" s="180" t="s">
        <v>226</v>
      </c>
      <c r="D98" s="180">
        <v>35</v>
      </c>
      <c r="E98" s="181">
        <f>E77</f>
        <v>79.767224999999996</v>
      </c>
      <c r="F98" s="109">
        <f t="shared" ref="F98:P98" si="20">F77</f>
        <v>401.13074999999998</v>
      </c>
      <c r="G98" s="109">
        <f t="shared" si="20"/>
        <v>0</v>
      </c>
      <c r="H98" s="109">
        <f t="shared" si="20"/>
        <v>0</v>
      </c>
      <c r="I98" s="109">
        <f t="shared" si="20"/>
        <v>1086</v>
      </c>
      <c r="J98" s="109">
        <f t="shared" si="20"/>
        <v>1283</v>
      </c>
      <c r="K98" s="109">
        <f t="shared" si="20"/>
        <v>197</v>
      </c>
      <c r="L98" s="109">
        <f t="shared" si="20"/>
        <v>0</v>
      </c>
      <c r="M98" s="109">
        <f t="shared" si="20"/>
        <v>0</v>
      </c>
      <c r="N98" s="109">
        <f t="shared" si="20"/>
        <v>0</v>
      </c>
      <c r="O98" s="109">
        <f t="shared" si="20"/>
        <v>2566</v>
      </c>
      <c r="P98" s="182">
        <f t="shared" si="20"/>
        <v>32.168600574985533</v>
      </c>
      <c r="S98" s="210"/>
    </row>
    <row r="99" spans="2:19" x14ac:dyDescent="0.6">
      <c r="B99" s="179" t="s">
        <v>494</v>
      </c>
      <c r="C99" s="180" t="s">
        <v>226</v>
      </c>
      <c r="D99" s="180">
        <v>35</v>
      </c>
      <c r="E99" s="181">
        <f>E84</f>
        <v>28.5</v>
      </c>
      <c r="F99" s="109">
        <f t="shared" ref="F99:O99" si="21">F84</f>
        <v>189</v>
      </c>
      <c r="G99" s="109">
        <f t="shared" si="21"/>
        <v>0</v>
      </c>
      <c r="H99" s="109">
        <f t="shared" si="21"/>
        <v>0</v>
      </c>
      <c r="I99" s="109">
        <f t="shared" si="21"/>
        <v>418</v>
      </c>
      <c r="J99" s="109">
        <f t="shared" si="21"/>
        <v>855</v>
      </c>
      <c r="K99" s="109">
        <f t="shared" si="21"/>
        <v>0</v>
      </c>
      <c r="L99" s="109">
        <f t="shared" si="21"/>
        <v>0</v>
      </c>
      <c r="M99" s="109">
        <f t="shared" si="21"/>
        <v>0</v>
      </c>
      <c r="N99" s="109">
        <f t="shared" si="21"/>
        <v>0</v>
      </c>
      <c r="O99" s="109">
        <f t="shared" si="21"/>
        <v>1273</v>
      </c>
      <c r="P99" s="182">
        <f>P84</f>
        <v>44.666666666666664</v>
      </c>
      <c r="S99" s="210"/>
    </row>
    <row r="100" spans="2:19" ht="22.5" thickBot="1" x14ac:dyDescent="0.65">
      <c r="B100" s="187"/>
      <c r="C100" s="188" t="s">
        <v>226</v>
      </c>
      <c r="D100" s="188"/>
      <c r="E100" s="190">
        <f>SUM(E95:E99)</f>
        <v>2594.5663027000001</v>
      </c>
      <c r="F100" s="197">
        <f t="shared" ref="F100:O100" si="22">SUM(F95:F99)</f>
        <v>13377.2574</v>
      </c>
      <c r="G100" s="197">
        <f t="shared" si="22"/>
        <v>10724</v>
      </c>
      <c r="H100" s="197">
        <f t="shared" si="22"/>
        <v>9113</v>
      </c>
      <c r="I100" s="197">
        <f t="shared" si="22"/>
        <v>23404</v>
      </c>
      <c r="J100" s="197">
        <f t="shared" si="22"/>
        <v>18027</v>
      </c>
      <c r="K100" s="197">
        <f t="shared" si="22"/>
        <v>71118</v>
      </c>
      <c r="L100" s="197">
        <f t="shared" si="22"/>
        <v>48396</v>
      </c>
      <c r="M100" s="197">
        <f t="shared" si="22"/>
        <v>32814</v>
      </c>
      <c r="N100" s="197">
        <f t="shared" si="22"/>
        <v>0</v>
      </c>
      <c r="O100" s="197">
        <f t="shared" si="22"/>
        <v>213596</v>
      </c>
      <c r="P100" s="191">
        <f>O100/E100</f>
        <v>82.324356011917772</v>
      </c>
    </row>
    <row r="102" spans="2:19" ht="22.5" thickBot="1" x14ac:dyDescent="0.65"/>
    <row r="103" spans="2:19" ht="31.5" x14ac:dyDescent="0.6">
      <c r="B103" s="100" t="s">
        <v>403</v>
      </c>
      <c r="C103" s="101" t="s">
        <v>457</v>
      </c>
      <c r="D103" s="102" t="s">
        <v>482</v>
      </c>
      <c r="E103" s="102" t="s">
        <v>483</v>
      </c>
      <c r="F103" s="102" t="s">
        <v>484</v>
      </c>
      <c r="G103" s="102" t="s">
        <v>485</v>
      </c>
      <c r="H103" s="102"/>
      <c r="I103" s="102"/>
      <c r="J103" s="102"/>
      <c r="K103" s="102"/>
      <c r="L103" s="102"/>
      <c r="M103" s="102"/>
      <c r="N103" s="102"/>
      <c r="O103" s="103"/>
      <c r="P103" s="104"/>
    </row>
    <row r="104" spans="2:19" x14ac:dyDescent="0.6">
      <c r="B104" s="192" t="s">
        <v>479</v>
      </c>
      <c r="C104" s="193"/>
      <c r="D104" s="198">
        <f>D67</f>
        <v>844</v>
      </c>
      <c r="E104" s="194">
        <f>E67</f>
        <v>18414</v>
      </c>
      <c r="F104" s="194">
        <f>F67</f>
        <v>15586</v>
      </c>
      <c r="G104" s="195">
        <f>G67</f>
        <v>2694</v>
      </c>
      <c r="H104" s="195"/>
      <c r="I104" s="195"/>
      <c r="J104" s="195"/>
      <c r="K104" s="195"/>
      <c r="L104" s="195"/>
      <c r="M104" s="195"/>
      <c r="N104" s="195"/>
      <c r="O104" s="199"/>
      <c r="P104" s="196"/>
    </row>
    <row r="105" spans="2:19" x14ac:dyDescent="0.6">
      <c r="B105" s="179" t="s">
        <v>494</v>
      </c>
      <c r="C105" s="180"/>
      <c r="D105" s="200">
        <f>D90</f>
        <v>16</v>
      </c>
      <c r="E105" s="181">
        <f>E90</f>
        <v>349</v>
      </c>
      <c r="F105" s="181">
        <v>0</v>
      </c>
      <c r="G105" s="109">
        <v>0</v>
      </c>
      <c r="H105" s="109"/>
      <c r="I105" s="109"/>
      <c r="J105" s="109"/>
      <c r="K105" s="109"/>
      <c r="L105" s="109"/>
      <c r="M105" s="109"/>
      <c r="N105" s="109"/>
      <c r="O105" s="201"/>
      <c r="P105" s="202"/>
    </row>
    <row r="106" spans="2:19" ht="22.5" thickBot="1" x14ac:dyDescent="0.65">
      <c r="B106" s="187"/>
      <c r="C106" s="188" t="s">
        <v>226</v>
      </c>
      <c r="D106" s="203">
        <f>SUM(D104:D105)</f>
        <v>860</v>
      </c>
      <c r="E106" s="203">
        <f>SUM(E104:E105)</f>
        <v>18763</v>
      </c>
      <c r="F106" s="203">
        <f>SUM(F104:F105)</f>
        <v>15586</v>
      </c>
      <c r="G106" s="203">
        <f>SUM(G104:G105)</f>
        <v>2694</v>
      </c>
      <c r="H106" s="204"/>
      <c r="I106" s="204"/>
      <c r="J106" s="204"/>
      <c r="K106" s="204"/>
      <c r="L106" s="204"/>
      <c r="M106" s="204"/>
      <c r="N106" s="204"/>
      <c r="O106" s="205"/>
      <c r="P106" s="206"/>
    </row>
    <row r="108" spans="2:19" ht="22.5" thickBot="1" x14ac:dyDescent="0.65"/>
    <row r="109" spans="2:19" ht="33.75" customHeight="1" thickBot="1" x14ac:dyDescent="0.65">
      <c r="B109" s="776" t="s">
        <v>499</v>
      </c>
      <c r="C109" s="777"/>
      <c r="D109" s="777"/>
      <c r="E109" s="778"/>
      <c r="F109" s="194">
        <f>F106/20</f>
        <v>779.3</v>
      </c>
      <c r="G109" s="195">
        <f>G106/20</f>
        <v>134.69999999999999</v>
      </c>
    </row>
    <row r="110" spans="2:19" x14ac:dyDescent="0.6">
      <c r="B110" s="776" t="s">
        <v>500</v>
      </c>
      <c r="C110" s="777"/>
      <c r="D110" s="777"/>
      <c r="E110" s="778"/>
      <c r="F110" s="181">
        <f>F109*3</f>
        <v>2337.8999999999996</v>
      </c>
      <c r="G110" s="109">
        <f>G109*3</f>
        <v>404.09999999999997</v>
      </c>
    </row>
    <row r="111" spans="2:19" ht="22.5" thickBot="1" x14ac:dyDescent="0.65"/>
    <row r="112" spans="2:19" ht="30" customHeight="1" thickBot="1" x14ac:dyDescent="0.65">
      <c r="B112" s="765" t="s">
        <v>1314</v>
      </c>
      <c r="C112" s="766"/>
      <c r="D112" s="766"/>
      <c r="E112" s="766"/>
      <c r="F112" s="608" t="s">
        <v>226</v>
      </c>
      <c r="G112" s="609"/>
      <c r="H112" s="609"/>
    </row>
    <row r="113" spans="2:11" x14ac:dyDescent="0.6">
      <c r="B113" s="769" t="s">
        <v>456</v>
      </c>
      <c r="C113" s="770"/>
      <c r="D113" s="770"/>
      <c r="E113" s="770"/>
      <c r="F113" s="606">
        <f>(F95/20)*2</f>
        <v>512.44968500000004</v>
      </c>
      <c r="G113" s="607"/>
      <c r="H113" s="607"/>
      <c r="K113" s="607"/>
    </row>
    <row r="114" spans="2:11" x14ac:dyDescent="0.6">
      <c r="B114" s="771" t="s">
        <v>498</v>
      </c>
      <c r="C114" s="772"/>
      <c r="D114" s="772"/>
      <c r="E114" s="772"/>
      <c r="F114" s="606">
        <f t="shared" ref="F114:F116" si="23">(F96/20)*2</f>
        <v>586.1113600000001</v>
      </c>
      <c r="G114" s="607"/>
      <c r="H114" s="607"/>
    </row>
    <row r="115" spans="2:11" x14ac:dyDescent="0.6">
      <c r="B115" s="771" t="s">
        <v>479</v>
      </c>
      <c r="C115" s="772"/>
      <c r="D115" s="772"/>
      <c r="E115" s="772"/>
      <c r="F115" s="606">
        <f t="shared" si="23"/>
        <v>180.15162000000001</v>
      </c>
      <c r="G115" s="607"/>
      <c r="H115" s="607"/>
    </row>
    <row r="116" spans="2:11" x14ac:dyDescent="0.6">
      <c r="B116" s="771" t="s">
        <v>487</v>
      </c>
      <c r="C116" s="772"/>
      <c r="D116" s="772"/>
      <c r="E116" s="772"/>
      <c r="F116" s="606">
        <f t="shared" si="23"/>
        <v>40.113074999999995</v>
      </c>
      <c r="G116" s="607"/>
      <c r="H116" s="607"/>
    </row>
    <row r="117" spans="2:11" ht="22.5" thickBot="1" x14ac:dyDescent="0.65">
      <c r="B117" s="773" t="s">
        <v>494</v>
      </c>
      <c r="C117" s="774"/>
      <c r="D117" s="774"/>
      <c r="E117" s="774"/>
      <c r="F117" s="610">
        <f>E90/3</f>
        <v>116.33333333333333</v>
      </c>
      <c r="G117" s="607"/>
    </row>
    <row r="119" spans="2:11" ht="42" customHeight="1" x14ac:dyDescent="0.6">
      <c r="B119" s="767" t="s">
        <v>1315</v>
      </c>
      <c r="C119" s="768"/>
      <c r="D119" s="768"/>
      <c r="E119" s="768"/>
      <c r="F119" s="768"/>
      <c r="G119" s="768"/>
    </row>
  </sheetData>
  <mergeCells count="12">
    <mergeCell ref="A4:Q4"/>
    <mergeCell ref="A6:Q6"/>
    <mergeCell ref="A92:P92"/>
    <mergeCell ref="B109:E109"/>
    <mergeCell ref="B110:E110"/>
    <mergeCell ref="B112:E112"/>
    <mergeCell ref="B119:G119"/>
    <mergeCell ref="B113:E113"/>
    <mergeCell ref="B114:E114"/>
    <mergeCell ref="B115:E115"/>
    <mergeCell ref="B116:E116"/>
    <mergeCell ref="B117:E117"/>
  </mergeCells>
  <pageMargins left="0.51181102362204722" right="0.51181102362204722" top="0.78740157480314965" bottom="0.78740157480314965" header="0.31496062992125984" footer="0.31496062992125984"/>
  <pageSetup paperSize="9" scale="46"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6FB7B-E7BB-4138-8720-96A9A2B854A2}">
  <dimension ref="A1:X44"/>
  <sheetViews>
    <sheetView topLeftCell="A22" zoomScale="96" zoomScaleNormal="96" workbookViewId="0">
      <selection activeCell="H38" sqref="H38"/>
    </sheetView>
  </sheetViews>
  <sheetFormatPr defaultRowHeight="21.75" x14ac:dyDescent="0.6"/>
  <cols>
    <col min="1" max="1" width="19.85546875" style="127" bestFit="1" customWidth="1"/>
    <col min="2" max="2" width="17" style="215" customWidth="1"/>
    <col min="3" max="3" width="16.42578125" style="215" bestFit="1" customWidth="1"/>
    <col min="4" max="4" width="12" style="215" customWidth="1"/>
    <col min="5" max="5" width="14.7109375" style="215" customWidth="1"/>
    <col min="6" max="6" width="15.28515625" style="215" customWidth="1"/>
    <col min="7" max="7" width="20.28515625" style="215" bestFit="1" customWidth="1"/>
    <col min="8" max="8" width="41.7109375" style="215" bestFit="1" customWidth="1"/>
    <col min="9" max="9" width="18.7109375" style="215" bestFit="1" customWidth="1"/>
    <col min="10" max="10" width="15.28515625" style="215" customWidth="1"/>
    <col min="11" max="12" width="16.85546875" style="215" customWidth="1"/>
    <col min="13" max="13" width="17.140625" style="215" bestFit="1" customWidth="1"/>
    <col min="14" max="14" width="18.28515625" style="215" customWidth="1"/>
    <col min="15" max="15" width="10.42578125" style="127" customWidth="1"/>
    <col min="16" max="18" width="9.140625" style="217"/>
    <col min="19" max="20" width="10.7109375" style="217" bestFit="1" customWidth="1"/>
    <col min="21" max="21" width="9.140625" style="217"/>
    <col min="22" max="22" width="10.7109375" style="217" bestFit="1" customWidth="1"/>
    <col min="23" max="23" width="13.28515625" style="217" customWidth="1"/>
    <col min="24" max="256" width="9.140625" style="217"/>
    <col min="257" max="257" width="19.85546875" style="217" bestFit="1" customWidth="1"/>
    <col min="258" max="258" width="17" style="217" customWidth="1"/>
    <col min="259" max="259" width="16.42578125" style="217" bestFit="1" customWidth="1"/>
    <col min="260" max="260" width="12" style="217" customWidth="1"/>
    <col min="261" max="261" width="14.7109375" style="217" customWidth="1"/>
    <col min="262" max="262" width="15.28515625" style="217" customWidth="1"/>
    <col min="263" max="263" width="20.28515625" style="217" bestFit="1" customWidth="1"/>
    <col min="264" max="264" width="41.7109375" style="217" bestFit="1" customWidth="1"/>
    <col min="265" max="265" width="18.7109375" style="217" bestFit="1" customWidth="1"/>
    <col min="266" max="266" width="15.28515625" style="217" customWidth="1"/>
    <col min="267" max="268" width="16.85546875" style="217" customWidth="1"/>
    <col min="269" max="269" width="17.140625" style="217" bestFit="1" customWidth="1"/>
    <col min="270" max="270" width="18.28515625" style="217" customWidth="1"/>
    <col min="271" max="271" width="10.42578125" style="217" customWidth="1"/>
    <col min="272" max="274" width="9.140625" style="217"/>
    <col min="275" max="276" width="10.7109375" style="217" bestFit="1" customWidth="1"/>
    <col min="277" max="277" width="9.140625" style="217"/>
    <col min="278" max="278" width="10.7109375" style="217" bestFit="1" customWidth="1"/>
    <col min="279" max="279" width="13.28515625" style="217" customWidth="1"/>
    <col min="280" max="512" width="9.140625" style="217"/>
    <col min="513" max="513" width="19.85546875" style="217" bestFit="1" customWidth="1"/>
    <col min="514" max="514" width="17" style="217" customWidth="1"/>
    <col min="515" max="515" width="16.42578125" style="217" bestFit="1" customWidth="1"/>
    <col min="516" max="516" width="12" style="217" customWidth="1"/>
    <col min="517" max="517" width="14.7109375" style="217" customWidth="1"/>
    <col min="518" max="518" width="15.28515625" style="217" customWidth="1"/>
    <col min="519" max="519" width="20.28515625" style="217" bestFit="1" customWidth="1"/>
    <col min="520" max="520" width="41.7109375" style="217" bestFit="1" customWidth="1"/>
    <col min="521" max="521" width="18.7109375" style="217" bestFit="1" customWidth="1"/>
    <col min="522" max="522" width="15.28515625" style="217" customWidth="1"/>
    <col min="523" max="524" width="16.85546875" style="217" customWidth="1"/>
    <col min="525" max="525" width="17.140625" style="217" bestFit="1" customWidth="1"/>
    <col min="526" max="526" width="18.28515625" style="217" customWidth="1"/>
    <col min="527" max="527" width="10.42578125" style="217" customWidth="1"/>
    <col min="528" max="530" width="9.140625" style="217"/>
    <col min="531" max="532" width="10.7109375" style="217" bestFit="1" customWidth="1"/>
    <col min="533" max="533" width="9.140625" style="217"/>
    <col min="534" max="534" width="10.7109375" style="217" bestFit="1" customWidth="1"/>
    <col min="535" max="535" width="13.28515625" style="217" customWidth="1"/>
    <col min="536" max="768" width="9.140625" style="217"/>
    <col min="769" max="769" width="19.85546875" style="217" bestFit="1" customWidth="1"/>
    <col min="770" max="770" width="17" style="217" customWidth="1"/>
    <col min="771" max="771" width="16.42578125" style="217" bestFit="1" customWidth="1"/>
    <col min="772" max="772" width="12" style="217" customWidth="1"/>
    <col min="773" max="773" width="14.7109375" style="217" customWidth="1"/>
    <col min="774" max="774" width="15.28515625" style="217" customWidth="1"/>
    <col min="775" max="775" width="20.28515625" style="217" bestFit="1" customWidth="1"/>
    <col min="776" max="776" width="41.7109375" style="217" bestFit="1" customWidth="1"/>
    <col min="777" max="777" width="18.7109375" style="217" bestFit="1" customWidth="1"/>
    <col min="778" max="778" width="15.28515625" style="217" customWidth="1"/>
    <col min="779" max="780" width="16.85546875" style="217" customWidth="1"/>
    <col min="781" max="781" width="17.140625" style="217" bestFit="1" customWidth="1"/>
    <col min="782" max="782" width="18.28515625" style="217" customWidth="1"/>
    <col min="783" max="783" width="10.42578125" style="217" customWidth="1"/>
    <col min="784" max="786" width="9.140625" style="217"/>
    <col min="787" max="788" width="10.7109375" style="217" bestFit="1" customWidth="1"/>
    <col min="789" max="789" width="9.140625" style="217"/>
    <col min="790" max="790" width="10.7109375" style="217" bestFit="1" customWidth="1"/>
    <col min="791" max="791" width="13.28515625" style="217" customWidth="1"/>
    <col min="792" max="1024" width="9.140625" style="217"/>
    <col min="1025" max="1025" width="19.85546875" style="217" bestFit="1" customWidth="1"/>
    <col min="1026" max="1026" width="17" style="217" customWidth="1"/>
    <col min="1027" max="1027" width="16.42578125" style="217" bestFit="1" customWidth="1"/>
    <col min="1028" max="1028" width="12" style="217" customWidth="1"/>
    <col min="1029" max="1029" width="14.7109375" style="217" customWidth="1"/>
    <col min="1030" max="1030" width="15.28515625" style="217" customWidth="1"/>
    <col min="1031" max="1031" width="20.28515625" style="217" bestFit="1" customWidth="1"/>
    <col min="1032" max="1032" width="41.7109375" style="217" bestFit="1" customWidth="1"/>
    <col min="1033" max="1033" width="18.7109375" style="217" bestFit="1" customWidth="1"/>
    <col min="1034" max="1034" width="15.28515625" style="217" customWidth="1"/>
    <col min="1035" max="1036" width="16.85546875" style="217" customWidth="1"/>
    <col min="1037" max="1037" width="17.140625" style="217" bestFit="1" customWidth="1"/>
    <col min="1038" max="1038" width="18.28515625" style="217" customWidth="1"/>
    <col min="1039" max="1039" width="10.42578125" style="217" customWidth="1"/>
    <col min="1040" max="1042" width="9.140625" style="217"/>
    <col min="1043" max="1044" width="10.7109375" style="217" bestFit="1" customWidth="1"/>
    <col min="1045" max="1045" width="9.140625" style="217"/>
    <col min="1046" max="1046" width="10.7109375" style="217" bestFit="1" customWidth="1"/>
    <col min="1047" max="1047" width="13.28515625" style="217" customWidth="1"/>
    <col min="1048" max="1280" width="9.140625" style="217"/>
    <col min="1281" max="1281" width="19.85546875" style="217" bestFit="1" customWidth="1"/>
    <col min="1282" max="1282" width="17" style="217" customWidth="1"/>
    <col min="1283" max="1283" width="16.42578125" style="217" bestFit="1" customWidth="1"/>
    <col min="1284" max="1284" width="12" style="217" customWidth="1"/>
    <col min="1285" max="1285" width="14.7109375" style="217" customWidth="1"/>
    <col min="1286" max="1286" width="15.28515625" style="217" customWidth="1"/>
    <col min="1287" max="1287" width="20.28515625" style="217" bestFit="1" customWidth="1"/>
    <col min="1288" max="1288" width="41.7109375" style="217" bestFit="1" customWidth="1"/>
    <col min="1289" max="1289" width="18.7109375" style="217" bestFit="1" customWidth="1"/>
    <col min="1290" max="1290" width="15.28515625" style="217" customWidth="1"/>
    <col min="1291" max="1292" width="16.85546875" style="217" customWidth="1"/>
    <col min="1293" max="1293" width="17.140625" style="217" bestFit="1" customWidth="1"/>
    <col min="1294" max="1294" width="18.28515625" style="217" customWidth="1"/>
    <col min="1295" max="1295" width="10.42578125" style="217" customWidth="1"/>
    <col min="1296" max="1298" width="9.140625" style="217"/>
    <col min="1299" max="1300" width="10.7109375" style="217" bestFit="1" customWidth="1"/>
    <col min="1301" max="1301" width="9.140625" style="217"/>
    <col min="1302" max="1302" width="10.7109375" style="217" bestFit="1" customWidth="1"/>
    <col min="1303" max="1303" width="13.28515625" style="217" customWidth="1"/>
    <col min="1304" max="1536" width="9.140625" style="217"/>
    <col min="1537" max="1537" width="19.85546875" style="217" bestFit="1" customWidth="1"/>
    <col min="1538" max="1538" width="17" style="217" customWidth="1"/>
    <col min="1539" max="1539" width="16.42578125" style="217" bestFit="1" customWidth="1"/>
    <col min="1540" max="1540" width="12" style="217" customWidth="1"/>
    <col min="1541" max="1541" width="14.7109375" style="217" customWidth="1"/>
    <col min="1542" max="1542" width="15.28515625" style="217" customWidth="1"/>
    <col min="1543" max="1543" width="20.28515625" style="217" bestFit="1" customWidth="1"/>
    <col min="1544" max="1544" width="41.7109375" style="217" bestFit="1" customWidth="1"/>
    <col min="1545" max="1545" width="18.7109375" style="217" bestFit="1" customWidth="1"/>
    <col min="1546" max="1546" width="15.28515625" style="217" customWidth="1"/>
    <col min="1547" max="1548" width="16.85546875" style="217" customWidth="1"/>
    <col min="1549" max="1549" width="17.140625" style="217" bestFit="1" customWidth="1"/>
    <col min="1550" max="1550" width="18.28515625" style="217" customWidth="1"/>
    <col min="1551" max="1551" width="10.42578125" style="217" customWidth="1"/>
    <col min="1552" max="1554" width="9.140625" style="217"/>
    <col min="1555" max="1556" width="10.7109375" style="217" bestFit="1" customWidth="1"/>
    <col min="1557" max="1557" width="9.140625" style="217"/>
    <col min="1558" max="1558" width="10.7109375" style="217" bestFit="1" customWidth="1"/>
    <col min="1559" max="1559" width="13.28515625" style="217" customWidth="1"/>
    <col min="1560" max="1792" width="9.140625" style="217"/>
    <col min="1793" max="1793" width="19.85546875" style="217" bestFit="1" customWidth="1"/>
    <col min="1794" max="1794" width="17" style="217" customWidth="1"/>
    <col min="1795" max="1795" width="16.42578125" style="217" bestFit="1" customWidth="1"/>
    <col min="1796" max="1796" width="12" style="217" customWidth="1"/>
    <col min="1797" max="1797" width="14.7109375" style="217" customWidth="1"/>
    <col min="1798" max="1798" width="15.28515625" style="217" customWidth="1"/>
    <col min="1799" max="1799" width="20.28515625" style="217" bestFit="1" customWidth="1"/>
    <col min="1800" max="1800" width="41.7109375" style="217" bestFit="1" customWidth="1"/>
    <col min="1801" max="1801" width="18.7109375" style="217" bestFit="1" customWidth="1"/>
    <col min="1802" max="1802" width="15.28515625" style="217" customWidth="1"/>
    <col min="1803" max="1804" width="16.85546875" style="217" customWidth="1"/>
    <col min="1805" max="1805" width="17.140625" style="217" bestFit="1" customWidth="1"/>
    <col min="1806" max="1806" width="18.28515625" style="217" customWidth="1"/>
    <col min="1807" max="1807" width="10.42578125" style="217" customWidth="1"/>
    <col min="1808" max="1810" width="9.140625" style="217"/>
    <col min="1811" max="1812" width="10.7109375" style="217" bestFit="1" customWidth="1"/>
    <col min="1813" max="1813" width="9.140625" style="217"/>
    <col min="1814" max="1814" width="10.7109375" style="217" bestFit="1" customWidth="1"/>
    <col min="1815" max="1815" width="13.28515625" style="217" customWidth="1"/>
    <col min="1816" max="2048" width="9.140625" style="217"/>
    <col min="2049" max="2049" width="19.85546875" style="217" bestFit="1" customWidth="1"/>
    <col min="2050" max="2050" width="17" style="217" customWidth="1"/>
    <col min="2051" max="2051" width="16.42578125" style="217" bestFit="1" customWidth="1"/>
    <col min="2052" max="2052" width="12" style="217" customWidth="1"/>
    <col min="2053" max="2053" width="14.7109375" style="217" customWidth="1"/>
    <col min="2054" max="2054" width="15.28515625" style="217" customWidth="1"/>
    <col min="2055" max="2055" width="20.28515625" style="217" bestFit="1" customWidth="1"/>
    <col min="2056" max="2056" width="41.7109375" style="217" bestFit="1" customWidth="1"/>
    <col min="2057" max="2057" width="18.7109375" style="217" bestFit="1" customWidth="1"/>
    <col min="2058" max="2058" width="15.28515625" style="217" customWidth="1"/>
    <col min="2059" max="2060" width="16.85546875" style="217" customWidth="1"/>
    <col min="2061" max="2061" width="17.140625" style="217" bestFit="1" customWidth="1"/>
    <col min="2062" max="2062" width="18.28515625" style="217" customWidth="1"/>
    <col min="2063" max="2063" width="10.42578125" style="217" customWidth="1"/>
    <col min="2064" max="2066" width="9.140625" style="217"/>
    <col min="2067" max="2068" width="10.7109375" style="217" bestFit="1" customWidth="1"/>
    <col min="2069" max="2069" width="9.140625" style="217"/>
    <col min="2070" max="2070" width="10.7109375" style="217" bestFit="1" customWidth="1"/>
    <col min="2071" max="2071" width="13.28515625" style="217" customWidth="1"/>
    <col min="2072" max="2304" width="9.140625" style="217"/>
    <col min="2305" max="2305" width="19.85546875" style="217" bestFit="1" customWidth="1"/>
    <col min="2306" max="2306" width="17" style="217" customWidth="1"/>
    <col min="2307" max="2307" width="16.42578125" style="217" bestFit="1" customWidth="1"/>
    <col min="2308" max="2308" width="12" style="217" customWidth="1"/>
    <col min="2309" max="2309" width="14.7109375" style="217" customWidth="1"/>
    <col min="2310" max="2310" width="15.28515625" style="217" customWidth="1"/>
    <col min="2311" max="2311" width="20.28515625" style="217" bestFit="1" customWidth="1"/>
    <col min="2312" max="2312" width="41.7109375" style="217" bestFit="1" customWidth="1"/>
    <col min="2313" max="2313" width="18.7109375" style="217" bestFit="1" customWidth="1"/>
    <col min="2314" max="2314" width="15.28515625" style="217" customWidth="1"/>
    <col min="2315" max="2316" width="16.85546875" style="217" customWidth="1"/>
    <col min="2317" max="2317" width="17.140625" style="217" bestFit="1" customWidth="1"/>
    <col min="2318" max="2318" width="18.28515625" style="217" customWidth="1"/>
    <col min="2319" max="2319" width="10.42578125" style="217" customWidth="1"/>
    <col min="2320" max="2322" width="9.140625" style="217"/>
    <col min="2323" max="2324" width="10.7109375" style="217" bestFit="1" customWidth="1"/>
    <col min="2325" max="2325" width="9.140625" style="217"/>
    <col min="2326" max="2326" width="10.7109375" style="217" bestFit="1" customWidth="1"/>
    <col min="2327" max="2327" width="13.28515625" style="217" customWidth="1"/>
    <col min="2328" max="2560" width="9.140625" style="217"/>
    <col min="2561" max="2561" width="19.85546875" style="217" bestFit="1" customWidth="1"/>
    <col min="2562" max="2562" width="17" style="217" customWidth="1"/>
    <col min="2563" max="2563" width="16.42578125" style="217" bestFit="1" customWidth="1"/>
    <col min="2564" max="2564" width="12" style="217" customWidth="1"/>
    <col min="2565" max="2565" width="14.7109375" style="217" customWidth="1"/>
    <col min="2566" max="2566" width="15.28515625" style="217" customWidth="1"/>
    <col min="2567" max="2567" width="20.28515625" style="217" bestFit="1" customWidth="1"/>
    <col min="2568" max="2568" width="41.7109375" style="217" bestFit="1" customWidth="1"/>
    <col min="2569" max="2569" width="18.7109375" style="217" bestFit="1" customWidth="1"/>
    <col min="2570" max="2570" width="15.28515625" style="217" customWidth="1"/>
    <col min="2571" max="2572" width="16.85546875" style="217" customWidth="1"/>
    <col min="2573" max="2573" width="17.140625" style="217" bestFit="1" customWidth="1"/>
    <col min="2574" max="2574" width="18.28515625" style="217" customWidth="1"/>
    <col min="2575" max="2575" width="10.42578125" style="217" customWidth="1"/>
    <col min="2576" max="2578" width="9.140625" style="217"/>
    <col min="2579" max="2580" width="10.7109375" style="217" bestFit="1" customWidth="1"/>
    <col min="2581" max="2581" width="9.140625" style="217"/>
    <col min="2582" max="2582" width="10.7109375" style="217" bestFit="1" customWidth="1"/>
    <col min="2583" max="2583" width="13.28515625" style="217" customWidth="1"/>
    <col min="2584" max="2816" width="9.140625" style="217"/>
    <col min="2817" max="2817" width="19.85546875" style="217" bestFit="1" customWidth="1"/>
    <col min="2818" max="2818" width="17" style="217" customWidth="1"/>
    <col min="2819" max="2819" width="16.42578125" style="217" bestFit="1" customWidth="1"/>
    <col min="2820" max="2820" width="12" style="217" customWidth="1"/>
    <col min="2821" max="2821" width="14.7109375" style="217" customWidth="1"/>
    <col min="2822" max="2822" width="15.28515625" style="217" customWidth="1"/>
    <col min="2823" max="2823" width="20.28515625" style="217" bestFit="1" customWidth="1"/>
    <col min="2824" max="2824" width="41.7109375" style="217" bestFit="1" customWidth="1"/>
    <col min="2825" max="2825" width="18.7109375" style="217" bestFit="1" customWidth="1"/>
    <col min="2826" max="2826" width="15.28515625" style="217" customWidth="1"/>
    <col min="2827" max="2828" width="16.85546875" style="217" customWidth="1"/>
    <col min="2829" max="2829" width="17.140625" style="217" bestFit="1" customWidth="1"/>
    <col min="2830" max="2830" width="18.28515625" style="217" customWidth="1"/>
    <col min="2831" max="2831" width="10.42578125" style="217" customWidth="1"/>
    <col min="2832" max="2834" width="9.140625" style="217"/>
    <col min="2835" max="2836" width="10.7109375" style="217" bestFit="1" customWidth="1"/>
    <col min="2837" max="2837" width="9.140625" style="217"/>
    <col min="2838" max="2838" width="10.7109375" style="217" bestFit="1" customWidth="1"/>
    <col min="2839" max="2839" width="13.28515625" style="217" customWidth="1"/>
    <col min="2840" max="3072" width="9.140625" style="217"/>
    <col min="3073" max="3073" width="19.85546875" style="217" bestFit="1" customWidth="1"/>
    <col min="3074" max="3074" width="17" style="217" customWidth="1"/>
    <col min="3075" max="3075" width="16.42578125" style="217" bestFit="1" customWidth="1"/>
    <col min="3076" max="3076" width="12" style="217" customWidth="1"/>
    <col min="3077" max="3077" width="14.7109375" style="217" customWidth="1"/>
    <col min="3078" max="3078" width="15.28515625" style="217" customWidth="1"/>
    <col min="3079" max="3079" width="20.28515625" style="217" bestFit="1" customWidth="1"/>
    <col min="3080" max="3080" width="41.7109375" style="217" bestFit="1" customWidth="1"/>
    <col min="3081" max="3081" width="18.7109375" style="217" bestFit="1" customWidth="1"/>
    <col min="3082" max="3082" width="15.28515625" style="217" customWidth="1"/>
    <col min="3083" max="3084" width="16.85546875" style="217" customWidth="1"/>
    <col min="3085" max="3085" width="17.140625" style="217" bestFit="1" customWidth="1"/>
    <col min="3086" max="3086" width="18.28515625" style="217" customWidth="1"/>
    <col min="3087" max="3087" width="10.42578125" style="217" customWidth="1"/>
    <col min="3088" max="3090" width="9.140625" style="217"/>
    <col min="3091" max="3092" width="10.7109375" style="217" bestFit="1" customWidth="1"/>
    <col min="3093" max="3093" width="9.140625" style="217"/>
    <col min="3094" max="3094" width="10.7109375" style="217" bestFit="1" customWidth="1"/>
    <col min="3095" max="3095" width="13.28515625" style="217" customWidth="1"/>
    <col min="3096" max="3328" width="9.140625" style="217"/>
    <col min="3329" max="3329" width="19.85546875" style="217" bestFit="1" customWidth="1"/>
    <col min="3330" max="3330" width="17" style="217" customWidth="1"/>
    <col min="3331" max="3331" width="16.42578125" style="217" bestFit="1" customWidth="1"/>
    <col min="3332" max="3332" width="12" style="217" customWidth="1"/>
    <col min="3333" max="3333" width="14.7109375" style="217" customWidth="1"/>
    <col min="3334" max="3334" width="15.28515625" style="217" customWidth="1"/>
    <col min="3335" max="3335" width="20.28515625" style="217" bestFit="1" customWidth="1"/>
    <col min="3336" max="3336" width="41.7109375" style="217" bestFit="1" customWidth="1"/>
    <col min="3337" max="3337" width="18.7109375" style="217" bestFit="1" customWidth="1"/>
    <col min="3338" max="3338" width="15.28515625" style="217" customWidth="1"/>
    <col min="3339" max="3340" width="16.85546875" style="217" customWidth="1"/>
    <col min="3341" max="3341" width="17.140625" style="217" bestFit="1" customWidth="1"/>
    <col min="3342" max="3342" width="18.28515625" style="217" customWidth="1"/>
    <col min="3343" max="3343" width="10.42578125" style="217" customWidth="1"/>
    <col min="3344" max="3346" width="9.140625" style="217"/>
    <col min="3347" max="3348" width="10.7109375" style="217" bestFit="1" customWidth="1"/>
    <col min="3349" max="3349" width="9.140625" style="217"/>
    <col min="3350" max="3350" width="10.7109375" style="217" bestFit="1" customWidth="1"/>
    <col min="3351" max="3351" width="13.28515625" style="217" customWidth="1"/>
    <col min="3352" max="3584" width="9.140625" style="217"/>
    <col min="3585" max="3585" width="19.85546875" style="217" bestFit="1" customWidth="1"/>
    <col min="3586" max="3586" width="17" style="217" customWidth="1"/>
    <col min="3587" max="3587" width="16.42578125" style="217" bestFit="1" customWidth="1"/>
    <col min="3588" max="3588" width="12" style="217" customWidth="1"/>
    <col min="3589" max="3589" width="14.7109375" style="217" customWidth="1"/>
    <col min="3590" max="3590" width="15.28515625" style="217" customWidth="1"/>
    <col min="3591" max="3591" width="20.28515625" style="217" bestFit="1" customWidth="1"/>
    <col min="3592" max="3592" width="41.7109375" style="217" bestFit="1" customWidth="1"/>
    <col min="3593" max="3593" width="18.7109375" style="217" bestFit="1" customWidth="1"/>
    <col min="3594" max="3594" width="15.28515625" style="217" customWidth="1"/>
    <col min="3595" max="3596" width="16.85546875" style="217" customWidth="1"/>
    <col min="3597" max="3597" width="17.140625" style="217" bestFit="1" customWidth="1"/>
    <col min="3598" max="3598" width="18.28515625" style="217" customWidth="1"/>
    <col min="3599" max="3599" width="10.42578125" style="217" customWidth="1"/>
    <col min="3600" max="3602" width="9.140625" style="217"/>
    <col min="3603" max="3604" width="10.7109375" style="217" bestFit="1" customWidth="1"/>
    <col min="3605" max="3605" width="9.140625" style="217"/>
    <col min="3606" max="3606" width="10.7109375" style="217" bestFit="1" customWidth="1"/>
    <col min="3607" max="3607" width="13.28515625" style="217" customWidth="1"/>
    <col min="3608" max="3840" width="9.140625" style="217"/>
    <col min="3841" max="3841" width="19.85546875" style="217" bestFit="1" customWidth="1"/>
    <col min="3842" max="3842" width="17" style="217" customWidth="1"/>
    <col min="3843" max="3843" width="16.42578125" style="217" bestFit="1" customWidth="1"/>
    <col min="3844" max="3844" width="12" style="217" customWidth="1"/>
    <col min="3845" max="3845" width="14.7109375" style="217" customWidth="1"/>
    <col min="3846" max="3846" width="15.28515625" style="217" customWidth="1"/>
    <col min="3847" max="3847" width="20.28515625" style="217" bestFit="1" customWidth="1"/>
    <col min="3848" max="3848" width="41.7109375" style="217" bestFit="1" customWidth="1"/>
    <col min="3849" max="3849" width="18.7109375" style="217" bestFit="1" customWidth="1"/>
    <col min="3850" max="3850" width="15.28515625" style="217" customWidth="1"/>
    <col min="3851" max="3852" width="16.85546875" style="217" customWidth="1"/>
    <col min="3853" max="3853" width="17.140625" style="217" bestFit="1" customWidth="1"/>
    <col min="3854" max="3854" width="18.28515625" style="217" customWidth="1"/>
    <col min="3855" max="3855" width="10.42578125" style="217" customWidth="1"/>
    <col min="3856" max="3858" width="9.140625" style="217"/>
    <col min="3859" max="3860" width="10.7109375" style="217" bestFit="1" customWidth="1"/>
    <col min="3861" max="3861" width="9.140625" style="217"/>
    <col min="3862" max="3862" width="10.7109375" style="217" bestFit="1" customWidth="1"/>
    <col min="3863" max="3863" width="13.28515625" style="217" customWidth="1"/>
    <col min="3864" max="4096" width="9.140625" style="217"/>
    <col min="4097" max="4097" width="19.85546875" style="217" bestFit="1" customWidth="1"/>
    <col min="4098" max="4098" width="17" style="217" customWidth="1"/>
    <col min="4099" max="4099" width="16.42578125" style="217" bestFit="1" customWidth="1"/>
    <col min="4100" max="4100" width="12" style="217" customWidth="1"/>
    <col min="4101" max="4101" width="14.7109375" style="217" customWidth="1"/>
    <col min="4102" max="4102" width="15.28515625" style="217" customWidth="1"/>
    <col min="4103" max="4103" width="20.28515625" style="217" bestFit="1" customWidth="1"/>
    <col min="4104" max="4104" width="41.7109375" style="217" bestFit="1" customWidth="1"/>
    <col min="4105" max="4105" width="18.7109375" style="217" bestFit="1" customWidth="1"/>
    <col min="4106" max="4106" width="15.28515625" style="217" customWidth="1"/>
    <col min="4107" max="4108" width="16.85546875" style="217" customWidth="1"/>
    <col min="4109" max="4109" width="17.140625" style="217" bestFit="1" customWidth="1"/>
    <col min="4110" max="4110" width="18.28515625" style="217" customWidth="1"/>
    <col min="4111" max="4111" width="10.42578125" style="217" customWidth="1"/>
    <col min="4112" max="4114" width="9.140625" style="217"/>
    <col min="4115" max="4116" width="10.7109375" style="217" bestFit="1" customWidth="1"/>
    <col min="4117" max="4117" width="9.140625" style="217"/>
    <col min="4118" max="4118" width="10.7109375" style="217" bestFit="1" customWidth="1"/>
    <col min="4119" max="4119" width="13.28515625" style="217" customWidth="1"/>
    <col min="4120" max="4352" width="9.140625" style="217"/>
    <col min="4353" max="4353" width="19.85546875" style="217" bestFit="1" customWidth="1"/>
    <col min="4354" max="4354" width="17" style="217" customWidth="1"/>
    <col min="4355" max="4355" width="16.42578125" style="217" bestFit="1" customWidth="1"/>
    <col min="4356" max="4356" width="12" style="217" customWidth="1"/>
    <col min="4357" max="4357" width="14.7109375" style="217" customWidth="1"/>
    <col min="4358" max="4358" width="15.28515625" style="217" customWidth="1"/>
    <col min="4359" max="4359" width="20.28515625" style="217" bestFit="1" customWidth="1"/>
    <col min="4360" max="4360" width="41.7109375" style="217" bestFit="1" customWidth="1"/>
    <col min="4361" max="4361" width="18.7109375" style="217" bestFit="1" customWidth="1"/>
    <col min="4362" max="4362" width="15.28515625" style="217" customWidth="1"/>
    <col min="4363" max="4364" width="16.85546875" style="217" customWidth="1"/>
    <col min="4365" max="4365" width="17.140625" style="217" bestFit="1" customWidth="1"/>
    <col min="4366" max="4366" width="18.28515625" style="217" customWidth="1"/>
    <col min="4367" max="4367" width="10.42578125" style="217" customWidth="1"/>
    <col min="4368" max="4370" width="9.140625" style="217"/>
    <col min="4371" max="4372" width="10.7109375" style="217" bestFit="1" customWidth="1"/>
    <col min="4373" max="4373" width="9.140625" style="217"/>
    <col min="4374" max="4374" width="10.7109375" style="217" bestFit="1" customWidth="1"/>
    <col min="4375" max="4375" width="13.28515625" style="217" customWidth="1"/>
    <col min="4376" max="4608" width="9.140625" style="217"/>
    <col min="4609" max="4609" width="19.85546875" style="217" bestFit="1" customWidth="1"/>
    <col min="4610" max="4610" width="17" style="217" customWidth="1"/>
    <col min="4611" max="4611" width="16.42578125" style="217" bestFit="1" customWidth="1"/>
    <col min="4612" max="4612" width="12" style="217" customWidth="1"/>
    <col min="4613" max="4613" width="14.7109375" style="217" customWidth="1"/>
    <col min="4614" max="4614" width="15.28515625" style="217" customWidth="1"/>
    <col min="4615" max="4615" width="20.28515625" style="217" bestFit="1" customWidth="1"/>
    <col min="4616" max="4616" width="41.7109375" style="217" bestFit="1" customWidth="1"/>
    <col min="4617" max="4617" width="18.7109375" style="217" bestFit="1" customWidth="1"/>
    <col min="4618" max="4618" width="15.28515625" style="217" customWidth="1"/>
    <col min="4619" max="4620" width="16.85546875" style="217" customWidth="1"/>
    <col min="4621" max="4621" width="17.140625" style="217" bestFit="1" customWidth="1"/>
    <col min="4622" max="4622" width="18.28515625" style="217" customWidth="1"/>
    <col min="4623" max="4623" width="10.42578125" style="217" customWidth="1"/>
    <col min="4624" max="4626" width="9.140625" style="217"/>
    <col min="4627" max="4628" width="10.7109375" style="217" bestFit="1" customWidth="1"/>
    <col min="4629" max="4629" width="9.140625" style="217"/>
    <col min="4630" max="4630" width="10.7109375" style="217" bestFit="1" customWidth="1"/>
    <col min="4631" max="4631" width="13.28515625" style="217" customWidth="1"/>
    <col min="4632" max="4864" width="9.140625" style="217"/>
    <col min="4865" max="4865" width="19.85546875" style="217" bestFit="1" customWidth="1"/>
    <col min="4866" max="4866" width="17" style="217" customWidth="1"/>
    <col min="4867" max="4867" width="16.42578125" style="217" bestFit="1" customWidth="1"/>
    <col min="4868" max="4868" width="12" style="217" customWidth="1"/>
    <col min="4869" max="4869" width="14.7109375" style="217" customWidth="1"/>
    <col min="4870" max="4870" width="15.28515625" style="217" customWidth="1"/>
    <col min="4871" max="4871" width="20.28515625" style="217" bestFit="1" customWidth="1"/>
    <col min="4872" max="4872" width="41.7109375" style="217" bestFit="1" customWidth="1"/>
    <col min="4873" max="4873" width="18.7109375" style="217" bestFit="1" customWidth="1"/>
    <col min="4874" max="4874" width="15.28515625" style="217" customWidth="1"/>
    <col min="4875" max="4876" width="16.85546875" style="217" customWidth="1"/>
    <col min="4877" max="4877" width="17.140625" style="217" bestFit="1" customWidth="1"/>
    <col min="4878" max="4878" width="18.28515625" style="217" customWidth="1"/>
    <col min="4879" max="4879" width="10.42578125" style="217" customWidth="1"/>
    <col min="4880" max="4882" width="9.140625" style="217"/>
    <col min="4883" max="4884" width="10.7109375" style="217" bestFit="1" customWidth="1"/>
    <col min="4885" max="4885" width="9.140625" style="217"/>
    <col min="4886" max="4886" width="10.7109375" style="217" bestFit="1" customWidth="1"/>
    <col min="4887" max="4887" width="13.28515625" style="217" customWidth="1"/>
    <col min="4888" max="5120" width="9.140625" style="217"/>
    <col min="5121" max="5121" width="19.85546875" style="217" bestFit="1" customWidth="1"/>
    <col min="5122" max="5122" width="17" style="217" customWidth="1"/>
    <col min="5123" max="5123" width="16.42578125" style="217" bestFit="1" customWidth="1"/>
    <col min="5124" max="5124" width="12" style="217" customWidth="1"/>
    <col min="5125" max="5125" width="14.7109375" style="217" customWidth="1"/>
    <col min="5126" max="5126" width="15.28515625" style="217" customWidth="1"/>
    <col min="5127" max="5127" width="20.28515625" style="217" bestFit="1" customWidth="1"/>
    <col min="5128" max="5128" width="41.7109375" style="217" bestFit="1" customWidth="1"/>
    <col min="5129" max="5129" width="18.7109375" style="217" bestFit="1" customWidth="1"/>
    <col min="5130" max="5130" width="15.28515625" style="217" customWidth="1"/>
    <col min="5131" max="5132" width="16.85546875" style="217" customWidth="1"/>
    <col min="5133" max="5133" width="17.140625" style="217" bestFit="1" customWidth="1"/>
    <col min="5134" max="5134" width="18.28515625" style="217" customWidth="1"/>
    <col min="5135" max="5135" width="10.42578125" style="217" customWidth="1"/>
    <col min="5136" max="5138" width="9.140625" style="217"/>
    <col min="5139" max="5140" width="10.7109375" style="217" bestFit="1" customWidth="1"/>
    <col min="5141" max="5141" width="9.140625" style="217"/>
    <col min="5142" max="5142" width="10.7109375" style="217" bestFit="1" customWidth="1"/>
    <col min="5143" max="5143" width="13.28515625" style="217" customWidth="1"/>
    <col min="5144" max="5376" width="9.140625" style="217"/>
    <col min="5377" max="5377" width="19.85546875" style="217" bestFit="1" customWidth="1"/>
    <col min="5378" max="5378" width="17" style="217" customWidth="1"/>
    <col min="5379" max="5379" width="16.42578125" style="217" bestFit="1" customWidth="1"/>
    <col min="5380" max="5380" width="12" style="217" customWidth="1"/>
    <col min="5381" max="5381" width="14.7109375" style="217" customWidth="1"/>
    <col min="5382" max="5382" width="15.28515625" style="217" customWidth="1"/>
    <col min="5383" max="5383" width="20.28515625" style="217" bestFit="1" customWidth="1"/>
    <col min="5384" max="5384" width="41.7109375" style="217" bestFit="1" customWidth="1"/>
    <col min="5385" max="5385" width="18.7109375" style="217" bestFit="1" customWidth="1"/>
    <col min="5386" max="5386" width="15.28515625" style="217" customWidth="1"/>
    <col min="5387" max="5388" width="16.85546875" style="217" customWidth="1"/>
    <col min="5389" max="5389" width="17.140625" style="217" bestFit="1" customWidth="1"/>
    <col min="5390" max="5390" width="18.28515625" style="217" customWidth="1"/>
    <col min="5391" max="5391" width="10.42578125" style="217" customWidth="1"/>
    <col min="5392" max="5394" width="9.140625" style="217"/>
    <col min="5395" max="5396" width="10.7109375" style="217" bestFit="1" customWidth="1"/>
    <col min="5397" max="5397" width="9.140625" style="217"/>
    <col min="5398" max="5398" width="10.7109375" style="217" bestFit="1" customWidth="1"/>
    <col min="5399" max="5399" width="13.28515625" style="217" customWidth="1"/>
    <col min="5400" max="5632" width="9.140625" style="217"/>
    <col min="5633" max="5633" width="19.85546875" style="217" bestFit="1" customWidth="1"/>
    <col min="5634" max="5634" width="17" style="217" customWidth="1"/>
    <col min="5635" max="5635" width="16.42578125" style="217" bestFit="1" customWidth="1"/>
    <col min="5636" max="5636" width="12" style="217" customWidth="1"/>
    <col min="5637" max="5637" width="14.7109375" style="217" customWidth="1"/>
    <col min="5638" max="5638" width="15.28515625" style="217" customWidth="1"/>
    <col min="5639" max="5639" width="20.28515625" style="217" bestFit="1" customWidth="1"/>
    <col min="5640" max="5640" width="41.7109375" style="217" bestFit="1" customWidth="1"/>
    <col min="5641" max="5641" width="18.7109375" style="217" bestFit="1" customWidth="1"/>
    <col min="5642" max="5642" width="15.28515625" style="217" customWidth="1"/>
    <col min="5643" max="5644" width="16.85546875" style="217" customWidth="1"/>
    <col min="5645" max="5645" width="17.140625" style="217" bestFit="1" customWidth="1"/>
    <col min="5646" max="5646" width="18.28515625" style="217" customWidth="1"/>
    <col min="5647" max="5647" width="10.42578125" style="217" customWidth="1"/>
    <col min="5648" max="5650" width="9.140625" style="217"/>
    <col min="5651" max="5652" width="10.7109375" style="217" bestFit="1" customWidth="1"/>
    <col min="5653" max="5653" width="9.140625" style="217"/>
    <col min="5654" max="5654" width="10.7109375" style="217" bestFit="1" customWidth="1"/>
    <col min="5655" max="5655" width="13.28515625" style="217" customWidth="1"/>
    <col min="5656" max="5888" width="9.140625" style="217"/>
    <col min="5889" max="5889" width="19.85546875" style="217" bestFit="1" customWidth="1"/>
    <col min="5890" max="5890" width="17" style="217" customWidth="1"/>
    <col min="5891" max="5891" width="16.42578125" style="217" bestFit="1" customWidth="1"/>
    <col min="5892" max="5892" width="12" style="217" customWidth="1"/>
    <col min="5893" max="5893" width="14.7109375" style="217" customWidth="1"/>
    <col min="5894" max="5894" width="15.28515625" style="217" customWidth="1"/>
    <col min="5895" max="5895" width="20.28515625" style="217" bestFit="1" customWidth="1"/>
    <col min="5896" max="5896" width="41.7109375" style="217" bestFit="1" customWidth="1"/>
    <col min="5897" max="5897" width="18.7109375" style="217" bestFit="1" customWidth="1"/>
    <col min="5898" max="5898" width="15.28515625" style="217" customWidth="1"/>
    <col min="5899" max="5900" width="16.85546875" style="217" customWidth="1"/>
    <col min="5901" max="5901" width="17.140625" style="217" bestFit="1" customWidth="1"/>
    <col min="5902" max="5902" width="18.28515625" style="217" customWidth="1"/>
    <col min="5903" max="5903" width="10.42578125" style="217" customWidth="1"/>
    <col min="5904" max="5906" width="9.140625" style="217"/>
    <col min="5907" max="5908" width="10.7109375" style="217" bestFit="1" customWidth="1"/>
    <col min="5909" max="5909" width="9.140625" style="217"/>
    <col min="5910" max="5910" width="10.7109375" style="217" bestFit="1" customWidth="1"/>
    <col min="5911" max="5911" width="13.28515625" style="217" customWidth="1"/>
    <col min="5912" max="6144" width="9.140625" style="217"/>
    <col min="6145" max="6145" width="19.85546875" style="217" bestFit="1" customWidth="1"/>
    <col min="6146" max="6146" width="17" style="217" customWidth="1"/>
    <col min="6147" max="6147" width="16.42578125" style="217" bestFit="1" customWidth="1"/>
    <col min="6148" max="6148" width="12" style="217" customWidth="1"/>
    <col min="6149" max="6149" width="14.7109375" style="217" customWidth="1"/>
    <col min="6150" max="6150" width="15.28515625" style="217" customWidth="1"/>
    <col min="6151" max="6151" width="20.28515625" style="217" bestFit="1" customWidth="1"/>
    <col min="6152" max="6152" width="41.7109375" style="217" bestFit="1" customWidth="1"/>
    <col min="6153" max="6153" width="18.7109375" style="217" bestFit="1" customWidth="1"/>
    <col min="6154" max="6154" width="15.28515625" style="217" customWidth="1"/>
    <col min="6155" max="6156" width="16.85546875" style="217" customWidth="1"/>
    <col min="6157" max="6157" width="17.140625" style="217" bestFit="1" customWidth="1"/>
    <col min="6158" max="6158" width="18.28515625" style="217" customWidth="1"/>
    <col min="6159" max="6159" width="10.42578125" style="217" customWidth="1"/>
    <col min="6160" max="6162" width="9.140625" style="217"/>
    <col min="6163" max="6164" width="10.7109375" style="217" bestFit="1" customWidth="1"/>
    <col min="6165" max="6165" width="9.140625" style="217"/>
    <col min="6166" max="6166" width="10.7109375" style="217" bestFit="1" customWidth="1"/>
    <col min="6167" max="6167" width="13.28515625" style="217" customWidth="1"/>
    <col min="6168" max="6400" width="9.140625" style="217"/>
    <col min="6401" max="6401" width="19.85546875" style="217" bestFit="1" customWidth="1"/>
    <col min="6402" max="6402" width="17" style="217" customWidth="1"/>
    <col min="6403" max="6403" width="16.42578125" style="217" bestFit="1" customWidth="1"/>
    <col min="6404" max="6404" width="12" style="217" customWidth="1"/>
    <col min="6405" max="6405" width="14.7109375" style="217" customWidth="1"/>
    <col min="6406" max="6406" width="15.28515625" style="217" customWidth="1"/>
    <col min="6407" max="6407" width="20.28515625" style="217" bestFit="1" customWidth="1"/>
    <col min="6408" max="6408" width="41.7109375" style="217" bestFit="1" customWidth="1"/>
    <col min="6409" max="6409" width="18.7109375" style="217" bestFit="1" customWidth="1"/>
    <col min="6410" max="6410" width="15.28515625" style="217" customWidth="1"/>
    <col min="6411" max="6412" width="16.85546875" style="217" customWidth="1"/>
    <col min="6413" max="6413" width="17.140625" style="217" bestFit="1" customWidth="1"/>
    <col min="6414" max="6414" width="18.28515625" style="217" customWidth="1"/>
    <col min="6415" max="6415" width="10.42578125" style="217" customWidth="1"/>
    <col min="6416" max="6418" width="9.140625" style="217"/>
    <col min="6419" max="6420" width="10.7109375" style="217" bestFit="1" customWidth="1"/>
    <col min="6421" max="6421" width="9.140625" style="217"/>
    <col min="6422" max="6422" width="10.7109375" style="217" bestFit="1" customWidth="1"/>
    <col min="6423" max="6423" width="13.28515625" style="217" customWidth="1"/>
    <col min="6424" max="6656" width="9.140625" style="217"/>
    <col min="6657" max="6657" width="19.85546875" style="217" bestFit="1" customWidth="1"/>
    <col min="6658" max="6658" width="17" style="217" customWidth="1"/>
    <col min="6659" max="6659" width="16.42578125" style="217" bestFit="1" customWidth="1"/>
    <col min="6660" max="6660" width="12" style="217" customWidth="1"/>
    <col min="6661" max="6661" width="14.7109375" style="217" customWidth="1"/>
    <col min="6662" max="6662" width="15.28515625" style="217" customWidth="1"/>
    <col min="6663" max="6663" width="20.28515625" style="217" bestFit="1" customWidth="1"/>
    <col min="6664" max="6664" width="41.7109375" style="217" bestFit="1" customWidth="1"/>
    <col min="6665" max="6665" width="18.7109375" style="217" bestFit="1" customWidth="1"/>
    <col min="6666" max="6666" width="15.28515625" style="217" customWidth="1"/>
    <col min="6667" max="6668" width="16.85546875" style="217" customWidth="1"/>
    <col min="6669" max="6669" width="17.140625" style="217" bestFit="1" customWidth="1"/>
    <col min="6670" max="6670" width="18.28515625" style="217" customWidth="1"/>
    <col min="6671" max="6671" width="10.42578125" style="217" customWidth="1"/>
    <col min="6672" max="6674" width="9.140625" style="217"/>
    <col min="6675" max="6676" width="10.7109375" style="217" bestFit="1" customWidth="1"/>
    <col min="6677" max="6677" width="9.140625" style="217"/>
    <col min="6678" max="6678" width="10.7109375" style="217" bestFit="1" customWidth="1"/>
    <col min="6679" max="6679" width="13.28515625" style="217" customWidth="1"/>
    <col min="6680" max="6912" width="9.140625" style="217"/>
    <col min="6913" max="6913" width="19.85546875" style="217" bestFit="1" customWidth="1"/>
    <col min="6914" max="6914" width="17" style="217" customWidth="1"/>
    <col min="6915" max="6915" width="16.42578125" style="217" bestFit="1" customWidth="1"/>
    <col min="6916" max="6916" width="12" style="217" customWidth="1"/>
    <col min="6917" max="6917" width="14.7109375" style="217" customWidth="1"/>
    <col min="6918" max="6918" width="15.28515625" style="217" customWidth="1"/>
    <col min="6919" max="6919" width="20.28515625" style="217" bestFit="1" customWidth="1"/>
    <col min="6920" max="6920" width="41.7109375" style="217" bestFit="1" customWidth="1"/>
    <col min="6921" max="6921" width="18.7109375" style="217" bestFit="1" customWidth="1"/>
    <col min="6922" max="6922" width="15.28515625" style="217" customWidth="1"/>
    <col min="6923" max="6924" width="16.85546875" style="217" customWidth="1"/>
    <col min="6925" max="6925" width="17.140625" style="217" bestFit="1" customWidth="1"/>
    <col min="6926" max="6926" width="18.28515625" style="217" customWidth="1"/>
    <col min="6927" max="6927" width="10.42578125" style="217" customWidth="1"/>
    <col min="6928" max="6930" width="9.140625" style="217"/>
    <col min="6931" max="6932" width="10.7109375" style="217" bestFit="1" customWidth="1"/>
    <col min="6933" max="6933" width="9.140625" style="217"/>
    <col min="6934" max="6934" width="10.7109375" style="217" bestFit="1" customWidth="1"/>
    <col min="6935" max="6935" width="13.28515625" style="217" customWidth="1"/>
    <col min="6936" max="7168" width="9.140625" style="217"/>
    <col min="7169" max="7169" width="19.85546875" style="217" bestFit="1" customWidth="1"/>
    <col min="7170" max="7170" width="17" style="217" customWidth="1"/>
    <col min="7171" max="7171" width="16.42578125" style="217" bestFit="1" customWidth="1"/>
    <col min="7172" max="7172" width="12" style="217" customWidth="1"/>
    <col min="7173" max="7173" width="14.7109375" style="217" customWidth="1"/>
    <col min="7174" max="7174" width="15.28515625" style="217" customWidth="1"/>
    <col min="7175" max="7175" width="20.28515625" style="217" bestFit="1" customWidth="1"/>
    <col min="7176" max="7176" width="41.7109375" style="217" bestFit="1" customWidth="1"/>
    <col min="7177" max="7177" width="18.7109375" style="217" bestFit="1" customWidth="1"/>
    <col min="7178" max="7178" width="15.28515625" style="217" customWidth="1"/>
    <col min="7179" max="7180" width="16.85546875" style="217" customWidth="1"/>
    <col min="7181" max="7181" width="17.140625" style="217" bestFit="1" customWidth="1"/>
    <col min="7182" max="7182" width="18.28515625" style="217" customWidth="1"/>
    <col min="7183" max="7183" width="10.42578125" style="217" customWidth="1"/>
    <col min="7184" max="7186" width="9.140625" style="217"/>
    <col min="7187" max="7188" width="10.7109375" style="217" bestFit="1" customWidth="1"/>
    <col min="7189" max="7189" width="9.140625" style="217"/>
    <col min="7190" max="7190" width="10.7109375" style="217" bestFit="1" customWidth="1"/>
    <col min="7191" max="7191" width="13.28515625" style="217" customWidth="1"/>
    <col min="7192" max="7424" width="9.140625" style="217"/>
    <col min="7425" max="7425" width="19.85546875" style="217" bestFit="1" customWidth="1"/>
    <col min="7426" max="7426" width="17" style="217" customWidth="1"/>
    <col min="7427" max="7427" width="16.42578125" style="217" bestFit="1" customWidth="1"/>
    <col min="7428" max="7428" width="12" style="217" customWidth="1"/>
    <col min="7429" max="7429" width="14.7109375" style="217" customWidth="1"/>
    <col min="7430" max="7430" width="15.28515625" style="217" customWidth="1"/>
    <col min="7431" max="7431" width="20.28515625" style="217" bestFit="1" customWidth="1"/>
    <col min="7432" max="7432" width="41.7109375" style="217" bestFit="1" customWidth="1"/>
    <col min="7433" max="7433" width="18.7109375" style="217" bestFit="1" customWidth="1"/>
    <col min="7434" max="7434" width="15.28515625" style="217" customWidth="1"/>
    <col min="7435" max="7436" width="16.85546875" style="217" customWidth="1"/>
    <col min="7437" max="7437" width="17.140625" style="217" bestFit="1" customWidth="1"/>
    <col min="7438" max="7438" width="18.28515625" style="217" customWidth="1"/>
    <col min="7439" max="7439" width="10.42578125" style="217" customWidth="1"/>
    <col min="7440" max="7442" width="9.140625" style="217"/>
    <col min="7443" max="7444" width="10.7109375" style="217" bestFit="1" customWidth="1"/>
    <col min="7445" max="7445" width="9.140625" style="217"/>
    <col min="7446" max="7446" width="10.7109375" style="217" bestFit="1" customWidth="1"/>
    <col min="7447" max="7447" width="13.28515625" style="217" customWidth="1"/>
    <col min="7448" max="7680" width="9.140625" style="217"/>
    <col min="7681" max="7681" width="19.85546875" style="217" bestFit="1" customWidth="1"/>
    <col min="7682" max="7682" width="17" style="217" customWidth="1"/>
    <col min="7683" max="7683" width="16.42578125" style="217" bestFit="1" customWidth="1"/>
    <col min="7684" max="7684" width="12" style="217" customWidth="1"/>
    <col min="7685" max="7685" width="14.7109375" style="217" customWidth="1"/>
    <col min="7686" max="7686" width="15.28515625" style="217" customWidth="1"/>
    <col min="7687" max="7687" width="20.28515625" style="217" bestFit="1" customWidth="1"/>
    <col min="7688" max="7688" width="41.7109375" style="217" bestFit="1" customWidth="1"/>
    <col min="7689" max="7689" width="18.7109375" style="217" bestFit="1" customWidth="1"/>
    <col min="7690" max="7690" width="15.28515625" style="217" customWidth="1"/>
    <col min="7691" max="7692" width="16.85546875" style="217" customWidth="1"/>
    <col min="7693" max="7693" width="17.140625" style="217" bestFit="1" customWidth="1"/>
    <col min="7694" max="7694" width="18.28515625" style="217" customWidth="1"/>
    <col min="7695" max="7695" width="10.42578125" style="217" customWidth="1"/>
    <col min="7696" max="7698" width="9.140625" style="217"/>
    <col min="7699" max="7700" width="10.7109375" style="217" bestFit="1" customWidth="1"/>
    <col min="7701" max="7701" width="9.140625" style="217"/>
    <col min="7702" max="7702" width="10.7109375" style="217" bestFit="1" customWidth="1"/>
    <col min="7703" max="7703" width="13.28515625" style="217" customWidth="1"/>
    <col min="7704" max="7936" width="9.140625" style="217"/>
    <col min="7937" max="7937" width="19.85546875" style="217" bestFit="1" customWidth="1"/>
    <col min="7938" max="7938" width="17" style="217" customWidth="1"/>
    <col min="7939" max="7939" width="16.42578125" style="217" bestFit="1" customWidth="1"/>
    <col min="7940" max="7940" width="12" style="217" customWidth="1"/>
    <col min="7941" max="7941" width="14.7109375" style="217" customWidth="1"/>
    <col min="7942" max="7942" width="15.28515625" style="217" customWidth="1"/>
    <col min="7943" max="7943" width="20.28515625" style="217" bestFit="1" customWidth="1"/>
    <col min="7944" max="7944" width="41.7109375" style="217" bestFit="1" customWidth="1"/>
    <col min="7945" max="7945" width="18.7109375" style="217" bestFit="1" customWidth="1"/>
    <col min="7946" max="7946" width="15.28515625" style="217" customWidth="1"/>
    <col min="7947" max="7948" width="16.85546875" style="217" customWidth="1"/>
    <col min="7949" max="7949" width="17.140625" style="217" bestFit="1" customWidth="1"/>
    <col min="7950" max="7950" width="18.28515625" style="217" customWidth="1"/>
    <col min="7951" max="7951" width="10.42578125" style="217" customWidth="1"/>
    <col min="7952" max="7954" width="9.140625" style="217"/>
    <col min="7955" max="7956" width="10.7109375" style="217" bestFit="1" customWidth="1"/>
    <col min="7957" max="7957" width="9.140625" style="217"/>
    <col min="7958" max="7958" width="10.7109375" style="217" bestFit="1" customWidth="1"/>
    <col min="7959" max="7959" width="13.28515625" style="217" customWidth="1"/>
    <col min="7960" max="8192" width="9.140625" style="217"/>
    <col min="8193" max="8193" width="19.85546875" style="217" bestFit="1" customWidth="1"/>
    <col min="8194" max="8194" width="17" style="217" customWidth="1"/>
    <col min="8195" max="8195" width="16.42578125" style="217" bestFit="1" customWidth="1"/>
    <col min="8196" max="8196" width="12" style="217" customWidth="1"/>
    <col min="8197" max="8197" width="14.7109375" style="217" customWidth="1"/>
    <col min="8198" max="8198" width="15.28515625" style="217" customWidth="1"/>
    <col min="8199" max="8199" width="20.28515625" style="217" bestFit="1" customWidth="1"/>
    <col min="8200" max="8200" width="41.7109375" style="217" bestFit="1" customWidth="1"/>
    <col min="8201" max="8201" width="18.7109375" style="217" bestFit="1" customWidth="1"/>
    <col min="8202" max="8202" width="15.28515625" style="217" customWidth="1"/>
    <col min="8203" max="8204" width="16.85546875" style="217" customWidth="1"/>
    <col min="8205" max="8205" width="17.140625" style="217" bestFit="1" customWidth="1"/>
    <col min="8206" max="8206" width="18.28515625" style="217" customWidth="1"/>
    <col min="8207" max="8207" width="10.42578125" style="217" customWidth="1"/>
    <col min="8208" max="8210" width="9.140625" style="217"/>
    <col min="8211" max="8212" width="10.7109375" style="217" bestFit="1" customWidth="1"/>
    <col min="8213" max="8213" width="9.140625" style="217"/>
    <col min="8214" max="8214" width="10.7109375" style="217" bestFit="1" customWidth="1"/>
    <col min="8215" max="8215" width="13.28515625" style="217" customWidth="1"/>
    <col min="8216" max="8448" width="9.140625" style="217"/>
    <col min="8449" max="8449" width="19.85546875" style="217" bestFit="1" customWidth="1"/>
    <col min="8450" max="8450" width="17" style="217" customWidth="1"/>
    <col min="8451" max="8451" width="16.42578125" style="217" bestFit="1" customWidth="1"/>
    <col min="8452" max="8452" width="12" style="217" customWidth="1"/>
    <col min="8453" max="8453" width="14.7109375" style="217" customWidth="1"/>
    <col min="8454" max="8454" width="15.28515625" style="217" customWidth="1"/>
    <col min="8455" max="8455" width="20.28515625" style="217" bestFit="1" customWidth="1"/>
    <col min="8456" max="8456" width="41.7109375" style="217" bestFit="1" customWidth="1"/>
    <col min="8457" max="8457" width="18.7109375" style="217" bestFit="1" customWidth="1"/>
    <col min="8458" max="8458" width="15.28515625" style="217" customWidth="1"/>
    <col min="8459" max="8460" width="16.85546875" style="217" customWidth="1"/>
    <col min="8461" max="8461" width="17.140625" style="217" bestFit="1" customWidth="1"/>
    <col min="8462" max="8462" width="18.28515625" style="217" customWidth="1"/>
    <col min="8463" max="8463" width="10.42578125" style="217" customWidth="1"/>
    <col min="8464" max="8466" width="9.140625" style="217"/>
    <col min="8467" max="8468" width="10.7109375" style="217" bestFit="1" customWidth="1"/>
    <col min="8469" max="8469" width="9.140625" style="217"/>
    <col min="8470" max="8470" width="10.7109375" style="217" bestFit="1" customWidth="1"/>
    <col min="8471" max="8471" width="13.28515625" style="217" customWidth="1"/>
    <col min="8472" max="8704" width="9.140625" style="217"/>
    <col min="8705" max="8705" width="19.85546875" style="217" bestFit="1" customWidth="1"/>
    <col min="8706" max="8706" width="17" style="217" customWidth="1"/>
    <col min="8707" max="8707" width="16.42578125" style="217" bestFit="1" customWidth="1"/>
    <col min="8708" max="8708" width="12" style="217" customWidth="1"/>
    <col min="8709" max="8709" width="14.7109375" style="217" customWidth="1"/>
    <col min="8710" max="8710" width="15.28515625" style="217" customWidth="1"/>
    <col min="8711" max="8711" width="20.28515625" style="217" bestFit="1" customWidth="1"/>
    <col min="8712" max="8712" width="41.7109375" style="217" bestFit="1" customWidth="1"/>
    <col min="8713" max="8713" width="18.7109375" style="217" bestFit="1" customWidth="1"/>
    <col min="8714" max="8714" width="15.28515625" style="217" customWidth="1"/>
    <col min="8715" max="8716" width="16.85546875" style="217" customWidth="1"/>
    <col min="8717" max="8717" width="17.140625" style="217" bestFit="1" customWidth="1"/>
    <col min="8718" max="8718" width="18.28515625" style="217" customWidth="1"/>
    <col min="8719" max="8719" width="10.42578125" style="217" customWidth="1"/>
    <col min="8720" max="8722" width="9.140625" style="217"/>
    <col min="8723" max="8724" width="10.7109375" style="217" bestFit="1" customWidth="1"/>
    <col min="8725" max="8725" width="9.140625" style="217"/>
    <col min="8726" max="8726" width="10.7109375" style="217" bestFit="1" customWidth="1"/>
    <col min="8727" max="8727" width="13.28515625" style="217" customWidth="1"/>
    <col min="8728" max="8960" width="9.140625" style="217"/>
    <col min="8961" max="8961" width="19.85546875" style="217" bestFit="1" customWidth="1"/>
    <col min="8962" max="8962" width="17" style="217" customWidth="1"/>
    <col min="8963" max="8963" width="16.42578125" style="217" bestFit="1" customWidth="1"/>
    <col min="8964" max="8964" width="12" style="217" customWidth="1"/>
    <col min="8965" max="8965" width="14.7109375" style="217" customWidth="1"/>
    <col min="8966" max="8966" width="15.28515625" style="217" customWidth="1"/>
    <col min="8967" max="8967" width="20.28515625" style="217" bestFit="1" customWidth="1"/>
    <col min="8968" max="8968" width="41.7109375" style="217" bestFit="1" customWidth="1"/>
    <col min="8969" max="8969" width="18.7109375" style="217" bestFit="1" customWidth="1"/>
    <col min="8970" max="8970" width="15.28515625" style="217" customWidth="1"/>
    <col min="8971" max="8972" width="16.85546875" style="217" customWidth="1"/>
    <col min="8973" max="8973" width="17.140625" style="217" bestFit="1" customWidth="1"/>
    <col min="8974" max="8974" width="18.28515625" style="217" customWidth="1"/>
    <col min="8975" max="8975" width="10.42578125" style="217" customWidth="1"/>
    <col min="8976" max="8978" width="9.140625" style="217"/>
    <col min="8979" max="8980" width="10.7109375" style="217" bestFit="1" customWidth="1"/>
    <col min="8981" max="8981" width="9.140625" style="217"/>
    <col min="8982" max="8982" width="10.7109375" style="217" bestFit="1" customWidth="1"/>
    <col min="8983" max="8983" width="13.28515625" style="217" customWidth="1"/>
    <col min="8984" max="9216" width="9.140625" style="217"/>
    <col min="9217" max="9217" width="19.85546875" style="217" bestFit="1" customWidth="1"/>
    <col min="9218" max="9218" width="17" style="217" customWidth="1"/>
    <col min="9219" max="9219" width="16.42578125" style="217" bestFit="1" customWidth="1"/>
    <col min="9220" max="9220" width="12" style="217" customWidth="1"/>
    <col min="9221" max="9221" width="14.7109375" style="217" customWidth="1"/>
    <col min="9222" max="9222" width="15.28515625" style="217" customWidth="1"/>
    <col min="9223" max="9223" width="20.28515625" style="217" bestFit="1" customWidth="1"/>
    <col min="9224" max="9224" width="41.7109375" style="217" bestFit="1" customWidth="1"/>
    <col min="9225" max="9225" width="18.7109375" style="217" bestFit="1" customWidth="1"/>
    <col min="9226" max="9226" width="15.28515625" style="217" customWidth="1"/>
    <col min="9227" max="9228" width="16.85546875" style="217" customWidth="1"/>
    <col min="9229" max="9229" width="17.140625" style="217" bestFit="1" customWidth="1"/>
    <col min="9230" max="9230" width="18.28515625" style="217" customWidth="1"/>
    <col min="9231" max="9231" width="10.42578125" style="217" customWidth="1"/>
    <col min="9232" max="9234" width="9.140625" style="217"/>
    <col min="9235" max="9236" width="10.7109375" style="217" bestFit="1" customWidth="1"/>
    <col min="9237" max="9237" width="9.140625" style="217"/>
    <col min="9238" max="9238" width="10.7109375" style="217" bestFit="1" customWidth="1"/>
    <col min="9239" max="9239" width="13.28515625" style="217" customWidth="1"/>
    <col min="9240" max="9472" width="9.140625" style="217"/>
    <col min="9473" max="9473" width="19.85546875" style="217" bestFit="1" customWidth="1"/>
    <col min="9474" max="9474" width="17" style="217" customWidth="1"/>
    <col min="9475" max="9475" width="16.42578125" style="217" bestFit="1" customWidth="1"/>
    <col min="9476" max="9476" width="12" style="217" customWidth="1"/>
    <col min="9477" max="9477" width="14.7109375" style="217" customWidth="1"/>
    <col min="9478" max="9478" width="15.28515625" style="217" customWidth="1"/>
    <col min="9479" max="9479" width="20.28515625" style="217" bestFit="1" customWidth="1"/>
    <col min="9480" max="9480" width="41.7109375" style="217" bestFit="1" customWidth="1"/>
    <col min="9481" max="9481" width="18.7109375" style="217" bestFit="1" customWidth="1"/>
    <col min="9482" max="9482" width="15.28515625" style="217" customWidth="1"/>
    <col min="9483" max="9484" width="16.85546875" style="217" customWidth="1"/>
    <col min="9485" max="9485" width="17.140625" style="217" bestFit="1" customWidth="1"/>
    <col min="9486" max="9486" width="18.28515625" style="217" customWidth="1"/>
    <col min="9487" max="9487" width="10.42578125" style="217" customWidth="1"/>
    <col min="9488" max="9490" width="9.140625" style="217"/>
    <col min="9491" max="9492" width="10.7109375" style="217" bestFit="1" customWidth="1"/>
    <col min="9493" max="9493" width="9.140625" style="217"/>
    <col min="9494" max="9494" width="10.7109375" style="217" bestFit="1" customWidth="1"/>
    <col min="9495" max="9495" width="13.28515625" style="217" customWidth="1"/>
    <col min="9496" max="9728" width="9.140625" style="217"/>
    <col min="9729" max="9729" width="19.85546875" style="217" bestFit="1" customWidth="1"/>
    <col min="9730" max="9730" width="17" style="217" customWidth="1"/>
    <col min="9731" max="9731" width="16.42578125" style="217" bestFit="1" customWidth="1"/>
    <col min="9732" max="9732" width="12" style="217" customWidth="1"/>
    <col min="9733" max="9733" width="14.7109375" style="217" customWidth="1"/>
    <col min="9734" max="9734" width="15.28515625" style="217" customWidth="1"/>
    <col min="9735" max="9735" width="20.28515625" style="217" bestFit="1" customWidth="1"/>
    <col min="9736" max="9736" width="41.7109375" style="217" bestFit="1" customWidth="1"/>
    <col min="9737" max="9737" width="18.7109375" style="217" bestFit="1" customWidth="1"/>
    <col min="9738" max="9738" width="15.28515625" style="217" customWidth="1"/>
    <col min="9739" max="9740" width="16.85546875" style="217" customWidth="1"/>
    <col min="9741" max="9741" width="17.140625" style="217" bestFit="1" customWidth="1"/>
    <col min="9742" max="9742" width="18.28515625" style="217" customWidth="1"/>
    <col min="9743" max="9743" width="10.42578125" style="217" customWidth="1"/>
    <col min="9744" max="9746" width="9.140625" style="217"/>
    <col min="9747" max="9748" width="10.7109375" style="217" bestFit="1" customWidth="1"/>
    <col min="9749" max="9749" width="9.140625" style="217"/>
    <col min="9750" max="9750" width="10.7109375" style="217" bestFit="1" customWidth="1"/>
    <col min="9751" max="9751" width="13.28515625" style="217" customWidth="1"/>
    <col min="9752" max="9984" width="9.140625" style="217"/>
    <col min="9985" max="9985" width="19.85546875" style="217" bestFit="1" customWidth="1"/>
    <col min="9986" max="9986" width="17" style="217" customWidth="1"/>
    <col min="9987" max="9987" width="16.42578125" style="217" bestFit="1" customWidth="1"/>
    <col min="9988" max="9988" width="12" style="217" customWidth="1"/>
    <col min="9989" max="9989" width="14.7109375" style="217" customWidth="1"/>
    <col min="9990" max="9990" width="15.28515625" style="217" customWidth="1"/>
    <col min="9991" max="9991" width="20.28515625" style="217" bestFit="1" customWidth="1"/>
    <col min="9992" max="9992" width="41.7109375" style="217" bestFit="1" customWidth="1"/>
    <col min="9993" max="9993" width="18.7109375" style="217" bestFit="1" customWidth="1"/>
    <col min="9994" max="9994" width="15.28515625" style="217" customWidth="1"/>
    <col min="9995" max="9996" width="16.85546875" style="217" customWidth="1"/>
    <col min="9997" max="9997" width="17.140625" style="217" bestFit="1" customWidth="1"/>
    <col min="9998" max="9998" width="18.28515625" style="217" customWidth="1"/>
    <col min="9999" max="9999" width="10.42578125" style="217" customWidth="1"/>
    <col min="10000" max="10002" width="9.140625" style="217"/>
    <col min="10003" max="10004" width="10.7109375" style="217" bestFit="1" customWidth="1"/>
    <col min="10005" max="10005" width="9.140625" style="217"/>
    <col min="10006" max="10006" width="10.7109375" style="217" bestFit="1" customWidth="1"/>
    <col min="10007" max="10007" width="13.28515625" style="217" customWidth="1"/>
    <col min="10008" max="10240" width="9.140625" style="217"/>
    <col min="10241" max="10241" width="19.85546875" style="217" bestFit="1" customWidth="1"/>
    <col min="10242" max="10242" width="17" style="217" customWidth="1"/>
    <col min="10243" max="10243" width="16.42578125" style="217" bestFit="1" customWidth="1"/>
    <col min="10244" max="10244" width="12" style="217" customWidth="1"/>
    <col min="10245" max="10245" width="14.7109375" style="217" customWidth="1"/>
    <col min="10246" max="10246" width="15.28515625" style="217" customWidth="1"/>
    <col min="10247" max="10247" width="20.28515625" style="217" bestFit="1" customWidth="1"/>
    <col min="10248" max="10248" width="41.7109375" style="217" bestFit="1" customWidth="1"/>
    <col min="10249" max="10249" width="18.7109375" style="217" bestFit="1" customWidth="1"/>
    <col min="10250" max="10250" width="15.28515625" style="217" customWidth="1"/>
    <col min="10251" max="10252" width="16.85546875" style="217" customWidth="1"/>
    <col min="10253" max="10253" width="17.140625" style="217" bestFit="1" customWidth="1"/>
    <col min="10254" max="10254" width="18.28515625" style="217" customWidth="1"/>
    <col min="10255" max="10255" width="10.42578125" style="217" customWidth="1"/>
    <col min="10256" max="10258" width="9.140625" style="217"/>
    <col min="10259" max="10260" width="10.7109375" style="217" bestFit="1" customWidth="1"/>
    <col min="10261" max="10261" width="9.140625" style="217"/>
    <col min="10262" max="10262" width="10.7109375" style="217" bestFit="1" customWidth="1"/>
    <col min="10263" max="10263" width="13.28515625" style="217" customWidth="1"/>
    <col min="10264" max="10496" width="9.140625" style="217"/>
    <col min="10497" max="10497" width="19.85546875" style="217" bestFit="1" customWidth="1"/>
    <col min="10498" max="10498" width="17" style="217" customWidth="1"/>
    <col min="10499" max="10499" width="16.42578125" style="217" bestFit="1" customWidth="1"/>
    <col min="10500" max="10500" width="12" style="217" customWidth="1"/>
    <col min="10501" max="10501" width="14.7109375" style="217" customWidth="1"/>
    <col min="10502" max="10502" width="15.28515625" style="217" customWidth="1"/>
    <col min="10503" max="10503" width="20.28515625" style="217" bestFit="1" customWidth="1"/>
    <col min="10504" max="10504" width="41.7109375" style="217" bestFit="1" customWidth="1"/>
    <col min="10505" max="10505" width="18.7109375" style="217" bestFit="1" customWidth="1"/>
    <col min="10506" max="10506" width="15.28515625" style="217" customWidth="1"/>
    <col min="10507" max="10508" width="16.85546875" style="217" customWidth="1"/>
    <col min="10509" max="10509" width="17.140625" style="217" bestFit="1" customWidth="1"/>
    <col min="10510" max="10510" width="18.28515625" style="217" customWidth="1"/>
    <col min="10511" max="10511" width="10.42578125" style="217" customWidth="1"/>
    <col min="10512" max="10514" width="9.140625" style="217"/>
    <col min="10515" max="10516" width="10.7109375" style="217" bestFit="1" customWidth="1"/>
    <col min="10517" max="10517" width="9.140625" style="217"/>
    <col min="10518" max="10518" width="10.7109375" style="217" bestFit="1" customWidth="1"/>
    <col min="10519" max="10519" width="13.28515625" style="217" customWidth="1"/>
    <col min="10520" max="10752" width="9.140625" style="217"/>
    <col min="10753" max="10753" width="19.85546875" style="217" bestFit="1" customWidth="1"/>
    <col min="10754" max="10754" width="17" style="217" customWidth="1"/>
    <col min="10755" max="10755" width="16.42578125" style="217" bestFit="1" customWidth="1"/>
    <col min="10756" max="10756" width="12" style="217" customWidth="1"/>
    <col min="10757" max="10757" width="14.7109375" style="217" customWidth="1"/>
    <col min="10758" max="10758" width="15.28515625" style="217" customWidth="1"/>
    <col min="10759" max="10759" width="20.28515625" style="217" bestFit="1" customWidth="1"/>
    <col min="10760" max="10760" width="41.7109375" style="217" bestFit="1" customWidth="1"/>
    <col min="10761" max="10761" width="18.7109375" style="217" bestFit="1" customWidth="1"/>
    <col min="10762" max="10762" width="15.28515625" style="217" customWidth="1"/>
    <col min="10763" max="10764" width="16.85546875" style="217" customWidth="1"/>
    <col min="10765" max="10765" width="17.140625" style="217" bestFit="1" customWidth="1"/>
    <col min="10766" max="10766" width="18.28515625" style="217" customWidth="1"/>
    <col min="10767" max="10767" width="10.42578125" style="217" customWidth="1"/>
    <col min="10768" max="10770" width="9.140625" style="217"/>
    <col min="10771" max="10772" width="10.7109375" style="217" bestFit="1" customWidth="1"/>
    <col min="10773" max="10773" width="9.140625" style="217"/>
    <col min="10774" max="10774" width="10.7109375" style="217" bestFit="1" customWidth="1"/>
    <col min="10775" max="10775" width="13.28515625" style="217" customWidth="1"/>
    <col min="10776" max="11008" width="9.140625" style="217"/>
    <col min="11009" max="11009" width="19.85546875" style="217" bestFit="1" customWidth="1"/>
    <col min="11010" max="11010" width="17" style="217" customWidth="1"/>
    <col min="11011" max="11011" width="16.42578125" style="217" bestFit="1" customWidth="1"/>
    <col min="11012" max="11012" width="12" style="217" customWidth="1"/>
    <col min="11013" max="11013" width="14.7109375" style="217" customWidth="1"/>
    <col min="11014" max="11014" width="15.28515625" style="217" customWidth="1"/>
    <col min="11015" max="11015" width="20.28515625" style="217" bestFit="1" customWidth="1"/>
    <col min="11016" max="11016" width="41.7109375" style="217" bestFit="1" customWidth="1"/>
    <col min="11017" max="11017" width="18.7109375" style="217" bestFit="1" customWidth="1"/>
    <col min="11018" max="11018" width="15.28515625" style="217" customWidth="1"/>
    <col min="11019" max="11020" width="16.85546875" style="217" customWidth="1"/>
    <col min="11021" max="11021" width="17.140625" style="217" bestFit="1" customWidth="1"/>
    <col min="11022" max="11022" width="18.28515625" style="217" customWidth="1"/>
    <col min="11023" max="11023" width="10.42578125" style="217" customWidth="1"/>
    <col min="11024" max="11026" width="9.140625" style="217"/>
    <col min="11027" max="11028" width="10.7109375" style="217" bestFit="1" customWidth="1"/>
    <col min="11029" max="11029" width="9.140625" style="217"/>
    <col min="11030" max="11030" width="10.7109375" style="217" bestFit="1" customWidth="1"/>
    <col min="11031" max="11031" width="13.28515625" style="217" customWidth="1"/>
    <col min="11032" max="11264" width="9.140625" style="217"/>
    <col min="11265" max="11265" width="19.85546875" style="217" bestFit="1" customWidth="1"/>
    <col min="11266" max="11266" width="17" style="217" customWidth="1"/>
    <col min="11267" max="11267" width="16.42578125" style="217" bestFit="1" customWidth="1"/>
    <col min="11268" max="11268" width="12" style="217" customWidth="1"/>
    <col min="11269" max="11269" width="14.7109375" style="217" customWidth="1"/>
    <col min="11270" max="11270" width="15.28515625" style="217" customWidth="1"/>
    <col min="11271" max="11271" width="20.28515625" style="217" bestFit="1" customWidth="1"/>
    <col min="11272" max="11272" width="41.7109375" style="217" bestFit="1" customWidth="1"/>
    <col min="11273" max="11273" width="18.7109375" style="217" bestFit="1" customWidth="1"/>
    <col min="11274" max="11274" width="15.28515625" style="217" customWidth="1"/>
    <col min="11275" max="11276" width="16.85546875" style="217" customWidth="1"/>
    <col min="11277" max="11277" width="17.140625" style="217" bestFit="1" customWidth="1"/>
    <col min="11278" max="11278" width="18.28515625" style="217" customWidth="1"/>
    <col min="11279" max="11279" width="10.42578125" style="217" customWidth="1"/>
    <col min="11280" max="11282" width="9.140625" style="217"/>
    <col min="11283" max="11284" width="10.7109375" style="217" bestFit="1" customWidth="1"/>
    <col min="11285" max="11285" width="9.140625" style="217"/>
    <col min="11286" max="11286" width="10.7109375" style="217" bestFit="1" customWidth="1"/>
    <col min="11287" max="11287" width="13.28515625" style="217" customWidth="1"/>
    <col min="11288" max="11520" width="9.140625" style="217"/>
    <col min="11521" max="11521" width="19.85546875" style="217" bestFit="1" customWidth="1"/>
    <col min="11522" max="11522" width="17" style="217" customWidth="1"/>
    <col min="11523" max="11523" width="16.42578125" style="217" bestFit="1" customWidth="1"/>
    <col min="11524" max="11524" width="12" style="217" customWidth="1"/>
    <col min="11525" max="11525" width="14.7109375" style="217" customWidth="1"/>
    <col min="11526" max="11526" width="15.28515625" style="217" customWidth="1"/>
    <col min="11527" max="11527" width="20.28515625" style="217" bestFit="1" customWidth="1"/>
    <col min="11528" max="11528" width="41.7109375" style="217" bestFit="1" customWidth="1"/>
    <col min="11529" max="11529" width="18.7109375" style="217" bestFit="1" customWidth="1"/>
    <col min="11530" max="11530" width="15.28515625" style="217" customWidth="1"/>
    <col min="11531" max="11532" width="16.85546875" style="217" customWidth="1"/>
    <col min="11533" max="11533" width="17.140625" style="217" bestFit="1" customWidth="1"/>
    <col min="11534" max="11534" width="18.28515625" style="217" customWidth="1"/>
    <col min="11535" max="11535" width="10.42578125" style="217" customWidth="1"/>
    <col min="11536" max="11538" width="9.140625" style="217"/>
    <col min="11539" max="11540" width="10.7109375" style="217" bestFit="1" customWidth="1"/>
    <col min="11541" max="11541" width="9.140625" style="217"/>
    <col min="11542" max="11542" width="10.7109375" style="217" bestFit="1" customWidth="1"/>
    <col min="11543" max="11543" width="13.28515625" style="217" customWidth="1"/>
    <col min="11544" max="11776" width="9.140625" style="217"/>
    <col min="11777" max="11777" width="19.85546875" style="217" bestFit="1" customWidth="1"/>
    <col min="11778" max="11778" width="17" style="217" customWidth="1"/>
    <col min="11779" max="11779" width="16.42578125" style="217" bestFit="1" customWidth="1"/>
    <col min="11780" max="11780" width="12" style="217" customWidth="1"/>
    <col min="11781" max="11781" width="14.7109375" style="217" customWidth="1"/>
    <col min="11782" max="11782" width="15.28515625" style="217" customWidth="1"/>
    <col min="11783" max="11783" width="20.28515625" style="217" bestFit="1" customWidth="1"/>
    <col min="11784" max="11784" width="41.7109375" style="217" bestFit="1" customWidth="1"/>
    <col min="11785" max="11785" width="18.7109375" style="217" bestFit="1" customWidth="1"/>
    <col min="11786" max="11786" width="15.28515625" style="217" customWidth="1"/>
    <col min="11787" max="11788" width="16.85546875" style="217" customWidth="1"/>
    <col min="11789" max="11789" width="17.140625" style="217" bestFit="1" customWidth="1"/>
    <col min="11790" max="11790" width="18.28515625" style="217" customWidth="1"/>
    <col min="11791" max="11791" width="10.42578125" style="217" customWidth="1"/>
    <col min="11792" max="11794" width="9.140625" style="217"/>
    <col min="11795" max="11796" width="10.7109375" style="217" bestFit="1" customWidth="1"/>
    <col min="11797" max="11797" width="9.140625" style="217"/>
    <col min="11798" max="11798" width="10.7109375" style="217" bestFit="1" customWidth="1"/>
    <col min="11799" max="11799" width="13.28515625" style="217" customWidth="1"/>
    <col min="11800" max="12032" width="9.140625" style="217"/>
    <col min="12033" max="12033" width="19.85546875" style="217" bestFit="1" customWidth="1"/>
    <col min="12034" max="12034" width="17" style="217" customWidth="1"/>
    <col min="12035" max="12035" width="16.42578125" style="217" bestFit="1" customWidth="1"/>
    <col min="12036" max="12036" width="12" style="217" customWidth="1"/>
    <col min="12037" max="12037" width="14.7109375" style="217" customWidth="1"/>
    <col min="12038" max="12038" width="15.28515625" style="217" customWidth="1"/>
    <col min="12039" max="12039" width="20.28515625" style="217" bestFit="1" customWidth="1"/>
    <col min="12040" max="12040" width="41.7109375" style="217" bestFit="1" customWidth="1"/>
    <col min="12041" max="12041" width="18.7109375" style="217" bestFit="1" customWidth="1"/>
    <col min="12042" max="12042" width="15.28515625" style="217" customWidth="1"/>
    <col min="12043" max="12044" width="16.85546875" style="217" customWidth="1"/>
    <col min="12045" max="12045" width="17.140625" style="217" bestFit="1" customWidth="1"/>
    <col min="12046" max="12046" width="18.28515625" style="217" customWidth="1"/>
    <col min="12047" max="12047" width="10.42578125" style="217" customWidth="1"/>
    <col min="12048" max="12050" width="9.140625" style="217"/>
    <col min="12051" max="12052" width="10.7109375" style="217" bestFit="1" customWidth="1"/>
    <col min="12053" max="12053" width="9.140625" style="217"/>
    <col min="12054" max="12054" width="10.7109375" style="217" bestFit="1" customWidth="1"/>
    <col min="12055" max="12055" width="13.28515625" style="217" customWidth="1"/>
    <col min="12056" max="12288" width="9.140625" style="217"/>
    <col min="12289" max="12289" width="19.85546875" style="217" bestFit="1" customWidth="1"/>
    <col min="12290" max="12290" width="17" style="217" customWidth="1"/>
    <col min="12291" max="12291" width="16.42578125" style="217" bestFit="1" customWidth="1"/>
    <col min="12292" max="12292" width="12" style="217" customWidth="1"/>
    <col min="12293" max="12293" width="14.7109375" style="217" customWidth="1"/>
    <col min="12294" max="12294" width="15.28515625" style="217" customWidth="1"/>
    <col min="12295" max="12295" width="20.28515625" style="217" bestFit="1" customWidth="1"/>
    <col min="12296" max="12296" width="41.7109375" style="217" bestFit="1" customWidth="1"/>
    <col min="12297" max="12297" width="18.7109375" style="217" bestFit="1" customWidth="1"/>
    <col min="12298" max="12298" width="15.28515625" style="217" customWidth="1"/>
    <col min="12299" max="12300" width="16.85546875" style="217" customWidth="1"/>
    <col min="12301" max="12301" width="17.140625" style="217" bestFit="1" customWidth="1"/>
    <col min="12302" max="12302" width="18.28515625" style="217" customWidth="1"/>
    <col min="12303" max="12303" width="10.42578125" style="217" customWidth="1"/>
    <col min="12304" max="12306" width="9.140625" style="217"/>
    <col min="12307" max="12308" width="10.7109375" style="217" bestFit="1" customWidth="1"/>
    <col min="12309" max="12309" width="9.140625" style="217"/>
    <col min="12310" max="12310" width="10.7109375" style="217" bestFit="1" customWidth="1"/>
    <col min="12311" max="12311" width="13.28515625" style="217" customWidth="1"/>
    <col min="12312" max="12544" width="9.140625" style="217"/>
    <col min="12545" max="12545" width="19.85546875" style="217" bestFit="1" customWidth="1"/>
    <col min="12546" max="12546" width="17" style="217" customWidth="1"/>
    <col min="12547" max="12547" width="16.42578125" style="217" bestFit="1" customWidth="1"/>
    <col min="12548" max="12548" width="12" style="217" customWidth="1"/>
    <col min="12549" max="12549" width="14.7109375" style="217" customWidth="1"/>
    <col min="12550" max="12550" width="15.28515625" style="217" customWidth="1"/>
    <col min="12551" max="12551" width="20.28515625" style="217" bestFit="1" customWidth="1"/>
    <col min="12552" max="12552" width="41.7109375" style="217" bestFit="1" customWidth="1"/>
    <col min="12553" max="12553" width="18.7109375" style="217" bestFit="1" customWidth="1"/>
    <col min="12554" max="12554" width="15.28515625" style="217" customWidth="1"/>
    <col min="12555" max="12556" width="16.85546875" style="217" customWidth="1"/>
    <col min="12557" max="12557" width="17.140625" style="217" bestFit="1" customWidth="1"/>
    <col min="12558" max="12558" width="18.28515625" style="217" customWidth="1"/>
    <col min="12559" max="12559" width="10.42578125" style="217" customWidth="1"/>
    <col min="12560" max="12562" width="9.140625" style="217"/>
    <col min="12563" max="12564" width="10.7109375" style="217" bestFit="1" customWidth="1"/>
    <col min="12565" max="12565" width="9.140625" style="217"/>
    <col min="12566" max="12566" width="10.7109375" style="217" bestFit="1" customWidth="1"/>
    <col min="12567" max="12567" width="13.28515625" style="217" customWidth="1"/>
    <col min="12568" max="12800" width="9.140625" style="217"/>
    <col min="12801" max="12801" width="19.85546875" style="217" bestFit="1" customWidth="1"/>
    <col min="12802" max="12802" width="17" style="217" customWidth="1"/>
    <col min="12803" max="12803" width="16.42578125" style="217" bestFit="1" customWidth="1"/>
    <col min="12804" max="12804" width="12" style="217" customWidth="1"/>
    <col min="12805" max="12805" width="14.7109375" style="217" customWidth="1"/>
    <col min="12806" max="12806" width="15.28515625" style="217" customWidth="1"/>
    <col min="12807" max="12807" width="20.28515625" style="217" bestFit="1" customWidth="1"/>
    <col min="12808" max="12808" width="41.7109375" style="217" bestFit="1" customWidth="1"/>
    <col min="12809" max="12809" width="18.7109375" style="217" bestFit="1" customWidth="1"/>
    <col min="12810" max="12810" width="15.28515625" style="217" customWidth="1"/>
    <col min="12811" max="12812" width="16.85546875" style="217" customWidth="1"/>
    <col min="12813" max="12813" width="17.140625" style="217" bestFit="1" customWidth="1"/>
    <col min="12814" max="12814" width="18.28515625" style="217" customWidth="1"/>
    <col min="12815" max="12815" width="10.42578125" style="217" customWidth="1"/>
    <col min="12816" max="12818" width="9.140625" style="217"/>
    <col min="12819" max="12820" width="10.7109375" style="217" bestFit="1" customWidth="1"/>
    <col min="12821" max="12821" width="9.140625" style="217"/>
    <col min="12822" max="12822" width="10.7109375" style="217" bestFit="1" customWidth="1"/>
    <col min="12823" max="12823" width="13.28515625" style="217" customWidth="1"/>
    <col min="12824" max="13056" width="9.140625" style="217"/>
    <col min="13057" max="13057" width="19.85546875" style="217" bestFit="1" customWidth="1"/>
    <col min="13058" max="13058" width="17" style="217" customWidth="1"/>
    <col min="13059" max="13059" width="16.42578125" style="217" bestFit="1" customWidth="1"/>
    <col min="13060" max="13060" width="12" style="217" customWidth="1"/>
    <col min="13061" max="13061" width="14.7109375" style="217" customWidth="1"/>
    <col min="13062" max="13062" width="15.28515625" style="217" customWidth="1"/>
    <col min="13063" max="13063" width="20.28515625" style="217" bestFit="1" customWidth="1"/>
    <col min="13064" max="13064" width="41.7109375" style="217" bestFit="1" customWidth="1"/>
    <col min="13065" max="13065" width="18.7109375" style="217" bestFit="1" customWidth="1"/>
    <col min="13066" max="13066" width="15.28515625" style="217" customWidth="1"/>
    <col min="13067" max="13068" width="16.85546875" style="217" customWidth="1"/>
    <col min="13069" max="13069" width="17.140625" style="217" bestFit="1" customWidth="1"/>
    <col min="13070" max="13070" width="18.28515625" style="217" customWidth="1"/>
    <col min="13071" max="13071" width="10.42578125" style="217" customWidth="1"/>
    <col min="13072" max="13074" width="9.140625" style="217"/>
    <col min="13075" max="13076" width="10.7109375" style="217" bestFit="1" customWidth="1"/>
    <col min="13077" max="13077" width="9.140625" style="217"/>
    <col min="13078" max="13078" width="10.7109375" style="217" bestFit="1" customWidth="1"/>
    <col min="13079" max="13079" width="13.28515625" style="217" customWidth="1"/>
    <col min="13080" max="13312" width="9.140625" style="217"/>
    <col min="13313" max="13313" width="19.85546875" style="217" bestFit="1" customWidth="1"/>
    <col min="13314" max="13314" width="17" style="217" customWidth="1"/>
    <col min="13315" max="13315" width="16.42578125" style="217" bestFit="1" customWidth="1"/>
    <col min="13316" max="13316" width="12" style="217" customWidth="1"/>
    <col min="13317" max="13317" width="14.7109375" style="217" customWidth="1"/>
    <col min="13318" max="13318" width="15.28515625" style="217" customWidth="1"/>
    <col min="13319" max="13319" width="20.28515625" style="217" bestFit="1" customWidth="1"/>
    <col min="13320" max="13320" width="41.7109375" style="217" bestFit="1" customWidth="1"/>
    <col min="13321" max="13321" width="18.7109375" style="217" bestFit="1" customWidth="1"/>
    <col min="13322" max="13322" width="15.28515625" style="217" customWidth="1"/>
    <col min="13323" max="13324" width="16.85546875" style="217" customWidth="1"/>
    <col min="13325" max="13325" width="17.140625" style="217" bestFit="1" customWidth="1"/>
    <col min="13326" max="13326" width="18.28515625" style="217" customWidth="1"/>
    <col min="13327" max="13327" width="10.42578125" style="217" customWidth="1"/>
    <col min="13328" max="13330" width="9.140625" style="217"/>
    <col min="13331" max="13332" width="10.7109375" style="217" bestFit="1" customWidth="1"/>
    <col min="13333" max="13333" width="9.140625" style="217"/>
    <col min="13334" max="13334" width="10.7109375" style="217" bestFit="1" customWidth="1"/>
    <col min="13335" max="13335" width="13.28515625" style="217" customWidth="1"/>
    <col min="13336" max="13568" width="9.140625" style="217"/>
    <col min="13569" max="13569" width="19.85546875" style="217" bestFit="1" customWidth="1"/>
    <col min="13570" max="13570" width="17" style="217" customWidth="1"/>
    <col min="13571" max="13571" width="16.42578125" style="217" bestFit="1" customWidth="1"/>
    <col min="13572" max="13572" width="12" style="217" customWidth="1"/>
    <col min="13573" max="13573" width="14.7109375" style="217" customWidth="1"/>
    <col min="13574" max="13574" width="15.28515625" style="217" customWidth="1"/>
    <col min="13575" max="13575" width="20.28515625" style="217" bestFit="1" customWidth="1"/>
    <col min="13576" max="13576" width="41.7109375" style="217" bestFit="1" customWidth="1"/>
    <col min="13577" max="13577" width="18.7109375" style="217" bestFit="1" customWidth="1"/>
    <col min="13578" max="13578" width="15.28515625" style="217" customWidth="1"/>
    <col min="13579" max="13580" width="16.85546875" style="217" customWidth="1"/>
    <col min="13581" max="13581" width="17.140625" style="217" bestFit="1" customWidth="1"/>
    <col min="13582" max="13582" width="18.28515625" style="217" customWidth="1"/>
    <col min="13583" max="13583" width="10.42578125" style="217" customWidth="1"/>
    <col min="13584" max="13586" width="9.140625" style="217"/>
    <col min="13587" max="13588" width="10.7109375" style="217" bestFit="1" customWidth="1"/>
    <col min="13589" max="13589" width="9.140625" style="217"/>
    <col min="13590" max="13590" width="10.7109375" style="217" bestFit="1" customWidth="1"/>
    <col min="13591" max="13591" width="13.28515625" style="217" customWidth="1"/>
    <col min="13592" max="13824" width="9.140625" style="217"/>
    <col min="13825" max="13825" width="19.85546875" style="217" bestFit="1" customWidth="1"/>
    <col min="13826" max="13826" width="17" style="217" customWidth="1"/>
    <col min="13827" max="13827" width="16.42578125" style="217" bestFit="1" customWidth="1"/>
    <col min="13828" max="13828" width="12" style="217" customWidth="1"/>
    <col min="13829" max="13829" width="14.7109375" style="217" customWidth="1"/>
    <col min="13830" max="13830" width="15.28515625" style="217" customWidth="1"/>
    <col min="13831" max="13831" width="20.28515625" style="217" bestFit="1" customWidth="1"/>
    <col min="13832" max="13832" width="41.7109375" style="217" bestFit="1" customWidth="1"/>
    <col min="13833" max="13833" width="18.7109375" style="217" bestFit="1" customWidth="1"/>
    <col min="13834" max="13834" width="15.28515625" style="217" customWidth="1"/>
    <col min="13835" max="13836" width="16.85546875" style="217" customWidth="1"/>
    <col min="13837" max="13837" width="17.140625" style="217" bestFit="1" customWidth="1"/>
    <col min="13838" max="13838" width="18.28515625" style="217" customWidth="1"/>
    <col min="13839" max="13839" width="10.42578125" style="217" customWidth="1"/>
    <col min="13840" max="13842" width="9.140625" style="217"/>
    <col min="13843" max="13844" width="10.7109375" style="217" bestFit="1" customWidth="1"/>
    <col min="13845" max="13845" width="9.140625" style="217"/>
    <col min="13846" max="13846" width="10.7109375" style="217" bestFit="1" customWidth="1"/>
    <col min="13847" max="13847" width="13.28515625" style="217" customWidth="1"/>
    <col min="13848" max="14080" width="9.140625" style="217"/>
    <col min="14081" max="14081" width="19.85546875" style="217" bestFit="1" customWidth="1"/>
    <col min="14082" max="14082" width="17" style="217" customWidth="1"/>
    <col min="14083" max="14083" width="16.42578125" style="217" bestFit="1" customWidth="1"/>
    <col min="14084" max="14084" width="12" style="217" customWidth="1"/>
    <col min="14085" max="14085" width="14.7109375" style="217" customWidth="1"/>
    <col min="14086" max="14086" width="15.28515625" style="217" customWidth="1"/>
    <col min="14087" max="14087" width="20.28515625" style="217" bestFit="1" customWidth="1"/>
    <col min="14088" max="14088" width="41.7109375" style="217" bestFit="1" customWidth="1"/>
    <col min="14089" max="14089" width="18.7109375" style="217" bestFit="1" customWidth="1"/>
    <col min="14090" max="14090" width="15.28515625" style="217" customWidth="1"/>
    <col min="14091" max="14092" width="16.85546875" style="217" customWidth="1"/>
    <col min="14093" max="14093" width="17.140625" style="217" bestFit="1" customWidth="1"/>
    <col min="14094" max="14094" width="18.28515625" style="217" customWidth="1"/>
    <col min="14095" max="14095" width="10.42578125" style="217" customWidth="1"/>
    <col min="14096" max="14098" width="9.140625" style="217"/>
    <col min="14099" max="14100" width="10.7109375" style="217" bestFit="1" customWidth="1"/>
    <col min="14101" max="14101" width="9.140625" style="217"/>
    <col min="14102" max="14102" width="10.7109375" style="217" bestFit="1" customWidth="1"/>
    <col min="14103" max="14103" width="13.28515625" style="217" customWidth="1"/>
    <col min="14104" max="14336" width="9.140625" style="217"/>
    <col min="14337" max="14337" width="19.85546875" style="217" bestFit="1" customWidth="1"/>
    <col min="14338" max="14338" width="17" style="217" customWidth="1"/>
    <col min="14339" max="14339" width="16.42578125" style="217" bestFit="1" customWidth="1"/>
    <col min="14340" max="14340" width="12" style="217" customWidth="1"/>
    <col min="14341" max="14341" width="14.7109375" style="217" customWidth="1"/>
    <col min="14342" max="14342" width="15.28515625" style="217" customWidth="1"/>
    <col min="14343" max="14343" width="20.28515625" style="217" bestFit="1" customWidth="1"/>
    <col min="14344" max="14344" width="41.7109375" style="217" bestFit="1" customWidth="1"/>
    <col min="14345" max="14345" width="18.7109375" style="217" bestFit="1" customWidth="1"/>
    <col min="14346" max="14346" width="15.28515625" style="217" customWidth="1"/>
    <col min="14347" max="14348" width="16.85546875" style="217" customWidth="1"/>
    <col min="14349" max="14349" width="17.140625" style="217" bestFit="1" customWidth="1"/>
    <col min="14350" max="14350" width="18.28515625" style="217" customWidth="1"/>
    <col min="14351" max="14351" width="10.42578125" style="217" customWidth="1"/>
    <col min="14352" max="14354" width="9.140625" style="217"/>
    <col min="14355" max="14356" width="10.7109375" style="217" bestFit="1" customWidth="1"/>
    <col min="14357" max="14357" width="9.140625" style="217"/>
    <col min="14358" max="14358" width="10.7109375" style="217" bestFit="1" customWidth="1"/>
    <col min="14359" max="14359" width="13.28515625" style="217" customWidth="1"/>
    <col min="14360" max="14592" width="9.140625" style="217"/>
    <col min="14593" max="14593" width="19.85546875" style="217" bestFit="1" customWidth="1"/>
    <col min="14594" max="14594" width="17" style="217" customWidth="1"/>
    <col min="14595" max="14595" width="16.42578125" style="217" bestFit="1" customWidth="1"/>
    <col min="14596" max="14596" width="12" style="217" customWidth="1"/>
    <col min="14597" max="14597" width="14.7109375" style="217" customWidth="1"/>
    <col min="14598" max="14598" width="15.28515625" style="217" customWidth="1"/>
    <col min="14599" max="14599" width="20.28515625" style="217" bestFit="1" customWidth="1"/>
    <col min="14600" max="14600" width="41.7109375" style="217" bestFit="1" customWidth="1"/>
    <col min="14601" max="14601" width="18.7109375" style="217" bestFit="1" customWidth="1"/>
    <col min="14602" max="14602" width="15.28515625" style="217" customWidth="1"/>
    <col min="14603" max="14604" width="16.85546875" style="217" customWidth="1"/>
    <col min="14605" max="14605" width="17.140625" style="217" bestFit="1" customWidth="1"/>
    <col min="14606" max="14606" width="18.28515625" style="217" customWidth="1"/>
    <col min="14607" max="14607" width="10.42578125" style="217" customWidth="1"/>
    <col min="14608" max="14610" width="9.140625" style="217"/>
    <col min="14611" max="14612" width="10.7109375" style="217" bestFit="1" customWidth="1"/>
    <col min="14613" max="14613" width="9.140625" style="217"/>
    <col min="14614" max="14614" width="10.7109375" style="217" bestFit="1" customWidth="1"/>
    <col min="14615" max="14615" width="13.28515625" style="217" customWidth="1"/>
    <col min="14616" max="14848" width="9.140625" style="217"/>
    <col min="14849" max="14849" width="19.85546875" style="217" bestFit="1" customWidth="1"/>
    <col min="14850" max="14850" width="17" style="217" customWidth="1"/>
    <col min="14851" max="14851" width="16.42578125" style="217" bestFit="1" customWidth="1"/>
    <col min="14852" max="14852" width="12" style="217" customWidth="1"/>
    <col min="14853" max="14853" width="14.7109375" style="217" customWidth="1"/>
    <col min="14854" max="14854" width="15.28515625" style="217" customWidth="1"/>
    <col min="14855" max="14855" width="20.28515625" style="217" bestFit="1" customWidth="1"/>
    <col min="14856" max="14856" width="41.7109375" style="217" bestFit="1" customWidth="1"/>
    <col min="14857" max="14857" width="18.7109375" style="217" bestFit="1" customWidth="1"/>
    <col min="14858" max="14858" width="15.28515625" style="217" customWidth="1"/>
    <col min="14859" max="14860" width="16.85546875" style="217" customWidth="1"/>
    <col min="14861" max="14861" width="17.140625" style="217" bestFit="1" customWidth="1"/>
    <col min="14862" max="14862" width="18.28515625" style="217" customWidth="1"/>
    <col min="14863" max="14863" width="10.42578125" style="217" customWidth="1"/>
    <col min="14864" max="14866" width="9.140625" style="217"/>
    <col min="14867" max="14868" width="10.7109375" style="217" bestFit="1" customWidth="1"/>
    <col min="14869" max="14869" width="9.140625" style="217"/>
    <col min="14870" max="14870" width="10.7109375" style="217" bestFit="1" customWidth="1"/>
    <col min="14871" max="14871" width="13.28515625" style="217" customWidth="1"/>
    <col min="14872" max="15104" width="9.140625" style="217"/>
    <col min="15105" max="15105" width="19.85546875" style="217" bestFit="1" customWidth="1"/>
    <col min="15106" max="15106" width="17" style="217" customWidth="1"/>
    <col min="15107" max="15107" width="16.42578125" style="217" bestFit="1" customWidth="1"/>
    <col min="15108" max="15108" width="12" style="217" customWidth="1"/>
    <col min="15109" max="15109" width="14.7109375" style="217" customWidth="1"/>
    <col min="15110" max="15110" width="15.28515625" style="217" customWidth="1"/>
    <col min="15111" max="15111" width="20.28515625" style="217" bestFit="1" customWidth="1"/>
    <col min="15112" max="15112" width="41.7109375" style="217" bestFit="1" customWidth="1"/>
    <col min="15113" max="15113" width="18.7109375" style="217" bestFit="1" customWidth="1"/>
    <col min="15114" max="15114" width="15.28515625" style="217" customWidth="1"/>
    <col min="15115" max="15116" width="16.85546875" style="217" customWidth="1"/>
    <col min="15117" max="15117" width="17.140625" style="217" bestFit="1" customWidth="1"/>
    <col min="15118" max="15118" width="18.28515625" style="217" customWidth="1"/>
    <col min="15119" max="15119" width="10.42578125" style="217" customWidth="1"/>
    <col min="15120" max="15122" width="9.140625" style="217"/>
    <col min="15123" max="15124" width="10.7109375" style="217" bestFit="1" customWidth="1"/>
    <col min="15125" max="15125" width="9.140625" style="217"/>
    <col min="15126" max="15126" width="10.7109375" style="217" bestFit="1" customWidth="1"/>
    <col min="15127" max="15127" width="13.28515625" style="217" customWidth="1"/>
    <col min="15128" max="15360" width="9.140625" style="217"/>
    <col min="15361" max="15361" width="19.85546875" style="217" bestFit="1" customWidth="1"/>
    <col min="15362" max="15362" width="17" style="217" customWidth="1"/>
    <col min="15363" max="15363" width="16.42578125" style="217" bestFit="1" customWidth="1"/>
    <col min="15364" max="15364" width="12" style="217" customWidth="1"/>
    <col min="15365" max="15365" width="14.7109375" style="217" customWidth="1"/>
    <col min="15366" max="15366" width="15.28515625" style="217" customWidth="1"/>
    <col min="15367" max="15367" width="20.28515625" style="217" bestFit="1" customWidth="1"/>
    <col min="15368" max="15368" width="41.7109375" style="217" bestFit="1" customWidth="1"/>
    <col min="15369" max="15369" width="18.7109375" style="217" bestFit="1" customWidth="1"/>
    <col min="15370" max="15370" width="15.28515625" style="217" customWidth="1"/>
    <col min="15371" max="15372" width="16.85546875" style="217" customWidth="1"/>
    <col min="15373" max="15373" width="17.140625" style="217" bestFit="1" customWidth="1"/>
    <col min="15374" max="15374" width="18.28515625" style="217" customWidth="1"/>
    <col min="15375" max="15375" width="10.42578125" style="217" customWidth="1"/>
    <col min="15376" max="15378" width="9.140625" style="217"/>
    <col min="15379" max="15380" width="10.7109375" style="217" bestFit="1" customWidth="1"/>
    <col min="15381" max="15381" width="9.140625" style="217"/>
    <col min="15382" max="15382" width="10.7109375" style="217" bestFit="1" customWidth="1"/>
    <col min="15383" max="15383" width="13.28515625" style="217" customWidth="1"/>
    <col min="15384" max="15616" width="9.140625" style="217"/>
    <col min="15617" max="15617" width="19.85546875" style="217" bestFit="1" customWidth="1"/>
    <col min="15618" max="15618" width="17" style="217" customWidth="1"/>
    <col min="15619" max="15619" width="16.42578125" style="217" bestFit="1" customWidth="1"/>
    <col min="15620" max="15620" width="12" style="217" customWidth="1"/>
    <col min="15621" max="15621" width="14.7109375" style="217" customWidth="1"/>
    <col min="15622" max="15622" width="15.28515625" style="217" customWidth="1"/>
    <col min="15623" max="15623" width="20.28515625" style="217" bestFit="1" customWidth="1"/>
    <col min="15624" max="15624" width="41.7109375" style="217" bestFit="1" customWidth="1"/>
    <col min="15625" max="15625" width="18.7109375" style="217" bestFit="1" customWidth="1"/>
    <col min="15626" max="15626" width="15.28515625" style="217" customWidth="1"/>
    <col min="15627" max="15628" width="16.85546875" style="217" customWidth="1"/>
    <col min="15629" max="15629" width="17.140625" style="217" bestFit="1" customWidth="1"/>
    <col min="15630" max="15630" width="18.28515625" style="217" customWidth="1"/>
    <col min="15631" max="15631" width="10.42578125" style="217" customWidth="1"/>
    <col min="15632" max="15634" width="9.140625" style="217"/>
    <col min="15635" max="15636" width="10.7109375" style="217" bestFit="1" customWidth="1"/>
    <col min="15637" max="15637" width="9.140625" style="217"/>
    <col min="15638" max="15638" width="10.7109375" style="217" bestFit="1" customWidth="1"/>
    <col min="15639" max="15639" width="13.28515625" style="217" customWidth="1"/>
    <col min="15640" max="15872" width="9.140625" style="217"/>
    <col min="15873" max="15873" width="19.85546875" style="217" bestFit="1" customWidth="1"/>
    <col min="15874" max="15874" width="17" style="217" customWidth="1"/>
    <col min="15875" max="15875" width="16.42578125" style="217" bestFit="1" customWidth="1"/>
    <col min="15876" max="15876" width="12" style="217" customWidth="1"/>
    <col min="15877" max="15877" width="14.7109375" style="217" customWidth="1"/>
    <col min="15878" max="15878" width="15.28515625" style="217" customWidth="1"/>
    <col min="15879" max="15879" width="20.28515625" style="217" bestFit="1" customWidth="1"/>
    <col min="15880" max="15880" width="41.7109375" style="217" bestFit="1" customWidth="1"/>
    <col min="15881" max="15881" width="18.7109375" style="217" bestFit="1" customWidth="1"/>
    <col min="15882" max="15882" width="15.28515625" style="217" customWidth="1"/>
    <col min="15883" max="15884" width="16.85546875" style="217" customWidth="1"/>
    <col min="15885" max="15885" width="17.140625" style="217" bestFit="1" customWidth="1"/>
    <col min="15886" max="15886" width="18.28515625" style="217" customWidth="1"/>
    <col min="15887" max="15887" width="10.42578125" style="217" customWidth="1"/>
    <col min="15888" max="15890" width="9.140625" style="217"/>
    <col min="15891" max="15892" width="10.7109375" style="217" bestFit="1" customWidth="1"/>
    <col min="15893" max="15893" width="9.140625" style="217"/>
    <col min="15894" max="15894" width="10.7109375" style="217" bestFit="1" customWidth="1"/>
    <col min="15895" max="15895" width="13.28515625" style="217" customWidth="1"/>
    <col min="15896" max="16128" width="9.140625" style="217"/>
    <col min="16129" max="16129" width="19.85546875" style="217" bestFit="1" customWidth="1"/>
    <col min="16130" max="16130" width="17" style="217" customWidth="1"/>
    <col min="16131" max="16131" width="16.42578125" style="217" bestFit="1" customWidth="1"/>
    <col min="16132" max="16132" width="12" style="217" customWidth="1"/>
    <col min="16133" max="16133" width="14.7109375" style="217" customWidth="1"/>
    <col min="16134" max="16134" width="15.28515625" style="217" customWidth="1"/>
    <col min="16135" max="16135" width="20.28515625" style="217" bestFit="1" customWidth="1"/>
    <col min="16136" max="16136" width="41.7109375" style="217" bestFit="1" customWidth="1"/>
    <col min="16137" max="16137" width="18.7109375" style="217" bestFit="1" customWidth="1"/>
    <col min="16138" max="16138" width="15.28515625" style="217" customWidth="1"/>
    <col min="16139" max="16140" width="16.85546875" style="217" customWidth="1"/>
    <col min="16141" max="16141" width="17.140625" style="217" bestFit="1" customWidth="1"/>
    <col min="16142" max="16142" width="18.28515625" style="217" customWidth="1"/>
    <col min="16143" max="16143" width="10.42578125" style="217" customWidth="1"/>
    <col min="16144" max="16146" width="9.140625" style="217"/>
    <col min="16147" max="16148" width="10.7109375" style="217" bestFit="1" customWidth="1"/>
    <col min="16149" max="16149" width="9.140625" style="217"/>
    <col min="16150" max="16150" width="10.7109375" style="217" bestFit="1" customWidth="1"/>
    <col min="16151" max="16151" width="13.28515625" style="217" customWidth="1"/>
    <col min="16152" max="16384" width="9.140625" style="217"/>
  </cols>
  <sheetData>
    <row r="1" spans="1:24" s="213" customFormat="1" ht="35.25" thickBot="1" x14ac:dyDescent="1">
      <c r="A1" s="782" t="s">
        <v>502</v>
      </c>
      <c r="B1" s="783"/>
      <c r="C1" s="783"/>
      <c r="D1" s="783"/>
      <c r="E1" s="783"/>
      <c r="F1" s="783"/>
      <c r="G1" s="783"/>
      <c r="H1" s="783"/>
      <c r="I1" s="783"/>
      <c r="J1" s="783"/>
      <c r="K1" s="783"/>
      <c r="L1" s="783"/>
      <c r="M1" s="783"/>
      <c r="N1" s="784"/>
      <c r="O1" s="212"/>
    </row>
    <row r="2" spans="1:24" ht="22.5" thickBot="1" x14ac:dyDescent="0.65">
      <c r="A2" s="214"/>
      <c r="N2" s="216"/>
    </row>
    <row r="3" spans="1:24" x14ac:dyDescent="0.6">
      <c r="A3" s="218" t="s">
        <v>503</v>
      </c>
      <c r="B3" s="785" t="s">
        <v>436</v>
      </c>
      <c r="C3" s="785"/>
      <c r="D3" s="785"/>
      <c r="E3" s="785"/>
      <c r="F3" s="785"/>
      <c r="G3" s="785"/>
      <c r="H3" s="785"/>
      <c r="I3" s="785"/>
      <c r="J3" s="785"/>
      <c r="K3" s="785"/>
      <c r="L3" s="785"/>
      <c r="M3" s="785"/>
      <c r="N3" s="786"/>
    </row>
    <row r="4" spans="1:24" x14ac:dyDescent="0.6">
      <c r="A4" s="219" t="s">
        <v>504</v>
      </c>
      <c r="B4" s="787" t="s">
        <v>435</v>
      </c>
      <c r="C4" s="787"/>
      <c r="D4" s="787"/>
      <c r="E4" s="787"/>
      <c r="F4" s="787"/>
      <c r="G4" s="787"/>
      <c r="H4" s="787"/>
      <c r="I4" s="787"/>
      <c r="J4" s="787"/>
      <c r="K4" s="787"/>
      <c r="L4" s="787"/>
      <c r="M4" s="787"/>
      <c r="N4" s="788"/>
    </row>
    <row r="5" spans="1:24" x14ac:dyDescent="0.6">
      <c r="A5" s="219" t="s">
        <v>505</v>
      </c>
      <c r="B5" s="787" t="s">
        <v>437</v>
      </c>
      <c r="C5" s="787"/>
      <c r="D5" s="787"/>
      <c r="E5" s="787"/>
      <c r="F5" s="787"/>
      <c r="G5" s="787"/>
      <c r="H5" s="787"/>
      <c r="I5" s="787"/>
      <c r="J5" s="787"/>
      <c r="K5" s="787"/>
      <c r="L5" s="787"/>
      <c r="M5" s="787"/>
      <c r="N5" s="788"/>
    </row>
    <row r="6" spans="1:24" ht="22.5" thickBot="1" x14ac:dyDescent="0.65">
      <c r="A6" s="220" t="s">
        <v>506</v>
      </c>
      <c r="B6" s="789">
        <v>45274</v>
      </c>
      <c r="C6" s="790"/>
      <c r="D6" s="790"/>
      <c r="E6" s="790"/>
      <c r="F6" s="790"/>
      <c r="G6" s="790"/>
      <c r="H6" s="790"/>
      <c r="I6" s="790"/>
      <c r="J6" s="790"/>
      <c r="K6" s="790"/>
      <c r="L6" s="790"/>
      <c r="M6" s="790"/>
      <c r="N6" s="791"/>
    </row>
    <row r="8" spans="1:24" x14ac:dyDescent="0.6">
      <c r="A8" s="792" t="s">
        <v>457</v>
      </c>
      <c r="B8" s="794" t="s">
        <v>507</v>
      </c>
      <c r="C8" s="221" t="s">
        <v>508</v>
      </c>
      <c r="D8" s="221" t="s">
        <v>508</v>
      </c>
      <c r="E8" s="794" t="s">
        <v>509</v>
      </c>
      <c r="F8" s="794" t="s">
        <v>510</v>
      </c>
      <c r="G8" s="222"/>
      <c r="H8" s="222"/>
      <c r="I8" s="795" t="s">
        <v>511</v>
      </c>
      <c r="J8" s="795"/>
      <c r="K8" s="795"/>
      <c r="L8" s="795"/>
      <c r="M8" s="795"/>
      <c r="N8" s="795"/>
      <c r="X8" s="223"/>
    </row>
    <row r="9" spans="1:24" x14ac:dyDescent="0.6">
      <c r="A9" s="793"/>
      <c r="B9" s="795"/>
      <c r="C9" s="224" t="s">
        <v>512</v>
      </c>
      <c r="D9" s="224" t="s">
        <v>513</v>
      </c>
      <c r="E9" s="795"/>
      <c r="F9" s="795"/>
      <c r="G9" s="224" t="s">
        <v>514</v>
      </c>
      <c r="H9" s="224" t="s">
        <v>515</v>
      </c>
      <c r="I9" s="225">
        <v>1</v>
      </c>
      <c r="J9" s="225">
        <v>0.75</v>
      </c>
      <c r="K9" s="225">
        <v>0.5</v>
      </c>
      <c r="L9" s="225">
        <v>0.25</v>
      </c>
      <c r="M9" s="225" t="s">
        <v>516</v>
      </c>
      <c r="N9" s="224" t="s">
        <v>517</v>
      </c>
      <c r="X9" s="223"/>
    </row>
    <row r="10" spans="1:24" x14ac:dyDescent="0.6">
      <c r="A10" s="226" t="s">
        <v>518</v>
      </c>
      <c r="B10" s="227">
        <v>825.55</v>
      </c>
      <c r="C10" s="227">
        <f>(20640)/B10</f>
        <v>25.001514142087096</v>
      </c>
      <c r="D10" s="228">
        <f>C10/30</f>
        <v>0.83338380473623652</v>
      </c>
      <c r="E10" s="229"/>
      <c r="F10" s="229"/>
      <c r="G10" s="230">
        <v>31</v>
      </c>
      <c r="H10" s="227">
        <v>0</v>
      </c>
      <c r="I10" s="228">
        <f>(B10+7)*G10*D10</f>
        <v>21508.844285627765</v>
      </c>
      <c r="J10" s="231">
        <v>0</v>
      </c>
      <c r="K10" s="231"/>
      <c r="L10" s="231"/>
      <c r="M10" s="227"/>
      <c r="N10" s="228"/>
    </row>
    <row r="11" spans="1:24" x14ac:dyDescent="0.6">
      <c r="A11" s="226" t="s">
        <v>519</v>
      </c>
      <c r="B11" s="227">
        <v>825.55</v>
      </c>
      <c r="C11" s="227">
        <f>(20640)/B11</f>
        <v>25.001514142087096</v>
      </c>
      <c r="D11" s="228">
        <f t="shared" ref="D11:D30" si="0">C11/30</f>
        <v>0.83338380473623652</v>
      </c>
      <c r="E11" s="229"/>
      <c r="F11" s="229"/>
      <c r="G11" s="230">
        <v>20</v>
      </c>
      <c r="H11" s="227">
        <f>E11-F10</f>
        <v>0</v>
      </c>
      <c r="I11" s="228">
        <f t="shared" ref="I11:I30" si="1">(B11+7)*G11*D11</f>
        <v>13876.673732663074</v>
      </c>
      <c r="J11" s="232">
        <f>(B10*D10*0.75)*7</f>
        <v>3612</v>
      </c>
      <c r="K11" s="232">
        <f>(B10*D10*0.5)*7</f>
        <v>2408</v>
      </c>
      <c r="L11" s="232">
        <f>(B10*D10*0.25)*7</f>
        <v>1204</v>
      </c>
      <c r="M11" s="227"/>
      <c r="N11" s="228">
        <f>(M11*($G11)*B10)/30</f>
        <v>0</v>
      </c>
    </row>
    <row r="12" spans="1:24" x14ac:dyDescent="0.6">
      <c r="A12" s="226" t="s">
        <v>520</v>
      </c>
      <c r="B12" s="227">
        <v>825.55</v>
      </c>
      <c r="C12" s="227">
        <f>(20640)/B12</f>
        <v>25.001514142087096</v>
      </c>
      <c r="D12" s="228">
        <f t="shared" si="0"/>
        <v>0.83338380473623652</v>
      </c>
      <c r="E12" s="229"/>
      <c r="F12" s="229"/>
      <c r="G12" s="230">
        <v>20</v>
      </c>
      <c r="H12" s="227">
        <f>E12-F10</f>
        <v>0</v>
      </c>
      <c r="I12" s="228">
        <f t="shared" si="1"/>
        <v>13876.673732663074</v>
      </c>
      <c r="J12" s="232">
        <f t="shared" ref="J12:J31" si="2">(B11*D11*0.75)*7</f>
        <v>3612</v>
      </c>
      <c r="K12" s="232">
        <f t="shared" ref="K12:K31" si="3">(B11*D11*0.5)*7</f>
        <v>2408</v>
      </c>
      <c r="L12" s="232">
        <f t="shared" ref="L12:L14" si="4">(B11*D11*0.25)*7</f>
        <v>1204</v>
      </c>
      <c r="M12" s="227"/>
      <c r="N12" s="228">
        <f>(M12*($G12)*B11)/30</f>
        <v>0</v>
      </c>
    </row>
    <row r="13" spans="1:24" x14ac:dyDescent="0.6">
      <c r="A13" s="226" t="s">
        <v>521</v>
      </c>
      <c r="B13" s="227">
        <v>827.3</v>
      </c>
      <c r="C13" s="227">
        <f>(20640)/B13</f>
        <v>24.948628067206577</v>
      </c>
      <c r="D13" s="228">
        <f t="shared" si="0"/>
        <v>0.83162093557355254</v>
      </c>
      <c r="E13" s="229"/>
      <c r="F13" s="229"/>
      <c r="G13" s="230">
        <v>37</v>
      </c>
      <c r="H13" s="227">
        <f>E13-F11</f>
        <v>0</v>
      </c>
      <c r="I13" s="228">
        <f>(B13+7)*G13*D13</f>
        <v>25671.389822313551</v>
      </c>
      <c r="J13" s="232">
        <f t="shared" si="2"/>
        <v>3612</v>
      </c>
      <c r="K13" s="232">
        <f t="shared" si="3"/>
        <v>2408</v>
      </c>
      <c r="L13" s="232">
        <f t="shared" si="4"/>
        <v>1204</v>
      </c>
      <c r="M13" s="227"/>
      <c r="N13" s="228"/>
    </row>
    <row r="14" spans="1:24" ht="19.899999999999999" customHeight="1" x14ac:dyDescent="0.6">
      <c r="A14" s="226" t="s">
        <v>522</v>
      </c>
      <c r="B14" s="227">
        <v>439.35</v>
      </c>
      <c r="C14" s="227">
        <f>(11200)/B14</f>
        <v>25.492204392853075</v>
      </c>
      <c r="D14" s="228">
        <f t="shared" si="0"/>
        <v>0.84974014642843587</v>
      </c>
      <c r="E14" s="229"/>
      <c r="F14" s="229"/>
      <c r="G14" s="230">
        <v>15</v>
      </c>
      <c r="H14" s="227">
        <f>E14-F12</f>
        <v>0</v>
      </c>
      <c r="I14" s="228">
        <f t="shared" si="1"/>
        <v>5689.2227153749855</v>
      </c>
      <c r="J14" s="232">
        <f t="shared" si="2"/>
        <v>3612</v>
      </c>
      <c r="K14" s="232">
        <f t="shared" si="3"/>
        <v>2408</v>
      </c>
      <c r="L14" s="232">
        <f t="shared" si="4"/>
        <v>1204</v>
      </c>
      <c r="M14" s="227"/>
      <c r="N14" s="228">
        <f t="shared" ref="N14:N24" si="5">(M14*($G14)*B13)/30</f>
        <v>0</v>
      </c>
    </row>
    <row r="15" spans="1:24" x14ac:dyDescent="0.6">
      <c r="A15" s="226" t="s">
        <v>523</v>
      </c>
      <c r="B15" s="227">
        <v>439.35</v>
      </c>
      <c r="C15" s="227">
        <f t="shared" ref="C15:C28" si="6">(11200)/B15</f>
        <v>25.492204392853075</v>
      </c>
      <c r="D15" s="228">
        <f t="shared" si="0"/>
        <v>0.84974014642843587</v>
      </c>
      <c r="E15" s="229"/>
      <c r="F15" s="229"/>
      <c r="G15" s="230">
        <v>12</v>
      </c>
      <c r="H15" s="227">
        <f t="shared" ref="H15:H30" si="7">E15-F13</f>
        <v>0</v>
      </c>
      <c r="I15" s="228">
        <f t="shared" si="1"/>
        <v>4551.3781722999893</v>
      </c>
      <c r="J15" s="232">
        <f t="shared" si="2"/>
        <v>1960</v>
      </c>
      <c r="K15" s="232">
        <f t="shared" si="3"/>
        <v>1306.6666666666665</v>
      </c>
      <c r="L15" s="232">
        <f>(B14*D14*0.25+B15*D15*0.25)*7</f>
        <v>1306.6666666666665</v>
      </c>
      <c r="M15" s="227"/>
      <c r="N15" s="228">
        <f t="shared" si="5"/>
        <v>0</v>
      </c>
    </row>
    <row r="16" spans="1:24" x14ac:dyDescent="0.6">
      <c r="A16" s="226" t="s">
        <v>524</v>
      </c>
      <c r="B16" s="227">
        <v>439.35</v>
      </c>
      <c r="C16" s="227">
        <f t="shared" si="6"/>
        <v>25.492204392853075</v>
      </c>
      <c r="D16" s="228">
        <f t="shared" si="0"/>
        <v>0.84974014642843587</v>
      </c>
      <c r="E16" s="229"/>
      <c r="F16" s="229"/>
      <c r="G16" s="230">
        <v>11</v>
      </c>
      <c r="H16" s="227">
        <f t="shared" si="7"/>
        <v>0</v>
      </c>
      <c r="I16" s="228">
        <f t="shared" si="1"/>
        <v>4172.0966579416563</v>
      </c>
      <c r="J16" s="232">
        <f t="shared" si="2"/>
        <v>1960</v>
      </c>
      <c r="K16" s="232">
        <f t="shared" si="3"/>
        <v>1306.6666666666665</v>
      </c>
      <c r="L16" s="232">
        <f t="shared" ref="L16:L31" si="8">(B15*D15*0.25+B16*D16*0.25)*7</f>
        <v>1306.6666666666665</v>
      </c>
      <c r="M16" s="227"/>
      <c r="N16" s="228">
        <f t="shared" si="5"/>
        <v>0</v>
      </c>
    </row>
    <row r="17" spans="1:14" x14ac:dyDescent="0.6">
      <c r="A17" s="226" t="s">
        <v>525</v>
      </c>
      <c r="B17" s="227">
        <v>439.35</v>
      </c>
      <c r="C17" s="227">
        <f t="shared" si="6"/>
        <v>25.492204392853075</v>
      </c>
      <c r="D17" s="228">
        <f t="shared" si="0"/>
        <v>0.84974014642843587</v>
      </c>
      <c r="E17" s="229"/>
      <c r="F17" s="229"/>
      <c r="G17" s="230">
        <v>11</v>
      </c>
      <c r="H17" s="227">
        <f t="shared" si="7"/>
        <v>0</v>
      </c>
      <c r="I17" s="228">
        <f t="shared" si="1"/>
        <v>4172.0966579416563</v>
      </c>
      <c r="J17" s="232">
        <f t="shared" si="2"/>
        <v>1960</v>
      </c>
      <c r="K17" s="232">
        <f t="shared" si="3"/>
        <v>1306.6666666666665</v>
      </c>
      <c r="L17" s="232">
        <f t="shared" si="8"/>
        <v>1306.6666666666665</v>
      </c>
      <c r="M17" s="227"/>
      <c r="N17" s="228">
        <f t="shared" si="5"/>
        <v>0</v>
      </c>
    </row>
    <row r="18" spans="1:14" x14ac:dyDescent="0.6">
      <c r="A18" s="226" t="s">
        <v>526</v>
      </c>
      <c r="B18" s="227">
        <v>439.35</v>
      </c>
      <c r="C18" s="227">
        <f t="shared" si="6"/>
        <v>25.492204392853075</v>
      </c>
      <c r="D18" s="228">
        <f t="shared" si="0"/>
        <v>0.84974014642843587</v>
      </c>
      <c r="E18" s="229"/>
      <c r="F18" s="229"/>
      <c r="G18" s="230">
        <v>11</v>
      </c>
      <c r="H18" s="227">
        <f t="shared" si="7"/>
        <v>0</v>
      </c>
      <c r="I18" s="228">
        <f t="shared" si="1"/>
        <v>4172.0966579416563</v>
      </c>
      <c r="J18" s="232">
        <f t="shared" si="2"/>
        <v>1960</v>
      </c>
      <c r="K18" s="232">
        <f t="shared" si="3"/>
        <v>1306.6666666666665</v>
      </c>
      <c r="L18" s="232">
        <f t="shared" si="8"/>
        <v>1306.6666666666665</v>
      </c>
      <c r="M18" s="227"/>
      <c r="N18" s="228">
        <f t="shared" si="5"/>
        <v>0</v>
      </c>
    </row>
    <row r="19" spans="1:14" x14ac:dyDescent="0.6">
      <c r="A19" s="226" t="s">
        <v>527</v>
      </c>
      <c r="B19" s="227">
        <v>439.35</v>
      </c>
      <c r="C19" s="227">
        <f t="shared" si="6"/>
        <v>25.492204392853075</v>
      </c>
      <c r="D19" s="228">
        <f t="shared" si="0"/>
        <v>0.84974014642843587</v>
      </c>
      <c r="E19" s="229"/>
      <c r="F19" s="229"/>
      <c r="G19" s="230">
        <v>11</v>
      </c>
      <c r="H19" s="227">
        <f t="shared" si="7"/>
        <v>0</v>
      </c>
      <c r="I19" s="228">
        <f t="shared" si="1"/>
        <v>4172.0966579416563</v>
      </c>
      <c r="J19" s="232">
        <f t="shared" si="2"/>
        <v>1960</v>
      </c>
      <c r="K19" s="232">
        <f t="shared" si="3"/>
        <v>1306.6666666666665</v>
      </c>
      <c r="L19" s="232">
        <f t="shared" si="8"/>
        <v>1306.6666666666665</v>
      </c>
      <c r="M19" s="227"/>
      <c r="N19" s="228">
        <f t="shared" si="5"/>
        <v>0</v>
      </c>
    </row>
    <row r="20" spans="1:14" x14ac:dyDescent="0.6">
      <c r="A20" s="226" t="s">
        <v>528</v>
      </c>
      <c r="B20" s="227">
        <v>439.35</v>
      </c>
      <c r="C20" s="227">
        <f t="shared" si="6"/>
        <v>25.492204392853075</v>
      </c>
      <c r="D20" s="228">
        <f t="shared" si="0"/>
        <v>0.84974014642843587</v>
      </c>
      <c r="E20" s="229"/>
      <c r="F20" s="229"/>
      <c r="G20" s="230">
        <v>11</v>
      </c>
      <c r="H20" s="227">
        <f t="shared" si="7"/>
        <v>0</v>
      </c>
      <c r="I20" s="228">
        <f t="shared" si="1"/>
        <v>4172.0966579416563</v>
      </c>
      <c r="J20" s="232">
        <f t="shared" si="2"/>
        <v>1960</v>
      </c>
      <c r="K20" s="232">
        <f t="shared" si="3"/>
        <v>1306.6666666666665</v>
      </c>
      <c r="L20" s="232">
        <f t="shared" si="8"/>
        <v>1306.6666666666665</v>
      </c>
      <c r="M20" s="227"/>
      <c r="N20" s="228">
        <f t="shared" si="5"/>
        <v>0</v>
      </c>
    </row>
    <row r="21" spans="1:14" x14ac:dyDescent="0.6">
      <c r="A21" s="226" t="s">
        <v>529</v>
      </c>
      <c r="B21" s="227">
        <v>439.35</v>
      </c>
      <c r="C21" s="227">
        <f t="shared" si="6"/>
        <v>25.492204392853075</v>
      </c>
      <c r="D21" s="228">
        <f t="shared" si="0"/>
        <v>0.84974014642843587</v>
      </c>
      <c r="E21" s="229"/>
      <c r="F21" s="229"/>
      <c r="G21" s="230">
        <v>11</v>
      </c>
      <c r="H21" s="227">
        <f t="shared" si="7"/>
        <v>0</v>
      </c>
      <c r="I21" s="228">
        <f t="shared" si="1"/>
        <v>4172.0966579416563</v>
      </c>
      <c r="J21" s="232">
        <f t="shared" si="2"/>
        <v>1960</v>
      </c>
      <c r="K21" s="232">
        <f t="shared" si="3"/>
        <v>1306.6666666666665</v>
      </c>
      <c r="L21" s="232">
        <f t="shared" si="8"/>
        <v>1306.6666666666665</v>
      </c>
      <c r="M21" s="227"/>
      <c r="N21" s="228">
        <f t="shared" si="5"/>
        <v>0</v>
      </c>
    </row>
    <row r="22" spans="1:14" x14ac:dyDescent="0.6">
      <c r="A22" s="226" t="s">
        <v>530</v>
      </c>
      <c r="B22" s="227">
        <v>439.35</v>
      </c>
      <c r="C22" s="227">
        <f t="shared" si="6"/>
        <v>25.492204392853075</v>
      </c>
      <c r="D22" s="228">
        <f t="shared" si="0"/>
        <v>0.84974014642843587</v>
      </c>
      <c r="E22" s="229"/>
      <c r="F22" s="229"/>
      <c r="G22" s="230">
        <v>11</v>
      </c>
      <c r="H22" s="227">
        <f t="shared" si="7"/>
        <v>0</v>
      </c>
      <c r="I22" s="228">
        <f t="shared" si="1"/>
        <v>4172.0966579416563</v>
      </c>
      <c r="J22" s="232">
        <f t="shared" si="2"/>
        <v>1960</v>
      </c>
      <c r="K22" s="232">
        <f t="shared" si="3"/>
        <v>1306.6666666666665</v>
      </c>
      <c r="L22" s="232">
        <f t="shared" si="8"/>
        <v>1306.6666666666665</v>
      </c>
      <c r="M22" s="227"/>
      <c r="N22" s="228">
        <f t="shared" si="5"/>
        <v>0</v>
      </c>
    </row>
    <row r="23" spans="1:14" x14ac:dyDescent="0.6">
      <c r="A23" s="226" t="s">
        <v>531</v>
      </c>
      <c r="B23" s="227">
        <v>439.35</v>
      </c>
      <c r="C23" s="227">
        <f t="shared" si="6"/>
        <v>25.492204392853075</v>
      </c>
      <c r="D23" s="228">
        <f t="shared" si="0"/>
        <v>0.84974014642843587</v>
      </c>
      <c r="E23" s="229"/>
      <c r="F23" s="229"/>
      <c r="G23" s="230">
        <v>11</v>
      </c>
      <c r="H23" s="227">
        <f t="shared" si="7"/>
        <v>0</v>
      </c>
      <c r="I23" s="228">
        <f t="shared" si="1"/>
        <v>4172.0966579416563</v>
      </c>
      <c r="J23" s="232">
        <f t="shared" si="2"/>
        <v>1960</v>
      </c>
      <c r="K23" s="232">
        <f t="shared" si="3"/>
        <v>1306.6666666666665</v>
      </c>
      <c r="L23" s="232">
        <f t="shared" si="8"/>
        <v>1306.6666666666665</v>
      </c>
      <c r="M23" s="227"/>
      <c r="N23" s="228">
        <f t="shared" si="5"/>
        <v>0</v>
      </c>
    </row>
    <row r="24" spans="1:14" x14ac:dyDescent="0.6">
      <c r="A24" s="226" t="s">
        <v>532</v>
      </c>
      <c r="B24" s="227">
        <v>439.35</v>
      </c>
      <c r="C24" s="227">
        <f t="shared" si="6"/>
        <v>25.492204392853075</v>
      </c>
      <c r="D24" s="228">
        <f t="shared" si="0"/>
        <v>0.84974014642843587</v>
      </c>
      <c r="E24" s="229"/>
      <c r="F24" s="229"/>
      <c r="G24" s="230">
        <v>11</v>
      </c>
      <c r="H24" s="227">
        <f t="shared" si="7"/>
        <v>0</v>
      </c>
      <c r="I24" s="228">
        <f t="shared" si="1"/>
        <v>4172.0966579416563</v>
      </c>
      <c r="J24" s="232">
        <f t="shared" si="2"/>
        <v>1960</v>
      </c>
      <c r="K24" s="232">
        <f t="shared" si="3"/>
        <v>1306.6666666666665</v>
      </c>
      <c r="L24" s="232">
        <f t="shared" si="8"/>
        <v>1306.6666666666665</v>
      </c>
      <c r="M24" s="227"/>
      <c r="N24" s="228">
        <f t="shared" si="5"/>
        <v>0</v>
      </c>
    </row>
    <row r="25" spans="1:14" x14ac:dyDescent="0.6">
      <c r="A25" s="226" t="s">
        <v>533</v>
      </c>
      <c r="B25" s="227">
        <v>439.35</v>
      </c>
      <c r="C25" s="227">
        <f t="shared" si="6"/>
        <v>25.492204392853075</v>
      </c>
      <c r="D25" s="228">
        <f t="shared" si="0"/>
        <v>0.84974014642843587</v>
      </c>
      <c r="E25" s="229"/>
      <c r="F25" s="229"/>
      <c r="G25" s="230">
        <v>11</v>
      </c>
      <c r="H25" s="227">
        <f t="shared" si="7"/>
        <v>0</v>
      </c>
      <c r="I25" s="228">
        <f t="shared" si="1"/>
        <v>4172.0966579416563</v>
      </c>
      <c r="J25" s="232">
        <f t="shared" si="2"/>
        <v>1960</v>
      </c>
      <c r="K25" s="232">
        <f t="shared" si="3"/>
        <v>1306.6666666666665</v>
      </c>
      <c r="L25" s="232">
        <f t="shared" si="8"/>
        <v>1306.6666666666665</v>
      </c>
      <c r="M25" s="227"/>
      <c r="N25" s="228"/>
    </row>
    <row r="26" spans="1:14" x14ac:dyDescent="0.6">
      <c r="A26" s="226" t="s">
        <v>534</v>
      </c>
      <c r="B26" s="227">
        <v>439.35</v>
      </c>
      <c r="C26" s="227">
        <f t="shared" si="6"/>
        <v>25.492204392853075</v>
      </c>
      <c r="D26" s="228">
        <f t="shared" si="0"/>
        <v>0.84974014642843587</v>
      </c>
      <c r="E26" s="229"/>
      <c r="F26" s="229"/>
      <c r="G26" s="230">
        <v>11</v>
      </c>
      <c r="H26" s="227">
        <f t="shared" si="7"/>
        <v>0</v>
      </c>
      <c r="I26" s="228">
        <f t="shared" si="1"/>
        <v>4172.0966579416563</v>
      </c>
      <c r="J26" s="232">
        <f t="shared" si="2"/>
        <v>1960</v>
      </c>
      <c r="K26" s="232">
        <f t="shared" si="3"/>
        <v>1306.6666666666665</v>
      </c>
      <c r="L26" s="232">
        <f t="shared" si="8"/>
        <v>1306.6666666666665</v>
      </c>
      <c r="M26" s="227"/>
      <c r="N26" s="228"/>
    </row>
    <row r="27" spans="1:14" x14ac:dyDescent="0.6">
      <c r="A27" s="226" t="s">
        <v>535</v>
      </c>
      <c r="B27" s="227">
        <v>439.35</v>
      </c>
      <c r="C27" s="227">
        <f t="shared" si="6"/>
        <v>25.492204392853075</v>
      </c>
      <c r="D27" s="228">
        <f t="shared" si="0"/>
        <v>0.84974014642843587</v>
      </c>
      <c r="E27" s="229"/>
      <c r="F27" s="229"/>
      <c r="G27" s="230">
        <v>11</v>
      </c>
      <c r="H27" s="227">
        <f t="shared" si="7"/>
        <v>0</v>
      </c>
      <c r="I27" s="228">
        <f t="shared" si="1"/>
        <v>4172.0966579416563</v>
      </c>
      <c r="J27" s="232">
        <f t="shared" si="2"/>
        <v>1960</v>
      </c>
      <c r="K27" s="232">
        <f t="shared" si="3"/>
        <v>1306.6666666666665</v>
      </c>
      <c r="L27" s="232">
        <f t="shared" si="8"/>
        <v>1306.6666666666665</v>
      </c>
      <c r="M27" s="227"/>
      <c r="N27" s="228"/>
    </row>
    <row r="28" spans="1:14" x14ac:dyDescent="0.6">
      <c r="A28" s="226" t="s">
        <v>536</v>
      </c>
      <c r="B28" s="227">
        <v>439.35</v>
      </c>
      <c r="C28" s="227">
        <f t="shared" si="6"/>
        <v>25.492204392853075</v>
      </c>
      <c r="D28" s="228">
        <f t="shared" si="0"/>
        <v>0.84974014642843587</v>
      </c>
      <c r="E28" s="229"/>
      <c r="F28" s="229"/>
      <c r="G28" s="230">
        <v>11</v>
      </c>
      <c r="H28" s="227">
        <f t="shared" si="7"/>
        <v>0</v>
      </c>
      <c r="I28" s="228">
        <f t="shared" si="1"/>
        <v>4172.0966579416563</v>
      </c>
      <c r="J28" s="232">
        <f t="shared" si="2"/>
        <v>1960</v>
      </c>
      <c r="K28" s="232">
        <f t="shared" si="3"/>
        <v>1306.6666666666665</v>
      </c>
      <c r="L28" s="232">
        <f t="shared" si="8"/>
        <v>1306.6666666666665</v>
      </c>
      <c r="M28" s="227"/>
      <c r="N28" s="228"/>
    </row>
    <row r="29" spans="1:14" x14ac:dyDescent="0.6">
      <c r="A29" s="226" t="s">
        <v>537</v>
      </c>
      <c r="B29" s="227">
        <v>39.9</v>
      </c>
      <c r="C29" s="227">
        <f>(60*16)/B29</f>
        <v>24.060150375939852</v>
      </c>
      <c r="D29" s="228">
        <f t="shared" si="0"/>
        <v>0.80200501253132839</v>
      </c>
      <c r="E29" s="229"/>
      <c r="F29" s="229"/>
      <c r="G29" s="230">
        <v>14</v>
      </c>
      <c r="H29" s="227">
        <f t="shared" si="7"/>
        <v>0</v>
      </c>
      <c r="I29" s="228">
        <f t="shared" si="1"/>
        <v>526.59649122807025</v>
      </c>
      <c r="J29" s="232">
        <f t="shared" si="2"/>
        <v>1960</v>
      </c>
      <c r="K29" s="232">
        <f t="shared" si="3"/>
        <v>1306.6666666666665</v>
      </c>
      <c r="L29" s="232">
        <f t="shared" si="8"/>
        <v>709.33333333333326</v>
      </c>
      <c r="M29" s="227"/>
      <c r="N29" s="228"/>
    </row>
    <row r="30" spans="1:14" x14ac:dyDescent="0.6">
      <c r="A30" s="226" t="s">
        <v>538</v>
      </c>
      <c r="B30" s="227">
        <v>19.2</v>
      </c>
      <c r="C30" s="227">
        <f>(30*16)/B30</f>
        <v>25</v>
      </c>
      <c r="D30" s="228">
        <f t="shared" si="0"/>
        <v>0.83333333333333337</v>
      </c>
      <c r="E30" s="229"/>
      <c r="F30" s="229"/>
      <c r="G30" s="230">
        <v>10</v>
      </c>
      <c r="H30" s="227">
        <f t="shared" si="7"/>
        <v>0</v>
      </c>
      <c r="I30" s="228">
        <f t="shared" si="1"/>
        <v>218.33333333333334</v>
      </c>
      <c r="J30" s="232">
        <f t="shared" si="2"/>
        <v>168</v>
      </c>
      <c r="K30" s="232">
        <f t="shared" si="3"/>
        <v>112</v>
      </c>
      <c r="L30" s="232">
        <f t="shared" si="8"/>
        <v>84</v>
      </c>
      <c r="M30" s="227"/>
      <c r="N30" s="231"/>
    </row>
    <row r="31" spans="1:14" x14ac:dyDescent="0.6">
      <c r="A31" s="214"/>
      <c r="C31" s="227"/>
      <c r="D31" s="228"/>
      <c r="E31" s="229"/>
      <c r="F31" s="229"/>
      <c r="G31" s="230"/>
      <c r="H31" s="227"/>
      <c r="I31" s="228"/>
      <c r="J31" s="232">
        <f t="shared" si="2"/>
        <v>84</v>
      </c>
      <c r="K31" s="232">
        <f t="shared" si="3"/>
        <v>56</v>
      </c>
      <c r="L31" s="232">
        <f t="shared" si="8"/>
        <v>28</v>
      </c>
      <c r="M31" s="227"/>
      <c r="N31" s="231"/>
    </row>
    <row r="32" spans="1:14" x14ac:dyDescent="0.6">
      <c r="A32" s="217"/>
      <c r="B32" s="217"/>
      <c r="C32" s="227"/>
      <c r="D32" s="228"/>
      <c r="E32" s="229"/>
      <c r="F32" s="229"/>
      <c r="G32" s="227"/>
      <c r="H32" s="227"/>
      <c r="I32" s="231"/>
      <c r="J32" s="231"/>
      <c r="K32" s="228">
        <f>A31*C31*F32*0.25</f>
        <v>0</v>
      </c>
      <c r="L32" s="228">
        <f>B23*D24*G32*0.25</f>
        <v>0</v>
      </c>
      <c r="M32" s="227"/>
      <c r="N32" s="231"/>
    </row>
    <row r="34" spans="1:15" x14ac:dyDescent="0.6">
      <c r="A34" s="233"/>
      <c r="B34" s="234">
        <f>SUM(B10:B30)</f>
        <v>9953.3000000000047</v>
      </c>
      <c r="C34" s="235"/>
      <c r="D34" s="235"/>
      <c r="E34" s="235"/>
      <c r="F34" s="235"/>
      <c r="G34" s="235"/>
      <c r="H34" s="235"/>
      <c r="I34" s="234">
        <f>SUM(I10:I32)</f>
        <v>140156.36883874534</v>
      </c>
      <c r="J34" s="234">
        <f>SUM(J11:J32)</f>
        <v>44100</v>
      </c>
      <c r="K34" s="234">
        <f>SUM(K11:K32)</f>
        <v>29400.000000000007</v>
      </c>
      <c r="L34" s="234">
        <f>SUM(L11:L32)</f>
        <v>23930.666666666668</v>
      </c>
      <c r="M34" s="235"/>
      <c r="N34" s="234">
        <f>SUM(N10:N32)</f>
        <v>0</v>
      </c>
    </row>
    <row r="36" spans="1:15" x14ac:dyDescent="0.6">
      <c r="J36" s="779" t="s">
        <v>539</v>
      </c>
      <c r="K36" s="780"/>
      <c r="L36" s="780"/>
      <c r="M36" s="781"/>
      <c r="N36" s="236">
        <f>SUM(N34+I34+J34+L34+K34)/B34</f>
        <v>23.870177278431463</v>
      </c>
    </row>
    <row r="37" spans="1:15" x14ac:dyDescent="0.6">
      <c r="J37" s="779" t="s">
        <v>540</v>
      </c>
      <c r="K37" s="780"/>
      <c r="L37" s="780"/>
      <c r="M37" s="781"/>
      <c r="N37" s="236">
        <v>720</v>
      </c>
    </row>
    <row r="38" spans="1:15" x14ac:dyDescent="0.6">
      <c r="J38" s="779" t="s">
        <v>541</v>
      </c>
      <c r="K38" s="780"/>
      <c r="L38" s="780"/>
      <c r="M38" s="781"/>
      <c r="N38" s="236">
        <v>720</v>
      </c>
    </row>
    <row r="39" spans="1:15" x14ac:dyDescent="0.6">
      <c r="J39" s="779" t="s">
        <v>542</v>
      </c>
      <c r="K39" s="780"/>
      <c r="L39" s="780"/>
      <c r="M39" s="781"/>
      <c r="N39" s="236">
        <f>(N37+N38)/B34</f>
        <v>0.14467563521646079</v>
      </c>
    </row>
    <row r="40" spans="1:15" x14ac:dyDescent="0.6">
      <c r="J40" s="779" t="s">
        <v>543</v>
      </c>
      <c r="K40" s="780"/>
      <c r="L40" s="780"/>
      <c r="M40" s="781"/>
      <c r="N40" s="234">
        <f>N39+N36</f>
        <v>24.014852913647925</v>
      </c>
    </row>
    <row r="41" spans="1:15" x14ac:dyDescent="0.6">
      <c r="N41" s="215">
        <f>N40/10</f>
        <v>2.4014852913647924</v>
      </c>
      <c r="O41" s="127" t="s">
        <v>544</v>
      </c>
    </row>
    <row r="44" spans="1:15" x14ac:dyDescent="0.6">
      <c r="N44" s="215">
        <f>N40*B34</f>
        <v>239027.035505412</v>
      </c>
    </row>
  </sheetData>
  <mergeCells count="15">
    <mergeCell ref="A8:A9"/>
    <mergeCell ref="B8:B9"/>
    <mergeCell ref="E8:E9"/>
    <mergeCell ref="F8:F9"/>
    <mergeCell ref="I8:N8"/>
    <mergeCell ref="A1:N1"/>
    <mergeCell ref="B3:N3"/>
    <mergeCell ref="B4:N4"/>
    <mergeCell ref="B5:N5"/>
    <mergeCell ref="B6:N6"/>
    <mergeCell ref="J36:M36"/>
    <mergeCell ref="J37:M37"/>
    <mergeCell ref="J38:M38"/>
    <mergeCell ref="J39:M39"/>
    <mergeCell ref="J40:M40"/>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6A71A-7E26-4A68-8F18-F8CDE7DBE4E2}">
  <sheetPr>
    <pageSetUpPr fitToPage="1"/>
  </sheetPr>
  <dimension ref="A1:I52"/>
  <sheetViews>
    <sheetView topLeftCell="A37" zoomScale="96" zoomScaleNormal="96" zoomScaleSheetLayoutView="86" workbookViewId="0"/>
  </sheetViews>
  <sheetFormatPr defaultColWidth="8.85546875" defaultRowHeight="21.75" x14ac:dyDescent="0.6"/>
  <cols>
    <col min="1" max="1" width="9.140625" style="117" bestFit="1" customWidth="1"/>
    <col min="2" max="2" width="27.85546875" style="118" customWidth="1"/>
    <col min="3" max="7" width="29.28515625" style="117" customWidth="1"/>
    <col min="8" max="8" width="32.5703125" style="119" customWidth="1"/>
    <col min="9" max="9" width="10.28515625" style="72" bestFit="1" customWidth="1"/>
    <col min="10" max="16384" width="8.85546875" style="72"/>
  </cols>
  <sheetData>
    <row r="1" spans="1:9" ht="18" customHeight="1" x14ac:dyDescent="0.25">
      <c r="A1" s="65" t="s">
        <v>397</v>
      </c>
      <c r="B1" s="66" t="str">
        <f>[8]ARQUIVOS_BASE!B1</f>
        <v>WEST VILLAGE</v>
      </c>
      <c r="C1" s="69"/>
      <c r="D1" s="69"/>
      <c r="E1" s="69"/>
      <c r="F1" s="69"/>
      <c r="G1" s="69"/>
      <c r="H1" s="633"/>
      <c r="I1" s="634"/>
    </row>
    <row r="2" spans="1:9" ht="18" customHeight="1" x14ac:dyDescent="0.25">
      <c r="A2" s="73" t="s">
        <v>398</v>
      </c>
      <c r="B2" s="74" t="str">
        <f>[8]ARQUIVOS_BASE!B2</f>
        <v>KIRCHNER</v>
      </c>
      <c r="C2" s="77"/>
      <c r="D2" s="77"/>
      <c r="E2" s="77"/>
      <c r="F2" s="77"/>
      <c r="G2" s="77"/>
      <c r="H2" s="89"/>
      <c r="I2" s="635"/>
    </row>
    <row r="3" spans="1:9" ht="18" customHeight="1" x14ac:dyDescent="0.25">
      <c r="A3" s="73" t="s">
        <v>399</v>
      </c>
      <c r="B3" s="74" t="s">
        <v>1407</v>
      </c>
      <c r="C3" s="77"/>
      <c r="D3" s="77"/>
      <c r="E3" s="77"/>
      <c r="F3" s="77"/>
      <c r="G3" s="77"/>
      <c r="H3" s="89"/>
      <c r="I3" s="635"/>
    </row>
    <row r="4" spans="1:9" ht="25.15" customHeight="1" x14ac:dyDescent="0.25">
      <c r="A4" s="809" t="s">
        <v>400</v>
      </c>
      <c r="B4" s="810"/>
      <c r="C4" s="810"/>
      <c r="D4" s="810"/>
      <c r="E4" s="810"/>
      <c r="F4" s="810"/>
      <c r="G4" s="811"/>
      <c r="H4" s="812"/>
      <c r="I4" s="635"/>
    </row>
    <row r="5" spans="1:9" ht="14.45" customHeight="1" x14ac:dyDescent="0.25">
      <c r="A5" s="80"/>
      <c r="B5" s="81"/>
      <c r="C5" s="82"/>
      <c r="D5" s="82"/>
      <c r="E5" s="82"/>
      <c r="F5" s="82"/>
      <c r="G5" s="82"/>
      <c r="H5" s="83"/>
      <c r="I5" s="635"/>
    </row>
    <row r="6" spans="1:9" ht="16.899999999999999" customHeight="1" x14ac:dyDescent="0.25">
      <c r="A6" s="813" t="s">
        <v>1396</v>
      </c>
      <c r="B6" s="814"/>
      <c r="C6" s="814"/>
      <c r="D6" s="814"/>
      <c r="E6" s="814"/>
      <c r="F6" s="814"/>
      <c r="G6" s="814"/>
      <c r="H6" s="759"/>
      <c r="I6" s="635"/>
    </row>
    <row r="7" spans="1:9" ht="14.45" customHeight="1" x14ac:dyDescent="0.25">
      <c r="A7" s="85"/>
      <c r="B7" s="86"/>
      <c r="C7" s="88"/>
      <c r="D7" s="88"/>
      <c r="E7" s="88"/>
      <c r="F7" s="88"/>
      <c r="G7" s="88"/>
      <c r="H7" s="89"/>
      <c r="I7" s="635"/>
    </row>
    <row r="8" spans="1:9" ht="20.45" customHeight="1" x14ac:dyDescent="0.6">
      <c r="A8" s="91" t="s">
        <v>1398</v>
      </c>
      <c r="B8" s="92"/>
      <c r="C8" s="93"/>
      <c r="D8" s="93"/>
      <c r="E8" s="93"/>
      <c r="F8" s="93"/>
      <c r="G8" s="93"/>
      <c r="H8" s="94"/>
      <c r="I8" s="635"/>
    </row>
    <row r="9" spans="1:9" ht="22.5" thickBot="1" x14ac:dyDescent="0.65">
      <c r="A9" s="246"/>
      <c r="B9" s="97"/>
      <c r="C9" s="98"/>
      <c r="D9" s="98"/>
      <c r="E9" s="98"/>
      <c r="F9" s="98"/>
      <c r="G9" s="98"/>
      <c r="H9" s="99"/>
      <c r="I9" s="635"/>
    </row>
    <row r="10" spans="1:9" s="715" customFormat="1" ht="43.5" customHeight="1" x14ac:dyDescent="0.6">
      <c r="A10" s="713"/>
      <c r="B10" s="798" t="s">
        <v>457</v>
      </c>
      <c r="C10" s="796" t="s">
        <v>1397</v>
      </c>
      <c r="D10" s="815"/>
      <c r="E10" s="815"/>
      <c r="F10" s="797"/>
      <c r="G10" s="800" t="s">
        <v>547</v>
      </c>
      <c r="H10" s="800" t="s">
        <v>1423</v>
      </c>
      <c r="I10" s="714"/>
    </row>
    <row r="11" spans="1:9" s="715" customFormat="1" ht="43.5" customHeight="1" x14ac:dyDescent="0.6">
      <c r="A11" s="713"/>
      <c r="B11" s="799"/>
      <c r="C11" s="716" t="s">
        <v>1392</v>
      </c>
      <c r="D11" s="716" t="s">
        <v>1393</v>
      </c>
      <c r="E11" s="716" t="s">
        <v>487</v>
      </c>
      <c r="F11" s="716" t="s">
        <v>1394</v>
      </c>
      <c r="G11" s="801"/>
      <c r="H11" s="801"/>
      <c r="I11" s="714"/>
    </row>
    <row r="12" spans="1:9" s="715" customFormat="1" x14ac:dyDescent="0.6">
      <c r="A12" s="713"/>
      <c r="B12" s="717" t="s">
        <v>548</v>
      </c>
      <c r="C12" s="718">
        <v>7.88</v>
      </c>
      <c r="D12" s="718">
        <v>539.91653901000041</v>
      </c>
      <c r="E12" s="718">
        <v>55.178220799999998</v>
      </c>
      <c r="F12" s="718">
        <v>0</v>
      </c>
      <c r="G12" s="649">
        <f>((C12+D12+E12)*2)+F12+C26+D26</f>
        <v>1514.9525560200009</v>
      </c>
      <c r="H12" s="649">
        <f>'[9]KIRCHNER LEVANT TÉRREO'!$C$12+'[9]KIRCHNER LEVANT TÉRREO'!$D$12+'[9]KIRCHNER LEVANT TÉRREO'!$E$12+'[9]KIRCHNER LEVANT TÉRREO'!$F$12</f>
        <v>207.42059500000019</v>
      </c>
      <c r="I12" s="714"/>
    </row>
    <row r="13" spans="1:9" s="715" customFormat="1" x14ac:dyDescent="0.6">
      <c r="A13" s="713"/>
      <c r="B13" s="719" t="s">
        <v>549</v>
      </c>
      <c r="C13" s="649">
        <v>14.804399999999999</v>
      </c>
      <c r="D13" s="649">
        <v>55.104746119999994</v>
      </c>
      <c r="E13" s="649">
        <v>29.8306608</v>
      </c>
      <c r="F13" s="649">
        <v>0</v>
      </c>
      <c r="G13" s="649">
        <f t="shared" ref="G13:G19" si="0">((C13+D13+E13)*2)+F13+C27+D27</f>
        <v>412.28861383999998</v>
      </c>
      <c r="H13" s="649">
        <f>'[9]KIRCHNER LEVANT GARAGEM'!$C$12+'[9]KIRCHNER LEVANT GARAGEM'!$D$12+'[9]KIRCHNER LEVANT GARAGEM'!$E$12+'[9]KIRCHNER LEVANT GARAGEM'!$F$12</f>
        <v>56.622906999999998</v>
      </c>
      <c r="I13" s="714"/>
    </row>
    <row r="14" spans="1:9" s="715" customFormat="1" x14ac:dyDescent="0.6">
      <c r="A14" s="713"/>
      <c r="B14" s="719" t="s">
        <v>550</v>
      </c>
      <c r="C14" s="649">
        <v>14.804399999999999</v>
      </c>
      <c r="D14" s="649">
        <v>55.104746119999994</v>
      </c>
      <c r="E14" s="649">
        <v>29.8306608</v>
      </c>
      <c r="F14" s="649">
        <v>0</v>
      </c>
      <c r="G14" s="649">
        <f t="shared" si="0"/>
        <v>412.28861383999998</v>
      </c>
      <c r="H14" s="649">
        <f>H13</f>
        <v>56.622906999999998</v>
      </c>
      <c r="I14" s="714"/>
    </row>
    <row r="15" spans="1:9" s="715" customFormat="1" x14ac:dyDescent="0.6">
      <c r="A15" s="713"/>
      <c r="B15" s="719" t="s">
        <v>551</v>
      </c>
      <c r="C15" s="649">
        <v>20.888399999999997</v>
      </c>
      <c r="D15" s="649">
        <v>73.373911319999991</v>
      </c>
      <c r="E15" s="649">
        <v>42.866548800000004</v>
      </c>
      <c r="F15" s="649">
        <v>0</v>
      </c>
      <c r="G15" s="649">
        <f t="shared" si="0"/>
        <v>549.58472023999991</v>
      </c>
      <c r="H15" s="649">
        <f>'[9]KIRCHNER LEVANT TÉRREO'!$C$12+'[9]KIRCHNER LEVANT TÉRREO'!$D$12+'[9]KIRCHNER LEVANT TÉRREO'!$E$12+'[9]KIRCHNER LEVANT TÉRREO'!$F$12</f>
        <v>207.42059500000019</v>
      </c>
      <c r="I15" s="714"/>
    </row>
    <row r="16" spans="1:9" s="715" customFormat="1" x14ac:dyDescent="0.6">
      <c r="A16" s="713"/>
      <c r="B16" s="720" t="s">
        <v>552</v>
      </c>
      <c r="C16" s="649">
        <v>42.586599999999997</v>
      </c>
      <c r="D16" s="649">
        <v>225.33253568000001</v>
      </c>
      <c r="E16" s="649">
        <v>37.436291199999999</v>
      </c>
      <c r="F16" s="649">
        <v>19.972000000000005</v>
      </c>
      <c r="G16" s="649">
        <f t="shared" si="0"/>
        <v>935.85225375999994</v>
      </c>
      <c r="H16" s="649">
        <f>'[9]KIRCHNER LEVANT LAZER'!$C$12+'[9]KIRCHNER LEVANT LAZER'!$D$12+'[9]KIRCHNER LEVANT LAZER'!$E$12+'[9]KIRCHNER LEVANT LAZER'!$F$12</f>
        <v>122.45316799999995</v>
      </c>
      <c r="I16" s="714"/>
    </row>
    <row r="17" spans="1:9" s="715" customFormat="1" ht="36.6" customHeight="1" x14ac:dyDescent="0.6">
      <c r="A17" s="713"/>
      <c r="B17" s="720" t="s">
        <v>553</v>
      </c>
      <c r="C17" s="649">
        <v>1823.1734713499993</v>
      </c>
      <c r="D17" s="649">
        <v>6248.4763622999963</v>
      </c>
      <c r="E17" s="649">
        <v>593.02732800000001</v>
      </c>
      <c r="F17" s="649">
        <v>674.63999999999987</v>
      </c>
      <c r="G17" s="649">
        <f t="shared" si="0"/>
        <v>20331.822380699989</v>
      </c>
      <c r="H17" s="649">
        <f>('[9]KIRCHNER LEVANT TIPO'!$C$12+'[9]KIRCHNER LEVANT TIPO'!$D$12+'[9]KIRCHNER LEVANT TIPO'!$E$12+'[9]KIRCHNER LEVANT TIPO'!$F$12)*15</f>
        <v>3852.8115599999992</v>
      </c>
      <c r="I17" s="714"/>
    </row>
    <row r="18" spans="1:9" s="715" customFormat="1" x14ac:dyDescent="0.6">
      <c r="A18" s="713"/>
      <c r="B18" s="720" t="s">
        <v>554</v>
      </c>
      <c r="C18" s="649">
        <v>8.7720000000000002</v>
      </c>
      <c r="D18" s="649">
        <v>39.450000000000003</v>
      </c>
      <c r="E18" s="649">
        <v>63.29591520000001</v>
      </c>
      <c r="F18" s="649">
        <v>0</v>
      </c>
      <c r="G18" s="649">
        <f t="shared" si="0"/>
        <v>529.15476119999994</v>
      </c>
      <c r="H18" s="649">
        <f>'[9]KIRCHNER LEVANT CASA MAQUINAS'!$C$12+'[9]KIRCHNER LEVANT CASA MAQUINAS'!$D$12+'[9]KIRCHNER LEVANT CASA MAQUINAS'!$E$12</f>
        <v>30.256940000000007</v>
      </c>
      <c r="I18" s="714"/>
    </row>
    <row r="19" spans="1:9" s="715" customFormat="1" ht="22.5" thickBot="1" x14ac:dyDescent="0.65">
      <c r="A19" s="713"/>
      <c r="B19" s="721" t="s">
        <v>555</v>
      </c>
      <c r="C19" s="650">
        <v>0</v>
      </c>
      <c r="D19" s="650">
        <v>0</v>
      </c>
      <c r="E19" s="650">
        <v>0</v>
      </c>
      <c r="F19" s="650">
        <v>0</v>
      </c>
      <c r="G19" s="649">
        <f t="shared" si="0"/>
        <v>16.937999999999999</v>
      </c>
      <c r="H19" s="649">
        <v>0</v>
      </c>
      <c r="I19" s="714"/>
    </row>
    <row r="20" spans="1:9" s="715" customFormat="1" x14ac:dyDescent="0.6">
      <c r="A20" s="713"/>
      <c r="B20" s="722" t="s">
        <v>226</v>
      </c>
      <c r="C20" s="651">
        <f t="shared" ref="C20:F20" si="1">SUM(C12:C19)</f>
        <v>1932.9092713499992</v>
      </c>
      <c r="D20" s="651">
        <f t="shared" si="1"/>
        <v>7236.7588405499964</v>
      </c>
      <c r="E20" s="651">
        <f t="shared" si="1"/>
        <v>851.46562559999995</v>
      </c>
      <c r="F20" s="651">
        <f t="shared" si="1"/>
        <v>694.61199999999985</v>
      </c>
      <c r="G20" s="651">
        <f>SUM(G12:G19)</f>
        <v>24702.881899599986</v>
      </c>
      <c r="H20" s="651">
        <f>SUM(H12:H19)</f>
        <v>4533.6086719999994</v>
      </c>
      <c r="I20" s="714"/>
    </row>
    <row r="21" spans="1:9" s="715" customFormat="1" x14ac:dyDescent="0.6">
      <c r="A21" s="713"/>
      <c r="B21" s="723"/>
      <c r="C21" s="724"/>
      <c r="D21" s="724"/>
      <c r="E21" s="724"/>
      <c r="F21" s="724"/>
      <c r="G21" s="724"/>
      <c r="H21" s="724"/>
      <c r="I21" s="714"/>
    </row>
    <row r="22" spans="1:9" s="715" customFormat="1" x14ac:dyDescent="0.6">
      <c r="A22" s="725" t="s">
        <v>1399</v>
      </c>
      <c r="B22" s="662"/>
      <c r="C22" s="726"/>
      <c r="D22" s="726"/>
      <c r="E22" s="726"/>
      <c r="F22" s="726"/>
      <c r="G22" s="726"/>
      <c r="H22" s="726"/>
      <c r="I22" s="714"/>
    </row>
    <row r="23" spans="1:9" s="715" customFormat="1" ht="22.5" thickBot="1" x14ac:dyDescent="0.65">
      <c r="A23" s="713"/>
      <c r="B23" s="723"/>
      <c r="C23" s="724"/>
      <c r="D23" s="724"/>
      <c r="F23" s="727"/>
      <c r="G23" s="727"/>
      <c r="H23" s="727"/>
      <c r="I23" s="714"/>
    </row>
    <row r="24" spans="1:9" s="715" customFormat="1" ht="42.75" customHeight="1" x14ac:dyDescent="0.6">
      <c r="A24" s="713"/>
      <c r="B24" s="798" t="s">
        <v>457</v>
      </c>
      <c r="C24" s="796" t="s">
        <v>1400</v>
      </c>
      <c r="D24" s="797"/>
      <c r="E24" s="800" t="s">
        <v>547</v>
      </c>
      <c r="F24" s="800" t="s">
        <v>1423</v>
      </c>
      <c r="G24" s="727"/>
      <c r="H24" s="727"/>
      <c r="I24" s="714"/>
    </row>
    <row r="25" spans="1:9" s="715" customFormat="1" ht="42.75" customHeight="1" x14ac:dyDescent="0.6">
      <c r="A25" s="713"/>
      <c r="B25" s="799"/>
      <c r="C25" s="716" t="s">
        <v>1392</v>
      </c>
      <c r="D25" s="716" t="s">
        <v>1393</v>
      </c>
      <c r="E25" s="801"/>
      <c r="F25" s="801"/>
      <c r="G25" s="727"/>
      <c r="H25" s="727"/>
      <c r="I25" s="714"/>
    </row>
    <row r="26" spans="1:9" s="715" customFormat="1" x14ac:dyDescent="0.6">
      <c r="A26" s="713"/>
      <c r="B26" s="717" t="s">
        <v>548</v>
      </c>
      <c r="C26" s="728">
        <v>0</v>
      </c>
      <c r="D26" s="728">
        <v>309.0030364000001</v>
      </c>
      <c r="E26" s="649">
        <f>D26+C26</f>
        <v>309.0030364000001</v>
      </c>
      <c r="F26" s="649">
        <f>'[9]KIRCHNER LEVANT TÉRREO'!$C$19</f>
        <v>106.48120000000002</v>
      </c>
      <c r="G26" s="727"/>
      <c r="H26" s="727"/>
      <c r="I26" s="714"/>
    </row>
    <row r="27" spans="1:9" s="715" customFormat="1" x14ac:dyDescent="0.6">
      <c r="A27" s="713"/>
      <c r="B27" s="719" t="s">
        <v>549</v>
      </c>
      <c r="C27" s="648">
        <v>15.548</v>
      </c>
      <c r="D27" s="648">
        <v>197.261</v>
      </c>
      <c r="E27" s="649">
        <f t="shared" ref="E27:E33" si="2">D27+C27</f>
        <v>212.809</v>
      </c>
      <c r="F27" s="649">
        <f>'[9]KIRCHNER LEVANT GARAGEM'!$C$19+'[9]KIRCHNER LEVANT GARAGEM'!$D$19</f>
        <v>104.74000000000001</v>
      </c>
      <c r="G27" s="727"/>
      <c r="H27" s="727"/>
      <c r="I27" s="714"/>
    </row>
    <row r="28" spans="1:9" s="715" customFormat="1" x14ac:dyDescent="0.6">
      <c r="A28" s="713"/>
      <c r="B28" s="719" t="s">
        <v>550</v>
      </c>
      <c r="C28" s="648">
        <v>15.547999999999998</v>
      </c>
      <c r="D28" s="648">
        <v>197.261</v>
      </c>
      <c r="E28" s="649">
        <f t="shared" si="2"/>
        <v>212.809</v>
      </c>
      <c r="F28" s="649">
        <f>F27</f>
        <v>104.74000000000001</v>
      </c>
      <c r="G28" s="727"/>
      <c r="H28" s="727"/>
      <c r="I28" s="714"/>
    </row>
    <row r="29" spans="1:9" s="715" customFormat="1" x14ac:dyDescent="0.6">
      <c r="A29" s="713"/>
      <c r="B29" s="719" t="s">
        <v>551</v>
      </c>
      <c r="C29" s="648">
        <v>20.888399999999997</v>
      </c>
      <c r="D29" s="648">
        <v>254.43859999999998</v>
      </c>
      <c r="E29" s="649">
        <f t="shared" si="2"/>
        <v>275.327</v>
      </c>
      <c r="F29" s="649">
        <f>'[9]KIRCHNER LEVANT GARAGEM 3'!$C$19+'[9]KIRCHNER LEVANT GARAGEM 3'!$D$19</f>
        <v>104.74000000000001</v>
      </c>
      <c r="G29" s="727"/>
      <c r="H29" s="727"/>
      <c r="I29" s="714"/>
    </row>
    <row r="30" spans="1:9" s="715" customFormat="1" x14ac:dyDescent="0.6">
      <c r="A30" s="713"/>
      <c r="B30" s="720" t="s">
        <v>552</v>
      </c>
      <c r="C30" s="648">
        <v>20.0032</v>
      </c>
      <c r="D30" s="648">
        <v>285.1662</v>
      </c>
      <c r="E30" s="649">
        <f t="shared" si="2"/>
        <v>305.1694</v>
      </c>
      <c r="F30" s="649">
        <f>'[9]KIRCHNER LEVANT LAZER'!$C$19+'[9]KIRCHNER LEVANT LAZER'!$D$19</f>
        <v>141.99000000000004</v>
      </c>
      <c r="G30" s="727"/>
      <c r="H30" s="727"/>
      <c r="I30" s="714"/>
    </row>
    <row r="31" spans="1:9" s="715" customFormat="1" ht="33" customHeight="1" x14ac:dyDescent="0.6">
      <c r="A31" s="713"/>
      <c r="B31" s="720" t="s">
        <v>553</v>
      </c>
      <c r="C31" s="648">
        <v>71.100000000000009</v>
      </c>
      <c r="D31" s="648">
        <v>2256.7280573999983</v>
      </c>
      <c r="E31" s="649">
        <f t="shared" si="2"/>
        <v>2327.8280573999982</v>
      </c>
      <c r="F31" s="649">
        <f>('[9]KIRCHNER LEVANT TIPO'!$C$19+'[9]KIRCHNER LEVANT TIPO'!$D$19)*15</f>
        <v>1351.5730200000003</v>
      </c>
      <c r="G31" s="727"/>
      <c r="H31" s="727"/>
      <c r="I31" s="714"/>
    </row>
    <row r="32" spans="1:9" s="715" customFormat="1" x14ac:dyDescent="0.6">
      <c r="A32" s="713"/>
      <c r="B32" s="720" t="s">
        <v>554</v>
      </c>
      <c r="C32" s="648">
        <v>19.744999999999997</v>
      </c>
      <c r="D32" s="648">
        <v>286.37393079999998</v>
      </c>
      <c r="E32" s="649">
        <f t="shared" si="2"/>
        <v>306.11893079999999</v>
      </c>
      <c r="F32" s="649">
        <f>'[9]KIRCHNER LEVANT CASA MAQUINAS'!$C$19+'[9]KIRCHNER LEVANT CASA MAQUINAS'!$D$19</f>
        <v>135.03002200000003</v>
      </c>
      <c r="G32" s="727"/>
      <c r="H32" s="727"/>
      <c r="I32" s="714"/>
    </row>
    <row r="33" spans="1:9" s="715" customFormat="1" ht="22.5" thickBot="1" x14ac:dyDescent="0.65">
      <c r="A33" s="713"/>
      <c r="B33" s="721" t="s">
        <v>555</v>
      </c>
      <c r="C33" s="648">
        <v>5.6</v>
      </c>
      <c r="D33" s="648">
        <v>11.337999999999999</v>
      </c>
      <c r="E33" s="649">
        <f t="shared" si="2"/>
        <v>16.937999999999999</v>
      </c>
      <c r="F33" s="649">
        <f>'[9]KIRCHNER LEVANT RESERVATORIO'!$C$19+'[9]KIRCHNER LEVANT RESERVATORIO'!$D$19</f>
        <v>16.849999999999998</v>
      </c>
      <c r="G33" s="727"/>
      <c r="H33" s="727"/>
      <c r="I33" s="714"/>
    </row>
    <row r="34" spans="1:9" s="715" customFormat="1" x14ac:dyDescent="0.6">
      <c r="A34" s="713"/>
      <c r="B34" s="722" t="s">
        <v>226</v>
      </c>
      <c r="C34" s="729">
        <f>SUM(C26:C33)</f>
        <v>168.43260000000001</v>
      </c>
      <c r="D34" s="729">
        <f t="shared" ref="D34:E34" si="3">SUM(D26:D33)</f>
        <v>3797.5698245999984</v>
      </c>
      <c r="E34" s="729">
        <f t="shared" si="3"/>
        <v>3966.002424599998</v>
      </c>
      <c r="F34" s="651">
        <f>SUM(F26:F33)</f>
        <v>2066.1442420000003</v>
      </c>
      <c r="G34" s="727"/>
      <c r="H34" s="727"/>
      <c r="I34" s="714"/>
    </row>
    <row r="35" spans="1:9" x14ac:dyDescent="0.6">
      <c r="A35" s="96"/>
      <c r="B35" s="97"/>
      <c r="C35" s="98"/>
      <c r="D35" s="98"/>
      <c r="E35" s="72"/>
      <c r="F35" s="636"/>
      <c r="G35" s="636"/>
      <c r="H35" s="636"/>
      <c r="I35" s="635"/>
    </row>
    <row r="36" spans="1:9" x14ac:dyDescent="0.6">
      <c r="A36" s="91" t="s">
        <v>226</v>
      </c>
      <c r="B36" s="92"/>
      <c r="C36" s="93"/>
      <c r="D36" s="93"/>
      <c r="E36" s="93"/>
      <c r="F36" s="93"/>
      <c r="G36" s="93"/>
      <c r="H36" s="93"/>
      <c r="I36" s="635"/>
    </row>
    <row r="37" spans="1:9" ht="22.5" thickBot="1" x14ac:dyDescent="0.65">
      <c r="A37" s="96"/>
      <c r="B37" s="97"/>
      <c r="C37" s="98"/>
      <c r="D37" s="98"/>
      <c r="E37" s="72"/>
      <c r="F37" s="636"/>
      <c r="G37" s="636"/>
      <c r="H37" s="636"/>
      <c r="I37" s="635"/>
    </row>
    <row r="38" spans="1:9" ht="42.75" customHeight="1" x14ac:dyDescent="0.6">
      <c r="A38" s="96"/>
      <c r="B38" s="802" t="s">
        <v>457</v>
      </c>
      <c r="C38" s="806" t="s">
        <v>1395</v>
      </c>
      <c r="D38" s="806"/>
      <c r="E38" s="806"/>
      <c r="F38" s="806"/>
      <c r="G38" s="807" t="s">
        <v>1423</v>
      </c>
      <c r="H38" s="804" t="s">
        <v>547</v>
      </c>
      <c r="I38" s="635"/>
    </row>
    <row r="39" spans="1:9" ht="42.75" customHeight="1" x14ac:dyDescent="0.6">
      <c r="A39" s="96"/>
      <c r="B39" s="803"/>
      <c r="C39" s="629" t="s">
        <v>1392</v>
      </c>
      <c r="D39" s="629" t="s">
        <v>1393</v>
      </c>
      <c r="E39" s="629" t="s">
        <v>487</v>
      </c>
      <c r="F39" s="629" t="s">
        <v>1394</v>
      </c>
      <c r="G39" s="808"/>
      <c r="H39" s="805"/>
      <c r="I39" s="635"/>
    </row>
    <row r="40" spans="1:9" x14ac:dyDescent="0.6">
      <c r="A40" s="96"/>
      <c r="B40" s="247" t="s">
        <v>548</v>
      </c>
      <c r="C40" s="107">
        <f>C12+C26</f>
        <v>7.88</v>
      </c>
      <c r="D40" s="107">
        <f>D12+D26</f>
        <v>848.91957541000056</v>
      </c>
      <c r="E40" s="107">
        <f>E12</f>
        <v>55.178220799999998</v>
      </c>
      <c r="F40" s="107">
        <f>F12</f>
        <v>0</v>
      </c>
      <c r="G40" s="107">
        <f>F26+H12</f>
        <v>313.90179500000022</v>
      </c>
      <c r="H40" s="627">
        <f t="shared" ref="H40:H47" si="4">G12+E26</f>
        <v>1823.955592420001</v>
      </c>
      <c r="I40" s="635"/>
    </row>
    <row r="41" spans="1:9" x14ac:dyDescent="0.6">
      <c r="A41" s="96"/>
      <c r="B41" s="111" t="s">
        <v>549</v>
      </c>
      <c r="C41" s="186">
        <f t="shared" ref="C41:D47" si="5">C13+C27</f>
        <v>30.352399999999999</v>
      </c>
      <c r="D41" s="186">
        <f t="shared" si="5"/>
        <v>252.36574611999998</v>
      </c>
      <c r="E41" s="186">
        <f t="shared" ref="E41:F47" si="6">E13</f>
        <v>29.8306608</v>
      </c>
      <c r="F41" s="186">
        <f t="shared" si="6"/>
        <v>0</v>
      </c>
      <c r="G41" s="186">
        <f t="shared" ref="G41:G47" si="7">F27+H13</f>
        <v>161.36290700000001</v>
      </c>
      <c r="H41" s="628">
        <f t="shared" si="4"/>
        <v>625.09761384000001</v>
      </c>
      <c r="I41" s="635"/>
    </row>
    <row r="42" spans="1:9" x14ac:dyDescent="0.6">
      <c r="A42" s="96"/>
      <c r="B42" s="111" t="s">
        <v>550</v>
      </c>
      <c r="C42" s="186">
        <f t="shared" si="5"/>
        <v>30.352399999999996</v>
      </c>
      <c r="D42" s="186">
        <f t="shared" si="5"/>
        <v>252.36574611999998</v>
      </c>
      <c r="E42" s="186">
        <f t="shared" si="6"/>
        <v>29.8306608</v>
      </c>
      <c r="F42" s="186">
        <f t="shared" si="6"/>
        <v>0</v>
      </c>
      <c r="G42" s="186">
        <f t="shared" si="7"/>
        <v>161.36290700000001</v>
      </c>
      <c r="H42" s="628">
        <f t="shared" si="4"/>
        <v>625.09761384000001</v>
      </c>
      <c r="I42" s="635"/>
    </row>
    <row r="43" spans="1:9" x14ac:dyDescent="0.6">
      <c r="A43" s="96"/>
      <c r="B43" s="111" t="s">
        <v>551</v>
      </c>
      <c r="C43" s="186">
        <f t="shared" si="5"/>
        <v>41.776799999999994</v>
      </c>
      <c r="D43" s="186">
        <f t="shared" si="5"/>
        <v>327.81251132</v>
      </c>
      <c r="E43" s="186">
        <f t="shared" si="6"/>
        <v>42.866548800000004</v>
      </c>
      <c r="F43" s="186">
        <f t="shared" si="6"/>
        <v>0</v>
      </c>
      <c r="G43" s="186">
        <f t="shared" si="7"/>
        <v>312.16059500000017</v>
      </c>
      <c r="H43" s="628">
        <f t="shared" si="4"/>
        <v>824.91172023999991</v>
      </c>
      <c r="I43" s="635"/>
    </row>
    <row r="44" spans="1:9" x14ac:dyDescent="0.6">
      <c r="A44" s="96"/>
      <c r="B44" s="114" t="s">
        <v>552</v>
      </c>
      <c r="C44" s="186">
        <f t="shared" si="5"/>
        <v>62.589799999999997</v>
      </c>
      <c r="D44" s="186">
        <f t="shared" si="5"/>
        <v>510.49873567999998</v>
      </c>
      <c r="E44" s="186">
        <f t="shared" si="6"/>
        <v>37.436291199999999</v>
      </c>
      <c r="F44" s="186">
        <f t="shared" si="6"/>
        <v>19.972000000000005</v>
      </c>
      <c r="G44" s="186">
        <f t="shared" si="7"/>
        <v>264.44316800000001</v>
      </c>
      <c r="H44" s="628">
        <f t="shared" si="4"/>
        <v>1241.0216537599999</v>
      </c>
      <c r="I44" s="635"/>
    </row>
    <row r="45" spans="1:9" ht="33" customHeight="1" x14ac:dyDescent="0.6">
      <c r="A45" s="96"/>
      <c r="B45" s="114" t="s">
        <v>553</v>
      </c>
      <c r="C45" s="186">
        <f t="shared" si="5"/>
        <v>1894.2734713499992</v>
      </c>
      <c r="D45" s="186">
        <f t="shared" si="5"/>
        <v>8505.2044196999941</v>
      </c>
      <c r="E45" s="186">
        <f t="shared" si="6"/>
        <v>593.02732800000001</v>
      </c>
      <c r="F45" s="186">
        <f t="shared" si="6"/>
        <v>674.63999999999987</v>
      </c>
      <c r="G45" s="186">
        <f t="shared" si="7"/>
        <v>5204.3845799999999</v>
      </c>
      <c r="H45" s="628">
        <f t="shared" si="4"/>
        <v>22659.650438099987</v>
      </c>
      <c r="I45" s="635"/>
    </row>
    <row r="46" spans="1:9" x14ac:dyDescent="0.6">
      <c r="A46" s="96"/>
      <c r="B46" s="114" t="s">
        <v>554</v>
      </c>
      <c r="C46" s="186">
        <f t="shared" si="5"/>
        <v>28.516999999999996</v>
      </c>
      <c r="D46" s="186">
        <f t="shared" si="5"/>
        <v>325.82393079999997</v>
      </c>
      <c r="E46" s="186">
        <f t="shared" si="6"/>
        <v>63.29591520000001</v>
      </c>
      <c r="F46" s="186">
        <f t="shared" si="6"/>
        <v>0</v>
      </c>
      <c r="G46" s="186">
        <f t="shared" si="7"/>
        <v>165.28696200000005</v>
      </c>
      <c r="H46" s="628">
        <f t="shared" si="4"/>
        <v>835.27369199999998</v>
      </c>
      <c r="I46" s="635"/>
    </row>
    <row r="47" spans="1:9" ht="22.5" thickBot="1" x14ac:dyDescent="0.65">
      <c r="A47" s="96"/>
      <c r="B47" s="187" t="s">
        <v>555</v>
      </c>
      <c r="C47" s="186">
        <f t="shared" si="5"/>
        <v>5.6</v>
      </c>
      <c r="D47" s="186">
        <f t="shared" si="5"/>
        <v>11.337999999999999</v>
      </c>
      <c r="E47" s="186">
        <f t="shared" si="6"/>
        <v>0</v>
      </c>
      <c r="F47" s="186">
        <f t="shared" si="6"/>
        <v>0</v>
      </c>
      <c r="G47" s="186">
        <f t="shared" si="7"/>
        <v>16.849999999999998</v>
      </c>
      <c r="H47" s="628">
        <f t="shared" si="4"/>
        <v>33.875999999999998</v>
      </c>
      <c r="I47" s="635"/>
    </row>
    <row r="48" spans="1:9" ht="22.5" thickBot="1" x14ac:dyDescent="0.65">
      <c r="A48" s="96"/>
      <c r="B48" s="630" t="s">
        <v>226</v>
      </c>
      <c r="C48" s="631">
        <f>SUM(C40:C47)</f>
        <v>2101.3418713499991</v>
      </c>
      <c r="D48" s="631">
        <f t="shared" ref="D48:E48" si="8">SUM(D40:D47)</f>
        <v>11034.328665149993</v>
      </c>
      <c r="E48" s="631">
        <f t="shared" si="8"/>
        <v>851.46562559999995</v>
      </c>
      <c r="F48" s="631">
        <f>SUM(F40:F47)</f>
        <v>694.61199999999985</v>
      </c>
      <c r="G48" s="631">
        <f>SUM(G40:G47)</f>
        <v>6599.7529140000006</v>
      </c>
      <c r="H48" s="632">
        <f t="shared" ref="H48" si="9">SUM(H40:H47)</f>
        <v>28668.884324199986</v>
      </c>
      <c r="I48" s="635"/>
    </row>
    <row r="49" spans="1:9" ht="22.5" thickBot="1" x14ac:dyDescent="0.65">
      <c r="A49" s="637"/>
      <c r="B49" s="638"/>
      <c r="C49" s="639"/>
      <c r="D49" s="639"/>
      <c r="E49" s="639"/>
      <c r="F49" s="639"/>
      <c r="G49" s="639"/>
      <c r="H49" s="640"/>
      <c r="I49" s="641"/>
    </row>
    <row r="51" spans="1:9" ht="31.5" customHeight="1" x14ac:dyDescent="0.6"/>
    <row r="52" spans="1:9" x14ac:dyDescent="0.6">
      <c r="F52" s="607"/>
    </row>
  </sheetData>
  <mergeCells count="14">
    <mergeCell ref="A4:H4"/>
    <mergeCell ref="A6:H6"/>
    <mergeCell ref="B10:B11"/>
    <mergeCell ref="C10:F10"/>
    <mergeCell ref="G10:G11"/>
    <mergeCell ref="H10:H11"/>
    <mergeCell ref="C24:D24"/>
    <mergeCell ref="B24:B25"/>
    <mergeCell ref="E24:E25"/>
    <mergeCell ref="B38:B39"/>
    <mergeCell ref="H38:H39"/>
    <mergeCell ref="C38:F38"/>
    <mergeCell ref="F24:F25"/>
    <mergeCell ref="G38:G39"/>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6D21-3039-4CF4-8055-F20BAF370CB5}">
  <sheetPr>
    <pageSetUpPr fitToPage="1"/>
  </sheetPr>
  <dimension ref="A1:F48"/>
  <sheetViews>
    <sheetView view="pageBreakPreview" zoomScale="115" zoomScaleNormal="115" zoomScaleSheetLayoutView="115" workbookViewId="0">
      <selection activeCell="D11" sqref="D11"/>
    </sheetView>
  </sheetViews>
  <sheetFormatPr defaultColWidth="8.85546875" defaultRowHeight="21.75" x14ac:dyDescent="0.6"/>
  <cols>
    <col min="1" max="1" width="15.5703125" style="879" customWidth="1"/>
    <col min="2" max="2" width="44.28515625" style="882" customWidth="1"/>
    <col min="3" max="3" width="10.7109375" style="882" bestFit="1" customWidth="1"/>
    <col min="4" max="4" width="12.7109375" style="881" customWidth="1"/>
    <col min="5" max="5" width="13" style="880" customWidth="1"/>
    <col min="6" max="6" width="39.140625" style="879" customWidth="1"/>
    <col min="7" max="8" width="9.28515625" style="878" bestFit="1" customWidth="1"/>
    <col min="9" max="16384" width="8.85546875" style="878"/>
  </cols>
  <sheetData>
    <row r="1" spans="1:6" ht="18" customHeight="1" x14ac:dyDescent="0.6">
      <c r="A1" s="931" t="s">
        <v>397</v>
      </c>
      <c r="B1" s="930" t="s">
        <v>1444</v>
      </c>
      <c r="C1" s="929"/>
      <c r="D1" s="928"/>
      <c r="E1" s="927"/>
      <c r="F1" s="926"/>
    </row>
    <row r="2" spans="1:6" ht="18" customHeight="1" x14ac:dyDescent="0.6">
      <c r="A2" s="925" t="s">
        <v>398</v>
      </c>
      <c r="B2" s="924" t="s">
        <v>1406</v>
      </c>
      <c r="C2" s="923"/>
      <c r="D2" s="922"/>
      <c r="E2" s="921"/>
      <c r="F2" s="920"/>
    </row>
    <row r="3" spans="1:6" ht="18" customHeight="1" x14ac:dyDescent="0.6">
      <c r="A3" s="925" t="s">
        <v>399</v>
      </c>
      <c r="B3" s="924"/>
      <c r="C3" s="923"/>
      <c r="D3" s="922"/>
      <c r="E3" s="921"/>
      <c r="F3" s="920"/>
    </row>
    <row r="4" spans="1:6" ht="25.15" customHeight="1" x14ac:dyDescent="0.25">
      <c r="A4" s="919" t="s">
        <v>1257</v>
      </c>
      <c r="B4" s="918"/>
      <c r="C4" s="918"/>
      <c r="D4" s="918"/>
      <c r="E4" s="918"/>
      <c r="F4" s="917"/>
    </row>
    <row r="5" spans="1:6" ht="14.45" customHeight="1" x14ac:dyDescent="0.6">
      <c r="A5" s="916"/>
      <c r="B5" s="915"/>
      <c r="C5" s="915"/>
      <c r="D5" s="914"/>
      <c r="E5" s="913"/>
      <c r="F5" s="912"/>
    </row>
    <row r="6" spans="1:6" ht="16.899999999999999" customHeight="1" x14ac:dyDescent="0.25">
      <c r="A6" s="911" t="s">
        <v>1443</v>
      </c>
      <c r="B6" s="910"/>
      <c r="C6" s="910"/>
      <c r="D6" s="910"/>
      <c r="E6" s="910"/>
      <c r="F6" s="909"/>
    </row>
    <row r="7" spans="1:6" ht="14.45" customHeight="1" x14ac:dyDescent="0.6">
      <c r="A7" s="908"/>
      <c r="B7" s="907"/>
      <c r="C7" s="906"/>
      <c r="D7" s="905"/>
      <c r="E7" s="904"/>
      <c r="F7" s="889"/>
    </row>
    <row r="8" spans="1:6" x14ac:dyDescent="0.6">
      <c r="A8" s="903" t="s">
        <v>1442</v>
      </c>
      <c r="B8" s="902"/>
      <c r="C8" s="902"/>
      <c r="D8" s="901"/>
      <c r="E8" s="900"/>
      <c r="F8" s="899"/>
    </row>
    <row r="9" spans="1:6" ht="22.5" thickBot="1" x14ac:dyDescent="0.65">
      <c r="A9" s="893" t="s">
        <v>571</v>
      </c>
      <c r="B9" s="898"/>
      <c r="C9" s="898"/>
      <c r="D9" s="897"/>
      <c r="E9" s="884"/>
      <c r="F9" s="889"/>
    </row>
    <row r="10" spans="1:6" x14ac:dyDescent="0.6">
      <c r="A10" s="893"/>
      <c r="B10" s="896" t="s">
        <v>1433</v>
      </c>
      <c r="C10" s="895" t="s">
        <v>2</v>
      </c>
      <c r="D10" s="894" t="s">
        <v>440</v>
      </c>
      <c r="E10" s="884"/>
      <c r="F10" s="889"/>
    </row>
    <row r="11" spans="1:6" ht="22.5" thickBot="1" x14ac:dyDescent="0.65">
      <c r="A11" s="893"/>
      <c r="B11" s="892" t="s">
        <v>1432</v>
      </c>
      <c r="C11" s="891" t="s">
        <v>46</v>
      </c>
      <c r="D11" s="890">
        <v>17.07</v>
      </c>
      <c r="E11" s="884"/>
      <c r="F11" s="889"/>
    </row>
    <row r="12" spans="1:6" x14ac:dyDescent="0.6">
      <c r="A12" s="888"/>
      <c r="B12" s="887"/>
      <c r="C12" s="886"/>
      <c r="D12" s="885"/>
      <c r="E12" s="884"/>
      <c r="F12" s="889"/>
    </row>
    <row r="13" spans="1:6" x14ac:dyDescent="0.6">
      <c r="A13" s="903" t="s">
        <v>1441</v>
      </c>
      <c r="B13" s="902"/>
      <c r="C13" s="902"/>
      <c r="D13" s="901"/>
      <c r="E13" s="900"/>
      <c r="F13" s="899"/>
    </row>
    <row r="14" spans="1:6" ht="22.5" thickBot="1" x14ac:dyDescent="0.65">
      <c r="A14" s="893" t="s">
        <v>571</v>
      </c>
      <c r="B14" s="898"/>
      <c r="C14" s="898"/>
      <c r="D14" s="897"/>
      <c r="E14" s="884"/>
      <c r="F14" s="889"/>
    </row>
    <row r="15" spans="1:6" x14ac:dyDescent="0.6">
      <c r="A15" s="893"/>
      <c r="B15" s="896" t="s">
        <v>1433</v>
      </c>
      <c r="C15" s="895" t="s">
        <v>2</v>
      </c>
      <c r="D15" s="894" t="s">
        <v>440</v>
      </c>
      <c r="E15" s="884"/>
      <c r="F15" s="889"/>
    </row>
    <row r="16" spans="1:6" ht="22.5" thickBot="1" x14ac:dyDescent="0.65">
      <c r="A16" s="893"/>
      <c r="B16" s="892" t="s">
        <v>1432</v>
      </c>
      <c r="C16" s="891" t="s">
        <v>46</v>
      </c>
      <c r="D16" s="890">
        <v>17.07</v>
      </c>
      <c r="E16" s="884"/>
      <c r="F16" s="889"/>
    </row>
    <row r="17" spans="1:6" x14ac:dyDescent="0.6">
      <c r="A17" s="888"/>
      <c r="B17" s="887"/>
      <c r="C17" s="886"/>
      <c r="D17" s="885"/>
      <c r="E17" s="884"/>
      <c r="F17" s="889"/>
    </row>
    <row r="18" spans="1:6" x14ac:dyDescent="0.6">
      <c r="A18" s="903" t="s">
        <v>1440</v>
      </c>
      <c r="B18" s="902"/>
      <c r="C18" s="902"/>
      <c r="D18" s="901"/>
      <c r="E18" s="900"/>
      <c r="F18" s="899"/>
    </row>
    <row r="19" spans="1:6" ht="22.5" thickBot="1" x14ac:dyDescent="0.65">
      <c r="A19" s="893" t="s">
        <v>571</v>
      </c>
      <c r="B19" s="898"/>
      <c r="C19" s="898"/>
      <c r="D19" s="897"/>
      <c r="E19" s="884"/>
      <c r="F19" s="889"/>
    </row>
    <row r="20" spans="1:6" x14ac:dyDescent="0.6">
      <c r="A20" s="893"/>
      <c r="B20" s="896" t="s">
        <v>1433</v>
      </c>
      <c r="C20" s="895" t="s">
        <v>2</v>
      </c>
      <c r="D20" s="894" t="s">
        <v>1439</v>
      </c>
      <c r="E20" s="884"/>
      <c r="F20" s="889"/>
    </row>
    <row r="21" spans="1:6" ht="22.5" thickBot="1" x14ac:dyDescent="0.65">
      <c r="A21" s="893"/>
      <c r="B21" s="892" t="s">
        <v>1432</v>
      </c>
      <c r="C21" s="891" t="s">
        <v>46</v>
      </c>
      <c r="D21" s="890">
        <v>17.07</v>
      </c>
      <c r="E21" s="884"/>
      <c r="F21" s="889"/>
    </row>
    <row r="22" spans="1:6" x14ac:dyDescent="0.6">
      <c r="A22" s="888"/>
      <c r="B22" s="887"/>
      <c r="C22" s="886"/>
      <c r="D22" s="885"/>
      <c r="E22" s="884"/>
      <c r="F22" s="889"/>
    </row>
    <row r="23" spans="1:6" x14ac:dyDescent="0.6">
      <c r="A23" s="903" t="s">
        <v>1438</v>
      </c>
      <c r="B23" s="902"/>
      <c r="C23" s="902"/>
      <c r="D23" s="901"/>
      <c r="E23" s="900"/>
      <c r="F23" s="899"/>
    </row>
    <row r="24" spans="1:6" ht="22.5" thickBot="1" x14ac:dyDescent="0.65">
      <c r="A24" s="893" t="s">
        <v>571</v>
      </c>
      <c r="B24" s="898"/>
      <c r="C24" s="898"/>
      <c r="D24" s="897"/>
      <c r="E24" s="884"/>
      <c r="F24" s="889"/>
    </row>
    <row r="25" spans="1:6" x14ac:dyDescent="0.6">
      <c r="A25" s="893"/>
      <c r="B25" s="896" t="s">
        <v>1433</v>
      </c>
      <c r="C25" s="895" t="s">
        <v>2</v>
      </c>
      <c r="D25" s="894" t="s">
        <v>440</v>
      </c>
      <c r="E25" s="884"/>
      <c r="F25" s="889"/>
    </row>
    <row r="26" spans="1:6" ht="22.5" thickBot="1" x14ac:dyDescent="0.65">
      <c r="A26" s="893"/>
      <c r="B26" s="892" t="s">
        <v>1432</v>
      </c>
      <c r="C26" s="891" t="s">
        <v>46</v>
      </c>
      <c r="D26" s="890">
        <v>185.78</v>
      </c>
      <c r="E26" s="884"/>
      <c r="F26" s="889"/>
    </row>
    <row r="27" spans="1:6" x14ac:dyDescent="0.6">
      <c r="A27" s="888"/>
      <c r="B27" s="887"/>
      <c r="C27" s="886"/>
      <c r="D27" s="885"/>
      <c r="E27" s="884"/>
      <c r="F27" s="889"/>
    </row>
    <row r="28" spans="1:6" x14ac:dyDescent="0.6">
      <c r="A28" s="903" t="s">
        <v>1437</v>
      </c>
      <c r="B28" s="902"/>
      <c r="C28" s="902"/>
      <c r="D28" s="901"/>
      <c r="E28" s="900"/>
      <c r="F28" s="899"/>
    </row>
    <row r="29" spans="1:6" ht="22.5" thickBot="1" x14ac:dyDescent="0.65">
      <c r="A29" s="893" t="s">
        <v>571</v>
      </c>
      <c r="B29" s="898"/>
      <c r="C29" s="898"/>
      <c r="D29" s="897"/>
      <c r="E29" s="884"/>
      <c r="F29" s="889"/>
    </row>
    <row r="30" spans="1:6" x14ac:dyDescent="0.6">
      <c r="A30" s="893"/>
      <c r="B30" s="896" t="s">
        <v>1433</v>
      </c>
      <c r="C30" s="895" t="s">
        <v>2</v>
      </c>
      <c r="D30" s="894" t="s">
        <v>440</v>
      </c>
      <c r="E30" s="884"/>
      <c r="F30" s="889"/>
    </row>
    <row r="31" spans="1:6" ht="22.5" thickBot="1" x14ac:dyDescent="0.65">
      <c r="A31" s="893"/>
      <c r="B31" s="892" t="s">
        <v>1432</v>
      </c>
      <c r="C31" s="891" t="s">
        <v>46</v>
      </c>
      <c r="D31" s="890">
        <v>67.39</v>
      </c>
      <c r="E31" s="884"/>
      <c r="F31" s="889"/>
    </row>
    <row r="32" spans="1:6" x14ac:dyDescent="0.6">
      <c r="A32" s="888"/>
      <c r="B32" s="887"/>
      <c r="C32" s="886"/>
      <c r="D32" s="885"/>
      <c r="E32" s="884"/>
      <c r="F32" s="889"/>
    </row>
    <row r="33" spans="1:6" x14ac:dyDescent="0.6">
      <c r="A33" s="903" t="s">
        <v>1436</v>
      </c>
      <c r="B33" s="902"/>
      <c r="C33" s="902"/>
      <c r="D33" s="901"/>
      <c r="E33" s="900"/>
      <c r="F33" s="899"/>
    </row>
    <row r="34" spans="1:6" ht="22.5" thickBot="1" x14ac:dyDescent="0.65">
      <c r="A34" s="893" t="s">
        <v>571</v>
      </c>
      <c r="B34" s="898"/>
      <c r="C34" s="898"/>
      <c r="D34" s="897"/>
      <c r="E34" s="884"/>
      <c r="F34" s="889"/>
    </row>
    <row r="35" spans="1:6" x14ac:dyDescent="0.6">
      <c r="A35" s="893"/>
      <c r="B35" s="896" t="s">
        <v>1433</v>
      </c>
      <c r="C35" s="895" t="s">
        <v>2</v>
      </c>
      <c r="D35" s="894" t="s">
        <v>440</v>
      </c>
      <c r="E35" s="884"/>
      <c r="F35" s="889"/>
    </row>
    <row r="36" spans="1:6" ht="22.5" thickBot="1" x14ac:dyDescent="0.65">
      <c r="A36" s="893"/>
      <c r="B36" s="892" t="s">
        <v>1432</v>
      </c>
      <c r="C36" s="891" t="s">
        <v>46</v>
      </c>
      <c r="D36" s="890">
        <v>3498.42</v>
      </c>
      <c r="E36" s="884"/>
      <c r="F36" s="889"/>
    </row>
    <row r="37" spans="1:6" x14ac:dyDescent="0.6">
      <c r="A37" s="888"/>
      <c r="B37" s="887"/>
      <c r="C37" s="886"/>
      <c r="D37" s="885"/>
      <c r="E37" s="884"/>
      <c r="F37" s="889"/>
    </row>
    <row r="38" spans="1:6" x14ac:dyDescent="0.6">
      <c r="A38" s="903" t="s">
        <v>1435</v>
      </c>
      <c r="B38" s="902"/>
      <c r="C38" s="902"/>
      <c r="D38" s="901"/>
      <c r="E38" s="900"/>
      <c r="F38" s="899"/>
    </row>
    <row r="39" spans="1:6" ht="22.5" thickBot="1" x14ac:dyDescent="0.65">
      <c r="A39" s="893" t="s">
        <v>571</v>
      </c>
      <c r="B39" s="898"/>
      <c r="C39" s="898"/>
      <c r="D39" s="897"/>
      <c r="E39" s="884"/>
      <c r="F39" s="889"/>
    </row>
    <row r="40" spans="1:6" x14ac:dyDescent="0.6">
      <c r="A40" s="893"/>
      <c r="B40" s="896" t="s">
        <v>1433</v>
      </c>
      <c r="C40" s="895" t="s">
        <v>2</v>
      </c>
      <c r="D40" s="894" t="s">
        <v>440</v>
      </c>
      <c r="E40" s="884"/>
      <c r="F40" s="889"/>
    </row>
    <row r="41" spans="1:6" ht="22.5" thickBot="1" x14ac:dyDescent="0.65">
      <c r="A41" s="893"/>
      <c r="B41" s="892" t="s">
        <v>1432</v>
      </c>
      <c r="C41" s="891" t="s">
        <v>46</v>
      </c>
      <c r="D41" s="890">
        <v>21.18</v>
      </c>
      <c r="E41" s="884"/>
      <c r="F41" s="889"/>
    </row>
    <row r="42" spans="1:6" x14ac:dyDescent="0.6">
      <c r="A42" s="888"/>
      <c r="B42" s="887"/>
      <c r="C42" s="886"/>
      <c r="D42" s="885"/>
      <c r="E42" s="884"/>
      <c r="F42" s="889"/>
    </row>
    <row r="43" spans="1:6" x14ac:dyDescent="0.6">
      <c r="A43" s="903" t="s">
        <v>1434</v>
      </c>
      <c r="B43" s="902"/>
      <c r="C43" s="902"/>
      <c r="D43" s="901"/>
      <c r="E43" s="900"/>
      <c r="F43" s="899"/>
    </row>
    <row r="44" spans="1:6" ht="22.5" thickBot="1" x14ac:dyDescent="0.65">
      <c r="A44" s="893" t="s">
        <v>571</v>
      </c>
      <c r="B44" s="898"/>
      <c r="C44" s="898"/>
      <c r="D44" s="897"/>
      <c r="E44" s="884"/>
      <c r="F44" s="889"/>
    </row>
    <row r="45" spans="1:6" x14ac:dyDescent="0.6">
      <c r="A45" s="893"/>
      <c r="B45" s="896" t="s">
        <v>1433</v>
      </c>
      <c r="C45" s="895" t="s">
        <v>2</v>
      </c>
      <c r="D45" s="894" t="s">
        <v>440</v>
      </c>
      <c r="E45" s="884"/>
      <c r="F45" s="889"/>
    </row>
    <row r="46" spans="1:6" ht="22.5" thickBot="1" x14ac:dyDescent="0.65">
      <c r="A46" s="893"/>
      <c r="B46" s="892" t="s">
        <v>1432</v>
      </c>
      <c r="C46" s="891" t="s">
        <v>46</v>
      </c>
      <c r="D46" s="890">
        <f>SUMIF(B$8:B$41,B46,D$8:D$41)</f>
        <v>3823.98</v>
      </c>
      <c r="E46" s="884"/>
      <c r="F46" s="889"/>
    </row>
    <row r="47" spans="1:6" x14ac:dyDescent="0.6">
      <c r="A47" s="888"/>
      <c r="B47" s="887"/>
      <c r="C47" s="886"/>
      <c r="D47" s="885"/>
      <c r="E47" s="884"/>
      <c r="F47" s="889"/>
    </row>
    <row r="48" spans="1:6" x14ac:dyDescent="0.6">
      <c r="A48" s="888"/>
      <c r="B48" s="887"/>
      <c r="C48" s="886"/>
      <c r="D48" s="885"/>
      <c r="E48" s="884"/>
      <c r="F48" s="883"/>
    </row>
  </sheetData>
  <mergeCells count="2">
    <mergeCell ref="A4:F4"/>
    <mergeCell ref="A6:F6"/>
  </mergeCells>
  <pageMargins left="0.51181102362204722" right="0.51181102362204722" top="0.78740157480314965" bottom="0.78740157480314965" header="0.31496062992125984" footer="0.31496062992125984"/>
  <pageSetup paperSize="9" scale="68"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7DA9-CD88-4246-8324-65508DA5944A}">
  <sheetPr>
    <pageSetUpPr fitToPage="1"/>
  </sheetPr>
  <dimension ref="A1:S45"/>
  <sheetViews>
    <sheetView zoomScale="82" zoomScaleNormal="82" zoomScaleSheetLayoutView="86" workbookViewId="0">
      <selection activeCell="D24" sqref="D24:D32"/>
    </sheetView>
  </sheetViews>
  <sheetFormatPr defaultColWidth="8.85546875" defaultRowHeight="21.75" x14ac:dyDescent="0.6"/>
  <cols>
    <col min="1" max="1" width="9.140625" style="117" bestFit="1" customWidth="1"/>
    <col min="2" max="2" width="23.5703125" style="118" customWidth="1"/>
    <col min="3" max="4" width="27" style="118" customWidth="1"/>
    <col min="5" max="5" width="19.7109375" style="118" customWidth="1"/>
    <col min="6" max="6" width="23.42578125" style="118" customWidth="1"/>
    <col min="7" max="7" width="19.7109375" style="117" customWidth="1"/>
    <col min="8" max="16384" width="8.85546875" style="72"/>
  </cols>
  <sheetData>
    <row r="1" spans="1:8" ht="18" customHeight="1" x14ac:dyDescent="0.25">
      <c r="A1" s="65" t="s">
        <v>397</v>
      </c>
      <c r="B1" s="66" t="str">
        <f>[8]ARQUIVOS_BASE!B1</f>
        <v>WEST VILLAGE</v>
      </c>
      <c r="C1" s="67"/>
      <c r="D1" s="67"/>
      <c r="E1" s="67"/>
      <c r="F1" s="68"/>
      <c r="G1" s="644"/>
      <c r="H1" s="634"/>
    </row>
    <row r="2" spans="1:8" ht="18" customHeight="1" x14ac:dyDescent="0.25">
      <c r="A2" s="73" t="s">
        <v>398</v>
      </c>
      <c r="B2" s="74" t="str">
        <f>[8]ARQUIVOS_BASE!B2</f>
        <v>KIRCHNER</v>
      </c>
      <c r="C2" s="75"/>
      <c r="D2" s="75"/>
      <c r="E2" s="75"/>
      <c r="F2" s="76"/>
      <c r="G2" s="88"/>
      <c r="H2" s="635"/>
    </row>
    <row r="3" spans="1:8" ht="18" customHeight="1" x14ac:dyDescent="0.25">
      <c r="A3" s="73" t="s">
        <v>399</v>
      </c>
      <c r="B3" s="74" t="s">
        <v>1407</v>
      </c>
      <c r="C3" s="75"/>
      <c r="D3" s="75"/>
      <c r="E3" s="75"/>
      <c r="F3" s="76"/>
      <c r="G3" s="88"/>
      <c r="H3" s="635"/>
    </row>
    <row r="4" spans="1:8" ht="25.15" customHeight="1" x14ac:dyDescent="0.25">
      <c r="A4" s="809" t="s">
        <v>400</v>
      </c>
      <c r="B4" s="810"/>
      <c r="C4" s="810"/>
      <c r="D4" s="810"/>
      <c r="E4" s="810"/>
      <c r="F4" s="810"/>
      <c r="G4" s="811"/>
      <c r="H4" s="635"/>
    </row>
    <row r="5" spans="1:8" ht="14.45" customHeight="1" thickBot="1" x14ac:dyDescent="0.3">
      <c r="A5" s="80"/>
      <c r="B5" s="81"/>
      <c r="C5" s="81"/>
      <c r="D5" s="81"/>
      <c r="E5" s="81"/>
      <c r="F5" s="81"/>
      <c r="G5" s="82"/>
      <c r="H5" s="635"/>
    </row>
    <row r="6" spans="1:8" ht="16.899999999999999" customHeight="1" x14ac:dyDescent="0.25">
      <c r="A6" s="816" t="s">
        <v>545</v>
      </c>
      <c r="B6" s="817"/>
      <c r="C6" s="817"/>
      <c r="D6" s="817"/>
      <c r="E6" s="817"/>
      <c r="F6" s="817"/>
      <c r="G6" s="817"/>
      <c r="H6" s="634"/>
    </row>
    <row r="7" spans="1:8" ht="14.45" customHeight="1" x14ac:dyDescent="0.25">
      <c r="A7" s="85"/>
      <c r="B7" s="86"/>
      <c r="C7" s="86"/>
      <c r="D7" s="86"/>
      <c r="E7" s="86"/>
      <c r="F7" s="87"/>
      <c r="G7" s="88"/>
      <c r="H7" s="635"/>
    </row>
    <row r="8" spans="1:8" ht="20.45" customHeight="1" x14ac:dyDescent="0.6">
      <c r="A8" s="91" t="s">
        <v>1403</v>
      </c>
      <c r="B8" s="92"/>
      <c r="C8" s="92"/>
      <c r="D8" s="92"/>
      <c r="E8" s="92"/>
      <c r="F8" s="92"/>
      <c r="G8" s="93"/>
      <c r="H8" s="635"/>
    </row>
    <row r="9" spans="1:8" ht="22.5" thickBot="1" x14ac:dyDescent="0.65">
      <c r="A9" s="246"/>
      <c r="B9" s="97"/>
      <c r="C9" s="97"/>
      <c r="D9" s="97"/>
      <c r="E9" s="97"/>
      <c r="F9" s="97"/>
      <c r="G9" s="98"/>
      <c r="H9" s="635"/>
    </row>
    <row r="10" spans="1:8" ht="43.5" customHeight="1" x14ac:dyDescent="0.6">
      <c r="A10" s="96"/>
      <c r="B10" s="100" t="s">
        <v>457</v>
      </c>
      <c r="C10" s="102" t="s">
        <v>547</v>
      </c>
      <c r="D10" s="102" t="s">
        <v>1079</v>
      </c>
      <c r="E10" s="102" t="s">
        <v>1401</v>
      </c>
      <c r="F10" s="102" t="s">
        <v>546</v>
      </c>
      <c r="G10" s="102" t="s">
        <v>1402</v>
      </c>
      <c r="H10" s="635"/>
    </row>
    <row r="11" spans="1:8" x14ac:dyDescent="0.6">
      <c r="A11" s="96"/>
      <c r="B11" s="247" t="s">
        <v>548</v>
      </c>
      <c r="C11" s="646">
        <f>ALVENARIA!G12</f>
        <v>1514.9525560200009</v>
      </c>
      <c r="D11" s="646">
        <f>'ARGAMASSADO EM ESTRUTURA'!J11:J12</f>
        <v>561.86149999999998</v>
      </c>
      <c r="E11" s="646">
        <f>D11+C11</f>
        <v>2076.8140560200009</v>
      </c>
      <c r="F11" s="647">
        <v>0</v>
      </c>
      <c r="G11" s="647">
        <f>E11-F11</f>
        <v>2076.8140560200009</v>
      </c>
      <c r="H11" s="635"/>
    </row>
    <row r="12" spans="1:8" x14ac:dyDescent="0.6">
      <c r="A12" s="96"/>
      <c r="B12" s="111" t="s">
        <v>549</v>
      </c>
      <c r="C12" s="648">
        <f>ALVENARIA!G13</f>
        <v>412.28861383999998</v>
      </c>
      <c r="D12" s="648">
        <f>'ARGAMASSADO EM ESTRUTURA'!J13</f>
        <v>475.02079999999989</v>
      </c>
      <c r="E12" s="648">
        <f t="shared" ref="E12:E18" si="0">D12+C12</f>
        <v>887.30941383999993</v>
      </c>
      <c r="F12" s="648">
        <v>0</v>
      </c>
      <c r="G12" s="648">
        <f t="shared" ref="G12:G18" si="1">E12-F12</f>
        <v>887.30941383999993</v>
      </c>
      <c r="H12" s="635"/>
    </row>
    <row r="13" spans="1:8" x14ac:dyDescent="0.6">
      <c r="A13" s="96"/>
      <c r="B13" s="111" t="s">
        <v>550</v>
      </c>
      <c r="C13" s="648">
        <f>ALVENARIA!G14</f>
        <v>412.28861383999998</v>
      </c>
      <c r="D13" s="648">
        <f>'ARGAMASSADO EM ESTRUTURA'!J15</f>
        <v>475.02079999999989</v>
      </c>
      <c r="E13" s="648">
        <f t="shared" si="0"/>
        <v>887.30941383999993</v>
      </c>
      <c r="F13" s="648">
        <v>0</v>
      </c>
      <c r="G13" s="648">
        <f t="shared" si="1"/>
        <v>887.30941383999993</v>
      </c>
      <c r="H13" s="635"/>
    </row>
    <row r="14" spans="1:8" x14ac:dyDescent="0.6">
      <c r="A14" s="96"/>
      <c r="B14" s="111" t="s">
        <v>551</v>
      </c>
      <c r="C14" s="648">
        <f>ALVENARIA!G15</f>
        <v>549.58472023999991</v>
      </c>
      <c r="D14" s="648">
        <f>'ARGAMASSADO EM ESTRUTURA'!J17</f>
        <v>328.74</v>
      </c>
      <c r="E14" s="648">
        <f t="shared" si="0"/>
        <v>878.32472023999992</v>
      </c>
      <c r="F14" s="648">
        <v>0</v>
      </c>
      <c r="G14" s="648">
        <f t="shared" si="1"/>
        <v>878.32472023999992</v>
      </c>
      <c r="H14" s="635"/>
    </row>
    <row r="15" spans="1:8" x14ac:dyDescent="0.6">
      <c r="A15" s="96"/>
      <c r="B15" s="114" t="s">
        <v>552</v>
      </c>
      <c r="C15" s="649">
        <f>ALVENARIA!G16</f>
        <v>935.85225375999994</v>
      </c>
      <c r="D15" s="649">
        <f>'ARGAMASSADO EM ESTRUTURA'!J21</f>
        <v>175.72620000000001</v>
      </c>
      <c r="E15" s="649">
        <f t="shared" si="0"/>
        <v>1111.57845376</v>
      </c>
      <c r="F15" s="649">
        <v>46.155199999999994</v>
      </c>
      <c r="G15" s="649">
        <f t="shared" si="1"/>
        <v>1065.4232537600001</v>
      </c>
      <c r="H15" s="635"/>
    </row>
    <row r="16" spans="1:8" ht="36.6" customHeight="1" x14ac:dyDescent="0.6">
      <c r="A16" s="96"/>
      <c r="B16" s="114" t="s">
        <v>553</v>
      </c>
      <c r="C16" s="649">
        <f>ALVENARIA!G17</f>
        <v>20331.822380699989</v>
      </c>
      <c r="D16" s="649">
        <f>'ARGAMASSADO EM ESTRUTURA'!J23</f>
        <v>1982.2680000000003</v>
      </c>
      <c r="E16" s="649">
        <f t="shared" si="0"/>
        <v>22314.090380699989</v>
      </c>
      <c r="F16" s="649">
        <v>3525.5219999999995</v>
      </c>
      <c r="G16" s="649">
        <f t="shared" si="1"/>
        <v>18788.568380699988</v>
      </c>
      <c r="H16" s="635"/>
    </row>
    <row r="17" spans="1:8" x14ac:dyDescent="0.6">
      <c r="A17" s="96"/>
      <c r="B17" s="114" t="s">
        <v>554</v>
      </c>
      <c r="C17" s="649">
        <f>ALVENARIA!G18</f>
        <v>529.15476119999994</v>
      </c>
      <c r="D17" s="649">
        <v>0</v>
      </c>
      <c r="E17" s="649">
        <f t="shared" si="0"/>
        <v>529.15476119999994</v>
      </c>
      <c r="F17" s="649">
        <v>0</v>
      </c>
      <c r="G17" s="649">
        <f t="shared" si="1"/>
        <v>529.15476119999994</v>
      </c>
      <c r="H17" s="635"/>
    </row>
    <row r="18" spans="1:8" ht="22.5" thickBot="1" x14ac:dyDescent="0.65">
      <c r="A18" s="96"/>
      <c r="B18" s="187" t="s">
        <v>555</v>
      </c>
      <c r="C18" s="650">
        <f>ALVENARIA!G19</f>
        <v>16.937999999999999</v>
      </c>
      <c r="D18" s="650">
        <v>0</v>
      </c>
      <c r="E18" s="650">
        <f t="shared" si="0"/>
        <v>16.937999999999999</v>
      </c>
      <c r="F18" s="650">
        <v>0</v>
      </c>
      <c r="G18" s="650">
        <f t="shared" si="1"/>
        <v>16.937999999999999</v>
      </c>
      <c r="H18" s="635"/>
    </row>
    <row r="19" spans="1:8" x14ac:dyDescent="0.6">
      <c r="A19" s="96"/>
      <c r="B19" s="100" t="s">
        <v>226</v>
      </c>
      <c r="C19" s="651">
        <f>SUM(C11:C18)</f>
        <v>24702.881899599986</v>
      </c>
      <c r="D19" s="651">
        <f t="shared" ref="D19:G19" si="2">SUM(D11:D18)</f>
        <v>3998.6372999999999</v>
      </c>
      <c r="E19" s="651">
        <f t="shared" si="2"/>
        <v>28701.519199599988</v>
      </c>
      <c r="F19" s="651">
        <f t="shared" si="2"/>
        <v>3571.6771999999996</v>
      </c>
      <c r="G19" s="651">
        <f t="shared" si="2"/>
        <v>25129.841999599987</v>
      </c>
      <c r="H19" s="635"/>
    </row>
    <row r="20" spans="1:8" x14ac:dyDescent="0.6">
      <c r="A20" s="96"/>
      <c r="B20" s="97"/>
      <c r="C20" s="97"/>
      <c r="D20" s="97"/>
      <c r="E20" s="97"/>
      <c r="F20" s="97"/>
      <c r="G20" s="98"/>
      <c r="H20" s="635"/>
    </row>
    <row r="21" spans="1:8" x14ac:dyDescent="0.6">
      <c r="A21" s="91" t="s">
        <v>1404</v>
      </c>
      <c r="B21" s="92"/>
      <c r="C21" s="92"/>
      <c r="D21" s="92"/>
      <c r="E21" s="92"/>
      <c r="F21" s="92"/>
      <c r="G21" s="93"/>
      <c r="H21" s="635"/>
    </row>
    <row r="22" spans="1:8" ht="22.5" thickBot="1" x14ac:dyDescent="0.65">
      <c r="A22" s="96"/>
      <c r="B22" s="97"/>
      <c r="C22" s="97"/>
      <c r="D22" s="97"/>
      <c r="E22" s="97"/>
      <c r="F22" s="97"/>
      <c r="G22" s="98"/>
      <c r="H22" s="635"/>
    </row>
    <row r="23" spans="1:8" ht="42.75" customHeight="1" x14ac:dyDescent="0.6">
      <c r="A23" s="96"/>
      <c r="B23" s="100" t="s">
        <v>457</v>
      </c>
      <c r="C23" s="102" t="s">
        <v>547</v>
      </c>
      <c r="D23" s="102" t="s">
        <v>1079</v>
      </c>
      <c r="E23" s="622" t="s">
        <v>1401</v>
      </c>
      <c r="F23" s="636"/>
      <c r="G23" s="636"/>
      <c r="H23" s="635"/>
    </row>
    <row r="24" spans="1:8" x14ac:dyDescent="0.6">
      <c r="A24" s="96"/>
      <c r="B24" s="247" t="s">
        <v>548</v>
      </c>
      <c r="C24" s="647">
        <f>ALVENARIA!E26</f>
        <v>309.0030364000001</v>
      </c>
      <c r="D24" s="647">
        <v>285.79599999999999</v>
      </c>
      <c r="E24" s="697">
        <f>D24+C24</f>
        <v>594.79903640000009</v>
      </c>
      <c r="F24" s="736"/>
      <c r="G24" s="636"/>
      <c r="H24" s="635"/>
    </row>
    <row r="25" spans="1:8" x14ac:dyDescent="0.6">
      <c r="A25" s="96"/>
      <c r="B25" s="111" t="s">
        <v>549</v>
      </c>
      <c r="C25" s="648">
        <f>ALVENARIA!E27</f>
        <v>212.809</v>
      </c>
      <c r="D25" s="648">
        <v>313.27199999999999</v>
      </c>
      <c r="E25" s="698">
        <f t="shared" ref="E25:E32" si="3">D25+C25</f>
        <v>526.08100000000002</v>
      </c>
      <c r="F25" s="636"/>
      <c r="G25" s="636"/>
      <c r="H25" s="635"/>
    </row>
    <row r="26" spans="1:8" x14ac:dyDescent="0.6">
      <c r="A26" s="96"/>
      <c r="B26" s="111" t="s">
        <v>550</v>
      </c>
      <c r="C26" s="648">
        <f>ALVENARIA!E28</f>
        <v>212.809</v>
      </c>
      <c r="D26" s="648">
        <v>313.27199999999999</v>
      </c>
      <c r="E26" s="698">
        <f t="shared" si="3"/>
        <v>526.08100000000002</v>
      </c>
      <c r="F26" s="636"/>
      <c r="G26" s="636"/>
      <c r="H26" s="635"/>
    </row>
    <row r="27" spans="1:8" x14ac:dyDescent="0.6">
      <c r="A27" s="96"/>
      <c r="B27" s="111" t="s">
        <v>551</v>
      </c>
      <c r="C27" s="648">
        <f>ALVENARIA!E29</f>
        <v>275.327</v>
      </c>
      <c r="D27" s="648">
        <v>236.98000000000002</v>
      </c>
      <c r="E27" s="698">
        <f t="shared" si="3"/>
        <v>512.30700000000002</v>
      </c>
      <c r="F27" s="636"/>
      <c r="G27" s="636"/>
      <c r="H27" s="635"/>
    </row>
    <row r="28" spans="1:8" x14ac:dyDescent="0.6">
      <c r="A28" s="96"/>
      <c r="B28" s="114" t="s">
        <v>552</v>
      </c>
      <c r="C28" s="649">
        <f>ALVENARIA!E30</f>
        <v>305.1694</v>
      </c>
      <c r="D28" s="649">
        <v>117.033</v>
      </c>
      <c r="E28" s="699">
        <f t="shared" si="3"/>
        <v>422.20240000000001</v>
      </c>
      <c r="F28" s="636"/>
      <c r="G28" s="636"/>
      <c r="H28" s="635"/>
    </row>
    <row r="29" spans="1:8" ht="33" customHeight="1" x14ac:dyDescent="0.6">
      <c r="A29" s="96"/>
      <c r="B29" s="114" t="s">
        <v>553</v>
      </c>
      <c r="C29" s="649">
        <f>ALVENARIA!E31</f>
        <v>2327.8280573999982</v>
      </c>
      <c r="D29" s="649">
        <v>1638.3150000000001</v>
      </c>
      <c r="E29" s="699">
        <f t="shared" si="3"/>
        <v>3966.1430573999983</v>
      </c>
      <c r="F29" s="636"/>
      <c r="G29" s="636"/>
      <c r="H29" s="635"/>
    </row>
    <row r="30" spans="1:8" x14ac:dyDescent="0.6">
      <c r="A30" s="96"/>
      <c r="B30" s="111" t="s">
        <v>554</v>
      </c>
      <c r="C30" s="648">
        <f>ALVENARIA!E32</f>
        <v>306.11893079999999</v>
      </c>
      <c r="D30" s="648">
        <v>57.672599999999996</v>
      </c>
      <c r="E30" s="698">
        <f t="shared" si="3"/>
        <v>363.79153079999998</v>
      </c>
      <c r="F30" s="636"/>
      <c r="G30" s="636"/>
      <c r="H30" s="635"/>
    </row>
    <row r="31" spans="1:8" x14ac:dyDescent="0.6">
      <c r="A31" s="96"/>
      <c r="B31" s="111" t="s">
        <v>555</v>
      </c>
      <c r="C31" s="648">
        <f>ALVENARIA!E33</f>
        <v>16.937999999999999</v>
      </c>
      <c r="D31" s="648">
        <v>68.486399999999989</v>
      </c>
      <c r="E31" s="698">
        <f t="shared" ref="E31" si="4">D31+C31</f>
        <v>85.424399999999991</v>
      </c>
      <c r="F31" s="636"/>
      <c r="G31" s="636"/>
      <c r="H31" s="635"/>
    </row>
    <row r="32" spans="1:8" ht="32.25" thickBot="1" x14ac:dyDescent="0.65">
      <c r="A32" s="96"/>
      <c r="B32" s="114" t="s">
        <v>1425</v>
      </c>
      <c r="C32" s="649">
        <v>0</v>
      </c>
      <c r="D32" s="649">
        <f>243.134+576.54</f>
        <v>819.67399999999998</v>
      </c>
      <c r="E32" s="699">
        <f t="shared" si="3"/>
        <v>819.67399999999998</v>
      </c>
      <c r="F32" s="636"/>
      <c r="G32" s="636"/>
      <c r="H32" s="635"/>
    </row>
    <row r="33" spans="1:19" ht="22.5" thickBot="1" x14ac:dyDescent="0.65">
      <c r="A33" s="96"/>
      <c r="B33" s="700" t="s">
        <v>226</v>
      </c>
      <c r="C33" s="701">
        <f>SUM(C24:C32)</f>
        <v>3966.002424599998</v>
      </c>
      <c r="D33" s="701">
        <f t="shared" ref="D33:E33" si="5">SUM(D24:D32)</f>
        <v>3850.5009999999993</v>
      </c>
      <c r="E33" s="702">
        <f t="shared" si="5"/>
        <v>7816.5034245999977</v>
      </c>
      <c r="F33" s="636"/>
      <c r="G33" s="636"/>
      <c r="H33" s="635"/>
    </row>
    <row r="34" spans="1:19" ht="22.5" thickBot="1" x14ac:dyDescent="0.65">
      <c r="A34" s="642"/>
      <c r="B34" s="643"/>
      <c r="C34" s="643"/>
      <c r="D34" s="643"/>
      <c r="E34" s="643"/>
      <c r="F34" s="643"/>
      <c r="G34" s="645"/>
      <c r="H34" s="641"/>
    </row>
    <row r="35" spans="1:19" x14ac:dyDescent="0.6">
      <c r="F35" s="117"/>
    </row>
    <row r="36" spans="1:19" x14ac:dyDescent="0.6">
      <c r="F36" s="117"/>
    </row>
    <row r="38" spans="1:19" ht="47.25" customHeight="1" x14ac:dyDescent="0.6"/>
    <row r="45" spans="1:19" s="117" customFormat="1" ht="31.5" customHeight="1" x14ac:dyDescent="0.6">
      <c r="B45" s="118"/>
      <c r="C45" s="118"/>
      <c r="D45" s="118"/>
      <c r="E45" s="118"/>
      <c r="F45" s="118"/>
      <c r="H45" s="72"/>
      <c r="I45" s="72"/>
      <c r="J45" s="72"/>
      <c r="K45" s="72"/>
      <c r="L45" s="72"/>
      <c r="M45" s="72"/>
      <c r="N45" s="72"/>
      <c r="O45" s="72"/>
      <c r="P45" s="72"/>
      <c r="Q45" s="72"/>
      <c r="R45" s="72"/>
      <c r="S45" s="72"/>
    </row>
  </sheetData>
  <mergeCells count="2">
    <mergeCell ref="A4:G4"/>
    <mergeCell ref="A6:G6"/>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4A47-D985-448F-9C9D-DC592C25F141}">
  <sheetPr>
    <pageSetUpPr fitToPage="1"/>
  </sheetPr>
  <dimension ref="A1:P48"/>
  <sheetViews>
    <sheetView topLeftCell="A4" zoomScale="82" zoomScaleNormal="82" zoomScaleSheetLayoutView="86" workbookViewId="0">
      <selection activeCell="K11" sqref="K11:K20"/>
    </sheetView>
  </sheetViews>
  <sheetFormatPr defaultColWidth="8.85546875" defaultRowHeight="21.75" x14ac:dyDescent="0.6"/>
  <cols>
    <col min="1" max="1" width="9.140625" style="117" bestFit="1" customWidth="1"/>
    <col min="2" max="2" width="11.85546875" style="118" customWidth="1"/>
    <col min="3" max="3" width="12.7109375" style="118" bestFit="1" customWidth="1"/>
    <col min="4" max="4" width="14.42578125" style="118" customWidth="1"/>
    <col min="5" max="5" width="13.42578125" style="118" customWidth="1"/>
    <col min="6" max="6" width="14.5703125" style="117" customWidth="1"/>
    <col min="7" max="7" width="13.42578125" style="117" customWidth="1"/>
    <col min="8" max="8" width="12.7109375" style="117" customWidth="1"/>
    <col min="9" max="9" width="27.42578125" style="117" customWidth="1"/>
    <col min="10" max="10" width="25.7109375" style="117" customWidth="1"/>
    <col min="11" max="11" width="24.85546875" style="117" customWidth="1"/>
    <col min="12" max="12" width="25.28515625" style="117" customWidth="1"/>
    <col min="13" max="13" width="8" style="117" customWidth="1"/>
    <col min="14" max="14" width="12.5703125" style="119" customWidth="1"/>
    <col min="15" max="15" width="11.28515625" style="119" customWidth="1"/>
    <col min="16" max="16" width="24" style="117" customWidth="1"/>
    <col min="17" max="18" width="9.28515625" style="72" bestFit="1" customWidth="1"/>
    <col min="19" max="16384" width="8.85546875" style="72"/>
  </cols>
  <sheetData>
    <row r="1" spans="1:16" ht="18" customHeight="1" x14ac:dyDescent="0.6">
      <c r="A1" s="65" t="s">
        <v>397</v>
      </c>
      <c r="B1" s="66" t="str">
        <f>[8]ARQUIVOS_BASE!B1</f>
        <v>WEST VILLAGE</v>
      </c>
      <c r="C1" s="67"/>
      <c r="D1" s="67"/>
      <c r="E1" s="68"/>
      <c r="F1" s="69"/>
      <c r="G1" s="69"/>
      <c r="H1" s="69"/>
      <c r="I1" s="69"/>
      <c r="J1" s="69"/>
      <c r="K1" s="69"/>
      <c r="L1" s="69"/>
      <c r="M1" s="69"/>
      <c r="N1" s="70"/>
      <c r="O1" s="70"/>
      <c r="P1" s="71"/>
    </row>
    <row r="2" spans="1:16" ht="18" customHeight="1" x14ac:dyDescent="0.6">
      <c r="A2" s="73" t="s">
        <v>398</v>
      </c>
      <c r="B2" s="74" t="str">
        <f>[8]ARQUIVOS_BASE!B2</f>
        <v>KIRCHNER</v>
      </c>
      <c r="C2" s="75"/>
      <c r="D2" s="75"/>
      <c r="E2" s="76"/>
      <c r="F2" s="77"/>
      <c r="G2" s="77"/>
      <c r="H2" s="77"/>
      <c r="I2" s="77"/>
      <c r="J2" s="77"/>
      <c r="K2" s="77"/>
      <c r="L2" s="77"/>
      <c r="M2" s="77"/>
      <c r="N2" s="78"/>
      <c r="O2" s="78"/>
      <c r="P2" s="79"/>
    </row>
    <row r="3" spans="1:16" ht="18" customHeight="1" x14ac:dyDescent="0.6">
      <c r="A3" s="73" t="s">
        <v>399</v>
      </c>
      <c r="B3" s="74">
        <f>[8]ARQUIVOS_BASE!B3</f>
        <v>0</v>
      </c>
      <c r="C3" s="75"/>
      <c r="D3" s="75"/>
      <c r="E3" s="76"/>
      <c r="F3" s="77"/>
      <c r="G3" s="77"/>
      <c r="H3" s="77"/>
      <c r="I3" s="77"/>
      <c r="J3" s="77"/>
      <c r="K3" s="77"/>
      <c r="L3" s="77"/>
      <c r="M3" s="77"/>
      <c r="N3" s="78"/>
      <c r="O3" s="78"/>
      <c r="P3" s="79"/>
    </row>
    <row r="4" spans="1:16" ht="25.15" customHeight="1" x14ac:dyDescent="0.25">
      <c r="A4" s="754" t="s">
        <v>400</v>
      </c>
      <c r="B4" s="755"/>
      <c r="C4" s="755"/>
      <c r="D4" s="756"/>
      <c r="E4" s="756"/>
      <c r="F4" s="756"/>
      <c r="G4" s="756"/>
      <c r="H4" s="756"/>
      <c r="I4" s="756"/>
      <c r="J4" s="756"/>
      <c r="K4" s="756"/>
      <c r="L4" s="756"/>
      <c r="M4" s="756"/>
      <c r="N4" s="756"/>
      <c r="O4" s="756"/>
      <c r="P4" s="757"/>
    </row>
    <row r="5" spans="1:16" ht="14.45" customHeight="1" x14ac:dyDescent="0.6">
      <c r="A5" s="80"/>
      <c r="B5" s="81"/>
      <c r="C5" s="81"/>
      <c r="D5" s="81"/>
      <c r="E5" s="81"/>
      <c r="F5" s="82"/>
      <c r="G5" s="82"/>
      <c r="H5" s="82"/>
      <c r="I5" s="82"/>
      <c r="J5" s="82"/>
      <c r="K5" s="82"/>
      <c r="L5" s="82"/>
      <c r="M5" s="82"/>
      <c r="N5" s="83"/>
      <c r="O5" s="83"/>
      <c r="P5" s="84"/>
    </row>
    <row r="6" spans="1:16" ht="16.899999999999999" customHeight="1" x14ac:dyDescent="0.25">
      <c r="A6" s="758" t="s">
        <v>1070</v>
      </c>
      <c r="B6" s="759"/>
      <c r="C6" s="759"/>
      <c r="D6" s="760"/>
      <c r="E6" s="760"/>
      <c r="F6" s="760"/>
      <c r="G6" s="760"/>
      <c r="H6" s="760"/>
      <c r="I6" s="760"/>
      <c r="J6" s="760"/>
      <c r="K6" s="760"/>
      <c r="L6" s="760"/>
      <c r="M6" s="760"/>
      <c r="N6" s="760"/>
      <c r="O6" s="760"/>
      <c r="P6" s="761"/>
    </row>
    <row r="7" spans="1:16" ht="14.45" customHeight="1" x14ac:dyDescent="0.6">
      <c r="A7" s="85"/>
      <c r="B7" s="86"/>
      <c r="C7" s="86"/>
      <c r="D7" s="86"/>
      <c r="E7" s="87"/>
      <c r="F7" s="88"/>
      <c r="G7" s="88"/>
      <c r="H7" s="88"/>
      <c r="I7" s="88"/>
      <c r="J7" s="88"/>
      <c r="K7" s="88"/>
      <c r="L7" s="88"/>
      <c r="M7" s="88"/>
      <c r="N7" s="89"/>
      <c r="O7" s="89"/>
      <c r="P7" s="90"/>
    </row>
    <row r="8" spans="1:16" x14ac:dyDescent="0.6">
      <c r="A8" s="91" t="s">
        <v>1071</v>
      </c>
      <c r="B8" s="92"/>
      <c r="C8" s="92"/>
      <c r="D8" s="92"/>
      <c r="E8" s="92"/>
      <c r="F8" s="93"/>
      <c r="G8" s="93"/>
      <c r="H8" s="93"/>
      <c r="I8" s="93"/>
      <c r="J8" s="93"/>
      <c r="K8" s="93"/>
      <c r="L8" s="93"/>
      <c r="M8" s="93"/>
      <c r="N8" s="94"/>
      <c r="O8" s="94"/>
      <c r="P8" s="95"/>
    </row>
    <row r="9" spans="1:16" ht="22.5" thickBot="1" x14ac:dyDescent="0.65">
      <c r="A9" s="96"/>
      <c r="B9" s="97"/>
      <c r="C9" s="97"/>
      <c r="D9" s="97"/>
      <c r="E9" s="97"/>
      <c r="F9" s="98"/>
      <c r="G9" s="98"/>
      <c r="H9" s="98"/>
      <c r="I9" s="98"/>
      <c r="J9" s="98"/>
      <c r="K9" s="98"/>
      <c r="L9" s="98"/>
      <c r="M9" s="98"/>
      <c r="N9" s="99"/>
      <c r="O9" s="99"/>
      <c r="P9" s="90"/>
    </row>
    <row r="10" spans="1:16" ht="43.5" customHeight="1" x14ac:dyDescent="0.6">
      <c r="A10" s="96"/>
      <c r="B10" s="100" t="s">
        <v>457</v>
      </c>
      <c r="C10" s="102" t="s">
        <v>1072</v>
      </c>
      <c r="D10" s="102" t="s">
        <v>1073</v>
      </c>
      <c r="E10" s="102" t="s">
        <v>1074</v>
      </c>
      <c r="F10" s="102" t="s">
        <v>1075</v>
      </c>
      <c r="G10" s="102" t="s">
        <v>1076</v>
      </c>
      <c r="H10" s="102" t="s">
        <v>1077</v>
      </c>
      <c r="I10" s="102" t="s">
        <v>1078</v>
      </c>
      <c r="J10" s="102" t="s">
        <v>1079</v>
      </c>
      <c r="K10" s="102" t="s">
        <v>1080</v>
      </c>
      <c r="L10" s="102" t="s">
        <v>1081</v>
      </c>
      <c r="M10" s="103"/>
      <c r="N10" s="104"/>
      <c r="O10" s="90"/>
      <c r="P10" s="72"/>
    </row>
    <row r="11" spans="1:16" x14ac:dyDescent="0.6">
      <c r="A11" s="96"/>
      <c r="B11" s="830" t="s">
        <v>548</v>
      </c>
      <c r="C11" s="453">
        <f>(16*0.74)+(2*1.9)+(4*3.1)+3.2</f>
        <v>31.24</v>
      </c>
      <c r="D11" s="107">
        <v>3.52</v>
      </c>
      <c r="E11" s="108">
        <f>D11*C11</f>
        <v>109.9648</v>
      </c>
      <c r="F11" s="108">
        <f>(20+39+20)*2</f>
        <v>158</v>
      </c>
      <c r="G11" s="108">
        <v>0.7</v>
      </c>
      <c r="H11" s="108">
        <f>G11*F11</f>
        <v>110.6</v>
      </c>
      <c r="I11" s="836">
        <f>SUM(E11,H11,H12,E12)</f>
        <v>561.86149999999998</v>
      </c>
      <c r="J11" s="829">
        <f>I11</f>
        <v>561.86149999999998</v>
      </c>
      <c r="K11" s="829">
        <f>J11</f>
        <v>561.86149999999998</v>
      </c>
      <c r="L11" s="108"/>
      <c r="M11" s="109"/>
      <c r="N11" s="110"/>
      <c r="O11" s="90"/>
      <c r="P11" s="72"/>
    </row>
    <row r="12" spans="1:16" x14ac:dyDescent="0.6">
      <c r="A12" s="96"/>
      <c r="B12" s="831"/>
      <c r="C12" s="454">
        <f>(8*3)+(2*3.6)+(4*3.4)+(2*1.2)+1.05+(2*2.85)+0.455</f>
        <v>54.404999999999994</v>
      </c>
      <c r="D12" s="112">
        <v>4.1399999999999997</v>
      </c>
      <c r="E12" s="112">
        <f>D12*C12</f>
        <v>225.23669999999996</v>
      </c>
      <c r="F12" s="112">
        <f>(16.95+1.5+4.5+1.5+17)*2</f>
        <v>82.9</v>
      </c>
      <c r="G12" s="112">
        <v>1.4</v>
      </c>
      <c r="H12" s="112">
        <f>G12*F12</f>
        <v>116.06</v>
      </c>
      <c r="I12" s="821"/>
      <c r="J12" s="819"/>
      <c r="K12" s="819"/>
      <c r="L12" s="108"/>
      <c r="M12" s="109"/>
      <c r="N12" s="110"/>
      <c r="O12" s="90"/>
      <c r="P12" s="72"/>
    </row>
    <row r="13" spans="1:16" x14ac:dyDescent="0.6">
      <c r="A13" s="96"/>
      <c r="B13" s="822" t="s">
        <v>549</v>
      </c>
      <c r="C13" s="454">
        <f>(16*0.74)+(4*1.2)+(2*1.4)</f>
        <v>19.440000000000001</v>
      </c>
      <c r="D13" s="112">
        <v>2.2599999999999998</v>
      </c>
      <c r="E13" s="112">
        <f>D13*C13</f>
        <v>43.934399999999997</v>
      </c>
      <c r="F13" s="818">
        <f>(F11+38)*2</f>
        <v>392</v>
      </c>
      <c r="G13" s="818">
        <v>0.7</v>
      </c>
      <c r="H13" s="818">
        <f>G13*F13</f>
        <v>274.39999999999998</v>
      </c>
      <c r="I13" s="820">
        <f>SUM(H13,E13,E14)</f>
        <v>475.02079999999989</v>
      </c>
      <c r="J13" s="818">
        <f>I13</f>
        <v>475.02079999999989</v>
      </c>
      <c r="K13" s="818">
        <f>I13</f>
        <v>475.02079999999989</v>
      </c>
      <c r="L13" s="112"/>
      <c r="M13" s="109"/>
      <c r="N13" s="110"/>
      <c r="O13" s="90"/>
      <c r="P13" s="72"/>
    </row>
    <row r="14" spans="1:16" x14ac:dyDescent="0.6">
      <c r="A14" s="96"/>
      <c r="B14" s="824"/>
      <c r="C14" s="454">
        <f>C12</f>
        <v>54.404999999999994</v>
      </c>
      <c r="D14" s="112">
        <v>2.88</v>
      </c>
      <c r="E14" s="112">
        <f>D14*C14</f>
        <v>156.68639999999996</v>
      </c>
      <c r="F14" s="819"/>
      <c r="G14" s="819"/>
      <c r="H14" s="819"/>
      <c r="I14" s="821"/>
      <c r="J14" s="819"/>
      <c r="K14" s="819"/>
      <c r="L14" s="112"/>
      <c r="M14" s="109"/>
      <c r="N14" s="110"/>
      <c r="O14" s="90"/>
      <c r="P14" s="72"/>
    </row>
    <row r="15" spans="1:16" x14ac:dyDescent="0.6">
      <c r="A15" s="96"/>
      <c r="B15" s="822" t="s">
        <v>550</v>
      </c>
      <c r="C15" s="454">
        <f>C13</f>
        <v>19.440000000000001</v>
      </c>
      <c r="D15" s="112">
        <f>D13</f>
        <v>2.2599999999999998</v>
      </c>
      <c r="E15" s="112">
        <f t="shared" ref="E15:E25" si="0">D15*C15</f>
        <v>43.934399999999997</v>
      </c>
      <c r="F15" s="818">
        <f>F13</f>
        <v>392</v>
      </c>
      <c r="G15" s="818">
        <v>0.7</v>
      </c>
      <c r="H15" s="818">
        <f>G15*F15</f>
        <v>274.39999999999998</v>
      </c>
      <c r="I15" s="820">
        <f>SUM(H15,E15,E16)</f>
        <v>475.02079999999989</v>
      </c>
      <c r="J15" s="818">
        <f>I15</f>
        <v>475.02079999999989</v>
      </c>
      <c r="K15" s="818">
        <f>I15</f>
        <v>475.02079999999989</v>
      </c>
      <c r="L15" s="112"/>
      <c r="M15" s="109"/>
      <c r="N15" s="110"/>
      <c r="O15" s="90"/>
      <c r="P15" s="72"/>
    </row>
    <row r="16" spans="1:16" x14ac:dyDescent="0.6">
      <c r="A16" s="96"/>
      <c r="B16" s="824"/>
      <c r="C16" s="454">
        <f>C14</f>
        <v>54.404999999999994</v>
      </c>
      <c r="D16" s="112">
        <f>D14</f>
        <v>2.88</v>
      </c>
      <c r="E16" s="112">
        <f t="shared" si="0"/>
        <v>156.68639999999996</v>
      </c>
      <c r="F16" s="819"/>
      <c r="G16" s="819"/>
      <c r="H16" s="819"/>
      <c r="I16" s="821"/>
      <c r="J16" s="819"/>
      <c r="K16" s="819"/>
      <c r="L16" s="112"/>
      <c r="M16" s="109"/>
      <c r="N16" s="110"/>
      <c r="O16" s="90"/>
      <c r="P16" s="72"/>
    </row>
    <row r="17" spans="1:16" x14ac:dyDescent="0.6">
      <c r="A17" s="96"/>
      <c r="B17" s="822" t="s">
        <v>551</v>
      </c>
      <c r="C17" s="454">
        <f>4*0.7</f>
        <v>2.8</v>
      </c>
      <c r="D17" s="112">
        <v>2.6</v>
      </c>
      <c r="E17" s="112">
        <f t="shared" si="0"/>
        <v>7.2799999999999994</v>
      </c>
      <c r="F17" s="112">
        <f>(10.75+5.5+10.49+10.75+22.54+21.49)*2</f>
        <v>163.04</v>
      </c>
      <c r="G17" s="112">
        <v>0.6</v>
      </c>
      <c r="H17" s="112">
        <f>F17*G17</f>
        <v>97.823999999999998</v>
      </c>
      <c r="I17" s="820">
        <f>SUM(H17:H20,E17:E19)</f>
        <v>328.74</v>
      </c>
      <c r="J17" s="818">
        <f>I17</f>
        <v>328.74</v>
      </c>
      <c r="K17" s="818">
        <f>I17</f>
        <v>328.74</v>
      </c>
      <c r="L17" s="112"/>
      <c r="M17" s="109"/>
      <c r="N17" s="110"/>
      <c r="O17" s="90"/>
      <c r="P17" s="72"/>
    </row>
    <row r="18" spans="1:16" x14ac:dyDescent="0.6">
      <c r="A18" s="96"/>
      <c r="B18" s="823"/>
      <c r="C18" s="454">
        <f>(6*3)+(4*3.1)+(2*3.3)</f>
        <v>37</v>
      </c>
      <c r="D18" s="112">
        <v>2.48</v>
      </c>
      <c r="E18" s="112">
        <f t="shared" si="0"/>
        <v>91.76</v>
      </c>
      <c r="F18" s="112">
        <f>2*22.75</f>
        <v>45.5</v>
      </c>
      <c r="G18" s="112">
        <v>0.7</v>
      </c>
      <c r="H18" s="112">
        <f t="shared" ref="H18:H23" si="1">F18*G18</f>
        <v>31.849999999999998</v>
      </c>
      <c r="I18" s="837"/>
      <c r="J18" s="828"/>
      <c r="K18" s="828"/>
      <c r="L18" s="112"/>
      <c r="M18" s="109"/>
      <c r="N18" s="110"/>
      <c r="O18" s="90"/>
      <c r="P18" s="72"/>
    </row>
    <row r="19" spans="1:16" x14ac:dyDescent="0.6">
      <c r="A19" s="96"/>
      <c r="B19" s="823"/>
      <c r="C19" s="454">
        <f>(0.6)+(11*0.7)+(4*1.2)+(2*1.4)</f>
        <v>15.899999999999999</v>
      </c>
      <c r="D19" s="112">
        <v>2.99</v>
      </c>
      <c r="E19" s="112">
        <f t="shared" si="0"/>
        <v>47.540999999999997</v>
      </c>
      <c r="F19" s="112">
        <f>2*5.7</f>
        <v>11.4</v>
      </c>
      <c r="G19" s="112">
        <v>0.75</v>
      </c>
      <c r="H19" s="112">
        <f t="shared" si="1"/>
        <v>8.5500000000000007</v>
      </c>
      <c r="I19" s="837"/>
      <c r="J19" s="828"/>
      <c r="K19" s="828"/>
      <c r="L19" s="112"/>
      <c r="M19" s="109"/>
      <c r="N19" s="110"/>
      <c r="O19" s="90"/>
      <c r="P19" s="72"/>
    </row>
    <row r="20" spans="1:16" x14ac:dyDescent="0.6">
      <c r="A20" s="96"/>
      <c r="B20" s="824"/>
      <c r="C20" s="454"/>
      <c r="D20" s="112"/>
      <c r="E20" s="112">
        <f t="shared" si="0"/>
        <v>0</v>
      </c>
      <c r="F20" s="112">
        <f>(11+4.15)*2</f>
        <v>30.3</v>
      </c>
      <c r="G20" s="112">
        <v>1.45</v>
      </c>
      <c r="H20" s="112">
        <f t="shared" si="1"/>
        <v>43.935000000000002</v>
      </c>
      <c r="I20" s="821"/>
      <c r="J20" s="819"/>
      <c r="K20" s="819"/>
      <c r="L20" s="112"/>
      <c r="M20" s="109"/>
      <c r="N20" s="110"/>
      <c r="O20" s="90"/>
      <c r="P20" s="72"/>
    </row>
    <row r="21" spans="1:16" x14ac:dyDescent="0.6">
      <c r="A21" s="96"/>
      <c r="B21" s="822" t="s">
        <v>552</v>
      </c>
      <c r="C21" s="113">
        <f>(6*1.5)+(2*2.4)+1.6+2.6+0.6+1.55+1.55</f>
        <v>21.700000000000003</v>
      </c>
      <c r="D21" s="112">
        <v>2.73</v>
      </c>
      <c r="E21" s="112">
        <f t="shared" si="0"/>
        <v>59.241000000000007</v>
      </c>
      <c r="F21" s="818"/>
      <c r="G21" s="818">
        <v>0.7</v>
      </c>
      <c r="H21" s="818">
        <f t="shared" si="1"/>
        <v>0</v>
      </c>
      <c r="I21" s="820">
        <f>SUM(H21,E21,E22)</f>
        <v>175.72620000000001</v>
      </c>
      <c r="J21" s="818">
        <f>I21</f>
        <v>175.72620000000001</v>
      </c>
      <c r="K21" s="112"/>
      <c r="L21" s="818">
        <f>I21</f>
        <v>175.72620000000001</v>
      </c>
      <c r="M21" s="109"/>
      <c r="N21" s="110"/>
      <c r="O21" s="90"/>
      <c r="P21" s="72"/>
    </row>
    <row r="22" spans="1:16" x14ac:dyDescent="0.6">
      <c r="A22" s="96"/>
      <c r="B22" s="824"/>
      <c r="C22" s="113">
        <f>(3*1.15)+(4*1.5)+(2*1.2)+(2*3)+(2*3.1)+(2*2.85)+(2*0.455)+1+(2.4)</f>
        <v>34.06</v>
      </c>
      <c r="D22" s="112">
        <v>3.42</v>
      </c>
      <c r="E22" s="112">
        <f t="shared" si="0"/>
        <v>116.48520000000001</v>
      </c>
      <c r="F22" s="819"/>
      <c r="G22" s="819"/>
      <c r="H22" s="819"/>
      <c r="I22" s="821"/>
      <c r="J22" s="819"/>
      <c r="K22" s="112"/>
      <c r="L22" s="819"/>
      <c r="M22" s="109"/>
      <c r="N22" s="110"/>
      <c r="O22" s="90"/>
      <c r="P22" s="72"/>
    </row>
    <row r="23" spans="1:16" ht="22.5" customHeight="1" x14ac:dyDescent="0.6">
      <c r="A23" s="96"/>
      <c r="B23" s="822" t="s">
        <v>553</v>
      </c>
      <c r="C23" s="113">
        <f>C21</f>
        <v>21.700000000000003</v>
      </c>
      <c r="D23" s="112">
        <v>2.37</v>
      </c>
      <c r="E23" s="112">
        <f t="shared" si="0"/>
        <v>51.429000000000009</v>
      </c>
      <c r="F23" s="818"/>
      <c r="G23" s="818">
        <v>0.7</v>
      </c>
      <c r="H23" s="818">
        <f t="shared" si="1"/>
        <v>0</v>
      </c>
      <c r="I23" s="820">
        <f>SUM(H23,E23:E24)*15</f>
        <v>1982.2680000000003</v>
      </c>
      <c r="J23" s="818">
        <f>I23</f>
        <v>1982.2680000000003</v>
      </c>
      <c r="K23" s="112"/>
      <c r="L23" s="818">
        <f>I23</f>
        <v>1982.2680000000003</v>
      </c>
      <c r="M23" s="109"/>
      <c r="N23" s="110"/>
      <c r="O23" s="90"/>
      <c r="P23" s="72"/>
    </row>
    <row r="24" spans="1:16" x14ac:dyDescent="0.6">
      <c r="A24" s="96"/>
      <c r="B24" s="824"/>
      <c r="C24" s="113">
        <f>C22</f>
        <v>34.06</v>
      </c>
      <c r="D24" s="112">
        <v>2.37</v>
      </c>
      <c r="E24" s="112">
        <f t="shared" si="0"/>
        <v>80.722200000000015</v>
      </c>
      <c r="F24" s="819"/>
      <c r="G24" s="819"/>
      <c r="H24" s="819"/>
      <c r="I24" s="821"/>
      <c r="J24" s="819"/>
      <c r="K24" s="112"/>
      <c r="L24" s="819"/>
      <c r="M24" s="109"/>
      <c r="N24" s="110"/>
      <c r="O24" s="90"/>
      <c r="P24" s="72"/>
    </row>
    <row r="25" spans="1:16" ht="31.5" x14ac:dyDescent="0.6">
      <c r="A25" s="96"/>
      <c r="B25" s="114" t="s">
        <v>554</v>
      </c>
      <c r="C25" s="113"/>
      <c r="D25" s="112"/>
      <c r="E25" s="112">
        <f t="shared" si="0"/>
        <v>0</v>
      </c>
      <c r="F25" s="112"/>
      <c r="G25" s="112"/>
      <c r="H25" s="112"/>
      <c r="I25" s="112"/>
      <c r="J25" s="112"/>
      <c r="K25" s="112"/>
      <c r="L25" s="112"/>
      <c r="M25" s="109"/>
      <c r="N25" s="110"/>
      <c r="O25" s="90"/>
      <c r="P25" s="72"/>
    </row>
    <row r="26" spans="1:16" ht="22.5" thickBot="1" x14ac:dyDescent="0.65">
      <c r="A26" s="96"/>
      <c r="B26" s="187"/>
      <c r="C26" s="189"/>
      <c r="D26" s="190"/>
      <c r="E26" s="190">
        <f t="shared" ref="E26:M26" si="2">SUM(E11:E25)</f>
        <v>1190.9014999999999</v>
      </c>
      <c r="F26" s="190">
        <f t="shared" si="2"/>
        <v>1275.1400000000001</v>
      </c>
      <c r="G26" s="190">
        <f t="shared" si="2"/>
        <v>8.4</v>
      </c>
      <c r="H26" s="190">
        <f t="shared" si="2"/>
        <v>957.61899999999991</v>
      </c>
      <c r="I26" s="190">
        <f t="shared" si="2"/>
        <v>3998.6372999999999</v>
      </c>
      <c r="J26" s="190">
        <f t="shared" si="2"/>
        <v>3998.6372999999999</v>
      </c>
      <c r="K26" s="190">
        <f t="shared" si="2"/>
        <v>1840.6430999999995</v>
      </c>
      <c r="L26" s="190">
        <f t="shared" si="2"/>
        <v>2157.9942000000001</v>
      </c>
      <c r="M26" s="190">
        <f t="shared" si="2"/>
        <v>0</v>
      </c>
      <c r="N26" s="191"/>
      <c r="O26" s="90"/>
      <c r="P26" s="72"/>
    </row>
    <row r="27" spans="1:16" x14ac:dyDescent="0.6">
      <c r="A27" s="96"/>
      <c r="B27" s="97"/>
      <c r="C27" s="97"/>
      <c r="D27" s="97"/>
      <c r="E27" s="97"/>
      <c r="F27" s="98"/>
      <c r="G27" s="98"/>
      <c r="H27" s="98"/>
      <c r="I27" s="98"/>
      <c r="J27" s="98"/>
      <c r="K27" s="98"/>
      <c r="L27" s="98"/>
      <c r="M27" s="98"/>
      <c r="N27" s="99"/>
      <c r="O27" s="99"/>
      <c r="P27" s="90"/>
    </row>
    <row r="28" spans="1:16" x14ac:dyDescent="0.6">
      <c r="A28" s="96"/>
      <c r="B28" s="97"/>
      <c r="C28" s="97"/>
      <c r="D28" s="97"/>
      <c r="E28" s="97"/>
      <c r="F28" s="98"/>
      <c r="G28" s="98"/>
      <c r="H28" s="98"/>
      <c r="I28" s="98"/>
      <c r="J28" s="98"/>
      <c r="K28" s="98"/>
      <c r="L28" s="98"/>
      <c r="M28" s="98"/>
      <c r="N28" s="99"/>
      <c r="O28" s="99"/>
      <c r="P28" s="90"/>
    </row>
    <row r="29" spans="1:16" x14ac:dyDescent="0.6">
      <c r="A29" s="91" t="s">
        <v>1082</v>
      </c>
      <c r="B29" s="92"/>
      <c r="C29" s="92"/>
      <c r="D29" s="92"/>
      <c r="E29" s="92"/>
      <c r="F29" s="93"/>
      <c r="G29" s="93"/>
      <c r="H29" s="93"/>
      <c r="I29" s="93"/>
      <c r="J29" s="93"/>
      <c r="K29" s="93"/>
      <c r="L29" s="93"/>
      <c r="M29" s="93"/>
      <c r="N29" s="94"/>
      <c r="O29" s="94"/>
      <c r="P29" s="95"/>
    </row>
    <row r="30" spans="1:16" ht="22.5" thickBot="1" x14ac:dyDescent="0.65">
      <c r="A30" s="96"/>
      <c r="B30" s="97"/>
      <c r="C30" s="97"/>
      <c r="D30" s="97"/>
      <c r="E30" s="97"/>
      <c r="F30" s="98"/>
      <c r="G30" s="98"/>
      <c r="H30" s="98"/>
      <c r="I30" s="98"/>
      <c r="J30" s="98"/>
      <c r="K30" s="98"/>
      <c r="L30" s="98"/>
      <c r="M30" s="98"/>
      <c r="N30" s="99"/>
      <c r="O30" s="99"/>
      <c r="P30" s="90"/>
    </row>
    <row r="31" spans="1:16" ht="42.75" customHeight="1" x14ac:dyDescent="0.6">
      <c r="A31" s="96"/>
      <c r="B31" s="100" t="s">
        <v>457</v>
      </c>
      <c r="C31" s="102" t="s">
        <v>1072</v>
      </c>
      <c r="D31" s="102" t="s">
        <v>1073</v>
      </c>
      <c r="E31" s="102" t="s">
        <v>1083</v>
      </c>
      <c r="F31" s="102" t="s">
        <v>1075</v>
      </c>
      <c r="G31" s="102" t="s">
        <v>1076</v>
      </c>
      <c r="H31" s="102" t="s">
        <v>1077</v>
      </c>
      <c r="I31" s="102" t="s">
        <v>1084</v>
      </c>
      <c r="J31" s="102" t="s">
        <v>1085</v>
      </c>
      <c r="K31" s="102" t="s">
        <v>1079</v>
      </c>
      <c r="L31" s="102" t="s">
        <v>1080</v>
      </c>
      <c r="M31" s="102" t="s">
        <v>1081</v>
      </c>
      <c r="N31" s="103"/>
      <c r="O31" s="104"/>
      <c r="P31" s="90"/>
    </row>
    <row r="32" spans="1:16" x14ac:dyDescent="0.6">
      <c r="A32" s="96"/>
      <c r="B32" s="830" t="s">
        <v>548</v>
      </c>
      <c r="C32" s="832">
        <f>(16*0.6)+(6*1.2)</f>
        <v>16.799999999999997</v>
      </c>
      <c r="D32" s="834">
        <v>3.52</v>
      </c>
      <c r="E32" s="834">
        <f>D32*C32</f>
        <v>59.135999999999989</v>
      </c>
      <c r="F32" s="108">
        <f>F11</f>
        <v>158</v>
      </c>
      <c r="G32" s="108">
        <v>0.7</v>
      </c>
      <c r="H32" s="108">
        <f>F32*G32</f>
        <v>110.6</v>
      </c>
      <c r="I32" s="108"/>
      <c r="J32" s="836">
        <f>SUM(H32,H33,E32)</f>
        <v>285.79599999999999</v>
      </c>
      <c r="K32" s="829">
        <f>J32</f>
        <v>285.79599999999999</v>
      </c>
      <c r="L32" s="108"/>
      <c r="M32" s="108"/>
      <c r="N32" s="109"/>
      <c r="O32" s="110"/>
      <c r="P32" s="90"/>
    </row>
    <row r="33" spans="1:16" x14ac:dyDescent="0.6">
      <c r="A33" s="96"/>
      <c r="B33" s="831"/>
      <c r="C33" s="833"/>
      <c r="D33" s="835"/>
      <c r="E33" s="835"/>
      <c r="F33" s="112">
        <f>F12</f>
        <v>82.9</v>
      </c>
      <c r="G33" s="112">
        <v>1.4</v>
      </c>
      <c r="H33" s="112">
        <f>G33*F33</f>
        <v>116.06</v>
      </c>
      <c r="I33" s="112"/>
      <c r="J33" s="821"/>
      <c r="K33" s="819"/>
      <c r="L33" s="108"/>
      <c r="M33" s="108"/>
      <c r="N33" s="109"/>
      <c r="O33" s="110"/>
      <c r="P33" s="90"/>
    </row>
    <row r="34" spans="1:16" x14ac:dyDescent="0.6">
      <c r="A34" s="96"/>
      <c r="B34" s="822" t="s">
        <v>549</v>
      </c>
      <c r="C34" s="818">
        <f>(16*0.6)+(4*1.2)+(2*1.4)</f>
        <v>17.2</v>
      </c>
      <c r="D34" s="818">
        <v>2.2599999999999998</v>
      </c>
      <c r="E34" s="818">
        <f>D34*C34</f>
        <v>38.871999999999993</v>
      </c>
      <c r="F34" s="818">
        <f>F13</f>
        <v>392</v>
      </c>
      <c r="G34" s="818">
        <f>G13</f>
        <v>0.7</v>
      </c>
      <c r="H34" s="818">
        <f>G34*F34</f>
        <v>274.39999999999998</v>
      </c>
      <c r="I34" s="818"/>
      <c r="J34" s="820">
        <f>SUM(H34,E34)</f>
        <v>313.27199999999999</v>
      </c>
      <c r="K34" s="818">
        <f>J34</f>
        <v>313.27199999999999</v>
      </c>
      <c r="L34" s="112"/>
      <c r="M34" s="112"/>
      <c r="N34" s="109"/>
      <c r="O34" s="110"/>
      <c r="P34" s="90"/>
    </row>
    <row r="35" spans="1:16" x14ac:dyDescent="0.6">
      <c r="A35" s="96"/>
      <c r="B35" s="824"/>
      <c r="C35" s="819"/>
      <c r="D35" s="819"/>
      <c r="E35" s="819"/>
      <c r="F35" s="819"/>
      <c r="G35" s="819"/>
      <c r="H35" s="819"/>
      <c r="I35" s="819"/>
      <c r="J35" s="821"/>
      <c r="K35" s="819"/>
      <c r="L35" s="112"/>
      <c r="M35" s="112"/>
      <c r="N35" s="109"/>
      <c r="O35" s="110"/>
      <c r="P35" s="90"/>
    </row>
    <row r="36" spans="1:16" x14ac:dyDescent="0.6">
      <c r="A36" s="96"/>
      <c r="B36" s="822" t="s">
        <v>550</v>
      </c>
      <c r="C36" s="818">
        <f>C34</f>
        <v>17.2</v>
      </c>
      <c r="D36" s="818">
        <f>D34</f>
        <v>2.2599999999999998</v>
      </c>
      <c r="E36" s="818">
        <f t="shared" ref="E36:E44" si="3">D36*C36</f>
        <v>38.871999999999993</v>
      </c>
      <c r="F36" s="818">
        <f>F15</f>
        <v>392</v>
      </c>
      <c r="G36" s="818">
        <f>G15</f>
        <v>0.7</v>
      </c>
      <c r="H36" s="818">
        <f>G36*F36</f>
        <v>274.39999999999998</v>
      </c>
      <c r="I36" s="818"/>
      <c r="J36" s="820">
        <f>SUM(H36,E36)</f>
        <v>313.27199999999999</v>
      </c>
      <c r="K36" s="818">
        <f>J36</f>
        <v>313.27199999999999</v>
      </c>
      <c r="L36" s="112"/>
      <c r="M36" s="112"/>
      <c r="N36" s="109"/>
      <c r="O36" s="110"/>
      <c r="P36" s="90"/>
    </row>
    <row r="37" spans="1:16" x14ac:dyDescent="0.6">
      <c r="A37" s="96"/>
      <c r="B37" s="824"/>
      <c r="C37" s="819"/>
      <c r="D37" s="819"/>
      <c r="E37" s="819"/>
      <c r="F37" s="819"/>
      <c r="G37" s="819"/>
      <c r="H37" s="819"/>
      <c r="I37" s="819"/>
      <c r="J37" s="821"/>
      <c r="K37" s="819"/>
      <c r="L37" s="112"/>
      <c r="M37" s="112"/>
      <c r="N37" s="109"/>
      <c r="O37" s="110"/>
      <c r="P37" s="90"/>
    </row>
    <row r="38" spans="1:16" x14ac:dyDescent="0.6">
      <c r="A38" s="96"/>
      <c r="B38" s="822" t="s">
        <v>551</v>
      </c>
      <c r="C38" s="113">
        <f>(0.6)+(11*0.7)+(4*1.2)+(2*1.4)</f>
        <v>15.899999999999999</v>
      </c>
      <c r="D38" s="112">
        <v>2.99</v>
      </c>
      <c r="E38" s="112">
        <f t="shared" si="3"/>
        <v>47.540999999999997</v>
      </c>
      <c r="F38" s="112">
        <f>F17</f>
        <v>163.04</v>
      </c>
      <c r="G38" s="112">
        <f>G17</f>
        <v>0.6</v>
      </c>
      <c r="H38" s="112">
        <f>F38*G38</f>
        <v>97.823999999999998</v>
      </c>
      <c r="I38" s="112"/>
      <c r="J38" s="825">
        <f>SUM(H38:H41,E38:E39)</f>
        <v>236.98000000000002</v>
      </c>
      <c r="K38" s="818">
        <f>J38</f>
        <v>236.98000000000002</v>
      </c>
      <c r="L38" s="112"/>
      <c r="M38" s="112"/>
      <c r="N38" s="109"/>
      <c r="O38" s="110"/>
      <c r="P38" s="90"/>
    </row>
    <row r="39" spans="1:16" x14ac:dyDescent="0.6">
      <c r="A39" s="96"/>
      <c r="B39" s="823"/>
      <c r="C39" s="454">
        <f>C17</f>
        <v>2.8</v>
      </c>
      <c r="D39" s="112">
        <v>2.6</v>
      </c>
      <c r="E39" s="112">
        <f t="shared" si="3"/>
        <v>7.2799999999999994</v>
      </c>
      <c r="F39" s="112">
        <f>F18</f>
        <v>45.5</v>
      </c>
      <c r="G39" s="112">
        <f t="shared" ref="G39:G41" si="4">G18</f>
        <v>0.7</v>
      </c>
      <c r="H39" s="112">
        <f t="shared" ref="H39:H43" si="5">F39*G39</f>
        <v>31.849999999999998</v>
      </c>
      <c r="I39" s="112"/>
      <c r="J39" s="826"/>
      <c r="K39" s="828"/>
      <c r="L39" s="112"/>
      <c r="M39" s="112"/>
      <c r="N39" s="109"/>
      <c r="O39" s="110"/>
      <c r="P39" s="90"/>
    </row>
    <row r="40" spans="1:16" x14ac:dyDescent="0.6">
      <c r="A40" s="96"/>
      <c r="B40" s="823"/>
      <c r="C40" s="454"/>
      <c r="D40" s="112"/>
      <c r="E40" s="112"/>
      <c r="F40" s="112">
        <f>F19</f>
        <v>11.4</v>
      </c>
      <c r="G40" s="112">
        <f t="shared" si="4"/>
        <v>0.75</v>
      </c>
      <c r="H40" s="112">
        <f t="shared" si="5"/>
        <v>8.5500000000000007</v>
      </c>
      <c r="I40" s="112"/>
      <c r="J40" s="826"/>
      <c r="K40" s="828"/>
      <c r="L40" s="112"/>
      <c r="M40" s="112"/>
      <c r="N40" s="109"/>
      <c r="O40" s="110"/>
      <c r="P40" s="90"/>
    </row>
    <row r="41" spans="1:16" x14ac:dyDescent="0.6">
      <c r="A41" s="96"/>
      <c r="B41" s="824"/>
      <c r="C41" s="454"/>
      <c r="D41" s="112"/>
      <c r="E41" s="112"/>
      <c r="F41" s="112">
        <f>F20</f>
        <v>30.3</v>
      </c>
      <c r="G41" s="112">
        <f t="shared" si="4"/>
        <v>1.45</v>
      </c>
      <c r="H41" s="112">
        <f t="shared" si="5"/>
        <v>43.935000000000002</v>
      </c>
      <c r="I41" s="112"/>
      <c r="J41" s="827"/>
      <c r="K41" s="819"/>
      <c r="L41" s="112"/>
      <c r="M41" s="112"/>
      <c r="N41" s="109"/>
      <c r="O41" s="110"/>
      <c r="P41" s="90"/>
    </row>
    <row r="42" spans="1:16" x14ac:dyDescent="0.6">
      <c r="A42" s="96"/>
      <c r="B42" s="114" t="s">
        <v>552</v>
      </c>
      <c r="C42" s="113">
        <f>C21</f>
        <v>21.700000000000003</v>
      </c>
      <c r="D42" s="112">
        <v>2.73</v>
      </c>
      <c r="E42" s="112">
        <f t="shared" si="3"/>
        <v>59.241000000000007</v>
      </c>
      <c r="F42" s="112">
        <v>82.56</v>
      </c>
      <c r="G42" s="112">
        <v>0.7</v>
      </c>
      <c r="H42" s="112">
        <f t="shared" si="5"/>
        <v>57.791999999999994</v>
      </c>
      <c r="I42" s="112"/>
      <c r="J42" s="455">
        <f>SUM(H42,E42)</f>
        <v>117.033</v>
      </c>
      <c r="K42" s="186">
        <f>J42</f>
        <v>117.033</v>
      </c>
      <c r="L42" s="112"/>
      <c r="M42" s="112"/>
      <c r="N42" s="109"/>
      <c r="O42" s="110"/>
      <c r="P42" s="90"/>
    </row>
    <row r="43" spans="1:16" ht="31.5" x14ac:dyDescent="0.6">
      <c r="A43" s="96"/>
      <c r="B43" s="114" t="s">
        <v>553</v>
      </c>
      <c r="C43" s="113">
        <f>C42</f>
        <v>21.700000000000003</v>
      </c>
      <c r="D43" s="112">
        <v>2.37</v>
      </c>
      <c r="E43" s="112">
        <f t="shared" si="3"/>
        <v>51.429000000000009</v>
      </c>
      <c r="F43" s="112">
        <v>82.56</v>
      </c>
      <c r="G43" s="112">
        <v>0.7</v>
      </c>
      <c r="H43" s="112">
        <f t="shared" si="5"/>
        <v>57.791999999999994</v>
      </c>
      <c r="I43" s="112"/>
      <c r="J43" s="455">
        <f>SUM(H43,E43)*15</f>
        <v>1638.3150000000001</v>
      </c>
      <c r="K43" s="112">
        <f>J43</f>
        <v>1638.3150000000001</v>
      </c>
      <c r="L43" s="112"/>
      <c r="M43" s="112"/>
      <c r="N43" s="109"/>
      <c r="O43" s="110"/>
      <c r="P43" s="90"/>
    </row>
    <row r="44" spans="1:16" ht="31.5" x14ac:dyDescent="0.6">
      <c r="A44" s="96"/>
      <c r="B44" s="114" t="s">
        <v>554</v>
      </c>
      <c r="C44" s="113">
        <v>11.04</v>
      </c>
      <c r="D44" s="112">
        <v>3.59</v>
      </c>
      <c r="E44" s="112">
        <f t="shared" si="3"/>
        <v>39.633599999999994</v>
      </c>
      <c r="F44" s="112">
        <f>0.87+5.57+0.87+2.03+0.6+2.6+0.25+7.5+0.25+2.6+0.6+2.03</f>
        <v>25.770000000000003</v>
      </c>
      <c r="G44" s="112">
        <v>0.7</v>
      </c>
      <c r="H44" s="112">
        <f>F44*G44</f>
        <v>18.039000000000001</v>
      </c>
      <c r="I44" s="112"/>
      <c r="J44" s="455">
        <f>SUM(H44,E44)</f>
        <v>57.672599999999996</v>
      </c>
      <c r="K44" s="112">
        <f>J44</f>
        <v>57.672599999999996</v>
      </c>
      <c r="L44" s="112"/>
      <c r="M44" s="112"/>
      <c r="N44" s="109"/>
      <c r="O44" s="110"/>
      <c r="P44" s="90"/>
    </row>
    <row r="45" spans="1:16" ht="47.25" x14ac:dyDescent="0.6">
      <c r="A45" s="96"/>
      <c r="B45" s="114" t="s">
        <v>555</v>
      </c>
      <c r="C45" s="113"/>
      <c r="D45" s="112"/>
      <c r="E45" s="112"/>
      <c r="F45" s="112">
        <v>18.559999999999999</v>
      </c>
      <c r="G45" s="112">
        <v>3.69</v>
      </c>
      <c r="H45" s="112">
        <f>F45*G45</f>
        <v>68.486399999999989</v>
      </c>
      <c r="I45" s="112"/>
      <c r="J45" s="455">
        <f>SUM(H45,E45)</f>
        <v>68.486399999999989</v>
      </c>
      <c r="K45" s="112"/>
      <c r="L45" s="112"/>
      <c r="M45" s="112"/>
      <c r="N45" s="112"/>
      <c r="O45" s="110"/>
      <c r="P45" s="90"/>
    </row>
    <row r="46" spans="1:16" ht="22.5" thickBot="1" x14ac:dyDescent="0.65">
      <c r="A46" s="96"/>
      <c r="B46" s="187"/>
      <c r="C46" s="189"/>
      <c r="D46" s="190"/>
      <c r="E46" s="190">
        <f>SUM(E32:E44)</f>
        <v>342.00459999999998</v>
      </c>
      <c r="F46" s="190"/>
      <c r="G46" s="190"/>
      <c r="H46" s="190">
        <f>SUM(H32:H45)</f>
        <v>1159.7284</v>
      </c>
      <c r="I46" s="190">
        <f>'[10]REV. FACHADA'!D16</f>
        <v>576.54</v>
      </c>
      <c r="J46" s="190">
        <f>SUM(J32:J45)</f>
        <v>3030.8269999999993</v>
      </c>
      <c r="K46" s="190">
        <f t="shared" ref="K46:N46" si="6">SUM(K32:K44)</f>
        <v>2962.3405999999995</v>
      </c>
      <c r="L46" s="190">
        <f t="shared" si="6"/>
        <v>0</v>
      </c>
      <c r="M46" s="190">
        <f t="shared" si="6"/>
        <v>0</v>
      </c>
      <c r="N46" s="190">
        <f t="shared" si="6"/>
        <v>0</v>
      </c>
      <c r="O46" s="191" t="e">
        <f>N46/D46</f>
        <v>#DIV/0!</v>
      </c>
      <c r="P46" s="90"/>
    </row>
    <row r="47" spans="1:16" x14ac:dyDescent="0.6">
      <c r="A47" s="96"/>
      <c r="B47" s="97"/>
      <c r="C47" s="97"/>
      <c r="D47" s="97"/>
      <c r="E47" s="97"/>
      <c r="F47" s="98"/>
      <c r="G47" s="98"/>
      <c r="H47" s="98"/>
      <c r="I47" s="98"/>
      <c r="J47" s="98"/>
      <c r="K47" s="98"/>
      <c r="L47" s="98"/>
      <c r="M47" s="98"/>
      <c r="N47" s="99"/>
      <c r="O47" s="99"/>
      <c r="P47" s="90"/>
    </row>
    <row r="48" spans="1:16" x14ac:dyDescent="0.6">
      <c r="A48" s="96"/>
      <c r="B48" s="97"/>
      <c r="C48" s="97"/>
      <c r="D48" s="97"/>
      <c r="E48" s="97"/>
      <c r="F48" s="98"/>
      <c r="G48" s="98"/>
      <c r="H48" s="98"/>
      <c r="I48" s="98"/>
      <c r="J48" s="98"/>
      <c r="K48" s="98"/>
      <c r="L48" s="98"/>
      <c r="M48" s="98"/>
      <c r="N48" s="99"/>
      <c r="O48" s="99"/>
      <c r="P48" s="90"/>
    </row>
  </sheetData>
  <mergeCells count="67">
    <mergeCell ref="A4:P4"/>
    <mergeCell ref="A6:P6"/>
    <mergeCell ref="B11:B12"/>
    <mergeCell ref="I11:I12"/>
    <mergeCell ref="J11:J12"/>
    <mergeCell ref="K11:K12"/>
    <mergeCell ref="K13:K14"/>
    <mergeCell ref="B15:B16"/>
    <mergeCell ref="F15:F16"/>
    <mergeCell ref="G15:G16"/>
    <mergeCell ref="H15:H16"/>
    <mergeCell ref="I15:I16"/>
    <mergeCell ref="J15:J16"/>
    <mergeCell ref="K15:K16"/>
    <mergeCell ref="B13:B14"/>
    <mergeCell ref="F13:F14"/>
    <mergeCell ref="G13:G14"/>
    <mergeCell ref="H13:H14"/>
    <mergeCell ref="I13:I14"/>
    <mergeCell ref="J13:J14"/>
    <mergeCell ref="B17:B20"/>
    <mergeCell ref="I17:I20"/>
    <mergeCell ref="J17:J20"/>
    <mergeCell ref="K17:K20"/>
    <mergeCell ref="B21:B22"/>
    <mergeCell ref="F21:F22"/>
    <mergeCell ref="G21:G22"/>
    <mergeCell ref="H21:H22"/>
    <mergeCell ref="I21:I22"/>
    <mergeCell ref="J21:J22"/>
    <mergeCell ref="K32:K33"/>
    <mergeCell ref="L21:L22"/>
    <mergeCell ref="B23:B24"/>
    <mergeCell ref="F23:F24"/>
    <mergeCell ref="G23:G24"/>
    <mergeCell ref="H23:H24"/>
    <mergeCell ref="I23:I24"/>
    <mergeCell ref="J23:J24"/>
    <mergeCell ref="L23:L24"/>
    <mergeCell ref="B32:B33"/>
    <mergeCell ref="C32:C33"/>
    <mergeCell ref="D32:D33"/>
    <mergeCell ref="E32:E33"/>
    <mergeCell ref="J32:J33"/>
    <mergeCell ref="H34:H35"/>
    <mergeCell ref="I34:I35"/>
    <mergeCell ref="J34:J35"/>
    <mergeCell ref="K34:K35"/>
    <mergeCell ref="B36:B37"/>
    <mergeCell ref="C36:C37"/>
    <mergeCell ref="D36:D37"/>
    <mergeCell ref="E36:E37"/>
    <mergeCell ref="F36:F37"/>
    <mergeCell ref="G36:G37"/>
    <mergeCell ref="B34:B35"/>
    <mergeCell ref="C34:C35"/>
    <mergeCell ref="D34:D35"/>
    <mergeCell ref="E34:E35"/>
    <mergeCell ref="F34:F35"/>
    <mergeCell ref="G34:G35"/>
    <mergeCell ref="H36:H37"/>
    <mergeCell ref="I36:I37"/>
    <mergeCell ref="J36:J37"/>
    <mergeCell ref="K36:K37"/>
    <mergeCell ref="B38:B41"/>
    <mergeCell ref="J38:J41"/>
    <mergeCell ref="K38:K41"/>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BF4B-D527-469E-997F-C835BB677AFB}">
  <sheetPr>
    <pageSetUpPr fitToPage="1"/>
  </sheetPr>
  <dimension ref="A1:F32"/>
  <sheetViews>
    <sheetView view="pageBreakPreview" zoomScale="115" zoomScaleNormal="115" zoomScaleSheetLayoutView="115" workbookViewId="0">
      <selection activeCell="D19" sqref="D19"/>
    </sheetView>
  </sheetViews>
  <sheetFormatPr defaultRowHeight="21.75" x14ac:dyDescent="0.6"/>
  <cols>
    <col min="1" max="1" width="15.5703125" style="120" customWidth="1"/>
    <col min="2" max="2" width="26.140625" style="123" customWidth="1"/>
    <col min="3" max="3" width="10.7109375" style="123" bestFit="1" customWidth="1"/>
    <col min="4" max="4" width="12.7109375" style="695" customWidth="1"/>
    <col min="5" max="5" width="11.140625" style="696" customWidth="1"/>
    <col min="6" max="6" width="24" style="120" customWidth="1"/>
    <col min="7" max="8" width="9.28515625" bestFit="1" customWidth="1"/>
  </cols>
  <sheetData>
    <row r="1" spans="1:6" ht="18" customHeight="1" x14ac:dyDescent="0.6">
      <c r="A1" s="158" t="s">
        <v>397</v>
      </c>
      <c r="B1" s="157" t="s">
        <v>1405</v>
      </c>
      <c r="C1" s="652"/>
      <c r="D1" s="155"/>
      <c r="E1" s="653"/>
      <c r="F1" s="153"/>
    </row>
    <row r="2" spans="1:6" ht="18" customHeight="1" x14ac:dyDescent="0.6">
      <c r="A2" s="152" t="s">
        <v>398</v>
      </c>
      <c r="B2" s="151" t="s">
        <v>1406</v>
      </c>
      <c r="C2" s="654"/>
      <c r="D2" s="149"/>
      <c r="E2" s="655"/>
      <c r="F2" s="148"/>
    </row>
    <row r="3" spans="1:6" ht="18" customHeight="1" x14ac:dyDescent="0.6">
      <c r="A3" s="152" t="s">
        <v>399</v>
      </c>
      <c r="B3" s="151" t="s">
        <v>1407</v>
      </c>
      <c r="C3" s="654"/>
      <c r="D3" s="149"/>
      <c r="E3" s="655"/>
      <c r="F3" s="148"/>
    </row>
    <row r="4" spans="1:6" ht="25.15" customHeight="1" x14ac:dyDescent="0.25">
      <c r="A4" s="743" t="s">
        <v>1257</v>
      </c>
      <c r="B4" s="744"/>
      <c r="C4" s="744"/>
      <c r="D4" s="744"/>
      <c r="E4" s="744"/>
      <c r="F4" s="746"/>
    </row>
    <row r="5" spans="1:6" ht="14.45" customHeight="1" x14ac:dyDescent="0.6">
      <c r="A5" s="147"/>
      <c r="B5" s="146"/>
      <c r="C5" s="146"/>
      <c r="D5" s="656"/>
      <c r="E5" s="657"/>
      <c r="F5" s="143"/>
    </row>
    <row r="6" spans="1:6" ht="16.899999999999999" customHeight="1" x14ac:dyDescent="0.25">
      <c r="A6" s="751" t="s">
        <v>1408</v>
      </c>
      <c r="B6" s="752"/>
      <c r="C6" s="752"/>
      <c r="D6" s="752"/>
      <c r="E6" s="752"/>
      <c r="F6" s="753"/>
    </row>
    <row r="7" spans="1:6" ht="14.45" customHeight="1" x14ac:dyDescent="0.6">
      <c r="A7" s="142"/>
      <c r="B7" s="141"/>
      <c r="C7" s="658"/>
      <c r="D7" s="140"/>
      <c r="E7" s="659"/>
      <c r="F7" s="139"/>
    </row>
    <row r="8" spans="1:6" x14ac:dyDescent="0.6">
      <c r="A8" s="660" t="s">
        <v>1409</v>
      </c>
      <c r="B8" s="661"/>
      <c r="C8" s="661"/>
      <c r="D8" s="662"/>
      <c r="E8" s="663"/>
      <c r="F8" s="664"/>
    </row>
    <row r="9" spans="1:6" ht="22.5" thickBot="1" x14ac:dyDescent="0.65">
      <c r="A9" s="665" t="s">
        <v>571</v>
      </c>
      <c r="B9" s="159"/>
      <c r="C9" s="159"/>
      <c r="D9" s="666"/>
      <c r="E9" s="667"/>
      <c r="F9" s="139"/>
    </row>
    <row r="10" spans="1:6" x14ac:dyDescent="0.6">
      <c r="A10" s="665"/>
      <c r="B10" s="668" t="s">
        <v>1410</v>
      </c>
      <c r="C10" s="669" t="s">
        <v>2</v>
      </c>
      <c r="D10" s="670" t="s">
        <v>440</v>
      </c>
      <c r="E10" s="667"/>
      <c r="F10" s="139"/>
    </row>
    <row r="11" spans="1:6" x14ac:dyDescent="0.6">
      <c r="A11" s="665"/>
      <c r="B11" s="671" t="s">
        <v>1411</v>
      </c>
      <c r="C11" s="672" t="s">
        <v>46</v>
      </c>
      <c r="D11" s="673">
        <f>1.1+1.1+0.7+0.7</f>
        <v>3.6000000000000005</v>
      </c>
      <c r="E11" s="667"/>
      <c r="F11" s="139"/>
    </row>
    <row r="12" spans="1:6" x14ac:dyDescent="0.6">
      <c r="A12" s="665"/>
      <c r="B12" s="674" t="s">
        <v>1412</v>
      </c>
      <c r="C12" s="675" t="s">
        <v>46</v>
      </c>
      <c r="D12" s="676">
        <v>1.2</v>
      </c>
      <c r="E12" s="667"/>
      <c r="F12" s="139"/>
    </row>
    <row r="13" spans="1:6" x14ac:dyDescent="0.6">
      <c r="A13" s="665"/>
      <c r="B13" s="674" t="s">
        <v>1413</v>
      </c>
      <c r="C13" s="675" t="s">
        <v>1414</v>
      </c>
      <c r="D13" s="676">
        <f>(1.1*0.7)</f>
        <v>0.77</v>
      </c>
      <c r="E13" s="667"/>
      <c r="F13" s="139"/>
    </row>
    <row r="14" spans="1:6" x14ac:dyDescent="0.6">
      <c r="A14" s="665"/>
      <c r="B14" s="674" t="s">
        <v>1415</v>
      </c>
      <c r="C14" s="675" t="s">
        <v>1414</v>
      </c>
      <c r="D14" s="676">
        <f>(0.6*0.6)</f>
        <v>0.36</v>
      </c>
      <c r="E14" s="667"/>
      <c r="F14" s="139"/>
    </row>
    <row r="15" spans="1:6" ht="22.5" thickBot="1" x14ac:dyDescent="0.65">
      <c r="A15" s="665"/>
      <c r="B15" s="677" t="s">
        <v>1416</v>
      </c>
      <c r="C15" s="678" t="s">
        <v>1414</v>
      </c>
      <c r="D15" s="679">
        <f>D11*D12+D13-D14</f>
        <v>4.7299999999999995</v>
      </c>
      <c r="E15" s="667"/>
      <c r="F15" s="139"/>
    </row>
    <row r="16" spans="1:6" x14ac:dyDescent="0.6">
      <c r="A16" s="680"/>
      <c r="B16" s="668" t="s">
        <v>1417</v>
      </c>
      <c r="C16" s="669" t="s">
        <v>2</v>
      </c>
      <c r="D16" s="670" t="s">
        <v>440</v>
      </c>
      <c r="E16" s="667"/>
      <c r="F16" s="134"/>
    </row>
    <row r="17" spans="1:6" x14ac:dyDescent="0.6">
      <c r="A17" s="680"/>
      <c r="B17" s="671" t="s">
        <v>1411</v>
      </c>
      <c r="C17" s="672" t="s">
        <v>46</v>
      </c>
      <c r="D17" s="673">
        <f>((0.6+0.7)*2)</f>
        <v>2.5999999999999996</v>
      </c>
      <c r="E17" s="667"/>
      <c r="F17" s="134"/>
    </row>
    <row r="18" spans="1:6" x14ac:dyDescent="0.6">
      <c r="A18" s="680"/>
      <c r="B18" s="674" t="s">
        <v>1412</v>
      </c>
      <c r="C18" s="675" t="s">
        <v>46</v>
      </c>
      <c r="D18" s="676">
        <v>1.2</v>
      </c>
      <c r="E18" s="667"/>
      <c r="F18" s="134"/>
    </row>
    <row r="19" spans="1:6" x14ac:dyDescent="0.6">
      <c r="A19" s="680"/>
      <c r="B19" s="674" t="s">
        <v>1413</v>
      </c>
      <c r="C19" s="675" t="s">
        <v>1414</v>
      </c>
      <c r="D19" s="676">
        <f>(0.6*0.7)</f>
        <v>0.42</v>
      </c>
      <c r="E19" s="667"/>
      <c r="F19" s="134"/>
    </row>
    <row r="20" spans="1:6" x14ac:dyDescent="0.6">
      <c r="A20" s="680"/>
      <c r="B20" s="674" t="s">
        <v>1415</v>
      </c>
      <c r="C20" s="675" t="s">
        <v>1414</v>
      </c>
      <c r="D20" s="676">
        <f>(0.6*0.6)</f>
        <v>0.36</v>
      </c>
      <c r="E20" s="667"/>
      <c r="F20" s="134"/>
    </row>
    <row r="21" spans="1:6" ht="22.5" thickBot="1" x14ac:dyDescent="0.65">
      <c r="A21" s="680"/>
      <c r="B21" s="677" t="s">
        <v>1416</v>
      </c>
      <c r="C21" s="678" t="s">
        <v>1414</v>
      </c>
      <c r="D21" s="679">
        <f>D17*D18+D19-D20</f>
        <v>3.1799999999999997</v>
      </c>
      <c r="E21" s="667"/>
      <c r="F21" s="134"/>
    </row>
    <row r="22" spans="1:6" x14ac:dyDescent="0.6">
      <c r="A22" s="127"/>
      <c r="B22" s="214"/>
      <c r="C22" s="214"/>
      <c r="D22" s="681"/>
      <c r="E22" s="682"/>
      <c r="F22" s="127"/>
    </row>
    <row r="23" spans="1:6" x14ac:dyDescent="0.6">
      <c r="A23" s="660" t="s">
        <v>1418</v>
      </c>
      <c r="B23" s="661"/>
      <c r="C23" s="661"/>
      <c r="D23" s="662"/>
      <c r="E23" s="663"/>
      <c r="F23" s="664"/>
    </row>
    <row r="24" spans="1:6" ht="22.5" thickBot="1" x14ac:dyDescent="0.65">
      <c r="A24" s="665" t="s">
        <v>571</v>
      </c>
      <c r="B24" s="159"/>
      <c r="C24" s="159"/>
      <c r="D24" s="666"/>
      <c r="E24" s="667"/>
      <c r="F24" s="139"/>
    </row>
    <row r="25" spans="1:6" ht="22.5" thickBot="1" x14ac:dyDescent="0.65">
      <c r="A25" s="665"/>
      <c r="B25" s="683" t="s">
        <v>1260</v>
      </c>
      <c r="C25" s="684" t="s">
        <v>440</v>
      </c>
      <c r="D25" s="685" t="s">
        <v>1419</v>
      </c>
      <c r="E25" s="667"/>
      <c r="F25" s="139"/>
    </row>
    <row r="26" spans="1:6" x14ac:dyDescent="0.6">
      <c r="A26" s="665"/>
      <c r="B26" s="686" t="s">
        <v>552</v>
      </c>
      <c r="C26" s="687">
        <v>2</v>
      </c>
      <c r="D26" s="688">
        <f>D15*C26</f>
        <v>9.4599999999999991</v>
      </c>
      <c r="E26" s="667"/>
      <c r="F26" s="689"/>
    </row>
    <row r="27" spans="1:6" ht="22.5" thickBot="1" x14ac:dyDescent="0.65">
      <c r="A27" s="680"/>
      <c r="B27" s="677" t="s">
        <v>1420</v>
      </c>
      <c r="C27" s="678">
        <f>6*15</f>
        <v>90</v>
      </c>
      <c r="D27" s="679">
        <f>C27*D21</f>
        <v>286.2</v>
      </c>
      <c r="E27" s="667"/>
      <c r="F27" s="134"/>
    </row>
    <row r="28" spans="1:6" ht="22.5" thickBot="1" x14ac:dyDescent="0.65">
      <c r="A28" s="127"/>
      <c r="B28" s="214"/>
      <c r="C28" s="690"/>
      <c r="D28" s="681"/>
      <c r="E28" s="682"/>
      <c r="F28" s="127"/>
    </row>
    <row r="29" spans="1:6" x14ac:dyDescent="0.6">
      <c r="A29" s="127"/>
      <c r="B29" s="683" t="s">
        <v>1260</v>
      </c>
      <c r="C29" s="684" t="s">
        <v>1421</v>
      </c>
      <c r="D29" s="685" t="s">
        <v>1419</v>
      </c>
      <c r="E29" s="682"/>
      <c r="F29" s="127"/>
    </row>
    <row r="30" spans="1:6" x14ac:dyDescent="0.6">
      <c r="A30" s="127"/>
      <c r="B30" s="691" t="s">
        <v>552</v>
      </c>
      <c r="C30" s="692" t="s">
        <v>1422</v>
      </c>
      <c r="D30" s="676">
        <f>D26</f>
        <v>9.4599999999999991</v>
      </c>
      <c r="E30" s="682"/>
      <c r="F30" s="127"/>
    </row>
    <row r="31" spans="1:6" ht="22.5" thickBot="1" x14ac:dyDescent="0.65">
      <c r="A31" s="127"/>
      <c r="B31" s="693" t="s">
        <v>1420</v>
      </c>
      <c r="C31" s="694" t="s">
        <v>1422</v>
      </c>
      <c r="D31" s="679">
        <f>D27</f>
        <v>286.2</v>
      </c>
      <c r="E31" s="682"/>
      <c r="F31" s="127"/>
    </row>
    <row r="32" spans="1:6" x14ac:dyDescent="0.6">
      <c r="A32" s="127"/>
      <c r="B32" s="214"/>
      <c r="C32" s="214"/>
      <c r="D32" s="681"/>
      <c r="E32" s="682"/>
      <c r="F32" s="127"/>
    </row>
  </sheetData>
  <mergeCells count="2">
    <mergeCell ref="A4:F4"/>
    <mergeCell ref="A6:F6"/>
  </mergeCells>
  <pageMargins left="0.51181102362204722" right="0.51181102362204722" top="0.78740157480314965" bottom="0.78740157480314965" header="0.31496062992125984" footer="0.31496062992125984"/>
  <pageSetup paperSize="9" scale="92"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31FDC-E265-4DA1-92C0-CBD978D3BFC7}">
  <dimension ref="A1:Q106"/>
  <sheetViews>
    <sheetView zoomScale="80" zoomScaleNormal="80" workbookViewId="0"/>
  </sheetViews>
  <sheetFormatPr defaultColWidth="9.140625" defaultRowHeight="15" x14ac:dyDescent="0.25"/>
  <cols>
    <col min="1" max="1" width="4.85546875" style="128" customWidth="1"/>
    <col min="2" max="2" width="17" style="128" customWidth="1"/>
    <col min="3" max="3" width="4.42578125" style="128" customWidth="1"/>
    <col min="4" max="4" width="13" style="128" customWidth="1"/>
    <col min="5" max="14" width="12.42578125" style="128" customWidth="1"/>
    <col min="15" max="16384" width="9.140625" style="128"/>
  </cols>
  <sheetData>
    <row r="1" spans="1:14" x14ac:dyDescent="0.25">
      <c r="B1" s="838" t="s">
        <v>558</v>
      </c>
      <c r="C1" s="839"/>
      <c r="D1" s="839"/>
      <c r="E1" s="839"/>
      <c r="F1" s="839"/>
      <c r="G1" s="839"/>
      <c r="H1" s="839"/>
      <c r="I1" s="839"/>
      <c r="J1" s="839"/>
      <c r="K1" s="839"/>
      <c r="L1" s="839"/>
      <c r="M1" s="839"/>
      <c r="N1" s="840"/>
    </row>
    <row r="2" spans="1:14" x14ac:dyDescent="0.25">
      <c r="B2" s="841"/>
      <c r="C2" s="842"/>
      <c r="D2" s="842"/>
      <c r="E2" s="842"/>
      <c r="F2" s="842"/>
      <c r="G2" s="842"/>
      <c r="H2" s="842"/>
      <c r="I2" s="842"/>
      <c r="J2" s="842"/>
      <c r="K2" s="842"/>
      <c r="L2" s="842"/>
      <c r="M2" s="842"/>
      <c r="N2" s="843"/>
    </row>
    <row r="3" spans="1:14" ht="15.75" thickBot="1" x14ac:dyDescent="0.3">
      <c r="B3" s="844"/>
      <c r="C3" s="845"/>
      <c r="D3" s="845"/>
      <c r="E3" s="845"/>
      <c r="F3" s="845"/>
      <c r="G3" s="845"/>
      <c r="H3" s="845"/>
      <c r="I3" s="845"/>
      <c r="J3" s="845"/>
      <c r="K3" s="845"/>
      <c r="L3" s="845"/>
      <c r="M3" s="845"/>
      <c r="N3" s="846"/>
    </row>
    <row r="5" spans="1:14" x14ac:dyDescent="0.25">
      <c r="E5" s="252">
        <v>1</v>
      </c>
      <c r="F5" s="252">
        <v>3</v>
      </c>
      <c r="G5" s="252">
        <v>1</v>
      </c>
      <c r="H5" s="252">
        <v>15</v>
      </c>
      <c r="I5" s="252">
        <v>1</v>
      </c>
    </row>
    <row r="6" spans="1:14" ht="15.75" thickBot="1" x14ac:dyDescent="0.3">
      <c r="B6" s="253" t="s">
        <v>559</v>
      </c>
      <c r="C6" s="254"/>
      <c r="D6" s="255" t="s">
        <v>226</v>
      </c>
      <c r="E6" s="256" t="s">
        <v>548</v>
      </c>
      <c r="F6" s="256" t="s">
        <v>560</v>
      </c>
      <c r="G6" s="256" t="s">
        <v>552</v>
      </c>
      <c r="H6" s="256" t="s">
        <v>561</v>
      </c>
      <c r="I6" s="256" t="s">
        <v>562</v>
      </c>
    </row>
    <row r="7" spans="1:14" x14ac:dyDescent="0.25">
      <c r="B7" s="257" t="s">
        <v>563</v>
      </c>
      <c r="C7" s="258" t="s">
        <v>46</v>
      </c>
      <c r="D7" s="259"/>
      <c r="E7" s="259">
        <v>0.4</v>
      </c>
      <c r="F7" s="259">
        <v>0.4</v>
      </c>
      <c r="G7" s="259">
        <v>0.4</v>
      </c>
      <c r="H7" s="259">
        <v>0.4</v>
      </c>
      <c r="I7" s="259">
        <v>0.4</v>
      </c>
    </row>
    <row r="8" spans="1:14" ht="30" x14ac:dyDescent="0.25">
      <c r="B8" s="260" t="s">
        <v>564</v>
      </c>
      <c r="C8" s="261" t="s">
        <v>46</v>
      </c>
      <c r="D8" s="262">
        <f>SUMPRODUCT(E8:I8,E5:I5)</f>
        <v>276.57999999999993</v>
      </c>
      <c r="E8" s="262"/>
      <c r="F8" s="262"/>
      <c r="G8" s="262">
        <f>3.15+3.88</f>
        <v>7.0299999999999994</v>
      </c>
      <c r="H8" s="262">
        <f>2.67+3+3+3+3.15+3.15</f>
        <v>17.97</v>
      </c>
      <c r="I8" s="262">
        <v>0</v>
      </c>
    </row>
    <row r="9" spans="1:14" x14ac:dyDescent="0.25">
      <c r="B9" s="263" t="s">
        <v>565</v>
      </c>
      <c r="C9" s="264" t="s">
        <v>41</v>
      </c>
      <c r="D9" s="265">
        <f>SUMPRODUCT(E9:I9,E5:I5)</f>
        <v>110.63199999999999</v>
      </c>
      <c r="E9" s="265">
        <f>E8*E7</f>
        <v>0</v>
      </c>
      <c r="F9" s="265">
        <f t="shared" ref="F9:I9" si="0">F8*F7</f>
        <v>0</v>
      </c>
      <c r="G9" s="265">
        <f t="shared" si="0"/>
        <v>2.8119999999999998</v>
      </c>
      <c r="H9" s="265">
        <f t="shared" si="0"/>
        <v>7.1879999999999997</v>
      </c>
      <c r="I9" s="265">
        <f t="shared" si="0"/>
        <v>0</v>
      </c>
    </row>
    <row r="10" spans="1:14" ht="15.75" thickBot="1" x14ac:dyDescent="0.3">
      <c r="B10" s="266" t="s">
        <v>566</v>
      </c>
      <c r="C10" s="267" t="s">
        <v>41</v>
      </c>
      <c r="D10" s="268">
        <f>SUMPRODUCT(E10:I10,E5:I5)</f>
        <v>276.57999999999993</v>
      </c>
      <c r="E10" s="269">
        <f>1*E8</f>
        <v>0</v>
      </c>
      <c r="F10" s="269">
        <f t="shared" ref="F10:I10" si="1">1*F8</f>
        <v>0</v>
      </c>
      <c r="G10" s="269">
        <f>1*G8</f>
        <v>7.0299999999999994</v>
      </c>
      <c r="H10" s="269">
        <f t="shared" si="1"/>
        <v>17.97</v>
      </c>
      <c r="I10" s="269">
        <f t="shared" si="1"/>
        <v>0</v>
      </c>
    </row>
    <row r="11" spans="1:14" x14ac:dyDescent="0.25">
      <c r="B11" s="270" t="s">
        <v>567</v>
      </c>
      <c r="C11" s="271"/>
      <c r="D11" s="271"/>
      <c r="E11" s="271"/>
      <c r="F11" s="271"/>
      <c r="G11" s="271"/>
      <c r="H11" s="272" t="s">
        <v>41</v>
      </c>
      <c r="I11" s="273">
        <f>SUM(D9:D10)</f>
        <v>387.21199999999993</v>
      </c>
    </row>
    <row r="12" spans="1:14" x14ac:dyDescent="0.25">
      <c r="B12" s="128" t="s">
        <v>568</v>
      </c>
    </row>
    <row r="13" spans="1:14" x14ac:dyDescent="0.25">
      <c r="E13" s="252">
        <v>1</v>
      </c>
      <c r="F13" s="252">
        <v>3</v>
      </c>
      <c r="G13" s="252">
        <v>1</v>
      </c>
      <c r="H13" s="252">
        <v>15</v>
      </c>
      <c r="I13" s="252">
        <v>1</v>
      </c>
    </row>
    <row r="14" spans="1:14" ht="15.75" thickBot="1" x14ac:dyDescent="0.3">
      <c r="B14" s="274" t="s">
        <v>569</v>
      </c>
      <c r="C14" s="275"/>
      <c r="D14" s="276" t="s">
        <v>226</v>
      </c>
      <c r="E14" s="256" t="s">
        <v>548</v>
      </c>
      <c r="F14" s="256" t="s">
        <v>560</v>
      </c>
      <c r="G14" s="256" t="str">
        <f>G6</f>
        <v>LAZER</v>
      </c>
      <c r="H14" s="256" t="str">
        <f t="shared" ref="H14:I14" si="2">H6</f>
        <v>tipo (x15)</v>
      </c>
      <c r="I14" s="256" t="str">
        <f t="shared" si="2"/>
        <v>TELHADO</v>
      </c>
    </row>
    <row r="15" spans="1:14" ht="14.45" customHeight="1" x14ac:dyDescent="0.25">
      <c r="A15" s="847" t="s">
        <v>570</v>
      </c>
      <c r="B15" s="257" t="s">
        <v>563</v>
      </c>
      <c r="C15" s="258" t="s">
        <v>46</v>
      </c>
      <c r="D15" s="259"/>
      <c r="E15" s="259">
        <v>1.5</v>
      </c>
      <c r="F15" s="259">
        <v>1.5</v>
      </c>
      <c r="G15" s="259">
        <v>1.5</v>
      </c>
      <c r="H15" s="259">
        <v>1.5</v>
      </c>
      <c r="I15" s="259">
        <v>1.5</v>
      </c>
    </row>
    <row r="16" spans="1:14" ht="30" x14ac:dyDescent="0.25">
      <c r="A16" s="848"/>
      <c r="B16" s="260" t="s">
        <v>564</v>
      </c>
      <c r="C16" s="261" t="s">
        <v>46</v>
      </c>
      <c r="D16" s="262">
        <f>SUMPRODUCT(E16:I16,E13:I13)</f>
        <v>399.14000000000004</v>
      </c>
      <c r="E16" s="262">
        <v>0</v>
      </c>
      <c r="F16" s="262"/>
      <c r="G16" s="262">
        <f>(1.3*1)+(0.9*2)+1.57+ 1.36+1.36+2.35</f>
        <v>9.74</v>
      </c>
      <c r="H16" s="262">
        <f>(((1.2)+(1.18*2))*2)+((1.2)+(0.88*2)*6)+((1.1)+0.88)+1.08+0.92+((0.95*2)+1.2)</f>
        <v>25.96</v>
      </c>
      <c r="I16" s="262"/>
      <c r="J16" s="128" t="s">
        <v>571</v>
      </c>
    </row>
    <row r="17" spans="1:17" x14ac:dyDescent="0.25">
      <c r="A17" s="848"/>
      <c r="B17" s="263" t="s">
        <v>565</v>
      </c>
      <c r="C17" s="264" t="s">
        <v>41</v>
      </c>
      <c r="D17" s="277">
        <f>SUMPRODUCT(E17:I17,E13:I13)</f>
        <v>598.70999999999992</v>
      </c>
      <c r="E17" s="277">
        <f>E16*E15</f>
        <v>0</v>
      </c>
      <c r="F17" s="277">
        <f t="shared" ref="F17:G17" si="3">F16*F15</f>
        <v>0</v>
      </c>
      <c r="G17" s="277">
        <f t="shared" si="3"/>
        <v>14.61</v>
      </c>
      <c r="H17" s="277">
        <f>H16*H15</f>
        <v>38.94</v>
      </c>
      <c r="I17" s="277">
        <f>I16*I15</f>
        <v>0</v>
      </c>
    </row>
    <row r="18" spans="1:17" ht="15.75" thickBot="1" x14ac:dyDescent="0.3">
      <c r="A18" s="849"/>
      <c r="B18" s="278" t="s">
        <v>566</v>
      </c>
      <c r="C18" s="279" t="s">
        <v>41</v>
      </c>
      <c r="D18" s="280">
        <f>SUMPRODUCT(E18:I18,E13:I13)</f>
        <v>188.23400000000004</v>
      </c>
      <c r="E18" s="269"/>
      <c r="F18" s="269"/>
      <c r="G18" s="269">
        <f>1.14+3.05</f>
        <v>4.1899999999999995</v>
      </c>
      <c r="H18" s="269">
        <f>(1.2*1.18)+((1.2*0.88)*6)+(1.1*0.88)+(0.95*1.2)+(1.08*0.92)+(1.18*1.2)</f>
        <v>12.269600000000002</v>
      </c>
      <c r="I18" s="269"/>
    </row>
    <row r="19" spans="1:17" ht="14.45" customHeight="1" x14ac:dyDescent="0.25">
      <c r="A19" s="850" t="s">
        <v>572</v>
      </c>
      <c r="B19" s="257" t="s">
        <v>563</v>
      </c>
      <c r="C19" s="258" t="s">
        <v>46</v>
      </c>
      <c r="D19" s="259"/>
      <c r="E19" s="281">
        <v>0.4</v>
      </c>
      <c r="F19" s="281">
        <v>0.4</v>
      </c>
      <c r="G19" s="281">
        <v>0.4</v>
      </c>
      <c r="H19" s="281">
        <v>0.4</v>
      </c>
      <c r="I19" s="281">
        <v>0.4</v>
      </c>
    </row>
    <row r="20" spans="1:17" ht="30" x14ac:dyDescent="0.25">
      <c r="A20" s="848"/>
      <c r="B20" s="260" t="s">
        <v>564</v>
      </c>
      <c r="C20" s="261" t="s">
        <v>46</v>
      </c>
      <c r="D20" s="262">
        <f>SUMPRODUCT(E20:I20,E13:I13)</f>
        <v>554.1</v>
      </c>
      <c r="E20" s="262">
        <v>0</v>
      </c>
      <c r="F20" s="262"/>
      <c r="G20" s="262">
        <f>(1.3*1)+(1.45*2)</f>
        <v>4.2</v>
      </c>
      <c r="H20" s="262">
        <f>1.95+1.95+1.2+1.6+1.6+1.2+0.8+1.7+1.96+0.75+1.6+1.6+1.2+1.58+1.58+1.2+1.58+1.58+1.58+1.58+1.2+1.2+1.6+1.6+1.2+0.78+1.91+0.94+0.82+1.6+1.6+1.2+1.94+1.94+1.2-13.86</f>
        <v>36.659999999999997</v>
      </c>
      <c r="I20" s="262"/>
    </row>
    <row r="21" spans="1:17" x14ac:dyDescent="0.25">
      <c r="A21" s="848"/>
      <c r="B21" s="263" t="s">
        <v>565</v>
      </c>
      <c r="C21" s="264" t="s">
        <v>41</v>
      </c>
      <c r="D21" s="277">
        <f>SUMPRODUCT(E21:I21,E13:I13)</f>
        <v>221.64000000000001</v>
      </c>
      <c r="E21" s="277">
        <f>E20*E19</f>
        <v>0</v>
      </c>
      <c r="F21" s="277">
        <f t="shared" ref="F21:I21" si="4">F20*F19</f>
        <v>0</v>
      </c>
      <c r="G21" s="277">
        <f t="shared" si="4"/>
        <v>1.6800000000000002</v>
      </c>
      <c r="H21" s="277">
        <f t="shared" si="4"/>
        <v>14.664</v>
      </c>
      <c r="I21" s="277">
        <f t="shared" si="4"/>
        <v>0</v>
      </c>
    </row>
    <row r="22" spans="1:17" ht="15.75" thickBot="1" x14ac:dyDescent="0.3">
      <c r="A22" s="849"/>
      <c r="B22" s="278" t="s">
        <v>566</v>
      </c>
      <c r="C22" s="279" t="s">
        <v>41</v>
      </c>
      <c r="D22" s="280">
        <f>SUMPRODUCT(E22:I22,E13:I13)</f>
        <v>573.9899999999999</v>
      </c>
      <c r="E22" s="269">
        <v>0</v>
      </c>
      <c r="F22" s="269"/>
      <c r="G22" s="269">
        <f>1.89</f>
        <v>1.89</v>
      </c>
      <c r="H22" s="269">
        <f>3.78+3+3.23+3.06+3+3+3+3+3.78+3.06+3+3.23-I18</f>
        <v>38.139999999999993</v>
      </c>
      <c r="I22" s="269"/>
    </row>
    <row r="23" spans="1:17" x14ac:dyDescent="0.25">
      <c r="B23" s="282" t="s">
        <v>573</v>
      </c>
      <c r="C23" s="283"/>
      <c r="D23" s="283"/>
      <c r="E23" s="283"/>
      <c r="F23" s="283"/>
      <c r="G23" s="283"/>
      <c r="H23" s="284" t="s">
        <v>41</v>
      </c>
      <c r="I23" s="285">
        <f>SUM(D17:D18)</f>
        <v>786.94399999999996</v>
      </c>
    </row>
    <row r="24" spans="1:17" x14ac:dyDescent="0.25">
      <c r="B24" s="286" t="s">
        <v>574</v>
      </c>
      <c r="C24" s="287"/>
      <c r="D24" s="287"/>
      <c r="E24" s="287"/>
      <c r="F24" s="287"/>
      <c r="G24" s="287"/>
      <c r="H24" s="288" t="s">
        <v>41</v>
      </c>
      <c r="I24" s="289">
        <f>SUM(D21:D22)</f>
        <v>795.62999999999988</v>
      </c>
      <c r="K24" s="290">
        <f>SUM(I24,I23,I33,I11,I50)</f>
        <v>2866.2759999999998</v>
      </c>
    </row>
    <row r="25" spans="1:17" x14ac:dyDescent="0.25">
      <c r="B25" s="128" t="s">
        <v>575</v>
      </c>
    </row>
    <row r="26" spans="1:17" x14ac:dyDescent="0.25">
      <c r="B26" s="128" t="s">
        <v>576</v>
      </c>
    </row>
    <row r="27" spans="1:17" x14ac:dyDescent="0.25">
      <c r="E27" s="252">
        <v>1</v>
      </c>
      <c r="F27" s="252">
        <v>3</v>
      </c>
      <c r="G27" s="252">
        <v>1</v>
      </c>
      <c r="H27" s="252">
        <v>15</v>
      </c>
      <c r="I27" s="252">
        <v>1</v>
      </c>
    </row>
    <row r="28" spans="1:17" ht="15.75" thickBot="1" x14ac:dyDescent="0.3">
      <c r="B28" s="291" t="s">
        <v>577</v>
      </c>
      <c r="C28" s="292"/>
      <c r="D28" s="293" t="s">
        <v>226</v>
      </c>
      <c r="E28" s="256" t="s">
        <v>548</v>
      </c>
      <c r="F28" s="256" t="s">
        <v>560</v>
      </c>
      <c r="G28" s="256" t="str">
        <f>G6</f>
        <v>LAZER</v>
      </c>
      <c r="H28" s="256" t="str">
        <f t="shared" ref="H28:I28" si="5">H6</f>
        <v>tipo (x15)</v>
      </c>
      <c r="I28" s="256" t="str">
        <f t="shared" si="5"/>
        <v>TELHADO</v>
      </c>
    </row>
    <row r="29" spans="1:17" x14ac:dyDescent="0.25">
      <c r="B29" s="257" t="s">
        <v>563</v>
      </c>
      <c r="C29" s="258" t="s">
        <v>46</v>
      </c>
      <c r="D29" s="259"/>
      <c r="E29" s="259">
        <v>0.4</v>
      </c>
      <c r="F29" s="259">
        <v>0.4</v>
      </c>
      <c r="G29" s="259">
        <v>0.4</v>
      </c>
      <c r="H29" s="259">
        <v>0.4</v>
      </c>
      <c r="I29" s="259">
        <v>0.4</v>
      </c>
    </row>
    <row r="30" spans="1:17" ht="30" x14ac:dyDescent="0.25">
      <c r="B30" s="260" t="s">
        <v>564</v>
      </c>
      <c r="C30" s="261" t="s">
        <v>46</v>
      </c>
      <c r="D30" s="262">
        <f>SUMPRODUCT(E30:I30,E27:I27)</f>
        <v>388.35</v>
      </c>
      <c r="E30" s="262"/>
      <c r="F30" s="262"/>
      <c r="G30" s="262"/>
      <c r="H30" s="262">
        <f>0.57+0.2+2.52+2.1+2.1+0.2+2.65+1.94+0.76+2.65+1.94+0.76+2.1+2.1+0.15+2.4+0.75</f>
        <v>25.89</v>
      </c>
      <c r="I30" s="262">
        <v>0</v>
      </c>
      <c r="K30" s="294"/>
      <c r="L30" s="294"/>
      <c r="M30" s="294"/>
      <c r="N30" s="294"/>
      <c r="O30" s="294"/>
      <c r="P30" s="294"/>
      <c r="Q30" s="294"/>
    </row>
    <row r="31" spans="1:17" x14ac:dyDescent="0.25">
      <c r="B31" s="263" t="s">
        <v>565</v>
      </c>
      <c r="C31" s="264" t="s">
        <v>41</v>
      </c>
      <c r="D31" s="295">
        <f>SUMPRODUCT(E31:I31,E27:I27)</f>
        <v>155.34000000000003</v>
      </c>
      <c r="E31" s="295">
        <f>E30*E29</f>
        <v>0</v>
      </c>
      <c r="F31" s="295">
        <f t="shared" ref="F31:I31" si="6">F30*F29</f>
        <v>0</v>
      </c>
      <c r="G31" s="295">
        <f t="shared" si="6"/>
        <v>0</v>
      </c>
      <c r="H31" s="295">
        <f t="shared" si="6"/>
        <v>10.356000000000002</v>
      </c>
      <c r="I31" s="295">
        <f t="shared" si="6"/>
        <v>0</v>
      </c>
    </row>
    <row r="32" spans="1:17" ht="15.75" thickBot="1" x14ac:dyDescent="0.3">
      <c r="B32" s="278" t="s">
        <v>566</v>
      </c>
      <c r="C32" s="279" t="s">
        <v>41</v>
      </c>
      <c r="D32" s="296">
        <f>SUMPRODUCT(E32:I32,E27:I27)</f>
        <v>489</v>
      </c>
      <c r="E32" s="269"/>
      <c r="F32" s="269"/>
      <c r="G32" s="269"/>
      <c r="H32" s="269">
        <f>6.05+5.65+4.6+4.6+6.05+5.65</f>
        <v>32.6</v>
      </c>
      <c r="I32" s="269">
        <v>0</v>
      </c>
    </row>
    <row r="33" spans="2:12" x14ac:dyDescent="0.25">
      <c r="B33" s="297" t="s">
        <v>578</v>
      </c>
      <c r="C33" s="298"/>
      <c r="D33" s="298"/>
      <c r="E33" s="298"/>
      <c r="F33" s="298"/>
      <c r="G33" s="298"/>
      <c r="H33" s="299" t="s">
        <v>41</v>
      </c>
      <c r="I33" s="300">
        <f>SUM(D31:D32)</f>
        <v>644.34</v>
      </c>
    </row>
    <row r="35" spans="2:12" x14ac:dyDescent="0.25">
      <c r="E35" s="252">
        <v>1</v>
      </c>
      <c r="F35" s="252">
        <v>3</v>
      </c>
      <c r="G35" s="252">
        <v>1</v>
      </c>
      <c r="H35" s="252">
        <v>15</v>
      </c>
      <c r="I35" s="252">
        <v>1</v>
      </c>
    </row>
    <row r="36" spans="2:12" ht="15.75" thickBot="1" x14ac:dyDescent="0.3">
      <c r="B36" s="301" t="s">
        <v>579</v>
      </c>
      <c r="C36" s="302"/>
      <c r="D36" s="303" t="s">
        <v>226</v>
      </c>
      <c r="E36" s="304" t="s">
        <v>548</v>
      </c>
      <c r="F36" s="304" t="s">
        <v>560</v>
      </c>
      <c r="G36" s="304" t="str">
        <f>G6</f>
        <v>LAZER</v>
      </c>
      <c r="H36" s="304" t="str">
        <f t="shared" ref="H36:I36" si="7">H6</f>
        <v>tipo (x15)</v>
      </c>
      <c r="I36" s="304" t="str">
        <f t="shared" si="7"/>
        <v>TELHADO</v>
      </c>
      <c r="K36" s="290">
        <f>I41</f>
        <v>888.87400000000002</v>
      </c>
    </row>
    <row r="37" spans="2:12" x14ac:dyDescent="0.25">
      <c r="B37" s="305" t="s">
        <v>563</v>
      </c>
      <c r="C37" s="306" t="s">
        <v>46</v>
      </c>
      <c r="D37" s="307"/>
      <c r="E37" s="307">
        <v>0.4</v>
      </c>
      <c r="F37" s="307">
        <v>0.4</v>
      </c>
      <c r="G37" s="307">
        <v>0.4</v>
      </c>
      <c r="H37" s="307">
        <v>0.4</v>
      </c>
      <c r="I37" s="307">
        <v>0.4</v>
      </c>
    </row>
    <row r="38" spans="2:12" ht="30" x14ac:dyDescent="0.25">
      <c r="B38" s="260" t="s">
        <v>564</v>
      </c>
      <c r="C38" s="306" t="s">
        <v>46</v>
      </c>
      <c r="D38" s="307">
        <f>SUMPRODUCT(E38:I38,E35:I35)</f>
        <v>343.65999999999997</v>
      </c>
      <c r="E38" s="307"/>
      <c r="F38" s="307"/>
      <c r="G38" s="307">
        <f>11.05+4.45+0.3+2.95+0.5+3.95+3.95+1+1.6+4.45+10+2.9+4.4+6.5+5.35+5.35+9.3+5.35+2+2.2+0.15+22.6+5.38+ 1.45+2.4+2.7+0.7+3.1+ 0.65+ 2.8+ 2.25+0.7+2.45+1.2+ 21</f>
        <v>157.07999999999998</v>
      </c>
      <c r="H38" s="307"/>
      <c r="I38" s="307">
        <f>27.3+17.03+99.39+28.86+14</f>
        <v>186.57999999999998</v>
      </c>
    </row>
    <row r="39" spans="2:12" x14ac:dyDescent="0.25">
      <c r="B39" s="308" t="s">
        <v>565</v>
      </c>
      <c r="C39" s="309" t="s">
        <v>41</v>
      </c>
      <c r="D39" s="310">
        <f>SUMPRODUCT(E39:I39,E35:I35)</f>
        <v>137.464</v>
      </c>
      <c r="E39" s="310">
        <f>E38*E37</f>
        <v>0</v>
      </c>
      <c r="F39" s="310"/>
      <c r="G39" s="310">
        <f t="shared" ref="G39:I39" si="8">G38*G37</f>
        <v>62.831999999999994</v>
      </c>
      <c r="H39" s="310">
        <f t="shared" si="8"/>
        <v>0</v>
      </c>
      <c r="I39" s="310">
        <f t="shared" si="8"/>
        <v>74.631999999999991</v>
      </c>
      <c r="K39" s="128" t="s">
        <v>1373</v>
      </c>
      <c r="L39" s="128" t="s">
        <v>1374</v>
      </c>
    </row>
    <row r="40" spans="2:12" x14ac:dyDescent="0.25">
      <c r="B40" s="311" t="s">
        <v>566</v>
      </c>
      <c r="C40" s="312" t="s">
        <v>41</v>
      </c>
      <c r="D40" s="310">
        <f>SUMPRODUCT(E40:I40,E35:I35)</f>
        <v>751.41</v>
      </c>
      <c r="E40" s="307"/>
      <c r="F40" s="307"/>
      <c r="G40" s="307">
        <f>23.8+31.3+49.75+59.65+134</f>
        <v>298.5</v>
      </c>
      <c r="H40" s="307"/>
      <c r="I40" s="307">
        <f>26.14+15.77+(468.22-51.1-6.12)</f>
        <v>452.90999999999997</v>
      </c>
      <c r="K40" s="128">
        <v>51.1</v>
      </c>
      <c r="L40" s="128">
        <v>28.86</v>
      </c>
    </row>
    <row r="41" spans="2:12" x14ac:dyDescent="0.25">
      <c r="B41" s="301" t="s">
        <v>580</v>
      </c>
      <c r="C41" s="302"/>
      <c r="D41" s="302"/>
      <c r="E41" s="302"/>
      <c r="F41" s="302"/>
      <c r="G41" s="302"/>
      <c r="H41" s="303" t="s">
        <v>41</v>
      </c>
      <c r="I41" s="313">
        <f>SUM(D39:D40)</f>
        <v>888.87400000000002</v>
      </c>
      <c r="K41" s="128">
        <v>468.22</v>
      </c>
      <c r="L41" s="128">
        <v>99.39</v>
      </c>
    </row>
    <row r="42" spans="2:12" x14ac:dyDescent="0.25">
      <c r="B42" s="128" t="s">
        <v>581</v>
      </c>
      <c r="K42" s="128">
        <f>2*3.06</f>
        <v>6.12</v>
      </c>
      <c r="L42" s="128">
        <f>2*7</f>
        <v>14</v>
      </c>
    </row>
    <row r="43" spans="2:12" x14ac:dyDescent="0.25">
      <c r="B43" s="128" t="s">
        <v>582</v>
      </c>
    </row>
    <row r="44" spans="2:12" x14ac:dyDescent="0.25">
      <c r="E44" s="252">
        <v>1</v>
      </c>
      <c r="F44" s="252">
        <v>3</v>
      </c>
      <c r="G44" s="252">
        <v>1</v>
      </c>
      <c r="H44" s="252">
        <v>15</v>
      </c>
      <c r="I44" s="252">
        <v>1</v>
      </c>
    </row>
    <row r="45" spans="2:12" ht="15.75" thickBot="1" x14ac:dyDescent="0.3">
      <c r="B45" s="314" t="s">
        <v>583</v>
      </c>
      <c r="C45" s="315"/>
      <c r="D45" s="316" t="s">
        <v>226</v>
      </c>
      <c r="E45" s="256" t="s">
        <v>548</v>
      </c>
      <c r="F45" s="256" t="s">
        <v>560</v>
      </c>
      <c r="G45" s="256" t="str">
        <f>G6</f>
        <v>LAZER</v>
      </c>
      <c r="H45" s="256" t="str">
        <f t="shared" ref="H45:I45" si="9">H6</f>
        <v>tipo (x15)</v>
      </c>
      <c r="I45" s="256" t="str">
        <f t="shared" si="9"/>
        <v>TELHADO</v>
      </c>
    </row>
    <row r="46" spans="2:12" ht="15.75" thickBot="1" x14ac:dyDescent="0.3">
      <c r="B46" s="257" t="s">
        <v>563</v>
      </c>
      <c r="C46" s="258" t="s">
        <v>46</v>
      </c>
      <c r="D46" s="259"/>
      <c r="E46" s="259"/>
      <c r="F46" s="259">
        <v>0.5</v>
      </c>
      <c r="G46" s="259">
        <v>0.5</v>
      </c>
      <c r="H46" s="259">
        <v>0.5</v>
      </c>
      <c r="I46" s="259">
        <v>0.5</v>
      </c>
    </row>
    <row r="47" spans="2:12" ht="30" x14ac:dyDescent="0.25">
      <c r="B47" s="260" t="s">
        <v>564</v>
      </c>
      <c r="C47" s="261" t="s">
        <v>46</v>
      </c>
      <c r="D47" s="262">
        <f>SUMPRODUCT(E47:I47,E44:I44)</f>
        <v>282.14999999999998</v>
      </c>
      <c r="E47" s="262"/>
      <c r="F47" s="262"/>
      <c r="G47" s="262"/>
      <c r="H47" s="262">
        <f>2.95+1+4.45+1+4.46+1+2.95+1</f>
        <v>18.809999999999999</v>
      </c>
      <c r="I47" s="259">
        <v>0</v>
      </c>
    </row>
    <row r="48" spans="2:12" x14ac:dyDescent="0.25">
      <c r="B48" s="263" t="s">
        <v>565</v>
      </c>
      <c r="C48" s="264" t="s">
        <v>41</v>
      </c>
      <c r="D48" s="317">
        <f>SUMPRODUCT(E48:I48,E44:I44)</f>
        <v>141.07499999999999</v>
      </c>
      <c r="E48" s="317">
        <f>E47*E46</f>
        <v>0</v>
      </c>
      <c r="F48" s="317">
        <f t="shared" ref="F48:I48" si="10">F47*F46</f>
        <v>0</v>
      </c>
      <c r="G48" s="317">
        <f t="shared" si="10"/>
        <v>0</v>
      </c>
      <c r="H48" s="317">
        <f t="shared" si="10"/>
        <v>9.4049999999999994</v>
      </c>
      <c r="I48" s="317">
        <f t="shared" si="10"/>
        <v>0</v>
      </c>
    </row>
    <row r="49" spans="2:9" ht="15.75" thickBot="1" x14ac:dyDescent="0.3">
      <c r="B49" s="278" t="s">
        <v>566</v>
      </c>
      <c r="C49" s="279" t="s">
        <v>41</v>
      </c>
      <c r="D49" s="318">
        <f>SUMPRODUCT(E49:I49,E44:I44)</f>
        <v>111.07499999999999</v>
      </c>
      <c r="E49" s="269"/>
      <c r="F49" s="269"/>
      <c r="G49" s="269"/>
      <c r="H49" s="269">
        <f>(2.95*0.5)+(4.45*0.5)+(4.46*0.5)+(2.95*0.5)</f>
        <v>7.4049999999999994</v>
      </c>
      <c r="I49" s="269">
        <v>0</v>
      </c>
    </row>
    <row r="50" spans="2:9" x14ac:dyDescent="0.25">
      <c r="B50" s="319" t="s">
        <v>584</v>
      </c>
      <c r="C50" s="320"/>
      <c r="D50" s="320"/>
      <c r="E50" s="320"/>
      <c r="F50" s="320"/>
      <c r="G50" s="320"/>
      <c r="H50" s="321" t="s">
        <v>41</v>
      </c>
      <c r="I50" s="322">
        <f>SUM(D48:D49)</f>
        <v>252.14999999999998</v>
      </c>
    </row>
    <row r="54" spans="2:9" x14ac:dyDescent="0.25">
      <c r="E54" s="252">
        <v>1</v>
      </c>
      <c r="F54" s="252">
        <v>3</v>
      </c>
      <c r="G54" s="252">
        <v>1</v>
      </c>
      <c r="H54" s="252">
        <v>15</v>
      </c>
      <c r="I54" s="252">
        <v>1</v>
      </c>
    </row>
    <row r="55" spans="2:9" ht="15.75" thickBot="1" x14ac:dyDescent="0.3">
      <c r="B55" s="323" t="s">
        <v>585</v>
      </c>
      <c r="C55" s="324"/>
      <c r="D55" s="325" t="s">
        <v>226</v>
      </c>
      <c r="E55" s="256" t="s">
        <v>548</v>
      </c>
      <c r="F55" s="256" t="s">
        <v>560</v>
      </c>
      <c r="G55" s="256" t="str">
        <f>G6</f>
        <v>LAZER</v>
      </c>
      <c r="H55" s="256" t="str">
        <f t="shared" ref="H55:I55" si="11">H6</f>
        <v>tipo (x15)</v>
      </c>
      <c r="I55" s="256" t="str">
        <f t="shared" si="11"/>
        <v>TELHADO</v>
      </c>
    </row>
    <row r="56" spans="2:9" x14ac:dyDescent="0.25">
      <c r="B56" s="257" t="s">
        <v>563</v>
      </c>
      <c r="C56" s="258" t="s">
        <v>46</v>
      </c>
      <c r="D56" s="259"/>
      <c r="E56" s="259">
        <v>1.75</v>
      </c>
      <c r="F56" s="259"/>
      <c r="G56" s="259"/>
      <c r="H56" s="259"/>
      <c r="I56" s="259">
        <v>1.04</v>
      </c>
    </row>
    <row r="57" spans="2:9" ht="30" x14ac:dyDescent="0.25">
      <c r="B57" s="260" t="s">
        <v>564</v>
      </c>
      <c r="C57" s="261" t="s">
        <v>46</v>
      </c>
      <c r="D57" s="262">
        <f>SUMPRODUCT(E57:I57,E54:I54)</f>
        <v>56.03</v>
      </c>
      <c r="E57" s="262">
        <f>(5.2+3.3+4.3+0.9+2.8+0.5+8.5+8.5+2.5+2.5)</f>
        <v>39</v>
      </c>
      <c r="F57" s="262"/>
      <c r="G57" s="262"/>
      <c r="H57" s="262"/>
      <c r="I57" s="262">
        <v>17.03</v>
      </c>
    </row>
    <row r="58" spans="2:9" ht="28.5" customHeight="1" x14ac:dyDescent="0.25">
      <c r="B58" s="263" t="s">
        <v>565</v>
      </c>
      <c r="C58" s="264" t="s">
        <v>41</v>
      </c>
      <c r="D58" s="326">
        <f>SUMPRODUCT(E58:I58,E54:I54)</f>
        <v>85.961200000000005</v>
      </c>
      <c r="E58" s="326">
        <f>E57*E56</f>
        <v>68.25</v>
      </c>
      <c r="F58" s="326">
        <f t="shared" ref="F58:I58" si="12">F57*F56</f>
        <v>0</v>
      </c>
      <c r="G58" s="326">
        <f t="shared" si="12"/>
        <v>0</v>
      </c>
      <c r="H58" s="326">
        <f t="shared" si="12"/>
        <v>0</v>
      </c>
      <c r="I58" s="326">
        <f t="shared" si="12"/>
        <v>17.711200000000002</v>
      </c>
    </row>
    <row r="59" spans="2:9" ht="15.75" thickBot="1" x14ac:dyDescent="0.3">
      <c r="B59" s="278" t="s">
        <v>566</v>
      </c>
      <c r="C59" s="279" t="s">
        <v>41</v>
      </c>
      <c r="D59" s="327">
        <f>SUMPRODUCT(E59:I59,E54:I54)</f>
        <v>69.5</v>
      </c>
      <c r="E59" s="269">
        <f>16.71+21.25</f>
        <v>37.96</v>
      </c>
      <c r="F59" s="269"/>
      <c r="G59" s="269"/>
      <c r="H59" s="269"/>
      <c r="I59" s="269">
        <f>15.77*2</f>
        <v>31.54</v>
      </c>
    </row>
    <row r="60" spans="2:9" x14ac:dyDescent="0.25">
      <c r="B60" s="328" t="s">
        <v>586</v>
      </c>
      <c r="C60" s="329"/>
      <c r="D60" s="329"/>
      <c r="E60" s="329"/>
      <c r="F60" s="329"/>
      <c r="G60" s="329"/>
      <c r="H60" s="330" t="s">
        <v>41</v>
      </c>
      <c r="I60" s="331">
        <f>SUM(D58:D59)</f>
        <v>155.46120000000002</v>
      </c>
    </row>
    <row r="61" spans="2:9" x14ac:dyDescent="0.25">
      <c r="B61" s="128" t="s">
        <v>587</v>
      </c>
    </row>
    <row r="63" spans="2:9" ht="13.9" customHeight="1" x14ac:dyDescent="0.25">
      <c r="E63" s="252">
        <v>1</v>
      </c>
      <c r="F63" s="252">
        <v>1</v>
      </c>
      <c r="G63" s="252">
        <v>1</v>
      </c>
      <c r="H63" s="252">
        <v>15</v>
      </c>
      <c r="I63" s="252">
        <v>1</v>
      </c>
    </row>
    <row r="64" spans="2:9" ht="15.75" thickBot="1" x14ac:dyDescent="0.3">
      <c r="B64" s="332" t="s">
        <v>588</v>
      </c>
      <c r="C64" s="333"/>
      <c r="D64" s="334" t="s">
        <v>226</v>
      </c>
      <c r="E64" s="256" t="s">
        <v>548</v>
      </c>
      <c r="F64" s="256" t="s">
        <v>552</v>
      </c>
      <c r="G64" s="256" t="str">
        <f>G6</f>
        <v>LAZER</v>
      </c>
      <c r="H64" s="256" t="str">
        <f t="shared" ref="H64:I64" si="13">H6</f>
        <v>tipo (x15)</v>
      </c>
      <c r="I64" s="256" t="str">
        <f t="shared" si="13"/>
        <v>TELHADO</v>
      </c>
    </row>
    <row r="65" spans="2:9" x14ac:dyDescent="0.25">
      <c r="B65" s="257" t="s">
        <v>563</v>
      </c>
      <c r="C65" s="258" t="s">
        <v>46</v>
      </c>
      <c r="D65" s="259"/>
      <c r="E65" s="262"/>
      <c r="F65" s="262">
        <v>0.5</v>
      </c>
      <c r="G65" s="262">
        <v>1.4</v>
      </c>
      <c r="H65" s="262"/>
      <c r="I65" s="262"/>
    </row>
    <row r="66" spans="2:9" ht="30" x14ac:dyDescent="0.25">
      <c r="B66" s="260" t="s">
        <v>564</v>
      </c>
      <c r="C66" s="261" t="s">
        <v>46</v>
      </c>
      <c r="D66" s="262">
        <f>SUMPRODUCT(E66:I66,E63:I63)</f>
        <v>47.72</v>
      </c>
      <c r="E66" s="262"/>
      <c r="F66" s="262">
        <f>10.37+6.6</f>
        <v>16.97</v>
      </c>
      <c r="G66" s="262">
        <f>2.2+3.25+12+3.5+9.8</f>
        <v>30.75</v>
      </c>
      <c r="H66" s="262"/>
      <c r="I66" s="262"/>
    </row>
    <row r="67" spans="2:9" x14ac:dyDescent="0.25">
      <c r="B67" s="263" t="s">
        <v>565</v>
      </c>
      <c r="C67" s="264" t="s">
        <v>41</v>
      </c>
      <c r="D67" s="335">
        <f>SUMPRODUCT(E67:I67,E63:I63)</f>
        <v>51.534999999999997</v>
      </c>
      <c r="E67" s="335">
        <f>E66*E65</f>
        <v>0</v>
      </c>
      <c r="F67" s="335">
        <f t="shared" ref="F67:I67" si="14">F66*F65</f>
        <v>8.4849999999999994</v>
      </c>
      <c r="G67" s="335">
        <f t="shared" si="14"/>
        <v>43.05</v>
      </c>
      <c r="H67" s="335">
        <f t="shared" si="14"/>
        <v>0</v>
      </c>
      <c r="I67" s="335">
        <f t="shared" si="14"/>
        <v>0</v>
      </c>
    </row>
    <row r="68" spans="2:9" x14ac:dyDescent="0.25">
      <c r="B68" s="336" t="s">
        <v>566</v>
      </c>
      <c r="C68" s="337" t="s">
        <v>41</v>
      </c>
      <c r="D68" s="335">
        <f>SUMPRODUCT(E68:I68,E63:I63)</f>
        <v>56.6</v>
      </c>
      <c r="E68" s="338"/>
      <c r="F68" s="338">
        <v>15.15</v>
      </c>
      <c r="G68" s="338">
        <f>41.45</f>
        <v>41.45</v>
      </c>
      <c r="H68" s="338"/>
      <c r="I68" s="338"/>
    </row>
    <row r="69" spans="2:9" x14ac:dyDescent="0.25">
      <c r="B69" s="332" t="s">
        <v>589</v>
      </c>
      <c r="C69" s="333"/>
      <c r="D69" s="333"/>
      <c r="E69" s="333"/>
      <c r="F69" s="333"/>
      <c r="G69" s="333"/>
      <c r="H69" s="334" t="s">
        <v>41</v>
      </c>
      <c r="I69" s="339">
        <f>SUM(D67:D68)</f>
        <v>108.13499999999999</v>
      </c>
    </row>
    <row r="71" spans="2:9" x14ac:dyDescent="0.25">
      <c r="E71" s="252">
        <v>1</v>
      </c>
      <c r="F71" s="252">
        <v>3</v>
      </c>
      <c r="G71" s="252">
        <v>1</v>
      </c>
      <c r="H71" s="252">
        <v>15</v>
      </c>
      <c r="I71" s="252">
        <v>1</v>
      </c>
    </row>
    <row r="72" spans="2:9" ht="15.75" thickBot="1" x14ac:dyDescent="0.3">
      <c r="B72" s="340" t="s">
        <v>590</v>
      </c>
      <c r="C72" s="341"/>
      <c r="D72" s="342" t="s">
        <v>226</v>
      </c>
      <c r="E72" s="256" t="s">
        <v>548</v>
      </c>
      <c r="F72" s="256" t="s">
        <v>560</v>
      </c>
      <c r="G72" s="256" t="str">
        <f>G64</f>
        <v>LAZER</v>
      </c>
      <c r="H72" s="256" t="str">
        <f t="shared" ref="H72:I72" si="15">H64</f>
        <v>tipo (x15)</v>
      </c>
      <c r="I72" s="256" t="str">
        <f t="shared" si="15"/>
        <v>TELHADO</v>
      </c>
    </row>
    <row r="73" spans="2:9" x14ac:dyDescent="0.25">
      <c r="B73" s="257" t="s">
        <v>563</v>
      </c>
      <c r="C73" s="258" t="s">
        <v>46</v>
      </c>
      <c r="D73" s="259"/>
      <c r="E73" s="259">
        <v>0.8</v>
      </c>
      <c r="F73" s="259"/>
      <c r="G73" s="259"/>
      <c r="H73" s="259">
        <v>0</v>
      </c>
      <c r="I73" s="259">
        <v>0</v>
      </c>
    </row>
    <row r="74" spans="2:9" ht="30" x14ac:dyDescent="0.25">
      <c r="B74" s="260" t="s">
        <v>564</v>
      </c>
      <c r="C74" s="261" t="s">
        <v>46</v>
      </c>
      <c r="D74" s="262">
        <f>SUMPRODUCT(E74:I74,E71:I71)</f>
        <v>15</v>
      </c>
      <c r="E74" s="262">
        <f>((2+1.75)*2)*2</f>
        <v>15</v>
      </c>
      <c r="F74" s="262"/>
      <c r="G74" s="262"/>
      <c r="H74" s="262"/>
      <c r="I74" s="262"/>
    </row>
    <row r="75" spans="2:9" x14ac:dyDescent="0.25">
      <c r="B75" s="263" t="s">
        <v>565</v>
      </c>
      <c r="C75" s="264" t="s">
        <v>41</v>
      </c>
      <c r="D75" s="343">
        <f>SUMPRODUCT(E75:I75,E71:I71)</f>
        <v>12</v>
      </c>
      <c r="E75" s="343">
        <f>E74*E73</f>
        <v>12</v>
      </c>
      <c r="F75" s="343">
        <f t="shared" ref="F75:I75" si="16">F74*F73</f>
        <v>0</v>
      </c>
      <c r="G75" s="343">
        <f t="shared" si="16"/>
        <v>0</v>
      </c>
      <c r="H75" s="343">
        <f t="shared" si="16"/>
        <v>0</v>
      </c>
      <c r="I75" s="343">
        <f t="shared" si="16"/>
        <v>0</v>
      </c>
    </row>
    <row r="76" spans="2:9" ht="15.75" thickBot="1" x14ac:dyDescent="0.3">
      <c r="B76" s="278" t="s">
        <v>566</v>
      </c>
      <c r="C76" s="279" t="s">
        <v>41</v>
      </c>
      <c r="D76" s="344">
        <f>SUMPRODUCT(E76:I76,E71:I71)</f>
        <v>7</v>
      </c>
      <c r="E76" s="345">
        <v>7</v>
      </c>
      <c r="F76" s="345"/>
      <c r="G76" s="345"/>
      <c r="H76" s="345"/>
      <c r="I76" s="345"/>
    </row>
    <row r="77" spans="2:9" x14ac:dyDescent="0.25">
      <c r="B77" s="346" t="s">
        <v>591</v>
      </c>
      <c r="C77" s="347"/>
      <c r="D77" s="347"/>
      <c r="E77" s="347"/>
      <c r="F77" s="347"/>
      <c r="G77" s="347"/>
      <c r="H77" s="348" t="s">
        <v>41</v>
      </c>
      <c r="I77" s="349">
        <f>SUM(D75:D76)</f>
        <v>19</v>
      </c>
    </row>
    <row r="78" spans="2:9" x14ac:dyDescent="0.25">
      <c r="B78" s="128" t="s">
        <v>592</v>
      </c>
    </row>
    <row r="80" spans="2:9" x14ac:dyDescent="0.25">
      <c r="E80" s="252">
        <v>1</v>
      </c>
      <c r="F80" s="252">
        <v>3</v>
      </c>
      <c r="G80" s="252">
        <v>1</v>
      </c>
      <c r="H80" s="252">
        <v>15</v>
      </c>
      <c r="I80" s="252">
        <v>1</v>
      </c>
    </row>
    <row r="81" spans="2:13" ht="15.75" thickBot="1" x14ac:dyDescent="0.3">
      <c r="B81" s="340" t="s">
        <v>425</v>
      </c>
      <c r="C81" s="341"/>
      <c r="D81" s="342" t="s">
        <v>226</v>
      </c>
      <c r="E81" s="256" t="s">
        <v>548</v>
      </c>
      <c r="F81" s="256" t="s">
        <v>560</v>
      </c>
      <c r="G81" s="256" t="str">
        <f>G72</f>
        <v>LAZER</v>
      </c>
      <c r="H81" s="256" t="str">
        <f t="shared" ref="H81:I81" si="17">H72</f>
        <v>tipo (x15)</v>
      </c>
      <c r="I81" s="256" t="str">
        <f t="shared" si="17"/>
        <v>TELHADO</v>
      </c>
    </row>
    <row r="82" spans="2:13" x14ac:dyDescent="0.25">
      <c r="B82" s="257" t="s">
        <v>563</v>
      </c>
      <c r="C82" s="258" t="s">
        <v>46</v>
      </c>
      <c r="D82" s="259"/>
      <c r="E82" s="259"/>
      <c r="F82" s="259"/>
      <c r="G82" s="259"/>
      <c r="H82" s="259"/>
      <c r="I82" s="259"/>
    </row>
    <row r="83" spans="2:13" ht="30" x14ac:dyDescent="0.25">
      <c r="B83" s="260" t="s">
        <v>564</v>
      </c>
      <c r="C83" s="261" t="s">
        <v>46</v>
      </c>
      <c r="D83" s="262">
        <f>SUMPRODUCT(E83:I83,E80:I80)</f>
        <v>0</v>
      </c>
      <c r="E83" s="262"/>
      <c r="F83" s="262"/>
      <c r="G83" s="262"/>
      <c r="H83" s="262"/>
      <c r="I83" s="262"/>
    </row>
    <row r="84" spans="2:13" x14ac:dyDescent="0.25">
      <c r="B84" s="263" t="s">
        <v>565</v>
      </c>
      <c r="C84" s="264" t="s">
        <v>41</v>
      </c>
      <c r="D84" s="343">
        <f>SUMPRODUCT(E84:I84,E80:I80)</f>
        <v>0</v>
      </c>
      <c r="E84" s="343">
        <f>E83*E82</f>
        <v>0</v>
      </c>
      <c r="F84" s="343">
        <f t="shared" ref="F84:I84" si="18">F83*F82</f>
        <v>0</v>
      </c>
      <c r="G84" s="343">
        <f t="shared" si="18"/>
        <v>0</v>
      </c>
      <c r="H84" s="343">
        <f t="shared" si="18"/>
        <v>0</v>
      </c>
      <c r="I84" s="343">
        <f t="shared" si="18"/>
        <v>0</v>
      </c>
    </row>
    <row r="85" spans="2:13" ht="15.75" thickBot="1" x14ac:dyDescent="0.3">
      <c r="B85" s="278"/>
      <c r="C85" s="279"/>
      <c r="D85" s="344"/>
      <c r="E85" s="345"/>
      <c r="F85" s="345"/>
      <c r="G85" s="345"/>
      <c r="H85" s="345"/>
      <c r="I85" s="345"/>
    </row>
    <row r="86" spans="2:13" x14ac:dyDescent="0.25">
      <c r="B86" s="346" t="s">
        <v>593</v>
      </c>
      <c r="C86" s="347"/>
      <c r="D86" s="347"/>
      <c r="E86" s="347"/>
      <c r="F86" s="347"/>
      <c r="G86" s="347"/>
      <c r="H86" s="348" t="s">
        <v>41</v>
      </c>
      <c r="I86" s="349">
        <v>804.43</v>
      </c>
    </row>
    <row r="89" spans="2:13" x14ac:dyDescent="0.25">
      <c r="E89" s="252">
        <v>1</v>
      </c>
      <c r="F89" s="252">
        <v>3</v>
      </c>
      <c r="G89" s="252">
        <v>1</v>
      </c>
      <c r="H89" s="252">
        <v>15</v>
      </c>
      <c r="I89" s="252">
        <v>1</v>
      </c>
    </row>
    <row r="90" spans="2:13" ht="15.75" thickBot="1" x14ac:dyDescent="0.3">
      <c r="B90" s="340" t="s">
        <v>594</v>
      </c>
      <c r="C90" s="341"/>
      <c r="D90" s="342" t="s">
        <v>226</v>
      </c>
      <c r="E90" s="256" t="s">
        <v>548</v>
      </c>
      <c r="F90" s="256" t="s">
        <v>560</v>
      </c>
      <c r="G90" s="256" t="str">
        <f>G81</f>
        <v>LAZER</v>
      </c>
      <c r="H90" s="256" t="str">
        <f t="shared" ref="H90:I90" si="19">H81</f>
        <v>tipo (x15)</v>
      </c>
      <c r="I90" s="256" t="str">
        <f t="shared" si="19"/>
        <v>TELHADO</v>
      </c>
    </row>
    <row r="91" spans="2:13" x14ac:dyDescent="0.25">
      <c r="B91" s="257" t="s">
        <v>563</v>
      </c>
      <c r="C91" s="258" t="s">
        <v>46</v>
      </c>
      <c r="D91" s="259"/>
      <c r="E91" s="259">
        <v>0.4</v>
      </c>
      <c r="F91" s="259">
        <v>0.4</v>
      </c>
      <c r="G91" s="259"/>
      <c r="H91" s="259">
        <v>0</v>
      </c>
      <c r="I91" s="259">
        <v>0</v>
      </c>
    </row>
    <row r="92" spans="2:13" ht="30" x14ac:dyDescent="0.25">
      <c r="B92" s="260" t="s">
        <v>564</v>
      </c>
      <c r="C92" s="261" t="s">
        <v>46</v>
      </c>
      <c r="D92" s="262">
        <f>SUMPRODUCT(E92:I92,E89:I89)</f>
        <v>699.88000000000011</v>
      </c>
      <c r="E92" s="262">
        <f>6.85+5+ 1.1+0.9+1+14.25+2.75+5+18.23+5+ 1.5+0.7+1.64+1.55+6.5+0.6+6.65+5.6+11.62+2</f>
        <v>98.44</v>
      </c>
      <c r="F92" s="128">
        <f>14.7+14.7+21.26+39+21.26+5.75+0.5+6.76+5.75+0.2+2.6+0.6+0.25+1.05+0.15+0.15+1.05+0.25+1.2+2.6+0.6+2.65+6.8+2.65+(3*16)</f>
        <v>200.48000000000002</v>
      </c>
      <c r="G92" s="262"/>
      <c r="H92" s="262"/>
      <c r="I92" s="262"/>
      <c r="M92" s="350"/>
    </row>
    <row r="93" spans="2:13" x14ac:dyDescent="0.25">
      <c r="B93" s="263" t="s">
        <v>565</v>
      </c>
      <c r="C93" s="264" t="s">
        <v>41</v>
      </c>
      <c r="D93" s="343">
        <f>SUMPRODUCT(E93:I93,E89:I89)</f>
        <v>157.50400000000002</v>
      </c>
      <c r="E93" s="343">
        <f>E92*E91</f>
        <v>39.376000000000005</v>
      </c>
      <c r="F93" s="343">
        <f>E92*F91</f>
        <v>39.376000000000005</v>
      </c>
      <c r="G93" s="343">
        <f t="shared" ref="G93:I93" si="20">G92*G91</f>
        <v>0</v>
      </c>
      <c r="H93" s="343">
        <f t="shared" si="20"/>
        <v>0</v>
      </c>
      <c r="I93" s="343">
        <f t="shared" si="20"/>
        <v>0</v>
      </c>
    </row>
    <row r="94" spans="2:13" ht="15.75" thickBot="1" x14ac:dyDescent="0.3">
      <c r="B94" s="278" t="s">
        <v>566</v>
      </c>
      <c r="C94" s="279" t="s">
        <v>41</v>
      </c>
      <c r="D94" s="344">
        <f>SUMPRODUCT(E94:I94,E89:I89)</f>
        <v>1126.5</v>
      </c>
      <c r="E94" s="345">
        <v>116.7</v>
      </c>
      <c r="F94" s="345">
        <v>336.6</v>
      </c>
      <c r="G94" s="345"/>
      <c r="H94" s="345"/>
      <c r="I94" s="345"/>
    </row>
    <row r="95" spans="2:13" x14ac:dyDescent="0.25">
      <c r="B95" s="346" t="s">
        <v>595</v>
      </c>
      <c r="C95" s="347"/>
      <c r="D95" s="347"/>
      <c r="E95" s="347"/>
      <c r="F95" s="347"/>
      <c r="G95" s="347"/>
      <c r="H95" s="348" t="s">
        <v>41</v>
      </c>
      <c r="I95" s="349">
        <f>SUM(D93:D94)</f>
        <v>1284.0039999999999</v>
      </c>
    </row>
    <row r="96" spans="2:13" x14ac:dyDescent="0.25">
      <c r="B96" s="128" t="s">
        <v>596</v>
      </c>
    </row>
    <row r="98" spans="2:9" x14ac:dyDescent="0.25">
      <c r="E98" s="252">
        <v>1</v>
      </c>
      <c r="F98" s="252">
        <v>3</v>
      </c>
      <c r="G98" s="252">
        <v>1</v>
      </c>
      <c r="H98" s="252">
        <v>1</v>
      </c>
      <c r="I98" s="252">
        <v>1</v>
      </c>
    </row>
    <row r="99" spans="2:9" x14ac:dyDescent="0.25">
      <c r="B99" s="340" t="s">
        <v>597</v>
      </c>
      <c r="C99" s="341"/>
      <c r="D99" s="342" t="s">
        <v>226</v>
      </c>
      <c r="E99" s="256" t="s">
        <v>548</v>
      </c>
      <c r="F99" s="256" t="s">
        <v>560</v>
      </c>
      <c r="G99" s="256" t="str">
        <f>G90</f>
        <v>LAZER</v>
      </c>
      <c r="H99" s="256" t="str">
        <f>H90</f>
        <v>tipo (x15)</v>
      </c>
      <c r="I99" s="256" t="str">
        <f>I90</f>
        <v>TELHADO</v>
      </c>
    </row>
    <row r="100" spans="2:9" ht="15.75" thickBot="1" x14ac:dyDescent="0.3">
      <c r="B100" s="278" t="s">
        <v>598</v>
      </c>
      <c r="C100" s="279" t="s">
        <v>41</v>
      </c>
      <c r="D100" s="344">
        <f>SUMPRODUCT(E100:I100,E98:I98)</f>
        <v>72.77000000000001</v>
      </c>
      <c r="E100" s="345">
        <v>0</v>
      </c>
      <c r="F100" s="345">
        <v>0</v>
      </c>
      <c r="G100" s="345">
        <v>0.22</v>
      </c>
      <c r="H100" s="345">
        <f>4.95+27.1+27+13.5</f>
        <v>72.550000000000011</v>
      </c>
      <c r="I100" s="345">
        <v>0</v>
      </c>
    </row>
    <row r="101" spans="2:9" x14ac:dyDescent="0.25">
      <c r="B101" s="346" t="s">
        <v>599</v>
      </c>
      <c r="C101" s="347"/>
      <c r="D101" s="347"/>
      <c r="E101" s="347"/>
      <c r="F101" s="347"/>
      <c r="G101" s="347"/>
      <c r="H101" s="348" t="s">
        <v>41</v>
      </c>
      <c r="I101" s="349">
        <f>SUM(D100:D100)</f>
        <v>72.77000000000001</v>
      </c>
    </row>
    <row r="104" spans="2:9" x14ac:dyDescent="0.25">
      <c r="B104" s="340" t="s">
        <v>600</v>
      </c>
      <c r="C104" s="341"/>
      <c r="D104" s="342" t="s">
        <v>226</v>
      </c>
      <c r="E104" s="256" t="s">
        <v>548</v>
      </c>
      <c r="F104" s="256" t="s">
        <v>560</v>
      </c>
      <c r="G104" s="256" t="s">
        <v>552</v>
      </c>
      <c r="H104" s="256" t="s">
        <v>601</v>
      </c>
      <c r="I104" s="256" t="s">
        <v>562</v>
      </c>
    </row>
    <row r="105" spans="2:9" ht="15.75" thickBot="1" x14ac:dyDescent="0.3">
      <c r="B105" s="278" t="s">
        <v>600</v>
      </c>
      <c r="C105" s="279" t="s">
        <v>602</v>
      </c>
      <c r="D105" s="344">
        <f>SUM(E105:I105)</f>
        <v>370</v>
      </c>
      <c r="E105" s="345">
        <v>4</v>
      </c>
      <c r="F105" s="345">
        <f>6*3</f>
        <v>18</v>
      </c>
      <c r="G105" s="345">
        <v>10</v>
      </c>
      <c r="H105" s="345">
        <f>22*15</f>
        <v>330</v>
      </c>
      <c r="I105" s="345">
        <v>8</v>
      </c>
    </row>
    <row r="106" spans="2:9" x14ac:dyDescent="0.25">
      <c r="B106" s="346" t="s">
        <v>603</v>
      </c>
      <c r="C106" s="347"/>
      <c r="D106" s="347"/>
      <c r="E106" s="347"/>
      <c r="F106" s="347"/>
      <c r="G106" s="347"/>
      <c r="H106" s="348" t="s">
        <v>602</v>
      </c>
      <c r="I106" s="349">
        <f>SUM(D105:D105)</f>
        <v>370</v>
      </c>
    </row>
  </sheetData>
  <mergeCells count="3">
    <mergeCell ref="B1:N3"/>
    <mergeCell ref="A15:A18"/>
    <mergeCell ref="A19:A22"/>
  </mergeCells>
  <pageMargins left="0.511811024" right="0.511811024" top="0.78740157499999996" bottom="0.78740157499999996" header="0.31496062000000002" footer="0.31496062000000002"/>
  <pageSetup paperSize="9" orientation="portrait" horizontalDpi="4294967293"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2938-0F10-4F51-9B55-9B2453860AEE}">
  <dimension ref="A1:I149"/>
  <sheetViews>
    <sheetView topLeftCell="A49" workbookViewId="0">
      <selection activeCell="F147" sqref="F147"/>
    </sheetView>
  </sheetViews>
  <sheetFormatPr defaultRowHeight="15" x14ac:dyDescent="0.25"/>
  <cols>
    <col min="2" max="2" width="80.140625" bestFit="1" customWidth="1"/>
    <col min="4" max="4" width="10.42578125" customWidth="1"/>
    <col min="6" max="6" width="10.42578125" bestFit="1" customWidth="1"/>
    <col min="7" max="7" width="22.85546875" customWidth="1"/>
    <col min="8" max="8" width="3.140625" customWidth="1"/>
    <col min="9" max="9" width="28.85546875" customWidth="1"/>
  </cols>
  <sheetData>
    <row r="1" spans="1:9" ht="21.75" x14ac:dyDescent="0.6">
      <c r="A1" s="351" t="s">
        <v>397</v>
      </c>
      <c r="B1" s="352" t="s">
        <v>435</v>
      </c>
      <c r="C1" s="353"/>
      <c r="D1" s="353"/>
      <c r="E1" s="353"/>
      <c r="F1" s="354"/>
      <c r="G1" s="354"/>
      <c r="H1" s="354"/>
      <c r="I1" s="355"/>
    </row>
    <row r="2" spans="1:9" ht="39" x14ac:dyDescent="0.6">
      <c r="A2" s="356" t="s">
        <v>398</v>
      </c>
      <c r="B2" s="357" t="s">
        <v>436</v>
      </c>
      <c r="C2" s="358"/>
      <c r="D2" s="358"/>
      <c r="E2" s="358"/>
      <c r="F2" s="359"/>
      <c r="G2" s="359"/>
      <c r="H2" s="359"/>
      <c r="I2" s="360"/>
    </row>
    <row r="3" spans="1:9" ht="21.75" x14ac:dyDescent="0.6">
      <c r="A3" s="356" t="s">
        <v>399</v>
      </c>
      <c r="B3" s="357" t="s">
        <v>437</v>
      </c>
      <c r="C3" s="358"/>
      <c r="D3" s="358"/>
      <c r="E3" s="358"/>
      <c r="F3" s="359"/>
      <c r="G3" s="359"/>
      <c r="H3" s="361"/>
      <c r="I3" s="360"/>
    </row>
    <row r="4" spans="1:9" ht="28.5" x14ac:dyDescent="0.25">
      <c r="A4" s="851" t="s">
        <v>434</v>
      </c>
      <c r="B4" s="852"/>
      <c r="C4" s="852"/>
      <c r="D4" s="852"/>
      <c r="E4" s="852"/>
      <c r="F4" s="852"/>
      <c r="G4" s="852"/>
      <c r="H4" s="853"/>
      <c r="I4" s="854"/>
    </row>
    <row r="5" spans="1:9" ht="28.5" x14ac:dyDescent="0.6">
      <c r="A5" s="362"/>
      <c r="B5" s="363"/>
      <c r="C5" s="363"/>
      <c r="D5" s="364"/>
      <c r="E5" s="364"/>
      <c r="F5" s="365"/>
      <c r="G5" s="365"/>
      <c r="H5" s="365"/>
      <c r="I5" s="366"/>
    </row>
    <row r="6" spans="1:9" ht="28.5" x14ac:dyDescent="0.25">
      <c r="A6" s="855" t="s">
        <v>604</v>
      </c>
      <c r="B6" s="856"/>
      <c r="C6" s="856"/>
      <c r="D6" s="856"/>
      <c r="E6" s="856"/>
      <c r="F6" s="856"/>
      <c r="G6" s="856"/>
      <c r="H6" s="857"/>
      <c r="I6" s="858"/>
    </row>
    <row r="7" spans="1:9" ht="21.75" x14ac:dyDescent="0.6">
      <c r="A7" s="367"/>
      <c r="B7" s="368"/>
      <c r="C7" s="368"/>
      <c r="D7" s="368"/>
      <c r="E7" s="368"/>
      <c r="F7" s="361"/>
      <c r="G7" s="361"/>
      <c r="H7" s="361"/>
      <c r="I7" s="369"/>
    </row>
    <row r="8" spans="1:9" ht="21.75" x14ac:dyDescent="0.6">
      <c r="A8" s="370" t="s">
        <v>605</v>
      </c>
      <c r="B8" s="371"/>
      <c r="C8" s="371"/>
      <c r="D8" s="371"/>
      <c r="E8" s="371"/>
      <c r="F8" s="372"/>
      <c r="G8" s="372"/>
      <c r="H8" s="372"/>
      <c r="I8" s="373"/>
    </row>
    <row r="9" spans="1:9" ht="22.5" thickBot="1" x14ac:dyDescent="0.65">
      <c r="A9" s="374"/>
      <c r="B9" s="371"/>
      <c r="C9" s="368"/>
      <c r="D9" s="375"/>
      <c r="E9" s="375"/>
      <c r="F9" s="376"/>
      <c r="G9" s="372"/>
      <c r="H9" s="361"/>
      <c r="I9" s="369"/>
    </row>
    <row r="10" spans="1:9" ht="31.5" x14ac:dyDescent="0.6">
      <c r="A10" s="374"/>
      <c r="B10" s="377" t="s">
        <v>606</v>
      </c>
      <c r="C10" s="378"/>
      <c r="D10" s="379" t="s">
        <v>440</v>
      </c>
      <c r="E10" s="380" t="s">
        <v>2</v>
      </c>
      <c r="F10" s="381" t="s">
        <v>607</v>
      </c>
      <c r="G10" s="381" t="s">
        <v>608</v>
      </c>
      <c r="H10" s="382"/>
      <c r="I10" s="369"/>
    </row>
    <row r="11" spans="1:9" ht="21.75" x14ac:dyDescent="0.6">
      <c r="A11" s="374"/>
      <c r="B11" s="383" t="s">
        <v>609</v>
      </c>
      <c r="C11" s="384"/>
      <c r="D11" s="384"/>
      <c r="E11" s="384"/>
      <c r="F11" s="384"/>
      <c r="G11" s="385">
        <f>SUM(G12:G129)</f>
        <v>203301.48550333339</v>
      </c>
      <c r="H11" s="386"/>
      <c r="I11" s="387"/>
    </row>
    <row r="12" spans="1:9" ht="21.75" x14ac:dyDescent="0.6">
      <c r="A12" s="374"/>
      <c r="B12" s="388" t="s">
        <v>610</v>
      </c>
      <c r="C12" s="389">
        <v>110</v>
      </c>
      <c r="D12" s="390">
        <f>'[11]Lista de Materiais'!$B$131</f>
        <v>14.75</v>
      </c>
      <c r="E12" s="391" t="s">
        <v>46</v>
      </c>
      <c r="F12" s="392">
        <f>539.72/3</f>
        <v>179.90666666666667</v>
      </c>
      <c r="G12" s="393">
        <f t="shared" ref="G12:G20" si="0">F12*D12</f>
        <v>2653.6233333333334</v>
      </c>
      <c r="H12" s="386"/>
      <c r="I12" s="387"/>
    </row>
    <row r="13" spans="1:9" ht="21.75" x14ac:dyDescent="0.6">
      <c r="A13" s="374"/>
      <c r="B13" s="388" t="s">
        <v>610</v>
      </c>
      <c r="C13" s="389">
        <v>25</v>
      </c>
      <c r="D13" s="390">
        <f>'[11]Lista de Materiais'!$B$132</f>
        <v>0.08</v>
      </c>
      <c r="E13" s="391" t="s">
        <v>46</v>
      </c>
      <c r="F13" s="392">
        <f>46.9/3</f>
        <v>15.633333333333333</v>
      </c>
      <c r="G13" s="393">
        <f t="shared" si="0"/>
        <v>1.2506666666666666</v>
      </c>
      <c r="H13" s="386"/>
      <c r="I13" s="387"/>
    </row>
    <row r="14" spans="1:9" ht="21.75" x14ac:dyDescent="0.6">
      <c r="A14" s="374"/>
      <c r="B14" s="388" t="s">
        <v>610</v>
      </c>
      <c r="C14" s="389">
        <v>32</v>
      </c>
      <c r="D14" s="390">
        <f>'[11]Lista de Materiais'!$B$133</f>
        <v>4.58</v>
      </c>
      <c r="E14" s="391" t="s">
        <v>46</v>
      </c>
      <c r="F14" s="392">
        <f>79/3</f>
        <v>26.333333333333332</v>
      </c>
      <c r="G14" s="393">
        <f t="shared" si="0"/>
        <v>120.60666666666667</v>
      </c>
      <c r="H14" s="386"/>
      <c r="I14" s="387"/>
    </row>
    <row r="15" spans="1:9" ht="21.75" x14ac:dyDescent="0.6">
      <c r="A15" s="374"/>
      <c r="B15" s="388" t="s">
        <v>610</v>
      </c>
      <c r="C15" s="389">
        <v>40</v>
      </c>
      <c r="D15" s="390">
        <f>'[11]Lista de Materiais'!$B$134</f>
        <v>32.04</v>
      </c>
      <c r="E15" s="391" t="s">
        <v>46</v>
      </c>
      <c r="F15" s="392">
        <f>104/3</f>
        <v>34.666666666666664</v>
      </c>
      <c r="G15" s="393">
        <f t="shared" si="0"/>
        <v>1110.7199999999998</v>
      </c>
      <c r="H15" s="386"/>
      <c r="I15" s="387"/>
    </row>
    <row r="16" spans="1:9" ht="21.75" x14ac:dyDescent="0.6">
      <c r="A16" s="374"/>
      <c r="B16" s="388" t="s">
        <v>610</v>
      </c>
      <c r="C16" s="389">
        <v>50</v>
      </c>
      <c r="D16" s="390">
        <f>'[11]Lista de Materiais'!$B$135</f>
        <v>44.91</v>
      </c>
      <c r="E16" s="391" t="s">
        <v>46</v>
      </c>
      <c r="F16" s="392">
        <f>141/3</f>
        <v>47</v>
      </c>
      <c r="G16" s="393">
        <f t="shared" si="0"/>
        <v>2110.77</v>
      </c>
      <c r="H16" s="386"/>
      <c r="I16" s="387"/>
    </row>
    <row r="17" spans="1:9" ht="21.75" x14ac:dyDescent="0.6">
      <c r="A17" s="374"/>
      <c r="B17" s="388" t="s">
        <v>610</v>
      </c>
      <c r="C17" s="389">
        <v>63</v>
      </c>
      <c r="D17" s="390">
        <f>'[11]Lista de Materiais'!$B$136</f>
        <v>1.57</v>
      </c>
      <c r="E17" s="391" t="s">
        <v>46</v>
      </c>
      <c r="F17" s="392">
        <f>218.76/4</f>
        <v>54.69</v>
      </c>
      <c r="G17" s="393">
        <f t="shared" si="0"/>
        <v>85.863299999999995</v>
      </c>
      <c r="H17" s="386"/>
      <c r="I17" s="387"/>
    </row>
    <row r="18" spans="1:9" ht="21.75" x14ac:dyDescent="0.6">
      <c r="A18" s="374"/>
      <c r="B18" s="388" t="s">
        <v>610</v>
      </c>
      <c r="C18" s="389">
        <v>75</v>
      </c>
      <c r="D18" s="390">
        <f>'[11]Lista de Materiais'!$B$137</f>
        <v>68.98</v>
      </c>
      <c r="E18" s="391" t="s">
        <v>46</v>
      </c>
      <c r="F18" s="392">
        <f>292/3</f>
        <v>97.333333333333329</v>
      </c>
      <c r="G18" s="393">
        <f t="shared" si="0"/>
        <v>6714.0533333333333</v>
      </c>
      <c r="H18" s="386"/>
      <c r="I18" s="387"/>
    </row>
    <row r="19" spans="1:9" ht="21.75" x14ac:dyDescent="0.6">
      <c r="A19" s="374"/>
      <c r="B19" s="388" t="s">
        <v>610</v>
      </c>
      <c r="C19" s="389">
        <v>90</v>
      </c>
      <c r="D19" s="390">
        <f>'[11]Lista de Materiais'!$B$138</f>
        <v>100.71</v>
      </c>
      <c r="E19" s="391" t="s">
        <v>46</v>
      </c>
      <c r="F19" s="392">
        <f>317.11/3</f>
        <v>105.70333333333333</v>
      </c>
      <c r="G19" s="393">
        <f t="shared" si="0"/>
        <v>10645.3827</v>
      </c>
      <c r="H19" s="386"/>
      <c r="I19" s="387"/>
    </row>
    <row r="20" spans="1:9" ht="21.75" x14ac:dyDescent="0.6">
      <c r="A20" s="374"/>
      <c r="B20" s="388" t="s">
        <v>611</v>
      </c>
      <c r="C20" s="389"/>
      <c r="D20" s="390">
        <f>'[11]Lista de Materiais'!$B$130</f>
        <v>10.51</v>
      </c>
      <c r="E20" s="391" t="s">
        <v>46</v>
      </c>
      <c r="F20" s="392">
        <f>1311.46/5</f>
        <v>262.29200000000003</v>
      </c>
      <c r="G20" s="393">
        <f t="shared" si="0"/>
        <v>2756.6889200000001</v>
      </c>
      <c r="H20" s="386"/>
      <c r="I20" s="387"/>
    </row>
    <row r="21" spans="1:9" ht="21.75" x14ac:dyDescent="0.6">
      <c r="A21" s="374"/>
      <c r="B21" s="394" t="s">
        <v>612</v>
      </c>
      <c r="C21" s="389">
        <v>25</v>
      </c>
      <c r="D21" s="390">
        <f>'[11]Lista de Materiais'!$B$140</f>
        <v>2913.09</v>
      </c>
      <c r="E21" s="391" t="s">
        <v>46</v>
      </c>
      <c r="F21" s="392">
        <v>3.08</v>
      </c>
      <c r="G21" s="393">
        <f>F21*D21</f>
        <v>8972.3172000000013</v>
      </c>
      <c r="H21" s="395"/>
      <c r="I21" s="387"/>
    </row>
    <row r="22" spans="1:9" ht="21.75" x14ac:dyDescent="0.6">
      <c r="A22" s="374"/>
      <c r="B22" s="394" t="s">
        <v>612</v>
      </c>
      <c r="C22" s="389">
        <v>32</v>
      </c>
      <c r="D22" s="390">
        <f>'[11]Lista de Materiais'!$B$141</f>
        <v>2089.9899999999998</v>
      </c>
      <c r="E22" s="391" t="s">
        <v>46</v>
      </c>
      <c r="F22" s="392">
        <v>7.91</v>
      </c>
      <c r="G22" s="393">
        <f>F22*D22</f>
        <v>16531.820899999999</v>
      </c>
      <c r="H22" s="395"/>
      <c r="I22" s="387"/>
    </row>
    <row r="23" spans="1:9" ht="21.75" x14ac:dyDescent="0.6">
      <c r="A23" s="374"/>
      <c r="B23" s="388" t="s">
        <v>612</v>
      </c>
      <c r="C23" s="389">
        <v>40</v>
      </c>
      <c r="D23" s="390">
        <f>'[11]Lista de Materiais'!$B$142</f>
        <v>22.96</v>
      </c>
      <c r="E23" s="391" t="s">
        <v>46</v>
      </c>
      <c r="F23" s="392">
        <f>40.9/3</f>
        <v>13.633333333333333</v>
      </c>
      <c r="G23" s="393">
        <f>F23*D23</f>
        <v>313.02133333333336</v>
      </c>
      <c r="H23" s="395"/>
      <c r="I23" s="387"/>
    </row>
    <row r="24" spans="1:9" ht="21.75" x14ac:dyDescent="0.6">
      <c r="A24" s="374"/>
      <c r="B24" s="388" t="s">
        <v>612</v>
      </c>
      <c r="C24" s="389">
        <v>50</v>
      </c>
      <c r="D24" s="390">
        <f>'[11]Lista de Materiais'!$B$143</f>
        <v>36.85</v>
      </c>
      <c r="E24" s="391" t="s">
        <v>46</v>
      </c>
      <c r="F24" s="392">
        <v>11.85</v>
      </c>
      <c r="G24" s="393">
        <f>F24*D24</f>
        <v>436.67250000000001</v>
      </c>
      <c r="H24" s="395"/>
      <c r="I24" s="387"/>
    </row>
    <row r="25" spans="1:9" ht="21.75" x14ac:dyDescent="0.6">
      <c r="A25" s="374"/>
      <c r="B25" s="388" t="s">
        <v>612</v>
      </c>
      <c r="C25" s="396">
        <v>75</v>
      </c>
      <c r="D25" s="390">
        <f>'[11]Lista de Materiais'!$B$144</f>
        <v>6.37</v>
      </c>
      <c r="E25" s="391" t="s">
        <v>46</v>
      </c>
      <c r="F25" s="392">
        <f>260.25/6</f>
        <v>43.375</v>
      </c>
      <c r="G25" s="393">
        <f>F25*D25</f>
        <v>276.29874999999998</v>
      </c>
      <c r="H25" s="395"/>
      <c r="I25" s="387"/>
    </row>
    <row r="26" spans="1:9" ht="21.75" x14ac:dyDescent="0.6">
      <c r="A26" s="374"/>
      <c r="B26" s="388" t="s">
        <v>612</v>
      </c>
      <c r="C26" s="396">
        <v>85</v>
      </c>
      <c r="D26" s="390">
        <f>'[11]Lista de Materiais'!$B$145</f>
        <v>23.18</v>
      </c>
      <c r="E26" s="391" t="s">
        <v>46</v>
      </c>
      <c r="F26" s="392">
        <f>315.03/6</f>
        <v>52.504999999999995</v>
      </c>
      <c r="G26" s="393">
        <f t="shared" ref="G26:G129" si="1">F26*D26</f>
        <v>1217.0658999999998</v>
      </c>
      <c r="H26" s="395"/>
      <c r="I26" s="387"/>
    </row>
    <row r="27" spans="1:9" ht="21.75" x14ac:dyDescent="0.6">
      <c r="A27" s="374"/>
      <c r="B27" s="388" t="s">
        <v>612</v>
      </c>
      <c r="C27" s="396">
        <v>110</v>
      </c>
      <c r="D27" s="397">
        <f>'[11]Lista de Materiais'!$B$139</f>
        <v>14.46</v>
      </c>
      <c r="E27" s="391" t="s">
        <v>46</v>
      </c>
      <c r="F27" s="392">
        <f>553/6</f>
        <v>92.166666666666671</v>
      </c>
      <c r="G27" s="393">
        <f t="shared" si="1"/>
        <v>1332.7300000000002</v>
      </c>
      <c r="H27" s="395"/>
      <c r="I27" s="387"/>
    </row>
    <row r="28" spans="1:9" ht="21.75" x14ac:dyDescent="0.6">
      <c r="A28" s="374"/>
      <c r="B28" s="388" t="s">
        <v>613</v>
      </c>
      <c r="C28" s="396"/>
      <c r="D28" s="397">
        <f>'[11]Lista de Materiais'!$B$10</f>
        <v>1006</v>
      </c>
      <c r="E28" s="391" t="s">
        <v>614</v>
      </c>
      <c r="F28" s="392">
        <v>0.66</v>
      </c>
      <c r="G28" s="393">
        <f t="shared" si="1"/>
        <v>663.96</v>
      </c>
      <c r="H28" s="395"/>
      <c r="I28" s="387"/>
    </row>
    <row r="29" spans="1:9" ht="21.75" x14ac:dyDescent="0.6">
      <c r="A29" s="374"/>
      <c r="B29" s="388" t="s">
        <v>615</v>
      </c>
      <c r="C29" s="396"/>
      <c r="D29" s="397">
        <f>'[11]Lista de Materiais'!$B$11</f>
        <v>553</v>
      </c>
      <c r="E29" s="391" t="s">
        <v>614</v>
      </c>
      <c r="F29" s="392">
        <v>1.66</v>
      </c>
      <c r="G29" s="393">
        <f t="shared" si="1"/>
        <v>917.9799999999999</v>
      </c>
      <c r="H29" s="395"/>
      <c r="I29" s="387"/>
    </row>
    <row r="30" spans="1:9" ht="21.75" x14ac:dyDescent="0.6">
      <c r="A30" s="374"/>
      <c r="B30" s="388" t="s">
        <v>616</v>
      </c>
      <c r="C30" s="396"/>
      <c r="D30" s="397">
        <f>'[11]Lista de Materiais'!$B$12</f>
        <v>3</v>
      </c>
      <c r="E30" s="391" t="s">
        <v>614</v>
      </c>
      <c r="F30" s="392">
        <v>7.75</v>
      </c>
      <c r="G30" s="393">
        <f t="shared" si="1"/>
        <v>23.25</v>
      </c>
      <c r="H30" s="395"/>
      <c r="I30" s="387"/>
    </row>
    <row r="31" spans="1:9" ht="21.75" x14ac:dyDescent="0.6">
      <c r="A31" s="374"/>
      <c r="B31" s="388" t="s">
        <v>617</v>
      </c>
      <c r="C31" s="396"/>
      <c r="D31" s="397">
        <f>'[11]Lista de Materiais'!$B$13</f>
        <v>1</v>
      </c>
      <c r="E31" s="391" t="s">
        <v>614</v>
      </c>
      <c r="F31" s="392">
        <v>2.96</v>
      </c>
      <c r="G31" s="393">
        <f t="shared" si="1"/>
        <v>2.96</v>
      </c>
      <c r="H31" s="395"/>
      <c r="I31" s="387"/>
    </row>
    <row r="32" spans="1:9" ht="21.75" x14ac:dyDescent="0.6">
      <c r="A32" s="374"/>
      <c r="B32" s="388" t="s">
        <v>618</v>
      </c>
      <c r="C32" s="396"/>
      <c r="D32" s="397">
        <f>'[11]Lista de Materiais'!$B$14</f>
        <v>1</v>
      </c>
      <c r="E32" s="391" t="s">
        <v>614</v>
      </c>
      <c r="F32" s="392">
        <v>17.09</v>
      </c>
      <c r="G32" s="393">
        <f t="shared" si="1"/>
        <v>17.09</v>
      </c>
      <c r="H32" s="395"/>
      <c r="I32" s="387"/>
    </row>
    <row r="33" spans="1:9" ht="21.75" x14ac:dyDescent="0.6">
      <c r="A33" s="374"/>
      <c r="B33" s="388" t="s">
        <v>619</v>
      </c>
      <c r="C33" s="396"/>
      <c r="D33" s="397">
        <f>'[11]Lista de Materiais'!$B$15</f>
        <v>3</v>
      </c>
      <c r="E33" s="391" t="s">
        <v>614</v>
      </c>
      <c r="F33" s="392">
        <v>20.170000000000002</v>
      </c>
      <c r="G33" s="393">
        <f t="shared" si="1"/>
        <v>60.510000000000005</v>
      </c>
      <c r="H33" s="395"/>
      <c r="I33" s="387"/>
    </row>
    <row r="34" spans="1:9" ht="21.75" x14ac:dyDescent="0.6">
      <c r="A34" s="374"/>
      <c r="B34" s="388" t="s">
        <v>620</v>
      </c>
      <c r="C34" s="396"/>
      <c r="D34" s="397">
        <f>'[11]Lista de Materiais'!$B$16</f>
        <v>2</v>
      </c>
      <c r="E34" s="391" t="s">
        <v>614</v>
      </c>
      <c r="F34" s="392">
        <v>27.8</v>
      </c>
      <c r="G34" s="393">
        <f t="shared" si="1"/>
        <v>55.6</v>
      </c>
      <c r="H34" s="395"/>
      <c r="I34" s="387"/>
    </row>
    <row r="35" spans="1:9" ht="21.75" x14ac:dyDescent="0.6">
      <c r="A35" s="374"/>
      <c r="B35" s="388" t="s">
        <v>621</v>
      </c>
      <c r="C35" s="396"/>
      <c r="D35" s="397">
        <f>'[11]Lista de Materiais'!$B$31</f>
        <v>2</v>
      </c>
      <c r="E35" s="391" t="s">
        <v>614</v>
      </c>
      <c r="F35" s="392">
        <v>7.24</v>
      </c>
      <c r="G35" s="393">
        <f t="shared" si="1"/>
        <v>14.48</v>
      </c>
      <c r="H35" s="395"/>
      <c r="I35" s="387"/>
    </row>
    <row r="36" spans="1:9" ht="21.75" x14ac:dyDescent="0.6">
      <c r="A36" s="374"/>
      <c r="B36" s="388" t="s">
        <v>622</v>
      </c>
      <c r="C36" s="396"/>
      <c r="D36" s="397">
        <f>'[11]Lista de Materiais'!$B$32</f>
        <v>2</v>
      </c>
      <c r="E36" s="391" t="s">
        <v>614</v>
      </c>
      <c r="F36" s="392">
        <v>12</v>
      </c>
      <c r="G36" s="393">
        <f t="shared" si="1"/>
        <v>24</v>
      </c>
      <c r="H36" s="395"/>
      <c r="I36" s="387"/>
    </row>
    <row r="37" spans="1:9" ht="21.75" x14ac:dyDescent="0.6">
      <c r="A37" s="374"/>
      <c r="B37" s="388" t="s">
        <v>623</v>
      </c>
      <c r="C37" s="396"/>
      <c r="D37" s="397">
        <f>'[11]Lista de Materiais'!$B$33</f>
        <v>12</v>
      </c>
      <c r="E37" s="391" t="s">
        <v>614</v>
      </c>
      <c r="F37" s="392">
        <v>20.53</v>
      </c>
      <c r="G37" s="393">
        <f t="shared" si="1"/>
        <v>246.36</v>
      </c>
      <c r="H37" s="395"/>
      <c r="I37" s="387"/>
    </row>
    <row r="38" spans="1:9" ht="21.75" x14ac:dyDescent="0.6">
      <c r="A38" s="374"/>
      <c r="B38" s="388" t="s">
        <v>624</v>
      </c>
      <c r="C38" s="396"/>
      <c r="D38" s="397">
        <f>'[11]Lista de Materiais'!$B$34</f>
        <v>4</v>
      </c>
      <c r="E38" s="391" t="s">
        <v>614</v>
      </c>
      <c r="F38" s="392">
        <v>26.9</v>
      </c>
      <c r="G38" s="393">
        <f t="shared" si="1"/>
        <v>107.6</v>
      </c>
      <c r="H38" s="395"/>
      <c r="I38" s="387"/>
    </row>
    <row r="39" spans="1:9" ht="21.75" x14ac:dyDescent="0.6">
      <c r="A39" s="374"/>
      <c r="B39" s="388" t="s">
        <v>625</v>
      </c>
      <c r="C39" s="396"/>
      <c r="D39" s="397">
        <f>'[11]Lista de Materiais'!$B$35</f>
        <v>4</v>
      </c>
      <c r="E39" s="391" t="s">
        <v>614</v>
      </c>
      <c r="F39" s="392">
        <v>33.9</v>
      </c>
      <c r="G39" s="393">
        <f t="shared" si="1"/>
        <v>135.6</v>
      </c>
      <c r="H39" s="395"/>
      <c r="I39" s="387"/>
    </row>
    <row r="40" spans="1:9" ht="21.75" x14ac:dyDescent="0.6">
      <c r="A40" s="374"/>
      <c r="B40" s="388" t="s">
        <v>626</v>
      </c>
      <c r="C40" s="396"/>
      <c r="D40" s="397">
        <f>'[11]Lista de Materiais'!$B$36</f>
        <v>2</v>
      </c>
      <c r="E40" s="391" t="s">
        <v>614</v>
      </c>
      <c r="F40" s="392">
        <v>51.8</v>
      </c>
      <c r="G40" s="393">
        <f t="shared" si="1"/>
        <v>103.6</v>
      </c>
      <c r="H40" s="395"/>
      <c r="I40" s="387"/>
    </row>
    <row r="41" spans="1:9" ht="21.75" x14ac:dyDescent="0.6">
      <c r="A41" s="374"/>
      <c r="B41" s="388" t="s">
        <v>627</v>
      </c>
      <c r="C41" s="396"/>
      <c r="D41" s="397">
        <f>'[11]Lista de Materiais'!$B$37</f>
        <v>3</v>
      </c>
      <c r="E41" s="391" t="s">
        <v>614</v>
      </c>
      <c r="F41" s="392">
        <v>68.67</v>
      </c>
      <c r="G41" s="393">
        <f t="shared" si="1"/>
        <v>206.01</v>
      </c>
      <c r="H41" s="395"/>
      <c r="I41" s="387"/>
    </row>
    <row r="42" spans="1:9" ht="21.75" x14ac:dyDescent="0.6">
      <c r="A42" s="374"/>
      <c r="B42" s="388" t="s">
        <v>628</v>
      </c>
      <c r="C42" s="396"/>
      <c r="D42" s="397">
        <f>'[11]Lista de Materiais'!$B$38</f>
        <v>2</v>
      </c>
      <c r="E42" s="391" t="s">
        <v>614</v>
      </c>
      <c r="F42" s="392">
        <v>173.63</v>
      </c>
      <c r="G42" s="393">
        <f t="shared" si="1"/>
        <v>347.26</v>
      </c>
      <c r="H42" s="395"/>
      <c r="I42" s="387"/>
    </row>
    <row r="43" spans="1:9" ht="21.75" x14ac:dyDescent="0.6">
      <c r="A43" s="374"/>
      <c r="B43" s="388" t="s">
        <v>629</v>
      </c>
      <c r="C43" s="396"/>
      <c r="D43" s="397">
        <f>'[11]Lista de Materiais'!$B$39</f>
        <v>133</v>
      </c>
      <c r="E43" s="391" t="s">
        <v>614</v>
      </c>
      <c r="F43" s="392">
        <v>0.73</v>
      </c>
      <c r="G43" s="393">
        <f t="shared" si="1"/>
        <v>97.09</v>
      </c>
      <c r="H43" s="395"/>
      <c r="I43" s="387"/>
    </row>
    <row r="44" spans="1:9" ht="21.75" x14ac:dyDescent="0.6">
      <c r="A44" s="374"/>
      <c r="B44" s="388" t="s">
        <v>630</v>
      </c>
      <c r="C44" s="396"/>
      <c r="D44" s="397">
        <f>'[11]Lista de Materiais'!$B$40</f>
        <v>1</v>
      </c>
      <c r="E44" s="391" t="s">
        <v>614</v>
      </c>
      <c r="F44" s="392">
        <v>3.01</v>
      </c>
      <c r="G44" s="393">
        <f t="shared" si="1"/>
        <v>3.01</v>
      </c>
      <c r="H44" s="395"/>
      <c r="I44" s="387"/>
    </row>
    <row r="45" spans="1:9" ht="21.75" x14ac:dyDescent="0.6">
      <c r="A45" s="374"/>
      <c r="B45" s="388" t="s">
        <v>631</v>
      </c>
      <c r="C45" s="396"/>
      <c r="D45" s="397">
        <f>'[11]Lista de Materiais'!$B$41</f>
        <v>1</v>
      </c>
      <c r="E45" s="391" t="s">
        <v>614</v>
      </c>
      <c r="F45" s="392">
        <v>23.9</v>
      </c>
      <c r="G45" s="393">
        <f t="shared" si="1"/>
        <v>23.9</v>
      </c>
      <c r="H45" s="395"/>
      <c r="I45" s="387"/>
    </row>
    <row r="46" spans="1:9" ht="21.75" x14ac:dyDescent="0.6">
      <c r="A46" s="374"/>
      <c r="B46" s="388" t="s">
        <v>632</v>
      </c>
      <c r="C46" s="396"/>
      <c r="D46" s="397">
        <f>'[11]Lista de Materiais'!$B$19</f>
        <v>2</v>
      </c>
      <c r="E46" s="391" t="s">
        <v>633</v>
      </c>
      <c r="F46" s="392">
        <v>128.21</v>
      </c>
      <c r="G46" s="393">
        <f t="shared" si="1"/>
        <v>256.42</v>
      </c>
      <c r="H46" s="395"/>
      <c r="I46" s="387"/>
    </row>
    <row r="47" spans="1:9" ht="21.75" x14ac:dyDescent="0.6">
      <c r="A47" s="374"/>
      <c r="B47" s="388" t="s">
        <v>634</v>
      </c>
      <c r="C47" s="396"/>
      <c r="D47" s="397">
        <f>'[11]Lista de Materiais'!$B$20</f>
        <v>3</v>
      </c>
      <c r="E47" s="391" t="s">
        <v>633</v>
      </c>
      <c r="F47" s="392">
        <v>23.4</v>
      </c>
      <c r="G47" s="393">
        <f t="shared" si="1"/>
        <v>70.199999999999989</v>
      </c>
      <c r="H47" s="395"/>
      <c r="I47" s="387"/>
    </row>
    <row r="48" spans="1:9" ht="21.75" x14ac:dyDescent="0.6">
      <c r="A48" s="374"/>
      <c r="B48" s="388" t="s">
        <v>635</v>
      </c>
      <c r="C48" s="396"/>
      <c r="D48" s="397">
        <f>'[11]Lista de Materiais'!$B$21</f>
        <v>3</v>
      </c>
      <c r="E48" s="391" t="s">
        <v>633</v>
      </c>
      <c r="F48" s="392">
        <v>100.9</v>
      </c>
      <c r="G48" s="393">
        <f t="shared" si="1"/>
        <v>302.70000000000005</v>
      </c>
      <c r="H48" s="395"/>
      <c r="I48" s="387"/>
    </row>
    <row r="49" spans="1:9" ht="21.75" x14ac:dyDescent="0.6">
      <c r="A49" s="374"/>
      <c r="B49" s="388" t="s">
        <v>636</v>
      </c>
      <c r="C49" s="396"/>
      <c r="D49" s="397">
        <f>'[11]Lista de Materiais'!$B$22</f>
        <v>2</v>
      </c>
      <c r="E49" s="391" t="s">
        <v>633</v>
      </c>
      <c r="F49" s="392">
        <v>27.4</v>
      </c>
      <c r="G49" s="393">
        <f t="shared" si="1"/>
        <v>54.8</v>
      </c>
      <c r="H49" s="395"/>
      <c r="I49" s="387"/>
    </row>
    <row r="50" spans="1:9" ht="21.75" x14ac:dyDescent="0.6">
      <c r="A50" s="374"/>
      <c r="B50" s="388" t="s">
        <v>637</v>
      </c>
      <c r="C50" s="396"/>
      <c r="D50" s="397">
        <f>'[11]Lista de Materiais'!$B$23</f>
        <v>96</v>
      </c>
      <c r="E50" s="391" t="s">
        <v>633</v>
      </c>
      <c r="F50" s="392">
        <v>33.96</v>
      </c>
      <c r="G50" s="393">
        <f t="shared" si="1"/>
        <v>3260.16</v>
      </c>
      <c r="H50" s="395"/>
      <c r="I50" s="387"/>
    </row>
    <row r="51" spans="1:9" ht="21.75" x14ac:dyDescent="0.6">
      <c r="A51" s="374"/>
      <c r="B51" s="388" t="s">
        <v>638</v>
      </c>
      <c r="C51" s="396"/>
      <c r="D51" s="397">
        <f>'[11]Lista de Materiais'!$B$24</f>
        <v>31</v>
      </c>
      <c r="E51" s="391" t="s">
        <v>633</v>
      </c>
      <c r="F51" s="392">
        <v>124.11</v>
      </c>
      <c r="G51" s="393">
        <f t="shared" si="1"/>
        <v>3847.41</v>
      </c>
      <c r="H51" s="395"/>
      <c r="I51" s="387"/>
    </row>
    <row r="52" spans="1:9" ht="21.75" x14ac:dyDescent="0.6">
      <c r="A52" s="374"/>
      <c r="B52" s="388" t="s">
        <v>639</v>
      </c>
      <c r="C52" s="396"/>
      <c r="D52" s="397">
        <f>'[11]Lista de Materiais'!$B$25</f>
        <v>9</v>
      </c>
      <c r="E52" s="391" t="s">
        <v>633</v>
      </c>
      <c r="F52" s="392">
        <v>200.2</v>
      </c>
      <c r="G52" s="393">
        <f t="shared" si="1"/>
        <v>1801.8</v>
      </c>
      <c r="H52" s="395"/>
      <c r="I52" s="387"/>
    </row>
    <row r="53" spans="1:9" ht="21.75" x14ac:dyDescent="0.6">
      <c r="A53" s="374"/>
      <c r="B53" s="388" t="s">
        <v>640</v>
      </c>
      <c r="C53" s="396"/>
      <c r="D53" s="397">
        <f>'[11]Lista de Materiais'!$B$26</f>
        <v>16</v>
      </c>
      <c r="E53" s="391" t="s">
        <v>633</v>
      </c>
      <c r="F53" s="392">
        <v>436</v>
      </c>
      <c r="G53" s="393">
        <f t="shared" si="1"/>
        <v>6976</v>
      </c>
      <c r="H53" s="395"/>
      <c r="I53" s="387"/>
    </row>
    <row r="54" spans="1:9" ht="21.75" x14ac:dyDescent="0.6">
      <c r="A54" s="374"/>
      <c r="B54" s="388" t="s">
        <v>641</v>
      </c>
      <c r="C54" s="396"/>
      <c r="D54" s="397">
        <f>'[11]Lista de Materiais'!$B$27</f>
        <v>4</v>
      </c>
      <c r="E54" s="391" t="s">
        <v>633</v>
      </c>
      <c r="F54" s="392">
        <v>504.51</v>
      </c>
      <c r="G54" s="393">
        <f t="shared" si="1"/>
        <v>2018.04</v>
      </c>
      <c r="H54" s="395"/>
      <c r="I54" s="387"/>
    </row>
    <row r="55" spans="1:9" ht="21.75" x14ac:dyDescent="0.6">
      <c r="A55" s="374"/>
      <c r="B55" s="388" t="s">
        <v>642</v>
      </c>
      <c r="C55" s="396"/>
      <c r="D55" s="397">
        <f>'[11]Lista de Materiais'!$B$46</f>
        <v>23</v>
      </c>
      <c r="E55" s="391" t="s">
        <v>614</v>
      </c>
      <c r="F55" s="392">
        <v>6.23</v>
      </c>
      <c r="G55" s="393">
        <f t="shared" si="1"/>
        <v>143.29000000000002</v>
      </c>
      <c r="H55" s="395"/>
      <c r="I55" s="387"/>
    </row>
    <row r="56" spans="1:9" ht="21.75" x14ac:dyDescent="0.6">
      <c r="A56" s="374"/>
      <c r="B56" s="388" t="s">
        <v>643</v>
      </c>
      <c r="C56" s="396"/>
      <c r="D56" s="397">
        <f>'[11]Lista de Materiais'!$B$47</f>
        <v>6</v>
      </c>
      <c r="E56" s="391" t="s">
        <v>614</v>
      </c>
      <c r="F56" s="392">
        <v>12.74</v>
      </c>
      <c r="G56" s="393">
        <f t="shared" si="1"/>
        <v>76.44</v>
      </c>
      <c r="H56" s="395"/>
      <c r="I56" s="387"/>
    </row>
    <row r="57" spans="1:9" ht="21.75" x14ac:dyDescent="0.6">
      <c r="A57" s="374"/>
      <c r="B57" s="388" t="s">
        <v>644</v>
      </c>
      <c r="C57" s="396"/>
      <c r="D57" s="397">
        <f>'[11]Lista de Materiais'!$B$49</f>
        <v>346</v>
      </c>
      <c r="E57" s="391" t="s">
        <v>614</v>
      </c>
      <c r="F57" s="392">
        <v>10.36</v>
      </c>
      <c r="G57" s="393">
        <f t="shared" si="1"/>
        <v>3584.56</v>
      </c>
      <c r="H57" s="395"/>
      <c r="I57" s="387"/>
    </row>
    <row r="58" spans="1:9" ht="21.75" x14ac:dyDescent="0.6">
      <c r="A58" s="374"/>
      <c r="B58" s="388" t="s">
        <v>645</v>
      </c>
      <c r="C58" s="396"/>
      <c r="D58" s="397">
        <f>'[11]Lista de Materiais'!$B$50</f>
        <v>105</v>
      </c>
      <c r="E58" s="391" t="s">
        <v>614</v>
      </c>
      <c r="F58" s="392">
        <v>14.87</v>
      </c>
      <c r="G58" s="393">
        <f t="shared" si="1"/>
        <v>1561.35</v>
      </c>
      <c r="H58" s="395"/>
      <c r="I58" s="387"/>
    </row>
    <row r="59" spans="1:9" ht="21.75" x14ac:dyDescent="0.6">
      <c r="A59" s="374"/>
      <c r="B59" s="388" t="s">
        <v>646</v>
      </c>
      <c r="C59" s="396"/>
      <c r="D59" s="397">
        <f>'[11]Lista de Materiais'!$B$60</f>
        <v>6</v>
      </c>
      <c r="E59" s="391" t="s">
        <v>614</v>
      </c>
      <c r="F59" s="392">
        <v>13.99</v>
      </c>
      <c r="G59" s="393">
        <f t="shared" si="1"/>
        <v>83.94</v>
      </c>
      <c r="H59" s="395"/>
      <c r="I59" s="387"/>
    </row>
    <row r="60" spans="1:9" ht="21.75" x14ac:dyDescent="0.6">
      <c r="A60" s="374"/>
      <c r="B60" s="388" t="s">
        <v>647</v>
      </c>
      <c r="C60" s="396"/>
      <c r="D60" s="397">
        <f>'[11]Lista de Materiais'!$B$61</f>
        <v>2</v>
      </c>
      <c r="E60" s="391" t="s">
        <v>614</v>
      </c>
      <c r="F60" s="392">
        <v>20.3</v>
      </c>
      <c r="G60" s="393">
        <f t="shared" si="1"/>
        <v>40.6</v>
      </c>
      <c r="H60" s="395"/>
      <c r="I60" s="387"/>
    </row>
    <row r="61" spans="1:9" ht="21.75" x14ac:dyDescent="0.6">
      <c r="A61" s="374"/>
      <c r="B61" s="388" t="s">
        <v>648</v>
      </c>
      <c r="C61" s="396"/>
      <c r="D61" s="397">
        <f>'[11]Lista de Materiais'!$B$62</f>
        <v>1</v>
      </c>
      <c r="E61" s="391" t="s">
        <v>614</v>
      </c>
      <c r="F61" s="392">
        <v>1.23</v>
      </c>
      <c r="G61" s="393">
        <f t="shared" si="1"/>
        <v>1.23</v>
      </c>
      <c r="H61" s="395"/>
      <c r="I61" s="387"/>
    </row>
    <row r="62" spans="1:9" ht="21.75" x14ac:dyDescent="0.6">
      <c r="A62" s="374"/>
      <c r="B62" s="388" t="s">
        <v>649</v>
      </c>
      <c r="C62" s="396"/>
      <c r="D62" s="397">
        <f>'[11]Lista de Materiais'!$B$63</f>
        <v>106</v>
      </c>
      <c r="E62" s="391" t="s">
        <v>614</v>
      </c>
      <c r="F62" s="392">
        <v>4.74</v>
      </c>
      <c r="G62" s="393">
        <f t="shared" si="1"/>
        <v>502.44</v>
      </c>
      <c r="H62" s="395"/>
      <c r="I62" s="387"/>
    </row>
    <row r="63" spans="1:9" ht="21.75" x14ac:dyDescent="0.6">
      <c r="A63" s="374"/>
      <c r="B63" s="388" t="s">
        <v>650</v>
      </c>
      <c r="C63" s="396"/>
      <c r="D63" s="397">
        <f>'[11]Lista de Materiais'!$B$64</f>
        <v>4</v>
      </c>
      <c r="E63" s="391" t="s">
        <v>614</v>
      </c>
      <c r="F63" s="392">
        <v>6.9</v>
      </c>
      <c r="G63" s="393">
        <f t="shared" si="1"/>
        <v>27.6</v>
      </c>
      <c r="H63" s="395"/>
      <c r="I63" s="387"/>
    </row>
    <row r="64" spans="1:9" ht="21.75" x14ac:dyDescent="0.6">
      <c r="A64" s="374"/>
      <c r="B64" s="388" t="s">
        <v>651</v>
      </c>
      <c r="C64" s="396"/>
      <c r="D64" s="397">
        <f>'[11]Lista de Materiais'!$B$65</f>
        <v>2</v>
      </c>
      <c r="E64" s="391" t="s">
        <v>614</v>
      </c>
      <c r="F64" s="392">
        <v>67.22</v>
      </c>
      <c r="G64" s="393">
        <f t="shared" si="1"/>
        <v>134.44</v>
      </c>
      <c r="H64" s="395"/>
      <c r="I64" s="387"/>
    </row>
    <row r="65" spans="1:9" ht="21.75" x14ac:dyDescent="0.6">
      <c r="A65" s="374"/>
      <c r="B65" s="388" t="s">
        <v>652</v>
      </c>
      <c r="C65" s="396"/>
      <c r="D65" s="397">
        <f>'[11]Lista de Materiais'!$B$66</f>
        <v>4</v>
      </c>
      <c r="E65" s="391" t="s">
        <v>614</v>
      </c>
      <c r="F65" s="392">
        <v>339.9</v>
      </c>
      <c r="G65" s="393">
        <f t="shared" si="1"/>
        <v>1359.6</v>
      </c>
      <c r="H65" s="395"/>
      <c r="I65" s="387"/>
    </row>
    <row r="66" spans="1:9" ht="21.75" x14ac:dyDescent="0.6">
      <c r="A66" s="374"/>
      <c r="B66" s="388" t="s">
        <v>653</v>
      </c>
      <c r="C66" s="396"/>
      <c r="D66" s="397">
        <f>'[11]Lista de Materiais'!$B$67</f>
        <v>22</v>
      </c>
      <c r="E66" s="391" t="s">
        <v>614</v>
      </c>
      <c r="F66" s="392">
        <v>6.4</v>
      </c>
      <c r="G66" s="393">
        <f t="shared" si="1"/>
        <v>140.80000000000001</v>
      </c>
      <c r="H66" s="395"/>
      <c r="I66" s="387"/>
    </row>
    <row r="67" spans="1:9" ht="21.75" x14ac:dyDescent="0.6">
      <c r="A67" s="374"/>
      <c r="B67" s="388" t="s">
        <v>654</v>
      </c>
      <c r="C67" s="396"/>
      <c r="D67" s="397">
        <f>'[11]Lista de Materiais'!$B$68</f>
        <v>14</v>
      </c>
      <c r="E67" s="391" t="s">
        <v>614</v>
      </c>
      <c r="F67" s="392">
        <v>13.9</v>
      </c>
      <c r="G67" s="393">
        <f t="shared" si="1"/>
        <v>194.6</v>
      </c>
      <c r="H67" s="395"/>
      <c r="I67" s="387"/>
    </row>
    <row r="68" spans="1:9" ht="21.75" x14ac:dyDescent="0.6">
      <c r="A68" s="374"/>
      <c r="B68" s="388" t="s">
        <v>655</v>
      </c>
      <c r="C68" s="396"/>
      <c r="D68" s="397">
        <f>'[11]Lista de Materiais'!$B$69</f>
        <v>1</v>
      </c>
      <c r="E68" s="391" t="s">
        <v>614</v>
      </c>
      <c r="F68" s="392">
        <v>21.67</v>
      </c>
      <c r="G68" s="393">
        <f t="shared" si="1"/>
        <v>21.67</v>
      </c>
      <c r="H68" s="395"/>
      <c r="I68" s="387"/>
    </row>
    <row r="69" spans="1:9" ht="21.75" x14ac:dyDescent="0.6">
      <c r="A69" s="374"/>
      <c r="B69" s="388" t="s">
        <v>656</v>
      </c>
      <c r="C69" s="396"/>
      <c r="D69" s="397">
        <f>'[11]Lista de Materiais'!$B$70</f>
        <v>13</v>
      </c>
      <c r="E69" s="391" t="s">
        <v>614</v>
      </c>
      <c r="F69" s="392">
        <v>31.9</v>
      </c>
      <c r="G69" s="393">
        <f t="shared" si="1"/>
        <v>414.7</v>
      </c>
      <c r="H69" s="395"/>
      <c r="I69" s="387"/>
    </row>
    <row r="70" spans="1:9" ht="21.75" x14ac:dyDescent="0.6">
      <c r="A70" s="374"/>
      <c r="B70" s="388" t="s">
        <v>657</v>
      </c>
      <c r="C70" s="396"/>
      <c r="D70" s="397">
        <f>'[11]Lista de Materiais'!$B$71</f>
        <v>20</v>
      </c>
      <c r="E70" s="391" t="s">
        <v>614</v>
      </c>
      <c r="F70" s="392">
        <v>45.21</v>
      </c>
      <c r="G70" s="393">
        <f t="shared" si="1"/>
        <v>904.2</v>
      </c>
      <c r="H70" s="395"/>
      <c r="I70" s="387"/>
    </row>
    <row r="71" spans="1:9" ht="21.75" x14ac:dyDescent="0.6">
      <c r="A71" s="374"/>
      <c r="B71" s="388" t="s">
        <v>658</v>
      </c>
      <c r="C71" s="396"/>
      <c r="D71" s="397">
        <f>'[11]Lista de Materiais'!$B$72</f>
        <v>6</v>
      </c>
      <c r="E71" s="391" t="s">
        <v>614</v>
      </c>
      <c r="F71" s="392">
        <v>249.49</v>
      </c>
      <c r="G71" s="393">
        <f t="shared" si="1"/>
        <v>1496.94</v>
      </c>
      <c r="H71" s="395"/>
      <c r="I71" s="387"/>
    </row>
    <row r="72" spans="1:9" ht="21.75" x14ac:dyDescent="0.6">
      <c r="A72" s="374"/>
      <c r="B72" s="388" t="s">
        <v>659</v>
      </c>
      <c r="C72" s="396"/>
      <c r="D72" s="397">
        <f>'[11]Lista de Materiais'!$B$73</f>
        <v>630</v>
      </c>
      <c r="E72" s="391" t="s">
        <v>614</v>
      </c>
      <c r="F72" s="392">
        <v>8.1</v>
      </c>
      <c r="G72" s="393">
        <f t="shared" si="1"/>
        <v>5103</v>
      </c>
      <c r="H72" s="395"/>
      <c r="I72" s="387"/>
    </row>
    <row r="73" spans="1:9" ht="21.75" x14ac:dyDescent="0.6">
      <c r="A73" s="374"/>
      <c r="B73" s="388" t="s">
        <v>660</v>
      </c>
      <c r="C73" s="396"/>
      <c r="D73" s="397">
        <f>'[11]Lista de Materiais'!$B$76</f>
        <v>2652</v>
      </c>
      <c r="E73" s="391" t="s">
        <v>614</v>
      </c>
      <c r="F73" s="392">
        <v>0.53</v>
      </c>
      <c r="G73" s="393">
        <f t="shared" si="1"/>
        <v>1405.5600000000002</v>
      </c>
      <c r="H73" s="395"/>
      <c r="I73" s="387"/>
    </row>
    <row r="74" spans="1:9" ht="21.75" x14ac:dyDescent="0.6">
      <c r="A74" s="374"/>
      <c r="B74" s="388" t="s">
        <v>661</v>
      </c>
      <c r="C74" s="396"/>
      <c r="D74" s="397">
        <f>'[11]Lista de Materiais'!$B$77</f>
        <v>510</v>
      </c>
      <c r="E74" s="391" t="s">
        <v>614</v>
      </c>
      <c r="F74" s="392">
        <v>3.19</v>
      </c>
      <c r="G74" s="393">
        <f t="shared" si="1"/>
        <v>1626.8999999999999</v>
      </c>
      <c r="H74" s="395"/>
      <c r="I74" s="387"/>
    </row>
    <row r="75" spans="1:9" ht="21.75" x14ac:dyDescent="0.6">
      <c r="A75" s="374"/>
      <c r="B75" s="388" t="s">
        <v>662</v>
      </c>
      <c r="C75" s="396"/>
      <c r="D75" s="397">
        <f>'[11]Lista de Materiais'!$B$78</f>
        <v>6</v>
      </c>
      <c r="E75" s="391" t="s">
        <v>614</v>
      </c>
      <c r="F75" s="392">
        <v>6.65</v>
      </c>
      <c r="G75" s="393">
        <f t="shared" si="1"/>
        <v>39.900000000000006</v>
      </c>
      <c r="H75" s="395"/>
      <c r="I75" s="387"/>
    </row>
    <row r="76" spans="1:9" ht="21.75" x14ac:dyDescent="0.6">
      <c r="A76" s="374"/>
      <c r="B76" s="388" t="s">
        <v>663</v>
      </c>
      <c r="C76" s="396"/>
      <c r="D76" s="397">
        <f>'[11]Lista de Materiais'!$B$79</f>
        <v>5</v>
      </c>
      <c r="E76" s="391" t="s">
        <v>614</v>
      </c>
      <c r="F76" s="392">
        <v>49.88</v>
      </c>
      <c r="G76" s="393">
        <f t="shared" si="1"/>
        <v>249.4</v>
      </c>
      <c r="H76" s="395"/>
      <c r="I76" s="387"/>
    </row>
    <row r="77" spans="1:9" ht="21.75" x14ac:dyDescent="0.6">
      <c r="A77" s="374"/>
      <c r="B77" s="388" t="s">
        <v>664</v>
      </c>
      <c r="C77" s="396"/>
      <c r="D77" s="397">
        <f>'[11]Lista de Materiais'!$B$80</f>
        <v>1</v>
      </c>
      <c r="E77" s="391" t="s">
        <v>614</v>
      </c>
      <c r="F77" s="392">
        <v>61.71</v>
      </c>
      <c r="G77" s="393">
        <f t="shared" si="1"/>
        <v>61.71</v>
      </c>
      <c r="H77" s="395"/>
      <c r="I77" s="387"/>
    </row>
    <row r="78" spans="1:9" ht="21.75" x14ac:dyDescent="0.6">
      <c r="A78" s="374"/>
      <c r="B78" s="388" t="s">
        <v>665</v>
      </c>
      <c r="C78" s="396"/>
      <c r="D78" s="397">
        <f>'[11]Lista de Materiais'!$B$81</f>
        <v>3</v>
      </c>
      <c r="E78" s="391" t="s">
        <v>614</v>
      </c>
      <c r="F78" s="392">
        <v>137.21</v>
      </c>
      <c r="G78" s="393">
        <f t="shared" si="1"/>
        <v>411.63</v>
      </c>
      <c r="H78" s="395"/>
      <c r="I78" s="387"/>
    </row>
    <row r="79" spans="1:9" ht="21.75" x14ac:dyDescent="0.6">
      <c r="A79" s="374"/>
      <c r="B79" s="388" t="s">
        <v>666</v>
      </c>
      <c r="C79" s="396"/>
      <c r="D79" s="397">
        <f>'[11]Lista de Materiais'!$B$82</f>
        <v>82</v>
      </c>
      <c r="E79" s="391" t="s">
        <v>614</v>
      </c>
      <c r="F79" s="392">
        <v>5.62</v>
      </c>
      <c r="G79" s="393">
        <f t="shared" si="1"/>
        <v>460.84000000000003</v>
      </c>
      <c r="H79" s="395"/>
      <c r="I79" s="387"/>
    </row>
    <row r="80" spans="1:9" ht="21.75" x14ac:dyDescent="0.6">
      <c r="A80" s="374"/>
      <c r="B80" s="388" t="s">
        <v>667</v>
      </c>
      <c r="C80" s="396"/>
      <c r="D80" s="397">
        <f>'[11]Lista de Materiais'!$B$83</f>
        <v>42</v>
      </c>
      <c r="E80" s="391" t="s">
        <v>614</v>
      </c>
      <c r="F80" s="392">
        <v>8.9</v>
      </c>
      <c r="G80" s="393">
        <f t="shared" si="1"/>
        <v>373.8</v>
      </c>
      <c r="H80" s="395"/>
      <c r="I80" s="387"/>
    </row>
    <row r="81" spans="1:9" ht="21.75" x14ac:dyDescent="0.6">
      <c r="A81" s="374"/>
      <c r="B81" s="388" t="s">
        <v>668</v>
      </c>
      <c r="C81" s="396"/>
      <c r="D81" s="397">
        <f>'[11]Lista de Materiais'!$B$89</f>
        <v>1</v>
      </c>
      <c r="E81" s="391" t="s">
        <v>614</v>
      </c>
      <c r="F81" s="392">
        <v>6.21</v>
      </c>
      <c r="G81" s="393">
        <f t="shared" si="1"/>
        <v>6.21</v>
      </c>
      <c r="H81" s="395"/>
      <c r="I81" s="387"/>
    </row>
    <row r="82" spans="1:9" ht="21.75" x14ac:dyDescent="0.6">
      <c r="A82" s="374"/>
      <c r="B82" s="388" t="s">
        <v>669</v>
      </c>
      <c r="C82" s="396"/>
      <c r="D82" s="397">
        <f>'[11]Lista de Materiais'!$B$92</f>
        <v>1</v>
      </c>
      <c r="E82" s="391" t="s">
        <v>614</v>
      </c>
      <c r="F82" s="392">
        <v>3.61</v>
      </c>
      <c r="G82" s="393">
        <f t="shared" si="1"/>
        <v>3.61</v>
      </c>
      <c r="H82" s="395"/>
      <c r="I82" s="387"/>
    </row>
    <row r="83" spans="1:9" ht="21.75" x14ac:dyDescent="0.6">
      <c r="A83" s="374"/>
      <c r="B83" s="388" t="s">
        <v>670</v>
      </c>
      <c r="C83" s="396"/>
      <c r="D83" s="397">
        <f>'[11]Lista de Materiais'!$B$93</f>
        <v>1</v>
      </c>
      <c r="E83" s="391" t="s">
        <v>614</v>
      </c>
      <c r="F83" s="392">
        <v>4.38</v>
      </c>
      <c r="G83" s="393">
        <f t="shared" si="1"/>
        <v>4.38</v>
      </c>
      <c r="H83" s="395"/>
      <c r="I83" s="387"/>
    </row>
    <row r="84" spans="1:9" ht="21.75" x14ac:dyDescent="0.6">
      <c r="A84" s="374"/>
      <c r="B84" s="388" t="s">
        <v>671</v>
      </c>
      <c r="C84" s="396"/>
      <c r="D84" s="397">
        <f>'[11]Lista de Materiais'!$B$117</f>
        <v>2</v>
      </c>
      <c r="E84" s="391" t="s">
        <v>614</v>
      </c>
      <c r="F84" s="392">
        <v>11.1</v>
      </c>
      <c r="G84" s="393">
        <f t="shared" si="1"/>
        <v>22.2</v>
      </c>
      <c r="H84" s="395"/>
      <c r="I84" s="387"/>
    </row>
    <row r="85" spans="1:9" ht="21.75" x14ac:dyDescent="0.6">
      <c r="A85" s="374"/>
      <c r="B85" s="388" t="s">
        <v>672</v>
      </c>
      <c r="C85" s="396"/>
      <c r="D85" s="397">
        <f>'[11]Lista de Materiais'!$B$118</f>
        <v>90</v>
      </c>
      <c r="E85" s="391" t="s">
        <v>614</v>
      </c>
      <c r="F85" s="392">
        <v>11.35</v>
      </c>
      <c r="G85" s="393">
        <f t="shared" si="1"/>
        <v>1021.5</v>
      </c>
      <c r="H85" s="395"/>
      <c r="I85" s="387"/>
    </row>
    <row r="86" spans="1:9" ht="21.75" x14ac:dyDescent="0.6">
      <c r="A86" s="374"/>
      <c r="B86" s="388" t="s">
        <v>673</v>
      </c>
      <c r="C86" s="396"/>
      <c r="D86" s="397">
        <f>'[11]Lista de Materiais'!$B$119</f>
        <v>3</v>
      </c>
      <c r="E86" s="391" t="s">
        <v>614</v>
      </c>
      <c r="F86" s="392">
        <v>26.9</v>
      </c>
      <c r="G86" s="393">
        <f t="shared" si="1"/>
        <v>80.699999999999989</v>
      </c>
      <c r="H86" s="395"/>
      <c r="I86" s="387"/>
    </row>
    <row r="87" spans="1:9" ht="21.75" x14ac:dyDescent="0.6">
      <c r="A87" s="374"/>
      <c r="B87" s="388" t="s">
        <v>674</v>
      </c>
      <c r="C87" s="396"/>
      <c r="D87" s="397">
        <f>'[11]Lista de Materiais'!$B$120</f>
        <v>7</v>
      </c>
      <c r="E87" s="391" t="s">
        <v>614</v>
      </c>
      <c r="F87" s="392">
        <v>30.74</v>
      </c>
      <c r="G87" s="393">
        <f t="shared" si="1"/>
        <v>215.17999999999998</v>
      </c>
      <c r="H87" s="395"/>
      <c r="I87" s="387"/>
    </row>
    <row r="88" spans="1:9" ht="21.75" x14ac:dyDescent="0.6">
      <c r="A88" s="374"/>
      <c r="B88" s="388" t="s">
        <v>675</v>
      </c>
      <c r="C88" s="396"/>
      <c r="D88" s="397">
        <f>'[11]Lista de Materiais'!$B$121</f>
        <v>1</v>
      </c>
      <c r="E88" s="391" t="s">
        <v>614</v>
      </c>
      <c r="F88" s="392">
        <v>75.94</v>
      </c>
      <c r="G88" s="393">
        <f t="shared" si="1"/>
        <v>75.94</v>
      </c>
      <c r="H88" s="395"/>
      <c r="I88" s="387"/>
    </row>
    <row r="89" spans="1:9" ht="21.75" x14ac:dyDescent="0.6">
      <c r="A89" s="374"/>
      <c r="B89" s="388" t="s">
        <v>676</v>
      </c>
      <c r="C89" s="396"/>
      <c r="D89" s="397">
        <f>'[11]Lista de Materiais'!$B$122</f>
        <v>10</v>
      </c>
      <c r="E89" s="391" t="s">
        <v>614</v>
      </c>
      <c r="F89" s="392">
        <v>109.9</v>
      </c>
      <c r="G89" s="393">
        <f t="shared" si="1"/>
        <v>1099</v>
      </c>
      <c r="H89" s="395"/>
      <c r="I89" s="387"/>
    </row>
    <row r="90" spans="1:9" ht="21.75" x14ac:dyDescent="0.6">
      <c r="A90" s="374"/>
      <c r="B90" s="388" t="s">
        <v>677</v>
      </c>
      <c r="C90" s="396"/>
      <c r="D90" s="397">
        <f>'[11]Lista de Materiais'!$B$123</f>
        <v>4</v>
      </c>
      <c r="E90" s="391" t="s">
        <v>614</v>
      </c>
      <c r="F90" s="392">
        <v>167.47</v>
      </c>
      <c r="G90" s="393">
        <f t="shared" si="1"/>
        <v>669.88</v>
      </c>
      <c r="H90" s="395"/>
      <c r="I90" s="387"/>
    </row>
    <row r="91" spans="1:9" ht="21.75" x14ac:dyDescent="0.6">
      <c r="A91" s="374"/>
      <c r="B91" s="388" t="s">
        <v>678</v>
      </c>
      <c r="C91" s="396"/>
      <c r="D91" s="397">
        <f>'[11]Lista de Materiais'!$B$124</f>
        <v>343</v>
      </c>
      <c r="E91" s="391" t="s">
        <v>614</v>
      </c>
      <c r="F91" s="392">
        <v>5.74</v>
      </c>
      <c r="G91" s="393">
        <f t="shared" si="1"/>
        <v>1968.8200000000002</v>
      </c>
      <c r="H91" s="395"/>
      <c r="I91" s="387"/>
    </row>
    <row r="92" spans="1:9" ht="21.75" x14ac:dyDescent="0.6">
      <c r="A92" s="374"/>
      <c r="B92" s="388" t="s">
        <v>679</v>
      </c>
      <c r="C92" s="396"/>
      <c r="D92" s="397">
        <f>'[11]Lista de Materiais'!$B$125</f>
        <v>1</v>
      </c>
      <c r="E92" s="391" t="s">
        <v>614</v>
      </c>
      <c r="F92" s="392">
        <v>18.600000000000001</v>
      </c>
      <c r="G92" s="393">
        <f t="shared" si="1"/>
        <v>18.600000000000001</v>
      </c>
      <c r="H92" s="395"/>
      <c r="I92" s="387"/>
    </row>
    <row r="93" spans="1:9" ht="21.75" x14ac:dyDescent="0.6">
      <c r="A93" s="374"/>
      <c r="B93" s="388" t="s">
        <v>680</v>
      </c>
      <c r="C93" s="396"/>
      <c r="D93" s="397">
        <f>'[11]Lista de Materiais'!$B$108</f>
        <v>8</v>
      </c>
      <c r="E93" s="391" t="s">
        <v>614</v>
      </c>
      <c r="F93" s="392">
        <v>30.1</v>
      </c>
      <c r="G93" s="393">
        <f t="shared" si="1"/>
        <v>240.8</v>
      </c>
      <c r="H93" s="395"/>
      <c r="I93" s="387"/>
    </row>
    <row r="94" spans="1:9" ht="21.75" x14ac:dyDescent="0.6">
      <c r="A94" s="374"/>
      <c r="B94" s="388" t="s">
        <v>681</v>
      </c>
      <c r="C94" s="396"/>
      <c r="D94" s="397">
        <f>'[11]Lista de Materiais'!$B$109</f>
        <v>4</v>
      </c>
      <c r="E94" s="391" t="s">
        <v>614</v>
      </c>
      <c r="F94" s="392">
        <v>58.91</v>
      </c>
      <c r="G94" s="393">
        <f t="shared" si="1"/>
        <v>235.64</v>
      </c>
      <c r="H94" s="395"/>
      <c r="I94" s="387"/>
    </row>
    <row r="95" spans="1:9" ht="21.75" x14ac:dyDescent="0.6">
      <c r="A95" s="374"/>
      <c r="B95" s="388" t="s">
        <v>682</v>
      </c>
      <c r="C95" s="396"/>
      <c r="D95" s="397">
        <f>'[11]Lista de Materiais'!$B$110</f>
        <v>3</v>
      </c>
      <c r="E95" s="391" t="s">
        <v>614</v>
      </c>
      <c r="F95" s="392">
        <v>71.209999999999994</v>
      </c>
      <c r="G95" s="393">
        <f t="shared" si="1"/>
        <v>213.63</v>
      </c>
      <c r="H95" s="395"/>
      <c r="I95" s="387"/>
    </row>
    <row r="96" spans="1:9" ht="21.75" x14ac:dyDescent="0.6">
      <c r="A96" s="374"/>
      <c r="B96" s="388" t="s">
        <v>683</v>
      </c>
      <c r="C96" s="396"/>
      <c r="D96" s="397">
        <f>'[11]Lista de Materiais'!$B$111</f>
        <v>2</v>
      </c>
      <c r="E96" s="391" t="s">
        <v>614</v>
      </c>
      <c r="F96" s="392">
        <v>119.18</v>
      </c>
      <c r="G96" s="393">
        <f t="shared" si="1"/>
        <v>238.36</v>
      </c>
      <c r="H96" s="395"/>
      <c r="I96" s="387"/>
    </row>
    <row r="97" spans="1:9" ht="21.75" x14ac:dyDescent="0.6">
      <c r="A97" s="374"/>
      <c r="B97" s="388" t="s">
        <v>684</v>
      </c>
      <c r="C97" s="396"/>
      <c r="D97" s="397">
        <f>'[11]Lista de Materiais'!$B$112</f>
        <v>460</v>
      </c>
      <c r="E97" s="391" t="s">
        <v>614</v>
      </c>
      <c r="F97" s="392">
        <v>1.03</v>
      </c>
      <c r="G97" s="393">
        <f t="shared" si="1"/>
        <v>473.8</v>
      </c>
      <c r="H97" s="395"/>
      <c r="I97" s="387"/>
    </row>
    <row r="98" spans="1:9" ht="21.75" x14ac:dyDescent="0.6">
      <c r="A98" s="374"/>
      <c r="B98" s="388" t="s">
        <v>685</v>
      </c>
      <c r="C98" s="396"/>
      <c r="D98" s="397">
        <f>'[11]Lista de Materiais'!$B$113</f>
        <v>131</v>
      </c>
      <c r="E98" s="391" t="s">
        <v>614</v>
      </c>
      <c r="F98" s="392">
        <v>2.73</v>
      </c>
      <c r="G98" s="393">
        <f t="shared" si="1"/>
        <v>357.63</v>
      </c>
      <c r="H98" s="395"/>
      <c r="I98" s="387"/>
    </row>
    <row r="99" spans="1:9" ht="21.75" x14ac:dyDescent="0.6">
      <c r="A99" s="374"/>
      <c r="B99" s="388" t="s">
        <v>686</v>
      </c>
      <c r="C99" s="396"/>
      <c r="D99" s="397">
        <f>'[11]Lista de Materiais'!$B$114</f>
        <v>1</v>
      </c>
      <c r="E99" s="391" t="s">
        <v>614</v>
      </c>
      <c r="F99" s="392">
        <v>8.32</v>
      </c>
      <c r="G99" s="393">
        <f t="shared" si="1"/>
        <v>8.32</v>
      </c>
      <c r="H99" s="395"/>
      <c r="I99" s="387"/>
    </row>
    <row r="100" spans="1:9" ht="21.75" x14ac:dyDescent="0.6">
      <c r="A100" s="374"/>
      <c r="B100" s="388" t="s">
        <v>687</v>
      </c>
      <c r="C100" s="396"/>
      <c r="D100" s="397">
        <f>'[11]Lista de Materiais'!$B$115</f>
        <v>1</v>
      </c>
      <c r="E100" s="391" t="s">
        <v>614</v>
      </c>
      <c r="F100" s="392">
        <v>32.9</v>
      </c>
      <c r="G100" s="393">
        <f t="shared" si="1"/>
        <v>32.9</v>
      </c>
      <c r="H100" s="395"/>
      <c r="I100" s="387"/>
    </row>
    <row r="101" spans="1:9" ht="21.75" x14ac:dyDescent="0.6">
      <c r="A101" s="374"/>
      <c r="B101" s="388" t="s">
        <v>688</v>
      </c>
      <c r="C101" s="396"/>
      <c r="D101" s="397">
        <f>'[11]Lista de Materiais'!$B$96</f>
        <v>4</v>
      </c>
      <c r="E101" s="391" t="s">
        <v>614</v>
      </c>
      <c r="F101" s="392">
        <v>20.3</v>
      </c>
      <c r="G101" s="393">
        <f t="shared" si="1"/>
        <v>81.2</v>
      </c>
      <c r="H101" s="395"/>
      <c r="I101" s="387"/>
    </row>
    <row r="102" spans="1:9" ht="21.75" x14ac:dyDescent="0.6">
      <c r="A102" s="374"/>
      <c r="B102" s="388" t="s">
        <v>689</v>
      </c>
      <c r="C102" s="396"/>
      <c r="D102" s="397">
        <f>'[11]Lista de Materiais'!$B$97</f>
        <v>1</v>
      </c>
      <c r="E102" s="391" t="s">
        <v>614</v>
      </c>
      <c r="F102" s="392">
        <v>27.37</v>
      </c>
      <c r="G102" s="393">
        <f t="shared" si="1"/>
        <v>27.37</v>
      </c>
      <c r="H102" s="395"/>
      <c r="I102" s="387"/>
    </row>
    <row r="103" spans="1:9" ht="21.75" x14ac:dyDescent="0.6">
      <c r="A103" s="374"/>
      <c r="B103" s="388" t="s">
        <v>690</v>
      </c>
      <c r="C103" s="396"/>
      <c r="D103" s="397">
        <f>'[11]Lista de Materiais'!$B$98</f>
        <v>840</v>
      </c>
      <c r="E103" s="391" t="s">
        <v>614</v>
      </c>
      <c r="F103" s="392">
        <v>43.9</v>
      </c>
      <c r="G103" s="393">
        <f t="shared" si="1"/>
        <v>36876</v>
      </c>
      <c r="H103" s="395"/>
      <c r="I103" s="387"/>
    </row>
    <row r="104" spans="1:9" ht="21.75" x14ac:dyDescent="0.6">
      <c r="A104" s="374"/>
      <c r="B104" s="388" t="s">
        <v>691</v>
      </c>
      <c r="C104" s="396"/>
      <c r="D104" s="397">
        <f>'[11]Lista de Materiais'!$B$99</f>
        <v>363</v>
      </c>
      <c r="E104" s="391" t="s">
        <v>614</v>
      </c>
      <c r="F104" s="392">
        <v>75.900000000000006</v>
      </c>
      <c r="G104" s="393">
        <f t="shared" si="1"/>
        <v>27551.7</v>
      </c>
      <c r="H104" s="395"/>
      <c r="I104" s="387"/>
    </row>
    <row r="105" spans="1:9" ht="21.75" x14ac:dyDescent="0.6">
      <c r="A105" s="374"/>
      <c r="B105" s="388" t="s">
        <v>692</v>
      </c>
      <c r="C105" s="396"/>
      <c r="D105" s="397">
        <f>'[11]Lista de Materiais'!$B$100</f>
        <v>12</v>
      </c>
      <c r="E105" s="391" t="s">
        <v>614</v>
      </c>
      <c r="F105" s="392">
        <v>69.31</v>
      </c>
      <c r="G105" s="393">
        <f t="shared" si="1"/>
        <v>831.72</v>
      </c>
      <c r="H105" s="395"/>
      <c r="I105" s="387"/>
    </row>
    <row r="106" spans="1:9" ht="21.75" x14ac:dyDescent="0.6">
      <c r="A106" s="374"/>
      <c r="B106" s="388" t="s">
        <v>693</v>
      </c>
      <c r="C106" s="396"/>
      <c r="D106" s="397">
        <f>'[11]Lista de Materiais'!$B$101</f>
        <v>5</v>
      </c>
      <c r="E106" s="391" t="s">
        <v>614</v>
      </c>
      <c r="F106" s="392">
        <v>92.9</v>
      </c>
      <c r="G106" s="393">
        <f t="shared" si="1"/>
        <v>464.5</v>
      </c>
      <c r="H106" s="395"/>
      <c r="I106" s="387"/>
    </row>
    <row r="107" spans="1:9" ht="21.75" x14ac:dyDescent="0.6">
      <c r="A107" s="374"/>
      <c r="B107" s="388" t="s">
        <v>694</v>
      </c>
      <c r="C107" s="396"/>
      <c r="D107" s="397">
        <f>'[11]Lista de Materiais'!$B$102</f>
        <v>6</v>
      </c>
      <c r="E107" s="391" t="s">
        <v>614</v>
      </c>
      <c r="F107" s="392">
        <v>789</v>
      </c>
      <c r="G107" s="393">
        <f t="shared" si="1"/>
        <v>4734</v>
      </c>
      <c r="H107" s="395"/>
      <c r="I107" s="387"/>
    </row>
    <row r="108" spans="1:9" ht="21.75" x14ac:dyDescent="0.6">
      <c r="A108" s="374"/>
      <c r="B108" s="388" t="s">
        <v>695</v>
      </c>
      <c r="C108" s="396"/>
      <c r="D108" s="397">
        <f>'[11]Lista de Materiais'!$B$103</f>
        <v>2</v>
      </c>
      <c r="E108" s="391" t="s">
        <v>614</v>
      </c>
      <c r="F108" s="392">
        <v>1399.9</v>
      </c>
      <c r="G108" s="393">
        <f t="shared" si="1"/>
        <v>2799.8</v>
      </c>
      <c r="H108" s="395"/>
      <c r="I108" s="387"/>
    </row>
    <row r="109" spans="1:9" ht="21.75" x14ac:dyDescent="0.6">
      <c r="A109" s="374"/>
      <c r="B109" s="388" t="s">
        <v>696</v>
      </c>
      <c r="C109" s="396"/>
      <c r="D109" s="397">
        <f>'[11]Lista de Materiais'!$B$104</f>
        <v>360</v>
      </c>
      <c r="E109" s="391" t="s">
        <v>614</v>
      </c>
      <c r="F109" s="392">
        <v>43.9</v>
      </c>
      <c r="G109" s="393">
        <f t="shared" si="1"/>
        <v>15804</v>
      </c>
      <c r="H109" s="395"/>
      <c r="I109" s="387"/>
    </row>
    <row r="110" spans="1:9" ht="21.75" x14ac:dyDescent="0.6">
      <c r="A110" s="374"/>
      <c r="B110" s="388" t="s">
        <v>697</v>
      </c>
      <c r="C110" s="396"/>
      <c r="D110" s="397">
        <f>'[11]Lista de Materiais'!$B$148</f>
        <v>2</v>
      </c>
      <c r="E110" s="391" t="s">
        <v>614</v>
      </c>
      <c r="F110" s="392">
        <v>599</v>
      </c>
      <c r="G110" s="393">
        <f t="shared" si="1"/>
        <v>1198</v>
      </c>
      <c r="H110" s="395"/>
      <c r="I110" s="387"/>
    </row>
    <row r="111" spans="1:9" ht="21.75" x14ac:dyDescent="0.6">
      <c r="A111" s="374"/>
      <c r="B111" s="388" t="s">
        <v>698</v>
      </c>
      <c r="C111" s="396"/>
      <c r="D111" s="397">
        <f>'[11]Lista de Materiais'!$B$149</f>
        <v>2</v>
      </c>
      <c r="E111" s="391" t="s">
        <v>614</v>
      </c>
      <c r="F111" s="392">
        <v>159.9</v>
      </c>
      <c r="G111" s="393">
        <f t="shared" si="1"/>
        <v>319.8</v>
      </c>
      <c r="H111" s="395"/>
      <c r="I111" s="387"/>
    </row>
    <row r="112" spans="1:9" ht="21.75" x14ac:dyDescent="0.6">
      <c r="A112" s="374"/>
      <c r="B112" s="388" t="s">
        <v>699</v>
      </c>
      <c r="C112" s="396"/>
      <c r="D112" s="397">
        <f>'[11]Lista de Materiais'!$B$150</f>
        <v>2</v>
      </c>
      <c r="E112" s="391" t="s">
        <v>614</v>
      </c>
      <c r="F112" s="392">
        <v>336.55</v>
      </c>
      <c r="G112" s="393">
        <f t="shared" si="1"/>
        <v>673.1</v>
      </c>
      <c r="H112" s="395"/>
      <c r="I112" s="387"/>
    </row>
    <row r="113" spans="1:9" ht="21.75" x14ac:dyDescent="0.6">
      <c r="A113" s="374"/>
      <c r="B113" s="388" t="s">
        <v>700</v>
      </c>
      <c r="C113" s="396"/>
      <c r="D113" s="397">
        <f>'[11]Lista de Materiais'!$B$151</f>
        <v>1</v>
      </c>
      <c r="E113" s="391" t="s">
        <v>614</v>
      </c>
      <c r="F113" s="392">
        <v>19.899999999999999</v>
      </c>
      <c r="G113" s="393">
        <f t="shared" si="1"/>
        <v>19.899999999999999</v>
      </c>
      <c r="H113" s="395"/>
      <c r="I113" s="387"/>
    </row>
    <row r="114" spans="1:9" ht="21.75" x14ac:dyDescent="0.6">
      <c r="A114" s="374"/>
      <c r="B114" s="388" t="s">
        <v>701</v>
      </c>
      <c r="C114" s="396"/>
      <c r="D114" s="397">
        <f>'[11]Lista de Materiais'!$B$152</f>
        <v>1</v>
      </c>
      <c r="E114" s="391" t="s">
        <v>614</v>
      </c>
      <c r="F114" s="392">
        <v>20.059999999999999</v>
      </c>
      <c r="G114" s="393">
        <f t="shared" si="1"/>
        <v>20.059999999999999</v>
      </c>
      <c r="H114" s="395"/>
      <c r="I114" s="387"/>
    </row>
    <row r="115" spans="1:9" ht="21.75" x14ac:dyDescent="0.6">
      <c r="A115" s="374"/>
      <c r="B115" s="388" t="s">
        <v>702</v>
      </c>
      <c r="C115" s="396"/>
      <c r="D115" s="397">
        <f>'[11]Lista de Materiais'!$B$153</f>
        <v>1</v>
      </c>
      <c r="E115" s="391" t="s">
        <v>614</v>
      </c>
      <c r="F115" s="392">
        <v>48.81</v>
      </c>
      <c r="G115" s="393">
        <f t="shared" si="1"/>
        <v>48.81</v>
      </c>
      <c r="H115" s="395"/>
      <c r="I115" s="387"/>
    </row>
    <row r="116" spans="1:9" ht="21.75" x14ac:dyDescent="0.6">
      <c r="A116" s="374"/>
      <c r="B116" s="388" t="s">
        <v>703</v>
      </c>
      <c r="C116" s="396"/>
      <c r="D116" s="397">
        <f>'[11]Lista de Materiais'!$B$170</f>
        <v>2</v>
      </c>
      <c r="E116" s="391" t="s">
        <v>614</v>
      </c>
      <c r="F116" s="392">
        <v>979.16</v>
      </c>
      <c r="G116" s="393">
        <f t="shared" si="1"/>
        <v>1958.32</v>
      </c>
      <c r="H116" s="395"/>
      <c r="I116" s="387"/>
    </row>
    <row r="117" spans="1:9" ht="21.75" x14ac:dyDescent="0.6">
      <c r="A117" s="374"/>
      <c r="B117" s="388" t="s">
        <v>704</v>
      </c>
      <c r="C117" s="396"/>
      <c r="D117" s="397">
        <f>'[11]Lista de Materiais'!$B$156</f>
        <v>1</v>
      </c>
      <c r="E117" s="391" t="s">
        <v>614</v>
      </c>
      <c r="F117" s="392">
        <v>92.54</v>
      </c>
      <c r="G117" s="393">
        <f t="shared" si="1"/>
        <v>92.54</v>
      </c>
      <c r="H117" s="395"/>
      <c r="I117" s="387"/>
    </row>
    <row r="118" spans="1:9" ht="21.75" x14ac:dyDescent="0.6">
      <c r="A118" s="374"/>
      <c r="B118" s="388" t="s">
        <v>705</v>
      </c>
      <c r="C118" s="396"/>
      <c r="D118" s="397">
        <f>'[11]Lista de Materiais'!$B$157</f>
        <v>1</v>
      </c>
      <c r="E118" s="391" t="s">
        <v>614</v>
      </c>
      <c r="F118" s="392">
        <v>861.79</v>
      </c>
      <c r="G118" s="393">
        <f t="shared" si="1"/>
        <v>861.79</v>
      </c>
      <c r="H118" s="395"/>
      <c r="I118" s="387"/>
    </row>
    <row r="119" spans="1:9" ht="21.75" x14ac:dyDescent="0.6">
      <c r="A119" s="374"/>
      <c r="B119" s="388" t="s">
        <v>706</v>
      </c>
      <c r="C119" s="396"/>
      <c r="D119" s="397">
        <f>'[11]Lista de Materiais'!$B$158</f>
        <v>1</v>
      </c>
      <c r="E119" s="391" t="s">
        <v>614</v>
      </c>
      <c r="F119" s="392">
        <v>45.54</v>
      </c>
      <c r="G119" s="393">
        <f t="shared" si="1"/>
        <v>45.54</v>
      </c>
      <c r="H119" s="395"/>
      <c r="I119" s="387"/>
    </row>
    <row r="120" spans="1:9" ht="21.75" x14ac:dyDescent="0.6">
      <c r="A120" s="374"/>
      <c r="B120" s="388" t="s">
        <v>707</v>
      </c>
      <c r="C120" s="396"/>
      <c r="D120" s="397">
        <f>'[11]Lista de Materiais'!$B$159</f>
        <v>4</v>
      </c>
      <c r="E120" s="391" t="s">
        <v>614</v>
      </c>
      <c r="F120" s="392">
        <v>125.62</v>
      </c>
      <c r="G120" s="393">
        <f t="shared" si="1"/>
        <v>502.48</v>
      </c>
      <c r="H120" s="395"/>
      <c r="I120" s="387"/>
    </row>
    <row r="121" spans="1:9" ht="21.75" x14ac:dyDescent="0.6">
      <c r="A121" s="374"/>
      <c r="B121" s="388" t="s">
        <v>708</v>
      </c>
      <c r="C121" s="396"/>
      <c r="D121" s="397">
        <f>'[11]Lista de Materiais'!$B$160</f>
        <v>1</v>
      </c>
      <c r="E121" s="391" t="s">
        <v>614</v>
      </c>
      <c r="F121" s="392">
        <v>39.799999999999997</v>
      </c>
      <c r="G121" s="393">
        <f t="shared" si="1"/>
        <v>39.799999999999997</v>
      </c>
      <c r="H121" s="395"/>
      <c r="I121" s="387"/>
    </row>
    <row r="122" spans="1:9" ht="21.75" x14ac:dyDescent="0.6">
      <c r="A122" s="374"/>
      <c r="B122" s="388" t="s">
        <v>709</v>
      </c>
      <c r="C122" s="396"/>
      <c r="D122" s="397">
        <f>'[11]Lista de Materiais'!$B$161</f>
        <v>6</v>
      </c>
      <c r="E122" s="391" t="s">
        <v>614</v>
      </c>
      <c r="F122" s="392">
        <v>394.9</v>
      </c>
      <c r="G122" s="393">
        <f t="shared" si="1"/>
        <v>2369.3999999999996</v>
      </c>
      <c r="H122" s="395"/>
      <c r="I122" s="387"/>
    </row>
    <row r="123" spans="1:9" ht="21.75" x14ac:dyDescent="0.6">
      <c r="A123" s="374"/>
      <c r="B123" s="388" t="s">
        <v>710</v>
      </c>
      <c r="C123" s="396"/>
      <c r="D123" s="397">
        <f>'[11]Lista de Materiais'!$B$162</f>
        <v>1</v>
      </c>
      <c r="E123" s="391" t="s">
        <v>614</v>
      </c>
      <c r="F123" s="392">
        <v>210.9</v>
      </c>
      <c r="G123" s="393">
        <f t="shared" si="1"/>
        <v>210.9</v>
      </c>
      <c r="H123" s="395"/>
      <c r="I123" s="387"/>
    </row>
    <row r="124" spans="1:9" ht="21.75" x14ac:dyDescent="0.6">
      <c r="A124" s="374"/>
      <c r="B124" s="388" t="s">
        <v>711</v>
      </c>
      <c r="C124" s="396"/>
      <c r="D124" s="397">
        <f>'[11]Lista de Materiais'!$B$165</f>
        <v>16</v>
      </c>
      <c r="E124" s="391" t="s">
        <v>614</v>
      </c>
      <c r="F124" s="392">
        <v>8.1</v>
      </c>
      <c r="G124" s="393">
        <f t="shared" si="1"/>
        <v>129.6</v>
      </c>
      <c r="H124" s="395"/>
      <c r="I124" s="387"/>
    </row>
    <row r="125" spans="1:9" ht="21.75" x14ac:dyDescent="0.6">
      <c r="A125" s="374"/>
      <c r="B125" s="388" t="s">
        <v>712</v>
      </c>
      <c r="C125" s="396"/>
      <c r="D125" s="397">
        <f>'[11]Lista de Materiais'!$B$166</f>
        <v>2</v>
      </c>
      <c r="E125" s="391" t="s">
        <v>614</v>
      </c>
      <c r="F125" s="392">
        <v>8.5399999999999991</v>
      </c>
      <c r="G125" s="393">
        <f t="shared" si="1"/>
        <v>17.079999999999998</v>
      </c>
      <c r="H125" s="395"/>
      <c r="I125" s="387"/>
    </row>
    <row r="126" spans="1:9" ht="21.75" x14ac:dyDescent="0.6">
      <c r="A126" s="374"/>
      <c r="B126" s="388" t="s">
        <v>713</v>
      </c>
      <c r="C126" s="396"/>
      <c r="D126" s="397">
        <f>'[11]Lista de Materiais'!$B$167</f>
        <v>2</v>
      </c>
      <c r="E126" s="391" t="s">
        <v>614</v>
      </c>
      <c r="F126" s="392">
        <v>217.78</v>
      </c>
      <c r="G126" s="393">
        <f t="shared" si="1"/>
        <v>435.56</v>
      </c>
      <c r="H126" s="395"/>
      <c r="I126" s="387"/>
    </row>
    <row r="127" spans="1:9" ht="21.75" x14ac:dyDescent="0.6">
      <c r="A127" s="374"/>
      <c r="B127" s="388" t="s">
        <v>714</v>
      </c>
      <c r="C127" s="396"/>
      <c r="D127" s="397">
        <f>'[11]Lista de Materiais'!$B$168</f>
        <v>1</v>
      </c>
      <c r="E127" s="391" t="s">
        <v>614</v>
      </c>
      <c r="F127" s="392">
        <v>180.97</v>
      </c>
      <c r="G127" s="393">
        <f t="shared" si="1"/>
        <v>180.97</v>
      </c>
      <c r="H127" s="395"/>
      <c r="I127" s="387"/>
    </row>
    <row r="128" spans="1:9" ht="21.75" x14ac:dyDescent="0.6">
      <c r="A128" s="374"/>
      <c r="B128" s="388" t="s">
        <v>715</v>
      </c>
      <c r="C128" s="396"/>
      <c r="D128" s="397">
        <f>'[11]Lista de Materiais'!$B$171</f>
        <v>13</v>
      </c>
      <c r="E128" s="391" t="s">
        <v>614</v>
      </c>
      <c r="F128" s="392">
        <v>19.899999999999999</v>
      </c>
      <c r="G128" s="393">
        <f t="shared" si="1"/>
        <v>258.7</v>
      </c>
      <c r="H128" s="395"/>
      <c r="I128" s="387"/>
    </row>
    <row r="129" spans="1:9" ht="21.75" x14ac:dyDescent="0.6">
      <c r="A129" s="374"/>
      <c r="B129" s="388" t="s">
        <v>716</v>
      </c>
      <c r="C129" s="396"/>
      <c r="D129" s="397">
        <f>'[11]Lista de Materiais'!$B$172</f>
        <v>1</v>
      </c>
      <c r="E129" s="391" t="s">
        <v>614</v>
      </c>
      <c r="F129" s="392">
        <v>423.93</v>
      </c>
      <c r="G129" s="393">
        <f t="shared" si="1"/>
        <v>423.93</v>
      </c>
      <c r="H129" s="395"/>
      <c r="I129" s="387"/>
    </row>
    <row r="130" spans="1:9" ht="21.75" x14ac:dyDescent="0.6">
      <c r="A130" s="374"/>
      <c r="B130" s="383" t="s">
        <v>717</v>
      </c>
      <c r="C130" s="384"/>
      <c r="D130" s="384"/>
      <c r="E130" s="384"/>
      <c r="F130" s="384"/>
      <c r="G130" s="385">
        <f>SUM(G131:G146)</f>
        <v>138143.52866666668</v>
      </c>
      <c r="H130" s="386"/>
      <c r="I130" s="387"/>
    </row>
    <row r="131" spans="1:9" ht="21.75" x14ac:dyDescent="0.6">
      <c r="A131" s="374"/>
      <c r="B131" s="398" t="s">
        <v>718</v>
      </c>
      <c r="C131" s="399">
        <v>22</v>
      </c>
      <c r="D131" s="397">
        <f>'[11]Lista de Materiais'!$B$128</f>
        <v>2467.7800000000002</v>
      </c>
      <c r="E131" s="400" t="s">
        <v>46</v>
      </c>
      <c r="F131" s="401">
        <f>45.4/6</f>
        <v>7.5666666666666664</v>
      </c>
      <c r="G131" s="402">
        <f t="shared" ref="G131:G146" si="2">F131*D131</f>
        <v>18672.868666666669</v>
      </c>
      <c r="H131" s="395"/>
      <c r="I131" s="387"/>
    </row>
    <row r="132" spans="1:9" ht="21.75" x14ac:dyDescent="0.6">
      <c r="A132" s="374"/>
      <c r="B132" s="398" t="s">
        <v>718</v>
      </c>
      <c r="C132" s="399">
        <v>28</v>
      </c>
      <c r="D132" s="397">
        <f>'[11]Lista de Materiais'!$B$129</f>
        <v>1154.05</v>
      </c>
      <c r="E132" s="400" t="s">
        <v>46</v>
      </c>
      <c r="F132" s="401">
        <f>67.2/6</f>
        <v>11.200000000000001</v>
      </c>
      <c r="G132" s="402">
        <f t="shared" si="2"/>
        <v>12925.36</v>
      </c>
      <c r="H132" s="395"/>
      <c r="I132" s="387"/>
    </row>
    <row r="133" spans="1:9" ht="21.75" x14ac:dyDescent="0.6">
      <c r="A133" s="374"/>
      <c r="B133" s="388" t="s">
        <v>719</v>
      </c>
      <c r="C133" s="396"/>
      <c r="D133" s="397">
        <f>'[11]Lista de Materiais'!$B$30</f>
        <v>90</v>
      </c>
      <c r="E133" s="391" t="s">
        <v>614</v>
      </c>
      <c r="F133" s="392">
        <v>2.82</v>
      </c>
      <c r="G133" s="393">
        <f>F133*D133</f>
        <v>253.79999999999998</v>
      </c>
      <c r="H133" s="395"/>
      <c r="I133" s="387"/>
    </row>
    <row r="134" spans="1:9" ht="21.75" x14ac:dyDescent="0.6">
      <c r="A134" s="374"/>
      <c r="B134" s="388" t="s">
        <v>720</v>
      </c>
      <c r="C134" s="396"/>
      <c r="D134" s="397">
        <f>'[11]Lista de Materiais'!$B$17</f>
        <v>1080</v>
      </c>
      <c r="E134" s="391" t="s">
        <v>614</v>
      </c>
      <c r="F134" s="392">
        <v>16.7</v>
      </c>
      <c r="G134" s="393">
        <f t="shared" si="2"/>
        <v>18036</v>
      </c>
      <c r="H134" s="395"/>
      <c r="I134" s="387"/>
    </row>
    <row r="135" spans="1:9" ht="21.75" x14ac:dyDescent="0.6">
      <c r="A135" s="374"/>
      <c r="B135" s="388" t="s">
        <v>721</v>
      </c>
      <c r="C135" s="396"/>
      <c r="D135" s="397">
        <f>'[11]Lista de Materiais'!$B$18</f>
        <v>360</v>
      </c>
      <c r="E135" s="391" t="s">
        <v>614</v>
      </c>
      <c r="F135" s="392">
        <v>29.9</v>
      </c>
      <c r="G135" s="393">
        <f t="shared" si="2"/>
        <v>10764</v>
      </c>
      <c r="H135" s="395"/>
      <c r="I135" s="387"/>
    </row>
    <row r="136" spans="1:9" ht="21.75" x14ac:dyDescent="0.6">
      <c r="A136" s="374"/>
      <c r="B136" s="388" t="s">
        <v>722</v>
      </c>
      <c r="C136" s="396"/>
      <c r="D136" s="397">
        <f>'[11]Lista de Materiais'!$B$48</f>
        <v>195</v>
      </c>
      <c r="E136" s="391" t="s">
        <v>614</v>
      </c>
      <c r="F136" s="392">
        <v>5.66</v>
      </c>
      <c r="G136" s="393">
        <f t="shared" si="2"/>
        <v>1103.7</v>
      </c>
      <c r="H136" s="395"/>
      <c r="I136" s="387"/>
    </row>
    <row r="137" spans="1:9" ht="21.75" x14ac:dyDescent="0.6">
      <c r="A137" s="374"/>
      <c r="B137" s="388" t="s">
        <v>723</v>
      </c>
      <c r="C137" s="396"/>
      <c r="D137" s="397">
        <f>'[11]Lista de Materiais'!$B$57</f>
        <v>60</v>
      </c>
      <c r="E137" s="391" t="s">
        <v>614</v>
      </c>
      <c r="F137" s="392">
        <v>7.52</v>
      </c>
      <c r="G137" s="393">
        <f t="shared" si="2"/>
        <v>451.2</v>
      </c>
      <c r="H137" s="395"/>
      <c r="I137" s="387"/>
    </row>
    <row r="138" spans="1:9" ht="21.75" x14ac:dyDescent="0.6">
      <c r="A138" s="374"/>
      <c r="B138" s="388" t="s">
        <v>724</v>
      </c>
      <c r="C138" s="396"/>
      <c r="D138" s="397">
        <f>'[11]Lista de Materiais'!$B$58</f>
        <v>2130</v>
      </c>
      <c r="E138" s="391" t="s">
        <v>614</v>
      </c>
      <c r="F138" s="392">
        <v>3.8</v>
      </c>
      <c r="G138" s="393">
        <f t="shared" si="2"/>
        <v>8094</v>
      </c>
      <c r="H138" s="395"/>
      <c r="I138" s="387"/>
    </row>
    <row r="139" spans="1:9" ht="21.75" x14ac:dyDescent="0.6">
      <c r="A139" s="374"/>
      <c r="B139" s="388" t="s">
        <v>725</v>
      </c>
      <c r="C139" s="396"/>
      <c r="D139" s="397">
        <f>'[11]Lista de Materiais'!$B$59</f>
        <v>570</v>
      </c>
      <c r="E139" s="391" t="s">
        <v>614</v>
      </c>
      <c r="F139" s="392">
        <v>8.6</v>
      </c>
      <c r="G139" s="393">
        <f t="shared" si="2"/>
        <v>4902</v>
      </c>
      <c r="H139" s="395"/>
      <c r="I139" s="387"/>
    </row>
    <row r="140" spans="1:9" ht="21.75" x14ac:dyDescent="0.6">
      <c r="A140" s="374"/>
      <c r="B140" s="388" t="s">
        <v>726</v>
      </c>
      <c r="C140" s="396"/>
      <c r="D140" s="397">
        <f>'[11]Lista de Materiais'!$B$74</f>
        <v>540</v>
      </c>
      <c r="E140" s="391" t="s">
        <v>614</v>
      </c>
      <c r="F140" s="392">
        <v>11.29</v>
      </c>
      <c r="G140" s="393">
        <f t="shared" si="2"/>
        <v>6096.5999999999995</v>
      </c>
      <c r="H140" s="395"/>
      <c r="I140" s="387"/>
    </row>
    <row r="141" spans="1:9" ht="21.75" x14ac:dyDescent="0.6">
      <c r="A141" s="374"/>
      <c r="B141" s="388" t="s">
        <v>727</v>
      </c>
      <c r="C141" s="396"/>
      <c r="D141" s="397">
        <f>'[11]Lista de Materiais'!$B$75</f>
        <v>180</v>
      </c>
      <c r="E141" s="391" t="s">
        <v>614</v>
      </c>
      <c r="F141" s="392">
        <v>23.31</v>
      </c>
      <c r="G141" s="393">
        <f t="shared" si="2"/>
        <v>4195.8</v>
      </c>
      <c r="H141" s="395"/>
      <c r="I141" s="387"/>
    </row>
    <row r="142" spans="1:9" ht="21.75" x14ac:dyDescent="0.6">
      <c r="A142" s="374"/>
      <c r="B142" s="388" t="s">
        <v>728</v>
      </c>
      <c r="C142" s="396"/>
      <c r="D142" s="397">
        <f>'[11]Lista de Materiais'!$B$91</f>
        <v>180</v>
      </c>
      <c r="E142" s="391" t="s">
        <v>614</v>
      </c>
      <c r="F142" s="392">
        <v>2.2200000000000002</v>
      </c>
      <c r="G142" s="393">
        <f>F142*D142</f>
        <v>399.6</v>
      </c>
      <c r="H142" s="395"/>
      <c r="I142" s="387"/>
    </row>
    <row r="143" spans="1:9" ht="21.75" x14ac:dyDescent="0.6">
      <c r="A143" s="374"/>
      <c r="B143" s="388" t="s">
        <v>729</v>
      </c>
      <c r="C143" s="396"/>
      <c r="D143" s="397">
        <f>'[11]Lista de Materiais'!$B$90</f>
        <v>90</v>
      </c>
      <c r="E143" s="391" t="s">
        <v>614</v>
      </c>
      <c r="F143" s="392">
        <v>22.9</v>
      </c>
      <c r="G143" s="393">
        <f>F143*D143</f>
        <v>2061</v>
      </c>
      <c r="H143" s="395"/>
      <c r="I143" s="387"/>
    </row>
    <row r="144" spans="1:9" ht="21.75" x14ac:dyDescent="0.6">
      <c r="A144" s="374"/>
      <c r="B144" s="388" t="s">
        <v>730</v>
      </c>
      <c r="C144" s="396"/>
      <c r="D144" s="397">
        <f>'[11]Lista de Materiais'!$B$107</f>
        <v>180</v>
      </c>
      <c r="E144" s="391" t="s">
        <v>614</v>
      </c>
      <c r="F144" s="392">
        <v>2.85</v>
      </c>
      <c r="G144" s="393">
        <f t="shared" si="2"/>
        <v>513</v>
      </c>
      <c r="H144" s="395"/>
      <c r="I144" s="387"/>
    </row>
    <row r="145" spans="1:9" ht="21.75" x14ac:dyDescent="0.6">
      <c r="A145" s="374"/>
      <c r="B145" s="388" t="s">
        <v>731</v>
      </c>
      <c r="C145" s="396"/>
      <c r="D145" s="397">
        <f>'[11]Lista de Materiais'!$B$116</f>
        <v>270</v>
      </c>
      <c r="E145" s="391" t="s">
        <v>614</v>
      </c>
      <c r="F145" s="392">
        <v>5.38</v>
      </c>
      <c r="G145" s="393">
        <f t="shared" si="2"/>
        <v>1452.6</v>
      </c>
      <c r="H145" s="395"/>
      <c r="I145" s="387"/>
    </row>
    <row r="146" spans="1:9" ht="21.75" x14ac:dyDescent="0.6">
      <c r="A146" s="374"/>
      <c r="B146" s="388" t="s">
        <v>732</v>
      </c>
      <c r="C146" s="396"/>
      <c r="D146" s="397">
        <f>'[11]Lista de Materiais'!$B$169</f>
        <v>180</v>
      </c>
      <c r="E146" s="391" t="s">
        <v>614</v>
      </c>
      <c r="F146" s="392">
        <v>267.89999999999998</v>
      </c>
      <c r="G146" s="393">
        <f t="shared" si="2"/>
        <v>48221.999999999993</v>
      </c>
      <c r="H146" s="395"/>
      <c r="I146" s="387"/>
    </row>
    <row r="147" spans="1:9" ht="15.75" x14ac:dyDescent="0.25">
      <c r="B147" s="383" t="s">
        <v>733</v>
      </c>
      <c r="C147" s="384"/>
      <c r="D147" s="384"/>
      <c r="E147" s="384"/>
      <c r="F147" s="384"/>
      <c r="G147" s="385">
        <f>SUM(G148:G149)</f>
        <v>14830.9</v>
      </c>
    </row>
    <row r="148" spans="1:9" ht="15.75" x14ac:dyDescent="0.25">
      <c r="B148" s="398" t="s">
        <v>734</v>
      </c>
      <c r="C148" s="399"/>
      <c r="D148" s="397">
        <f>'[11]Lista de Materiais'!$B$53</f>
        <v>2</v>
      </c>
      <c r="E148" s="400" t="s">
        <v>633</v>
      </c>
      <c r="F148" s="401">
        <v>140</v>
      </c>
      <c r="G148" s="402">
        <f t="shared" ref="G148:G149" si="3">F148*D148</f>
        <v>280</v>
      </c>
    </row>
    <row r="149" spans="1:9" ht="16.5" thickBot="1" x14ac:dyDescent="0.3">
      <c r="B149" s="403" t="s">
        <v>735</v>
      </c>
      <c r="C149" s="404"/>
      <c r="D149" s="405">
        <f>'[11]Lista de Materiais'!$B$54</f>
        <v>91</v>
      </c>
      <c r="E149" s="406" t="s">
        <v>614</v>
      </c>
      <c r="F149" s="407">
        <v>159.9</v>
      </c>
      <c r="G149" s="407">
        <f t="shared" si="3"/>
        <v>14550.9</v>
      </c>
    </row>
  </sheetData>
  <mergeCells count="2">
    <mergeCell ref="A4:I4"/>
    <mergeCell ref="A6:I6"/>
  </mergeCells>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6358-5D8D-4F6C-B1AC-03B51FA10DFD}">
  <dimension ref="A1:I69"/>
  <sheetViews>
    <sheetView topLeftCell="A46" workbookViewId="0">
      <selection activeCell="A71" sqref="A71:XFD72"/>
    </sheetView>
  </sheetViews>
  <sheetFormatPr defaultRowHeight="15" x14ac:dyDescent="0.25"/>
  <cols>
    <col min="1" max="1" width="8.85546875" bestFit="1" customWidth="1"/>
    <col min="2" max="2" width="88.5703125" bestFit="1" customWidth="1"/>
    <col min="4" max="4" width="11.5703125" customWidth="1"/>
    <col min="7" max="7" width="13.85546875" customWidth="1"/>
    <col min="8" max="8" width="11" bestFit="1" customWidth="1"/>
    <col min="9" max="9" width="36" customWidth="1"/>
  </cols>
  <sheetData>
    <row r="1" spans="1:9" ht="21.75" x14ac:dyDescent="0.6">
      <c r="A1" s="351" t="s">
        <v>397</v>
      </c>
      <c r="B1" s="352" t="s">
        <v>435</v>
      </c>
      <c r="C1" s="353"/>
      <c r="D1" s="353"/>
      <c r="E1" s="353"/>
      <c r="F1" s="354"/>
      <c r="G1" s="354"/>
      <c r="H1" s="354"/>
      <c r="I1" s="355"/>
    </row>
    <row r="2" spans="1:9" ht="39" x14ac:dyDescent="0.6">
      <c r="A2" s="356" t="s">
        <v>398</v>
      </c>
      <c r="B2" s="357" t="s">
        <v>436</v>
      </c>
      <c r="C2" s="358"/>
      <c r="D2" s="358"/>
      <c r="E2" s="358"/>
      <c r="F2" s="359"/>
      <c r="G2" s="359"/>
      <c r="H2" s="359"/>
      <c r="I2" s="360"/>
    </row>
    <row r="3" spans="1:9" ht="21.75" x14ac:dyDescent="0.6">
      <c r="A3" s="356" t="s">
        <v>399</v>
      </c>
      <c r="B3" s="357" t="s">
        <v>437</v>
      </c>
      <c r="C3" s="358"/>
      <c r="D3" s="358"/>
      <c r="E3" s="358"/>
      <c r="F3" s="359"/>
      <c r="G3" s="359"/>
      <c r="H3" s="361"/>
      <c r="I3" s="360"/>
    </row>
    <row r="4" spans="1:9" ht="28.5" x14ac:dyDescent="0.25">
      <c r="A4" s="851" t="s">
        <v>434</v>
      </c>
      <c r="B4" s="852"/>
      <c r="C4" s="852"/>
      <c r="D4" s="852"/>
      <c r="E4" s="852"/>
      <c r="F4" s="852"/>
      <c r="G4" s="852"/>
      <c r="H4" s="853"/>
      <c r="I4" s="854"/>
    </row>
    <row r="5" spans="1:9" ht="28.5" x14ac:dyDescent="0.6">
      <c r="A5" s="362"/>
      <c r="B5" s="363"/>
      <c r="C5" s="363"/>
      <c r="D5" s="364"/>
      <c r="E5" s="364"/>
      <c r="F5" s="365"/>
      <c r="G5" s="365"/>
      <c r="H5" s="365"/>
      <c r="I5" s="366"/>
    </row>
    <row r="6" spans="1:9" ht="28.5" x14ac:dyDescent="0.25">
      <c r="A6" s="855" t="s">
        <v>790</v>
      </c>
      <c r="B6" s="856"/>
      <c r="C6" s="856"/>
      <c r="D6" s="856"/>
      <c r="E6" s="856"/>
      <c r="F6" s="856"/>
      <c r="G6" s="856"/>
      <c r="H6" s="857"/>
      <c r="I6" s="858"/>
    </row>
    <row r="7" spans="1:9" ht="21.75" x14ac:dyDescent="0.6">
      <c r="A7" s="367"/>
      <c r="B7" s="368"/>
      <c r="C7" s="368"/>
      <c r="D7" s="368"/>
      <c r="E7" s="368"/>
      <c r="F7" s="361"/>
      <c r="G7" s="361"/>
      <c r="H7" s="361"/>
      <c r="I7" s="369"/>
    </row>
    <row r="8" spans="1:9" ht="21.75" x14ac:dyDescent="0.6">
      <c r="A8" s="370" t="s">
        <v>605</v>
      </c>
      <c r="B8" s="371"/>
      <c r="C8" s="371"/>
      <c r="D8" s="371"/>
      <c r="E8" s="371"/>
      <c r="F8" s="372"/>
      <c r="G8" s="372"/>
      <c r="H8" s="372"/>
      <c r="I8" s="373"/>
    </row>
    <row r="9" spans="1:9" ht="22.5" thickBot="1" x14ac:dyDescent="0.65">
      <c r="A9" s="374"/>
      <c r="B9" s="419"/>
      <c r="C9" s="419"/>
      <c r="D9" s="375"/>
      <c r="E9" s="375"/>
      <c r="F9" s="376"/>
      <c r="G9" s="376"/>
      <c r="H9" s="376"/>
      <c r="I9" s="369"/>
    </row>
    <row r="10" spans="1:9" ht="31.5" x14ac:dyDescent="0.6">
      <c r="A10" s="374"/>
      <c r="B10" s="377" t="s">
        <v>606</v>
      </c>
      <c r="C10" s="378"/>
      <c r="D10" s="379" t="s">
        <v>440</v>
      </c>
      <c r="E10" s="380" t="s">
        <v>789</v>
      </c>
      <c r="F10" s="381" t="s">
        <v>607</v>
      </c>
      <c r="G10" s="381" t="s">
        <v>608</v>
      </c>
      <c r="H10" s="382"/>
      <c r="I10" s="369"/>
    </row>
    <row r="11" spans="1:9" ht="21.75" x14ac:dyDescent="0.6">
      <c r="A11" s="374"/>
      <c r="B11" s="383" t="s">
        <v>788</v>
      </c>
      <c r="C11" s="384"/>
      <c r="D11" s="384"/>
      <c r="E11" s="384"/>
      <c r="F11" s="384"/>
      <c r="G11" s="385">
        <f>SUM(G12:G68)</f>
        <v>244387.85780000006</v>
      </c>
      <c r="H11" s="418"/>
      <c r="I11" s="369"/>
    </row>
    <row r="12" spans="1:9" ht="21.75" x14ac:dyDescent="0.6">
      <c r="A12" s="374"/>
      <c r="B12" s="394" t="s">
        <v>787</v>
      </c>
      <c r="C12" s="416">
        <v>150</v>
      </c>
      <c r="D12" s="390">
        <f>'[12]Lista de Materiais'!$B$70</f>
        <v>87.25</v>
      </c>
      <c r="E12" s="391" t="s">
        <v>46</v>
      </c>
      <c r="F12" s="392">
        <v>32.78</v>
      </c>
      <c r="G12" s="393">
        <f t="shared" ref="G12:G43" si="0">F12*D12</f>
        <v>2860.0550000000003</v>
      </c>
      <c r="H12" s="395"/>
      <c r="I12" s="369"/>
    </row>
    <row r="13" spans="1:9" ht="21.75" x14ac:dyDescent="0.6">
      <c r="A13" s="374"/>
      <c r="B13" s="394" t="s">
        <v>787</v>
      </c>
      <c r="C13" s="416">
        <v>100</v>
      </c>
      <c r="D13" s="390">
        <f>'[12]Lista de Materiais'!$B$71</f>
        <v>2488.38</v>
      </c>
      <c r="E13" s="391" t="s">
        <v>46</v>
      </c>
      <c r="F13" s="392">
        <v>12.52</v>
      </c>
      <c r="G13" s="393">
        <f t="shared" si="0"/>
        <v>31154.517599999999</v>
      </c>
      <c r="H13" s="395"/>
      <c r="I13" s="369"/>
    </row>
    <row r="14" spans="1:9" ht="21.75" x14ac:dyDescent="0.6">
      <c r="A14" s="374"/>
      <c r="B14" s="394" t="s">
        <v>787</v>
      </c>
      <c r="C14" s="416">
        <v>75</v>
      </c>
      <c r="D14" s="390">
        <f>'[12]Lista de Materiais'!$B$72</f>
        <v>650</v>
      </c>
      <c r="E14" s="391" t="s">
        <v>46</v>
      </c>
      <c r="F14" s="392">
        <v>14.38</v>
      </c>
      <c r="G14" s="393">
        <f t="shared" si="0"/>
        <v>9347</v>
      </c>
      <c r="H14" s="395"/>
      <c r="I14" s="369"/>
    </row>
    <row r="15" spans="1:9" ht="21.75" x14ac:dyDescent="0.6">
      <c r="A15" s="374"/>
      <c r="B15" s="394" t="s">
        <v>787</v>
      </c>
      <c r="C15" s="416">
        <v>50</v>
      </c>
      <c r="D15" s="417">
        <f>'[12]Lista de Materiais'!$B$73</f>
        <v>1112.1199999999999</v>
      </c>
      <c r="E15" s="391" t="s">
        <v>46</v>
      </c>
      <c r="F15" s="392">
        <v>10.029999999999999</v>
      </c>
      <c r="G15" s="393">
        <f t="shared" si="0"/>
        <v>11154.563599999998</v>
      </c>
      <c r="H15" s="395"/>
      <c r="I15" s="369"/>
    </row>
    <row r="16" spans="1:9" ht="21.75" x14ac:dyDescent="0.6">
      <c r="A16" s="374"/>
      <c r="B16" s="388" t="s">
        <v>787</v>
      </c>
      <c r="C16" s="416">
        <v>40</v>
      </c>
      <c r="D16" s="417">
        <f>'[12]Lista de Materiais'!$B$74</f>
        <v>749.4</v>
      </c>
      <c r="E16" s="391" t="s">
        <v>46</v>
      </c>
      <c r="F16" s="392">
        <v>0.37</v>
      </c>
      <c r="G16" s="393">
        <f t="shared" si="0"/>
        <v>277.27799999999996</v>
      </c>
      <c r="H16" s="395"/>
      <c r="I16" s="369"/>
    </row>
    <row r="17" spans="1:9" ht="21.75" x14ac:dyDescent="0.6">
      <c r="A17" s="374"/>
      <c r="B17" s="388" t="s">
        <v>786</v>
      </c>
      <c r="C17" s="416">
        <v>100</v>
      </c>
      <c r="D17" s="415">
        <f>'[12]Lista de Materiais'!$B$75</f>
        <v>1058.07</v>
      </c>
      <c r="E17" s="391" t="s">
        <v>46</v>
      </c>
      <c r="F17" s="392">
        <v>27.19</v>
      </c>
      <c r="G17" s="393">
        <f t="shared" si="0"/>
        <v>28768.923299999999</v>
      </c>
      <c r="H17" s="395"/>
      <c r="I17" s="369"/>
    </row>
    <row r="18" spans="1:9" ht="21.75" x14ac:dyDescent="0.6">
      <c r="A18" s="374"/>
      <c r="B18" s="388" t="s">
        <v>786</v>
      </c>
      <c r="C18" s="416">
        <v>75</v>
      </c>
      <c r="D18" s="415">
        <f>'[12]Lista de Materiais'!$B$76</f>
        <v>136.69</v>
      </c>
      <c r="E18" s="391" t="s">
        <v>46</v>
      </c>
      <c r="F18" s="392">
        <v>18.41</v>
      </c>
      <c r="G18" s="393">
        <f t="shared" si="0"/>
        <v>2516.4629</v>
      </c>
      <c r="H18" s="395"/>
      <c r="I18" s="369"/>
    </row>
    <row r="19" spans="1:9" ht="21.75" x14ac:dyDescent="0.6">
      <c r="A19" s="374"/>
      <c r="B19" s="388" t="s">
        <v>785</v>
      </c>
      <c r="C19" s="416">
        <v>50</v>
      </c>
      <c r="D19" s="415">
        <f>'[12]Lista de Materiais'!$B$77</f>
        <v>705.08</v>
      </c>
      <c r="E19" s="391" t="s">
        <v>46</v>
      </c>
      <c r="F19" s="392">
        <v>10.904999999999999</v>
      </c>
      <c r="G19" s="393">
        <f t="shared" si="0"/>
        <v>7688.8973999999998</v>
      </c>
      <c r="H19" s="395"/>
      <c r="I19" s="369"/>
    </row>
    <row r="20" spans="1:9" ht="21.75" x14ac:dyDescent="0.6">
      <c r="A20" s="374"/>
      <c r="B20" s="398" t="s">
        <v>784</v>
      </c>
      <c r="C20" s="416"/>
      <c r="D20" s="415">
        <f>'[12]Lista de Materiais'!$B$80</f>
        <v>6</v>
      </c>
      <c r="E20" s="391" t="s">
        <v>614</v>
      </c>
      <c r="F20" s="392">
        <v>17.77</v>
      </c>
      <c r="G20" s="393">
        <f t="shared" si="0"/>
        <v>106.62</v>
      </c>
      <c r="H20" s="395"/>
      <c r="I20" s="369"/>
    </row>
    <row r="21" spans="1:9" ht="21.75" x14ac:dyDescent="0.6">
      <c r="A21" s="374"/>
      <c r="B21" s="398" t="s">
        <v>783</v>
      </c>
      <c r="C21" s="416"/>
      <c r="D21" s="415">
        <f>'[12]Lista de Materiais'!$B$81</f>
        <v>2</v>
      </c>
      <c r="E21" s="391" t="s">
        <v>614</v>
      </c>
      <c r="F21" s="392">
        <v>16</v>
      </c>
      <c r="G21" s="393">
        <f t="shared" si="0"/>
        <v>32</v>
      </c>
      <c r="H21" s="395"/>
      <c r="I21" s="369"/>
    </row>
    <row r="22" spans="1:9" ht="21.75" x14ac:dyDescent="0.6">
      <c r="A22" s="374"/>
      <c r="B22" s="398" t="s">
        <v>782</v>
      </c>
      <c r="C22" s="416"/>
      <c r="D22" s="415">
        <f>'[12]Lista de Materiais'!$B$82</f>
        <v>2</v>
      </c>
      <c r="E22" s="391" t="s">
        <v>614</v>
      </c>
      <c r="F22" s="392">
        <v>14.9</v>
      </c>
      <c r="G22" s="393">
        <f t="shared" si="0"/>
        <v>29.8</v>
      </c>
      <c r="H22" s="395"/>
      <c r="I22" s="369"/>
    </row>
    <row r="23" spans="1:9" ht="21.75" x14ac:dyDescent="0.6">
      <c r="A23" s="374"/>
      <c r="B23" s="398" t="s">
        <v>781</v>
      </c>
      <c r="C23" s="416"/>
      <c r="D23" s="415">
        <f>'[12]Lista de Materiais'!$B$15</f>
        <v>553</v>
      </c>
      <c r="E23" s="391" t="s">
        <v>614</v>
      </c>
      <c r="F23" s="392">
        <v>6.7</v>
      </c>
      <c r="G23" s="393">
        <f t="shared" si="0"/>
        <v>3705.1</v>
      </c>
      <c r="H23" s="395"/>
      <c r="I23" s="369"/>
    </row>
    <row r="24" spans="1:9" ht="21.75" x14ac:dyDescent="0.6">
      <c r="A24" s="374"/>
      <c r="B24" s="398" t="s">
        <v>780</v>
      </c>
      <c r="C24" s="416"/>
      <c r="D24" s="415">
        <f>'[12]Lista de Materiais'!$B$19</f>
        <v>134</v>
      </c>
      <c r="E24" s="391" t="s">
        <v>614</v>
      </c>
      <c r="F24" s="392">
        <v>14.77</v>
      </c>
      <c r="G24" s="393">
        <f t="shared" si="0"/>
        <v>1979.1799999999998</v>
      </c>
      <c r="H24" s="395"/>
      <c r="I24" s="369"/>
    </row>
    <row r="25" spans="1:9" ht="21.75" x14ac:dyDescent="0.6">
      <c r="A25" s="374"/>
      <c r="B25" s="398" t="s">
        <v>779</v>
      </c>
      <c r="C25" s="416"/>
      <c r="D25" s="415">
        <f>'[12]Lista de Materiais'!$B$14</f>
        <v>26</v>
      </c>
      <c r="E25" s="391" t="s">
        <v>614</v>
      </c>
      <c r="F25" s="392">
        <v>47.79</v>
      </c>
      <c r="G25" s="393">
        <f t="shared" si="0"/>
        <v>1242.54</v>
      </c>
      <c r="H25" s="395"/>
      <c r="I25" s="369"/>
    </row>
    <row r="26" spans="1:9" ht="21.75" x14ac:dyDescent="0.6">
      <c r="A26" s="374"/>
      <c r="B26" s="398" t="s">
        <v>778</v>
      </c>
      <c r="C26" s="416"/>
      <c r="D26" s="415">
        <f>'[12]Lista de Materiais'!$B$18</f>
        <v>976</v>
      </c>
      <c r="E26" s="391" t="s">
        <v>614</v>
      </c>
      <c r="F26" s="392">
        <v>2.85</v>
      </c>
      <c r="G26" s="393">
        <f t="shared" si="0"/>
        <v>2781.6</v>
      </c>
      <c r="H26" s="395"/>
      <c r="I26" s="369"/>
    </row>
    <row r="27" spans="1:9" ht="21.75" x14ac:dyDescent="0.6">
      <c r="A27" s="374"/>
      <c r="B27" s="398" t="s">
        <v>777</v>
      </c>
      <c r="C27" s="416"/>
      <c r="D27" s="415">
        <f>'[12]Lista de Materiais'!$B$17</f>
        <v>1597</v>
      </c>
      <c r="E27" s="391" t="s">
        <v>614</v>
      </c>
      <c r="F27" s="392">
        <v>3.18</v>
      </c>
      <c r="G27" s="393">
        <f t="shared" si="0"/>
        <v>5078.46</v>
      </c>
      <c r="H27" s="395"/>
      <c r="I27" s="369"/>
    </row>
    <row r="28" spans="1:9" ht="21.75" x14ac:dyDescent="0.6">
      <c r="A28" s="374"/>
      <c r="B28" s="398" t="s">
        <v>776</v>
      </c>
      <c r="C28" s="416"/>
      <c r="D28" s="415">
        <f>'[12]Lista de Materiais'!$B$21</f>
        <v>531</v>
      </c>
      <c r="E28" s="391" t="s">
        <v>614</v>
      </c>
      <c r="F28" s="392">
        <v>5.29</v>
      </c>
      <c r="G28" s="393">
        <f t="shared" si="0"/>
        <v>2808.9900000000002</v>
      </c>
      <c r="H28" s="395"/>
      <c r="I28" s="369"/>
    </row>
    <row r="29" spans="1:9" ht="21.75" x14ac:dyDescent="0.6">
      <c r="A29" s="374"/>
      <c r="B29" s="398" t="s">
        <v>775</v>
      </c>
      <c r="C29" s="416"/>
      <c r="D29" s="415">
        <f>'[12]Lista de Materiais'!$B$16</f>
        <v>305</v>
      </c>
      <c r="E29" s="391" t="s">
        <v>614</v>
      </c>
      <c r="F29" s="392">
        <v>6.87</v>
      </c>
      <c r="G29" s="393">
        <f t="shared" si="0"/>
        <v>2095.35</v>
      </c>
      <c r="H29" s="395"/>
      <c r="I29" s="369"/>
    </row>
    <row r="30" spans="1:9" ht="21.75" x14ac:dyDescent="0.6">
      <c r="A30" s="374"/>
      <c r="B30" s="398" t="s">
        <v>774</v>
      </c>
      <c r="C30" s="416"/>
      <c r="D30" s="415">
        <f>'[12]Lista de Materiais'!$B$20</f>
        <v>42</v>
      </c>
      <c r="E30" s="391" t="s">
        <v>614</v>
      </c>
      <c r="F30" s="392">
        <v>11.48</v>
      </c>
      <c r="G30" s="393">
        <f t="shared" si="0"/>
        <v>482.16</v>
      </c>
      <c r="H30" s="395"/>
      <c r="I30" s="369"/>
    </row>
    <row r="31" spans="1:9" ht="21.75" x14ac:dyDescent="0.6">
      <c r="A31" s="374"/>
      <c r="B31" s="398" t="s">
        <v>773</v>
      </c>
      <c r="C31" s="416"/>
      <c r="D31" s="415">
        <f>'[12]Lista de Materiais'!$B$22</f>
        <v>322</v>
      </c>
      <c r="E31" s="391" t="s">
        <v>614</v>
      </c>
      <c r="F31" s="392">
        <v>5.05</v>
      </c>
      <c r="G31" s="393">
        <f t="shared" si="0"/>
        <v>1626.1</v>
      </c>
      <c r="H31" s="395"/>
      <c r="I31" s="369"/>
    </row>
    <row r="32" spans="1:9" ht="21.75" x14ac:dyDescent="0.6">
      <c r="A32" s="374"/>
      <c r="B32" s="398" t="s">
        <v>772</v>
      </c>
      <c r="C32" s="416"/>
      <c r="D32" s="415">
        <f>'[12]Lista de Materiais'!$B$26</f>
        <v>58</v>
      </c>
      <c r="E32" s="391" t="s">
        <v>614</v>
      </c>
      <c r="F32" s="392">
        <v>17.95</v>
      </c>
      <c r="G32" s="393">
        <f t="shared" si="0"/>
        <v>1041.0999999999999</v>
      </c>
      <c r="H32" s="395"/>
      <c r="I32" s="369"/>
    </row>
    <row r="33" spans="1:9" ht="21.75" x14ac:dyDescent="0.6">
      <c r="A33" s="374"/>
      <c r="B33" s="398" t="s">
        <v>771</v>
      </c>
      <c r="C33" s="416"/>
      <c r="D33" s="415">
        <f>'[12]Lista de Materiais'!$B$25</f>
        <v>562</v>
      </c>
      <c r="E33" s="391" t="s">
        <v>614</v>
      </c>
      <c r="F33" s="392">
        <v>1.63</v>
      </c>
      <c r="G33" s="393">
        <f t="shared" si="0"/>
        <v>916.06</v>
      </c>
      <c r="H33" s="395"/>
      <c r="I33" s="369"/>
    </row>
    <row r="34" spans="1:9" ht="21.75" x14ac:dyDescent="0.6">
      <c r="A34" s="374"/>
      <c r="B34" s="398" t="s">
        <v>770</v>
      </c>
      <c r="C34" s="416"/>
      <c r="D34" s="415">
        <f>'[12]Lista de Materiais'!$B$24</f>
        <v>658</v>
      </c>
      <c r="E34" s="391" t="s">
        <v>614</v>
      </c>
      <c r="F34" s="392">
        <v>2.57</v>
      </c>
      <c r="G34" s="393">
        <f t="shared" si="0"/>
        <v>1691.06</v>
      </c>
      <c r="H34" s="395"/>
      <c r="I34" s="369"/>
    </row>
    <row r="35" spans="1:9" ht="21.75" x14ac:dyDescent="0.6">
      <c r="A35" s="374"/>
      <c r="B35" s="398" t="s">
        <v>769</v>
      </c>
      <c r="C35" s="416"/>
      <c r="D35" s="415">
        <f>'[12]Lista de Materiais'!$B$28</f>
        <v>402</v>
      </c>
      <c r="E35" s="391" t="s">
        <v>614</v>
      </c>
      <c r="F35" s="392">
        <v>14.26</v>
      </c>
      <c r="G35" s="393">
        <f t="shared" si="0"/>
        <v>5732.5199999999995</v>
      </c>
      <c r="H35" s="395"/>
      <c r="I35" s="369"/>
    </row>
    <row r="36" spans="1:9" ht="21.75" x14ac:dyDescent="0.6">
      <c r="A36" s="374"/>
      <c r="B36" s="398" t="s">
        <v>768</v>
      </c>
      <c r="C36" s="416"/>
      <c r="D36" s="415">
        <f>'[12]Lista de Materiais'!$B$23</f>
        <v>24</v>
      </c>
      <c r="E36" s="391" t="s">
        <v>614</v>
      </c>
      <c r="F36" s="392">
        <v>3.29</v>
      </c>
      <c r="G36" s="393">
        <f t="shared" si="0"/>
        <v>78.960000000000008</v>
      </c>
      <c r="H36" s="395"/>
      <c r="I36" s="369"/>
    </row>
    <row r="37" spans="1:9" ht="21.75" x14ac:dyDescent="0.6">
      <c r="A37" s="374"/>
      <c r="B37" s="398" t="s">
        <v>767</v>
      </c>
      <c r="C37" s="416"/>
      <c r="D37" s="415">
        <f>'[12]Lista de Materiais'!$B$27</f>
        <v>9</v>
      </c>
      <c r="E37" s="391" t="s">
        <v>614</v>
      </c>
      <c r="F37" s="392">
        <v>15.16</v>
      </c>
      <c r="G37" s="393">
        <f t="shared" si="0"/>
        <v>136.44</v>
      </c>
      <c r="H37" s="395"/>
      <c r="I37" s="369"/>
    </row>
    <row r="38" spans="1:9" ht="21.75" x14ac:dyDescent="0.6">
      <c r="A38" s="374"/>
      <c r="B38" s="398" t="s">
        <v>766</v>
      </c>
      <c r="C38" s="416"/>
      <c r="D38" s="415">
        <f>'[12]Lista de Materiais'!$B$38</f>
        <v>689</v>
      </c>
      <c r="E38" s="391" t="s">
        <v>614</v>
      </c>
      <c r="F38" s="392">
        <v>17.13</v>
      </c>
      <c r="G38" s="393">
        <f t="shared" si="0"/>
        <v>11802.57</v>
      </c>
      <c r="H38" s="395"/>
      <c r="I38" s="369"/>
    </row>
    <row r="39" spans="1:9" ht="21.75" x14ac:dyDescent="0.6">
      <c r="A39" s="374"/>
      <c r="B39" s="388" t="s">
        <v>765</v>
      </c>
      <c r="C39" s="416"/>
      <c r="D39" s="415">
        <f>'[12]Lista de Materiais'!$B$42</f>
        <v>184</v>
      </c>
      <c r="E39" s="391" t="s">
        <v>614</v>
      </c>
      <c r="F39" s="392">
        <v>36.049999999999997</v>
      </c>
      <c r="G39" s="393">
        <f t="shared" si="0"/>
        <v>6633.2</v>
      </c>
      <c r="H39" s="395"/>
      <c r="I39" s="369"/>
    </row>
    <row r="40" spans="1:9" ht="21.75" x14ac:dyDescent="0.6">
      <c r="A40" s="374"/>
      <c r="B40" s="388" t="s">
        <v>764</v>
      </c>
      <c r="C40" s="416"/>
      <c r="D40" s="415">
        <f>'[12]Lista de Materiais'!$B$39</f>
        <v>30</v>
      </c>
      <c r="E40" s="391" t="s">
        <v>614</v>
      </c>
      <c r="F40" s="392">
        <v>21.96</v>
      </c>
      <c r="G40" s="393">
        <f t="shared" si="0"/>
        <v>658.80000000000007</v>
      </c>
      <c r="H40" s="395"/>
      <c r="I40" s="369"/>
    </row>
    <row r="41" spans="1:9" ht="21.75" x14ac:dyDescent="0.6">
      <c r="A41" s="374"/>
      <c r="B41" s="388" t="s">
        <v>763</v>
      </c>
      <c r="C41" s="416"/>
      <c r="D41" s="415">
        <f>'[12]Lista de Materiais'!$B$41</f>
        <v>4</v>
      </c>
      <c r="E41" s="391" t="s">
        <v>614</v>
      </c>
      <c r="F41" s="392">
        <v>38.15</v>
      </c>
      <c r="G41" s="393">
        <f t="shared" si="0"/>
        <v>152.6</v>
      </c>
      <c r="H41" s="395"/>
      <c r="I41" s="369"/>
    </row>
    <row r="42" spans="1:9" ht="21.75" x14ac:dyDescent="0.6">
      <c r="A42" s="374"/>
      <c r="B42" s="388" t="s">
        <v>762</v>
      </c>
      <c r="C42" s="416"/>
      <c r="D42" s="415">
        <f>'[12]Lista de Materiais'!$B$37</f>
        <v>17</v>
      </c>
      <c r="E42" s="391" t="s">
        <v>614</v>
      </c>
      <c r="F42" s="392">
        <v>46.95</v>
      </c>
      <c r="G42" s="393">
        <f t="shared" si="0"/>
        <v>798.15000000000009</v>
      </c>
      <c r="H42" s="395"/>
      <c r="I42" s="369"/>
    </row>
    <row r="43" spans="1:9" ht="21.75" x14ac:dyDescent="0.6">
      <c r="A43" s="374"/>
      <c r="B43" s="388" t="s">
        <v>761</v>
      </c>
      <c r="C43" s="416"/>
      <c r="D43" s="415">
        <f>'[12]Lista de Materiais'!$B$40</f>
        <v>14</v>
      </c>
      <c r="E43" s="391" t="s">
        <v>614</v>
      </c>
      <c r="F43" s="392">
        <v>9.07</v>
      </c>
      <c r="G43" s="393">
        <f t="shared" si="0"/>
        <v>126.98</v>
      </c>
      <c r="H43" s="395"/>
      <c r="I43" s="369"/>
    </row>
    <row r="44" spans="1:9" ht="21.75" x14ac:dyDescent="0.6">
      <c r="A44" s="374"/>
      <c r="B44" s="388" t="s">
        <v>760</v>
      </c>
      <c r="C44" s="416"/>
      <c r="D44" s="415">
        <f>'[12]Lista de Materiais'!$B$43</f>
        <v>6</v>
      </c>
      <c r="E44" s="391" t="s">
        <v>614</v>
      </c>
      <c r="F44" s="392">
        <v>53.77</v>
      </c>
      <c r="G44" s="393">
        <f t="shared" ref="G44:G68" si="1">F44*D44</f>
        <v>322.62</v>
      </c>
      <c r="H44" s="395"/>
      <c r="I44" s="369"/>
    </row>
    <row r="45" spans="1:9" ht="21.75" x14ac:dyDescent="0.6">
      <c r="A45" s="374"/>
      <c r="B45" s="388" t="s">
        <v>759</v>
      </c>
      <c r="C45" s="416"/>
      <c r="D45" s="415">
        <f>'[12]Lista de Materiais'!$B$31</f>
        <v>230</v>
      </c>
      <c r="E45" s="391" t="s">
        <v>614</v>
      </c>
      <c r="F45" s="392">
        <v>33.049999999999997</v>
      </c>
      <c r="G45" s="393">
        <f t="shared" si="1"/>
        <v>7601.4999999999991</v>
      </c>
      <c r="H45" s="395"/>
      <c r="I45" s="369"/>
    </row>
    <row r="46" spans="1:9" ht="21.75" x14ac:dyDescent="0.6">
      <c r="A46" s="374"/>
      <c r="B46" s="388" t="s">
        <v>758</v>
      </c>
      <c r="C46" s="416"/>
      <c r="D46" s="415">
        <f>'[12]Lista de Materiais'!$B$34</f>
        <v>20</v>
      </c>
      <c r="E46" s="391" t="s">
        <v>614</v>
      </c>
      <c r="F46" s="392">
        <v>37.57</v>
      </c>
      <c r="G46" s="393">
        <f t="shared" si="1"/>
        <v>751.4</v>
      </c>
      <c r="H46" s="395"/>
      <c r="I46" s="369"/>
    </row>
    <row r="47" spans="1:9" ht="21.75" x14ac:dyDescent="0.6">
      <c r="A47" s="374"/>
      <c r="B47" s="398" t="s">
        <v>757</v>
      </c>
      <c r="C47" s="416"/>
      <c r="D47" s="415">
        <f>'[12]Lista de Materiais'!$B$33</f>
        <v>79</v>
      </c>
      <c r="E47" s="391" t="s">
        <v>614</v>
      </c>
      <c r="F47" s="392">
        <v>9.93</v>
      </c>
      <c r="G47" s="393">
        <f t="shared" si="1"/>
        <v>784.47</v>
      </c>
      <c r="H47" s="395"/>
      <c r="I47" s="369"/>
    </row>
    <row r="48" spans="1:9" ht="21.75" x14ac:dyDescent="0.6">
      <c r="A48" s="374"/>
      <c r="B48" s="398" t="s">
        <v>756</v>
      </c>
      <c r="C48" s="416"/>
      <c r="D48" s="415">
        <f>'[12]Lista de Materiais'!$B$36</f>
        <v>90</v>
      </c>
      <c r="E48" s="391" t="s">
        <v>614</v>
      </c>
      <c r="F48" s="392">
        <v>24.83</v>
      </c>
      <c r="G48" s="393">
        <f t="shared" si="1"/>
        <v>2234.6999999999998</v>
      </c>
      <c r="H48" s="395"/>
      <c r="I48" s="369"/>
    </row>
    <row r="49" spans="1:9" ht="21.75" x14ac:dyDescent="0.6">
      <c r="A49" s="374"/>
      <c r="B49" s="398" t="s">
        <v>755</v>
      </c>
      <c r="C49" s="416"/>
      <c r="D49" s="415">
        <f>'[12]Lista de Materiais'!$B$32</f>
        <v>86</v>
      </c>
      <c r="E49" s="391" t="s">
        <v>614</v>
      </c>
      <c r="F49" s="392">
        <v>18.989999999999998</v>
      </c>
      <c r="G49" s="393">
        <f t="shared" si="1"/>
        <v>1633.1399999999999</v>
      </c>
      <c r="H49" s="395"/>
      <c r="I49" s="369"/>
    </row>
    <row r="50" spans="1:9" ht="21.75" x14ac:dyDescent="0.6">
      <c r="A50" s="374"/>
      <c r="B50" s="388" t="s">
        <v>754</v>
      </c>
      <c r="C50" s="416"/>
      <c r="D50" s="415">
        <f>'[12]Lista de Materiais'!$B$35</f>
        <v>1</v>
      </c>
      <c r="E50" s="391" t="s">
        <v>614</v>
      </c>
      <c r="F50" s="392">
        <v>28</v>
      </c>
      <c r="G50" s="393">
        <f t="shared" si="1"/>
        <v>28</v>
      </c>
      <c r="H50" s="395"/>
      <c r="I50" s="369"/>
    </row>
    <row r="51" spans="1:9" ht="21.75" x14ac:dyDescent="0.6">
      <c r="A51" s="374"/>
      <c r="B51" s="388" t="s">
        <v>753</v>
      </c>
      <c r="C51" s="416"/>
      <c r="D51" s="415">
        <f>'[12]Lista de Materiais'!$B$47</f>
        <v>1808</v>
      </c>
      <c r="E51" s="391" t="s">
        <v>614</v>
      </c>
      <c r="F51" s="392">
        <v>14.25</v>
      </c>
      <c r="G51" s="393">
        <f t="shared" si="1"/>
        <v>25764</v>
      </c>
      <c r="H51" s="395"/>
      <c r="I51" s="369"/>
    </row>
    <row r="52" spans="1:9" ht="21.75" x14ac:dyDescent="0.6">
      <c r="A52" s="374"/>
      <c r="B52" s="388" t="s">
        <v>752</v>
      </c>
      <c r="C52" s="416"/>
      <c r="D52" s="415">
        <f>'[12]Lista de Materiais'!$B$50</f>
        <v>375</v>
      </c>
      <c r="E52" s="391" t="s">
        <v>614</v>
      </c>
      <c r="F52" s="392">
        <v>17.95</v>
      </c>
      <c r="G52" s="393">
        <f t="shared" si="1"/>
        <v>6731.25</v>
      </c>
      <c r="H52" s="395"/>
      <c r="I52" s="369"/>
    </row>
    <row r="53" spans="1:9" ht="21.75" x14ac:dyDescent="0.6">
      <c r="A53" s="374"/>
      <c r="B53" s="388" t="s">
        <v>751</v>
      </c>
      <c r="C53" s="416"/>
      <c r="D53" s="415">
        <f>'[12]Lista de Materiais'!$B$46</f>
        <v>37</v>
      </c>
      <c r="E53" s="391" t="s">
        <v>614</v>
      </c>
      <c r="F53" s="392">
        <v>27.75</v>
      </c>
      <c r="G53" s="393">
        <f t="shared" si="1"/>
        <v>1026.75</v>
      </c>
      <c r="H53" s="395"/>
      <c r="I53" s="369"/>
    </row>
    <row r="54" spans="1:9" ht="21.75" x14ac:dyDescent="0.6">
      <c r="A54" s="374"/>
      <c r="B54" s="388" t="s">
        <v>750</v>
      </c>
      <c r="C54" s="416"/>
      <c r="D54" s="415">
        <f>'[12]Lista de Materiais'!$B$49</f>
        <v>2522</v>
      </c>
      <c r="E54" s="391" t="s">
        <v>614</v>
      </c>
      <c r="F54" s="392">
        <v>2.41</v>
      </c>
      <c r="G54" s="393">
        <f t="shared" si="1"/>
        <v>6078.02</v>
      </c>
      <c r="H54" s="395"/>
      <c r="I54" s="369"/>
    </row>
    <row r="55" spans="1:9" ht="21.75" x14ac:dyDescent="0.6">
      <c r="A55" s="374"/>
      <c r="B55" s="388" t="s">
        <v>749</v>
      </c>
      <c r="C55" s="416"/>
      <c r="D55" s="415">
        <f>'[12]Lista de Materiais'!$B$52</f>
        <v>1076</v>
      </c>
      <c r="E55" s="391" t="s">
        <v>614</v>
      </c>
      <c r="F55" s="392">
        <v>7.78</v>
      </c>
      <c r="G55" s="393">
        <f t="shared" si="1"/>
        <v>8371.2800000000007</v>
      </c>
      <c r="H55" s="395"/>
      <c r="I55" s="369"/>
    </row>
    <row r="56" spans="1:9" ht="21.75" x14ac:dyDescent="0.6">
      <c r="A56" s="374"/>
      <c r="B56" s="388" t="s">
        <v>748</v>
      </c>
      <c r="C56" s="416"/>
      <c r="D56" s="415">
        <f>'[12]Lista de Materiais'!$B$48</f>
        <v>451</v>
      </c>
      <c r="E56" s="391" t="s">
        <v>614</v>
      </c>
      <c r="F56" s="392">
        <v>6.12</v>
      </c>
      <c r="G56" s="393">
        <f t="shared" si="1"/>
        <v>2760.12</v>
      </c>
      <c r="H56" s="395"/>
      <c r="I56" s="369"/>
    </row>
    <row r="57" spans="1:9" ht="21.75" x14ac:dyDescent="0.6">
      <c r="A57" s="374"/>
      <c r="B57" s="388" t="s">
        <v>747</v>
      </c>
      <c r="C57" s="416"/>
      <c r="D57" s="415">
        <f>'[12]Lista de Materiais'!$B$51</f>
        <v>55</v>
      </c>
      <c r="E57" s="391" t="s">
        <v>614</v>
      </c>
      <c r="F57" s="392">
        <v>9.6999999999999993</v>
      </c>
      <c r="G57" s="393">
        <f t="shared" si="1"/>
        <v>533.5</v>
      </c>
      <c r="H57" s="395"/>
      <c r="I57" s="369"/>
    </row>
    <row r="58" spans="1:9" ht="21.75" x14ac:dyDescent="0.6">
      <c r="A58" s="374"/>
      <c r="B58" s="388" t="s">
        <v>746</v>
      </c>
      <c r="C58" s="416"/>
      <c r="D58" s="415">
        <f>'[12]Lista de Materiais'!$B$55</f>
        <v>10</v>
      </c>
      <c r="E58" s="391" t="s">
        <v>614</v>
      </c>
      <c r="F58" s="392">
        <v>13.9</v>
      </c>
      <c r="G58" s="393">
        <f t="shared" si="1"/>
        <v>139</v>
      </c>
      <c r="H58" s="395"/>
      <c r="I58" s="369"/>
    </row>
    <row r="59" spans="1:9" ht="21.75" x14ac:dyDescent="0.6">
      <c r="A59" s="374"/>
      <c r="B59" s="388" t="s">
        <v>745</v>
      </c>
      <c r="C59" s="416"/>
      <c r="D59" s="415">
        <f>'[12]Lista de Materiais'!$B$56</f>
        <v>9</v>
      </c>
      <c r="E59" s="391" t="s">
        <v>614</v>
      </c>
      <c r="F59" s="392">
        <v>20.9</v>
      </c>
      <c r="G59" s="393">
        <f t="shared" si="1"/>
        <v>188.1</v>
      </c>
      <c r="H59" s="395"/>
      <c r="I59" s="369"/>
    </row>
    <row r="60" spans="1:9" ht="21.75" x14ac:dyDescent="0.6">
      <c r="A60" s="374"/>
      <c r="B60" s="388" t="s">
        <v>744</v>
      </c>
      <c r="C60" s="416"/>
      <c r="D60" s="415">
        <f>'[12]Lista de Materiais'!$B$62</f>
        <v>22</v>
      </c>
      <c r="E60" s="391" t="s">
        <v>614</v>
      </c>
      <c r="F60" s="392">
        <v>14.76</v>
      </c>
      <c r="G60" s="393">
        <f t="shared" si="1"/>
        <v>324.71999999999997</v>
      </c>
      <c r="H60" s="395"/>
      <c r="I60" s="369"/>
    </row>
    <row r="61" spans="1:9" ht="21.75" x14ac:dyDescent="0.6">
      <c r="A61" s="374"/>
      <c r="B61" s="388" t="s">
        <v>743</v>
      </c>
      <c r="C61" s="416"/>
      <c r="D61" s="415">
        <f>'[12]Lista de Materiais'!$B$61</f>
        <v>1</v>
      </c>
      <c r="E61" s="391" t="s">
        <v>614</v>
      </c>
      <c r="F61" s="392">
        <v>11.4</v>
      </c>
      <c r="G61" s="393">
        <f t="shared" si="1"/>
        <v>11.4</v>
      </c>
      <c r="H61" s="395"/>
      <c r="I61" s="369"/>
    </row>
    <row r="62" spans="1:9" ht="21.75" x14ac:dyDescent="0.6">
      <c r="A62" s="374"/>
      <c r="B62" s="388" t="s">
        <v>742</v>
      </c>
      <c r="C62" s="416"/>
      <c r="D62" s="415">
        <f>'[12]Lista de Materiais'!$B$63</f>
        <v>2</v>
      </c>
      <c r="E62" s="391" t="s">
        <v>614</v>
      </c>
      <c r="F62" s="392">
        <v>29.54</v>
      </c>
      <c r="G62" s="393">
        <f t="shared" si="1"/>
        <v>59.08</v>
      </c>
      <c r="H62" s="395"/>
      <c r="I62" s="369"/>
    </row>
    <row r="63" spans="1:9" ht="21.75" x14ac:dyDescent="0.6">
      <c r="A63" s="374"/>
      <c r="B63" s="388" t="s">
        <v>741</v>
      </c>
      <c r="C63" s="396"/>
      <c r="D63" s="390">
        <f>'[12]Lista de Materiais'!$B$59</f>
        <v>450</v>
      </c>
      <c r="E63" s="391" t="s">
        <v>614</v>
      </c>
      <c r="F63" s="392">
        <v>6.39</v>
      </c>
      <c r="G63" s="393">
        <f t="shared" si="1"/>
        <v>2875.5</v>
      </c>
      <c r="H63" s="395"/>
      <c r="I63" s="369"/>
    </row>
    <row r="64" spans="1:9" ht="21.75" x14ac:dyDescent="0.6">
      <c r="A64" s="374"/>
      <c r="B64" s="388" t="s">
        <v>740</v>
      </c>
      <c r="C64" s="396"/>
      <c r="D64" s="390">
        <f>'[12]Lista de Materiais'!$B$60</f>
        <v>84</v>
      </c>
      <c r="E64" s="391" t="s">
        <v>614</v>
      </c>
      <c r="F64" s="392">
        <v>24.83</v>
      </c>
      <c r="G64" s="393">
        <f t="shared" si="1"/>
        <v>2085.7199999999998</v>
      </c>
      <c r="H64" s="395"/>
      <c r="I64" s="369"/>
    </row>
    <row r="65" spans="1:9" ht="21.75" x14ac:dyDescent="0.6">
      <c r="A65" s="374"/>
      <c r="B65" s="388" t="s">
        <v>739</v>
      </c>
      <c r="C65" s="396"/>
      <c r="D65" s="390">
        <f>'[12]Lista de Materiais'!$B$66</f>
        <v>24</v>
      </c>
      <c r="E65" s="391" t="s">
        <v>614</v>
      </c>
      <c r="F65" s="392">
        <v>17.239999999999998</v>
      </c>
      <c r="G65" s="393">
        <f t="shared" si="1"/>
        <v>413.76</v>
      </c>
      <c r="H65" s="395"/>
      <c r="I65" s="369"/>
    </row>
    <row r="66" spans="1:9" ht="21.75" x14ac:dyDescent="0.6">
      <c r="A66" s="374"/>
      <c r="B66" s="398" t="s">
        <v>738</v>
      </c>
      <c r="C66" s="396"/>
      <c r="D66" s="390">
        <f>'[12]Lista de Materiais'!$B$67</f>
        <v>7</v>
      </c>
      <c r="E66" s="391" t="s">
        <v>614</v>
      </c>
      <c r="F66" s="392">
        <v>13.43</v>
      </c>
      <c r="G66" s="393">
        <f t="shared" si="1"/>
        <v>94.009999999999991</v>
      </c>
      <c r="H66" s="395"/>
      <c r="I66" s="369"/>
    </row>
    <row r="67" spans="1:9" ht="21.75" x14ac:dyDescent="0.6">
      <c r="A67" s="374"/>
      <c r="B67" s="388" t="s">
        <v>737</v>
      </c>
      <c r="C67" s="396"/>
      <c r="D67" s="390">
        <f>'[12]Lista de Materiais'!$B$10</f>
        <v>266</v>
      </c>
      <c r="E67" s="391" t="s">
        <v>614</v>
      </c>
      <c r="F67" s="392">
        <v>64.349999999999994</v>
      </c>
      <c r="G67" s="393">
        <f t="shared" si="1"/>
        <v>17117.099999999999</v>
      </c>
      <c r="H67" s="395"/>
      <c r="I67" s="369"/>
    </row>
    <row r="68" spans="1:9" ht="22.5" thickBot="1" x14ac:dyDescent="0.65">
      <c r="A68" s="374"/>
      <c r="B68" s="414" t="s">
        <v>736</v>
      </c>
      <c r="C68" s="404"/>
      <c r="D68" s="413">
        <f>'[12]Lista de Materiais'!$B$11</f>
        <v>132</v>
      </c>
      <c r="E68" s="406" t="s">
        <v>614</v>
      </c>
      <c r="F68" s="407">
        <v>82.99</v>
      </c>
      <c r="G68" s="407">
        <f t="shared" si="1"/>
        <v>10954.679999999998</v>
      </c>
      <c r="H68" s="395"/>
      <c r="I68" s="369"/>
    </row>
    <row r="69" spans="1:9" ht="15.75" thickBot="1" x14ac:dyDescent="0.3">
      <c r="A69" s="412"/>
      <c r="B69" s="411"/>
      <c r="C69" s="411"/>
      <c r="D69" s="411"/>
      <c r="E69" s="411"/>
      <c r="F69" s="410"/>
      <c r="G69" s="410"/>
      <c r="H69" s="409"/>
      <c r="I69" s="408"/>
    </row>
  </sheetData>
  <mergeCells count="2">
    <mergeCell ref="A4:I4"/>
    <mergeCell ref="A6:I6"/>
  </mergeCell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E890-237A-4D56-86D0-5545A6858E31}">
  <dimension ref="A1:J32"/>
  <sheetViews>
    <sheetView topLeftCell="A16" workbookViewId="0">
      <selection activeCell="F12" sqref="F12"/>
    </sheetView>
  </sheetViews>
  <sheetFormatPr defaultRowHeight="15" x14ac:dyDescent="0.25"/>
  <cols>
    <col min="1" max="1" width="8.85546875" bestFit="1" customWidth="1"/>
    <col min="2" max="2" width="42.7109375" customWidth="1"/>
    <col min="3" max="3" width="11.28515625" customWidth="1"/>
    <col min="5" max="5" width="11.42578125" customWidth="1"/>
    <col min="6" max="6" width="22" customWidth="1"/>
    <col min="8" max="8" width="28" customWidth="1"/>
  </cols>
  <sheetData>
    <row r="1" spans="1:10" ht="21.75" x14ac:dyDescent="0.6">
      <c r="A1" s="351" t="s">
        <v>397</v>
      </c>
      <c r="B1" s="352" t="s">
        <v>435</v>
      </c>
      <c r="C1" s="353"/>
      <c r="D1" s="353"/>
      <c r="E1" s="354"/>
      <c r="F1" s="354"/>
      <c r="G1" s="354"/>
      <c r="H1" s="355"/>
    </row>
    <row r="2" spans="1:10" ht="39" x14ac:dyDescent="0.6">
      <c r="A2" s="356" t="s">
        <v>398</v>
      </c>
      <c r="B2" s="357" t="s">
        <v>436</v>
      </c>
      <c r="C2" s="358"/>
      <c r="D2" s="358"/>
      <c r="E2" s="359"/>
      <c r="F2" s="359"/>
      <c r="G2" s="359"/>
      <c r="H2" s="360"/>
    </row>
    <row r="3" spans="1:10" ht="21.75" x14ac:dyDescent="0.6">
      <c r="A3" s="356" t="s">
        <v>399</v>
      </c>
      <c r="B3" s="357" t="s">
        <v>437</v>
      </c>
      <c r="C3" s="358"/>
      <c r="D3" s="358"/>
      <c r="E3" s="359"/>
      <c r="F3" s="359"/>
      <c r="G3" s="361"/>
      <c r="H3" s="360"/>
    </row>
    <row r="4" spans="1:10" ht="28.5" x14ac:dyDescent="0.25">
      <c r="A4" s="851" t="s">
        <v>434</v>
      </c>
      <c r="B4" s="852"/>
      <c r="C4" s="852"/>
      <c r="D4" s="852"/>
      <c r="E4" s="852"/>
      <c r="F4" s="852"/>
      <c r="G4" s="853"/>
      <c r="H4" s="854"/>
    </row>
    <row r="5" spans="1:10" ht="28.5" x14ac:dyDescent="0.6">
      <c r="A5" s="362"/>
      <c r="B5" s="363"/>
      <c r="C5" s="364"/>
      <c r="D5" s="364"/>
      <c r="E5" s="365"/>
      <c r="F5" s="365"/>
      <c r="G5" s="365"/>
      <c r="H5" s="366"/>
    </row>
    <row r="6" spans="1:10" ht="28.5" x14ac:dyDescent="0.25">
      <c r="A6" s="855" t="s">
        <v>791</v>
      </c>
      <c r="B6" s="856"/>
      <c r="C6" s="856"/>
      <c r="D6" s="856"/>
      <c r="E6" s="856"/>
      <c r="F6" s="856"/>
      <c r="G6" s="857"/>
      <c r="H6" s="858"/>
    </row>
    <row r="7" spans="1:10" ht="21.75" x14ac:dyDescent="0.6">
      <c r="A7" s="367"/>
      <c r="B7" s="368"/>
      <c r="C7" s="368"/>
      <c r="D7" s="368"/>
      <c r="E7" s="361"/>
      <c r="F7" s="361"/>
      <c r="G7" s="361"/>
      <c r="H7" s="369"/>
    </row>
    <row r="8" spans="1:10" ht="21.75" x14ac:dyDescent="0.6">
      <c r="A8" s="370" t="s">
        <v>605</v>
      </c>
      <c r="B8" s="371"/>
      <c r="C8" s="371"/>
      <c r="D8" s="371"/>
      <c r="E8" s="372"/>
      <c r="F8" s="372"/>
      <c r="G8" s="372"/>
      <c r="H8" s="373"/>
    </row>
    <row r="9" spans="1:10" ht="22.5" thickBot="1" x14ac:dyDescent="0.65">
      <c r="A9" s="374"/>
      <c r="B9" s="419"/>
      <c r="C9" s="375"/>
      <c r="D9" s="375"/>
      <c r="E9" s="376"/>
      <c r="F9" s="376"/>
      <c r="G9" s="376"/>
      <c r="H9" s="369"/>
    </row>
    <row r="10" spans="1:10" ht="31.5" x14ac:dyDescent="0.6">
      <c r="A10" s="374"/>
      <c r="B10" s="377" t="s">
        <v>606</v>
      </c>
      <c r="C10" s="379" t="s">
        <v>440</v>
      </c>
      <c r="D10" s="380" t="s">
        <v>789</v>
      </c>
      <c r="E10" s="381" t="s">
        <v>607</v>
      </c>
      <c r="F10" s="381" t="s">
        <v>608</v>
      </c>
      <c r="G10" s="382"/>
      <c r="H10" s="369"/>
    </row>
    <row r="11" spans="1:10" ht="21.75" x14ac:dyDescent="0.6">
      <c r="A11" s="374"/>
      <c r="B11" s="383" t="s">
        <v>792</v>
      </c>
      <c r="C11" s="384"/>
      <c r="D11" s="384"/>
      <c r="E11" s="384"/>
      <c r="F11" s="385">
        <f>SUM(F12:F22)</f>
        <v>187114.96</v>
      </c>
      <c r="G11" s="418"/>
      <c r="H11" s="369"/>
    </row>
    <row r="12" spans="1:10" ht="21.75" x14ac:dyDescent="0.6">
      <c r="A12" s="374"/>
      <c r="B12" s="394" t="s">
        <v>793</v>
      </c>
      <c r="C12" s="390">
        <f>3+5+(12*15)</f>
        <v>188</v>
      </c>
      <c r="D12" s="391" t="s">
        <v>633</v>
      </c>
      <c r="E12" s="392">
        <v>769</v>
      </c>
      <c r="F12" s="393">
        <f t="shared" ref="F12:F22" si="0">E12*C12</f>
        <v>144572</v>
      </c>
      <c r="G12" s="418"/>
      <c r="H12" s="369"/>
    </row>
    <row r="13" spans="1:10" ht="21.75" x14ac:dyDescent="0.6">
      <c r="A13" s="374"/>
      <c r="B13" s="394" t="s">
        <v>794</v>
      </c>
      <c r="C13" s="390">
        <f>4+8+(12*2*15)+(41*2*15)</f>
        <v>1602</v>
      </c>
      <c r="D13" s="391" t="s">
        <v>633</v>
      </c>
      <c r="E13" s="392">
        <v>23.98</v>
      </c>
      <c r="F13" s="393">
        <f t="shared" si="0"/>
        <v>38415.96</v>
      </c>
      <c r="G13" s="418"/>
      <c r="H13" s="369"/>
      <c r="J13" t="s">
        <v>795</v>
      </c>
    </row>
    <row r="14" spans="1:10" ht="21.75" x14ac:dyDescent="0.6">
      <c r="A14" s="374"/>
      <c r="B14" s="394" t="s">
        <v>796</v>
      </c>
      <c r="C14" s="390">
        <v>2</v>
      </c>
      <c r="D14" s="391" t="s">
        <v>633</v>
      </c>
      <c r="E14" s="392">
        <v>250</v>
      </c>
      <c r="F14" s="393">
        <f t="shared" si="0"/>
        <v>500</v>
      </c>
      <c r="G14" s="418"/>
      <c r="H14" s="369"/>
    </row>
    <row r="15" spans="1:10" ht="21.75" x14ac:dyDescent="0.6">
      <c r="A15" s="374"/>
      <c r="B15" s="394" t="s">
        <v>797</v>
      </c>
      <c r="C15" s="390">
        <f>3+5</f>
        <v>8</v>
      </c>
      <c r="D15" s="391" t="s">
        <v>633</v>
      </c>
      <c r="E15" s="392">
        <v>145</v>
      </c>
      <c r="F15" s="393">
        <f t="shared" si="0"/>
        <v>1160</v>
      </c>
      <c r="G15" s="418"/>
      <c r="H15" s="369"/>
    </row>
    <row r="16" spans="1:10" ht="21.75" x14ac:dyDescent="0.6">
      <c r="A16" s="374"/>
      <c r="B16" s="394" t="s">
        <v>798</v>
      </c>
      <c r="C16" s="390">
        <v>1</v>
      </c>
      <c r="D16" s="391" t="s">
        <v>633</v>
      </c>
      <c r="E16" s="392">
        <v>62</v>
      </c>
      <c r="F16" s="393">
        <f t="shared" si="0"/>
        <v>62</v>
      </c>
      <c r="G16" s="418"/>
      <c r="H16" s="369"/>
    </row>
    <row r="17" spans="1:8" ht="21.75" x14ac:dyDescent="0.6">
      <c r="A17" s="374"/>
      <c r="B17" s="394" t="s">
        <v>799</v>
      </c>
      <c r="C17" s="390">
        <v>5</v>
      </c>
      <c r="D17" s="391" t="s">
        <v>633</v>
      </c>
      <c r="E17" s="392">
        <v>109</v>
      </c>
      <c r="F17" s="393">
        <f t="shared" si="0"/>
        <v>545</v>
      </c>
      <c r="G17" s="418"/>
      <c r="H17" s="369"/>
    </row>
    <row r="18" spans="1:8" ht="21.75" x14ac:dyDescent="0.6">
      <c r="A18" s="374"/>
      <c r="B18" s="394" t="s">
        <v>800</v>
      </c>
      <c r="C18" s="390">
        <v>3</v>
      </c>
      <c r="D18" s="391" t="s">
        <v>633</v>
      </c>
      <c r="E18" s="392">
        <v>176</v>
      </c>
      <c r="F18" s="393">
        <f t="shared" si="0"/>
        <v>528</v>
      </c>
      <c r="G18" s="418"/>
      <c r="H18" s="369"/>
    </row>
    <row r="19" spans="1:8" ht="21.75" x14ac:dyDescent="0.6">
      <c r="A19" s="374"/>
      <c r="B19" s="394" t="s">
        <v>801</v>
      </c>
      <c r="C19" s="390">
        <v>2</v>
      </c>
      <c r="D19" s="391" t="s">
        <v>633</v>
      </c>
      <c r="E19" s="392">
        <v>170</v>
      </c>
      <c r="F19" s="393">
        <f t="shared" si="0"/>
        <v>340</v>
      </c>
      <c r="G19" s="418"/>
      <c r="H19" s="369"/>
    </row>
    <row r="20" spans="1:8" ht="21.75" x14ac:dyDescent="0.6">
      <c r="A20" s="374"/>
      <c r="B20" s="394" t="s">
        <v>802</v>
      </c>
      <c r="C20" s="390">
        <v>2</v>
      </c>
      <c r="D20" s="391" t="s">
        <v>633</v>
      </c>
      <c r="E20" s="392">
        <v>150</v>
      </c>
      <c r="F20" s="393">
        <f t="shared" si="0"/>
        <v>300</v>
      </c>
      <c r="G20" s="418"/>
      <c r="H20" s="369"/>
    </row>
    <row r="21" spans="1:8" ht="21.75" x14ac:dyDescent="0.6">
      <c r="A21" s="374"/>
      <c r="B21" s="394" t="s">
        <v>803</v>
      </c>
      <c r="C21" s="390">
        <v>1</v>
      </c>
      <c r="D21" s="391" t="s">
        <v>633</v>
      </c>
      <c r="E21" s="392">
        <v>68</v>
      </c>
      <c r="F21" s="393">
        <f t="shared" si="0"/>
        <v>68</v>
      </c>
      <c r="G21" s="418"/>
      <c r="H21" s="369"/>
    </row>
    <row r="22" spans="1:8" ht="21.75" x14ac:dyDescent="0.6">
      <c r="A22" s="374"/>
      <c r="B22" s="394" t="s">
        <v>804</v>
      </c>
      <c r="C22" s="390">
        <v>12</v>
      </c>
      <c r="D22" s="391" t="s">
        <v>633</v>
      </c>
      <c r="E22" s="392">
        <v>52</v>
      </c>
      <c r="F22" s="393">
        <f t="shared" si="0"/>
        <v>624</v>
      </c>
      <c r="G22" s="418"/>
      <c r="H22" s="369"/>
    </row>
    <row r="23" spans="1:8" ht="21.75" x14ac:dyDescent="0.6">
      <c r="A23" s="374"/>
      <c r="B23" s="383" t="s">
        <v>805</v>
      </c>
      <c r="C23" s="384"/>
      <c r="D23" s="384"/>
      <c r="E23" s="384"/>
      <c r="F23" s="385">
        <f>SUM(F24:F28)</f>
        <v>5168.82</v>
      </c>
      <c r="G23" s="418"/>
      <c r="H23" s="369"/>
    </row>
    <row r="24" spans="1:8" ht="21.75" x14ac:dyDescent="0.6">
      <c r="A24" s="374"/>
      <c r="B24" s="394" t="s">
        <v>806</v>
      </c>
      <c r="C24" s="390">
        <f>10</f>
        <v>10</v>
      </c>
      <c r="D24" s="391" t="s">
        <v>614</v>
      </c>
      <c r="E24" s="392">
        <v>23.9</v>
      </c>
      <c r="F24" s="393">
        <f t="shared" ref="F24:F28" si="1">E24*C24</f>
        <v>239</v>
      </c>
      <c r="G24" s="395"/>
      <c r="H24" s="369"/>
    </row>
    <row r="25" spans="1:8" ht="21.75" x14ac:dyDescent="0.6">
      <c r="A25" s="374"/>
      <c r="B25" s="394" t="s">
        <v>807</v>
      </c>
      <c r="C25" s="390">
        <f>C21</f>
        <v>1</v>
      </c>
      <c r="D25" s="391" t="s">
        <v>614</v>
      </c>
      <c r="E25" s="392">
        <v>8</v>
      </c>
      <c r="F25" s="393">
        <f t="shared" si="1"/>
        <v>8</v>
      </c>
      <c r="G25" s="395"/>
      <c r="H25" s="369"/>
    </row>
    <row r="26" spans="1:8" ht="21.75" x14ac:dyDescent="0.6">
      <c r="A26" s="374"/>
      <c r="B26" s="394" t="s">
        <v>808</v>
      </c>
      <c r="C26" s="390">
        <v>9</v>
      </c>
      <c r="D26" s="391" t="s">
        <v>614</v>
      </c>
      <c r="E26" s="392">
        <v>29.9</v>
      </c>
      <c r="F26" s="393">
        <f t="shared" si="1"/>
        <v>269.09999999999997</v>
      </c>
      <c r="G26" s="395"/>
      <c r="H26" s="369"/>
    </row>
    <row r="27" spans="1:8" ht="21.75" x14ac:dyDescent="0.6">
      <c r="A27" s="374"/>
      <c r="B27" s="394" t="s">
        <v>809</v>
      </c>
      <c r="C27" s="390">
        <v>2</v>
      </c>
      <c r="D27" s="391" t="s">
        <v>614</v>
      </c>
      <c r="E27" s="392">
        <v>29.9</v>
      </c>
      <c r="F27" s="393">
        <f t="shared" si="1"/>
        <v>59.8</v>
      </c>
      <c r="G27" s="395"/>
      <c r="H27" s="369"/>
    </row>
    <row r="28" spans="1:8" ht="21.75" x14ac:dyDescent="0.6">
      <c r="A28" s="374"/>
      <c r="B28" s="394" t="s">
        <v>810</v>
      </c>
      <c r="C28" s="390">
        <f>188+2+8+1</f>
        <v>199</v>
      </c>
      <c r="D28" s="391" t="s">
        <v>614</v>
      </c>
      <c r="E28" s="392">
        <v>23.08</v>
      </c>
      <c r="F28" s="393">
        <f t="shared" si="1"/>
        <v>4592.92</v>
      </c>
      <c r="G28" s="395"/>
      <c r="H28" s="369"/>
    </row>
    <row r="29" spans="1:8" ht="21.75" x14ac:dyDescent="0.6">
      <c r="A29" s="374"/>
      <c r="B29" s="383" t="s">
        <v>325</v>
      </c>
      <c r="C29" s="384"/>
      <c r="D29" s="384"/>
      <c r="E29" s="384"/>
      <c r="F29" s="385">
        <f>SUM(F30)</f>
        <v>75057.5</v>
      </c>
      <c r="G29" s="395"/>
      <c r="H29" s="369"/>
    </row>
    <row r="30" spans="1:8" ht="22.5" thickBot="1" x14ac:dyDescent="0.65">
      <c r="A30" s="374"/>
      <c r="B30" s="414" t="s">
        <v>811</v>
      </c>
      <c r="C30" s="413">
        <v>10722.5</v>
      </c>
      <c r="D30" s="406" t="s">
        <v>41</v>
      </c>
      <c r="E30" s="407">
        <v>7</v>
      </c>
      <c r="F30" s="407">
        <f>E30*C30</f>
        <v>75057.5</v>
      </c>
      <c r="G30" s="395"/>
      <c r="H30" s="369"/>
    </row>
    <row r="31" spans="1:8" ht="22.5" thickBot="1" x14ac:dyDescent="0.65">
      <c r="A31" s="374"/>
      <c r="B31" s="420"/>
      <c r="C31" s="420"/>
      <c r="D31" s="421"/>
      <c r="E31" s="422" t="s">
        <v>226</v>
      </c>
      <c r="F31" s="422">
        <f>SUM(F11,F23,F29)</f>
        <v>267341.28000000003</v>
      </c>
      <c r="G31" s="395"/>
      <c r="H31" s="369"/>
    </row>
    <row r="32" spans="1:8" ht="15.75" thickBot="1" x14ac:dyDescent="0.3">
      <c r="A32" s="412"/>
      <c r="B32" s="411"/>
      <c r="C32" s="411"/>
      <c r="D32" s="411"/>
      <c r="E32" s="410"/>
      <c r="F32" s="410"/>
      <c r="G32" s="409"/>
      <c r="H32" s="408"/>
    </row>
  </sheetData>
  <mergeCells count="2">
    <mergeCell ref="A4:H4"/>
    <mergeCell ref="A6:H6"/>
  </mergeCells>
  <pageMargins left="0.511811024" right="0.511811024" top="0.78740157499999996" bottom="0.78740157499999996" header="0.31496062000000002" footer="0.31496062000000002"/>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13F29-5CCF-4D57-9984-5374B376BF57}">
  <dimension ref="A1:K199"/>
  <sheetViews>
    <sheetView workbookViewId="0"/>
  </sheetViews>
  <sheetFormatPr defaultRowHeight="15" x14ac:dyDescent="0.25"/>
  <cols>
    <col min="2" max="2" width="45.7109375" bestFit="1" customWidth="1"/>
    <col min="3" max="3" width="32.28515625" bestFit="1" customWidth="1"/>
    <col min="4" max="4" width="11.28515625" customWidth="1"/>
    <col min="6" max="6" width="13.5703125" bestFit="1" customWidth="1"/>
    <col min="7" max="7" width="13.28515625" bestFit="1" customWidth="1"/>
    <col min="8" max="8" width="27.140625" customWidth="1"/>
    <col min="11" max="11" width="10.5703125" bestFit="1" customWidth="1"/>
  </cols>
  <sheetData>
    <row r="1" spans="1:8" ht="21.75" x14ac:dyDescent="0.6">
      <c r="A1" s="351" t="s">
        <v>397</v>
      </c>
      <c r="B1" s="352" t="s">
        <v>435</v>
      </c>
      <c r="C1" s="353"/>
      <c r="D1" s="353"/>
      <c r="E1" s="353"/>
      <c r="F1" s="354"/>
      <c r="G1" s="354"/>
      <c r="H1" s="355"/>
    </row>
    <row r="2" spans="1:8" ht="39" x14ac:dyDescent="0.6">
      <c r="A2" s="356" t="s">
        <v>398</v>
      </c>
      <c r="B2" s="357" t="s">
        <v>436</v>
      </c>
      <c r="C2" s="358"/>
      <c r="D2" s="358"/>
      <c r="E2" s="358"/>
      <c r="F2" s="359"/>
      <c r="G2" s="359"/>
      <c r="H2" s="360"/>
    </row>
    <row r="3" spans="1:8" ht="21.75" x14ac:dyDescent="0.6">
      <c r="A3" s="356" t="s">
        <v>399</v>
      </c>
      <c r="B3" s="357" t="s">
        <v>437</v>
      </c>
      <c r="C3" s="358"/>
      <c r="D3" s="358"/>
      <c r="E3" s="358"/>
      <c r="F3" s="359"/>
      <c r="G3" s="359"/>
      <c r="H3" s="360"/>
    </row>
    <row r="4" spans="1:8" ht="28.5" x14ac:dyDescent="0.25">
      <c r="A4" s="851" t="s">
        <v>434</v>
      </c>
      <c r="B4" s="852"/>
      <c r="C4" s="852"/>
      <c r="D4" s="852"/>
      <c r="E4" s="852"/>
      <c r="F4" s="852"/>
      <c r="G4" s="852"/>
      <c r="H4" s="854"/>
    </row>
    <row r="5" spans="1:8" ht="28.5" x14ac:dyDescent="0.6">
      <c r="A5" s="362"/>
      <c r="B5" s="363"/>
      <c r="C5" s="363"/>
      <c r="D5" s="364"/>
      <c r="E5" s="364"/>
      <c r="F5" s="365"/>
      <c r="G5" s="365"/>
      <c r="H5" s="366"/>
    </row>
    <row r="6" spans="1:8" ht="28.5" x14ac:dyDescent="0.25">
      <c r="A6" s="855" t="s">
        <v>814</v>
      </c>
      <c r="B6" s="856"/>
      <c r="C6" s="856"/>
      <c r="D6" s="856"/>
      <c r="E6" s="856"/>
      <c r="F6" s="856"/>
      <c r="G6" s="856"/>
      <c r="H6" s="858"/>
    </row>
    <row r="7" spans="1:8" ht="21.75" x14ac:dyDescent="0.6">
      <c r="A7" s="367"/>
      <c r="B7" s="368"/>
      <c r="C7" s="368"/>
      <c r="D7" s="368"/>
      <c r="E7" s="368"/>
      <c r="F7" s="361"/>
      <c r="G7" s="361"/>
      <c r="H7" s="369"/>
    </row>
    <row r="8" spans="1:8" ht="21.75" x14ac:dyDescent="0.6">
      <c r="A8" s="370" t="s">
        <v>605</v>
      </c>
      <c r="B8" s="371"/>
      <c r="C8" s="371"/>
      <c r="D8" s="371"/>
      <c r="E8" s="371"/>
      <c r="F8" s="372"/>
      <c r="G8" s="372"/>
      <c r="H8" s="373"/>
    </row>
    <row r="9" spans="1:8" ht="22.5" thickBot="1" x14ac:dyDescent="0.65">
      <c r="A9" s="374"/>
      <c r="B9" s="419"/>
      <c r="C9" s="419"/>
      <c r="D9" s="375"/>
      <c r="E9" s="375"/>
      <c r="F9" s="376"/>
      <c r="G9" s="376"/>
      <c r="H9" s="369"/>
    </row>
    <row r="10" spans="1:8" ht="21.75" x14ac:dyDescent="0.6">
      <c r="A10" s="374"/>
      <c r="B10" s="377" t="s">
        <v>606</v>
      </c>
      <c r="C10" s="378"/>
      <c r="D10" s="379" t="s">
        <v>440</v>
      </c>
      <c r="E10" s="380" t="s">
        <v>2</v>
      </c>
      <c r="F10" s="381" t="s">
        <v>607</v>
      </c>
      <c r="G10" s="381" t="s">
        <v>608</v>
      </c>
      <c r="H10" s="424"/>
    </row>
    <row r="11" spans="1:8" ht="21.75" x14ac:dyDescent="0.6">
      <c r="A11" s="374"/>
      <c r="B11" s="425" t="s">
        <v>815</v>
      </c>
      <c r="C11" s="426"/>
      <c r="D11" s="426"/>
      <c r="E11" s="426"/>
      <c r="F11" s="426"/>
      <c r="G11" s="427">
        <f>SUM(G12:G27)</f>
        <v>50999.995200000005</v>
      </c>
      <c r="H11" s="424"/>
    </row>
    <row r="12" spans="1:8" ht="21.75" x14ac:dyDescent="0.6">
      <c r="A12" s="374"/>
      <c r="B12" s="388" t="s">
        <v>816</v>
      </c>
      <c r="C12" s="397"/>
      <c r="D12" s="390">
        <v>10</v>
      </c>
      <c r="E12" s="391" t="s">
        <v>614</v>
      </c>
      <c r="F12" s="393">
        <v>2.65</v>
      </c>
      <c r="G12" s="393">
        <f t="shared" ref="G12:G27" si="0">F12*D12</f>
        <v>26.5</v>
      </c>
      <c r="H12" s="424"/>
    </row>
    <row r="13" spans="1:8" ht="21.75" x14ac:dyDescent="0.6">
      <c r="A13" s="374"/>
      <c r="B13" s="388" t="s">
        <v>817</v>
      </c>
      <c r="C13" s="397"/>
      <c r="D13" s="390">
        <v>10</v>
      </c>
      <c r="E13" s="391" t="s">
        <v>614</v>
      </c>
      <c r="F13" s="393">
        <v>2.7797999999999998</v>
      </c>
      <c r="G13" s="393">
        <f t="shared" si="0"/>
        <v>27.797999999999998</v>
      </c>
      <c r="H13" s="424"/>
    </row>
    <row r="14" spans="1:8" ht="21.75" x14ac:dyDescent="0.6">
      <c r="A14" s="374"/>
      <c r="B14" s="388" t="s">
        <v>818</v>
      </c>
      <c r="C14" s="397"/>
      <c r="D14" s="390">
        <v>6</v>
      </c>
      <c r="E14" s="391" t="s">
        <v>614</v>
      </c>
      <c r="F14" s="393">
        <v>35.506</v>
      </c>
      <c r="G14" s="393">
        <f t="shared" si="0"/>
        <v>213.036</v>
      </c>
      <c r="H14" s="424"/>
    </row>
    <row r="15" spans="1:8" ht="21.75" x14ac:dyDescent="0.6">
      <c r="A15" s="374"/>
      <c r="B15" s="388" t="s">
        <v>819</v>
      </c>
      <c r="C15" s="397"/>
      <c r="D15" s="390">
        <v>6</v>
      </c>
      <c r="E15" s="391" t="s">
        <v>614</v>
      </c>
      <c r="F15" s="393">
        <v>12.59</v>
      </c>
      <c r="G15" s="393">
        <f t="shared" si="0"/>
        <v>75.539999999999992</v>
      </c>
      <c r="H15" s="424"/>
    </row>
    <row r="16" spans="1:8" ht="21.75" x14ac:dyDescent="0.6">
      <c r="A16" s="374"/>
      <c r="B16" s="388" t="s">
        <v>820</v>
      </c>
      <c r="C16" s="397"/>
      <c r="D16" s="390">
        <v>2</v>
      </c>
      <c r="E16" s="391" t="s">
        <v>614</v>
      </c>
      <c r="F16" s="393">
        <v>1671.4059999999999</v>
      </c>
      <c r="G16" s="393">
        <f t="shared" si="0"/>
        <v>3342.8119999999999</v>
      </c>
      <c r="H16" s="424"/>
    </row>
    <row r="17" spans="1:11" ht="21.75" x14ac:dyDescent="0.6">
      <c r="A17" s="374"/>
      <c r="B17" s="388" t="s">
        <v>821</v>
      </c>
      <c r="C17" s="397"/>
      <c r="D17" s="390">
        <v>2</v>
      </c>
      <c r="E17" s="391" t="s">
        <v>614</v>
      </c>
      <c r="F17" s="393">
        <v>61.048000000000002</v>
      </c>
      <c r="G17" s="393">
        <f t="shared" si="0"/>
        <v>122.096</v>
      </c>
      <c r="H17" s="424"/>
    </row>
    <row r="18" spans="1:11" ht="21.75" x14ac:dyDescent="0.6">
      <c r="A18" s="374"/>
      <c r="B18" s="388" t="s">
        <v>822</v>
      </c>
      <c r="C18" s="397"/>
      <c r="D18" s="390">
        <v>2</v>
      </c>
      <c r="E18" s="391" t="s">
        <v>614</v>
      </c>
      <c r="F18" s="393">
        <v>11.8408</v>
      </c>
      <c r="G18" s="393">
        <f t="shared" si="0"/>
        <v>23.6816</v>
      </c>
      <c r="H18" s="424"/>
    </row>
    <row r="19" spans="1:11" ht="21.75" x14ac:dyDescent="0.6">
      <c r="A19" s="374"/>
      <c r="B19" s="388" t="s">
        <v>823</v>
      </c>
      <c r="C19" s="397"/>
      <c r="D19" s="390">
        <v>2</v>
      </c>
      <c r="E19" s="391" t="s">
        <v>614</v>
      </c>
      <c r="F19" s="393">
        <v>38.302199999999999</v>
      </c>
      <c r="G19" s="393">
        <f t="shared" si="0"/>
        <v>76.604399999999998</v>
      </c>
      <c r="H19" s="424"/>
    </row>
    <row r="20" spans="1:11" ht="21.75" x14ac:dyDescent="0.6">
      <c r="A20" s="374"/>
      <c r="B20" s="388" t="s">
        <v>824</v>
      </c>
      <c r="C20" s="397"/>
      <c r="D20" s="390">
        <v>2</v>
      </c>
      <c r="E20" s="391" t="s">
        <v>614</v>
      </c>
      <c r="F20" s="393">
        <v>8.0277999999999992</v>
      </c>
      <c r="G20" s="393">
        <f t="shared" si="0"/>
        <v>16.055599999999998</v>
      </c>
      <c r="H20" s="424"/>
    </row>
    <row r="21" spans="1:11" ht="21.75" x14ac:dyDescent="0.6">
      <c r="A21" s="374"/>
      <c r="B21" s="388" t="s">
        <v>825</v>
      </c>
      <c r="C21" s="397"/>
      <c r="D21" s="390">
        <v>1</v>
      </c>
      <c r="E21" s="391" t="s">
        <v>614</v>
      </c>
      <c r="F21" s="393">
        <v>44.28</v>
      </c>
      <c r="G21" s="393">
        <f t="shared" si="0"/>
        <v>44.28</v>
      </c>
      <c r="H21" s="424"/>
    </row>
    <row r="22" spans="1:11" ht="21.75" x14ac:dyDescent="0.6">
      <c r="A22" s="374"/>
      <c r="B22" s="428" t="s">
        <v>826</v>
      </c>
      <c r="C22" s="397"/>
      <c r="D22" s="390">
        <v>10</v>
      </c>
      <c r="E22" s="391" t="s">
        <v>614</v>
      </c>
      <c r="F22" s="393">
        <v>4.141</v>
      </c>
      <c r="G22" s="393">
        <f t="shared" si="0"/>
        <v>41.41</v>
      </c>
      <c r="H22" s="424"/>
    </row>
    <row r="23" spans="1:11" ht="21.75" x14ac:dyDescent="0.6">
      <c r="A23" s="374"/>
      <c r="B23" s="388" t="s">
        <v>827</v>
      </c>
      <c r="C23" s="397"/>
      <c r="D23" s="390">
        <v>1</v>
      </c>
      <c r="E23" s="391" t="s">
        <v>614</v>
      </c>
      <c r="F23" s="393">
        <v>145</v>
      </c>
      <c r="G23" s="393">
        <f t="shared" si="0"/>
        <v>145</v>
      </c>
      <c r="H23" s="424"/>
    </row>
    <row r="24" spans="1:11" ht="21.75" x14ac:dyDescent="0.6">
      <c r="A24" s="374"/>
      <c r="B24" s="388" t="s">
        <v>828</v>
      </c>
      <c r="C24" s="397"/>
      <c r="D24" s="390">
        <v>2</v>
      </c>
      <c r="E24" s="391" t="s">
        <v>46</v>
      </c>
      <c r="F24" s="393">
        <v>10.6928</v>
      </c>
      <c r="G24" s="393">
        <f t="shared" si="0"/>
        <v>21.3856</v>
      </c>
      <c r="H24" s="424"/>
    </row>
    <row r="25" spans="1:11" ht="21.75" x14ac:dyDescent="0.6">
      <c r="A25" s="374"/>
      <c r="B25" s="388" t="s">
        <v>829</v>
      </c>
      <c r="C25" s="397"/>
      <c r="D25" s="390">
        <v>8</v>
      </c>
      <c r="E25" s="391" t="s">
        <v>614</v>
      </c>
      <c r="F25" s="393">
        <v>13.817</v>
      </c>
      <c r="G25" s="393">
        <f t="shared" si="0"/>
        <v>110.536</v>
      </c>
      <c r="H25" s="424"/>
      <c r="K25" s="57"/>
    </row>
    <row r="26" spans="1:11" ht="21.75" x14ac:dyDescent="0.6">
      <c r="A26" s="374"/>
      <c r="B26" s="388" t="s">
        <v>830</v>
      </c>
      <c r="C26" s="397"/>
      <c r="D26" s="390">
        <v>8</v>
      </c>
      <c r="E26" s="391" t="s">
        <v>614</v>
      </c>
      <c r="F26" s="393">
        <v>5.33</v>
      </c>
      <c r="G26" s="393">
        <f t="shared" si="0"/>
        <v>42.64</v>
      </c>
      <c r="H26" s="424"/>
    </row>
    <row r="27" spans="1:11" ht="21.75" x14ac:dyDescent="0.6">
      <c r="A27" s="374"/>
      <c r="B27" s="388" t="s">
        <v>831</v>
      </c>
      <c r="C27" s="397"/>
      <c r="D27" s="390">
        <v>1</v>
      </c>
      <c r="E27" s="391" t="s">
        <v>219</v>
      </c>
      <c r="F27" s="393">
        <v>46670.62</v>
      </c>
      <c r="G27" s="393">
        <f t="shared" si="0"/>
        <v>46670.62</v>
      </c>
      <c r="H27" s="424"/>
    </row>
    <row r="28" spans="1:11" ht="21.75" x14ac:dyDescent="0.6">
      <c r="A28" s="374"/>
      <c r="B28" s="425" t="s">
        <v>832</v>
      </c>
      <c r="C28" s="426"/>
      <c r="D28" s="426"/>
      <c r="E28" s="426"/>
      <c r="F28" s="426"/>
      <c r="G28" s="427">
        <f>SUM(G29:G36)</f>
        <v>147786.96000000002</v>
      </c>
      <c r="H28" s="424"/>
    </row>
    <row r="29" spans="1:11" ht="21.75" x14ac:dyDescent="0.6">
      <c r="A29" s="374"/>
      <c r="B29" s="388" t="s">
        <v>833</v>
      </c>
      <c r="C29" s="397"/>
      <c r="D29" s="390">
        <v>1</v>
      </c>
      <c r="E29" s="391" t="s">
        <v>53</v>
      </c>
      <c r="F29" s="393">
        <v>5301.01</v>
      </c>
      <c r="G29" s="393">
        <f>F29*D29</f>
        <v>5301.01</v>
      </c>
      <c r="H29" s="424"/>
    </row>
    <row r="30" spans="1:11" ht="21.75" x14ac:dyDescent="0.6">
      <c r="A30" s="374"/>
      <c r="B30" s="388" t="s">
        <v>834</v>
      </c>
      <c r="C30" s="397"/>
      <c r="D30" s="390">
        <v>1</v>
      </c>
      <c r="E30" s="391" t="s">
        <v>53</v>
      </c>
      <c r="F30" s="393">
        <v>4533.9399999999996</v>
      </c>
      <c r="G30" s="393">
        <f t="shared" ref="G30:G36" si="1">F30*D30</f>
        <v>4533.9399999999996</v>
      </c>
      <c r="H30" s="424"/>
    </row>
    <row r="31" spans="1:11" ht="21.75" x14ac:dyDescent="0.6">
      <c r="A31" s="374"/>
      <c r="B31" s="388" t="s">
        <v>835</v>
      </c>
      <c r="C31" s="397"/>
      <c r="D31" s="390">
        <v>1</v>
      </c>
      <c r="E31" s="391" t="s">
        <v>53</v>
      </c>
      <c r="F31" s="393">
        <v>639.61</v>
      </c>
      <c r="G31" s="393">
        <f t="shared" si="1"/>
        <v>639.61</v>
      </c>
      <c r="H31" s="424"/>
    </row>
    <row r="32" spans="1:11" ht="21.75" x14ac:dyDescent="0.6">
      <c r="A32" s="374"/>
      <c r="B32" s="388" t="s">
        <v>836</v>
      </c>
      <c r="C32" s="397"/>
      <c r="D32" s="390">
        <v>1</v>
      </c>
      <c r="E32" s="391" t="s">
        <v>53</v>
      </c>
      <c r="F32" s="393">
        <v>254.71</v>
      </c>
      <c r="G32" s="393">
        <f t="shared" si="1"/>
        <v>254.71</v>
      </c>
      <c r="H32" s="424"/>
    </row>
    <row r="33" spans="1:8" ht="21.75" x14ac:dyDescent="0.6">
      <c r="A33" s="374"/>
      <c r="B33" s="388" t="s">
        <v>837</v>
      </c>
      <c r="C33" s="397"/>
      <c r="D33" s="390">
        <v>1</v>
      </c>
      <c r="E33" s="391" t="s">
        <v>53</v>
      </c>
      <c r="F33" s="393">
        <v>1329.15</v>
      </c>
      <c r="G33" s="393">
        <f t="shared" si="1"/>
        <v>1329.15</v>
      </c>
      <c r="H33" s="424"/>
    </row>
    <row r="34" spans="1:8" ht="21.75" x14ac:dyDescent="0.6">
      <c r="A34" s="374"/>
      <c r="B34" s="388" t="s">
        <v>838</v>
      </c>
      <c r="C34" s="397"/>
      <c r="D34" s="390">
        <v>1</v>
      </c>
      <c r="E34" s="391" t="s">
        <v>53</v>
      </c>
      <c r="F34" s="393">
        <v>1338.57</v>
      </c>
      <c r="G34" s="393">
        <f t="shared" si="1"/>
        <v>1338.57</v>
      </c>
      <c r="H34" s="424"/>
    </row>
    <row r="35" spans="1:8" ht="21.75" x14ac:dyDescent="0.6">
      <c r="A35" s="374"/>
      <c r="B35" s="388" t="s">
        <v>839</v>
      </c>
      <c r="C35" s="397"/>
      <c r="D35" s="390">
        <v>1</v>
      </c>
      <c r="E35" s="391" t="s">
        <v>53</v>
      </c>
      <c r="F35" s="393">
        <v>1166.55</v>
      </c>
      <c r="G35" s="393">
        <f t="shared" si="1"/>
        <v>1166.55</v>
      </c>
      <c r="H35" s="424"/>
    </row>
    <row r="36" spans="1:8" ht="21.75" x14ac:dyDescent="0.6">
      <c r="A36" s="374"/>
      <c r="B36" s="388" t="s">
        <v>840</v>
      </c>
      <c r="C36" s="397"/>
      <c r="D36" s="390">
        <v>1</v>
      </c>
      <c r="E36" s="391" t="s">
        <v>53</v>
      </c>
      <c r="F36" s="393">
        <v>133223.42000000001</v>
      </c>
      <c r="G36" s="393">
        <f t="shared" si="1"/>
        <v>133223.42000000001</v>
      </c>
      <c r="H36" s="424"/>
    </row>
    <row r="37" spans="1:8" ht="21.75" x14ac:dyDescent="0.6">
      <c r="A37" s="374"/>
      <c r="B37" s="429" t="s">
        <v>841</v>
      </c>
      <c r="C37" s="430"/>
      <c r="D37" s="430"/>
      <c r="E37" s="430"/>
      <c r="F37" s="430"/>
      <c r="G37" s="431">
        <f>SUM(G38:G110)</f>
        <v>77801.770799999969</v>
      </c>
      <c r="H37" s="424"/>
    </row>
    <row r="38" spans="1:8" ht="21.75" x14ac:dyDescent="0.6">
      <c r="A38" s="374"/>
      <c r="B38" s="388" t="s">
        <v>842</v>
      </c>
      <c r="C38" s="397"/>
      <c r="D38" s="390">
        <v>56</v>
      </c>
      <c r="E38" s="391" t="s">
        <v>46</v>
      </c>
      <c r="F38" s="393">
        <v>12.4148</v>
      </c>
      <c r="G38" s="393">
        <f>F38*D38</f>
        <v>695.22879999999998</v>
      </c>
      <c r="H38" s="424"/>
    </row>
    <row r="39" spans="1:8" ht="21.75" x14ac:dyDescent="0.6">
      <c r="A39" s="374"/>
      <c r="B39" s="388" t="s">
        <v>843</v>
      </c>
      <c r="C39" s="397"/>
      <c r="D39" s="390">
        <v>120</v>
      </c>
      <c r="E39" s="391" t="s">
        <v>614</v>
      </c>
      <c r="F39" s="393">
        <v>0.6724</v>
      </c>
      <c r="G39" s="393">
        <f t="shared" ref="G39:G110" si="2">F39*D39</f>
        <v>80.688000000000002</v>
      </c>
      <c r="H39" s="424"/>
    </row>
    <row r="40" spans="1:8" ht="21.75" x14ac:dyDescent="0.6">
      <c r="A40" s="374"/>
      <c r="B40" s="388" t="s">
        <v>844</v>
      </c>
      <c r="C40" s="397"/>
      <c r="D40" s="390">
        <v>15</v>
      </c>
      <c r="E40" s="391" t="s">
        <v>614</v>
      </c>
      <c r="F40" s="393">
        <v>2.8536000000000001</v>
      </c>
      <c r="G40" s="393">
        <f t="shared" si="2"/>
        <v>42.804000000000002</v>
      </c>
      <c r="H40" s="424"/>
    </row>
    <row r="41" spans="1:8" ht="21.75" x14ac:dyDescent="0.6">
      <c r="A41" s="374"/>
      <c r="B41" s="388" t="s">
        <v>845</v>
      </c>
      <c r="C41" s="397"/>
      <c r="D41" s="390">
        <v>10</v>
      </c>
      <c r="E41" s="391" t="s">
        <v>614</v>
      </c>
      <c r="F41" s="393">
        <v>0.94299999999999995</v>
      </c>
      <c r="G41" s="393">
        <f t="shared" si="2"/>
        <v>9.43</v>
      </c>
      <c r="H41" s="424"/>
    </row>
    <row r="42" spans="1:8" ht="21.75" x14ac:dyDescent="0.6">
      <c r="A42" s="374"/>
      <c r="B42" s="388" t="s">
        <v>846</v>
      </c>
      <c r="C42" s="397"/>
      <c r="D42" s="390">
        <v>300</v>
      </c>
      <c r="E42" s="391" t="s">
        <v>46</v>
      </c>
      <c r="F42" s="393">
        <v>2.1145999999999998</v>
      </c>
      <c r="G42" s="393">
        <f t="shared" si="2"/>
        <v>634.38</v>
      </c>
      <c r="H42" s="424"/>
    </row>
    <row r="43" spans="1:8" ht="21.75" x14ac:dyDescent="0.6">
      <c r="A43" s="374"/>
      <c r="B43" s="388" t="s">
        <v>847</v>
      </c>
      <c r="C43" s="397"/>
      <c r="D43" s="390">
        <v>3580</v>
      </c>
      <c r="E43" s="391" t="s">
        <v>46</v>
      </c>
      <c r="F43" s="393">
        <v>1.1779999999999999</v>
      </c>
      <c r="G43" s="393">
        <f t="shared" si="2"/>
        <v>4217.24</v>
      </c>
      <c r="H43" s="424"/>
    </row>
    <row r="44" spans="1:8" ht="21.75" x14ac:dyDescent="0.6">
      <c r="A44" s="374"/>
      <c r="B44" s="388" t="s">
        <v>848</v>
      </c>
      <c r="C44" s="397"/>
      <c r="D44" s="390">
        <v>23150</v>
      </c>
      <c r="E44" s="391" t="s">
        <v>46</v>
      </c>
      <c r="F44" s="393">
        <v>1.18</v>
      </c>
      <c r="G44" s="393">
        <f t="shared" si="2"/>
        <v>27317</v>
      </c>
      <c r="H44" s="424"/>
    </row>
    <row r="45" spans="1:8" ht="21.75" x14ac:dyDescent="0.6">
      <c r="A45" s="374"/>
      <c r="B45" s="388" t="s">
        <v>849</v>
      </c>
      <c r="C45" s="397"/>
      <c r="D45" s="390">
        <v>50</v>
      </c>
      <c r="E45" s="391" t="s">
        <v>46</v>
      </c>
      <c r="F45" s="393">
        <v>12.308199999999999</v>
      </c>
      <c r="G45" s="393">
        <f t="shared" si="2"/>
        <v>615.41</v>
      </c>
      <c r="H45" s="424"/>
    </row>
    <row r="46" spans="1:8" ht="21.75" x14ac:dyDescent="0.6">
      <c r="A46" s="374"/>
      <c r="B46" s="388" t="s">
        <v>850</v>
      </c>
      <c r="C46" s="397"/>
      <c r="D46" s="390">
        <v>3</v>
      </c>
      <c r="E46" s="391" t="s">
        <v>614</v>
      </c>
      <c r="F46" s="393">
        <v>908.55</v>
      </c>
      <c r="G46" s="393">
        <f t="shared" si="2"/>
        <v>2725.6499999999996</v>
      </c>
      <c r="H46" s="424"/>
    </row>
    <row r="47" spans="1:8" ht="21.75" x14ac:dyDescent="0.6">
      <c r="A47" s="374"/>
      <c r="B47" s="388" t="s">
        <v>851</v>
      </c>
      <c r="C47" s="397"/>
      <c r="D47" s="390">
        <f>2</f>
        <v>2</v>
      </c>
      <c r="E47" s="391" t="s">
        <v>614</v>
      </c>
      <c r="F47" s="393">
        <v>326.524</v>
      </c>
      <c r="G47" s="393">
        <f t="shared" si="2"/>
        <v>653.048</v>
      </c>
      <c r="H47" s="424"/>
    </row>
    <row r="48" spans="1:8" ht="21.75" x14ac:dyDescent="0.6">
      <c r="A48" s="374"/>
      <c r="B48" s="388" t="s">
        <v>852</v>
      </c>
      <c r="C48" s="397"/>
      <c r="D48" s="390">
        <v>4</v>
      </c>
      <c r="E48" s="391" t="s">
        <v>614</v>
      </c>
      <c r="F48" s="393">
        <v>52.250399999999999</v>
      </c>
      <c r="G48" s="393">
        <f t="shared" si="2"/>
        <v>209.0016</v>
      </c>
      <c r="H48" s="424"/>
    </row>
    <row r="49" spans="1:8" ht="21.75" x14ac:dyDescent="0.6">
      <c r="A49" s="374"/>
      <c r="B49" s="388" t="s">
        <v>853</v>
      </c>
      <c r="C49" s="397"/>
      <c r="D49" s="390">
        <v>2</v>
      </c>
      <c r="E49" s="391" t="s">
        <v>614</v>
      </c>
      <c r="F49" s="393">
        <v>23.574999999999999</v>
      </c>
      <c r="G49" s="393">
        <f t="shared" si="2"/>
        <v>47.15</v>
      </c>
      <c r="H49" s="424"/>
    </row>
    <row r="50" spans="1:8" ht="21.75" x14ac:dyDescent="0.6">
      <c r="A50" s="374"/>
      <c r="B50" s="388" t="s">
        <v>854</v>
      </c>
      <c r="C50" s="397"/>
      <c r="D50" s="390">
        <v>2</v>
      </c>
      <c r="E50" s="391" t="s">
        <v>614</v>
      </c>
      <c r="F50" s="393">
        <v>68.92</v>
      </c>
      <c r="G50" s="393">
        <f t="shared" si="2"/>
        <v>137.84</v>
      </c>
      <c r="H50" s="424"/>
    </row>
    <row r="51" spans="1:8" ht="21.75" x14ac:dyDescent="0.6">
      <c r="A51" s="374"/>
      <c r="B51" s="388" t="s">
        <v>855</v>
      </c>
      <c r="C51" s="397"/>
      <c r="D51" s="390">
        <v>6</v>
      </c>
      <c r="E51" s="391" t="s">
        <v>614</v>
      </c>
      <c r="F51" s="393">
        <v>45.190199999999997</v>
      </c>
      <c r="G51" s="393">
        <f t="shared" si="2"/>
        <v>271.14119999999997</v>
      </c>
      <c r="H51" s="424"/>
    </row>
    <row r="52" spans="1:8" ht="21.75" x14ac:dyDescent="0.6">
      <c r="A52" s="374"/>
      <c r="B52" s="388" t="s">
        <v>856</v>
      </c>
      <c r="C52" s="397"/>
      <c r="D52" s="390">
        <v>2</v>
      </c>
      <c r="E52" s="391" t="s">
        <v>614</v>
      </c>
      <c r="F52" s="393">
        <v>23.427399999999999</v>
      </c>
      <c r="G52" s="393">
        <f t="shared" si="2"/>
        <v>46.854799999999997</v>
      </c>
      <c r="H52" s="424"/>
    </row>
    <row r="53" spans="1:8" ht="21.75" x14ac:dyDescent="0.6">
      <c r="A53" s="374"/>
      <c r="B53" s="388" t="s">
        <v>857</v>
      </c>
      <c r="C53" s="397"/>
      <c r="D53" s="390">
        <v>6</v>
      </c>
      <c r="E53" s="391" t="s">
        <v>614</v>
      </c>
      <c r="F53" s="393">
        <v>10.086</v>
      </c>
      <c r="G53" s="393">
        <f t="shared" si="2"/>
        <v>60.516000000000005</v>
      </c>
      <c r="H53" s="424"/>
    </row>
    <row r="54" spans="1:8" ht="21.75" x14ac:dyDescent="0.6">
      <c r="A54" s="374"/>
      <c r="B54" s="388" t="s">
        <v>858</v>
      </c>
      <c r="C54" s="397"/>
      <c r="D54" s="390">
        <v>2</v>
      </c>
      <c r="E54" s="391" t="s">
        <v>614</v>
      </c>
      <c r="F54" s="393">
        <v>42.484200000000001</v>
      </c>
      <c r="G54" s="393">
        <f t="shared" si="2"/>
        <v>84.968400000000003</v>
      </c>
      <c r="H54" s="424"/>
    </row>
    <row r="55" spans="1:8" ht="21.75" x14ac:dyDescent="0.6">
      <c r="A55" s="374"/>
      <c r="B55" s="388" t="s">
        <v>859</v>
      </c>
      <c r="C55" s="397"/>
      <c r="D55" s="390">
        <v>6</v>
      </c>
      <c r="E55" s="391" t="s">
        <v>614</v>
      </c>
      <c r="F55" s="393">
        <v>23.509399999999999</v>
      </c>
      <c r="G55" s="393">
        <f t="shared" si="2"/>
        <v>141.0564</v>
      </c>
      <c r="H55" s="424"/>
    </row>
    <row r="56" spans="1:8" ht="21.75" x14ac:dyDescent="0.6">
      <c r="A56" s="374"/>
      <c r="B56" s="388" t="s">
        <v>860</v>
      </c>
      <c r="C56" s="397"/>
      <c r="D56" s="390">
        <v>4</v>
      </c>
      <c r="E56" s="391" t="s">
        <v>614</v>
      </c>
      <c r="F56" s="393">
        <v>5.6497999999999999</v>
      </c>
      <c r="G56" s="393">
        <f t="shared" si="2"/>
        <v>22.5992</v>
      </c>
      <c r="H56" s="424"/>
    </row>
    <row r="57" spans="1:8" ht="21.75" x14ac:dyDescent="0.6">
      <c r="A57" s="374"/>
      <c r="B57" s="388" t="s">
        <v>861</v>
      </c>
      <c r="C57" s="397"/>
      <c r="D57" s="390">
        <v>3</v>
      </c>
      <c r="E57" s="391" t="s">
        <v>614</v>
      </c>
      <c r="F57" s="393">
        <v>1.7138</v>
      </c>
      <c r="G57" s="393">
        <f t="shared" si="2"/>
        <v>5.1414</v>
      </c>
      <c r="H57" s="424"/>
    </row>
    <row r="58" spans="1:8" ht="21.75" x14ac:dyDescent="0.6">
      <c r="A58" s="374"/>
      <c r="B58" s="388" t="s">
        <v>862</v>
      </c>
      <c r="C58" s="397"/>
      <c r="D58" s="390">
        <v>4</v>
      </c>
      <c r="E58" s="391" t="s">
        <v>614</v>
      </c>
      <c r="F58" s="393">
        <v>11.234</v>
      </c>
      <c r="G58" s="393">
        <f t="shared" si="2"/>
        <v>44.936</v>
      </c>
      <c r="H58" s="424"/>
    </row>
    <row r="59" spans="1:8" ht="21.75" x14ac:dyDescent="0.6">
      <c r="A59" s="374"/>
      <c r="B59" s="388" t="s">
        <v>863</v>
      </c>
      <c r="C59" s="397"/>
      <c r="D59" s="390">
        <v>15</v>
      </c>
      <c r="E59" s="391" t="s">
        <v>614</v>
      </c>
      <c r="F59" s="393">
        <v>6.8305999999999996</v>
      </c>
      <c r="G59" s="393">
        <f t="shared" si="2"/>
        <v>102.45899999999999</v>
      </c>
      <c r="H59" s="424"/>
    </row>
    <row r="60" spans="1:8" ht="21.75" x14ac:dyDescent="0.6">
      <c r="A60" s="374"/>
      <c r="B60" s="388" t="s">
        <v>864</v>
      </c>
      <c r="C60" s="397"/>
      <c r="D60" s="390">
        <v>10</v>
      </c>
      <c r="E60" s="391" t="s">
        <v>614</v>
      </c>
      <c r="F60" s="393">
        <v>2.5501999999999998</v>
      </c>
      <c r="G60" s="393">
        <f t="shared" si="2"/>
        <v>25.501999999999999</v>
      </c>
      <c r="H60" s="424"/>
    </row>
    <row r="61" spans="1:8" ht="21.75" x14ac:dyDescent="0.6">
      <c r="A61" s="374"/>
      <c r="B61" s="388" t="s">
        <v>865</v>
      </c>
      <c r="C61" s="397"/>
      <c r="D61" s="390">
        <v>10</v>
      </c>
      <c r="E61" s="391" t="s">
        <v>614</v>
      </c>
      <c r="F61" s="393">
        <v>0.77900000000000003</v>
      </c>
      <c r="G61" s="393">
        <f t="shared" si="2"/>
        <v>7.79</v>
      </c>
      <c r="H61" s="424"/>
    </row>
    <row r="62" spans="1:8" ht="21.75" x14ac:dyDescent="0.6">
      <c r="A62" s="374"/>
      <c r="B62" s="388" t="s">
        <v>866</v>
      </c>
      <c r="C62" s="397"/>
      <c r="D62" s="390">
        <v>50</v>
      </c>
      <c r="E62" s="391" t="s">
        <v>614</v>
      </c>
      <c r="F62" s="393">
        <v>88.18</v>
      </c>
      <c r="G62" s="393">
        <f t="shared" si="2"/>
        <v>4409</v>
      </c>
      <c r="H62" s="424"/>
    </row>
    <row r="63" spans="1:8" ht="21.75" x14ac:dyDescent="0.6">
      <c r="A63" s="374"/>
      <c r="B63" s="388" t="s">
        <v>867</v>
      </c>
      <c r="C63" s="397"/>
      <c r="D63" s="390">
        <v>15</v>
      </c>
      <c r="E63" s="391" t="s">
        <v>614</v>
      </c>
      <c r="F63" s="393">
        <v>8.83</v>
      </c>
      <c r="G63" s="393">
        <f t="shared" si="2"/>
        <v>132.44999999999999</v>
      </c>
      <c r="H63" s="424"/>
    </row>
    <row r="64" spans="1:8" ht="21.75" x14ac:dyDescent="0.6">
      <c r="A64" s="374"/>
      <c r="B64" s="388" t="s">
        <v>868</v>
      </c>
      <c r="C64" s="397"/>
      <c r="D64" s="390">
        <v>120</v>
      </c>
      <c r="E64" s="391" t="s">
        <v>614</v>
      </c>
      <c r="F64" s="393">
        <v>8.89</v>
      </c>
      <c r="G64" s="393">
        <f t="shared" si="2"/>
        <v>1066.8000000000002</v>
      </c>
      <c r="H64" s="424"/>
    </row>
    <row r="65" spans="1:8" ht="21.75" x14ac:dyDescent="0.6">
      <c r="A65" s="374"/>
      <c r="B65" s="388" t="s">
        <v>869</v>
      </c>
      <c r="C65" s="397"/>
      <c r="D65" s="390">
        <v>2500</v>
      </c>
      <c r="E65" s="391" t="s">
        <v>46</v>
      </c>
      <c r="F65" s="393">
        <v>2.0099999999999998</v>
      </c>
      <c r="G65" s="393">
        <f t="shared" si="2"/>
        <v>5024.9999999999991</v>
      </c>
      <c r="H65" s="424"/>
    </row>
    <row r="66" spans="1:8" ht="21.75" x14ac:dyDescent="0.6">
      <c r="A66" s="374"/>
      <c r="B66" s="388" t="s">
        <v>870</v>
      </c>
      <c r="C66" s="397"/>
      <c r="D66" s="390">
        <v>500</v>
      </c>
      <c r="E66" s="391" t="s">
        <v>46</v>
      </c>
      <c r="F66" s="393">
        <v>2.4239999999999999</v>
      </c>
      <c r="G66" s="393">
        <f t="shared" si="2"/>
        <v>1212</v>
      </c>
      <c r="H66" s="424"/>
    </row>
    <row r="67" spans="1:8" ht="21.75" x14ac:dyDescent="0.6">
      <c r="A67" s="374"/>
      <c r="B67" s="388" t="s">
        <v>871</v>
      </c>
      <c r="C67" s="397"/>
      <c r="D67" s="390">
        <v>100</v>
      </c>
      <c r="E67" s="391" t="s">
        <v>46</v>
      </c>
      <c r="F67" s="393">
        <v>3.4249999999999998</v>
      </c>
      <c r="G67" s="393">
        <f t="shared" si="2"/>
        <v>342.5</v>
      </c>
      <c r="H67" s="424"/>
    </row>
    <row r="68" spans="1:8" ht="21.75" x14ac:dyDescent="0.6">
      <c r="A68" s="374"/>
      <c r="B68" s="388" t="s">
        <v>872</v>
      </c>
      <c r="C68" s="397"/>
      <c r="D68" s="390">
        <v>150</v>
      </c>
      <c r="E68" s="391" t="s">
        <v>614</v>
      </c>
      <c r="F68" s="393">
        <v>0.56579999999999997</v>
      </c>
      <c r="G68" s="393">
        <f t="shared" si="2"/>
        <v>84.86999999999999</v>
      </c>
      <c r="H68" s="424"/>
    </row>
    <row r="69" spans="1:8" ht="21.75" x14ac:dyDescent="0.6">
      <c r="A69" s="374"/>
      <c r="B69" s="388" t="s">
        <v>873</v>
      </c>
      <c r="C69" s="397"/>
      <c r="D69" s="390">
        <v>60</v>
      </c>
      <c r="E69" s="391" t="s">
        <v>614</v>
      </c>
      <c r="F69" s="393">
        <v>3.1488</v>
      </c>
      <c r="G69" s="393">
        <f t="shared" si="2"/>
        <v>188.928</v>
      </c>
      <c r="H69" s="424"/>
    </row>
    <row r="70" spans="1:8" ht="21.75" x14ac:dyDescent="0.6">
      <c r="A70" s="374"/>
      <c r="B70" s="388" t="s">
        <v>874</v>
      </c>
      <c r="C70" s="397"/>
      <c r="D70" s="390">
        <v>300</v>
      </c>
      <c r="E70" s="391" t="s">
        <v>614</v>
      </c>
      <c r="F70" s="393">
        <v>0.123</v>
      </c>
      <c r="G70" s="393">
        <f t="shared" si="2"/>
        <v>36.9</v>
      </c>
      <c r="H70" s="424"/>
    </row>
    <row r="71" spans="1:8" ht="21.75" x14ac:dyDescent="0.6">
      <c r="A71" s="374"/>
      <c r="B71" s="388" t="s">
        <v>875</v>
      </c>
      <c r="C71" s="397"/>
      <c r="D71" s="390">
        <v>300</v>
      </c>
      <c r="E71" s="391" t="s">
        <v>614</v>
      </c>
      <c r="F71" s="393">
        <v>7.6670000000000002E-2</v>
      </c>
      <c r="G71" s="393">
        <f t="shared" si="2"/>
        <v>23.001000000000001</v>
      </c>
      <c r="H71" s="424"/>
    </row>
    <row r="72" spans="1:8" ht="21.75" x14ac:dyDescent="0.6">
      <c r="A72" s="374"/>
      <c r="B72" s="388" t="s">
        <v>876</v>
      </c>
      <c r="C72" s="397"/>
      <c r="D72" s="390">
        <v>2</v>
      </c>
      <c r="E72" s="391" t="s">
        <v>614</v>
      </c>
      <c r="F72" s="393">
        <v>21.098600000000001</v>
      </c>
      <c r="G72" s="393">
        <f t="shared" si="2"/>
        <v>42.197200000000002</v>
      </c>
      <c r="H72" s="424"/>
    </row>
    <row r="73" spans="1:8" ht="21.75" x14ac:dyDescent="0.6">
      <c r="A73" s="374"/>
      <c r="B73" s="388" t="s">
        <v>877</v>
      </c>
      <c r="C73" s="397"/>
      <c r="D73" s="390">
        <v>200</v>
      </c>
      <c r="E73" s="391" t="s">
        <v>614</v>
      </c>
      <c r="F73" s="393">
        <v>0.17219999999999999</v>
      </c>
      <c r="G73" s="393">
        <f t="shared" si="2"/>
        <v>34.44</v>
      </c>
      <c r="H73" s="424"/>
    </row>
    <row r="74" spans="1:8" ht="21.75" x14ac:dyDescent="0.6">
      <c r="A74" s="374"/>
      <c r="B74" s="388" t="s">
        <v>878</v>
      </c>
      <c r="C74" s="397"/>
      <c r="D74" s="390">
        <v>2</v>
      </c>
      <c r="E74" s="391" t="s">
        <v>614</v>
      </c>
      <c r="F74" s="393">
        <v>14.2926</v>
      </c>
      <c r="G74" s="393">
        <f t="shared" si="2"/>
        <v>28.5852</v>
      </c>
      <c r="H74" s="424"/>
    </row>
    <row r="75" spans="1:8" ht="21.75" x14ac:dyDescent="0.6">
      <c r="A75" s="374"/>
      <c r="B75" s="388" t="s">
        <v>879</v>
      </c>
      <c r="C75" s="397"/>
      <c r="D75" s="390">
        <v>30</v>
      </c>
      <c r="E75" s="391" t="s">
        <v>614</v>
      </c>
      <c r="F75" s="393">
        <v>26.321999999999999</v>
      </c>
      <c r="G75" s="393">
        <f t="shared" si="2"/>
        <v>789.66</v>
      </c>
      <c r="H75" s="424"/>
    </row>
    <row r="76" spans="1:8" ht="21.75" x14ac:dyDescent="0.6">
      <c r="A76" s="374"/>
      <c r="B76" s="388" t="s">
        <v>880</v>
      </c>
      <c r="C76" s="397"/>
      <c r="D76" s="390">
        <v>4180</v>
      </c>
      <c r="E76" s="391" t="s">
        <v>614</v>
      </c>
      <c r="F76" s="393">
        <v>1.1561999999999999</v>
      </c>
      <c r="G76" s="393">
        <f t="shared" si="2"/>
        <v>4832.9159999999993</v>
      </c>
      <c r="H76" s="424"/>
    </row>
    <row r="77" spans="1:8" ht="21.75" x14ac:dyDescent="0.6">
      <c r="A77" s="374"/>
      <c r="B77" s="388" t="s">
        <v>881</v>
      </c>
      <c r="C77" s="397"/>
      <c r="D77" s="390">
        <v>64</v>
      </c>
      <c r="E77" s="391" t="s">
        <v>614</v>
      </c>
      <c r="F77" s="393">
        <v>2.8126000000000002</v>
      </c>
      <c r="G77" s="393">
        <f t="shared" si="2"/>
        <v>180.00640000000001</v>
      </c>
      <c r="H77" s="424"/>
    </row>
    <row r="78" spans="1:8" ht="21.75" x14ac:dyDescent="0.6">
      <c r="A78" s="374"/>
      <c r="B78" s="388" t="s">
        <v>882</v>
      </c>
      <c r="C78" s="397"/>
      <c r="D78" s="390">
        <v>92</v>
      </c>
      <c r="E78" s="391" t="s">
        <v>614</v>
      </c>
      <c r="F78" s="393">
        <v>2.6732</v>
      </c>
      <c r="G78" s="393">
        <f t="shared" si="2"/>
        <v>245.93440000000001</v>
      </c>
      <c r="H78" s="424"/>
    </row>
    <row r="79" spans="1:8" ht="21.75" x14ac:dyDescent="0.6">
      <c r="A79" s="374"/>
      <c r="B79" s="388" t="s">
        <v>883</v>
      </c>
      <c r="C79" s="397"/>
      <c r="D79" s="390">
        <v>595</v>
      </c>
      <c r="E79" s="391" t="s">
        <v>614</v>
      </c>
      <c r="F79" s="393">
        <v>7.11</v>
      </c>
      <c r="G79" s="393">
        <f t="shared" si="2"/>
        <v>4230.45</v>
      </c>
      <c r="H79" s="424"/>
    </row>
    <row r="80" spans="1:8" ht="21.75" x14ac:dyDescent="0.6">
      <c r="A80" s="374"/>
      <c r="B80" s="388" t="s">
        <v>884</v>
      </c>
      <c r="C80" s="397"/>
      <c r="D80" s="390">
        <v>373</v>
      </c>
      <c r="E80" s="391" t="s">
        <v>614</v>
      </c>
      <c r="F80" s="393">
        <v>4.7</v>
      </c>
      <c r="G80" s="393">
        <f t="shared" si="2"/>
        <v>1753.1000000000001</v>
      </c>
      <c r="H80" s="424"/>
    </row>
    <row r="81" spans="1:8" ht="21.75" x14ac:dyDescent="0.6">
      <c r="A81" s="374"/>
      <c r="B81" s="388" t="s">
        <v>885</v>
      </c>
      <c r="C81" s="397"/>
      <c r="D81" s="390">
        <v>1150</v>
      </c>
      <c r="E81" s="391" t="s">
        <v>614</v>
      </c>
      <c r="F81" s="393">
        <v>3.4521999999999999</v>
      </c>
      <c r="G81" s="393">
        <f t="shared" si="2"/>
        <v>3970.0299999999997</v>
      </c>
      <c r="H81" s="424"/>
    </row>
    <row r="82" spans="1:8" ht="21.75" x14ac:dyDescent="0.6">
      <c r="A82" s="374"/>
      <c r="B82" s="388" t="s">
        <v>886</v>
      </c>
      <c r="C82" s="397"/>
      <c r="D82" s="390">
        <v>3</v>
      </c>
      <c r="E82" s="391" t="s">
        <v>614</v>
      </c>
      <c r="F82" s="393">
        <v>147</v>
      </c>
      <c r="G82" s="393">
        <f t="shared" si="2"/>
        <v>441</v>
      </c>
      <c r="H82" s="424"/>
    </row>
    <row r="83" spans="1:8" ht="21.75" x14ac:dyDescent="0.6">
      <c r="A83" s="374"/>
      <c r="B83" s="388" t="s">
        <v>887</v>
      </c>
      <c r="C83" s="397"/>
      <c r="D83" s="390">
        <v>13</v>
      </c>
      <c r="E83" s="391" t="s">
        <v>614</v>
      </c>
      <c r="F83" s="393">
        <v>61.99</v>
      </c>
      <c r="G83" s="393">
        <f t="shared" si="2"/>
        <v>805.87</v>
      </c>
      <c r="H83" s="424"/>
    </row>
    <row r="84" spans="1:8" ht="21.75" x14ac:dyDescent="0.6">
      <c r="A84" s="374"/>
      <c r="B84" s="388" t="s">
        <v>888</v>
      </c>
      <c r="C84" s="397"/>
      <c r="D84" s="390">
        <v>3</v>
      </c>
      <c r="E84" s="391" t="s">
        <v>614</v>
      </c>
      <c r="F84" s="393">
        <v>195.8</v>
      </c>
      <c r="G84" s="393">
        <f t="shared" si="2"/>
        <v>587.40000000000009</v>
      </c>
      <c r="H84" s="424"/>
    </row>
    <row r="85" spans="1:8" ht="21.75" x14ac:dyDescent="0.6">
      <c r="A85" s="374"/>
      <c r="B85" s="388" t="s">
        <v>889</v>
      </c>
      <c r="C85" s="397"/>
      <c r="D85" s="390">
        <v>60</v>
      </c>
      <c r="E85" s="391" t="s">
        <v>614</v>
      </c>
      <c r="F85" s="393">
        <v>1.353</v>
      </c>
      <c r="G85" s="393">
        <f t="shared" si="2"/>
        <v>81.179999999999993</v>
      </c>
      <c r="H85" s="424"/>
    </row>
    <row r="86" spans="1:8" ht="21.75" x14ac:dyDescent="0.6">
      <c r="A86" s="374"/>
      <c r="B86" s="388" t="s">
        <v>890</v>
      </c>
      <c r="C86" s="397"/>
      <c r="D86" s="390">
        <v>800</v>
      </c>
      <c r="E86" s="391" t="s">
        <v>614</v>
      </c>
      <c r="F86" s="393">
        <v>6.5354000000000001</v>
      </c>
      <c r="G86" s="393">
        <f t="shared" si="2"/>
        <v>5228.32</v>
      </c>
      <c r="H86" s="424"/>
    </row>
    <row r="87" spans="1:8" ht="21.75" x14ac:dyDescent="0.6">
      <c r="A87" s="374"/>
      <c r="B87" s="388" t="s">
        <v>891</v>
      </c>
      <c r="C87" s="397"/>
      <c r="D87" s="390">
        <v>2</v>
      </c>
      <c r="E87" s="391" t="s">
        <v>46</v>
      </c>
      <c r="F87" s="393">
        <v>7.8228</v>
      </c>
      <c r="G87" s="393">
        <f t="shared" si="2"/>
        <v>15.6456</v>
      </c>
      <c r="H87" s="424"/>
    </row>
    <row r="88" spans="1:8" ht="21.75" x14ac:dyDescent="0.6">
      <c r="A88" s="374"/>
      <c r="B88" s="388" t="s">
        <v>892</v>
      </c>
      <c r="C88" s="397"/>
      <c r="D88" s="390">
        <v>2</v>
      </c>
      <c r="E88" s="391" t="s">
        <v>46</v>
      </c>
      <c r="F88" s="393">
        <v>7.8228</v>
      </c>
      <c r="G88" s="393">
        <f t="shared" si="2"/>
        <v>15.6456</v>
      </c>
      <c r="H88" s="424"/>
    </row>
    <row r="89" spans="1:8" ht="21.75" x14ac:dyDescent="0.6">
      <c r="A89" s="374"/>
      <c r="B89" s="388" t="s">
        <v>893</v>
      </c>
      <c r="C89" s="397"/>
      <c r="D89" s="390">
        <v>2</v>
      </c>
      <c r="E89" s="391" t="s">
        <v>46</v>
      </c>
      <c r="F89" s="393">
        <v>7.8228</v>
      </c>
      <c r="G89" s="393">
        <f t="shared" si="2"/>
        <v>15.6456</v>
      </c>
      <c r="H89" s="424"/>
    </row>
    <row r="90" spans="1:8" ht="21.75" x14ac:dyDescent="0.6">
      <c r="A90" s="374"/>
      <c r="B90" s="388" t="s">
        <v>894</v>
      </c>
      <c r="C90" s="397"/>
      <c r="D90" s="390">
        <v>2</v>
      </c>
      <c r="E90" s="391" t="s">
        <v>46</v>
      </c>
      <c r="F90" s="393">
        <v>7.8228</v>
      </c>
      <c r="G90" s="393">
        <f t="shared" si="2"/>
        <v>15.6456</v>
      </c>
      <c r="H90" s="424"/>
    </row>
    <row r="91" spans="1:8" ht="21.75" x14ac:dyDescent="0.6">
      <c r="A91" s="374"/>
      <c r="B91" s="388" t="s">
        <v>895</v>
      </c>
      <c r="C91" s="397"/>
      <c r="D91" s="390">
        <v>2</v>
      </c>
      <c r="E91" s="391" t="s">
        <v>46</v>
      </c>
      <c r="F91" s="393">
        <v>7.8228</v>
      </c>
      <c r="G91" s="393">
        <f t="shared" si="2"/>
        <v>15.6456</v>
      </c>
      <c r="H91" s="424"/>
    </row>
    <row r="92" spans="1:8" ht="21.75" x14ac:dyDescent="0.6">
      <c r="A92" s="374"/>
      <c r="B92" s="388" t="s">
        <v>896</v>
      </c>
      <c r="C92" s="397"/>
      <c r="D92" s="390">
        <v>1</v>
      </c>
      <c r="E92" s="391" t="s">
        <v>46</v>
      </c>
      <c r="F92" s="393">
        <v>7.8228</v>
      </c>
      <c r="G92" s="393">
        <f t="shared" si="2"/>
        <v>7.8228</v>
      </c>
      <c r="H92" s="424"/>
    </row>
    <row r="93" spans="1:8" ht="21.75" x14ac:dyDescent="0.6">
      <c r="A93" s="374"/>
      <c r="B93" s="388" t="s">
        <v>897</v>
      </c>
      <c r="C93" s="397"/>
      <c r="D93" s="390">
        <v>1</v>
      </c>
      <c r="E93" s="391" t="s">
        <v>46</v>
      </c>
      <c r="F93" s="393">
        <v>7.8228</v>
      </c>
      <c r="G93" s="393">
        <f t="shared" si="2"/>
        <v>7.8228</v>
      </c>
      <c r="H93" s="424"/>
    </row>
    <row r="94" spans="1:8" ht="21.75" x14ac:dyDescent="0.6">
      <c r="A94" s="374"/>
      <c r="B94" s="388" t="s">
        <v>898</v>
      </c>
      <c r="C94" s="397"/>
      <c r="D94" s="390">
        <v>1</v>
      </c>
      <c r="E94" s="391" t="s">
        <v>46</v>
      </c>
      <c r="F94" s="393">
        <v>7.8228</v>
      </c>
      <c r="G94" s="393">
        <f t="shared" si="2"/>
        <v>7.8228</v>
      </c>
      <c r="H94" s="424"/>
    </row>
    <row r="95" spans="1:8" ht="21.75" x14ac:dyDescent="0.6">
      <c r="A95" s="374"/>
      <c r="B95" s="388" t="s">
        <v>899</v>
      </c>
      <c r="C95" s="397"/>
      <c r="D95" s="390">
        <v>1</v>
      </c>
      <c r="E95" s="391" t="s">
        <v>46</v>
      </c>
      <c r="F95" s="393">
        <v>7.8228</v>
      </c>
      <c r="G95" s="393">
        <f t="shared" si="2"/>
        <v>7.8228</v>
      </c>
      <c r="H95" s="424"/>
    </row>
    <row r="96" spans="1:8" ht="21.75" x14ac:dyDescent="0.6">
      <c r="A96" s="374"/>
      <c r="B96" s="388" t="s">
        <v>900</v>
      </c>
      <c r="C96" s="397"/>
      <c r="D96" s="390">
        <v>1</v>
      </c>
      <c r="E96" s="391" t="s">
        <v>46</v>
      </c>
      <c r="F96" s="393">
        <v>7.8228</v>
      </c>
      <c r="G96" s="393">
        <f t="shared" si="2"/>
        <v>7.8228</v>
      </c>
      <c r="H96" s="424"/>
    </row>
    <row r="97" spans="1:8" ht="21.75" x14ac:dyDescent="0.6">
      <c r="A97" s="374"/>
      <c r="B97" s="388" t="s">
        <v>901</v>
      </c>
      <c r="C97" s="397"/>
      <c r="D97" s="390">
        <v>500</v>
      </c>
      <c r="E97" s="391" t="s">
        <v>614</v>
      </c>
      <c r="F97" s="393">
        <v>1.4104000000000001</v>
      </c>
      <c r="G97" s="393">
        <f t="shared" si="2"/>
        <v>705.2</v>
      </c>
      <c r="H97" s="424"/>
    </row>
    <row r="98" spans="1:8" ht="21.75" x14ac:dyDescent="0.6">
      <c r="A98" s="374"/>
      <c r="B98" s="388" t="s">
        <v>902</v>
      </c>
      <c r="C98" s="397"/>
      <c r="D98" s="390">
        <v>2000</v>
      </c>
      <c r="E98" s="391" t="s">
        <v>614</v>
      </c>
      <c r="F98" s="393">
        <v>5.2900000000000003E-2</v>
      </c>
      <c r="G98" s="393">
        <f t="shared" si="2"/>
        <v>105.80000000000001</v>
      </c>
      <c r="H98" s="424"/>
    </row>
    <row r="99" spans="1:8" ht="21.75" x14ac:dyDescent="0.6">
      <c r="A99" s="374"/>
      <c r="B99" s="388" t="s">
        <v>903</v>
      </c>
      <c r="C99" s="397"/>
      <c r="D99" s="390">
        <v>3000</v>
      </c>
      <c r="E99" s="391" t="s">
        <v>614</v>
      </c>
      <c r="F99" s="393">
        <v>4.7879999999999999E-2</v>
      </c>
      <c r="G99" s="393">
        <f t="shared" si="2"/>
        <v>143.63999999999999</v>
      </c>
      <c r="H99" s="424"/>
    </row>
    <row r="100" spans="1:8" ht="21.75" x14ac:dyDescent="0.6">
      <c r="A100" s="374"/>
      <c r="B100" s="388" t="s">
        <v>904</v>
      </c>
      <c r="C100" s="397"/>
      <c r="D100" s="390">
        <v>1500</v>
      </c>
      <c r="E100" s="391" t="s">
        <v>614</v>
      </c>
      <c r="F100" s="393">
        <v>4.7879999999999999E-2</v>
      </c>
      <c r="G100" s="393">
        <f t="shared" si="2"/>
        <v>71.819999999999993</v>
      </c>
      <c r="H100" s="424"/>
    </row>
    <row r="101" spans="1:8" ht="21.75" x14ac:dyDescent="0.6">
      <c r="A101" s="374"/>
      <c r="B101" s="388" t="s">
        <v>905</v>
      </c>
      <c r="C101" s="397"/>
      <c r="D101" s="390">
        <v>1200</v>
      </c>
      <c r="E101" s="391" t="s">
        <v>614</v>
      </c>
      <c r="F101" s="393">
        <v>9.1120000000000007E-2</v>
      </c>
      <c r="G101" s="393">
        <f t="shared" si="2"/>
        <v>109.34400000000001</v>
      </c>
      <c r="H101" s="424"/>
    </row>
    <row r="102" spans="1:8" ht="21.75" x14ac:dyDescent="0.6">
      <c r="A102" s="374"/>
      <c r="B102" s="388" t="s">
        <v>906</v>
      </c>
      <c r="C102" s="397"/>
      <c r="D102" s="390">
        <v>1500</v>
      </c>
      <c r="E102" s="391" t="s">
        <v>614</v>
      </c>
      <c r="F102" s="393">
        <v>0.15709999999999999</v>
      </c>
      <c r="G102" s="393">
        <f t="shared" si="2"/>
        <v>235.64999999999998</v>
      </c>
      <c r="H102" s="424"/>
    </row>
    <row r="103" spans="1:8" ht="21.75" x14ac:dyDescent="0.6">
      <c r="A103" s="374"/>
      <c r="B103" s="388" t="s">
        <v>907</v>
      </c>
      <c r="C103" s="397"/>
      <c r="D103" s="390">
        <v>20</v>
      </c>
      <c r="E103" s="391" t="s">
        <v>614</v>
      </c>
      <c r="F103" s="393">
        <v>12.259</v>
      </c>
      <c r="G103" s="393">
        <f t="shared" si="2"/>
        <v>245.18</v>
      </c>
      <c r="H103" s="424"/>
    </row>
    <row r="104" spans="1:8" ht="21.75" x14ac:dyDescent="0.6">
      <c r="A104" s="374"/>
      <c r="B104" s="388" t="s">
        <v>908</v>
      </c>
      <c r="C104" s="397"/>
      <c r="D104" s="390">
        <v>30</v>
      </c>
      <c r="E104" s="391" t="s">
        <v>614</v>
      </c>
      <c r="F104" s="393">
        <v>28.3064</v>
      </c>
      <c r="G104" s="393">
        <f t="shared" si="2"/>
        <v>849.19200000000001</v>
      </c>
      <c r="H104" s="424"/>
    </row>
    <row r="105" spans="1:8" ht="21.75" x14ac:dyDescent="0.6">
      <c r="A105" s="374"/>
      <c r="B105" s="388" t="s">
        <v>909</v>
      </c>
      <c r="C105" s="397"/>
      <c r="D105" s="390">
        <v>200</v>
      </c>
      <c r="E105" s="391" t="s">
        <v>614</v>
      </c>
      <c r="F105" s="393">
        <v>2.2000000000000002</v>
      </c>
      <c r="G105" s="393">
        <f t="shared" si="2"/>
        <v>440.00000000000006</v>
      </c>
      <c r="H105" s="424"/>
    </row>
    <row r="106" spans="1:8" ht="21.75" x14ac:dyDescent="0.6">
      <c r="A106" s="374"/>
      <c r="B106" s="388" t="s">
        <v>910</v>
      </c>
      <c r="C106" s="397"/>
      <c r="D106" s="390">
        <v>1</v>
      </c>
      <c r="E106" s="391" t="s">
        <v>614</v>
      </c>
      <c r="F106" s="393">
        <v>31.34</v>
      </c>
      <c r="G106" s="393">
        <f t="shared" si="2"/>
        <v>31.34</v>
      </c>
      <c r="H106" s="424"/>
    </row>
    <row r="107" spans="1:8" ht="21.75" x14ac:dyDescent="0.6">
      <c r="A107" s="374"/>
      <c r="B107" s="388" t="s">
        <v>911</v>
      </c>
      <c r="C107" s="397"/>
      <c r="D107" s="390">
        <v>14</v>
      </c>
      <c r="E107" s="391" t="s">
        <v>614</v>
      </c>
      <c r="F107" s="393">
        <v>35.14</v>
      </c>
      <c r="G107" s="393">
        <f t="shared" si="2"/>
        <v>491.96000000000004</v>
      </c>
      <c r="H107" s="424"/>
    </row>
    <row r="108" spans="1:8" ht="21.75" x14ac:dyDescent="0.6">
      <c r="A108" s="374"/>
      <c r="B108" s="388" t="s">
        <v>912</v>
      </c>
      <c r="C108" s="397"/>
      <c r="D108" s="390">
        <v>3</v>
      </c>
      <c r="E108" s="391" t="s">
        <v>614</v>
      </c>
      <c r="F108" s="393">
        <v>32.99</v>
      </c>
      <c r="G108" s="393">
        <f t="shared" si="2"/>
        <v>98.97</v>
      </c>
      <c r="H108" s="424"/>
    </row>
    <row r="109" spans="1:8" ht="21.75" x14ac:dyDescent="0.6">
      <c r="A109" s="374"/>
      <c r="B109" s="388" t="s">
        <v>913</v>
      </c>
      <c r="C109" s="397"/>
      <c r="D109" s="390">
        <v>15</v>
      </c>
      <c r="E109" s="391" t="s">
        <v>614</v>
      </c>
      <c r="F109" s="393">
        <v>5.98</v>
      </c>
      <c r="G109" s="393">
        <f t="shared" si="2"/>
        <v>89.7</v>
      </c>
      <c r="H109" s="424"/>
    </row>
    <row r="110" spans="1:8" ht="21.75" x14ac:dyDescent="0.6">
      <c r="A110" s="374"/>
      <c r="B110" s="388" t="s">
        <v>914</v>
      </c>
      <c r="C110" s="397"/>
      <c r="D110" s="390">
        <v>3</v>
      </c>
      <c r="E110" s="391" t="s">
        <v>614</v>
      </c>
      <c r="F110" s="393">
        <v>32.086599999999997</v>
      </c>
      <c r="G110" s="393">
        <f t="shared" si="2"/>
        <v>96.259799999999984</v>
      </c>
      <c r="H110" s="424"/>
    </row>
    <row r="111" spans="1:8" ht="21.75" x14ac:dyDescent="0.6">
      <c r="A111" s="374"/>
      <c r="B111" s="429" t="s">
        <v>915</v>
      </c>
      <c r="C111" s="430"/>
      <c r="D111" s="430"/>
      <c r="E111" s="430"/>
      <c r="F111" s="430"/>
      <c r="G111" s="431">
        <f>SUM(G112:G157)</f>
        <v>426693.35600000003</v>
      </c>
      <c r="H111" s="424"/>
    </row>
    <row r="112" spans="1:8" ht="21.75" x14ac:dyDescent="0.6">
      <c r="A112" s="374"/>
      <c r="B112" s="394" t="s">
        <v>916</v>
      </c>
      <c r="C112" s="432"/>
      <c r="D112" s="433">
        <v>600</v>
      </c>
      <c r="E112" s="391" t="s">
        <v>46</v>
      </c>
      <c r="F112" s="393">
        <v>0.89559999999999995</v>
      </c>
      <c r="G112" s="393">
        <f t="shared" ref="G112:G157" si="3">F112*D112</f>
        <v>537.36</v>
      </c>
      <c r="H112" s="424"/>
    </row>
    <row r="113" spans="1:8" ht="21.75" x14ac:dyDescent="0.6">
      <c r="A113" s="374"/>
      <c r="B113" s="388" t="s">
        <v>917</v>
      </c>
      <c r="C113" s="397"/>
      <c r="D113" s="390">
        <v>24100</v>
      </c>
      <c r="E113" s="391" t="s">
        <v>46</v>
      </c>
      <c r="F113" s="393">
        <v>0.9</v>
      </c>
      <c r="G113" s="393">
        <f t="shared" si="3"/>
        <v>21690</v>
      </c>
      <c r="H113" s="424"/>
    </row>
    <row r="114" spans="1:8" ht="21.75" x14ac:dyDescent="0.6">
      <c r="A114" s="374"/>
      <c r="B114" s="388" t="s">
        <v>918</v>
      </c>
      <c r="C114" s="397"/>
      <c r="D114" s="390">
        <v>200</v>
      </c>
      <c r="E114" s="391" t="s">
        <v>46</v>
      </c>
      <c r="F114" s="393">
        <v>0.9</v>
      </c>
      <c r="G114" s="393">
        <f t="shared" si="3"/>
        <v>180</v>
      </c>
      <c r="H114" s="424"/>
    </row>
    <row r="115" spans="1:8" ht="21.75" x14ac:dyDescent="0.6">
      <c r="A115" s="374"/>
      <c r="B115" s="388" t="s">
        <v>919</v>
      </c>
      <c r="C115" s="397"/>
      <c r="D115" s="390">
        <v>400</v>
      </c>
      <c r="E115" s="391" t="s">
        <v>46</v>
      </c>
      <c r="F115" s="393">
        <v>0.89559999999999995</v>
      </c>
      <c r="G115" s="393">
        <f t="shared" si="3"/>
        <v>358.24</v>
      </c>
      <c r="H115" s="424"/>
    </row>
    <row r="116" spans="1:8" ht="21.75" x14ac:dyDescent="0.6">
      <c r="A116" s="374"/>
      <c r="B116" s="388" t="s">
        <v>920</v>
      </c>
      <c r="C116" s="397"/>
      <c r="D116" s="390">
        <v>23500</v>
      </c>
      <c r="E116" s="391" t="s">
        <v>46</v>
      </c>
      <c r="F116" s="393">
        <v>0.89559999999999995</v>
      </c>
      <c r="G116" s="393">
        <f t="shared" si="3"/>
        <v>21046.6</v>
      </c>
      <c r="H116" s="424"/>
    </row>
    <row r="117" spans="1:8" ht="21.75" x14ac:dyDescent="0.6">
      <c r="A117" s="374"/>
      <c r="B117" s="388" t="s">
        <v>921</v>
      </c>
      <c r="C117" s="397"/>
      <c r="D117" s="390">
        <v>35400</v>
      </c>
      <c r="E117" s="391" t="s">
        <v>46</v>
      </c>
      <c r="F117" s="393">
        <v>0.9</v>
      </c>
      <c r="G117" s="393">
        <f t="shared" si="3"/>
        <v>31860</v>
      </c>
      <c r="H117" s="424"/>
    </row>
    <row r="118" spans="1:8" ht="21.75" x14ac:dyDescent="0.6">
      <c r="A118" s="374"/>
      <c r="B118" s="388" t="s">
        <v>922</v>
      </c>
      <c r="C118" s="397"/>
      <c r="D118" s="390">
        <v>24100</v>
      </c>
      <c r="E118" s="391" t="s">
        <v>46</v>
      </c>
      <c r="F118" s="393">
        <v>0.9</v>
      </c>
      <c r="G118" s="393">
        <f t="shared" si="3"/>
        <v>21690</v>
      </c>
      <c r="H118" s="424"/>
    </row>
    <row r="119" spans="1:8" ht="21.75" x14ac:dyDescent="0.6">
      <c r="A119" s="374"/>
      <c r="B119" s="388" t="s">
        <v>923</v>
      </c>
      <c r="C119" s="397"/>
      <c r="D119" s="390">
        <v>200</v>
      </c>
      <c r="E119" s="391" t="s">
        <v>46</v>
      </c>
      <c r="F119" s="393">
        <v>0.9</v>
      </c>
      <c r="G119" s="393">
        <f t="shared" si="3"/>
        <v>180</v>
      </c>
      <c r="H119" s="424"/>
    </row>
    <row r="120" spans="1:8" ht="21.75" x14ac:dyDescent="0.6">
      <c r="A120" s="374"/>
      <c r="B120" s="388" t="s">
        <v>924</v>
      </c>
      <c r="C120" s="397"/>
      <c r="D120" s="390">
        <v>1450</v>
      </c>
      <c r="E120" s="391" t="s">
        <v>46</v>
      </c>
      <c r="F120" s="393">
        <v>0.89559999999999995</v>
      </c>
      <c r="G120" s="393">
        <f t="shared" si="3"/>
        <v>1298.6199999999999</v>
      </c>
      <c r="H120" s="424"/>
    </row>
    <row r="121" spans="1:8" ht="21.75" x14ac:dyDescent="0.6">
      <c r="A121" s="374"/>
      <c r="B121" s="388" t="s">
        <v>925</v>
      </c>
      <c r="C121" s="397"/>
      <c r="D121" s="390">
        <v>100</v>
      </c>
      <c r="E121" s="391" t="s">
        <v>46</v>
      </c>
      <c r="F121" s="393">
        <v>1.2956000000000001</v>
      </c>
      <c r="G121" s="393">
        <f t="shared" si="3"/>
        <v>129.56</v>
      </c>
      <c r="H121" s="424"/>
    </row>
    <row r="122" spans="1:8" ht="21.75" x14ac:dyDescent="0.6">
      <c r="A122" s="374"/>
      <c r="B122" s="388" t="s">
        <v>926</v>
      </c>
      <c r="C122" s="397"/>
      <c r="D122" s="390">
        <v>100</v>
      </c>
      <c r="E122" s="391" t="s">
        <v>46</v>
      </c>
      <c r="F122" s="393">
        <v>1.2956000000000001</v>
      </c>
      <c r="G122" s="393">
        <f t="shared" si="3"/>
        <v>129.56</v>
      </c>
      <c r="H122" s="424"/>
    </row>
    <row r="123" spans="1:8" ht="21.75" x14ac:dyDescent="0.6">
      <c r="A123" s="374"/>
      <c r="B123" s="388" t="s">
        <v>927</v>
      </c>
      <c r="C123" s="397"/>
      <c r="D123" s="390">
        <v>100</v>
      </c>
      <c r="E123" s="391" t="s">
        <v>46</v>
      </c>
      <c r="F123" s="393">
        <v>1.2956000000000001</v>
      </c>
      <c r="G123" s="393">
        <f t="shared" si="3"/>
        <v>129.56</v>
      </c>
      <c r="H123" s="424"/>
    </row>
    <row r="124" spans="1:8" ht="21.75" x14ac:dyDescent="0.6">
      <c r="A124" s="374"/>
      <c r="B124" s="388" t="s">
        <v>928</v>
      </c>
      <c r="C124" s="397"/>
      <c r="D124" s="390">
        <v>23500</v>
      </c>
      <c r="E124" s="391" t="s">
        <v>46</v>
      </c>
      <c r="F124" s="393">
        <v>1.4272</v>
      </c>
      <c r="G124" s="393">
        <f t="shared" si="3"/>
        <v>33539.199999999997</v>
      </c>
      <c r="H124" s="424"/>
    </row>
    <row r="125" spans="1:8" ht="21.75" x14ac:dyDescent="0.6">
      <c r="A125" s="374"/>
      <c r="B125" s="388" t="s">
        <v>929</v>
      </c>
      <c r="C125" s="397"/>
      <c r="D125" s="390">
        <v>23500</v>
      </c>
      <c r="E125" s="391" t="s">
        <v>46</v>
      </c>
      <c r="F125" s="393">
        <v>1.4272</v>
      </c>
      <c r="G125" s="393">
        <f t="shared" si="3"/>
        <v>33539.199999999997</v>
      </c>
      <c r="H125" s="424"/>
    </row>
    <row r="126" spans="1:8" ht="21.75" x14ac:dyDescent="0.6">
      <c r="A126" s="374"/>
      <c r="B126" s="388" t="s">
        <v>930</v>
      </c>
      <c r="C126" s="397"/>
      <c r="D126" s="390">
        <v>23500</v>
      </c>
      <c r="E126" s="391" t="s">
        <v>46</v>
      </c>
      <c r="F126" s="393">
        <v>1.4272</v>
      </c>
      <c r="G126" s="393">
        <f t="shared" si="3"/>
        <v>33539.199999999997</v>
      </c>
      <c r="H126" s="424"/>
    </row>
    <row r="127" spans="1:8" ht="21.75" x14ac:dyDescent="0.6">
      <c r="A127" s="374"/>
      <c r="B127" s="388" t="s">
        <v>931</v>
      </c>
      <c r="C127" s="397"/>
      <c r="D127" s="390">
        <v>9700</v>
      </c>
      <c r="E127" s="391" t="s">
        <v>46</v>
      </c>
      <c r="F127" s="393">
        <v>2.3578000000000001</v>
      </c>
      <c r="G127" s="393">
        <f t="shared" si="3"/>
        <v>22870.66</v>
      </c>
      <c r="H127" s="424"/>
    </row>
    <row r="128" spans="1:8" ht="21.75" x14ac:dyDescent="0.6">
      <c r="A128" s="374"/>
      <c r="B128" s="388" t="s">
        <v>932</v>
      </c>
      <c r="C128" s="397"/>
      <c r="D128" s="390">
        <v>9700</v>
      </c>
      <c r="E128" s="391" t="s">
        <v>46</v>
      </c>
      <c r="F128" s="393">
        <v>2.3578000000000001</v>
      </c>
      <c r="G128" s="393">
        <f t="shared" si="3"/>
        <v>22870.66</v>
      </c>
      <c r="H128" s="424"/>
    </row>
    <row r="129" spans="1:8" ht="21.75" x14ac:dyDescent="0.6">
      <c r="A129" s="374"/>
      <c r="B129" s="388" t="s">
        <v>933</v>
      </c>
      <c r="C129" s="397"/>
      <c r="D129" s="390">
        <v>9700</v>
      </c>
      <c r="E129" s="391" t="s">
        <v>46</v>
      </c>
      <c r="F129" s="393">
        <v>2.3578000000000001</v>
      </c>
      <c r="G129" s="393">
        <f t="shared" si="3"/>
        <v>22870.66</v>
      </c>
      <c r="H129" s="424"/>
    </row>
    <row r="130" spans="1:8" ht="21.75" x14ac:dyDescent="0.6">
      <c r="A130" s="374"/>
      <c r="B130" s="388" t="s">
        <v>934</v>
      </c>
      <c r="C130" s="397"/>
      <c r="D130" s="390">
        <v>5300</v>
      </c>
      <c r="E130" s="391" t="s">
        <v>46</v>
      </c>
      <c r="F130" s="393">
        <v>3.4984000000000002</v>
      </c>
      <c r="G130" s="393">
        <f t="shared" si="3"/>
        <v>18541.52</v>
      </c>
      <c r="H130" s="424"/>
    </row>
    <row r="131" spans="1:8" ht="21.75" x14ac:dyDescent="0.6">
      <c r="A131" s="374"/>
      <c r="B131" s="388" t="s">
        <v>935</v>
      </c>
      <c r="C131" s="397"/>
      <c r="D131" s="390">
        <v>5300</v>
      </c>
      <c r="E131" s="391" t="s">
        <v>46</v>
      </c>
      <c r="F131" s="393">
        <v>3.4984000000000002</v>
      </c>
      <c r="G131" s="393">
        <f t="shared" si="3"/>
        <v>18541.52</v>
      </c>
      <c r="H131" s="424"/>
    </row>
    <row r="132" spans="1:8" ht="21.75" x14ac:dyDescent="0.6">
      <c r="A132" s="374"/>
      <c r="B132" s="388" t="s">
        <v>936</v>
      </c>
      <c r="C132" s="397"/>
      <c r="D132" s="390">
        <v>5300</v>
      </c>
      <c r="E132" s="391" t="s">
        <v>46</v>
      </c>
      <c r="F132" s="393">
        <v>3.4984000000000002</v>
      </c>
      <c r="G132" s="393">
        <f t="shared" si="3"/>
        <v>18541.52</v>
      </c>
      <c r="H132" s="424"/>
    </row>
    <row r="133" spans="1:8" ht="21.75" x14ac:dyDescent="0.6">
      <c r="A133" s="374"/>
      <c r="B133" s="388" t="s">
        <v>937</v>
      </c>
      <c r="C133" s="397"/>
      <c r="D133" s="390">
        <v>2000</v>
      </c>
      <c r="E133" s="391" t="s">
        <v>46</v>
      </c>
      <c r="F133" s="393">
        <v>6.2320000000000002</v>
      </c>
      <c r="G133" s="393">
        <f t="shared" si="3"/>
        <v>12464</v>
      </c>
      <c r="H133" s="424"/>
    </row>
    <row r="134" spans="1:8" ht="21.75" x14ac:dyDescent="0.6">
      <c r="A134" s="374"/>
      <c r="B134" s="388" t="s">
        <v>938</v>
      </c>
      <c r="C134" s="397"/>
      <c r="D134" s="390">
        <v>2000</v>
      </c>
      <c r="E134" s="391" t="s">
        <v>46</v>
      </c>
      <c r="F134" s="393">
        <v>6.2320000000000002</v>
      </c>
      <c r="G134" s="393">
        <f t="shared" si="3"/>
        <v>12464</v>
      </c>
      <c r="H134" s="424"/>
    </row>
    <row r="135" spans="1:8" ht="21.75" x14ac:dyDescent="0.6">
      <c r="A135" s="374"/>
      <c r="B135" s="388" t="s">
        <v>939</v>
      </c>
      <c r="C135" s="397"/>
      <c r="D135" s="390">
        <v>2000</v>
      </c>
      <c r="E135" s="391" t="s">
        <v>46</v>
      </c>
      <c r="F135" s="393">
        <v>6.2320000000000002</v>
      </c>
      <c r="G135" s="393">
        <f t="shared" si="3"/>
        <v>12464</v>
      </c>
      <c r="H135" s="424"/>
    </row>
    <row r="136" spans="1:8" ht="21.75" x14ac:dyDescent="0.6">
      <c r="A136" s="374"/>
      <c r="B136" s="388" t="s">
        <v>940</v>
      </c>
      <c r="C136" s="397"/>
      <c r="D136" s="390">
        <v>2000</v>
      </c>
      <c r="E136" s="391" t="s">
        <v>46</v>
      </c>
      <c r="F136" s="393">
        <v>6.2320000000000002</v>
      </c>
      <c r="G136" s="393">
        <f t="shared" si="3"/>
        <v>12464</v>
      </c>
      <c r="H136" s="424"/>
    </row>
    <row r="137" spans="1:8" ht="21.75" x14ac:dyDescent="0.6">
      <c r="A137" s="374"/>
      <c r="B137" s="388" t="s">
        <v>941</v>
      </c>
      <c r="C137" s="397"/>
      <c r="D137" s="390">
        <v>2000</v>
      </c>
      <c r="E137" s="391" t="s">
        <v>46</v>
      </c>
      <c r="F137" s="393">
        <v>6.2320000000000002</v>
      </c>
      <c r="G137" s="393">
        <f t="shared" si="3"/>
        <v>12464</v>
      </c>
      <c r="H137" s="424"/>
    </row>
    <row r="138" spans="1:8" ht="21.75" x14ac:dyDescent="0.6">
      <c r="A138" s="374"/>
      <c r="B138" s="388" t="s">
        <v>942</v>
      </c>
      <c r="C138" s="397"/>
      <c r="D138" s="390">
        <v>50</v>
      </c>
      <c r="E138" s="391" t="s">
        <v>46</v>
      </c>
      <c r="F138" s="393">
        <v>10.6928</v>
      </c>
      <c r="G138" s="393">
        <f t="shared" si="3"/>
        <v>534.64</v>
      </c>
      <c r="H138" s="424"/>
    </row>
    <row r="139" spans="1:8" ht="21.75" x14ac:dyDescent="0.6">
      <c r="A139" s="374"/>
      <c r="B139" s="388" t="s">
        <v>943</v>
      </c>
      <c r="C139" s="397"/>
      <c r="D139" s="390">
        <v>50</v>
      </c>
      <c r="E139" s="391" t="s">
        <v>46</v>
      </c>
      <c r="F139" s="393">
        <v>15.555400000000001</v>
      </c>
      <c r="G139" s="393">
        <f t="shared" si="3"/>
        <v>777.77</v>
      </c>
      <c r="H139" s="424"/>
    </row>
    <row r="140" spans="1:8" ht="21.75" x14ac:dyDescent="0.6">
      <c r="A140" s="374"/>
      <c r="B140" s="388" t="s">
        <v>944</v>
      </c>
      <c r="C140" s="397"/>
      <c r="D140" s="390">
        <v>50</v>
      </c>
      <c r="E140" s="391" t="s">
        <v>46</v>
      </c>
      <c r="F140" s="393">
        <v>15.555400000000001</v>
      </c>
      <c r="G140" s="393">
        <f t="shared" si="3"/>
        <v>777.77</v>
      </c>
      <c r="H140" s="424"/>
    </row>
    <row r="141" spans="1:8" ht="21.75" x14ac:dyDescent="0.6">
      <c r="A141" s="374"/>
      <c r="B141" s="388" t="s">
        <v>945</v>
      </c>
      <c r="C141" s="397"/>
      <c r="D141" s="390">
        <v>50</v>
      </c>
      <c r="E141" s="391" t="s">
        <v>46</v>
      </c>
      <c r="F141" s="393">
        <v>15.555400000000001</v>
      </c>
      <c r="G141" s="393">
        <f t="shared" si="3"/>
        <v>777.77</v>
      </c>
      <c r="H141" s="424"/>
    </row>
    <row r="142" spans="1:8" ht="21.75" x14ac:dyDescent="0.6">
      <c r="A142" s="374"/>
      <c r="B142" s="388" t="s">
        <v>946</v>
      </c>
      <c r="C142" s="397"/>
      <c r="D142" s="390">
        <v>50</v>
      </c>
      <c r="E142" s="391" t="s">
        <v>46</v>
      </c>
      <c r="F142" s="393">
        <v>15.555400000000001</v>
      </c>
      <c r="G142" s="393">
        <f t="shared" si="3"/>
        <v>777.77</v>
      </c>
      <c r="H142" s="424"/>
    </row>
    <row r="143" spans="1:8" ht="21.75" x14ac:dyDescent="0.6">
      <c r="A143" s="374"/>
      <c r="B143" s="388" t="s">
        <v>947</v>
      </c>
      <c r="C143" s="397"/>
      <c r="D143" s="390">
        <v>20</v>
      </c>
      <c r="E143" s="391" t="s">
        <v>46</v>
      </c>
      <c r="F143" s="393">
        <v>15.555400000000001</v>
      </c>
      <c r="G143" s="393">
        <f t="shared" si="3"/>
        <v>311.108</v>
      </c>
      <c r="H143" s="424"/>
    </row>
    <row r="144" spans="1:8" ht="21.75" x14ac:dyDescent="0.6">
      <c r="A144" s="374"/>
      <c r="B144" s="388" t="s">
        <v>948</v>
      </c>
      <c r="C144" s="397"/>
      <c r="D144" s="390">
        <v>20</v>
      </c>
      <c r="E144" s="391" t="s">
        <v>46</v>
      </c>
      <c r="F144" s="393">
        <v>22.090800000000002</v>
      </c>
      <c r="G144" s="393">
        <f t="shared" si="3"/>
        <v>441.81600000000003</v>
      </c>
      <c r="H144" s="424"/>
    </row>
    <row r="145" spans="1:8" ht="21.75" x14ac:dyDescent="0.6">
      <c r="A145" s="374"/>
      <c r="B145" s="388" t="s">
        <v>949</v>
      </c>
      <c r="C145" s="397"/>
      <c r="D145" s="390">
        <v>20</v>
      </c>
      <c r="E145" s="391" t="s">
        <v>46</v>
      </c>
      <c r="F145" s="393">
        <v>31.824200000000001</v>
      </c>
      <c r="G145" s="393">
        <f t="shared" si="3"/>
        <v>636.48400000000004</v>
      </c>
      <c r="H145" s="424"/>
    </row>
    <row r="146" spans="1:8" ht="21.75" x14ac:dyDescent="0.6">
      <c r="A146" s="374"/>
      <c r="B146" s="388" t="s">
        <v>950</v>
      </c>
      <c r="C146" s="397"/>
      <c r="D146" s="390">
        <v>20</v>
      </c>
      <c r="E146" s="391" t="s">
        <v>46</v>
      </c>
      <c r="F146" s="393">
        <v>31.824200000000001</v>
      </c>
      <c r="G146" s="393">
        <f t="shared" si="3"/>
        <v>636.48400000000004</v>
      </c>
      <c r="H146" s="424"/>
    </row>
    <row r="147" spans="1:8" ht="21.75" x14ac:dyDescent="0.6">
      <c r="A147" s="374"/>
      <c r="B147" s="388" t="s">
        <v>951</v>
      </c>
      <c r="C147" s="397"/>
      <c r="D147" s="390">
        <v>20</v>
      </c>
      <c r="E147" s="391" t="s">
        <v>46</v>
      </c>
      <c r="F147" s="393">
        <v>31.824200000000001</v>
      </c>
      <c r="G147" s="393">
        <f t="shared" si="3"/>
        <v>636.48400000000004</v>
      </c>
      <c r="H147" s="424"/>
    </row>
    <row r="148" spans="1:8" ht="21.75" x14ac:dyDescent="0.6">
      <c r="A148" s="374"/>
      <c r="B148" s="388" t="s">
        <v>952</v>
      </c>
      <c r="C148" s="397"/>
      <c r="D148" s="390">
        <v>20</v>
      </c>
      <c r="E148" s="391" t="s">
        <v>46</v>
      </c>
      <c r="F148" s="393">
        <v>31.824200000000001</v>
      </c>
      <c r="G148" s="393">
        <f t="shared" si="3"/>
        <v>636.48400000000004</v>
      </c>
      <c r="H148" s="424"/>
    </row>
    <row r="149" spans="1:8" ht="21.75" x14ac:dyDescent="0.6">
      <c r="A149" s="374"/>
      <c r="B149" s="388" t="s">
        <v>953</v>
      </c>
      <c r="C149" s="397"/>
      <c r="D149" s="390">
        <v>20</v>
      </c>
      <c r="E149" s="391" t="s">
        <v>46</v>
      </c>
      <c r="F149" s="393">
        <v>44.862200000000001</v>
      </c>
      <c r="G149" s="393">
        <f t="shared" si="3"/>
        <v>897.24400000000003</v>
      </c>
      <c r="H149" s="424"/>
    </row>
    <row r="150" spans="1:8" ht="21.75" x14ac:dyDescent="0.6">
      <c r="A150" s="374"/>
      <c r="B150" s="388" t="s">
        <v>954</v>
      </c>
      <c r="C150" s="397"/>
      <c r="D150" s="390">
        <v>20</v>
      </c>
      <c r="E150" s="391" t="s">
        <v>46</v>
      </c>
      <c r="F150" s="393">
        <v>44.862200000000001</v>
      </c>
      <c r="G150" s="393">
        <f t="shared" si="3"/>
        <v>897.24400000000003</v>
      </c>
      <c r="H150" s="424"/>
    </row>
    <row r="151" spans="1:8" ht="21.75" x14ac:dyDescent="0.6">
      <c r="A151" s="374"/>
      <c r="B151" s="388" t="s">
        <v>955</v>
      </c>
      <c r="C151" s="397"/>
      <c r="D151" s="390">
        <v>20</v>
      </c>
      <c r="E151" s="391" t="s">
        <v>46</v>
      </c>
      <c r="F151" s="393">
        <v>44.862200000000001</v>
      </c>
      <c r="G151" s="393">
        <f t="shared" si="3"/>
        <v>897.24400000000003</v>
      </c>
      <c r="H151" s="424"/>
    </row>
    <row r="152" spans="1:8" ht="21.75" x14ac:dyDescent="0.6">
      <c r="A152" s="374"/>
      <c r="B152" s="388" t="s">
        <v>956</v>
      </c>
      <c r="C152" s="397"/>
      <c r="D152" s="390">
        <v>20</v>
      </c>
      <c r="E152" s="391" t="s">
        <v>46</v>
      </c>
      <c r="F152" s="393">
        <v>44.862200000000001</v>
      </c>
      <c r="G152" s="393">
        <f t="shared" si="3"/>
        <v>897.24400000000003</v>
      </c>
      <c r="H152" s="424"/>
    </row>
    <row r="153" spans="1:8" ht="21.75" x14ac:dyDescent="0.6">
      <c r="A153" s="374"/>
      <c r="B153" s="388" t="s">
        <v>957</v>
      </c>
      <c r="C153" s="397"/>
      <c r="D153" s="390">
        <v>90</v>
      </c>
      <c r="E153" s="391" t="s">
        <v>46</v>
      </c>
      <c r="F153" s="393">
        <v>73.471999999999994</v>
      </c>
      <c r="G153" s="393">
        <f t="shared" si="3"/>
        <v>6612.48</v>
      </c>
      <c r="H153" s="424"/>
    </row>
    <row r="154" spans="1:8" ht="21.75" x14ac:dyDescent="0.6">
      <c r="A154" s="374"/>
      <c r="B154" s="388" t="s">
        <v>958</v>
      </c>
      <c r="C154" s="397"/>
      <c r="D154" s="390">
        <v>90</v>
      </c>
      <c r="E154" s="391" t="s">
        <v>46</v>
      </c>
      <c r="F154" s="393">
        <v>73.471999999999994</v>
      </c>
      <c r="G154" s="393">
        <f t="shared" si="3"/>
        <v>6612.48</v>
      </c>
      <c r="H154" s="424"/>
    </row>
    <row r="155" spans="1:8" ht="21.75" x14ac:dyDescent="0.6">
      <c r="A155" s="374"/>
      <c r="B155" s="388" t="s">
        <v>959</v>
      </c>
      <c r="C155" s="397"/>
      <c r="D155" s="390">
        <v>90</v>
      </c>
      <c r="E155" s="391" t="s">
        <v>46</v>
      </c>
      <c r="F155" s="393">
        <v>73.471999999999994</v>
      </c>
      <c r="G155" s="393">
        <f t="shared" si="3"/>
        <v>6612.48</v>
      </c>
      <c r="H155" s="424"/>
    </row>
    <row r="156" spans="1:8" ht="21.75" x14ac:dyDescent="0.6">
      <c r="A156" s="374"/>
      <c r="B156" s="388" t="s">
        <v>960</v>
      </c>
      <c r="C156" s="397"/>
      <c r="D156" s="390">
        <v>90</v>
      </c>
      <c r="E156" s="391" t="s">
        <v>46</v>
      </c>
      <c r="F156" s="393">
        <v>73.471999999999994</v>
      </c>
      <c r="G156" s="393">
        <f t="shared" si="3"/>
        <v>6612.48</v>
      </c>
      <c r="H156" s="424"/>
    </row>
    <row r="157" spans="1:8" ht="21.75" x14ac:dyDescent="0.6">
      <c r="A157" s="374"/>
      <c r="B157" s="388" t="s">
        <v>961</v>
      </c>
      <c r="C157" s="397"/>
      <c r="D157" s="390">
        <v>45</v>
      </c>
      <c r="E157" s="391" t="s">
        <v>46</v>
      </c>
      <c r="F157" s="393">
        <v>73.471999999999994</v>
      </c>
      <c r="G157" s="393">
        <f t="shared" si="3"/>
        <v>3306.24</v>
      </c>
      <c r="H157" s="424"/>
    </row>
    <row r="158" spans="1:8" ht="21.75" x14ac:dyDescent="0.6">
      <c r="A158" s="374"/>
      <c r="B158" s="429" t="s">
        <v>962</v>
      </c>
      <c r="C158" s="430"/>
      <c r="D158" s="430"/>
      <c r="E158" s="430"/>
      <c r="F158" s="430"/>
      <c r="G158" s="431">
        <f>SUM(G159:G186)</f>
        <v>123444.23580000002</v>
      </c>
      <c r="H158" s="424"/>
    </row>
    <row r="159" spans="1:8" ht="21.75" x14ac:dyDescent="0.6">
      <c r="A159" s="374"/>
      <c r="B159" s="388" t="s">
        <v>963</v>
      </c>
      <c r="C159" s="397"/>
      <c r="D159" s="390">
        <v>2235</v>
      </c>
      <c r="E159" s="391" t="s">
        <v>614</v>
      </c>
      <c r="F159" s="393">
        <v>15.0388</v>
      </c>
      <c r="G159" s="393">
        <f t="shared" ref="G159:G186" si="4">F159*D159</f>
        <v>33611.718000000001</v>
      </c>
      <c r="H159" s="424"/>
    </row>
    <row r="160" spans="1:8" ht="21.75" x14ac:dyDescent="0.6">
      <c r="A160" s="374"/>
      <c r="B160" s="388" t="s">
        <v>964</v>
      </c>
      <c r="C160" s="397"/>
      <c r="D160" s="390">
        <v>820</v>
      </c>
      <c r="E160" s="391" t="s">
        <v>614</v>
      </c>
      <c r="F160" s="393">
        <v>16.687000000000001</v>
      </c>
      <c r="G160" s="393">
        <f t="shared" si="4"/>
        <v>13683.34</v>
      </c>
      <c r="H160" s="424"/>
    </row>
    <row r="161" spans="1:8" ht="21.75" x14ac:dyDescent="0.6">
      <c r="A161" s="374"/>
      <c r="B161" s="388" t="s">
        <v>965</v>
      </c>
      <c r="C161" s="397"/>
      <c r="D161" s="390">
        <v>4</v>
      </c>
      <c r="E161" s="391" t="s">
        <v>614</v>
      </c>
      <c r="F161" s="393">
        <v>14.915800000000001</v>
      </c>
      <c r="G161" s="393">
        <f t="shared" si="4"/>
        <v>59.663200000000003</v>
      </c>
      <c r="H161" s="424"/>
    </row>
    <row r="162" spans="1:8" ht="21.75" x14ac:dyDescent="0.6">
      <c r="A162" s="374"/>
      <c r="B162" s="388" t="s">
        <v>966</v>
      </c>
      <c r="C162" s="397"/>
      <c r="D162" s="390">
        <v>8</v>
      </c>
      <c r="E162" s="391" t="s">
        <v>614</v>
      </c>
      <c r="F162" s="393">
        <v>8.9</v>
      </c>
      <c r="G162" s="393">
        <f t="shared" si="4"/>
        <v>71.2</v>
      </c>
      <c r="H162" s="424"/>
    </row>
    <row r="163" spans="1:8" ht="21.75" x14ac:dyDescent="0.6">
      <c r="A163" s="374"/>
      <c r="B163" s="388" t="s">
        <v>967</v>
      </c>
      <c r="C163" s="397"/>
      <c r="D163" s="390">
        <v>8</v>
      </c>
      <c r="E163" s="391" t="s">
        <v>614</v>
      </c>
      <c r="F163" s="393">
        <v>1.353</v>
      </c>
      <c r="G163" s="393">
        <f t="shared" si="4"/>
        <v>10.824</v>
      </c>
      <c r="H163" s="424"/>
    </row>
    <row r="164" spans="1:8" ht="21.75" x14ac:dyDescent="0.6">
      <c r="A164" s="374"/>
      <c r="B164" s="388" t="s">
        <v>968</v>
      </c>
      <c r="C164" s="397"/>
      <c r="D164" s="390">
        <v>315</v>
      </c>
      <c r="E164" s="391" t="s">
        <v>614</v>
      </c>
      <c r="F164" s="393">
        <v>9.3643999999999998</v>
      </c>
      <c r="G164" s="393">
        <f t="shared" si="4"/>
        <v>2949.7860000000001</v>
      </c>
      <c r="H164" s="424"/>
    </row>
    <row r="165" spans="1:8" ht="21.75" x14ac:dyDescent="0.6">
      <c r="A165" s="374"/>
      <c r="B165" s="388" t="s">
        <v>969</v>
      </c>
      <c r="C165" s="397"/>
      <c r="D165" s="390">
        <v>2</v>
      </c>
      <c r="E165" s="391" t="s">
        <v>614</v>
      </c>
      <c r="F165" s="393">
        <v>10.45</v>
      </c>
      <c r="G165" s="393">
        <f t="shared" si="4"/>
        <v>20.9</v>
      </c>
      <c r="H165" s="424"/>
    </row>
    <row r="166" spans="1:8" ht="21.75" x14ac:dyDescent="0.6">
      <c r="A166" s="374"/>
      <c r="B166" s="388" t="s">
        <v>970</v>
      </c>
      <c r="C166" s="397"/>
      <c r="D166" s="390">
        <v>1</v>
      </c>
      <c r="E166" s="391" t="s">
        <v>614</v>
      </c>
      <c r="F166" s="393">
        <v>17.95</v>
      </c>
      <c r="G166" s="393">
        <f t="shared" si="4"/>
        <v>17.95</v>
      </c>
      <c r="H166" s="424"/>
    </row>
    <row r="167" spans="1:8" ht="21.75" x14ac:dyDescent="0.6">
      <c r="A167" s="374"/>
      <c r="B167" s="388" t="s">
        <v>971</v>
      </c>
      <c r="C167" s="397"/>
      <c r="D167" s="390">
        <v>2</v>
      </c>
      <c r="E167" s="391" t="s">
        <v>614</v>
      </c>
      <c r="F167" s="393">
        <v>15.75</v>
      </c>
      <c r="G167" s="393">
        <f t="shared" si="4"/>
        <v>31.5</v>
      </c>
      <c r="H167" s="424"/>
    </row>
    <row r="168" spans="1:8" ht="21.75" x14ac:dyDescent="0.6">
      <c r="A168" s="374"/>
      <c r="B168" s="388" t="s">
        <v>972</v>
      </c>
      <c r="C168" s="397"/>
      <c r="D168" s="390">
        <v>1055</v>
      </c>
      <c r="E168" s="391" t="s">
        <v>614</v>
      </c>
      <c r="F168" s="393">
        <v>10.8322</v>
      </c>
      <c r="G168" s="393">
        <f t="shared" si="4"/>
        <v>11427.971</v>
      </c>
      <c r="H168" s="424"/>
    </row>
    <row r="169" spans="1:8" ht="21.75" x14ac:dyDescent="0.6">
      <c r="A169" s="374"/>
      <c r="B169" s="388" t="s">
        <v>973</v>
      </c>
      <c r="C169" s="397"/>
      <c r="D169" s="390">
        <v>662</v>
      </c>
      <c r="E169" s="391" t="s">
        <v>614</v>
      </c>
      <c r="F169" s="393">
        <v>15.8178</v>
      </c>
      <c r="G169" s="393">
        <f t="shared" si="4"/>
        <v>10471.383599999999</v>
      </c>
      <c r="H169" s="424"/>
    </row>
    <row r="170" spans="1:8" ht="21.75" x14ac:dyDescent="0.6">
      <c r="A170" s="374"/>
      <c r="B170" s="388" t="s">
        <v>974</v>
      </c>
      <c r="C170" s="397"/>
      <c r="D170" s="390">
        <v>3378</v>
      </c>
      <c r="E170" s="391" t="s">
        <v>614</v>
      </c>
      <c r="F170" s="393">
        <v>5.3710000000000004</v>
      </c>
      <c r="G170" s="393">
        <f t="shared" si="4"/>
        <v>18143.238000000001</v>
      </c>
      <c r="H170" s="424"/>
    </row>
    <row r="171" spans="1:8" ht="21.75" x14ac:dyDescent="0.6">
      <c r="A171" s="374"/>
      <c r="B171" s="388" t="s">
        <v>975</v>
      </c>
      <c r="C171" s="397"/>
      <c r="D171" s="390">
        <v>495</v>
      </c>
      <c r="E171" s="391" t="s">
        <v>614</v>
      </c>
      <c r="F171" s="393">
        <v>5.3710000000000004</v>
      </c>
      <c r="G171" s="393">
        <f t="shared" si="4"/>
        <v>2658.6450000000004</v>
      </c>
      <c r="H171" s="424"/>
    </row>
    <row r="172" spans="1:8" ht="21.75" x14ac:dyDescent="0.6">
      <c r="A172" s="374"/>
      <c r="B172" s="388" t="s">
        <v>976</v>
      </c>
      <c r="C172" s="397"/>
      <c r="D172" s="390">
        <v>97</v>
      </c>
      <c r="E172" s="391" t="s">
        <v>614</v>
      </c>
      <c r="F172" s="393">
        <v>5.3874000000000004</v>
      </c>
      <c r="G172" s="393">
        <f t="shared" si="4"/>
        <v>522.57780000000002</v>
      </c>
      <c r="H172" s="424"/>
    </row>
    <row r="173" spans="1:8" ht="21.75" x14ac:dyDescent="0.6">
      <c r="A173" s="374"/>
      <c r="B173" s="388" t="s">
        <v>977</v>
      </c>
      <c r="C173" s="397"/>
      <c r="D173" s="390">
        <v>91</v>
      </c>
      <c r="E173" s="391" t="s">
        <v>614</v>
      </c>
      <c r="F173" s="393">
        <v>13.038</v>
      </c>
      <c r="G173" s="393">
        <f t="shared" si="4"/>
        <v>1186.4580000000001</v>
      </c>
      <c r="H173" s="424"/>
    </row>
    <row r="174" spans="1:8" ht="21.75" x14ac:dyDescent="0.6">
      <c r="A174" s="374"/>
      <c r="B174" s="388" t="s">
        <v>978</v>
      </c>
      <c r="C174" s="397"/>
      <c r="D174" s="390">
        <v>51</v>
      </c>
      <c r="E174" s="391" t="s">
        <v>614</v>
      </c>
      <c r="F174" s="393">
        <v>5.3710000000000004</v>
      </c>
      <c r="G174" s="393">
        <f t="shared" si="4"/>
        <v>273.92100000000005</v>
      </c>
      <c r="H174" s="424"/>
    </row>
    <row r="175" spans="1:8" ht="21.75" x14ac:dyDescent="0.6">
      <c r="A175" s="374"/>
      <c r="B175" s="388" t="s">
        <v>979</v>
      </c>
      <c r="C175" s="397"/>
      <c r="D175" s="390">
        <v>6</v>
      </c>
      <c r="E175" s="391" t="s">
        <v>614</v>
      </c>
      <c r="F175" s="393">
        <v>13.620200000000001</v>
      </c>
      <c r="G175" s="393">
        <f t="shared" si="4"/>
        <v>81.72120000000001</v>
      </c>
      <c r="H175" s="424"/>
    </row>
    <row r="176" spans="1:8" ht="14.25" customHeight="1" x14ac:dyDescent="0.6">
      <c r="A176" s="374"/>
      <c r="B176" s="388" t="s">
        <v>980</v>
      </c>
      <c r="C176" s="397"/>
      <c r="D176" s="390">
        <v>6</v>
      </c>
      <c r="E176" s="391" t="s">
        <v>614</v>
      </c>
      <c r="F176" s="393">
        <v>3.5259999999999998</v>
      </c>
      <c r="G176" s="393">
        <f t="shared" si="4"/>
        <v>21.155999999999999</v>
      </c>
      <c r="H176" s="424"/>
    </row>
    <row r="177" spans="1:8" ht="21.75" x14ac:dyDescent="0.6">
      <c r="A177" s="374"/>
      <c r="B177" s="388" t="s">
        <v>981</v>
      </c>
      <c r="C177" s="397"/>
      <c r="D177" s="390">
        <v>4264</v>
      </c>
      <c r="E177" s="391" t="s">
        <v>614</v>
      </c>
      <c r="F177" s="393">
        <v>1.6974</v>
      </c>
      <c r="G177" s="393">
        <f t="shared" si="4"/>
        <v>7237.7136</v>
      </c>
      <c r="H177" s="424"/>
    </row>
    <row r="178" spans="1:8" ht="21.75" x14ac:dyDescent="0.6">
      <c r="A178" s="374"/>
      <c r="B178" s="388" t="s">
        <v>982</v>
      </c>
      <c r="C178" s="397"/>
      <c r="D178" s="390">
        <v>97</v>
      </c>
      <c r="E178" s="391" t="s">
        <v>614</v>
      </c>
      <c r="F178" s="393">
        <v>3.5259999999999998</v>
      </c>
      <c r="G178" s="393">
        <f t="shared" si="4"/>
        <v>342.02199999999999</v>
      </c>
      <c r="H178" s="424"/>
    </row>
    <row r="179" spans="1:8" ht="21.75" x14ac:dyDescent="0.6">
      <c r="A179" s="374"/>
      <c r="B179" s="388" t="s">
        <v>983</v>
      </c>
      <c r="C179" s="397"/>
      <c r="D179" s="390">
        <v>4</v>
      </c>
      <c r="E179" s="391" t="s">
        <v>614</v>
      </c>
      <c r="F179" s="393">
        <v>19.899999999999999</v>
      </c>
      <c r="G179" s="393">
        <f t="shared" si="4"/>
        <v>79.599999999999994</v>
      </c>
      <c r="H179" s="424"/>
    </row>
    <row r="180" spans="1:8" ht="21.75" x14ac:dyDescent="0.6">
      <c r="A180" s="374"/>
      <c r="B180" s="388" t="s">
        <v>984</v>
      </c>
      <c r="C180" s="397"/>
      <c r="D180" s="390">
        <v>90</v>
      </c>
      <c r="E180" s="391" t="s">
        <v>614</v>
      </c>
      <c r="F180" s="393">
        <v>24.99</v>
      </c>
      <c r="G180" s="393">
        <f t="shared" si="4"/>
        <v>2249.1</v>
      </c>
      <c r="H180" s="424"/>
    </row>
    <row r="181" spans="1:8" ht="21.75" x14ac:dyDescent="0.6">
      <c r="A181" s="374"/>
      <c r="B181" s="388" t="s">
        <v>985</v>
      </c>
      <c r="C181" s="397"/>
      <c r="D181" s="390">
        <v>90</v>
      </c>
      <c r="E181" s="391" t="s">
        <v>614</v>
      </c>
      <c r="F181" s="393">
        <v>15.4078</v>
      </c>
      <c r="G181" s="393">
        <f t="shared" si="4"/>
        <v>1386.702</v>
      </c>
      <c r="H181" s="424"/>
    </row>
    <row r="182" spans="1:8" ht="21.75" x14ac:dyDescent="0.6">
      <c r="A182" s="374"/>
      <c r="B182" s="388" t="s">
        <v>986</v>
      </c>
      <c r="C182" s="397"/>
      <c r="D182" s="390">
        <v>90</v>
      </c>
      <c r="E182" s="391" t="s">
        <v>614</v>
      </c>
      <c r="F182" s="393">
        <v>15.0634</v>
      </c>
      <c r="G182" s="393">
        <f t="shared" si="4"/>
        <v>1355.7059999999999</v>
      </c>
      <c r="H182" s="424"/>
    </row>
    <row r="183" spans="1:8" ht="21.75" x14ac:dyDescent="0.6">
      <c r="A183" s="374"/>
      <c r="B183" s="388" t="s">
        <v>987</v>
      </c>
      <c r="C183" s="397"/>
      <c r="D183" s="390">
        <v>92</v>
      </c>
      <c r="E183" s="391" t="s">
        <v>614</v>
      </c>
      <c r="F183" s="393">
        <v>70.979200000000006</v>
      </c>
      <c r="G183" s="393">
        <f t="shared" si="4"/>
        <v>6530.0864000000001</v>
      </c>
      <c r="H183" s="424"/>
    </row>
    <row r="184" spans="1:8" ht="21.75" x14ac:dyDescent="0.6">
      <c r="A184" s="374"/>
      <c r="B184" s="388" t="s">
        <v>988</v>
      </c>
      <c r="C184" s="397"/>
      <c r="D184" s="390">
        <v>59</v>
      </c>
      <c r="E184" s="391" t="s">
        <v>614</v>
      </c>
      <c r="F184" s="393">
        <v>49.9</v>
      </c>
      <c r="G184" s="393">
        <f t="shared" si="4"/>
        <v>2944.1</v>
      </c>
      <c r="H184" s="424"/>
    </row>
    <row r="185" spans="1:8" ht="21.75" x14ac:dyDescent="0.6">
      <c r="A185" s="374"/>
      <c r="B185" s="388" t="s">
        <v>989</v>
      </c>
      <c r="C185" s="397"/>
      <c r="D185" s="390">
        <v>155</v>
      </c>
      <c r="E185" s="391" t="s">
        <v>614</v>
      </c>
      <c r="F185" s="393">
        <v>38.892600000000002</v>
      </c>
      <c r="G185" s="393">
        <f t="shared" si="4"/>
        <v>6028.3530000000001</v>
      </c>
      <c r="H185" s="424"/>
    </row>
    <row r="186" spans="1:8" ht="21.75" x14ac:dyDescent="0.6">
      <c r="A186" s="374"/>
      <c r="B186" s="388" t="s">
        <v>990</v>
      </c>
      <c r="C186" s="397"/>
      <c r="D186" s="390">
        <v>1</v>
      </c>
      <c r="E186" s="391" t="s">
        <v>614</v>
      </c>
      <c r="F186" s="393">
        <v>46.9</v>
      </c>
      <c r="G186" s="393">
        <f t="shared" si="4"/>
        <v>46.9</v>
      </c>
      <c r="H186" s="424"/>
    </row>
    <row r="187" spans="1:8" ht="21.75" x14ac:dyDescent="0.6">
      <c r="A187" s="374"/>
      <c r="B187" s="429" t="s">
        <v>991</v>
      </c>
      <c r="C187" s="430"/>
      <c r="D187" s="430"/>
      <c r="E187" s="430"/>
      <c r="F187" s="430"/>
      <c r="G187" s="431">
        <f>SUM(G188:G190)</f>
        <v>4300.1466</v>
      </c>
      <c r="H187" s="424"/>
    </row>
    <row r="188" spans="1:8" ht="21.75" x14ac:dyDescent="0.6">
      <c r="A188" s="374"/>
      <c r="B188" s="388" t="s">
        <v>992</v>
      </c>
      <c r="C188" s="397"/>
      <c r="D188" s="390">
        <v>50</v>
      </c>
      <c r="E188" s="391" t="s">
        <v>614</v>
      </c>
      <c r="F188" s="393">
        <f>11.644+5.1332</f>
        <v>16.777200000000001</v>
      </c>
      <c r="G188" s="393">
        <f>F188*D188</f>
        <v>838.86</v>
      </c>
      <c r="H188" s="424"/>
    </row>
    <row r="189" spans="1:8" ht="21.75" x14ac:dyDescent="0.6">
      <c r="A189" s="374"/>
      <c r="B189" s="388" t="s">
        <v>993</v>
      </c>
      <c r="C189" s="397"/>
      <c r="D189" s="390">
        <v>4</v>
      </c>
      <c r="E189" s="391" t="s">
        <v>614</v>
      </c>
      <c r="F189" s="392">
        <v>20.9</v>
      </c>
      <c r="G189" s="393">
        <f t="shared" ref="G189:G190" si="5">F189*D189</f>
        <v>83.6</v>
      </c>
      <c r="H189" s="424"/>
    </row>
    <row r="190" spans="1:8" ht="21.75" x14ac:dyDescent="0.6">
      <c r="A190" s="374"/>
      <c r="B190" s="388" t="s">
        <v>994</v>
      </c>
      <c r="C190" s="397"/>
      <c r="D190" s="390">
        <v>173</v>
      </c>
      <c r="E190" s="434" t="s">
        <v>614</v>
      </c>
      <c r="F190" s="392">
        <v>19.5242</v>
      </c>
      <c r="G190" s="393">
        <f t="shared" si="5"/>
        <v>3377.6866</v>
      </c>
      <c r="H190" s="424"/>
    </row>
    <row r="191" spans="1:8" ht="21.75" x14ac:dyDescent="0.6">
      <c r="A191" s="374"/>
      <c r="B191" s="429" t="s">
        <v>995</v>
      </c>
      <c r="C191" s="430"/>
      <c r="D191" s="430"/>
      <c r="E191" s="430"/>
      <c r="F191" s="430"/>
      <c r="G191" s="431">
        <f>SUM(G192:G196)</f>
        <v>21051.619200000001</v>
      </c>
      <c r="H191" s="424"/>
    </row>
    <row r="192" spans="1:8" ht="21.75" x14ac:dyDescent="0.6">
      <c r="A192" s="374"/>
      <c r="B192" s="388" t="s">
        <v>996</v>
      </c>
      <c r="C192" s="397"/>
      <c r="D192" s="390">
        <v>92</v>
      </c>
      <c r="E192" s="391" t="s">
        <v>614</v>
      </c>
      <c r="F192" s="393">
        <v>8.5526</v>
      </c>
      <c r="G192" s="393">
        <f>F192*D192</f>
        <v>786.83920000000001</v>
      </c>
      <c r="H192" s="424"/>
    </row>
    <row r="193" spans="1:8" ht="21.75" x14ac:dyDescent="0.6">
      <c r="A193" s="374"/>
      <c r="B193" s="388" t="s">
        <v>997</v>
      </c>
      <c r="C193" s="397"/>
      <c r="D193" s="390">
        <v>3</v>
      </c>
      <c r="E193" s="391" t="s">
        <v>614</v>
      </c>
      <c r="F193" s="393">
        <v>103.36</v>
      </c>
      <c r="G193" s="393">
        <f>F193*D193</f>
        <v>310.08</v>
      </c>
      <c r="H193" s="424"/>
    </row>
    <row r="194" spans="1:8" ht="21.75" x14ac:dyDescent="0.6">
      <c r="A194" s="374"/>
      <c r="B194" s="388" t="s">
        <v>998</v>
      </c>
      <c r="C194" s="397"/>
      <c r="D194" s="390">
        <v>92</v>
      </c>
      <c r="E194" s="391" t="s">
        <v>614</v>
      </c>
      <c r="F194" s="393">
        <v>199.9</v>
      </c>
      <c r="G194" s="393">
        <f>F194*D194</f>
        <v>18390.8</v>
      </c>
      <c r="H194" s="424"/>
    </row>
    <row r="195" spans="1:8" ht="21.75" x14ac:dyDescent="0.6">
      <c r="A195" s="374"/>
      <c r="B195" s="388" t="s">
        <v>999</v>
      </c>
      <c r="C195" s="397"/>
      <c r="D195" s="390">
        <v>16</v>
      </c>
      <c r="E195" s="391" t="s">
        <v>614</v>
      </c>
      <c r="F195" s="393">
        <v>44.9</v>
      </c>
      <c r="G195" s="393">
        <f>F195*D195</f>
        <v>718.4</v>
      </c>
      <c r="H195" s="424"/>
    </row>
    <row r="196" spans="1:8" ht="21.75" x14ac:dyDescent="0.6">
      <c r="A196" s="374"/>
      <c r="B196" s="435" t="s">
        <v>1000</v>
      </c>
      <c r="C196" s="436"/>
      <c r="D196" s="437">
        <v>95</v>
      </c>
      <c r="E196" s="438" t="s">
        <v>614</v>
      </c>
      <c r="F196" s="439">
        <v>8.9</v>
      </c>
      <c r="G196" s="439">
        <f>F196*D196</f>
        <v>845.5</v>
      </c>
      <c r="H196" s="424"/>
    </row>
    <row r="197" spans="1:8" ht="15.75" thickBot="1" x14ac:dyDescent="0.3">
      <c r="A197" s="440"/>
      <c r="B197" s="441"/>
      <c r="C197" s="441"/>
      <c r="D197" s="442"/>
      <c r="E197" s="441"/>
      <c r="F197" s="409"/>
      <c r="G197" s="409"/>
      <c r="H197" s="443"/>
    </row>
    <row r="198" spans="1:8" x14ac:dyDescent="0.25">
      <c r="A198" s="444"/>
      <c r="B198" s="444"/>
      <c r="C198" s="444"/>
      <c r="D198" s="444"/>
      <c r="E198" s="444"/>
      <c r="F198" s="445"/>
      <c r="G198" s="445"/>
      <c r="H198" s="444"/>
    </row>
    <row r="199" spans="1:8" x14ac:dyDescent="0.25">
      <c r="A199" s="444"/>
      <c r="B199" s="444"/>
      <c r="C199" s="444"/>
      <c r="D199" s="445" t="s">
        <v>1001</v>
      </c>
      <c r="E199" s="444"/>
      <c r="F199" s="445" t="s">
        <v>1002</v>
      </c>
      <c r="G199" s="445"/>
      <c r="H199" s="444"/>
    </row>
  </sheetData>
  <mergeCells count="2">
    <mergeCell ref="A4:H4"/>
    <mergeCell ref="A6:H6"/>
  </mergeCells>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D7C23-4075-4772-8CAF-3202A5779C15}">
  <dimension ref="A1:I19"/>
  <sheetViews>
    <sheetView topLeftCell="A4" workbookViewId="0">
      <selection activeCell="I16" sqref="I16"/>
    </sheetView>
  </sheetViews>
  <sheetFormatPr defaultRowHeight="15" x14ac:dyDescent="0.25"/>
  <cols>
    <col min="2" max="2" width="45.7109375" bestFit="1" customWidth="1"/>
    <col min="3" max="3" width="32.28515625" bestFit="1" customWidth="1"/>
    <col min="4" max="4" width="11.28515625" customWidth="1"/>
    <col min="6" max="6" width="13.5703125" bestFit="1" customWidth="1"/>
    <col min="7" max="7" width="13.28515625" bestFit="1" customWidth="1"/>
    <col min="8" max="8" width="27.140625" customWidth="1"/>
    <col min="9" max="9" width="12.140625" customWidth="1"/>
  </cols>
  <sheetData>
    <row r="1" spans="1:9" ht="21.75" x14ac:dyDescent="0.6">
      <c r="A1" s="351" t="s">
        <v>397</v>
      </c>
      <c r="B1" s="352" t="s">
        <v>435</v>
      </c>
      <c r="C1" s="353"/>
      <c r="D1" s="353"/>
      <c r="E1" s="353"/>
      <c r="F1" s="354"/>
      <c r="G1" s="354"/>
      <c r="H1" s="355"/>
    </row>
    <row r="2" spans="1:9" ht="39" x14ac:dyDescent="0.6">
      <c r="A2" s="356" t="s">
        <v>398</v>
      </c>
      <c r="B2" s="357" t="s">
        <v>436</v>
      </c>
      <c r="C2" s="358"/>
      <c r="D2" s="358"/>
      <c r="E2" s="358"/>
      <c r="F2" s="359"/>
      <c r="G2" s="359"/>
      <c r="H2" s="360"/>
    </row>
    <row r="3" spans="1:9" ht="21.75" x14ac:dyDescent="0.6">
      <c r="A3" s="356" t="s">
        <v>399</v>
      </c>
      <c r="B3" s="357" t="s">
        <v>437</v>
      </c>
      <c r="C3" s="358"/>
      <c r="D3" s="358"/>
      <c r="E3" s="358"/>
      <c r="F3" s="359"/>
      <c r="G3" s="359"/>
      <c r="H3" s="360"/>
    </row>
    <row r="4" spans="1:9" ht="28.5" x14ac:dyDescent="0.25">
      <c r="A4" s="851" t="s">
        <v>434</v>
      </c>
      <c r="B4" s="852"/>
      <c r="C4" s="852"/>
      <c r="D4" s="852"/>
      <c r="E4" s="852"/>
      <c r="F4" s="852"/>
      <c r="G4" s="852"/>
      <c r="H4" s="854"/>
    </row>
    <row r="5" spans="1:9" ht="28.5" x14ac:dyDescent="0.6">
      <c r="A5" s="362"/>
      <c r="B5" s="363"/>
      <c r="C5" s="363"/>
      <c r="D5" s="364"/>
      <c r="E5" s="364"/>
      <c r="F5" s="365"/>
      <c r="G5" s="365"/>
      <c r="H5" s="366"/>
    </row>
    <row r="6" spans="1:9" ht="28.5" x14ac:dyDescent="0.25">
      <c r="A6" s="855" t="s">
        <v>814</v>
      </c>
      <c r="B6" s="856"/>
      <c r="C6" s="856"/>
      <c r="D6" s="856"/>
      <c r="E6" s="856"/>
      <c r="F6" s="856"/>
      <c r="G6" s="856"/>
      <c r="H6" s="858"/>
    </row>
    <row r="7" spans="1:9" ht="21.75" x14ac:dyDescent="0.6">
      <c r="A7" s="367"/>
      <c r="B7" s="368"/>
      <c r="C7" s="368"/>
      <c r="D7" s="368"/>
      <c r="E7" s="368"/>
      <c r="F7" s="361"/>
      <c r="G7" s="361"/>
      <c r="H7" s="369"/>
    </row>
    <row r="8" spans="1:9" ht="21.75" x14ac:dyDescent="0.6">
      <c r="A8" s="370" t="s">
        <v>605</v>
      </c>
      <c r="B8" s="371"/>
      <c r="C8" s="371"/>
      <c r="D8" s="371"/>
      <c r="E8" s="371"/>
      <c r="F8" s="372"/>
      <c r="G8" s="372"/>
      <c r="H8" s="373"/>
    </row>
    <row r="9" spans="1:9" ht="22.5" thickBot="1" x14ac:dyDescent="0.65">
      <c r="A9" s="374"/>
      <c r="B9" s="419"/>
      <c r="C9" s="419"/>
      <c r="D9" s="375"/>
      <c r="E9" s="375"/>
      <c r="F9" s="376"/>
      <c r="G9" s="376"/>
      <c r="H9" s="369"/>
    </row>
    <row r="10" spans="1:9" ht="21.75" x14ac:dyDescent="0.6">
      <c r="A10" s="374"/>
      <c r="B10" s="377" t="s">
        <v>606</v>
      </c>
      <c r="C10" s="378"/>
      <c r="D10" s="379" t="s">
        <v>440</v>
      </c>
      <c r="E10" s="380" t="s">
        <v>2</v>
      </c>
      <c r="F10" s="381" t="s">
        <v>607</v>
      </c>
      <c r="G10" s="381" t="s">
        <v>608</v>
      </c>
      <c r="H10" s="424"/>
    </row>
    <row r="11" spans="1:9" ht="21.75" x14ac:dyDescent="0.6">
      <c r="A11" s="374"/>
      <c r="B11" s="429" t="s">
        <v>995</v>
      </c>
      <c r="C11" s="430"/>
      <c r="D11" s="430"/>
      <c r="E11" s="430"/>
      <c r="F11" s="430"/>
      <c r="G11" s="431">
        <f>SUM(G12:G16)</f>
        <v>35810.739200000004</v>
      </c>
      <c r="H11" s="424"/>
    </row>
    <row r="12" spans="1:9" ht="21.75" x14ac:dyDescent="0.6">
      <c r="A12" s="374"/>
      <c r="B12" s="388" t="s">
        <v>996</v>
      </c>
      <c r="C12" s="397"/>
      <c r="D12" s="390">
        <v>92</v>
      </c>
      <c r="E12" s="391" t="s">
        <v>614</v>
      </c>
      <c r="F12" s="393">
        <v>8.5526</v>
      </c>
      <c r="G12" s="393">
        <f t="shared" ref="G12:G15" si="0">F12*D12</f>
        <v>786.83920000000001</v>
      </c>
      <c r="H12" s="424"/>
    </row>
    <row r="13" spans="1:9" ht="21.75" x14ac:dyDescent="0.6">
      <c r="A13" s="374"/>
      <c r="B13" s="388" t="s">
        <v>998</v>
      </c>
      <c r="C13" s="397"/>
      <c r="D13" s="390">
        <v>92</v>
      </c>
      <c r="E13" s="391" t="s">
        <v>614</v>
      </c>
      <c r="F13" s="393">
        <v>350</v>
      </c>
      <c r="G13" s="393">
        <f t="shared" si="0"/>
        <v>32200</v>
      </c>
      <c r="H13" s="424"/>
    </row>
    <row r="14" spans="1:9" ht="21.75" x14ac:dyDescent="0.6">
      <c r="A14" s="374"/>
      <c r="B14" s="388" t="s">
        <v>999</v>
      </c>
      <c r="C14" s="397"/>
      <c r="D14" s="390">
        <v>16</v>
      </c>
      <c r="E14" s="391" t="s">
        <v>614</v>
      </c>
      <c r="F14" s="393">
        <v>44.9</v>
      </c>
      <c r="G14" s="393">
        <f t="shared" si="0"/>
        <v>718.4</v>
      </c>
      <c r="H14" s="424"/>
    </row>
    <row r="15" spans="1:9" ht="21.75" x14ac:dyDescent="0.6">
      <c r="A15" s="374"/>
      <c r="B15" s="435" t="s">
        <v>1000</v>
      </c>
      <c r="C15" s="436"/>
      <c r="D15" s="437">
        <v>95</v>
      </c>
      <c r="E15" s="438" t="s">
        <v>614</v>
      </c>
      <c r="F15" s="439">
        <v>8.9</v>
      </c>
      <c r="G15" s="439">
        <f t="shared" si="0"/>
        <v>845.5</v>
      </c>
      <c r="H15" s="424"/>
    </row>
    <row r="16" spans="1:9" ht="21.75" x14ac:dyDescent="0.6">
      <c r="A16" s="374"/>
      <c r="B16" s="429" t="s">
        <v>1003</v>
      </c>
      <c r="C16" s="430"/>
      <c r="D16" s="430"/>
      <c r="E16" s="430"/>
      <c r="F16" s="430"/>
      <c r="G16" s="431">
        <f>SUM(G17)</f>
        <v>1260</v>
      </c>
      <c r="H16" s="424"/>
      <c r="I16" s="57"/>
    </row>
    <row r="17" spans="1:8" ht="16.5" thickBot="1" x14ac:dyDescent="0.3">
      <c r="A17" s="440"/>
      <c r="B17" s="435" t="s">
        <v>997</v>
      </c>
      <c r="C17" s="436"/>
      <c r="D17" s="437">
        <v>6</v>
      </c>
      <c r="E17" s="438" t="s">
        <v>614</v>
      </c>
      <c r="F17" s="439">
        <v>210</v>
      </c>
      <c r="G17" s="439">
        <f>F17*D17</f>
        <v>1260</v>
      </c>
      <c r="H17" s="443"/>
    </row>
    <row r="18" spans="1:8" x14ac:dyDescent="0.25">
      <c r="A18" s="444"/>
      <c r="B18" s="444"/>
      <c r="C18" s="444"/>
      <c r="D18" s="444"/>
      <c r="E18" s="444"/>
      <c r="F18" s="445"/>
      <c r="G18" s="445"/>
      <c r="H18" s="444"/>
    </row>
    <row r="19" spans="1:8" x14ac:dyDescent="0.25">
      <c r="A19" s="444"/>
      <c r="B19" s="444"/>
      <c r="C19" s="444"/>
      <c r="D19" s="445"/>
      <c r="E19" s="444"/>
      <c r="F19" s="445"/>
      <c r="G19" s="445"/>
      <c r="H19" s="444"/>
    </row>
  </sheetData>
  <mergeCells count="2">
    <mergeCell ref="A4:H4"/>
    <mergeCell ref="A6:H6"/>
  </mergeCells>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0A3BB-FA2B-41DC-BECD-6F9D726F9790}">
  <dimension ref="A1:H37"/>
  <sheetViews>
    <sheetView topLeftCell="A7" workbookViewId="0">
      <selection activeCell="B19" sqref="B19"/>
    </sheetView>
  </sheetViews>
  <sheetFormatPr defaultRowHeight="15" x14ac:dyDescent="0.25"/>
  <cols>
    <col min="2" max="2" width="45.7109375" bestFit="1" customWidth="1"/>
    <col min="3" max="3" width="32.28515625" bestFit="1" customWidth="1"/>
    <col min="4" max="4" width="11.28515625" customWidth="1"/>
    <col min="6" max="6" width="13.5703125" bestFit="1" customWidth="1"/>
    <col min="7" max="7" width="13.28515625" bestFit="1" customWidth="1"/>
    <col min="8" max="8" width="27.140625" customWidth="1"/>
  </cols>
  <sheetData>
    <row r="1" spans="1:8" ht="21.75" x14ac:dyDescent="0.6">
      <c r="A1" s="351" t="s">
        <v>397</v>
      </c>
      <c r="B1" s="352" t="s">
        <v>435</v>
      </c>
      <c r="C1" s="353"/>
      <c r="D1" s="353"/>
      <c r="E1" s="353"/>
      <c r="F1" s="354"/>
      <c r="G1" s="354"/>
      <c r="H1" s="355"/>
    </row>
    <row r="2" spans="1:8" ht="39" x14ac:dyDescent="0.6">
      <c r="A2" s="356" t="s">
        <v>398</v>
      </c>
      <c r="B2" s="357" t="s">
        <v>436</v>
      </c>
      <c r="C2" s="358"/>
      <c r="D2" s="358"/>
      <c r="E2" s="358"/>
      <c r="F2" s="359"/>
      <c r="G2" s="359"/>
      <c r="H2" s="360"/>
    </row>
    <row r="3" spans="1:8" ht="21.75" x14ac:dyDescent="0.6">
      <c r="A3" s="356" t="s">
        <v>399</v>
      </c>
      <c r="B3" s="357" t="s">
        <v>437</v>
      </c>
      <c r="C3" s="358"/>
      <c r="D3" s="358"/>
      <c r="E3" s="358"/>
      <c r="F3" s="359"/>
      <c r="G3" s="359"/>
      <c r="H3" s="360"/>
    </row>
    <row r="4" spans="1:8" ht="28.5" x14ac:dyDescent="0.25">
      <c r="A4" s="851" t="s">
        <v>434</v>
      </c>
      <c r="B4" s="852"/>
      <c r="C4" s="852"/>
      <c r="D4" s="852"/>
      <c r="E4" s="852"/>
      <c r="F4" s="852"/>
      <c r="G4" s="852"/>
      <c r="H4" s="854"/>
    </row>
    <row r="5" spans="1:8" ht="28.5" x14ac:dyDescent="0.6">
      <c r="A5" s="362"/>
      <c r="B5" s="363"/>
      <c r="C5" s="363"/>
      <c r="D5" s="364"/>
      <c r="E5" s="364"/>
      <c r="F5" s="365"/>
      <c r="G5" s="365"/>
      <c r="H5" s="366"/>
    </row>
    <row r="6" spans="1:8" ht="28.5" x14ac:dyDescent="0.25">
      <c r="A6" s="855" t="s">
        <v>1004</v>
      </c>
      <c r="B6" s="856"/>
      <c r="C6" s="856"/>
      <c r="D6" s="856"/>
      <c r="E6" s="856"/>
      <c r="F6" s="856"/>
      <c r="G6" s="856"/>
      <c r="H6" s="858"/>
    </row>
    <row r="7" spans="1:8" ht="21.75" x14ac:dyDescent="0.6">
      <c r="A7" s="367"/>
      <c r="B7" s="368"/>
      <c r="C7" s="368"/>
      <c r="D7" s="368"/>
      <c r="E7" s="368"/>
      <c r="F7" s="361"/>
      <c r="G7" s="361"/>
      <c r="H7" s="369"/>
    </row>
    <row r="8" spans="1:8" ht="21.75" x14ac:dyDescent="0.6">
      <c r="A8" s="370" t="s">
        <v>605</v>
      </c>
      <c r="B8" s="371"/>
      <c r="C8" s="371"/>
      <c r="D8" s="371"/>
      <c r="E8" s="371"/>
      <c r="F8" s="372"/>
      <c r="G8" s="372"/>
      <c r="H8" s="373"/>
    </row>
    <row r="9" spans="1:8" ht="22.5" thickBot="1" x14ac:dyDescent="0.65">
      <c r="A9" s="374"/>
      <c r="B9" s="419"/>
      <c r="C9" s="419"/>
      <c r="D9" s="375"/>
      <c r="E9" s="375"/>
      <c r="F9" s="376"/>
      <c r="G9" s="376"/>
      <c r="H9" s="369"/>
    </row>
    <row r="10" spans="1:8" ht="21.75" x14ac:dyDescent="0.6">
      <c r="A10" s="374"/>
      <c r="B10" s="377" t="s">
        <v>606</v>
      </c>
      <c r="C10" s="378"/>
      <c r="D10" s="379" t="s">
        <v>440</v>
      </c>
      <c r="E10" s="380" t="s">
        <v>2</v>
      </c>
      <c r="F10" s="381" t="s">
        <v>607</v>
      </c>
      <c r="G10" s="381" t="s">
        <v>608</v>
      </c>
      <c r="H10" s="424"/>
    </row>
    <row r="11" spans="1:8" ht="21.75" x14ac:dyDescent="0.6">
      <c r="A11" s="374"/>
      <c r="B11" s="425" t="s">
        <v>1005</v>
      </c>
      <c r="C11" s="426"/>
      <c r="D11" s="426"/>
      <c r="E11" s="426"/>
      <c r="F11" s="426"/>
      <c r="G11" s="427">
        <f>SUM(G12:G34)</f>
        <v>39250.331800000007</v>
      </c>
      <c r="H11" s="424"/>
    </row>
    <row r="12" spans="1:8" ht="21.75" x14ac:dyDescent="0.6">
      <c r="A12" s="374"/>
      <c r="B12" s="388" t="s">
        <v>847</v>
      </c>
      <c r="C12" s="397"/>
      <c r="D12" s="390">
        <v>12525</v>
      </c>
      <c r="E12" s="391" t="s">
        <v>46</v>
      </c>
      <c r="F12" s="393">
        <f>[13]ELÉTRICA!F43</f>
        <v>1.1779999999999999</v>
      </c>
      <c r="G12" s="393">
        <f t="shared" ref="G12:G26" si="0">F12*D12</f>
        <v>14754.449999999999</v>
      </c>
      <c r="H12" s="424"/>
    </row>
    <row r="13" spans="1:8" ht="21.75" x14ac:dyDescent="0.6">
      <c r="A13" s="374"/>
      <c r="B13" s="388" t="s">
        <v>848</v>
      </c>
      <c r="C13" s="397"/>
      <c r="D13" s="390">
        <v>300</v>
      </c>
      <c r="E13" s="391" t="s">
        <v>46</v>
      </c>
      <c r="F13" s="393">
        <f>[13]ELÉTRICA!F44</f>
        <v>1.18</v>
      </c>
      <c r="G13" s="393">
        <f t="shared" si="0"/>
        <v>354</v>
      </c>
      <c r="H13" s="424"/>
    </row>
    <row r="14" spans="1:8" ht="21.75" x14ac:dyDescent="0.6">
      <c r="A14" s="374"/>
      <c r="B14" s="388" t="s">
        <v>846</v>
      </c>
      <c r="C14" s="397"/>
      <c r="D14" s="390">
        <v>1350</v>
      </c>
      <c r="E14" s="391" t="s">
        <v>46</v>
      </c>
      <c r="F14" s="393">
        <f>[13]ELÉTRICA!F42</f>
        <v>2.1145999999999998</v>
      </c>
      <c r="G14" s="393">
        <f t="shared" si="0"/>
        <v>2854.7099999999996</v>
      </c>
      <c r="H14" s="424"/>
    </row>
    <row r="15" spans="1:8" ht="21.75" x14ac:dyDescent="0.6">
      <c r="A15" s="374"/>
      <c r="B15" s="388" t="s">
        <v>1006</v>
      </c>
      <c r="C15" s="397"/>
      <c r="D15" s="390">
        <v>80</v>
      </c>
      <c r="E15" s="391" t="s">
        <v>46</v>
      </c>
      <c r="F15" s="393">
        <v>8.4600000000000009</v>
      </c>
      <c r="G15" s="393">
        <f t="shared" si="0"/>
        <v>676.80000000000007</v>
      </c>
      <c r="H15" s="424"/>
    </row>
    <row r="16" spans="1:8" ht="21.75" x14ac:dyDescent="0.6">
      <c r="A16" s="374"/>
      <c r="B16" s="388" t="s">
        <v>1007</v>
      </c>
      <c r="C16" s="397"/>
      <c r="D16" s="390">
        <v>440</v>
      </c>
      <c r="E16" s="391" t="s">
        <v>46</v>
      </c>
      <c r="F16" s="393">
        <f>[13]ELÉTRICA!F66</f>
        <v>2.4239999999999999</v>
      </c>
      <c r="G16" s="393">
        <f t="shared" si="0"/>
        <v>1066.56</v>
      </c>
      <c r="H16" s="424"/>
    </row>
    <row r="17" spans="1:8" ht="21.75" x14ac:dyDescent="0.6">
      <c r="A17" s="374"/>
      <c r="B17" s="388" t="s">
        <v>1008</v>
      </c>
      <c r="C17" s="397"/>
      <c r="D17" s="390">
        <v>4</v>
      </c>
      <c r="E17" s="391" t="s">
        <v>614</v>
      </c>
      <c r="F17" s="393">
        <f>[13]ELÉTRICA!F52</f>
        <v>23.427399999999999</v>
      </c>
      <c r="G17" s="393">
        <f t="shared" si="0"/>
        <v>93.709599999999995</v>
      </c>
      <c r="H17" s="424"/>
    </row>
    <row r="18" spans="1:8" ht="21.75" x14ac:dyDescent="0.6">
      <c r="A18" s="374"/>
      <c r="B18" s="388" t="s">
        <v>860</v>
      </c>
      <c r="C18" s="397"/>
      <c r="D18" s="390">
        <v>2</v>
      </c>
      <c r="E18" s="391" t="s">
        <v>614</v>
      </c>
      <c r="F18" s="393">
        <f>[13]ELÉTRICA!F56</f>
        <v>5.6497999999999999</v>
      </c>
      <c r="G18" s="393">
        <f t="shared" si="0"/>
        <v>11.2996</v>
      </c>
      <c r="H18" s="424"/>
    </row>
    <row r="19" spans="1:8" ht="21.75" x14ac:dyDescent="0.6">
      <c r="A19" s="374"/>
      <c r="B19" s="388" t="s">
        <v>864</v>
      </c>
      <c r="C19" s="397"/>
      <c r="D19" s="390">
        <v>6</v>
      </c>
      <c r="E19" s="391" t="s">
        <v>614</v>
      </c>
      <c r="F19" s="393">
        <f>[13]ELÉTRICA!F60</f>
        <v>2.5501999999999998</v>
      </c>
      <c r="G19" s="393">
        <f t="shared" si="0"/>
        <v>15.301199999999998</v>
      </c>
      <c r="H19" s="424"/>
    </row>
    <row r="20" spans="1:8" ht="21.75" x14ac:dyDescent="0.6">
      <c r="A20" s="374"/>
      <c r="B20" s="388" t="s">
        <v>1009</v>
      </c>
      <c r="C20" s="397"/>
      <c r="D20" s="390">
        <v>2</v>
      </c>
      <c r="E20" s="391" t="s">
        <v>614</v>
      </c>
      <c r="F20" s="393">
        <v>15.03</v>
      </c>
      <c r="G20" s="393">
        <f t="shared" si="0"/>
        <v>30.06</v>
      </c>
      <c r="H20" s="424"/>
    </row>
    <row r="21" spans="1:8" ht="21.75" x14ac:dyDescent="0.6">
      <c r="A21" s="374"/>
      <c r="B21" s="388" t="s">
        <v>1010</v>
      </c>
      <c r="C21" s="397"/>
      <c r="D21" s="390">
        <v>542</v>
      </c>
      <c r="E21" s="391" t="s">
        <v>614</v>
      </c>
      <c r="F21" s="393">
        <f>[13]ELÉTRICA!F76</f>
        <v>1.1561999999999999</v>
      </c>
      <c r="G21" s="393">
        <f t="shared" si="0"/>
        <v>626.66039999999998</v>
      </c>
      <c r="H21" s="424"/>
    </row>
    <row r="22" spans="1:8" ht="21.75" x14ac:dyDescent="0.6">
      <c r="A22" s="374"/>
      <c r="B22" s="388" t="s">
        <v>881</v>
      </c>
      <c r="C22" s="397"/>
      <c r="D22" s="390">
        <v>332</v>
      </c>
      <c r="E22" s="391" t="s">
        <v>614</v>
      </c>
      <c r="F22" s="393">
        <v>2.8126000000000002</v>
      </c>
      <c r="G22" s="393">
        <f t="shared" si="0"/>
        <v>933.78320000000008</v>
      </c>
      <c r="H22" s="424"/>
    </row>
    <row r="23" spans="1:8" ht="21.75" x14ac:dyDescent="0.6">
      <c r="A23" s="374"/>
      <c r="B23" s="388" t="s">
        <v>1011</v>
      </c>
      <c r="C23" s="397"/>
      <c r="D23" s="390">
        <v>3</v>
      </c>
      <c r="E23" s="391" t="s">
        <v>614</v>
      </c>
      <c r="F23" s="393">
        <v>789</v>
      </c>
      <c r="G23" s="393">
        <f t="shared" si="0"/>
        <v>2367</v>
      </c>
      <c r="H23" s="424"/>
    </row>
    <row r="24" spans="1:8" ht="21.75" x14ac:dyDescent="0.6">
      <c r="A24" s="374"/>
      <c r="B24" s="388" t="s">
        <v>824</v>
      </c>
      <c r="C24" s="397"/>
      <c r="D24" s="390">
        <v>2</v>
      </c>
      <c r="E24" s="391" t="s">
        <v>614</v>
      </c>
      <c r="F24" s="393">
        <f>[13]ELÉTRICA!F20</f>
        <v>8.0277999999999992</v>
      </c>
      <c r="G24" s="393">
        <f t="shared" si="0"/>
        <v>16.055599999999998</v>
      </c>
      <c r="H24" s="424"/>
    </row>
    <row r="25" spans="1:8" ht="21.75" x14ac:dyDescent="0.6">
      <c r="A25" s="374"/>
      <c r="B25" s="388" t="s">
        <v>823</v>
      </c>
      <c r="C25" s="397"/>
      <c r="D25" s="390">
        <v>2</v>
      </c>
      <c r="E25" s="391" t="s">
        <v>614</v>
      </c>
      <c r="F25" s="393">
        <f>[13]ELÉTRICA!F19</f>
        <v>38.302199999999999</v>
      </c>
      <c r="G25" s="393">
        <f t="shared" si="0"/>
        <v>76.604399999999998</v>
      </c>
      <c r="H25" s="424"/>
    </row>
    <row r="26" spans="1:8" ht="21.75" x14ac:dyDescent="0.6">
      <c r="A26" s="374"/>
      <c r="B26" s="388" t="s">
        <v>1012</v>
      </c>
      <c r="C26" s="397"/>
      <c r="D26" s="390">
        <v>25</v>
      </c>
      <c r="E26" s="391" t="s">
        <v>614</v>
      </c>
      <c r="F26" s="393">
        <v>15.89</v>
      </c>
      <c r="G26" s="393">
        <f t="shared" si="0"/>
        <v>397.25</v>
      </c>
      <c r="H26" s="424"/>
    </row>
    <row r="27" spans="1:8" ht="21.75" x14ac:dyDescent="0.6">
      <c r="A27" s="374"/>
      <c r="B27" s="388" t="s">
        <v>1013</v>
      </c>
      <c r="C27" s="397"/>
      <c r="D27" s="390">
        <v>295</v>
      </c>
      <c r="E27" s="391" t="s">
        <v>614</v>
      </c>
      <c r="F27" s="393">
        <v>8.74</v>
      </c>
      <c r="G27" s="393">
        <f>F27*D27</f>
        <v>2578.3000000000002</v>
      </c>
      <c r="H27" s="424"/>
    </row>
    <row r="28" spans="1:8" ht="21.75" x14ac:dyDescent="0.6">
      <c r="A28" s="374"/>
      <c r="B28" s="388" t="s">
        <v>1014</v>
      </c>
      <c r="C28" s="397"/>
      <c r="D28" s="390">
        <v>395</v>
      </c>
      <c r="E28" s="391" t="s">
        <v>614</v>
      </c>
      <c r="F28" s="393">
        <v>10.17</v>
      </c>
      <c r="G28" s="393">
        <f t="shared" ref="G28:G34" si="1">F28*D28</f>
        <v>4017.15</v>
      </c>
      <c r="H28" s="424"/>
    </row>
    <row r="29" spans="1:8" ht="21.75" x14ac:dyDescent="0.6">
      <c r="A29" s="374"/>
      <c r="B29" s="388" t="s">
        <v>1015</v>
      </c>
      <c r="C29" s="397"/>
      <c r="D29" s="390">
        <v>390</v>
      </c>
      <c r="E29" s="391" t="s">
        <v>614</v>
      </c>
      <c r="F29" s="393">
        <f>[13]ELÉTRICA!F170</f>
        <v>5.3710000000000004</v>
      </c>
      <c r="G29" s="393">
        <f t="shared" si="1"/>
        <v>2094.69</v>
      </c>
      <c r="H29" s="424"/>
    </row>
    <row r="30" spans="1:8" ht="21.75" x14ac:dyDescent="0.6">
      <c r="A30" s="374"/>
      <c r="B30" s="388" t="s">
        <v>1016</v>
      </c>
      <c r="C30" s="397"/>
      <c r="D30" s="390">
        <v>67</v>
      </c>
      <c r="E30" s="391" t="s">
        <v>614</v>
      </c>
      <c r="F30" s="393">
        <f>[13]ELÉTRICA!F174</f>
        <v>5.3710000000000004</v>
      </c>
      <c r="G30" s="393">
        <f t="shared" si="1"/>
        <v>359.85700000000003</v>
      </c>
      <c r="H30" s="424"/>
    </row>
    <row r="31" spans="1:8" ht="21.75" x14ac:dyDescent="0.6">
      <c r="A31" s="374"/>
      <c r="B31" s="388" t="s">
        <v>1017</v>
      </c>
      <c r="C31" s="397"/>
      <c r="D31" s="390">
        <v>295</v>
      </c>
      <c r="E31" s="391" t="s">
        <v>614</v>
      </c>
      <c r="F31" s="393">
        <f>[13]ELÉTRICA!F173</f>
        <v>13.038</v>
      </c>
      <c r="G31" s="393">
        <f t="shared" si="1"/>
        <v>3846.21</v>
      </c>
      <c r="H31" s="424"/>
    </row>
    <row r="32" spans="1:8" ht="21.75" x14ac:dyDescent="0.6">
      <c r="A32" s="374"/>
      <c r="B32" s="388" t="s">
        <v>1018</v>
      </c>
      <c r="C32" s="397"/>
      <c r="D32" s="390">
        <v>15</v>
      </c>
      <c r="E32" s="391" t="s">
        <v>53</v>
      </c>
      <c r="F32" s="393">
        <f>[13]ELÉTRICA!F173</f>
        <v>13.038</v>
      </c>
      <c r="G32" s="393">
        <f t="shared" si="1"/>
        <v>195.57</v>
      </c>
      <c r="H32" s="424"/>
    </row>
    <row r="33" spans="1:8" ht="21.75" x14ac:dyDescent="0.6">
      <c r="A33" s="374"/>
      <c r="B33" s="388" t="s">
        <v>1019</v>
      </c>
      <c r="C33" s="397"/>
      <c r="D33" s="390">
        <v>462</v>
      </c>
      <c r="E33" s="391" t="s">
        <v>53</v>
      </c>
      <c r="F33" s="393">
        <f>[13]ELÉTRICA!F177</f>
        <v>1.6974</v>
      </c>
      <c r="G33" s="393">
        <f t="shared" si="1"/>
        <v>784.19880000000001</v>
      </c>
      <c r="H33" s="424"/>
    </row>
    <row r="34" spans="1:8" ht="22.5" thickBot="1" x14ac:dyDescent="0.65">
      <c r="A34" s="374"/>
      <c r="B34" s="414" t="s">
        <v>1020</v>
      </c>
      <c r="C34" s="405"/>
      <c r="D34" s="413">
        <v>312</v>
      </c>
      <c r="E34" s="406" t="s">
        <v>53</v>
      </c>
      <c r="F34" s="407">
        <f>[13]ELÉTRICA!F178</f>
        <v>3.5259999999999998</v>
      </c>
      <c r="G34" s="407">
        <f t="shared" si="1"/>
        <v>1100.1119999999999</v>
      </c>
      <c r="H34" s="424"/>
    </row>
    <row r="35" spans="1:8" ht="15.75" thickBot="1" x14ac:dyDescent="0.3">
      <c r="A35" s="440"/>
      <c r="B35" s="441"/>
      <c r="C35" s="441"/>
      <c r="D35" s="442"/>
      <c r="E35" s="441"/>
      <c r="F35" s="409"/>
      <c r="G35" s="409"/>
      <c r="H35" s="443"/>
    </row>
    <row r="36" spans="1:8" x14ac:dyDescent="0.25">
      <c r="A36" s="444"/>
      <c r="B36" s="444"/>
      <c r="C36" s="444"/>
      <c r="D36" s="444"/>
      <c r="E36" s="444"/>
      <c r="F36" s="445"/>
      <c r="G36" s="445"/>
      <c r="H36" s="444"/>
    </row>
    <row r="37" spans="1:8" x14ac:dyDescent="0.25">
      <c r="A37" s="444"/>
      <c r="B37" s="444"/>
      <c r="C37" s="444"/>
      <c r="D37" s="445"/>
      <c r="E37" s="444"/>
      <c r="F37" s="445"/>
      <c r="G37" s="445"/>
      <c r="H37" s="444"/>
    </row>
  </sheetData>
  <mergeCells count="2">
    <mergeCell ref="A4:H4"/>
    <mergeCell ref="A6:H6"/>
  </mergeCells>
  <pageMargins left="0.511811024" right="0.511811024" top="0.78740157499999996" bottom="0.78740157499999996" header="0.31496062000000002" footer="0.31496062000000002"/>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7785-F30D-41BA-83EF-B36777FF7244}">
  <dimension ref="A1:H31"/>
  <sheetViews>
    <sheetView zoomScale="85" zoomScaleNormal="85" workbookViewId="0">
      <selection activeCell="H19" sqref="H19"/>
    </sheetView>
  </sheetViews>
  <sheetFormatPr defaultRowHeight="15" x14ac:dyDescent="0.25"/>
  <cols>
    <col min="2" max="2" width="45.7109375" style="54" bestFit="1" customWidth="1"/>
    <col min="3" max="3" width="32.28515625" bestFit="1" customWidth="1"/>
    <col min="4" max="4" width="11.28515625" customWidth="1"/>
    <col min="6" max="6" width="13.5703125" bestFit="1" customWidth="1"/>
    <col min="7" max="7" width="13.28515625" bestFit="1" customWidth="1"/>
    <col min="8" max="8" width="27.140625" customWidth="1"/>
  </cols>
  <sheetData>
    <row r="1" spans="1:8" ht="21.75" x14ac:dyDescent="0.6">
      <c r="A1" s="351" t="s">
        <v>397</v>
      </c>
      <c r="B1" s="352" t="s">
        <v>435</v>
      </c>
      <c r="C1" s="353"/>
      <c r="D1" s="353"/>
      <c r="E1" s="353"/>
      <c r="F1" s="354"/>
      <c r="G1" s="354"/>
      <c r="H1" s="355"/>
    </row>
    <row r="2" spans="1:8" ht="39" x14ac:dyDescent="0.6">
      <c r="A2" s="356" t="s">
        <v>398</v>
      </c>
      <c r="B2" s="357" t="s">
        <v>436</v>
      </c>
      <c r="C2" s="358"/>
      <c r="D2" s="358"/>
      <c r="E2" s="358"/>
      <c r="F2" s="359"/>
      <c r="G2" s="359"/>
      <c r="H2" s="360"/>
    </row>
    <row r="3" spans="1:8" ht="21.75" x14ac:dyDescent="0.6">
      <c r="A3" s="356" t="s">
        <v>399</v>
      </c>
      <c r="B3" s="357" t="s">
        <v>437</v>
      </c>
      <c r="C3" s="358"/>
      <c r="D3" s="358"/>
      <c r="E3" s="358"/>
      <c r="F3" s="359"/>
      <c r="G3" s="359"/>
      <c r="H3" s="360"/>
    </row>
    <row r="4" spans="1:8" ht="28.5" x14ac:dyDescent="0.25">
      <c r="A4" s="851" t="s">
        <v>434</v>
      </c>
      <c r="B4" s="852"/>
      <c r="C4" s="852"/>
      <c r="D4" s="852"/>
      <c r="E4" s="852"/>
      <c r="F4" s="852"/>
      <c r="G4" s="852"/>
      <c r="H4" s="854"/>
    </row>
    <row r="5" spans="1:8" ht="28.5" x14ac:dyDescent="0.6">
      <c r="A5" s="362"/>
      <c r="B5" s="363"/>
      <c r="C5" s="363"/>
      <c r="D5" s="364"/>
      <c r="E5" s="364"/>
      <c r="F5" s="365"/>
      <c r="G5" s="365"/>
      <c r="H5" s="366"/>
    </row>
    <row r="6" spans="1:8" ht="28.5" x14ac:dyDescent="0.25">
      <c r="A6" s="855" t="s">
        <v>1026</v>
      </c>
      <c r="B6" s="856"/>
      <c r="C6" s="856"/>
      <c r="D6" s="856"/>
      <c r="E6" s="856"/>
      <c r="F6" s="856"/>
      <c r="G6" s="856"/>
      <c r="H6" s="858"/>
    </row>
    <row r="7" spans="1:8" ht="21.75" x14ac:dyDescent="0.6">
      <c r="A7" s="367"/>
      <c r="B7" s="368"/>
      <c r="C7" s="368"/>
      <c r="D7" s="368"/>
      <c r="E7" s="368"/>
      <c r="F7" s="361"/>
      <c r="G7" s="361"/>
      <c r="H7" s="369"/>
    </row>
    <row r="8" spans="1:8" ht="21.75" x14ac:dyDescent="0.6">
      <c r="A8" s="370" t="s">
        <v>605</v>
      </c>
      <c r="B8" s="371"/>
      <c r="C8" s="371"/>
      <c r="D8" s="371"/>
      <c r="E8" s="371"/>
      <c r="F8" s="372"/>
      <c r="G8" s="372"/>
      <c r="H8" s="373"/>
    </row>
    <row r="9" spans="1:8" ht="22.5" thickBot="1" x14ac:dyDescent="0.65">
      <c r="A9" s="374"/>
      <c r="B9" s="446"/>
      <c r="C9" s="419"/>
      <c r="D9" s="375"/>
      <c r="E9" s="375"/>
      <c r="F9" s="376"/>
      <c r="G9" s="376"/>
      <c r="H9" s="369"/>
    </row>
    <row r="10" spans="1:8" ht="21.75" x14ac:dyDescent="0.6">
      <c r="A10" s="374"/>
      <c r="B10" s="377" t="s">
        <v>606</v>
      </c>
      <c r="C10" s="378"/>
      <c r="D10" s="379" t="s">
        <v>440</v>
      </c>
      <c r="E10" s="380" t="s">
        <v>2</v>
      </c>
      <c r="F10" s="381" t="s">
        <v>607</v>
      </c>
      <c r="G10" s="381" t="s">
        <v>608</v>
      </c>
      <c r="H10" s="424"/>
    </row>
    <row r="11" spans="1:8" ht="21.75" x14ac:dyDescent="0.6">
      <c r="A11" s="374"/>
      <c r="B11" s="447" t="s">
        <v>1027</v>
      </c>
      <c r="C11" s="426"/>
      <c r="D11" s="426"/>
      <c r="E11" s="426"/>
      <c r="F11" s="426"/>
      <c r="G11" s="427">
        <f>SUM(G12:G26)</f>
        <v>21247.652233333334</v>
      </c>
      <c r="H11" s="424"/>
    </row>
    <row r="12" spans="1:8" ht="31.5" x14ac:dyDescent="0.6">
      <c r="A12" s="374"/>
      <c r="B12" s="448" t="s">
        <v>1028</v>
      </c>
      <c r="C12" s="397" t="s">
        <v>1029</v>
      </c>
      <c r="D12" s="390">
        <v>977.86</v>
      </c>
      <c r="E12" s="391" t="s">
        <v>46</v>
      </c>
      <c r="F12" s="393">
        <f>29/3</f>
        <v>9.6666666666666661</v>
      </c>
      <c r="G12" s="393">
        <f t="shared" ref="G12:G26" si="0">F12*D12</f>
        <v>9452.6466666666656</v>
      </c>
      <c r="H12" s="424"/>
    </row>
    <row r="13" spans="1:8" ht="31.5" x14ac:dyDescent="0.6">
      <c r="A13" s="374"/>
      <c r="B13" s="448" t="s">
        <v>1030</v>
      </c>
      <c r="C13" s="397" t="s">
        <v>1031</v>
      </c>
      <c r="D13" s="390">
        <v>104.26</v>
      </c>
      <c r="E13" s="391" t="s">
        <v>46</v>
      </c>
      <c r="F13" s="393">
        <f>35.87/3</f>
        <v>11.956666666666665</v>
      </c>
      <c r="G13" s="393">
        <f t="shared" si="0"/>
        <v>1246.6020666666666</v>
      </c>
      <c r="H13" s="424"/>
    </row>
    <row r="14" spans="1:8" ht="21.75" x14ac:dyDescent="0.6">
      <c r="A14" s="374"/>
      <c r="B14" s="448" t="s">
        <v>1032</v>
      </c>
      <c r="C14" s="397" t="s">
        <v>1033</v>
      </c>
      <c r="D14" s="390">
        <v>66.03</v>
      </c>
      <c r="E14" s="391" t="s">
        <v>46</v>
      </c>
      <c r="F14" s="393">
        <v>13.89</v>
      </c>
      <c r="G14" s="393">
        <f t="shared" si="0"/>
        <v>917.1567</v>
      </c>
      <c r="H14" s="424"/>
    </row>
    <row r="15" spans="1:8" ht="31.5" x14ac:dyDescent="0.6">
      <c r="A15" s="374"/>
      <c r="B15" s="448" t="s">
        <v>1034</v>
      </c>
      <c r="C15" s="397" t="s">
        <v>1035</v>
      </c>
      <c r="D15" s="390">
        <v>228.9</v>
      </c>
      <c r="E15" s="391" t="s">
        <v>46</v>
      </c>
      <c r="F15" s="393">
        <v>8.4600000000000009</v>
      </c>
      <c r="G15" s="393">
        <f t="shared" si="0"/>
        <v>1936.4940000000001</v>
      </c>
      <c r="H15" s="424"/>
    </row>
    <row r="16" spans="1:8" ht="21.75" x14ac:dyDescent="0.6">
      <c r="A16" s="374"/>
      <c r="B16" s="447" t="s">
        <v>1027</v>
      </c>
      <c r="C16" s="426"/>
      <c r="D16" s="426"/>
      <c r="E16" s="426"/>
      <c r="F16" s="426"/>
      <c r="G16" s="427">
        <f>SUM(G17:G31)</f>
        <v>3847.3764000000001</v>
      </c>
      <c r="H16" s="424"/>
    </row>
    <row r="17" spans="1:8" ht="31.5" x14ac:dyDescent="0.6">
      <c r="A17" s="374"/>
      <c r="B17" s="448" t="s">
        <v>1036</v>
      </c>
      <c r="C17" s="397" t="s">
        <v>1037</v>
      </c>
      <c r="D17" s="390">
        <v>6</v>
      </c>
      <c r="E17" s="391" t="s">
        <v>46</v>
      </c>
      <c r="F17" s="393">
        <v>397.86</v>
      </c>
      <c r="G17" s="393">
        <f t="shared" si="0"/>
        <v>2387.16</v>
      </c>
      <c r="H17" s="424"/>
    </row>
    <row r="18" spans="1:8" ht="31.5" x14ac:dyDescent="0.6">
      <c r="A18" s="374"/>
      <c r="B18" s="448" t="s">
        <v>1038</v>
      </c>
      <c r="C18" s="397" t="s">
        <v>1039</v>
      </c>
      <c r="D18" s="390">
        <v>189</v>
      </c>
      <c r="E18" s="391" t="s">
        <v>614</v>
      </c>
      <c r="F18" s="393">
        <v>2.58</v>
      </c>
      <c r="G18" s="393">
        <f t="shared" si="0"/>
        <v>487.62</v>
      </c>
      <c r="H18" s="424"/>
    </row>
    <row r="19" spans="1:8" ht="31.5" x14ac:dyDescent="0.6">
      <c r="A19" s="374"/>
      <c r="B19" s="448" t="s">
        <v>1040</v>
      </c>
      <c r="C19" s="397" t="s">
        <v>1041</v>
      </c>
      <c r="D19" s="390">
        <v>12</v>
      </c>
      <c r="E19" s="391" t="s">
        <v>614</v>
      </c>
      <c r="F19" s="393">
        <v>3.92</v>
      </c>
      <c r="G19" s="393">
        <f t="shared" si="0"/>
        <v>47.04</v>
      </c>
      <c r="H19" s="424"/>
    </row>
    <row r="20" spans="1:8" ht="31.5" x14ac:dyDescent="0.6">
      <c r="A20" s="374"/>
      <c r="B20" s="448" t="s">
        <v>1042</v>
      </c>
      <c r="C20" s="397" t="s">
        <v>1043</v>
      </c>
      <c r="D20" s="390">
        <v>12</v>
      </c>
      <c r="E20" s="391" t="s">
        <v>614</v>
      </c>
      <c r="F20" s="393">
        <v>14.1</v>
      </c>
      <c r="G20" s="393">
        <f t="shared" si="0"/>
        <v>169.2</v>
      </c>
      <c r="H20" s="424"/>
    </row>
    <row r="21" spans="1:8" ht="31.5" x14ac:dyDescent="0.6">
      <c r="A21" s="374"/>
      <c r="B21" s="448" t="s">
        <v>1044</v>
      </c>
      <c r="C21" s="397" t="s">
        <v>1045</v>
      </c>
      <c r="D21" s="390">
        <v>14</v>
      </c>
      <c r="E21" s="391" t="s">
        <v>614</v>
      </c>
      <c r="F21" s="393">
        <v>15.03</v>
      </c>
      <c r="G21" s="393">
        <f t="shared" si="0"/>
        <v>210.42</v>
      </c>
      <c r="H21" s="424"/>
    </row>
    <row r="22" spans="1:8" ht="31.5" x14ac:dyDescent="0.6">
      <c r="A22" s="374"/>
      <c r="B22" s="448" t="s">
        <v>1046</v>
      </c>
      <c r="C22" s="397" t="s">
        <v>1047</v>
      </c>
      <c r="D22" s="390">
        <v>324</v>
      </c>
      <c r="E22" s="391" t="s">
        <v>614</v>
      </c>
      <c r="F22" s="393">
        <v>0.64</v>
      </c>
      <c r="G22" s="393">
        <f t="shared" si="0"/>
        <v>207.36</v>
      </c>
      <c r="H22" s="424"/>
    </row>
    <row r="23" spans="1:8" ht="31.5" x14ac:dyDescent="0.6">
      <c r="A23" s="374"/>
      <c r="B23" s="448" t="s">
        <v>1048</v>
      </c>
      <c r="C23" s="397" t="s">
        <v>1049</v>
      </c>
      <c r="D23" s="390">
        <v>14</v>
      </c>
      <c r="E23" s="391" t="s">
        <v>614</v>
      </c>
      <c r="F23" s="393">
        <v>2.8126000000000002</v>
      </c>
      <c r="G23" s="393">
        <f t="shared" si="0"/>
        <v>39.376400000000004</v>
      </c>
      <c r="H23" s="424"/>
    </row>
    <row r="24" spans="1:8" ht="31.5" x14ac:dyDescent="0.6">
      <c r="A24" s="374"/>
      <c r="B24" s="448" t="s">
        <v>1050</v>
      </c>
      <c r="C24" s="397" t="s">
        <v>1051</v>
      </c>
      <c r="D24" s="390">
        <v>202</v>
      </c>
      <c r="E24" s="391" t="s">
        <v>614</v>
      </c>
      <c r="F24" s="393">
        <v>1.44</v>
      </c>
      <c r="G24" s="393">
        <f t="shared" si="0"/>
        <v>290.88</v>
      </c>
      <c r="H24" s="424"/>
    </row>
    <row r="25" spans="1:8" ht="31.5" x14ac:dyDescent="0.6">
      <c r="A25" s="374"/>
      <c r="B25" s="448" t="s">
        <v>1052</v>
      </c>
      <c r="C25" s="397" t="s">
        <v>1053</v>
      </c>
      <c r="D25" s="390">
        <v>8</v>
      </c>
      <c r="E25" s="391" t="s">
        <v>614</v>
      </c>
      <c r="F25" s="393">
        <v>0.22</v>
      </c>
      <c r="G25" s="393">
        <f t="shared" si="0"/>
        <v>1.76</v>
      </c>
      <c r="H25" s="424"/>
    </row>
    <row r="26" spans="1:8" ht="22.5" thickBot="1" x14ac:dyDescent="0.65">
      <c r="A26" s="374"/>
      <c r="B26" s="449" t="s">
        <v>1054</v>
      </c>
      <c r="C26" s="405" t="s">
        <v>1055</v>
      </c>
      <c r="D26" s="413">
        <v>8</v>
      </c>
      <c r="E26" s="406" t="s">
        <v>614</v>
      </c>
      <c r="F26" s="407">
        <v>0.82</v>
      </c>
      <c r="G26" s="407">
        <f t="shared" si="0"/>
        <v>6.56</v>
      </c>
      <c r="H26" s="424"/>
    </row>
    <row r="27" spans="1:8" ht="15.75" thickBot="1" x14ac:dyDescent="0.3">
      <c r="A27" s="440"/>
      <c r="B27" s="450"/>
      <c r="C27" s="441"/>
      <c r="D27" s="442"/>
      <c r="E27" s="441"/>
      <c r="F27" s="409"/>
      <c r="G27" s="409"/>
      <c r="H27" s="443"/>
    </row>
    <row r="28" spans="1:8" x14ac:dyDescent="0.25">
      <c r="A28" s="444"/>
      <c r="B28" s="451"/>
      <c r="C28" s="444"/>
      <c r="D28" s="444"/>
      <c r="E28" s="444"/>
      <c r="F28" s="445"/>
      <c r="G28" s="445"/>
      <c r="H28" s="444"/>
    </row>
    <row r="29" spans="1:8" x14ac:dyDescent="0.25">
      <c r="A29" s="444"/>
      <c r="B29" s="451"/>
      <c r="C29" s="444"/>
      <c r="D29" s="445"/>
      <c r="E29" s="444"/>
      <c r="F29" s="445"/>
      <c r="G29" s="445"/>
      <c r="H29" s="444"/>
    </row>
    <row r="30" spans="1:8" x14ac:dyDescent="0.25">
      <c r="B30" s="32"/>
    </row>
    <row r="31" spans="1:8" x14ac:dyDescent="0.25">
      <c r="B31" s="32"/>
    </row>
  </sheetData>
  <mergeCells count="2">
    <mergeCell ref="A4:H4"/>
    <mergeCell ref="A6:H6"/>
  </mergeCells>
  <pageMargins left="0.511811024" right="0.511811024" top="0.78740157499999996" bottom="0.78740157499999996" header="0.31496062000000002" footer="0.31496062000000002"/>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BC7D-CE7D-4775-B34C-47E79E9AD308}">
  <sheetPr>
    <pageSetUpPr fitToPage="1"/>
  </sheetPr>
  <dimension ref="A1:V49"/>
  <sheetViews>
    <sheetView topLeftCell="A10" zoomScale="91" zoomScaleNormal="91" zoomScaleSheetLayoutView="86" workbookViewId="0">
      <selection activeCell="I19" sqref="I19"/>
    </sheetView>
  </sheetViews>
  <sheetFormatPr defaultColWidth="8.85546875" defaultRowHeight="21.75" x14ac:dyDescent="0.6"/>
  <cols>
    <col min="1" max="1" width="18.140625" style="117" bestFit="1" customWidth="1"/>
    <col min="2" max="2" width="13.5703125" style="118" bestFit="1" customWidth="1"/>
    <col min="3" max="3" width="27" style="118" customWidth="1"/>
    <col min="4" max="4" width="15" style="118" customWidth="1"/>
    <col min="5" max="5" width="19.42578125" style="118" customWidth="1"/>
    <col min="6" max="6" width="24.7109375" style="118" bestFit="1" customWidth="1"/>
    <col min="7" max="8" width="16.140625" style="117" customWidth="1"/>
    <col min="9" max="10" width="14.5703125" style="117" customWidth="1"/>
    <col min="11" max="11" width="13.42578125" style="117" customWidth="1"/>
    <col min="12" max="13" width="16.7109375" style="117" customWidth="1"/>
    <col min="14" max="14" width="27.42578125" style="117" customWidth="1"/>
    <col min="15" max="15" width="25.7109375" style="117" customWidth="1"/>
    <col min="16" max="16" width="24.85546875" style="117" customWidth="1"/>
    <col min="17" max="17" width="25.28515625" style="117" customWidth="1"/>
    <col min="18" max="19" width="16.5703125" style="117" customWidth="1"/>
    <col min="20" max="20" width="24.85546875" style="119" bestFit="1" customWidth="1"/>
    <col min="21" max="21" width="18.140625" style="119" bestFit="1" customWidth="1"/>
    <col min="22" max="22" width="15.85546875" style="72" customWidth="1"/>
    <col min="23" max="16384" width="8.85546875" style="72"/>
  </cols>
  <sheetData>
    <row r="1" spans="1:21" ht="18" customHeight="1" x14ac:dyDescent="0.25">
      <c r="A1" s="65" t="s">
        <v>397</v>
      </c>
      <c r="B1" s="66" t="str">
        <f>[8]ARQUIVOS_BASE!B1</f>
        <v>WEST VILLAGE</v>
      </c>
      <c r="C1" s="67"/>
      <c r="D1" s="67"/>
      <c r="E1" s="67"/>
      <c r="F1" s="68"/>
      <c r="G1" s="69"/>
      <c r="H1" s="69"/>
      <c r="I1" s="69"/>
      <c r="J1" s="69"/>
      <c r="K1" s="69"/>
      <c r="L1" s="69"/>
      <c r="M1" s="69"/>
      <c r="N1" s="69"/>
      <c r="O1" s="69"/>
      <c r="P1" s="69"/>
      <c r="Q1" s="69"/>
      <c r="R1" s="69"/>
      <c r="S1" s="69"/>
      <c r="T1" s="70"/>
      <c r="U1" s="70"/>
    </row>
    <row r="2" spans="1:21" ht="18" customHeight="1" x14ac:dyDescent="0.25">
      <c r="A2" s="73" t="s">
        <v>398</v>
      </c>
      <c r="B2" s="74" t="str">
        <f>[8]ARQUIVOS_BASE!B2</f>
        <v>KIRCHNER</v>
      </c>
      <c r="C2" s="75"/>
      <c r="D2" s="75"/>
      <c r="E2" s="75"/>
      <c r="F2" s="76"/>
      <c r="G2" s="77"/>
      <c r="H2" s="77"/>
      <c r="I2" s="77"/>
      <c r="J2" s="77"/>
      <c r="K2" s="77"/>
      <c r="L2" s="77"/>
      <c r="M2" s="77"/>
      <c r="N2" s="77"/>
      <c r="O2" s="77"/>
      <c r="P2" s="77"/>
      <c r="Q2" s="77"/>
      <c r="R2" s="77"/>
      <c r="S2" s="77"/>
      <c r="T2" s="78"/>
      <c r="U2" s="78"/>
    </row>
    <row r="3" spans="1:21" ht="18" customHeight="1" x14ac:dyDescent="0.25">
      <c r="A3" s="73" t="s">
        <v>399</v>
      </c>
      <c r="B3" s="74">
        <f>[8]ARQUIVOS_BASE!B3</f>
        <v>0</v>
      </c>
      <c r="C3" s="75"/>
      <c r="D3" s="75"/>
      <c r="E3" s="75"/>
      <c r="F3" s="76"/>
      <c r="G3" s="77"/>
      <c r="H3" s="77"/>
      <c r="I3" s="77"/>
      <c r="J3" s="77"/>
      <c r="K3" s="77"/>
      <c r="L3" s="77"/>
      <c r="M3" s="77"/>
      <c r="N3" s="77"/>
      <c r="O3" s="77"/>
      <c r="P3" s="77"/>
      <c r="Q3" s="77"/>
      <c r="R3" s="77"/>
      <c r="S3" s="77"/>
      <c r="T3" s="78"/>
      <c r="U3" s="78"/>
    </row>
    <row r="4" spans="1:21" ht="25.15" customHeight="1" x14ac:dyDescent="0.25">
      <c r="A4" s="754" t="s">
        <v>400</v>
      </c>
      <c r="B4" s="755"/>
      <c r="C4" s="755"/>
      <c r="D4" s="755"/>
      <c r="E4" s="756"/>
      <c r="F4" s="756"/>
      <c r="G4" s="756"/>
      <c r="H4" s="756"/>
      <c r="I4" s="756"/>
      <c r="J4" s="756"/>
      <c r="K4" s="756"/>
      <c r="L4" s="756"/>
      <c r="M4" s="756"/>
      <c r="N4" s="756"/>
      <c r="O4" s="756"/>
      <c r="P4" s="756"/>
      <c r="Q4" s="756"/>
      <c r="R4" s="756"/>
      <c r="S4" s="756"/>
      <c r="T4" s="756"/>
      <c r="U4" s="756"/>
    </row>
    <row r="5" spans="1:21" ht="14.45" customHeight="1" x14ac:dyDescent="0.25">
      <c r="A5" s="80"/>
      <c r="B5" s="81"/>
      <c r="C5" s="81"/>
      <c r="D5" s="81"/>
      <c r="E5" s="81"/>
      <c r="F5" s="81"/>
      <c r="G5" s="82"/>
      <c r="H5" s="82"/>
      <c r="I5" s="82"/>
      <c r="J5" s="82"/>
      <c r="K5" s="82"/>
      <c r="L5" s="82"/>
      <c r="M5" s="82"/>
      <c r="N5" s="82"/>
      <c r="O5" s="82"/>
      <c r="P5" s="82"/>
      <c r="Q5" s="82"/>
      <c r="R5" s="82"/>
      <c r="S5" s="82"/>
      <c r="T5" s="83"/>
      <c r="U5" s="83"/>
    </row>
    <row r="6" spans="1:21" ht="16.899999999999999" customHeight="1" x14ac:dyDescent="0.25">
      <c r="A6" s="758" t="s">
        <v>1096</v>
      </c>
      <c r="B6" s="759"/>
      <c r="C6" s="759"/>
      <c r="D6" s="759"/>
      <c r="E6" s="760"/>
      <c r="F6" s="760"/>
      <c r="G6" s="760"/>
      <c r="H6" s="760"/>
      <c r="I6" s="760"/>
      <c r="J6" s="760"/>
      <c r="K6" s="760"/>
      <c r="L6" s="760"/>
      <c r="M6" s="760"/>
      <c r="N6" s="760"/>
      <c r="O6" s="760"/>
      <c r="P6" s="760"/>
      <c r="Q6" s="760"/>
      <c r="R6" s="760"/>
      <c r="S6" s="760"/>
      <c r="T6" s="760"/>
      <c r="U6" s="760"/>
    </row>
    <row r="7" spans="1:21" ht="14.45" customHeight="1" x14ac:dyDescent="0.25">
      <c r="A7" s="85"/>
      <c r="B7" s="86"/>
      <c r="C7" s="86"/>
      <c r="D7" s="86"/>
      <c r="E7" s="86"/>
      <c r="F7" s="87"/>
      <c r="G7" s="88"/>
      <c r="H7" s="88"/>
      <c r="I7" s="88"/>
      <c r="J7" s="88"/>
      <c r="K7" s="88"/>
      <c r="L7" s="88"/>
      <c r="M7" s="88"/>
      <c r="N7" s="88"/>
      <c r="O7" s="88"/>
      <c r="P7" s="88"/>
      <c r="Q7" s="88"/>
      <c r="R7" s="88"/>
      <c r="S7" s="88"/>
      <c r="T7" s="89"/>
      <c r="U7" s="89"/>
    </row>
    <row r="8" spans="1:21" x14ac:dyDescent="0.6">
      <c r="A8" s="91" t="s">
        <v>1097</v>
      </c>
      <c r="B8" s="92"/>
      <c r="C8" s="92"/>
      <c r="D8" s="92"/>
      <c r="E8" s="92"/>
      <c r="F8" s="92"/>
      <c r="G8" s="93"/>
      <c r="H8" s="93"/>
      <c r="I8" s="93"/>
      <c r="J8" s="93"/>
      <c r="K8" s="93"/>
      <c r="L8" s="93"/>
      <c r="M8" s="93"/>
      <c r="N8" s="93"/>
      <c r="O8" s="93"/>
      <c r="P8" s="93"/>
      <c r="Q8" s="93"/>
      <c r="R8" s="93"/>
      <c r="S8" s="93"/>
      <c r="T8" s="94"/>
      <c r="U8" s="94"/>
    </row>
    <row r="9" spans="1:21" ht="22.5" thickBot="1" x14ac:dyDescent="0.65">
      <c r="A9" s="246"/>
      <c r="B9" s="97"/>
      <c r="C9" s="97"/>
      <c r="D9" s="97"/>
      <c r="E9" s="97"/>
      <c r="F9" s="97"/>
      <c r="G9" s="98"/>
      <c r="H9" s="98"/>
      <c r="I9" s="98"/>
      <c r="J9" s="98"/>
      <c r="K9" s="98"/>
      <c r="L9" s="98"/>
      <c r="M9" s="98"/>
      <c r="N9" s="98"/>
      <c r="O9" s="98"/>
      <c r="P9" s="98"/>
      <c r="Q9" s="98"/>
      <c r="R9" s="98"/>
      <c r="S9" s="98"/>
      <c r="T9" s="99"/>
      <c r="U9" s="99"/>
    </row>
    <row r="10" spans="1:21" ht="43.5" customHeight="1" x14ac:dyDescent="0.6">
      <c r="A10" s="96"/>
      <c r="B10" s="100" t="s">
        <v>457</v>
      </c>
      <c r="C10" s="102" t="s">
        <v>1098</v>
      </c>
      <c r="D10" s="102" t="s">
        <v>1099</v>
      </c>
      <c r="E10" s="102" t="s">
        <v>1100</v>
      </c>
      <c r="F10" s="102" t="s">
        <v>1101</v>
      </c>
      <c r="G10" s="102" t="s">
        <v>1102</v>
      </c>
      <c r="H10" s="102" t="s">
        <v>1103</v>
      </c>
      <c r="I10" s="102" t="s">
        <v>1104</v>
      </c>
      <c r="J10" s="102" t="s">
        <v>1105</v>
      </c>
      <c r="K10" s="102" t="s">
        <v>487</v>
      </c>
      <c r="L10" s="102" t="s">
        <v>1106</v>
      </c>
      <c r="M10" s="102" t="s">
        <v>1107</v>
      </c>
      <c r="N10" s="102" t="s">
        <v>1108</v>
      </c>
      <c r="O10" s="102" t="s">
        <v>1109</v>
      </c>
      <c r="P10" s="102" t="s">
        <v>1110</v>
      </c>
      <c r="Q10" s="102" t="s">
        <v>1111</v>
      </c>
      <c r="R10" s="102" t="s">
        <v>1112</v>
      </c>
      <c r="S10" s="102" t="s">
        <v>1113</v>
      </c>
      <c r="T10" s="102" t="s">
        <v>1114</v>
      </c>
      <c r="U10" s="102" t="s">
        <v>1115</v>
      </c>
    </row>
    <row r="11" spans="1:21" x14ac:dyDescent="0.6">
      <c r="A11" s="457"/>
      <c r="B11" s="247" t="s">
        <v>548</v>
      </c>
      <c r="C11" s="248">
        <f>33.65+8.895+35.65+6.8+6.8+3.04+3.04+110.7+122</f>
        <v>330.57499999999999</v>
      </c>
      <c r="D11" s="248">
        <f>4.18+4.08+2.5+2.05</f>
        <v>12.809999999999999</v>
      </c>
      <c r="E11" s="248"/>
      <c r="F11" s="249">
        <f>(23.4-4.6-0.98-0.98-0.98-1.2-1.2)+(52.95-2.975-1.825)+(53.06-4.175)</f>
        <v>110.495</v>
      </c>
      <c r="G11" s="249">
        <f>((3.1-0.65)*45)+(58.27-45*0.65)+10.88</f>
        <v>150.15</v>
      </c>
      <c r="H11" s="249">
        <v>4</v>
      </c>
      <c r="I11" s="107">
        <f>O11+R11</f>
        <v>333.78</v>
      </c>
      <c r="J11" s="107"/>
      <c r="K11" s="186">
        <v>15.9</v>
      </c>
      <c r="L11" s="186">
        <v>2.0499999999999998</v>
      </c>
      <c r="M11" s="107">
        <v>7.19</v>
      </c>
      <c r="N11" s="108"/>
      <c r="O11" s="108">
        <f>14.3+14+13.14+12.5+14+13.75+12.75+12.75+12.75+12.5+12.5+14+17.1</f>
        <v>176.04</v>
      </c>
      <c r="P11" s="108"/>
      <c r="Q11" s="458">
        <v>0</v>
      </c>
      <c r="R11" s="108">
        <v>157.74</v>
      </c>
      <c r="S11" s="108"/>
      <c r="T11" s="108">
        <f>SUM(C11,D11,E11,K11,L11,P11)</f>
        <v>361.33499999999998</v>
      </c>
      <c r="U11" s="108"/>
    </row>
    <row r="12" spans="1:21" x14ac:dyDescent="0.6">
      <c r="A12" s="457"/>
      <c r="B12" s="111" t="s">
        <v>549</v>
      </c>
      <c r="C12" s="186"/>
      <c r="D12" s="186"/>
      <c r="E12" s="186"/>
      <c r="F12" s="186"/>
      <c r="G12" s="186"/>
      <c r="H12" s="186">
        <v>4</v>
      </c>
      <c r="I12" s="186">
        <v>780.83</v>
      </c>
      <c r="J12" s="186"/>
      <c r="K12" s="186">
        <v>15.75</v>
      </c>
      <c r="L12" s="186">
        <v>2.0499999999999998</v>
      </c>
      <c r="M12" s="186">
        <v>44.73</v>
      </c>
      <c r="N12" s="112"/>
      <c r="O12" s="112">
        <f>103.75+53.62+39.05+105.34+44.8+40.6</f>
        <v>387.16</v>
      </c>
      <c r="P12" s="112">
        <f>(F12)*I12</f>
        <v>0</v>
      </c>
      <c r="Q12" s="459">
        <v>0</v>
      </c>
      <c r="R12" s="112">
        <v>385.98</v>
      </c>
      <c r="S12" s="112"/>
      <c r="T12" s="112">
        <f>SUM(C12,D12,E12,K12,L12,P12)</f>
        <v>17.8</v>
      </c>
      <c r="U12" s="112"/>
    </row>
    <row r="13" spans="1:21" x14ac:dyDescent="0.6">
      <c r="A13" s="457"/>
      <c r="B13" s="111" t="s">
        <v>550</v>
      </c>
      <c r="C13" s="186"/>
      <c r="D13" s="186"/>
      <c r="E13" s="186"/>
      <c r="F13" s="186"/>
      <c r="G13" s="186"/>
      <c r="H13" s="186">
        <v>4</v>
      </c>
      <c r="I13" s="186">
        <f>I12</f>
        <v>780.83</v>
      </c>
      <c r="J13" s="186"/>
      <c r="K13" s="186">
        <v>15.75</v>
      </c>
      <c r="L13" s="186">
        <v>2.0499999999999998</v>
      </c>
      <c r="M13" s="186">
        <f>7.19+42.38+((1.4*6.8))</f>
        <v>59.09</v>
      </c>
      <c r="N13" s="112">
        <v>40.6</v>
      </c>
      <c r="O13" s="112">
        <v>346.56</v>
      </c>
      <c r="P13" s="112">
        <f>(F13)*I13</f>
        <v>0</v>
      </c>
      <c r="Q13" s="459">
        <v>0</v>
      </c>
      <c r="R13" s="112">
        <v>385.98</v>
      </c>
      <c r="S13" s="112"/>
      <c r="T13" s="112">
        <f>SUM(C13,D13,E13,K13,L13,P13)</f>
        <v>17.8</v>
      </c>
      <c r="U13" s="112"/>
    </row>
    <row r="14" spans="1:21" x14ac:dyDescent="0.6">
      <c r="A14" s="457"/>
      <c r="B14" s="111" t="s">
        <v>551</v>
      </c>
      <c r="C14" s="186"/>
      <c r="D14" s="186"/>
      <c r="E14" s="186"/>
      <c r="F14" s="186"/>
      <c r="G14" s="186"/>
      <c r="H14" s="186">
        <v>4</v>
      </c>
      <c r="I14" s="186">
        <f>320.85+18.5+14+12.5+12.5+12.75+12.75+12.75+12.75+16+28+16.8+14.3+14+13.45+12.5+12.5+13.45+14+40.8+14+12.5+12.5+12.75+12.75+12.75+12.75+14.5</f>
        <v>729.65000000000009</v>
      </c>
      <c r="J14" s="186"/>
      <c r="K14" s="186">
        <v>15.75</v>
      </c>
      <c r="L14" s="186">
        <v>2.0499999999999998</v>
      </c>
      <c r="M14" s="186">
        <f>7.19+42.38+(1.2*5)+((1.4*6.8))</f>
        <v>65.09</v>
      </c>
      <c r="N14" s="112">
        <f>40.6+18.5</f>
        <v>59.1</v>
      </c>
      <c r="O14" s="112"/>
      <c r="P14" s="112">
        <f>(F14)*I14</f>
        <v>0</v>
      </c>
      <c r="Q14" s="459">
        <v>0</v>
      </c>
      <c r="R14" s="112">
        <v>385.98</v>
      </c>
      <c r="S14" s="112"/>
      <c r="T14" s="112">
        <f>SUM(C14,D14,E14,K14,L14,P14)</f>
        <v>17.8</v>
      </c>
      <c r="U14" s="112"/>
    </row>
    <row r="15" spans="1:21" x14ac:dyDescent="0.6">
      <c r="A15" s="457"/>
      <c r="B15" s="114" t="s">
        <v>552</v>
      </c>
      <c r="C15" s="113">
        <f>50.15+48.5+50.15+112.65+3.21+43+3.25+3.76+3.05+2.2+3.05+3.05+10.2+16.7+35.85</f>
        <v>388.77000000000004</v>
      </c>
      <c r="D15" s="113"/>
      <c r="E15" s="113"/>
      <c r="F15" s="113">
        <f>(29.8-7.9)+27.75+(54.79-4.3-5.55)+(16.9-2.9-2)+12.9+(27.28-2-4.35)+(65.55-1.2-4.975-4.35-2.05-4.3-5.85)+(26.4-1.2-5.85-4)</f>
        <v>198.595</v>
      </c>
      <c r="G15" s="113">
        <f>(97.51-3.55-1.8-2-2.9-2-2.05)+(29.3-4)+(22.6-2.5-1.85-0.9)+(20.6-1.2)</f>
        <v>145.26000000000002</v>
      </c>
      <c r="H15" s="113">
        <f>5.8-1.8</f>
        <v>4</v>
      </c>
      <c r="I15" s="186"/>
      <c r="J15" s="186">
        <f>15.15+41.45</f>
        <v>56.6</v>
      </c>
      <c r="K15" s="186">
        <v>15.75</v>
      </c>
      <c r="L15" s="186">
        <v>2.0499999999999998</v>
      </c>
      <c r="M15" s="186"/>
      <c r="N15" s="112">
        <v>0</v>
      </c>
      <c r="O15" s="112">
        <f>(E15)*I15</f>
        <v>0</v>
      </c>
      <c r="P15" s="112">
        <f>23.8+31.3+134</f>
        <v>189.1</v>
      </c>
      <c r="Q15" s="459">
        <v>49.75</v>
      </c>
      <c r="R15" s="112">
        <v>59.65</v>
      </c>
      <c r="S15" s="112"/>
      <c r="T15" s="112">
        <f>SUM(C15,D15,J15,E15,K15,L15,P15,I15,R15,Q15)</f>
        <v>761.67000000000007</v>
      </c>
      <c r="U15" s="112"/>
    </row>
    <row r="16" spans="1:21" ht="36.6" customHeight="1" x14ac:dyDescent="0.6">
      <c r="A16" s="457"/>
      <c r="B16" s="114" t="s">
        <v>553</v>
      </c>
      <c r="C16" s="113">
        <f>(((3.78+3+2.9+3.06+5.65+14.55+3.23+1.95+15.7+9.35+6.05+8.8+10.6+4.6+2.15+3+3+7.4)*2)+25.05)*15</f>
        <v>3638.85</v>
      </c>
      <c r="D16" s="113">
        <f>(2.25+1.52+1.48+2.23+1.38+1.38)*15</f>
        <v>153.59999999999997</v>
      </c>
      <c r="E16" s="113">
        <f>((9.75+8+11.7+7.75+9.75+12.15)*2)*15</f>
        <v>1773</v>
      </c>
      <c r="F16" s="113">
        <f>(80.7+(251.27*2))*15</f>
        <v>8748.6</v>
      </c>
      <c r="G16" s="113"/>
      <c r="H16" s="113">
        <f>9.92+9.92+4.84+4.84+6.9+6.9</f>
        <v>43.32</v>
      </c>
      <c r="I16" s="186"/>
      <c r="J16" s="186"/>
      <c r="K16" s="186">
        <f>15.75*15</f>
        <v>236.25</v>
      </c>
      <c r="L16" s="186">
        <f>15*2.4</f>
        <v>36</v>
      </c>
      <c r="M16" s="186"/>
      <c r="N16" s="112">
        <v>0</v>
      </c>
      <c r="O16" s="112">
        <f>(E16)*I16</f>
        <v>0</v>
      </c>
      <c r="P16" s="112">
        <f>(F16)*I16</f>
        <v>0</v>
      </c>
      <c r="Q16" s="460"/>
      <c r="R16" s="112">
        <f>P22*I16</f>
        <v>0</v>
      </c>
      <c r="S16" s="112"/>
      <c r="T16" s="112">
        <f>SUM(D16,K16,L16,947.85)</f>
        <v>1373.7</v>
      </c>
      <c r="U16" s="112">
        <f>SUM(C16,E16-947.85)</f>
        <v>4464</v>
      </c>
    </row>
    <row r="17" spans="1:22" ht="31.5" x14ac:dyDescent="0.6">
      <c r="A17" s="457"/>
      <c r="B17" s="114" t="s">
        <v>554</v>
      </c>
      <c r="C17" s="113"/>
      <c r="D17" s="113">
        <f>6.3+6.2</f>
        <v>12.5</v>
      </c>
      <c r="E17" s="113"/>
      <c r="F17" s="113"/>
      <c r="G17" s="113"/>
      <c r="H17" s="113">
        <v>10.9</v>
      </c>
      <c r="I17" s="186"/>
      <c r="J17" s="186"/>
      <c r="K17" s="186">
        <v>15.75</v>
      </c>
      <c r="L17" s="186">
        <v>2.4</v>
      </c>
      <c r="M17" s="186"/>
      <c r="N17" s="112">
        <v>0</v>
      </c>
      <c r="O17" s="112">
        <v>0</v>
      </c>
      <c r="P17" s="112">
        <f>(F17)*I17</f>
        <v>0</v>
      </c>
      <c r="Q17" s="459">
        <v>0</v>
      </c>
      <c r="R17" s="112">
        <v>0</v>
      </c>
      <c r="S17" s="112">
        <f>406.77+7.84</f>
        <v>414.60999999999996</v>
      </c>
      <c r="T17" s="112">
        <f>SUM(C17,D17,E17,K17,L17,P17,I17)</f>
        <v>30.65</v>
      </c>
      <c r="U17" s="112"/>
    </row>
    <row r="18" spans="1:22" ht="22.5" thickBot="1" x14ac:dyDescent="0.65">
      <c r="A18" s="457"/>
      <c r="B18" s="187" t="s">
        <v>555</v>
      </c>
      <c r="C18" s="189"/>
      <c r="D18" s="189">
        <v>15.75</v>
      </c>
      <c r="E18" s="189"/>
      <c r="F18" s="189"/>
      <c r="G18" s="189"/>
      <c r="H18" s="189"/>
      <c r="I18" s="250"/>
      <c r="J18" s="250"/>
      <c r="K18" s="250">
        <v>15.75</v>
      </c>
      <c r="L18" s="250"/>
      <c r="M18" s="250"/>
      <c r="N18" s="204">
        <v>0</v>
      </c>
      <c r="O18" s="204">
        <v>0</v>
      </c>
      <c r="P18" s="204">
        <f>(F18)*I18</f>
        <v>0</v>
      </c>
      <c r="Q18" s="112">
        <v>0</v>
      </c>
      <c r="R18" s="112">
        <v>0</v>
      </c>
      <c r="S18" s="112"/>
      <c r="T18" s="204">
        <f>SUM(C18,D18,E18,K18,L18,P18,I18)</f>
        <v>31.5</v>
      </c>
      <c r="U18" s="204"/>
    </row>
    <row r="19" spans="1:22" x14ac:dyDescent="0.6">
      <c r="A19" s="96"/>
      <c r="B19" s="100" t="s">
        <v>226</v>
      </c>
      <c r="C19" s="102">
        <f t="shared" ref="C19:T19" si="0">SUM(C11:C18)</f>
        <v>4358.1949999999997</v>
      </c>
      <c r="D19" s="102">
        <f t="shared" si="0"/>
        <v>194.65999999999997</v>
      </c>
      <c r="E19" s="102">
        <f t="shared" si="0"/>
        <v>1773</v>
      </c>
      <c r="F19" s="102">
        <f t="shared" si="0"/>
        <v>9057.69</v>
      </c>
      <c r="G19" s="251">
        <f>SUM(G11:G18)</f>
        <v>295.41000000000003</v>
      </c>
      <c r="H19" s="251">
        <f>SUM(H11:H18)</f>
        <v>74.22</v>
      </c>
      <c r="I19" s="102">
        <f t="shared" si="0"/>
        <v>2625.09</v>
      </c>
      <c r="J19" s="102">
        <f t="shared" si="0"/>
        <v>56.6</v>
      </c>
      <c r="K19" s="102">
        <f t="shared" si="0"/>
        <v>346.65</v>
      </c>
      <c r="L19" s="102">
        <f t="shared" si="0"/>
        <v>48.65</v>
      </c>
      <c r="M19" s="102"/>
      <c r="N19" s="102">
        <f t="shared" si="0"/>
        <v>99.7</v>
      </c>
      <c r="O19" s="102">
        <f t="shared" si="0"/>
        <v>909.76</v>
      </c>
      <c r="P19" s="102">
        <f t="shared" si="0"/>
        <v>189.1</v>
      </c>
      <c r="Q19" s="102">
        <f t="shared" si="0"/>
        <v>49.75</v>
      </c>
      <c r="R19" s="102">
        <f t="shared" si="0"/>
        <v>1375.3300000000002</v>
      </c>
      <c r="S19" s="102"/>
      <c r="T19" s="102">
        <f t="shared" si="0"/>
        <v>2612.2550000000006</v>
      </c>
      <c r="U19" s="463">
        <f>SUM(U11:U18)</f>
        <v>4464</v>
      </c>
    </row>
    <row r="20" spans="1:22" x14ac:dyDescent="0.6">
      <c r="R20" s="72"/>
      <c r="S20" s="72"/>
      <c r="T20" s="72"/>
      <c r="U20" s="72"/>
    </row>
    <row r="21" spans="1:22" ht="22.5" thickBot="1" x14ac:dyDescent="0.65"/>
    <row r="22" spans="1:22" ht="22.5" thickBot="1" x14ac:dyDescent="0.65">
      <c r="C22" s="102" t="s">
        <v>507</v>
      </c>
      <c r="P22" s="461"/>
    </row>
    <row r="23" spans="1:22" ht="48" thickBot="1" x14ac:dyDescent="0.65">
      <c r="B23" s="536" t="s">
        <v>1234</v>
      </c>
      <c r="C23" s="113">
        <f>225.25</f>
        <v>225.25</v>
      </c>
      <c r="U23" s="47"/>
    </row>
    <row r="24" spans="1:22" ht="47.25" x14ac:dyDescent="0.6">
      <c r="B24" s="536" t="s">
        <v>1235</v>
      </c>
      <c r="C24" s="113">
        <f>47*0.25</f>
        <v>11.75</v>
      </c>
      <c r="U24" s="47"/>
      <c r="V24" s="210"/>
    </row>
    <row r="25" spans="1:22" ht="48" customHeight="1" x14ac:dyDescent="0.6">
      <c r="E25" s="462"/>
    </row>
    <row r="27" spans="1:22" ht="47.25" customHeight="1" x14ac:dyDescent="0.6">
      <c r="E27" s="462"/>
    </row>
    <row r="41" spans="2:5" x14ac:dyDescent="0.6">
      <c r="B41" s="462"/>
      <c r="C41" s="462"/>
      <c r="D41" s="462"/>
      <c r="E41" s="462"/>
    </row>
    <row r="42" spans="2:5" x14ac:dyDescent="0.6">
      <c r="B42" s="859"/>
      <c r="C42" s="462"/>
      <c r="D42" s="462"/>
      <c r="E42" s="462"/>
    </row>
    <row r="43" spans="2:5" x14ac:dyDescent="0.6">
      <c r="B43" s="859"/>
      <c r="C43" s="462"/>
      <c r="D43" s="462"/>
      <c r="E43" s="462"/>
    </row>
    <row r="44" spans="2:5" x14ac:dyDescent="0.6">
      <c r="B44" s="859"/>
      <c r="C44" s="462"/>
      <c r="D44" s="462"/>
      <c r="E44" s="462"/>
    </row>
    <row r="45" spans="2:5" x14ac:dyDescent="0.6">
      <c r="B45" s="462"/>
      <c r="C45" s="462"/>
      <c r="D45" s="462"/>
      <c r="E45" s="462"/>
    </row>
    <row r="46" spans="2:5" x14ac:dyDescent="0.6">
      <c r="B46" s="462"/>
      <c r="C46" s="462"/>
      <c r="D46" s="462"/>
      <c r="E46" s="462"/>
    </row>
    <row r="47" spans="2:5" x14ac:dyDescent="0.6">
      <c r="B47" s="462"/>
      <c r="C47" s="462"/>
      <c r="D47" s="462"/>
      <c r="E47" s="462"/>
    </row>
    <row r="48" spans="2:5" x14ac:dyDescent="0.6">
      <c r="B48" s="462"/>
      <c r="C48" s="462"/>
      <c r="D48" s="462"/>
      <c r="E48" s="462"/>
    </row>
    <row r="49" spans="2:5" x14ac:dyDescent="0.6">
      <c r="B49" s="462"/>
      <c r="C49" s="462"/>
      <c r="D49" s="462"/>
      <c r="E49" s="462"/>
    </row>
  </sheetData>
  <mergeCells count="3">
    <mergeCell ref="A4:U4"/>
    <mergeCell ref="A6:U6"/>
    <mergeCell ref="B42:B44"/>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12A8-D573-4079-AA11-A751445322F9}">
  <sheetPr>
    <pageSetUpPr fitToPage="1"/>
  </sheetPr>
  <dimension ref="A1:R28"/>
  <sheetViews>
    <sheetView topLeftCell="A4" zoomScale="85" zoomScaleNormal="85" zoomScaleSheetLayoutView="86" workbookViewId="0">
      <selection activeCell="C19" sqref="C19"/>
    </sheetView>
  </sheetViews>
  <sheetFormatPr defaultColWidth="8.85546875" defaultRowHeight="21.75" x14ac:dyDescent="0.6"/>
  <cols>
    <col min="1" max="1" width="9.140625" style="117" bestFit="1" customWidth="1"/>
    <col min="2" max="2" width="13.5703125" style="118" bestFit="1" customWidth="1"/>
    <col min="3" max="3" width="25.28515625" style="118" bestFit="1" customWidth="1"/>
    <col min="4" max="4" width="15" style="118" customWidth="1"/>
    <col min="5" max="5" width="19.42578125" style="118" customWidth="1"/>
    <col min="6" max="6" width="24.7109375" style="118" bestFit="1" customWidth="1"/>
    <col min="7" max="9" width="14.5703125" style="117" customWidth="1"/>
    <col min="10" max="10" width="13.42578125" style="117" customWidth="1"/>
    <col min="11" max="11" width="12.7109375" style="117" customWidth="1"/>
    <col min="12" max="12" width="27.42578125" style="117" customWidth="1"/>
    <col min="13" max="13" width="25.7109375" style="117" customWidth="1"/>
    <col min="14" max="14" width="24.85546875" style="117" customWidth="1"/>
    <col min="15" max="15" width="25.28515625" style="117" customWidth="1"/>
    <col min="16" max="16" width="13.28515625" style="117" bestFit="1" customWidth="1"/>
    <col min="17" max="17" width="24.85546875" style="119" bestFit="1" customWidth="1"/>
    <col min="18" max="18" width="18.140625" style="119" bestFit="1" customWidth="1"/>
    <col min="19" max="16384" width="8.85546875" style="72"/>
  </cols>
  <sheetData>
    <row r="1" spans="1:18" ht="18" customHeight="1" x14ac:dyDescent="0.25">
      <c r="A1" s="65" t="s">
        <v>397</v>
      </c>
      <c r="B1" s="66" t="str">
        <f>[8]ARQUIVOS_BASE!B1</f>
        <v>WEST VILLAGE</v>
      </c>
      <c r="C1" s="67"/>
      <c r="D1" s="67"/>
      <c r="E1" s="67"/>
      <c r="F1" s="68"/>
      <c r="G1" s="69"/>
      <c r="H1" s="69"/>
      <c r="I1" s="69"/>
      <c r="J1" s="69"/>
      <c r="K1" s="69"/>
      <c r="L1" s="69"/>
      <c r="M1" s="69"/>
      <c r="N1" s="69"/>
      <c r="O1" s="69"/>
      <c r="P1" s="69"/>
      <c r="Q1" s="70"/>
      <c r="R1" s="70"/>
    </row>
    <row r="2" spans="1:18" ht="18" customHeight="1" x14ac:dyDescent="0.25">
      <c r="A2" s="73" t="s">
        <v>398</v>
      </c>
      <c r="B2" s="74" t="str">
        <f>[8]ARQUIVOS_BASE!B2</f>
        <v>KIRCHNER</v>
      </c>
      <c r="C2" s="75"/>
      <c r="D2" s="75"/>
      <c r="E2" s="75"/>
      <c r="F2" s="76"/>
      <c r="G2" s="77"/>
      <c r="H2" s="77"/>
      <c r="I2" s="77"/>
      <c r="J2" s="77"/>
      <c r="K2" s="77"/>
      <c r="L2" s="77"/>
      <c r="M2" s="77"/>
      <c r="N2" s="77"/>
      <c r="O2" s="77"/>
      <c r="P2" s="77"/>
      <c r="Q2" s="78"/>
      <c r="R2" s="78"/>
    </row>
    <row r="3" spans="1:18" ht="18" customHeight="1" x14ac:dyDescent="0.25">
      <c r="A3" s="73" t="s">
        <v>399</v>
      </c>
      <c r="B3" s="74">
        <f>[8]ARQUIVOS_BASE!B3</f>
        <v>0</v>
      </c>
      <c r="C3" s="75"/>
      <c r="D3" s="75"/>
      <c r="E3" s="75"/>
      <c r="F3" s="76"/>
      <c r="G3" s="77"/>
      <c r="H3" s="77"/>
      <c r="I3" s="77"/>
      <c r="J3" s="77"/>
      <c r="K3" s="77"/>
      <c r="L3" s="77"/>
      <c r="M3" s="77"/>
      <c r="N3" s="77"/>
      <c r="O3" s="77"/>
      <c r="P3" s="77"/>
      <c r="Q3" s="78"/>
      <c r="R3" s="78"/>
    </row>
    <row r="4" spans="1:18" ht="25.15" customHeight="1" x14ac:dyDescent="0.25">
      <c r="A4" s="754" t="s">
        <v>400</v>
      </c>
      <c r="B4" s="755"/>
      <c r="C4" s="755"/>
      <c r="D4" s="755"/>
      <c r="E4" s="756"/>
      <c r="F4" s="756"/>
      <c r="G4" s="756"/>
      <c r="H4" s="756"/>
      <c r="I4" s="756"/>
      <c r="J4" s="756"/>
      <c r="K4" s="756"/>
      <c r="L4" s="756"/>
      <c r="M4" s="756"/>
      <c r="N4" s="756"/>
      <c r="O4" s="756"/>
      <c r="P4" s="756"/>
      <c r="Q4" s="756"/>
      <c r="R4" s="756"/>
    </row>
    <row r="5" spans="1:18" ht="14.45" customHeight="1" x14ac:dyDescent="0.25">
      <c r="A5" s="80"/>
      <c r="B5" s="81"/>
      <c r="C5" s="81"/>
      <c r="D5" s="81"/>
      <c r="E5" s="81"/>
      <c r="F5" s="81"/>
      <c r="G5" s="82"/>
      <c r="H5" s="82"/>
      <c r="I5" s="82"/>
      <c r="J5" s="82"/>
      <c r="K5" s="82"/>
      <c r="L5" s="82"/>
      <c r="M5" s="82"/>
      <c r="N5" s="82"/>
      <c r="O5" s="82"/>
      <c r="P5" s="82"/>
      <c r="Q5" s="83"/>
      <c r="R5" s="83"/>
    </row>
    <row r="6" spans="1:18" ht="16.899999999999999" customHeight="1" x14ac:dyDescent="0.25">
      <c r="A6" s="758" t="s">
        <v>1094</v>
      </c>
      <c r="B6" s="759"/>
      <c r="C6" s="759"/>
      <c r="D6" s="759"/>
      <c r="E6" s="760"/>
      <c r="F6" s="760"/>
      <c r="G6" s="760"/>
      <c r="H6" s="760"/>
      <c r="I6" s="760"/>
      <c r="J6" s="760"/>
      <c r="K6" s="760"/>
      <c r="L6" s="760"/>
      <c r="M6" s="760"/>
      <c r="N6" s="760"/>
      <c r="O6" s="760"/>
      <c r="P6" s="760"/>
      <c r="Q6" s="760"/>
      <c r="R6" s="760"/>
    </row>
    <row r="7" spans="1:18" ht="14.45" customHeight="1" x14ac:dyDescent="0.25">
      <c r="A7" s="85"/>
      <c r="B7" s="86"/>
      <c r="C7" s="86"/>
      <c r="D7" s="86"/>
      <c r="E7" s="86"/>
      <c r="F7" s="87"/>
      <c r="G7" s="88"/>
      <c r="H7" s="88"/>
      <c r="I7" s="88"/>
      <c r="J7" s="88"/>
      <c r="K7" s="88"/>
      <c r="L7" s="88"/>
      <c r="M7" s="88"/>
      <c r="N7" s="88"/>
      <c r="O7" s="88"/>
      <c r="P7" s="88"/>
      <c r="Q7" s="89"/>
      <c r="R7" s="89"/>
    </row>
    <row r="8" spans="1:18" x14ac:dyDescent="0.6">
      <c r="A8" s="91" t="s">
        <v>1095</v>
      </c>
      <c r="B8" s="92"/>
      <c r="C8" s="92"/>
      <c r="D8" s="92"/>
      <c r="E8" s="92"/>
      <c r="F8" s="93"/>
      <c r="G8" s="93"/>
      <c r="H8" s="93"/>
      <c r="I8" s="93"/>
      <c r="J8" s="93"/>
      <c r="K8" s="93"/>
      <c r="L8" s="93"/>
      <c r="M8" s="93"/>
      <c r="N8" s="93"/>
      <c r="O8" s="93"/>
      <c r="P8" s="93"/>
      <c r="Q8" s="94"/>
      <c r="R8" s="94"/>
    </row>
    <row r="9" spans="1:18" ht="22.5" thickBot="1" x14ac:dyDescent="0.65">
      <c r="A9" s="246"/>
      <c r="B9" s="97"/>
      <c r="C9" s="72"/>
      <c r="D9" s="72"/>
      <c r="E9" s="72"/>
      <c r="F9" s="72"/>
      <c r="G9" s="72"/>
      <c r="H9" s="72"/>
      <c r="I9" s="72"/>
      <c r="J9" s="72"/>
      <c r="K9" s="72"/>
      <c r="L9" s="72"/>
      <c r="M9" s="72"/>
      <c r="N9" s="72"/>
      <c r="O9" s="72"/>
      <c r="P9" s="72"/>
      <c r="Q9" s="72"/>
      <c r="R9" s="72"/>
    </row>
    <row r="10" spans="1:18" ht="43.5" customHeight="1" x14ac:dyDescent="0.6">
      <c r="A10" s="96"/>
      <c r="B10" s="100" t="s">
        <v>457</v>
      </c>
      <c r="C10" s="102" t="s">
        <v>1361</v>
      </c>
      <c r="D10" s="102" t="s">
        <v>1362</v>
      </c>
      <c r="E10" s="102" t="s">
        <v>1363</v>
      </c>
      <c r="F10" s="102" t="s">
        <v>1364</v>
      </c>
      <c r="G10" s="102" t="s">
        <v>1365</v>
      </c>
      <c r="H10" s="102" t="s">
        <v>1366</v>
      </c>
      <c r="I10" s="102" t="s">
        <v>1367</v>
      </c>
      <c r="J10" s="72"/>
      <c r="K10" s="72"/>
      <c r="L10" s="72"/>
      <c r="M10" s="72"/>
      <c r="N10" s="72"/>
      <c r="O10" s="72"/>
      <c r="P10" s="72"/>
      <c r="Q10" s="72"/>
      <c r="R10" s="72"/>
    </row>
    <row r="11" spans="1:18" x14ac:dyDescent="0.6">
      <c r="A11" s="96"/>
      <c r="B11" s="247" t="s">
        <v>548</v>
      </c>
      <c r="C11" s="108">
        <f>122+110.7+33.65+6.8</f>
        <v>273.14999999999998</v>
      </c>
      <c r="D11" s="108">
        <f>6.8+35.65+3.04+3.04</f>
        <v>48.529999999999994</v>
      </c>
      <c r="E11" s="108">
        <f>15.9+2.05</f>
        <v>17.95</v>
      </c>
      <c r="F11" s="108"/>
      <c r="G11" s="108"/>
      <c r="H11" s="108">
        <f>(((0.58*18)+(0.63*27))*2)+157.38+14.3+14+13.45+12.5+14+13.75+12.75+12.75+12.75+12.5+12.5+14+4.18+4.08+2.5+2.5+8.95</f>
        <v>393.73999999999995</v>
      </c>
      <c r="I11" s="108"/>
      <c r="J11" s="72"/>
      <c r="K11" s="72"/>
      <c r="L11" s="72"/>
      <c r="M11" s="72"/>
      <c r="N11" s="72"/>
      <c r="O11" s="72"/>
      <c r="P11" s="72"/>
      <c r="Q11" s="72"/>
      <c r="R11" s="72"/>
    </row>
    <row r="12" spans="1:18" x14ac:dyDescent="0.6">
      <c r="A12" s="96"/>
      <c r="B12" s="111" t="s">
        <v>549</v>
      </c>
      <c r="C12" s="112"/>
      <c r="D12" s="112"/>
      <c r="E12" s="112">
        <f t="shared" ref="E12:E14" si="0">15.9+2.05</f>
        <v>17.95</v>
      </c>
      <c r="F12" s="112"/>
      <c r="G12" s="112"/>
      <c r="H12" s="112">
        <f>818.15-37.32</f>
        <v>780.82999999999993</v>
      </c>
      <c r="I12" s="112"/>
      <c r="J12" s="72"/>
      <c r="K12" s="72"/>
      <c r="L12" s="72"/>
      <c r="M12" s="72"/>
      <c r="N12" s="72"/>
      <c r="O12" s="72"/>
      <c r="P12" s="72"/>
      <c r="Q12" s="72"/>
      <c r="R12" s="72"/>
    </row>
    <row r="13" spans="1:18" x14ac:dyDescent="0.6">
      <c r="A13" s="96"/>
      <c r="B13" s="111" t="s">
        <v>550</v>
      </c>
      <c r="C13" s="112"/>
      <c r="D13" s="112"/>
      <c r="E13" s="112">
        <f t="shared" si="0"/>
        <v>17.95</v>
      </c>
      <c r="F13" s="112"/>
      <c r="G13" s="112"/>
      <c r="H13" s="112">
        <f t="shared" ref="H13" si="1">818.15-37.32</f>
        <v>780.82999999999993</v>
      </c>
      <c r="I13" s="112"/>
      <c r="J13" s="72"/>
      <c r="K13" s="72"/>
      <c r="L13" s="72"/>
      <c r="M13" s="72"/>
      <c r="N13" s="72"/>
      <c r="O13" s="72"/>
      <c r="P13" s="72"/>
      <c r="Q13" s="72"/>
      <c r="R13" s="72"/>
    </row>
    <row r="14" spans="1:18" x14ac:dyDescent="0.6">
      <c r="A14" s="96"/>
      <c r="B14" s="111" t="s">
        <v>551</v>
      </c>
      <c r="C14" s="112"/>
      <c r="D14" s="112"/>
      <c r="E14" s="112">
        <f t="shared" si="0"/>
        <v>17.95</v>
      </c>
      <c r="F14" s="112"/>
      <c r="G14" s="112"/>
      <c r="H14" s="112">
        <f>825.55-37.32</f>
        <v>788.2299999999999</v>
      </c>
      <c r="I14" s="112"/>
      <c r="J14" s="72"/>
      <c r="K14" s="72"/>
      <c r="L14" s="72"/>
      <c r="M14" s="72"/>
      <c r="N14" s="72"/>
      <c r="O14" s="72"/>
      <c r="P14" s="72"/>
      <c r="Q14" s="72"/>
      <c r="R14" s="72"/>
    </row>
    <row r="15" spans="1:18" x14ac:dyDescent="0.6">
      <c r="A15" s="96"/>
      <c r="B15" s="114" t="s">
        <v>552</v>
      </c>
      <c r="C15" s="112">
        <f>16.7+10.2+35.85+50.15+48.5+50.15+112.65+43</f>
        <v>367.20000000000005</v>
      </c>
      <c r="D15" s="112">
        <f>3.05+3.05+2.2+3.05+3.76+3.25+3.21</f>
        <v>21.57</v>
      </c>
      <c r="E15" s="112">
        <f>15.9+2.05</f>
        <v>17.95</v>
      </c>
      <c r="F15" s="112"/>
      <c r="G15" s="112"/>
      <c r="H15" s="112"/>
      <c r="I15" s="112">
        <f>41.45+134+15.15+49.75+59.65+23.8+31.3</f>
        <v>355.1</v>
      </c>
      <c r="J15" s="72"/>
      <c r="K15" s="72"/>
      <c r="L15" s="72"/>
      <c r="M15" s="72"/>
      <c r="N15" s="72"/>
      <c r="O15" s="72"/>
      <c r="P15" s="72"/>
      <c r="Q15" s="72"/>
      <c r="R15" s="72"/>
    </row>
    <row r="16" spans="1:18" ht="36.6" customHeight="1" x14ac:dyDescent="0.6">
      <c r="A16" s="96"/>
      <c r="B16" s="114" t="s">
        <v>553</v>
      </c>
      <c r="C16" s="112">
        <f>(((7.4+12.15+2.15+9.75+10.6+4.6+8.8+9.35+6.05+15.7+1.95+7.75+11.7+9.75+8+2.9+14.55+5.65)*2)+25.05)*15</f>
        <v>4839.7500000000009</v>
      </c>
      <c r="D16" s="112">
        <f>((3.78+3+3.06+3.23+3+3)*2)*15</f>
        <v>572.1</v>
      </c>
      <c r="E16" s="112">
        <f>(15.9+2.05)*15</f>
        <v>269.25</v>
      </c>
      <c r="F16" s="112"/>
      <c r="G16" s="112"/>
      <c r="H16" s="112">
        <f>((5*4.45)+(2.95*0.5)+(1*1.5))*2</f>
        <v>50.45</v>
      </c>
      <c r="I16" s="112"/>
      <c r="J16" s="72"/>
      <c r="K16" s="72"/>
      <c r="L16" s="72"/>
      <c r="M16" s="72"/>
      <c r="N16" s="72"/>
      <c r="O16" s="72"/>
      <c r="P16" s="72"/>
      <c r="Q16" s="72"/>
      <c r="R16" s="72"/>
    </row>
    <row r="17" spans="1:9" s="72" customFormat="1" ht="31.5" x14ac:dyDescent="0.6">
      <c r="A17" s="96"/>
      <c r="B17" s="114" t="s">
        <v>554</v>
      </c>
      <c r="C17" s="112"/>
      <c r="D17" s="112"/>
      <c r="E17" s="112">
        <f t="shared" ref="E17:E18" si="2">15.9+2.05</f>
        <v>17.95</v>
      </c>
      <c r="F17" s="112"/>
      <c r="G17" s="112"/>
      <c r="H17" s="112">
        <f>6.3+6.2+7.84</f>
        <v>20.34</v>
      </c>
      <c r="I17" s="112">
        <v>406.77</v>
      </c>
    </row>
    <row r="18" spans="1:9" s="72" customFormat="1" ht="22.5" thickBot="1" x14ac:dyDescent="0.65">
      <c r="A18" s="96"/>
      <c r="B18" s="187" t="s">
        <v>555</v>
      </c>
      <c r="C18" s="204"/>
      <c r="D18" s="204"/>
      <c r="E18" s="204">
        <f t="shared" si="2"/>
        <v>17.95</v>
      </c>
      <c r="F18" s="204">
        <f>2.1+2.1</f>
        <v>4.2</v>
      </c>
      <c r="G18" s="204">
        <f>3.5+3.5</f>
        <v>7</v>
      </c>
      <c r="H18" s="204">
        <v>15.75</v>
      </c>
      <c r="I18" s="204"/>
    </row>
    <row r="19" spans="1:9" s="72" customFormat="1" x14ac:dyDescent="0.6">
      <c r="A19" s="96"/>
      <c r="B19" s="100" t="s">
        <v>226</v>
      </c>
      <c r="C19" s="463">
        <f>SUM(C11:C18)</f>
        <v>5480.1000000000013</v>
      </c>
      <c r="D19" s="463">
        <f t="shared" ref="D19:I19" si="3">SUM(D11:D18)</f>
        <v>642.20000000000005</v>
      </c>
      <c r="E19" s="463">
        <f t="shared" si="3"/>
        <v>394.9</v>
      </c>
      <c r="F19" s="463">
        <f t="shared" si="3"/>
        <v>4.2</v>
      </c>
      <c r="G19" s="463">
        <f t="shared" si="3"/>
        <v>7</v>
      </c>
      <c r="H19" s="463">
        <f t="shared" si="3"/>
        <v>2830.1699999999996</v>
      </c>
      <c r="I19" s="463">
        <f t="shared" si="3"/>
        <v>761.87</v>
      </c>
    </row>
    <row r="20" spans="1:9" x14ac:dyDescent="0.6">
      <c r="F20" s="117"/>
    </row>
    <row r="21" spans="1:9" x14ac:dyDescent="0.6">
      <c r="F21" s="117"/>
    </row>
    <row r="22" spans="1:9" ht="22.5" thickBot="1" x14ac:dyDescent="0.65">
      <c r="F22" s="117"/>
    </row>
    <row r="23" spans="1:9" x14ac:dyDescent="0.6">
      <c r="B23" s="100" t="s">
        <v>432</v>
      </c>
      <c r="C23" s="622" t="s">
        <v>1368</v>
      </c>
      <c r="F23" s="117"/>
    </row>
    <row r="24" spans="1:9" x14ac:dyDescent="0.6">
      <c r="B24" s="247" t="s">
        <v>1369</v>
      </c>
      <c r="C24" s="623">
        <f>SUM(C11:D18)</f>
        <v>6122.3000000000011</v>
      </c>
      <c r="F24" s="117"/>
    </row>
    <row r="25" spans="1:9" x14ac:dyDescent="0.6">
      <c r="B25" s="111" t="s">
        <v>1370</v>
      </c>
      <c r="C25" s="624">
        <f>SUM(E11:G18,H11:H14,H18,H17,H16)</f>
        <v>3236.27</v>
      </c>
      <c r="F25" s="117"/>
    </row>
    <row r="26" spans="1:9" ht="22.5" thickBot="1" x14ac:dyDescent="0.65">
      <c r="B26" s="625" t="s">
        <v>1371</v>
      </c>
      <c r="C26" s="626">
        <f>SUM(I15:I17)</f>
        <v>761.87</v>
      </c>
      <c r="F26" s="117"/>
    </row>
    <row r="27" spans="1:9" x14ac:dyDescent="0.6">
      <c r="F27" s="117"/>
    </row>
    <row r="28" spans="1:9" x14ac:dyDescent="0.6">
      <c r="F28" s="117"/>
    </row>
  </sheetData>
  <mergeCells count="2">
    <mergeCell ref="A4:R4"/>
    <mergeCell ref="A6:R6"/>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572EA-6784-460F-974C-28CA4E7208EB}">
  <sheetPr>
    <pageSetUpPr fitToPage="1"/>
  </sheetPr>
  <dimension ref="A1:R28"/>
  <sheetViews>
    <sheetView topLeftCell="A19" zoomScale="106" zoomScaleNormal="106" zoomScaleSheetLayoutView="86" workbookViewId="0">
      <selection activeCell="F15" sqref="F15"/>
    </sheetView>
  </sheetViews>
  <sheetFormatPr defaultColWidth="8.85546875" defaultRowHeight="21.75" x14ac:dyDescent="0.6"/>
  <cols>
    <col min="1" max="1" width="9.140625" style="117" bestFit="1" customWidth="1"/>
    <col min="2" max="2" width="11.85546875" style="118" customWidth="1"/>
    <col min="3" max="3" width="22" style="118" customWidth="1"/>
    <col min="4" max="4" width="19.42578125" style="118" customWidth="1"/>
    <col min="5" max="5" width="18.7109375" style="118" customWidth="1"/>
    <col min="6" max="6" width="17.42578125" style="117" customWidth="1"/>
    <col min="7" max="9" width="13.42578125" style="117" customWidth="1"/>
    <col min="10" max="10" width="12.7109375" style="117" customWidth="1"/>
    <col min="11" max="11" width="27.42578125" style="117" customWidth="1"/>
    <col min="12" max="12" width="25.7109375" style="117" customWidth="1"/>
    <col min="13" max="13" width="24.85546875" style="117" customWidth="1"/>
    <col min="14" max="14" width="25.28515625" style="117" customWidth="1"/>
    <col min="15" max="15" width="8" style="117" customWidth="1"/>
    <col min="16" max="16" width="12.5703125" style="119" customWidth="1"/>
    <col min="17" max="17" width="11.28515625" style="119" customWidth="1"/>
    <col min="18" max="18" width="24" style="117" customWidth="1"/>
    <col min="19" max="20" width="9.28515625" style="72" bestFit="1" customWidth="1"/>
    <col min="21" max="16384" width="8.85546875" style="72"/>
  </cols>
  <sheetData>
    <row r="1" spans="1:18" ht="18" customHeight="1" x14ac:dyDescent="0.6">
      <c r="A1" s="65" t="s">
        <v>397</v>
      </c>
      <c r="B1" s="66" t="str">
        <f>[8]ARQUIVOS_BASE!B1</f>
        <v>WEST VILLAGE</v>
      </c>
      <c r="C1" s="67"/>
      <c r="D1" s="67"/>
      <c r="E1" s="68"/>
      <c r="F1" s="69"/>
      <c r="G1" s="69"/>
      <c r="H1" s="69"/>
      <c r="I1" s="69"/>
      <c r="J1" s="69"/>
      <c r="K1" s="69"/>
      <c r="L1" s="69"/>
      <c r="M1" s="69"/>
      <c r="N1" s="69"/>
      <c r="O1" s="69"/>
      <c r="P1" s="70"/>
      <c r="Q1" s="70"/>
      <c r="R1" s="71"/>
    </row>
    <row r="2" spans="1:18" ht="18" customHeight="1" x14ac:dyDescent="0.6">
      <c r="A2" s="73" t="s">
        <v>398</v>
      </c>
      <c r="B2" s="74" t="str">
        <f>[8]ARQUIVOS_BASE!B2</f>
        <v>KIRCHNER</v>
      </c>
      <c r="C2" s="75"/>
      <c r="D2" s="75"/>
      <c r="E2" s="76"/>
      <c r="F2" s="77"/>
      <c r="G2" s="77"/>
      <c r="H2" s="77"/>
      <c r="I2" s="77"/>
      <c r="J2" s="77"/>
      <c r="K2" s="77"/>
      <c r="L2" s="77"/>
      <c r="M2" s="77"/>
      <c r="N2" s="77"/>
      <c r="O2" s="77"/>
      <c r="P2" s="78"/>
      <c r="Q2" s="78"/>
      <c r="R2" s="79"/>
    </row>
    <row r="3" spans="1:18" ht="18" customHeight="1" x14ac:dyDescent="0.6">
      <c r="A3" s="73" t="s">
        <v>399</v>
      </c>
      <c r="B3" s="74">
        <f>[8]ARQUIVOS_BASE!B3</f>
        <v>0</v>
      </c>
      <c r="C3" s="75"/>
      <c r="D3" s="75"/>
      <c r="E3" s="76"/>
      <c r="F3" s="77"/>
      <c r="G3" s="77"/>
      <c r="H3" s="77"/>
      <c r="I3" s="77"/>
      <c r="J3" s="77"/>
      <c r="K3" s="77"/>
      <c r="L3" s="77"/>
      <c r="M3" s="77"/>
      <c r="N3" s="77"/>
      <c r="O3" s="77"/>
      <c r="P3" s="78"/>
      <c r="Q3" s="78"/>
      <c r="R3" s="79"/>
    </row>
    <row r="4" spans="1:18" ht="25.15" customHeight="1" x14ac:dyDescent="0.25">
      <c r="A4" s="754" t="s">
        <v>400</v>
      </c>
      <c r="B4" s="755"/>
      <c r="C4" s="755"/>
      <c r="D4" s="756"/>
      <c r="E4" s="756"/>
      <c r="F4" s="756"/>
      <c r="G4" s="756"/>
      <c r="H4" s="756"/>
      <c r="I4" s="756"/>
      <c r="J4" s="756"/>
      <c r="K4" s="756"/>
      <c r="L4" s="756"/>
      <c r="M4" s="756"/>
      <c r="N4" s="756"/>
      <c r="O4" s="756"/>
      <c r="P4" s="756"/>
      <c r="Q4" s="756"/>
      <c r="R4" s="757"/>
    </row>
    <row r="5" spans="1:18" ht="14.45" customHeight="1" x14ac:dyDescent="0.6">
      <c r="A5" s="80"/>
      <c r="B5" s="81"/>
      <c r="C5" s="81"/>
      <c r="D5" s="81"/>
      <c r="E5" s="81"/>
      <c r="F5" s="82"/>
      <c r="G5" s="82"/>
      <c r="H5" s="82"/>
      <c r="I5" s="82"/>
      <c r="J5" s="82"/>
      <c r="K5" s="82"/>
      <c r="L5" s="82"/>
      <c r="M5" s="82"/>
      <c r="N5" s="82"/>
      <c r="O5" s="82"/>
      <c r="P5" s="83"/>
      <c r="Q5" s="83"/>
      <c r="R5" s="84"/>
    </row>
    <row r="6" spans="1:18" ht="16.899999999999999" customHeight="1" x14ac:dyDescent="0.25">
      <c r="A6" s="758" t="s">
        <v>1057</v>
      </c>
      <c r="B6" s="759"/>
      <c r="C6" s="759"/>
      <c r="D6" s="760"/>
      <c r="E6" s="760"/>
      <c r="F6" s="760"/>
      <c r="G6" s="760"/>
      <c r="H6" s="760"/>
      <c r="I6" s="760"/>
      <c r="J6" s="760"/>
      <c r="K6" s="760"/>
      <c r="L6" s="760"/>
      <c r="M6" s="760"/>
      <c r="N6" s="760"/>
      <c r="O6" s="760"/>
      <c r="P6" s="760"/>
      <c r="Q6" s="760"/>
      <c r="R6" s="761"/>
    </row>
    <row r="7" spans="1:18" ht="14.45" customHeight="1" x14ac:dyDescent="0.6">
      <c r="A7" s="85"/>
      <c r="B7" s="86"/>
      <c r="C7" s="86"/>
      <c r="D7" s="86"/>
      <c r="E7" s="87"/>
      <c r="F7" s="88"/>
      <c r="G7" s="88"/>
      <c r="H7" s="88"/>
      <c r="I7" s="88"/>
      <c r="J7" s="88"/>
      <c r="K7" s="88"/>
      <c r="L7" s="88"/>
      <c r="M7" s="88"/>
      <c r="N7" s="88"/>
      <c r="O7" s="88"/>
      <c r="P7" s="89"/>
      <c r="Q7" s="89"/>
      <c r="R7" s="90"/>
    </row>
    <row r="8" spans="1:18" x14ac:dyDescent="0.6">
      <c r="A8" s="91" t="s">
        <v>1058</v>
      </c>
      <c r="B8" s="92"/>
      <c r="C8" s="92"/>
      <c r="D8" s="92"/>
      <c r="E8" s="92"/>
      <c r="F8" s="93"/>
      <c r="G8" s="93"/>
      <c r="H8" s="93"/>
      <c r="I8" s="93"/>
      <c r="J8" s="93"/>
      <c r="K8" s="93"/>
      <c r="L8" s="93"/>
      <c r="M8" s="93"/>
      <c r="N8" s="93"/>
      <c r="O8" s="93"/>
      <c r="P8" s="94"/>
      <c r="Q8" s="94"/>
      <c r="R8" s="95"/>
    </row>
    <row r="9" spans="1:18" ht="22.5" thickBot="1" x14ac:dyDescent="0.65">
      <c r="A9" s="96"/>
      <c r="B9" s="97"/>
      <c r="C9" s="97"/>
      <c r="D9" s="97"/>
      <c r="E9" s="97"/>
      <c r="F9" s="98"/>
      <c r="G9" s="98"/>
      <c r="H9" s="98"/>
      <c r="I9" s="98"/>
      <c r="J9" s="98"/>
      <c r="K9" s="98"/>
      <c r="L9" s="98"/>
      <c r="M9" s="98"/>
      <c r="N9" s="98"/>
      <c r="O9" s="98"/>
      <c r="P9" s="99"/>
      <c r="Q9" s="99"/>
      <c r="R9" s="90"/>
    </row>
    <row r="10" spans="1:18" ht="43.5" customHeight="1" x14ac:dyDescent="0.6">
      <c r="A10" s="96"/>
      <c r="B10" s="100" t="s">
        <v>1059</v>
      </c>
      <c r="C10" s="102" t="s">
        <v>1060</v>
      </c>
      <c r="D10" s="102" t="s">
        <v>1061</v>
      </c>
      <c r="E10" s="102" t="s">
        <v>1062</v>
      </c>
      <c r="F10" s="622" t="s">
        <v>1063</v>
      </c>
      <c r="G10" s="636"/>
      <c r="H10" s="72"/>
      <c r="I10" s="72"/>
      <c r="J10" s="72"/>
      <c r="K10" s="72"/>
      <c r="L10" s="72"/>
      <c r="M10" s="72"/>
      <c r="N10" s="72"/>
      <c r="O10" s="72"/>
      <c r="P10" s="72"/>
      <c r="Q10" s="72"/>
      <c r="R10" s="72"/>
    </row>
    <row r="11" spans="1:18" x14ac:dyDescent="0.6">
      <c r="A11" s="96"/>
      <c r="B11" s="452" t="s">
        <v>1064</v>
      </c>
      <c r="C11" s="107">
        <f>(49.05*2)+67.63+68.14</f>
        <v>233.87</v>
      </c>
      <c r="D11" s="108">
        <f>(34.85)*2+(51.19)+(23.45)+(33.59)+26.74+22.06+43.95+23.45+20.69+39.86+25.58+37.2</f>
        <v>417.46</v>
      </c>
      <c r="E11" s="108">
        <v>114</v>
      </c>
      <c r="F11" s="623">
        <v>176.4</v>
      </c>
      <c r="G11" s="636"/>
      <c r="H11" s="72"/>
      <c r="I11" s="72"/>
      <c r="J11" s="72"/>
      <c r="K11" s="72"/>
      <c r="L11" s="72"/>
      <c r="M11" s="72"/>
      <c r="N11" s="72"/>
      <c r="O11" s="72"/>
      <c r="P11" s="72"/>
      <c r="Q11" s="72"/>
      <c r="R11" s="72"/>
    </row>
    <row r="12" spans="1:18" x14ac:dyDescent="0.6">
      <c r="A12" s="96"/>
      <c r="B12" s="114" t="s">
        <v>1065</v>
      </c>
      <c r="C12" s="112">
        <v>0</v>
      </c>
      <c r="D12" s="112">
        <v>0</v>
      </c>
      <c r="E12" s="112">
        <v>0</v>
      </c>
      <c r="F12" s="628"/>
      <c r="G12" s="636"/>
      <c r="H12" s="72"/>
      <c r="I12" s="72"/>
      <c r="J12" s="72"/>
      <c r="K12" s="72"/>
      <c r="L12" s="72"/>
      <c r="M12" s="72"/>
      <c r="N12" s="72"/>
      <c r="O12" s="72"/>
      <c r="P12" s="72"/>
      <c r="Q12" s="72"/>
      <c r="R12" s="72"/>
    </row>
    <row r="13" spans="1:18" x14ac:dyDescent="0.6">
      <c r="A13" s="96"/>
      <c r="B13" s="114" t="s">
        <v>1066</v>
      </c>
      <c r="C13" s="112">
        <v>27.27</v>
      </c>
      <c r="D13" s="112">
        <f>3.69+11.23+21.18+13.95+11.22+21.05</f>
        <v>82.32</v>
      </c>
      <c r="E13" s="112">
        <v>0</v>
      </c>
      <c r="F13" s="628"/>
      <c r="G13" s="636"/>
      <c r="H13" s="72"/>
      <c r="I13" s="72"/>
      <c r="J13" s="72"/>
      <c r="K13" s="72"/>
      <c r="L13" s="72"/>
      <c r="M13" s="72"/>
      <c r="N13" s="72"/>
      <c r="O13" s="72"/>
      <c r="P13" s="72"/>
      <c r="Q13" s="72"/>
      <c r="R13" s="72"/>
    </row>
    <row r="14" spans="1:18" ht="22.5" thickBot="1" x14ac:dyDescent="0.65">
      <c r="A14" s="96"/>
      <c r="B14" s="114" t="s">
        <v>1067</v>
      </c>
      <c r="C14" s="112">
        <v>27.27</v>
      </c>
      <c r="D14" s="112">
        <f>3.69+23.82+16.77+21.03+11.45</f>
        <v>76.760000000000005</v>
      </c>
      <c r="E14" s="112"/>
      <c r="F14" s="624"/>
      <c r="G14" s="636"/>
      <c r="H14" s="72"/>
      <c r="I14" s="72"/>
      <c r="J14" s="72"/>
      <c r="K14" s="72"/>
      <c r="L14" s="72"/>
      <c r="M14" s="72"/>
      <c r="N14" s="72"/>
      <c r="O14" s="72"/>
      <c r="P14" s="72"/>
      <c r="Q14" s="72"/>
      <c r="R14" s="72"/>
    </row>
    <row r="15" spans="1:18" ht="22.5" thickBot="1" x14ac:dyDescent="0.65">
      <c r="A15" s="96"/>
      <c r="B15" s="700" t="s">
        <v>226</v>
      </c>
      <c r="C15" s="732">
        <f>SUM(C11:C14)</f>
        <v>288.40999999999997</v>
      </c>
      <c r="D15" s="732">
        <f>SUM(D11:D14)</f>
        <v>576.54</v>
      </c>
      <c r="E15" s="732">
        <f>SUM(E11:E14)</f>
        <v>114</v>
      </c>
      <c r="F15" s="733">
        <f>SUM(F11:F14)</f>
        <v>176.4</v>
      </c>
      <c r="G15" s="636"/>
      <c r="H15" s="72"/>
      <c r="I15" s="72"/>
      <c r="J15" s="72"/>
      <c r="K15" s="72"/>
      <c r="L15" s="72"/>
      <c r="M15" s="72"/>
      <c r="N15" s="72"/>
      <c r="O15" s="72"/>
      <c r="P15" s="72"/>
      <c r="Q15" s="72"/>
      <c r="R15" s="72"/>
    </row>
    <row r="16" spans="1:18" x14ac:dyDescent="0.6">
      <c r="A16" s="96"/>
      <c r="B16" s="97"/>
      <c r="C16" s="97"/>
      <c r="D16" s="97"/>
      <c r="E16" s="97"/>
      <c r="F16" s="98"/>
      <c r="G16" s="98"/>
      <c r="H16" s="98"/>
      <c r="I16" s="98"/>
      <c r="J16" s="98"/>
      <c r="K16" s="98"/>
      <c r="L16" s="98"/>
      <c r="M16" s="98"/>
      <c r="N16" s="98"/>
      <c r="O16" s="98"/>
      <c r="P16" s="99"/>
      <c r="Q16" s="99"/>
      <c r="R16" s="90"/>
    </row>
    <row r="17" spans="1:18" x14ac:dyDescent="0.6">
      <c r="A17" s="91" t="s">
        <v>1068</v>
      </c>
      <c r="B17" s="92"/>
      <c r="C17" s="92"/>
      <c r="D17" s="92"/>
      <c r="E17" s="92"/>
      <c r="F17" s="92"/>
      <c r="G17" s="98"/>
      <c r="H17" s="98"/>
      <c r="I17" s="98"/>
      <c r="J17" s="98"/>
      <c r="K17" s="98"/>
      <c r="L17" s="98"/>
      <c r="M17" s="98"/>
      <c r="N17" s="98"/>
      <c r="O17" s="98"/>
      <c r="P17" s="99"/>
      <c r="Q17" s="99"/>
      <c r="R17" s="90"/>
    </row>
    <row r="18" spans="1:18" ht="22.5" thickBot="1" x14ac:dyDescent="0.65">
      <c r="A18" s="96"/>
      <c r="B18" s="97"/>
      <c r="C18" s="97"/>
      <c r="D18" s="730"/>
      <c r="E18" s="730"/>
      <c r="F18" s="731"/>
      <c r="G18" s="731"/>
    </row>
    <row r="19" spans="1:18" ht="30" customHeight="1" x14ac:dyDescent="0.6">
      <c r="A19" s="96"/>
      <c r="B19" s="100" t="s">
        <v>457</v>
      </c>
      <c r="C19" s="622" t="s">
        <v>1069</v>
      </c>
      <c r="D19" s="730"/>
      <c r="E19" s="730"/>
      <c r="F19" s="731"/>
      <c r="G19" s="731"/>
    </row>
    <row r="20" spans="1:18" x14ac:dyDescent="0.6">
      <c r="A20" s="96"/>
      <c r="B20" s="452" t="s">
        <v>548</v>
      </c>
      <c r="C20" s="734">
        <v>121</v>
      </c>
      <c r="D20" s="730"/>
      <c r="E20" s="730"/>
      <c r="F20" s="731"/>
      <c r="G20" s="731"/>
    </row>
    <row r="21" spans="1:18" x14ac:dyDescent="0.6">
      <c r="A21" s="96"/>
      <c r="B21" s="114" t="s">
        <v>549</v>
      </c>
      <c r="C21" s="628">
        <v>121.82</v>
      </c>
      <c r="D21" s="730"/>
      <c r="E21" s="730"/>
      <c r="F21" s="731"/>
      <c r="G21" s="731"/>
    </row>
    <row r="22" spans="1:18" x14ac:dyDescent="0.6">
      <c r="A22" s="96"/>
      <c r="B22" s="114" t="s">
        <v>550</v>
      </c>
      <c r="C22" s="628">
        <v>121.82</v>
      </c>
      <c r="D22" s="730"/>
      <c r="E22" s="730"/>
      <c r="F22" s="731"/>
      <c r="G22" s="731"/>
    </row>
    <row r="23" spans="1:18" x14ac:dyDescent="0.6">
      <c r="A23" s="96"/>
      <c r="B23" s="114" t="s">
        <v>551</v>
      </c>
      <c r="C23" s="735">
        <v>121.82</v>
      </c>
      <c r="D23" s="730"/>
      <c r="E23" s="730"/>
      <c r="F23" s="731"/>
      <c r="G23" s="731"/>
    </row>
    <row r="24" spans="1:18" x14ac:dyDescent="0.6">
      <c r="A24" s="96"/>
      <c r="B24" s="114" t="s">
        <v>552</v>
      </c>
      <c r="C24" s="735">
        <v>95.95</v>
      </c>
      <c r="D24" s="730"/>
      <c r="E24" s="730"/>
      <c r="F24" s="731"/>
      <c r="G24" s="731"/>
    </row>
    <row r="25" spans="1:18" ht="31.5" x14ac:dyDescent="0.6">
      <c r="A25" s="96"/>
      <c r="B25" s="114" t="s">
        <v>553</v>
      </c>
      <c r="C25" s="735">
        <f>95.95*15</f>
        <v>1439.25</v>
      </c>
      <c r="D25" s="730"/>
      <c r="E25" s="730"/>
      <c r="F25" s="731"/>
      <c r="G25" s="731"/>
    </row>
    <row r="26" spans="1:18" ht="32.25" thickBot="1" x14ac:dyDescent="0.65">
      <c r="A26" s="96"/>
      <c r="B26" s="114" t="s">
        <v>554</v>
      </c>
      <c r="C26" s="735">
        <v>28.85</v>
      </c>
      <c r="D26" s="730"/>
      <c r="E26" s="730"/>
      <c r="F26" s="731"/>
      <c r="G26" s="731"/>
    </row>
    <row r="27" spans="1:18" ht="22.5" thickBot="1" x14ac:dyDescent="0.65">
      <c r="A27" s="96"/>
      <c r="B27" s="700" t="s">
        <v>226</v>
      </c>
      <c r="C27" s="733">
        <f>SUM(C20:C26)</f>
        <v>2050.5099999999998</v>
      </c>
      <c r="D27" s="730"/>
      <c r="E27" s="730"/>
      <c r="F27" s="731"/>
      <c r="G27" s="731"/>
    </row>
    <row r="28" spans="1:18" x14ac:dyDescent="0.6">
      <c r="A28" s="731"/>
      <c r="B28" s="730"/>
      <c r="C28" s="730"/>
      <c r="D28" s="730"/>
      <c r="E28" s="730"/>
      <c r="F28" s="731"/>
      <c r="G28" s="731"/>
    </row>
  </sheetData>
  <mergeCells count="2">
    <mergeCell ref="A4:R4"/>
    <mergeCell ref="A6:R6"/>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DE8D8-4C99-416A-A8C7-0E8A4A325A34}">
  <dimension ref="A1:H20"/>
  <sheetViews>
    <sheetView topLeftCell="A4" zoomScale="90" zoomScaleNormal="90" workbookViewId="0">
      <selection activeCell="B20" sqref="B20"/>
    </sheetView>
  </sheetViews>
  <sheetFormatPr defaultRowHeight="15" x14ac:dyDescent="0.25"/>
  <cols>
    <col min="1" max="1" width="15.42578125" customWidth="1"/>
    <col min="2" max="2" width="40.85546875" customWidth="1"/>
    <col min="3" max="3" width="12.85546875" customWidth="1"/>
    <col min="4" max="4" width="13.85546875" customWidth="1"/>
    <col min="5" max="5" width="20" style="495" customWidth="1"/>
    <col min="6" max="6" width="17.140625" style="495" customWidth="1"/>
    <col min="7" max="7" width="17.140625" style="496" customWidth="1"/>
    <col min="8" max="8" width="28.140625" customWidth="1"/>
  </cols>
  <sheetData>
    <row r="1" spans="1:8" ht="21.75" x14ac:dyDescent="0.6">
      <c r="A1" s="158" t="s">
        <v>397</v>
      </c>
      <c r="B1" s="157" t="s">
        <v>435</v>
      </c>
      <c r="C1" s="156"/>
      <c r="D1" s="156"/>
      <c r="E1" s="465"/>
      <c r="F1" s="465"/>
      <c r="G1" s="465"/>
      <c r="H1" s="153"/>
    </row>
    <row r="2" spans="1:8" ht="21.75" x14ac:dyDescent="0.6">
      <c r="A2" s="152" t="s">
        <v>398</v>
      </c>
      <c r="B2" s="151" t="s">
        <v>436</v>
      </c>
      <c r="C2" s="150"/>
      <c r="D2" s="150"/>
      <c r="E2" s="466"/>
      <c r="F2" s="466"/>
      <c r="G2" s="466"/>
      <c r="H2" s="148"/>
    </row>
    <row r="3" spans="1:8" ht="21.75" x14ac:dyDescent="0.6">
      <c r="A3" s="152" t="s">
        <v>399</v>
      </c>
      <c r="B3" s="151" t="s">
        <v>437</v>
      </c>
      <c r="C3" s="150"/>
      <c r="D3" s="150"/>
      <c r="E3" s="466"/>
      <c r="F3" s="466"/>
      <c r="G3" s="467"/>
      <c r="H3" s="148"/>
    </row>
    <row r="4" spans="1:8" ht="28.5" x14ac:dyDescent="0.25">
      <c r="A4" s="743" t="s">
        <v>434</v>
      </c>
      <c r="B4" s="744"/>
      <c r="C4" s="744"/>
      <c r="D4" s="744"/>
      <c r="E4" s="744"/>
      <c r="F4" s="744"/>
      <c r="G4" s="745"/>
      <c r="H4" s="746"/>
    </row>
    <row r="5" spans="1:8" ht="28.5" x14ac:dyDescent="0.6">
      <c r="A5" s="147"/>
      <c r="B5" s="146"/>
      <c r="C5" s="145"/>
      <c r="D5" s="145"/>
      <c r="E5" s="468"/>
      <c r="F5" s="468"/>
      <c r="G5" s="468"/>
      <c r="H5" s="143"/>
    </row>
    <row r="6" spans="1:8" ht="28.5" x14ac:dyDescent="0.25">
      <c r="A6" s="751" t="s">
        <v>230</v>
      </c>
      <c r="B6" s="752"/>
      <c r="C6" s="752"/>
      <c r="D6" s="752"/>
      <c r="E6" s="752"/>
      <c r="F6" s="752"/>
      <c r="G6" s="860"/>
      <c r="H6" s="753"/>
    </row>
    <row r="7" spans="1:8" ht="21.75" x14ac:dyDescent="0.6">
      <c r="A7" s="142"/>
      <c r="B7" s="141"/>
      <c r="C7" s="141"/>
      <c r="D7" s="141"/>
      <c r="E7" s="467"/>
      <c r="F7" s="467"/>
      <c r="G7" s="467"/>
      <c r="H7" s="139"/>
    </row>
    <row r="8" spans="1:8" ht="21.75" x14ac:dyDescent="0.6">
      <c r="A8" s="469" t="s">
        <v>1117</v>
      </c>
      <c r="B8" s="137">
        <v>10722.5</v>
      </c>
      <c r="C8" s="137" t="s">
        <v>225</v>
      </c>
      <c r="D8" s="137"/>
      <c r="E8" s="470"/>
      <c r="F8" s="470"/>
      <c r="G8" s="470"/>
      <c r="H8" s="471"/>
    </row>
    <row r="9" spans="1:8" ht="22.5" thickBot="1" x14ac:dyDescent="0.65">
      <c r="A9" s="133"/>
      <c r="B9" s="159"/>
      <c r="C9" s="160"/>
      <c r="D9" s="160"/>
      <c r="E9" s="472"/>
      <c r="F9" s="472"/>
      <c r="G9" s="472"/>
      <c r="H9" s="139"/>
    </row>
    <row r="10" spans="1:8" ht="21.75" x14ac:dyDescent="0.6">
      <c r="A10" s="133"/>
      <c r="B10" s="473" t="s">
        <v>606</v>
      </c>
      <c r="C10" s="163" t="s">
        <v>440</v>
      </c>
      <c r="D10" s="474" t="s">
        <v>789</v>
      </c>
      <c r="E10" s="475" t="s">
        <v>607</v>
      </c>
      <c r="F10" s="475" t="s">
        <v>608</v>
      </c>
      <c r="G10" s="476"/>
      <c r="H10" s="139"/>
    </row>
    <row r="11" spans="1:8" ht="21.75" x14ac:dyDescent="0.6">
      <c r="A11" s="133"/>
      <c r="B11" s="477" t="s">
        <v>1118</v>
      </c>
      <c r="C11" s="478">
        <v>1</v>
      </c>
      <c r="D11" s="478" t="s">
        <v>219</v>
      </c>
      <c r="E11" s="479">
        <v>5</v>
      </c>
      <c r="F11" s="480">
        <f>E11*B8</f>
        <v>53612.5</v>
      </c>
      <c r="G11" s="481"/>
      <c r="H11" s="139"/>
    </row>
    <row r="12" spans="1:8" ht="21.75" x14ac:dyDescent="0.6">
      <c r="A12" s="133"/>
      <c r="B12" s="482" t="s">
        <v>1119</v>
      </c>
      <c r="C12" s="483">
        <v>1</v>
      </c>
      <c r="D12" s="483" t="s">
        <v>219</v>
      </c>
      <c r="E12" s="484">
        <v>1.6</v>
      </c>
      <c r="F12" s="485">
        <f>E12*$B$8</f>
        <v>17156</v>
      </c>
      <c r="G12" s="481"/>
      <c r="H12" s="139"/>
    </row>
    <row r="13" spans="1:8" ht="21.75" x14ac:dyDescent="0.6">
      <c r="A13" s="133"/>
      <c r="B13" s="477" t="s">
        <v>1120</v>
      </c>
      <c r="C13" s="478">
        <v>1</v>
      </c>
      <c r="D13" s="478" t="s">
        <v>219</v>
      </c>
      <c r="E13" s="479">
        <v>15</v>
      </c>
      <c r="F13" s="480">
        <f>E13*$B$8</f>
        <v>160837.5</v>
      </c>
      <c r="G13" s="481"/>
      <c r="H13" s="139"/>
    </row>
    <row r="14" spans="1:8" ht="21.75" x14ac:dyDescent="0.6">
      <c r="A14" s="133"/>
      <c r="B14" s="482" t="s">
        <v>1121</v>
      </c>
      <c r="C14" s="483">
        <v>1</v>
      </c>
      <c r="D14" s="483" t="s">
        <v>219</v>
      </c>
      <c r="E14" s="484">
        <v>15</v>
      </c>
      <c r="F14" s="485">
        <f>E14*$B$8</f>
        <v>160837.5</v>
      </c>
      <c r="G14" s="481"/>
      <c r="H14" s="139"/>
    </row>
    <row r="15" spans="1:8" ht="21.75" x14ac:dyDescent="0.6">
      <c r="A15" s="133"/>
      <c r="B15" s="477" t="s">
        <v>1122</v>
      </c>
      <c r="C15" s="478">
        <v>1</v>
      </c>
      <c r="D15" s="478" t="s">
        <v>219</v>
      </c>
      <c r="E15" s="479">
        <v>15</v>
      </c>
      <c r="F15" s="480">
        <f>E15*$B$8</f>
        <v>160837.5</v>
      </c>
      <c r="G15" s="481"/>
      <c r="H15" s="139"/>
    </row>
    <row r="16" spans="1:8" ht="22.5" thickBot="1" x14ac:dyDescent="0.65">
      <c r="A16" s="133"/>
      <c r="B16" s="486" t="s">
        <v>1123</v>
      </c>
      <c r="C16" s="487">
        <v>1</v>
      </c>
      <c r="D16" s="487" t="s">
        <v>219</v>
      </c>
      <c r="E16" s="488">
        <v>10</v>
      </c>
      <c r="F16" s="489">
        <f>E16*$B$8</f>
        <v>107225</v>
      </c>
      <c r="G16" s="481"/>
      <c r="H16" s="139"/>
    </row>
    <row r="17" spans="1:8" ht="15.75" thickBot="1" x14ac:dyDescent="0.3">
      <c r="A17" s="490"/>
      <c r="B17" s="491"/>
      <c r="C17" s="491"/>
      <c r="D17" s="491"/>
      <c r="E17" s="492"/>
      <c r="F17" s="492"/>
      <c r="G17" s="493"/>
      <c r="H17" s="494"/>
    </row>
    <row r="19" spans="1:8" x14ac:dyDescent="0.25">
      <c r="B19" t="s">
        <v>1124</v>
      </c>
    </row>
    <row r="20" spans="1:8" x14ac:dyDescent="0.25">
      <c r="B20" t="s">
        <v>1125</v>
      </c>
    </row>
  </sheetData>
  <mergeCells count="2">
    <mergeCell ref="A4:H4"/>
    <mergeCell ref="A6:H6"/>
  </mergeCells>
  <pageMargins left="0.511811024" right="0.511811024" top="0.78740157499999996" bottom="0.78740157499999996" header="0.31496062000000002" footer="0.31496062000000002"/>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06889-3303-4EE9-A17E-8B3D5152D14A}">
  <sheetPr>
    <pageSetUpPr fitToPage="1"/>
  </sheetPr>
  <dimension ref="A1:K150"/>
  <sheetViews>
    <sheetView topLeftCell="A125" zoomScale="70" zoomScaleNormal="70" zoomScaleSheetLayoutView="86" workbookViewId="0">
      <selection activeCell="C137" sqref="C137"/>
    </sheetView>
  </sheetViews>
  <sheetFormatPr defaultColWidth="8.85546875" defaultRowHeight="21.75" x14ac:dyDescent="0.6"/>
  <cols>
    <col min="1" max="1" width="11.85546875" style="117" bestFit="1" customWidth="1"/>
    <col min="2" max="2" width="18.28515625" style="118" customWidth="1"/>
    <col min="3" max="3" width="37.42578125" style="118" customWidth="1"/>
    <col min="4" max="4" width="15" style="118" customWidth="1"/>
    <col min="5" max="5" width="19.42578125" style="535" customWidth="1"/>
    <col min="6" max="6" width="24.7109375" style="535" bestFit="1" customWidth="1"/>
    <col min="7" max="7" width="15.85546875" style="72" customWidth="1"/>
    <col min="8" max="8" width="22.7109375" style="72" customWidth="1"/>
    <col min="9" max="9" width="28.5703125" style="72" customWidth="1"/>
    <col min="10" max="16384" width="8.85546875" style="72"/>
  </cols>
  <sheetData>
    <row r="1" spans="1:6" ht="18" customHeight="1" x14ac:dyDescent="0.25">
      <c r="A1" s="65" t="s">
        <v>397</v>
      </c>
      <c r="B1" s="66" t="str">
        <f>[8]ARQUIVOS_BASE!B1</f>
        <v>WEST VILLAGE</v>
      </c>
      <c r="C1" s="67"/>
      <c r="D1" s="67"/>
      <c r="E1" s="465"/>
      <c r="F1" s="497"/>
    </row>
    <row r="2" spans="1:6" ht="18" customHeight="1" x14ac:dyDescent="0.25">
      <c r="A2" s="73" t="s">
        <v>398</v>
      </c>
      <c r="B2" s="74" t="str">
        <f>[8]ARQUIVOS_BASE!B2</f>
        <v>KIRCHNER</v>
      </c>
      <c r="C2" s="75"/>
      <c r="D2" s="75"/>
      <c r="E2" s="466"/>
      <c r="F2" s="498"/>
    </row>
    <row r="3" spans="1:6" ht="18" customHeight="1" x14ac:dyDescent="0.25">
      <c r="A3" s="73" t="s">
        <v>399</v>
      </c>
      <c r="B3" s="74">
        <f>[8]ARQUIVOS_BASE!B3</f>
        <v>0</v>
      </c>
      <c r="C3" s="75"/>
      <c r="D3" s="75"/>
      <c r="E3" s="466"/>
      <c r="F3" s="498"/>
    </row>
    <row r="4" spans="1:6" ht="25.15" customHeight="1" x14ac:dyDescent="0.25">
      <c r="A4" s="809" t="s">
        <v>400</v>
      </c>
      <c r="B4" s="810"/>
      <c r="C4" s="810"/>
      <c r="D4" s="810"/>
      <c r="E4" s="810"/>
      <c r="F4" s="864"/>
    </row>
    <row r="5" spans="1:6" ht="14.45" customHeight="1" x14ac:dyDescent="0.25">
      <c r="A5" s="80"/>
      <c r="B5" s="81"/>
      <c r="C5" s="81"/>
      <c r="D5" s="81"/>
      <c r="E5" s="499"/>
      <c r="F5" s="500"/>
    </row>
    <row r="6" spans="1:6" ht="16.899999999999999" customHeight="1" thickBot="1" x14ac:dyDescent="0.3">
      <c r="A6" s="865" t="s">
        <v>1126</v>
      </c>
      <c r="B6" s="866"/>
      <c r="C6" s="866"/>
      <c r="D6" s="866"/>
      <c r="E6" s="866"/>
      <c r="F6" s="867"/>
    </row>
    <row r="7" spans="1:6" ht="14.45" customHeight="1" x14ac:dyDescent="0.25">
      <c r="A7" s="85"/>
      <c r="B7" s="86"/>
      <c r="C7" s="86"/>
      <c r="D7" s="86"/>
      <c r="E7" s="501"/>
      <c r="F7" s="502"/>
    </row>
    <row r="8" spans="1:6" x14ac:dyDescent="0.6">
      <c r="A8" s="91" t="s">
        <v>1127</v>
      </c>
      <c r="B8" s="92"/>
      <c r="C8" s="92"/>
      <c r="D8" s="92"/>
      <c r="E8" s="503"/>
      <c r="F8" s="503"/>
    </row>
    <row r="9" spans="1:6" ht="22.5" thickBot="1" x14ac:dyDescent="0.65">
      <c r="A9" s="246"/>
      <c r="B9" s="97"/>
      <c r="C9" s="97"/>
      <c r="D9" s="97"/>
      <c r="E9" s="504"/>
      <c r="F9" s="504"/>
    </row>
    <row r="10" spans="1:6" ht="43.5" customHeight="1" thickBot="1" x14ac:dyDescent="0.3">
      <c r="A10" s="505" t="s">
        <v>457</v>
      </c>
      <c r="B10" s="505" t="s">
        <v>1128</v>
      </c>
      <c r="C10" s="506" t="s">
        <v>1129</v>
      </c>
      <c r="D10" s="506" t="s">
        <v>1130</v>
      </c>
      <c r="E10" s="507" t="s">
        <v>1131</v>
      </c>
      <c r="F10" s="507" t="s">
        <v>226</v>
      </c>
    </row>
    <row r="11" spans="1:6" ht="34.9" customHeight="1" x14ac:dyDescent="0.25">
      <c r="A11" s="868" t="s">
        <v>548</v>
      </c>
      <c r="B11" s="871" t="s">
        <v>1132</v>
      </c>
      <c r="C11" s="509" t="s">
        <v>1133</v>
      </c>
      <c r="D11" s="510">
        <v>2</v>
      </c>
      <c r="E11" s="511">
        <v>1736</v>
      </c>
      <c r="F11" s="512">
        <f>E11*D11</f>
        <v>3472</v>
      </c>
    </row>
    <row r="12" spans="1:6" ht="34.9" customHeight="1" x14ac:dyDescent="0.25">
      <c r="A12" s="869"/>
      <c r="B12" s="862"/>
      <c r="C12" s="513" t="s">
        <v>1134</v>
      </c>
      <c r="D12" s="186">
        <v>1</v>
      </c>
      <c r="E12" s="514">
        <v>3409.9</v>
      </c>
      <c r="F12" s="515">
        <f t="shared" ref="F12:F75" si="0">E12*D12</f>
        <v>3409.9</v>
      </c>
    </row>
    <row r="13" spans="1:6" ht="31.5" x14ac:dyDescent="0.25">
      <c r="A13" s="869"/>
      <c r="B13" s="862"/>
      <c r="C13" s="513" t="s">
        <v>1135</v>
      </c>
      <c r="D13" s="186">
        <v>1</v>
      </c>
      <c r="E13" s="514">
        <v>503.41</v>
      </c>
      <c r="F13" s="515">
        <f t="shared" si="0"/>
        <v>503.41</v>
      </c>
    </row>
    <row r="14" spans="1:6" ht="15.75" x14ac:dyDescent="0.25">
      <c r="A14" s="869"/>
      <c r="B14" s="862"/>
      <c r="C14" s="513" t="s">
        <v>1136</v>
      </c>
      <c r="D14" s="186">
        <v>1</v>
      </c>
      <c r="E14" s="514">
        <v>1084</v>
      </c>
      <c r="F14" s="515">
        <f t="shared" si="0"/>
        <v>1084</v>
      </c>
    </row>
    <row r="15" spans="1:6" ht="15.75" x14ac:dyDescent="0.25">
      <c r="A15" s="869"/>
      <c r="B15" s="862"/>
      <c r="C15" s="513" t="s">
        <v>1137</v>
      </c>
      <c r="D15" s="186">
        <v>1</v>
      </c>
      <c r="E15" s="516">
        <v>207.8</v>
      </c>
      <c r="F15" s="517">
        <f t="shared" si="0"/>
        <v>207.8</v>
      </c>
    </row>
    <row r="16" spans="1:6" ht="15.6" customHeight="1" x14ac:dyDescent="0.25">
      <c r="A16" s="869"/>
      <c r="B16" s="862"/>
      <c r="C16" s="513" t="s">
        <v>1138</v>
      </c>
      <c r="D16" s="186">
        <v>1</v>
      </c>
      <c r="E16" s="514">
        <v>400</v>
      </c>
      <c r="F16" s="515">
        <f t="shared" si="0"/>
        <v>400</v>
      </c>
    </row>
    <row r="17" spans="1:9" ht="27" customHeight="1" thickBot="1" x14ac:dyDescent="0.3">
      <c r="A17" s="869"/>
      <c r="B17" s="863"/>
      <c r="C17" s="513" t="s">
        <v>1139</v>
      </c>
      <c r="D17" s="186">
        <v>1</v>
      </c>
      <c r="E17" s="514">
        <v>2120</v>
      </c>
      <c r="F17" s="515">
        <f t="shared" si="0"/>
        <v>2120</v>
      </c>
    </row>
    <row r="18" spans="1:9" ht="16.5" thickBot="1" x14ac:dyDescent="0.3">
      <c r="A18" s="870"/>
      <c r="B18" s="508" t="s">
        <v>1140</v>
      </c>
      <c r="C18" s="513" t="s">
        <v>1136</v>
      </c>
      <c r="D18" s="250">
        <v>1</v>
      </c>
      <c r="E18" s="518">
        <v>1084</v>
      </c>
      <c r="F18" s="519">
        <f t="shared" si="0"/>
        <v>1084</v>
      </c>
    </row>
    <row r="19" spans="1:9" ht="28.15" customHeight="1" x14ac:dyDescent="0.25">
      <c r="A19" s="868" t="s">
        <v>552</v>
      </c>
      <c r="B19" s="871" t="s">
        <v>1141</v>
      </c>
      <c r="C19" s="509" t="s">
        <v>1142</v>
      </c>
      <c r="D19" s="510">
        <v>9</v>
      </c>
      <c r="E19" s="520">
        <v>8214</v>
      </c>
      <c r="F19" s="521">
        <f t="shared" si="0"/>
        <v>73926</v>
      </c>
    </row>
    <row r="20" spans="1:9" ht="32.25" thickBot="1" x14ac:dyDescent="0.3">
      <c r="A20" s="869"/>
      <c r="B20" s="863"/>
      <c r="C20" s="513" t="s">
        <v>1143</v>
      </c>
      <c r="D20" s="186">
        <v>8</v>
      </c>
      <c r="E20" s="514">
        <v>3288.24</v>
      </c>
      <c r="F20" s="515">
        <f t="shared" si="0"/>
        <v>26305.919999999998</v>
      </c>
    </row>
    <row r="21" spans="1:9" ht="52.9" customHeight="1" x14ac:dyDescent="0.25">
      <c r="A21" s="869"/>
      <c r="B21" s="861" t="s">
        <v>1144</v>
      </c>
      <c r="C21" s="509" t="s">
        <v>1145</v>
      </c>
      <c r="D21" s="510">
        <v>2</v>
      </c>
      <c r="E21" s="522">
        <v>6852.92</v>
      </c>
      <c r="F21" s="523">
        <f t="shared" si="0"/>
        <v>13705.84</v>
      </c>
    </row>
    <row r="22" spans="1:9" ht="15.6" customHeight="1" x14ac:dyDescent="0.25">
      <c r="A22" s="869"/>
      <c r="B22" s="862"/>
      <c r="C22" s="513" t="s">
        <v>1146</v>
      </c>
      <c r="D22" s="186">
        <v>12</v>
      </c>
      <c r="E22" s="516">
        <v>2472.0300000000002</v>
      </c>
      <c r="F22" s="517">
        <f t="shared" si="0"/>
        <v>29664.36</v>
      </c>
    </row>
    <row r="23" spans="1:9" ht="15.75" x14ac:dyDescent="0.25">
      <c r="A23" s="869"/>
      <c r="B23" s="862"/>
      <c r="C23" s="513" t="s">
        <v>1133</v>
      </c>
      <c r="D23" s="186">
        <v>2</v>
      </c>
      <c r="E23" s="516">
        <v>1736</v>
      </c>
      <c r="F23" s="517">
        <f t="shared" si="0"/>
        <v>3472</v>
      </c>
    </row>
    <row r="24" spans="1:9" ht="31.5" x14ac:dyDescent="0.25">
      <c r="A24" s="869"/>
      <c r="B24" s="862"/>
      <c r="C24" s="513" t="s">
        <v>1147</v>
      </c>
      <c r="D24" s="186">
        <v>8</v>
      </c>
      <c r="E24" s="516">
        <v>2091.0100000000002</v>
      </c>
      <c r="F24" s="517">
        <f t="shared" si="0"/>
        <v>16728.080000000002</v>
      </c>
    </row>
    <row r="25" spans="1:9" ht="26.45" customHeight="1" x14ac:dyDescent="0.25">
      <c r="A25" s="869"/>
      <c r="B25" s="862"/>
      <c r="C25" s="513" t="s">
        <v>1148</v>
      </c>
      <c r="D25" s="186">
        <v>1</v>
      </c>
      <c r="E25" s="516">
        <v>2399.9</v>
      </c>
      <c r="F25" s="517">
        <f t="shared" si="0"/>
        <v>2399.9</v>
      </c>
    </row>
    <row r="26" spans="1:9" ht="31.5" x14ac:dyDescent="0.25">
      <c r="A26" s="869"/>
      <c r="B26" s="862"/>
      <c r="C26" s="513" t="s">
        <v>1149</v>
      </c>
      <c r="D26" s="186">
        <v>1</v>
      </c>
      <c r="E26" s="516">
        <v>2789.91</v>
      </c>
      <c r="F26" s="517">
        <f t="shared" si="0"/>
        <v>2789.91</v>
      </c>
    </row>
    <row r="27" spans="1:9" ht="26.45" customHeight="1" x14ac:dyDescent="0.25">
      <c r="A27" s="869"/>
      <c r="B27" s="862"/>
      <c r="C27" s="513" t="s">
        <v>1150</v>
      </c>
      <c r="D27" s="186">
        <v>1</v>
      </c>
      <c r="E27" s="516">
        <v>1808.9</v>
      </c>
      <c r="F27" s="517">
        <f t="shared" si="0"/>
        <v>1808.9</v>
      </c>
    </row>
    <row r="28" spans="1:9" ht="31.5" x14ac:dyDescent="0.25">
      <c r="A28" s="869"/>
      <c r="B28" s="862"/>
      <c r="C28" s="513" t="s">
        <v>1135</v>
      </c>
      <c r="D28" s="186">
        <v>1</v>
      </c>
      <c r="E28" s="514">
        <v>503.41</v>
      </c>
      <c r="F28" s="517">
        <f t="shared" si="0"/>
        <v>503.41</v>
      </c>
    </row>
    <row r="29" spans="1:9" ht="15.75" x14ac:dyDescent="0.25">
      <c r="A29" s="869"/>
      <c r="B29" s="862"/>
      <c r="C29" s="513" t="s">
        <v>1137</v>
      </c>
      <c r="D29" s="186">
        <v>1</v>
      </c>
      <c r="E29" s="516">
        <v>207.8</v>
      </c>
      <c r="F29" s="517">
        <f t="shared" si="0"/>
        <v>207.8</v>
      </c>
      <c r="H29" s="62"/>
      <c r="I29" s="524"/>
    </row>
    <row r="30" spans="1:9" ht="31.5" x14ac:dyDescent="0.25">
      <c r="A30" s="869"/>
      <c r="B30" s="862"/>
      <c r="C30" s="513" t="s">
        <v>1151</v>
      </c>
      <c r="D30" s="186">
        <v>1</v>
      </c>
      <c r="E30" s="516">
        <v>3999</v>
      </c>
      <c r="F30" s="517">
        <f t="shared" si="0"/>
        <v>3999</v>
      </c>
      <c r="H30" s="62"/>
      <c r="I30" s="524"/>
    </row>
    <row r="31" spans="1:9" ht="26.45" customHeight="1" x14ac:dyDescent="0.25">
      <c r="A31" s="869"/>
      <c r="B31" s="862"/>
      <c r="C31" s="513" t="s">
        <v>1152</v>
      </c>
      <c r="D31" s="186">
        <v>2</v>
      </c>
      <c r="E31" s="516">
        <v>429.9</v>
      </c>
      <c r="F31" s="517">
        <f t="shared" si="0"/>
        <v>859.8</v>
      </c>
      <c r="H31" s="62"/>
      <c r="I31" s="524"/>
    </row>
    <row r="32" spans="1:9" ht="26.45" customHeight="1" x14ac:dyDescent="0.25">
      <c r="A32" s="869"/>
      <c r="B32" s="862"/>
      <c r="C32" s="513" t="s">
        <v>1153</v>
      </c>
      <c r="D32" s="186">
        <v>2</v>
      </c>
      <c r="E32" s="516">
        <v>1089.9000000000001</v>
      </c>
      <c r="F32" s="517">
        <f t="shared" si="0"/>
        <v>2179.8000000000002</v>
      </c>
      <c r="H32" s="62"/>
      <c r="I32" s="524"/>
    </row>
    <row r="33" spans="1:9" ht="31.5" x14ac:dyDescent="0.25">
      <c r="A33" s="869"/>
      <c r="B33" s="862"/>
      <c r="C33" s="513" t="s">
        <v>1154</v>
      </c>
      <c r="D33" s="186">
        <v>1</v>
      </c>
      <c r="E33" s="516">
        <v>499.9</v>
      </c>
      <c r="F33" s="517">
        <f t="shared" si="0"/>
        <v>499.9</v>
      </c>
      <c r="H33" s="62"/>
      <c r="I33" s="524"/>
    </row>
    <row r="34" spans="1:9" ht="31.5" x14ac:dyDescent="0.25">
      <c r="A34" s="869"/>
      <c r="B34" s="862"/>
      <c r="C34" s="513" t="s">
        <v>1155</v>
      </c>
      <c r="D34" s="186">
        <v>1</v>
      </c>
      <c r="E34" s="516">
        <v>299</v>
      </c>
      <c r="F34" s="517">
        <f t="shared" si="0"/>
        <v>299</v>
      </c>
      <c r="H34" s="62"/>
      <c r="I34" s="524"/>
    </row>
    <row r="35" spans="1:9" ht="31.5" x14ac:dyDescent="0.25">
      <c r="A35" s="869"/>
      <c r="B35" s="862"/>
      <c r="C35" s="513" t="s">
        <v>1156</v>
      </c>
      <c r="D35" s="186">
        <v>1</v>
      </c>
      <c r="E35" s="516">
        <v>119</v>
      </c>
      <c r="F35" s="517">
        <f t="shared" si="0"/>
        <v>119</v>
      </c>
      <c r="H35" s="62"/>
      <c r="I35" s="524"/>
    </row>
    <row r="36" spans="1:9" ht="26.45" customHeight="1" x14ac:dyDescent="0.25">
      <c r="A36" s="869"/>
      <c r="B36" s="862"/>
      <c r="C36" s="513" t="s">
        <v>1157</v>
      </c>
      <c r="D36" s="186">
        <v>1</v>
      </c>
      <c r="E36" s="516">
        <v>145.99</v>
      </c>
      <c r="F36" s="517">
        <f t="shared" si="0"/>
        <v>145.99</v>
      </c>
      <c r="H36" s="62"/>
      <c r="I36" s="524"/>
    </row>
    <row r="37" spans="1:9" ht="31.5" x14ac:dyDescent="0.25">
      <c r="A37" s="869"/>
      <c r="B37" s="862"/>
      <c r="C37" s="513" t="s">
        <v>1158</v>
      </c>
      <c r="D37" s="186">
        <v>2</v>
      </c>
      <c r="E37" s="516">
        <v>179.89</v>
      </c>
      <c r="F37" s="517">
        <f t="shared" si="0"/>
        <v>359.78</v>
      </c>
      <c r="H37" s="62"/>
      <c r="I37" s="524"/>
    </row>
    <row r="38" spans="1:9" ht="26.45" customHeight="1" x14ac:dyDescent="0.25">
      <c r="A38" s="869"/>
      <c r="B38" s="862"/>
      <c r="C38" s="513" t="s">
        <v>1159</v>
      </c>
      <c r="D38" s="186">
        <v>4</v>
      </c>
      <c r="E38" s="516">
        <v>19.989999999999998</v>
      </c>
      <c r="F38" s="517">
        <f t="shared" si="0"/>
        <v>79.959999999999994</v>
      </c>
      <c r="H38" s="62"/>
      <c r="I38" s="524"/>
    </row>
    <row r="39" spans="1:9" ht="78.75" x14ac:dyDescent="0.25">
      <c r="A39" s="869"/>
      <c r="B39" s="862"/>
      <c r="C39" s="513" t="s">
        <v>1160</v>
      </c>
      <c r="D39" s="186">
        <v>4</v>
      </c>
      <c r="E39" s="516">
        <v>721.99</v>
      </c>
      <c r="F39" s="517">
        <f t="shared" si="0"/>
        <v>2887.96</v>
      </c>
      <c r="H39" s="62"/>
      <c r="I39" s="524"/>
    </row>
    <row r="40" spans="1:9" ht="26.45" customHeight="1" x14ac:dyDescent="0.25">
      <c r="A40" s="869"/>
      <c r="B40" s="862"/>
      <c r="C40" s="513" t="s">
        <v>1161</v>
      </c>
      <c r="D40" s="186">
        <v>4</v>
      </c>
      <c r="E40" s="516">
        <v>62</v>
      </c>
      <c r="F40" s="517">
        <f t="shared" si="0"/>
        <v>248</v>
      </c>
      <c r="H40" s="62"/>
      <c r="I40" s="524"/>
    </row>
    <row r="41" spans="1:9" ht="26.45" customHeight="1" x14ac:dyDescent="0.25">
      <c r="A41" s="869"/>
      <c r="B41" s="862"/>
      <c r="C41" s="513" t="s">
        <v>1162</v>
      </c>
      <c r="D41" s="186">
        <v>4</v>
      </c>
      <c r="E41" s="516">
        <v>150</v>
      </c>
      <c r="F41" s="517">
        <f t="shared" si="0"/>
        <v>600</v>
      </c>
      <c r="H41" s="62"/>
      <c r="I41" s="524"/>
    </row>
    <row r="42" spans="1:9" ht="47.25" x14ac:dyDescent="0.25">
      <c r="A42" s="869"/>
      <c r="B42" s="862"/>
      <c r="C42" s="513" t="s">
        <v>1163</v>
      </c>
      <c r="D42" s="186">
        <v>1</v>
      </c>
      <c r="E42" s="516">
        <v>1129</v>
      </c>
      <c r="F42" s="517">
        <f t="shared" si="0"/>
        <v>1129</v>
      </c>
      <c r="H42" s="62"/>
      <c r="I42" s="524"/>
    </row>
    <row r="43" spans="1:9" ht="32.25" thickBot="1" x14ac:dyDescent="0.3">
      <c r="A43" s="869"/>
      <c r="B43" s="863"/>
      <c r="C43" s="525" t="s">
        <v>1164</v>
      </c>
      <c r="D43" s="250">
        <v>1</v>
      </c>
      <c r="E43" s="526">
        <v>800</v>
      </c>
      <c r="F43" s="527">
        <f t="shared" si="0"/>
        <v>800</v>
      </c>
      <c r="H43" s="62"/>
      <c r="I43" s="524"/>
    </row>
    <row r="44" spans="1:9" ht="52.9" customHeight="1" x14ac:dyDescent="0.25">
      <c r="A44" s="869"/>
      <c r="B44" s="861" t="s">
        <v>1165</v>
      </c>
      <c r="C44" s="509" t="s">
        <v>1151</v>
      </c>
      <c r="D44" s="510">
        <v>1</v>
      </c>
      <c r="E44" s="522">
        <v>3999</v>
      </c>
      <c r="F44" s="523">
        <f t="shared" si="0"/>
        <v>3999</v>
      </c>
      <c r="H44" s="62"/>
      <c r="I44" s="524"/>
    </row>
    <row r="45" spans="1:9" ht="26.45" customHeight="1" x14ac:dyDescent="0.25">
      <c r="A45" s="869"/>
      <c r="B45" s="862"/>
      <c r="C45" s="513" t="s">
        <v>1166</v>
      </c>
      <c r="D45" s="186">
        <v>1</v>
      </c>
      <c r="E45" s="516">
        <v>5192</v>
      </c>
      <c r="F45" s="517">
        <f t="shared" si="0"/>
        <v>5192</v>
      </c>
      <c r="H45" s="62"/>
      <c r="I45" s="524"/>
    </row>
    <row r="46" spans="1:9" ht="31.5" x14ac:dyDescent="0.25">
      <c r="A46" s="869"/>
      <c r="B46" s="862"/>
      <c r="C46" s="513" t="s">
        <v>1167</v>
      </c>
      <c r="D46" s="186">
        <v>1</v>
      </c>
      <c r="E46" s="516">
        <v>3999</v>
      </c>
      <c r="F46" s="517">
        <f t="shared" si="0"/>
        <v>3999</v>
      </c>
      <c r="H46" s="62"/>
      <c r="I46" s="524"/>
    </row>
    <row r="47" spans="1:9" ht="31.5" x14ac:dyDescent="0.25">
      <c r="A47" s="869"/>
      <c r="B47" s="862"/>
      <c r="C47" s="513" t="s">
        <v>1135</v>
      </c>
      <c r="D47" s="186">
        <v>1</v>
      </c>
      <c r="E47" s="514">
        <v>503.41</v>
      </c>
      <c r="F47" s="517">
        <f t="shared" si="0"/>
        <v>503.41</v>
      </c>
      <c r="H47" s="62"/>
      <c r="I47" s="524"/>
    </row>
    <row r="48" spans="1:9" ht="15.75" x14ac:dyDescent="0.25">
      <c r="A48" s="869"/>
      <c r="B48" s="862"/>
      <c r="C48" s="513" t="s">
        <v>1133</v>
      </c>
      <c r="D48" s="186">
        <v>2</v>
      </c>
      <c r="E48" s="516">
        <v>1736</v>
      </c>
      <c r="F48" s="517">
        <f t="shared" si="0"/>
        <v>3472</v>
      </c>
      <c r="H48" s="62"/>
      <c r="I48" s="524"/>
    </row>
    <row r="49" spans="1:6" ht="31.5" x14ac:dyDescent="0.25">
      <c r="A49" s="869"/>
      <c r="B49" s="862"/>
      <c r="C49" s="513" t="s">
        <v>1147</v>
      </c>
      <c r="D49" s="186">
        <v>1</v>
      </c>
      <c r="E49" s="516">
        <v>2091.0100000000002</v>
      </c>
      <c r="F49" s="517">
        <f t="shared" si="0"/>
        <v>2091.0100000000002</v>
      </c>
    </row>
    <row r="50" spans="1:6" ht="26.45" customHeight="1" x14ac:dyDescent="0.25">
      <c r="A50" s="869"/>
      <c r="B50" s="862"/>
      <c r="C50" s="513" t="s">
        <v>1139</v>
      </c>
      <c r="D50" s="186">
        <v>1</v>
      </c>
      <c r="E50" s="514">
        <v>2120</v>
      </c>
      <c r="F50" s="517">
        <f t="shared" si="0"/>
        <v>2120</v>
      </c>
    </row>
    <row r="51" spans="1:6" ht="15.75" x14ac:dyDescent="0.25">
      <c r="A51" s="869"/>
      <c r="B51" s="862"/>
      <c r="C51" s="513" t="s">
        <v>1133</v>
      </c>
      <c r="D51" s="186">
        <v>2</v>
      </c>
      <c r="E51" s="516">
        <v>1736</v>
      </c>
      <c r="F51" s="517">
        <f t="shared" si="0"/>
        <v>3472</v>
      </c>
    </row>
    <row r="52" spans="1:6" ht="15.75" x14ac:dyDescent="0.25">
      <c r="A52" s="869"/>
      <c r="B52" s="862"/>
      <c r="C52" s="513" t="s">
        <v>1168</v>
      </c>
      <c r="D52" s="186">
        <v>1</v>
      </c>
      <c r="E52" s="516">
        <v>5025.79</v>
      </c>
      <c r="F52" s="517">
        <f t="shared" si="0"/>
        <v>5025.79</v>
      </c>
    </row>
    <row r="53" spans="1:6" ht="15.75" x14ac:dyDescent="0.25">
      <c r="A53" s="869"/>
      <c r="B53" s="862"/>
      <c r="C53" s="513" t="s">
        <v>1133</v>
      </c>
      <c r="D53" s="186">
        <v>6</v>
      </c>
      <c r="E53" s="514">
        <v>1736</v>
      </c>
      <c r="F53" s="517">
        <f t="shared" si="0"/>
        <v>10416</v>
      </c>
    </row>
    <row r="54" spans="1:6" ht="26.45" customHeight="1" x14ac:dyDescent="0.25">
      <c r="A54" s="869"/>
      <c r="B54" s="862"/>
      <c r="C54" s="513" t="s">
        <v>1169</v>
      </c>
      <c r="D54" s="186">
        <v>1</v>
      </c>
      <c r="E54" s="516">
        <v>500</v>
      </c>
      <c r="F54" s="517">
        <f t="shared" si="0"/>
        <v>500</v>
      </c>
    </row>
    <row r="55" spans="1:6" ht="15.75" x14ac:dyDescent="0.25">
      <c r="A55" s="869"/>
      <c r="B55" s="862"/>
      <c r="C55" s="513" t="s">
        <v>1170</v>
      </c>
      <c r="D55" s="186">
        <v>1</v>
      </c>
      <c r="E55" s="516">
        <v>1000</v>
      </c>
      <c r="F55" s="517">
        <f t="shared" si="0"/>
        <v>1000</v>
      </c>
    </row>
    <row r="56" spans="1:6" ht="31.5" x14ac:dyDescent="0.25">
      <c r="A56" s="869"/>
      <c r="B56" s="862"/>
      <c r="C56" s="513" t="s">
        <v>1171</v>
      </c>
      <c r="D56" s="186">
        <v>1</v>
      </c>
      <c r="E56" s="516">
        <v>400</v>
      </c>
      <c r="F56" s="517">
        <f t="shared" si="0"/>
        <v>400</v>
      </c>
    </row>
    <row r="57" spans="1:6" ht="47.25" x14ac:dyDescent="0.25">
      <c r="A57" s="869"/>
      <c r="B57" s="862"/>
      <c r="C57" s="513" t="s">
        <v>1172</v>
      </c>
      <c r="D57" s="186">
        <v>2</v>
      </c>
      <c r="E57" s="516">
        <v>2450</v>
      </c>
      <c r="F57" s="517">
        <f t="shared" si="0"/>
        <v>4900</v>
      </c>
    </row>
    <row r="58" spans="1:6" ht="31.5" x14ac:dyDescent="0.25">
      <c r="A58" s="869"/>
      <c r="B58" s="862"/>
      <c r="C58" s="513" t="s">
        <v>1173</v>
      </c>
      <c r="D58" s="186">
        <v>1</v>
      </c>
      <c r="E58" s="516">
        <v>150</v>
      </c>
      <c r="F58" s="517">
        <f t="shared" si="0"/>
        <v>150</v>
      </c>
    </row>
    <row r="59" spans="1:6" ht="31.5" x14ac:dyDescent="0.25">
      <c r="A59" s="869"/>
      <c r="B59" s="862"/>
      <c r="C59" s="513" t="s">
        <v>1173</v>
      </c>
      <c r="D59" s="186">
        <v>1</v>
      </c>
      <c r="E59" s="516">
        <v>150</v>
      </c>
      <c r="F59" s="517">
        <f t="shared" si="0"/>
        <v>150</v>
      </c>
    </row>
    <row r="60" spans="1:6" ht="27" customHeight="1" thickBot="1" x14ac:dyDescent="0.3">
      <c r="A60" s="869"/>
      <c r="B60" s="863"/>
      <c r="C60" s="525" t="s">
        <v>1174</v>
      </c>
      <c r="D60" s="250">
        <v>1</v>
      </c>
      <c r="E60" s="526">
        <v>18.899999999999999</v>
      </c>
      <c r="F60" s="527">
        <f t="shared" si="0"/>
        <v>18.899999999999999</v>
      </c>
    </row>
    <row r="61" spans="1:6" ht="52.9" customHeight="1" x14ac:dyDescent="0.25">
      <c r="A61" s="869"/>
      <c r="B61" s="861" t="s">
        <v>1175</v>
      </c>
      <c r="C61" s="509" t="s">
        <v>1176</v>
      </c>
      <c r="D61" s="510">
        <v>9</v>
      </c>
      <c r="E61" s="522">
        <v>3497.54</v>
      </c>
      <c r="F61" s="528">
        <f>E84*D84</f>
        <v>6995.08</v>
      </c>
    </row>
    <row r="62" spans="1:6" ht="26.45" customHeight="1" x14ac:dyDescent="0.25">
      <c r="A62" s="869"/>
      <c r="B62" s="862"/>
      <c r="C62" s="513" t="s">
        <v>1177</v>
      </c>
      <c r="D62" s="186">
        <v>54</v>
      </c>
      <c r="E62" s="516">
        <v>1182</v>
      </c>
      <c r="F62" s="517">
        <f t="shared" si="0"/>
        <v>63828</v>
      </c>
    </row>
    <row r="63" spans="1:6" ht="15.75" x14ac:dyDescent="0.25">
      <c r="A63" s="869"/>
      <c r="B63" s="862"/>
      <c r="C63" s="513" t="s">
        <v>1133</v>
      </c>
      <c r="D63" s="186">
        <v>2</v>
      </c>
      <c r="E63" s="516">
        <v>1736</v>
      </c>
      <c r="F63" s="517">
        <f t="shared" si="0"/>
        <v>3472</v>
      </c>
    </row>
    <row r="64" spans="1:6" ht="31.5" x14ac:dyDescent="0.25">
      <c r="A64" s="869"/>
      <c r="B64" s="862"/>
      <c r="C64" s="513" t="s">
        <v>1147</v>
      </c>
      <c r="D64" s="186">
        <v>8</v>
      </c>
      <c r="E64" s="516">
        <v>2091.0100000000002</v>
      </c>
      <c r="F64" s="517">
        <f t="shared" si="0"/>
        <v>16728.080000000002</v>
      </c>
    </row>
    <row r="65" spans="1:6" ht="26.45" customHeight="1" x14ac:dyDescent="0.25">
      <c r="A65" s="869"/>
      <c r="B65" s="862"/>
      <c r="C65" s="513" t="s">
        <v>1148</v>
      </c>
      <c r="D65" s="186">
        <v>1</v>
      </c>
      <c r="E65" s="516">
        <v>2399.9</v>
      </c>
      <c r="F65" s="517">
        <f t="shared" si="0"/>
        <v>2399.9</v>
      </c>
    </row>
    <row r="66" spans="1:6" ht="31.5" x14ac:dyDescent="0.25">
      <c r="A66" s="869"/>
      <c r="B66" s="862"/>
      <c r="C66" s="513" t="s">
        <v>1149</v>
      </c>
      <c r="D66" s="186">
        <v>1</v>
      </c>
      <c r="E66" s="516">
        <v>2789.91</v>
      </c>
      <c r="F66" s="517">
        <f t="shared" si="0"/>
        <v>2789.91</v>
      </c>
    </row>
    <row r="67" spans="1:6" ht="26.45" customHeight="1" x14ac:dyDescent="0.25">
      <c r="A67" s="869"/>
      <c r="B67" s="862"/>
      <c r="C67" s="513" t="s">
        <v>1150</v>
      </c>
      <c r="D67" s="186">
        <v>1</v>
      </c>
      <c r="E67" s="516">
        <v>1808.9</v>
      </c>
      <c r="F67" s="517">
        <f t="shared" si="0"/>
        <v>1808.9</v>
      </c>
    </row>
    <row r="68" spans="1:6" ht="31.5" x14ac:dyDescent="0.25">
      <c r="A68" s="869"/>
      <c r="B68" s="862"/>
      <c r="C68" s="513" t="s">
        <v>1135</v>
      </c>
      <c r="D68" s="186">
        <v>1</v>
      </c>
      <c r="E68" s="514">
        <v>503.41</v>
      </c>
      <c r="F68" s="517">
        <f t="shared" si="0"/>
        <v>503.41</v>
      </c>
    </row>
    <row r="69" spans="1:6" ht="15.75" x14ac:dyDescent="0.25">
      <c r="A69" s="869"/>
      <c r="B69" s="862"/>
      <c r="C69" s="513" t="s">
        <v>1137</v>
      </c>
      <c r="D69" s="186">
        <v>1</v>
      </c>
      <c r="E69" s="516">
        <v>207.8</v>
      </c>
      <c r="F69" s="517">
        <f t="shared" si="0"/>
        <v>207.8</v>
      </c>
    </row>
    <row r="70" spans="1:6" ht="31.5" x14ac:dyDescent="0.25">
      <c r="A70" s="869"/>
      <c r="B70" s="862"/>
      <c r="C70" s="513" t="s">
        <v>1151</v>
      </c>
      <c r="D70" s="186">
        <v>1</v>
      </c>
      <c r="E70" s="516">
        <v>3999</v>
      </c>
      <c r="F70" s="517">
        <f t="shared" si="0"/>
        <v>3999</v>
      </c>
    </row>
    <row r="71" spans="1:6" ht="26.45" customHeight="1" x14ac:dyDescent="0.25">
      <c r="A71" s="869"/>
      <c r="B71" s="862"/>
      <c r="C71" s="513" t="s">
        <v>1152</v>
      </c>
      <c r="D71" s="186">
        <v>3</v>
      </c>
      <c r="E71" s="516">
        <v>429.9</v>
      </c>
      <c r="F71" s="517">
        <f t="shared" si="0"/>
        <v>1289.6999999999998</v>
      </c>
    </row>
    <row r="72" spans="1:6" ht="26.45" customHeight="1" x14ac:dyDescent="0.25">
      <c r="A72" s="869"/>
      <c r="B72" s="862"/>
      <c r="C72" s="513" t="s">
        <v>1153</v>
      </c>
      <c r="D72" s="186">
        <v>3</v>
      </c>
      <c r="E72" s="516">
        <v>1089.9000000000001</v>
      </c>
      <c r="F72" s="517">
        <f t="shared" si="0"/>
        <v>3269.7000000000003</v>
      </c>
    </row>
    <row r="73" spans="1:6" ht="31.5" x14ac:dyDescent="0.25">
      <c r="A73" s="869"/>
      <c r="B73" s="862"/>
      <c r="C73" s="513" t="s">
        <v>1154</v>
      </c>
      <c r="D73" s="186">
        <v>1</v>
      </c>
      <c r="E73" s="516">
        <v>499.9</v>
      </c>
      <c r="F73" s="517">
        <f t="shared" si="0"/>
        <v>499.9</v>
      </c>
    </row>
    <row r="74" spans="1:6" ht="31.5" x14ac:dyDescent="0.25">
      <c r="A74" s="869"/>
      <c r="B74" s="862"/>
      <c r="C74" s="513" t="s">
        <v>1155</v>
      </c>
      <c r="D74" s="186">
        <v>1</v>
      </c>
      <c r="E74" s="516">
        <v>299</v>
      </c>
      <c r="F74" s="517">
        <f t="shared" si="0"/>
        <v>299</v>
      </c>
    </row>
    <row r="75" spans="1:6" ht="31.5" x14ac:dyDescent="0.25">
      <c r="A75" s="869"/>
      <c r="B75" s="862"/>
      <c r="C75" s="513" t="s">
        <v>1156</v>
      </c>
      <c r="D75" s="186">
        <v>2</v>
      </c>
      <c r="E75" s="516">
        <v>119</v>
      </c>
      <c r="F75" s="517">
        <f t="shared" si="0"/>
        <v>238</v>
      </c>
    </row>
    <row r="76" spans="1:6" ht="26.45" customHeight="1" x14ac:dyDescent="0.25">
      <c r="A76" s="869"/>
      <c r="B76" s="862"/>
      <c r="C76" s="513" t="s">
        <v>1157</v>
      </c>
      <c r="D76" s="186">
        <v>6</v>
      </c>
      <c r="E76" s="516">
        <v>145.99</v>
      </c>
      <c r="F76" s="517">
        <f t="shared" ref="F76:F135" si="1">E76*D76</f>
        <v>875.94</v>
      </c>
    </row>
    <row r="77" spans="1:6" ht="31.5" x14ac:dyDescent="0.25">
      <c r="A77" s="869"/>
      <c r="B77" s="862"/>
      <c r="C77" s="513" t="s">
        <v>1158</v>
      </c>
      <c r="D77" s="186">
        <v>6</v>
      </c>
      <c r="E77" s="516">
        <v>179.89</v>
      </c>
      <c r="F77" s="517">
        <f t="shared" si="1"/>
        <v>1079.3399999999999</v>
      </c>
    </row>
    <row r="78" spans="1:6" ht="26.45" customHeight="1" x14ac:dyDescent="0.25">
      <c r="A78" s="869"/>
      <c r="B78" s="862"/>
      <c r="C78" s="513" t="s">
        <v>1159</v>
      </c>
      <c r="D78" s="186">
        <v>15</v>
      </c>
      <c r="E78" s="516">
        <v>19.989999999999998</v>
      </c>
      <c r="F78" s="517">
        <f t="shared" si="1"/>
        <v>299.84999999999997</v>
      </c>
    </row>
    <row r="79" spans="1:6" ht="78.75" x14ac:dyDescent="0.25">
      <c r="A79" s="869"/>
      <c r="B79" s="862"/>
      <c r="C79" s="513" t="s">
        <v>1160</v>
      </c>
      <c r="D79" s="186">
        <v>9</v>
      </c>
      <c r="E79" s="516">
        <v>721.99</v>
      </c>
      <c r="F79" s="517">
        <f t="shared" si="1"/>
        <v>6497.91</v>
      </c>
    </row>
    <row r="80" spans="1:6" ht="26.45" customHeight="1" x14ac:dyDescent="0.25">
      <c r="A80" s="869"/>
      <c r="B80" s="862"/>
      <c r="C80" s="513" t="s">
        <v>1161</v>
      </c>
      <c r="D80" s="186">
        <v>15</v>
      </c>
      <c r="E80" s="516">
        <v>62</v>
      </c>
      <c r="F80" s="517">
        <f t="shared" si="1"/>
        <v>930</v>
      </c>
    </row>
    <row r="81" spans="1:6" ht="26.45" customHeight="1" x14ac:dyDescent="0.25">
      <c r="A81" s="869"/>
      <c r="B81" s="862"/>
      <c r="C81" s="513" t="s">
        <v>1162</v>
      </c>
      <c r="D81" s="186">
        <v>18</v>
      </c>
      <c r="E81" s="516">
        <v>100</v>
      </c>
      <c r="F81" s="517">
        <f t="shared" si="1"/>
        <v>1800</v>
      </c>
    </row>
    <row r="82" spans="1:6" ht="47.25" x14ac:dyDescent="0.25">
      <c r="A82" s="869"/>
      <c r="B82" s="862"/>
      <c r="C82" s="513" t="s">
        <v>1163</v>
      </c>
      <c r="D82" s="186">
        <v>1</v>
      </c>
      <c r="E82" s="516">
        <v>1129</v>
      </c>
      <c r="F82" s="517">
        <f t="shared" si="1"/>
        <v>1129</v>
      </c>
    </row>
    <row r="83" spans="1:6" ht="16.5" thickBot="1" x14ac:dyDescent="0.3">
      <c r="A83" s="869"/>
      <c r="B83" s="863"/>
      <c r="C83" s="525" t="s">
        <v>1178</v>
      </c>
      <c r="D83" s="186">
        <v>1</v>
      </c>
      <c r="E83" s="516">
        <v>1000</v>
      </c>
      <c r="F83" s="517">
        <f t="shared" si="1"/>
        <v>1000</v>
      </c>
    </row>
    <row r="84" spans="1:6" ht="52.9" customHeight="1" x14ac:dyDescent="0.25">
      <c r="A84" s="869"/>
      <c r="B84" s="861" t="s">
        <v>1179</v>
      </c>
      <c r="C84" s="509" t="s">
        <v>1176</v>
      </c>
      <c r="D84" s="510">
        <v>2</v>
      </c>
      <c r="E84" s="522">
        <v>3497.54</v>
      </c>
      <c r="F84" s="523">
        <f t="shared" si="1"/>
        <v>6995.08</v>
      </c>
    </row>
    <row r="85" spans="1:6" ht="26.45" customHeight="1" x14ac:dyDescent="0.25">
      <c r="A85" s="869"/>
      <c r="B85" s="862"/>
      <c r="C85" s="513" t="s">
        <v>1177</v>
      </c>
      <c r="D85" s="186">
        <v>8</v>
      </c>
      <c r="E85" s="516">
        <v>1182</v>
      </c>
      <c r="F85" s="517">
        <f t="shared" si="1"/>
        <v>9456</v>
      </c>
    </row>
    <row r="86" spans="1:6" ht="26.45" customHeight="1" x14ac:dyDescent="0.25">
      <c r="A86" s="869"/>
      <c r="B86" s="862"/>
      <c r="C86" s="513" t="s">
        <v>1180</v>
      </c>
      <c r="D86" s="186">
        <v>1</v>
      </c>
      <c r="E86" s="516">
        <v>2773</v>
      </c>
      <c r="F86" s="517">
        <f t="shared" si="1"/>
        <v>2773</v>
      </c>
    </row>
    <row r="87" spans="1:6" ht="31.5" x14ac:dyDescent="0.25">
      <c r="A87" s="869"/>
      <c r="B87" s="862"/>
      <c r="C87" s="513" t="s">
        <v>1181</v>
      </c>
      <c r="D87" s="186">
        <v>2</v>
      </c>
      <c r="E87" s="516">
        <v>2551.91</v>
      </c>
      <c r="F87" s="517">
        <f t="shared" si="1"/>
        <v>5103.82</v>
      </c>
    </row>
    <row r="88" spans="1:6" ht="15.75" x14ac:dyDescent="0.25">
      <c r="A88" s="869"/>
      <c r="B88" s="862"/>
      <c r="C88" s="513" t="s">
        <v>1136</v>
      </c>
      <c r="D88" s="186">
        <v>2</v>
      </c>
      <c r="E88" s="516">
        <v>1084</v>
      </c>
      <c r="F88" s="517">
        <f t="shared" si="1"/>
        <v>2168</v>
      </c>
    </row>
    <row r="89" spans="1:6" ht="31.5" x14ac:dyDescent="0.25">
      <c r="A89" s="869"/>
      <c r="B89" s="862"/>
      <c r="C89" s="513" t="s">
        <v>1135</v>
      </c>
      <c r="D89" s="186">
        <v>2</v>
      </c>
      <c r="E89" s="514">
        <v>503.41</v>
      </c>
      <c r="F89" s="517">
        <f t="shared" si="1"/>
        <v>1006.82</v>
      </c>
    </row>
    <row r="90" spans="1:6" ht="15.75" x14ac:dyDescent="0.25">
      <c r="A90" s="869"/>
      <c r="B90" s="862"/>
      <c r="C90" s="513" t="s">
        <v>1137</v>
      </c>
      <c r="D90" s="186">
        <v>2</v>
      </c>
      <c r="E90" s="516">
        <v>207.8</v>
      </c>
      <c r="F90" s="517">
        <f t="shared" si="1"/>
        <v>415.6</v>
      </c>
    </row>
    <row r="91" spans="1:6" ht="26.45" customHeight="1" x14ac:dyDescent="0.25">
      <c r="A91" s="869"/>
      <c r="B91" s="862"/>
      <c r="C91" s="513" t="s">
        <v>1182</v>
      </c>
      <c r="D91" s="186">
        <v>1</v>
      </c>
      <c r="E91" s="516">
        <v>5262</v>
      </c>
      <c r="F91" s="517">
        <f t="shared" si="1"/>
        <v>5262</v>
      </c>
    </row>
    <row r="92" spans="1:6" ht="31.5" x14ac:dyDescent="0.25">
      <c r="A92" s="869"/>
      <c r="B92" s="862"/>
      <c r="C92" s="513" t="s">
        <v>1183</v>
      </c>
      <c r="D92" s="186">
        <v>3</v>
      </c>
      <c r="E92" s="516">
        <v>690</v>
      </c>
      <c r="F92" s="517">
        <f t="shared" si="1"/>
        <v>2070</v>
      </c>
    </row>
    <row r="93" spans="1:6" ht="32.25" thickBot="1" x14ac:dyDescent="0.3">
      <c r="A93" s="869"/>
      <c r="B93" s="863"/>
      <c r="C93" s="525" t="s">
        <v>1184</v>
      </c>
      <c r="D93" s="250">
        <v>2</v>
      </c>
      <c r="E93" s="526">
        <v>1555</v>
      </c>
      <c r="F93" s="527">
        <f t="shared" si="1"/>
        <v>3110</v>
      </c>
    </row>
    <row r="94" spans="1:6" ht="52.9" customHeight="1" x14ac:dyDescent="0.25">
      <c r="A94" s="869"/>
      <c r="B94" s="861" t="s">
        <v>1185</v>
      </c>
      <c r="C94" s="509" t="s">
        <v>1186</v>
      </c>
      <c r="D94" s="510">
        <v>1</v>
      </c>
      <c r="E94" s="522">
        <v>7399</v>
      </c>
      <c r="F94" s="523">
        <f t="shared" si="1"/>
        <v>7399</v>
      </c>
    </row>
    <row r="95" spans="1:6" ht="15.75" x14ac:dyDescent="0.25">
      <c r="A95" s="869"/>
      <c r="B95" s="862"/>
      <c r="C95" s="513" t="s">
        <v>1187</v>
      </c>
      <c r="D95" s="186">
        <v>1</v>
      </c>
      <c r="E95" s="516">
        <v>4799</v>
      </c>
      <c r="F95" s="517">
        <f t="shared" si="1"/>
        <v>4799</v>
      </c>
    </row>
    <row r="96" spans="1:6" ht="15.75" x14ac:dyDescent="0.25">
      <c r="A96" s="869"/>
      <c r="B96" s="862"/>
      <c r="C96" s="513" t="s">
        <v>1133</v>
      </c>
      <c r="D96" s="186">
        <v>2</v>
      </c>
      <c r="E96" s="516">
        <v>1736</v>
      </c>
      <c r="F96" s="517">
        <f t="shared" si="1"/>
        <v>3472</v>
      </c>
    </row>
    <row r="97" spans="1:6" ht="31.5" x14ac:dyDescent="0.25">
      <c r="A97" s="869"/>
      <c r="B97" s="862"/>
      <c r="C97" s="513" t="s">
        <v>1135</v>
      </c>
      <c r="D97" s="186">
        <v>1</v>
      </c>
      <c r="E97" s="514">
        <v>503.41</v>
      </c>
      <c r="F97" s="517">
        <f t="shared" si="1"/>
        <v>503.41</v>
      </c>
    </row>
    <row r="98" spans="1:6" ht="16.5" thickBot="1" x14ac:dyDescent="0.3">
      <c r="A98" s="869"/>
      <c r="B98" s="863"/>
      <c r="C98" s="525" t="s">
        <v>1137</v>
      </c>
      <c r="D98" s="250">
        <v>1</v>
      </c>
      <c r="E98" s="526">
        <v>207.8</v>
      </c>
      <c r="F98" s="527">
        <f t="shared" si="1"/>
        <v>207.8</v>
      </c>
    </row>
    <row r="99" spans="1:6" ht="52.9" customHeight="1" x14ac:dyDescent="0.25">
      <c r="A99" s="869"/>
      <c r="B99" s="862" t="s">
        <v>1188</v>
      </c>
      <c r="C99" s="529" t="s">
        <v>1133</v>
      </c>
      <c r="D99" s="107">
        <v>2</v>
      </c>
      <c r="E99" s="530">
        <v>1736</v>
      </c>
      <c r="F99" s="528">
        <f t="shared" si="1"/>
        <v>3472</v>
      </c>
    </row>
    <row r="100" spans="1:6" ht="31.5" x14ac:dyDescent="0.25">
      <c r="A100" s="869"/>
      <c r="B100" s="862"/>
      <c r="C100" s="513" t="s">
        <v>1135</v>
      </c>
      <c r="D100" s="186">
        <v>1</v>
      </c>
      <c r="E100" s="514">
        <v>503.41</v>
      </c>
      <c r="F100" s="517">
        <f t="shared" si="1"/>
        <v>503.41</v>
      </c>
    </row>
    <row r="101" spans="1:6" ht="15.75" x14ac:dyDescent="0.25">
      <c r="A101" s="869"/>
      <c r="B101" s="862"/>
      <c r="C101" s="513" t="s">
        <v>1137</v>
      </c>
      <c r="D101" s="186">
        <v>1</v>
      </c>
      <c r="E101" s="516">
        <v>207.8</v>
      </c>
      <c r="F101" s="517">
        <f t="shared" si="1"/>
        <v>207.8</v>
      </c>
    </row>
    <row r="102" spans="1:6" ht="31.5" x14ac:dyDescent="0.25">
      <c r="A102" s="869"/>
      <c r="B102" s="862"/>
      <c r="C102" s="513" t="s">
        <v>1189</v>
      </c>
      <c r="D102" s="186">
        <v>1</v>
      </c>
      <c r="E102" s="514">
        <v>1395</v>
      </c>
      <c r="F102" s="517">
        <f>E102*D102</f>
        <v>1395</v>
      </c>
    </row>
    <row r="103" spans="1:6" ht="31.5" x14ac:dyDescent="0.25">
      <c r="A103" s="869"/>
      <c r="B103" s="862"/>
      <c r="C103" s="513" t="s">
        <v>1151</v>
      </c>
      <c r="D103" s="186">
        <v>1</v>
      </c>
      <c r="E103" s="516">
        <v>3999</v>
      </c>
      <c r="F103" s="517">
        <f>E103*D103</f>
        <v>3999</v>
      </c>
    </row>
    <row r="104" spans="1:6" ht="15.75" x14ac:dyDescent="0.25">
      <c r="A104" s="869"/>
      <c r="B104" s="862"/>
      <c r="C104" s="513" t="s">
        <v>1190</v>
      </c>
      <c r="D104" s="186">
        <v>5</v>
      </c>
      <c r="E104" s="514">
        <v>200</v>
      </c>
      <c r="F104" s="517">
        <f t="shared" si="1"/>
        <v>1000</v>
      </c>
    </row>
    <row r="105" spans="1:6" ht="15.75" x14ac:dyDescent="0.25">
      <c r="A105" s="869"/>
      <c r="B105" s="862"/>
      <c r="C105" s="513" t="s">
        <v>1191</v>
      </c>
      <c r="D105" s="186">
        <v>1</v>
      </c>
      <c r="E105" s="514">
        <v>83.33</v>
      </c>
      <c r="F105" s="517">
        <f t="shared" si="1"/>
        <v>83.33</v>
      </c>
    </row>
    <row r="106" spans="1:6" ht="31.5" x14ac:dyDescent="0.25">
      <c r="A106" s="869"/>
      <c r="B106" s="862"/>
      <c r="C106" s="513" t="s">
        <v>1192</v>
      </c>
      <c r="D106" s="186">
        <v>1</v>
      </c>
      <c r="E106" s="514">
        <v>69.900000000000006</v>
      </c>
      <c r="F106" s="517">
        <f t="shared" si="1"/>
        <v>69.900000000000006</v>
      </c>
    </row>
    <row r="107" spans="1:6" ht="15.75" x14ac:dyDescent="0.25">
      <c r="A107" s="869"/>
      <c r="B107" s="862"/>
      <c r="C107" s="513" t="s">
        <v>1193</v>
      </c>
      <c r="D107" s="186">
        <v>12</v>
      </c>
      <c r="E107" s="514">
        <v>50</v>
      </c>
      <c r="F107" s="517">
        <f t="shared" si="1"/>
        <v>600</v>
      </c>
    </row>
    <row r="108" spans="1:6" ht="32.25" thickBot="1" x14ac:dyDescent="0.3">
      <c r="A108" s="869"/>
      <c r="B108" s="863"/>
      <c r="C108" s="525" t="s">
        <v>1194</v>
      </c>
      <c r="D108" s="250">
        <v>3</v>
      </c>
      <c r="E108" s="518">
        <v>121.15</v>
      </c>
      <c r="F108" s="527">
        <f t="shared" si="1"/>
        <v>363.45000000000005</v>
      </c>
    </row>
    <row r="109" spans="1:6" ht="52.9" customHeight="1" x14ac:dyDescent="0.25">
      <c r="A109" s="869"/>
      <c r="B109" s="861" t="s">
        <v>1195</v>
      </c>
      <c r="C109" s="509" t="s">
        <v>1151</v>
      </c>
      <c r="D109" s="510">
        <v>1</v>
      </c>
      <c r="E109" s="522">
        <v>3999</v>
      </c>
      <c r="F109" s="523">
        <f t="shared" si="1"/>
        <v>3999</v>
      </c>
    </row>
    <row r="110" spans="1:6" ht="31.5" x14ac:dyDescent="0.25">
      <c r="A110" s="869"/>
      <c r="B110" s="862"/>
      <c r="C110" s="513" t="s">
        <v>1196</v>
      </c>
      <c r="D110" s="186">
        <v>1</v>
      </c>
      <c r="E110" s="514">
        <v>2415.44</v>
      </c>
      <c r="F110" s="517">
        <f t="shared" si="1"/>
        <v>2415.44</v>
      </c>
    </row>
    <row r="111" spans="1:6" ht="15.75" x14ac:dyDescent="0.25">
      <c r="A111" s="869"/>
      <c r="B111" s="862"/>
      <c r="C111" s="513" t="s">
        <v>1197</v>
      </c>
      <c r="D111" s="186">
        <v>1</v>
      </c>
      <c r="E111" s="514">
        <v>3470</v>
      </c>
      <c r="F111" s="517">
        <f t="shared" si="1"/>
        <v>3470</v>
      </c>
    </row>
    <row r="112" spans="1:6" ht="31.5" x14ac:dyDescent="0.25">
      <c r="A112" s="869"/>
      <c r="B112" s="862"/>
      <c r="C112" s="513" t="s">
        <v>1198</v>
      </c>
      <c r="D112" s="186">
        <v>1</v>
      </c>
      <c r="E112" s="514">
        <v>899.9</v>
      </c>
      <c r="F112" s="517">
        <f t="shared" si="1"/>
        <v>899.9</v>
      </c>
    </row>
    <row r="113" spans="1:6" ht="47.25" x14ac:dyDescent="0.25">
      <c r="A113" s="869"/>
      <c r="B113" s="862"/>
      <c r="C113" s="513" t="s">
        <v>1199</v>
      </c>
      <c r="D113" s="186">
        <v>1</v>
      </c>
      <c r="E113" s="514">
        <v>5390</v>
      </c>
      <c r="F113" s="517">
        <f t="shared" si="1"/>
        <v>5390</v>
      </c>
    </row>
    <row r="114" spans="1:6" ht="31.5" x14ac:dyDescent="0.25">
      <c r="A114" s="869"/>
      <c r="B114" s="862"/>
      <c r="C114" s="513" t="s">
        <v>1200</v>
      </c>
      <c r="D114" s="186">
        <v>1</v>
      </c>
      <c r="E114" s="514">
        <v>499.2</v>
      </c>
      <c r="F114" s="517">
        <f t="shared" si="1"/>
        <v>499.2</v>
      </c>
    </row>
    <row r="115" spans="1:6" ht="15.75" x14ac:dyDescent="0.25">
      <c r="A115" s="869"/>
      <c r="B115" s="862"/>
      <c r="C115" s="513" t="s">
        <v>1201</v>
      </c>
      <c r="D115" s="186">
        <v>2</v>
      </c>
      <c r="E115" s="514">
        <v>690</v>
      </c>
      <c r="F115" s="517">
        <f t="shared" si="1"/>
        <v>1380</v>
      </c>
    </row>
    <row r="116" spans="1:6" ht="15.75" x14ac:dyDescent="0.25">
      <c r="A116" s="869"/>
      <c r="B116" s="862"/>
      <c r="C116" s="513" t="s">
        <v>1202</v>
      </c>
      <c r="D116" s="186">
        <v>1</v>
      </c>
      <c r="E116" s="514">
        <v>1960</v>
      </c>
      <c r="F116" s="517">
        <f t="shared" si="1"/>
        <v>1960</v>
      </c>
    </row>
    <row r="117" spans="1:6" ht="15.75" x14ac:dyDescent="0.25">
      <c r="A117" s="869"/>
      <c r="B117" s="862"/>
      <c r="C117" s="513" t="s">
        <v>1203</v>
      </c>
      <c r="D117" s="186">
        <v>1</v>
      </c>
      <c r="E117" s="514">
        <v>6980</v>
      </c>
      <c r="F117" s="517">
        <f t="shared" si="1"/>
        <v>6980</v>
      </c>
    </row>
    <row r="118" spans="1:6" ht="15.75" x14ac:dyDescent="0.25">
      <c r="A118" s="869"/>
      <c r="B118" s="862"/>
      <c r="C118" s="513" t="s">
        <v>1204</v>
      </c>
      <c r="D118" s="186">
        <v>1</v>
      </c>
      <c r="E118" s="514">
        <v>7850</v>
      </c>
      <c r="F118" s="517">
        <f t="shared" si="1"/>
        <v>7850</v>
      </c>
    </row>
    <row r="119" spans="1:6" ht="31.5" x14ac:dyDescent="0.25">
      <c r="A119" s="869"/>
      <c r="B119" s="862"/>
      <c r="C119" s="513" t="s">
        <v>1205</v>
      </c>
      <c r="D119" s="186">
        <v>1</v>
      </c>
      <c r="E119" s="514">
        <v>649.99</v>
      </c>
      <c r="F119" s="517">
        <f t="shared" si="1"/>
        <v>649.99</v>
      </c>
    </row>
    <row r="120" spans="1:6" ht="31.5" x14ac:dyDescent="0.25">
      <c r="A120" s="869"/>
      <c r="B120" s="862"/>
      <c r="C120" s="513" t="s">
        <v>1206</v>
      </c>
      <c r="D120" s="186">
        <v>2</v>
      </c>
      <c r="E120" s="514">
        <v>69.989999999999995</v>
      </c>
      <c r="F120" s="517">
        <f t="shared" si="1"/>
        <v>139.97999999999999</v>
      </c>
    </row>
    <row r="121" spans="1:6" ht="31.5" x14ac:dyDescent="0.25">
      <c r="A121" s="869"/>
      <c r="B121" s="862"/>
      <c r="C121" s="513" t="s">
        <v>1207</v>
      </c>
      <c r="D121" s="186">
        <v>1</v>
      </c>
      <c r="E121" s="514">
        <v>1890</v>
      </c>
      <c r="F121" s="517">
        <f t="shared" si="1"/>
        <v>1890</v>
      </c>
    </row>
    <row r="122" spans="1:6" ht="31.5" x14ac:dyDescent="0.25">
      <c r="A122" s="869"/>
      <c r="B122" s="862"/>
      <c r="C122" s="513" t="s">
        <v>1208</v>
      </c>
      <c r="D122" s="186">
        <v>1</v>
      </c>
      <c r="E122" s="514">
        <v>469.9</v>
      </c>
      <c r="F122" s="517">
        <f t="shared" si="1"/>
        <v>469.9</v>
      </c>
    </row>
    <row r="123" spans="1:6" ht="63" x14ac:dyDescent="0.25">
      <c r="A123" s="869"/>
      <c r="B123" s="862"/>
      <c r="C123" s="513" t="s">
        <v>1209</v>
      </c>
      <c r="D123" s="186">
        <v>1</v>
      </c>
      <c r="E123" s="514">
        <v>3863</v>
      </c>
      <c r="F123" s="517">
        <f t="shared" si="1"/>
        <v>3863</v>
      </c>
    </row>
    <row r="124" spans="1:6" ht="15.75" x14ac:dyDescent="0.25">
      <c r="A124" s="869"/>
      <c r="B124" s="862"/>
      <c r="C124" s="513" t="s">
        <v>1210</v>
      </c>
      <c r="D124" s="186">
        <v>5</v>
      </c>
      <c r="E124" s="514">
        <v>174.5</v>
      </c>
      <c r="F124" s="517">
        <f t="shared" si="1"/>
        <v>872.5</v>
      </c>
    </row>
    <row r="125" spans="1:6" ht="15.75" x14ac:dyDescent="0.25">
      <c r="A125" s="869"/>
      <c r="B125" s="862"/>
      <c r="C125" s="513" t="s">
        <v>1211</v>
      </c>
      <c r="D125" s="186">
        <v>3</v>
      </c>
      <c r="E125" s="514">
        <v>96.9</v>
      </c>
      <c r="F125" s="517">
        <f t="shared" si="1"/>
        <v>290.70000000000005</v>
      </c>
    </row>
    <row r="126" spans="1:6" ht="16.5" thickBot="1" x14ac:dyDescent="0.3">
      <c r="A126" s="869"/>
      <c r="B126" s="863"/>
      <c r="C126" s="525" t="s">
        <v>1212</v>
      </c>
      <c r="D126" s="250">
        <v>1</v>
      </c>
      <c r="E126" s="518">
        <v>199.99</v>
      </c>
      <c r="F126" s="527">
        <f t="shared" si="1"/>
        <v>199.99</v>
      </c>
    </row>
    <row r="127" spans="1:6" ht="53.45" customHeight="1" x14ac:dyDescent="0.25">
      <c r="A127" s="869"/>
      <c r="B127" s="861" t="s">
        <v>1213</v>
      </c>
      <c r="C127" s="509" t="s">
        <v>1206</v>
      </c>
      <c r="D127" s="510">
        <v>3</v>
      </c>
      <c r="E127" s="520">
        <v>69.989999999999995</v>
      </c>
      <c r="F127" s="523">
        <f t="shared" si="1"/>
        <v>209.96999999999997</v>
      </c>
    </row>
    <row r="128" spans="1:6" ht="31.5" x14ac:dyDescent="0.25">
      <c r="A128" s="869"/>
      <c r="B128" s="862"/>
      <c r="C128" s="513" t="s">
        <v>1214</v>
      </c>
      <c r="D128" s="186">
        <v>3</v>
      </c>
      <c r="E128" s="514">
        <v>22.28</v>
      </c>
      <c r="F128" s="517">
        <f t="shared" si="1"/>
        <v>66.84</v>
      </c>
    </row>
    <row r="129" spans="1:7" ht="31.5" x14ac:dyDescent="0.25">
      <c r="A129" s="869"/>
      <c r="B129" s="862"/>
      <c r="C129" s="513" t="s">
        <v>1215</v>
      </c>
      <c r="D129" s="186">
        <v>3</v>
      </c>
      <c r="E129" s="514">
        <v>45.49</v>
      </c>
      <c r="F129" s="517">
        <f t="shared" si="1"/>
        <v>136.47</v>
      </c>
    </row>
    <row r="130" spans="1:7" ht="31.5" x14ac:dyDescent="0.25">
      <c r="A130" s="869"/>
      <c r="B130" s="862"/>
      <c r="C130" s="513" t="s">
        <v>1216</v>
      </c>
      <c r="D130" s="186">
        <v>2</v>
      </c>
      <c r="E130" s="514">
        <v>849.9</v>
      </c>
      <c r="F130" s="517">
        <f t="shared" si="1"/>
        <v>1699.8</v>
      </c>
    </row>
    <row r="131" spans="1:7" ht="16.5" thickBot="1" x14ac:dyDescent="0.3">
      <c r="A131" s="869"/>
      <c r="B131" s="863"/>
      <c r="C131" s="525" t="s">
        <v>1217</v>
      </c>
      <c r="D131" s="250">
        <v>1</v>
      </c>
      <c r="E131" s="518">
        <v>299</v>
      </c>
      <c r="F131" s="527">
        <f t="shared" si="1"/>
        <v>299</v>
      </c>
    </row>
    <row r="132" spans="1:7" ht="52.9" customHeight="1" x14ac:dyDescent="0.25">
      <c r="A132" s="869"/>
      <c r="B132" s="861" t="s">
        <v>1218</v>
      </c>
      <c r="C132" s="513" t="s">
        <v>1133</v>
      </c>
      <c r="D132" s="510">
        <v>2</v>
      </c>
      <c r="E132" s="520">
        <v>1736</v>
      </c>
      <c r="F132" s="523">
        <f t="shared" si="1"/>
        <v>3472</v>
      </c>
    </row>
    <row r="133" spans="1:7" ht="31.5" x14ac:dyDescent="0.25">
      <c r="A133" s="869"/>
      <c r="B133" s="862"/>
      <c r="C133" s="513" t="s">
        <v>1135</v>
      </c>
      <c r="D133" s="186">
        <v>1</v>
      </c>
      <c r="E133" s="514">
        <v>503.41</v>
      </c>
      <c r="F133" s="517">
        <f t="shared" si="1"/>
        <v>503.41</v>
      </c>
    </row>
    <row r="134" spans="1:7" ht="31.5" x14ac:dyDescent="0.25">
      <c r="A134" s="869"/>
      <c r="B134" s="862"/>
      <c r="C134" s="513" t="s">
        <v>1219</v>
      </c>
      <c r="D134" s="186">
        <v>1</v>
      </c>
      <c r="E134" s="514">
        <v>1681.17</v>
      </c>
      <c r="F134" s="517">
        <f t="shared" si="1"/>
        <v>1681.17</v>
      </c>
    </row>
    <row r="135" spans="1:7" ht="27" customHeight="1" thickBot="1" x14ac:dyDescent="0.3">
      <c r="A135" s="870"/>
      <c r="B135" s="863"/>
      <c r="C135" s="525" t="s">
        <v>1220</v>
      </c>
      <c r="D135" s="250">
        <v>1</v>
      </c>
      <c r="E135" s="518">
        <v>3050.4</v>
      </c>
      <c r="F135" s="527">
        <f t="shared" si="1"/>
        <v>3050.4</v>
      </c>
    </row>
    <row r="136" spans="1:7" ht="22.5" thickBot="1" x14ac:dyDescent="0.65">
      <c r="B136" s="72"/>
      <c r="C136" s="72"/>
      <c r="D136" s="72"/>
      <c r="E136" s="531" t="s">
        <v>1221</v>
      </c>
      <c r="F136" s="532">
        <f>SUM(F11:F135)</f>
        <v>488124.02999999991</v>
      </c>
    </row>
    <row r="137" spans="1:7" ht="22.5" thickBot="1" x14ac:dyDescent="0.65">
      <c r="B137" s="72"/>
      <c r="C137" s="72"/>
      <c r="D137" s="72"/>
      <c r="E137" s="72"/>
      <c r="F137" s="532">
        <f>F136*1.2</f>
        <v>585748.83599999989</v>
      </c>
      <c r="G137" s="72" t="s">
        <v>1222</v>
      </c>
    </row>
    <row r="138" spans="1:7" x14ac:dyDescent="0.6">
      <c r="B138" s="72"/>
      <c r="C138" s="72"/>
      <c r="D138" s="72"/>
      <c r="E138" s="72"/>
      <c r="F138" s="72"/>
    </row>
    <row r="139" spans="1:7" x14ac:dyDescent="0.6">
      <c r="B139" s="72"/>
      <c r="C139" s="72"/>
      <c r="D139" s="72"/>
      <c r="E139" s="72"/>
      <c r="F139" s="72"/>
    </row>
    <row r="140" spans="1:7" ht="22.5" thickBot="1" x14ac:dyDescent="0.65">
      <c r="B140" s="72"/>
      <c r="C140" s="72"/>
      <c r="D140" s="72"/>
      <c r="E140" s="72"/>
      <c r="F140" s="72"/>
    </row>
    <row r="141" spans="1:7" ht="31.5" x14ac:dyDescent="0.6">
      <c r="B141" s="861" t="s">
        <v>1223</v>
      </c>
      <c r="C141" s="509" t="s">
        <v>1183</v>
      </c>
      <c r="D141" s="510">
        <v>2</v>
      </c>
      <c r="E141" s="522">
        <v>690</v>
      </c>
      <c r="F141" s="523">
        <f>E141*D141</f>
        <v>1380</v>
      </c>
    </row>
    <row r="142" spans="1:7" ht="31.5" x14ac:dyDescent="0.6">
      <c r="B142" s="862"/>
      <c r="C142" s="513" t="s">
        <v>1224</v>
      </c>
      <c r="D142" s="186">
        <v>5</v>
      </c>
      <c r="E142" s="516">
        <f>1750*K149</f>
        <v>1803.4482177687762</v>
      </c>
      <c r="F142" s="517">
        <f t="shared" ref="F142:F147" si="2">E142*D142</f>
        <v>9017.2410888438808</v>
      </c>
    </row>
    <row r="143" spans="1:7" x14ac:dyDescent="0.6">
      <c r="B143" s="862"/>
      <c r="C143" s="513" t="s">
        <v>1225</v>
      </c>
      <c r="D143" s="186">
        <v>1</v>
      </c>
      <c r="E143" s="516">
        <f>7500*K149</f>
        <v>7729.0637904376117</v>
      </c>
      <c r="F143" s="517">
        <f t="shared" si="2"/>
        <v>7729.0637904376117</v>
      </c>
    </row>
    <row r="144" spans="1:7" x14ac:dyDescent="0.6">
      <c r="B144" s="862"/>
      <c r="C144" s="513" t="s">
        <v>1226</v>
      </c>
      <c r="D144" s="186">
        <v>1</v>
      </c>
      <c r="E144" s="516">
        <f>4200*K149</f>
        <v>4328.2757226450631</v>
      </c>
      <c r="F144" s="517">
        <f t="shared" si="2"/>
        <v>4328.2757226450631</v>
      </c>
    </row>
    <row r="145" spans="2:11" x14ac:dyDescent="0.6">
      <c r="B145" s="862"/>
      <c r="C145" s="513" t="s">
        <v>1227</v>
      </c>
      <c r="D145" s="186">
        <v>1</v>
      </c>
      <c r="E145" s="516">
        <f>4200*K149</f>
        <v>4328.2757226450631</v>
      </c>
      <c r="F145" s="517">
        <f t="shared" si="2"/>
        <v>4328.2757226450631</v>
      </c>
    </row>
    <row r="146" spans="2:11" x14ac:dyDescent="0.6">
      <c r="B146" s="862"/>
      <c r="C146" s="513" t="s">
        <v>1228</v>
      </c>
      <c r="D146" s="186">
        <v>59.65</v>
      </c>
      <c r="E146" s="516">
        <f>40*K149</f>
        <v>41.221673549000599</v>
      </c>
      <c r="F146" s="517">
        <f t="shared" si="2"/>
        <v>2458.8728271978857</v>
      </c>
    </row>
    <row r="147" spans="2:11" x14ac:dyDescent="0.6">
      <c r="B147" s="862"/>
      <c r="C147" s="513" t="s">
        <v>1229</v>
      </c>
      <c r="D147" s="186">
        <v>1</v>
      </c>
      <c r="E147" s="516">
        <v>82</v>
      </c>
      <c r="F147" s="517">
        <f t="shared" si="2"/>
        <v>82</v>
      </c>
    </row>
    <row r="148" spans="2:11" ht="31.5" x14ac:dyDescent="0.6">
      <c r="B148" s="862"/>
      <c r="C148" s="513" t="s">
        <v>1230</v>
      </c>
      <c r="D148" s="186">
        <v>2</v>
      </c>
      <c r="E148" s="516">
        <v>109.9</v>
      </c>
      <c r="F148" s="517">
        <f>E148*D148</f>
        <v>219.8</v>
      </c>
    </row>
    <row r="149" spans="2:11" ht="32.25" thickBot="1" x14ac:dyDescent="0.65">
      <c r="B149" s="863"/>
      <c r="C149" s="525" t="s">
        <v>1231</v>
      </c>
      <c r="D149" s="250">
        <v>2</v>
      </c>
      <c r="E149" s="526">
        <v>187.99</v>
      </c>
      <c r="F149" s="527">
        <f>E149*D149</f>
        <v>375.98</v>
      </c>
      <c r="I149" s="533">
        <v>44986</v>
      </c>
      <c r="J149" s="72">
        <v>2671.09</v>
      </c>
      <c r="K149" s="534">
        <f>J150/J149</f>
        <v>1.0305418387250149</v>
      </c>
    </row>
    <row r="150" spans="2:11" x14ac:dyDescent="0.6">
      <c r="E150" s="535" t="s">
        <v>1232</v>
      </c>
      <c r="F150" s="535">
        <f>SUM(F141:F149)</f>
        <v>29919.509151769504</v>
      </c>
      <c r="I150" s="533">
        <v>45261</v>
      </c>
      <c r="J150" s="72">
        <v>2752.67</v>
      </c>
    </row>
  </sheetData>
  <autoFilter ref="A10:I137" xr:uid="{C299E50D-4484-46A1-9D69-76F57A6CC44A}"/>
  <mergeCells count="16">
    <mergeCell ref="B141:B149"/>
    <mergeCell ref="A4:F4"/>
    <mergeCell ref="A6:F6"/>
    <mergeCell ref="A11:A18"/>
    <mergeCell ref="B11:B17"/>
    <mergeCell ref="A19:A135"/>
    <mergeCell ref="B19:B20"/>
    <mergeCell ref="B21:B43"/>
    <mergeCell ref="B44:B60"/>
    <mergeCell ref="B61:B83"/>
    <mergeCell ref="B84:B93"/>
    <mergeCell ref="B94:B98"/>
    <mergeCell ref="B99:B108"/>
    <mergeCell ref="B109:B126"/>
    <mergeCell ref="B127:B131"/>
    <mergeCell ref="B132:B135"/>
  </mergeCells>
  <pageMargins left="0.51181102362204722" right="0.51181102362204722" top="0.78740157480314965" bottom="0.78740157480314965" header="0.31496062992125984" footer="0.31496062992125984"/>
  <pageSetup paperSize="9" scale="37" fitToHeight="0"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DBE9-0112-4432-BD5B-ADB75D13EE24}">
  <sheetPr>
    <pageSetUpPr fitToPage="1"/>
  </sheetPr>
  <dimension ref="A1:F69"/>
  <sheetViews>
    <sheetView view="pageBreakPreview" zoomScaleNormal="115" zoomScaleSheetLayoutView="100" workbookViewId="0"/>
  </sheetViews>
  <sheetFormatPr defaultColWidth="9.140625" defaultRowHeight="21.75" x14ac:dyDescent="0.6"/>
  <cols>
    <col min="1" max="1" width="10.7109375" style="600" customWidth="1"/>
    <col min="2" max="2" width="83.7109375" style="601" customWidth="1"/>
    <col min="3" max="3" width="11.28515625" style="601" customWidth="1"/>
    <col min="4" max="4" width="11.28515625" style="602" customWidth="1"/>
    <col min="5" max="5" width="11.140625" style="603" customWidth="1"/>
    <col min="6" max="6" width="24" style="600" customWidth="1"/>
    <col min="7" max="8" width="9.28515625" style="543" bestFit="1" customWidth="1"/>
    <col min="9" max="16384" width="9.140625" style="543"/>
  </cols>
  <sheetData>
    <row r="1" spans="1:6" ht="18" customHeight="1" x14ac:dyDescent="0.6">
      <c r="A1" s="537" t="s">
        <v>397</v>
      </c>
      <c r="B1" s="538" t="s">
        <v>435</v>
      </c>
      <c r="C1" s="539"/>
      <c r="D1" s="540"/>
      <c r="E1" s="541"/>
      <c r="F1" s="542"/>
    </row>
    <row r="2" spans="1:6" ht="18" customHeight="1" x14ac:dyDescent="0.6">
      <c r="A2" s="544" t="s">
        <v>398</v>
      </c>
      <c r="B2" s="545" t="s">
        <v>436</v>
      </c>
      <c r="C2" s="546"/>
      <c r="D2" s="547"/>
      <c r="E2" s="548"/>
      <c r="F2" s="549"/>
    </row>
    <row r="3" spans="1:6" ht="18" customHeight="1" x14ac:dyDescent="0.6">
      <c r="A3" s="544" t="s">
        <v>399</v>
      </c>
      <c r="B3" s="545" t="s">
        <v>437</v>
      </c>
      <c r="C3" s="546"/>
      <c r="D3" s="547"/>
      <c r="E3" s="548"/>
      <c r="F3" s="549"/>
    </row>
    <row r="4" spans="1:6" ht="25.15" customHeight="1" x14ac:dyDescent="0.25">
      <c r="A4" s="872" t="s">
        <v>1257</v>
      </c>
      <c r="B4" s="873"/>
      <c r="C4" s="873"/>
      <c r="D4" s="873"/>
      <c r="E4" s="873"/>
      <c r="F4" s="874"/>
    </row>
    <row r="5" spans="1:6" ht="14.45" customHeight="1" x14ac:dyDescent="0.6">
      <c r="A5" s="550"/>
      <c r="B5" s="551"/>
      <c r="C5" s="551"/>
      <c r="D5" s="552"/>
      <c r="E5" s="553"/>
      <c r="F5" s="554"/>
    </row>
    <row r="6" spans="1:6" ht="16.899999999999999" customHeight="1" x14ac:dyDescent="0.25">
      <c r="A6" s="875" t="s">
        <v>1258</v>
      </c>
      <c r="B6" s="876"/>
      <c r="C6" s="876"/>
      <c r="D6" s="876"/>
      <c r="E6" s="876"/>
      <c r="F6" s="877"/>
    </row>
    <row r="7" spans="1:6" ht="14.45" customHeight="1" x14ac:dyDescent="0.6">
      <c r="A7" s="555"/>
      <c r="B7" s="556"/>
      <c r="C7" s="557"/>
      <c r="D7" s="558"/>
      <c r="E7" s="559"/>
      <c r="F7" s="560"/>
    </row>
    <row r="8" spans="1:6" x14ac:dyDescent="0.6">
      <c r="A8" s="561" t="s">
        <v>1259</v>
      </c>
      <c r="B8" s="562"/>
      <c r="C8" s="562"/>
      <c r="D8" s="563"/>
      <c r="E8" s="564"/>
      <c r="F8" s="565"/>
    </row>
    <row r="9" spans="1:6" ht="22.5" thickBot="1" x14ac:dyDescent="0.65">
      <c r="A9" s="566"/>
      <c r="B9" s="567"/>
      <c r="C9" s="567"/>
      <c r="D9" s="568"/>
      <c r="E9" s="569"/>
      <c r="F9" s="560"/>
    </row>
    <row r="10" spans="1:6" ht="21" customHeight="1" x14ac:dyDescent="0.6">
      <c r="A10" s="566"/>
      <c r="B10" s="570" t="s">
        <v>1260</v>
      </c>
      <c r="C10" s="571" t="s">
        <v>2</v>
      </c>
      <c r="D10" s="572" t="s">
        <v>440</v>
      </c>
      <c r="E10" s="569"/>
      <c r="F10" s="560"/>
    </row>
    <row r="11" spans="1:6" x14ac:dyDescent="0.6">
      <c r="A11" s="566"/>
      <c r="B11" s="573" t="s">
        <v>1261</v>
      </c>
      <c r="C11" s="574" t="s">
        <v>46</v>
      </c>
      <c r="D11" s="575">
        <v>118</v>
      </c>
      <c r="E11" s="569"/>
      <c r="F11" s="560"/>
    </row>
    <row r="12" spans="1:6" x14ac:dyDescent="0.6">
      <c r="A12" s="566"/>
      <c r="B12" s="576" t="s">
        <v>1262</v>
      </c>
      <c r="C12" s="577" t="s">
        <v>46</v>
      </c>
      <c r="D12" s="578">
        <v>94.44</v>
      </c>
      <c r="E12" s="569"/>
      <c r="F12" s="560"/>
    </row>
    <row r="13" spans="1:6" x14ac:dyDescent="0.6">
      <c r="A13" s="566"/>
      <c r="B13" s="576" t="s">
        <v>1263</v>
      </c>
      <c r="C13" s="577" t="s">
        <v>53</v>
      </c>
      <c r="D13" s="579">
        <v>1</v>
      </c>
      <c r="E13" s="569"/>
      <c r="F13" s="560"/>
    </row>
    <row r="14" spans="1:6" x14ac:dyDescent="0.6">
      <c r="A14" s="566"/>
      <c r="B14" s="576" t="s">
        <v>1264</v>
      </c>
      <c r="C14" s="577" t="s">
        <v>53</v>
      </c>
      <c r="D14" s="579">
        <v>2</v>
      </c>
      <c r="E14" s="569"/>
      <c r="F14" s="560"/>
    </row>
    <row r="15" spans="1:6" x14ac:dyDescent="0.6">
      <c r="A15" s="566"/>
      <c r="B15" s="580" t="s">
        <v>1265</v>
      </c>
      <c r="C15" s="581" t="s">
        <v>46</v>
      </c>
      <c r="D15" s="582">
        <f>D11+D12</f>
        <v>212.44</v>
      </c>
      <c r="E15" s="569"/>
      <c r="F15" s="560"/>
    </row>
    <row r="16" spans="1:6" ht="22.5" thickBot="1" x14ac:dyDescent="0.65">
      <c r="A16" s="566"/>
      <c r="B16" s="583" t="s">
        <v>1266</v>
      </c>
      <c r="C16" s="584" t="s">
        <v>46</v>
      </c>
      <c r="D16" s="585">
        <f>D12*2</f>
        <v>188.88</v>
      </c>
      <c r="E16" s="569"/>
      <c r="F16" s="560"/>
    </row>
    <row r="17" spans="1:6" x14ac:dyDescent="0.6">
      <c r="A17" s="586"/>
      <c r="B17" s="567"/>
      <c r="C17" s="567"/>
      <c r="D17" s="568"/>
      <c r="E17" s="569"/>
      <c r="F17" s="560"/>
    </row>
    <row r="18" spans="1:6" x14ac:dyDescent="0.6">
      <c r="A18" s="561" t="s">
        <v>1267</v>
      </c>
      <c r="B18" s="562"/>
      <c r="C18" s="562"/>
      <c r="D18" s="563"/>
      <c r="E18" s="564"/>
      <c r="F18" s="565"/>
    </row>
    <row r="19" spans="1:6" ht="22.5" thickBot="1" x14ac:dyDescent="0.65">
      <c r="A19" s="586"/>
      <c r="B19" s="567"/>
      <c r="C19" s="567"/>
      <c r="D19" s="568"/>
      <c r="E19" s="569"/>
      <c r="F19" s="560"/>
    </row>
    <row r="20" spans="1:6" x14ac:dyDescent="0.6">
      <c r="A20" s="586"/>
      <c r="B20" s="570" t="s">
        <v>1260</v>
      </c>
      <c r="C20" s="571" t="s">
        <v>2</v>
      </c>
      <c r="D20" s="572" t="s">
        <v>440</v>
      </c>
      <c r="E20" s="569"/>
      <c r="F20" s="560"/>
    </row>
    <row r="21" spans="1:6" x14ac:dyDescent="0.6">
      <c r="A21" s="586"/>
      <c r="B21" s="573" t="s">
        <v>1268</v>
      </c>
      <c r="C21" s="574" t="s">
        <v>46</v>
      </c>
      <c r="D21" s="575">
        <f>D11</f>
        <v>118</v>
      </c>
      <c r="E21" s="569"/>
      <c r="F21" s="560"/>
    </row>
    <row r="22" spans="1:6" x14ac:dyDescent="0.6">
      <c r="A22" s="586"/>
      <c r="B22" s="587" t="s">
        <v>1269</v>
      </c>
      <c r="C22" s="588" t="s">
        <v>53</v>
      </c>
      <c r="D22" s="589">
        <v>4</v>
      </c>
      <c r="E22" s="569"/>
      <c r="F22" s="560"/>
    </row>
    <row r="23" spans="1:6" x14ac:dyDescent="0.6">
      <c r="A23" s="586"/>
      <c r="B23" s="580" t="s">
        <v>1270</v>
      </c>
      <c r="C23" s="581" t="s">
        <v>46</v>
      </c>
      <c r="D23" s="582">
        <f>D21*D22</f>
        <v>472</v>
      </c>
      <c r="E23" s="569"/>
      <c r="F23" s="560"/>
    </row>
    <row r="24" spans="1:6" s="592" customFormat="1" ht="15.75" x14ac:dyDescent="0.45">
      <c r="A24" s="566"/>
      <c r="B24" s="569"/>
      <c r="C24" s="569"/>
      <c r="D24" s="590"/>
      <c r="E24" s="569"/>
      <c r="F24" s="591"/>
    </row>
    <row r="25" spans="1:6" x14ac:dyDescent="0.6">
      <c r="A25" s="561" t="s">
        <v>1271</v>
      </c>
      <c r="B25" s="562"/>
      <c r="C25" s="562"/>
      <c r="D25" s="563"/>
      <c r="E25" s="564"/>
      <c r="F25" s="565"/>
    </row>
    <row r="26" spans="1:6" ht="22.5" thickBot="1" x14ac:dyDescent="0.65">
      <c r="A26" s="586"/>
      <c r="B26" s="567"/>
      <c r="C26" s="567"/>
      <c r="D26" s="568"/>
      <c r="E26" s="569"/>
      <c r="F26" s="560"/>
    </row>
    <row r="27" spans="1:6" x14ac:dyDescent="0.6">
      <c r="A27" s="586"/>
      <c r="B27" s="570" t="s">
        <v>1260</v>
      </c>
      <c r="C27" s="571" t="s">
        <v>2</v>
      </c>
      <c r="D27" s="572" t="s">
        <v>440</v>
      </c>
      <c r="E27" s="569"/>
      <c r="F27" s="560"/>
    </row>
    <row r="28" spans="1:6" x14ac:dyDescent="0.6">
      <c r="A28" s="586"/>
      <c r="B28" s="573" t="s">
        <v>1272</v>
      </c>
      <c r="C28" s="574" t="s">
        <v>46</v>
      </c>
      <c r="D28" s="575">
        <f>D11</f>
        <v>118</v>
      </c>
      <c r="E28" s="569"/>
      <c r="F28" s="560"/>
    </row>
    <row r="29" spans="1:6" x14ac:dyDescent="0.6">
      <c r="A29" s="586"/>
      <c r="B29" s="573" t="s">
        <v>1273</v>
      </c>
      <c r="C29" s="574" t="s">
        <v>46</v>
      </c>
      <c r="D29" s="575">
        <f>D12</f>
        <v>94.44</v>
      </c>
      <c r="E29" s="569"/>
      <c r="F29" s="560"/>
    </row>
    <row r="30" spans="1:6" x14ac:dyDescent="0.6">
      <c r="A30" s="586"/>
      <c r="B30" s="573" t="s">
        <v>1274</v>
      </c>
      <c r="C30" s="574" t="s">
        <v>46</v>
      </c>
      <c r="D30" s="575">
        <v>14.1</v>
      </c>
      <c r="E30" s="569"/>
      <c r="F30" s="560"/>
    </row>
    <row r="31" spans="1:6" x14ac:dyDescent="0.6">
      <c r="A31" s="586"/>
      <c r="B31" s="573" t="s">
        <v>1275</v>
      </c>
      <c r="C31" s="574" t="s">
        <v>46</v>
      </c>
      <c r="D31" s="575">
        <v>49.42</v>
      </c>
      <c r="E31" s="569"/>
      <c r="F31" s="560"/>
    </row>
    <row r="32" spans="1:6" x14ac:dyDescent="0.6">
      <c r="A32" s="586"/>
      <c r="B32" s="580" t="s">
        <v>1271</v>
      </c>
      <c r="C32" s="581" t="s">
        <v>41</v>
      </c>
      <c r="D32" s="582">
        <f>D28*D30+D29*D31</f>
        <v>6331.0248000000001</v>
      </c>
      <c r="E32" s="569"/>
      <c r="F32" s="560"/>
    </row>
    <row r="33" spans="1:6" x14ac:dyDescent="0.6">
      <c r="A33" s="586"/>
      <c r="B33" s="567"/>
      <c r="C33" s="567"/>
      <c r="D33" s="568"/>
      <c r="E33" s="569"/>
      <c r="F33" s="560"/>
    </row>
    <row r="34" spans="1:6" x14ac:dyDescent="0.6">
      <c r="A34" s="561" t="s">
        <v>1276</v>
      </c>
      <c r="B34" s="562"/>
      <c r="C34" s="562"/>
      <c r="D34" s="563"/>
      <c r="E34" s="564"/>
      <c r="F34" s="565"/>
    </row>
    <row r="35" spans="1:6" ht="22.5" thickBot="1" x14ac:dyDescent="0.65">
      <c r="A35" s="586"/>
      <c r="B35" s="567"/>
      <c r="C35" s="567"/>
      <c r="D35" s="568"/>
      <c r="E35" s="569"/>
      <c r="F35" s="560"/>
    </row>
    <row r="36" spans="1:6" x14ac:dyDescent="0.6">
      <c r="A36" s="586"/>
      <c r="B36" s="570" t="s">
        <v>1260</v>
      </c>
      <c r="C36" s="571" t="s">
        <v>2</v>
      </c>
      <c r="D36" s="572" t="s">
        <v>440</v>
      </c>
      <c r="E36" s="569"/>
      <c r="F36" s="560"/>
    </row>
    <row r="37" spans="1:6" x14ac:dyDescent="0.6">
      <c r="A37" s="586"/>
      <c r="B37" s="573" t="s">
        <v>1277</v>
      </c>
      <c r="C37" s="574" t="s">
        <v>41</v>
      </c>
      <c r="D37" s="575">
        <f>1.2*2.2</f>
        <v>2.64</v>
      </c>
      <c r="E37" s="569"/>
      <c r="F37" s="560"/>
    </row>
    <row r="38" spans="1:6" x14ac:dyDescent="0.6">
      <c r="A38" s="586"/>
      <c r="B38" s="573" t="s">
        <v>1278</v>
      </c>
      <c r="C38" s="574" t="s">
        <v>53</v>
      </c>
      <c r="D38" s="575">
        <v>40</v>
      </c>
      <c r="E38" s="569"/>
      <c r="F38" s="560"/>
    </row>
    <row r="39" spans="1:6" x14ac:dyDescent="0.6">
      <c r="A39" s="586"/>
      <c r="B39" s="580" t="s">
        <v>1276</v>
      </c>
      <c r="C39" s="581" t="s">
        <v>41</v>
      </c>
      <c r="D39" s="582">
        <f>D38*D37</f>
        <v>105.60000000000001</v>
      </c>
      <c r="E39" s="569"/>
      <c r="F39" s="560"/>
    </row>
    <row r="40" spans="1:6" x14ac:dyDescent="0.6">
      <c r="A40" s="586"/>
      <c r="B40" s="567"/>
      <c r="C40" s="567"/>
      <c r="D40" s="568"/>
      <c r="E40" s="569"/>
      <c r="F40" s="560"/>
    </row>
    <row r="41" spans="1:6" hidden="1" x14ac:dyDescent="0.6">
      <c r="A41" s="561" t="s">
        <v>1279</v>
      </c>
      <c r="B41" s="562"/>
      <c r="C41" s="562"/>
      <c r="D41" s="563"/>
      <c r="E41" s="564"/>
      <c r="F41" s="565"/>
    </row>
    <row r="42" spans="1:6" hidden="1" x14ac:dyDescent="0.6">
      <c r="A42" s="586"/>
      <c r="B42" s="567"/>
      <c r="C42" s="567"/>
      <c r="D42" s="568"/>
      <c r="E42" s="569"/>
      <c r="F42" s="560"/>
    </row>
    <row r="43" spans="1:6" hidden="1" x14ac:dyDescent="0.6">
      <c r="A43" s="586"/>
      <c r="B43" s="570" t="s">
        <v>1260</v>
      </c>
      <c r="C43" s="571" t="s">
        <v>2</v>
      </c>
      <c r="D43" s="572" t="s">
        <v>440</v>
      </c>
      <c r="E43" s="569"/>
      <c r="F43" s="560"/>
    </row>
    <row r="44" spans="1:6" hidden="1" x14ac:dyDescent="0.6">
      <c r="A44" s="586"/>
      <c r="B44" s="573" t="s">
        <v>1280</v>
      </c>
      <c r="C44" s="574" t="s">
        <v>41</v>
      </c>
      <c r="D44" s="593">
        <f>0.3*0.2</f>
        <v>0.06</v>
      </c>
      <c r="E44" s="569"/>
      <c r="F44" s="560"/>
    </row>
    <row r="45" spans="1:6" hidden="1" x14ac:dyDescent="0.6">
      <c r="A45" s="586"/>
      <c r="B45" s="573" t="s">
        <v>1281</v>
      </c>
      <c r="C45" s="574" t="s">
        <v>53</v>
      </c>
      <c r="D45" s="593">
        <v>10</v>
      </c>
      <c r="E45" s="569"/>
      <c r="F45" s="560"/>
    </row>
    <row r="46" spans="1:6" hidden="1" x14ac:dyDescent="0.6">
      <c r="A46" s="586"/>
      <c r="B46" s="573" t="s">
        <v>1282</v>
      </c>
      <c r="C46" s="574" t="s">
        <v>53</v>
      </c>
      <c r="D46" s="593">
        <v>23</v>
      </c>
      <c r="E46" s="569"/>
      <c r="F46" s="560"/>
    </row>
    <row r="47" spans="1:6" hidden="1" x14ac:dyDescent="0.6">
      <c r="A47" s="586"/>
      <c r="B47" s="580" t="s">
        <v>1283</v>
      </c>
      <c r="C47" s="581" t="s">
        <v>41</v>
      </c>
      <c r="D47" s="594">
        <f>D44*D45*D46</f>
        <v>13.799999999999999</v>
      </c>
      <c r="E47" s="569"/>
      <c r="F47" s="560"/>
    </row>
    <row r="48" spans="1:6" hidden="1" x14ac:dyDescent="0.6">
      <c r="A48" s="586"/>
      <c r="B48" s="567"/>
      <c r="C48" s="567"/>
      <c r="D48" s="568"/>
      <c r="E48" s="569"/>
      <c r="F48" s="560"/>
    </row>
    <row r="49" spans="1:6" x14ac:dyDescent="0.6">
      <c r="A49" s="561" t="s">
        <v>1284</v>
      </c>
      <c r="B49" s="562"/>
      <c r="C49" s="562"/>
      <c r="D49" s="563"/>
      <c r="E49" s="564"/>
      <c r="F49" s="565"/>
    </row>
    <row r="50" spans="1:6" ht="22.5" thickBot="1" x14ac:dyDescent="0.65">
      <c r="A50" s="586"/>
      <c r="B50" s="567"/>
      <c r="C50" s="567"/>
      <c r="D50" s="568"/>
      <c r="E50" s="569"/>
      <c r="F50" s="560"/>
    </row>
    <row r="51" spans="1:6" x14ac:dyDescent="0.6">
      <c r="A51" s="586"/>
      <c r="B51" s="570" t="s">
        <v>1260</v>
      </c>
      <c r="C51" s="571" t="s">
        <v>2</v>
      </c>
      <c r="D51" s="572" t="s">
        <v>440</v>
      </c>
      <c r="E51" s="569"/>
      <c r="F51" s="560"/>
    </row>
    <row r="52" spans="1:6" x14ac:dyDescent="0.6">
      <c r="A52" s="586"/>
      <c r="B52" s="573" t="s">
        <v>1285</v>
      </c>
      <c r="C52" s="574" t="s">
        <v>46</v>
      </c>
      <c r="D52" s="575">
        <v>118</v>
      </c>
      <c r="E52" s="569"/>
      <c r="F52" s="560"/>
    </row>
    <row r="53" spans="1:6" x14ac:dyDescent="0.6">
      <c r="A53" s="586"/>
      <c r="B53" s="573" t="s">
        <v>1286</v>
      </c>
      <c r="C53" s="574" t="s">
        <v>46</v>
      </c>
      <c r="D53" s="575">
        <v>2.2000000000000002</v>
      </c>
      <c r="E53" s="569"/>
      <c r="F53" s="560"/>
    </row>
    <row r="54" spans="1:6" x14ac:dyDescent="0.6">
      <c r="A54" s="586"/>
      <c r="B54" s="580" t="s">
        <v>1287</v>
      </c>
      <c r="C54" s="581" t="s">
        <v>41</v>
      </c>
      <c r="D54" s="582">
        <f>D53*D52</f>
        <v>259.60000000000002</v>
      </c>
      <c r="E54" s="569"/>
      <c r="F54" s="560"/>
    </row>
    <row r="55" spans="1:6" ht="22.5" thickBot="1" x14ac:dyDescent="0.65">
      <c r="A55" s="595"/>
      <c r="B55" s="596"/>
      <c r="C55" s="596"/>
      <c r="D55" s="597"/>
      <c r="E55" s="598"/>
      <c r="F55" s="599"/>
    </row>
    <row r="56" spans="1:6" x14ac:dyDescent="0.6">
      <c r="A56" s="561" t="s">
        <v>1288</v>
      </c>
      <c r="B56" s="562"/>
      <c r="C56" s="562"/>
      <c r="D56" s="563"/>
      <c r="E56" s="564"/>
      <c r="F56" s="565"/>
    </row>
    <row r="57" spans="1:6" ht="22.5" thickBot="1" x14ac:dyDescent="0.65">
      <c r="A57" s="586"/>
      <c r="B57" s="567"/>
      <c r="C57" s="567"/>
      <c r="D57" s="568"/>
      <c r="E57" s="569"/>
      <c r="F57" s="560"/>
    </row>
    <row r="58" spans="1:6" x14ac:dyDescent="0.6">
      <c r="A58" s="586"/>
      <c r="B58" s="570" t="s">
        <v>1260</v>
      </c>
      <c r="C58" s="571" t="s">
        <v>2</v>
      </c>
      <c r="D58" s="572" t="s">
        <v>440</v>
      </c>
      <c r="E58" s="569"/>
      <c r="F58" s="560"/>
    </row>
    <row r="59" spans="1:6" x14ac:dyDescent="0.6">
      <c r="A59" s="586"/>
      <c r="B59" s="573" t="s">
        <v>1289</v>
      </c>
      <c r="C59" s="574" t="s">
        <v>46</v>
      </c>
      <c r="D59" s="575">
        <f>4.6+1.75+1.75+4.6+2.95+1.85+1.95+1.5+1.6+1.6+1.5+1.85+1.95</f>
        <v>29.450000000000003</v>
      </c>
      <c r="E59" s="569"/>
      <c r="F59" s="560"/>
    </row>
    <row r="60" spans="1:6" x14ac:dyDescent="0.6">
      <c r="A60" s="586"/>
      <c r="B60" s="587" t="s">
        <v>1269</v>
      </c>
      <c r="C60" s="588" t="s">
        <v>53</v>
      </c>
      <c r="D60" s="589">
        <v>15</v>
      </c>
      <c r="E60" s="569"/>
      <c r="F60" s="560"/>
    </row>
    <row r="61" spans="1:6" x14ac:dyDescent="0.6">
      <c r="A61" s="586"/>
      <c r="B61" s="580" t="s">
        <v>1270</v>
      </c>
      <c r="C61" s="581" t="s">
        <v>46</v>
      </c>
      <c r="D61" s="582">
        <f>D59*D60</f>
        <v>441.75000000000006</v>
      </c>
      <c r="E61" s="569"/>
      <c r="F61" s="560"/>
    </row>
    <row r="63" spans="1:6" x14ac:dyDescent="0.6">
      <c r="A63" s="561" t="s">
        <v>1290</v>
      </c>
      <c r="B63" s="562"/>
      <c r="C63" s="562"/>
      <c r="D63" s="563"/>
      <c r="E63" s="564"/>
      <c r="F63" s="565"/>
    </row>
    <row r="64" spans="1:6" ht="22.5" thickBot="1" x14ac:dyDescent="0.65">
      <c r="A64" s="586"/>
      <c r="B64" s="567"/>
      <c r="C64" s="567"/>
      <c r="D64" s="568"/>
      <c r="E64" s="569"/>
      <c r="F64" s="560"/>
    </row>
    <row r="65" spans="1:6" x14ac:dyDescent="0.6">
      <c r="A65" s="586"/>
      <c r="B65" s="570" t="s">
        <v>1260</v>
      </c>
      <c r="C65" s="571" t="s">
        <v>2</v>
      </c>
      <c r="D65" s="572" t="s">
        <v>440</v>
      </c>
      <c r="E65" s="569"/>
      <c r="F65" s="560"/>
    </row>
    <row r="66" spans="1:6" x14ac:dyDescent="0.6">
      <c r="A66" s="586"/>
      <c r="B66" s="573" t="s">
        <v>1291</v>
      </c>
      <c r="C66" s="574" t="s">
        <v>46</v>
      </c>
      <c r="D66" s="575">
        <v>94.44</v>
      </c>
      <c r="E66" s="569"/>
      <c r="F66" s="560"/>
    </row>
    <row r="67" spans="1:6" x14ac:dyDescent="0.6">
      <c r="A67" s="586"/>
      <c r="B67" s="573" t="s">
        <v>1292</v>
      </c>
      <c r="C67" s="574" t="s">
        <v>46</v>
      </c>
      <c r="D67" s="575">
        <v>10.78</v>
      </c>
      <c r="E67" s="569"/>
      <c r="F67" s="560"/>
    </row>
    <row r="68" spans="1:6" x14ac:dyDescent="0.6">
      <c r="A68" s="586"/>
      <c r="B68" s="580" t="s">
        <v>1293</v>
      </c>
      <c r="C68" s="581" t="s">
        <v>41</v>
      </c>
      <c r="D68" s="582">
        <f>D67*D66</f>
        <v>1018.0631999999999</v>
      </c>
      <c r="E68" s="569"/>
      <c r="F68" s="560"/>
    </row>
    <row r="69" spans="1:6" ht="22.5" thickBot="1" x14ac:dyDescent="0.65">
      <c r="A69" s="595"/>
      <c r="B69" s="596"/>
      <c r="C69" s="596"/>
      <c r="D69" s="597"/>
      <c r="E69" s="598"/>
      <c r="F69" s="599"/>
    </row>
  </sheetData>
  <mergeCells count="2">
    <mergeCell ref="A4:F4"/>
    <mergeCell ref="A6:F6"/>
  </mergeCells>
  <pageMargins left="0.51181102362204722" right="0.51181102362204722" top="0.78740157480314965" bottom="0.78740157480314965" header="0.31496062992125984" footer="0.31496062992125984"/>
  <pageSetup paperSize="9" scale="6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28</vt:i4>
      </vt:variant>
      <vt:variant>
        <vt:lpstr>Intervalos Nomeados</vt:lpstr>
      </vt:variant>
      <vt:variant>
        <vt:i4>26</vt:i4>
      </vt:variant>
    </vt:vector>
  </HeadingPairs>
  <TitlesOfParts>
    <vt:vector size="54" baseType="lpstr">
      <vt:lpstr>Resumo</vt:lpstr>
      <vt:lpstr>CUSTOS DIRETOS</vt:lpstr>
      <vt:lpstr>CUSTOS INDIRETOS</vt:lpstr>
      <vt:lpstr>CUSTOS DISPONIBILIZADOS</vt:lpstr>
      <vt:lpstr>ESCAVAÇÕES</vt:lpstr>
      <vt:lpstr>ESTACAS</vt:lpstr>
      <vt:lpstr>BALDRAMES</vt:lpstr>
      <vt:lpstr>SUPRAESTRUTURA</vt:lpstr>
      <vt:lpstr>ESCORAMENTO</vt:lpstr>
      <vt:lpstr>ALVENARIA</vt:lpstr>
      <vt:lpstr>Verga e contra</vt:lpstr>
      <vt:lpstr>REVESTIMENTOS</vt:lpstr>
      <vt:lpstr>ARGAMASSADO EM ESTRUTURA</vt:lpstr>
      <vt:lpstr>CHURRASQUEIRA</vt:lpstr>
      <vt:lpstr>IMPER</vt:lpstr>
      <vt:lpstr>HIDRÁULICAS</vt:lpstr>
      <vt:lpstr>ESGOTO E PLUVIAL</vt:lpstr>
      <vt:lpstr>LOUÇAS E METAIS</vt:lpstr>
      <vt:lpstr>ELÉTRICA</vt:lpstr>
      <vt:lpstr>EXAUSTÃO</vt:lpstr>
      <vt:lpstr>TELECOM</vt:lpstr>
      <vt:lpstr>SPDA</vt:lpstr>
      <vt:lpstr>PISOS</vt:lpstr>
      <vt:lpstr>FORRO</vt:lpstr>
      <vt:lpstr>FACHADA</vt:lpstr>
      <vt:lpstr>SERVIÇOS COMPLEMENTARES</vt:lpstr>
      <vt:lpstr>MOBILIÁRIO E QUADRA</vt:lpstr>
      <vt:lpstr>EPC's</vt:lpstr>
      <vt:lpstr>ALVENARIA!Area_de_impressao</vt:lpstr>
      <vt:lpstr>'ARGAMASSADO EM ESTRUTURA'!Area_de_impressao</vt:lpstr>
      <vt:lpstr>BALDRAMES!Area_de_impressao</vt:lpstr>
      <vt:lpstr>CHURRASQUEIRA!Area_de_impressao</vt:lpstr>
      <vt:lpstr>'EPC''s'!Area_de_impressao</vt:lpstr>
      <vt:lpstr>FACHADA!Area_de_impressao</vt:lpstr>
      <vt:lpstr>FORRO!Area_de_impressao</vt:lpstr>
      <vt:lpstr>'MOBILIÁRIO E QUADRA'!Area_de_impressao</vt:lpstr>
      <vt:lpstr>PISOS!Area_de_impressao</vt:lpstr>
      <vt:lpstr>REVESTIMENTOS!Area_de_impressao</vt:lpstr>
      <vt:lpstr>SUPRAESTRUTURA!Area_de_impressao</vt:lpstr>
      <vt:lpstr>'Verga e contra'!Area_de_impressao</vt:lpstr>
      <vt:lpstr>ALVENARIA!Titulos_de_impressao</vt:lpstr>
      <vt:lpstr>'ARGAMASSADO EM ESTRUTURA'!Titulos_de_impressao</vt:lpstr>
      <vt:lpstr>BALDRAMES!Titulos_de_impressao</vt:lpstr>
      <vt:lpstr>CHURRASQUEIRA!Titulos_de_impressao</vt:lpstr>
      <vt:lpstr>'EPC''s'!Titulos_de_impressao</vt:lpstr>
      <vt:lpstr>ESCAVAÇÕES!Titulos_de_impressao</vt:lpstr>
      <vt:lpstr>ESTACAS!Titulos_de_impressao</vt:lpstr>
      <vt:lpstr>FACHADA!Titulos_de_impressao</vt:lpstr>
      <vt:lpstr>FORRO!Titulos_de_impressao</vt:lpstr>
      <vt:lpstr>'MOBILIÁRIO E QUADRA'!Titulos_de_impressao</vt:lpstr>
      <vt:lpstr>PISOS!Titulos_de_impressao</vt:lpstr>
      <vt:lpstr>REVESTIMENTOS!Titulos_de_impressao</vt:lpstr>
      <vt:lpstr>SUPRAESTRUTURA!Titulos_de_impressao</vt:lpstr>
      <vt:lpstr>'Verga e contra'!Titulos_de_impressao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Ribeiro</dc:creator>
  <cp:lastModifiedBy>Patricia Bragatto</cp:lastModifiedBy>
  <dcterms:created xsi:type="dcterms:W3CDTF">2023-12-21T18:59:47Z</dcterms:created>
  <dcterms:modified xsi:type="dcterms:W3CDTF">2024-08-08T20:11:48Z</dcterms:modified>
</cp:coreProperties>
</file>